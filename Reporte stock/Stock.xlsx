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 stock\"/>
    </mc:Choice>
  </mc:AlternateContent>
  <bookViews>
    <workbookView xWindow="0" yWindow="0" windowWidth="23040" windowHeight="9192"/>
  </bookViews>
  <sheets>
    <sheet name="listado" sheetId="1" r:id="rId1"/>
    <sheet name="Familias" sheetId="2" r:id="rId2"/>
  </sheets>
  <externalReferences>
    <externalReference r:id="rId3"/>
  </externalReferences>
  <definedNames>
    <definedName name="_xlnm._FilterDatabase" localSheetId="0" hidden="1">listado!$A$1:$AH$2100</definedName>
    <definedName name="_xlnm.Print_Titles" localSheetId="0">listado!$1:$1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47" i="1" l="1"/>
  <c r="P1846" i="1"/>
  <c r="P1845" i="1"/>
  <c r="P1844" i="1"/>
  <c r="P1843" i="1"/>
  <c r="P1842" i="1"/>
  <c r="P1835" i="1"/>
  <c r="P1834" i="1"/>
  <c r="P1833" i="1"/>
  <c r="P1832" i="1"/>
  <c r="P1831" i="1"/>
  <c r="P1830" i="1"/>
  <c r="P1825" i="1"/>
  <c r="P1824" i="1"/>
  <c r="P1823" i="1"/>
  <c r="P1822" i="1"/>
  <c r="P1821" i="1"/>
  <c r="P1820" i="1"/>
  <c r="P1819" i="1"/>
  <c r="P1812" i="1"/>
  <c r="P1811" i="1"/>
  <c r="P1810" i="1"/>
  <c r="P1809" i="1"/>
  <c r="P1808" i="1"/>
  <c r="P1807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1" i="1"/>
  <c r="P920" i="1"/>
  <c r="P919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1863" i="1"/>
  <c r="P1862" i="1"/>
  <c r="P1861" i="1"/>
  <c r="P1860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78" i="1"/>
  <c r="P677" i="1"/>
  <c r="P676" i="1"/>
  <c r="P675" i="1"/>
  <c r="P674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5" i="1"/>
  <c r="P444" i="1"/>
  <c r="P443" i="1"/>
  <c r="P442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1749" i="1"/>
  <c r="P1748" i="1"/>
  <c r="P1747" i="1"/>
  <c r="P1746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308" i="1"/>
  <c r="P307" i="1"/>
  <c r="P306" i="1"/>
  <c r="P305" i="1"/>
  <c r="P304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" i="1"/>
  <c r="AB2100" i="1" l="1"/>
  <c r="T2100" i="1"/>
  <c r="AF2100" i="1" s="1"/>
  <c r="AB2099" i="1"/>
  <c r="T2099" i="1"/>
  <c r="AB2098" i="1"/>
  <c r="T2098" i="1"/>
  <c r="AF2098" i="1" s="1"/>
  <c r="AB2097" i="1"/>
  <c r="T2097" i="1"/>
  <c r="AB2096" i="1"/>
  <c r="T2096" i="1"/>
  <c r="AF2096" i="1" s="1"/>
  <c r="AB2095" i="1"/>
  <c r="T2095" i="1"/>
  <c r="AF2095" i="1" s="1"/>
  <c r="AB2094" i="1"/>
  <c r="T2094" i="1"/>
  <c r="AF2094" i="1" s="1"/>
  <c r="AB2093" i="1"/>
  <c r="T2093" i="1"/>
  <c r="AB2092" i="1"/>
  <c r="T2092" i="1"/>
  <c r="AF2092" i="1" s="1"/>
  <c r="AB2091" i="1"/>
  <c r="T2091" i="1"/>
  <c r="AF2091" i="1" s="1"/>
  <c r="AB2090" i="1"/>
  <c r="T2090" i="1"/>
  <c r="AF2090" i="1" s="1"/>
  <c r="AB2089" i="1"/>
  <c r="T2089" i="1"/>
  <c r="AB2088" i="1"/>
  <c r="T2088" i="1"/>
  <c r="AF2088" i="1" s="1"/>
  <c r="AB2087" i="1"/>
  <c r="T2087" i="1"/>
  <c r="AB2086" i="1"/>
  <c r="T2086" i="1"/>
  <c r="AF2086" i="1" s="1"/>
  <c r="AB2085" i="1"/>
  <c r="T2085" i="1"/>
  <c r="AB2084" i="1"/>
  <c r="T2084" i="1"/>
  <c r="AF2084" i="1" s="1"/>
  <c r="AB2083" i="1"/>
  <c r="T2083" i="1"/>
  <c r="AB2082" i="1"/>
  <c r="T2082" i="1"/>
  <c r="AF2082" i="1" s="1"/>
  <c r="AB2081" i="1"/>
  <c r="T2081" i="1"/>
  <c r="AB2080" i="1"/>
  <c r="T2080" i="1"/>
  <c r="AF2080" i="1" s="1"/>
  <c r="AB2079" i="1"/>
  <c r="T2079" i="1"/>
  <c r="AB2078" i="1"/>
  <c r="T2078" i="1"/>
  <c r="AF2078" i="1" s="1"/>
  <c r="AB2077" i="1"/>
  <c r="T2077" i="1"/>
  <c r="AB2076" i="1"/>
  <c r="T2076" i="1"/>
  <c r="AF2076" i="1" s="1"/>
  <c r="AB2075" i="1"/>
  <c r="T2075" i="1"/>
  <c r="AF2075" i="1" s="1"/>
  <c r="AB2074" i="1"/>
  <c r="T2074" i="1"/>
  <c r="AF2074" i="1" s="1"/>
  <c r="AB2073" i="1"/>
  <c r="T2073" i="1"/>
  <c r="AB2072" i="1"/>
  <c r="T2072" i="1"/>
  <c r="AF2072" i="1" s="1"/>
  <c r="AB2071" i="1"/>
  <c r="T2071" i="1"/>
  <c r="AB2070" i="1"/>
  <c r="T2070" i="1"/>
  <c r="AF2070" i="1" s="1"/>
  <c r="AB2069" i="1"/>
  <c r="T2069" i="1"/>
  <c r="AF2069" i="1" s="1"/>
  <c r="AB2068" i="1"/>
  <c r="T2068" i="1"/>
  <c r="AF2068" i="1" s="1"/>
  <c r="AB2067" i="1"/>
  <c r="T2067" i="1"/>
  <c r="AB2066" i="1"/>
  <c r="T2066" i="1"/>
  <c r="AF2066" i="1" s="1"/>
  <c r="AB2065" i="1"/>
  <c r="T2065" i="1"/>
  <c r="AF2065" i="1" s="1"/>
  <c r="AB2064" i="1"/>
  <c r="T2064" i="1"/>
  <c r="AF2064" i="1" s="1"/>
  <c r="AB2063" i="1"/>
  <c r="T2063" i="1"/>
  <c r="AB2062" i="1"/>
  <c r="T2062" i="1"/>
  <c r="AF2062" i="1" s="1"/>
  <c r="AB2061" i="1"/>
  <c r="T2061" i="1"/>
  <c r="AB2060" i="1"/>
  <c r="T2060" i="1"/>
  <c r="AF2060" i="1" s="1"/>
  <c r="AB2059" i="1"/>
  <c r="T2059" i="1"/>
  <c r="AF2059" i="1" s="1"/>
  <c r="AB2058" i="1"/>
  <c r="T2058" i="1"/>
  <c r="AF2058" i="1" s="1"/>
  <c r="AB2057" i="1"/>
  <c r="T2057" i="1"/>
  <c r="AB2056" i="1"/>
  <c r="T2056" i="1"/>
  <c r="AF2056" i="1" s="1"/>
  <c r="AB2055" i="1"/>
  <c r="T2055" i="1"/>
  <c r="AB2054" i="1"/>
  <c r="T2054" i="1"/>
  <c r="AF2054" i="1" s="1"/>
  <c r="AB2053" i="1"/>
  <c r="T2053" i="1"/>
  <c r="AF2053" i="1" s="1"/>
  <c r="AB2052" i="1"/>
  <c r="T2052" i="1"/>
  <c r="AF2052" i="1" s="1"/>
  <c r="AB2051" i="1"/>
  <c r="T2051" i="1"/>
  <c r="AB2050" i="1"/>
  <c r="T2050" i="1"/>
  <c r="AF2050" i="1" s="1"/>
  <c r="AB2049" i="1"/>
  <c r="T2049" i="1"/>
  <c r="AB2048" i="1"/>
  <c r="T2048" i="1"/>
  <c r="AF2048" i="1" s="1"/>
  <c r="AB2047" i="1"/>
  <c r="T2047" i="1"/>
  <c r="AB2046" i="1"/>
  <c r="T2046" i="1"/>
  <c r="AF2046" i="1" s="1"/>
  <c r="AB2045" i="1"/>
  <c r="T2045" i="1"/>
  <c r="AB2044" i="1"/>
  <c r="T2044" i="1"/>
  <c r="AF2044" i="1" s="1"/>
  <c r="AB2043" i="1"/>
  <c r="T2043" i="1"/>
  <c r="AF2043" i="1" s="1"/>
  <c r="AB2042" i="1"/>
  <c r="T2042" i="1"/>
  <c r="AF2042" i="1" s="1"/>
  <c r="AB2041" i="1"/>
  <c r="T2041" i="1"/>
  <c r="AB2040" i="1"/>
  <c r="T2040" i="1"/>
  <c r="AF2040" i="1" s="1"/>
  <c r="AB2039" i="1"/>
  <c r="T2039" i="1"/>
  <c r="AB2038" i="1"/>
  <c r="T2038" i="1"/>
  <c r="AF2038" i="1" s="1"/>
  <c r="AB2037" i="1"/>
  <c r="T2037" i="1"/>
  <c r="AB2036" i="1"/>
  <c r="T2036" i="1"/>
  <c r="AF2036" i="1" s="1"/>
  <c r="AB2035" i="1"/>
  <c r="T2035" i="1"/>
  <c r="AB2034" i="1"/>
  <c r="T2034" i="1"/>
  <c r="AF2034" i="1" s="1"/>
  <c r="AB2033" i="1"/>
  <c r="T2033" i="1"/>
  <c r="AF2033" i="1" s="1"/>
  <c r="AB2032" i="1"/>
  <c r="T2032" i="1"/>
  <c r="AF2032" i="1" s="1"/>
  <c r="AB2031" i="1"/>
  <c r="T2031" i="1"/>
  <c r="AF2031" i="1" s="1"/>
  <c r="AB2030" i="1"/>
  <c r="T2030" i="1"/>
  <c r="AF2030" i="1" s="1"/>
  <c r="AB2029" i="1"/>
  <c r="T2029" i="1"/>
  <c r="AF2029" i="1" s="1"/>
  <c r="AB2028" i="1"/>
  <c r="T2028" i="1"/>
  <c r="AF2028" i="1" s="1"/>
  <c r="AB2027" i="1"/>
  <c r="T2027" i="1"/>
  <c r="AF2027" i="1" s="1"/>
  <c r="AB2026" i="1"/>
  <c r="T2026" i="1"/>
  <c r="AB2025" i="1"/>
  <c r="T2025" i="1"/>
  <c r="AB2024" i="1"/>
  <c r="T2024" i="1"/>
  <c r="AB2023" i="1"/>
  <c r="T2023" i="1"/>
  <c r="AF2023" i="1" s="1"/>
  <c r="AB2022" i="1"/>
  <c r="T2022" i="1"/>
  <c r="AB2021" i="1"/>
  <c r="T2021" i="1"/>
  <c r="AB2020" i="1"/>
  <c r="T2020" i="1"/>
  <c r="AB2019" i="1"/>
  <c r="T2019" i="1"/>
  <c r="AB2018" i="1"/>
  <c r="T2018" i="1"/>
  <c r="AB2017" i="1"/>
  <c r="T2017" i="1"/>
  <c r="AB2016" i="1"/>
  <c r="T2016" i="1"/>
  <c r="AB2015" i="1"/>
  <c r="T2015" i="1"/>
  <c r="AF2015" i="1" s="1"/>
  <c r="AB2014" i="1"/>
  <c r="T2014" i="1"/>
  <c r="AB2013" i="1"/>
  <c r="T2013" i="1"/>
  <c r="AF2013" i="1" s="1"/>
  <c r="AB2012" i="1"/>
  <c r="T2012" i="1"/>
  <c r="AB2011" i="1"/>
  <c r="T2011" i="1"/>
  <c r="AB2010" i="1"/>
  <c r="T2010" i="1"/>
  <c r="AB2009" i="1"/>
  <c r="T2009" i="1"/>
  <c r="AB2008" i="1"/>
  <c r="T2008" i="1"/>
  <c r="AB2007" i="1"/>
  <c r="T2007" i="1"/>
  <c r="AF2007" i="1" s="1"/>
  <c r="AB2006" i="1"/>
  <c r="T2006" i="1"/>
  <c r="AB2005" i="1"/>
  <c r="T2005" i="1"/>
  <c r="AB2004" i="1"/>
  <c r="T2004" i="1"/>
  <c r="AB2003" i="1"/>
  <c r="T2003" i="1"/>
  <c r="AB2002" i="1"/>
  <c r="T2002" i="1"/>
  <c r="AB2001" i="1"/>
  <c r="T2001" i="1"/>
  <c r="AB2000" i="1"/>
  <c r="T2000" i="1"/>
  <c r="AB1999" i="1"/>
  <c r="T1999" i="1"/>
  <c r="AF1999" i="1" s="1"/>
  <c r="AB1998" i="1"/>
  <c r="T1998" i="1"/>
  <c r="AB1997" i="1"/>
  <c r="T1997" i="1"/>
  <c r="AF1997" i="1" s="1"/>
  <c r="AB1996" i="1"/>
  <c r="T1996" i="1"/>
  <c r="AB1995" i="1"/>
  <c r="T1995" i="1"/>
  <c r="AB1994" i="1"/>
  <c r="T1994" i="1"/>
  <c r="AB1993" i="1"/>
  <c r="T1993" i="1"/>
  <c r="AB1992" i="1"/>
  <c r="T1992" i="1"/>
  <c r="AB1991" i="1"/>
  <c r="T1991" i="1"/>
  <c r="AF1991" i="1" s="1"/>
  <c r="AB1990" i="1"/>
  <c r="T1990" i="1"/>
  <c r="AB1989" i="1"/>
  <c r="T1989" i="1"/>
  <c r="AB1988" i="1"/>
  <c r="T1988" i="1"/>
  <c r="AB1987" i="1"/>
  <c r="T1987" i="1"/>
  <c r="AF1987" i="1" s="1"/>
  <c r="AB1986" i="1"/>
  <c r="T1986" i="1"/>
  <c r="AB1985" i="1"/>
  <c r="T1985" i="1"/>
  <c r="AB1984" i="1"/>
  <c r="T1984" i="1"/>
  <c r="AB1983" i="1"/>
  <c r="T1983" i="1"/>
  <c r="AF1983" i="1" s="1"/>
  <c r="AB1982" i="1"/>
  <c r="T1982" i="1"/>
  <c r="AB1981" i="1"/>
  <c r="T1981" i="1"/>
  <c r="AF1981" i="1" s="1"/>
  <c r="AB1980" i="1"/>
  <c r="T1980" i="1"/>
  <c r="AB1979" i="1"/>
  <c r="T1979" i="1"/>
  <c r="AF1979" i="1" s="1"/>
  <c r="AB1978" i="1"/>
  <c r="T1978" i="1"/>
  <c r="AB1977" i="1"/>
  <c r="T1977" i="1"/>
  <c r="AB1976" i="1"/>
  <c r="T1976" i="1"/>
  <c r="AB1975" i="1"/>
  <c r="T1975" i="1"/>
  <c r="AB1974" i="1"/>
  <c r="T1974" i="1"/>
  <c r="AB1973" i="1"/>
  <c r="T1973" i="1"/>
  <c r="AF1973" i="1" s="1"/>
  <c r="AB1972" i="1"/>
  <c r="T1972" i="1"/>
  <c r="AB1971" i="1"/>
  <c r="T1971" i="1"/>
  <c r="AF1971" i="1" s="1"/>
  <c r="AB1970" i="1"/>
  <c r="T1970" i="1"/>
  <c r="AB1969" i="1"/>
  <c r="T1969" i="1"/>
  <c r="AB1968" i="1"/>
  <c r="T1968" i="1"/>
  <c r="AB1967" i="1"/>
  <c r="T1967" i="1"/>
  <c r="AF1967" i="1" s="1"/>
  <c r="AB1966" i="1"/>
  <c r="T1966" i="1"/>
  <c r="AB1965" i="1"/>
  <c r="T1965" i="1"/>
  <c r="AF1965" i="1" s="1"/>
  <c r="AB1964" i="1"/>
  <c r="T1964" i="1"/>
  <c r="AB1963" i="1"/>
  <c r="T1963" i="1"/>
  <c r="AB1962" i="1"/>
  <c r="T1962" i="1"/>
  <c r="AB1961" i="1"/>
  <c r="T1961" i="1"/>
  <c r="AB1960" i="1"/>
  <c r="T1960" i="1"/>
  <c r="AB1959" i="1"/>
  <c r="T1959" i="1"/>
  <c r="AB1958" i="1"/>
  <c r="T1958" i="1"/>
  <c r="AF1958" i="1" s="1"/>
  <c r="AB1957" i="1"/>
  <c r="T1957" i="1"/>
  <c r="AF1957" i="1" s="1"/>
  <c r="AB1956" i="1"/>
  <c r="T1956" i="1"/>
  <c r="AB1955" i="1"/>
  <c r="T1955" i="1"/>
  <c r="AF1955" i="1" s="1"/>
  <c r="AB1954" i="1"/>
  <c r="T1954" i="1"/>
  <c r="AB1953" i="1"/>
  <c r="T1953" i="1"/>
  <c r="AF1953" i="1" s="1"/>
  <c r="AB1952" i="1"/>
  <c r="T1952" i="1"/>
  <c r="AB1951" i="1"/>
  <c r="T1951" i="1"/>
  <c r="AB1950" i="1"/>
  <c r="T1950" i="1"/>
  <c r="AB1949" i="1"/>
  <c r="T1949" i="1"/>
  <c r="AF1949" i="1" s="1"/>
  <c r="AB1948" i="1"/>
  <c r="T1948" i="1"/>
  <c r="AB1947" i="1"/>
  <c r="T1947" i="1"/>
  <c r="AB1946" i="1"/>
  <c r="T1946" i="1"/>
  <c r="AF1946" i="1" s="1"/>
  <c r="AB1945" i="1"/>
  <c r="T1945" i="1"/>
  <c r="AB1944" i="1"/>
  <c r="T1944" i="1"/>
  <c r="AB1943" i="1"/>
  <c r="T1943" i="1"/>
  <c r="AF1943" i="1" s="1"/>
  <c r="AB1942" i="1"/>
  <c r="T1942" i="1"/>
  <c r="AB1941" i="1"/>
  <c r="T1941" i="1"/>
  <c r="AB1940" i="1"/>
  <c r="T1940" i="1"/>
  <c r="AB1939" i="1"/>
  <c r="T1939" i="1"/>
  <c r="AF1939" i="1" s="1"/>
  <c r="AB1938" i="1"/>
  <c r="T1938" i="1"/>
  <c r="AB1937" i="1"/>
  <c r="T1937" i="1"/>
  <c r="AF1937" i="1" s="1"/>
  <c r="AB1936" i="1"/>
  <c r="T1936" i="1"/>
  <c r="AB1935" i="1"/>
  <c r="T1935" i="1"/>
  <c r="AB1934" i="1"/>
  <c r="T1934" i="1"/>
  <c r="AB1933" i="1"/>
  <c r="T1933" i="1"/>
  <c r="AB1932" i="1"/>
  <c r="T1932" i="1"/>
  <c r="AB1931" i="1"/>
  <c r="T1931" i="1"/>
  <c r="AB1930" i="1"/>
  <c r="T1930" i="1"/>
  <c r="AF1930" i="1" s="1"/>
  <c r="AB1929" i="1"/>
  <c r="T1929" i="1"/>
  <c r="AB1928" i="1"/>
  <c r="T1928" i="1"/>
  <c r="AF1928" i="1" s="1"/>
  <c r="AB1927" i="1"/>
  <c r="T1927" i="1"/>
  <c r="AB1926" i="1"/>
  <c r="T1926" i="1"/>
  <c r="AB1925" i="1"/>
  <c r="T1925" i="1"/>
  <c r="AB1924" i="1"/>
  <c r="T1924" i="1"/>
  <c r="AB1923" i="1"/>
  <c r="T1923" i="1"/>
  <c r="AB1922" i="1"/>
  <c r="T1922" i="1"/>
  <c r="AB1921" i="1"/>
  <c r="T1921" i="1"/>
  <c r="AB1920" i="1"/>
  <c r="T1920" i="1"/>
  <c r="AF1920" i="1" s="1"/>
  <c r="AB1919" i="1"/>
  <c r="T1919" i="1"/>
  <c r="AB1918" i="1"/>
  <c r="T1918" i="1"/>
  <c r="AF1918" i="1" s="1"/>
  <c r="AB1917" i="1"/>
  <c r="T1917" i="1"/>
  <c r="AB1916" i="1"/>
  <c r="T1916" i="1"/>
  <c r="AB1915" i="1"/>
  <c r="T1915" i="1"/>
  <c r="AB1914" i="1"/>
  <c r="T1914" i="1"/>
  <c r="AF1914" i="1" s="1"/>
  <c r="AB1913" i="1"/>
  <c r="T1913" i="1"/>
  <c r="AB1912" i="1"/>
  <c r="T1912" i="1"/>
  <c r="AB1911" i="1"/>
  <c r="T1911" i="1"/>
  <c r="AB1910" i="1"/>
  <c r="T1910" i="1"/>
  <c r="AF1910" i="1" s="1"/>
  <c r="AB1909" i="1"/>
  <c r="T1909" i="1"/>
  <c r="AB1908" i="1"/>
  <c r="T1908" i="1"/>
  <c r="AB1907" i="1"/>
  <c r="T1907" i="1"/>
  <c r="AB1906" i="1"/>
  <c r="T1906" i="1"/>
  <c r="AF1906" i="1" s="1"/>
  <c r="AB1905" i="1"/>
  <c r="T1905" i="1"/>
  <c r="AB1904" i="1"/>
  <c r="T1904" i="1"/>
  <c r="AF1904" i="1" s="1"/>
  <c r="AB1903" i="1"/>
  <c r="T1903" i="1"/>
  <c r="AB1902" i="1"/>
  <c r="T1902" i="1"/>
  <c r="AB1901" i="1"/>
  <c r="T1901" i="1"/>
  <c r="AB1900" i="1"/>
  <c r="T1900" i="1"/>
  <c r="AB1899" i="1"/>
  <c r="T1899" i="1"/>
  <c r="AB1898" i="1"/>
  <c r="T1898" i="1"/>
  <c r="AF1898" i="1" s="1"/>
  <c r="AB1897" i="1"/>
  <c r="T1897" i="1"/>
  <c r="AB1896" i="1"/>
  <c r="T1896" i="1"/>
  <c r="AB1895" i="1"/>
  <c r="T1895" i="1"/>
  <c r="AB1894" i="1"/>
  <c r="T1894" i="1"/>
  <c r="AF1894" i="1" s="1"/>
  <c r="AB1893" i="1"/>
  <c r="T1893" i="1"/>
  <c r="AB1892" i="1"/>
  <c r="T1892" i="1"/>
  <c r="AB1891" i="1"/>
  <c r="T1891" i="1"/>
  <c r="AB1890" i="1"/>
  <c r="T1890" i="1"/>
  <c r="AF1890" i="1" s="1"/>
  <c r="AB1889" i="1"/>
  <c r="T1889" i="1"/>
  <c r="AB1888" i="1"/>
  <c r="T1888" i="1"/>
  <c r="AF1888" i="1" s="1"/>
  <c r="AB1887" i="1"/>
  <c r="T1887" i="1"/>
  <c r="AB1886" i="1"/>
  <c r="T1886" i="1"/>
  <c r="AF1886" i="1" s="1"/>
  <c r="AB1885" i="1"/>
  <c r="T1885" i="1"/>
  <c r="AB1884" i="1"/>
  <c r="T1884" i="1"/>
  <c r="AB1883" i="1"/>
  <c r="T1883" i="1"/>
  <c r="AB1882" i="1"/>
  <c r="T1882" i="1"/>
  <c r="AF1882" i="1" s="1"/>
  <c r="AB1881" i="1"/>
  <c r="T1881" i="1"/>
  <c r="AB1880" i="1"/>
  <c r="T1880" i="1"/>
  <c r="AB1879" i="1"/>
  <c r="T1879" i="1"/>
  <c r="AB1878" i="1"/>
  <c r="T1878" i="1"/>
  <c r="AB1877" i="1"/>
  <c r="T1877" i="1"/>
  <c r="AB1876" i="1"/>
  <c r="T1876" i="1"/>
  <c r="AB1875" i="1"/>
  <c r="T1875" i="1"/>
  <c r="AB1874" i="1"/>
  <c r="T1874" i="1"/>
  <c r="AF1874" i="1" s="1"/>
  <c r="AB1873" i="1"/>
  <c r="T1873" i="1"/>
  <c r="AB1872" i="1"/>
  <c r="T1872" i="1"/>
  <c r="AF1872" i="1" s="1"/>
  <c r="AB1871" i="1"/>
  <c r="T1871" i="1"/>
  <c r="AB1870" i="1"/>
  <c r="T1870" i="1"/>
  <c r="AF1870" i="1" s="1"/>
  <c r="AB1869" i="1"/>
  <c r="T1869" i="1"/>
  <c r="AB1868" i="1"/>
  <c r="T1868" i="1"/>
  <c r="AB1867" i="1"/>
  <c r="T1867" i="1"/>
  <c r="AB1866" i="1"/>
  <c r="T1866" i="1"/>
  <c r="AF1866" i="1" s="1"/>
  <c r="AB1865" i="1"/>
  <c r="T1865" i="1"/>
  <c r="AB1864" i="1"/>
  <c r="T1864" i="1"/>
  <c r="AF1864" i="1" s="1"/>
  <c r="AB1863" i="1"/>
  <c r="T1863" i="1"/>
  <c r="AB1862" i="1"/>
  <c r="T1862" i="1"/>
  <c r="AF1862" i="1" s="1"/>
  <c r="AB1861" i="1"/>
  <c r="T1861" i="1"/>
  <c r="AB1860" i="1"/>
  <c r="T1860" i="1"/>
  <c r="AB1859" i="1"/>
  <c r="T1859" i="1"/>
  <c r="AB1858" i="1"/>
  <c r="T1858" i="1"/>
  <c r="AF1858" i="1" s="1"/>
  <c r="AB1857" i="1"/>
  <c r="T1857" i="1"/>
  <c r="AB1856" i="1"/>
  <c r="T1856" i="1"/>
  <c r="AB1855" i="1"/>
  <c r="T1855" i="1"/>
  <c r="AB1854" i="1"/>
  <c r="T1854" i="1"/>
  <c r="AF1854" i="1" s="1"/>
  <c r="AB1853" i="1"/>
  <c r="T1853" i="1"/>
  <c r="AB1852" i="1"/>
  <c r="T1852" i="1"/>
  <c r="AB1851" i="1"/>
  <c r="T1851" i="1"/>
  <c r="AB1850" i="1"/>
  <c r="T1850" i="1"/>
  <c r="AF1850" i="1" s="1"/>
  <c r="AB1849" i="1"/>
  <c r="T1849" i="1"/>
  <c r="AB1848" i="1"/>
  <c r="T1848" i="1"/>
  <c r="AF1848" i="1" s="1"/>
  <c r="AB1847" i="1"/>
  <c r="T1847" i="1"/>
  <c r="AB1846" i="1"/>
  <c r="T1846" i="1"/>
  <c r="AF1846" i="1" s="1"/>
  <c r="AB1845" i="1"/>
  <c r="T1845" i="1"/>
  <c r="AB1844" i="1"/>
  <c r="T1844" i="1"/>
  <c r="AB1843" i="1"/>
  <c r="T1843" i="1"/>
  <c r="AB1842" i="1"/>
  <c r="T1842" i="1"/>
  <c r="AF1842" i="1" s="1"/>
  <c r="AB1841" i="1"/>
  <c r="T1841" i="1"/>
  <c r="AB1840" i="1"/>
  <c r="T1840" i="1"/>
  <c r="AB1839" i="1"/>
  <c r="T1839" i="1"/>
  <c r="AB1838" i="1"/>
  <c r="T1838" i="1"/>
  <c r="AB1837" i="1"/>
  <c r="T1837" i="1"/>
  <c r="AB1836" i="1"/>
  <c r="T1836" i="1"/>
  <c r="AF1836" i="1" s="1"/>
  <c r="AB1835" i="1"/>
  <c r="T1835" i="1"/>
  <c r="AB1834" i="1"/>
  <c r="T1834" i="1"/>
  <c r="AF1834" i="1" s="1"/>
  <c r="AB1833" i="1"/>
  <c r="T1833" i="1"/>
  <c r="AB1832" i="1"/>
  <c r="T1832" i="1"/>
  <c r="AB1831" i="1"/>
  <c r="T1831" i="1"/>
  <c r="AB1830" i="1"/>
  <c r="T1830" i="1"/>
  <c r="AB1829" i="1"/>
  <c r="T1829" i="1"/>
  <c r="AB1828" i="1"/>
  <c r="T1828" i="1"/>
  <c r="AB1827" i="1"/>
  <c r="T1827" i="1"/>
  <c r="AB1826" i="1"/>
  <c r="T1826" i="1"/>
  <c r="AF1826" i="1" s="1"/>
  <c r="AB1825" i="1"/>
  <c r="T1825" i="1"/>
  <c r="AB1824" i="1"/>
  <c r="T1824" i="1"/>
  <c r="AF1824" i="1" s="1"/>
  <c r="AB1823" i="1"/>
  <c r="T1823" i="1"/>
  <c r="AB1822" i="1"/>
  <c r="T1822" i="1"/>
  <c r="AB1821" i="1"/>
  <c r="T1821" i="1"/>
  <c r="AB1820" i="1"/>
  <c r="T1820" i="1"/>
  <c r="AB1819" i="1"/>
  <c r="T1819" i="1"/>
  <c r="AB1818" i="1"/>
  <c r="T1818" i="1"/>
  <c r="AF1818" i="1" s="1"/>
  <c r="AB1817" i="1"/>
  <c r="T1817" i="1"/>
  <c r="AB1816" i="1"/>
  <c r="T1816" i="1"/>
  <c r="AF1816" i="1" s="1"/>
  <c r="AB1815" i="1"/>
  <c r="T1815" i="1"/>
  <c r="AB1814" i="1"/>
  <c r="T1814" i="1"/>
  <c r="AB1813" i="1"/>
  <c r="T1813" i="1"/>
  <c r="AF1813" i="1" s="1"/>
  <c r="AB1812" i="1"/>
  <c r="T1812" i="1"/>
  <c r="AF1812" i="1" s="1"/>
  <c r="AB1811" i="1"/>
  <c r="T1811" i="1"/>
  <c r="AF1811" i="1" s="1"/>
  <c r="AB1810" i="1"/>
  <c r="T1810" i="1"/>
  <c r="AB1809" i="1"/>
  <c r="T1809" i="1"/>
  <c r="AB1808" i="1"/>
  <c r="T1808" i="1"/>
  <c r="AB1807" i="1"/>
  <c r="T1807" i="1"/>
  <c r="AB1806" i="1"/>
  <c r="T1806" i="1"/>
  <c r="AB1805" i="1"/>
  <c r="T1805" i="1"/>
  <c r="AF1805" i="1" s="1"/>
  <c r="AB1804" i="1"/>
  <c r="T1804" i="1"/>
  <c r="AF1804" i="1" s="1"/>
  <c r="AB1803" i="1"/>
  <c r="T1803" i="1"/>
  <c r="AF1803" i="1" s="1"/>
  <c r="AB1802" i="1"/>
  <c r="T1802" i="1"/>
  <c r="AB1801" i="1"/>
  <c r="T1801" i="1"/>
  <c r="AF1801" i="1" s="1"/>
  <c r="AB1800" i="1"/>
  <c r="T1800" i="1"/>
  <c r="AF1800" i="1" s="1"/>
  <c r="AB1799" i="1"/>
  <c r="T1799" i="1"/>
  <c r="AF1799" i="1" s="1"/>
  <c r="AB1798" i="1"/>
  <c r="T1798" i="1"/>
  <c r="AF1798" i="1" s="1"/>
  <c r="AB1797" i="1"/>
  <c r="T1797" i="1"/>
  <c r="AB1796" i="1"/>
  <c r="T1796" i="1"/>
  <c r="AF1796" i="1" s="1"/>
  <c r="AB1795" i="1"/>
  <c r="T1795" i="1"/>
  <c r="AF1795" i="1" s="1"/>
  <c r="AB1794" i="1"/>
  <c r="T1794" i="1"/>
  <c r="AF1794" i="1" s="1"/>
  <c r="AB1793" i="1"/>
  <c r="T1793" i="1"/>
  <c r="AF1793" i="1" s="1"/>
  <c r="AB1792" i="1"/>
  <c r="T1792" i="1"/>
  <c r="AF1792" i="1" s="1"/>
  <c r="AB1791" i="1"/>
  <c r="T1791" i="1"/>
  <c r="AF1791" i="1" s="1"/>
  <c r="AB1790" i="1"/>
  <c r="T1790" i="1"/>
  <c r="AB1789" i="1"/>
  <c r="T1789" i="1"/>
  <c r="AF1789" i="1" s="1"/>
  <c r="AB1788" i="1"/>
  <c r="T1788" i="1"/>
  <c r="AF1788" i="1" s="1"/>
  <c r="AB1787" i="1"/>
  <c r="T1787" i="1"/>
  <c r="AF1787" i="1" s="1"/>
  <c r="AB1786" i="1"/>
  <c r="T1786" i="1"/>
  <c r="AF1786" i="1" s="1"/>
  <c r="AB1785" i="1"/>
  <c r="T1785" i="1"/>
  <c r="AF1785" i="1" s="1"/>
  <c r="AB1784" i="1"/>
  <c r="T1784" i="1"/>
  <c r="AF1784" i="1" s="1"/>
  <c r="AB1783" i="1"/>
  <c r="T1783" i="1"/>
  <c r="AF1783" i="1" s="1"/>
  <c r="AB1782" i="1"/>
  <c r="T1782" i="1"/>
  <c r="AB1781" i="1"/>
  <c r="T1781" i="1"/>
  <c r="AF1781" i="1" s="1"/>
  <c r="AB1780" i="1"/>
  <c r="T1780" i="1"/>
  <c r="AB1779" i="1"/>
  <c r="T1779" i="1"/>
  <c r="AF1779" i="1" s="1"/>
  <c r="AB1778" i="1"/>
  <c r="T1778" i="1"/>
  <c r="AF1778" i="1" s="1"/>
  <c r="AB1777" i="1"/>
  <c r="T1777" i="1"/>
  <c r="AB1776" i="1"/>
  <c r="T1776" i="1"/>
  <c r="AF1776" i="1" s="1"/>
  <c r="AB1775" i="1"/>
  <c r="T1775" i="1"/>
  <c r="AF1775" i="1" s="1"/>
  <c r="AB1774" i="1"/>
  <c r="T1774" i="1"/>
  <c r="AB1773" i="1"/>
  <c r="T1773" i="1"/>
  <c r="AF1773" i="1" s="1"/>
  <c r="AB1772" i="1"/>
  <c r="T1772" i="1"/>
  <c r="AB1771" i="1"/>
  <c r="T1771" i="1"/>
  <c r="AF1771" i="1" s="1"/>
  <c r="AB1770" i="1"/>
  <c r="T1770" i="1"/>
  <c r="AB1769" i="1"/>
  <c r="T1769" i="1"/>
  <c r="AF1769" i="1" s="1"/>
  <c r="AB1768" i="1"/>
  <c r="T1768" i="1"/>
  <c r="AF1768" i="1" s="1"/>
  <c r="AB1767" i="1"/>
  <c r="T1767" i="1"/>
  <c r="AF1767" i="1" s="1"/>
  <c r="AB1766" i="1"/>
  <c r="T1766" i="1"/>
  <c r="AF1766" i="1" s="1"/>
  <c r="AB1765" i="1"/>
  <c r="T1765" i="1"/>
  <c r="AF1765" i="1" s="1"/>
  <c r="AB1764" i="1"/>
  <c r="T1764" i="1"/>
  <c r="AF1764" i="1" s="1"/>
  <c r="AB1763" i="1"/>
  <c r="T1763" i="1"/>
  <c r="AF1763" i="1" s="1"/>
  <c r="AB1762" i="1"/>
  <c r="T1762" i="1"/>
  <c r="AF1762" i="1" s="1"/>
  <c r="AB1761" i="1"/>
  <c r="T1761" i="1"/>
  <c r="AF1761" i="1" s="1"/>
  <c r="AB1760" i="1"/>
  <c r="T1760" i="1"/>
  <c r="AB1759" i="1"/>
  <c r="T1759" i="1"/>
  <c r="AF1759" i="1" s="1"/>
  <c r="AB1758" i="1"/>
  <c r="T1758" i="1"/>
  <c r="AB1757" i="1"/>
  <c r="T1757" i="1"/>
  <c r="AF1757" i="1" s="1"/>
  <c r="AB1756" i="1"/>
  <c r="T1756" i="1"/>
  <c r="AF1756" i="1" s="1"/>
  <c r="AB1755" i="1"/>
  <c r="T1755" i="1"/>
  <c r="AF1755" i="1" s="1"/>
  <c r="AB1754" i="1"/>
  <c r="T1754" i="1"/>
  <c r="AF1754" i="1" s="1"/>
  <c r="AB1753" i="1"/>
  <c r="T1753" i="1"/>
  <c r="AF1753" i="1" s="1"/>
  <c r="AB1752" i="1"/>
  <c r="T1752" i="1"/>
  <c r="AF1752" i="1" s="1"/>
  <c r="AB1751" i="1"/>
  <c r="T1751" i="1"/>
  <c r="AF1751" i="1" s="1"/>
  <c r="AB1750" i="1"/>
  <c r="T1750" i="1"/>
  <c r="AB1749" i="1"/>
  <c r="T1749" i="1"/>
  <c r="AF1749" i="1" s="1"/>
  <c r="AB1748" i="1"/>
  <c r="T1748" i="1"/>
  <c r="AF1748" i="1" s="1"/>
  <c r="AB1747" i="1"/>
  <c r="T1747" i="1"/>
  <c r="AF1747" i="1" s="1"/>
  <c r="AB1746" i="1"/>
  <c r="T1746" i="1"/>
  <c r="AB1745" i="1"/>
  <c r="T1745" i="1"/>
  <c r="AB1744" i="1"/>
  <c r="T1744" i="1"/>
  <c r="AF1744" i="1" s="1"/>
  <c r="AB1743" i="1"/>
  <c r="T1743" i="1"/>
  <c r="AF1743" i="1" s="1"/>
  <c r="AB1742" i="1"/>
  <c r="T1742" i="1"/>
  <c r="AF1742" i="1" s="1"/>
  <c r="AB1741" i="1"/>
  <c r="T1741" i="1"/>
  <c r="AF1741" i="1" s="1"/>
  <c r="AB1740" i="1"/>
  <c r="T1740" i="1"/>
  <c r="AB1739" i="1"/>
  <c r="T1739" i="1"/>
  <c r="AB1738" i="1"/>
  <c r="T1738" i="1"/>
  <c r="AB1737" i="1"/>
  <c r="T1737" i="1"/>
  <c r="AF1737" i="1" s="1"/>
  <c r="AB1736" i="1"/>
  <c r="T1736" i="1"/>
  <c r="AB1735" i="1"/>
  <c r="T1735" i="1"/>
  <c r="AF1735" i="1" s="1"/>
  <c r="AB1734" i="1"/>
  <c r="T1734" i="1"/>
  <c r="AF1734" i="1" s="1"/>
  <c r="AB1733" i="1"/>
  <c r="T1733" i="1"/>
  <c r="AF1733" i="1" s="1"/>
  <c r="AB1732" i="1"/>
  <c r="T1732" i="1"/>
  <c r="AF1732" i="1" s="1"/>
  <c r="AB1731" i="1"/>
  <c r="T1731" i="1"/>
  <c r="AF1731" i="1" s="1"/>
  <c r="AB1730" i="1"/>
  <c r="T1730" i="1"/>
  <c r="AF1730" i="1" s="1"/>
  <c r="AB1729" i="1"/>
  <c r="T1729" i="1"/>
  <c r="AF1729" i="1" s="1"/>
  <c r="AB1728" i="1"/>
  <c r="T1728" i="1"/>
  <c r="AB1727" i="1"/>
  <c r="T1727" i="1"/>
  <c r="AF1727" i="1" s="1"/>
  <c r="AB1726" i="1"/>
  <c r="T1726" i="1"/>
  <c r="AF1726" i="1" s="1"/>
  <c r="AB1725" i="1"/>
  <c r="T1725" i="1"/>
  <c r="AF1725" i="1" s="1"/>
  <c r="AB1724" i="1"/>
  <c r="T1724" i="1"/>
  <c r="AB1723" i="1"/>
  <c r="T1723" i="1"/>
  <c r="AB1722" i="1"/>
  <c r="T1722" i="1"/>
  <c r="AF1722" i="1" s="1"/>
  <c r="AB1721" i="1"/>
  <c r="T1721" i="1"/>
  <c r="AF1721" i="1" s="1"/>
  <c r="AB1720" i="1"/>
  <c r="T1720" i="1"/>
  <c r="AB1719" i="1"/>
  <c r="T1719" i="1"/>
  <c r="AF1719" i="1" s="1"/>
  <c r="AB1718" i="1"/>
  <c r="T1718" i="1"/>
  <c r="AB1717" i="1"/>
  <c r="T1717" i="1"/>
  <c r="AF1717" i="1" s="1"/>
  <c r="AB1716" i="1"/>
  <c r="T1716" i="1"/>
  <c r="AF1716" i="1" s="1"/>
  <c r="AB1715" i="1"/>
  <c r="T1715" i="1"/>
  <c r="AB1714" i="1"/>
  <c r="T1714" i="1"/>
  <c r="AB1713" i="1"/>
  <c r="T1713" i="1"/>
  <c r="AB1712" i="1"/>
  <c r="T1712" i="1"/>
  <c r="AB1711" i="1"/>
  <c r="T1711" i="1"/>
  <c r="AF1711" i="1" s="1"/>
  <c r="AB1710" i="1"/>
  <c r="T1710" i="1"/>
  <c r="AF1710" i="1" s="1"/>
  <c r="AB1709" i="1"/>
  <c r="T1709" i="1"/>
  <c r="AF1709" i="1" s="1"/>
  <c r="AB1708" i="1"/>
  <c r="T1708" i="1"/>
  <c r="AB1707" i="1"/>
  <c r="T1707" i="1"/>
  <c r="AF1707" i="1" s="1"/>
  <c r="AB1706" i="1"/>
  <c r="T1706" i="1"/>
  <c r="AF1706" i="1" s="1"/>
  <c r="AB1705" i="1"/>
  <c r="T1705" i="1"/>
  <c r="AF1705" i="1" s="1"/>
  <c r="AB1704" i="1"/>
  <c r="T1704" i="1"/>
  <c r="AF1704" i="1" s="1"/>
  <c r="AB1703" i="1"/>
  <c r="T1703" i="1"/>
  <c r="AF1703" i="1" s="1"/>
  <c r="AB1702" i="1"/>
  <c r="T1702" i="1"/>
  <c r="AB1701" i="1"/>
  <c r="T1701" i="1"/>
  <c r="AF1701" i="1" s="1"/>
  <c r="AB1700" i="1"/>
  <c r="T1700" i="1"/>
  <c r="AF1700" i="1" s="1"/>
  <c r="AB1699" i="1"/>
  <c r="T1699" i="1"/>
  <c r="AB1698" i="1"/>
  <c r="T1698" i="1"/>
  <c r="AB1697" i="1"/>
  <c r="T1697" i="1"/>
  <c r="AF1697" i="1" s="1"/>
  <c r="AB1696" i="1"/>
  <c r="T1696" i="1"/>
  <c r="AF1696" i="1" s="1"/>
  <c r="AB1695" i="1"/>
  <c r="T1695" i="1"/>
  <c r="AB1694" i="1"/>
  <c r="T1694" i="1"/>
  <c r="AF1694" i="1" s="1"/>
  <c r="AB1693" i="1"/>
  <c r="T1693" i="1"/>
  <c r="AB1692" i="1"/>
  <c r="T1692" i="1"/>
  <c r="AF1692" i="1" s="1"/>
  <c r="AB1691" i="1"/>
  <c r="T1691" i="1"/>
  <c r="AB1690" i="1"/>
  <c r="T1690" i="1"/>
  <c r="AB1689" i="1"/>
  <c r="T1689" i="1"/>
  <c r="AF1689" i="1" s="1"/>
  <c r="AB1688" i="1"/>
  <c r="T1688" i="1"/>
  <c r="AF1688" i="1" s="1"/>
  <c r="AB1687" i="1"/>
  <c r="T1687" i="1"/>
  <c r="AF1687" i="1" s="1"/>
  <c r="AB1686" i="1"/>
  <c r="T1686" i="1"/>
  <c r="AF1686" i="1" s="1"/>
  <c r="AB1685" i="1"/>
  <c r="T1685" i="1"/>
  <c r="AB1684" i="1"/>
  <c r="T1684" i="1"/>
  <c r="AB1683" i="1"/>
  <c r="T1683" i="1"/>
  <c r="AF1683" i="1" s="1"/>
  <c r="AB1682" i="1"/>
  <c r="T1682" i="1"/>
  <c r="AB1681" i="1"/>
  <c r="T1681" i="1"/>
  <c r="AF1681" i="1" s="1"/>
  <c r="AB1680" i="1"/>
  <c r="T1680" i="1"/>
  <c r="AF1680" i="1" s="1"/>
  <c r="AB1679" i="1"/>
  <c r="T1679" i="1"/>
  <c r="AF1679" i="1" s="1"/>
  <c r="AB1678" i="1"/>
  <c r="T1678" i="1"/>
  <c r="AB1677" i="1"/>
  <c r="T1677" i="1"/>
  <c r="AB1676" i="1"/>
  <c r="T1676" i="1"/>
  <c r="AF1676" i="1" s="1"/>
  <c r="AB1675" i="1"/>
  <c r="T1675" i="1"/>
  <c r="AB1674" i="1"/>
  <c r="T1674" i="1"/>
  <c r="AB1673" i="1"/>
  <c r="T1673" i="1"/>
  <c r="AF1673" i="1" s="1"/>
  <c r="AB1672" i="1"/>
  <c r="T1672" i="1"/>
  <c r="AF1672" i="1" s="1"/>
  <c r="AB1671" i="1"/>
  <c r="T1671" i="1"/>
  <c r="AF1671" i="1" s="1"/>
  <c r="AB1670" i="1"/>
  <c r="T1670" i="1"/>
  <c r="AB1669" i="1"/>
  <c r="T1669" i="1"/>
  <c r="AF1669" i="1" s="1"/>
  <c r="AB1668" i="1"/>
  <c r="T1668" i="1"/>
  <c r="AB1667" i="1"/>
  <c r="T1667" i="1"/>
  <c r="AB1666" i="1"/>
  <c r="T1666" i="1"/>
  <c r="AB1665" i="1"/>
  <c r="T1665" i="1"/>
  <c r="AB1664" i="1"/>
  <c r="T1664" i="1"/>
  <c r="AB1663" i="1"/>
  <c r="T1663" i="1"/>
  <c r="AF1663" i="1" s="1"/>
  <c r="AB1662" i="1"/>
  <c r="T1662" i="1"/>
  <c r="AB1661" i="1"/>
  <c r="T1661" i="1"/>
  <c r="AF1661" i="1" s="1"/>
  <c r="AB1660" i="1"/>
  <c r="T1660" i="1"/>
  <c r="AB1659" i="1"/>
  <c r="T1659" i="1"/>
  <c r="AB1658" i="1"/>
  <c r="T1658" i="1"/>
  <c r="AB1657" i="1"/>
  <c r="T1657" i="1"/>
  <c r="AF1657" i="1" s="1"/>
  <c r="AB1656" i="1"/>
  <c r="T1656" i="1"/>
  <c r="AB1655" i="1"/>
  <c r="T1655" i="1"/>
  <c r="AF1655" i="1" s="1"/>
  <c r="AB1654" i="1"/>
  <c r="T1654" i="1"/>
  <c r="AB1653" i="1"/>
  <c r="T1653" i="1"/>
  <c r="AB1652" i="1"/>
  <c r="T1652" i="1"/>
  <c r="AB1651" i="1"/>
  <c r="T1651" i="1"/>
  <c r="AB1650" i="1"/>
  <c r="T1650" i="1"/>
  <c r="AB1649" i="1"/>
  <c r="T1649" i="1"/>
  <c r="AB1648" i="1"/>
  <c r="T1648" i="1"/>
  <c r="AB1647" i="1"/>
  <c r="T1647" i="1"/>
  <c r="AB1646" i="1"/>
  <c r="T1646" i="1"/>
  <c r="AB1645" i="1"/>
  <c r="T1645" i="1"/>
  <c r="AF1645" i="1" s="1"/>
  <c r="AB1644" i="1"/>
  <c r="T1644" i="1"/>
  <c r="AB1643" i="1"/>
  <c r="T1643" i="1"/>
  <c r="AB1642" i="1"/>
  <c r="T1642" i="1"/>
  <c r="AB1641" i="1"/>
  <c r="T1641" i="1"/>
  <c r="AF1641" i="1" s="1"/>
  <c r="AB1640" i="1"/>
  <c r="T1640" i="1"/>
  <c r="AB1639" i="1"/>
  <c r="T1639" i="1"/>
  <c r="AF1639" i="1" s="1"/>
  <c r="AB1638" i="1"/>
  <c r="T1638" i="1"/>
  <c r="AB1637" i="1"/>
  <c r="T1637" i="1"/>
  <c r="AB1636" i="1"/>
  <c r="T1636" i="1"/>
  <c r="AB1635" i="1"/>
  <c r="T1635" i="1"/>
  <c r="AB1634" i="1"/>
  <c r="T1634" i="1"/>
  <c r="AB1633" i="1"/>
  <c r="T1633" i="1"/>
  <c r="AB1632" i="1"/>
  <c r="T1632" i="1"/>
  <c r="AB1631" i="1"/>
  <c r="T1631" i="1"/>
  <c r="AF1631" i="1" s="1"/>
  <c r="AB1630" i="1"/>
  <c r="T1630" i="1"/>
  <c r="AB1629" i="1"/>
  <c r="T1629" i="1"/>
  <c r="AB1628" i="1"/>
  <c r="T1628" i="1"/>
  <c r="AB1627" i="1"/>
  <c r="T1627" i="1"/>
  <c r="AB1626" i="1"/>
  <c r="T1626" i="1"/>
  <c r="AB1625" i="1"/>
  <c r="T1625" i="1"/>
  <c r="AF1625" i="1" s="1"/>
  <c r="AB1624" i="1"/>
  <c r="T1624" i="1"/>
  <c r="AB1623" i="1"/>
  <c r="T1623" i="1"/>
  <c r="AB1622" i="1"/>
  <c r="T1622" i="1"/>
  <c r="AB1621" i="1"/>
  <c r="T1621" i="1"/>
  <c r="AB1620" i="1"/>
  <c r="T1620" i="1"/>
  <c r="AB1619" i="1"/>
  <c r="T1619" i="1"/>
  <c r="AB1618" i="1"/>
  <c r="T1618" i="1"/>
  <c r="AB1617" i="1"/>
  <c r="T1617" i="1"/>
  <c r="AF1617" i="1" s="1"/>
  <c r="AB1616" i="1"/>
  <c r="T1616" i="1"/>
  <c r="AB1615" i="1"/>
  <c r="T1615" i="1"/>
  <c r="AF1615" i="1" s="1"/>
  <c r="AB1614" i="1"/>
  <c r="T1614" i="1"/>
  <c r="AB1613" i="1"/>
  <c r="T1613" i="1"/>
  <c r="AF1613" i="1" s="1"/>
  <c r="AB1612" i="1"/>
  <c r="T1612" i="1"/>
  <c r="AB1611" i="1"/>
  <c r="T1611" i="1"/>
  <c r="AB1610" i="1"/>
  <c r="T1610" i="1"/>
  <c r="AB1609" i="1"/>
  <c r="T1609" i="1"/>
  <c r="AF1609" i="1" s="1"/>
  <c r="AB1608" i="1"/>
  <c r="T1608" i="1"/>
  <c r="AB1607" i="1"/>
  <c r="T1607" i="1"/>
  <c r="AF1607" i="1" s="1"/>
  <c r="AB1606" i="1"/>
  <c r="T1606" i="1"/>
  <c r="AB1605" i="1"/>
  <c r="T1605" i="1"/>
  <c r="AF1605" i="1" s="1"/>
  <c r="AB1604" i="1"/>
  <c r="T1604" i="1"/>
  <c r="AB1603" i="1"/>
  <c r="T1603" i="1"/>
  <c r="AB1602" i="1"/>
  <c r="T1602" i="1"/>
  <c r="AB1601" i="1"/>
  <c r="T1601" i="1"/>
  <c r="AF1601" i="1" s="1"/>
  <c r="AB1600" i="1"/>
  <c r="T1600" i="1"/>
  <c r="AB1599" i="1"/>
  <c r="T1599" i="1"/>
  <c r="AF1599" i="1" s="1"/>
  <c r="AB1598" i="1"/>
  <c r="T1598" i="1"/>
  <c r="AB1597" i="1"/>
  <c r="T1597" i="1"/>
  <c r="AB1596" i="1"/>
  <c r="T1596" i="1"/>
  <c r="AB1595" i="1"/>
  <c r="T1595" i="1"/>
  <c r="AB1594" i="1"/>
  <c r="T1594" i="1"/>
  <c r="AB1593" i="1"/>
  <c r="T1593" i="1"/>
  <c r="AB1592" i="1"/>
  <c r="T1592" i="1"/>
  <c r="AB1591" i="1"/>
  <c r="T1591" i="1"/>
  <c r="AF1591" i="1" s="1"/>
  <c r="AB1590" i="1"/>
  <c r="T1590" i="1"/>
  <c r="AB1589" i="1"/>
  <c r="T1589" i="1"/>
  <c r="AF1589" i="1" s="1"/>
  <c r="AB1588" i="1"/>
  <c r="T1588" i="1"/>
  <c r="AB1587" i="1"/>
  <c r="T1587" i="1"/>
  <c r="AF1587" i="1" s="1"/>
  <c r="AB1586" i="1"/>
  <c r="T1586" i="1"/>
  <c r="AB1585" i="1"/>
  <c r="T1585" i="1"/>
  <c r="AF1585" i="1" s="1"/>
  <c r="AB1584" i="1"/>
  <c r="T1584" i="1"/>
  <c r="AB1583" i="1"/>
  <c r="T1583" i="1"/>
  <c r="AF1583" i="1" s="1"/>
  <c r="AB1582" i="1"/>
  <c r="T1582" i="1"/>
  <c r="AB1581" i="1"/>
  <c r="T1581" i="1"/>
  <c r="AF1581" i="1" s="1"/>
  <c r="AB1580" i="1"/>
  <c r="T1580" i="1"/>
  <c r="AB1579" i="1"/>
  <c r="T1579" i="1"/>
  <c r="AF1579" i="1" s="1"/>
  <c r="AB1578" i="1"/>
  <c r="T1578" i="1"/>
  <c r="AB1577" i="1"/>
  <c r="T1577" i="1"/>
  <c r="AF1577" i="1" s="1"/>
  <c r="AB1576" i="1"/>
  <c r="T1576" i="1"/>
  <c r="AB1575" i="1"/>
  <c r="T1575" i="1"/>
  <c r="AF1575" i="1" s="1"/>
  <c r="AB1574" i="1"/>
  <c r="T1574" i="1"/>
  <c r="AB1573" i="1"/>
  <c r="T1573" i="1"/>
  <c r="AF1573" i="1" s="1"/>
  <c r="AB1572" i="1"/>
  <c r="T1572" i="1"/>
  <c r="AB1571" i="1"/>
  <c r="T1571" i="1"/>
  <c r="AF1571" i="1" s="1"/>
  <c r="AB1570" i="1"/>
  <c r="T1570" i="1"/>
  <c r="AB1569" i="1"/>
  <c r="T1569" i="1"/>
  <c r="AF1569" i="1" s="1"/>
  <c r="AB1568" i="1"/>
  <c r="T1568" i="1"/>
  <c r="AB1567" i="1"/>
  <c r="T1567" i="1"/>
  <c r="AF1567" i="1" s="1"/>
  <c r="AB1566" i="1"/>
  <c r="T1566" i="1"/>
  <c r="AB1565" i="1"/>
  <c r="T1565" i="1"/>
  <c r="AF1565" i="1" s="1"/>
  <c r="AB1564" i="1"/>
  <c r="T1564" i="1"/>
  <c r="AB1563" i="1"/>
  <c r="T1563" i="1"/>
  <c r="AF1563" i="1" s="1"/>
  <c r="AB1562" i="1"/>
  <c r="T1562" i="1"/>
  <c r="AB1561" i="1"/>
  <c r="T1561" i="1"/>
  <c r="AF1561" i="1" s="1"/>
  <c r="AB1560" i="1"/>
  <c r="T1560" i="1"/>
  <c r="AB1559" i="1"/>
  <c r="T1559" i="1"/>
  <c r="AB1558" i="1"/>
  <c r="T1558" i="1"/>
  <c r="AB1557" i="1"/>
  <c r="T1557" i="1"/>
  <c r="AB1556" i="1"/>
  <c r="T1556" i="1"/>
  <c r="AB1555" i="1"/>
  <c r="T1555" i="1"/>
  <c r="AF1555" i="1" s="1"/>
  <c r="AB1554" i="1"/>
  <c r="T1554" i="1"/>
  <c r="AB1553" i="1"/>
  <c r="T1553" i="1"/>
  <c r="AF1553" i="1" s="1"/>
  <c r="AB1552" i="1"/>
  <c r="T1552" i="1"/>
  <c r="AB1551" i="1"/>
  <c r="T1551" i="1"/>
  <c r="AB1550" i="1"/>
  <c r="T1550" i="1"/>
  <c r="AF1550" i="1" s="1"/>
  <c r="AB1549" i="1"/>
  <c r="T1549" i="1"/>
  <c r="AF1549" i="1" s="1"/>
  <c r="AB1548" i="1"/>
  <c r="T1548" i="1"/>
  <c r="AF1548" i="1" s="1"/>
  <c r="AB1547" i="1"/>
  <c r="T1547" i="1"/>
  <c r="AF1547" i="1" s="1"/>
  <c r="AB1546" i="1"/>
  <c r="T1546" i="1"/>
  <c r="AF1546" i="1" s="1"/>
  <c r="AB1545" i="1"/>
  <c r="T1545" i="1"/>
  <c r="AF1545" i="1" s="1"/>
  <c r="AB1544" i="1"/>
  <c r="T1544" i="1"/>
  <c r="AF1544" i="1" s="1"/>
  <c r="AB1543" i="1"/>
  <c r="T1543" i="1"/>
  <c r="AB1542" i="1"/>
  <c r="T1542" i="1"/>
  <c r="AF1542" i="1" s="1"/>
  <c r="AB1541" i="1"/>
  <c r="T1541" i="1"/>
  <c r="AB1540" i="1"/>
  <c r="T1540" i="1"/>
  <c r="AB1539" i="1"/>
  <c r="T1539" i="1"/>
  <c r="AF1539" i="1" s="1"/>
  <c r="AB1538" i="1"/>
  <c r="T1538" i="1"/>
  <c r="AB1537" i="1"/>
  <c r="T1537" i="1"/>
  <c r="AF1537" i="1" s="1"/>
  <c r="AB1536" i="1"/>
  <c r="T1536" i="1"/>
  <c r="AB1535" i="1"/>
  <c r="T1535" i="1"/>
  <c r="AF1535" i="1" s="1"/>
  <c r="AB1534" i="1"/>
  <c r="T1534" i="1"/>
  <c r="AF1534" i="1" s="1"/>
  <c r="AB1533" i="1"/>
  <c r="T1533" i="1"/>
  <c r="AF1533" i="1" s="1"/>
  <c r="AB1532" i="1"/>
  <c r="T1532" i="1"/>
  <c r="AF1532" i="1" s="1"/>
  <c r="AB1531" i="1"/>
  <c r="T1531" i="1"/>
  <c r="AF1531" i="1" s="1"/>
  <c r="AB1530" i="1"/>
  <c r="T1530" i="1"/>
  <c r="AB1529" i="1"/>
  <c r="T1529" i="1"/>
  <c r="AF1529" i="1" s="1"/>
  <c r="AB1528" i="1"/>
  <c r="T1528" i="1"/>
  <c r="AB1527" i="1"/>
  <c r="T1527" i="1"/>
  <c r="AF1527" i="1" s="1"/>
  <c r="AB1526" i="1"/>
  <c r="T1526" i="1"/>
  <c r="AB1525" i="1"/>
  <c r="T1525" i="1"/>
  <c r="AB1524" i="1"/>
  <c r="T1524" i="1"/>
  <c r="AB1523" i="1"/>
  <c r="T1523" i="1"/>
  <c r="AF1523" i="1" s="1"/>
  <c r="AB1522" i="1"/>
  <c r="T1522" i="1"/>
  <c r="AF1522" i="1" s="1"/>
  <c r="AB1521" i="1"/>
  <c r="T1521" i="1"/>
  <c r="AF1521" i="1" s="1"/>
  <c r="AB1520" i="1"/>
  <c r="T1520" i="1"/>
  <c r="AF1520" i="1" s="1"/>
  <c r="AB1519" i="1"/>
  <c r="T1519" i="1"/>
  <c r="AB1518" i="1"/>
  <c r="T1518" i="1"/>
  <c r="AF1518" i="1" s="1"/>
  <c r="AB1517" i="1"/>
  <c r="T1517" i="1"/>
  <c r="AB1516" i="1"/>
  <c r="T1516" i="1"/>
  <c r="AF1516" i="1" s="1"/>
  <c r="AB1515" i="1"/>
  <c r="T1515" i="1"/>
  <c r="AB1514" i="1"/>
  <c r="T1514" i="1"/>
  <c r="AF1514" i="1" s="1"/>
  <c r="AB1513" i="1"/>
  <c r="T1513" i="1"/>
  <c r="AB1512" i="1"/>
  <c r="T1512" i="1"/>
  <c r="AB1511" i="1"/>
  <c r="T1511" i="1"/>
  <c r="AF1511" i="1" s="1"/>
  <c r="AB1510" i="1"/>
  <c r="T1510" i="1"/>
  <c r="AB1509" i="1"/>
  <c r="T1509" i="1"/>
  <c r="AB1508" i="1"/>
  <c r="T1508" i="1"/>
  <c r="AF1508" i="1" s="1"/>
  <c r="AB1507" i="1"/>
  <c r="T1507" i="1"/>
  <c r="AB1506" i="1"/>
  <c r="T1506" i="1"/>
  <c r="AF1506" i="1" s="1"/>
  <c r="AB1505" i="1"/>
  <c r="T1505" i="1"/>
  <c r="AF1505" i="1" s="1"/>
  <c r="AB1504" i="1"/>
  <c r="T1504" i="1"/>
  <c r="AB1503" i="1"/>
  <c r="T1503" i="1"/>
  <c r="AF1503" i="1" s="1"/>
  <c r="AB1502" i="1"/>
  <c r="T1502" i="1"/>
  <c r="AF1502" i="1" s="1"/>
  <c r="AB1501" i="1"/>
  <c r="T1501" i="1"/>
  <c r="AB1500" i="1"/>
  <c r="T1500" i="1"/>
  <c r="AF1500" i="1" s="1"/>
  <c r="AB1499" i="1"/>
  <c r="T1499" i="1"/>
  <c r="AB1498" i="1"/>
  <c r="T1498" i="1"/>
  <c r="AF1498" i="1" s="1"/>
  <c r="AB1497" i="1"/>
  <c r="T1497" i="1"/>
  <c r="AB1496" i="1"/>
  <c r="T1496" i="1"/>
  <c r="AB1495" i="1"/>
  <c r="T1495" i="1"/>
  <c r="AB1494" i="1"/>
  <c r="T1494" i="1"/>
  <c r="AB1493" i="1"/>
  <c r="T1493" i="1"/>
  <c r="AB1492" i="1"/>
  <c r="T1492" i="1"/>
  <c r="AF1492" i="1" s="1"/>
  <c r="AB1491" i="1"/>
  <c r="T1491" i="1"/>
  <c r="AF1491" i="1" s="1"/>
  <c r="AB1490" i="1"/>
  <c r="T1490" i="1"/>
  <c r="AB1489" i="1"/>
  <c r="T1489" i="1"/>
  <c r="AB1488" i="1"/>
  <c r="T1488" i="1"/>
  <c r="AB1487" i="1"/>
  <c r="T1487" i="1"/>
  <c r="AB1486" i="1"/>
  <c r="T1486" i="1"/>
  <c r="AF1486" i="1" s="1"/>
  <c r="AB1485" i="1"/>
  <c r="T1485" i="1"/>
  <c r="AB1484" i="1"/>
  <c r="T1484" i="1"/>
  <c r="AB1483" i="1"/>
  <c r="T1483" i="1"/>
  <c r="AB1482" i="1"/>
  <c r="T1482" i="1"/>
  <c r="AF1482" i="1" s="1"/>
  <c r="AB1481" i="1"/>
  <c r="T1481" i="1"/>
  <c r="AB1480" i="1"/>
  <c r="T1480" i="1"/>
  <c r="AB1479" i="1"/>
  <c r="T1479" i="1"/>
  <c r="AB1478" i="1"/>
  <c r="T1478" i="1"/>
  <c r="AB1477" i="1"/>
  <c r="T1477" i="1"/>
  <c r="AF1477" i="1" s="1"/>
  <c r="AB1476" i="1"/>
  <c r="T1476" i="1"/>
  <c r="AF1476" i="1" s="1"/>
  <c r="AB1475" i="1"/>
  <c r="T1475" i="1"/>
  <c r="AB1474" i="1"/>
  <c r="T1474" i="1"/>
  <c r="AF1474" i="1" s="1"/>
  <c r="AB1473" i="1"/>
  <c r="T1473" i="1"/>
  <c r="AB1472" i="1"/>
  <c r="T1472" i="1"/>
  <c r="AF1472" i="1" s="1"/>
  <c r="AB1471" i="1"/>
  <c r="T1471" i="1"/>
  <c r="AB1470" i="1"/>
  <c r="T1470" i="1"/>
  <c r="AF1470" i="1" s="1"/>
  <c r="AB1469" i="1"/>
  <c r="T1469" i="1"/>
  <c r="AF1469" i="1" s="1"/>
  <c r="AB1468" i="1"/>
  <c r="T1468" i="1"/>
  <c r="AF1468" i="1" s="1"/>
  <c r="AB1467" i="1"/>
  <c r="T1467" i="1"/>
  <c r="AB1466" i="1"/>
  <c r="T1466" i="1"/>
  <c r="AF1466" i="1" s="1"/>
  <c r="AB1465" i="1"/>
  <c r="T1465" i="1"/>
  <c r="AF1465" i="1" s="1"/>
  <c r="AB1464" i="1"/>
  <c r="T1464" i="1"/>
  <c r="AB1463" i="1"/>
  <c r="T1463" i="1"/>
  <c r="AF1463" i="1" s="1"/>
  <c r="AB1462" i="1"/>
  <c r="T1462" i="1"/>
  <c r="AB1461" i="1"/>
  <c r="T1461" i="1"/>
  <c r="AB1460" i="1"/>
  <c r="T1460" i="1"/>
  <c r="AF1460" i="1" s="1"/>
  <c r="AB1459" i="1"/>
  <c r="T1459" i="1"/>
  <c r="AB1458" i="1"/>
  <c r="T1458" i="1"/>
  <c r="AB1457" i="1"/>
  <c r="T1457" i="1"/>
  <c r="AF1457" i="1" s="1"/>
  <c r="AB1456" i="1"/>
  <c r="T1456" i="1"/>
  <c r="AF1456" i="1" s="1"/>
  <c r="AB1455" i="1"/>
  <c r="T1455" i="1"/>
  <c r="AF1455" i="1" s="1"/>
  <c r="AB1454" i="1"/>
  <c r="T1454" i="1"/>
  <c r="AF1454" i="1" s="1"/>
  <c r="AB1453" i="1"/>
  <c r="T1453" i="1"/>
  <c r="AF1453" i="1" s="1"/>
  <c r="AB1452" i="1"/>
  <c r="T1452" i="1"/>
  <c r="AF1452" i="1" s="1"/>
  <c r="AB1451" i="1"/>
  <c r="T1451" i="1"/>
  <c r="AB1450" i="1"/>
  <c r="T1450" i="1"/>
  <c r="AB1449" i="1"/>
  <c r="T1449" i="1"/>
  <c r="AB1448" i="1"/>
  <c r="T1448" i="1"/>
  <c r="AB1447" i="1"/>
  <c r="T1447" i="1"/>
  <c r="AF1447" i="1" s="1"/>
  <c r="AB1446" i="1"/>
  <c r="T1446" i="1"/>
  <c r="AB1445" i="1"/>
  <c r="T1445" i="1"/>
  <c r="AF1445" i="1" s="1"/>
  <c r="AB1444" i="1"/>
  <c r="T1444" i="1"/>
  <c r="AF1444" i="1" s="1"/>
  <c r="AB1443" i="1"/>
  <c r="T1443" i="1"/>
  <c r="AF1443" i="1" s="1"/>
  <c r="AB1442" i="1"/>
  <c r="T1442" i="1"/>
  <c r="AB1441" i="1"/>
  <c r="T1441" i="1"/>
  <c r="AF1441" i="1" s="1"/>
  <c r="AB1440" i="1"/>
  <c r="T1440" i="1"/>
  <c r="AB1439" i="1"/>
  <c r="T1439" i="1"/>
  <c r="AB1438" i="1"/>
  <c r="T1438" i="1"/>
  <c r="AF1438" i="1" s="1"/>
  <c r="AB1437" i="1"/>
  <c r="T1437" i="1"/>
  <c r="AB1436" i="1"/>
  <c r="T1436" i="1"/>
  <c r="AF1436" i="1" s="1"/>
  <c r="AB1435" i="1"/>
  <c r="T1435" i="1"/>
  <c r="AB1434" i="1"/>
  <c r="T1434" i="1"/>
  <c r="AF1434" i="1" s="1"/>
  <c r="AB1433" i="1"/>
  <c r="T1433" i="1"/>
  <c r="AF1433" i="1" s="1"/>
  <c r="AB1432" i="1"/>
  <c r="T1432" i="1"/>
  <c r="AB1431" i="1"/>
  <c r="T1431" i="1"/>
  <c r="AF1431" i="1" s="1"/>
  <c r="AB1430" i="1"/>
  <c r="T1430" i="1"/>
  <c r="AB1429" i="1"/>
  <c r="T1429" i="1"/>
  <c r="AF1429" i="1" s="1"/>
  <c r="AB1428" i="1"/>
  <c r="T1428" i="1"/>
  <c r="AF1428" i="1" s="1"/>
  <c r="AB1427" i="1"/>
  <c r="T1427" i="1"/>
  <c r="AB1426" i="1"/>
  <c r="T1426" i="1"/>
  <c r="AB1425" i="1"/>
  <c r="T1425" i="1"/>
  <c r="AF1425" i="1" s="1"/>
  <c r="AB1424" i="1"/>
  <c r="T1424" i="1"/>
  <c r="AB1423" i="1"/>
  <c r="T1423" i="1"/>
  <c r="AF1423" i="1" s="1"/>
  <c r="AB1422" i="1"/>
  <c r="T1422" i="1"/>
  <c r="AF1422" i="1" s="1"/>
  <c r="AB1421" i="1"/>
  <c r="T1421" i="1"/>
  <c r="AB1420" i="1"/>
  <c r="T1420" i="1"/>
  <c r="AF1420" i="1" s="1"/>
  <c r="AB1419" i="1"/>
  <c r="T1419" i="1"/>
  <c r="AF1419" i="1" s="1"/>
  <c r="AB1418" i="1"/>
  <c r="T1418" i="1"/>
  <c r="AF1418" i="1" s="1"/>
  <c r="AB1417" i="1"/>
  <c r="T1417" i="1"/>
  <c r="AF1417" i="1" s="1"/>
  <c r="AB1416" i="1"/>
  <c r="T1416" i="1"/>
  <c r="AB1415" i="1"/>
  <c r="T1415" i="1"/>
  <c r="AF1415" i="1" s="1"/>
  <c r="AB1414" i="1"/>
  <c r="T1414" i="1"/>
  <c r="AB1413" i="1"/>
  <c r="T1413" i="1"/>
  <c r="AF1413" i="1" s="1"/>
  <c r="AB1412" i="1"/>
  <c r="T1412" i="1"/>
  <c r="AF1412" i="1" s="1"/>
  <c r="AB1411" i="1"/>
  <c r="T1411" i="1"/>
  <c r="AF1411" i="1" s="1"/>
  <c r="AB1410" i="1"/>
  <c r="T1410" i="1"/>
  <c r="AF1410" i="1" s="1"/>
  <c r="AB1409" i="1"/>
  <c r="T1409" i="1"/>
  <c r="AF1409" i="1" s="1"/>
  <c r="AB1408" i="1"/>
  <c r="T1408" i="1"/>
  <c r="AB1407" i="1"/>
  <c r="T1407" i="1"/>
  <c r="AB1406" i="1"/>
  <c r="T1406" i="1"/>
  <c r="AF1406" i="1" s="1"/>
  <c r="AB1405" i="1"/>
  <c r="T1405" i="1"/>
  <c r="AF1405" i="1" s="1"/>
  <c r="AB1404" i="1"/>
  <c r="T1404" i="1"/>
  <c r="AB1403" i="1"/>
  <c r="T1403" i="1"/>
  <c r="AB1402" i="1"/>
  <c r="T1402" i="1"/>
  <c r="AF1402" i="1" s="1"/>
  <c r="AB1401" i="1"/>
  <c r="T1401" i="1"/>
  <c r="AF1401" i="1" s="1"/>
  <c r="AB1400" i="1"/>
  <c r="T1400" i="1"/>
  <c r="AB1399" i="1"/>
  <c r="T1399" i="1"/>
  <c r="AF1399" i="1" s="1"/>
  <c r="AB1398" i="1"/>
  <c r="T1398" i="1"/>
  <c r="AB1397" i="1"/>
  <c r="T1397" i="1"/>
  <c r="AF1397" i="1" s="1"/>
  <c r="AB1396" i="1"/>
  <c r="T1396" i="1"/>
  <c r="AF1396" i="1" s="1"/>
  <c r="AB1395" i="1"/>
  <c r="T1395" i="1"/>
  <c r="AB1394" i="1"/>
  <c r="T1394" i="1"/>
  <c r="AF1394" i="1" s="1"/>
  <c r="AB1393" i="1"/>
  <c r="T1393" i="1"/>
  <c r="AF1393" i="1" s="1"/>
  <c r="AB1392" i="1"/>
  <c r="T1392" i="1"/>
  <c r="AF1392" i="1" s="1"/>
  <c r="AB1391" i="1"/>
  <c r="T1391" i="1"/>
  <c r="AB1390" i="1"/>
  <c r="T1390" i="1"/>
  <c r="AF1390" i="1" s="1"/>
  <c r="AB1389" i="1"/>
  <c r="T1389" i="1"/>
  <c r="AB1388" i="1"/>
  <c r="T1388" i="1"/>
  <c r="AB1387" i="1"/>
  <c r="T1387" i="1"/>
  <c r="AF1387" i="1" s="1"/>
  <c r="AB1386" i="1"/>
  <c r="T1386" i="1"/>
  <c r="AF1386" i="1" s="1"/>
  <c r="AB1385" i="1"/>
  <c r="T1385" i="1"/>
  <c r="AF1385" i="1" s="1"/>
  <c r="AB1384" i="1"/>
  <c r="T1384" i="1"/>
  <c r="AB1383" i="1"/>
  <c r="T1383" i="1"/>
  <c r="AF1383" i="1" s="1"/>
  <c r="AB1382" i="1"/>
  <c r="T1382" i="1"/>
  <c r="AB1381" i="1"/>
  <c r="T1381" i="1"/>
  <c r="AF1381" i="1" s="1"/>
  <c r="AB1380" i="1"/>
  <c r="T1380" i="1"/>
  <c r="AF1380" i="1" s="1"/>
  <c r="AB1379" i="1"/>
  <c r="T1379" i="1"/>
  <c r="AB1378" i="1"/>
  <c r="T1378" i="1"/>
  <c r="AF1378" i="1" s="1"/>
  <c r="AB1377" i="1"/>
  <c r="T1377" i="1"/>
  <c r="AF1377" i="1" s="1"/>
  <c r="AB1376" i="1"/>
  <c r="T1376" i="1"/>
  <c r="AB1375" i="1"/>
  <c r="T1375" i="1"/>
  <c r="AB1374" i="1"/>
  <c r="T1374" i="1"/>
  <c r="AF1374" i="1" s="1"/>
  <c r="AB1373" i="1"/>
  <c r="T1373" i="1"/>
  <c r="AF1373" i="1" s="1"/>
  <c r="AB1372" i="1"/>
  <c r="T1372" i="1"/>
  <c r="AF1372" i="1" s="1"/>
  <c r="AB1371" i="1"/>
  <c r="T1371" i="1"/>
  <c r="AF1371" i="1" s="1"/>
  <c r="AB1370" i="1"/>
  <c r="T1370" i="1"/>
  <c r="AF1370" i="1" s="1"/>
  <c r="AB1369" i="1"/>
  <c r="T1369" i="1"/>
  <c r="AB1368" i="1"/>
  <c r="T1368" i="1"/>
  <c r="AB1367" i="1"/>
  <c r="T1367" i="1"/>
  <c r="AB1366" i="1"/>
  <c r="T1366" i="1"/>
  <c r="AB1365" i="1"/>
  <c r="T1365" i="1"/>
  <c r="AB1364" i="1"/>
  <c r="T1364" i="1"/>
  <c r="AF1364" i="1" s="1"/>
  <c r="AB1363" i="1"/>
  <c r="T1363" i="1"/>
  <c r="AB1362" i="1"/>
  <c r="T1362" i="1"/>
  <c r="AF1362" i="1" s="1"/>
  <c r="AB1361" i="1"/>
  <c r="T1361" i="1"/>
  <c r="AF1361" i="1" s="1"/>
  <c r="AB1360" i="1"/>
  <c r="T1360" i="1"/>
  <c r="AF1360" i="1" s="1"/>
  <c r="AB1359" i="1"/>
  <c r="T1359" i="1"/>
  <c r="AB1358" i="1"/>
  <c r="T1358" i="1"/>
  <c r="AB1357" i="1"/>
  <c r="T1357" i="1"/>
  <c r="AB1356" i="1"/>
  <c r="T1356" i="1"/>
  <c r="AF1356" i="1" s="1"/>
  <c r="AB1355" i="1"/>
  <c r="T1355" i="1"/>
  <c r="AF1355" i="1" s="1"/>
  <c r="AB1354" i="1"/>
  <c r="T1354" i="1"/>
  <c r="AF1354" i="1" s="1"/>
  <c r="AB1353" i="1"/>
  <c r="T1353" i="1"/>
  <c r="AB1352" i="1"/>
  <c r="T1352" i="1"/>
  <c r="AB1351" i="1"/>
  <c r="T1351" i="1"/>
  <c r="AB1350" i="1"/>
  <c r="T1350" i="1"/>
  <c r="AB1349" i="1"/>
  <c r="T1349" i="1"/>
  <c r="AB1348" i="1"/>
  <c r="T1348" i="1"/>
  <c r="AF1348" i="1" s="1"/>
  <c r="AB1347" i="1"/>
  <c r="T1347" i="1"/>
  <c r="AB1346" i="1"/>
  <c r="T1346" i="1"/>
  <c r="AF1346" i="1" s="1"/>
  <c r="AB1345" i="1"/>
  <c r="T1345" i="1"/>
  <c r="AB1344" i="1"/>
  <c r="T1344" i="1"/>
  <c r="AB1343" i="1"/>
  <c r="T1343" i="1"/>
  <c r="AF1343" i="1" s="1"/>
  <c r="AB1342" i="1"/>
  <c r="T1342" i="1"/>
  <c r="AB1341" i="1"/>
  <c r="T1341" i="1"/>
  <c r="AB1340" i="1"/>
  <c r="T1340" i="1"/>
  <c r="AF1340" i="1" s="1"/>
  <c r="AB1339" i="1"/>
  <c r="T1339" i="1"/>
  <c r="AB1338" i="1"/>
  <c r="T1338" i="1"/>
  <c r="AB1337" i="1"/>
  <c r="T1337" i="1"/>
  <c r="AF1337" i="1" s="1"/>
  <c r="AB1336" i="1"/>
  <c r="T1336" i="1"/>
  <c r="AB1335" i="1"/>
  <c r="T1335" i="1"/>
  <c r="AB1334" i="1"/>
  <c r="T1334" i="1"/>
  <c r="AB1333" i="1"/>
  <c r="T1333" i="1"/>
  <c r="AB1332" i="1"/>
  <c r="T1332" i="1"/>
  <c r="AF1332" i="1" s="1"/>
  <c r="AB1331" i="1"/>
  <c r="T1331" i="1"/>
  <c r="AB1330" i="1"/>
  <c r="T1330" i="1"/>
  <c r="AF1330" i="1" s="1"/>
  <c r="AB1329" i="1"/>
  <c r="T1329" i="1"/>
  <c r="AB1328" i="1"/>
  <c r="T1328" i="1"/>
  <c r="AF1328" i="1" s="1"/>
  <c r="AB1327" i="1"/>
  <c r="T1327" i="1"/>
  <c r="AF1327" i="1" s="1"/>
  <c r="AB1326" i="1"/>
  <c r="T1326" i="1"/>
  <c r="AB1325" i="1"/>
  <c r="T1325" i="1"/>
  <c r="AB1324" i="1"/>
  <c r="T1324" i="1"/>
  <c r="AF1324" i="1" s="1"/>
  <c r="AB1323" i="1"/>
  <c r="T1323" i="1"/>
  <c r="AB1322" i="1"/>
  <c r="T1322" i="1"/>
  <c r="AF1322" i="1" s="1"/>
  <c r="AB1321" i="1"/>
  <c r="T1321" i="1"/>
  <c r="AB1320" i="1"/>
  <c r="T1320" i="1"/>
  <c r="AB1319" i="1"/>
  <c r="T1319" i="1"/>
  <c r="AF1319" i="1" s="1"/>
  <c r="AB1318" i="1"/>
  <c r="T1318" i="1"/>
  <c r="AB1317" i="1"/>
  <c r="T1317" i="1"/>
  <c r="AB1316" i="1"/>
  <c r="T1316" i="1"/>
  <c r="AF1316" i="1" s="1"/>
  <c r="AB1315" i="1"/>
  <c r="T1315" i="1"/>
  <c r="AF1315" i="1" s="1"/>
  <c r="AB1314" i="1"/>
  <c r="T1314" i="1"/>
  <c r="AB1313" i="1"/>
  <c r="T1313" i="1"/>
  <c r="AF1313" i="1" s="1"/>
  <c r="AB1312" i="1"/>
  <c r="T1312" i="1"/>
  <c r="AF1312" i="1" s="1"/>
  <c r="AB1311" i="1"/>
  <c r="T1311" i="1"/>
  <c r="AB1310" i="1"/>
  <c r="T1310" i="1"/>
  <c r="AB1309" i="1"/>
  <c r="T1309" i="1"/>
  <c r="AF1309" i="1" s="1"/>
  <c r="AB1308" i="1"/>
  <c r="T1308" i="1"/>
  <c r="AF1308" i="1" s="1"/>
  <c r="AB1307" i="1"/>
  <c r="T1307" i="1"/>
  <c r="AB1306" i="1"/>
  <c r="T1306" i="1"/>
  <c r="AF1306" i="1" s="1"/>
  <c r="AB1305" i="1"/>
  <c r="T1305" i="1"/>
  <c r="AB1304" i="1"/>
  <c r="T1304" i="1"/>
  <c r="AB1303" i="1"/>
  <c r="T1303" i="1"/>
  <c r="AB1302" i="1"/>
  <c r="T1302" i="1"/>
  <c r="AB1301" i="1"/>
  <c r="T1301" i="1"/>
  <c r="AB1300" i="1"/>
  <c r="T1300" i="1"/>
  <c r="AF1300" i="1" s="1"/>
  <c r="AB1299" i="1"/>
  <c r="T1299" i="1"/>
  <c r="AF1299" i="1" s="1"/>
  <c r="AB1298" i="1"/>
  <c r="T1298" i="1"/>
  <c r="AF1298" i="1" s="1"/>
  <c r="AB1297" i="1"/>
  <c r="T1297" i="1"/>
  <c r="AF1297" i="1" s="1"/>
  <c r="AB1296" i="1"/>
  <c r="T1296" i="1"/>
  <c r="AF1296" i="1" s="1"/>
  <c r="AB1295" i="1"/>
  <c r="T1295" i="1"/>
  <c r="AB1294" i="1"/>
  <c r="T1294" i="1"/>
  <c r="AB1293" i="1"/>
  <c r="T1293" i="1"/>
  <c r="AF1293" i="1" s="1"/>
  <c r="AB1292" i="1"/>
  <c r="T1292" i="1"/>
  <c r="AF1292" i="1" s="1"/>
  <c r="AB1291" i="1"/>
  <c r="T1291" i="1"/>
  <c r="AF1291" i="1" s="1"/>
  <c r="AB1290" i="1"/>
  <c r="T1290" i="1"/>
  <c r="AF1290" i="1" s="1"/>
  <c r="AB1289" i="1"/>
  <c r="T1289" i="1"/>
  <c r="AB1288" i="1"/>
  <c r="T1288" i="1"/>
  <c r="AB1287" i="1"/>
  <c r="T1287" i="1"/>
  <c r="AB1286" i="1"/>
  <c r="T1286" i="1"/>
  <c r="AB1285" i="1"/>
  <c r="T1285" i="1"/>
  <c r="AF1285" i="1" s="1"/>
  <c r="AB1284" i="1"/>
  <c r="T1284" i="1"/>
  <c r="AF1284" i="1" s="1"/>
  <c r="AB1283" i="1"/>
  <c r="T1283" i="1"/>
  <c r="AB1282" i="1"/>
  <c r="T1282" i="1"/>
  <c r="AB1281" i="1"/>
  <c r="T1281" i="1"/>
  <c r="AB1280" i="1"/>
  <c r="T1280" i="1"/>
  <c r="AB1279" i="1"/>
  <c r="T1279" i="1"/>
  <c r="AF1279" i="1" s="1"/>
  <c r="AB1278" i="1"/>
  <c r="T1278" i="1"/>
  <c r="AB1277" i="1"/>
  <c r="T1277" i="1"/>
  <c r="AB1276" i="1"/>
  <c r="T1276" i="1"/>
  <c r="AF1276" i="1" s="1"/>
  <c r="AB1275" i="1"/>
  <c r="T1275" i="1"/>
  <c r="AB1274" i="1"/>
  <c r="T1274" i="1"/>
  <c r="AB1273" i="1"/>
  <c r="T1273" i="1"/>
  <c r="AF1273" i="1" s="1"/>
  <c r="AB1272" i="1"/>
  <c r="T1272" i="1"/>
  <c r="AB1271" i="1"/>
  <c r="T1271" i="1"/>
  <c r="AB1270" i="1"/>
  <c r="T1270" i="1"/>
  <c r="AB1269" i="1"/>
  <c r="T1269" i="1"/>
  <c r="AB1268" i="1"/>
  <c r="T1268" i="1"/>
  <c r="AF1268" i="1" s="1"/>
  <c r="AB1267" i="1"/>
  <c r="T1267" i="1"/>
  <c r="AF1267" i="1" s="1"/>
  <c r="AB1266" i="1"/>
  <c r="T1266" i="1"/>
  <c r="AF1266" i="1" s="1"/>
  <c r="AB1265" i="1"/>
  <c r="T1265" i="1"/>
  <c r="AB1264" i="1"/>
  <c r="T1264" i="1"/>
  <c r="AB1263" i="1"/>
  <c r="T1263" i="1"/>
  <c r="AB1262" i="1"/>
  <c r="T1262" i="1"/>
  <c r="AB1261" i="1"/>
  <c r="T1261" i="1"/>
  <c r="AB1260" i="1"/>
  <c r="T1260" i="1"/>
  <c r="AF1260" i="1" s="1"/>
  <c r="AB1259" i="1"/>
  <c r="T1259" i="1"/>
  <c r="AB1258" i="1"/>
  <c r="T1258" i="1"/>
  <c r="AF1258" i="1" s="1"/>
  <c r="AB1257" i="1"/>
  <c r="T1257" i="1"/>
  <c r="AB1256" i="1"/>
  <c r="T1256" i="1"/>
  <c r="AB1255" i="1"/>
  <c r="T1255" i="1"/>
  <c r="AB1254" i="1"/>
  <c r="T1254" i="1"/>
  <c r="AB1253" i="1"/>
  <c r="T1253" i="1"/>
  <c r="AF1253" i="1" s="1"/>
  <c r="AB1252" i="1"/>
  <c r="T1252" i="1"/>
  <c r="AF1252" i="1" s="1"/>
  <c r="AB1251" i="1"/>
  <c r="T1251" i="1"/>
  <c r="AF1251" i="1" s="1"/>
  <c r="AB1250" i="1"/>
  <c r="T1250" i="1"/>
  <c r="AF1250" i="1" s="1"/>
  <c r="AB1249" i="1"/>
  <c r="T1249" i="1"/>
  <c r="AB1248" i="1"/>
  <c r="T1248" i="1"/>
  <c r="AB1247" i="1"/>
  <c r="T1247" i="1"/>
  <c r="AB1246" i="1"/>
  <c r="T1246" i="1"/>
  <c r="AB1245" i="1"/>
  <c r="T1245" i="1"/>
  <c r="AB1244" i="1"/>
  <c r="T1244" i="1"/>
  <c r="AF1244" i="1" s="1"/>
  <c r="AB1243" i="1"/>
  <c r="T1243" i="1"/>
  <c r="AF1243" i="1" s="1"/>
  <c r="AB1242" i="1"/>
  <c r="T1242" i="1"/>
  <c r="AF1242" i="1" s="1"/>
  <c r="AB1241" i="1"/>
  <c r="T1241" i="1"/>
  <c r="AB1240" i="1"/>
  <c r="T1240" i="1"/>
  <c r="AB1239" i="1"/>
  <c r="T1239" i="1"/>
  <c r="AB1238" i="1"/>
  <c r="T1238" i="1"/>
  <c r="AB1237" i="1"/>
  <c r="T1237" i="1"/>
  <c r="AB1236" i="1"/>
  <c r="T1236" i="1"/>
  <c r="AF1236" i="1" s="1"/>
  <c r="AB1235" i="1"/>
  <c r="T1235" i="1"/>
  <c r="AB1234" i="1"/>
  <c r="T1234" i="1"/>
  <c r="AF1234" i="1" s="1"/>
  <c r="AB1233" i="1"/>
  <c r="T1233" i="1"/>
  <c r="AF1233" i="1" s="1"/>
  <c r="AB1232" i="1"/>
  <c r="T1232" i="1"/>
  <c r="AF1232" i="1" s="1"/>
  <c r="AB1231" i="1"/>
  <c r="T1231" i="1"/>
  <c r="AB1230" i="1"/>
  <c r="T1230" i="1"/>
  <c r="AB1229" i="1"/>
  <c r="T1229" i="1"/>
  <c r="AB1228" i="1"/>
  <c r="T1228" i="1"/>
  <c r="AF1228" i="1" s="1"/>
  <c r="AB1227" i="1"/>
  <c r="T1227" i="1"/>
  <c r="AF1227" i="1" s="1"/>
  <c r="AB1226" i="1"/>
  <c r="T1226" i="1"/>
  <c r="AF1226" i="1" s="1"/>
  <c r="AB1225" i="1"/>
  <c r="T1225" i="1"/>
  <c r="AB1224" i="1"/>
  <c r="T1224" i="1"/>
  <c r="AB1223" i="1"/>
  <c r="T1223" i="1"/>
  <c r="AB1222" i="1"/>
  <c r="T1222" i="1"/>
  <c r="AB1221" i="1"/>
  <c r="T1221" i="1"/>
  <c r="AB1220" i="1"/>
  <c r="T1220" i="1"/>
  <c r="AF1220" i="1" s="1"/>
  <c r="AB1219" i="1"/>
  <c r="T1219" i="1"/>
  <c r="AB1218" i="1"/>
  <c r="T1218" i="1"/>
  <c r="AF1218" i="1" s="1"/>
  <c r="AB1217" i="1"/>
  <c r="T1217" i="1"/>
  <c r="AF1217" i="1" s="1"/>
  <c r="AB1216" i="1"/>
  <c r="T1216" i="1"/>
  <c r="AB1215" i="1"/>
  <c r="T1215" i="1"/>
  <c r="AF1215" i="1" s="1"/>
  <c r="AB1214" i="1"/>
  <c r="T1214" i="1"/>
  <c r="AB1213" i="1"/>
  <c r="T1213" i="1"/>
  <c r="AB1212" i="1"/>
  <c r="T1212" i="1"/>
  <c r="AF1212" i="1" s="1"/>
  <c r="AB1211" i="1"/>
  <c r="T1211" i="1"/>
  <c r="AF1211" i="1" s="1"/>
  <c r="AB1210" i="1"/>
  <c r="T1210" i="1"/>
  <c r="AB1209" i="1"/>
  <c r="T1209" i="1"/>
  <c r="AF1209" i="1" s="1"/>
  <c r="AB1208" i="1"/>
  <c r="T1208" i="1"/>
  <c r="AB1207" i="1"/>
  <c r="T1207" i="1"/>
  <c r="AB1206" i="1"/>
  <c r="T1206" i="1"/>
  <c r="AB1205" i="1"/>
  <c r="T1205" i="1"/>
  <c r="AF1205" i="1" s="1"/>
  <c r="AB1204" i="1"/>
  <c r="T1204" i="1"/>
  <c r="AF1204" i="1" s="1"/>
  <c r="AB1203" i="1"/>
  <c r="T1203" i="1"/>
  <c r="AF1203" i="1" s="1"/>
  <c r="AB1202" i="1"/>
  <c r="T1202" i="1"/>
  <c r="AF1202" i="1" s="1"/>
  <c r="AB1201" i="1"/>
  <c r="T1201" i="1"/>
  <c r="AB1200" i="1"/>
  <c r="T1200" i="1"/>
  <c r="AF1200" i="1" s="1"/>
  <c r="AB1199" i="1"/>
  <c r="T1199" i="1"/>
  <c r="AB1198" i="1"/>
  <c r="T1198" i="1"/>
  <c r="AB1197" i="1"/>
  <c r="T1197" i="1"/>
  <c r="AB1196" i="1"/>
  <c r="T1196" i="1"/>
  <c r="AF1196" i="1" s="1"/>
  <c r="AB1195" i="1"/>
  <c r="T1195" i="1"/>
  <c r="AB1194" i="1"/>
  <c r="T1194" i="1"/>
  <c r="AF1194" i="1" s="1"/>
  <c r="AB1193" i="1"/>
  <c r="T1193" i="1"/>
  <c r="AB1192" i="1"/>
  <c r="T1192" i="1"/>
  <c r="AB1191" i="1"/>
  <c r="T1191" i="1"/>
  <c r="AF1191" i="1" s="1"/>
  <c r="AB1190" i="1"/>
  <c r="T1190" i="1"/>
  <c r="AB1189" i="1"/>
  <c r="T1189" i="1"/>
  <c r="AB1188" i="1"/>
  <c r="T1188" i="1"/>
  <c r="AF1188" i="1" s="1"/>
  <c r="AB1187" i="1"/>
  <c r="T1187" i="1"/>
  <c r="AB1186" i="1"/>
  <c r="T1186" i="1"/>
  <c r="AB1185" i="1"/>
  <c r="T1185" i="1"/>
  <c r="AB1184" i="1"/>
  <c r="T1184" i="1"/>
  <c r="AF1184" i="1" s="1"/>
  <c r="AB1183" i="1"/>
  <c r="T1183" i="1"/>
  <c r="AB1182" i="1"/>
  <c r="T1182" i="1"/>
  <c r="AB1181" i="1"/>
  <c r="T1181" i="1"/>
  <c r="AB1180" i="1"/>
  <c r="T1180" i="1"/>
  <c r="AF1180" i="1" s="1"/>
  <c r="AB1179" i="1"/>
  <c r="T1179" i="1"/>
  <c r="AF1179" i="1" s="1"/>
  <c r="AB1178" i="1"/>
  <c r="T1178" i="1"/>
  <c r="AF1178" i="1" s="1"/>
  <c r="AB1177" i="1"/>
  <c r="T1177" i="1"/>
  <c r="AB1176" i="1"/>
  <c r="T1176" i="1"/>
  <c r="AB1175" i="1"/>
  <c r="T1175" i="1"/>
  <c r="AB1174" i="1"/>
  <c r="T1174" i="1"/>
  <c r="AB1173" i="1"/>
  <c r="T1173" i="1"/>
  <c r="AF1173" i="1" s="1"/>
  <c r="AB1172" i="1"/>
  <c r="T1172" i="1"/>
  <c r="AF1172" i="1" s="1"/>
  <c r="AB1171" i="1"/>
  <c r="T1171" i="1"/>
  <c r="AB1170" i="1"/>
  <c r="T1170" i="1"/>
  <c r="AF1170" i="1" s="1"/>
  <c r="AB1169" i="1"/>
  <c r="T1169" i="1"/>
  <c r="AF1169" i="1" s="1"/>
  <c r="AB1168" i="1"/>
  <c r="T1168" i="1"/>
  <c r="AB1167" i="1"/>
  <c r="T1167" i="1"/>
  <c r="AB1166" i="1"/>
  <c r="T1166" i="1"/>
  <c r="AB1165" i="1"/>
  <c r="T1165" i="1"/>
  <c r="AB1164" i="1"/>
  <c r="T1164" i="1"/>
  <c r="AF1164" i="1" s="1"/>
  <c r="AB1163" i="1"/>
  <c r="T1163" i="1"/>
  <c r="AF1163" i="1" s="1"/>
  <c r="AB1162" i="1"/>
  <c r="T1162" i="1"/>
  <c r="AB1161" i="1"/>
  <c r="T1161" i="1"/>
  <c r="AF1161" i="1" s="1"/>
  <c r="AB1160" i="1"/>
  <c r="T1160" i="1"/>
  <c r="AB1159" i="1"/>
  <c r="T1159" i="1"/>
  <c r="AB1158" i="1"/>
  <c r="T1158" i="1"/>
  <c r="AB1157" i="1"/>
  <c r="T1157" i="1"/>
  <c r="AB1156" i="1"/>
  <c r="T1156" i="1"/>
  <c r="AF1156" i="1" s="1"/>
  <c r="AB1155" i="1"/>
  <c r="T1155" i="1"/>
  <c r="AF1155" i="1" s="1"/>
  <c r="AB1154" i="1"/>
  <c r="T1154" i="1"/>
  <c r="AF1154" i="1" s="1"/>
  <c r="AB1153" i="1"/>
  <c r="T1153" i="1"/>
  <c r="AF1153" i="1" s="1"/>
  <c r="AB1152" i="1"/>
  <c r="T1152" i="1"/>
  <c r="AB1151" i="1"/>
  <c r="T1151" i="1"/>
  <c r="AB1150" i="1"/>
  <c r="T1150" i="1"/>
  <c r="AB1149" i="1"/>
  <c r="T1149" i="1"/>
  <c r="AB1148" i="1"/>
  <c r="T1148" i="1"/>
  <c r="AF1148" i="1" s="1"/>
  <c r="AB1147" i="1"/>
  <c r="T1147" i="1"/>
  <c r="AF1147" i="1" s="1"/>
  <c r="AB1146" i="1"/>
  <c r="T1146" i="1"/>
  <c r="AF1146" i="1" s="1"/>
  <c r="AB1145" i="1"/>
  <c r="T1145" i="1"/>
  <c r="AF1145" i="1" s="1"/>
  <c r="AB1144" i="1"/>
  <c r="T1144" i="1"/>
  <c r="AB1143" i="1"/>
  <c r="T1143" i="1"/>
  <c r="AB1142" i="1"/>
  <c r="T1142" i="1"/>
  <c r="AB1141" i="1"/>
  <c r="T1141" i="1"/>
  <c r="AB1140" i="1"/>
  <c r="T1140" i="1"/>
  <c r="AF1140" i="1" s="1"/>
  <c r="AB1139" i="1"/>
  <c r="T1139" i="1"/>
  <c r="AF1139" i="1" s="1"/>
  <c r="AB1138" i="1"/>
  <c r="T1138" i="1"/>
  <c r="AF1138" i="1" s="1"/>
  <c r="AB1137" i="1"/>
  <c r="T1137" i="1"/>
  <c r="AF1137" i="1" s="1"/>
  <c r="AB1136" i="1"/>
  <c r="T1136" i="1"/>
  <c r="AF1136" i="1" s="1"/>
  <c r="AB1135" i="1"/>
  <c r="T1135" i="1"/>
  <c r="AB1134" i="1"/>
  <c r="T1134" i="1"/>
  <c r="AB1133" i="1"/>
  <c r="T1133" i="1"/>
  <c r="AF1133" i="1" s="1"/>
  <c r="AB1132" i="1"/>
  <c r="T1132" i="1"/>
  <c r="AF1132" i="1" s="1"/>
  <c r="AB1131" i="1"/>
  <c r="T1131" i="1"/>
  <c r="AB1130" i="1"/>
  <c r="T1130" i="1"/>
  <c r="AB1129" i="1"/>
  <c r="T1129" i="1"/>
  <c r="AF1129" i="1" s="1"/>
  <c r="AB1128" i="1"/>
  <c r="T1128" i="1"/>
  <c r="AF1128" i="1" s="1"/>
  <c r="AB1127" i="1"/>
  <c r="T1127" i="1"/>
  <c r="AB1126" i="1"/>
  <c r="T1126" i="1"/>
  <c r="AB1125" i="1"/>
  <c r="T1125" i="1"/>
  <c r="AF1125" i="1" s="1"/>
  <c r="AB1124" i="1"/>
  <c r="T1124" i="1"/>
  <c r="AB1123" i="1"/>
  <c r="T1123" i="1"/>
  <c r="AF1123" i="1" s="1"/>
  <c r="AB1122" i="1"/>
  <c r="T1122" i="1"/>
  <c r="AB1121" i="1"/>
  <c r="T1121" i="1"/>
  <c r="AB1120" i="1"/>
  <c r="T1120" i="1"/>
  <c r="AF1120" i="1" s="1"/>
  <c r="AB1119" i="1"/>
  <c r="T1119" i="1"/>
  <c r="AF1119" i="1" s="1"/>
  <c r="AB1118" i="1"/>
  <c r="T1118" i="1"/>
  <c r="AB1117" i="1"/>
  <c r="T1117" i="1"/>
  <c r="AF1117" i="1" s="1"/>
  <c r="AB1116" i="1"/>
  <c r="T1116" i="1"/>
  <c r="AF1116" i="1" s="1"/>
  <c r="AB1115" i="1"/>
  <c r="T1115" i="1"/>
  <c r="AB1114" i="1"/>
  <c r="T1114" i="1"/>
  <c r="AB1113" i="1"/>
  <c r="T1113" i="1"/>
  <c r="AF1113" i="1" s="1"/>
  <c r="AB1112" i="1"/>
  <c r="T1112" i="1"/>
  <c r="AF1112" i="1" s="1"/>
  <c r="AB1111" i="1"/>
  <c r="T1111" i="1"/>
  <c r="AB1110" i="1"/>
  <c r="T1110" i="1"/>
  <c r="AF1110" i="1" s="1"/>
  <c r="AB1109" i="1"/>
  <c r="T1109" i="1"/>
  <c r="AF1109" i="1" s="1"/>
  <c r="AB1108" i="1"/>
  <c r="T1108" i="1"/>
  <c r="AF1108" i="1" s="1"/>
  <c r="AB1107" i="1"/>
  <c r="T1107" i="1"/>
  <c r="AB1106" i="1"/>
  <c r="T1106" i="1"/>
  <c r="AF1106" i="1" s="1"/>
  <c r="AB1105" i="1"/>
  <c r="T1105" i="1"/>
  <c r="AF1105" i="1" s="1"/>
  <c r="AB1104" i="1"/>
  <c r="T1104" i="1"/>
  <c r="AF1104" i="1" s="1"/>
  <c r="AB1103" i="1"/>
  <c r="T1103" i="1"/>
  <c r="AF1103" i="1" s="1"/>
  <c r="AB1102" i="1"/>
  <c r="T1102" i="1"/>
  <c r="AB1101" i="1"/>
  <c r="T1101" i="1"/>
  <c r="AB1100" i="1"/>
  <c r="T1100" i="1"/>
  <c r="AF1100" i="1" s="1"/>
  <c r="AB1099" i="1"/>
  <c r="T1099" i="1"/>
  <c r="AB1098" i="1"/>
  <c r="T1098" i="1"/>
  <c r="AB1097" i="1"/>
  <c r="T1097" i="1"/>
  <c r="AF1097" i="1" s="1"/>
  <c r="AB1096" i="1"/>
  <c r="T1096" i="1"/>
  <c r="AB1095" i="1"/>
  <c r="T1095" i="1"/>
  <c r="AF1095" i="1" s="1"/>
  <c r="AB1094" i="1"/>
  <c r="T1094" i="1"/>
  <c r="AF1094" i="1" s="1"/>
  <c r="AB1093" i="1"/>
  <c r="T1093" i="1"/>
  <c r="AF1093" i="1" s="1"/>
  <c r="AB1092" i="1"/>
  <c r="T1092" i="1"/>
  <c r="AB1091" i="1"/>
  <c r="T1091" i="1"/>
  <c r="AB1090" i="1"/>
  <c r="T1090" i="1"/>
  <c r="AB1089" i="1"/>
  <c r="T1089" i="1"/>
  <c r="AF1089" i="1" s="1"/>
  <c r="AB1088" i="1"/>
  <c r="T1088" i="1"/>
  <c r="AF1088" i="1" s="1"/>
  <c r="AB1087" i="1"/>
  <c r="T1087" i="1"/>
  <c r="AF1087" i="1" s="1"/>
  <c r="AB1086" i="1"/>
  <c r="T1086" i="1"/>
  <c r="AB1085" i="1"/>
  <c r="T1085" i="1"/>
  <c r="AF1085" i="1" s="1"/>
  <c r="AB1084" i="1"/>
  <c r="T1084" i="1"/>
  <c r="AF1084" i="1" s="1"/>
  <c r="AB1083" i="1"/>
  <c r="T1083" i="1"/>
  <c r="AF1083" i="1" s="1"/>
  <c r="AB1082" i="1"/>
  <c r="T1082" i="1"/>
  <c r="AB1081" i="1"/>
  <c r="T1081" i="1"/>
  <c r="AB1080" i="1"/>
  <c r="T1080" i="1"/>
  <c r="AF1080" i="1" s="1"/>
  <c r="AB1079" i="1"/>
  <c r="T1079" i="1"/>
  <c r="AB1078" i="1"/>
  <c r="T1078" i="1"/>
  <c r="AB1077" i="1"/>
  <c r="T1077" i="1"/>
  <c r="AB1076" i="1"/>
  <c r="T1076" i="1"/>
  <c r="AF1076" i="1" s="1"/>
  <c r="AB1075" i="1"/>
  <c r="T1075" i="1"/>
  <c r="AB1074" i="1"/>
  <c r="T1074" i="1"/>
  <c r="AF1074" i="1" s="1"/>
  <c r="AB1073" i="1"/>
  <c r="T1073" i="1"/>
  <c r="AB1072" i="1"/>
  <c r="T1072" i="1"/>
  <c r="AB1071" i="1"/>
  <c r="T1071" i="1"/>
  <c r="AB1070" i="1"/>
  <c r="T1070" i="1"/>
  <c r="AB1069" i="1"/>
  <c r="T1069" i="1"/>
  <c r="AB1068" i="1"/>
  <c r="T1068" i="1"/>
  <c r="AB1067" i="1"/>
  <c r="T1067" i="1"/>
  <c r="AB1066" i="1"/>
  <c r="T1066" i="1"/>
  <c r="AB1065" i="1"/>
  <c r="T1065" i="1"/>
  <c r="AB1064" i="1"/>
  <c r="T1064" i="1"/>
  <c r="AB1063" i="1"/>
  <c r="T1063" i="1"/>
  <c r="AB1062" i="1"/>
  <c r="T1062" i="1"/>
  <c r="AB1061" i="1"/>
  <c r="T1061" i="1"/>
  <c r="AF1061" i="1" s="1"/>
  <c r="AB1060" i="1"/>
  <c r="T1060" i="1"/>
  <c r="AF1060" i="1" s="1"/>
  <c r="AB1059" i="1"/>
  <c r="T1059" i="1"/>
  <c r="AB1058" i="1"/>
  <c r="T1058" i="1"/>
  <c r="AB1057" i="1"/>
  <c r="T1057" i="1"/>
  <c r="AF1057" i="1" s="1"/>
  <c r="AB1056" i="1"/>
  <c r="T1056" i="1"/>
  <c r="AF1056" i="1" s="1"/>
  <c r="AB1055" i="1"/>
  <c r="T1055" i="1"/>
  <c r="AB1054" i="1"/>
  <c r="T1054" i="1"/>
  <c r="AF1054" i="1" s="1"/>
  <c r="AB1053" i="1"/>
  <c r="T1053" i="1"/>
  <c r="AF1053" i="1" s="1"/>
  <c r="AB1052" i="1"/>
  <c r="T1052" i="1"/>
  <c r="AB1051" i="1"/>
  <c r="T1051" i="1"/>
  <c r="AB1050" i="1"/>
  <c r="T1050" i="1"/>
  <c r="AF1050" i="1" s="1"/>
  <c r="AB1049" i="1"/>
  <c r="T1049" i="1"/>
  <c r="AF1049" i="1" s="1"/>
  <c r="AB1048" i="1"/>
  <c r="T1048" i="1"/>
  <c r="AB1047" i="1"/>
  <c r="T1047" i="1"/>
  <c r="AB1046" i="1"/>
  <c r="T1046" i="1"/>
  <c r="AB1045" i="1"/>
  <c r="T1045" i="1"/>
  <c r="AB1044" i="1"/>
  <c r="T1044" i="1"/>
  <c r="AF1044" i="1" s="1"/>
  <c r="AB1043" i="1"/>
  <c r="T1043" i="1"/>
  <c r="AB1042" i="1"/>
  <c r="T1042" i="1"/>
  <c r="AB1041" i="1"/>
  <c r="T1041" i="1"/>
  <c r="AF1041" i="1" s="1"/>
  <c r="AB1040" i="1"/>
  <c r="T1040" i="1"/>
  <c r="AB1039" i="1"/>
  <c r="T1039" i="1"/>
  <c r="AB1038" i="1"/>
  <c r="T1038" i="1"/>
  <c r="AB1037" i="1"/>
  <c r="T1037" i="1"/>
  <c r="AB1036" i="1"/>
  <c r="T1036" i="1"/>
  <c r="AB1035" i="1"/>
  <c r="T1035" i="1"/>
  <c r="AB1034" i="1"/>
  <c r="T1034" i="1"/>
  <c r="AB1033" i="1"/>
  <c r="T1033" i="1"/>
  <c r="AB1032" i="1"/>
  <c r="T1032" i="1"/>
  <c r="AB1031" i="1"/>
  <c r="T1031" i="1"/>
  <c r="AB1030" i="1"/>
  <c r="T1030" i="1"/>
  <c r="AB1029" i="1"/>
  <c r="T1029" i="1"/>
  <c r="AF1029" i="1" s="1"/>
  <c r="AB1028" i="1"/>
  <c r="T1028" i="1"/>
  <c r="AF1028" i="1" s="1"/>
  <c r="AB1027" i="1"/>
  <c r="T1027" i="1"/>
  <c r="AB1026" i="1"/>
  <c r="T1026" i="1"/>
  <c r="AB1025" i="1"/>
  <c r="T1025" i="1"/>
  <c r="AF1025" i="1" s="1"/>
  <c r="AB1024" i="1"/>
  <c r="T1024" i="1"/>
  <c r="AF1024" i="1" s="1"/>
  <c r="AB1023" i="1"/>
  <c r="T1023" i="1"/>
  <c r="AB1022" i="1"/>
  <c r="T1022" i="1"/>
  <c r="AF1022" i="1" s="1"/>
  <c r="AB1021" i="1"/>
  <c r="T1021" i="1"/>
  <c r="AF1021" i="1" s="1"/>
  <c r="AB1020" i="1"/>
  <c r="T1020" i="1"/>
  <c r="AB1019" i="1"/>
  <c r="T1019" i="1"/>
  <c r="AB1018" i="1"/>
  <c r="T1018" i="1"/>
  <c r="AF1018" i="1" s="1"/>
  <c r="AB1017" i="1"/>
  <c r="T1017" i="1"/>
  <c r="AF1017" i="1" s="1"/>
  <c r="AB1016" i="1"/>
  <c r="T1016" i="1"/>
  <c r="AB1015" i="1"/>
  <c r="T1015" i="1"/>
  <c r="AB1014" i="1"/>
  <c r="T1014" i="1"/>
  <c r="AB1013" i="1"/>
  <c r="T1013" i="1"/>
  <c r="AF1013" i="1" s="1"/>
  <c r="AB1012" i="1"/>
  <c r="T1012" i="1"/>
  <c r="AF1012" i="1" s="1"/>
  <c r="AB1011" i="1"/>
  <c r="T1011" i="1"/>
  <c r="AB1010" i="1"/>
  <c r="T1010" i="1"/>
  <c r="AB1009" i="1"/>
  <c r="T1009" i="1"/>
  <c r="AB1008" i="1"/>
  <c r="T1008" i="1"/>
  <c r="AB1007" i="1"/>
  <c r="T1007" i="1"/>
  <c r="AB1006" i="1"/>
  <c r="T1006" i="1"/>
  <c r="AB1005" i="1"/>
  <c r="T1005" i="1"/>
  <c r="AB1004" i="1"/>
  <c r="T1004" i="1"/>
  <c r="AB1003" i="1"/>
  <c r="T1003" i="1"/>
  <c r="AB1002" i="1"/>
  <c r="T1002" i="1"/>
  <c r="AB1001" i="1"/>
  <c r="T1001" i="1"/>
  <c r="AB1000" i="1"/>
  <c r="T1000" i="1"/>
  <c r="AB999" i="1"/>
  <c r="T999" i="1"/>
  <c r="AB998" i="1"/>
  <c r="T998" i="1"/>
  <c r="AB997" i="1"/>
  <c r="T997" i="1"/>
  <c r="AF997" i="1" s="1"/>
  <c r="AB996" i="1"/>
  <c r="T996" i="1"/>
  <c r="AF996" i="1" s="1"/>
  <c r="AB995" i="1"/>
  <c r="T995" i="1"/>
  <c r="AB994" i="1"/>
  <c r="T994" i="1"/>
  <c r="AB993" i="1"/>
  <c r="T993" i="1"/>
  <c r="AF993" i="1" s="1"/>
  <c r="AB992" i="1"/>
  <c r="T992" i="1"/>
  <c r="AF992" i="1" s="1"/>
  <c r="AB991" i="1"/>
  <c r="T991" i="1"/>
  <c r="AB990" i="1"/>
  <c r="T990" i="1"/>
  <c r="AF990" i="1" s="1"/>
  <c r="AB989" i="1"/>
  <c r="T989" i="1"/>
  <c r="AF989" i="1" s="1"/>
  <c r="AB988" i="1"/>
  <c r="T988" i="1"/>
  <c r="AB987" i="1"/>
  <c r="T987" i="1"/>
  <c r="AB986" i="1"/>
  <c r="T986" i="1"/>
  <c r="AF986" i="1" s="1"/>
  <c r="AB985" i="1"/>
  <c r="T985" i="1"/>
  <c r="AF985" i="1" s="1"/>
  <c r="AB984" i="1"/>
  <c r="T984" i="1"/>
  <c r="AB983" i="1"/>
  <c r="T983" i="1"/>
  <c r="AB982" i="1"/>
  <c r="T982" i="1"/>
  <c r="AB981" i="1"/>
  <c r="T981" i="1"/>
  <c r="AB980" i="1"/>
  <c r="T980" i="1"/>
  <c r="AB979" i="1"/>
  <c r="T979" i="1"/>
  <c r="AB978" i="1"/>
  <c r="T978" i="1"/>
  <c r="AB977" i="1"/>
  <c r="T977" i="1"/>
  <c r="AF977" i="1" s="1"/>
  <c r="AB976" i="1"/>
  <c r="T976" i="1"/>
  <c r="AB975" i="1"/>
  <c r="T975" i="1"/>
  <c r="AB974" i="1"/>
  <c r="T974" i="1"/>
  <c r="AF974" i="1" s="1"/>
  <c r="AB973" i="1"/>
  <c r="T973" i="1"/>
  <c r="AB972" i="1"/>
  <c r="T972" i="1"/>
  <c r="AB971" i="1"/>
  <c r="T971" i="1"/>
  <c r="AB970" i="1"/>
  <c r="T970" i="1"/>
  <c r="AB969" i="1"/>
  <c r="T969" i="1"/>
  <c r="AB968" i="1"/>
  <c r="T968" i="1"/>
  <c r="AF968" i="1" s="1"/>
  <c r="AB967" i="1"/>
  <c r="T967" i="1"/>
  <c r="AB966" i="1"/>
  <c r="T966" i="1"/>
  <c r="AB965" i="1"/>
  <c r="T965" i="1"/>
  <c r="AF965" i="1" s="1"/>
  <c r="AB964" i="1"/>
  <c r="T964" i="1"/>
  <c r="AF964" i="1" s="1"/>
  <c r="AB963" i="1"/>
  <c r="T963" i="1"/>
  <c r="AB962" i="1"/>
  <c r="T962" i="1"/>
  <c r="AF962" i="1" s="1"/>
  <c r="AB961" i="1"/>
  <c r="T961" i="1"/>
  <c r="AF961" i="1" s="1"/>
  <c r="AB960" i="1"/>
  <c r="T960" i="1"/>
  <c r="AF960" i="1" s="1"/>
  <c r="AB959" i="1"/>
  <c r="T959" i="1"/>
  <c r="AB958" i="1"/>
  <c r="T958" i="1"/>
  <c r="AF958" i="1" s="1"/>
  <c r="AB957" i="1"/>
  <c r="T957" i="1"/>
  <c r="AF957" i="1" s="1"/>
  <c r="AB956" i="1"/>
  <c r="T956" i="1"/>
  <c r="AB955" i="1"/>
  <c r="T955" i="1"/>
  <c r="AB954" i="1"/>
  <c r="T954" i="1"/>
  <c r="AF954" i="1" s="1"/>
  <c r="AB953" i="1"/>
  <c r="T953" i="1"/>
  <c r="AF953" i="1" s="1"/>
  <c r="AB952" i="1"/>
  <c r="T952" i="1"/>
  <c r="AB951" i="1"/>
  <c r="T951" i="1"/>
  <c r="AB950" i="1"/>
  <c r="T950" i="1"/>
  <c r="AB949" i="1"/>
  <c r="T949" i="1"/>
  <c r="AF949" i="1" s="1"/>
  <c r="AB948" i="1"/>
  <c r="T948" i="1"/>
  <c r="AF948" i="1" s="1"/>
  <c r="AB947" i="1"/>
  <c r="T947" i="1"/>
  <c r="AB946" i="1"/>
  <c r="T946" i="1"/>
  <c r="AB945" i="1"/>
  <c r="T945" i="1"/>
  <c r="AF945" i="1" s="1"/>
  <c r="AB944" i="1"/>
  <c r="T944" i="1"/>
  <c r="AB943" i="1"/>
  <c r="T943" i="1"/>
  <c r="AB942" i="1"/>
  <c r="T942" i="1"/>
  <c r="AF942" i="1" s="1"/>
  <c r="AB941" i="1"/>
  <c r="T941" i="1"/>
  <c r="AB940" i="1"/>
  <c r="T940" i="1"/>
  <c r="AB939" i="1"/>
  <c r="T939" i="1"/>
  <c r="AB938" i="1"/>
  <c r="T938" i="1"/>
  <c r="AB937" i="1"/>
  <c r="T937" i="1"/>
  <c r="AF937" i="1" s="1"/>
  <c r="AB936" i="1"/>
  <c r="T936" i="1"/>
  <c r="AB935" i="1"/>
  <c r="T935" i="1"/>
  <c r="AB934" i="1"/>
  <c r="T934" i="1"/>
  <c r="AB933" i="1"/>
  <c r="T933" i="1"/>
  <c r="AF933" i="1" s="1"/>
  <c r="AB932" i="1"/>
  <c r="T932" i="1"/>
  <c r="AB931" i="1"/>
  <c r="T931" i="1"/>
  <c r="AB930" i="1"/>
  <c r="T930" i="1"/>
  <c r="AF930" i="1" s="1"/>
  <c r="AB929" i="1"/>
  <c r="T929" i="1"/>
  <c r="AF929" i="1" s="1"/>
  <c r="AB928" i="1"/>
  <c r="T928" i="1"/>
  <c r="AB927" i="1"/>
  <c r="T927" i="1"/>
  <c r="AB926" i="1"/>
  <c r="T926" i="1"/>
  <c r="AB925" i="1"/>
  <c r="T925" i="1"/>
  <c r="AF925" i="1" s="1"/>
  <c r="AB924" i="1"/>
  <c r="T924" i="1"/>
  <c r="AB923" i="1"/>
  <c r="T923" i="1"/>
  <c r="AB922" i="1"/>
  <c r="T922" i="1"/>
  <c r="AB921" i="1"/>
  <c r="T921" i="1"/>
  <c r="AF921" i="1" s="1"/>
  <c r="AB920" i="1"/>
  <c r="T920" i="1"/>
  <c r="AB919" i="1"/>
  <c r="T919" i="1"/>
  <c r="AB918" i="1"/>
  <c r="T918" i="1"/>
  <c r="AF918" i="1" s="1"/>
  <c r="AB917" i="1"/>
  <c r="T917" i="1"/>
  <c r="AF917" i="1" s="1"/>
  <c r="AB916" i="1"/>
  <c r="T916" i="1"/>
  <c r="AB915" i="1"/>
  <c r="T915" i="1"/>
  <c r="AB914" i="1"/>
  <c r="T914" i="1"/>
  <c r="AB913" i="1"/>
  <c r="T913" i="1"/>
  <c r="AF913" i="1" s="1"/>
  <c r="AB912" i="1"/>
  <c r="T912" i="1"/>
  <c r="AF912" i="1" s="1"/>
  <c r="AB911" i="1"/>
  <c r="T911" i="1"/>
  <c r="AB910" i="1"/>
  <c r="T910" i="1"/>
  <c r="AB909" i="1"/>
  <c r="T909" i="1"/>
  <c r="AF909" i="1" s="1"/>
  <c r="AB908" i="1"/>
  <c r="T908" i="1"/>
  <c r="AB907" i="1"/>
  <c r="T907" i="1"/>
  <c r="AB906" i="1"/>
  <c r="T906" i="1"/>
  <c r="AB905" i="1"/>
  <c r="T905" i="1"/>
  <c r="AF905" i="1" s="1"/>
  <c r="AB904" i="1"/>
  <c r="T904" i="1"/>
  <c r="AF904" i="1" s="1"/>
  <c r="AB903" i="1"/>
  <c r="T903" i="1"/>
  <c r="AB902" i="1"/>
  <c r="T902" i="1"/>
  <c r="AB901" i="1"/>
  <c r="T901" i="1"/>
  <c r="AF901" i="1" s="1"/>
  <c r="AB900" i="1"/>
  <c r="T900" i="1"/>
  <c r="AB899" i="1"/>
  <c r="T899" i="1"/>
  <c r="AB898" i="1"/>
  <c r="T898" i="1"/>
  <c r="AF898" i="1" s="1"/>
  <c r="AB897" i="1"/>
  <c r="T897" i="1"/>
  <c r="AF897" i="1" s="1"/>
  <c r="AB896" i="1"/>
  <c r="T896" i="1"/>
  <c r="AB895" i="1"/>
  <c r="T895" i="1"/>
  <c r="AB894" i="1"/>
  <c r="T894" i="1"/>
  <c r="AF894" i="1" s="1"/>
  <c r="AB893" i="1"/>
  <c r="T893" i="1"/>
  <c r="AF893" i="1" s="1"/>
  <c r="AB892" i="1"/>
  <c r="T892" i="1"/>
  <c r="AB891" i="1"/>
  <c r="T891" i="1"/>
  <c r="AB890" i="1"/>
  <c r="T890" i="1"/>
  <c r="AB889" i="1"/>
  <c r="T889" i="1"/>
  <c r="AF889" i="1" s="1"/>
  <c r="AB888" i="1"/>
  <c r="T888" i="1"/>
  <c r="AF888" i="1" s="1"/>
  <c r="AB887" i="1"/>
  <c r="T887" i="1"/>
  <c r="AB886" i="1"/>
  <c r="T886" i="1"/>
  <c r="AF886" i="1" s="1"/>
  <c r="AB885" i="1"/>
  <c r="T885" i="1"/>
  <c r="AF885" i="1" s="1"/>
  <c r="AB884" i="1"/>
  <c r="T884" i="1"/>
  <c r="AB883" i="1"/>
  <c r="T883" i="1"/>
  <c r="AB882" i="1"/>
  <c r="T882" i="1"/>
  <c r="AF882" i="1" s="1"/>
  <c r="AB881" i="1"/>
  <c r="T881" i="1"/>
  <c r="AF881" i="1" s="1"/>
  <c r="AB880" i="1"/>
  <c r="T880" i="1"/>
  <c r="AF880" i="1" s="1"/>
  <c r="AB879" i="1"/>
  <c r="T879" i="1"/>
  <c r="AB878" i="1"/>
  <c r="T878" i="1"/>
  <c r="AB877" i="1"/>
  <c r="T877" i="1"/>
  <c r="AF877" i="1" s="1"/>
  <c r="AB876" i="1"/>
  <c r="T876" i="1"/>
  <c r="AF876" i="1" s="1"/>
  <c r="AB875" i="1"/>
  <c r="T875" i="1"/>
  <c r="AB874" i="1"/>
  <c r="T874" i="1"/>
  <c r="AF874" i="1" s="1"/>
  <c r="AB873" i="1"/>
  <c r="T873" i="1"/>
  <c r="AF873" i="1" s="1"/>
  <c r="AB872" i="1"/>
  <c r="T872" i="1"/>
  <c r="AF872" i="1" s="1"/>
  <c r="AB871" i="1"/>
  <c r="T871" i="1"/>
  <c r="AB870" i="1"/>
  <c r="T870" i="1"/>
  <c r="AF870" i="1" s="1"/>
  <c r="AB869" i="1"/>
  <c r="T869" i="1"/>
  <c r="AF869" i="1" s="1"/>
  <c r="AB868" i="1"/>
  <c r="T868" i="1"/>
  <c r="AB867" i="1"/>
  <c r="T867" i="1"/>
  <c r="AB866" i="1"/>
  <c r="T866" i="1"/>
  <c r="AF866" i="1" s="1"/>
  <c r="AB865" i="1"/>
  <c r="T865" i="1"/>
  <c r="AF865" i="1" s="1"/>
  <c r="AB864" i="1"/>
  <c r="T864" i="1"/>
  <c r="AF864" i="1" s="1"/>
  <c r="AB863" i="1"/>
  <c r="T863" i="1"/>
  <c r="AB862" i="1"/>
  <c r="T862" i="1"/>
  <c r="AF862" i="1" s="1"/>
  <c r="AB861" i="1"/>
  <c r="T861" i="1"/>
  <c r="AF861" i="1" s="1"/>
  <c r="AB860" i="1"/>
  <c r="T860" i="1"/>
  <c r="AF860" i="1" s="1"/>
  <c r="AB859" i="1"/>
  <c r="T859" i="1"/>
  <c r="AB858" i="1"/>
  <c r="T858" i="1"/>
  <c r="AF858" i="1" s="1"/>
  <c r="AB857" i="1"/>
  <c r="T857" i="1"/>
  <c r="AF857" i="1" s="1"/>
  <c r="AB856" i="1"/>
  <c r="T856" i="1"/>
  <c r="AF856" i="1" s="1"/>
  <c r="AB855" i="1"/>
  <c r="T855" i="1"/>
  <c r="AB854" i="1"/>
  <c r="T854" i="1"/>
  <c r="AB853" i="1"/>
  <c r="T853" i="1"/>
  <c r="AB852" i="1"/>
  <c r="T852" i="1"/>
  <c r="AF852" i="1" s="1"/>
  <c r="AB851" i="1"/>
  <c r="T851" i="1"/>
  <c r="AB850" i="1"/>
  <c r="T850" i="1"/>
  <c r="AF850" i="1" s="1"/>
  <c r="AB849" i="1"/>
  <c r="T849" i="1"/>
  <c r="AF849" i="1" s="1"/>
  <c r="AB848" i="1"/>
  <c r="T848" i="1"/>
  <c r="AF848" i="1" s="1"/>
  <c r="AB847" i="1"/>
  <c r="T847" i="1"/>
  <c r="AB846" i="1"/>
  <c r="T846" i="1"/>
  <c r="AB845" i="1"/>
  <c r="T845" i="1"/>
  <c r="AB844" i="1"/>
  <c r="T844" i="1"/>
  <c r="AF844" i="1" s="1"/>
  <c r="AB843" i="1"/>
  <c r="T843" i="1"/>
  <c r="AB842" i="1"/>
  <c r="T842" i="1"/>
  <c r="AF842" i="1" s="1"/>
  <c r="AB841" i="1"/>
  <c r="T841" i="1"/>
  <c r="AF841" i="1" s="1"/>
  <c r="AB840" i="1"/>
  <c r="T840" i="1"/>
  <c r="AF840" i="1" s="1"/>
  <c r="AB839" i="1"/>
  <c r="T839" i="1"/>
  <c r="AB838" i="1"/>
  <c r="T838" i="1"/>
  <c r="AF838" i="1" s="1"/>
  <c r="AB837" i="1"/>
  <c r="T837" i="1"/>
  <c r="AF837" i="1" s="1"/>
  <c r="AB836" i="1"/>
  <c r="T836" i="1"/>
  <c r="AB835" i="1"/>
  <c r="T835" i="1"/>
  <c r="AB834" i="1"/>
  <c r="T834" i="1"/>
  <c r="AF834" i="1" s="1"/>
  <c r="AB833" i="1"/>
  <c r="T833" i="1"/>
  <c r="AB832" i="1"/>
  <c r="T832" i="1"/>
  <c r="AF832" i="1" s="1"/>
  <c r="AB831" i="1"/>
  <c r="T831" i="1"/>
  <c r="AB830" i="1"/>
  <c r="T830" i="1"/>
  <c r="AB829" i="1"/>
  <c r="T829" i="1"/>
  <c r="AB828" i="1"/>
  <c r="T828" i="1"/>
  <c r="AF828" i="1" s="1"/>
  <c r="AB827" i="1"/>
  <c r="T827" i="1"/>
  <c r="AF827" i="1" s="1"/>
  <c r="AB826" i="1"/>
  <c r="T826" i="1"/>
  <c r="AF826" i="1" s="1"/>
  <c r="AB825" i="1"/>
  <c r="T825" i="1"/>
  <c r="AF825" i="1" s="1"/>
  <c r="AB824" i="1"/>
  <c r="T824" i="1"/>
  <c r="AF824" i="1" s="1"/>
  <c r="AB823" i="1"/>
  <c r="T823" i="1"/>
  <c r="AB822" i="1"/>
  <c r="T822" i="1"/>
  <c r="AB821" i="1"/>
  <c r="T821" i="1"/>
  <c r="AB820" i="1"/>
  <c r="T820" i="1"/>
  <c r="AF820" i="1" s="1"/>
  <c r="AB819" i="1"/>
  <c r="T819" i="1"/>
  <c r="AB818" i="1"/>
  <c r="T818" i="1"/>
  <c r="AF818" i="1" s="1"/>
  <c r="AB817" i="1"/>
  <c r="T817" i="1"/>
  <c r="AB816" i="1"/>
  <c r="T816" i="1"/>
  <c r="AF816" i="1" s="1"/>
  <c r="AB815" i="1"/>
  <c r="T815" i="1"/>
  <c r="AB814" i="1"/>
  <c r="T814" i="1"/>
  <c r="AB813" i="1"/>
  <c r="T813" i="1"/>
  <c r="AF813" i="1" s="1"/>
  <c r="AB812" i="1"/>
  <c r="T812" i="1"/>
  <c r="AB811" i="1"/>
  <c r="T811" i="1"/>
  <c r="AB810" i="1"/>
  <c r="T810" i="1"/>
  <c r="AB809" i="1"/>
  <c r="T809" i="1"/>
  <c r="AB808" i="1"/>
  <c r="T808" i="1"/>
  <c r="AF808" i="1" s="1"/>
  <c r="AB807" i="1"/>
  <c r="T807" i="1"/>
  <c r="AB806" i="1"/>
  <c r="T806" i="1"/>
  <c r="AB805" i="1"/>
  <c r="T805" i="1"/>
  <c r="AF805" i="1" s="1"/>
  <c r="AB804" i="1"/>
  <c r="T804" i="1"/>
  <c r="AB803" i="1"/>
  <c r="T803" i="1"/>
  <c r="AB802" i="1"/>
  <c r="T802" i="1"/>
  <c r="AB801" i="1"/>
  <c r="T801" i="1"/>
  <c r="AB800" i="1"/>
  <c r="T800" i="1"/>
  <c r="AB799" i="1"/>
  <c r="T799" i="1"/>
  <c r="AB798" i="1"/>
  <c r="T798" i="1"/>
  <c r="AB797" i="1"/>
  <c r="T797" i="1"/>
  <c r="AB796" i="1"/>
  <c r="T796" i="1"/>
  <c r="AB795" i="1"/>
  <c r="T795" i="1"/>
  <c r="AF795" i="1" s="1"/>
  <c r="AB794" i="1"/>
  <c r="T794" i="1"/>
  <c r="AB793" i="1"/>
  <c r="T793" i="1"/>
  <c r="AB792" i="1"/>
  <c r="T792" i="1"/>
  <c r="AB791" i="1"/>
  <c r="T791" i="1"/>
  <c r="AF791" i="1" s="1"/>
  <c r="AB790" i="1"/>
  <c r="T790" i="1"/>
  <c r="AB789" i="1"/>
  <c r="T789" i="1"/>
  <c r="AB788" i="1"/>
  <c r="T788" i="1"/>
  <c r="AB787" i="1"/>
  <c r="T787" i="1"/>
  <c r="AF787" i="1" s="1"/>
  <c r="AB786" i="1"/>
  <c r="T786" i="1"/>
  <c r="AB785" i="1"/>
  <c r="T785" i="1"/>
  <c r="AF785" i="1" s="1"/>
  <c r="AB784" i="1"/>
  <c r="T784" i="1"/>
  <c r="AF784" i="1" s="1"/>
  <c r="AB783" i="1"/>
  <c r="T783" i="1"/>
  <c r="AB782" i="1"/>
  <c r="T782" i="1"/>
  <c r="AF782" i="1" s="1"/>
  <c r="AB781" i="1"/>
  <c r="T781" i="1"/>
  <c r="AB780" i="1"/>
  <c r="T780" i="1"/>
  <c r="AB779" i="1"/>
  <c r="T779" i="1"/>
  <c r="AF779" i="1" s="1"/>
  <c r="AB778" i="1"/>
  <c r="T778" i="1"/>
  <c r="AF778" i="1" s="1"/>
  <c r="AB777" i="1"/>
  <c r="T777" i="1"/>
  <c r="AF777" i="1" s="1"/>
  <c r="AB776" i="1"/>
  <c r="T776" i="1"/>
  <c r="AB775" i="1"/>
  <c r="T775" i="1"/>
  <c r="AB774" i="1"/>
  <c r="T774" i="1"/>
  <c r="AF774" i="1" s="1"/>
  <c r="AB773" i="1"/>
  <c r="T773" i="1"/>
  <c r="AF773" i="1" s="1"/>
  <c r="AB772" i="1"/>
  <c r="T772" i="1"/>
  <c r="AF772" i="1" s="1"/>
  <c r="AB771" i="1"/>
  <c r="T771" i="1"/>
  <c r="AB770" i="1"/>
  <c r="T770" i="1"/>
  <c r="AF770" i="1" s="1"/>
  <c r="AB769" i="1"/>
  <c r="T769" i="1"/>
  <c r="AF769" i="1" s="1"/>
  <c r="AB768" i="1"/>
  <c r="T768" i="1"/>
  <c r="AB767" i="1"/>
  <c r="T767" i="1"/>
  <c r="AB766" i="1"/>
  <c r="T766" i="1"/>
  <c r="AF766" i="1" s="1"/>
  <c r="AB765" i="1"/>
  <c r="T765" i="1"/>
  <c r="AB764" i="1"/>
  <c r="T764" i="1"/>
  <c r="AF764" i="1" s="1"/>
  <c r="AB763" i="1"/>
  <c r="T763" i="1"/>
  <c r="AB762" i="1"/>
  <c r="T762" i="1"/>
  <c r="AF762" i="1" s="1"/>
  <c r="AB761" i="1"/>
  <c r="T761" i="1"/>
  <c r="AF761" i="1" s="1"/>
  <c r="AB760" i="1"/>
  <c r="T760" i="1"/>
  <c r="AB759" i="1"/>
  <c r="T759" i="1"/>
  <c r="AF759" i="1" s="1"/>
  <c r="AB758" i="1"/>
  <c r="T758" i="1"/>
  <c r="AF758" i="1" s="1"/>
  <c r="AB757" i="1"/>
  <c r="T757" i="1"/>
  <c r="AB756" i="1"/>
  <c r="T756" i="1"/>
  <c r="AB755" i="1"/>
  <c r="T755" i="1"/>
  <c r="AF755" i="1" s="1"/>
  <c r="AB754" i="1"/>
  <c r="T754" i="1"/>
  <c r="AF754" i="1" s="1"/>
  <c r="AB753" i="1"/>
  <c r="T753" i="1"/>
  <c r="AB752" i="1"/>
  <c r="T752" i="1"/>
  <c r="AB751" i="1"/>
  <c r="T751" i="1"/>
  <c r="AB750" i="1"/>
  <c r="T750" i="1"/>
  <c r="AB749" i="1"/>
  <c r="T749" i="1"/>
  <c r="AF749" i="1" s="1"/>
  <c r="AB748" i="1"/>
  <c r="T748" i="1"/>
  <c r="AB747" i="1"/>
  <c r="T747" i="1"/>
  <c r="AF747" i="1" s="1"/>
  <c r="AB746" i="1"/>
  <c r="T746" i="1"/>
  <c r="AF746" i="1" s="1"/>
  <c r="AB745" i="1"/>
  <c r="T745" i="1"/>
  <c r="AB744" i="1"/>
  <c r="T744" i="1"/>
  <c r="AB743" i="1"/>
  <c r="T743" i="1"/>
  <c r="AB742" i="1"/>
  <c r="T742" i="1"/>
  <c r="AB741" i="1"/>
  <c r="T741" i="1"/>
  <c r="AF741" i="1" s="1"/>
  <c r="AB740" i="1"/>
  <c r="T740" i="1"/>
  <c r="AF740" i="1" s="1"/>
  <c r="AB739" i="1"/>
  <c r="T739" i="1"/>
  <c r="AF739" i="1" s="1"/>
  <c r="AB738" i="1"/>
  <c r="T738" i="1"/>
  <c r="AF738" i="1" s="1"/>
  <c r="AB737" i="1"/>
  <c r="T737" i="1"/>
  <c r="AF737" i="1" s="1"/>
  <c r="AB736" i="1"/>
  <c r="T736" i="1"/>
  <c r="AB735" i="1"/>
  <c r="T735" i="1"/>
  <c r="AF735" i="1" s="1"/>
  <c r="AB734" i="1"/>
  <c r="T734" i="1"/>
  <c r="AF734" i="1" s="1"/>
  <c r="AB733" i="1"/>
  <c r="T733" i="1"/>
  <c r="AF733" i="1" s="1"/>
  <c r="AB732" i="1"/>
  <c r="T732" i="1"/>
  <c r="AB731" i="1"/>
  <c r="T731" i="1"/>
  <c r="AB730" i="1"/>
  <c r="T730" i="1"/>
  <c r="AF730" i="1" s="1"/>
  <c r="AB729" i="1"/>
  <c r="T729" i="1"/>
  <c r="AB728" i="1"/>
  <c r="T728" i="1"/>
  <c r="AB727" i="1"/>
  <c r="T727" i="1"/>
  <c r="AF727" i="1" s="1"/>
  <c r="AB726" i="1"/>
  <c r="T726" i="1"/>
  <c r="AB725" i="1"/>
  <c r="T725" i="1"/>
  <c r="AB724" i="1"/>
  <c r="T724" i="1"/>
  <c r="AF724" i="1" s="1"/>
  <c r="AB723" i="1"/>
  <c r="T723" i="1"/>
  <c r="AF723" i="1" s="1"/>
  <c r="AB722" i="1"/>
  <c r="T722" i="1"/>
  <c r="AF722" i="1" s="1"/>
  <c r="AB721" i="1"/>
  <c r="T721" i="1"/>
  <c r="AF721" i="1" s="1"/>
  <c r="AB720" i="1"/>
  <c r="T720" i="1"/>
  <c r="AB719" i="1"/>
  <c r="T719" i="1"/>
  <c r="AB718" i="1"/>
  <c r="T718" i="1"/>
  <c r="AF718" i="1" s="1"/>
  <c r="AB717" i="1"/>
  <c r="T717" i="1"/>
  <c r="AF717" i="1" s="1"/>
  <c r="AB716" i="1"/>
  <c r="T716" i="1"/>
  <c r="AF716" i="1" s="1"/>
  <c r="AB715" i="1"/>
  <c r="T715" i="1"/>
  <c r="AF715" i="1" s="1"/>
  <c r="AB714" i="1"/>
  <c r="T714" i="1"/>
  <c r="AF714" i="1" s="1"/>
  <c r="AB713" i="1"/>
  <c r="T713" i="1"/>
  <c r="AF713" i="1" s="1"/>
  <c r="AB712" i="1"/>
  <c r="T712" i="1"/>
  <c r="AB711" i="1"/>
  <c r="T711" i="1"/>
  <c r="AB710" i="1"/>
  <c r="T710" i="1"/>
  <c r="AB709" i="1"/>
  <c r="T709" i="1"/>
  <c r="AB708" i="1"/>
  <c r="T708" i="1"/>
  <c r="AB707" i="1"/>
  <c r="T707" i="1"/>
  <c r="AF707" i="1" s="1"/>
  <c r="AB706" i="1"/>
  <c r="T706" i="1"/>
  <c r="AF706" i="1" s="1"/>
  <c r="AB705" i="1"/>
  <c r="T705" i="1"/>
  <c r="AB704" i="1"/>
  <c r="T704" i="1"/>
  <c r="AB703" i="1"/>
  <c r="T703" i="1"/>
  <c r="AB702" i="1"/>
  <c r="T702" i="1"/>
  <c r="AB701" i="1"/>
  <c r="T701" i="1"/>
  <c r="AF701" i="1" s="1"/>
  <c r="AB700" i="1"/>
  <c r="T700" i="1"/>
  <c r="AB699" i="1"/>
  <c r="T699" i="1"/>
  <c r="AF699" i="1" s="1"/>
  <c r="AB698" i="1"/>
  <c r="T698" i="1"/>
  <c r="AB697" i="1"/>
  <c r="T697" i="1"/>
  <c r="AB696" i="1"/>
  <c r="T696" i="1"/>
  <c r="AB695" i="1"/>
  <c r="T695" i="1"/>
  <c r="AB694" i="1"/>
  <c r="T694" i="1"/>
  <c r="AB693" i="1"/>
  <c r="T693" i="1"/>
  <c r="AF693" i="1" s="1"/>
  <c r="AB692" i="1"/>
  <c r="T692" i="1"/>
  <c r="AB691" i="1"/>
  <c r="T691" i="1"/>
  <c r="AF691" i="1" s="1"/>
  <c r="AB690" i="1"/>
  <c r="T690" i="1"/>
  <c r="AF690" i="1" s="1"/>
  <c r="AB689" i="1"/>
  <c r="T689" i="1"/>
  <c r="AF689" i="1" s="1"/>
  <c r="AB688" i="1"/>
  <c r="T688" i="1"/>
  <c r="AB687" i="1"/>
  <c r="T687" i="1"/>
  <c r="AF687" i="1" s="1"/>
  <c r="AB686" i="1"/>
  <c r="T686" i="1"/>
  <c r="AF686" i="1" s="1"/>
  <c r="AB685" i="1"/>
  <c r="T685" i="1"/>
  <c r="AF685" i="1" s="1"/>
  <c r="AB684" i="1"/>
  <c r="T684" i="1"/>
  <c r="AB683" i="1"/>
  <c r="T683" i="1"/>
  <c r="AF683" i="1" s="1"/>
  <c r="AB682" i="1"/>
  <c r="T682" i="1"/>
  <c r="AF682" i="1" s="1"/>
  <c r="AB681" i="1"/>
  <c r="T681" i="1"/>
  <c r="AF681" i="1" s="1"/>
  <c r="AB680" i="1"/>
  <c r="T680" i="1"/>
  <c r="AB679" i="1"/>
  <c r="T679" i="1"/>
  <c r="AF679" i="1" s="1"/>
  <c r="AB678" i="1"/>
  <c r="T678" i="1"/>
  <c r="AB677" i="1"/>
  <c r="T677" i="1"/>
  <c r="AB676" i="1"/>
  <c r="T676" i="1"/>
  <c r="AB675" i="1"/>
  <c r="T675" i="1"/>
  <c r="AF675" i="1" s="1"/>
  <c r="AB674" i="1"/>
  <c r="T674" i="1"/>
  <c r="AF674" i="1" s="1"/>
  <c r="AB673" i="1"/>
  <c r="T673" i="1"/>
  <c r="AB672" i="1"/>
  <c r="T672" i="1"/>
  <c r="AB671" i="1"/>
  <c r="T671" i="1"/>
  <c r="AF671" i="1" s="1"/>
  <c r="AB670" i="1"/>
  <c r="T670" i="1"/>
  <c r="AB669" i="1"/>
  <c r="T669" i="1"/>
  <c r="AF669" i="1" s="1"/>
  <c r="AB668" i="1"/>
  <c r="T668" i="1"/>
  <c r="AB667" i="1"/>
  <c r="T667" i="1"/>
  <c r="AF667" i="1" s="1"/>
  <c r="AB666" i="1"/>
  <c r="T666" i="1"/>
  <c r="AF666" i="1" s="1"/>
  <c r="AB665" i="1"/>
  <c r="T665" i="1"/>
  <c r="AF665" i="1" s="1"/>
  <c r="AB664" i="1"/>
  <c r="T664" i="1"/>
  <c r="AB663" i="1"/>
  <c r="T663" i="1"/>
  <c r="AB662" i="1"/>
  <c r="T662" i="1"/>
  <c r="AB661" i="1"/>
  <c r="T661" i="1"/>
  <c r="AB660" i="1"/>
  <c r="T660" i="1"/>
  <c r="AF660" i="1" s="1"/>
  <c r="AB659" i="1"/>
  <c r="T659" i="1"/>
  <c r="AF659" i="1" s="1"/>
  <c r="AB658" i="1"/>
  <c r="T658" i="1"/>
  <c r="AF658" i="1" s="1"/>
  <c r="AB657" i="1"/>
  <c r="T657" i="1"/>
  <c r="AF657" i="1" s="1"/>
  <c r="AB656" i="1"/>
  <c r="T656" i="1"/>
  <c r="AB655" i="1"/>
  <c r="T655" i="1"/>
  <c r="AB654" i="1"/>
  <c r="T654" i="1"/>
  <c r="AF654" i="1" s="1"/>
  <c r="AB653" i="1"/>
  <c r="T653" i="1"/>
  <c r="AF653" i="1" s="1"/>
  <c r="AB652" i="1"/>
  <c r="T652" i="1"/>
  <c r="AF652" i="1" s="1"/>
  <c r="AB651" i="1"/>
  <c r="T651" i="1"/>
  <c r="AF651" i="1" s="1"/>
  <c r="AB650" i="1"/>
  <c r="T650" i="1"/>
  <c r="AF650" i="1" s="1"/>
  <c r="AB649" i="1"/>
  <c r="T649" i="1"/>
  <c r="AF649" i="1" s="1"/>
  <c r="AB648" i="1"/>
  <c r="T648" i="1"/>
  <c r="AB647" i="1"/>
  <c r="T647" i="1"/>
  <c r="AB646" i="1"/>
  <c r="T646" i="1"/>
  <c r="AB645" i="1"/>
  <c r="T645" i="1"/>
  <c r="AF645" i="1" s="1"/>
  <c r="AB644" i="1"/>
  <c r="T644" i="1"/>
  <c r="AF644" i="1" s="1"/>
  <c r="AB643" i="1"/>
  <c r="T643" i="1"/>
  <c r="AF643" i="1" s="1"/>
  <c r="AB642" i="1"/>
  <c r="T642" i="1"/>
  <c r="AF642" i="1" s="1"/>
  <c r="AB641" i="1"/>
  <c r="T641" i="1"/>
  <c r="AF641" i="1" s="1"/>
  <c r="AB640" i="1"/>
  <c r="T640" i="1"/>
  <c r="AB639" i="1"/>
  <c r="T639" i="1"/>
  <c r="AB638" i="1"/>
  <c r="T638" i="1"/>
  <c r="AB637" i="1"/>
  <c r="T637" i="1"/>
  <c r="AF637" i="1" s="1"/>
  <c r="AB636" i="1"/>
  <c r="T636" i="1"/>
  <c r="AF636" i="1" s="1"/>
  <c r="AB635" i="1"/>
  <c r="T635" i="1"/>
  <c r="AF635" i="1" s="1"/>
  <c r="AB634" i="1"/>
  <c r="T634" i="1"/>
  <c r="AF634" i="1" s="1"/>
  <c r="AB633" i="1"/>
  <c r="T633" i="1"/>
  <c r="AF633" i="1" s="1"/>
  <c r="AB632" i="1"/>
  <c r="T632" i="1"/>
  <c r="AB631" i="1"/>
  <c r="T631" i="1"/>
  <c r="AB630" i="1"/>
  <c r="T630" i="1"/>
  <c r="AF630" i="1" s="1"/>
  <c r="AB629" i="1"/>
  <c r="T629" i="1"/>
  <c r="AF629" i="1" s="1"/>
  <c r="AB628" i="1"/>
  <c r="T628" i="1"/>
  <c r="AB627" i="1"/>
  <c r="T627" i="1"/>
  <c r="AF627" i="1" s="1"/>
  <c r="AB626" i="1"/>
  <c r="T626" i="1"/>
  <c r="AF626" i="1" s="1"/>
  <c r="AB625" i="1"/>
  <c r="T625" i="1"/>
  <c r="AF625" i="1" s="1"/>
  <c r="AB624" i="1"/>
  <c r="T624" i="1"/>
  <c r="AB623" i="1"/>
  <c r="T623" i="1"/>
  <c r="AB622" i="1"/>
  <c r="T622" i="1"/>
  <c r="AB621" i="1"/>
  <c r="T621" i="1"/>
  <c r="AF621" i="1" s="1"/>
  <c r="AB620" i="1"/>
  <c r="T620" i="1"/>
  <c r="AF620" i="1" s="1"/>
  <c r="AB619" i="1"/>
  <c r="T619" i="1"/>
  <c r="AF619" i="1" s="1"/>
  <c r="AB618" i="1"/>
  <c r="T618" i="1"/>
  <c r="AF618" i="1" s="1"/>
  <c r="AB617" i="1"/>
  <c r="T617" i="1"/>
  <c r="AB616" i="1"/>
  <c r="T616" i="1"/>
  <c r="AB615" i="1"/>
  <c r="T615" i="1"/>
  <c r="AF615" i="1" s="1"/>
  <c r="AB614" i="1"/>
  <c r="T614" i="1"/>
  <c r="AB613" i="1"/>
  <c r="T613" i="1"/>
  <c r="AF613" i="1" s="1"/>
  <c r="AB612" i="1"/>
  <c r="T612" i="1"/>
  <c r="AF612" i="1" s="1"/>
  <c r="AB611" i="1"/>
  <c r="T611" i="1"/>
  <c r="AF611" i="1" s="1"/>
  <c r="AB610" i="1"/>
  <c r="T610" i="1"/>
  <c r="AF610" i="1" s="1"/>
  <c r="AB609" i="1"/>
  <c r="T609" i="1"/>
  <c r="AB608" i="1"/>
  <c r="T608" i="1"/>
  <c r="AB607" i="1"/>
  <c r="T607" i="1"/>
  <c r="AB606" i="1"/>
  <c r="T606" i="1"/>
  <c r="AB605" i="1"/>
  <c r="T605" i="1"/>
  <c r="AF605" i="1" s="1"/>
  <c r="AB604" i="1"/>
  <c r="T604" i="1"/>
  <c r="AF604" i="1" s="1"/>
  <c r="AB603" i="1"/>
  <c r="T603" i="1"/>
  <c r="AF603" i="1" s="1"/>
  <c r="AB602" i="1"/>
  <c r="T602" i="1"/>
  <c r="AF602" i="1" s="1"/>
  <c r="AB601" i="1"/>
  <c r="T601" i="1"/>
  <c r="AB600" i="1"/>
  <c r="T600" i="1"/>
  <c r="AB599" i="1"/>
  <c r="T599" i="1"/>
  <c r="AB598" i="1"/>
  <c r="T598" i="1"/>
  <c r="AB597" i="1"/>
  <c r="T597" i="1"/>
  <c r="AF597" i="1" s="1"/>
  <c r="AB596" i="1"/>
  <c r="T596" i="1"/>
  <c r="AB595" i="1"/>
  <c r="T595" i="1"/>
  <c r="AF595" i="1" s="1"/>
  <c r="AB594" i="1"/>
  <c r="T594" i="1"/>
  <c r="AB593" i="1"/>
  <c r="T593" i="1"/>
  <c r="AB592" i="1"/>
  <c r="T592" i="1"/>
  <c r="AB591" i="1"/>
  <c r="T591" i="1"/>
  <c r="AB590" i="1"/>
  <c r="T590" i="1"/>
  <c r="AB589" i="1"/>
  <c r="T589" i="1"/>
  <c r="AF589" i="1" s="1"/>
  <c r="AB588" i="1"/>
  <c r="T588" i="1"/>
  <c r="AF588" i="1" s="1"/>
  <c r="AB587" i="1"/>
  <c r="T587" i="1"/>
  <c r="AF587" i="1" s="1"/>
  <c r="AB586" i="1"/>
  <c r="T586" i="1"/>
  <c r="AF586" i="1" s="1"/>
  <c r="AB585" i="1"/>
  <c r="T585" i="1"/>
  <c r="AB584" i="1"/>
  <c r="T584" i="1"/>
  <c r="AF584" i="1" s="1"/>
  <c r="AB583" i="1"/>
  <c r="T583" i="1"/>
  <c r="AB582" i="1"/>
  <c r="T582" i="1"/>
  <c r="AF582" i="1" s="1"/>
  <c r="AB581" i="1"/>
  <c r="T581" i="1"/>
  <c r="AF581" i="1" s="1"/>
  <c r="AB580" i="1"/>
  <c r="T580" i="1"/>
  <c r="AF580" i="1" s="1"/>
  <c r="AB579" i="1"/>
  <c r="T579" i="1"/>
  <c r="AF579" i="1" s="1"/>
  <c r="AB578" i="1"/>
  <c r="T578" i="1"/>
  <c r="AB577" i="1"/>
  <c r="T577" i="1"/>
  <c r="AB576" i="1"/>
  <c r="T576" i="1"/>
  <c r="AB575" i="1"/>
  <c r="T575" i="1"/>
  <c r="AB574" i="1"/>
  <c r="T574" i="1"/>
  <c r="AB573" i="1"/>
  <c r="T573" i="1"/>
  <c r="AF573" i="1" s="1"/>
  <c r="AB572" i="1"/>
  <c r="T572" i="1"/>
  <c r="AF572" i="1" s="1"/>
  <c r="AB571" i="1"/>
  <c r="T571" i="1"/>
  <c r="AF571" i="1" s="1"/>
  <c r="AB570" i="1"/>
  <c r="T570" i="1"/>
  <c r="AF570" i="1" s="1"/>
  <c r="AB569" i="1"/>
  <c r="T569" i="1"/>
  <c r="AF569" i="1" s="1"/>
  <c r="AB568" i="1"/>
  <c r="T568" i="1"/>
  <c r="AF568" i="1" s="1"/>
  <c r="AB567" i="1"/>
  <c r="T567" i="1"/>
  <c r="AB566" i="1"/>
  <c r="T566" i="1"/>
  <c r="AB565" i="1"/>
  <c r="T565" i="1"/>
  <c r="AF565" i="1" s="1"/>
  <c r="AB564" i="1"/>
  <c r="T564" i="1"/>
  <c r="AF564" i="1" s="1"/>
  <c r="AB563" i="1"/>
  <c r="T563" i="1"/>
  <c r="AF563" i="1" s="1"/>
  <c r="AB562" i="1"/>
  <c r="T562" i="1"/>
  <c r="AB561" i="1"/>
  <c r="T561" i="1"/>
  <c r="AF561" i="1" s="1"/>
  <c r="AB560" i="1"/>
  <c r="T560" i="1"/>
  <c r="AB559" i="1"/>
  <c r="T559" i="1"/>
  <c r="AB558" i="1"/>
  <c r="T558" i="1"/>
  <c r="AF558" i="1" s="1"/>
  <c r="AB557" i="1"/>
  <c r="T557" i="1"/>
  <c r="AF557" i="1" s="1"/>
  <c r="AB556" i="1"/>
  <c r="T556" i="1"/>
  <c r="AB555" i="1"/>
  <c r="T555" i="1"/>
  <c r="AB554" i="1"/>
  <c r="T554" i="1"/>
  <c r="AF554" i="1" s="1"/>
  <c r="AB553" i="1"/>
  <c r="T553" i="1"/>
  <c r="AB552" i="1"/>
  <c r="T552" i="1"/>
  <c r="AB551" i="1"/>
  <c r="T551" i="1"/>
  <c r="AF551" i="1" s="1"/>
  <c r="AB550" i="1"/>
  <c r="T550" i="1"/>
  <c r="AF550" i="1" s="1"/>
  <c r="AB549" i="1"/>
  <c r="T549" i="1"/>
  <c r="AF549" i="1" s="1"/>
  <c r="AB548" i="1"/>
  <c r="T548" i="1"/>
  <c r="AB547" i="1"/>
  <c r="T547" i="1"/>
  <c r="AF547" i="1" s="1"/>
  <c r="AB546" i="1"/>
  <c r="T546" i="1"/>
  <c r="AB545" i="1"/>
  <c r="T545" i="1"/>
  <c r="AF545" i="1" s="1"/>
  <c r="AB544" i="1"/>
  <c r="T544" i="1"/>
  <c r="AB543" i="1"/>
  <c r="T543" i="1"/>
  <c r="AB542" i="1"/>
  <c r="T542" i="1"/>
  <c r="AB541" i="1"/>
  <c r="T541" i="1"/>
  <c r="AF541" i="1" s="1"/>
  <c r="AB540" i="1"/>
  <c r="T540" i="1"/>
  <c r="AF540" i="1" s="1"/>
  <c r="AB539" i="1"/>
  <c r="T539" i="1"/>
  <c r="AF539" i="1" s="1"/>
  <c r="AB538" i="1"/>
  <c r="T538" i="1"/>
  <c r="AF538" i="1" s="1"/>
  <c r="AB537" i="1"/>
  <c r="T537" i="1"/>
  <c r="AB536" i="1"/>
  <c r="T536" i="1"/>
  <c r="AB535" i="1"/>
  <c r="T535" i="1"/>
  <c r="AF535" i="1" s="1"/>
  <c r="AB534" i="1"/>
  <c r="T534" i="1"/>
  <c r="AF534" i="1" s="1"/>
  <c r="AB533" i="1"/>
  <c r="T533" i="1"/>
  <c r="AF533" i="1" s="1"/>
  <c r="AB532" i="1"/>
  <c r="T532" i="1"/>
  <c r="AB531" i="1"/>
  <c r="T531" i="1"/>
  <c r="AF531" i="1" s="1"/>
  <c r="AB530" i="1"/>
  <c r="T530" i="1"/>
  <c r="AB529" i="1"/>
  <c r="T529" i="1"/>
  <c r="AB528" i="1"/>
  <c r="T528" i="1"/>
  <c r="AB527" i="1"/>
  <c r="T527" i="1"/>
  <c r="AB526" i="1"/>
  <c r="T526" i="1"/>
  <c r="AF526" i="1" s="1"/>
  <c r="AB525" i="1"/>
  <c r="T525" i="1"/>
  <c r="AF525" i="1" s="1"/>
  <c r="AB524" i="1"/>
  <c r="T524" i="1"/>
  <c r="AF524" i="1" s="1"/>
  <c r="AB523" i="1"/>
  <c r="T523" i="1"/>
  <c r="AB522" i="1"/>
  <c r="T522" i="1"/>
  <c r="AF522" i="1" s="1"/>
  <c r="AB521" i="1"/>
  <c r="T521" i="1"/>
  <c r="AF521" i="1" s="1"/>
  <c r="AB520" i="1"/>
  <c r="T520" i="1"/>
  <c r="AB519" i="1"/>
  <c r="T519" i="1"/>
  <c r="AF519" i="1" s="1"/>
  <c r="AB518" i="1"/>
  <c r="T518" i="1"/>
  <c r="AF518" i="1" s="1"/>
  <c r="AB517" i="1"/>
  <c r="T517" i="1"/>
  <c r="AF517" i="1" s="1"/>
  <c r="AB516" i="1"/>
  <c r="T516" i="1"/>
  <c r="AF516" i="1" s="1"/>
  <c r="AB515" i="1"/>
  <c r="T515" i="1"/>
  <c r="AF515" i="1" s="1"/>
  <c r="AB514" i="1"/>
  <c r="T514" i="1"/>
  <c r="AB513" i="1"/>
  <c r="T513" i="1"/>
  <c r="AF513" i="1" s="1"/>
  <c r="AB512" i="1"/>
  <c r="T512" i="1"/>
  <c r="AB511" i="1"/>
  <c r="T511" i="1"/>
  <c r="AB510" i="1"/>
  <c r="T510" i="1"/>
  <c r="AF510" i="1" s="1"/>
  <c r="AB509" i="1"/>
  <c r="T509" i="1"/>
  <c r="AF509" i="1" s="1"/>
  <c r="AB508" i="1"/>
  <c r="T508" i="1"/>
  <c r="AB507" i="1"/>
  <c r="T507" i="1"/>
  <c r="AB506" i="1"/>
  <c r="T506" i="1"/>
  <c r="AF506" i="1" s="1"/>
  <c r="AB505" i="1"/>
  <c r="T505" i="1"/>
  <c r="AB504" i="1"/>
  <c r="T504" i="1"/>
  <c r="AB503" i="1"/>
  <c r="T503" i="1"/>
  <c r="AB502" i="1"/>
  <c r="T502" i="1"/>
  <c r="AF502" i="1" s="1"/>
  <c r="AB501" i="1"/>
  <c r="T501" i="1"/>
  <c r="AF501" i="1" s="1"/>
  <c r="AB500" i="1"/>
  <c r="T500" i="1"/>
  <c r="AF500" i="1" s="1"/>
  <c r="AB499" i="1"/>
  <c r="T499" i="1"/>
  <c r="AF499" i="1" s="1"/>
  <c r="AB498" i="1"/>
  <c r="T498" i="1"/>
  <c r="AB497" i="1"/>
  <c r="T497" i="1"/>
  <c r="AF497" i="1" s="1"/>
  <c r="AB496" i="1"/>
  <c r="T496" i="1"/>
  <c r="AB495" i="1"/>
  <c r="T495" i="1"/>
  <c r="AF495" i="1" s="1"/>
  <c r="AB494" i="1"/>
  <c r="T494" i="1"/>
  <c r="AF494" i="1" s="1"/>
  <c r="AB493" i="1"/>
  <c r="T493" i="1"/>
  <c r="AF493" i="1" s="1"/>
  <c r="AB492" i="1"/>
  <c r="T492" i="1"/>
  <c r="AF492" i="1" s="1"/>
  <c r="AB491" i="1"/>
  <c r="T491" i="1"/>
  <c r="AB490" i="1"/>
  <c r="T490" i="1"/>
  <c r="AF490" i="1" s="1"/>
  <c r="AB489" i="1"/>
  <c r="T489" i="1"/>
  <c r="AB488" i="1"/>
  <c r="T488" i="1"/>
  <c r="AB487" i="1"/>
  <c r="T487" i="1"/>
  <c r="AB486" i="1"/>
  <c r="T486" i="1"/>
  <c r="AF486" i="1" s="1"/>
  <c r="AB485" i="1"/>
  <c r="T485" i="1"/>
  <c r="AF485" i="1" s="1"/>
  <c r="AB484" i="1"/>
  <c r="T484" i="1"/>
  <c r="AF484" i="1" s="1"/>
  <c r="AB483" i="1"/>
  <c r="T483" i="1"/>
  <c r="AF483" i="1" s="1"/>
  <c r="AB482" i="1"/>
  <c r="T482" i="1"/>
  <c r="AB481" i="1"/>
  <c r="T481" i="1"/>
  <c r="AB480" i="1"/>
  <c r="T480" i="1"/>
  <c r="AB479" i="1"/>
  <c r="T479" i="1"/>
  <c r="AF479" i="1" s="1"/>
  <c r="AB478" i="1"/>
  <c r="T478" i="1"/>
  <c r="AB477" i="1"/>
  <c r="T477" i="1"/>
  <c r="AF477" i="1" s="1"/>
  <c r="AB476" i="1"/>
  <c r="T476" i="1"/>
  <c r="AB475" i="1"/>
  <c r="T475" i="1"/>
  <c r="AF475" i="1" s="1"/>
  <c r="AB474" i="1"/>
  <c r="T474" i="1"/>
  <c r="AF474" i="1" s="1"/>
  <c r="AB473" i="1"/>
  <c r="T473" i="1"/>
  <c r="AB472" i="1"/>
  <c r="T472" i="1"/>
  <c r="AB471" i="1"/>
  <c r="T471" i="1"/>
  <c r="AB470" i="1"/>
  <c r="T470" i="1"/>
  <c r="AF470" i="1" s="1"/>
  <c r="AB469" i="1"/>
  <c r="T469" i="1"/>
  <c r="AF469" i="1" s="1"/>
  <c r="AB468" i="1"/>
  <c r="T468" i="1"/>
  <c r="AF468" i="1" s="1"/>
  <c r="AB467" i="1"/>
  <c r="T467" i="1"/>
  <c r="AF467" i="1" s="1"/>
  <c r="AB466" i="1"/>
  <c r="T466" i="1"/>
  <c r="AB465" i="1"/>
  <c r="T465" i="1"/>
  <c r="AB464" i="1"/>
  <c r="T464" i="1"/>
  <c r="AB463" i="1"/>
  <c r="T463" i="1"/>
  <c r="AB462" i="1"/>
  <c r="T462" i="1"/>
  <c r="AB461" i="1"/>
  <c r="T461" i="1"/>
  <c r="AF461" i="1" s="1"/>
  <c r="AB460" i="1"/>
  <c r="T460" i="1"/>
  <c r="AF460" i="1" s="1"/>
  <c r="AB459" i="1"/>
  <c r="T459" i="1"/>
  <c r="AF459" i="1" s="1"/>
  <c r="AB458" i="1"/>
  <c r="T458" i="1"/>
  <c r="AF458" i="1" s="1"/>
  <c r="AB457" i="1"/>
  <c r="T457" i="1"/>
  <c r="AF457" i="1" s="1"/>
  <c r="AB456" i="1"/>
  <c r="T456" i="1"/>
  <c r="AB455" i="1"/>
  <c r="T455" i="1"/>
  <c r="AB454" i="1"/>
  <c r="T454" i="1"/>
  <c r="AF454" i="1" s="1"/>
  <c r="AB453" i="1"/>
  <c r="T453" i="1"/>
  <c r="AF453" i="1" s="1"/>
  <c r="AB452" i="1"/>
  <c r="T452" i="1"/>
  <c r="AF452" i="1" s="1"/>
  <c r="AB451" i="1"/>
  <c r="T451" i="1"/>
  <c r="AF451" i="1" s="1"/>
  <c r="AB450" i="1"/>
  <c r="T450" i="1"/>
  <c r="AB449" i="1"/>
  <c r="T449" i="1"/>
  <c r="AF449" i="1" s="1"/>
  <c r="AB448" i="1"/>
  <c r="T448" i="1"/>
  <c r="AB447" i="1"/>
  <c r="T447" i="1"/>
  <c r="AF447" i="1" s="1"/>
  <c r="AB446" i="1"/>
  <c r="T446" i="1"/>
  <c r="AF446" i="1" s="1"/>
  <c r="AB445" i="1"/>
  <c r="T445" i="1"/>
  <c r="AF445" i="1" s="1"/>
  <c r="AB444" i="1"/>
  <c r="T444" i="1"/>
  <c r="AF444" i="1" s="1"/>
  <c r="AB443" i="1"/>
  <c r="T443" i="1"/>
  <c r="AB442" i="1"/>
  <c r="T442" i="1"/>
  <c r="AF442" i="1" s="1"/>
  <c r="AB441" i="1"/>
  <c r="T441" i="1"/>
  <c r="AB440" i="1"/>
  <c r="T440" i="1"/>
  <c r="AB439" i="1"/>
  <c r="T439" i="1"/>
  <c r="AB438" i="1"/>
  <c r="T438" i="1"/>
  <c r="AF438" i="1" s="1"/>
  <c r="AB437" i="1"/>
  <c r="T437" i="1"/>
  <c r="AF437" i="1" s="1"/>
  <c r="AB436" i="1"/>
  <c r="T436" i="1"/>
  <c r="AB435" i="1"/>
  <c r="T435" i="1"/>
  <c r="AF435" i="1" s="1"/>
  <c r="AB434" i="1"/>
  <c r="T434" i="1"/>
  <c r="AB433" i="1"/>
  <c r="T433" i="1"/>
  <c r="AB432" i="1"/>
  <c r="T432" i="1"/>
  <c r="AB431" i="1"/>
  <c r="T431" i="1"/>
  <c r="AB430" i="1"/>
  <c r="T430" i="1"/>
  <c r="AB429" i="1"/>
  <c r="T429" i="1"/>
  <c r="AF429" i="1" s="1"/>
  <c r="AB428" i="1"/>
  <c r="T428" i="1"/>
  <c r="AB427" i="1"/>
  <c r="T427" i="1"/>
  <c r="AB426" i="1"/>
  <c r="T426" i="1"/>
  <c r="AF426" i="1" s="1"/>
  <c r="AB425" i="1"/>
  <c r="T425" i="1"/>
  <c r="AB424" i="1"/>
  <c r="T424" i="1"/>
  <c r="AB423" i="1"/>
  <c r="T423" i="1"/>
  <c r="AB422" i="1"/>
  <c r="T422" i="1"/>
  <c r="AF422" i="1" s="1"/>
  <c r="AB421" i="1"/>
  <c r="T421" i="1"/>
  <c r="AF421" i="1" s="1"/>
  <c r="AB420" i="1"/>
  <c r="T420" i="1"/>
  <c r="AF420" i="1" s="1"/>
  <c r="AB419" i="1"/>
  <c r="T419" i="1"/>
  <c r="AF419" i="1" s="1"/>
  <c r="AB418" i="1"/>
  <c r="T418" i="1"/>
  <c r="AB417" i="1"/>
  <c r="T417" i="1"/>
  <c r="AB416" i="1"/>
  <c r="T416" i="1"/>
  <c r="AB415" i="1"/>
  <c r="T415" i="1"/>
  <c r="AB414" i="1"/>
  <c r="T414" i="1"/>
  <c r="AB413" i="1"/>
  <c r="T413" i="1"/>
  <c r="AF413" i="1" s="1"/>
  <c r="AB412" i="1"/>
  <c r="T412" i="1"/>
  <c r="AB411" i="1"/>
  <c r="T411" i="1"/>
  <c r="AB410" i="1"/>
  <c r="T410" i="1"/>
  <c r="AF410" i="1" s="1"/>
  <c r="AB409" i="1"/>
  <c r="T409" i="1"/>
  <c r="AB408" i="1"/>
  <c r="T408" i="1"/>
  <c r="AF408" i="1" s="1"/>
  <c r="AB407" i="1"/>
  <c r="T407" i="1"/>
  <c r="AB406" i="1"/>
  <c r="T406" i="1"/>
  <c r="AF406" i="1" s="1"/>
  <c r="AB405" i="1"/>
  <c r="T405" i="1"/>
  <c r="AF405" i="1" s="1"/>
  <c r="AB404" i="1"/>
  <c r="T404" i="1"/>
  <c r="AF404" i="1" s="1"/>
  <c r="AB403" i="1"/>
  <c r="T403" i="1"/>
  <c r="AF403" i="1" s="1"/>
  <c r="AB402" i="1"/>
  <c r="T402" i="1"/>
  <c r="AB401" i="1"/>
  <c r="T401" i="1"/>
  <c r="AB400" i="1"/>
  <c r="T400" i="1"/>
  <c r="AB399" i="1"/>
  <c r="T399" i="1"/>
  <c r="AF399" i="1" s="1"/>
  <c r="AB398" i="1"/>
  <c r="T398" i="1"/>
  <c r="AB397" i="1"/>
  <c r="T397" i="1"/>
  <c r="AF397" i="1" s="1"/>
  <c r="AB396" i="1"/>
  <c r="T396" i="1"/>
  <c r="AF396" i="1" s="1"/>
  <c r="AB395" i="1"/>
  <c r="T395" i="1"/>
  <c r="AB394" i="1"/>
  <c r="T394" i="1"/>
  <c r="AF394" i="1" s="1"/>
  <c r="AB393" i="1"/>
  <c r="T393" i="1"/>
  <c r="AB392" i="1"/>
  <c r="T392" i="1"/>
  <c r="AB391" i="1"/>
  <c r="T391" i="1"/>
  <c r="AB390" i="1"/>
  <c r="T390" i="1"/>
  <c r="AF390" i="1" s="1"/>
  <c r="AB389" i="1"/>
  <c r="T389" i="1"/>
  <c r="AF389" i="1" s="1"/>
  <c r="AB388" i="1"/>
  <c r="T388" i="1"/>
  <c r="AB387" i="1"/>
  <c r="T387" i="1"/>
  <c r="AF387" i="1" s="1"/>
  <c r="AB386" i="1"/>
  <c r="T386" i="1"/>
  <c r="AB385" i="1"/>
  <c r="T385" i="1"/>
  <c r="AB384" i="1"/>
  <c r="T384" i="1"/>
  <c r="AB383" i="1"/>
  <c r="T383" i="1"/>
  <c r="AB382" i="1"/>
  <c r="T382" i="1"/>
  <c r="AB381" i="1"/>
  <c r="T381" i="1"/>
  <c r="AF381" i="1" s="1"/>
  <c r="AB380" i="1"/>
  <c r="T380" i="1"/>
  <c r="AF380" i="1" s="1"/>
  <c r="AB379" i="1"/>
  <c r="T379" i="1"/>
  <c r="AB378" i="1"/>
  <c r="T378" i="1"/>
  <c r="AF378" i="1" s="1"/>
  <c r="AB377" i="1"/>
  <c r="T377" i="1"/>
  <c r="AB376" i="1"/>
  <c r="T376" i="1"/>
  <c r="AB375" i="1"/>
  <c r="T375" i="1"/>
  <c r="AB374" i="1"/>
  <c r="T374" i="1"/>
  <c r="AF374" i="1" s="1"/>
  <c r="AB373" i="1"/>
  <c r="T373" i="1"/>
  <c r="AF373" i="1" s="1"/>
  <c r="AB372" i="1"/>
  <c r="T372" i="1"/>
  <c r="AF372" i="1" s="1"/>
  <c r="AB371" i="1"/>
  <c r="T371" i="1"/>
  <c r="AF371" i="1" s="1"/>
  <c r="AB370" i="1"/>
  <c r="T370" i="1"/>
  <c r="AB369" i="1"/>
  <c r="T369" i="1"/>
  <c r="AB368" i="1"/>
  <c r="T368" i="1"/>
  <c r="AB367" i="1"/>
  <c r="T367" i="1"/>
  <c r="AB366" i="1"/>
  <c r="T366" i="1"/>
  <c r="AB365" i="1"/>
  <c r="T365" i="1"/>
  <c r="AF365" i="1" s="1"/>
  <c r="AB364" i="1"/>
  <c r="T364" i="1"/>
  <c r="AF364" i="1" s="1"/>
  <c r="AB363" i="1"/>
  <c r="T363" i="1"/>
  <c r="AB362" i="1"/>
  <c r="T362" i="1"/>
  <c r="AB361" i="1"/>
  <c r="T361" i="1"/>
  <c r="AB360" i="1"/>
  <c r="T360" i="1"/>
  <c r="AB359" i="1"/>
  <c r="T359" i="1"/>
  <c r="AB358" i="1"/>
  <c r="T358" i="1"/>
  <c r="AF358" i="1" s="1"/>
  <c r="AB357" i="1"/>
  <c r="T357" i="1"/>
  <c r="AF357" i="1" s="1"/>
  <c r="AB356" i="1"/>
  <c r="T356" i="1"/>
  <c r="AF356" i="1" s="1"/>
  <c r="AB355" i="1"/>
  <c r="T355" i="1"/>
  <c r="AF355" i="1" s="1"/>
  <c r="AB354" i="1"/>
  <c r="T354" i="1"/>
  <c r="AB353" i="1"/>
  <c r="T353" i="1"/>
  <c r="AB352" i="1"/>
  <c r="T352" i="1"/>
  <c r="AB351" i="1"/>
  <c r="T351" i="1"/>
  <c r="AB350" i="1"/>
  <c r="T350" i="1"/>
  <c r="AB349" i="1"/>
  <c r="T349" i="1"/>
  <c r="AF349" i="1" s="1"/>
  <c r="AB348" i="1"/>
  <c r="T348" i="1"/>
  <c r="AF348" i="1" s="1"/>
  <c r="AB347" i="1"/>
  <c r="T347" i="1"/>
  <c r="AB346" i="1"/>
  <c r="T346" i="1"/>
  <c r="AF346" i="1" s="1"/>
  <c r="AB345" i="1"/>
  <c r="T345" i="1"/>
  <c r="AB344" i="1"/>
  <c r="T344" i="1"/>
  <c r="AF344" i="1" s="1"/>
  <c r="AB343" i="1"/>
  <c r="T343" i="1"/>
  <c r="AB342" i="1"/>
  <c r="T342" i="1"/>
  <c r="AF342" i="1" s="1"/>
  <c r="AB341" i="1"/>
  <c r="T341" i="1"/>
  <c r="AF341" i="1" s="1"/>
  <c r="AB340" i="1"/>
  <c r="T340" i="1"/>
  <c r="AF340" i="1" s="1"/>
  <c r="AB339" i="1"/>
  <c r="T339" i="1"/>
  <c r="AF339" i="1" s="1"/>
  <c r="AB338" i="1"/>
  <c r="T338" i="1"/>
  <c r="AB337" i="1"/>
  <c r="T337" i="1"/>
  <c r="AF337" i="1" s="1"/>
  <c r="AB336" i="1"/>
  <c r="T336" i="1"/>
  <c r="AB335" i="1"/>
  <c r="T335" i="1"/>
  <c r="AB334" i="1"/>
  <c r="T334" i="1"/>
  <c r="AF334" i="1" s="1"/>
  <c r="AB333" i="1"/>
  <c r="T333" i="1"/>
  <c r="AB332" i="1"/>
  <c r="T332" i="1"/>
  <c r="AF332" i="1" s="1"/>
  <c r="AB331" i="1"/>
  <c r="T331" i="1"/>
  <c r="AB330" i="1"/>
  <c r="T330" i="1"/>
  <c r="AF330" i="1" s="1"/>
  <c r="AB329" i="1"/>
  <c r="T329" i="1"/>
  <c r="AB328" i="1"/>
  <c r="T328" i="1"/>
  <c r="AF328" i="1" s="1"/>
  <c r="AB327" i="1"/>
  <c r="T327" i="1"/>
  <c r="AB326" i="1"/>
  <c r="T326" i="1"/>
  <c r="AF326" i="1" s="1"/>
  <c r="AB325" i="1"/>
  <c r="T325" i="1"/>
  <c r="AF325" i="1" s="1"/>
  <c r="AB324" i="1"/>
  <c r="T324" i="1"/>
  <c r="AF324" i="1" s="1"/>
  <c r="AB323" i="1"/>
  <c r="T323" i="1"/>
  <c r="AF323" i="1" s="1"/>
  <c r="AB322" i="1"/>
  <c r="T322" i="1"/>
  <c r="AB321" i="1"/>
  <c r="T321" i="1"/>
  <c r="AF321" i="1" s="1"/>
  <c r="AB320" i="1"/>
  <c r="T320" i="1"/>
  <c r="AB319" i="1"/>
  <c r="T319" i="1"/>
  <c r="AB318" i="1"/>
  <c r="T318" i="1"/>
  <c r="AF318" i="1" s="1"/>
  <c r="AB317" i="1"/>
  <c r="T317" i="1"/>
  <c r="AB316" i="1"/>
  <c r="T316" i="1"/>
  <c r="AB315" i="1"/>
  <c r="T315" i="1"/>
  <c r="AB314" i="1"/>
  <c r="T314" i="1"/>
  <c r="AF314" i="1" s="1"/>
  <c r="AB313" i="1"/>
  <c r="T313" i="1"/>
  <c r="AB312" i="1"/>
  <c r="T312" i="1"/>
  <c r="AF312" i="1" s="1"/>
  <c r="AB311" i="1"/>
  <c r="T311" i="1"/>
  <c r="AB310" i="1"/>
  <c r="T310" i="1"/>
  <c r="AF310" i="1" s="1"/>
  <c r="AB309" i="1"/>
  <c r="T309" i="1"/>
  <c r="AF309" i="1" s="1"/>
  <c r="AB308" i="1"/>
  <c r="T308" i="1"/>
  <c r="AF308" i="1" s="1"/>
  <c r="AB307" i="1"/>
  <c r="T307" i="1"/>
  <c r="AF307" i="1" s="1"/>
  <c r="AB306" i="1"/>
  <c r="T306" i="1"/>
  <c r="AB305" i="1"/>
  <c r="T305" i="1"/>
  <c r="AB304" i="1"/>
  <c r="T304" i="1"/>
  <c r="AB303" i="1"/>
  <c r="T303" i="1"/>
  <c r="AB302" i="1"/>
  <c r="T302" i="1"/>
  <c r="AF302" i="1" s="1"/>
  <c r="AB301" i="1"/>
  <c r="T301" i="1"/>
  <c r="AB300" i="1"/>
  <c r="T300" i="1"/>
  <c r="AF300" i="1" s="1"/>
  <c r="AB299" i="1"/>
  <c r="T299" i="1"/>
  <c r="AB298" i="1"/>
  <c r="T298" i="1"/>
  <c r="AF298" i="1" s="1"/>
  <c r="AB297" i="1"/>
  <c r="T297" i="1"/>
  <c r="AB296" i="1"/>
  <c r="T296" i="1"/>
  <c r="AB295" i="1"/>
  <c r="T295" i="1"/>
  <c r="AF295" i="1" s="1"/>
  <c r="AB294" i="1"/>
  <c r="T294" i="1"/>
  <c r="AB293" i="1"/>
  <c r="T293" i="1"/>
  <c r="AF293" i="1" s="1"/>
  <c r="AB292" i="1"/>
  <c r="T292" i="1"/>
  <c r="AF292" i="1" s="1"/>
  <c r="AB291" i="1"/>
  <c r="T291" i="1"/>
  <c r="AF291" i="1" s="1"/>
  <c r="AB290" i="1"/>
  <c r="T290" i="1"/>
  <c r="AB289" i="1"/>
  <c r="T289" i="1"/>
  <c r="AB288" i="1"/>
  <c r="T288" i="1"/>
  <c r="AB287" i="1"/>
  <c r="T287" i="1"/>
  <c r="AB286" i="1"/>
  <c r="T286" i="1"/>
  <c r="AF286" i="1" s="1"/>
  <c r="AB285" i="1"/>
  <c r="T285" i="1"/>
  <c r="AB284" i="1"/>
  <c r="T284" i="1"/>
  <c r="AF284" i="1" s="1"/>
  <c r="AB283" i="1"/>
  <c r="T283" i="1"/>
  <c r="AB282" i="1"/>
  <c r="T282" i="1"/>
  <c r="AF282" i="1" s="1"/>
  <c r="AB281" i="1"/>
  <c r="T281" i="1"/>
  <c r="AB280" i="1"/>
  <c r="T280" i="1"/>
  <c r="AF280" i="1" s="1"/>
  <c r="AB279" i="1"/>
  <c r="T279" i="1"/>
  <c r="AB278" i="1"/>
  <c r="T278" i="1"/>
  <c r="AB277" i="1"/>
  <c r="T277" i="1"/>
  <c r="AF277" i="1" s="1"/>
  <c r="AB276" i="1"/>
  <c r="T276" i="1"/>
  <c r="AF276" i="1" s="1"/>
  <c r="AB275" i="1"/>
  <c r="T275" i="1"/>
  <c r="AF275" i="1" s="1"/>
  <c r="AB274" i="1"/>
  <c r="T274" i="1"/>
  <c r="AB273" i="1"/>
  <c r="T273" i="1"/>
  <c r="AF273" i="1" s="1"/>
  <c r="AB272" i="1"/>
  <c r="T272" i="1"/>
  <c r="AB271" i="1"/>
  <c r="T271" i="1"/>
  <c r="AB270" i="1"/>
  <c r="T270" i="1"/>
  <c r="AF270" i="1" s="1"/>
  <c r="AB269" i="1"/>
  <c r="T269" i="1"/>
  <c r="AB268" i="1"/>
  <c r="T268" i="1"/>
  <c r="AF268" i="1" s="1"/>
  <c r="AB267" i="1"/>
  <c r="T267" i="1"/>
  <c r="AB266" i="1"/>
  <c r="T266" i="1"/>
  <c r="AF266" i="1" s="1"/>
  <c r="AB265" i="1"/>
  <c r="T265" i="1"/>
  <c r="AB264" i="1"/>
  <c r="T264" i="1"/>
  <c r="AF264" i="1" s="1"/>
  <c r="AB263" i="1"/>
  <c r="T263" i="1"/>
  <c r="AB262" i="1"/>
  <c r="T262" i="1"/>
  <c r="AF262" i="1" s="1"/>
  <c r="AB261" i="1"/>
  <c r="T261" i="1"/>
  <c r="AF261" i="1" s="1"/>
  <c r="AB260" i="1"/>
  <c r="T260" i="1"/>
  <c r="AF260" i="1" s="1"/>
  <c r="AB259" i="1"/>
  <c r="T259" i="1"/>
  <c r="AF259" i="1" s="1"/>
  <c r="AB258" i="1"/>
  <c r="T258" i="1"/>
  <c r="AB257" i="1"/>
  <c r="T257" i="1"/>
  <c r="AF257" i="1" s="1"/>
  <c r="AB256" i="1"/>
  <c r="T256" i="1"/>
  <c r="AB255" i="1"/>
  <c r="T255" i="1"/>
  <c r="AB254" i="1"/>
  <c r="T254" i="1"/>
  <c r="AF254" i="1" s="1"/>
  <c r="AB253" i="1"/>
  <c r="T253" i="1"/>
  <c r="AB252" i="1"/>
  <c r="T252" i="1"/>
  <c r="AB251" i="1"/>
  <c r="T251" i="1"/>
  <c r="AB250" i="1"/>
  <c r="T250" i="1"/>
  <c r="AF250" i="1" s="1"/>
  <c r="AB249" i="1"/>
  <c r="T249" i="1"/>
  <c r="AB248" i="1"/>
  <c r="T248" i="1"/>
  <c r="AF248" i="1" s="1"/>
  <c r="AB247" i="1"/>
  <c r="T247" i="1"/>
  <c r="AB246" i="1"/>
  <c r="T246" i="1"/>
  <c r="AF246" i="1" s="1"/>
  <c r="AB245" i="1"/>
  <c r="T245" i="1"/>
  <c r="AF245" i="1" s="1"/>
  <c r="AB244" i="1"/>
  <c r="T244" i="1"/>
  <c r="AF244" i="1" s="1"/>
  <c r="AB243" i="1"/>
  <c r="T243" i="1"/>
  <c r="AF243" i="1" s="1"/>
  <c r="AB242" i="1"/>
  <c r="T242" i="1"/>
  <c r="AB241" i="1"/>
  <c r="T241" i="1"/>
  <c r="AB240" i="1"/>
  <c r="T240" i="1"/>
  <c r="AB239" i="1"/>
  <c r="T239" i="1"/>
  <c r="AB238" i="1"/>
  <c r="T238" i="1"/>
  <c r="AB237" i="1"/>
  <c r="T237" i="1"/>
  <c r="AB236" i="1"/>
  <c r="T236" i="1"/>
  <c r="AF236" i="1" s="1"/>
  <c r="AB235" i="1"/>
  <c r="T235" i="1"/>
  <c r="AB234" i="1"/>
  <c r="T234" i="1"/>
  <c r="AF234" i="1" s="1"/>
  <c r="AB233" i="1"/>
  <c r="T233" i="1"/>
  <c r="AB232" i="1"/>
  <c r="T232" i="1"/>
  <c r="AB231" i="1"/>
  <c r="T231" i="1"/>
  <c r="AB230" i="1"/>
  <c r="T230" i="1"/>
  <c r="AF230" i="1" s="1"/>
  <c r="AB229" i="1"/>
  <c r="T229" i="1"/>
  <c r="AF229" i="1" s="1"/>
  <c r="AB228" i="1"/>
  <c r="T228" i="1"/>
  <c r="AF228" i="1" s="1"/>
  <c r="AB227" i="1"/>
  <c r="T227" i="1"/>
  <c r="AF227" i="1" s="1"/>
  <c r="AB226" i="1"/>
  <c r="T226" i="1"/>
  <c r="AB225" i="1"/>
  <c r="T225" i="1"/>
  <c r="AB224" i="1"/>
  <c r="T224" i="1"/>
  <c r="AB223" i="1"/>
  <c r="T223" i="1"/>
  <c r="AF223" i="1" s="1"/>
  <c r="AB222" i="1"/>
  <c r="T222" i="1"/>
  <c r="AF222" i="1" s="1"/>
  <c r="AB221" i="1"/>
  <c r="T221" i="1"/>
  <c r="AB220" i="1"/>
  <c r="T220" i="1"/>
  <c r="AF220" i="1" s="1"/>
  <c r="AB219" i="1"/>
  <c r="T219" i="1"/>
  <c r="AB218" i="1"/>
  <c r="T218" i="1"/>
  <c r="AF218" i="1" s="1"/>
  <c r="AB217" i="1"/>
  <c r="T217" i="1"/>
  <c r="AB216" i="1"/>
  <c r="T216" i="1"/>
  <c r="AF216" i="1" s="1"/>
  <c r="AB215" i="1"/>
  <c r="T215" i="1"/>
  <c r="AB214" i="1"/>
  <c r="T214" i="1"/>
  <c r="AF214" i="1" s="1"/>
  <c r="AB213" i="1"/>
  <c r="T213" i="1"/>
  <c r="AF213" i="1" s="1"/>
  <c r="AB212" i="1"/>
  <c r="T212" i="1"/>
  <c r="AF212" i="1" s="1"/>
  <c r="AB211" i="1"/>
  <c r="T211" i="1"/>
  <c r="AF211" i="1" s="1"/>
  <c r="AB210" i="1"/>
  <c r="T210" i="1"/>
  <c r="AB209" i="1"/>
  <c r="T209" i="1"/>
  <c r="AB208" i="1"/>
  <c r="T208" i="1"/>
  <c r="AB207" i="1"/>
  <c r="T207" i="1"/>
  <c r="AF207" i="1" s="1"/>
  <c r="AB206" i="1"/>
  <c r="T206" i="1"/>
  <c r="AB205" i="1"/>
  <c r="T205" i="1"/>
  <c r="AF205" i="1" s="1"/>
  <c r="AB204" i="1"/>
  <c r="T204" i="1"/>
  <c r="AF204" i="1" s="1"/>
  <c r="AB203" i="1"/>
  <c r="T203" i="1"/>
  <c r="AB202" i="1"/>
  <c r="T202" i="1"/>
  <c r="AF202" i="1" s="1"/>
  <c r="AB201" i="1"/>
  <c r="T201" i="1"/>
  <c r="AB200" i="1"/>
  <c r="T200" i="1"/>
  <c r="AF200" i="1" s="1"/>
  <c r="AB199" i="1"/>
  <c r="T199" i="1"/>
  <c r="AF199" i="1" s="1"/>
  <c r="AB198" i="1"/>
  <c r="T198" i="1"/>
  <c r="AB197" i="1"/>
  <c r="T197" i="1"/>
  <c r="AF197" i="1" s="1"/>
  <c r="AB196" i="1"/>
  <c r="T196" i="1"/>
  <c r="AF196" i="1" s="1"/>
  <c r="AB195" i="1"/>
  <c r="T195" i="1"/>
  <c r="AF195" i="1" s="1"/>
  <c r="AB194" i="1"/>
  <c r="T194" i="1"/>
  <c r="AB193" i="1"/>
  <c r="T193" i="1"/>
  <c r="AB192" i="1"/>
  <c r="T192" i="1"/>
  <c r="AB191" i="1"/>
  <c r="T191" i="1"/>
  <c r="AB190" i="1"/>
  <c r="T190" i="1"/>
  <c r="AF190" i="1" s="1"/>
  <c r="AB189" i="1"/>
  <c r="T189" i="1"/>
  <c r="AB188" i="1"/>
  <c r="T188" i="1"/>
  <c r="AF188" i="1" s="1"/>
  <c r="AB187" i="1"/>
  <c r="T187" i="1"/>
  <c r="AB186" i="1"/>
  <c r="T186" i="1"/>
  <c r="AF186" i="1" s="1"/>
  <c r="AB185" i="1"/>
  <c r="T185" i="1"/>
  <c r="AB184" i="1"/>
  <c r="T184" i="1"/>
  <c r="AB183" i="1"/>
  <c r="T183" i="1"/>
  <c r="AB182" i="1"/>
  <c r="T182" i="1"/>
  <c r="AF182" i="1" s="1"/>
  <c r="AB181" i="1"/>
  <c r="T181" i="1"/>
  <c r="AF181" i="1" s="1"/>
  <c r="AB180" i="1"/>
  <c r="T180" i="1"/>
  <c r="AF180" i="1" s="1"/>
  <c r="AB179" i="1"/>
  <c r="T179" i="1"/>
  <c r="AB178" i="1"/>
  <c r="T178" i="1"/>
  <c r="AF178" i="1" s="1"/>
  <c r="AB177" i="1"/>
  <c r="T177" i="1"/>
  <c r="AF177" i="1" s="1"/>
  <c r="AB176" i="1"/>
  <c r="T176" i="1"/>
  <c r="AB175" i="1"/>
  <c r="T175" i="1"/>
  <c r="AB174" i="1"/>
  <c r="T174" i="1"/>
  <c r="AF174" i="1" s="1"/>
  <c r="AB173" i="1"/>
  <c r="T173" i="1"/>
  <c r="AB172" i="1"/>
  <c r="T172" i="1"/>
  <c r="AF172" i="1" s="1"/>
  <c r="AB171" i="1"/>
  <c r="T171" i="1"/>
  <c r="AB170" i="1"/>
  <c r="T170" i="1"/>
  <c r="AB169" i="1"/>
  <c r="T169" i="1"/>
  <c r="AB168" i="1"/>
  <c r="T168" i="1"/>
  <c r="AF168" i="1" s="1"/>
  <c r="AB167" i="1"/>
  <c r="T167" i="1"/>
  <c r="AB166" i="1"/>
  <c r="T166" i="1"/>
  <c r="AF166" i="1" s="1"/>
  <c r="AB165" i="1"/>
  <c r="T165" i="1"/>
  <c r="AF165" i="1" s="1"/>
  <c r="AB164" i="1"/>
  <c r="T164" i="1"/>
  <c r="AF164" i="1" s="1"/>
  <c r="AB163" i="1"/>
  <c r="T163" i="1"/>
  <c r="AF163" i="1" s="1"/>
  <c r="AB162" i="1"/>
  <c r="T162" i="1"/>
  <c r="AF162" i="1" s="1"/>
  <c r="AB161" i="1"/>
  <c r="T161" i="1"/>
  <c r="AB160" i="1"/>
  <c r="T160" i="1"/>
  <c r="AF160" i="1" s="1"/>
  <c r="AB159" i="1"/>
  <c r="T159" i="1"/>
  <c r="AB158" i="1"/>
  <c r="T158" i="1"/>
  <c r="AB157" i="1"/>
  <c r="T157" i="1"/>
  <c r="AB156" i="1"/>
  <c r="T156" i="1"/>
  <c r="AB155" i="1"/>
  <c r="T155" i="1"/>
  <c r="AB154" i="1"/>
  <c r="T154" i="1"/>
  <c r="AF154" i="1" s="1"/>
  <c r="AB153" i="1"/>
  <c r="T153" i="1"/>
  <c r="AB152" i="1"/>
  <c r="T152" i="1"/>
  <c r="AF152" i="1" s="1"/>
  <c r="AB151" i="1"/>
  <c r="T151" i="1"/>
  <c r="AB150" i="1"/>
  <c r="T150" i="1"/>
  <c r="AF150" i="1" s="1"/>
  <c r="AB149" i="1"/>
  <c r="T149" i="1"/>
  <c r="AF149" i="1" s="1"/>
  <c r="AB148" i="1"/>
  <c r="T148" i="1"/>
  <c r="AF148" i="1" s="1"/>
  <c r="AB147" i="1"/>
  <c r="T147" i="1"/>
  <c r="AF147" i="1" s="1"/>
  <c r="AB146" i="1"/>
  <c r="T146" i="1"/>
  <c r="AF146" i="1" s="1"/>
  <c r="AB145" i="1"/>
  <c r="T145" i="1"/>
  <c r="AB144" i="1"/>
  <c r="T144" i="1"/>
  <c r="AF144" i="1" s="1"/>
  <c r="AB143" i="1"/>
  <c r="T143" i="1"/>
  <c r="AB142" i="1"/>
  <c r="T142" i="1"/>
  <c r="AF142" i="1" s="1"/>
  <c r="AB141" i="1"/>
  <c r="T141" i="1"/>
  <c r="AB140" i="1"/>
  <c r="T140" i="1"/>
  <c r="AF140" i="1" s="1"/>
  <c r="AB139" i="1"/>
  <c r="T139" i="1"/>
  <c r="AB138" i="1"/>
  <c r="T138" i="1"/>
  <c r="AF138" i="1" s="1"/>
  <c r="AB137" i="1"/>
  <c r="T137" i="1"/>
  <c r="AF137" i="1" s="1"/>
  <c r="AB136" i="1"/>
  <c r="T136" i="1"/>
  <c r="AF136" i="1" s="1"/>
  <c r="AB135" i="1"/>
  <c r="T135" i="1"/>
  <c r="AF135" i="1" s="1"/>
  <c r="AB134" i="1"/>
  <c r="T134" i="1"/>
  <c r="AF134" i="1" s="1"/>
  <c r="AB133" i="1"/>
  <c r="T133" i="1"/>
  <c r="AF133" i="1" s="1"/>
  <c r="AB132" i="1"/>
  <c r="T132" i="1"/>
  <c r="AF132" i="1" s="1"/>
  <c r="AB131" i="1"/>
  <c r="T131" i="1"/>
  <c r="AF131" i="1" s="1"/>
  <c r="AB130" i="1"/>
  <c r="T130" i="1"/>
  <c r="AF130" i="1" s="1"/>
  <c r="AB129" i="1"/>
  <c r="T129" i="1"/>
  <c r="AF129" i="1" s="1"/>
  <c r="AB128" i="1"/>
  <c r="T128" i="1"/>
  <c r="AF128" i="1" s="1"/>
  <c r="AB127" i="1"/>
  <c r="T127" i="1"/>
  <c r="AF127" i="1" s="1"/>
  <c r="AB126" i="1"/>
  <c r="T126" i="1"/>
  <c r="AF126" i="1" s="1"/>
  <c r="AB125" i="1"/>
  <c r="T125" i="1"/>
  <c r="AF125" i="1" s="1"/>
  <c r="AB124" i="1"/>
  <c r="T124" i="1"/>
  <c r="AF124" i="1" s="1"/>
  <c r="AB123" i="1"/>
  <c r="T123" i="1"/>
  <c r="AF123" i="1" s="1"/>
  <c r="AB122" i="1"/>
  <c r="T122" i="1"/>
  <c r="AF122" i="1" s="1"/>
  <c r="AB121" i="1"/>
  <c r="T121" i="1"/>
  <c r="AF121" i="1" s="1"/>
  <c r="AB120" i="1"/>
  <c r="T120" i="1"/>
  <c r="AF120" i="1" s="1"/>
  <c r="AB119" i="1"/>
  <c r="T119" i="1"/>
  <c r="AF119" i="1" s="1"/>
  <c r="AB118" i="1"/>
  <c r="T118" i="1"/>
  <c r="AF118" i="1" s="1"/>
  <c r="AB117" i="1"/>
  <c r="T117" i="1"/>
  <c r="AF117" i="1" s="1"/>
  <c r="AB116" i="1"/>
  <c r="T116" i="1"/>
  <c r="AF116" i="1" s="1"/>
  <c r="AB115" i="1"/>
  <c r="T115" i="1"/>
  <c r="AF115" i="1" s="1"/>
  <c r="AB114" i="1"/>
  <c r="T114" i="1"/>
  <c r="AF114" i="1" s="1"/>
  <c r="AB113" i="1"/>
  <c r="T113" i="1"/>
  <c r="AF113" i="1" s="1"/>
  <c r="AB112" i="1"/>
  <c r="T112" i="1"/>
  <c r="AF112" i="1" s="1"/>
  <c r="AB111" i="1"/>
  <c r="T111" i="1"/>
  <c r="AF111" i="1" s="1"/>
  <c r="AB110" i="1"/>
  <c r="T110" i="1"/>
  <c r="AF110" i="1" s="1"/>
  <c r="AB109" i="1"/>
  <c r="T109" i="1"/>
  <c r="AF109" i="1" s="1"/>
  <c r="AB108" i="1"/>
  <c r="T108" i="1"/>
  <c r="AF108" i="1" s="1"/>
  <c r="AB107" i="1"/>
  <c r="T107" i="1"/>
  <c r="AF107" i="1" s="1"/>
  <c r="AB106" i="1"/>
  <c r="T106" i="1"/>
  <c r="AF106" i="1" s="1"/>
  <c r="AB105" i="1"/>
  <c r="T105" i="1"/>
  <c r="AF105" i="1" s="1"/>
  <c r="AB104" i="1"/>
  <c r="T104" i="1"/>
  <c r="AF104" i="1" s="1"/>
  <c r="AB103" i="1"/>
  <c r="T103" i="1"/>
  <c r="AF103" i="1" s="1"/>
  <c r="AB102" i="1"/>
  <c r="T102" i="1"/>
  <c r="AF102" i="1" s="1"/>
  <c r="AB101" i="1"/>
  <c r="T101" i="1"/>
  <c r="AF101" i="1" s="1"/>
  <c r="AB100" i="1"/>
  <c r="T100" i="1"/>
  <c r="AF100" i="1" s="1"/>
  <c r="AB99" i="1"/>
  <c r="T99" i="1"/>
  <c r="AF99" i="1" s="1"/>
  <c r="AB98" i="1"/>
  <c r="T98" i="1"/>
  <c r="AF98" i="1" s="1"/>
  <c r="AB97" i="1"/>
  <c r="T97" i="1"/>
  <c r="AF97" i="1" s="1"/>
  <c r="AB96" i="1"/>
  <c r="T96" i="1"/>
  <c r="AF96" i="1" s="1"/>
  <c r="AB95" i="1"/>
  <c r="T95" i="1"/>
  <c r="AF95" i="1" s="1"/>
  <c r="AB94" i="1"/>
  <c r="T94" i="1"/>
  <c r="AF94" i="1" s="1"/>
  <c r="AB93" i="1"/>
  <c r="T93" i="1"/>
  <c r="AF93" i="1" s="1"/>
  <c r="AB92" i="1"/>
  <c r="T92" i="1"/>
  <c r="AF92" i="1" s="1"/>
  <c r="AB91" i="1"/>
  <c r="T91" i="1"/>
  <c r="AF91" i="1" s="1"/>
  <c r="AB90" i="1"/>
  <c r="T90" i="1"/>
  <c r="AF90" i="1" s="1"/>
  <c r="AB89" i="1"/>
  <c r="T89" i="1"/>
  <c r="AF89" i="1" s="1"/>
  <c r="AB88" i="1"/>
  <c r="T88" i="1"/>
  <c r="AF88" i="1" s="1"/>
  <c r="AB87" i="1"/>
  <c r="T87" i="1"/>
  <c r="AF87" i="1" s="1"/>
  <c r="AB86" i="1"/>
  <c r="T86" i="1"/>
  <c r="AF86" i="1" s="1"/>
  <c r="AB85" i="1"/>
  <c r="T85" i="1"/>
  <c r="AF85" i="1" s="1"/>
  <c r="AB84" i="1"/>
  <c r="T84" i="1"/>
  <c r="AF84" i="1" s="1"/>
  <c r="AB83" i="1"/>
  <c r="T83" i="1"/>
  <c r="AF83" i="1" s="1"/>
  <c r="AB82" i="1"/>
  <c r="T82" i="1"/>
  <c r="AF82" i="1" s="1"/>
  <c r="AB81" i="1"/>
  <c r="T81" i="1"/>
  <c r="AF81" i="1" s="1"/>
  <c r="AB80" i="1"/>
  <c r="T80" i="1"/>
  <c r="AF80" i="1" s="1"/>
  <c r="AB79" i="1"/>
  <c r="T79" i="1"/>
  <c r="AF79" i="1" s="1"/>
  <c r="AB78" i="1"/>
  <c r="T78" i="1"/>
  <c r="AF78" i="1" s="1"/>
  <c r="AB77" i="1"/>
  <c r="T77" i="1"/>
  <c r="AF77" i="1" s="1"/>
  <c r="AB76" i="1"/>
  <c r="T76" i="1"/>
  <c r="AF76" i="1" s="1"/>
  <c r="AB75" i="1"/>
  <c r="T75" i="1"/>
  <c r="AF75" i="1" s="1"/>
  <c r="AB74" i="1"/>
  <c r="T74" i="1"/>
  <c r="AF74" i="1" s="1"/>
  <c r="AB73" i="1"/>
  <c r="T73" i="1"/>
  <c r="AF73" i="1" s="1"/>
  <c r="AB72" i="1"/>
  <c r="T72" i="1"/>
  <c r="AF72" i="1" s="1"/>
  <c r="AB71" i="1"/>
  <c r="T71" i="1"/>
  <c r="AF71" i="1" s="1"/>
  <c r="AB70" i="1"/>
  <c r="T70" i="1"/>
  <c r="AF70" i="1" s="1"/>
  <c r="AB69" i="1"/>
  <c r="T69" i="1"/>
  <c r="AF69" i="1" s="1"/>
  <c r="AB68" i="1"/>
  <c r="T68" i="1"/>
  <c r="AF68" i="1" s="1"/>
  <c r="AB67" i="1"/>
  <c r="T67" i="1"/>
  <c r="AF67" i="1" s="1"/>
  <c r="AB66" i="1"/>
  <c r="T66" i="1"/>
  <c r="AF66" i="1" s="1"/>
  <c r="AB65" i="1"/>
  <c r="T65" i="1"/>
  <c r="AF65" i="1" s="1"/>
  <c r="AB64" i="1"/>
  <c r="T64" i="1"/>
  <c r="AF64" i="1" s="1"/>
  <c r="AB63" i="1"/>
  <c r="T63" i="1"/>
  <c r="AF63" i="1" s="1"/>
  <c r="AB62" i="1"/>
  <c r="T62" i="1"/>
  <c r="AF62" i="1" s="1"/>
  <c r="AB61" i="1"/>
  <c r="T61" i="1"/>
  <c r="AF61" i="1" s="1"/>
  <c r="AB60" i="1"/>
  <c r="T60" i="1"/>
  <c r="AF60" i="1" s="1"/>
  <c r="AB59" i="1"/>
  <c r="T59" i="1"/>
  <c r="AF59" i="1" s="1"/>
  <c r="AB58" i="1"/>
  <c r="T58" i="1"/>
  <c r="AF58" i="1" s="1"/>
  <c r="AB57" i="1"/>
  <c r="T57" i="1"/>
  <c r="AF57" i="1" s="1"/>
  <c r="AB56" i="1"/>
  <c r="T56" i="1"/>
  <c r="AF56" i="1" s="1"/>
  <c r="AB55" i="1"/>
  <c r="T55" i="1"/>
  <c r="AF55" i="1" s="1"/>
  <c r="AB54" i="1"/>
  <c r="T54" i="1"/>
  <c r="AF54" i="1" s="1"/>
  <c r="AB53" i="1"/>
  <c r="T53" i="1"/>
  <c r="AF53" i="1" s="1"/>
  <c r="AB52" i="1"/>
  <c r="T52" i="1"/>
  <c r="AF52" i="1" s="1"/>
  <c r="AB51" i="1"/>
  <c r="T51" i="1"/>
  <c r="AF51" i="1" s="1"/>
  <c r="AB50" i="1"/>
  <c r="T50" i="1"/>
  <c r="AF50" i="1" s="1"/>
  <c r="AB49" i="1"/>
  <c r="T49" i="1"/>
  <c r="AF49" i="1" s="1"/>
  <c r="AB48" i="1"/>
  <c r="T48" i="1"/>
  <c r="AF48" i="1" s="1"/>
  <c r="AB47" i="1"/>
  <c r="T47" i="1"/>
  <c r="AF47" i="1" s="1"/>
  <c r="AB46" i="1"/>
  <c r="T46" i="1"/>
  <c r="AF46" i="1" s="1"/>
  <c r="AB45" i="1"/>
  <c r="T45" i="1"/>
  <c r="AF45" i="1" s="1"/>
  <c r="AB44" i="1"/>
  <c r="T44" i="1"/>
  <c r="AF44" i="1" s="1"/>
  <c r="AB43" i="1"/>
  <c r="T43" i="1"/>
  <c r="AF43" i="1" s="1"/>
  <c r="AB42" i="1"/>
  <c r="T42" i="1"/>
  <c r="AF42" i="1" s="1"/>
  <c r="AB41" i="1"/>
  <c r="T41" i="1"/>
  <c r="AF41" i="1" s="1"/>
  <c r="AB40" i="1"/>
  <c r="T40" i="1"/>
  <c r="AF40" i="1" s="1"/>
  <c r="AB39" i="1"/>
  <c r="T39" i="1"/>
  <c r="AF39" i="1" s="1"/>
  <c r="AB38" i="1"/>
  <c r="T38" i="1"/>
  <c r="AF38" i="1" s="1"/>
  <c r="AB37" i="1"/>
  <c r="T37" i="1"/>
  <c r="AF37" i="1" s="1"/>
  <c r="AB36" i="1"/>
  <c r="T36" i="1"/>
  <c r="AF36" i="1" s="1"/>
  <c r="AB35" i="1"/>
  <c r="T35" i="1"/>
  <c r="AF35" i="1" s="1"/>
  <c r="AB34" i="1"/>
  <c r="T34" i="1"/>
  <c r="AF34" i="1" s="1"/>
  <c r="AB33" i="1"/>
  <c r="T33" i="1"/>
  <c r="AF33" i="1" s="1"/>
  <c r="AB32" i="1"/>
  <c r="T32" i="1"/>
  <c r="AF32" i="1" s="1"/>
  <c r="AB31" i="1"/>
  <c r="T31" i="1"/>
  <c r="AF31" i="1" s="1"/>
  <c r="AB30" i="1"/>
  <c r="T30" i="1"/>
  <c r="AF30" i="1" s="1"/>
  <c r="AB29" i="1"/>
  <c r="T29" i="1"/>
  <c r="AF29" i="1" s="1"/>
  <c r="AB28" i="1"/>
  <c r="T28" i="1"/>
  <c r="AF28" i="1" s="1"/>
  <c r="AB27" i="1"/>
  <c r="T27" i="1"/>
  <c r="AF27" i="1" s="1"/>
  <c r="AB26" i="1"/>
  <c r="T26" i="1"/>
  <c r="AF26" i="1" s="1"/>
  <c r="AB25" i="1"/>
  <c r="T25" i="1"/>
  <c r="AF25" i="1" s="1"/>
  <c r="AB24" i="1"/>
  <c r="T24" i="1"/>
  <c r="AF24" i="1" s="1"/>
  <c r="AB23" i="1"/>
  <c r="T23" i="1"/>
  <c r="AF23" i="1" s="1"/>
  <c r="AB22" i="1"/>
  <c r="T22" i="1"/>
  <c r="AF22" i="1" s="1"/>
  <c r="AB21" i="1"/>
  <c r="T21" i="1"/>
  <c r="AF21" i="1" s="1"/>
  <c r="AB20" i="1"/>
  <c r="T20" i="1"/>
  <c r="AF20" i="1" s="1"/>
  <c r="AB19" i="1"/>
  <c r="T19" i="1"/>
  <c r="AF19" i="1" s="1"/>
  <c r="AB18" i="1"/>
  <c r="T18" i="1"/>
  <c r="AF18" i="1" s="1"/>
  <c r="AB17" i="1"/>
  <c r="T17" i="1"/>
  <c r="AF17" i="1" s="1"/>
  <c r="AB16" i="1"/>
  <c r="T16" i="1"/>
  <c r="AF16" i="1" s="1"/>
  <c r="AB15" i="1"/>
  <c r="T15" i="1"/>
  <c r="AF15" i="1" s="1"/>
  <c r="AB14" i="1"/>
  <c r="T14" i="1"/>
  <c r="AF14" i="1" s="1"/>
  <c r="AB13" i="1"/>
  <c r="T13" i="1"/>
  <c r="AF13" i="1" s="1"/>
  <c r="AB12" i="1"/>
  <c r="T12" i="1"/>
  <c r="AF12" i="1" s="1"/>
  <c r="AB11" i="1"/>
  <c r="T11" i="1"/>
  <c r="AF11" i="1" s="1"/>
  <c r="AB10" i="1"/>
  <c r="T10" i="1"/>
  <c r="AF10" i="1" s="1"/>
  <c r="AB9" i="1"/>
  <c r="T9" i="1"/>
  <c r="AF9" i="1" s="1"/>
  <c r="AB8" i="1"/>
  <c r="T8" i="1"/>
  <c r="AF8" i="1" s="1"/>
  <c r="AB7" i="1"/>
  <c r="T7" i="1"/>
  <c r="AF7" i="1" s="1"/>
  <c r="AB6" i="1"/>
  <c r="T6" i="1"/>
  <c r="AF6" i="1" s="1"/>
  <c r="AB5" i="1"/>
  <c r="T5" i="1"/>
  <c r="AF5" i="1" s="1"/>
  <c r="AB4" i="1"/>
  <c r="T4" i="1"/>
  <c r="AF4" i="1" s="1"/>
  <c r="AB3" i="1"/>
  <c r="T3" i="1"/>
  <c r="AF3" i="1" s="1"/>
  <c r="AB2" i="1"/>
  <c r="T2" i="1"/>
  <c r="AF2" i="1" s="1"/>
  <c r="AC800" i="1" l="1"/>
  <c r="AC884" i="1"/>
  <c r="AC158" i="1"/>
  <c r="AC238" i="1"/>
  <c r="AC294" i="1"/>
  <c r="AC694" i="1"/>
  <c r="AC896" i="1"/>
  <c r="AC1967" i="1"/>
  <c r="AC1983" i="1"/>
  <c r="AC956" i="1"/>
  <c r="AC473" i="1"/>
  <c r="AC745" i="1"/>
  <c r="AC634" i="1"/>
  <c r="AC650" i="1"/>
  <c r="AC906" i="1"/>
  <c r="AC910" i="1"/>
  <c r="AC503" i="1"/>
  <c r="AC511" i="1"/>
  <c r="AC1591" i="1"/>
  <c r="AC1187" i="1"/>
  <c r="AC1298" i="1"/>
  <c r="AC1306" i="1"/>
  <c r="AC1545" i="1"/>
  <c r="AC1712" i="1"/>
  <c r="AC1724" i="1"/>
  <c r="AC412" i="1"/>
  <c r="AC491" i="1"/>
  <c r="AC305" i="1"/>
  <c r="AC1864" i="1"/>
  <c r="AC1719" i="1"/>
  <c r="AC1981" i="1"/>
  <c r="AC740" i="1"/>
  <c r="AC1613" i="1"/>
  <c r="AC1882" i="1"/>
  <c r="AC726" i="1"/>
  <c r="AC784" i="1"/>
  <c r="AC282" i="1"/>
  <c r="AC231" i="1"/>
  <c r="AC263" i="1"/>
  <c r="AC375" i="1"/>
  <c r="AC423" i="1"/>
  <c r="AC172" i="1"/>
  <c r="AC180" i="1"/>
  <c r="AC268" i="1"/>
  <c r="AC340" i="1"/>
  <c r="AC527" i="1"/>
  <c r="AC636" i="1"/>
  <c r="AC716" i="1"/>
  <c r="AC889" i="1"/>
  <c r="AC1245" i="1"/>
  <c r="AC2093" i="1"/>
  <c r="AC1647" i="1"/>
  <c r="AC42" i="1"/>
  <c r="AC58" i="1"/>
  <c r="AC791" i="1"/>
  <c r="AC1321" i="1"/>
  <c r="AC1349" i="1"/>
  <c r="AC1593" i="1"/>
  <c r="AC1742" i="1"/>
  <c r="AC1896" i="1"/>
  <c r="AC478" i="1"/>
  <c r="AC1437" i="1"/>
  <c r="AC577" i="1"/>
  <c r="AC601" i="1"/>
  <c r="AC849" i="1"/>
  <c r="AC1331" i="1"/>
  <c r="AC1858" i="1"/>
  <c r="AC1870" i="1"/>
  <c r="AC551" i="1"/>
  <c r="AC566" i="1"/>
  <c r="AC682" i="1"/>
  <c r="AC854" i="1"/>
  <c r="AC912" i="1"/>
  <c r="AC1456" i="1"/>
  <c r="AC1641" i="1"/>
  <c r="AC1756" i="1"/>
  <c r="AC1759" i="1"/>
  <c r="AC1763" i="1"/>
  <c r="AC1834" i="1"/>
  <c r="AC141" i="1"/>
  <c r="AC422" i="1"/>
  <c r="AC532" i="1"/>
  <c r="AC982" i="1"/>
  <c r="AC1014" i="1"/>
  <c r="AC1127" i="1"/>
  <c r="AC1185" i="1"/>
  <c r="AC1434" i="1"/>
  <c r="AF1437" i="1"/>
  <c r="AC1473" i="1"/>
  <c r="AC1509" i="1"/>
  <c r="AC1527" i="1"/>
  <c r="AC1631" i="1"/>
  <c r="AC1657" i="1"/>
  <c r="AC1700" i="1"/>
  <c r="AC1746" i="1"/>
  <c r="AC1783" i="1"/>
  <c r="AC1803" i="1"/>
  <c r="AC1842" i="1"/>
  <c r="AC1904" i="1"/>
  <c r="AC2003" i="1"/>
  <c r="AC102" i="1"/>
  <c r="AC114" i="1"/>
  <c r="AC118" i="1"/>
  <c r="AC316" i="1"/>
  <c r="AC660" i="1"/>
  <c r="AC668" i="1"/>
  <c r="AC700" i="1"/>
  <c r="AC878" i="1"/>
  <c r="AC1053" i="1"/>
  <c r="AC1057" i="1"/>
  <c r="AC1322" i="1"/>
  <c r="AC1792" i="1"/>
  <c r="AC1796" i="1"/>
  <c r="AC537" i="1"/>
  <c r="AC1128" i="1"/>
  <c r="AC1454" i="1"/>
  <c r="AC1486" i="1"/>
  <c r="AC1498" i="1"/>
  <c r="AF1593" i="1"/>
  <c r="AC1701" i="1"/>
  <c r="AF1712" i="1"/>
  <c r="AC2023" i="1"/>
  <c r="AC572" i="1"/>
  <c r="AC596" i="1"/>
  <c r="AC638" i="1"/>
  <c r="AC805" i="1"/>
  <c r="AC837" i="1"/>
  <c r="AC933" i="1"/>
  <c r="AC1587" i="1"/>
  <c r="AC1605" i="1"/>
  <c r="AC1621" i="1"/>
  <c r="AC1694" i="1"/>
  <c r="AC1702" i="1"/>
  <c r="AF1724" i="1"/>
  <c r="AC1732" i="1"/>
  <c r="AC1898" i="1"/>
  <c r="AC1914" i="1"/>
  <c r="AC456" i="1"/>
  <c r="AC472" i="1"/>
  <c r="AC523" i="1"/>
  <c r="AC794" i="1"/>
  <c r="AC942" i="1"/>
  <c r="AC1250" i="1"/>
  <c r="AC1296" i="1"/>
  <c r="AC1407" i="1"/>
  <c r="AC516" i="1"/>
  <c r="AC865" i="1"/>
  <c r="AC1146" i="1"/>
  <c r="AC1438" i="1"/>
  <c r="AC1472" i="1"/>
  <c r="AC1535" i="1"/>
  <c r="AC1569" i="1"/>
  <c r="AC1581" i="1"/>
  <c r="AC1709" i="1"/>
  <c r="AC1727" i="1"/>
  <c r="AC1886" i="1"/>
  <c r="AC1930" i="1"/>
  <c r="AC193" i="1"/>
  <c r="AC221" i="1"/>
  <c r="AC311" i="1"/>
  <c r="AC424" i="1"/>
  <c r="AC520" i="1"/>
  <c r="AC567" i="1"/>
  <c r="AC604" i="1"/>
  <c r="AF906" i="1"/>
  <c r="AC948" i="1"/>
  <c r="AC977" i="1"/>
  <c r="AC1020" i="1"/>
  <c r="AC1163" i="1"/>
  <c r="AC1585" i="1"/>
  <c r="AC1692" i="1"/>
  <c r="AF1702" i="1"/>
  <c r="AC1721" i="1"/>
  <c r="AF1746" i="1"/>
  <c r="AC1764" i="1"/>
  <c r="AC1768" i="1"/>
  <c r="AC1793" i="1"/>
  <c r="AC1850" i="1"/>
  <c r="AC1920" i="1"/>
  <c r="AC2079" i="1"/>
  <c r="AC134" i="1"/>
  <c r="AC1136" i="1"/>
  <c r="AC1751" i="1"/>
  <c r="AC136" i="1"/>
  <c r="AC529" i="1"/>
  <c r="AC564" i="1"/>
  <c r="AC582" i="1"/>
  <c r="AC613" i="1"/>
  <c r="AC639" i="1"/>
  <c r="AF794" i="1"/>
  <c r="AC1021" i="1"/>
  <c r="AC1025" i="1"/>
  <c r="AC1041" i="1"/>
  <c r="AC1370" i="1"/>
  <c r="AC1470" i="1"/>
  <c r="AC1575" i="1"/>
  <c r="AC1607" i="1"/>
  <c r="AF1621" i="1"/>
  <c r="AC1625" i="1"/>
  <c r="AF1647" i="1"/>
  <c r="AC1697" i="1"/>
  <c r="AC1704" i="1"/>
  <c r="AC1707" i="1"/>
  <c r="AC1722" i="1"/>
  <c r="AC1744" i="1"/>
  <c r="AC1776" i="1"/>
  <c r="AC1784" i="1"/>
  <c r="AC1798" i="1"/>
  <c r="AC1806" i="1"/>
  <c r="AC1866" i="1"/>
  <c r="AC1928" i="1"/>
  <c r="AC538" i="1"/>
  <c r="AC764" i="1"/>
  <c r="AC1555" i="1"/>
  <c r="AC1791" i="1"/>
  <c r="AC444" i="1"/>
  <c r="AF532" i="1"/>
  <c r="AF700" i="1"/>
  <c r="AC901" i="1"/>
  <c r="AC1038" i="1"/>
  <c r="AC1111" i="1"/>
  <c r="AC1242" i="1"/>
  <c r="AF1245" i="1"/>
  <c r="AC1467" i="1"/>
  <c r="AF1509" i="1"/>
  <c r="AC1523" i="1"/>
  <c r="AC1601" i="1"/>
  <c r="AC1655" i="1"/>
  <c r="AC1663" i="1"/>
  <c r="AC1734" i="1"/>
  <c r="AC1848" i="1"/>
  <c r="AF1896" i="1"/>
  <c r="AC1910" i="1"/>
  <c r="AC1955" i="1"/>
  <c r="AC2097" i="1"/>
  <c r="AC138" i="1"/>
  <c r="AF158" i="1"/>
  <c r="AC1290" i="1"/>
  <c r="AC1801" i="1"/>
  <c r="AC1939" i="1"/>
  <c r="AC286" i="1"/>
  <c r="AC391" i="1"/>
  <c r="AC407" i="1"/>
  <c r="AC430" i="1"/>
  <c r="AC455" i="1"/>
  <c r="AC504" i="1"/>
  <c r="AF529" i="1"/>
  <c r="AC599" i="1"/>
  <c r="AC617" i="1"/>
  <c r="AC678" i="1"/>
  <c r="AC902" i="1"/>
  <c r="AC920" i="1"/>
  <c r="AC950" i="1"/>
  <c r="AC980" i="1"/>
  <c r="AC1130" i="1"/>
  <c r="AC1261" i="1"/>
  <c r="AC1479" i="1"/>
  <c r="AC1495" i="1"/>
  <c r="AC1766" i="1"/>
  <c r="AC1249" i="1"/>
  <c r="AF1249" i="1"/>
  <c r="AC1363" i="1"/>
  <c r="AF1363" i="1"/>
  <c r="AC1674" i="1"/>
  <c r="AF1674" i="1"/>
  <c r="AF388" i="1"/>
  <c r="AC388" i="1"/>
  <c r="AC32" i="1"/>
  <c r="AC300" i="1"/>
  <c r="AC524" i="1"/>
  <c r="AC1042" i="1"/>
  <c r="AF1042" i="1"/>
  <c r="AF1096" i="1"/>
  <c r="AC1096" i="1"/>
  <c r="AF1736" i="1"/>
  <c r="AC1736" i="1"/>
  <c r="AF1840" i="1"/>
  <c r="AC1840" i="1"/>
  <c r="AC10" i="1"/>
  <c r="AF503" i="1"/>
  <c r="AF1633" i="1"/>
  <c r="AC1633" i="1"/>
  <c r="AF238" i="1"/>
  <c r="AC420" i="1"/>
  <c r="AC570" i="1"/>
  <c r="AC1070" i="1"/>
  <c r="AF1070" i="1"/>
  <c r="AC1257" i="1"/>
  <c r="AF1257" i="1"/>
  <c r="AF692" i="1"/>
  <c r="AC692" i="1"/>
  <c r="AF748" i="1"/>
  <c r="AC748" i="1"/>
  <c r="AC846" i="1"/>
  <c r="AF846" i="1"/>
  <c r="AF1045" i="1"/>
  <c r="AC1045" i="1"/>
  <c r="AF1912" i="1"/>
  <c r="AC1912" i="1"/>
  <c r="AC78" i="1"/>
  <c r="AF263" i="1"/>
  <c r="AC404" i="1"/>
  <c r="AF1038" i="1"/>
  <c r="AF1111" i="1"/>
  <c r="AC220" i="1"/>
  <c r="AF428" i="1"/>
  <c r="AC428" i="1"/>
  <c r="AC500" i="1"/>
  <c r="AC623" i="1"/>
  <c r="AF623" i="1"/>
  <c r="AF1009" i="1"/>
  <c r="AC1009" i="1"/>
  <c r="AC1295" i="1"/>
  <c r="AF1295" i="1"/>
  <c r="AC1424" i="1"/>
  <c r="AF1424" i="1"/>
  <c r="AF1720" i="1"/>
  <c r="AC1720" i="1"/>
  <c r="AC26" i="1"/>
  <c r="AC140" i="1"/>
  <c r="AC156" i="1"/>
  <c r="AC175" i="1"/>
  <c r="AC190" i="1"/>
  <c r="AC198" i="1"/>
  <c r="AC247" i="1"/>
  <c r="AC254" i="1"/>
  <c r="AF294" i="1"/>
  <c r="AC298" i="1"/>
  <c r="AC394" i="1"/>
  <c r="AC460" i="1"/>
  <c r="AC543" i="1"/>
  <c r="AC550" i="1"/>
  <c r="AC574" i="1"/>
  <c r="AC772" i="1"/>
  <c r="AC978" i="1"/>
  <c r="AF978" i="1"/>
  <c r="AF1450" i="1"/>
  <c r="AC1450" i="1"/>
  <c r="AF1623" i="1"/>
  <c r="AC1623" i="1"/>
  <c r="AF1649" i="1"/>
  <c r="AC1649" i="1"/>
  <c r="AC1948" i="1"/>
  <c r="AF1948" i="1"/>
  <c r="AF577" i="1"/>
  <c r="AC1232" i="1"/>
  <c r="AF1376" i="1"/>
  <c r="AC1376" i="1"/>
  <c r="AF1922" i="1"/>
  <c r="AC1922" i="1"/>
  <c r="AC74" i="1"/>
  <c r="AC104" i="1"/>
  <c r="AC1880" i="1"/>
  <c r="AF1880" i="1"/>
  <c r="AC86" i="1"/>
  <c r="AF800" i="1"/>
  <c r="AC120" i="1"/>
  <c r="AF412" i="1"/>
  <c r="AF601" i="1"/>
  <c r="AF981" i="1"/>
  <c r="AC981" i="1"/>
  <c r="AC1235" i="1"/>
  <c r="AF1235" i="1"/>
  <c r="AC126" i="1"/>
  <c r="AC153" i="1"/>
  <c r="AC202" i="1"/>
  <c r="AC222" i="1"/>
  <c r="AC252" i="1"/>
  <c r="AC319" i="1"/>
  <c r="AC330" i="1"/>
  <c r="AC356" i="1"/>
  <c r="AC372" i="1"/>
  <c r="AC447" i="1"/>
  <c r="AC465" i="1"/>
  <c r="AC476" i="1"/>
  <c r="AF476" i="1"/>
  <c r="AF543" i="1"/>
  <c r="AF574" i="1"/>
  <c r="AC873" i="1"/>
  <c r="AC892" i="1"/>
  <c r="AC946" i="1"/>
  <c r="AC957" i="1"/>
  <c r="AC1048" i="1"/>
  <c r="AF1048" i="1"/>
  <c r="AC1100" i="1"/>
  <c r="AF1126" i="1"/>
  <c r="AC1126" i="1"/>
  <c r="AC1301" i="1"/>
  <c r="AF1301" i="1"/>
  <c r="AC1475" i="1"/>
  <c r="AF1475" i="1"/>
  <c r="AC1563" i="1"/>
  <c r="AC1729" i="1"/>
  <c r="AC762" i="1"/>
  <c r="AC885" i="1"/>
  <c r="AC1549" i="1"/>
  <c r="AF1699" i="1"/>
  <c r="AC1699" i="1"/>
  <c r="AC1741" i="1"/>
  <c r="AC94" i="1"/>
  <c r="AC176" i="1"/>
  <c r="AC191" i="1"/>
  <c r="AC209" i="1"/>
  <c r="AC278" i="1"/>
  <c r="AC346" i="1"/>
  <c r="AC392" i="1"/>
  <c r="AC410" i="1"/>
  <c r="AC431" i="1"/>
  <c r="AC442" i="1"/>
  <c r="AC462" i="1"/>
  <c r="AC552" i="1"/>
  <c r="AC559" i="1"/>
  <c r="AC575" i="1"/>
  <c r="AC724" i="1"/>
  <c r="AC756" i="1"/>
  <c r="AF756" i="1"/>
  <c r="AC813" i="1"/>
  <c r="AC922" i="1"/>
  <c r="AC936" i="1"/>
  <c r="AF936" i="1"/>
  <c r="AC1006" i="1"/>
  <c r="AF1006" i="1"/>
  <c r="AC1317" i="1"/>
  <c r="AF1317" i="1"/>
  <c r="AC1451" i="1"/>
  <c r="AF1451" i="1"/>
  <c r="AC1937" i="1"/>
  <c r="AF2003" i="1"/>
  <c r="AC2019" i="1"/>
  <c r="AF2019" i="1"/>
  <c r="AF668" i="1"/>
  <c r="AC711" i="1"/>
  <c r="AF711" i="1"/>
  <c r="AF745" i="1"/>
  <c r="AC925" i="1"/>
  <c r="AF1127" i="1"/>
  <c r="AF1130" i="1"/>
  <c r="AC1157" i="1"/>
  <c r="AF1157" i="1"/>
  <c r="AF1248" i="1"/>
  <c r="AC1248" i="1"/>
  <c r="AC1303" i="1"/>
  <c r="AF1303" i="1"/>
  <c r="AF1314" i="1"/>
  <c r="AC1314" i="1"/>
  <c r="AC1360" i="1"/>
  <c r="AC1489" i="1"/>
  <c r="AF1489" i="1"/>
  <c r="AC1639" i="1"/>
  <c r="AF1665" i="1"/>
  <c r="AC1665" i="1"/>
  <c r="AF1774" i="1"/>
  <c r="AC1774" i="1"/>
  <c r="AF1806" i="1"/>
  <c r="AF1856" i="1"/>
  <c r="AC1856" i="1"/>
  <c r="AC88" i="1"/>
  <c r="AC106" i="1"/>
  <c r="AC110" i="1"/>
  <c r="AC151" i="1"/>
  <c r="AC173" i="1"/>
  <c r="AC192" i="1"/>
  <c r="AC260" i="1"/>
  <c r="AC296" i="1"/>
  <c r="AC303" i="1"/>
  <c r="AC333" i="1"/>
  <c r="AC351" i="1"/>
  <c r="AC359" i="1"/>
  <c r="AC378" i="1"/>
  <c r="AC452" i="1"/>
  <c r="AC463" i="1"/>
  <c r="AC481" i="1"/>
  <c r="AC522" i="1"/>
  <c r="AC526" i="1"/>
  <c r="AC539" i="1"/>
  <c r="AC585" i="1"/>
  <c r="AC822" i="1"/>
  <c r="AF822" i="1"/>
  <c r="AC861" i="1"/>
  <c r="AC898" i="1"/>
  <c r="AF922" i="1"/>
  <c r="AF980" i="1"/>
  <c r="AC988" i="1"/>
  <c r="AF1073" i="1"/>
  <c r="AC1073" i="1"/>
  <c r="AF1077" i="1"/>
  <c r="AC1077" i="1"/>
  <c r="AC1255" i="1"/>
  <c r="AF1255" i="1"/>
  <c r="AC1458" i="1"/>
  <c r="AF1458" i="1"/>
  <c r="AC1573" i="1"/>
  <c r="AC1710" i="1"/>
  <c r="AF1714" i="1"/>
  <c r="AC1714" i="1"/>
  <c r="AF1739" i="1"/>
  <c r="AC1739" i="1"/>
  <c r="AC1754" i="1"/>
  <c r="AC1789" i="1"/>
  <c r="AC916" i="1"/>
  <c r="AC926" i="1"/>
  <c r="AC930" i="1"/>
  <c r="AC961" i="1"/>
  <c r="AC1010" i="1"/>
  <c r="AC1052" i="1"/>
  <c r="AC1131" i="1"/>
  <c r="AC1149" i="1"/>
  <c r="AC1167" i="1"/>
  <c r="AC1200" i="1"/>
  <c r="AC1229" i="1"/>
  <c r="AC1239" i="1"/>
  <c r="AC1357" i="1"/>
  <c r="AC1367" i="1"/>
  <c r="AC1395" i="1"/>
  <c r="AC1522" i="1"/>
  <c r="AC1661" i="1"/>
  <c r="AC1779" i="1"/>
  <c r="AC1786" i="1"/>
  <c r="AC1941" i="1"/>
  <c r="AC1952" i="1"/>
  <c r="AC614" i="1"/>
  <c r="AC652" i="1"/>
  <c r="AC730" i="1"/>
  <c r="AC868" i="1"/>
  <c r="AC900" i="1"/>
  <c r="AC909" i="1"/>
  <c r="AC924" i="1"/>
  <c r="AC965" i="1"/>
  <c r="AC989" i="1"/>
  <c r="AC1046" i="1"/>
  <c r="AF1131" i="1"/>
  <c r="AC1218" i="1"/>
  <c r="AC1226" i="1"/>
  <c r="AF1229" i="1"/>
  <c r="AF1239" i="1"/>
  <c r="AC1354" i="1"/>
  <c r="AF1357" i="1"/>
  <c r="AF1367" i="1"/>
  <c r="AC1392" i="1"/>
  <c r="AF1395" i="1"/>
  <c r="AC1410" i="1"/>
  <c r="AC1466" i="1"/>
  <c r="AC1517" i="1"/>
  <c r="AC1533" i="1"/>
  <c r="AC1561" i="1"/>
  <c r="AC1567" i="1"/>
  <c r="AC1599" i="1"/>
  <c r="AC1617" i="1"/>
  <c r="AC1672" i="1"/>
  <c r="AC1717" i="1"/>
  <c r="AC1761" i="1"/>
  <c r="AC1846" i="1"/>
  <c r="AC1874" i="1"/>
  <c r="AC1890" i="1"/>
  <c r="AC1906" i="1"/>
  <c r="AF1952" i="1"/>
  <c r="AC1997" i="1"/>
  <c r="AC1520" i="1"/>
  <c r="AC1547" i="1"/>
  <c r="AC1794" i="1"/>
  <c r="AC1804" i="1"/>
  <c r="AC1826" i="1"/>
  <c r="AC1936" i="1"/>
  <c r="AC1949" i="1"/>
  <c r="AC1963" i="1"/>
  <c r="AC2077" i="1"/>
  <c r="AC612" i="1"/>
  <c r="AC618" i="1"/>
  <c r="AC838" i="1"/>
  <c r="AC852" i="1"/>
  <c r="AF868" i="1"/>
  <c r="AC890" i="1"/>
  <c r="AC897" i="1"/>
  <c r="AF900" i="1"/>
  <c r="AC904" i="1"/>
  <c r="AC914" i="1"/>
  <c r="AC921" i="1"/>
  <c r="AF924" i="1"/>
  <c r="AC928" i="1"/>
  <c r="AC945" i="1"/>
  <c r="AC974" i="1"/>
  <c r="AC993" i="1"/>
  <c r="AC1012" i="1"/>
  <c r="AC1044" i="1"/>
  <c r="AC1099" i="1"/>
  <c r="AC1154" i="1"/>
  <c r="AC1169" i="1"/>
  <c r="AC1253" i="1"/>
  <c r="AC1293" i="1"/>
  <c r="AC1299" i="1"/>
  <c r="AC1309" i="1"/>
  <c r="AC1386" i="1"/>
  <c r="AC1436" i="1"/>
  <c r="AC1514" i="1"/>
  <c r="AF1517" i="1"/>
  <c r="AC1609" i="1"/>
  <c r="AC1615" i="1"/>
  <c r="AC1679" i="1"/>
  <c r="AC1686" i="1"/>
  <c r="AC1731" i="1"/>
  <c r="AC1762" i="1"/>
  <c r="AC1872" i="1"/>
  <c r="AC1888" i="1"/>
  <c r="AF1187" i="1"/>
  <c r="AC1203" i="1"/>
  <c r="AC1312" i="1"/>
  <c r="AF1321" i="1"/>
  <c r="AC1372" i="1"/>
  <c r="AC1394" i="1"/>
  <c r="AF1407" i="1"/>
  <c r="AF1467" i="1"/>
  <c r="AF1473" i="1"/>
  <c r="AF1479" i="1"/>
  <c r="AC1552" i="1"/>
  <c r="AC1683" i="1"/>
  <c r="AC1749" i="1"/>
  <c r="AC1781" i="1"/>
  <c r="AC1812" i="1"/>
  <c r="AF1936" i="1"/>
  <c r="AC1957" i="1"/>
  <c r="AC1971" i="1"/>
  <c r="AC2013" i="1"/>
  <c r="AC2047" i="1"/>
  <c r="AC607" i="1"/>
  <c r="AF607" i="1"/>
  <c r="AC647" i="1"/>
  <c r="AF647" i="1"/>
  <c r="AC934" i="1"/>
  <c r="AF934" i="1"/>
  <c r="AC1207" i="1"/>
  <c r="AF1207" i="1"/>
  <c r="AC1221" i="1"/>
  <c r="AF1221" i="1"/>
  <c r="AF1667" i="1"/>
  <c r="AC1667" i="1"/>
  <c r="AF1698" i="1"/>
  <c r="AC1698" i="1"/>
  <c r="AC366" i="1"/>
  <c r="AF366" i="1"/>
  <c r="AF941" i="1"/>
  <c r="AC941" i="1"/>
  <c r="AF1908" i="1"/>
  <c r="AC1908" i="1"/>
  <c r="AC20" i="1"/>
  <c r="AC68" i="1"/>
  <c r="AF556" i="1"/>
  <c r="AC556" i="1"/>
  <c r="AF628" i="1"/>
  <c r="AC628" i="1"/>
  <c r="AC62" i="1"/>
  <c r="AC82" i="1"/>
  <c r="AF170" i="1"/>
  <c r="AC170" i="1"/>
  <c r="AC542" i="1"/>
  <c r="AF542" i="1"/>
  <c r="AF732" i="1"/>
  <c r="AC732" i="1"/>
  <c r="AC1036" i="1"/>
  <c r="AF1036" i="1"/>
  <c r="AF1611" i="1"/>
  <c r="AC1611" i="1"/>
  <c r="AC24" i="1"/>
  <c r="AC56" i="1"/>
  <c r="AC72" i="1"/>
  <c r="AC130" i="1"/>
  <c r="AC348" i="1"/>
  <c r="AC439" i="1"/>
  <c r="AF439" i="1"/>
  <c r="AF465" i="1"/>
  <c r="AC507" i="1"/>
  <c r="AF507" i="1"/>
  <c r="AC553" i="1"/>
  <c r="AF553" i="1"/>
  <c r="AC591" i="1"/>
  <c r="AF591" i="1"/>
  <c r="AC644" i="1"/>
  <c r="AC719" i="1"/>
  <c r="AF719" i="1"/>
  <c r="AC725" i="1"/>
  <c r="AF725" i="1"/>
  <c r="AF817" i="1"/>
  <c r="AC817" i="1"/>
  <c r="AF821" i="1"/>
  <c r="AC821" i="1"/>
  <c r="AC1098" i="1"/>
  <c r="AF1098" i="1"/>
  <c r="AC1135" i="1"/>
  <c r="AF1135" i="1"/>
  <c r="AF1149" i="1"/>
  <c r="AC2045" i="1"/>
  <c r="AF2045" i="1"/>
  <c r="AC2049" i="1"/>
  <c r="AF2049" i="1"/>
  <c r="AC972" i="1"/>
  <c r="AF972" i="1"/>
  <c r="AC1062" i="1"/>
  <c r="AF1062" i="1"/>
  <c r="AF1902" i="1"/>
  <c r="AC1902" i="1"/>
  <c r="AC4" i="1"/>
  <c r="AC36" i="1"/>
  <c r="AC52" i="1"/>
  <c r="AC590" i="1"/>
  <c r="AF590" i="1"/>
  <c r="AC14" i="1"/>
  <c r="AC30" i="1"/>
  <c r="AC367" i="1"/>
  <c r="AF367" i="1"/>
  <c r="AC382" i="1"/>
  <c r="AF382" i="1"/>
  <c r="AC8" i="1"/>
  <c r="AC76" i="1"/>
  <c r="AF156" i="1"/>
  <c r="AF206" i="1"/>
  <c r="AC206" i="1"/>
  <c r="AF436" i="1"/>
  <c r="AC436" i="1"/>
  <c r="AF462" i="1"/>
  <c r="AF566" i="1"/>
  <c r="AC622" i="1"/>
  <c r="AF622" i="1"/>
  <c r="AF638" i="1"/>
  <c r="AC697" i="1"/>
  <c r="AF697" i="1"/>
  <c r="AC703" i="1"/>
  <c r="AF703" i="1"/>
  <c r="AC742" i="1"/>
  <c r="AF742" i="1"/>
  <c r="AF853" i="1"/>
  <c r="AC853" i="1"/>
  <c r="AC908" i="1"/>
  <c r="AF908" i="1"/>
  <c r="AF928" i="1"/>
  <c r="AC932" i="1"/>
  <c r="AF932" i="1"/>
  <c r="AF1001" i="1"/>
  <c r="AC1001" i="1"/>
  <c r="AF1005" i="1"/>
  <c r="AC1005" i="1"/>
  <c r="AF1033" i="1"/>
  <c r="AC1033" i="1"/>
  <c r="AF1037" i="1"/>
  <c r="AC1037" i="1"/>
  <c r="AC34" i="1"/>
  <c r="AC28" i="1"/>
  <c r="AC44" i="1"/>
  <c r="AC60" i="1"/>
  <c r="AF252" i="1"/>
  <c r="AC276" i="1"/>
  <c r="AC310" i="1"/>
  <c r="AC364" i="1"/>
  <c r="AC398" i="1"/>
  <c r="AF398" i="1"/>
  <c r="AC487" i="1"/>
  <c r="AF487" i="1"/>
  <c r="AF508" i="1"/>
  <c r="AC508" i="1"/>
  <c r="AC661" i="1"/>
  <c r="AF661" i="1"/>
  <c r="AF793" i="1"/>
  <c r="AC793" i="1"/>
  <c r="AF829" i="1"/>
  <c r="AC829" i="1"/>
  <c r="AC984" i="1"/>
  <c r="AF984" i="1"/>
  <c r="AC1016" i="1"/>
  <c r="AF1016" i="1"/>
  <c r="AC1259" i="1"/>
  <c r="AF1259" i="1"/>
  <c r="AC1289" i="1"/>
  <c r="AF1289" i="1"/>
  <c r="AC1305" i="1"/>
  <c r="AF1305" i="1"/>
  <c r="AC1347" i="1"/>
  <c r="AF1347" i="1"/>
  <c r="AC1493" i="1"/>
  <c r="AF1493" i="1"/>
  <c r="AF1504" i="1"/>
  <c r="AC1504" i="1"/>
  <c r="AC757" i="1"/>
  <c r="AF757" i="1"/>
  <c r="AC1066" i="1"/>
  <c r="AF1066" i="1"/>
  <c r="AC1114" i="1"/>
  <c r="AF1114" i="1"/>
  <c r="AF1152" i="1"/>
  <c r="AC1152" i="1"/>
  <c r="AF1408" i="1"/>
  <c r="AC1408" i="1"/>
  <c r="AC489" i="1"/>
  <c r="AF489" i="1"/>
  <c r="AC2" i="1"/>
  <c r="AC50" i="1"/>
  <c r="AC12" i="1"/>
  <c r="AC98" i="1"/>
  <c r="AC6" i="1"/>
  <c r="AC22" i="1"/>
  <c r="AC38" i="1"/>
  <c r="AC54" i="1"/>
  <c r="AC70" i="1"/>
  <c r="AC80" i="1"/>
  <c r="AC301" i="1"/>
  <c r="AF301" i="1"/>
  <c r="AC332" i="1"/>
  <c r="AC474" i="1"/>
  <c r="AF585" i="1"/>
  <c r="AC588" i="1"/>
  <c r="AF599" i="1"/>
  <c r="AC655" i="1"/>
  <c r="AF655" i="1"/>
  <c r="AC775" i="1"/>
  <c r="AF775" i="1"/>
  <c r="AC778" i="1"/>
  <c r="AC1237" i="1"/>
  <c r="AF1237" i="1"/>
  <c r="AC1247" i="1"/>
  <c r="AF1247" i="1"/>
  <c r="AC1271" i="1"/>
  <c r="AF1271" i="1"/>
  <c r="AF1282" i="1"/>
  <c r="AC1282" i="1"/>
  <c r="AC1365" i="1"/>
  <c r="AF1365" i="1"/>
  <c r="AC184" i="1"/>
  <c r="AF184" i="1"/>
  <c r="AC750" i="1"/>
  <c r="AF750" i="1"/>
  <c r="AC1177" i="1"/>
  <c r="AF1177" i="1"/>
  <c r="AF1892" i="1"/>
  <c r="AC1892" i="1"/>
  <c r="AC767" i="1"/>
  <c r="AF767" i="1"/>
  <c r="AC952" i="1"/>
  <c r="AF952" i="1"/>
  <c r="AC46" i="1"/>
  <c r="AC279" i="1"/>
  <c r="AF279" i="1"/>
  <c r="AF316" i="1"/>
  <c r="AC751" i="1"/>
  <c r="AF751" i="1"/>
  <c r="AF835" i="1"/>
  <c r="AC835" i="1"/>
  <c r="AC40" i="1"/>
  <c r="AC18" i="1"/>
  <c r="AC66" i="1"/>
  <c r="AC16" i="1"/>
  <c r="AC48" i="1"/>
  <c r="AC64" i="1"/>
  <c r="AC218" i="1"/>
  <c r="AC236" i="1"/>
  <c r="AC270" i="1"/>
  <c r="AC285" i="1"/>
  <c r="AC326" i="1"/>
  <c r="AC350" i="1"/>
  <c r="AF350" i="1"/>
  <c r="AF362" i="1"/>
  <c r="AC362" i="1"/>
  <c r="AC471" i="1"/>
  <c r="AF471" i="1"/>
  <c r="AC492" i="1"/>
  <c r="AC505" i="1"/>
  <c r="AF505" i="1"/>
  <c r="AF527" i="1"/>
  <c r="AF548" i="1"/>
  <c r="AC548" i="1"/>
  <c r="AC555" i="1"/>
  <c r="AF555" i="1"/>
  <c r="AC583" i="1"/>
  <c r="AF583" i="1"/>
  <c r="AC593" i="1"/>
  <c r="AF593" i="1"/>
  <c r="AF596" i="1"/>
  <c r="AC646" i="1"/>
  <c r="AF646" i="1"/>
  <c r="AC708" i="1"/>
  <c r="AF708" i="1"/>
  <c r="AC763" i="1"/>
  <c r="AF763" i="1"/>
  <c r="AC786" i="1"/>
  <c r="AF786" i="1"/>
  <c r="AF892" i="1"/>
  <c r="AC92" i="1"/>
  <c r="AC108" i="1"/>
  <c r="AC124" i="1"/>
  <c r="AC143" i="1"/>
  <c r="AC159" i="1"/>
  <c r="AC179" i="1"/>
  <c r="AC188" i="1"/>
  <c r="AC200" i="1"/>
  <c r="AC215" i="1"/>
  <c r="AC239" i="1"/>
  <c r="AC255" i="1"/>
  <c r="AC289" i="1"/>
  <c r="AC295" i="1"/>
  <c r="AC335" i="1"/>
  <c r="AC376" i="1"/>
  <c r="AC426" i="1"/>
  <c r="AC457" i="1"/>
  <c r="AC468" i="1"/>
  <c r="AC475" i="1"/>
  <c r="AC495" i="1"/>
  <c r="AC510" i="1"/>
  <c r="AC513" i="1"/>
  <c r="AC519" i="1"/>
  <c r="AC536" i="1"/>
  <c r="AC558" i="1"/>
  <c r="AC569" i="1"/>
  <c r="AC580" i="1"/>
  <c r="AC602" i="1"/>
  <c r="AC630" i="1"/>
  <c r="AC633" i="1"/>
  <c r="AF698" i="1"/>
  <c r="AC698" i="1"/>
  <c r="AC729" i="1"/>
  <c r="AF729" i="1"/>
  <c r="AC814" i="1"/>
  <c r="AF814" i="1"/>
  <c r="AC836" i="1"/>
  <c r="AF836" i="1"/>
  <c r="AC938" i="1"/>
  <c r="AF938" i="1"/>
  <c r="AC998" i="1"/>
  <c r="AF998" i="1"/>
  <c r="AC1002" i="1"/>
  <c r="AF1002" i="1"/>
  <c r="AC1040" i="1"/>
  <c r="AF1040" i="1"/>
  <c r="AC1231" i="1"/>
  <c r="AF1231" i="1"/>
  <c r="AF1264" i="1"/>
  <c r="AC1264" i="1"/>
  <c r="AC1329" i="1"/>
  <c r="AF1329" i="1"/>
  <c r="AF1344" i="1"/>
  <c r="AC1344" i="1"/>
  <c r="AC1359" i="1"/>
  <c r="AF1359" i="1"/>
  <c r="AC1442" i="1"/>
  <c r="AF1442" i="1"/>
  <c r="AC1483" i="1"/>
  <c r="AF1483" i="1"/>
  <c r="AC1490" i="1"/>
  <c r="AF1490" i="1"/>
  <c r="AC1501" i="1"/>
  <c r="AF1501" i="1"/>
  <c r="AF1551" i="1"/>
  <c r="AC1551" i="1"/>
  <c r="AC1583" i="1"/>
  <c r="AF1790" i="1"/>
  <c r="AC1790" i="1"/>
  <c r="AC96" i="1"/>
  <c r="AC112" i="1"/>
  <c r="AC128" i="1"/>
  <c r="AC154" i="1"/>
  <c r="AC157" i="1"/>
  <c r="AC167" i="1"/>
  <c r="AC182" i="1"/>
  <c r="AC189" i="1"/>
  <c r="AF215" i="1"/>
  <c r="AC234" i="1"/>
  <c r="AC237" i="1"/>
  <c r="AC250" i="1"/>
  <c r="AC253" i="1"/>
  <c r="AC271" i="1"/>
  <c r="AC314" i="1"/>
  <c r="AC317" i="1"/>
  <c r="AF376" i="1"/>
  <c r="AC414" i="1"/>
  <c r="AC490" i="1"/>
  <c r="AC663" i="1"/>
  <c r="AF663" i="1"/>
  <c r="AC666" i="1"/>
  <c r="AC695" i="1"/>
  <c r="AF695" i="1"/>
  <c r="AC705" i="1"/>
  <c r="AF705" i="1"/>
  <c r="AC780" i="1"/>
  <c r="AF780" i="1"/>
  <c r="AF811" i="1"/>
  <c r="AC811" i="1"/>
  <c r="AC976" i="1"/>
  <c r="AF976" i="1"/>
  <c r="AC1068" i="1"/>
  <c r="AF1068" i="1"/>
  <c r="AF1081" i="1"/>
  <c r="AC1081" i="1"/>
  <c r="AC1197" i="1"/>
  <c r="AF1197" i="1"/>
  <c r="AC1421" i="1"/>
  <c r="AF1421" i="1"/>
  <c r="AC1471" i="1"/>
  <c r="AF1471" i="1"/>
  <c r="AC1484" i="1"/>
  <c r="AF1484" i="1"/>
  <c r="AC1524" i="1"/>
  <c r="AF1524" i="1"/>
  <c r="AF1559" i="1"/>
  <c r="AC1559" i="1"/>
  <c r="AC1571" i="1"/>
  <c r="AF1597" i="1"/>
  <c r="AC1597" i="1"/>
  <c r="AF1637" i="1"/>
  <c r="AC1637" i="1"/>
  <c r="AF1777" i="1"/>
  <c r="AC1777" i="1"/>
  <c r="AC90" i="1"/>
  <c r="AC122" i="1"/>
  <c r="AC484" i="1"/>
  <c r="AC586" i="1"/>
  <c r="AC606" i="1"/>
  <c r="AC609" i="1"/>
  <c r="AC631" i="1"/>
  <c r="AF676" i="1"/>
  <c r="AC676" i="1"/>
  <c r="AC771" i="1"/>
  <c r="AF771" i="1"/>
  <c r="AC798" i="1"/>
  <c r="AC830" i="1"/>
  <c r="AF830" i="1"/>
  <c r="AF969" i="1"/>
  <c r="AC969" i="1"/>
  <c r="AF973" i="1"/>
  <c r="AC973" i="1"/>
  <c r="AC1030" i="1"/>
  <c r="AF1030" i="1"/>
  <c r="AC1034" i="1"/>
  <c r="AF1034" i="1"/>
  <c r="AC1072" i="1"/>
  <c r="AF1072" i="1"/>
  <c r="AC1143" i="1"/>
  <c r="AF1143" i="1"/>
  <c r="AC1183" i="1"/>
  <c r="AF1183" i="1"/>
  <c r="AC1307" i="1"/>
  <c r="AF1307" i="1"/>
  <c r="AC1323" i="1"/>
  <c r="AF1323" i="1"/>
  <c r="AC1388" i="1"/>
  <c r="AF1388" i="1"/>
  <c r="AF1916" i="1"/>
  <c r="AC1916" i="1"/>
  <c r="AF1926" i="1"/>
  <c r="AC1926" i="1"/>
  <c r="AC1932" i="1"/>
  <c r="AF1932" i="1"/>
  <c r="AC84" i="1"/>
  <c r="AC100" i="1"/>
  <c r="AC116" i="1"/>
  <c r="AC132" i="1"/>
  <c r="AC145" i="1"/>
  <c r="AF151" i="1"/>
  <c r="AC155" i="1"/>
  <c r="AC161" i="1"/>
  <c r="AF167" i="1"/>
  <c r="AC183" i="1"/>
  <c r="AF189" i="1"/>
  <c r="AC199" i="1"/>
  <c r="AC204" i="1"/>
  <c r="AC225" i="1"/>
  <c r="AF231" i="1"/>
  <c r="AC241" i="1"/>
  <c r="AF247" i="1"/>
  <c r="AC266" i="1"/>
  <c r="AC269" i="1"/>
  <c r="AC284" i="1"/>
  <c r="AC287" i="1"/>
  <c r="AC302" i="1"/>
  <c r="AC318" i="1"/>
  <c r="AC324" i="1"/>
  <c r="AC327" i="1"/>
  <c r="AC343" i="1"/>
  <c r="AC374" i="1"/>
  <c r="AC380" i="1"/>
  <c r="AC383" i="1"/>
  <c r="AC396" i="1"/>
  <c r="AC399" i="1"/>
  <c r="AF414" i="1"/>
  <c r="AC440" i="1"/>
  <c r="AC446" i="1"/>
  <c r="AC449" i="1"/>
  <c r="AC458" i="1"/>
  <c r="AF463" i="1"/>
  <c r="AF478" i="1"/>
  <c r="AF481" i="1"/>
  <c r="AC488" i="1"/>
  <c r="AF523" i="1"/>
  <c r="AF537" i="1"/>
  <c r="AC540" i="1"/>
  <c r="AF567" i="1"/>
  <c r="AF575" i="1"/>
  <c r="AF614" i="1"/>
  <c r="AF617" i="1"/>
  <c r="AC620" i="1"/>
  <c r="AF639" i="1"/>
  <c r="AC673" i="1"/>
  <c r="AF673" i="1"/>
  <c r="AC702" i="1"/>
  <c r="AF702" i="1"/>
  <c r="AC709" i="1"/>
  <c r="AF709" i="1"/>
  <c r="AC731" i="1"/>
  <c r="AF731" i="1"/>
  <c r="AC743" i="1"/>
  <c r="AF743" i="1"/>
  <c r="AC765" i="1"/>
  <c r="AF765" i="1"/>
  <c r="AF916" i="1"/>
  <c r="AC940" i="1"/>
  <c r="AF940" i="1"/>
  <c r="AF946" i="1"/>
  <c r="AC949" i="1"/>
  <c r="AC966" i="1"/>
  <c r="AF966" i="1"/>
  <c r="AC1004" i="1"/>
  <c r="AF1004" i="1"/>
  <c r="AF1010" i="1"/>
  <c r="AC1013" i="1"/>
  <c r="AF1065" i="1"/>
  <c r="AC1065" i="1"/>
  <c r="AF1069" i="1"/>
  <c r="AC1069" i="1"/>
  <c r="AC1165" i="1"/>
  <c r="AF1165" i="1"/>
  <c r="AC1277" i="1"/>
  <c r="AF1277" i="1"/>
  <c r="AC1379" i="1"/>
  <c r="AF1379" i="1"/>
  <c r="AC1519" i="1"/>
  <c r="AF1519" i="1"/>
  <c r="AF1525" i="1"/>
  <c r="AC1525" i="1"/>
  <c r="AC139" i="1"/>
  <c r="AC142" i="1"/>
  <c r="AC171" i="1"/>
  <c r="AF192" i="1"/>
  <c r="AC232" i="1"/>
  <c r="AF278" i="1"/>
  <c r="AF296" i="1"/>
  <c r="AC334" i="1"/>
  <c r="AC360" i="1"/>
  <c r="AC415" i="1"/>
  <c r="AF430" i="1"/>
  <c r="AF455" i="1"/>
  <c r="AC459" i="1"/>
  <c r="AF473" i="1"/>
  <c r="AC479" i="1"/>
  <c r="AF491" i="1"/>
  <c r="AC494" i="1"/>
  <c r="AC497" i="1"/>
  <c r="AC506" i="1"/>
  <c r="AF511" i="1"/>
  <c r="AC521" i="1"/>
  <c r="AC535" i="1"/>
  <c r="AC554" i="1"/>
  <c r="AF559" i="1"/>
  <c r="AC568" i="1"/>
  <c r="AC598" i="1"/>
  <c r="AF606" i="1"/>
  <c r="AF609" i="1"/>
  <c r="AC615" i="1"/>
  <c r="AC629" i="1"/>
  <c r="AF631" i="1"/>
  <c r="AC649" i="1"/>
  <c r="AC670" i="1"/>
  <c r="AF670" i="1"/>
  <c r="AC677" i="1"/>
  <c r="AF677" i="1"/>
  <c r="AF684" i="1"/>
  <c r="AC684" i="1"/>
  <c r="AC753" i="1"/>
  <c r="AF753" i="1"/>
  <c r="AF798" i="1"/>
  <c r="AF845" i="1"/>
  <c r="AC845" i="1"/>
  <c r="AC877" i="1"/>
  <c r="AF910" i="1"/>
  <c r="AC913" i="1"/>
  <c r="AC944" i="1"/>
  <c r="AF944" i="1"/>
  <c r="AC970" i="1"/>
  <c r="AF970" i="1"/>
  <c r="AC1008" i="1"/>
  <c r="AF1008" i="1"/>
  <c r="AC1107" i="1"/>
  <c r="AF1107" i="1"/>
  <c r="AC1121" i="1"/>
  <c r="AF1121" i="1"/>
  <c r="AF1162" i="1"/>
  <c r="AC1162" i="1"/>
  <c r="AC1194" i="1"/>
  <c r="AC1513" i="1"/>
  <c r="AF1513" i="1"/>
  <c r="AC681" i="1"/>
  <c r="AC686" i="1"/>
  <c r="AC689" i="1"/>
  <c r="AC714" i="1"/>
  <c r="AC723" i="1"/>
  <c r="AC734" i="1"/>
  <c r="AC737" i="1"/>
  <c r="AC759" i="1"/>
  <c r="AC773" i="1"/>
  <c r="AC782" i="1"/>
  <c r="AC841" i="1"/>
  <c r="AC862" i="1"/>
  <c r="AC886" i="1"/>
  <c r="AC937" i="1"/>
  <c r="AC958" i="1"/>
  <c r="AC964" i="1"/>
  <c r="AC990" i="1"/>
  <c r="AC996" i="1"/>
  <c r="AC1022" i="1"/>
  <c r="AC1028" i="1"/>
  <c r="AC1054" i="1"/>
  <c r="AC1060" i="1"/>
  <c r="AC1095" i="1"/>
  <c r="AC1101" i="1"/>
  <c r="AF1101" i="1"/>
  <c r="AC1117" i="1"/>
  <c r="AC1124" i="1"/>
  <c r="AF1124" i="1"/>
  <c r="AC1159" i="1"/>
  <c r="AF1159" i="1"/>
  <c r="AC1173" i="1"/>
  <c r="AC1191" i="1"/>
  <c r="AC1201" i="1"/>
  <c r="AF1201" i="1"/>
  <c r="AC1225" i="1"/>
  <c r="AF1225" i="1"/>
  <c r="AC1234" i="1"/>
  <c r="AC1241" i="1"/>
  <c r="AF1241" i="1"/>
  <c r="AC1267" i="1"/>
  <c r="AF1274" i="1"/>
  <c r="AC1274" i="1"/>
  <c r="AC1285" i="1"/>
  <c r="AC1311" i="1"/>
  <c r="AF1311" i="1"/>
  <c r="AC1341" i="1"/>
  <c r="AF1341" i="1"/>
  <c r="AC1371" i="1"/>
  <c r="AC1411" i="1"/>
  <c r="AC1426" i="1"/>
  <c r="AF1426" i="1"/>
  <c r="AC1439" i="1"/>
  <c r="AF1439" i="1"/>
  <c r="AC1487" i="1"/>
  <c r="AF1487" i="1"/>
  <c r="AC1516" i="1"/>
  <c r="AC1565" i="1"/>
  <c r="AC1678" i="1"/>
  <c r="AF1678" i="1"/>
  <c r="AC1681" i="1"/>
  <c r="AF1685" i="1"/>
  <c r="AC1685" i="1"/>
  <c r="AF1780" i="1"/>
  <c r="AC1780" i="1"/>
  <c r="AC2037" i="1"/>
  <c r="AC1078" i="1"/>
  <c r="AF1078" i="1"/>
  <c r="AC1195" i="1"/>
  <c r="AF1195" i="1"/>
  <c r="AF1338" i="1"/>
  <c r="AC1338" i="1"/>
  <c r="AC1374" i="1"/>
  <c r="AC1402" i="1"/>
  <c r="AC1427" i="1"/>
  <c r="AF1427" i="1"/>
  <c r="AC1539" i="1"/>
  <c r="AF1643" i="1"/>
  <c r="AC1643" i="1"/>
  <c r="AF1653" i="1"/>
  <c r="AC1653" i="1"/>
  <c r="AF1659" i="1"/>
  <c r="AC1659" i="1"/>
  <c r="AF1738" i="1"/>
  <c r="AC1738" i="1"/>
  <c r="AF1852" i="1"/>
  <c r="AC1852" i="1"/>
  <c r="AF2005" i="1"/>
  <c r="AC2005" i="1"/>
  <c r="AC645" i="1"/>
  <c r="AC665" i="1"/>
  <c r="AC679" i="1"/>
  <c r="AC687" i="1"/>
  <c r="AC718" i="1"/>
  <c r="AC721" i="1"/>
  <c r="AC735" i="1"/>
  <c r="AC746" i="1"/>
  <c r="AC749" i="1"/>
  <c r="AC755" i="1"/>
  <c r="AC774" i="1"/>
  <c r="AC777" i="1"/>
  <c r="AC828" i="1"/>
  <c r="AC905" i="1"/>
  <c r="AC929" i="1"/>
  <c r="AC962" i="1"/>
  <c r="AC968" i="1"/>
  <c r="AC994" i="1"/>
  <c r="AC1000" i="1"/>
  <c r="AC1026" i="1"/>
  <c r="AC1032" i="1"/>
  <c r="AC1058" i="1"/>
  <c r="AC1064" i="1"/>
  <c r="AC1170" i="1"/>
  <c r="AF1216" i="1"/>
  <c r="AC1216" i="1"/>
  <c r="AC1219" i="1"/>
  <c r="AF1219" i="1"/>
  <c r="AC1325" i="1"/>
  <c r="AC1335" i="1"/>
  <c r="AF1335" i="1"/>
  <c r="AC1353" i="1"/>
  <c r="AF1353" i="1"/>
  <c r="AC1362" i="1"/>
  <c r="AC1369" i="1"/>
  <c r="AF1369" i="1"/>
  <c r="AC1403" i="1"/>
  <c r="AF1403" i="1"/>
  <c r="AC1406" i="1"/>
  <c r="AC1481" i="1"/>
  <c r="AF1481" i="1"/>
  <c r="AC1507" i="1"/>
  <c r="AF1507" i="1"/>
  <c r="AC1536" i="1"/>
  <c r="AF1543" i="1"/>
  <c r="AC1543" i="1"/>
  <c r="AF1750" i="1"/>
  <c r="AC1750" i="1"/>
  <c r="AF1772" i="1"/>
  <c r="AC1772" i="1"/>
  <c r="AF1868" i="1"/>
  <c r="AC1868" i="1"/>
  <c r="AC662" i="1"/>
  <c r="AC693" i="1"/>
  <c r="AC713" i="1"/>
  <c r="AC727" i="1"/>
  <c r="AC741" i="1"/>
  <c r="AC747" i="1"/>
  <c r="AC766" i="1"/>
  <c r="AC769" i="1"/>
  <c r="AF854" i="1"/>
  <c r="AC857" i="1"/>
  <c r="AC869" i="1"/>
  <c r="AF878" i="1"/>
  <c r="AC881" i="1"/>
  <c r="AF884" i="1"/>
  <c r="AF890" i="1"/>
  <c r="AC893" i="1"/>
  <c r="AF896" i="1"/>
  <c r="AF902" i="1"/>
  <c r="AF914" i="1"/>
  <c r="AC917" i="1"/>
  <c r="AF920" i="1"/>
  <c r="AF926" i="1"/>
  <c r="AF950" i="1"/>
  <c r="AC953" i="1"/>
  <c r="AF956" i="1"/>
  <c r="AF982" i="1"/>
  <c r="AC985" i="1"/>
  <c r="AF988" i="1"/>
  <c r="AF1014" i="1"/>
  <c r="AC1017" i="1"/>
  <c r="AF1020" i="1"/>
  <c r="AF1046" i="1"/>
  <c r="AC1049" i="1"/>
  <c r="AF1052" i="1"/>
  <c r="AC1115" i="1"/>
  <c r="AF1115" i="1"/>
  <c r="AF1167" i="1"/>
  <c r="AC1171" i="1"/>
  <c r="AF1171" i="1"/>
  <c r="AF1185" i="1"/>
  <c r="AC1189" i="1"/>
  <c r="AF1189" i="1"/>
  <c r="AC1213" i="1"/>
  <c r="AF1213" i="1"/>
  <c r="AF1261" i="1"/>
  <c r="AC1265" i="1"/>
  <c r="AF1265" i="1"/>
  <c r="AC1283" i="1"/>
  <c r="AF1283" i="1"/>
  <c r="AF1331" i="1"/>
  <c r="AF1349" i="1"/>
  <c r="AC1459" i="1"/>
  <c r="AF1459" i="1"/>
  <c r="AF1495" i="1"/>
  <c r="AC1499" i="1"/>
  <c r="AF1499" i="1"/>
  <c r="AF1619" i="1"/>
  <c r="AC1619" i="1"/>
  <c r="AF1718" i="1"/>
  <c r="AC1718" i="1"/>
  <c r="AC1730" i="1"/>
  <c r="AF1760" i="1"/>
  <c r="AC1760" i="1"/>
  <c r="AC1862" i="1"/>
  <c r="AF1878" i="1"/>
  <c r="AC1878" i="1"/>
  <c r="AC1991" i="1"/>
  <c r="AC654" i="1"/>
  <c r="AC657" i="1"/>
  <c r="AC671" i="1"/>
  <c r="AC710" i="1"/>
  <c r="AC733" i="1"/>
  <c r="AC739" i="1"/>
  <c r="AC758" i="1"/>
  <c r="AC761" i="1"/>
  <c r="AC870" i="1"/>
  <c r="AC882" i="1"/>
  <c r="AC888" i="1"/>
  <c r="AC894" i="1"/>
  <c r="AC918" i="1"/>
  <c r="AC954" i="1"/>
  <c r="AC960" i="1"/>
  <c r="AC986" i="1"/>
  <c r="AC992" i="1"/>
  <c r="AF994" i="1"/>
  <c r="AC997" i="1"/>
  <c r="AF1000" i="1"/>
  <c r="AC1018" i="1"/>
  <c r="AC1024" i="1"/>
  <c r="AF1026" i="1"/>
  <c r="AC1029" i="1"/>
  <c r="AF1032" i="1"/>
  <c r="AC1050" i="1"/>
  <c r="AC1056" i="1"/>
  <c r="AF1058" i="1"/>
  <c r="AC1061" i="1"/>
  <c r="AF1064" i="1"/>
  <c r="AC1083" i="1"/>
  <c r="AF1090" i="1"/>
  <c r="AC1090" i="1"/>
  <c r="AC1094" i="1"/>
  <c r="AF1099" i="1"/>
  <c r="AC1112" i="1"/>
  <c r="AC1141" i="1"/>
  <c r="AF1141" i="1"/>
  <c r="AF1168" i="1"/>
  <c r="AC1168" i="1"/>
  <c r="AC1179" i="1"/>
  <c r="AF1186" i="1"/>
  <c r="AC1186" i="1"/>
  <c r="AF1210" i="1"/>
  <c r="AC1210" i="1"/>
  <c r="AC1243" i="1"/>
  <c r="AC1258" i="1"/>
  <c r="AF1280" i="1"/>
  <c r="AC1280" i="1"/>
  <c r="AC1313" i="1"/>
  <c r="AC1319" i="1"/>
  <c r="AF1325" i="1"/>
  <c r="AC1328" i="1"/>
  <c r="AC1346" i="1"/>
  <c r="AC1391" i="1"/>
  <c r="AF1391" i="1"/>
  <c r="AF1629" i="1"/>
  <c r="AC1629" i="1"/>
  <c r="AC1705" i="1"/>
  <c r="AF1715" i="1"/>
  <c r="AC1715" i="1"/>
  <c r="AF1745" i="1"/>
  <c r="AC1745" i="1"/>
  <c r="AC1747" i="1"/>
  <c r="AF1802" i="1"/>
  <c r="AC1802" i="1"/>
  <c r="AC1820" i="1"/>
  <c r="AF1820" i="1"/>
  <c r="AF1844" i="1"/>
  <c r="AC1844" i="1"/>
  <c r="AC1935" i="1"/>
  <c r="AF1935" i="1"/>
  <c r="AC1965" i="1"/>
  <c r="AC1076" i="1"/>
  <c r="AC1084" i="1"/>
  <c r="AC1110" i="1"/>
  <c r="AC1449" i="1"/>
  <c r="AF1449" i="1"/>
  <c r="AC1502" i="1"/>
  <c r="AC1531" i="1"/>
  <c r="AC1537" i="1"/>
  <c r="AF1635" i="1"/>
  <c r="AC1635" i="1"/>
  <c r="AF1713" i="1"/>
  <c r="AC1713" i="1"/>
  <c r="AF1728" i="1"/>
  <c r="AC1728" i="1"/>
  <c r="AC1799" i="1"/>
  <c r="AC1828" i="1"/>
  <c r="AF1828" i="1"/>
  <c r="AF1884" i="1"/>
  <c r="AC1884" i="1"/>
  <c r="AF2021" i="1"/>
  <c r="AC2021" i="1"/>
  <c r="AC1082" i="1"/>
  <c r="AC1091" i="1"/>
  <c r="AC1105" i="1"/>
  <c r="AC1132" i="1"/>
  <c r="AC1138" i="1"/>
  <c r="AC1151" i="1"/>
  <c r="AC1175" i="1"/>
  <c r="AC1181" i="1"/>
  <c r="AC1193" i="1"/>
  <c r="AC1199" i="1"/>
  <c r="AC1205" i="1"/>
  <c r="AC1211" i="1"/>
  <c r="AC1217" i="1"/>
  <c r="AC1223" i="1"/>
  <c r="AC1263" i="1"/>
  <c r="AC1269" i="1"/>
  <c r="AC1275" i="1"/>
  <c r="AC1281" i="1"/>
  <c r="AC1287" i="1"/>
  <c r="AC1327" i="1"/>
  <c r="AC1333" i="1"/>
  <c r="AC1339" i="1"/>
  <c r="AC1345" i="1"/>
  <c r="AC1351" i="1"/>
  <c r="AC1375" i="1"/>
  <c r="AC1389" i="1"/>
  <c r="AC1404" i="1"/>
  <c r="AF1404" i="1"/>
  <c r="AC1422" i="1"/>
  <c r="AF1440" i="1"/>
  <c r="AC1440" i="1"/>
  <c r="AC1461" i="1"/>
  <c r="AC1485" i="1"/>
  <c r="AC1497" i="1"/>
  <c r="AF1497" i="1"/>
  <c r="AC1515" i="1"/>
  <c r="AC1528" i="1"/>
  <c r="AF1541" i="1"/>
  <c r="AC1541" i="1"/>
  <c r="AC1553" i="1"/>
  <c r="AF1603" i="1"/>
  <c r="AC1603" i="1"/>
  <c r="AF1740" i="1"/>
  <c r="AC1740" i="1"/>
  <c r="AC1757" i="1"/>
  <c r="AC1787" i="1"/>
  <c r="AF1860" i="1"/>
  <c r="AC1860" i="1"/>
  <c r="AF1924" i="1"/>
  <c r="AC1924" i="1"/>
  <c r="AF1959" i="1"/>
  <c r="AC1959" i="1"/>
  <c r="AF1989" i="1"/>
  <c r="AC1989" i="1"/>
  <c r="AC2081" i="1"/>
  <c r="AF2081" i="1"/>
  <c r="AF1488" i="1"/>
  <c r="AC1488" i="1"/>
  <c r="AF1557" i="1"/>
  <c r="AC1557" i="1"/>
  <c r="AF1651" i="1"/>
  <c r="AC1651" i="1"/>
  <c r="AC1669" i="1"/>
  <c r="AF1708" i="1"/>
  <c r="AC1708" i="1"/>
  <c r="AC1725" i="1"/>
  <c r="AF1758" i="1"/>
  <c r="AC1758" i="1"/>
  <c r="AC1769" i="1"/>
  <c r="AF1797" i="1"/>
  <c r="AC1797" i="1"/>
  <c r="AC1807" i="1"/>
  <c r="AF1807" i="1"/>
  <c r="AC1854" i="1"/>
  <c r="AF1900" i="1"/>
  <c r="AC1900" i="1"/>
  <c r="AC1918" i="1"/>
  <c r="AC1943" i="1"/>
  <c r="AC1953" i="1"/>
  <c r="AF2077" i="1"/>
  <c r="AC1074" i="1"/>
  <c r="AC1080" i="1"/>
  <c r="AF1082" i="1"/>
  <c r="AC1089" i="1"/>
  <c r="AF1091" i="1"/>
  <c r="AC1116" i="1"/>
  <c r="AC1123" i="1"/>
  <c r="AF1151" i="1"/>
  <c r="AF1175" i="1"/>
  <c r="AC1178" i="1"/>
  <c r="AF1181" i="1"/>
  <c r="AC1184" i="1"/>
  <c r="AF1193" i="1"/>
  <c r="AF1199" i="1"/>
  <c r="AC1202" i="1"/>
  <c r="AC1209" i="1"/>
  <c r="AC1215" i="1"/>
  <c r="AF1223" i="1"/>
  <c r="AC1227" i="1"/>
  <c r="AC1233" i="1"/>
  <c r="AC1251" i="1"/>
  <c r="AF1263" i="1"/>
  <c r="AC1266" i="1"/>
  <c r="AF1269" i="1"/>
  <c r="AC1273" i="1"/>
  <c r="AF1275" i="1"/>
  <c r="AC1279" i="1"/>
  <c r="AF1281" i="1"/>
  <c r="AF1287" i="1"/>
  <c r="AC1291" i="1"/>
  <c r="AC1297" i="1"/>
  <c r="AC1315" i="1"/>
  <c r="AC1330" i="1"/>
  <c r="AF1333" i="1"/>
  <c r="AC1337" i="1"/>
  <c r="AF1339" i="1"/>
  <c r="AC1343" i="1"/>
  <c r="AF1345" i="1"/>
  <c r="AF1351" i="1"/>
  <c r="AC1355" i="1"/>
  <c r="AC1361" i="1"/>
  <c r="AC1373" i="1"/>
  <c r="AF1375" i="1"/>
  <c r="AC1378" i="1"/>
  <c r="AC1387" i="1"/>
  <c r="AF1389" i="1"/>
  <c r="AC1405" i="1"/>
  <c r="AC1420" i="1"/>
  <c r="AC1423" i="1"/>
  <c r="AC1435" i="1"/>
  <c r="AF1435" i="1"/>
  <c r="AC1447" i="1"/>
  <c r="AC1453" i="1"/>
  <c r="AF1461" i="1"/>
  <c r="AC1465" i="1"/>
  <c r="AC1468" i="1"/>
  <c r="AC1482" i="1"/>
  <c r="AF1485" i="1"/>
  <c r="AC1506" i="1"/>
  <c r="AF1515" i="1"/>
  <c r="AC1518" i="1"/>
  <c r="AC1521" i="1"/>
  <c r="AC1526" i="1"/>
  <c r="AF1526" i="1"/>
  <c r="AC1579" i="1"/>
  <c r="AC1589" i="1"/>
  <c r="AF1595" i="1"/>
  <c r="AC1595" i="1"/>
  <c r="AF1627" i="1"/>
  <c r="AC1627" i="1"/>
  <c r="AC1645" i="1"/>
  <c r="AF1690" i="1"/>
  <c r="AC1690" i="1"/>
  <c r="AF1723" i="1"/>
  <c r="AC1723" i="1"/>
  <c r="AC1737" i="1"/>
  <c r="AC1752" i="1"/>
  <c r="AF1770" i="1"/>
  <c r="AC1770" i="1"/>
  <c r="AF1782" i="1"/>
  <c r="AC1782" i="1"/>
  <c r="AF1876" i="1"/>
  <c r="AC1876" i="1"/>
  <c r="AC1894" i="1"/>
  <c r="AF1975" i="1"/>
  <c r="AC1975" i="1"/>
  <c r="AC2007" i="1"/>
  <c r="AC1735" i="1"/>
  <c r="AC1755" i="1"/>
  <c r="AC1767" i="1"/>
  <c r="AC1775" i="1"/>
  <c r="AC1979" i="1"/>
  <c r="AC1418" i="1"/>
  <c r="AC1443" i="1"/>
  <c r="AC1452" i="1"/>
  <c r="AC1457" i="1"/>
  <c r="AC1463" i="1"/>
  <c r="AC1469" i="1"/>
  <c r="AC1474" i="1"/>
  <c r="AC1477" i="1"/>
  <c r="AC1491" i="1"/>
  <c r="AC1500" i="1"/>
  <c r="AC1505" i="1"/>
  <c r="AC1511" i="1"/>
  <c r="AC1529" i="1"/>
  <c r="AC1577" i="1"/>
  <c r="AC1703" i="1"/>
  <c r="AC1711" i="1"/>
  <c r="AC1743" i="1"/>
  <c r="AC1785" i="1"/>
  <c r="AC1818" i="1"/>
  <c r="AC1390" i="1"/>
  <c r="AC1419" i="1"/>
  <c r="AC1455" i="1"/>
  <c r="AC1503" i="1"/>
  <c r="AC1676" i="1"/>
  <c r="AC1688" i="1"/>
  <c r="AC1696" i="1"/>
  <c r="AC1706" i="1"/>
  <c r="AC1716" i="1"/>
  <c r="AC1726" i="1"/>
  <c r="AC1733" i="1"/>
  <c r="AC1748" i="1"/>
  <c r="AC1753" i="1"/>
  <c r="AC1765" i="1"/>
  <c r="AC1773" i="1"/>
  <c r="AC1778" i="1"/>
  <c r="AC1788" i="1"/>
  <c r="AC1795" i="1"/>
  <c r="AC1800" i="1"/>
  <c r="AC1836" i="1"/>
  <c r="AF1941" i="1"/>
  <c r="AF1963" i="1"/>
  <c r="AC1973" i="1"/>
  <c r="AC1999" i="1"/>
  <c r="AC2015" i="1"/>
  <c r="AC2029" i="1"/>
  <c r="AC2061" i="1"/>
  <c r="AC2065" i="1"/>
  <c r="AF2093" i="1"/>
  <c r="AC1544" i="1"/>
  <c r="AC2069" i="1"/>
  <c r="AC1558" i="1"/>
  <c r="AC1771" i="1"/>
  <c r="AC1813" i="1"/>
  <c r="AC1958" i="1"/>
  <c r="AC2033" i="1"/>
  <c r="AF2097" i="1"/>
  <c r="AF696" i="1"/>
  <c r="AC696" i="1"/>
  <c r="AF1144" i="1"/>
  <c r="AC1144" i="1"/>
  <c r="AF258" i="1"/>
  <c r="AC258" i="1"/>
  <c r="AC297" i="1"/>
  <c r="AF297" i="1"/>
  <c r="AF386" i="1"/>
  <c r="AC386" i="1"/>
  <c r="AC417" i="1"/>
  <c r="AF417" i="1"/>
  <c r="AF1003" i="1"/>
  <c r="AC1003" i="1"/>
  <c r="AC168" i="1"/>
  <c r="AC216" i="1"/>
  <c r="AC292" i="1"/>
  <c r="AF400" i="1"/>
  <c r="AC400" i="1"/>
  <c r="AF562" i="1"/>
  <c r="AC562" i="1"/>
  <c r="AF823" i="1"/>
  <c r="AC823" i="1"/>
  <c r="AF143" i="1"/>
  <c r="AC201" i="1"/>
  <c r="AF201" i="1"/>
  <c r="AC214" i="1"/>
  <c r="AF255" i="1"/>
  <c r="AF290" i="1"/>
  <c r="AC290" i="1"/>
  <c r="AF306" i="1"/>
  <c r="AC306" i="1"/>
  <c r="AF335" i="1"/>
  <c r="AF352" i="1"/>
  <c r="AC352" i="1"/>
  <c r="AC361" i="1"/>
  <c r="AF361" i="1"/>
  <c r="AC395" i="1"/>
  <c r="AF395" i="1"/>
  <c r="AC406" i="1"/>
  <c r="AF418" i="1"/>
  <c r="AC418" i="1"/>
  <c r="AF431" i="1"/>
  <c r="AC443" i="1"/>
  <c r="AF443" i="1"/>
  <c r="AF456" i="1"/>
  <c r="AF472" i="1"/>
  <c r="AF488" i="1"/>
  <c r="AF504" i="1"/>
  <c r="AF528" i="1"/>
  <c r="AC528" i="1"/>
  <c r="AF578" i="1"/>
  <c r="AC578" i="1"/>
  <c r="AF648" i="1"/>
  <c r="AC648" i="1"/>
  <c r="AF656" i="1"/>
  <c r="AC656" i="1"/>
  <c r="AF710" i="1"/>
  <c r="AF776" i="1"/>
  <c r="AC776" i="1"/>
  <c r="AF801" i="1"/>
  <c r="AC801" i="1"/>
  <c r="AF907" i="1"/>
  <c r="AC907" i="1"/>
  <c r="AF368" i="1"/>
  <c r="AC368" i="1"/>
  <c r="AF530" i="1"/>
  <c r="AC530" i="1"/>
  <c r="AF807" i="1"/>
  <c r="AC807" i="1"/>
  <c r="AF879" i="1"/>
  <c r="AC879" i="1"/>
  <c r="AF959" i="1"/>
  <c r="AC959" i="1"/>
  <c r="AF1055" i="1"/>
  <c r="AC1055" i="1"/>
  <c r="AF1174" i="1"/>
  <c r="AC1174" i="1"/>
  <c r="AF2000" i="1"/>
  <c r="AC2000" i="1"/>
  <c r="AC185" i="1"/>
  <c r="AF185" i="1"/>
  <c r="AF145" i="1"/>
  <c r="AC152" i="1"/>
  <c r="AF175" i="1"/>
  <c r="AC219" i="1"/>
  <c r="AF219" i="1"/>
  <c r="AF360" i="1"/>
  <c r="AF448" i="1"/>
  <c r="AC448" i="1"/>
  <c r="AF496" i="1"/>
  <c r="AC496" i="1"/>
  <c r="AF512" i="1"/>
  <c r="AC512" i="1"/>
  <c r="AF726" i="1"/>
  <c r="AC166" i="1"/>
  <c r="AC178" i="1"/>
  <c r="AF198" i="1"/>
  <c r="AF240" i="1"/>
  <c r="AC240" i="1"/>
  <c r="AF141" i="1"/>
  <c r="AC164" i="1"/>
  <c r="AC169" i="1"/>
  <c r="AF169" i="1"/>
  <c r="AF183" i="1"/>
  <c r="AF193" i="1"/>
  <c r="AC217" i="1"/>
  <c r="AF217" i="1"/>
  <c r="AF232" i="1"/>
  <c r="AC251" i="1"/>
  <c r="AF251" i="1"/>
  <c r="AF256" i="1"/>
  <c r="AC256" i="1"/>
  <c r="AF271" i="1"/>
  <c r="AF319" i="1"/>
  <c r="AF336" i="1"/>
  <c r="AC336" i="1"/>
  <c r="AC344" i="1"/>
  <c r="AC347" i="1"/>
  <c r="AF347" i="1"/>
  <c r="AC358" i="1"/>
  <c r="AF370" i="1"/>
  <c r="AC370" i="1"/>
  <c r="AF383" i="1"/>
  <c r="AF392" i="1"/>
  <c r="AC401" i="1"/>
  <c r="AF401" i="1"/>
  <c r="AF432" i="1"/>
  <c r="AC432" i="1"/>
  <c r="AF440" i="1"/>
  <c r="AC454" i="1"/>
  <c r="AC470" i="1"/>
  <c r="AC486" i="1"/>
  <c r="AC502" i="1"/>
  <c r="AF520" i="1"/>
  <c r="AF544" i="1"/>
  <c r="AC544" i="1"/>
  <c r="AF594" i="1"/>
  <c r="AC594" i="1"/>
  <c r="AF632" i="1"/>
  <c r="AC632" i="1"/>
  <c r="AF640" i="1"/>
  <c r="AC640" i="1"/>
  <c r="AF694" i="1"/>
  <c r="AF760" i="1"/>
  <c r="AC760" i="1"/>
  <c r="AF768" i="1"/>
  <c r="AC768" i="1"/>
  <c r="AF789" i="1"/>
  <c r="AC789" i="1"/>
  <c r="AC812" i="1"/>
  <c r="AF812" i="1"/>
  <c r="AF815" i="1"/>
  <c r="AC815" i="1"/>
  <c r="AF833" i="1"/>
  <c r="AC833" i="1"/>
  <c r="AF895" i="1"/>
  <c r="AC895" i="1"/>
  <c r="AF943" i="1"/>
  <c r="AC943" i="1"/>
  <c r="AF975" i="1"/>
  <c r="AC975" i="1"/>
  <c r="AF1007" i="1"/>
  <c r="AC1007" i="1"/>
  <c r="AC281" i="1"/>
  <c r="AF281" i="1"/>
  <c r="AC313" i="1"/>
  <c r="AF313" i="1"/>
  <c r="AF781" i="1"/>
  <c r="AC781" i="1"/>
  <c r="AF1023" i="1"/>
  <c r="AC1023" i="1"/>
  <c r="AC203" i="1"/>
  <c r="AF203" i="1"/>
  <c r="AF338" i="1"/>
  <c r="AC338" i="1"/>
  <c r="AF939" i="1"/>
  <c r="AC939" i="1"/>
  <c r="AF971" i="1"/>
  <c r="AC971" i="1"/>
  <c r="AF1067" i="1"/>
  <c r="AC1067" i="1"/>
  <c r="AF224" i="1"/>
  <c r="AC224" i="1"/>
  <c r="AF274" i="1"/>
  <c r="AC274" i="1"/>
  <c r="AF289" i="1"/>
  <c r="AF351" i="1"/>
  <c r="AC409" i="1"/>
  <c r="AF409" i="1"/>
  <c r="AF598" i="1"/>
  <c r="AF672" i="1"/>
  <c r="AC672" i="1"/>
  <c r="AF792" i="1"/>
  <c r="AC792" i="1"/>
  <c r="AC150" i="1"/>
  <c r="AF159" i="1"/>
  <c r="AC148" i="1"/>
  <c r="AC196" i="1"/>
  <c r="AC230" i="1"/>
  <c r="AC248" i="1"/>
  <c r="AF253" i="1"/>
  <c r="AC3" i="1"/>
  <c r="AC5" i="1"/>
  <c r="AC7" i="1"/>
  <c r="AC9" i="1"/>
  <c r="AC11" i="1"/>
  <c r="AC13" i="1"/>
  <c r="AC15" i="1"/>
  <c r="AC17" i="1"/>
  <c r="AC19" i="1"/>
  <c r="AC21" i="1"/>
  <c r="AC23" i="1"/>
  <c r="AC25" i="1"/>
  <c r="AC27" i="1"/>
  <c r="AC29" i="1"/>
  <c r="AC31" i="1"/>
  <c r="AC33" i="1"/>
  <c r="AC35" i="1"/>
  <c r="AC37" i="1"/>
  <c r="AC39" i="1"/>
  <c r="AC41" i="1"/>
  <c r="AC43" i="1"/>
  <c r="AC45" i="1"/>
  <c r="AC47" i="1"/>
  <c r="AC49" i="1"/>
  <c r="AC51" i="1"/>
  <c r="AC53" i="1"/>
  <c r="AC55" i="1"/>
  <c r="AC57" i="1"/>
  <c r="AC59" i="1"/>
  <c r="AC61" i="1"/>
  <c r="AC63" i="1"/>
  <c r="AC65" i="1"/>
  <c r="AC67" i="1"/>
  <c r="AC69" i="1"/>
  <c r="AC71" i="1"/>
  <c r="AC73" i="1"/>
  <c r="AC75" i="1"/>
  <c r="AC77" i="1"/>
  <c r="AC79" i="1"/>
  <c r="AC81" i="1"/>
  <c r="AC83" i="1"/>
  <c r="AC85" i="1"/>
  <c r="AC87" i="1"/>
  <c r="AC89" i="1"/>
  <c r="AC91" i="1"/>
  <c r="AC93" i="1"/>
  <c r="AC95" i="1"/>
  <c r="AC97" i="1"/>
  <c r="AC99" i="1"/>
  <c r="AC101" i="1"/>
  <c r="AC103" i="1"/>
  <c r="AC105" i="1"/>
  <c r="AC107" i="1"/>
  <c r="AC109" i="1"/>
  <c r="AC111" i="1"/>
  <c r="AC113" i="1"/>
  <c r="AC115" i="1"/>
  <c r="AC117" i="1"/>
  <c r="AC119" i="1"/>
  <c r="AC121" i="1"/>
  <c r="AC123" i="1"/>
  <c r="AC125" i="1"/>
  <c r="AC127" i="1"/>
  <c r="AC129" i="1"/>
  <c r="AC131" i="1"/>
  <c r="AC133" i="1"/>
  <c r="AC135" i="1"/>
  <c r="AC137" i="1"/>
  <c r="AF139" i="1"/>
  <c r="AC146" i="1"/>
  <c r="AF155" i="1"/>
  <c r="AC162" i="1"/>
  <c r="AF176" i="1"/>
  <c r="AC186" i="1"/>
  <c r="AF194" i="1"/>
  <c r="AC194" i="1"/>
  <c r="AF209" i="1"/>
  <c r="AC212" i="1"/>
  <c r="AC233" i="1"/>
  <c r="AF233" i="1"/>
  <c r="AC246" i="1"/>
  <c r="AC264" i="1"/>
  <c r="AC267" i="1"/>
  <c r="AF267" i="1"/>
  <c r="AF269" i="1"/>
  <c r="AF272" i="1"/>
  <c r="AC272" i="1"/>
  <c r="AF287" i="1"/>
  <c r="AF303" i="1"/>
  <c r="AF320" i="1"/>
  <c r="AC320" i="1"/>
  <c r="AC328" i="1"/>
  <c r="AC331" i="1"/>
  <c r="AF331" i="1"/>
  <c r="AF333" i="1"/>
  <c r="AC353" i="1"/>
  <c r="AF353" i="1"/>
  <c r="AF384" i="1"/>
  <c r="AC384" i="1"/>
  <c r="AC393" i="1"/>
  <c r="AF393" i="1"/>
  <c r="AC427" i="1"/>
  <c r="AF427" i="1"/>
  <c r="AC438" i="1"/>
  <c r="AC441" i="1"/>
  <c r="AF441" i="1"/>
  <c r="AC518" i="1"/>
  <c r="AF536" i="1"/>
  <c r="AF560" i="1"/>
  <c r="AC560" i="1"/>
  <c r="AF616" i="1"/>
  <c r="AC616" i="1"/>
  <c r="AF624" i="1"/>
  <c r="AC624" i="1"/>
  <c r="AF678" i="1"/>
  <c r="AF744" i="1"/>
  <c r="AC744" i="1"/>
  <c r="AF752" i="1"/>
  <c r="AC752" i="1"/>
  <c r="AF796" i="1"/>
  <c r="AC796" i="1"/>
  <c r="AF809" i="1"/>
  <c r="AC809" i="1"/>
  <c r="AF875" i="1"/>
  <c r="AC875" i="1"/>
  <c r="AF1270" i="1"/>
  <c r="AC1270" i="1"/>
  <c r="AF1288" i="1"/>
  <c r="AC1288" i="1"/>
  <c r="AF242" i="1"/>
  <c r="AC242" i="1"/>
  <c r="AC377" i="1"/>
  <c r="AF377" i="1"/>
  <c r="AC411" i="1"/>
  <c r="AF411" i="1"/>
  <c r="AF991" i="1"/>
  <c r="AC991" i="1"/>
  <c r="AF208" i="1"/>
  <c r="AC208" i="1"/>
  <c r="AF680" i="1"/>
  <c r="AC680" i="1"/>
  <c r="AF239" i="1"/>
  <c r="AC308" i="1"/>
  <c r="AF322" i="1"/>
  <c r="AC322" i="1"/>
  <c r="AC369" i="1"/>
  <c r="AF369" i="1"/>
  <c r="AF173" i="1"/>
  <c r="AC235" i="1"/>
  <c r="AF235" i="1"/>
  <c r="AF157" i="1"/>
  <c r="AC144" i="1"/>
  <c r="AC149" i="1"/>
  <c r="AF153" i="1"/>
  <c r="AC160" i="1"/>
  <c r="AC165" i="1"/>
  <c r="AC174" i="1"/>
  <c r="AC177" i="1"/>
  <c r="AF179" i="1"/>
  <c r="AF191" i="1"/>
  <c r="AC207" i="1"/>
  <c r="AF210" i="1"/>
  <c r="AC210" i="1"/>
  <c r="AF225" i="1"/>
  <c r="AC228" i="1"/>
  <c r="AC249" i="1"/>
  <c r="AF249" i="1"/>
  <c r="AC257" i="1"/>
  <c r="AC262" i="1"/>
  <c r="AC280" i="1"/>
  <c r="AC283" i="1"/>
  <c r="AF283" i="1"/>
  <c r="AF285" i="1"/>
  <c r="AF288" i="1"/>
  <c r="AC288" i="1"/>
  <c r="AF304" i="1"/>
  <c r="AC304" i="1"/>
  <c r="AC312" i="1"/>
  <c r="AC315" i="1"/>
  <c r="AF315" i="1"/>
  <c r="AF317" i="1"/>
  <c r="AC337" i="1"/>
  <c r="AC342" i="1"/>
  <c r="AC345" i="1"/>
  <c r="AF345" i="1"/>
  <c r="AC379" i="1"/>
  <c r="AF379" i="1"/>
  <c r="AC390" i="1"/>
  <c r="AF402" i="1"/>
  <c r="AC402" i="1"/>
  <c r="AF415" i="1"/>
  <c r="AF424" i="1"/>
  <c r="AC433" i="1"/>
  <c r="AF433" i="1"/>
  <c r="AC534" i="1"/>
  <c r="AC545" i="1"/>
  <c r="AF552" i="1"/>
  <c r="AC571" i="1"/>
  <c r="AF576" i="1"/>
  <c r="AC576" i="1"/>
  <c r="AC584" i="1"/>
  <c r="AF600" i="1"/>
  <c r="AC600" i="1"/>
  <c r="AF608" i="1"/>
  <c r="AC608" i="1"/>
  <c r="AC641" i="1"/>
  <c r="AF662" i="1"/>
  <c r="AF728" i="1"/>
  <c r="AC728" i="1"/>
  <c r="AF736" i="1"/>
  <c r="AC736" i="1"/>
  <c r="AC806" i="1"/>
  <c r="AF806" i="1"/>
  <c r="AF863" i="1"/>
  <c r="AC863" i="1"/>
  <c r="AF911" i="1"/>
  <c r="AC911" i="1"/>
  <c r="AF1240" i="1"/>
  <c r="AC1240" i="1"/>
  <c r="AF1246" i="1"/>
  <c r="AC1246" i="1"/>
  <c r="AF434" i="1"/>
  <c r="AC434" i="1"/>
  <c r="AF704" i="1"/>
  <c r="AC704" i="1"/>
  <c r="AF1150" i="1"/>
  <c r="AC1150" i="1"/>
  <c r="AF1192" i="1"/>
  <c r="AC1192" i="1"/>
  <c r="AF2006" i="1"/>
  <c r="AC2006" i="1"/>
  <c r="AC363" i="1"/>
  <c r="AF363" i="1"/>
  <c r="AF546" i="1"/>
  <c r="AC546" i="1"/>
  <c r="AF688" i="1"/>
  <c r="AC688" i="1"/>
  <c r="AC804" i="1"/>
  <c r="AF804" i="1"/>
  <c r="AF1035" i="1"/>
  <c r="AC1035" i="1"/>
  <c r="AF161" i="1"/>
  <c r="AF221" i="1"/>
  <c r="AF305" i="1"/>
  <c r="AF464" i="1"/>
  <c r="AC464" i="1"/>
  <c r="AF480" i="1"/>
  <c r="AC480" i="1"/>
  <c r="AF664" i="1"/>
  <c r="AC664" i="1"/>
  <c r="AF847" i="1"/>
  <c r="AC847" i="1"/>
  <c r="AF927" i="1"/>
  <c r="AC927" i="1"/>
  <c r="AF237" i="1"/>
  <c r="AF171" i="1"/>
  <c r="AC147" i="1"/>
  <c r="AC163" i="1"/>
  <c r="AC187" i="1"/>
  <c r="AF187" i="1"/>
  <c r="AC205" i="1"/>
  <c r="AC223" i="1"/>
  <c r="AF226" i="1"/>
  <c r="AC226" i="1"/>
  <c r="AF241" i="1"/>
  <c r="AC244" i="1"/>
  <c r="AC265" i="1"/>
  <c r="AF265" i="1"/>
  <c r="AC273" i="1"/>
  <c r="AC299" i="1"/>
  <c r="AF299" i="1"/>
  <c r="AC321" i="1"/>
  <c r="AC329" i="1"/>
  <c r="AF329" i="1"/>
  <c r="AF354" i="1"/>
  <c r="AC354" i="1"/>
  <c r="AC385" i="1"/>
  <c r="AF385" i="1"/>
  <c r="AC408" i="1"/>
  <c r="AF416" i="1"/>
  <c r="AC416" i="1"/>
  <c r="AC425" i="1"/>
  <c r="AF425" i="1"/>
  <c r="AF450" i="1"/>
  <c r="AC450" i="1"/>
  <c r="AF466" i="1"/>
  <c r="AC466" i="1"/>
  <c r="AF482" i="1"/>
  <c r="AC482" i="1"/>
  <c r="AF498" i="1"/>
  <c r="AC498" i="1"/>
  <c r="AF514" i="1"/>
  <c r="AC514" i="1"/>
  <c r="AC561" i="1"/>
  <c r="AC587" i="1"/>
  <c r="AF592" i="1"/>
  <c r="AC592" i="1"/>
  <c r="AC625" i="1"/>
  <c r="AF712" i="1"/>
  <c r="AC712" i="1"/>
  <c r="AF720" i="1"/>
  <c r="AC720" i="1"/>
  <c r="AF797" i="1"/>
  <c r="AC797" i="1"/>
  <c r="AF803" i="1"/>
  <c r="AC803" i="1"/>
  <c r="AF819" i="1"/>
  <c r="AC819" i="1"/>
  <c r="AF843" i="1"/>
  <c r="AC843" i="1"/>
  <c r="AC349" i="1"/>
  <c r="AC365" i="1"/>
  <c r="AC381" i="1"/>
  <c r="AC397" i="1"/>
  <c r="AC413" i="1"/>
  <c r="AC429" i="1"/>
  <c r="AC445" i="1"/>
  <c r="AC461" i="1"/>
  <c r="AC477" i="1"/>
  <c r="AC493" i="1"/>
  <c r="AC509" i="1"/>
  <c r="AC525" i="1"/>
  <c r="AC541" i="1"/>
  <c r="AC557" i="1"/>
  <c r="AC573" i="1"/>
  <c r="AC589" i="1"/>
  <c r="AC605" i="1"/>
  <c r="AC621" i="1"/>
  <c r="AC637" i="1"/>
  <c r="AC653" i="1"/>
  <c r="AC669" i="1"/>
  <c r="AC685" i="1"/>
  <c r="AC701" i="1"/>
  <c r="AC717" i="1"/>
  <c r="AF855" i="1"/>
  <c r="AC855" i="1"/>
  <c r="AF887" i="1"/>
  <c r="AC887" i="1"/>
  <c r="AF919" i="1"/>
  <c r="AC919" i="1"/>
  <c r="AF951" i="1"/>
  <c r="AC951" i="1"/>
  <c r="AF983" i="1"/>
  <c r="AC983" i="1"/>
  <c r="AF1015" i="1"/>
  <c r="AC1015" i="1"/>
  <c r="AF1047" i="1"/>
  <c r="AC1047" i="1"/>
  <c r="AF1079" i="1"/>
  <c r="AC1079" i="1"/>
  <c r="AF1304" i="1"/>
  <c r="AC1304" i="1"/>
  <c r="AF1310" i="1"/>
  <c r="AC1310" i="1"/>
  <c r="AF1334" i="1"/>
  <c r="AC1334" i="1"/>
  <c r="AF1352" i="1"/>
  <c r="AC1352" i="1"/>
  <c r="AC603" i="1"/>
  <c r="AC619" i="1"/>
  <c r="AC635" i="1"/>
  <c r="AC651" i="1"/>
  <c r="AC667" i="1"/>
  <c r="AC683" i="1"/>
  <c r="AC699" i="1"/>
  <c r="AC715" i="1"/>
  <c r="AF790" i="1"/>
  <c r="AC790" i="1"/>
  <c r="AC844" i="1"/>
  <c r="AF867" i="1"/>
  <c r="AC867" i="1"/>
  <c r="AC876" i="1"/>
  <c r="AF899" i="1"/>
  <c r="AC899" i="1"/>
  <c r="AF931" i="1"/>
  <c r="AC931" i="1"/>
  <c r="AF963" i="1"/>
  <c r="AC963" i="1"/>
  <c r="AF995" i="1"/>
  <c r="AC995" i="1"/>
  <c r="AF1027" i="1"/>
  <c r="AC1027" i="1"/>
  <c r="AF1059" i="1"/>
  <c r="AC1059" i="1"/>
  <c r="AF1122" i="1"/>
  <c r="AC1122" i="1"/>
  <c r="AF1208" i="1"/>
  <c r="AC1208" i="1"/>
  <c r="AF1214" i="1"/>
  <c r="AC1214" i="1"/>
  <c r="AF1238" i="1"/>
  <c r="AC1238" i="1"/>
  <c r="AF1256" i="1"/>
  <c r="AC1256" i="1"/>
  <c r="AC1540" i="1"/>
  <c r="AF1540" i="1"/>
  <c r="AF1576" i="1"/>
  <c r="AC1576" i="1"/>
  <c r="AF1675" i="1"/>
  <c r="AC1675" i="1"/>
  <c r="AF1695" i="1"/>
  <c r="AC1695" i="1"/>
  <c r="AF1995" i="1"/>
  <c r="AC1995" i="1"/>
  <c r="AF1039" i="1"/>
  <c r="AC1039" i="1"/>
  <c r="AF1071" i="1"/>
  <c r="AC1071" i="1"/>
  <c r="AF1142" i="1"/>
  <c r="AC1142" i="1"/>
  <c r="AF1160" i="1"/>
  <c r="AC1160" i="1"/>
  <c r="AF1368" i="1"/>
  <c r="AC1368" i="1"/>
  <c r="AC610" i="1"/>
  <c r="AC626" i="1"/>
  <c r="AC642" i="1"/>
  <c r="AC658" i="1"/>
  <c r="AC674" i="1"/>
  <c r="AC690" i="1"/>
  <c r="AC706" i="1"/>
  <c r="AC722" i="1"/>
  <c r="AC738" i="1"/>
  <c r="AC754" i="1"/>
  <c r="AC770" i="1"/>
  <c r="AC787" i="1"/>
  <c r="AC827" i="1"/>
  <c r="AF859" i="1"/>
  <c r="AC859" i="1"/>
  <c r="AF891" i="1"/>
  <c r="AC891" i="1"/>
  <c r="AF923" i="1"/>
  <c r="AC923" i="1"/>
  <c r="AF955" i="1"/>
  <c r="AC955" i="1"/>
  <c r="AF987" i="1"/>
  <c r="AC987" i="1"/>
  <c r="AF1019" i="1"/>
  <c r="AC1019" i="1"/>
  <c r="AF1051" i="1"/>
  <c r="AC1051" i="1"/>
  <c r="AF1086" i="1"/>
  <c r="AC1086" i="1"/>
  <c r="AC1092" i="1"/>
  <c r="AF1092" i="1"/>
  <c r="AF1272" i="1"/>
  <c r="AC1272" i="1"/>
  <c r="AF1278" i="1"/>
  <c r="AC1278" i="1"/>
  <c r="AF1302" i="1"/>
  <c r="AC1302" i="1"/>
  <c r="AF1320" i="1"/>
  <c r="AC1320" i="1"/>
  <c r="AC181" i="1"/>
  <c r="AC197" i="1"/>
  <c r="AC213" i="1"/>
  <c r="AC229" i="1"/>
  <c r="AC245" i="1"/>
  <c r="AC261" i="1"/>
  <c r="AC277" i="1"/>
  <c r="AC293" i="1"/>
  <c r="AC309" i="1"/>
  <c r="AC325" i="1"/>
  <c r="AC341" i="1"/>
  <c r="AC357" i="1"/>
  <c r="AC373" i="1"/>
  <c r="AC389" i="1"/>
  <c r="AC405" i="1"/>
  <c r="AC421" i="1"/>
  <c r="AC437" i="1"/>
  <c r="AC453" i="1"/>
  <c r="AC469" i="1"/>
  <c r="AC485" i="1"/>
  <c r="AC501" i="1"/>
  <c r="AC517" i="1"/>
  <c r="AC533" i="1"/>
  <c r="AC549" i="1"/>
  <c r="AC565" i="1"/>
  <c r="AC581" i="1"/>
  <c r="AC597" i="1"/>
  <c r="AF788" i="1"/>
  <c r="AC788" i="1"/>
  <c r="AF799" i="1"/>
  <c r="AC799" i="1"/>
  <c r="AF839" i="1"/>
  <c r="AC839" i="1"/>
  <c r="AF871" i="1"/>
  <c r="AC871" i="1"/>
  <c r="AF903" i="1"/>
  <c r="AC903" i="1"/>
  <c r="AF935" i="1"/>
  <c r="AC935" i="1"/>
  <c r="AF967" i="1"/>
  <c r="AC967" i="1"/>
  <c r="AF999" i="1"/>
  <c r="AC999" i="1"/>
  <c r="AF1031" i="1"/>
  <c r="AC1031" i="1"/>
  <c r="AF1063" i="1"/>
  <c r="AC1063" i="1"/>
  <c r="AF1176" i="1"/>
  <c r="AC1176" i="1"/>
  <c r="AF1182" i="1"/>
  <c r="AC1182" i="1"/>
  <c r="AF1206" i="1"/>
  <c r="AC1206" i="1"/>
  <c r="AF1224" i="1"/>
  <c r="AC1224" i="1"/>
  <c r="AC195" i="1"/>
  <c r="AC211" i="1"/>
  <c r="AC227" i="1"/>
  <c r="AC243" i="1"/>
  <c r="AC259" i="1"/>
  <c r="AC275" i="1"/>
  <c r="AC291" i="1"/>
  <c r="AC307" i="1"/>
  <c r="AF311" i="1"/>
  <c r="AC323" i="1"/>
  <c r="AF327" i="1"/>
  <c r="AC339" i="1"/>
  <c r="AF343" i="1"/>
  <c r="AC355" i="1"/>
  <c r="AF359" i="1"/>
  <c r="AC371" i="1"/>
  <c r="AF375" i="1"/>
  <c r="AC387" i="1"/>
  <c r="AF391" i="1"/>
  <c r="AC403" i="1"/>
  <c r="AF407" i="1"/>
  <c r="AC419" i="1"/>
  <c r="AF423" i="1"/>
  <c r="AC435" i="1"/>
  <c r="AC451" i="1"/>
  <c r="AC467" i="1"/>
  <c r="AC483" i="1"/>
  <c r="AC499" i="1"/>
  <c r="AC515" i="1"/>
  <c r="AC531" i="1"/>
  <c r="AC547" i="1"/>
  <c r="AC563" i="1"/>
  <c r="AC579" i="1"/>
  <c r="AC595" i="1"/>
  <c r="AC611" i="1"/>
  <c r="AC627" i="1"/>
  <c r="AC643" i="1"/>
  <c r="AC659" i="1"/>
  <c r="AC675" i="1"/>
  <c r="AC691" i="1"/>
  <c r="AC707" i="1"/>
  <c r="AF783" i="1"/>
  <c r="AC783" i="1"/>
  <c r="AC785" i="1"/>
  <c r="AC820" i="1"/>
  <c r="AC825" i="1"/>
  <c r="AF831" i="1"/>
  <c r="AC831" i="1"/>
  <c r="AF851" i="1"/>
  <c r="AC851" i="1"/>
  <c r="AC860" i="1"/>
  <c r="AF883" i="1"/>
  <c r="AC883" i="1"/>
  <c r="AF915" i="1"/>
  <c r="AC915" i="1"/>
  <c r="AF947" i="1"/>
  <c r="AC947" i="1"/>
  <c r="AF979" i="1"/>
  <c r="AC979" i="1"/>
  <c r="AF1011" i="1"/>
  <c r="AC1011" i="1"/>
  <c r="AF1043" i="1"/>
  <c r="AC1043" i="1"/>
  <c r="AF1075" i="1"/>
  <c r="AC1075" i="1"/>
  <c r="AC1106" i="1"/>
  <c r="AF1336" i="1"/>
  <c r="AC1336" i="1"/>
  <c r="AF1342" i="1"/>
  <c r="AC1342" i="1"/>
  <c r="AF1366" i="1"/>
  <c r="AC1366" i="1"/>
  <c r="AC1133" i="1"/>
  <c r="AC802" i="1"/>
  <c r="AC810" i="1"/>
  <c r="AC818" i="1"/>
  <c r="AC826" i="1"/>
  <c r="AC834" i="1"/>
  <c r="AC842" i="1"/>
  <c r="AC850" i="1"/>
  <c r="AC858" i="1"/>
  <c r="AC866" i="1"/>
  <c r="AC874" i="1"/>
  <c r="AC1085" i="1"/>
  <c r="AF1134" i="1"/>
  <c r="AC1134" i="1"/>
  <c r="AF1166" i="1"/>
  <c r="AC1166" i="1"/>
  <c r="AF1198" i="1"/>
  <c r="AC1198" i="1"/>
  <c r="AF1230" i="1"/>
  <c r="AC1230" i="1"/>
  <c r="AF1262" i="1"/>
  <c r="AC1262" i="1"/>
  <c r="AF1294" i="1"/>
  <c r="AC1294" i="1"/>
  <c r="AF1326" i="1"/>
  <c r="AC1326" i="1"/>
  <c r="AF1358" i="1"/>
  <c r="AC1358" i="1"/>
  <c r="AF1118" i="1"/>
  <c r="AC1118" i="1"/>
  <c r="AC779" i="1"/>
  <c r="AC795" i="1"/>
  <c r="AF802" i="1"/>
  <c r="AC808" i="1"/>
  <c r="AF810" i="1"/>
  <c r="AC816" i="1"/>
  <c r="AC824" i="1"/>
  <c r="AC832" i="1"/>
  <c r="AC840" i="1"/>
  <c r="AC848" i="1"/>
  <c r="AC856" i="1"/>
  <c r="AC864" i="1"/>
  <c r="AC872" i="1"/>
  <c r="AC880" i="1"/>
  <c r="AF1102" i="1"/>
  <c r="AC1102" i="1"/>
  <c r="AC1108" i="1"/>
  <c r="AF1158" i="1"/>
  <c r="AC1158" i="1"/>
  <c r="AF1190" i="1"/>
  <c r="AC1190" i="1"/>
  <c r="AF1222" i="1"/>
  <c r="AC1222" i="1"/>
  <c r="AF1254" i="1"/>
  <c r="AC1254" i="1"/>
  <c r="AF1286" i="1"/>
  <c r="AC1286" i="1"/>
  <c r="AF1318" i="1"/>
  <c r="AC1318" i="1"/>
  <c r="AF1350" i="1"/>
  <c r="AC1350" i="1"/>
  <c r="AC1097" i="1"/>
  <c r="AC1113" i="1"/>
  <c r="AC1129" i="1"/>
  <c r="AC1139" i="1"/>
  <c r="AC1147" i="1"/>
  <c r="AC1155" i="1"/>
  <c r="AC1381" i="1"/>
  <c r="AF1384" i="1"/>
  <c r="AC1384" i="1"/>
  <c r="AC1397" i="1"/>
  <c r="AF1400" i="1"/>
  <c r="AC1400" i="1"/>
  <c r="AC1413" i="1"/>
  <c r="AF1416" i="1"/>
  <c r="AC1416" i="1"/>
  <c r="AC1429" i="1"/>
  <c r="AF1432" i="1"/>
  <c r="AC1432" i="1"/>
  <c r="AC1445" i="1"/>
  <c r="AF1448" i="1"/>
  <c r="AC1448" i="1"/>
  <c r="AF1464" i="1"/>
  <c r="AC1464" i="1"/>
  <c r="AF1480" i="1"/>
  <c r="AC1480" i="1"/>
  <c r="AF1496" i="1"/>
  <c r="AC1496" i="1"/>
  <c r="AF1512" i="1"/>
  <c r="AC1512" i="1"/>
  <c r="AF1582" i="1"/>
  <c r="AC1582" i="1"/>
  <c r="AF1594" i="1"/>
  <c r="AC1594" i="1"/>
  <c r="AF1602" i="1"/>
  <c r="AC1602" i="1"/>
  <c r="AF1610" i="1"/>
  <c r="AC1610" i="1"/>
  <c r="AF1618" i="1"/>
  <c r="AC1618" i="1"/>
  <c r="AF1626" i="1"/>
  <c r="AC1626" i="1"/>
  <c r="AF1634" i="1"/>
  <c r="AC1634" i="1"/>
  <c r="AF1642" i="1"/>
  <c r="AC1642" i="1"/>
  <c r="AF1650" i="1"/>
  <c r="AC1650" i="1"/>
  <c r="AF1658" i="1"/>
  <c r="AC1658" i="1"/>
  <c r="AF1666" i="1"/>
  <c r="AC1666" i="1"/>
  <c r="AF1684" i="1"/>
  <c r="AC1684" i="1"/>
  <c r="AC1088" i="1"/>
  <c r="AC1093" i="1"/>
  <c r="AC1104" i="1"/>
  <c r="AC1109" i="1"/>
  <c r="AC1120" i="1"/>
  <c r="AC1125" i="1"/>
  <c r="AC1137" i="1"/>
  <c r="AC1145" i="1"/>
  <c r="AC1153" i="1"/>
  <c r="AC1161" i="1"/>
  <c r="AC1530" i="1"/>
  <c r="AF1530" i="1"/>
  <c r="AF1568" i="1"/>
  <c r="AC1568" i="1"/>
  <c r="AF1586" i="1"/>
  <c r="AC1586" i="1"/>
  <c r="AF1592" i="1"/>
  <c r="AC1592" i="1"/>
  <c r="AF1600" i="1"/>
  <c r="AC1600" i="1"/>
  <c r="AF1608" i="1"/>
  <c r="AC1608" i="1"/>
  <c r="AF1616" i="1"/>
  <c r="AC1616" i="1"/>
  <c r="AF1624" i="1"/>
  <c r="AC1624" i="1"/>
  <c r="AF1632" i="1"/>
  <c r="AC1632" i="1"/>
  <c r="AF1640" i="1"/>
  <c r="AC1640" i="1"/>
  <c r="AF1648" i="1"/>
  <c r="AC1648" i="1"/>
  <c r="AF1656" i="1"/>
  <c r="AC1656" i="1"/>
  <c r="AF1664" i="1"/>
  <c r="AC1664" i="1"/>
  <c r="AF1382" i="1"/>
  <c r="AC1382" i="1"/>
  <c r="AF1398" i="1"/>
  <c r="AC1398" i="1"/>
  <c r="AF1414" i="1"/>
  <c r="AC1414" i="1"/>
  <c r="AF1430" i="1"/>
  <c r="AC1430" i="1"/>
  <c r="AF1446" i="1"/>
  <c r="AC1446" i="1"/>
  <c r="AF1462" i="1"/>
  <c r="AC1462" i="1"/>
  <c r="AF1478" i="1"/>
  <c r="AC1478" i="1"/>
  <c r="AF1494" i="1"/>
  <c r="AC1494" i="1"/>
  <c r="AF1510" i="1"/>
  <c r="AC1510" i="1"/>
  <c r="AC1554" i="1"/>
  <c r="AF1554" i="1"/>
  <c r="AF1574" i="1"/>
  <c r="AC1574" i="1"/>
  <c r="AF1580" i="1"/>
  <c r="AC1580" i="1"/>
  <c r="AF1670" i="1"/>
  <c r="AC1670" i="1"/>
  <c r="AF1560" i="1"/>
  <c r="AC1560" i="1"/>
  <c r="AC1087" i="1"/>
  <c r="AC1103" i="1"/>
  <c r="AC1119" i="1"/>
  <c r="AC1140" i="1"/>
  <c r="AC1148" i="1"/>
  <c r="AC1156" i="1"/>
  <c r="AC1164" i="1"/>
  <c r="AC1172" i="1"/>
  <c r="AC1180" i="1"/>
  <c r="AC1188" i="1"/>
  <c r="AC1196" i="1"/>
  <c r="AC1204" i="1"/>
  <c r="AC1212" i="1"/>
  <c r="AC1220" i="1"/>
  <c r="AC1228" i="1"/>
  <c r="AC1236" i="1"/>
  <c r="AC1244" i="1"/>
  <c r="AC1252" i="1"/>
  <c r="AC1260" i="1"/>
  <c r="AC1268" i="1"/>
  <c r="AC1276" i="1"/>
  <c r="AC1284" i="1"/>
  <c r="AC1292" i="1"/>
  <c r="AC1300" i="1"/>
  <c r="AC1308" i="1"/>
  <c r="AC1316" i="1"/>
  <c r="AC1324" i="1"/>
  <c r="AC1332" i="1"/>
  <c r="AC1340" i="1"/>
  <c r="AC1348" i="1"/>
  <c r="AC1356" i="1"/>
  <c r="AC1364" i="1"/>
  <c r="AC1377" i="1"/>
  <c r="AC1393" i="1"/>
  <c r="AC1409" i="1"/>
  <c r="AC1425" i="1"/>
  <c r="AC1441" i="1"/>
  <c r="AC1542" i="1"/>
  <c r="AF1566" i="1"/>
  <c r="AC1566" i="1"/>
  <c r="AF1814" i="1"/>
  <c r="AC1814" i="1"/>
  <c r="AF1838" i="1"/>
  <c r="AC1838" i="1"/>
  <c r="AF1947" i="1"/>
  <c r="AC1947" i="1"/>
  <c r="AC1538" i="1"/>
  <c r="AF1538" i="1"/>
  <c r="AF1691" i="1"/>
  <c r="AC1691" i="1"/>
  <c r="AF1832" i="1"/>
  <c r="AC1832" i="1"/>
  <c r="AC1380" i="1"/>
  <c r="AC1385" i="1"/>
  <c r="AC1396" i="1"/>
  <c r="AC1401" i="1"/>
  <c r="AC1412" i="1"/>
  <c r="AC1417" i="1"/>
  <c r="AC1428" i="1"/>
  <c r="AC1433" i="1"/>
  <c r="AC1444" i="1"/>
  <c r="AC1460" i="1"/>
  <c r="AC1476" i="1"/>
  <c r="AC1492" i="1"/>
  <c r="AC1508" i="1"/>
  <c r="AC1546" i="1"/>
  <c r="AC1556" i="1"/>
  <c r="AF1556" i="1"/>
  <c r="AF1558" i="1"/>
  <c r="AC1383" i="1"/>
  <c r="AC1399" i="1"/>
  <c r="AC1415" i="1"/>
  <c r="AC1431" i="1"/>
  <c r="AF1528" i="1"/>
  <c r="AF1588" i="1"/>
  <c r="AC1588" i="1"/>
  <c r="AF1677" i="1"/>
  <c r="AC1677" i="1"/>
  <c r="AC1817" i="1"/>
  <c r="AF1817" i="1"/>
  <c r="AF1564" i="1"/>
  <c r="AC1564" i="1"/>
  <c r="AF1572" i="1"/>
  <c r="AC1572" i="1"/>
  <c r="AF1590" i="1"/>
  <c r="AC1590" i="1"/>
  <c r="AF1598" i="1"/>
  <c r="AC1598" i="1"/>
  <c r="AF1606" i="1"/>
  <c r="AC1606" i="1"/>
  <c r="AF1614" i="1"/>
  <c r="AC1614" i="1"/>
  <c r="AF1622" i="1"/>
  <c r="AC1622" i="1"/>
  <c r="AF1630" i="1"/>
  <c r="AC1630" i="1"/>
  <c r="AF1638" i="1"/>
  <c r="AC1638" i="1"/>
  <c r="AF1646" i="1"/>
  <c r="AC1646" i="1"/>
  <c r="AF1654" i="1"/>
  <c r="AC1654" i="1"/>
  <c r="AF1662" i="1"/>
  <c r="AC1662" i="1"/>
  <c r="AF1808" i="1"/>
  <c r="AC1808" i="1"/>
  <c r="AF1835" i="1"/>
  <c r="AC1835" i="1"/>
  <c r="AC1938" i="1"/>
  <c r="AF1938" i="1"/>
  <c r="AC1944" i="1"/>
  <c r="AF1944" i="1"/>
  <c r="AC1534" i="1"/>
  <c r="AC1550" i="1"/>
  <c r="AF1584" i="1"/>
  <c r="AC1584" i="1"/>
  <c r="AF1682" i="1"/>
  <c r="AC1682" i="1"/>
  <c r="AF1693" i="1"/>
  <c r="AC1693" i="1"/>
  <c r="AF1829" i="1"/>
  <c r="AC1829" i="1"/>
  <c r="AC1532" i="1"/>
  <c r="AF1536" i="1"/>
  <c r="AC1548" i="1"/>
  <c r="AF1552" i="1"/>
  <c r="AF1562" i="1"/>
  <c r="AC1562" i="1"/>
  <c r="AF1570" i="1"/>
  <c r="AC1570" i="1"/>
  <c r="AF1578" i="1"/>
  <c r="AC1578" i="1"/>
  <c r="AF1596" i="1"/>
  <c r="AC1596" i="1"/>
  <c r="AF1604" i="1"/>
  <c r="AC1604" i="1"/>
  <c r="AF1612" i="1"/>
  <c r="AC1612" i="1"/>
  <c r="AF1620" i="1"/>
  <c r="AC1620" i="1"/>
  <c r="AF1628" i="1"/>
  <c r="AC1628" i="1"/>
  <c r="AF1636" i="1"/>
  <c r="AC1636" i="1"/>
  <c r="AF1644" i="1"/>
  <c r="AC1644" i="1"/>
  <c r="AF1652" i="1"/>
  <c r="AC1652" i="1"/>
  <c r="AF1660" i="1"/>
  <c r="AC1660" i="1"/>
  <c r="AF1668" i="1"/>
  <c r="AC1668" i="1"/>
  <c r="AF1819" i="1"/>
  <c r="AC1819" i="1"/>
  <c r="AF1985" i="1"/>
  <c r="AC1985" i="1"/>
  <c r="AF1998" i="1"/>
  <c r="AC1998" i="1"/>
  <c r="AF2011" i="1"/>
  <c r="AC2011" i="1"/>
  <c r="AC2063" i="1"/>
  <c r="AF2063" i="1"/>
  <c r="AC1809" i="1"/>
  <c r="AF1809" i="1"/>
  <c r="AF1830" i="1"/>
  <c r="AC1830" i="1"/>
  <c r="AF1933" i="1"/>
  <c r="AC1933" i="1"/>
  <c r="AF1951" i="1"/>
  <c r="AC1951" i="1"/>
  <c r="AF1976" i="1"/>
  <c r="AC1976" i="1"/>
  <c r="AF1982" i="1"/>
  <c r="AC1982" i="1"/>
  <c r="AF1992" i="1"/>
  <c r="AC1992" i="1"/>
  <c r="AC2085" i="1"/>
  <c r="AF2085" i="1"/>
  <c r="AC1673" i="1"/>
  <c r="AC1680" i="1"/>
  <c r="AC1689" i="1"/>
  <c r="AF1821" i="1"/>
  <c r="AC1821" i="1"/>
  <c r="AC1824" i="1"/>
  <c r="AF1827" i="1"/>
  <c r="AC1827" i="1"/>
  <c r="AF1845" i="1"/>
  <c r="AC1845" i="1"/>
  <c r="AF1853" i="1"/>
  <c r="AC1853" i="1"/>
  <c r="AF1861" i="1"/>
  <c r="AC1861" i="1"/>
  <c r="AF1869" i="1"/>
  <c r="AC1869" i="1"/>
  <c r="AF1877" i="1"/>
  <c r="AC1877" i="1"/>
  <c r="AF1885" i="1"/>
  <c r="AC1885" i="1"/>
  <c r="AF1893" i="1"/>
  <c r="AC1893" i="1"/>
  <c r="AF1901" i="1"/>
  <c r="AC1901" i="1"/>
  <c r="AF1909" i="1"/>
  <c r="AC1909" i="1"/>
  <c r="AF1917" i="1"/>
  <c r="AC1917" i="1"/>
  <c r="AF1925" i="1"/>
  <c r="AC1925" i="1"/>
  <c r="AC1942" i="1"/>
  <c r="AF1942" i="1"/>
  <c r="AC1671" i="1"/>
  <c r="AC1687" i="1"/>
  <c r="AF1810" i="1"/>
  <c r="AC1810" i="1"/>
  <c r="AF1977" i="1"/>
  <c r="AC1977" i="1"/>
  <c r="AC2025" i="1"/>
  <c r="AF2025" i="1"/>
  <c r="AC2035" i="1"/>
  <c r="AF2035" i="1"/>
  <c r="AC2057" i="1"/>
  <c r="AF2057" i="1"/>
  <c r="AC1816" i="1"/>
  <c r="AF1822" i="1"/>
  <c r="AC1822" i="1"/>
  <c r="AF1837" i="1"/>
  <c r="AC1837" i="1"/>
  <c r="AF1843" i="1"/>
  <c r="AC1843" i="1"/>
  <c r="AF1851" i="1"/>
  <c r="AC1851" i="1"/>
  <c r="AF1859" i="1"/>
  <c r="AC1859" i="1"/>
  <c r="AF1867" i="1"/>
  <c r="AC1867" i="1"/>
  <c r="AF1875" i="1"/>
  <c r="AC1875" i="1"/>
  <c r="AF1883" i="1"/>
  <c r="AC1883" i="1"/>
  <c r="AF1891" i="1"/>
  <c r="AC1891" i="1"/>
  <c r="AF1899" i="1"/>
  <c r="AC1899" i="1"/>
  <c r="AF1907" i="1"/>
  <c r="AC1907" i="1"/>
  <c r="AF1915" i="1"/>
  <c r="AC1915" i="1"/>
  <c r="AF1923" i="1"/>
  <c r="AC1923" i="1"/>
  <c r="AF1931" i="1"/>
  <c r="AC1931" i="1"/>
  <c r="AF1961" i="1"/>
  <c r="AC1961" i="1"/>
  <c r="AC1805" i="1"/>
  <c r="AF2001" i="1"/>
  <c r="AC2001" i="1"/>
  <c r="AF2016" i="1"/>
  <c r="AC2016" i="1"/>
  <c r="AF2022" i="1"/>
  <c r="AC2022" i="1"/>
  <c r="AC2053" i="1"/>
  <c r="AC2067" i="1"/>
  <c r="AF2067" i="1"/>
  <c r="AC2095" i="1"/>
  <c r="AF1945" i="1"/>
  <c r="AC1945" i="1"/>
  <c r="AC1956" i="1"/>
  <c r="AF1956" i="1"/>
  <c r="AF1968" i="1"/>
  <c r="AC1968" i="1"/>
  <c r="AF1974" i="1"/>
  <c r="AC1974" i="1"/>
  <c r="AF2017" i="1"/>
  <c r="AC2017" i="1"/>
  <c r="AC2089" i="1"/>
  <c r="AF2089" i="1"/>
  <c r="AC2099" i="1"/>
  <c r="AF2099" i="1"/>
  <c r="AC1815" i="1"/>
  <c r="AF1825" i="1"/>
  <c r="AC1825" i="1"/>
  <c r="AF1833" i="1"/>
  <c r="AC1833" i="1"/>
  <c r="AF1841" i="1"/>
  <c r="AC1841" i="1"/>
  <c r="AF1849" i="1"/>
  <c r="AC1849" i="1"/>
  <c r="AF1857" i="1"/>
  <c r="AC1857" i="1"/>
  <c r="AF1865" i="1"/>
  <c r="AC1865" i="1"/>
  <c r="AF1873" i="1"/>
  <c r="AC1873" i="1"/>
  <c r="AF1881" i="1"/>
  <c r="AC1881" i="1"/>
  <c r="AF1889" i="1"/>
  <c r="AC1889" i="1"/>
  <c r="AF1897" i="1"/>
  <c r="AC1897" i="1"/>
  <c r="AF1905" i="1"/>
  <c r="AC1905" i="1"/>
  <c r="AF1913" i="1"/>
  <c r="AC1913" i="1"/>
  <c r="AF1921" i="1"/>
  <c r="AC1921" i="1"/>
  <c r="AF1929" i="1"/>
  <c r="AC1929" i="1"/>
  <c r="AF1993" i="1"/>
  <c r="AC1993" i="1"/>
  <c r="AF2008" i="1"/>
  <c r="AC2008" i="1"/>
  <c r="AF2014" i="1"/>
  <c r="AC2014" i="1"/>
  <c r="AC1940" i="1"/>
  <c r="AF1940" i="1"/>
  <c r="AC1954" i="1"/>
  <c r="AF1954" i="1"/>
  <c r="AF1969" i="1"/>
  <c r="AC1969" i="1"/>
  <c r="AF1984" i="1"/>
  <c r="AC1984" i="1"/>
  <c r="AC1987" i="1"/>
  <c r="AF1990" i="1"/>
  <c r="AC1990" i="1"/>
  <c r="AC2041" i="1"/>
  <c r="AF2041" i="1"/>
  <c r="AF2047" i="1"/>
  <c r="AC2051" i="1"/>
  <c r="AF2051" i="1"/>
  <c r="AC1811" i="1"/>
  <c r="AF1815" i="1"/>
  <c r="AF1823" i="1"/>
  <c r="AC1823" i="1"/>
  <c r="AF1831" i="1"/>
  <c r="AC1831" i="1"/>
  <c r="AF1839" i="1"/>
  <c r="AC1839" i="1"/>
  <c r="AF1847" i="1"/>
  <c r="AC1847" i="1"/>
  <c r="AF1855" i="1"/>
  <c r="AC1855" i="1"/>
  <c r="AF1863" i="1"/>
  <c r="AC1863" i="1"/>
  <c r="AF1871" i="1"/>
  <c r="AC1871" i="1"/>
  <c r="AF1879" i="1"/>
  <c r="AC1879" i="1"/>
  <c r="AF1887" i="1"/>
  <c r="AC1887" i="1"/>
  <c r="AF1895" i="1"/>
  <c r="AC1895" i="1"/>
  <c r="AF1903" i="1"/>
  <c r="AC1903" i="1"/>
  <c r="AF1911" i="1"/>
  <c r="AC1911" i="1"/>
  <c r="AF1919" i="1"/>
  <c r="AC1919" i="1"/>
  <c r="AF1927" i="1"/>
  <c r="AC1927" i="1"/>
  <c r="AF1960" i="1"/>
  <c r="AC1960" i="1"/>
  <c r="AF1966" i="1"/>
  <c r="AC1966" i="1"/>
  <c r="AF2009" i="1"/>
  <c r="AC2009" i="1"/>
  <c r="AF2024" i="1"/>
  <c r="AC2024" i="1"/>
  <c r="AC2031" i="1"/>
  <c r="AF2037" i="1"/>
  <c r="AC2073" i="1"/>
  <c r="AF2073" i="1"/>
  <c r="AF2079" i="1"/>
  <c r="AC2083" i="1"/>
  <c r="AF2083" i="1"/>
  <c r="AF1964" i="1"/>
  <c r="AC1964" i="1"/>
  <c r="AF1972" i="1"/>
  <c r="AC1972" i="1"/>
  <c r="AF1980" i="1"/>
  <c r="AC1980" i="1"/>
  <c r="AF1988" i="1"/>
  <c r="AC1988" i="1"/>
  <c r="AF1996" i="1"/>
  <c r="AC1996" i="1"/>
  <c r="AF2004" i="1"/>
  <c r="AC2004" i="1"/>
  <c r="AF2012" i="1"/>
  <c r="AC2012" i="1"/>
  <c r="AF2020" i="1"/>
  <c r="AC2020" i="1"/>
  <c r="AC1934" i="1"/>
  <c r="AC1950" i="1"/>
  <c r="AF2026" i="1"/>
  <c r="AC2026" i="1"/>
  <c r="AC2039" i="1"/>
  <c r="AC2055" i="1"/>
  <c r="AC2071" i="1"/>
  <c r="AC2087" i="1"/>
  <c r="AF1962" i="1"/>
  <c r="AC1962" i="1"/>
  <c r="AF1970" i="1"/>
  <c r="AC1970" i="1"/>
  <c r="AF1978" i="1"/>
  <c r="AC1978" i="1"/>
  <c r="AF1986" i="1"/>
  <c r="AC1986" i="1"/>
  <c r="AF1994" i="1"/>
  <c r="AC1994" i="1"/>
  <c r="AF2002" i="1"/>
  <c r="AC2002" i="1"/>
  <c r="AF2010" i="1"/>
  <c r="AC2010" i="1"/>
  <c r="AF2018" i="1"/>
  <c r="AC2018" i="1"/>
  <c r="AF2061" i="1"/>
  <c r="AF1934" i="1"/>
  <c r="AC1946" i="1"/>
  <c r="AF1950" i="1"/>
  <c r="AC2027" i="1"/>
  <c r="AF2039" i="1"/>
  <c r="AC2043" i="1"/>
  <c r="AF2055" i="1"/>
  <c r="AC2059" i="1"/>
  <c r="AF2071" i="1"/>
  <c r="AC2075" i="1"/>
  <c r="AF2087" i="1"/>
  <c r="AC2091" i="1"/>
  <c r="AC2028" i="1"/>
  <c r="AC2030" i="1"/>
  <c r="AC2032" i="1"/>
  <c r="AC2034" i="1"/>
  <c r="AC2036" i="1"/>
  <c r="AC2038" i="1"/>
  <c r="AC2040" i="1"/>
  <c r="AC2042" i="1"/>
  <c r="AC2044" i="1"/>
  <c r="AC2046" i="1"/>
  <c r="AC2048" i="1"/>
  <c r="AC2050" i="1"/>
  <c r="AC2052" i="1"/>
  <c r="AC2054" i="1"/>
  <c r="AC2056" i="1"/>
  <c r="AC2058" i="1"/>
  <c r="AC2060" i="1"/>
  <c r="AC2062" i="1"/>
  <c r="AC2064" i="1"/>
  <c r="AC2066" i="1"/>
  <c r="AC2068" i="1"/>
  <c r="AC2070" i="1"/>
  <c r="AC2072" i="1"/>
  <c r="AC2074" i="1"/>
  <c r="AC2076" i="1"/>
  <c r="AC2078" i="1"/>
  <c r="AC2080" i="1"/>
  <c r="AC2082" i="1"/>
  <c r="AC2084" i="1"/>
  <c r="AC2086" i="1"/>
  <c r="AC2088" i="1"/>
  <c r="AC2090" i="1"/>
  <c r="AC2092" i="1"/>
  <c r="AC2094" i="1"/>
  <c r="AC2096" i="1"/>
  <c r="AC2098" i="1"/>
  <c r="AC2100" i="1"/>
</calcChain>
</file>

<file path=xl/sharedStrings.xml><?xml version="1.0" encoding="utf-8"?>
<sst xmlns="http://schemas.openxmlformats.org/spreadsheetml/2006/main" count="28388" uniqueCount="2890">
  <si>
    <t>CODIGO ARTICULO</t>
  </si>
  <si>
    <t>PROVEEDOR</t>
  </si>
  <si>
    <t>RUBRO</t>
  </si>
  <si>
    <t>FAMILIA</t>
  </si>
  <si>
    <t>LINEA</t>
  </si>
  <si>
    <t>DESCRIPCION DE ARTICULO</t>
  </si>
  <si>
    <t>MATERIAL</t>
  </si>
  <si>
    <t>BAÑO/COLOR</t>
  </si>
  <si>
    <t>DEFINICION</t>
  </si>
  <si>
    <t>depósito</t>
  </si>
  <si>
    <t>tiendas</t>
  </si>
  <si>
    <t>stock unid.</t>
  </si>
  <si>
    <t>ene</t>
  </si>
  <si>
    <t>feb</t>
  </si>
  <si>
    <t>mar</t>
  </si>
  <si>
    <t>abr</t>
  </si>
  <si>
    <t>may</t>
  </si>
  <si>
    <t>jun</t>
  </si>
  <si>
    <t>días venta</t>
  </si>
  <si>
    <t>promedio mensual</t>
  </si>
  <si>
    <t>M/S</t>
  </si>
  <si>
    <t>condición</t>
  </si>
  <si>
    <t>precio</t>
  </si>
  <si>
    <t>stock valorizado</t>
  </si>
  <si>
    <t>clasificación stock</t>
  </si>
  <si>
    <t>stock unidades</t>
  </si>
  <si>
    <t>OT021283140</t>
  </si>
  <si>
    <t>DECO</t>
  </si>
  <si>
    <t>BANDEJA</t>
  </si>
  <si>
    <t>BANDEJA CHICA</t>
  </si>
  <si>
    <t>PELO</t>
  </si>
  <si>
    <t>HOLANDO</t>
  </si>
  <si>
    <t>activo</t>
  </si>
  <si>
    <t>activos</t>
  </si>
  <si>
    <t>0-6</t>
  </si>
  <si>
    <t>hasta 10 u.</t>
  </si>
  <si>
    <t>OT021283139</t>
  </si>
  <si>
    <t>HEREFORD</t>
  </si>
  <si>
    <t>MG100872101</t>
  </si>
  <si>
    <t>BARONTINI</t>
  </si>
  <si>
    <t>MARRO GRANDE</t>
  </si>
  <si>
    <t>BANDOLERA</t>
  </si>
  <si>
    <t>BANDOLERA AMALIA</t>
  </si>
  <si>
    <t>MACEIO</t>
  </si>
  <si>
    <t>NEGRO</t>
  </si>
  <si>
    <t>discontinuado</t>
  </si>
  <si>
    <t>liquidación</t>
  </si>
  <si>
    <t>MG100871160</t>
  </si>
  <si>
    <t>MAGNUM</t>
  </si>
  <si>
    <t>ARMY</t>
  </si>
  <si>
    <t>MG100871101</t>
  </si>
  <si>
    <t>7-12</t>
  </si>
  <si>
    <t>MG100872201</t>
  </si>
  <si>
    <t>SALLY</t>
  </si>
  <si>
    <t>MG100871827</t>
  </si>
  <si>
    <t>SENA</t>
  </si>
  <si>
    <t>PIEDRA</t>
  </si>
  <si>
    <t>MG100871828</t>
  </si>
  <si>
    <t>VISON</t>
  </si>
  <si>
    <t>MG010690303</t>
  </si>
  <si>
    <t>BANDOLERA ANTONIETA</t>
  </si>
  <si>
    <t>BRIDGE</t>
  </si>
  <si>
    <t>CARAMELO</t>
  </si>
  <si>
    <t>MG010690301</t>
  </si>
  <si>
    <t>13-24</t>
  </si>
  <si>
    <t>entre 11 y 20 u.</t>
  </si>
  <si>
    <t>MG010690304</t>
  </si>
  <si>
    <t>TABACO</t>
  </si>
  <si>
    <t>MG010690315</t>
  </si>
  <si>
    <t>MALBEC</t>
  </si>
  <si>
    <t>MG010690555</t>
  </si>
  <si>
    <t>GAMUZA</t>
  </si>
  <si>
    <t>AVELLANA</t>
  </si>
  <si>
    <t>+24</t>
  </si>
  <si>
    <t>más de 20 u.</t>
  </si>
  <si>
    <t>MG010690558</t>
  </si>
  <si>
    <t>CAFE</t>
  </si>
  <si>
    <t>MG010690556</t>
  </si>
  <si>
    <t>OXIDO</t>
  </si>
  <si>
    <t>MG010690550</t>
  </si>
  <si>
    <t>VESUBIO</t>
  </si>
  <si>
    <t>MG010690109</t>
  </si>
  <si>
    <t>NAPADO</t>
  </si>
  <si>
    <t>AZUL</t>
  </si>
  <si>
    <t>MG010690103</t>
  </si>
  <si>
    <t>MG010690115</t>
  </si>
  <si>
    <t>MG010690101</t>
  </si>
  <si>
    <t>MG010690107</t>
  </si>
  <si>
    <t>ROJO</t>
  </si>
  <si>
    <t>MG010690102</t>
  </si>
  <si>
    <t>SUELA</t>
  </si>
  <si>
    <t>MG010690110</t>
  </si>
  <si>
    <t>VERDE</t>
  </si>
  <si>
    <t>MG100902129</t>
  </si>
  <si>
    <t>BANDOLERA ASTRID</t>
  </si>
  <si>
    <t>COTTON</t>
  </si>
  <si>
    <t>MG100902201</t>
  </si>
  <si>
    <t>MG100901827</t>
  </si>
  <si>
    <t>MG100901828</t>
  </si>
  <si>
    <t>MG100901562</t>
  </si>
  <si>
    <t>TOLEDO</t>
  </si>
  <si>
    <t>MANGO</t>
  </si>
  <si>
    <t>MG100901501</t>
  </si>
  <si>
    <t>MG011060303</t>
  </si>
  <si>
    <t>BANDOLERA CARLA</t>
  </si>
  <si>
    <t>MG011060315</t>
  </si>
  <si>
    <t>MG011060301</t>
  </si>
  <si>
    <t>MG011060305</t>
  </si>
  <si>
    <t>LONDON</t>
  </si>
  <si>
    <t>discontinuados</t>
  </si>
  <si>
    <t>MG011060307</t>
  </si>
  <si>
    <t>MG011061623</t>
  </si>
  <si>
    <t>FIORENTINO</t>
  </si>
  <si>
    <t>CEDRO</t>
  </si>
  <si>
    <t>MG011061601</t>
  </si>
  <si>
    <t>MG011063140</t>
  </si>
  <si>
    <t>MG011063139</t>
  </si>
  <si>
    <t>MG010821909</t>
  </si>
  <si>
    <t>BANDOLERA CASIOPEA</t>
  </si>
  <si>
    <t>MODENA</t>
  </si>
  <si>
    <t>MG010820103</t>
  </si>
  <si>
    <t>MG010820101</t>
  </si>
  <si>
    <t>MG010820107</t>
  </si>
  <si>
    <t>MG010820102</t>
  </si>
  <si>
    <t>MG010820109</t>
  </si>
  <si>
    <t>MG020570103</t>
  </si>
  <si>
    <t>BANDOLERA LENA</t>
  </si>
  <si>
    <t>MG020570115</t>
  </si>
  <si>
    <t>MG020570101</t>
  </si>
  <si>
    <t>MG020570110</t>
  </si>
  <si>
    <t>MG020570109</t>
  </si>
  <si>
    <t>MG020570107</t>
  </si>
  <si>
    <t>MG020570102</t>
  </si>
  <si>
    <t>MG011343140</t>
  </si>
  <si>
    <t>BANDOLERA MATILDA</t>
  </si>
  <si>
    <t>MG011343139</t>
  </si>
  <si>
    <t>MG100892129</t>
  </si>
  <si>
    <t>BANDOLERA MEGAN</t>
  </si>
  <si>
    <t>MG100892201</t>
  </si>
  <si>
    <t>MG100891831</t>
  </si>
  <si>
    <t>NUDE</t>
  </si>
  <si>
    <t>MG100891827</t>
  </si>
  <si>
    <t>MG020010109</t>
  </si>
  <si>
    <t>BANDOLERA NATY</t>
  </si>
  <si>
    <t>MG020010103</t>
  </si>
  <si>
    <t>MG020010101</t>
  </si>
  <si>
    <t>MG020010107</t>
  </si>
  <si>
    <t>MG020010102</t>
  </si>
  <si>
    <t>MG020010110</t>
  </si>
  <si>
    <t>MG010290301</t>
  </si>
  <si>
    <t>BANDOLERA NATY SIMPLE</t>
  </si>
  <si>
    <t>MG010290304</t>
  </si>
  <si>
    <t>MG010290309</t>
  </si>
  <si>
    <t>MG010290303</t>
  </si>
  <si>
    <t>MG010290307</t>
  </si>
  <si>
    <t>MG010290509</t>
  </si>
  <si>
    <t>MG010290517</t>
  </si>
  <si>
    <t>GRIS MEDIO</t>
  </si>
  <si>
    <t>MG010290516</t>
  </si>
  <si>
    <t>OLIVE</t>
  </si>
  <si>
    <t>MG010290550</t>
  </si>
  <si>
    <t>VESUBIO/TABACO</t>
  </si>
  <si>
    <t>MG010290555-1</t>
  </si>
  <si>
    <t>AVELLANA/NEGRO</t>
  </si>
  <si>
    <t>MG010290555-4</t>
  </si>
  <si>
    <t>AVELLANA/TABACO</t>
  </si>
  <si>
    <t>MG010290556-4</t>
  </si>
  <si>
    <t>OXIDO/TABACO</t>
  </si>
  <si>
    <t>MG010290103</t>
  </si>
  <si>
    <t>MG010290115</t>
  </si>
  <si>
    <t>MG010290101</t>
  </si>
  <si>
    <t>MG010290107</t>
  </si>
  <si>
    <t>MG010290109</t>
  </si>
  <si>
    <t>MG010290102</t>
  </si>
  <si>
    <t>MG010290110</t>
  </si>
  <si>
    <t>MG011090307</t>
  </si>
  <si>
    <t>BANDOLERA NEW VICENTA</t>
  </si>
  <si>
    <t>MG011093409</t>
  </si>
  <si>
    <t>DESCARNE</t>
  </si>
  <si>
    <t>MG011093464</t>
  </si>
  <si>
    <t>ROSA</t>
  </si>
  <si>
    <t>MG011090550</t>
  </si>
  <si>
    <t>MG011090103</t>
  </si>
  <si>
    <t>MG011090101</t>
  </si>
  <si>
    <t>MG011090107</t>
  </si>
  <si>
    <t>MG011090102</t>
  </si>
  <si>
    <t>MG011090115</t>
  </si>
  <si>
    <t>NAPADO </t>
  </si>
  <si>
    <t>MG011093242</t>
  </si>
  <si>
    <t>VINTAGE</t>
  </si>
  <si>
    <t>MEDIO</t>
  </si>
  <si>
    <t>MG100882129</t>
  </si>
  <si>
    <t>BANDOLERA NOE</t>
  </si>
  <si>
    <t>MG100881120</t>
  </si>
  <si>
    <t>CUOIO</t>
  </si>
  <si>
    <t>MG100881101</t>
  </si>
  <si>
    <t>MG100881361</t>
  </si>
  <si>
    <t>NAPA LOLA SOFT</t>
  </si>
  <si>
    <t>CLAY</t>
  </si>
  <si>
    <t>MG100881353</t>
  </si>
  <si>
    <t>HAVANA</t>
  </si>
  <si>
    <t>MG100881301</t>
  </si>
  <si>
    <t>MG100882201</t>
  </si>
  <si>
    <t>MG100881816</t>
  </si>
  <si>
    <t>DARK OLIVE</t>
  </si>
  <si>
    <t>MG100881827</t>
  </si>
  <si>
    <t>MG100881828</t>
  </si>
  <si>
    <t>MG100881561</t>
  </si>
  <si>
    <t>MG100881553</t>
  </si>
  <si>
    <t>MG011041201</t>
  </si>
  <si>
    <t>BANDOLERA RUFINA</t>
  </si>
  <si>
    <t>DUNA</t>
  </si>
  <si>
    <t>MG011040103</t>
  </si>
  <si>
    <t>MG011040107</t>
  </si>
  <si>
    <t>MG011040102</t>
  </si>
  <si>
    <t>MG010811910</t>
  </si>
  <si>
    <t>BANDOLERA SAGITTA</t>
  </si>
  <si>
    <t>MG010810103</t>
  </si>
  <si>
    <t>MG010810101</t>
  </si>
  <si>
    <t>MG010810107</t>
  </si>
  <si>
    <t>MG010810102</t>
  </si>
  <si>
    <t>MG010810109</t>
  </si>
  <si>
    <t>MG010810110</t>
  </si>
  <si>
    <t>MG010700303</t>
  </si>
  <si>
    <t>BANDOLERA VICENTA</t>
  </si>
  <si>
    <t>MG010700315</t>
  </si>
  <si>
    <t>MG010700301</t>
  </si>
  <si>
    <t>MG010700307</t>
  </si>
  <si>
    <t>MG010700509</t>
  </si>
  <si>
    <t>MG010700558</t>
  </si>
  <si>
    <t>MG010700516</t>
  </si>
  <si>
    <t>MG010700556</t>
  </si>
  <si>
    <t>MG010700555</t>
  </si>
  <si>
    <t>MG010700517</t>
  </si>
  <si>
    <t>MG010700522</t>
  </si>
  <si>
    <t>GRIS OSCURO</t>
  </si>
  <si>
    <t>MG010700550</t>
  </si>
  <si>
    <t>MG010700703</t>
  </si>
  <si>
    <t>IGUANA</t>
  </si>
  <si>
    <t>MG010700701</t>
  </si>
  <si>
    <t>MG010700109</t>
  </si>
  <si>
    <t>MG010700101</t>
  </si>
  <si>
    <t>MG010700102</t>
  </si>
  <si>
    <t>MG010700103</t>
  </si>
  <si>
    <t>MG010700107</t>
  </si>
  <si>
    <t>MG010703243</t>
  </si>
  <si>
    <t>DARK</t>
  </si>
  <si>
    <t>MC020700303</t>
  </si>
  <si>
    <t>MARRO CHICA</t>
  </si>
  <si>
    <t>BILLETERA</t>
  </si>
  <si>
    <t>BILLETERA ADAM</t>
  </si>
  <si>
    <t>MC020700352</t>
  </si>
  <si>
    <t>CHOCOLATE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</si>
  <si>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</si>
  <si>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</si>
  <si>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</si>
  <si>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</si>
  <si>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</si>
  <si>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</si>
  <si>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</si>
  <si>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</si>
  <si>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BILLETERA ARLO</t>
  </si>
  <si>
    <t>MC020830352</t>
  </si>
  <si>
    <t>MC020830301</t>
  </si>
  <si>
    <t>MC020830304</t>
  </si>
  <si>
    <t>MC020830109</t>
  </si>
  <si>
    <t>MC020830110</t>
  </si>
  <si>
    <t>MC020480303</t>
  </si>
  <si>
    <t>BILLETERA BEIJING</t>
  </si>
  <si>
    <t>MC020480315</t>
  </si>
  <si>
    <t>MC020480309</t>
  </si>
  <si>
    <t>MC020480301</t>
  </si>
  <si>
    <t>MC020480307</t>
  </si>
  <si>
    <t>MC020480701</t>
  </si>
  <si>
    <t>MC020480109</t>
  </si>
  <si>
    <t>MC020480101</t>
  </si>
  <si>
    <t>MC020480107</t>
  </si>
  <si>
    <t>MC020480110</t>
  </si>
  <si>
    <t>MC020480703</t>
  </si>
  <si>
    <t>MC020480707</t>
  </si>
  <si>
    <t>MC020480709</t>
  </si>
  <si>
    <t>MC020480710</t>
  </si>
  <si>
    <t>MC020401910</t>
  </si>
  <si>
    <t>BILLETERA COPAHUE</t>
  </si>
  <si>
    <t>MC020400109</t>
  </si>
  <si>
    <t>MC020400101</t>
  </si>
  <si>
    <t>MC020400107</t>
  </si>
  <si>
    <t>MC020400102</t>
  </si>
  <si>
    <t>MC020400103</t>
  </si>
  <si>
    <t>MC020400110</t>
  </si>
  <si>
    <t>MC020371201</t>
  </si>
  <si>
    <t>BILLETERA FICHERO</t>
  </si>
  <si>
    <t>MC020370101</t>
  </si>
  <si>
    <t>MC020370107</t>
  </si>
  <si>
    <t>MC020370103</t>
  </si>
  <si>
    <t>MC020372201</t>
  </si>
  <si>
    <t>MC020200309</t>
  </si>
  <si>
    <t>BILLETERA KEY</t>
  </si>
  <si>
    <t>MC020200352</t>
  </si>
  <si>
    <t>MC020200301</t>
  </si>
  <si>
    <t>MC020200304</t>
  </si>
  <si>
    <t>MC020200709</t>
  </si>
  <si>
    <t>MC020200701</t>
  </si>
  <si>
    <t>MC020090301</t>
  </si>
  <si>
    <t>BILLETERA KEY FULL BLACK</t>
  </si>
  <si>
    <t>MC020330309</t>
  </si>
  <si>
    <t>BILLETERA LEXI</t>
  </si>
  <si>
    <t>MC020330303</t>
  </si>
  <si>
    <t>MC020330315</t>
  </si>
  <si>
    <t>MC020330301</t>
  </si>
  <si>
    <t>MC020330307</t>
  </si>
  <si>
    <t>MC020330304</t>
  </si>
  <si>
    <t>MC020441201</t>
  </si>
  <si>
    <t>BILLETERA LIAM</t>
  </si>
  <si>
    <t>MC020440109</t>
  </si>
  <si>
    <t>MC020440152</t>
  </si>
  <si>
    <t>MC020440101</t>
  </si>
  <si>
    <t>MC020440102</t>
  </si>
  <si>
    <t>MC020440110</t>
  </si>
  <si>
    <t>MC020440103</t>
  </si>
  <si>
    <t>MC020220303</t>
  </si>
  <si>
    <t>BILLETERA LUCA</t>
  </si>
  <si>
    <t>MC020220352</t>
  </si>
  <si>
    <t>MC020220301</t>
  </si>
  <si>
    <t>MC020220304</t>
  </si>
  <si>
    <t>MC020220309</t>
  </si>
  <si>
    <t>MC020220310</t>
  </si>
  <si>
    <t>MC020221201</t>
  </si>
  <si>
    <t>MC020221623</t>
  </si>
  <si>
    <t>MC020220701</t>
  </si>
  <si>
    <t>MC020220703</t>
  </si>
  <si>
    <t>MC020220707</t>
  </si>
  <si>
    <t>MC020220109</t>
  </si>
  <si>
    <t>MC020220101</t>
  </si>
  <si>
    <t>MC020220107</t>
  </si>
  <si>
    <t>MC020220102</t>
  </si>
  <si>
    <t>MC020220110</t>
  </si>
  <si>
    <t>MC020220103</t>
  </si>
  <si>
    <t>MC020220115</t>
  </si>
  <si>
    <t>MC020220104</t>
  </si>
  <si>
    <t>MC020320101</t>
  </si>
  <si>
    <t>BILLETERA MILO</t>
  </si>
  <si>
    <t>MC020431201</t>
  </si>
  <si>
    <t>BILLETERA MILO SIMPLE</t>
  </si>
  <si>
    <t>MC020431623</t>
  </si>
  <si>
    <t>MC020431910</t>
  </si>
  <si>
    <t>MC020430109</t>
  </si>
  <si>
    <t>MC020430102</t>
  </si>
  <si>
    <t>MC020430104</t>
  </si>
  <si>
    <t>MC020432201</t>
  </si>
  <si>
    <t>MC020432202</t>
  </si>
  <si>
    <t>MC020210309</t>
  </si>
  <si>
    <t>BILLETERA OSADIA</t>
  </si>
  <si>
    <t>MC020210303</t>
  </si>
  <si>
    <t>MC020210315</t>
  </si>
  <si>
    <t>MC020210301</t>
  </si>
  <si>
    <t>MC020210307</t>
  </si>
  <si>
    <t>MC020210304</t>
  </si>
  <si>
    <t>MC020211910</t>
  </si>
  <si>
    <t>MC020211909</t>
  </si>
  <si>
    <t>MC020210103</t>
  </si>
  <si>
    <t>MC020210101</t>
  </si>
  <si>
    <t>MC020210107</t>
  </si>
  <si>
    <t>MC020210102</t>
  </si>
  <si>
    <t>MC020210109</t>
  </si>
  <si>
    <t>MC020210110</t>
  </si>
  <si>
    <t>MC020300303</t>
  </si>
  <si>
    <t>BILLETERA PENY</t>
  </si>
  <si>
    <t>MC020300301</t>
  </si>
  <si>
    <t>MC020301910</t>
  </si>
  <si>
    <t>MC020300103</t>
  </si>
  <si>
    <t>MC020300101</t>
  </si>
  <si>
    <t>MC020300107</t>
  </si>
  <si>
    <t>MC020300102</t>
  </si>
  <si>
    <t>MC020300109</t>
  </si>
  <si>
    <t>OT260593811-S</t>
  </si>
  <si>
    <t>CHINA</t>
  </si>
  <si>
    <t>ACCESORIOS</t>
  </si>
  <si>
    <t>BOINA</t>
  </si>
  <si>
    <t>BOINA CLYDE</t>
  </si>
  <si>
    <t>LANA/POLYESTER</t>
  </si>
  <si>
    <t>BEIGE - S</t>
  </si>
  <si>
    <t>OT260593811-M</t>
  </si>
  <si>
    <t>BEIGE - M</t>
  </si>
  <si>
    <t>OT260593811-L</t>
  </si>
  <si>
    <t>BEIGE - L</t>
  </si>
  <si>
    <t>OT260593812-S</t>
  </si>
  <si>
    <t>GRIS - S</t>
  </si>
  <si>
    <t>OT260593812-M</t>
  </si>
  <si>
    <t>GRIS - M</t>
  </si>
  <si>
    <t>OT260593812-L</t>
  </si>
  <si>
    <t>GRIS - L</t>
  </si>
  <si>
    <t>OT260593858-S</t>
  </si>
  <si>
    <t>CAFE - S</t>
  </si>
  <si>
    <t>OT260593858-M</t>
  </si>
  <si>
    <t>CAFE - M</t>
  </si>
  <si>
    <t>OT260593858-L</t>
  </si>
  <si>
    <t>CAFE - L</t>
  </si>
  <si>
    <t>MG321250301</t>
  </si>
  <si>
    <t>ROSENTHAL</t>
  </si>
  <si>
    <t>BOLSO</t>
  </si>
  <si>
    <t>BOLSO ENRICO</t>
  </si>
  <si>
    <t>MG321250304</t>
  </si>
  <si>
    <t>MG010610352</t>
  </si>
  <si>
    <t>BOLSO LIHUEN</t>
  </si>
  <si>
    <t>MG010610301</t>
  </si>
  <si>
    <t>MG010610304</t>
  </si>
  <si>
    <t>MG010610303</t>
  </si>
  <si>
    <t>MG010611623</t>
  </si>
  <si>
    <t>MG010580301</t>
  </si>
  <si>
    <t>BOLSO LIHUEN FULL BLACK</t>
  </si>
  <si>
    <t>MG011350301</t>
  </si>
  <si>
    <t>BOLSO ROQUE</t>
  </si>
  <si>
    <t>MG011350304</t>
  </si>
  <si>
    <t>MG010100303</t>
  </si>
  <si>
    <t>BOLSO TUBO GRANDE</t>
  </si>
  <si>
    <t>MG010100352</t>
  </si>
  <si>
    <t>MG010100301</t>
  </si>
  <si>
    <t>MG010100304</t>
  </si>
  <si>
    <t>MG010100701</t>
  </si>
  <si>
    <t>BRIDGE/IGUANA</t>
  </si>
  <si>
    <t>MG010101623</t>
  </si>
  <si>
    <t>MG010100558</t>
  </si>
  <si>
    <t>CAFE/TABACO</t>
  </si>
  <si>
    <t>MG010100556</t>
  </si>
  <si>
    <t>MG010100550</t>
  </si>
  <si>
    <t>MG010100555-1</t>
  </si>
  <si>
    <t>MG010100555</t>
  </si>
  <si>
    <t>MG010100550-1</t>
  </si>
  <si>
    <t>VESUBIO/NEGRO</t>
  </si>
  <si>
    <t>MG010100316-3</t>
  </si>
  <si>
    <t>GAMUZA/BRIDGE</t>
  </si>
  <si>
    <t>OLIVE/CARAMELO</t>
  </si>
  <si>
    <t>MG010100516-4</t>
  </si>
  <si>
    <t>OLIVE/TABACO</t>
  </si>
  <si>
    <t>MG010100309-3</t>
  </si>
  <si>
    <t>AZUL/CARAMELO</t>
  </si>
  <si>
    <t>MG010100509-4</t>
  </si>
  <si>
    <t>AZUL/TABACO</t>
  </si>
  <si>
    <t>MG010100522-3</t>
  </si>
  <si>
    <t>GRIS OSCURO/CARAMELO</t>
  </si>
  <si>
    <t>MG010100522-4</t>
  </si>
  <si>
    <t>GRIS OSCURO/TABACO</t>
  </si>
  <si>
    <t>MG010100558-1</t>
  </si>
  <si>
    <t>CAFE/NEGRO</t>
  </si>
  <si>
    <t>MG010100517-3</t>
  </si>
  <si>
    <t>GRIS MEDIO/CARAMELO</t>
  </si>
  <si>
    <t>MG010100516-3</t>
  </si>
  <si>
    <t>GAMUZA/IGUANA</t>
  </si>
  <si>
    <t>MG010100509-3</t>
  </si>
  <si>
    <t>MG010100101</t>
  </si>
  <si>
    <t>MG010103163</t>
  </si>
  <si>
    <t>MARRON</t>
  </si>
  <si>
    <t>MG010103148</t>
  </si>
  <si>
    <t>MARRON ROJIZO</t>
  </si>
  <si>
    <t>MG010103140-1</t>
  </si>
  <si>
    <t>PELO/BRIDGE</t>
  </si>
  <si>
    <t>HOLANDO/NEGRO</t>
  </si>
  <si>
    <t>MG010103139-4</t>
  </si>
  <si>
    <t>HEREFORD/TABACO</t>
  </si>
  <si>
    <t>MG010103148-52</t>
  </si>
  <si>
    <t>MARRON ROJIZO/CHOCOLATE</t>
  </si>
  <si>
    <t>MG010103163-52</t>
  </si>
  <si>
    <t>MARRON/CHOCOLATE</t>
  </si>
  <si>
    <t>MG010080303</t>
  </si>
  <si>
    <t>BOLSO URBANO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</si>
  <si>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</si>
  <si>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</si>
  <si>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</si>
  <si>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</si>
  <si>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</si>
  <si>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</si>
  <si>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</si>
  <si>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BOLSO URBANO FULL BLACK</t>
  </si>
  <si>
    <t>CA140140002-40</t>
  </si>
  <si>
    <t>EFIL</t>
  </si>
  <si>
    <t>CALZADO</t>
  </si>
  <si>
    <t>BORCEGO</t>
  </si>
  <si>
    <t>BORCEGO ALELI</t>
  </si>
  <si>
    <t>CUERO</t>
  </si>
  <si>
    <t>CA110050002-39</t>
  </si>
  <si>
    <t>TIGANI</t>
  </si>
  <si>
    <t>BORCEGO CLASSIC</t>
  </si>
  <si>
    <t>CA140150001-36</t>
  </si>
  <si>
    <t>BOTA</t>
  </si>
  <si>
    <t>BOTA JAZMIN</t>
  </si>
  <si>
    <t>CA110060002-39</t>
  </si>
  <si>
    <t>BOTA MORRIS</t>
  </si>
  <si>
    <t>CA110060002-40</t>
  </si>
  <si>
    <t>MG010210303</t>
  </si>
  <si>
    <t>NECESSAIRE</t>
  </si>
  <si>
    <t>BOTINERO MARCOS 30</t>
  </si>
  <si>
    <t>MG010210352</t>
  </si>
  <si>
    <t>MG010210315</t>
  </si>
  <si>
    <t>MG010210301</t>
  </si>
  <si>
    <t>MG010210304</t>
  </si>
  <si>
    <t>MG010210509-3</t>
  </si>
  <si>
    <t>AZUL-CARAMELO</t>
  </si>
  <si>
    <t>MG010210558-1</t>
  </si>
  <si>
    <t>CAFE-NEGRO</t>
  </si>
  <si>
    <t>MG010210558-4</t>
  </si>
  <si>
    <t>CAFE-TABACO</t>
  </si>
  <si>
    <t>MG010210550</t>
  </si>
  <si>
    <t>VESUBIO-TABACO</t>
  </si>
  <si>
    <t>TX190212909</t>
  </si>
  <si>
    <t>ITS</t>
  </si>
  <si>
    <t>BUFANDA</t>
  </si>
  <si>
    <t>BUFANDA ACRUX</t>
  </si>
  <si>
    <t>LANA ALPACA</t>
  </si>
  <si>
    <t>TX190212912</t>
  </si>
  <si>
    <t>GRIS</t>
  </si>
  <si>
    <t>TX190212901</t>
  </si>
  <si>
    <t>TX190212921</t>
  </si>
  <si>
    <t>TOSTADO</t>
  </si>
  <si>
    <t>TX190212952</t>
  </si>
  <si>
    <t>TX190212911</t>
  </si>
  <si>
    <t>BEIGE</t>
  </si>
  <si>
    <t>TX190212936</t>
  </si>
  <si>
    <t>CRUDO</t>
  </si>
  <si>
    <t>TX190202909</t>
  </si>
  <si>
    <t>BUFANDA ADHARA</t>
  </si>
  <si>
    <t>TX190202936</t>
  </si>
  <si>
    <t>TX190202912</t>
  </si>
  <si>
    <t>TX190202901</t>
  </si>
  <si>
    <t>TX190202921</t>
  </si>
  <si>
    <t>TX190172811</t>
  </si>
  <si>
    <t>BUFANDA CAPELLA</t>
  </si>
  <si>
    <t>LANA LLAMA</t>
  </si>
  <si>
    <t>TX190172837</t>
  </si>
  <si>
    <t>TX190172801</t>
  </si>
  <si>
    <t>TX190172828</t>
  </si>
  <si>
    <t>TX240293907-38</t>
  </si>
  <si>
    <t>TOMAS SUCHOWOLSKI</t>
  </si>
  <si>
    <t>TEXTIL</t>
  </si>
  <si>
    <t>CAMISA</t>
  </si>
  <si>
    <t>CAMISA ALASKA</t>
  </si>
  <si>
    <t>VIYELA</t>
  </si>
  <si>
    <t>TX240293907-40</t>
  </si>
  <si>
    <t>TX240293907-42</t>
  </si>
  <si>
    <t>TX240293907-44</t>
  </si>
  <si>
    <t>TX240293907-46</t>
  </si>
  <si>
    <t>TX240293907-48</t>
  </si>
  <si>
    <t>TX240293946-38</t>
  </si>
  <si>
    <t>TX240293946-40</t>
  </si>
  <si>
    <t>TX240293946-42</t>
  </si>
  <si>
    <t>TX240293946-44</t>
  </si>
  <si>
    <t>TX240293946-46</t>
  </si>
  <si>
    <t>TX240293946-48</t>
  </si>
  <si>
    <t>TX240293946-50</t>
  </si>
  <si>
    <t>TX240293910-38</t>
  </si>
  <si>
    <t>CAMISA ALASKA 607</t>
  </si>
  <si>
    <t>TX240293910-40</t>
  </si>
  <si>
    <t>TX240293910-42</t>
  </si>
  <si>
    <t>TX240293910-44</t>
  </si>
  <si>
    <t>TX240293910-46</t>
  </si>
  <si>
    <t>TX240293910-48</t>
  </si>
  <si>
    <t>TX240293910-50</t>
  </si>
  <si>
    <t>TX240303910-40</t>
  </si>
  <si>
    <t>CAMISA ALASKA 609</t>
  </si>
  <si>
    <t>TX240303910-42</t>
  </si>
  <si>
    <t>TX240303910-44</t>
  </si>
  <si>
    <t>TX240303910-46</t>
  </si>
  <si>
    <t>TX240303910-48</t>
  </si>
  <si>
    <t>TX240303910-50</t>
  </si>
  <si>
    <t>TX240353711-42</t>
  </si>
  <si>
    <t>CAMISA ALGODÓN</t>
  </si>
  <si>
    <t>ALGODON</t>
  </si>
  <si>
    <t>BEIGE (42)</t>
  </si>
  <si>
    <t>2x1</t>
  </si>
  <si>
    <t>TX240363709-46</t>
  </si>
  <si>
    <t>CELESTE (46)</t>
  </si>
  <si>
    <t>C12I1150-38</t>
  </si>
  <si>
    <t>NELSON ALESSI</t>
  </si>
  <si>
    <t>CAMISA CUADRITOS ALGODÓN</t>
  </si>
  <si>
    <t>CUADRITOS</t>
  </si>
  <si>
    <t>C12I1150-40</t>
  </si>
  <si>
    <t>C12I1150-42</t>
  </si>
  <si>
    <t>C12I1150-44</t>
  </si>
  <si>
    <t>C8R8625-38</t>
  </si>
  <si>
    <t>CAMISA CUADROS ALGODÓN</t>
  </si>
  <si>
    <t>NEGRO Y BLANCO</t>
  </si>
  <si>
    <t>C8R8625-40</t>
  </si>
  <si>
    <t>C44620-38</t>
  </si>
  <si>
    <t>CAMISA LISA ALGODÓN</t>
  </si>
  <si>
    <t>AMARILLA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</si>
  <si>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</si>
  <si>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</si>
  <si>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</si>
  <si>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</si>
  <si>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</si>
  <si>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</si>
  <si>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</si>
  <si>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</si>
  <si>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</si>
  <si>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</si>
  <si>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CAMISA LISA LINO</t>
  </si>
  <si>
    <t>LINO</t>
  </si>
  <si>
    <t>S1ITA8985-40</t>
  </si>
  <si>
    <t>S1ITA8985-42</t>
  </si>
  <si>
    <t>S1ITA8985-44</t>
  </si>
  <si>
    <t>S1ITA8985-46</t>
  </si>
  <si>
    <t>S13-38</t>
  </si>
  <si>
    <t>CASCARILLA</t>
  </si>
  <si>
    <t>S13-40</t>
  </si>
  <si>
    <t>S13-42</t>
  </si>
  <si>
    <t>S13-44</t>
  </si>
  <si>
    <t>S13-46</t>
  </si>
  <si>
    <t>SIITA8981-40</t>
  </si>
  <si>
    <t>CELESTE</t>
  </si>
  <si>
    <t>S1ITA8981-0-38</t>
  </si>
  <si>
    <t>LILA</t>
  </si>
  <si>
    <t>S1ITA8981-0-40</t>
  </si>
  <si>
    <t>S1ITA8981-0-42</t>
  </si>
  <si>
    <t>S1ITA8981-0-44</t>
  </si>
  <si>
    <t>S1ITA8981-0-46</t>
  </si>
  <si>
    <t>A20-38</t>
  </si>
  <si>
    <t>CAMISA MULTIRAYAS ALGODÓN</t>
  </si>
  <si>
    <t>A20-40</t>
  </si>
  <si>
    <t>A20-42</t>
  </si>
  <si>
    <t>ANGELO10028-38</t>
  </si>
  <si>
    <t>CAMISA RAYADA</t>
  </si>
  <si>
    <t>MIXTA</t>
  </si>
  <si>
    <t>B/N</t>
  </si>
  <si>
    <t>ANGELO10028-40</t>
  </si>
  <si>
    <t>ANGELO10028-46</t>
  </si>
  <si>
    <t>S15C3716-42</t>
  </si>
  <si>
    <t>CAMISA RAYITAS ALGODÓN</t>
  </si>
  <si>
    <t>BLANCA-AMARILLA</t>
  </si>
  <si>
    <t>S15C3716-38</t>
  </si>
  <si>
    <t>S15C3716-40</t>
  </si>
  <si>
    <t>S15C3716-44</t>
  </si>
  <si>
    <t>S15C3716-46</t>
  </si>
  <si>
    <t>TX290383700-L</t>
  </si>
  <si>
    <t>CAMISE</t>
  </si>
  <si>
    <t>CAMISA RENZO</t>
  </si>
  <si>
    <t>BLANCO L</t>
  </si>
  <si>
    <t>TX290383700-M</t>
  </si>
  <si>
    <t>BLANCO M</t>
  </si>
  <si>
    <t>TX290383700-S</t>
  </si>
  <si>
    <t>BLANCO S</t>
  </si>
  <si>
    <t>TX290383700-XL</t>
  </si>
  <si>
    <t>BLANCO XL</t>
  </si>
  <si>
    <t>TX290383700-XXL</t>
  </si>
  <si>
    <t>BLANCO XXL</t>
  </si>
  <si>
    <t>S10-7-38</t>
  </si>
  <si>
    <t>CAMISA TRAMA ALGODÓN</t>
  </si>
  <si>
    <t>BLANCO</t>
  </si>
  <si>
    <t>S10-7-40</t>
  </si>
  <si>
    <t>S10-7-42</t>
  </si>
  <si>
    <t>S10-7-44</t>
  </si>
  <si>
    <t>S10-7-46</t>
  </si>
  <si>
    <t>TX180130152-L</t>
  </si>
  <si>
    <t>NORTEXCUER</t>
  </si>
  <si>
    <t>CAMPERA</t>
  </si>
  <si>
    <t>CAMPERA ALBERTO</t>
  </si>
  <si>
    <t>TX180130152-XL</t>
  </si>
  <si>
    <t>TX180130101-L</t>
  </si>
  <si>
    <t>TX180130101-M</t>
  </si>
  <si>
    <t>TX180130101-S</t>
  </si>
  <si>
    <t>TX180130101-XL</t>
  </si>
  <si>
    <t>TX130112709-L</t>
  </si>
  <si>
    <t>LAGOMARSINO</t>
  </si>
  <si>
    <t>CAMPERA CHANDRA</t>
  </si>
  <si>
    <t>MICROFIBRA</t>
  </si>
  <si>
    <t>TX130112709-M</t>
  </si>
  <si>
    <t>TX130112709-S</t>
  </si>
  <si>
    <t>TX130112709-XL</t>
  </si>
  <si>
    <t>TX130112709-XXL</t>
  </si>
  <si>
    <t>TX130112733-L</t>
  </si>
  <si>
    <t>CEMENTO</t>
  </si>
  <si>
    <t>TX130112733-M</t>
  </si>
  <si>
    <t>TX130112733-XL</t>
  </si>
  <si>
    <t>TX130112733-XXL</t>
  </si>
  <si>
    <t>TX130112701-L</t>
  </si>
  <si>
    <t>TX130112701-M</t>
  </si>
  <si>
    <t>TX130112701-S</t>
  </si>
  <si>
    <t>TX130112701-XL</t>
  </si>
  <si>
    <t>TX130112701-XXL</t>
  </si>
  <si>
    <t>TX130112710-L</t>
  </si>
  <si>
    <t>TX130112710-M</t>
  </si>
  <si>
    <t>TX130112710-S</t>
  </si>
  <si>
    <t>TX130112710-XL</t>
  </si>
  <si>
    <t>TX130112710-XXL</t>
  </si>
  <si>
    <t>TX180150103-M</t>
  </si>
  <si>
    <t>CAMPERA CRISTINA</t>
  </si>
  <si>
    <t>TX180150103-XS-MC</t>
  </si>
  <si>
    <t>TX180150101-M</t>
  </si>
  <si>
    <t>TX180150101-S</t>
  </si>
  <si>
    <t>TX180150134-L</t>
  </si>
  <si>
    <t>TIZA</t>
  </si>
  <si>
    <t>TX180150134-XS</t>
  </si>
  <si>
    <t>TX180150134-XS-MC</t>
  </si>
  <si>
    <t>TX130102709-L</t>
  </si>
  <si>
    <t>CAMPERA CRUX</t>
  </si>
  <si>
    <t>TX130102709-M</t>
  </si>
  <si>
    <t>TX130102709-S</t>
  </si>
  <si>
    <t>TX130102709-XL</t>
  </si>
  <si>
    <t>TX130102701-L</t>
  </si>
  <si>
    <t>TX130102701-M</t>
  </si>
  <si>
    <t>TX130102701-XL</t>
  </si>
  <si>
    <t>TX130102701-XXL</t>
  </si>
  <si>
    <t>TX130102710-L</t>
  </si>
  <si>
    <t>TX130102710-M</t>
  </si>
  <si>
    <t>TX130102710-XL</t>
  </si>
  <si>
    <t>TX180140101-L</t>
  </si>
  <si>
    <t>CAMPERA JAVIER</t>
  </si>
  <si>
    <t>TX180140101-M</t>
  </si>
  <si>
    <t>TX180140101-S</t>
  </si>
  <si>
    <t>TX220233509-L</t>
  </si>
  <si>
    <t>VELLON NEGRO</t>
  </si>
  <si>
    <t>CAMPERA SKI C/CIERRE</t>
  </si>
  <si>
    <t>PURA LANA</t>
  </si>
  <si>
    <t>TX220233509-XXL</t>
  </si>
  <si>
    <t>TX220233512-L</t>
  </si>
  <si>
    <t>GRIS TOPO</t>
  </si>
  <si>
    <t>TX220233512-M</t>
  </si>
  <si>
    <t>TX220233512-XL</t>
  </si>
  <si>
    <t>TX220233512-XXL</t>
  </si>
  <si>
    <t>TX220233501-L</t>
  </si>
  <si>
    <t>TX220233501-M</t>
  </si>
  <si>
    <t>TX220233501-XXL</t>
  </si>
  <si>
    <t>TX220263552-M</t>
  </si>
  <si>
    <t>CAMPERA VIR</t>
  </si>
  <si>
    <t>TX220263565-L</t>
  </si>
  <si>
    <t>CHOCOLINO</t>
  </si>
  <si>
    <t>TX220263565-M</t>
  </si>
  <si>
    <t>TX220263565-XL</t>
  </si>
  <si>
    <t>TX220263565-XXL</t>
  </si>
  <si>
    <t>OT320780301</t>
  </si>
  <si>
    <t>TRAVEL</t>
  </si>
  <si>
    <t>VALIJA</t>
  </si>
  <si>
    <t>CARRY ON FRED</t>
  </si>
  <si>
    <t>OT320760301</t>
  </si>
  <si>
    <t>CARRY ON JAMES</t>
  </si>
  <si>
    <t>OT320760304</t>
  </si>
  <si>
    <t>MG010840303</t>
  </si>
  <si>
    <t>CARTERA</t>
  </si>
  <si>
    <t>CARTERA ACONCAGUA</t>
  </si>
  <si>
    <t>MG010840315</t>
  </si>
  <si>
    <t>MG010840307</t>
  </si>
  <si>
    <t>MG010840304</t>
  </si>
  <si>
    <t>MG010840309</t>
  </si>
  <si>
    <t>MG010840301</t>
  </si>
  <si>
    <t>MG010840310</t>
  </si>
  <si>
    <t>MG010841201</t>
  </si>
  <si>
    <t>MG151021623</t>
  </si>
  <si>
    <t>BIANCO</t>
  </si>
  <si>
    <t>CARTERA AMANDA</t>
  </si>
  <si>
    <t>MG010920303</t>
  </si>
  <si>
    <t>CARTERA AMARILLA C/CIERRE</t>
  </si>
  <si>
    <t>MG010920352</t>
  </si>
  <si>
    <t>MG010920301</t>
  </si>
  <si>
    <t>MG010920304</t>
  </si>
  <si>
    <t>MG010920305</t>
  </si>
  <si>
    <t>MG010710303</t>
  </si>
  <si>
    <t>CARTERA AMARILLA SET SOBRE</t>
  </si>
  <si>
    <t>MG010710352</t>
  </si>
  <si>
    <t>MG010710315</t>
  </si>
  <si>
    <t>MG010710301</t>
  </si>
  <si>
    <t>MG010710304</t>
  </si>
  <si>
    <t>MG010710307</t>
  </si>
  <si>
    <t>MG010710310</t>
  </si>
  <si>
    <t>MG010710302</t>
  </si>
  <si>
    <t>BRIDGE NAPO</t>
  </si>
  <si>
    <t>MG010713344</t>
  </si>
  <si>
    <t>CRASH</t>
  </si>
  <si>
    <t>BLACK</t>
  </si>
  <si>
    <t>MG010713345</t>
  </si>
  <si>
    <t>MALBORO</t>
  </si>
  <si>
    <t>MG010710555-4</t>
  </si>
  <si>
    <t>MG010710556-4</t>
  </si>
  <si>
    <t>MG010710550</t>
  </si>
  <si>
    <t>MG010710703</t>
  </si>
  <si>
    <t>MG010710701</t>
  </si>
  <si>
    <t>MG010710707</t>
  </si>
  <si>
    <t>MG010710709</t>
  </si>
  <si>
    <t>MG010710710</t>
  </si>
  <si>
    <t>MG010711210</t>
  </si>
  <si>
    <t>MG010711909</t>
  </si>
  <si>
    <t>MG010713111</t>
  </si>
  <si>
    <t>MG010713163</t>
  </si>
  <si>
    <t>MG010713243</t>
  </si>
  <si>
    <t>MG010713241</t>
  </si>
  <si>
    <t>LIGHT</t>
  </si>
  <si>
    <t>MG010711019</t>
  </si>
  <si>
    <t>CROCO</t>
  </si>
  <si>
    <t>CANELA</t>
  </si>
  <si>
    <t>MG010711623</t>
  </si>
  <si>
    <t>MG010710558</t>
  </si>
  <si>
    <t>MG010713139</t>
  </si>
  <si>
    <t>MG010713140</t>
  </si>
  <si>
    <t>MG011311901</t>
  </si>
  <si>
    <t>CARTERA AMARILLA SET SOBRE BIFAZ</t>
  </si>
  <si>
    <t>MG011311909</t>
  </si>
  <si>
    <t>AZUL/SUELA</t>
  </si>
  <si>
    <t>MG011311910</t>
  </si>
  <si>
    <t>MG010930303</t>
  </si>
  <si>
    <t>CARTERA APHOLO C/CIERRE</t>
  </si>
  <si>
    <t>MG010930352</t>
  </si>
  <si>
    <t>MG010930315</t>
  </si>
  <si>
    <t>MG010930301</t>
  </si>
  <si>
    <t>MG010930304</t>
  </si>
  <si>
    <t>MG010931623</t>
  </si>
  <si>
    <t>MG010720303</t>
  </si>
  <si>
    <t>CARTERA APHOLO SET SOBRE</t>
  </si>
  <si>
    <t>MG010720301</t>
  </si>
  <si>
    <t>MG010720304</t>
  </si>
  <si>
    <t>MG010720307</t>
  </si>
  <si>
    <t>MG010090303</t>
  </si>
  <si>
    <t>CARTERA BAULITO</t>
  </si>
  <si>
    <t>MG010090301</t>
  </si>
  <si>
    <t>MG010090307</t>
  </si>
  <si>
    <t>MG010090304</t>
  </si>
  <si>
    <t>MG010091623</t>
  </si>
  <si>
    <t>MG010090558</t>
  </si>
  <si>
    <t>MG010090552</t>
  </si>
  <si>
    <t>CHOCOLATE/TABACO</t>
  </si>
  <si>
    <t>MG010090551</t>
  </si>
  <si>
    <t>MOSTAZA/TABACO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</si>
  <si>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</si>
  <si>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</si>
  <si>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</si>
  <si>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</si>
  <si>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</si>
  <si>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</si>
  <si>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</si>
  <si>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</si>
  <si>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TAMPONATO</t>
  </si>
  <si>
    <t>MG010850315</t>
  </si>
  <si>
    <t>CARTERA CHALTEN</t>
  </si>
  <si>
    <t>MG010850301</t>
  </si>
  <si>
    <t>MG010850304</t>
  </si>
  <si>
    <t>MG010850309</t>
  </si>
  <si>
    <t>MG010850311</t>
  </si>
  <si>
    <t>CAMEL</t>
  </si>
  <si>
    <t>MG010850303</t>
  </si>
  <si>
    <t>MG010850305</t>
  </si>
  <si>
    <t>MG010850307</t>
  </si>
  <si>
    <t>MG010851909</t>
  </si>
  <si>
    <t>MG010851910</t>
  </si>
  <si>
    <t>MG010740301</t>
  </si>
  <si>
    <t>CARTERA DOS HEBILLAS NEW</t>
  </si>
  <si>
    <t>MG010740304</t>
  </si>
  <si>
    <t>MG010740303</t>
  </si>
  <si>
    <t>MG010740555</t>
  </si>
  <si>
    <t>MG010740517-4</t>
  </si>
  <si>
    <t>GRIS MEDIO/TABACO</t>
  </si>
  <si>
    <t>MG010740516-4</t>
  </si>
  <si>
    <t>MG010740550</t>
  </si>
  <si>
    <t>MG010740558</t>
  </si>
  <si>
    <t>MG010740509-4</t>
  </si>
  <si>
    <t>MG011133344</t>
  </si>
  <si>
    <t>CARTERA EMILIA</t>
  </si>
  <si>
    <t>MG011131201</t>
  </si>
  <si>
    <t>MG011130103</t>
  </si>
  <si>
    <t>MG011130115</t>
  </si>
  <si>
    <t>MG011130101</t>
  </si>
  <si>
    <t>MG011240509-4</t>
  </si>
  <si>
    <t>CARTERA HARPER</t>
  </si>
  <si>
    <t>BRIDGE AZUL/TABACO</t>
  </si>
  <si>
    <t>MG011240516-4</t>
  </si>
  <si>
    <t>BRIDGE OLIVE/TABACO</t>
  </si>
  <si>
    <t>MG011240550-4</t>
  </si>
  <si>
    <t>BRIDGE VESUBIO/TABACO</t>
  </si>
  <si>
    <t>MG011330301</t>
  </si>
  <si>
    <t>CARTERA INES</t>
  </si>
  <si>
    <t>MG011330303</t>
  </si>
  <si>
    <t>MG011330315</t>
  </si>
  <si>
    <t>MG011333139</t>
  </si>
  <si>
    <t>MG011333140</t>
  </si>
  <si>
    <t>MG010980303</t>
  </si>
  <si>
    <t>CARTERA JUSTINA</t>
  </si>
  <si>
    <t>MG010980301</t>
  </si>
  <si>
    <t>MG010980304</t>
  </si>
  <si>
    <t>MG010981623</t>
  </si>
  <si>
    <t>MG011370516</t>
  </si>
  <si>
    <t>CARTERA KALI</t>
  </si>
  <si>
    <t>MG011370504</t>
  </si>
  <si>
    <t>MG011051201</t>
  </si>
  <si>
    <t>CARTERA LEANDRA</t>
  </si>
  <si>
    <t>MG011050103</t>
  </si>
  <si>
    <t>MG011050115</t>
  </si>
  <si>
    <t>MG011050101</t>
  </si>
  <si>
    <t>MG011050107</t>
  </si>
  <si>
    <t>MG011050102</t>
  </si>
  <si>
    <t>MG010831201</t>
  </si>
  <si>
    <t>CARTERA LISBOA</t>
  </si>
  <si>
    <t>MG010831623</t>
  </si>
  <si>
    <t>MG010830555</t>
  </si>
  <si>
    <t>MG010830550</t>
  </si>
  <si>
    <t>MG010830509-3</t>
  </si>
  <si>
    <t>MG010830522-4</t>
  </si>
  <si>
    <t>MG010830516-3</t>
  </si>
  <si>
    <t>MG010830516-4</t>
  </si>
  <si>
    <t>MG010830556</t>
  </si>
  <si>
    <t>MG010830852</t>
  </si>
  <si>
    <t>GAMUZA LH</t>
  </si>
  <si>
    <t>MG010830703</t>
  </si>
  <si>
    <t>MG010830701</t>
  </si>
  <si>
    <t>MG010830709</t>
  </si>
  <si>
    <t>MG010830707</t>
  </si>
  <si>
    <t>MG010830710</t>
  </si>
  <si>
    <t>MG010830103</t>
  </si>
  <si>
    <t>MG010830101</t>
  </si>
  <si>
    <t>MG010830107</t>
  </si>
  <si>
    <t>MG010830109</t>
  </si>
  <si>
    <t>MG010830110</t>
  </si>
  <si>
    <t>MG010830115</t>
  </si>
  <si>
    <t>MG010860303</t>
  </si>
  <si>
    <t>CARTERA LONDRES</t>
  </si>
  <si>
    <t>MG010860352</t>
  </si>
  <si>
    <t>MG010860315</t>
  </si>
  <si>
    <t>MG010860301</t>
  </si>
  <si>
    <t>MG010860307</t>
  </si>
  <si>
    <t>MG010860304</t>
  </si>
  <si>
    <t>MG010861210</t>
  </si>
  <si>
    <t>MG010910303</t>
  </si>
  <si>
    <t>CARTERA MINI APHOLO C/CIERRE</t>
  </si>
  <si>
    <t>MG010910315</t>
  </si>
  <si>
    <t>MG010910301</t>
  </si>
  <si>
    <t>MG010910307</t>
  </si>
  <si>
    <t>MG010910304</t>
  </si>
  <si>
    <t>MG010911623</t>
  </si>
  <si>
    <t>MG010730352</t>
  </si>
  <si>
    <t>CARTERA MINI APHOLO SET SOBRE</t>
  </si>
  <si>
    <t>MG010730301</t>
  </si>
  <si>
    <t>MG010730307</t>
  </si>
  <si>
    <t>MG010730304</t>
  </si>
  <si>
    <t>MG010730309</t>
  </si>
  <si>
    <t>MG010730303</t>
  </si>
  <si>
    <t>MG010730302</t>
  </si>
  <si>
    <t>MG010730556-4</t>
  </si>
  <si>
    <t>MG010730550</t>
  </si>
  <si>
    <t>MG010730555-1</t>
  </si>
  <si>
    <t>MG010730555</t>
  </si>
  <si>
    <t>MG010730551</t>
  </si>
  <si>
    <t>MG010730556</t>
  </si>
  <si>
    <t>OXIDO/NEGRO</t>
  </si>
  <si>
    <t>MG010731910</t>
  </si>
  <si>
    <t>MG010731909</t>
  </si>
  <si>
    <t>MG011120103</t>
  </si>
  <si>
    <t>CARTERA MINI EMMA</t>
  </si>
  <si>
    <t>MG011120115</t>
  </si>
  <si>
    <t>MG011120101</t>
  </si>
  <si>
    <t>MG011120107</t>
  </si>
  <si>
    <t>MG011120102</t>
  </si>
  <si>
    <t>MG011410516</t>
  </si>
  <si>
    <t>CARTERA VERA</t>
  </si>
  <si>
    <t>MG011410504</t>
  </si>
  <si>
    <t>MG011410522</t>
  </si>
  <si>
    <t>MG010600303</t>
  </si>
  <si>
    <t>CARTERA YARA</t>
  </si>
  <si>
    <t>MG010600315</t>
  </si>
  <si>
    <t>MG010600301</t>
  </si>
  <si>
    <t>MG010600307</t>
  </si>
  <si>
    <t>MG010600304</t>
  </si>
  <si>
    <t>MG010600309</t>
  </si>
  <si>
    <t>MG010600703</t>
  </si>
  <si>
    <t>MG010600701</t>
  </si>
  <si>
    <t>MG010601910</t>
  </si>
  <si>
    <t>MC020360309</t>
  </si>
  <si>
    <t>CARTUCHERA</t>
  </si>
  <si>
    <t>CARTUCHERA MONT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</si>
  <si>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</si>
  <si>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</si>
  <si>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</si>
  <si>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</si>
  <si>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</si>
  <si>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</si>
  <si>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</si>
  <si>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</si>
  <si>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</si>
  <si>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</si>
  <si>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</si>
  <si>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</si>
  <si>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</si>
  <si>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CARTUCHERA MONT FULL BLACK</t>
  </si>
  <si>
    <t>TX220243609-L</t>
  </si>
  <si>
    <t>CHALECO</t>
  </si>
  <si>
    <t>CHALECO PRATTO</t>
  </si>
  <si>
    <t>ALGODON/LANA</t>
  </si>
  <si>
    <t>TX220243609-M</t>
  </si>
  <si>
    <t>TX220243601-L</t>
  </si>
  <si>
    <t>TX130122701-M</t>
  </si>
  <si>
    <t>CHALECO RAMI</t>
  </si>
  <si>
    <t>MICROPOLAR</t>
  </si>
  <si>
    <t>TX130122710-S</t>
  </si>
  <si>
    <t>TX300393769</t>
  </si>
  <si>
    <t>BELTEX</t>
  </si>
  <si>
    <t>CHALINA</t>
  </si>
  <si>
    <t>CHALINA EXEDRA</t>
  </si>
  <si>
    <t>fuera de venta</t>
  </si>
  <si>
    <t>TX300393712</t>
  </si>
  <si>
    <t>TX300393701</t>
  </si>
  <si>
    <t>TX300393764</t>
  </si>
  <si>
    <t>TX300393711</t>
  </si>
  <si>
    <t>TX300393700</t>
  </si>
  <si>
    <t>OFF WHITE</t>
  </si>
  <si>
    <t>TX200183037-L</t>
  </si>
  <si>
    <t>SAN REMO</t>
  </si>
  <si>
    <t>CHOMBA</t>
  </si>
  <si>
    <t>CHOMBA POLO NAOS</t>
  </si>
  <si>
    <t>PIQUE</t>
  </si>
  <si>
    <t>AZUL MARINO</t>
  </si>
  <si>
    <t>TX200183037-M</t>
  </si>
  <si>
    <t>TX200183037-S</t>
  </si>
  <si>
    <t>TX200183037-XL</t>
  </si>
  <si>
    <t>TX200183037-XXL</t>
  </si>
  <si>
    <t>TX200183037-XXXL</t>
  </si>
  <si>
    <t>TX200183024-L</t>
  </si>
  <si>
    <t>TX200183024-M</t>
  </si>
  <si>
    <t>TX200183024-S</t>
  </si>
  <si>
    <t>TX200183024-XL</t>
  </si>
  <si>
    <t>TX200183024-XXL</t>
  </si>
  <si>
    <t>TX200183024-XXXL</t>
  </si>
  <si>
    <t>TX200183038-L</t>
  </si>
  <si>
    <t>DENIM GASTADO</t>
  </si>
  <si>
    <t>TX200183038-M</t>
  </si>
  <si>
    <t>TX200183038-S</t>
  </si>
  <si>
    <t>TX200183038-XL</t>
  </si>
  <si>
    <t>TX200183038-XXL</t>
  </si>
  <si>
    <t>TX200183038-XXXL</t>
  </si>
  <si>
    <t>TX200183001-L</t>
  </si>
  <si>
    <t>TX200183001-M</t>
  </si>
  <si>
    <t>TX200183001-S</t>
  </si>
  <si>
    <t>TX200183001-XL</t>
  </si>
  <si>
    <t>TX200183001-XXL</t>
  </si>
  <si>
    <t>TX200183001-XXXL</t>
  </si>
  <si>
    <t>MC050110004-100</t>
  </si>
  <si>
    <t>CABRERA</t>
  </si>
  <si>
    <t>CINTURON</t>
  </si>
  <si>
    <t>CINTURON ALFO 223</t>
  </si>
  <si>
    <t>MC050110004-105</t>
  </si>
  <si>
    <t>MC050110004-110</t>
  </si>
  <si>
    <t>MC050110004-90</t>
  </si>
  <si>
    <t>MC050110004-95</t>
  </si>
  <si>
    <t>MC050110004-115</t>
  </si>
  <si>
    <t>MC050110004-120</t>
  </si>
  <si>
    <t>MC050110004-85</t>
  </si>
  <si>
    <t>MC050100001-100</t>
  </si>
  <si>
    <t>CINTURON ESPIGA 216</t>
  </si>
  <si>
    <t>MC050100001-105</t>
  </si>
  <si>
    <t>MC050100001-110</t>
  </si>
  <si>
    <t>MC050100001-115</t>
  </si>
  <si>
    <t>MC050100001-120</t>
  </si>
  <si>
    <t>MC050100001-85</t>
  </si>
  <si>
    <t>MC050100001-90</t>
  </si>
  <si>
    <t>MC050100001-95</t>
  </si>
  <si>
    <t>MC050100002-100</t>
  </si>
  <si>
    <t>MC050100002-105</t>
  </si>
  <si>
    <t>MC050100002-110</t>
  </si>
  <si>
    <t>MC050100002-115</t>
  </si>
  <si>
    <t>MC050100002-120</t>
  </si>
  <si>
    <t>MC050100002-85</t>
  </si>
  <si>
    <t>MC050100002-95</t>
  </si>
  <si>
    <t>MC050140301-100</t>
  </si>
  <si>
    <t>CINTURON GUS 650</t>
  </si>
  <si>
    <t>MC050140301-105</t>
  </si>
  <si>
    <t>MC050140301-110</t>
  </si>
  <si>
    <t>MC050140301-90</t>
  </si>
  <si>
    <t>MC050140301-95</t>
  </si>
  <si>
    <t>MC050140302-100</t>
  </si>
  <si>
    <t>MC050140302-105</t>
  </si>
  <si>
    <t>MC050140302-110</t>
  </si>
  <si>
    <t>MC050140302-90</t>
  </si>
  <si>
    <t>MC050140302-95</t>
  </si>
  <si>
    <t>MC050140301-115</t>
  </si>
  <si>
    <t>MC050140301-120</t>
  </si>
  <si>
    <t>MC050140301-85</t>
  </si>
  <si>
    <t>MC050140302-115</t>
  </si>
  <si>
    <t>MC050140302-120</t>
  </si>
  <si>
    <t>MC050140302-85</t>
  </si>
  <si>
    <t>MC050150152-105</t>
  </si>
  <si>
    <t>CINTURON JAIRO 455</t>
  </si>
  <si>
    <t>MC050150152-110</t>
  </si>
  <si>
    <t>MC050150152-115</t>
  </si>
  <si>
    <t>MC050150152-120</t>
  </si>
  <si>
    <t>MC050150152-85</t>
  </si>
  <si>
    <t>MC050150101-115</t>
  </si>
  <si>
    <t>MC050150101-120</t>
  </si>
  <si>
    <t>MC040480101-100</t>
  </si>
  <si>
    <t>JORGE CA</t>
  </si>
  <si>
    <t>CINTURON LOPA</t>
  </si>
  <si>
    <t>MC040480101-105</t>
  </si>
  <si>
    <t>MC040480101-110</t>
  </si>
  <si>
    <t>MC040480101-90</t>
  </si>
  <si>
    <t>MC040480101-95</t>
  </si>
  <si>
    <t>MC040480102-100</t>
  </si>
  <si>
    <t>MC040480102-105</t>
  </si>
  <si>
    <t>MC040480102-110</t>
  </si>
  <si>
    <t>MC040480102-90</t>
  </si>
  <si>
    <t>MC040480102-95</t>
  </si>
  <si>
    <t>MC040480101-115</t>
  </si>
  <si>
    <t>MC040480101-120</t>
  </si>
  <si>
    <t>MC040480101-85</t>
  </si>
  <si>
    <t>MC040480102-115</t>
  </si>
  <si>
    <t>MC040480102-120</t>
  </si>
  <si>
    <t>MC040480102-85</t>
  </si>
  <si>
    <t>MC050120303-S</t>
  </si>
  <si>
    <t>CINTURON MIA</t>
  </si>
  <si>
    <t>MC050120303-XS</t>
  </si>
  <si>
    <t>MC050120301-S</t>
  </si>
  <si>
    <t>MC050120301-XS</t>
  </si>
  <si>
    <t>MC050120307-S</t>
  </si>
  <si>
    <t>MC050120307-XS</t>
  </si>
  <si>
    <t>MC050120304-S</t>
  </si>
  <si>
    <t>MC050120304-XS</t>
  </si>
  <si>
    <t>MC050120309-L</t>
  </si>
  <si>
    <t>MC050120309-M</t>
  </si>
  <si>
    <t>MC050120309-S</t>
  </si>
  <si>
    <t>MC050120309-XS</t>
  </si>
  <si>
    <t>MC050120303-L</t>
  </si>
  <si>
    <t>MC050120303-M</t>
  </si>
  <si>
    <t>MC050120301-L</t>
  </si>
  <si>
    <t>MC050120301-M</t>
  </si>
  <si>
    <t>MC050120307-L</t>
  </si>
  <si>
    <t>MC050120307-M</t>
  </si>
  <si>
    <t>MC050120304-L</t>
  </si>
  <si>
    <t>MC050120304-M</t>
  </si>
  <si>
    <t>MC050120310-L</t>
  </si>
  <si>
    <t>MC050120310-M</t>
  </si>
  <si>
    <t>MC050120310-S</t>
  </si>
  <si>
    <t>MC050120310-XS</t>
  </si>
  <si>
    <t>MC050160909-100</t>
  </si>
  <si>
    <t>CINTURON PANAMA 468</t>
  </si>
  <si>
    <t>PANAMA/CUERO</t>
  </si>
  <si>
    <t>MC050160909-105</t>
  </si>
  <si>
    <t>MC050160909-110</t>
  </si>
  <si>
    <t>MC050160909-90</t>
  </si>
  <si>
    <t>MC050160909-95</t>
  </si>
  <si>
    <t>MC050160921-100</t>
  </si>
  <si>
    <t>MC050160921-105</t>
  </si>
  <si>
    <t>MC050160921-110</t>
  </si>
  <si>
    <t>MC050160921-90</t>
  </si>
  <si>
    <t>MC050160921-95</t>
  </si>
  <si>
    <t>MC050160909-115</t>
  </si>
  <si>
    <t>MC050160909-120</t>
  </si>
  <si>
    <t>MC050160909-85</t>
  </si>
  <si>
    <t>MC050160921-115</t>
  </si>
  <si>
    <t>MC050160921-120</t>
  </si>
  <si>
    <t>MC050160921-85</t>
  </si>
  <si>
    <t>MC050160910-100</t>
  </si>
  <si>
    <t>MC050160910-105</t>
  </si>
  <si>
    <t>MC050160910-110</t>
  </si>
  <si>
    <t>MC050160910-115</t>
  </si>
  <si>
    <t>MC050160910-120</t>
  </si>
  <si>
    <t>MC050160910-85</t>
  </si>
  <si>
    <t>MC050160910-90</t>
  </si>
  <si>
    <t>MC050160910-95</t>
  </si>
  <si>
    <t>OT021300101</t>
  </si>
  <si>
    <t>CINTURON PAO</t>
  </si>
  <si>
    <t>OT021300102</t>
  </si>
  <si>
    <t>OT021310101</t>
  </si>
  <si>
    <t>CINTURON PAO COMBINADO</t>
  </si>
  <si>
    <t>CUERO/ALGODON</t>
  </si>
  <si>
    <t>OT021310102</t>
  </si>
  <si>
    <t>MC050130309-100</t>
  </si>
  <si>
    <t>CINTURON REX 508</t>
  </si>
  <si>
    <t>AZUL/MALBEC</t>
  </si>
  <si>
    <t>MC050130309-105</t>
  </si>
  <si>
    <t>MC050130309-110</t>
  </si>
  <si>
    <t>MC050130309-90</t>
  </si>
  <si>
    <t>MC050130309-95</t>
  </si>
  <si>
    <t>MC050130309-115</t>
  </si>
  <si>
    <t>MC050130309-120</t>
  </si>
  <si>
    <t>MC050130309-85</t>
  </si>
  <si>
    <t>OT021293148-S-M</t>
  </si>
  <si>
    <t>CINTURON RUS</t>
  </si>
  <si>
    <t>OT021293148-M-L</t>
  </si>
  <si>
    <t>OT021293111-S-M</t>
  </si>
  <si>
    <t>OT021293111-M-L</t>
  </si>
  <si>
    <t>MC040140103-100</t>
  </si>
  <si>
    <t>CINTURON TINO</t>
  </si>
  <si>
    <t>MC040140103-105</t>
  </si>
  <si>
    <t>MC040140103-110</t>
  </si>
  <si>
    <t>MC040140103-90</t>
  </si>
  <si>
    <t>MC040140103-95</t>
  </si>
  <si>
    <t>MC040140101-100</t>
  </si>
  <si>
    <t>MC040140101-105</t>
  </si>
  <si>
    <t>MC040140101-110</t>
  </si>
  <si>
    <t>MC040140101-90</t>
  </si>
  <si>
    <t>MC040140101-95</t>
  </si>
  <si>
    <t>MC040140102-100</t>
  </si>
  <si>
    <t>MC040140102-105</t>
  </si>
  <si>
    <t>MC040140102-110</t>
  </si>
  <si>
    <t>MC040140102-90</t>
  </si>
  <si>
    <t>MC040140102-95</t>
  </si>
  <si>
    <t>MC040140103-115</t>
  </si>
  <si>
    <t>MC040140103-120</t>
  </si>
  <si>
    <t>MC040140103-85</t>
  </si>
  <si>
    <t>MC040140101-115</t>
  </si>
  <si>
    <t>MC040140101-120</t>
  </si>
  <si>
    <t>MC040140101-85</t>
  </si>
  <si>
    <t>MC040140102-115</t>
  </si>
  <si>
    <t>MC040140102-120</t>
  </si>
  <si>
    <t>MC040140102-85</t>
  </si>
  <si>
    <t>OT020580310-110</t>
  </si>
  <si>
    <t>CINTURON TOKIO</t>
  </si>
  <si>
    <t>CARAMELO/VERDE 110</t>
  </si>
  <si>
    <t>OT020580310-130</t>
  </si>
  <si>
    <t>CARAMELO/VERDE 130</t>
  </si>
  <si>
    <t>MC050090103-100</t>
  </si>
  <si>
    <t>CINTURON TRENZADO 431</t>
  </si>
  <si>
    <t>MC050090103-105</t>
  </si>
  <si>
    <t>MC050090103-110</t>
  </si>
  <si>
    <t>MC050090103-115</t>
  </si>
  <si>
    <t>MC050090103-120</t>
  </si>
  <si>
    <t>MC050090103-85</t>
  </si>
  <si>
    <t>MC050090103-90</t>
  </si>
  <si>
    <t>MC010040402-90</t>
  </si>
  <si>
    <t>CINTURON VAQUETA</t>
  </si>
  <si>
    <t>VAQUETA</t>
  </si>
  <si>
    <t>MC010040402-95</t>
  </si>
  <si>
    <t>MC010060401-100</t>
  </si>
  <si>
    <t>MC010060401-105</t>
  </si>
  <si>
    <t>MC010060401-110</t>
  </si>
  <si>
    <t>MC010060401-115</t>
  </si>
  <si>
    <t>MC010060401-85</t>
  </si>
  <si>
    <t>MC010060401-90</t>
  </si>
  <si>
    <t>MC010030402-100</t>
  </si>
  <si>
    <t>MC010030402-105</t>
  </si>
  <si>
    <t>MC010030402-110</t>
  </si>
  <si>
    <t>MC010030402-115</t>
  </si>
  <si>
    <t>MC010030402-85</t>
  </si>
  <si>
    <t>MC010030402-90</t>
  </si>
  <si>
    <t>OT010260555-30</t>
  </si>
  <si>
    <t>CORREA</t>
  </si>
  <si>
    <t>OT010260558-30</t>
  </si>
  <si>
    <t>OT010260556-30</t>
  </si>
  <si>
    <t>OT010260103-30</t>
  </si>
  <si>
    <t>OT010260107-30</t>
  </si>
  <si>
    <t>OT010260102-30</t>
  </si>
  <si>
    <t>OT010260110-30</t>
  </si>
  <si>
    <t>OT020410309</t>
  </si>
  <si>
    <t>CORREA LOLI</t>
  </si>
  <si>
    <t>ALGODON/CUERO</t>
  </si>
  <si>
    <t>OT020410301</t>
  </si>
  <si>
    <t>OT020410307</t>
  </si>
  <si>
    <t>OT020410310</t>
  </si>
  <si>
    <t>OT020410303</t>
  </si>
  <si>
    <t>OT020410315</t>
  </si>
  <si>
    <t>OT020410304</t>
  </si>
  <si>
    <t>OT020420303</t>
  </si>
  <si>
    <t>CORREA LORE</t>
  </si>
  <si>
    <t>ACRILICO/CUERO</t>
  </si>
  <si>
    <t>OT020420301</t>
  </si>
  <si>
    <t>OT010290303-20</t>
  </si>
  <si>
    <t>CORREA VICENTA 20 MM</t>
  </si>
  <si>
    <t>OT010290555-20</t>
  </si>
  <si>
    <t>OT010290558-20</t>
  </si>
  <si>
    <t>OT010290556-20</t>
  </si>
  <si>
    <t>OT010290703-20</t>
  </si>
  <si>
    <t>OT010290103-20</t>
  </si>
  <si>
    <t>OT010290101-20</t>
  </si>
  <si>
    <t>OT010290107-20</t>
  </si>
  <si>
    <t>OT010290102-20</t>
  </si>
  <si>
    <t>OT310810304</t>
  </si>
  <si>
    <t>DELANTAL</t>
  </si>
  <si>
    <t>DELANTAL DENO</t>
  </si>
  <si>
    <t>MC020850703</t>
  </si>
  <si>
    <t>ESPEJO</t>
  </si>
  <si>
    <t>ESPEJO RECTANGULAR</t>
  </si>
  <si>
    <t>MC020850701</t>
  </si>
  <si>
    <t>MC020850707</t>
  </si>
  <si>
    <t>MC020731623</t>
  </si>
  <si>
    <t>FUNDA CUADERNO</t>
  </si>
  <si>
    <t>FUNDA CUADERNO A4</t>
  </si>
  <si>
    <t>MC020731601</t>
  </si>
  <si>
    <t>MC020741623</t>
  </si>
  <si>
    <t>FUNDA CUADERNO A5</t>
  </si>
  <si>
    <t>MC020741601</t>
  </si>
  <si>
    <t>MC020760315</t>
  </si>
  <si>
    <t>FUNDA CUADERNO A6</t>
  </si>
  <si>
    <t>MC020761623</t>
  </si>
  <si>
    <t>MC020761601</t>
  </si>
  <si>
    <t>TX190182936</t>
  </si>
  <si>
    <t>GORRO</t>
  </si>
  <si>
    <t>GORRO ANTARES</t>
  </si>
  <si>
    <t>OT090230012-L</t>
  </si>
  <si>
    <t>KOT</t>
  </si>
  <si>
    <t>GORRO ESPIGA</t>
  </si>
  <si>
    <t>TELA</t>
  </si>
  <si>
    <t>GRIS CLARO</t>
  </si>
  <si>
    <t>OT090230012-XL</t>
  </si>
  <si>
    <t>OT090230012-XXL</t>
  </si>
  <si>
    <t>TX310400036</t>
  </si>
  <si>
    <t>CHACO</t>
  </si>
  <si>
    <t>GORRO FLORA</t>
  </si>
  <si>
    <t>TEJIDO</t>
  </si>
  <si>
    <t>TX310400001</t>
  </si>
  <si>
    <t>OT260603828-M</t>
  </si>
  <si>
    <t>GORRO FRED</t>
  </si>
  <si>
    <t>VISON - M</t>
  </si>
  <si>
    <t>OT260603828-L</t>
  </si>
  <si>
    <t>VISON - L</t>
  </si>
  <si>
    <t>OT090220009-L</t>
  </si>
  <si>
    <t>GORRO PAÑO</t>
  </si>
  <si>
    <t>OT090220009-M</t>
  </si>
  <si>
    <t>OT090220009-S</t>
  </si>
  <si>
    <t>OT090220009-XL</t>
  </si>
  <si>
    <t>OT090220009-XXL</t>
  </si>
  <si>
    <t>OT090220012-M</t>
  </si>
  <si>
    <t>OT090220012-S</t>
  </si>
  <si>
    <t>OT090220012-XL</t>
  </si>
  <si>
    <t>OT090220012-XXL</t>
  </si>
  <si>
    <t>OT090220001-L</t>
  </si>
  <si>
    <t>OT090220001-M</t>
  </si>
  <si>
    <t>OT090220001-XL</t>
  </si>
  <si>
    <t>OT090220001-XXL</t>
  </si>
  <si>
    <t>OT260613822-M</t>
  </si>
  <si>
    <t>GORRO SEA</t>
  </si>
  <si>
    <t>GRIS OSCURO -M</t>
  </si>
  <si>
    <t>OT260613822-L</t>
  </si>
  <si>
    <t>GRIS OSCURO - L</t>
  </si>
  <si>
    <t>OT260613811-M</t>
  </si>
  <si>
    <t>OT260613811-L</t>
  </si>
  <si>
    <t>TX190162811</t>
  </si>
  <si>
    <t>GORRO SIRIUS</t>
  </si>
  <si>
    <t>TX190162836</t>
  </si>
  <si>
    <t>TX190162828</t>
  </si>
  <si>
    <t>TX190162801</t>
  </si>
  <si>
    <t>TX190192909</t>
  </si>
  <si>
    <t>GORRO VEGA</t>
  </si>
  <si>
    <t>TX190192912</t>
  </si>
  <si>
    <t>TX190192901</t>
  </si>
  <si>
    <t>TX190192921</t>
  </si>
  <si>
    <t>TX190192917</t>
  </si>
  <si>
    <t>TX190192952</t>
  </si>
  <si>
    <t>TX190192911</t>
  </si>
  <si>
    <t>TX190192936</t>
  </si>
  <si>
    <t>OT130502611-L</t>
  </si>
  <si>
    <t>GORRO VENTO</t>
  </si>
  <si>
    <t>PAÑO LANA</t>
  </si>
  <si>
    <t>OT130502611-M</t>
  </si>
  <si>
    <t>OT130502611-S</t>
  </si>
  <si>
    <t>OT130502611-XL</t>
  </si>
  <si>
    <t>OT130502611-XXL</t>
  </si>
  <si>
    <t>OT130502612-L</t>
  </si>
  <si>
    <t>OT130502612-M</t>
  </si>
  <si>
    <t>OT130502612-S</t>
  </si>
  <si>
    <t>OT130502612-XL</t>
  </si>
  <si>
    <t>OT130502612-XXL</t>
  </si>
  <si>
    <t>OT130502601-L</t>
  </si>
  <si>
    <t>OT130502601-M</t>
  </si>
  <si>
    <t>OT130502601-S</t>
  </si>
  <si>
    <t>OT130502601-XL</t>
  </si>
  <si>
    <t>OT130502601-XXL</t>
  </si>
  <si>
    <t>OT130502610-M</t>
  </si>
  <si>
    <t>OT130502610-XL</t>
  </si>
  <si>
    <t>OT130502610-XXL</t>
  </si>
  <si>
    <t>TX190482836</t>
  </si>
  <si>
    <t>GUANTE</t>
  </si>
  <si>
    <t>GUANTE DAMA</t>
  </si>
  <si>
    <t>TX190482801</t>
  </si>
  <si>
    <t>TX190482828</t>
  </si>
  <si>
    <t>TX190492801-T1</t>
  </si>
  <si>
    <t>GUANTE HOMBRE</t>
  </si>
  <si>
    <t>NEGRO T.1</t>
  </si>
  <si>
    <t>TX190492828-T1</t>
  </si>
  <si>
    <t>VISON T.1</t>
  </si>
  <si>
    <t>TX190492801-T2</t>
  </si>
  <si>
    <t>NEGRO T.2</t>
  </si>
  <si>
    <t>TX190492828-T2</t>
  </si>
  <si>
    <t>VISON T.2</t>
  </si>
  <si>
    <t>TX190222836</t>
  </si>
  <si>
    <t>GUANTE RIGEL</t>
  </si>
  <si>
    <t>TX190222828</t>
  </si>
  <si>
    <t>TX190222801</t>
  </si>
  <si>
    <t>OT020540301</t>
  </si>
  <si>
    <t>INDIVIDUAL</t>
  </si>
  <si>
    <t>INDIVIDUAL CURVO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</si>
  <si>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</si>
  <si>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</si>
  <si>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</si>
  <si>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</si>
  <si>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</si>
  <si>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</si>
  <si>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</si>
  <si>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INDIVIDUAL MAEL</t>
  </si>
  <si>
    <t>OT021333140</t>
  </si>
  <si>
    <t>OT020530303</t>
  </si>
  <si>
    <t>INDIVIDUAL RECTO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</si>
  <si>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</si>
  <si>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</si>
  <si>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</si>
  <si>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</si>
  <si>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</si>
  <si>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</si>
  <si>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</si>
  <si>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OT020740315-09</t>
  </si>
  <si>
    <t>LLAVERO</t>
  </si>
  <si>
    <t>LLAVERO ABC (A)</t>
  </si>
  <si>
    <t>BRIDGE/GAMUZA</t>
  </si>
  <si>
    <t>MALBEC/AZUL</t>
  </si>
  <si>
    <t>OT020740301-56</t>
  </si>
  <si>
    <t>NEGRO/OXIDO</t>
  </si>
  <si>
    <t>OT020740302-16</t>
  </si>
  <si>
    <t>SUELA/OLIVE</t>
  </si>
  <si>
    <t>OT020740303-56</t>
  </si>
  <si>
    <t>CARAMELO/OXIDO</t>
  </si>
  <si>
    <t>OT020680303-56</t>
  </si>
  <si>
    <t>LLAVERO ABC (B)</t>
  </si>
  <si>
    <t>OT020680302-16</t>
  </si>
  <si>
    <t>OT020680315-09</t>
  </si>
  <si>
    <t>OT020830301-56</t>
  </si>
  <si>
    <t>LLAVERO ABC (C)</t>
  </si>
  <si>
    <t>OT020830302-16</t>
  </si>
  <si>
    <t>OT020830315-09</t>
  </si>
  <si>
    <t>OT020830303-56</t>
  </si>
  <si>
    <t>OT020830303-16</t>
  </si>
  <si>
    <t>CARAMELO/OLIVE</t>
  </si>
  <si>
    <t>OT020840301-56</t>
  </si>
  <si>
    <t>LLAVERO ABC (D)</t>
  </si>
  <si>
    <t>OT020840302-16</t>
  </si>
  <si>
    <t>OT020840315-09</t>
  </si>
  <si>
    <t>OT020840303-56</t>
  </si>
  <si>
    <t>OT021190302-16</t>
  </si>
  <si>
    <t>LLAVERO ABC (E)</t>
  </si>
  <si>
    <t>OT020730301-56</t>
  </si>
  <si>
    <t>LLAVERO ABC (F)</t>
  </si>
  <si>
    <t>OT020730302-16</t>
  </si>
  <si>
    <t>OT020730315-09</t>
  </si>
  <si>
    <t>OT020730303-56</t>
  </si>
  <si>
    <t>OT020690303-56</t>
  </si>
  <si>
    <t>LLAVERO ABC (G)</t>
  </si>
  <si>
    <t>OT020690301-56</t>
  </si>
  <si>
    <t>OT020690302-16</t>
  </si>
  <si>
    <t>OT020690315-09</t>
  </si>
  <si>
    <t>OT021210302-16</t>
  </si>
  <si>
    <t>LLAVERO ABC (H)</t>
  </si>
  <si>
    <t>OT020850315-09</t>
  </si>
  <si>
    <t>LLAVERO ABC (J)</t>
  </si>
  <si>
    <t>OT020850301-56</t>
  </si>
  <si>
    <t>OT020850302-16</t>
  </si>
  <si>
    <t>OT020850303-56</t>
  </si>
  <si>
    <t>OT020910301-56</t>
  </si>
  <si>
    <t>LLAVERO ABC (K)</t>
  </si>
  <si>
    <t>OT020910315-09</t>
  </si>
  <si>
    <t>OT020910302-16</t>
  </si>
  <si>
    <t>OT020910303-56</t>
  </si>
  <si>
    <t>OT020870301-56</t>
  </si>
  <si>
    <t>LLAVERO ABC (L)</t>
  </si>
  <si>
    <t>OT020870302-16</t>
  </si>
  <si>
    <t>OT020870315-09</t>
  </si>
  <si>
    <t>OT020870303-56</t>
  </si>
  <si>
    <t>OT020710315-09</t>
  </si>
  <si>
    <t>LLAVERO ABC (M)</t>
  </si>
  <si>
    <t>OT020710301-56</t>
  </si>
  <si>
    <t>OT020710302-16</t>
  </si>
  <si>
    <t>OT020710303-56</t>
  </si>
  <si>
    <t>OT020860303-56</t>
  </si>
  <si>
    <t>LLAVERO ABC (N)</t>
  </si>
  <si>
    <t>OT020860315-09</t>
  </si>
  <si>
    <t>OT020860301-56</t>
  </si>
  <si>
    <t>OT020860302-16</t>
  </si>
  <si>
    <t>OT020700315-09</t>
  </si>
  <si>
    <t>LLAVERO ABC (P)</t>
  </si>
  <si>
    <t>OT020700301-56</t>
  </si>
  <si>
    <t>OT020700303-56</t>
  </si>
  <si>
    <t>OT020720303-56</t>
  </si>
  <si>
    <t>LLAVERO ABC (R)</t>
  </si>
  <si>
    <t>OT020720301-56</t>
  </si>
  <si>
    <t>OT020720302-16</t>
  </si>
  <si>
    <t>OT020750315-09</t>
  </si>
  <si>
    <t>LLAVERO ABC (S)</t>
  </si>
  <si>
    <t>OT020750301-56</t>
  </si>
  <si>
    <t>OT021200301-56</t>
  </si>
  <si>
    <t>LLAVERO ABC (T)</t>
  </si>
  <si>
    <t>OT020880315-09</t>
  </si>
  <si>
    <t>LLAVERO ABC (V)</t>
  </si>
  <si>
    <t>OT020880301-56</t>
  </si>
  <si>
    <t>OT020880303-56</t>
  </si>
  <si>
    <t>OT020880302-16</t>
  </si>
  <si>
    <t>OT020890301-56</t>
  </si>
  <si>
    <t>LLAVERO ABC (Y)</t>
  </si>
  <si>
    <t>OT020890302-16</t>
  </si>
  <si>
    <t>OT020890315-09</t>
  </si>
  <si>
    <t>OT020890303-56</t>
  </si>
  <si>
    <t>OT020130556</t>
  </si>
  <si>
    <t>LLAVERO ALDANA</t>
  </si>
  <si>
    <t>OT020130550</t>
  </si>
  <si>
    <t>OT020130555</t>
  </si>
  <si>
    <t>OT021060402</t>
  </si>
  <si>
    <t>LLAVERO CALADO FRASES (AQUI)</t>
  </si>
  <si>
    <t>OT021070402</t>
  </si>
  <si>
    <t>LLAVERO CALADO FRASES (PADRE)</t>
  </si>
  <si>
    <t>OT021080402</t>
  </si>
  <si>
    <t>LLAVERO CALADO FRASES (PASARÁ)</t>
  </si>
  <si>
    <t>OT020940402</t>
  </si>
  <si>
    <t>LLAVERO CALADO INICIALES (LETRA N)</t>
  </si>
  <si>
    <t>OT020950402-52</t>
  </si>
  <si>
    <t>LLAVERO CALADO ZODIACO (ACUARIO)</t>
  </si>
  <si>
    <t>SUELA/CHOCOLATE</t>
  </si>
  <si>
    <t>OT020980402-12</t>
  </si>
  <si>
    <t>LLAVERO CALADO ZODIACO (ARIES)</t>
  </si>
  <si>
    <t>SUELA/GRIS</t>
  </si>
  <si>
    <t>OT021010402-52</t>
  </si>
  <si>
    <t>LLAVERO CALADO ZODÍACO (CANCER)</t>
  </si>
  <si>
    <t>OT021050402-10</t>
  </si>
  <si>
    <t>LLAVERO CALADO ZODÍACO (CAPRICORNIO)</t>
  </si>
  <si>
    <t>SUELA/VERDE</t>
  </si>
  <si>
    <t>OT021040402-10</t>
  </si>
  <si>
    <t>LLAVERO CALADO ZODÍACO (ESCORPIO)</t>
  </si>
  <si>
    <t>OT021030408-04</t>
  </si>
  <si>
    <t>LLAVERO CALADO ZODÍACO (GEMINIS)</t>
  </si>
  <si>
    <t>NATURAL/TABACO</t>
  </si>
  <si>
    <t>OT020960402-07</t>
  </si>
  <si>
    <t>LLAVERO CALADO ZODIACO (LEO)</t>
  </si>
  <si>
    <t>SUELA/ROJO</t>
  </si>
  <si>
    <t>OT021020408-07</t>
  </si>
  <si>
    <t>LLAVERO CALADO ZODÍACO (PISCIS)</t>
  </si>
  <si>
    <t>NATURAL/ROJO</t>
  </si>
  <si>
    <t>OT020990402-10</t>
  </si>
  <si>
    <t>LLAVERO CALADO ZODIACO (SAGITARIO)</t>
  </si>
  <si>
    <t>OT021000402-52</t>
  </si>
  <si>
    <t>LLAVERO CALADO ZODIACO (TAURO)</t>
  </si>
  <si>
    <t>OT020970402-52</t>
  </si>
  <si>
    <t>LLAVERO CALADO ZODIACO (VIRGO)</t>
  </si>
  <si>
    <t>OT020160201</t>
  </si>
  <si>
    <t>LLAVERO CALE</t>
  </si>
  <si>
    <t>OT020080004</t>
  </si>
  <si>
    <t>LLAVERO COMBINADO</t>
  </si>
  <si>
    <t>OT020080003</t>
  </si>
  <si>
    <t>OT050250152</t>
  </si>
  <si>
    <t>LLAVERO ESPIGA 216</t>
  </si>
  <si>
    <t>OT050250101</t>
  </si>
  <si>
    <t>OT050250102</t>
  </si>
  <si>
    <t>OT020341623</t>
  </si>
  <si>
    <t>LLAVERO INICIALES</t>
  </si>
  <si>
    <t>OT020340109</t>
  </si>
  <si>
    <t>OT020340101</t>
  </si>
  <si>
    <t>OT020340107</t>
  </si>
  <si>
    <t>OT020340102</t>
  </si>
  <si>
    <t>OT020340104</t>
  </si>
  <si>
    <t>OT020340110</t>
  </si>
  <si>
    <t>OT020340115</t>
  </si>
  <si>
    <t>OT050240152</t>
  </si>
  <si>
    <t>LLAVERO JAIRO L455</t>
  </si>
  <si>
    <t>OT050240101</t>
  </si>
  <si>
    <t>OT050240102</t>
  </si>
  <si>
    <t>OT020480309-55</t>
  </si>
  <si>
    <t>LLAVERO KAREN</t>
  </si>
  <si>
    <t>CUERO VARIOS</t>
  </si>
  <si>
    <t>AZUL/AVELLANA</t>
  </si>
  <si>
    <t>OT020480309-09</t>
  </si>
  <si>
    <t>AZUL/AZUL</t>
  </si>
  <si>
    <t>OT020480303-09</t>
  </si>
  <si>
    <t>CARAMELO/AZUL</t>
  </si>
  <si>
    <t>OT020480303-16</t>
  </si>
  <si>
    <t>OT020480315-09</t>
  </si>
  <si>
    <t>OT020480315-56</t>
  </si>
  <si>
    <t>MALBEC/OXIDO</t>
  </si>
  <si>
    <t>OT020480301-17</t>
  </si>
  <si>
    <t>NEGRO/GRIS MEDIO</t>
  </si>
  <si>
    <t>OT020480301-22</t>
  </si>
  <si>
    <t>NEGRO/GRIS OSCURO</t>
  </si>
  <si>
    <t>OT020480301-50</t>
  </si>
  <si>
    <t>NEGRO/VESUBIO</t>
  </si>
  <si>
    <t>OT020480304-55</t>
  </si>
  <si>
    <t>TABACO/AVELLANA</t>
  </si>
  <si>
    <t>OT020480304-16</t>
  </si>
  <si>
    <t>TABACO/OLIVE</t>
  </si>
  <si>
    <t>OT020480310-16</t>
  </si>
  <si>
    <t>VERDE/OLIVE</t>
  </si>
  <si>
    <t>OT020480309-18</t>
  </si>
  <si>
    <t>AZUL/MARSALA</t>
  </si>
  <si>
    <t>OT020180009</t>
  </si>
  <si>
    <t>AZUL/OXIDO</t>
  </si>
  <si>
    <t>OT020110309</t>
  </si>
  <si>
    <t>AZUL/VERDE ESMERALDA</t>
  </si>
  <si>
    <t>OT020170003</t>
  </si>
  <si>
    <t>CARAMELO/AVELLANA</t>
  </si>
  <si>
    <t>OT020480303-58</t>
  </si>
  <si>
    <t>CARAMELO/CAFE</t>
  </si>
  <si>
    <t>OT020480303-18</t>
  </si>
  <si>
    <t>CARAMELO/MARSALA</t>
  </si>
  <si>
    <t>OT020090303</t>
  </si>
  <si>
    <t>CARAMELO/MOSTAZA</t>
  </si>
  <si>
    <t>OT020480315-18</t>
  </si>
  <si>
    <t>MALBEC/MARSALA</t>
  </si>
  <si>
    <t>OT020170001</t>
  </si>
  <si>
    <t>NEGRO/AVELLANA</t>
  </si>
  <si>
    <t>OT020090101</t>
  </si>
  <si>
    <t>NEGRO/MOSTAZA</t>
  </si>
  <si>
    <t>OT020480301-56</t>
  </si>
  <si>
    <t>OT020480310-56</t>
  </si>
  <si>
    <t>VERDE/OXIDO</t>
  </si>
  <si>
    <t>OT020570109</t>
  </si>
  <si>
    <t>LLAVERO MIRLO</t>
  </si>
  <si>
    <t>OT020570103</t>
  </si>
  <si>
    <t>OT020570101</t>
  </si>
  <si>
    <t>OT020570107</t>
  </si>
  <si>
    <t>OT020570102</t>
  </si>
  <si>
    <t>OT020570110</t>
  </si>
  <si>
    <t>OT050270921</t>
  </si>
  <si>
    <t>LLAVERO PANAMA</t>
  </si>
  <si>
    <t>CUERO/PANAMA</t>
  </si>
  <si>
    <t>OT050270910</t>
  </si>
  <si>
    <t>OT020060301</t>
  </si>
  <si>
    <t>LLAVERO SIMPLE</t>
  </si>
  <si>
    <t>OT020060307</t>
  </si>
  <si>
    <t>MG321270301</t>
  </si>
  <si>
    <t>MALETIN</t>
  </si>
  <si>
    <t>MALETIN BORIS</t>
  </si>
  <si>
    <t>MG321270304</t>
  </si>
  <si>
    <t>MG331280301</t>
  </si>
  <si>
    <t>CHIARINI</t>
  </si>
  <si>
    <t>MATERA</t>
  </si>
  <si>
    <t>MATERA OLI</t>
  </si>
  <si>
    <t>MG331280315</t>
  </si>
  <si>
    <t>MG331280352</t>
  </si>
  <si>
    <t>MG331280304</t>
  </si>
  <si>
    <t>MG331283163-04</t>
  </si>
  <si>
    <t>MARRON/TABACO</t>
  </si>
  <si>
    <t>MG321360301</t>
  </si>
  <si>
    <t>MATERA RENE FULL BLACK</t>
  </si>
  <si>
    <t>TX270343711</t>
  </si>
  <si>
    <t>KHAMSIM</t>
  </si>
  <si>
    <t>MEDIAS</t>
  </si>
  <si>
    <t>MEDIA HOMBRE MEDIA CAÑA</t>
  </si>
  <si>
    <t>TX270343712</t>
  </si>
  <si>
    <t>TX270343728</t>
  </si>
  <si>
    <t>TX270343700</t>
  </si>
  <si>
    <t>TX270343701</t>
  </si>
  <si>
    <t>TX280373737</t>
  </si>
  <si>
    <t>ELEMENTO</t>
  </si>
  <si>
    <t>MEDIA HOMBRE MEDIA CAÑA CORTA</t>
  </si>
  <si>
    <t>TX280373700</t>
  </si>
  <si>
    <t>TX280373767</t>
  </si>
  <si>
    <t>GRIS MELANGE 75</t>
  </si>
  <si>
    <t>TX280373768</t>
  </si>
  <si>
    <t>MELANGE 25</t>
  </si>
  <si>
    <t>TX280373701</t>
  </si>
  <si>
    <t>TX280440001-67</t>
  </si>
  <si>
    <t>MEDIA HOMBRE MEDIA CAÑA FANTASIA MULTIRAYAS</t>
  </si>
  <si>
    <t>NEGRO/GRIS MELANGE</t>
  </si>
  <si>
    <t>TX280450022-68</t>
  </si>
  <si>
    <t>GRIS OSCURO/GRIS CLARO</t>
  </si>
  <si>
    <t>TX280420001-07</t>
  </si>
  <si>
    <t>MEDIA HOMBRE MEDIA CAÑA FANTASIA ROMBO</t>
  </si>
  <si>
    <t>NEGRO/ROJO</t>
  </si>
  <si>
    <t>TX280430036-69</t>
  </si>
  <si>
    <t>CRUDO/CELESTE</t>
  </si>
  <si>
    <t>TX280460022-68</t>
  </si>
  <si>
    <t>MEDIA HOMBRE MEDIA CAÑA FANTASIA ROMBO CHICO</t>
  </si>
  <si>
    <t>TX280470068-22</t>
  </si>
  <si>
    <t>GRIS CLARO/GRIS OSCURO</t>
  </si>
  <si>
    <t>TX230283837</t>
  </si>
  <si>
    <t>STYLO</t>
  </si>
  <si>
    <t>MEDIAS DE VESTIR 207</t>
  </si>
  <si>
    <t>POLIAMIDA</t>
  </si>
  <si>
    <t>TX230283852</t>
  </si>
  <si>
    <t>TX230283801</t>
  </si>
  <si>
    <t>TX230273701-1</t>
  </si>
  <si>
    <t>MEDIAS DE VESTIR 472 (38-41)</t>
  </si>
  <si>
    <t>NEGRO TALLE 1</t>
  </si>
  <si>
    <t>TX230273701-2</t>
  </si>
  <si>
    <t>MEDIAS DE VESTIR 472 (42-45)</t>
  </si>
  <si>
    <t>NEGRO TALLE 2</t>
  </si>
  <si>
    <t>CA170130001-39</t>
  </si>
  <si>
    <t>MOCASIN</t>
  </si>
  <si>
    <t>MOCASIN FANGIO</t>
  </si>
  <si>
    <t>CA170130001-40</t>
  </si>
  <si>
    <t>CA170130001-42</t>
  </si>
  <si>
    <t>CA170130001-43</t>
  </si>
  <si>
    <t>CA170130001-44</t>
  </si>
  <si>
    <t>CA170130001-45</t>
  </si>
  <si>
    <t>CA170130004-39</t>
  </si>
  <si>
    <t>CA170130004-40</t>
  </si>
  <si>
    <t>CA170130004-41</t>
  </si>
  <si>
    <t>CA170130004-42</t>
  </si>
  <si>
    <t>CA170130004-45</t>
  </si>
  <si>
    <t>CA140100002-36</t>
  </si>
  <si>
    <t>MOCASIN JULIA</t>
  </si>
  <si>
    <t>CA140100002-40</t>
  </si>
  <si>
    <t>CA140100002-41</t>
  </si>
  <si>
    <t>CA140090031-37</t>
  </si>
  <si>
    <t>MOCASIN PAULA</t>
  </si>
  <si>
    <t>CA140090031-38</t>
  </si>
  <si>
    <t>CA140090031-40</t>
  </si>
  <si>
    <t>MG101212129</t>
  </si>
  <si>
    <t>MOCHILA</t>
  </si>
  <si>
    <t>MOCHILA ANA</t>
  </si>
  <si>
    <t>MG101212201</t>
  </si>
  <si>
    <t>MG101212202</t>
  </si>
  <si>
    <t>MG011100101</t>
  </si>
  <si>
    <t>MOCHILA ATLAS FULL BLACK 1</t>
  </si>
  <si>
    <t>MG011110101</t>
  </si>
  <si>
    <t>MOCHILA ATLAS FULL BLACK 2</t>
  </si>
  <si>
    <t>MG321390301</t>
  </si>
  <si>
    <t>MOCHILA CASPIO</t>
  </si>
  <si>
    <t>FULL BLACK</t>
  </si>
  <si>
    <t>MG321420352</t>
  </si>
  <si>
    <t>MOCHILA FRANCIS</t>
  </si>
  <si>
    <t>MG321420301</t>
  </si>
  <si>
    <t>MG321220304</t>
  </si>
  <si>
    <t>MOCHILA IKER</t>
  </si>
  <si>
    <t>MG321220301</t>
  </si>
  <si>
    <t>MG100942129</t>
  </si>
  <si>
    <t>MOCHILA JUANA</t>
  </si>
  <si>
    <t>MG100942201</t>
  </si>
  <si>
    <t>MG100942202</t>
  </si>
  <si>
    <t>MG100942225</t>
  </si>
  <si>
    <t>WHISKY</t>
  </si>
  <si>
    <t>MG100941803</t>
  </si>
  <si>
    <t>MG010970303</t>
  </si>
  <si>
    <t>MOCHILA LIBRA</t>
  </si>
  <si>
    <t>MG010970315</t>
  </si>
  <si>
    <t>MG010970301</t>
  </si>
  <si>
    <t>MG010970304</t>
  </si>
  <si>
    <t>MG010190352</t>
  </si>
  <si>
    <t>MOCHILA MARCOS</t>
  </si>
  <si>
    <t>MG010190301</t>
  </si>
  <si>
    <t>MG010190304</t>
  </si>
  <si>
    <t>MG010190303</t>
  </si>
  <si>
    <t>MG010190101</t>
  </si>
  <si>
    <t>MG010190102</t>
  </si>
  <si>
    <t>MG010190201</t>
  </si>
  <si>
    <t>MG010990301</t>
  </si>
  <si>
    <t>MOCHILA MARCOS FULL BLACK</t>
  </si>
  <si>
    <t>MG010991201</t>
  </si>
  <si>
    <t>MG010990101</t>
  </si>
  <si>
    <t>MG011380301</t>
  </si>
  <si>
    <t>MOCHILA MULITA</t>
  </si>
  <si>
    <t>MG011380352</t>
  </si>
  <si>
    <t>MG011380303</t>
  </si>
  <si>
    <t>MG010040352</t>
  </si>
  <si>
    <t>MOCHILA PACARI</t>
  </si>
  <si>
    <t>MG010040315</t>
  </si>
  <si>
    <t>MG010040303</t>
  </si>
  <si>
    <t>MG010040301</t>
  </si>
  <si>
    <t>MG010040307</t>
  </si>
  <si>
    <t>MG010040304</t>
  </si>
  <si>
    <t>MG010043311</t>
  </si>
  <si>
    <t>MG010043344</t>
  </si>
  <si>
    <t>MG010043345</t>
  </si>
  <si>
    <t>MG010041623</t>
  </si>
  <si>
    <t>MG010041601</t>
  </si>
  <si>
    <t>MG010043241</t>
  </si>
  <si>
    <t>MG010640304</t>
  </si>
  <si>
    <t>MOCHILA PIETRO</t>
  </si>
  <si>
    <t>MG010640303</t>
  </si>
  <si>
    <t>MG010640301</t>
  </si>
  <si>
    <t>MG010641201</t>
  </si>
  <si>
    <t>MG010641623</t>
  </si>
  <si>
    <t>MG011000301</t>
  </si>
  <si>
    <t>MOCHILA PIETRO FULL BLACK</t>
  </si>
  <si>
    <t>MG010790303</t>
  </si>
  <si>
    <t>MOCHILA PORTIA</t>
  </si>
  <si>
    <t>MG010790352</t>
  </si>
  <si>
    <t>MG010790301</t>
  </si>
  <si>
    <t>MG010790304</t>
  </si>
  <si>
    <t>MG010790101</t>
  </si>
  <si>
    <t>MG010790102</t>
  </si>
  <si>
    <t>MG010180301</t>
  </si>
  <si>
    <t>MOCHILA PORTIA FULL BLACK</t>
  </si>
  <si>
    <t>MG321260301</t>
  </si>
  <si>
    <t>MOCHILA SIMON</t>
  </si>
  <si>
    <t>MG161174101</t>
  </si>
  <si>
    <t>TECH</t>
  </si>
  <si>
    <t>MOCHILA TECH 210512</t>
  </si>
  <si>
    <t>CORDURA</t>
  </si>
  <si>
    <t>MG161184101</t>
  </si>
  <si>
    <t>MOCHILA TECH 21066</t>
  </si>
  <si>
    <t>MG161204101</t>
  </si>
  <si>
    <t>MOCHILA TECH 21076</t>
  </si>
  <si>
    <t>MG161144101</t>
  </si>
  <si>
    <t>MOCHILA TECH 2551</t>
  </si>
  <si>
    <t>MG161164112</t>
  </si>
  <si>
    <t>MG161154101</t>
  </si>
  <si>
    <t>MG161194101</t>
  </si>
  <si>
    <t>MOCHILA TECH 40998</t>
  </si>
  <si>
    <t>MG010630301</t>
  </si>
  <si>
    <t>MOCHILA TOBIAS FULL BLACK</t>
  </si>
  <si>
    <t>MC020661201</t>
  </si>
  <si>
    <t>MONEDERO</t>
  </si>
  <si>
    <t>MONEDERO AMBAR</t>
  </si>
  <si>
    <t>MC020660103</t>
  </si>
  <si>
    <t>MC020660101</t>
  </si>
  <si>
    <t>MC020660107</t>
  </si>
  <si>
    <t>MC020660104</t>
  </si>
  <si>
    <t>MC020660109</t>
  </si>
  <si>
    <t>MC020800703</t>
  </si>
  <si>
    <t>MONEDERO CIRCULAR</t>
  </si>
  <si>
    <t>MC020800707</t>
  </si>
  <si>
    <t>MC020800701</t>
  </si>
  <si>
    <t>MC020720305</t>
  </si>
  <si>
    <t>MONEDERO CORY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</si>
  <si>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</si>
  <si>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</si>
  <si>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</si>
  <si>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</si>
  <si>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</si>
  <si>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</si>
  <si>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</si>
  <si>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</si>
  <si>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</si>
  <si>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MC020290303</t>
  </si>
  <si>
    <t>MONEDERO GRACE</t>
  </si>
  <si>
    <t>MC020290315</t>
  </si>
  <si>
    <t>MC020290301</t>
  </si>
  <si>
    <t>MC020290307</t>
  </si>
  <si>
    <t>MC020290309</t>
  </si>
  <si>
    <t>MC020290703</t>
  </si>
  <si>
    <t>MC020290701</t>
  </si>
  <si>
    <t>MC020290707</t>
  </si>
  <si>
    <t>MC020290709</t>
  </si>
  <si>
    <t>MC020291909</t>
  </si>
  <si>
    <t>MC020291210</t>
  </si>
  <si>
    <t>MC020290109</t>
  </si>
  <si>
    <t>MC020290101</t>
  </si>
  <si>
    <t>MC020290107</t>
  </si>
  <si>
    <t>MC020293243</t>
  </si>
  <si>
    <t>MC020293242</t>
  </si>
  <si>
    <t>MC020790315</t>
  </si>
  <si>
    <t>MONEDERO LUISA</t>
  </si>
  <si>
    <t>MC020790301</t>
  </si>
  <si>
    <t>MC020790307</t>
  </si>
  <si>
    <t>MC020790304</t>
  </si>
  <si>
    <t>MC020790303</t>
  </si>
  <si>
    <t>MC020790103</t>
  </si>
  <si>
    <t>MG010240301</t>
  </si>
  <si>
    <t>MORRAL</t>
  </si>
  <si>
    <t>MORRAL ADI VINTAGE</t>
  </si>
  <si>
    <t>MG010240304</t>
  </si>
  <si>
    <t>MG010240303</t>
  </si>
  <si>
    <t>MG010240201</t>
  </si>
  <si>
    <t>MG010240202</t>
  </si>
  <si>
    <t>MG010270352</t>
  </si>
  <si>
    <t>MORRAL ANGOSTO</t>
  </si>
  <si>
    <t>MG010270301</t>
  </si>
  <si>
    <t>MG010270304</t>
  </si>
  <si>
    <t>MG010270309</t>
  </si>
  <si>
    <t>MG010270303</t>
  </si>
  <si>
    <t>MG010270558-4</t>
  </si>
  <si>
    <t>MG010270550-4</t>
  </si>
  <si>
    <t>MG010370303</t>
  </si>
  <si>
    <t>MORRAL BERLIN</t>
  </si>
  <si>
    <t>MG010370352</t>
  </si>
  <si>
    <t>MG010370301</t>
  </si>
  <si>
    <t>MG010370304</t>
  </si>
  <si>
    <t>MG020450303</t>
  </si>
  <si>
    <t>MORRAL CARLOS</t>
  </si>
  <si>
    <t>MG020450352</t>
  </si>
  <si>
    <t>MG020450301</t>
  </si>
  <si>
    <t>MG020450304</t>
  </si>
  <si>
    <t>MG010750309</t>
  </si>
  <si>
    <t>MORRAL DRACO</t>
  </si>
  <si>
    <t>MG010750303</t>
  </si>
  <si>
    <t>MG010750352</t>
  </si>
  <si>
    <t>MG010750301</t>
  </si>
  <si>
    <t>MG010750304</t>
  </si>
  <si>
    <t>MG010410303</t>
  </si>
  <si>
    <t>MORRAL LUCAS</t>
  </si>
  <si>
    <t>MG010410301</t>
  </si>
  <si>
    <t>MG010410304</t>
  </si>
  <si>
    <t>MG010500303</t>
  </si>
  <si>
    <t>MORRAL OLDIE</t>
  </si>
  <si>
    <t>MG010500301</t>
  </si>
  <si>
    <t>MG010500304</t>
  </si>
  <si>
    <t>MG010500352</t>
  </si>
  <si>
    <t>MG010501623</t>
  </si>
  <si>
    <t>MG010500202</t>
  </si>
  <si>
    <t>OT010400303</t>
  </si>
  <si>
    <t>MOUSEPAD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</si>
  <si>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</si>
  <si>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</si>
  <si>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</si>
  <si>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</si>
  <si>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</si>
  <si>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</si>
  <si>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</si>
  <si>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</si>
  <si>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</si>
  <si>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</si>
  <si>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MC010010304</t>
  </si>
  <si>
    <t>MC010010302</t>
  </si>
  <si>
    <t>MC020670307</t>
  </si>
  <si>
    <t>NECESSAIRE FELI</t>
  </si>
  <si>
    <t>MC020670304</t>
  </si>
  <si>
    <t>MC020670303</t>
  </si>
  <si>
    <t>MC020670301</t>
  </si>
  <si>
    <t>MC020670703</t>
  </si>
  <si>
    <t>MC020670701</t>
  </si>
  <si>
    <t>MC020670707</t>
  </si>
  <si>
    <t>MC320840307</t>
  </si>
  <si>
    <t>NECESSAIRE GAEL</t>
  </si>
  <si>
    <t>MC010420303</t>
  </si>
  <si>
    <t>NECESSAIRE LANIN</t>
  </si>
  <si>
    <t>MC010420301</t>
  </si>
  <si>
    <t>MC010420304</t>
  </si>
  <si>
    <t>MC010421623</t>
  </si>
  <si>
    <t>MG010520301</t>
  </si>
  <si>
    <t>NECESSAIRE LANIN FULL BLACK</t>
  </si>
  <si>
    <t>MC020680303</t>
  </si>
  <si>
    <t>NECESSAIRE LARA</t>
  </si>
  <si>
    <t>MC020680315</t>
  </si>
  <si>
    <t>MC020680301</t>
  </si>
  <si>
    <t>MC020681623</t>
  </si>
  <si>
    <t>MC020680703</t>
  </si>
  <si>
    <t>MC020680707</t>
  </si>
  <si>
    <t>MC020680701</t>
  </si>
  <si>
    <t>MG010260352</t>
  </si>
  <si>
    <t>NECESSAIRE MINI MARCOS</t>
  </si>
  <si>
    <t>MG010260304</t>
  </si>
  <si>
    <t>MG010260309</t>
  </si>
  <si>
    <t>MG010260303</t>
  </si>
  <si>
    <t>MG010260301</t>
  </si>
  <si>
    <t>MG010260307</t>
  </si>
  <si>
    <t>MG010260310</t>
  </si>
  <si>
    <t>MG010261623</t>
  </si>
  <si>
    <t>MG010261909</t>
  </si>
  <si>
    <t>MG010261910</t>
  </si>
  <si>
    <t>MG010460301</t>
  </si>
  <si>
    <t>NECESSAIRE MINI MARCOS FULL BLACK</t>
  </si>
  <si>
    <t>MC020010303</t>
  </si>
  <si>
    <t>NECESSAIRE TOM</t>
  </si>
  <si>
    <t>MC020010352</t>
  </si>
  <si>
    <t>MC020010301</t>
  </si>
  <si>
    <t>MC020010304</t>
  </si>
  <si>
    <t>MC020010307</t>
  </si>
  <si>
    <t>MC020011201</t>
  </si>
  <si>
    <t>MG010650303</t>
  </si>
  <si>
    <t>PHONEBAG</t>
  </si>
  <si>
    <t>PHONEBAG TANIA</t>
  </si>
  <si>
    <t>MG010650301</t>
  </si>
  <si>
    <t>MG010650307</t>
  </si>
  <si>
    <t>MG010650304</t>
  </si>
  <si>
    <t>MG010650509</t>
  </si>
  <si>
    <t>MG010650558</t>
  </si>
  <si>
    <t>MG010650516</t>
  </si>
  <si>
    <t>MG010650550</t>
  </si>
  <si>
    <t>MG010650517</t>
  </si>
  <si>
    <t>MG010650556</t>
  </si>
  <si>
    <t>MG010650556-3</t>
  </si>
  <si>
    <t>OXIDO/CARAMELO</t>
  </si>
  <si>
    <t>MG010653111</t>
  </si>
  <si>
    <t>MG010653163</t>
  </si>
  <si>
    <t>MG010780352</t>
  </si>
  <si>
    <t>PHONEBAG TAURUS</t>
  </si>
  <si>
    <t>MG010780301</t>
  </si>
  <si>
    <t>MG010780304</t>
  </si>
  <si>
    <t>MG010780303</t>
  </si>
  <si>
    <t>MG010780302</t>
  </si>
  <si>
    <t>MG010490301</t>
  </si>
  <si>
    <t>PHONEBAG TAURUS FULL BLACK</t>
  </si>
  <si>
    <t>TX310410001</t>
  </si>
  <si>
    <t>SOMBRERO</t>
  </si>
  <si>
    <t>PILUSO DORA</t>
  </si>
  <si>
    <t>TX310410036</t>
  </si>
  <si>
    <t>MC020751909</t>
  </si>
  <si>
    <t>PORTA HIGIENE</t>
  </si>
  <si>
    <t>MC020751910</t>
  </si>
  <si>
    <t>MC020750301</t>
  </si>
  <si>
    <t>MC020750304</t>
  </si>
  <si>
    <t>MC020750309</t>
  </si>
  <si>
    <t>MC020750303</t>
  </si>
  <si>
    <t>MC020750310</t>
  </si>
  <si>
    <t>MC020751623</t>
  </si>
  <si>
    <t>MC020781601</t>
  </si>
  <si>
    <t>PORTA TABACO</t>
  </si>
  <si>
    <t>MC020470303</t>
  </si>
  <si>
    <t>PORTABILLETES</t>
  </si>
  <si>
    <t>PORTABILLETES CORVUS</t>
  </si>
  <si>
    <t>MC020470315</t>
  </si>
  <si>
    <t>MC020470301</t>
  </si>
  <si>
    <t>MC020470307</t>
  </si>
  <si>
    <t>MC020470304</t>
  </si>
  <si>
    <t>MC020490109</t>
  </si>
  <si>
    <t>PORTABILLETES CRATER</t>
  </si>
  <si>
    <t>MC020490103</t>
  </si>
  <si>
    <t>MC020490101</t>
  </si>
  <si>
    <t>MC020490102</t>
  </si>
  <si>
    <t>MC020490104</t>
  </si>
  <si>
    <t>MC020490110</t>
  </si>
  <si>
    <t>MC020691623</t>
  </si>
  <si>
    <t>PORTACABLES</t>
  </si>
  <si>
    <t>PORTACABLES 1</t>
  </si>
  <si>
    <t>MC020691901</t>
  </si>
  <si>
    <t>MC020690452</t>
  </si>
  <si>
    <t>MC020690413</t>
  </si>
  <si>
    <t>DULCE DE LECHE</t>
  </si>
  <si>
    <t>MC020690408</t>
  </si>
  <si>
    <t>NATURAL</t>
  </si>
  <si>
    <t>MC020690402</t>
  </si>
  <si>
    <t>MC020611623</t>
  </si>
  <si>
    <t>PORTACABLES 2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</si>
  <si>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</si>
  <si>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</si>
  <si>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</si>
  <si>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</si>
  <si>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</si>
  <si>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</si>
  <si>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</si>
  <si>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</si>
  <si>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</si>
  <si>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</si>
  <si>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PORTACABLES 3</t>
  </si>
  <si>
    <t>MC020551901</t>
  </si>
  <si>
    <t>MC020550413</t>
  </si>
  <si>
    <t>MC020550408</t>
  </si>
  <si>
    <t>MC020553242</t>
  </si>
  <si>
    <t>MC020630301</t>
  </si>
  <si>
    <t>PORTACINTO</t>
  </si>
  <si>
    <t>PORTACINTO ELIAS</t>
  </si>
  <si>
    <t>MC020630304</t>
  </si>
  <si>
    <t>MC020631623</t>
  </si>
  <si>
    <t>MC020631904</t>
  </si>
  <si>
    <t>MC020631901</t>
  </si>
  <si>
    <t>MC020560301</t>
  </si>
  <si>
    <t>PORTACINTO LOU</t>
  </si>
  <si>
    <t>MC020560304</t>
  </si>
  <si>
    <t>MC020561623</t>
  </si>
  <si>
    <t>MC020561901</t>
  </si>
  <si>
    <t>MC020561904</t>
  </si>
  <si>
    <t>MG321230301</t>
  </si>
  <si>
    <t>PORTAFOLIO</t>
  </si>
  <si>
    <t>PORTAFOLIO BIEL</t>
  </si>
  <si>
    <t>MG321230304</t>
  </si>
  <si>
    <t>MG010620352</t>
  </si>
  <si>
    <t>PORTAFOLIO HUAPI</t>
  </si>
  <si>
    <t>MG010620301</t>
  </si>
  <si>
    <t>MG010620304</t>
  </si>
  <si>
    <t>MG010620303</t>
  </si>
  <si>
    <t>MG010620315</t>
  </si>
  <si>
    <t>MG010621623</t>
  </si>
  <si>
    <t>MG010510352</t>
  </si>
  <si>
    <t>PORTAFOLIO OLDIE</t>
  </si>
  <si>
    <t>MG010510301</t>
  </si>
  <si>
    <t>MG010510304</t>
  </si>
  <si>
    <t>MG010510303</t>
  </si>
  <si>
    <t>MG010511623</t>
  </si>
  <si>
    <t>MG010510202</t>
  </si>
  <si>
    <t>MG010420352</t>
  </si>
  <si>
    <t>PORTAFOLIO RUBEN</t>
  </si>
  <si>
    <t>MG010420301</t>
  </si>
  <si>
    <t>MG010420304</t>
  </si>
  <si>
    <t>MG010420303</t>
  </si>
  <si>
    <t>MG010770301</t>
  </si>
  <si>
    <t>PORTAFOLIO VENUS CH</t>
  </si>
  <si>
    <t>MG010770303</t>
  </si>
  <si>
    <t>MG010770315</t>
  </si>
  <si>
    <t>MG010770304</t>
  </si>
  <si>
    <t>MG010770517-3</t>
  </si>
  <si>
    <t>MG010770309-3</t>
  </si>
  <si>
    <t>MG010770516-4</t>
  </si>
  <si>
    <t>MG010770550-4</t>
  </si>
  <si>
    <t>MG010770516-3</t>
  </si>
  <si>
    <t>MG010770509-3</t>
  </si>
  <si>
    <t>MG010760301</t>
  </si>
  <si>
    <t>PORTAFOLIO VENUS GD</t>
  </si>
  <si>
    <t>MC020650303</t>
  </si>
  <si>
    <t>PORTALAPICERA</t>
  </si>
  <si>
    <t>PORTALAPICERAS</t>
  </si>
  <si>
    <t>MC020650352</t>
  </si>
  <si>
    <t>MC020650315</t>
  </si>
  <si>
    <t>MC020650301</t>
  </si>
  <si>
    <t>MC020650307</t>
  </si>
  <si>
    <t>MC020651623</t>
  </si>
  <si>
    <t>MC020650428</t>
  </si>
  <si>
    <t>MC020650452</t>
  </si>
  <si>
    <t>MC020650408</t>
  </si>
  <si>
    <t>MC020650401</t>
  </si>
  <si>
    <t>MC020650402</t>
  </si>
  <si>
    <t>MG020561623</t>
  </si>
  <si>
    <t>PORTALAPTOP</t>
  </si>
  <si>
    <t>PORTALAPTOP ELOY</t>
  </si>
  <si>
    <t>MG020561601</t>
  </si>
  <si>
    <t>MG020561901</t>
  </si>
  <si>
    <t>MG020561904</t>
  </si>
  <si>
    <t>MG010670301</t>
  </si>
  <si>
    <t>PORTALAPTOP IVAN</t>
  </si>
  <si>
    <t>MG020551623</t>
  </si>
  <si>
    <t>PORTALAPTOP JOY</t>
  </si>
  <si>
    <t>MG020551601</t>
  </si>
  <si>
    <t>MG020551904</t>
  </si>
  <si>
    <t>MG020551901</t>
  </si>
  <si>
    <t>MG020540303</t>
  </si>
  <si>
    <t>PORTALAPTOP LES</t>
  </si>
  <si>
    <t>MG020540352</t>
  </si>
  <si>
    <t>MG020540301</t>
  </si>
  <si>
    <t>MG020540304</t>
  </si>
  <si>
    <t>MG020540307</t>
  </si>
  <si>
    <t>MG020540310</t>
  </si>
  <si>
    <t>MG020541623</t>
  </si>
  <si>
    <t>MG010160301</t>
  </si>
  <si>
    <t>PORTALAPTOP LES FULL BLACK</t>
  </si>
  <si>
    <t>MG011070303</t>
  </si>
  <si>
    <t>PORTALAPTOP MILTON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</si>
  <si>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</si>
  <si>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</si>
  <si>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</si>
  <si>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</si>
  <si>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</si>
  <si>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</si>
  <si>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</si>
  <si>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PORTALENTES</t>
  </si>
  <si>
    <t>PORTALENTES COLBY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</si>
  <si>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</si>
  <si>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</si>
  <si>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</si>
  <si>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</si>
  <si>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</si>
  <si>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</si>
  <si>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</si>
  <si>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</si>
  <si>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</si>
  <si>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</si>
  <si>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</si>
  <si>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</si>
  <si>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MC020390703</t>
  </si>
  <si>
    <t>PORTALENTES JANO</t>
  </si>
  <si>
    <t>MC020390701</t>
  </si>
  <si>
    <t>MC020390707</t>
  </si>
  <si>
    <t>MC020390710</t>
  </si>
  <si>
    <t>MC020390709</t>
  </si>
  <si>
    <t>MC020170309</t>
  </si>
  <si>
    <t>PORTALENTES LUZ</t>
  </si>
  <si>
    <t>MC020170303</t>
  </si>
  <si>
    <t>MC020170352</t>
  </si>
  <si>
    <t>MC020170315</t>
  </si>
  <si>
    <t>MC020170301</t>
  </si>
  <si>
    <t>MC020170304</t>
  </si>
  <si>
    <t>MC020170310</t>
  </si>
  <si>
    <t>MC020170307</t>
  </si>
  <si>
    <t>MC020171623</t>
  </si>
  <si>
    <t>MC020170709</t>
  </si>
  <si>
    <t>MC020170703</t>
  </si>
  <si>
    <t>MC020170707</t>
  </si>
  <si>
    <t>MC020170710</t>
  </si>
  <si>
    <t>MC020170701</t>
  </si>
  <si>
    <t>MC020171909</t>
  </si>
  <si>
    <t>MC020171910</t>
  </si>
  <si>
    <t>MC020170109</t>
  </si>
  <si>
    <t>MC020170101</t>
  </si>
  <si>
    <t>MC020170107</t>
  </si>
  <si>
    <t>MC020170102</t>
  </si>
  <si>
    <t>MC020173140</t>
  </si>
  <si>
    <t>MC020173139</t>
  </si>
  <si>
    <t>MC020861909</t>
  </si>
  <si>
    <t>PORTALENTES LUZ BIFAZ</t>
  </si>
  <si>
    <t>MC020861910</t>
  </si>
  <si>
    <t>MC020620303</t>
  </si>
  <si>
    <t>PORTALENTES MANU</t>
  </si>
  <si>
    <t>MC020620315</t>
  </si>
  <si>
    <t>MC020620301</t>
  </si>
  <si>
    <t>MC020620304</t>
  </si>
  <si>
    <t>MC020620307</t>
  </si>
  <si>
    <t>MC020620305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</si>
  <si>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</si>
  <si>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</si>
  <si>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</si>
  <si>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</si>
  <si>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</si>
  <si>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</si>
  <si>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</si>
  <si>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</si>
  <si>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PORTALENTES ORION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</si>
  <si>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</si>
  <si>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</si>
  <si>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</si>
  <si>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</si>
  <si>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</si>
  <si>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</si>
  <si>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</si>
  <si>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</si>
  <si>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</si>
  <si>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</si>
  <si>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</si>
  <si>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</si>
  <si>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</si>
  <si>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MC020451623</t>
  </si>
  <si>
    <t>PORTALLAVES</t>
  </si>
  <si>
    <t>PORTALLAVES ALAN</t>
  </si>
  <si>
    <t>MC020451826</t>
  </si>
  <si>
    <t>CAPUCHINO</t>
  </si>
  <si>
    <t>MC020451828</t>
  </si>
  <si>
    <t>MC020540301</t>
  </si>
  <si>
    <t>PORTALLAVES COLT</t>
  </si>
  <si>
    <t>MC020541623</t>
  </si>
  <si>
    <t>MC020542325</t>
  </si>
  <si>
    <t>PONT</t>
  </si>
  <si>
    <t>WISKY</t>
  </si>
  <si>
    <t>MC020641623</t>
  </si>
  <si>
    <t>PORTALLAVES RONAN</t>
  </si>
  <si>
    <t>MC020642301</t>
  </si>
  <si>
    <t>MC020642325</t>
  </si>
  <si>
    <t>MC020140309</t>
  </si>
  <si>
    <t>PORTAPASAPORTE</t>
  </si>
  <si>
    <t>PORTAPASAPORTE CHESTER</t>
  </si>
  <si>
    <t>MC020140303</t>
  </si>
  <si>
    <t>MC020140315</t>
  </si>
  <si>
    <t>MC020140301</t>
  </si>
  <si>
    <t>MC020140307</t>
  </si>
  <si>
    <t>MC020140304</t>
  </si>
  <si>
    <t>MC020140310</t>
  </si>
  <si>
    <t>MC020141019</t>
  </si>
  <si>
    <t>CANELA/ARMY</t>
  </si>
  <si>
    <t>MC020141623</t>
  </si>
  <si>
    <t>MC020140709</t>
  </si>
  <si>
    <t>MC020140703</t>
  </si>
  <si>
    <t>MC020140701</t>
  </si>
  <si>
    <t>MC020140707</t>
  </si>
  <si>
    <t>MC020141909</t>
  </si>
  <si>
    <t>MC020141910</t>
  </si>
  <si>
    <t>MC020141904</t>
  </si>
  <si>
    <t>MC020881901</t>
  </si>
  <si>
    <t>PORTAPASAPORTE CHESTER BIFAZ</t>
  </si>
  <si>
    <t>NEGRO/SUELA</t>
  </si>
  <si>
    <t>MC020881909</t>
  </si>
  <si>
    <t>MC020881910</t>
  </si>
  <si>
    <t>VERDE/SUELA</t>
  </si>
  <si>
    <t>MC020180101</t>
  </si>
  <si>
    <t>PORTAPASAPORTE KANTU</t>
  </si>
  <si>
    <t>MC020120309</t>
  </si>
  <si>
    <t>PORTAPASAPORTE RON</t>
  </si>
  <si>
    <t>MC020120303</t>
  </si>
  <si>
    <t>MC020120301</t>
  </si>
  <si>
    <t>MC020120307</t>
  </si>
  <si>
    <t>MC020120304</t>
  </si>
  <si>
    <t>MC020120310</t>
  </si>
  <si>
    <t>MC020123347</t>
  </si>
  <si>
    <t>DARK BLUE</t>
  </si>
  <si>
    <t>MC020120709</t>
  </si>
  <si>
    <t>MC020120703</t>
  </si>
  <si>
    <t>MC020120701</t>
  </si>
  <si>
    <t>MC020120707</t>
  </si>
  <si>
    <t>MC020120710</t>
  </si>
  <si>
    <t>MC020121909</t>
  </si>
  <si>
    <t>MC020121910</t>
  </si>
  <si>
    <t>MC020410703</t>
  </si>
  <si>
    <t>PORTAPASAPORTE WARA</t>
  </si>
  <si>
    <t>MC020410701</t>
  </si>
  <si>
    <t>MC020410707</t>
  </si>
  <si>
    <t>MC020410101</t>
  </si>
  <si>
    <t>MC020410109</t>
  </si>
  <si>
    <t>MC020410103</t>
  </si>
  <si>
    <t>MC020410107</t>
  </si>
  <si>
    <t>MC020900101</t>
  </si>
  <si>
    <t>MC020410110</t>
  </si>
  <si>
    <t>OT320770101</t>
  </si>
  <si>
    <t>PORTATRAJE</t>
  </si>
  <si>
    <t>PORTATRAJE FRANK</t>
  </si>
  <si>
    <t>OT320770104</t>
  </si>
  <si>
    <t>OT010790408</t>
  </si>
  <si>
    <t>PORTAVINO</t>
  </si>
  <si>
    <t>PORTAVINO CAFAYATE</t>
  </si>
  <si>
    <t>OT010790402</t>
  </si>
  <si>
    <t>OT020800408</t>
  </si>
  <si>
    <t>PORTAVINO RIOJA</t>
  </si>
  <si>
    <t>OT020800402</t>
  </si>
  <si>
    <t>OT010900301</t>
  </si>
  <si>
    <t>PORTAVINO TANDIL</t>
  </si>
  <si>
    <t>OT010900304</t>
  </si>
  <si>
    <t>OT010900303</t>
  </si>
  <si>
    <t>OT010900315</t>
  </si>
  <si>
    <t>OT010903139</t>
  </si>
  <si>
    <t>OT010903140</t>
  </si>
  <si>
    <t>OT020930509-4</t>
  </si>
  <si>
    <t>PORTAVINO TUNUYAN</t>
  </si>
  <si>
    <t>OT020930516-4</t>
  </si>
  <si>
    <t>OT020930550-4</t>
  </si>
  <si>
    <t>OT020920304</t>
  </si>
  <si>
    <t>PORTAVINO UCO</t>
  </si>
  <si>
    <t>OT020920303</t>
  </si>
  <si>
    <t>OT020920301</t>
  </si>
  <si>
    <t>OT020920315</t>
  </si>
  <si>
    <t>OT020923139</t>
  </si>
  <si>
    <t>OT020923140</t>
  </si>
  <si>
    <t>OT020923148</t>
  </si>
  <si>
    <t>OT021323139</t>
  </si>
  <si>
    <t>POSAVASOS</t>
  </si>
  <si>
    <t>POSAVASOS MAEL</t>
  </si>
  <si>
    <t>OT021323140</t>
  </si>
  <si>
    <t>TX250314001-XL</t>
  </si>
  <si>
    <t>HOME GOODS</t>
  </si>
  <si>
    <t>REMERA</t>
  </si>
  <si>
    <t>REMERA AMADEO CUELLO REDONDO</t>
  </si>
  <si>
    <t>ALGODON PIMA</t>
  </si>
  <si>
    <t>NEGRO XL</t>
  </si>
  <si>
    <t>TX250314000-L</t>
  </si>
  <si>
    <t>TX250314000-M</t>
  </si>
  <si>
    <t>TX250314000-S</t>
  </si>
  <si>
    <t>TX250314000-XL</t>
  </si>
  <si>
    <t>TX250314049-L</t>
  </si>
  <si>
    <t>CHARCOAL L</t>
  </si>
  <si>
    <t>TX250314049-M</t>
  </si>
  <si>
    <t>CHARCOAL M</t>
  </si>
  <si>
    <t>TX250314049-S</t>
  </si>
  <si>
    <t>CHARCOAL S</t>
  </si>
  <si>
    <t>TX250314049-XL</t>
  </si>
  <si>
    <t>CHARCOAL XL</t>
  </si>
  <si>
    <t>TX250314001-L</t>
  </si>
  <si>
    <t>NEGRO L</t>
  </si>
  <si>
    <t>TX250314001-M</t>
  </si>
  <si>
    <t>NEGRO M</t>
  </si>
  <si>
    <t>TX250314001-S</t>
  </si>
  <si>
    <t>NEGRO S</t>
  </si>
  <si>
    <t>TX250314010-S</t>
  </si>
  <si>
    <t>VERDE S</t>
  </si>
  <si>
    <t>TX250314010-M</t>
  </si>
  <si>
    <t>VERDE M</t>
  </si>
  <si>
    <t>TX250314010-L</t>
  </si>
  <si>
    <t>VERDE L</t>
  </si>
  <si>
    <t>TX250314010-XL</t>
  </si>
  <si>
    <t>VERDE XL</t>
  </si>
  <si>
    <t>TX250314000-XXL</t>
  </si>
  <si>
    <t>TX250314049-XXL</t>
  </si>
  <si>
    <t>CHARCOAL XXL</t>
  </si>
  <si>
    <t>TX250314001-XXL</t>
  </si>
  <si>
    <t>NEGRO XXL</t>
  </si>
  <si>
    <t>TX250314010-XXL</t>
  </si>
  <si>
    <t>VERDE XXL</t>
  </si>
  <si>
    <t>TX250334000-L</t>
  </si>
  <si>
    <t>REMERA DANA</t>
  </si>
  <si>
    <t>TX250334000-M</t>
  </si>
  <si>
    <t>TX250334000-S</t>
  </si>
  <si>
    <t>TX250334000-XL</t>
  </si>
  <si>
    <t>TX250334000-XS</t>
  </si>
  <si>
    <t>BLANCO XS</t>
  </si>
  <si>
    <t>TX250334049-L</t>
  </si>
  <si>
    <t>TX250334049-M</t>
  </si>
  <si>
    <t>TX250334049-S</t>
  </si>
  <si>
    <t>TX250334049-XL</t>
  </si>
  <si>
    <t>TX250334049-XS</t>
  </si>
  <si>
    <t>CHARCOAL XS</t>
  </si>
  <si>
    <t>TX250334001-L</t>
  </si>
  <si>
    <t>TX250334001-M</t>
  </si>
  <si>
    <t>TX250334001-S</t>
  </si>
  <si>
    <t>TX250334001-XL</t>
  </si>
  <si>
    <t>TX250334001-XS</t>
  </si>
  <si>
    <t>NEGRO XS</t>
  </si>
  <si>
    <t>TX250334066-L</t>
  </si>
  <si>
    <t>HUESO L</t>
  </si>
  <si>
    <t>TX250334066-M</t>
  </si>
  <si>
    <t>HUESO M</t>
  </si>
  <si>
    <t>TX250334066-S</t>
  </si>
  <si>
    <t>HUESO S</t>
  </si>
  <si>
    <t>TX250334066-XL</t>
  </si>
  <si>
    <t>HUESO XL</t>
  </si>
  <si>
    <t>TX250334066-XS</t>
  </si>
  <si>
    <t>HUESO XS</t>
  </si>
  <si>
    <t>TX250324000-L</t>
  </si>
  <si>
    <t>REMERA NOA CUELLO U</t>
  </si>
  <si>
    <t>TX250324000-M</t>
  </si>
  <si>
    <t>TX250324000-S</t>
  </si>
  <si>
    <t>TX250324000-XL</t>
  </si>
  <si>
    <t>TX250324000-XS</t>
  </si>
  <si>
    <t>TX250324001-L</t>
  </si>
  <si>
    <t>TX250324001-M</t>
  </si>
  <si>
    <t>TX250324001-S</t>
  </si>
  <si>
    <t>TX250324001-XL</t>
  </si>
  <si>
    <t>TX250324001-XS</t>
  </si>
  <si>
    <t>MG011010303-L</t>
  </si>
  <si>
    <t>RIÑONERA</t>
  </si>
  <si>
    <t>RIÑONERA CRUZ L</t>
  </si>
  <si>
    <t>MG011010301-L</t>
  </si>
  <si>
    <t>MG011010304-L</t>
  </si>
  <si>
    <t>MG011010352-L</t>
  </si>
  <si>
    <t>MG011011623-L</t>
  </si>
  <si>
    <t>MG010400303-S</t>
  </si>
  <si>
    <t>RIÑONERA CRUZ S</t>
  </si>
  <si>
    <t>MG010400301-S</t>
  </si>
  <si>
    <t>MG010400307-S</t>
  </si>
  <si>
    <t>MG010400304-S</t>
  </si>
  <si>
    <t>MG010400352-S</t>
  </si>
  <si>
    <t>MG010400305-S</t>
  </si>
  <si>
    <t>MG010400302-S</t>
  </si>
  <si>
    <t>MG010401623-S</t>
  </si>
  <si>
    <t>MG010400103-S</t>
  </si>
  <si>
    <t>MG010400101-S</t>
  </si>
  <si>
    <t>MG010590303</t>
  </si>
  <si>
    <t>RIÑONERA EVAN CH</t>
  </si>
  <si>
    <t>MG010590352</t>
  </si>
  <si>
    <t>MG010590301</t>
  </si>
  <si>
    <t>MG010590304</t>
  </si>
  <si>
    <t>MG010340301</t>
  </si>
  <si>
    <t>RIÑONERA EVAN CH FULL BLACK</t>
  </si>
  <si>
    <t>MG010530352</t>
  </si>
  <si>
    <t>RIÑONERA EVAN GD</t>
  </si>
  <si>
    <t>MG010530301</t>
  </si>
  <si>
    <t>MG010530304</t>
  </si>
  <si>
    <t>MG010530303</t>
  </si>
  <si>
    <t>MG010530101</t>
  </si>
  <si>
    <t>MG010230301</t>
  </si>
  <si>
    <t>RIÑONERA EVAN GDE FULL BLACK</t>
  </si>
  <si>
    <t>CA010160103-36</t>
  </si>
  <si>
    <t>SANDALIA</t>
  </si>
  <si>
    <t>SANDALIA LOLA</t>
  </si>
  <si>
    <t>CARAMELO 36</t>
  </si>
  <si>
    <t>CA010160103-37</t>
  </si>
  <si>
    <t>CARAMELO 37</t>
  </si>
  <si>
    <t>CA010160103-38</t>
  </si>
  <si>
    <t>CARAMELO 38</t>
  </si>
  <si>
    <t>CA010160103-39</t>
  </si>
  <si>
    <t>CARAMELO 39</t>
  </si>
  <si>
    <t>CA010160103-40</t>
  </si>
  <si>
    <t>CARAMELO 40</t>
  </si>
  <si>
    <t>CA010160101-36</t>
  </si>
  <si>
    <t>NEGRO 36</t>
  </si>
  <si>
    <t>CA010160101-37</t>
  </si>
  <si>
    <t>NEGRO 37</t>
  </si>
  <si>
    <t>CA010160101-38</t>
  </si>
  <si>
    <t>NEGRO 38</t>
  </si>
  <si>
    <t>CA010160101-39</t>
  </si>
  <si>
    <t>NEGRO 39</t>
  </si>
  <si>
    <t>CA010160101-40</t>
  </si>
  <si>
    <t>NEGRO 40</t>
  </si>
  <si>
    <t>CA010170103-36</t>
  </si>
  <si>
    <t>SANDALIA LOLA C/TACO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</si>
  <si>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</si>
  <si>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</si>
  <si>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</si>
  <si>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</si>
  <si>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</si>
  <si>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</si>
  <si>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</si>
  <si>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</si>
  <si>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</si>
  <si>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</si>
  <si>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CA140070002-40</t>
  </si>
  <si>
    <t>CA140080001-37</t>
  </si>
  <si>
    <t>SANDALIA SOFIA</t>
  </si>
  <si>
    <t>CA140080001-40</t>
  </si>
  <si>
    <t>OT020450452</t>
  </si>
  <si>
    <t>SEÑALADOR</t>
  </si>
  <si>
    <t>OT020450408</t>
  </si>
  <si>
    <t>OT020450402</t>
  </si>
  <si>
    <t>OT020450428</t>
  </si>
  <si>
    <t>MC020820301</t>
  </si>
  <si>
    <t>SET POSAVASOS CIRCULAR X4</t>
  </si>
  <si>
    <t>MC020820307</t>
  </si>
  <si>
    <t>MC020820304</t>
  </si>
  <si>
    <t>MC020820315</t>
  </si>
  <si>
    <t>MC020820352</t>
  </si>
  <si>
    <t>MC020820103</t>
  </si>
  <si>
    <t>MC020820115</t>
  </si>
  <si>
    <t>MC020820101</t>
  </si>
  <si>
    <t>MC020820102</t>
  </si>
  <si>
    <t>MC020820104</t>
  </si>
  <si>
    <t>MC020823140</t>
  </si>
  <si>
    <t>MC020823139</t>
  </si>
  <si>
    <t>MC020823148</t>
  </si>
  <si>
    <t>MC020823111</t>
  </si>
  <si>
    <t>MC020813140</t>
  </si>
  <si>
    <t>SET POSAVASOS CUADRADO X4</t>
  </si>
  <si>
    <t>MC020813139</t>
  </si>
  <si>
    <t>MC020813148</t>
  </si>
  <si>
    <t>MC020813111</t>
  </si>
  <si>
    <t>MC020810301</t>
  </si>
  <si>
    <t>SET POSAVASOS X4</t>
  </si>
  <si>
    <t>MC020810307</t>
  </si>
  <si>
    <t>MC020810304</t>
  </si>
  <si>
    <t>MC020810315</t>
  </si>
  <si>
    <t>MC020810352</t>
  </si>
  <si>
    <t>MC020810103</t>
  </si>
  <si>
    <t>MC020810101</t>
  </si>
  <si>
    <t>MC020810102</t>
  </si>
  <si>
    <t>MC020810104</t>
  </si>
  <si>
    <t>OT020030102</t>
  </si>
  <si>
    <t>MG010801201</t>
  </si>
  <si>
    <t>SOBRE</t>
  </si>
  <si>
    <t>SOBRE GEMINI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</si>
  <si>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</si>
  <si>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</si>
  <si>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</si>
  <si>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</si>
  <si>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</si>
  <si>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</si>
  <si>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</si>
  <si>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</si>
  <si>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SOBRE MAJA</t>
  </si>
  <si>
    <t>MC020893140</t>
  </si>
  <si>
    <t>MG020830303</t>
  </si>
  <si>
    <t>SOBRE OMEGA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</si>
  <si>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</si>
  <si>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</si>
  <si>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</si>
  <si>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</si>
  <si>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</si>
  <si>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</si>
  <si>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</si>
  <si>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BRICK</t>
  </si>
  <si>
    <t>MG020830522</t>
  </si>
  <si>
    <t>MG020830516</t>
  </si>
  <si>
    <t>MG020830556</t>
  </si>
  <si>
    <t>MG020830550</t>
  </si>
  <si>
    <t>MC020020823</t>
  </si>
  <si>
    <t>SOBRE PAMPA CHICO</t>
  </si>
  <si>
    <t>JACQUARD</t>
  </si>
  <si>
    <t>TJ004</t>
  </si>
  <si>
    <t>MC020020831</t>
  </si>
  <si>
    <t>TJ012</t>
  </si>
  <si>
    <t>MC020030823</t>
  </si>
  <si>
    <t>SOBRE PAMPA GRANDE</t>
  </si>
  <si>
    <t>OT130320008-L</t>
  </si>
  <si>
    <t>NATURAL/NEGRO</t>
  </si>
  <si>
    <t>OT130320008-M</t>
  </si>
  <si>
    <t>OT130320008-S</t>
  </si>
  <si>
    <t>OT130320008-XL</t>
  </si>
  <si>
    <t>OT130320008-XS</t>
  </si>
  <si>
    <t>OT130320008-XXL</t>
  </si>
  <si>
    <t>OT130320021-52-L</t>
  </si>
  <si>
    <t>TOSTADO/CHOCOLATE</t>
  </si>
  <si>
    <t>OT130320021-52-M</t>
  </si>
  <si>
    <t>OT130320021-52-S</t>
  </si>
  <si>
    <t>OT130320021-52-XL</t>
  </si>
  <si>
    <t>OT130320021-52-XS</t>
  </si>
  <si>
    <t>OT130320021-52-XXL</t>
  </si>
  <si>
    <t>OT130320021-L</t>
  </si>
  <si>
    <t>TOSTADO/NEGRO</t>
  </si>
  <si>
    <t>OT130320021-M</t>
  </si>
  <si>
    <t>OT130320021-S</t>
  </si>
  <si>
    <t>OT130320021-XL</t>
  </si>
  <si>
    <t>OT130320021-XS</t>
  </si>
  <si>
    <t>OT130320021-XXL</t>
  </si>
  <si>
    <t>OT130492501-S</t>
  </si>
  <si>
    <t>SOMBRERO FABIO</t>
  </si>
  <si>
    <t>CUERO ENGRASADO</t>
  </si>
  <si>
    <t>OT260674208</t>
  </si>
  <si>
    <t>SOMBRERO FELA</t>
  </si>
  <si>
    <t>RAFIA</t>
  </si>
  <si>
    <t>OT260654221</t>
  </si>
  <si>
    <t>SOMBRERO GIA</t>
  </si>
  <si>
    <t>OT260644311-52</t>
  </si>
  <si>
    <t>SOMBRERO HENY</t>
  </si>
  <si>
    <t>PAPEL</t>
  </si>
  <si>
    <t>BEIGE/CHOCOLATE</t>
  </si>
  <si>
    <t>OT260664308</t>
  </si>
  <si>
    <t>SOMBRERO NINI</t>
  </si>
  <si>
    <t>OT130330008-L</t>
  </si>
  <si>
    <t>SOMBRERO RAFIA</t>
  </si>
  <si>
    <t>NATURAL/AZUL</t>
  </si>
  <si>
    <t>OT130330008-M</t>
  </si>
  <si>
    <t>OT130330008-S</t>
  </si>
  <si>
    <t>OT130330008-XL</t>
  </si>
  <si>
    <t>OT130330008-XS</t>
  </si>
  <si>
    <t>OT130330008-XXL</t>
  </si>
  <si>
    <t>OT130330008-1-L</t>
  </si>
  <si>
    <t>OT130330008-1-M</t>
  </si>
  <si>
    <t>OT130330008-1-S</t>
  </si>
  <si>
    <t>OT130330008-1-XL</t>
  </si>
  <si>
    <t>OT130330008-1-XS</t>
  </si>
  <si>
    <t>OT130330008-1-XXL</t>
  </si>
  <si>
    <t>OT130330021-L</t>
  </si>
  <si>
    <t>TOSTADO/BLANCO</t>
  </si>
  <si>
    <t>OT130330021-M</t>
  </si>
  <si>
    <t>OT130330021-S</t>
  </si>
  <si>
    <t>OT130330021-XL</t>
  </si>
  <si>
    <t>OT130330021-XS</t>
  </si>
  <si>
    <t>OT130330021-XXL</t>
  </si>
  <si>
    <t>OT130330021-52-L</t>
  </si>
  <si>
    <t>OT130330021-52-M</t>
  </si>
  <si>
    <t>OT130330021-52-S</t>
  </si>
  <si>
    <t>OT130330021-52-XL</t>
  </si>
  <si>
    <t>OT130330021-52-XS</t>
  </si>
  <si>
    <t>OT130330021-52-XXL</t>
  </si>
  <si>
    <t>OT130330021-1-L</t>
  </si>
  <si>
    <t>OT130330021-1-M</t>
  </si>
  <si>
    <t>OT130330021-1-S</t>
  </si>
  <si>
    <t>OT130330021-1-XL</t>
  </si>
  <si>
    <t>OT130330021-1-XS</t>
  </si>
  <si>
    <t>OT260634208</t>
  </si>
  <si>
    <t>SOMBRERO YULA</t>
  </si>
  <si>
    <t>TX220253652-L</t>
  </si>
  <si>
    <t>SWEATER</t>
  </si>
  <si>
    <t>SWEATER 1/2 CIERRE</t>
  </si>
  <si>
    <t>TX220253652-XL</t>
  </si>
  <si>
    <t>TX220253611-XL</t>
  </si>
  <si>
    <t>TX220253652-XXL</t>
  </si>
  <si>
    <t>MC020532002</t>
  </si>
  <si>
    <t>TAG</t>
  </si>
  <si>
    <t>TAG AMAYA</t>
  </si>
  <si>
    <t>MC020530452</t>
  </si>
  <si>
    <t>MC020530408</t>
  </si>
  <si>
    <t>MC020530401</t>
  </si>
  <si>
    <t>MC020532028</t>
  </si>
  <si>
    <t>OT021220408-09</t>
  </si>
  <si>
    <t>TAG CALADO INICIAL (LETRA A)</t>
  </si>
  <si>
    <t>OT021160402-15</t>
  </si>
  <si>
    <t>TAG CALADO INICIAL (LETRA C)</t>
  </si>
  <si>
    <t>SUELA/MALBEC</t>
  </si>
  <si>
    <t>OT021230402-55</t>
  </si>
  <si>
    <t>TAG CALADO INICIAL (LETRA D)</t>
  </si>
  <si>
    <t>SUELA/AVELLANA</t>
  </si>
  <si>
    <t>OT021110408-09</t>
  </si>
  <si>
    <t>TAG CALADO INICIAL (LETRA F)</t>
  </si>
  <si>
    <t>OT021130402-52</t>
  </si>
  <si>
    <t>TAG CALADO INICIAL (LETRA G)</t>
  </si>
  <si>
    <t>OT021140402-52</t>
  </si>
  <si>
    <t>TAG CALADO INICIAL (LETRA J)</t>
  </si>
  <si>
    <t>OT021120402-09</t>
  </si>
  <si>
    <t>TAG CALADO INICIAL (LETRA L)</t>
  </si>
  <si>
    <t>SUELA/AZUL</t>
  </si>
  <si>
    <t>OT021150402-10</t>
  </si>
  <si>
    <t>TAG CALADO INICIAL (LETRA M)</t>
  </si>
  <si>
    <t>OT021250402-09</t>
  </si>
  <si>
    <t>TAG CALADO INICIAL (LETRA P)</t>
  </si>
  <si>
    <t>OT021240402-10</t>
  </si>
  <si>
    <t>TAG CALADO INICIAL (LETRA R)</t>
  </si>
  <si>
    <t>OT021170402-15</t>
  </si>
  <si>
    <t>TAG CALADO INICIAL (LETRA S)</t>
  </si>
  <si>
    <t>OT021100408-07</t>
  </si>
  <si>
    <t>TAG CALADO INICIAL (LETRA V)</t>
  </si>
  <si>
    <t>OT021090408-52</t>
  </si>
  <si>
    <t>TAG CALADO ZODÍACO (LIBRA)</t>
  </si>
  <si>
    <t>NATURAL/CHOCOLATE</t>
  </si>
  <si>
    <t>MC0205221623</t>
  </si>
  <si>
    <t>TAG INICIALES</t>
  </si>
  <si>
    <t>MC020522052</t>
  </si>
  <si>
    <t>MC020522008</t>
  </si>
  <si>
    <t>MC020522001</t>
  </si>
  <si>
    <t>MC020522002</t>
  </si>
  <si>
    <t>MC020522028</t>
  </si>
  <si>
    <t>MC020510309</t>
  </si>
  <si>
    <t>TAG SIMPLE</t>
  </si>
  <si>
    <t>MC020510301</t>
  </si>
  <si>
    <t>MC020510307</t>
  </si>
  <si>
    <t>MC020510310</t>
  </si>
  <si>
    <t>MC020510303</t>
  </si>
  <si>
    <t>MC020510304</t>
  </si>
  <si>
    <t>MC020100309</t>
  </si>
  <si>
    <t>TARJETERO</t>
  </si>
  <si>
    <t>TARJETERO ARIES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</si>
  <si>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</si>
  <si>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</si>
  <si>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</si>
  <si>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</si>
  <si>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</si>
  <si>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</si>
  <si>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</si>
  <si>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</si>
  <si>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</si>
  <si>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</si>
  <si>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</si>
  <si>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</si>
  <si>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</si>
  <si>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MC020871901</t>
  </si>
  <si>
    <t>TARJETERO ARIES BIFAZ</t>
  </si>
  <si>
    <t>MC020871909</t>
  </si>
  <si>
    <t>MC020871910</t>
  </si>
  <si>
    <t>MC020260303</t>
  </si>
  <si>
    <t>TARJETERO BILL</t>
  </si>
  <si>
    <t>MC020260307</t>
  </si>
  <si>
    <t>MC020260304</t>
  </si>
  <si>
    <t>MC020260310</t>
  </si>
  <si>
    <t>MC020260309</t>
  </si>
  <si>
    <t>MC020260301</t>
  </si>
  <si>
    <t>MC020260302</t>
  </si>
  <si>
    <t>MC020261201</t>
  </si>
  <si>
    <t>MC020260701</t>
  </si>
  <si>
    <t>MC020260707</t>
  </si>
  <si>
    <t>MC020260703</t>
  </si>
  <si>
    <t>MC020260705</t>
  </si>
  <si>
    <t>MC020261909</t>
  </si>
  <si>
    <t>MC020261910</t>
  </si>
  <si>
    <t>MC020260109</t>
  </si>
  <si>
    <t>MC020260107</t>
  </si>
  <si>
    <t>MC020260102</t>
  </si>
  <si>
    <t>MC020260110</t>
  </si>
  <si>
    <t>MC020260101</t>
  </si>
  <si>
    <t>MC020310301</t>
  </si>
  <si>
    <t>TARJETERO CHICAGO</t>
  </si>
  <si>
    <t>MC020150303</t>
  </si>
  <si>
    <t>TARJETERO HARRY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</si>
  <si>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</si>
  <si>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</si>
  <si>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</si>
  <si>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</si>
  <si>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</si>
  <si>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</si>
  <si>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</si>
  <si>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</si>
  <si>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</si>
  <si>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</si>
  <si>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</si>
  <si>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</si>
  <si>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</si>
  <si>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TARJETERO JUAN</t>
  </si>
  <si>
    <t>MC020190303</t>
  </si>
  <si>
    <t>MC020190315</t>
  </si>
  <si>
    <t>MC020190301</t>
  </si>
  <si>
    <t>MC020190307</t>
  </si>
  <si>
    <t>MC020190310</t>
  </si>
  <si>
    <t>MC020190304</t>
  </si>
  <si>
    <t>MC020191623</t>
  </si>
  <si>
    <t>MC020191910</t>
  </si>
  <si>
    <t>MC020191909</t>
  </si>
  <si>
    <t>MC020191904</t>
  </si>
  <si>
    <t>MC020190109</t>
  </si>
  <si>
    <t>MC020190101</t>
  </si>
  <si>
    <t>MC020190107</t>
  </si>
  <si>
    <t>MC020190102</t>
  </si>
  <si>
    <t>MC020190103</t>
  </si>
  <si>
    <t>MC020190115</t>
  </si>
  <si>
    <t>MC020280309</t>
  </si>
  <si>
    <t>TARJETERO KENNY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</si>
  <si>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</si>
  <si>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</si>
  <si>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</si>
  <si>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</si>
  <si>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</si>
  <si>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</si>
  <si>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</si>
  <si>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</si>
  <si>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</si>
  <si>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</si>
  <si>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TARJETERO MULTI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</si>
  <si>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</si>
  <si>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</si>
  <si>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</si>
  <si>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</si>
  <si>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</si>
  <si>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</si>
  <si>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</si>
  <si>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MC020710315</t>
  </si>
  <si>
    <t>TARJETERO NEW KENNY</t>
  </si>
  <si>
    <t>MC020710301</t>
  </si>
  <si>
    <t>MC020710307</t>
  </si>
  <si>
    <t>MC020710304</t>
  </si>
  <si>
    <t>MC020710303</t>
  </si>
  <si>
    <t>MC020710103</t>
  </si>
  <si>
    <t>MC020500301</t>
  </si>
  <si>
    <t>TARJETERO PISCIS</t>
  </si>
  <si>
    <t>MC020060303</t>
  </si>
  <si>
    <t>TARJETERO ROMA</t>
  </si>
  <si>
    <t>MC020060352</t>
  </si>
  <si>
    <t>MC020060301</t>
  </si>
  <si>
    <t>MC020060304</t>
  </si>
  <si>
    <t>MC020061201</t>
  </si>
  <si>
    <t>MC020060101</t>
  </si>
  <si>
    <t>MC020060107</t>
  </si>
  <si>
    <t>MC020060102</t>
  </si>
  <si>
    <t>MC020270309</t>
  </si>
  <si>
    <t>TARJETERO RUBI</t>
  </si>
  <si>
    <t>MC020270303</t>
  </si>
  <si>
    <t>MC020270315</t>
  </si>
  <si>
    <t>MC020270301</t>
  </si>
  <si>
    <t>MC020270307</t>
  </si>
  <si>
    <t>MC020270310</t>
  </si>
  <si>
    <t>MC020270304</t>
  </si>
  <si>
    <t>MC020271201</t>
  </si>
  <si>
    <t>MC020271623</t>
  </si>
  <si>
    <t>MC020270703</t>
  </si>
  <si>
    <t>MC020270701</t>
  </si>
  <si>
    <t>MC020270707</t>
  </si>
  <si>
    <t>MC020270709</t>
  </si>
  <si>
    <t>MC020271909</t>
  </si>
  <si>
    <t>MC020271910</t>
  </si>
  <si>
    <t>MC020271904</t>
  </si>
  <si>
    <t>MC020380303</t>
  </si>
  <si>
    <t>TARJETERO VINCENT</t>
  </si>
  <si>
    <t>MC020380352</t>
  </si>
  <si>
    <t>MC020380301</t>
  </si>
  <si>
    <t>MC020380307</t>
  </si>
  <si>
    <t>MC020380309</t>
  </si>
  <si>
    <t>MC020380304</t>
  </si>
  <si>
    <t>MG011321201</t>
  </si>
  <si>
    <t>TOTE</t>
  </si>
  <si>
    <t>TOTE CACHI</t>
  </si>
  <si>
    <t>MG011320558</t>
  </si>
  <si>
    <t>MG011320516</t>
  </si>
  <si>
    <t>MG011320103</t>
  </si>
  <si>
    <t>MG011320115</t>
  </si>
  <si>
    <t>MG011320102</t>
  </si>
  <si>
    <t>MG011323140</t>
  </si>
  <si>
    <t>MG011323139</t>
  </si>
  <si>
    <t>MG010660103</t>
  </si>
  <si>
    <t>TOTE IRUYA</t>
  </si>
  <si>
    <t>MG010660101</t>
  </si>
  <si>
    <t>MG010660102</t>
  </si>
  <si>
    <t>MG010660115</t>
  </si>
  <si>
    <t>MG010663111</t>
  </si>
  <si>
    <t>MG010663140</t>
  </si>
  <si>
    <t>MG010663139</t>
  </si>
  <si>
    <t>MG311303701</t>
  </si>
  <si>
    <t>TOTE MARGARITA CHICA</t>
  </si>
  <si>
    <t>MG311303711</t>
  </si>
  <si>
    <t>MG311303724</t>
  </si>
  <si>
    <t>MG311293701</t>
  </si>
  <si>
    <t>TOTE MARGARITA GRANDE</t>
  </si>
  <si>
    <t>MG311293711</t>
  </si>
  <si>
    <t>MG311293724</t>
  </si>
  <si>
    <t>MG011400101</t>
  </si>
  <si>
    <t>TOTE TILCARA</t>
  </si>
  <si>
    <t>MG011400105</t>
  </si>
  <si>
    <t>CA170120009-39</t>
  </si>
  <si>
    <t>ZAPATILLA</t>
  </si>
  <si>
    <t>ZAPATILLA MATEO</t>
  </si>
  <si>
    <t>CA170120009-40</t>
  </si>
  <si>
    <t>CA170120009-41</t>
  </si>
  <si>
    <t>CA170120009-44</t>
  </si>
  <si>
    <t>CA170120009-45</t>
  </si>
  <si>
    <t>CA170120024-39</t>
  </si>
  <si>
    <t>CA170120032-39</t>
  </si>
  <si>
    <t>BORGOÑA</t>
  </si>
  <si>
    <t>CA170120032-40</t>
  </si>
  <si>
    <t>CA170120032-41</t>
  </si>
  <si>
    <t>CA170120032-42</t>
  </si>
  <si>
    <t>CA170120032-43</t>
  </si>
  <si>
    <t>CA170120032-44</t>
  </si>
  <si>
    <t>CA170120032-45</t>
  </si>
  <si>
    <t>CA170120001-39</t>
  </si>
  <si>
    <t>CA170120001-40</t>
  </si>
  <si>
    <t>CA170120001-41</t>
  </si>
  <si>
    <t>CA170120001-42</t>
  </si>
  <si>
    <t>CA170120001-43</t>
  </si>
  <si>
    <t>CA170120001-44</t>
  </si>
  <si>
    <t>CA170120001-45</t>
  </si>
  <si>
    <t>CA170120004-39</t>
  </si>
  <si>
    <t>CA170120004-40</t>
  </si>
  <si>
    <t>CA170120004-41</t>
  </si>
  <si>
    <t>CA170120004-43</t>
  </si>
  <si>
    <t>CA170120004-44</t>
  </si>
  <si>
    <t>CA170120004-45</t>
  </si>
  <si>
    <t>CA170120010-39</t>
  </si>
  <si>
    <t>CA170120010-41</t>
  </si>
  <si>
    <t>CA170120010-43</t>
  </si>
  <si>
    <t>CA170120010-44</t>
  </si>
  <si>
    <t>CA170120010-45</t>
  </si>
  <si>
    <t>CA060010332-39</t>
  </si>
  <si>
    <t>ZAPATILLA URBANA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</si>
  <si>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</si>
  <si>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</si>
  <si>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</si>
  <si>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</si>
  <si>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</si>
  <si>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</si>
  <si>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</si>
  <si>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</si>
  <si>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</si>
  <si>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</si>
  <si>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</si>
  <si>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</si>
  <si>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</si>
  <si>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</si>
  <si>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</si>
  <si>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</si>
  <si>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</si>
  <si>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SUELA 42</t>
  </si>
  <si>
    <t>CA060010302-43</t>
  </si>
  <si>
    <t>SUELA 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</si>
  <si>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</si>
  <si>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</si>
  <si>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</si>
  <si>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</si>
  <si>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</si>
  <si>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</si>
  <si>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</si>
  <si>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</si>
  <si>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CA060010304-45</t>
  </si>
  <si>
    <t>CA070030109-39</t>
  </si>
  <si>
    <t>ZAPATO</t>
  </si>
  <si>
    <t>ZAPATO NAUTICO C ACORDONADO</t>
  </si>
  <si>
    <t>AZUL/BLANCO</t>
  </si>
  <si>
    <t>CA070030109-45</t>
  </si>
  <si>
    <t>CA080050009-40</t>
  </si>
  <si>
    <t>VILA</t>
  </si>
  <si>
    <t>ZAPATO NAUTICO V ACORDONADO</t>
  </si>
  <si>
    <t>PERDRIEL</t>
  </si>
  <si>
    <t>SD 2463</t>
  </si>
  <si>
    <t>U</t>
  </si>
  <si>
    <t>M</t>
  </si>
  <si>
    <t>H</t>
  </si>
  <si>
    <t>GENERO FINAL</t>
  </si>
  <si>
    <t>GENERO CAMI</t>
  </si>
  <si>
    <t>GENERO PENSADO PRIMERO</t>
  </si>
  <si>
    <t>MATERIAL FINAL</t>
  </si>
  <si>
    <t>CORREA ANTONIETA 30 MM</t>
  </si>
  <si>
    <t>SANDALIA MAR</t>
  </si>
  <si>
    <t>SOMBRERO ALGODON</t>
  </si>
  <si>
    <t>BAÑO/COLOR FINAL</t>
  </si>
  <si>
    <t>TALLE</t>
  </si>
  <si>
    <t>S</t>
  </si>
  <si>
    <t>L</t>
  </si>
  <si>
    <t>XL</t>
  </si>
  <si>
    <t>XXL</t>
  </si>
  <si>
    <t>CARAMELO/VERDE</t>
  </si>
  <si>
    <t>XS</t>
  </si>
  <si>
    <t>CHARCOAL</t>
  </si>
  <si>
    <t>HUESO</t>
  </si>
  <si>
    <t>AMARILLO</t>
  </si>
  <si>
    <t>BLANCO/AMARILLO</t>
  </si>
  <si>
    <t>1 (38-41)</t>
  </si>
  <si>
    <t>2 (42-45)</t>
  </si>
  <si>
    <t>MEDIAS DE VESTIR 472</t>
  </si>
  <si>
    <t>MODIFICACION SUGERIDA</t>
  </si>
  <si>
    <t>ACTUAL</t>
  </si>
  <si>
    <t>Reporte de tickets por hora</t>
  </si>
  <si>
    <t>PROPUESTA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</si>
</sst>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>
    <font>
      <sz val="10"/>
      <color rgb="FF000000"/>
      <name val="Aptos Narrow"/>
      <family val="2"/>
      <scheme val="minor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ptos Narrow"/>
      <scheme val="minor"/>
    </font>
    <font>
      <b/>
      <sz val="10"/>
      <color rgb="FF00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theme="9" tint="-0.249977111117893"/>
        <bgColor rgb="FF0C343D"/>
      </patternFill>
    </fill>
    <fill>
      <patternFill patternType="solid">
        <fgColor rgb="FFC00000"/>
        <bgColor rgb="FF0C343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rgb="FF0C343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3" fontId="1" fillId="4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2" fillId="5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0" fillId="0" borderId="0" xfId="0" applyFont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Para%20borrar/BASE%20DE%20ART&#205;CUL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BDD"/>
    </sheetNames>
    <sheetDataSet>
      <sheetData sheetId="0">
        <row r="1">
          <cell r="B1" t="str">
            <v xml:space="preserve">CÓDIGO ARTICULO </v>
          </cell>
          <cell r="C1" t="str">
            <v>RUBRO</v>
          </cell>
          <cell r="D1" t="str">
            <v>FAMILIA</v>
          </cell>
          <cell r="E1" t="str">
            <v>DESCRIPCION DE ARTICULO</v>
          </cell>
          <cell r="F1" t="str">
            <v>MATERIAL</v>
          </cell>
          <cell r="G1" t="str">
            <v>HEBILLA</v>
          </cell>
          <cell r="H1" t="str">
            <v>BAÑO/COLOR</v>
          </cell>
          <cell r="I1" t="str">
            <v>TALLE</v>
          </cell>
          <cell r="J1" t="str">
            <v>GENERO</v>
          </cell>
        </row>
        <row r="2">
          <cell r="B2" t="str">
            <v>MG100871101</v>
          </cell>
          <cell r="C2" t="str">
            <v>MARRO GRANDE</v>
          </cell>
          <cell r="D2" t="str">
            <v>BANDOLERA</v>
          </cell>
          <cell r="E2" t="str">
            <v>BANDOLERA AMALIA</v>
          </cell>
          <cell r="F2" t="str">
            <v>MAGNUM</v>
          </cell>
          <cell r="G2">
            <v>0</v>
          </cell>
          <cell r="H2" t="str">
            <v>NEGRO</v>
          </cell>
          <cell r="I2" t="str">
            <v>U</v>
          </cell>
          <cell r="J2">
            <v>0</v>
          </cell>
        </row>
        <row r="3">
          <cell r="B3" t="str">
            <v>MG100871120</v>
          </cell>
          <cell r="C3" t="str">
            <v>MARRO GRANDE</v>
          </cell>
          <cell r="D3" t="str">
            <v>BANDOLERA</v>
          </cell>
          <cell r="E3" t="str">
            <v>BANDOLERA AMALIA</v>
          </cell>
          <cell r="F3" t="str">
            <v>MAGNUM</v>
          </cell>
          <cell r="G3">
            <v>0</v>
          </cell>
          <cell r="H3" t="str">
            <v>CUOIO</v>
          </cell>
          <cell r="I3" t="str">
            <v>U</v>
          </cell>
          <cell r="J3">
            <v>0</v>
          </cell>
        </row>
        <row r="4">
          <cell r="B4" t="str">
            <v>MG100871153</v>
          </cell>
          <cell r="C4" t="str">
            <v>MARRO GRANDE</v>
          </cell>
          <cell r="D4" t="str">
            <v>BANDOLERA</v>
          </cell>
          <cell r="E4" t="str">
            <v>BANDOLERA AMALIA</v>
          </cell>
          <cell r="F4" t="str">
            <v>MAGNUM</v>
          </cell>
          <cell r="G4">
            <v>0</v>
          </cell>
          <cell r="H4" t="str">
            <v>HAVANA</v>
          </cell>
          <cell r="I4" t="str">
            <v>U</v>
          </cell>
          <cell r="J4">
            <v>0</v>
          </cell>
        </row>
        <row r="5">
          <cell r="B5" t="str">
            <v>MG100871160</v>
          </cell>
          <cell r="C5" t="str">
            <v>MARRO GRANDE</v>
          </cell>
          <cell r="D5" t="str">
            <v>BANDOLERA</v>
          </cell>
          <cell r="E5" t="str">
            <v>BANDOLERA AMALIA</v>
          </cell>
          <cell r="F5" t="str">
            <v>MAGNUM</v>
          </cell>
          <cell r="G5">
            <v>0</v>
          </cell>
          <cell r="H5" t="str">
            <v>ARMY</v>
          </cell>
          <cell r="I5" t="str">
            <v>U</v>
          </cell>
          <cell r="J5">
            <v>0</v>
          </cell>
        </row>
        <row r="6">
          <cell r="B6" t="str">
            <v>MG100871825</v>
          </cell>
          <cell r="C6" t="str">
            <v>MARRO GRANDE</v>
          </cell>
          <cell r="D6" t="str">
            <v>BANDOLERA</v>
          </cell>
          <cell r="E6" t="str">
            <v>BANDOLERA AMALIA</v>
          </cell>
          <cell r="F6" t="str">
            <v>SENA</v>
          </cell>
          <cell r="G6">
            <v>0</v>
          </cell>
          <cell r="H6" t="str">
            <v>WHISKY</v>
          </cell>
          <cell r="I6" t="str">
            <v>U</v>
          </cell>
          <cell r="J6">
            <v>0</v>
          </cell>
        </row>
        <row r="7">
          <cell r="B7" t="str">
            <v>MG100871827</v>
          </cell>
          <cell r="C7" t="str">
            <v>MARRO GRANDE</v>
          </cell>
          <cell r="D7" t="str">
            <v>BANDOLERA</v>
          </cell>
          <cell r="E7" t="str">
            <v>BANDOLERA AMALIA</v>
          </cell>
          <cell r="F7" t="str">
            <v>SENA</v>
          </cell>
          <cell r="G7">
            <v>0</v>
          </cell>
          <cell r="H7" t="str">
            <v>PIEDRA</v>
          </cell>
          <cell r="I7" t="str">
            <v>U</v>
          </cell>
          <cell r="J7">
            <v>0</v>
          </cell>
        </row>
        <row r="8">
          <cell r="B8" t="str">
            <v>MG100871828</v>
          </cell>
          <cell r="C8" t="str">
            <v>MARRO GRANDE</v>
          </cell>
          <cell r="D8" t="str">
            <v>BANDOLERA</v>
          </cell>
          <cell r="E8" t="str">
            <v>BANDOLERA AMALIA</v>
          </cell>
          <cell r="F8" t="str">
            <v>SENA</v>
          </cell>
          <cell r="G8">
            <v>0</v>
          </cell>
          <cell r="H8" t="str">
            <v>VISON</v>
          </cell>
          <cell r="I8" t="str">
            <v>U</v>
          </cell>
          <cell r="J8">
            <v>0</v>
          </cell>
        </row>
        <row r="9">
          <cell r="B9" t="str">
            <v>MG100872101</v>
          </cell>
          <cell r="C9" t="str">
            <v>MARRO GRANDE</v>
          </cell>
          <cell r="D9" t="str">
            <v>BANDOLERA</v>
          </cell>
          <cell r="E9" t="str">
            <v>BANDOLERA AMALIA</v>
          </cell>
          <cell r="F9" t="str">
            <v>MACEIO</v>
          </cell>
          <cell r="G9">
            <v>0</v>
          </cell>
          <cell r="H9" t="str">
            <v>NEGRO</v>
          </cell>
          <cell r="I9" t="str">
            <v>U</v>
          </cell>
          <cell r="J9">
            <v>0</v>
          </cell>
        </row>
        <row r="10">
          <cell r="B10" t="str">
            <v>MG100872201</v>
          </cell>
          <cell r="C10" t="str">
            <v>MARRO GRANDE</v>
          </cell>
          <cell r="D10" t="str">
            <v>BANDOLERA</v>
          </cell>
          <cell r="E10" t="str">
            <v>BANDOLERA AMALIA</v>
          </cell>
          <cell r="F10" t="str">
            <v>SALLY</v>
          </cell>
          <cell r="G10">
            <v>0</v>
          </cell>
          <cell r="H10" t="str">
            <v>NEGRO</v>
          </cell>
          <cell r="I10" t="str">
            <v>U</v>
          </cell>
          <cell r="J10">
            <v>0</v>
          </cell>
        </row>
        <row r="11">
          <cell r="B11" t="str">
            <v>MG010690101</v>
          </cell>
          <cell r="C11" t="str">
            <v>MARRO GRANDE</v>
          </cell>
          <cell r="D11" t="str">
            <v>BANDOLERA</v>
          </cell>
          <cell r="E11" t="str">
            <v>BANDOLERA ANTONIETA</v>
          </cell>
          <cell r="F11" t="str">
            <v>NAPADO</v>
          </cell>
          <cell r="G11">
            <v>0</v>
          </cell>
          <cell r="H11" t="str">
            <v>NEGRO</v>
          </cell>
          <cell r="I11" t="str">
            <v>U</v>
          </cell>
          <cell r="J11" t="str">
            <v>M</v>
          </cell>
        </row>
        <row r="12">
          <cell r="B12" t="str">
            <v>MG010690102</v>
          </cell>
          <cell r="C12" t="str">
            <v>MARRO GRANDE</v>
          </cell>
          <cell r="D12" t="str">
            <v>BANDOLERA</v>
          </cell>
          <cell r="E12" t="str">
            <v>BANDOLERA ANTONIETA</v>
          </cell>
          <cell r="F12" t="str">
            <v>NAPADO</v>
          </cell>
          <cell r="G12">
            <v>0</v>
          </cell>
          <cell r="H12" t="str">
            <v>SUELA</v>
          </cell>
          <cell r="I12" t="str">
            <v>U</v>
          </cell>
          <cell r="J12" t="str">
            <v>M</v>
          </cell>
        </row>
        <row r="13">
          <cell r="B13" t="str">
            <v>MG010690103</v>
          </cell>
          <cell r="C13" t="str">
            <v>MARRO GRANDE</v>
          </cell>
          <cell r="D13" t="str">
            <v>BANDOLERA</v>
          </cell>
          <cell r="E13" t="str">
            <v>BANDOLERA ANTONIETA</v>
          </cell>
          <cell r="F13" t="str">
            <v>NAPADO</v>
          </cell>
          <cell r="G13">
            <v>0</v>
          </cell>
          <cell r="H13" t="str">
            <v>CARAMELO</v>
          </cell>
          <cell r="I13" t="str">
            <v>U</v>
          </cell>
          <cell r="J13" t="str">
            <v>M</v>
          </cell>
        </row>
        <row r="14">
          <cell r="B14" t="str">
            <v>MG010690107</v>
          </cell>
          <cell r="C14" t="str">
            <v>MARRO GRANDE</v>
          </cell>
          <cell r="D14" t="str">
            <v>BANDOLERA</v>
          </cell>
          <cell r="E14" t="str">
            <v>BANDOLERA ANTONIETA</v>
          </cell>
          <cell r="F14" t="str">
            <v>NAPADO</v>
          </cell>
          <cell r="G14">
            <v>0</v>
          </cell>
          <cell r="H14" t="str">
            <v>ROJO</v>
          </cell>
          <cell r="I14" t="str">
            <v>U</v>
          </cell>
          <cell r="J14" t="str">
            <v>M</v>
          </cell>
        </row>
        <row r="15">
          <cell r="B15" t="str">
            <v>MG010690109</v>
          </cell>
          <cell r="C15" t="str">
            <v>MARRO GRANDE</v>
          </cell>
          <cell r="D15" t="str">
            <v>BANDOLERA</v>
          </cell>
          <cell r="E15" t="str">
            <v>BANDOLERA ANTONIETA</v>
          </cell>
          <cell r="F15" t="str">
            <v>NAPADO</v>
          </cell>
          <cell r="G15">
            <v>0</v>
          </cell>
          <cell r="H15" t="str">
            <v>AZUL</v>
          </cell>
          <cell r="I15" t="str">
            <v>U</v>
          </cell>
          <cell r="J15" t="str">
            <v>M</v>
          </cell>
        </row>
        <row r="16">
          <cell r="B16" t="str">
            <v>MG010690110</v>
          </cell>
          <cell r="C16" t="str">
            <v>MARRO GRANDE</v>
          </cell>
          <cell r="D16" t="str">
            <v>BANDOLERA</v>
          </cell>
          <cell r="E16" t="str">
            <v>BANDOLERA ANTONIETA</v>
          </cell>
          <cell r="F16" t="str">
            <v>NAPADO</v>
          </cell>
          <cell r="G16">
            <v>0</v>
          </cell>
          <cell r="H16" t="str">
            <v>VERDE</v>
          </cell>
          <cell r="I16" t="str">
            <v>U</v>
          </cell>
          <cell r="J16" t="str">
            <v>M</v>
          </cell>
        </row>
        <row r="17">
          <cell r="B17" t="str">
            <v>MG010690115</v>
          </cell>
          <cell r="C17" t="str">
            <v>MARRO GRANDE</v>
          </cell>
          <cell r="D17" t="str">
            <v>BANDOLERA</v>
          </cell>
          <cell r="E17" t="str">
            <v>BANDOLERA ANTONIETA</v>
          </cell>
          <cell r="F17" t="str">
            <v>NAPADO</v>
          </cell>
          <cell r="G17">
            <v>0</v>
          </cell>
          <cell r="H17" t="str">
            <v>MALBEC</v>
          </cell>
          <cell r="I17" t="str">
            <v>U</v>
          </cell>
          <cell r="J17" t="str">
            <v>M</v>
          </cell>
        </row>
        <row r="18">
          <cell r="B18" t="str">
            <v>MG010690301</v>
          </cell>
          <cell r="C18" t="str">
            <v>MARRO GRANDE</v>
          </cell>
          <cell r="D18" t="str">
            <v>BANDOLERA</v>
          </cell>
          <cell r="E18" t="str">
            <v>BANDOLERA ANTONIETA</v>
          </cell>
          <cell r="F18" t="str">
            <v>BRIDGE</v>
          </cell>
          <cell r="G18">
            <v>0</v>
          </cell>
          <cell r="H18" t="str">
            <v>NEGRO</v>
          </cell>
          <cell r="I18" t="str">
            <v>U</v>
          </cell>
          <cell r="J18" t="str">
            <v>M</v>
          </cell>
        </row>
        <row r="19">
          <cell r="B19" t="str">
            <v>MG010690303</v>
          </cell>
          <cell r="C19" t="str">
            <v>MARRO GRANDE</v>
          </cell>
          <cell r="D19" t="str">
            <v>BANDOLERA</v>
          </cell>
          <cell r="E19" t="str">
            <v>BANDOLERA ANTONIETA</v>
          </cell>
          <cell r="F19" t="str">
            <v>BRIDGE</v>
          </cell>
          <cell r="G19">
            <v>0</v>
          </cell>
          <cell r="H19" t="str">
            <v>CARAMELO</v>
          </cell>
          <cell r="I19" t="str">
            <v>U</v>
          </cell>
          <cell r="J19" t="str">
            <v>M</v>
          </cell>
        </row>
        <row r="20">
          <cell r="B20" t="str">
            <v>MG010690315</v>
          </cell>
          <cell r="C20" t="str">
            <v>MARRO GRANDE</v>
          </cell>
          <cell r="D20" t="str">
            <v>BANDOLERA</v>
          </cell>
          <cell r="E20" t="str">
            <v>BANDOLERA ANTONIETA</v>
          </cell>
          <cell r="F20" t="str">
            <v>BRIDGE</v>
          </cell>
          <cell r="G20">
            <v>0</v>
          </cell>
          <cell r="H20" t="str">
            <v>MALBEC</v>
          </cell>
          <cell r="I20" t="str">
            <v>U</v>
          </cell>
          <cell r="J20" t="str">
            <v>M</v>
          </cell>
        </row>
        <row r="21">
          <cell r="B21" t="str">
            <v>MG010690304</v>
          </cell>
          <cell r="C21" t="str">
            <v>MARRO GRANDE</v>
          </cell>
          <cell r="D21" t="str">
            <v>BANDOLERA</v>
          </cell>
          <cell r="E21" t="str">
            <v>BANDOLERA ANTONIETA</v>
          </cell>
          <cell r="F21" t="str">
            <v>BRIDGE</v>
          </cell>
          <cell r="G21">
            <v>0</v>
          </cell>
          <cell r="H21" t="str">
            <v>TABACO</v>
          </cell>
          <cell r="I21" t="str">
            <v>U</v>
          </cell>
          <cell r="J21" t="str">
            <v>M</v>
          </cell>
        </row>
        <row r="22">
          <cell r="B22" t="str">
            <v>MG010690550</v>
          </cell>
          <cell r="C22" t="str">
            <v>MARRO GRANDE</v>
          </cell>
          <cell r="D22" t="str">
            <v>BANDOLERA</v>
          </cell>
          <cell r="E22" t="str">
            <v>BANDOLERA ANTONIETA</v>
          </cell>
          <cell r="F22" t="str">
            <v>GAMUZA</v>
          </cell>
          <cell r="G22">
            <v>0</v>
          </cell>
          <cell r="H22" t="str">
            <v>VESUBIO</v>
          </cell>
          <cell r="I22" t="str">
            <v>U</v>
          </cell>
          <cell r="J22" t="str">
            <v>M</v>
          </cell>
        </row>
        <row r="23">
          <cell r="B23" t="str">
            <v>MG010690555</v>
          </cell>
          <cell r="C23" t="str">
            <v>MARRO GRANDE</v>
          </cell>
          <cell r="D23" t="str">
            <v>BANDOLERA</v>
          </cell>
          <cell r="E23" t="str">
            <v>BANDOLERA ANTONIETA</v>
          </cell>
          <cell r="F23" t="str">
            <v>GAMUZA</v>
          </cell>
          <cell r="G23">
            <v>0</v>
          </cell>
          <cell r="H23" t="str">
            <v>AVELLANA</v>
          </cell>
          <cell r="I23" t="str">
            <v>U</v>
          </cell>
          <cell r="J23" t="str">
            <v>M</v>
          </cell>
        </row>
        <row r="24">
          <cell r="B24" t="str">
            <v>MG010690556</v>
          </cell>
          <cell r="C24" t="str">
            <v>MARRO GRANDE</v>
          </cell>
          <cell r="D24" t="str">
            <v>BANDOLERA</v>
          </cell>
          <cell r="E24" t="str">
            <v>BANDOLERA ANTONIETA</v>
          </cell>
          <cell r="F24" t="str">
            <v>GAMUZA</v>
          </cell>
          <cell r="G24">
            <v>0</v>
          </cell>
          <cell r="H24" t="str">
            <v>OXIDO</v>
          </cell>
          <cell r="I24" t="str">
            <v>U</v>
          </cell>
          <cell r="J24" t="str">
            <v>M</v>
          </cell>
        </row>
        <row r="25">
          <cell r="B25" t="str">
            <v>MG010690558</v>
          </cell>
          <cell r="C25" t="str">
            <v>MARRO GRANDE</v>
          </cell>
          <cell r="D25" t="str">
            <v>BANDOLERA</v>
          </cell>
          <cell r="E25" t="str">
            <v>BANDOLERA ANTONIETA</v>
          </cell>
          <cell r="F25" t="str">
            <v>GAMUZA</v>
          </cell>
          <cell r="G25">
            <v>0</v>
          </cell>
          <cell r="H25" t="str">
            <v>CAFE</v>
          </cell>
          <cell r="I25" t="str">
            <v>U</v>
          </cell>
          <cell r="J25" t="str">
            <v>M</v>
          </cell>
        </row>
        <row r="26">
          <cell r="B26" t="str">
            <v>MG100901301</v>
          </cell>
          <cell r="C26" t="str">
            <v>MARRO GRANDE</v>
          </cell>
          <cell r="D26" t="str">
            <v>BANDOLERA</v>
          </cell>
          <cell r="E26" t="str">
            <v>BANDOLERA ASTRID</v>
          </cell>
          <cell r="F26" t="str">
            <v>NAPA LOLA SOFT</v>
          </cell>
          <cell r="G26">
            <v>0</v>
          </cell>
          <cell r="H26" t="str">
            <v>NEGRO</v>
          </cell>
          <cell r="I26" t="str">
            <v>U</v>
          </cell>
          <cell r="J26" t="str">
            <v>M</v>
          </cell>
        </row>
        <row r="27">
          <cell r="B27" t="str">
            <v>MG100901353</v>
          </cell>
          <cell r="C27" t="str">
            <v>MARRO GRANDE</v>
          </cell>
          <cell r="D27" t="str">
            <v>BANDOLERA</v>
          </cell>
          <cell r="E27" t="str">
            <v>BANDOLERA ASTRID</v>
          </cell>
          <cell r="F27" t="str">
            <v>NAPA LOLA SOFT</v>
          </cell>
          <cell r="G27">
            <v>0</v>
          </cell>
          <cell r="H27" t="str">
            <v>HAVANA</v>
          </cell>
          <cell r="I27" t="str">
            <v>U</v>
          </cell>
          <cell r="J27" t="str">
            <v>M</v>
          </cell>
        </row>
        <row r="28">
          <cell r="B28" t="str">
            <v>MG100901361</v>
          </cell>
          <cell r="C28" t="str">
            <v>MARRO GRANDE</v>
          </cell>
          <cell r="D28" t="str">
            <v>BANDOLERA</v>
          </cell>
          <cell r="E28" t="str">
            <v>BANDOLERA ASTRID</v>
          </cell>
          <cell r="F28" t="str">
            <v>NAPA LOLA SOFT</v>
          </cell>
          <cell r="G28">
            <v>0</v>
          </cell>
          <cell r="H28" t="str">
            <v>CLAY</v>
          </cell>
          <cell r="I28" t="str">
            <v>U</v>
          </cell>
          <cell r="J28" t="str">
            <v>M</v>
          </cell>
        </row>
        <row r="29">
          <cell r="B29" t="str">
            <v>MG100901401</v>
          </cell>
          <cell r="C29" t="str">
            <v>MARRO GRANDE</v>
          </cell>
          <cell r="D29" t="str">
            <v>BANDOLERA</v>
          </cell>
          <cell r="E29" t="str">
            <v>BANDOLERA ASTRID</v>
          </cell>
          <cell r="F29" t="str">
            <v>SAFARI</v>
          </cell>
          <cell r="G29">
            <v>0</v>
          </cell>
          <cell r="H29" t="str">
            <v>NEGRO</v>
          </cell>
          <cell r="I29" t="str">
            <v>U</v>
          </cell>
          <cell r="J29" t="str">
            <v>M</v>
          </cell>
        </row>
        <row r="30">
          <cell r="B30" t="str">
            <v>MG100901501</v>
          </cell>
          <cell r="C30" t="str">
            <v>MARRO GRANDE</v>
          </cell>
          <cell r="D30" t="str">
            <v>CARTERA</v>
          </cell>
          <cell r="E30" t="str">
            <v>BANDOLERA ASTRID</v>
          </cell>
          <cell r="F30" t="str">
            <v>TOLEDO</v>
          </cell>
          <cell r="G30">
            <v>0</v>
          </cell>
          <cell r="H30" t="str">
            <v>NEGRO</v>
          </cell>
          <cell r="I30" t="str">
            <v>U</v>
          </cell>
          <cell r="J30" t="str">
            <v>M</v>
          </cell>
        </row>
        <row r="31">
          <cell r="B31" t="str">
            <v>MG100901553</v>
          </cell>
          <cell r="C31" t="str">
            <v>MARRO GRANDE</v>
          </cell>
          <cell r="D31" t="str">
            <v>BANDOLERA</v>
          </cell>
          <cell r="E31" t="str">
            <v>BANDOLERA ASTRID</v>
          </cell>
          <cell r="F31" t="str">
            <v>TOLEDO</v>
          </cell>
          <cell r="G31">
            <v>0</v>
          </cell>
          <cell r="H31" t="str">
            <v>HAVANA</v>
          </cell>
          <cell r="I31" t="str">
            <v>U</v>
          </cell>
          <cell r="J31" t="str">
            <v>M</v>
          </cell>
        </row>
        <row r="32">
          <cell r="B32" t="str">
            <v>MG100901561</v>
          </cell>
          <cell r="C32" t="str">
            <v>MARRO GRANDE</v>
          </cell>
          <cell r="D32" t="str">
            <v>BANDOLERA</v>
          </cell>
          <cell r="E32" t="str">
            <v>BANDOLERA ASTRID</v>
          </cell>
          <cell r="F32" t="str">
            <v>TOLEDO</v>
          </cell>
          <cell r="G32">
            <v>0</v>
          </cell>
          <cell r="H32" t="str">
            <v>CLAY</v>
          </cell>
          <cell r="I32" t="str">
            <v>U</v>
          </cell>
          <cell r="J32" t="str">
            <v>M</v>
          </cell>
        </row>
        <row r="33">
          <cell r="B33" t="str">
            <v>MG100901562</v>
          </cell>
          <cell r="C33" t="str">
            <v>MARRO GRANDE</v>
          </cell>
          <cell r="D33" t="str">
            <v>BANDOLERA</v>
          </cell>
          <cell r="E33" t="str">
            <v>BANDOLERA ASTRID</v>
          </cell>
          <cell r="F33" t="str">
            <v>TOLEDO</v>
          </cell>
          <cell r="G33">
            <v>0</v>
          </cell>
          <cell r="H33" t="str">
            <v>MANGO</v>
          </cell>
          <cell r="I33" t="str">
            <v>U</v>
          </cell>
          <cell r="J33" t="str">
            <v>M</v>
          </cell>
        </row>
        <row r="34">
          <cell r="B34" t="str">
            <v>MG100901816</v>
          </cell>
          <cell r="C34" t="str">
            <v>MARRO GRANDE</v>
          </cell>
          <cell r="D34" t="str">
            <v>BANDOLERA</v>
          </cell>
          <cell r="E34" t="str">
            <v>BANDOLERA ASTRID</v>
          </cell>
          <cell r="F34" t="str">
            <v xml:space="preserve">SENA </v>
          </cell>
          <cell r="G34">
            <v>0</v>
          </cell>
          <cell r="H34" t="str">
            <v>OLIVA</v>
          </cell>
          <cell r="I34" t="str">
            <v>U</v>
          </cell>
          <cell r="J34" t="str">
            <v>M</v>
          </cell>
        </row>
        <row r="35">
          <cell r="B35" t="str">
            <v>MG100901827</v>
          </cell>
          <cell r="C35" t="str">
            <v>MARRO GRANDE</v>
          </cell>
          <cell r="D35" t="str">
            <v>BANDOLERA</v>
          </cell>
          <cell r="E35" t="str">
            <v>BANDOLERA ASTRID</v>
          </cell>
          <cell r="F35" t="str">
            <v>SENA</v>
          </cell>
          <cell r="G35">
            <v>0</v>
          </cell>
          <cell r="H35" t="str">
            <v>PIEDRA</v>
          </cell>
          <cell r="I35" t="str">
            <v>U</v>
          </cell>
          <cell r="J35" t="str">
            <v>M</v>
          </cell>
        </row>
        <row r="36">
          <cell r="B36" t="str">
            <v>MG100901828</v>
          </cell>
          <cell r="C36" t="str">
            <v>MARRO GRANDE</v>
          </cell>
          <cell r="D36" t="str">
            <v>BANDOLERA</v>
          </cell>
          <cell r="E36" t="str">
            <v>BANDOLERA ASTRID</v>
          </cell>
          <cell r="F36" t="str">
            <v>SENA</v>
          </cell>
          <cell r="G36">
            <v>0</v>
          </cell>
          <cell r="H36" t="str">
            <v>VISON</v>
          </cell>
          <cell r="I36" t="str">
            <v>U</v>
          </cell>
          <cell r="J36" t="str">
            <v>M</v>
          </cell>
        </row>
        <row r="37">
          <cell r="B37" t="str">
            <v>MG100901831</v>
          </cell>
          <cell r="C37" t="str">
            <v>MARRO GRANDE</v>
          </cell>
          <cell r="D37" t="str">
            <v>BANDOLERA</v>
          </cell>
          <cell r="E37" t="str">
            <v>BANDOLERA ASTRID</v>
          </cell>
          <cell r="F37" t="str">
            <v>SENA</v>
          </cell>
          <cell r="G37">
            <v>0</v>
          </cell>
          <cell r="H37" t="str">
            <v>NUDE</v>
          </cell>
          <cell r="I37" t="str">
            <v>U</v>
          </cell>
          <cell r="J37" t="str">
            <v>M</v>
          </cell>
        </row>
        <row r="38">
          <cell r="B38" t="str">
            <v>MG100902129</v>
          </cell>
          <cell r="C38" t="str">
            <v>MARRO GRANDE</v>
          </cell>
          <cell r="D38" t="str">
            <v>BANDOLERA</v>
          </cell>
          <cell r="E38" t="str">
            <v>BANDOLERA ASTRID</v>
          </cell>
          <cell r="F38" t="str">
            <v>MACEIO</v>
          </cell>
          <cell r="G38">
            <v>0</v>
          </cell>
          <cell r="H38" t="str">
            <v>COTTON</v>
          </cell>
          <cell r="I38" t="str">
            <v>U</v>
          </cell>
          <cell r="J38" t="str">
            <v>M</v>
          </cell>
        </row>
        <row r="39">
          <cell r="B39" t="str">
            <v>MG100902201</v>
          </cell>
          <cell r="C39" t="str">
            <v>MARRO GRANDE</v>
          </cell>
          <cell r="D39" t="str">
            <v>BANDOLERA</v>
          </cell>
          <cell r="E39" t="str">
            <v>BANDOLERA ASTRID</v>
          </cell>
          <cell r="F39" t="str">
            <v>SALLY</v>
          </cell>
          <cell r="G39">
            <v>0</v>
          </cell>
          <cell r="H39" t="str">
            <v>NEGRO</v>
          </cell>
          <cell r="I39" t="str">
            <v>U</v>
          </cell>
          <cell r="J39" t="str">
            <v>M</v>
          </cell>
        </row>
        <row r="40">
          <cell r="B40" t="str">
            <v>MG100902202</v>
          </cell>
          <cell r="C40" t="str">
            <v>MARRO GRANDE</v>
          </cell>
          <cell r="D40" t="str">
            <v>BANDOLERA</v>
          </cell>
          <cell r="E40" t="str">
            <v>BANDOLERA ASTRID</v>
          </cell>
          <cell r="F40" t="str">
            <v>SALLY</v>
          </cell>
          <cell r="G40">
            <v>0</v>
          </cell>
          <cell r="H40" t="str">
            <v>SUELA</v>
          </cell>
          <cell r="I40" t="str">
            <v>U</v>
          </cell>
          <cell r="J40" t="str">
            <v>M</v>
          </cell>
        </row>
        <row r="41">
          <cell r="B41" t="str">
            <v>MG100902225</v>
          </cell>
          <cell r="C41" t="str">
            <v>MARRO GRANDE</v>
          </cell>
          <cell r="D41" t="str">
            <v>BANDOLERA</v>
          </cell>
          <cell r="E41" t="str">
            <v>BANDOLERA ASTRID</v>
          </cell>
          <cell r="F41" t="str">
            <v>SALLY</v>
          </cell>
          <cell r="G41">
            <v>0</v>
          </cell>
          <cell r="H41" t="str">
            <v>WHISKY</v>
          </cell>
          <cell r="I41" t="str">
            <v>U</v>
          </cell>
          <cell r="J41" t="str">
            <v>M</v>
          </cell>
        </row>
        <row r="42">
          <cell r="B42" t="str">
            <v>MG011060301</v>
          </cell>
          <cell r="C42" t="str">
            <v>MARRO GRANDE</v>
          </cell>
          <cell r="D42" t="str">
            <v>BANDOLERA</v>
          </cell>
          <cell r="E42" t="str">
            <v>BANDOLERA CARLA</v>
          </cell>
          <cell r="F42" t="str">
            <v>BRIDGE</v>
          </cell>
          <cell r="G42">
            <v>0</v>
          </cell>
          <cell r="H42" t="str">
            <v>NEGRO</v>
          </cell>
          <cell r="I42" t="str">
            <v>U</v>
          </cell>
          <cell r="J42" t="str">
            <v>M</v>
          </cell>
        </row>
        <row r="43">
          <cell r="B43" t="str">
            <v>MG011060303</v>
          </cell>
          <cell r="C43" t="str">
            <v>MARRO GRANDE</v>
          </cell>
          <cell r="D43" t="str">
            <v>BANDOLERA</v>
          </cell>
          <cell r="E43" t="str">
            <v>BANDOLERA CARLA</v>
          </cell>
          <cell r="F43" t="str">
            <v>BRIDGE</v>
          </cell>
          <cell r="G43">
            <v>0</v>
          </cell>
          <cell r="H43" t="str">
            <v>CARAMELO</v>
          </cell>
          <cell r="I43" t="str">
            <v>U</v>
          </cell>
          <cell r="J43" t="str">
            <v>M</v>
          </cell>
        </row>
        <row r="44">
          <cell r="B44" t="str">
            <v>MG011060305</v>
          </cell>
          <cell r="C44" t="str">
            <v>MARRO GRANDE</v>
          </cell>
          <cell r="D44" t="str">
            <v>BANDOLERA</v>
          </cell>
          <cell r="E44" t="str">
            <v>BANDOLERA CARLA</v>
          </cell>
          <cell r="F44" t="str">
            <v>BRIDGE</v>
          </cell>
          <cell r="G44">
            <v>0</v>
          </cell>
          <cell r="H44" t="str">
            <v>LONDON</v>
          </cell>
          <cell r="I44" t="str">
            <v>U</v>
          </cell>
          <cell r="J44" t="str">
            <v>M</v>
          </cell>
        </row>
        <row r="45">
          <cell r="B45" t="str">
            <v>MG011060307</v>
          </cell>
          <cell r="C45" t="str">
            <v>MARRO GRANDE</v>
          </cell>
          <cell r="D45" t="str">
            <v>BANDOLERA</v>
          </cell>
          <cell r="E45" t="str">
            <v>BANDOLERA CARLA</v>
          </cell>
          <cell r="F45" t="str">
            <v>BRIDGE</v>
          </cell>
          <cell r="G45">
            <v>0</v>
          </cell>
          <cell r="H45" t="str">
            <v>ROJO</v>
          </cell>
          <cell r="I45" t="str">
            <v>U</v>
          </cell>
          <cell r="J45" t="str">
            <v>M</v>
          </cell>
        </row>
        <row r="46">
          <cell r="B46" t="str">
            <v>MG011060315</v>
          </cell>
          <cell r="C46" t="str">
            <v>MARRO GRANDE</v>
          </cell>
          <cell r="D46" t="str">
            <v>BANDOLERA</v>
          </cell>
          <cell r="E46" t="str">
            <v>BANDOLERA CARLA</v>
          </cell>
          <cell r="F46" t="str">
            <v>BRIDGE</v>
          </cell>
          <cell r="G46">
            <v>0</v>
          </cell>
          <cell r="H46" t="str">
            <v>MALBEC</v>
          </cell>
          <cell r="I46" t="str">
            <v>U</v>
          </cell>
          <cell r="J46" t="str">
            <v>M</v>
          </cell>
        </row>
        <row r="47">
          <cell r="B47" t="str">
            <v>MG011061623</v>
          </cell>
          <cell r="C47" t="str">
            <v>MARRO GRANDE</v>
          </cell>
          <cell r="D47" t="str">
            <v>BANDOLERA</v>
          </cell>
          <cell r="E47" t="str">
            <v>BANDOLERA CARLA</v>
          </cell>
          <cell r="F47" t="str">
            <v>FIORENTINO</v>
          </cell>
          <cell r="G47">
            <v>0</v>
          </cell>
          <cell r="H47" t="str">
            <v>CEDRO</v>
          </cell>
          <cell r="I47" t="str">
            <v>U</v>
          </cell>
          <cell r="J47" t="str">
            <v>M</v>
          </cell>
        </row>
        <row r="48">
          <cell r="B48" t="str">
            <v>MG010820101</v>
          </cell>
          <cell r="C48" t="str">
            <v>MARRO GRANDE</v>
          </cell>
          <cell r="D48" t="str">
            <v>BANDOLERA</v>
          </cell>
          <cell r="E48" t="str">
            <v>BANDOLERA CASIOPEA</v>
          </cell>
          <cell r="F48" t="str">
            <v>NAPADO</v>
          </cell>
          <cell r="G48">
            <v>0</v>
          </cell>
          <cell r="H48" t="str">
            <v>NEGRO</v>
          </cell>
          <cell r="I48" t="str">
            <v>U</v>
          </cell>
          <cell r="J48" t="str">
            <v>M</v>
          </cell>
        </row>
        <row r="49">
          <cell r="B49" t="str">
            <v>MG010820102</v>
          </cell>
          <cell r="C49" t="str">
            <v>MARRO GRANDE</v>
          </cell>
          <cell r="D49" t="str">
            <v>BANDOLERA</v>
          </cell>
          <cell r="E49" t="str">
            <v>BANDOLERA CASIOPEA</v>
          </cell>
          <cell r="F49" t="str">
            <v>NAPADO</v>
          </cell>
          <cell r="G49">
            <v>0</v>
          </cell>
          <cell r="H49" t="str">
            <v>SUELA</v>
          </cell>
          <cell r="I49" t="str">
            <v>U</v>
          </cell>
          <cell r="J49" t="str">
            <v>M</v>
          </cell>
        </row>
        <row r="50">
          <cell r="B50" t="str">
            <v>MG010820103</v>
          </cell>
          <cell r="C50" t="str">
            <v>MARRO GRANDE</v>
          </cell>
          <cell r="D50" t="str">
            <v>BANDOLERA</v>
          </cell>
          <cell r="E50" t="str">
            <v>BANDOLERA CASIOPEA</v>
          </cell>
          <cell r="F50" t="str">
            <v>NAPADO</v>
          </cell>
          <cell r="G50">
            <v>0</v>
          </cell>
          <cell r="H50" t="str">
            <v>CARAMELO</v>
          </cell>
          <cell r="I50" t="str">
            <v>U</v>
          </cell>
          <cell r="J50" t="str">
            <v>M</v>
          </cell>
        </row>
        <row r="51">
          <cell r="B51" t="str">
            <v>MG010820107</v>
          </cell>
          <cell r="C51" t="str">
            <v>MARRO GRANDE</v>
          </cell>
          <cell r="D51" t="str">
            <v>BANDOLERA</v>
          </cell>
          <cell r="E51" t="str">
            <v>BANDOLERA CASIOPEA</v>
          </cell>
          <cell r="F51" t="str">
            <v>NAPADO</v>
          </cell>
          <cell r="G51">
            <v>0</v>
          </cell>
          <cell r="H51" t="str">
            <v>ROJO</v>
          </cell>
          <cell r="I51" t="str">
            <v>U</v>
          </cell>
          <cell r="J51" t="str">
            <v>M</v>
          </cell>
        </row>
        <row r="52">
          <cell r="B52" t="str">
            <v>MG010820109</v>
          </cell>
          <cell r="C52" t="str">
            <v>MARRO GRANDE</v>
          </cell>
          <cell r="D52" t="str">
            <v>BANDOLERA</v>
          </cell>
          <cell r="E52" t="str">
            <v>BANDOLERA CASIOPEA</v>
          </cell>
          <cell r="F52" t="str">
            <v>NAPADO</v>
          </cell>
          <cell r="G52">
            <v>0</v>
          </cell>
          <cell r="H52" t="str">
            <v>AZUL</v>
          </cell>
          <cell r="I52" t="str">
            <v>U</v>
          </cell>
          <cell r="J52" t="str">
            <v>M</v>
          </cell>
        </row>
        <row r="53">
          <cell r="B53" t="str">
            <v>MG020570101</v>
          </cell>
          <cell r="C53" t="str">
            <v>MARRO GRANDE</v>
          </cell>
          <cell r="D53" t="str">
            <v>BANDOLERA</v>
          </cell>
          <cell r="E53" t="str">
            <v>BANDOLERA LENA</v>
          </cell>
          <cell r="F53" t="str">
            <v>NAPADO</v>
          </cell>
          <cell r="G53">
            <v>0</v>
          </cell>
          <cell r="H53" t="str">
            <v>NEGRO</v>
          </cell>
          <cell r="I53" t="str">
            <v>U</v>
          </cell>
          <cell r="J53" t="str">
            <v>M</v>
          </cell>
        </row>
        <row r="54">
          <cell r="B54" t="str">
            <v>MG020570103</v>
          </cell>
          <cell r="C54" t="str">
            <v>MARRO GRANDE</v>
          </cell>
          <cell r="D54" t="str">
            <v>BANDOLERA</v>
          </cell>
          <cell r="E54" t="str">
            <v>BANDOLERA LENA</v>
          </cell>
          <cell r="F54" t="str">
            <v>NAPADO</v>
          </cell>
          <cell r="G54">
            <v>0</v>
          </cell>
          <cell r="H54" t="str">
            <v>CARAMELO</v>
          </cell>
          <cell r="I54" t="str">
            <v>U</v>
          </cell>
          <cell r="J54" t="str">
            <v>M</v>
          </cell>
        </row>
        <row r="55">
          <cell r="B55" t="str">
            <v>MG020570107</v>
          </cell>
          <cell r="C55" t="str">
            <v>MARRO GRANDE</v>
          </cell>
          <cell r="D55" t="str">
            <v>BANDOLERA</v>
          </cell>
          <cell r="E55" t="str">
            <v>BANDOLERA LENA</v>
          </cell>
          <cell r="F55" t="str">
            <v>NAPADO</v>
          </cell>
          <cell r="G55">
            <v>0</v>
          </cell>
          <cell r="H55" t="str">
            <v>ROJO</v>
          </cell>
          <cell r="I55" t="str">
            <v>U</v>
          </cell>
          <cell r="J55" t="str">
            <v>M</v>
          </cell>
        </row>
        <row r="56">
          <cell r="B56" t="str">
            <v>MG020570109</v>
          </cell>
          <cell r="C56" t="str">
            <v>MARRO GRANDE</v>
          </cell>
          <cell r="D56" t="str">
            <v>BANDOLERA</v>
          </cell>
          <cell r="E56" t="str">
            <v>BANDOLERA LENA</v>
          </cell>
          <cell r="F56" t="str">
            <v>NAPADO</v>
          </cell>
          <cell r="G56">
            <v>0</v>
          </cell>
          <cell r="H56" t="str">
            <v>AZUL</v>
          </cell>
          <cell r="I56" t="str">
            <v>U</v>
          </cell>
          <cell r="J56" t="str">
            <v>M</v>
          </cell>
        </row>
        <row r="57">
          <cell r="B57" t="str">
            <v>MG020570110</v>
          </cell>
          <cell r="C57" t="str">
            <v>MARRO GRANDE</v>
          </cell>
          <cell r="D57" t="str">
            <v>BANDOLERA</v>
          </cell>
          <cell r="E57" t="str">
            <v>BANDOLERA LENA</v>
          </cell>
          <cell r="F57" t="str">
            <v>NAPADO</v>
          </cell>
          <cell r="G57">
            <v>0</v>
          </cell>
          <cell r="H57" t="str">
            <v>VERDE</v>
          </cell>
          <cell r="I57" t="str">
            <v>U</v>
          </cell>
          <cell r="J57" t="str">
            <v>M</v>
          </cell>
        </row>
        <row r="58">
          <cell r="B58" t="str">
            <v>MG020570115</v>
          </cell>
          <cell r="C58" t="str">
            <v>MARRO GRANDE</v>
          </cell>
          <cell r="D58" t="str">
            <v>BANDOLERA</v>
          </cell>
          <cell r="E58" t="str">
            <v>BANDOLERA LENA</v>
          </cell>
          <cell r="F58" t="str">
            <v>NAPADO</v>
          </cell>
          <cell r="G58">
            <v>0</v>
          </cell>
          <cell r="H58" t="str">
            <v>MALBEC</v>
          </cell>
          <cell r="I58" t="str">
            <v>U</v>
          </cell>
          <cell r="J58" t="str">
            <v>M</v>
          </cell>
        </row>
        <row r="59">
          <cell r="B59" t="str">
            <v>MG100891101</v>
          </cell>
          <cell r="C59" t="str">
            <v>MARRO GRANDE</v>
          </cell>
          <cell r="D59" t="str">
            <v>BANDOLERA</v>
          </cell>
          <cell r="E59" t="str">
            <v>BANDOLERA MEGAN</v>
          </cell>
          <cell r="F59" t="str">
            <v>MAGNUM</v>
          </cell>
          <cell r="G59">
            <v>0</v>
          </cell>
          <cell r="H59" t="str">
            <v>NEGRO</v>
          </cell>
          <cell r="I59" t="str">
            <v>U</v>
          </cell>
          <cell r="J59" t="str">
            <v>M</v>
          </cell>
        </row>
        <row r="60">
          <cell r="B60" t="str">
            <v>MG100891120</v>
          </cell>
          <cell r="C60" t="str">
            <v>MARRO GRANDE</v>
          </cell>
          <cell r="D60" t="str">
            <v>BANDOLERA</v>
          </cell>
          <cell r="E60" t="str">
            <v>BANDOLERA MEGAN</v>
          </cell>
          <cell r="F60" t="str">
            <v>MAGNUM</v>
          </cell>
          <cell r="G60">
            <v>0</v>
          </cell>
          <cell r="H60" t="str">
            <v>CUOIO</v>
          </cell>
          <cell r="I60" t="str">
            <v>U</v>
          </cell>
          <cell r="J60" t="str">
            <v>M</v>
          </cell>
        </row>
        <row r="61">
          <cell r="B61" t="str">
            <v>MG100891160</v>
          </cell>
          <cell r="C61" t="str">
            <v>MARRO GRANDE</v>
          </cell>
          <cell r="D61" t="str">
            <v>BANDOLERA</v>
          </cell>
          <cell r="E61" t="str">
            <v>BANDOLERA MEGAN</v>
          </cell>
          <cell r="F61" t="str">
            <v>MAGNUM</v>
          </cell>
          <cell r="G61">
            <v>0</v>
          </cell>
          <cell r="H61" t="str">
            <v>ARMY</v>
          </cell>
          <cell r="I61" t="str">
            <v>U</v>
          </cell>
          <cell r="J61" t="str">
            <v>M</v>
          </cell>
        </row>
        <row r="62">
          <cell r="B62" t="str">
            <v>MG100891301</v>
          </cell>
          <cell r="C62" t="str">
            <v>MARRO GRANDE</v>
          </cell>
          <cell r="D62" t="str">
            <v>BANDOLERA</v>
          </cell>
          <cell r="E62" t="str">
            <v>BANDOLERA MEGAN</v>
          </cell>
          <cell r="F62" t="str">
            <v>NAPA LOLA SOFT</v>
          </cell>
          <cell r="G62">
            <v>0</v>
          </cell>
          <cell r="H62" t="str">
            <v>NEGRO</v>
          </cell>
          <cell r="I62" t="str">
            <v>U</v>
          </cell>
          <cell r="J62" t="str">
            <v>M</v>
          </cell>
        </row>
        <row r="63">
          <cell r="B63" t="str">
            <v>MG100891353</v>
          </cell>
          <cell r="C63" t="str">
            <v>MARRO GRANDE</v>
          </cell>
          <cell r="D63" t="str">
            <v>BANDOLERA</v>
          </cell>
          <cell r="E63" t="str">
            <v>BANDOLERA MEGAN</v>
          </cell>
          <cell r="F63" t="str">
            <v>NAPA LOLA SOFT</v>
          </cell>
          <cell r="G63">
            <v>0</v>
          </cell>
          <cell r="H63" t="str">
            <v>HAVANA</v>
          </cell>
          <cell r="I63" t="str">
            <v>U</v>
          </cell>
          <cell r="J63" t="str">
            <v>M</v>
          </cell>
        </row>
        <row r="64">
          <cell r="B64" t="str">
            <v>MG100891361</v>
          </cell>
          <cell r="C64" t="str">
            <v>MARRO GRANDE</v>
          </cell>
          <cell r="D64" t="str">
            <v>BANDOLERA</v>
          </cell>
          <cell r="E64" t="str">
            <v>BANDOLERA MEGAN</v>
          </cell>
          <cell r="F64" t="str">
            <v>NAPA LOLA SOFT</v>
          </cell>
          <cell r="G64">
            <v>0</v>
          </cell>
          <cell r="H64" t="str">
            <v>CLAY</v>
          </cell>
          <cell r="I64" t="str">
            <v>U</v>
          </cell>
          <cell r="J64" t="str">
            <v>M</v>
          </cell>
        </row>
        <row r="65">
          <cell r="B65" t="str">
            <v>MG100891803</v>
          </cell>
          <cell r="C65" t="str">
            <v>MARRO GRANDE</v>
          </cell>
          <cell r="D65" t="str">
            <v>BANDOLERA</v>
          </cell>
          <cell r="E65" t="str">
            <v>BANDOLERA MEGAN</v>
          </cell>
          <cell r="F65" t="str">
            <v xml:space="preserve">SENA </v>
          </cell>
          <cell r="G65">
            <v>0</v>
          </cell>
          <cell r="H65" t="str">
            <v>CARAMELO</v>
          </cell>
          <cell r="I65" t="str">
            <v>U</v>
          </cell>
          <cell r="J65" t="str">
            <v>M</v>
          </cell>
        </row>
        <row r="66">
          <cell r="B66" t="str">
            <v>MG100891816</v>
          </cell>
          <cell r="C66" t="str">
            <v>MARRO GRANDE</v>
          </cell>
          <cell r="D66" t="str">
            <v>BANDOLERA</v>
          </cell>
          <cell r="E66" t="str">
            <v>BANDOLERA MEGAN</v>
          </cell>
          <cell r="F66" t="str">
            <v>SENA</v>
          </cell>
          <cell r="G66">
            <v>0</v>
          </cell>
          <cell r="H66" t="str">
            <v>OLIVE</v>
          </cell>
          <cell r="I66" t="str">
            <v>U</v>
          </cell>
          <cell r="J66" t="str">
            <v>M</v>
          </cell>
        </row>
        <row r="67">
          <cell r="B67" t="str">
            <v>MG100891825</v>
          </cell>
          <cell r="C67" t="str">
            <v>MARRO GRANDE</v>
          </cell>
          <cell r="D67" t="str">
            <v>BANDOLERA</v>
          </cell>
          <cell r="E67" t="str">
            <v>BANDOLERA MEGAN</v>
          </cell>
          <cell r="F67" t="str">
            <v>SENA</v>
          </cell>
          <cell r="G67">
            <v>0</v>
          </cell>
          <cell r="H67" t="str">
            <v>WHISKY</v>
          </cell>
          <cell r="I67" t="str">
            <v>U</v>
          </cell>
          <cell r="J67" t="str">
            <v>M</v>
          </cell>
        </row>
        <row r="68">
          <cell r="B68" t="str">
            <v>MG100891827</v>
          </cell>
          <cell r="C68" t="str">
            <v>MARRO GRANDE</v>
          </cell>
          <cell r="D68" t="str">
            <v>BANDOLERA</v>
          </cell>
          <cell r="E68" t="str">
            <v>BANDOLERA MEGAN</v>
          </cell>
          <cell r="F68" t="str">
            <v>SENA</v>
          </cell>
          <cell r="G68">
            <v>0</v>
          </cell>
          <cell r="H68" t="str">
            <v>PIEDRA</v>
          </cell>
          <cell r="I68" t="str">
            <v>U</v>
          </cell>
          <cell r="J68" t="str">
            <v>M</v>
          </cell>
        </row>
        <row r="69">
          <cell r="B69" t="str">
            <v>MG100891828</v>
          </cell>
          <cell r="C69" t="str">
            <v>MARRO GRANDE</v>
          </cell>
          <cell r="D69" t="str">
            <v>BANDOLERA</v>
          </cell>
          <cell r="E69" t="str">
            <v>BANDOLERA MEGAN</v>
          </cell>
          <cell r="F69" t="str">
            <v>SENA</v>
          </cell>
          <cell r="G69">
            <v>0</v>
          </cell>
          <cell r="H69" t="str">
            <v>VISON</v>
          </cell>
          <cell r="I69" t="str">
            <v>U</v>
          </cell>
          <cell r="J69" t="str">
            <v>M</v>
          </cell>
        </row>
        <row r="70">
          <cell r="B70" t="str">
            <v>MG100891831</v>
          </cell>
          <cell r="C70" t="str">
            <v>MARRO GRANDE</v>
          </cell>
          <cell r="D70" t="str">
            <v>BANDOLERA</v>
          </cell>
          <cell r="E70" t="str">
            <v>BANDOLERA MEGAN</v>
          </cell>
          <cell r="F70" t="str">
            <v>SENA</v>
          </cell>
          <cell r="G70">
            <v>0</v>
          </cell>
          <cell r="H70" t="str">
            <v>NUDE</v>
          </cell>
          <cell r="I70" t="str">
            <v>U</v>
          </cell>
          <cell r="J70" t="str">
            <v>M</v>
          </cell>
        </row>
        <row r="71">
          <cell r="B71" t="str">
            <v>MG100892101</v>
          </cell>
          <cell r="C71" t="str">
            <v>MARRO GRANDE</v>
          </cell>
          <cell r="D71" t="str">
            <v>BANDOLERA</v>
          </cell>
          <cell r="E71" t="str">
            <v>BANDOLERA MEGAN</v>
          </cell>
          <cell r="F71" t="str">
            <v>MACEIO</v>
          </cell>
          <cell r="G71">
            <v>0</v>
          </cell>
          <cell r="H71" t="str">
            <v>NEGRO</v>
          </cell>
          <cell r="I71" t="str">
            <v>U</v>
          </cell>
          <cell r="J71" t="str">
            <v>M</v>
          </cell>
        </row>
        <row r="72">
          <cell r="B72" t="str">
            <v>MG100892129</v>
          </cell>
          <cell r="C72" t="str">
            <v>MARRO GRANDE</v>
          </cell>
          <cell r="D72" t="str">
            <v>BANDOLERA</v>
          </cell>
          <cell r="E72" t="str">
            <v>BANDOLERA MEGAN</v>
          </cell>
          <cell r="F72" t="str">
            <v>MACEIO</v>
          </cell>
          <cell r="G72">
            <v>0</v>
          </cell>
          <cell r="H72" t="str">
            <v>COTTON</v>
          </cell>
          <cell r="I72" t="str">
            <v>U</v>
          </cell>
          <cell r="J72" t="str">
            <v>M</v>
          </cell>
        </row>
        <row r="73">
          <cell r="B73" t="str">
            <v>MG100892130</v>
          </cell>
          <cell r="C73" t="str">
            <v>MARRO GRANDE</v>
          </cell>
          <cell r="D73" t="str">
            <v>BANDOLERA</v>
          </cell>
          <cell r="E73" t="str">
            <v>BANDOLERA MEGAN</v>
          </cell>
          <cell r="F73" t="str">
            <v>MACEIO</v>
          </cell>
          <cell r="G73">
            <v>0</v>
          </cell>
          <cell r="H73" t="str">
            <v>ARCE</v>
          </cell>
          <cell r="I73" t="str">
            <v>U</v>
          </cell>
          <cell r="J73" t="str">
            <v>M</v>
          </cell>
        </row>
        <row r="74">
          <cell r="B74" t="str">
            <v>MG100892201</v>
          </cell>
          <cell r="C74" t="str">
            <v>MARRO GRANDE</v>
          </cell>
          <cell r="D74" t="str">
            <v>BANDOLERA</v>
          </cell>
          <cell r="E74" t="str">
            <v>BANDOLERA MEGAN</v>
          </cell>
          <cell r="F74" t="str">
            <v>SALLY</v>
          </cell>
          <cell r="G74">
            <v>0</v>
          </cell>
          <cell r="H74" t="str">
            <v>NEGRO</v>
          </cell>
          <cell r="I74" t="str">
            <v>U</v>
          </cell>
          <cell r="J74" t="str">
            <v>M</v>
          </cell>
        </row>
        <row r="75">
          <cell r="B75" t="str">
            <v>MG010310301</v>
          </cell>
          <cell r="C75" t="str">
            <v>MARRO GRANDE</v>
          </cell>
          <cell r="D75" t="str">
            <v>BANDOLERA</v>
          </cell>
          <cell r="E75" t="str">
            <v>BANDOLERA MINI</v>
          </cell>
          <cell r="F75" t="str">
            <v>BRIDGE</v>
          </cell>
          <cell r="G75">
            <v>0</v>
          </cell>
          <cell r="H75" t="str">
            <v>NEGRO</v>
          </cell>
          <cell r="I75" t="str">
            <v>U</v>
          </cell>
          <cell r="J75" t="str">
            <v>M</v>
          </cell>
        </row>
        <row r="76">
          <cell r="B76" t="str">
            <v>MG010310303</v>
          </cell>
          <cell r="C76" t="str">
            <v>MARRO GRANDE</v>
          </cell>
          <cell r="D76" t="str">
            <v>BANDOLERA</v>
          </cell>
          <cell r="E76" t="str">
            <v>BANDOLERA MINI</v>
          </cell>
          <cell r="F76" t="str">
            <v>BRIDGE</v>
          </cell>
          <cell r="G76">
            <v>0</v>
          </cell>
          <cell r="H76" t="str">
            <v>CARAMELO</v>
          </cell>
          <cell r="I76" t="str">
            <v>U</v>
          </cell>
          <cell r="J76" t="str">
            <v>M</v>
          </cell>
        </row>
        <row r="77">
          <cell r="B77" t="str">
            <v>MG010310304</v>
          </cell>
          <cell r="C77" t="str">
            <v>MARRO GRANDE</v>
          </cell>
          <cell r="D77" t="str">
            <v>BANDOLERA</v>
          </cell>
          <cell r="E77" t="str">
            <v>BANDOLERA MINI</v>
          </cell>
          <cell r="F77" t="str">
            <v>BRIDGE</v>
          </cell>
          <cell r="G77">
            <v>0</v>
          </cell>
          <cell r="H77" t="str">
            <v>TABACO</v>
          </cell>
          <cell r="I77" t="str">
            <v>U</v>
          </cell>
          <cell r="J77" t="str">
            <v>M</v>
          </cell>
        </row>
        <row r="78">
          <cell r="B78" t="str">
            <v>MG010310307</v>
          </cell>
          <cell r="C78" t="str">
            <v>MARRO GRANDE</v>
          </cell>
          <cell r="D78" t="str">
            <v>BANDOLERA</v>
          </cell>
          <cell r="E78" t="str">
            <v>BANDOLERA MINI</v>
          </cell>
          <cell r="F78" t="str">
            <v>BRIDGE</v>
          </cell>
          <cell r="G78">
            <v>0</v>
          </cell>
          <cell r="H78" t="str">
            <v>ROJO</v>
          </cell>
          <cell r="I78" t="str">
            <v>U</v>
          </cell>
          <cell r="J78" t="str">
            <v>M</v>
          </cell>
        </row>
        <row r="79">
          <cell r="B79" t="str">
            <v>MG010310309</v>
          </cell>
          <cell r="C79" t="str">
            <v>MARRO GRANDE</v>
          </cell>
          <cell r="D79" t="str">
            <v>BANDOLERA</v>
          </cell>
          <cell r="E79" t="str">
            <v>BANDOLERA MINI</v>
          </cell>
          <cell r="F79" t="str">
            <v>BRIDGE</v>
          </cell>
          <cell r="G79">
            <v>0</v>
          </cell>
          <cell r="H79" t="str">
            <v>AZUL</v>
          </cell>
          <cell r="I79" t="str">
            <v>U</v>
          </cell>
          <cell r="J79" t="str">
            <v>M</v>
          </cell>
        </row>
        <row r="80">
          <cell r="B80" t="str">
            <v>MG010310310</v>
          </cell>
          <cell r="C80" t="str">
            <v>MARRO GRANDE</v>
          </cell>
          <cell r="D80" t="str">
            <v>BANDOLERA</v>
          </cell>
          <cell r="E80" t="str">
            <v>BANDOLERA MINI</v>
          </cell>
          <cell r="F80" t="str">
            <v>BRIDGE</v>
          </cell>
          <cell r="G80">
            <v>0</v>
          </cell>
          <cell r="H80" t="str">
            <v>VERDE</v>
          </cell>
          <cell r="I80" t="str">
            <v>U</v>
          </cell>
          <cell r="J80" t="str">
            <v>M</v>
          </cell>
        </row>
        <row r="81">
          <cell r="B81" t="str">
            <v>MG010310550</v>
          </cell>
          <cell r="C81" t="str">
            <v>MARRO GRANDE</v>
          </cell>
          <cell r="D81" t="str">
            <v>BANDOLERA</v>
          </cell>
          <cell r="E81" t="str">
            <v>BANDOLERA MINI</v>
          </cell>
          <cell r="F81" t="str">
            <v>GAMUZA</v>
          </cell>
          <cell r="G81">
            <v>0</v>
          </cell>
          <cell r="H81" t="str">
            <v>VESUBIO/TABACO</v>
          </cell>
          <cell r="I81" t="str">
            <v>U</v>
          </cell>
          <cell r="J81" t="str">
            <v>M</v>
          </cell>
        </row>
        <row r="82">
          <cell r="B82" t="str">
            <v>MG010310550-01</v>
          </cell>
          <cell r="C82" t="str">
            <v>MARRO GRANDE</v>
          </cell>
          <cell r="D82" t="str">
            <v>BANDOLERA</v>
          </cell>
          <cell r="E82" t="str">
            <v>BANDOLERA MINI</v>
          </cell>
          <cell r="F82" t="str">
            <v>GAMUZA</v>
          </cell>
          <cell r="G82">
            <v>0</v>
          </cell>
          <cell r="H82" t="str">
            <v>VESUBIO/NEGRO</v>
          </cell>
          <cell r="I82" t="str">
            <v>U</v>
          </cell>
          <cell r="J82" t="str">
            <v>M</v>
          </cell>
        </row>
        <row r="83">
          <cell r="B83" t="str">
            <v>MG010310551</v>
          </cell>
          <cell r="C83" t="str">
            <v>MARRO GRANDE</v>
          </cell>
          <cell r="D83" t="str">
            <v>BANDOLERA</v>
          </cell>
          <cell r="E83" t="str">
            <v>BANDOLERA MINI</v>
          </cell>
          <cell r="F83" t="str">
            <v>GAMUZA</v>
          </cell>
          <cell r="G83">
            <v>0</v>
          </cell>
          <cell r="H83" t="str">
            <v>MOSTAZA/TABACO</v>
          </cell>
          <cell r="I83" t="str">
            <v>U</v>
          </cell>
          <cell r="J83" t="str">
            <v>M</v>
          </cell>
        </row>
        <row r="84">
          <cell r="B84" t="str">
            <v>MG010310552</v>
          </cell>
          <cell r="C84" t="str">
            <v>MARRO GRANDE</v>
          </cell>
          <cell r="D84" t="str">
            <v>BANDOLERA</v>
          </cell>
          <cell r="E84" t="str">
            <v>BANDOLERA MINI</v>
          </cell>
          <cell r="F84" t="str">
            <v>GAMUZA</v>
          </cell>
          <cell r="G84">
            <v>0</v>
          </cell>
          <cell r="H84" t="str">
            <v>CHOCOLATE/TABACO</v>
          </cell>
          <cell r="I84" t="str">
            <v>U</v>
          </cell>
          <cell r="J84" t="str">
            <v>M</v>
          </cell>
        </row>
        <row r="85">
          <cell r="B85" t="str">
            <v>MG010310555-03</v>
          </cell>
          <cell r="C85" t="str">
            <v>MARRO GRANDE</v>
          </cell>
          <cell r="D85" t="str">
            <v>BANDOLERA</v>
          </cell>
          <cell r="E85" t="str">
            <v>BANDOLERA MINI</v>
          </cell>
          <cell r="F85" t="str">
            <v>GAMUZA</v>
          </cell>
          <cell r="G85">
            <v>0</v>
          </cell>
          <cell r="H85" t="str">
            <v>AVELLANA/CARAMELO</v>
          </cell>
          <cell r="I85" t="str">
            <v>U</v>
          </cell>
          <cell r="J85" t="str">
            <v>M</v>
          </cell>
        </row>
        <row r="86">
          <cell r="B86" t="str">
            <v>MG010310555-04</v>
          </cell>
          <cell r="C86" t="str">
            <v>MARRO GRANDE</v>
          </cell>
          <cell r="D86" t="str">
            <v>BANDOLERA</v>
          </cell>
          <cell r="E86" t="str">
            <v>BANDOLERA MINI</v>
          </cell>
          <cell r="F86" t="str">
            <v>GAMUZA</v>
          </cell>
          <cell r="G86">
            <v>0</v>
          </cell>
          <cell r="H86" t="str">
            <v>AVELLANA/TABACO</v>
          </cell>
          <cell r="I86" t="str">
            <v>U</v>
          </cell>
          <cell r="J86" t="str">
            <v>M</v>
          </cell>
        </row>
        <row r="87">
          <cell r="B87" t="str">
            <v>MG010310556-03</v>
          </cell>
          <cell r="C87" t="str">
            <v>MARRO GRANDE</v>
          </cell>
          <cell r="D87" t="str">
            <v>BANDOLERA</v>
          </cell>
          <cell r="E87" t="str">
            <v>BANDOLERA MINI</v>
          </cell>
          <cell r="F87" t="str">
            <v>GAMUZA</v>
          </cell>
          <cell r="G87">
            <v>0</v>
          </cell>
          <cell r="H87" t="str">
            <v>OXIDO/CARAMELO</v>
          </cell>
          <cell r="I87" t="str">
            <v>U</v>
          </cell>
          <cell r="J87" t="str">
            <v>M</v>
          </cell>
        </row>
        <row r="88">
          <cell r="B88" t="str">
            <v>MG010310556-04</v>
          </cell>
          <cell r="C88" t="str">
            <v>MARRO GRANDE</v>
          </cell>
          <cell r="D88" t="str">
            <v>BANDOLERA</v>
          </cell>
          <cell r="E88" t="str">
            <v>BANDOLERA MINI</v>
          </cell>
          <cell r="F88" t="str">
            <v>GAMUZA</v>
          </cell>
          <cell r="G88">
            <v>0</v>
          </cell>
          <cell r="H88" t="str">
            <v>OXIDO/TABACO</v>
          </cell>
          <cell r="I88" t="str">
            <v>U</v>
          </cell>
          <cell r="J88" t="str">
            <v>M</v>
          </cell>
        </row>
        <row r="89">
          <cell r="B89" t="str">
            <v>MG010360101</v>
          </cell>
          <cell r="C89" t="str">
            <v>MARRO GRANDE</v>
          </cell>
          <cell r="D89" t="str">
            <v>BANDOLERA</v>
          </cell>
          <cell r="E89" t="str">
            <v>BANDOLERA MONA</v>
          </cell>
          <cell r="F89" t="str">
            <v>NAPADO</v>
          </cell>
          <cell r="G89">
            <v>0</v>
          </cell>
          <cell r="H89" t="str">
            <v>NEGRO</v>
          </cell>
          <cell r="I89" t="str">
            <v>U</v>
          </cell>
          <cell r="J89" t="str">
            <v>M</v>
          </cell>
        </row>
        <row r="90">
          <cell r="B90" t="str">
            <v>MG010360102</v>
          </cell>
          <cell r="C90" t="str">
            <v>MARRO GRANDE</v>
          </cell>
          <cell r="D90" t="str">
            <v>BANDOLERA</v>
          </cell>
          <cell r="E90" t="str">
            <v>BANDOLERA MONA</v>
          </cell>
          <cell r="F90" t="str">
            <v>NAPADO</v>
          </cell>
          <cell r="G90">
            <v>0</v>
          </cell>
          <cell r="H90" t="str">
            <v>SUELA</v>
          </cell>
          <cell r="I90" t="str">
            <v>U</v>
          </cell>
          <cell r="J90" t="str">
            <v>M</v>
          </cell>
        </row>
        <row r="91">
          <cell r="B91" t="str">
            <v>MG010360110</v>
          </cell>
          <cell r="C91" t="str">
            <v>MARRO GRANDE</v>
          </cell>
          <cell r="D91" t="str">
            <v>BANDOLERA</v>
          </cell>
          <cell r="E91" t="str">
            <v>BANDOLERA MONA</v>
          </cell>
          <cell r="F91" t="str">
            <v>NAPADO</v>
          </cell>
          <cell r="G91">
            <v>0</v>
          </cell>
          <cell r="H91" t="str">
            <v>VERDE</v>
          </cell>
          <cell r="I91" t="str">
            <v>U</v>
          </cell>
          <cell r="J91" t="str">
            <v>M</v>
          </cell>
        </row>
        <row r="92">
          <cell r="B92" t="str">
            <v>MG010360301</v>
          </cell>
          <cell r="C92" t="str">
            <v>MARRO GRANDE</v>
          </cell>
          <cell r="D92" t="str">
            <v>BANDOLERA</v>
          </cell>
          <cell r="E92" t="str">
            <v>BANDOLERA MONA</v>
          </cell>
          <cell r="F92" t="str">
            <v>BRIDGE</v>
          </cell>
          <cell r="G92">
            <v>0</v>
          </cell>
          <cell r="H92" t="str">
            <v>NEGRO</v>
          </cell>
          <cell r="I92" t="str">
            <v>U</v>
          </cell>
          <cell r="J92" t="str">
            <v>M</v>
          </cell>
        </row>
        <row r="93">
          <cell r="B93" t="str">
            <v>MG010360303</v>
          </cell>
          <cell r="C93" t="str">
            <v>MARRO GRANDE</v>
          </cell>
          <cell r="D93" t="str">
            <v>BANDOLERA</v>
          </cell>
          <cell r="E93" t="str">
            <v>BANDOLERA MONA</v>
          </cell>
          <cell r="F93" t="str">
            <v>BRIDGE</v>
          </cell>
          <cell r="G93">
            <v>0</v>
          </cell>
          <cell r="H93" t="str">
            <v>CARAMELO</v>
          </cell>
          <cell r="I93" t="str">
            <v>U</v>
          </cell>
          <cell r="J93" t="str">
            <v>M</v>
          </cell>
        </row>
        <row r="94">
          <cell r="B94" t="str">
            <v>MG020010101</v>
          </cell>
          <cell r="C94" t="str">
            <v>MARRO GRANDE</v>
          </cell>
          <cell r="D94" t="str">
            <v>BANDOLERA</v>
          </cell>
          <cell r="E94" t="str">
            <v>BANDOLERA NATY</v>
          </cell>
          <cell r="F94" t="str">
            <v>NAPADO</v>
          </cell>
          <cell r="G94">
            <v>0</v>
          </cell>
          <cell r="H94" t="str">
            <v>NEGRO</v>
          </cell>
          <cell r="I94" t="str">
            <v>U</v>
          </cell>
          <cell r="J94" t="str">
            <v>M</v>
          </cell>
        </row>
        <row r="95">
          <cell r="B95" t="str">
            <v>MG020010102</v>
          </cell>
          <cell r="C95" t="str">
            <v>MARRO GRANDE</v>
          </cell>
          <cell r="D95" t="str">
            <v>BANDOLERA</v>
          </cell>
          <cell r="E95" t="str">
            <v>BANDOLERA NATY</v>
          </cell>
          <cell r="F95" t="str">
            <v>NAPADO</v>
          </cell>
          <cell r="G95">
            <v>0</v>
          </cell>
          <cell r="H95" t="str">
            <v>SUELA</v>
          </cell>
          <cell r="I95" t="str">
            <v>U</v>
          </cell>
          <cell r="J95" t="str">
            <v>M</v>
          </cell>
        </row>
        <row r="96">
          <cell r="B96" t="str">
            <v>MG020010103</v>
          </cell>
          <cell r="C96" t="str">
            <v>MARRO GRANDE</v>
          </cell>
          <cell r="D96" t="str">
            <v>BANDOLERA</v>
          </cell>
          <cell r="E96" t="str">
            <v>BANDOLERA NATY</v>
          </cell>
          <cell r="F96" t="str">
            <v>NAPADO</v>
          </cell>
          <cell r="G96">
            <v>0</v>
          </cell>
          <cell r="H96" t="str">
            <v>CARAMELO</v>
          </cell>
          <cell r="I96" t="str">
            <v>U</v>
          </cell>
          <cell r="J96" t="str">
            <v>M</v>
          </cell>
        </row>
        <row r="97">
          <cell r="B97" t="str">
            <v>MG020010107</v>
          </cell>
          <cell r="C97" t="str">
            <v>MARRO GRANDE</v>
          </cell>
          <cell r="D97" t="str">
            <v>BANDOLERA</v>
          </cell>
          <cell r="E97" t="str">
            <v>BANDOLERA NATY</v>
          </cell>
          <cell r="F97" t="str">
            <v>NAPADO</v>
          </cell>
          <cell r="G97">
            <v>0</v>
          </cell>
          <cell r="H97" t="str">
            <v>ROJO</v>
          </cell>
          <cell r="I97" t="str">
            <v>U</v>
          </cell>
          <cell r="J97" t="str">
            <v>M</v>
          </cell>
        </row>
        <row r="98">
          <cell r="B98" t="str">
            <v>MG020010109</v>
          </cell>
          <cell r="C98" t="str">
            <v>MARRO GRANDE</v>
          </cell>
          <cell r="D98" t="str">
            <v>BANDOLERA</v>
          </cell>
          <cell r="E98" t="str">
            <v>BANDOLERA NATY</v>
          </cell>
          <cell r="F98" t="str">
            <v>NAPADO</v>
          </cell>
          <cell r="G98">
            <v>0</v>
          </cell>
          <cell r="H98" t="str">
            <v>AZUL</v>
          </cell>
          <cell r="I98" t="str">
            <v>U</v>
          </cell>
          <cell r="J98" t="str">
            <v>M</v>
          </cell>
        </row>
        <row r="99">
          <cell r="B99" t="str">
            <v>MG020010110</v>
          </cell>
          <cell r="C99" t="str">
            <v>MARRO GRANDE</v>
          </cell>
          <cell r="D99" t="str">
            <v>BANDOLERA</v>
          </cell>
          <cell r="E99" t="str">
            <v>BANDOLERA NATY</v>
          </cell>
          <cell r="F99" t="str">
            <v>NAPADO</v>
          </cell>
          <cell r="G99">
            <v>0</v>
          </cell>
          <cell r="H99" t="str">
            <v>VERDE</v>
          </cell>
          <cell r="I99" t="str">
            <v>U</v>
          </cell>
          <cell r="J99" t="str">
            <v>M</v>
          </cell>
        </row>
        <row r="100">
          <cell r="B100" t="str">
            <v>MG010290101</v>
          </cell>
          <cell r="C100" t="str">
            <v>MARRO GRANDE</v>
          </cell>
          <cell r="D100" t="str">
            <v>BANDOLERA</v>
          </cell>
          <cell r="E100" t="str">
            <v>BANDOLERA NATY SIMPLE</v>
          </cell>
          <cell r="F100" t="str">
            <v>NAPADO</v>
          </cell>
          <cell r="G100">
            <v>0</v>
          </cell>
          <cell r="H100" t="str">
            <v>NEGRO</v>
          </cell>
          <cell r="I100" t="str">
            <v>U</v>
          </cell>
          <cell r="J100" t="str">
            <v>M</v>
          </cell>
        </row>
        <row r="101">
          <cell r="B101" t="str">
            <v>MG010290103</v>
          </cell>
          <cell r="C101" t="str">
            <v>MARRO GRANDE</v>
          </cell>
          <cell r="D101" t="str">
            <v>BANDOLERA</v>
          </cell>
          <cell r="E101" t="str">
            <v>BANDOLERA NATY SIMPLE</v>
          </cell>
          <cell r="F101" t="str">
            <v>NAPADO</v>
          </cell>
          <cell r="G101">
            <v>0</v>
          </cell>
          <cell r="H101" t="str">
            <v>CARAMELO</v>
          </cell>
          <cell r="I101" t="str">
            <v>U</v>
          </cell>
          <cell r="J101" t="str">
            <v>M</v>
          </cell>
        </row>
        <row r="102">
          <cell r="B102" t="str">
            <v>MG010290104</v>
          </cell>
          <cell r="C102" t="str">
            <v>MARRO GRANDE</v>
          </cell>
          <cell r="D102" t="str">
            <v>BANDOLERA</v>
          </cell>
          <cell r="E102" t="str">
            <v>BANDOLERA NATY SIMPLE</v>
          </cell>
          <cell r="F102" t="str">
            <v>NAPADO</v>
          </cell>
          <cell r="G102">
            <v>0</v>
          </cell>
          <cell r="H102" t="str">
            <v>TABACO</v>
          </cell>
          <cell r="I102" t="str">
            <v>U</v>
          </cell>
          <cell r="J102" t="str">
            <v>M</v>
          </cell>
        </row>
        <row r="103">
          <cell r="B103" t="str">
            <v>MG010290107</v>
          </cell>
          <cell r="C103" t="str">
            <v>MARRO GRANDE</v>
          </cell>
          <cell r="D103" t="str">
            <v>BANDOLERA</v>
          </cell>
          <cell r="E103" t="str">
            <v>BANDOLERA NATY SIMPLE</v>
          </cell>
          <cell r="F103" t="str">
            <v>NAPADO</v>
          </cell>
          <cell r="G103">
            <v>0</v>
          </cell>
          <cell r="H103" t="str">
            <v>ROJO</v>
          </cell>
          <cell r="I103" t="str">
            <v>U</v>
          </cell>
          <cell r="J103" t="str">
            <v>M</v>
          </cell>
        </row>
        <row r="104">
          <cell r="B104" t="str">
            <v>MG010290109</v>
          </cell>
          <cell r="C104" t="str">
            <v>MARRO GRANDE</v>
          </cell>
          <cell r="D104" t="str">
            <v>BANDOLERA</v>
          </cell>
          <cell r="E104" t="str">
            <v>BANDOLERA NATY SIMPLE</v>
          </cell>
          <cell r="F104" t="str">
            <v>NAPADO</v>
          </cell>
          <cell r="G104">
            <v>0</v>
          </cell>
          <cell r="H104" t="str">
            <v>AZUL</v>
          </cell>
          <cell r="I104" t="str">
            <v>U</v>
          </cell>
          <cell r="J104" t="str">
            <v>M</v>
          </cell>
        </row>
        <row r="105">
          <cell r="B105" t="str">
            <v>MG010290110</v>
          </cell>
          <cell r="C105" t="str">
            <v>MARRO GRANDE</v>
          </cell>
          <cell r="D105" t="str">
            <v>BANDOLERA</v>
          </cell>
          <cell r="E105" t="str">
            <v>BANDOLERA NATY SIMPLE</v>
          </cell>
          <cell r="F105" t="str">
            <v>NAPADO</v>
          </cell>
          <cell r="G105">
            <v>0</v>
          </cell>
          <cell r="H105" t="str">
            <v>VERDE</v>
          </cell>
          <cell r="I105" t="str">
            <v>U</v>
          </cell>
          <cell r="J105" t="str">
            <v>M</v>
          </cell>
        </row>
        <row r="106">
          <cell r="B106" t="str">
            <v>MG010290112</v>
          </cell>
          <cell r="C106" t="str">
            <v>MARRO GRANDE</v>
          </cell>
          <cell r="D106" t="str">
            <v>BANDOLERA</v>
          </cell>
          <cell r="E106" t="str">
            <v>BANDOLERA NATY SIMPLE</v>
          </cell>
          <cell r="F106" t="str">
            <v>NAPADO</v>
          </cell>
          <cell r="G106">
            <v>0</v>
          </cell>
          <cell r="H106" t="str">
            <v>GRIS</v>
          </cell>
          <cell r="I106" t="str">
            <v>U</v>
          </cell>
          <cell r="J106" t="str">
            <v>M</v>
          </cell>
        </row>
        <row r="107">
          <cell r="B107" t="str">
            <v>MG010290115</v>
          </cell>
          <cell r="C107" t="str">
            <v>MARRO GRANDE</v>
          </cell>
          <cell r="D107" t="str">
            <v>BANDOLERA</v>
          </cell>
          <cell r="E107" t="str">
            <v>BANDOLERA NATY SIMPLE</v>
          </cell>
          <cell r="F107" t="str">
            <v>NAPADO</v>
          </cell>
          <cell r="G107">
            <v>0</v>
          </cell>
          <cell r="H107" t="str">
            <v>MALBEC</v>
          </cell>
          <cell r="I107" t="str">
            <v>U</v>
          </cell>
          <cell r="J107" t="str">
            <v>M</v>
          </cell>
        </row>
        <row r="108">
          <cell r="B108" t="str">
            <v>MG010290301</v>
          </cell>
          <cell r="C108" t="str">
            <v>MARRO GRANDE</v>
          </cell>
          <cell r="D108" t="str">
            <v>BANDOLERA</v>
          </cell>
          <cell r="E108" t="str">
            <v>BANDOLERA NATY SIMPLE</v>
          </cell>
          <cell r="F108" t="str">
            <v>BRIDGE</v>
          </cell>
          <cell r="G108">
            <v>0</v>
          </cell>
          <cell r="H108" t="str">
            <v>NEGRO</v>
          </cell>
          <cell r="I108" t="str">
            <v>U</v>
          </cell>
          <cell r="J108" t="str">
            <v>M</v>
          </cell>
        </row>
        <row r="109">
          <cell r="B109" t="str">
            <v>MG010290102</v>
          </cell>
          <cell r="C109" t="str">
            <v>MARRO GRANDE</v>
          </cell>
          <cell r="D109" t="str">
            <v>BANDOLERA</v>
          </cell>
          <cell r="E109" t="str">
            <v>BANDOLERA NATY SIMPLE</v>
          </cell>
          <cell r="F109" t="str">
            <v>NAPADO</v>
          </cell>
          <cell r="G109">
            <v>0</v>
          </cell>
          <cell r="H109" t="str">
            <v>SUELA</v>
          </cell>
          <cell r="I109" t="str">
            <v>U</v>
          </cell>
          <cell r="J109" t="str">
            <v>M</v>
          </cell>
        </row>
        <row r="110">
          <cell r="B110" t="str">
            <v>MG010290303</v>
          </cell>
          <cell r="C110" t="str">
            <v>MARRO GRANDE</v>
          </cell>
          <cell r="D110" t="str">
            <v>BANDOLERA</v>
          </cell>
          <cell r="E110" t="str">
            <v>BANDOLERA NATY SIMPLE</v>
          </cell>
          <cell r="F110" t="str">
            <v>BRIDGE</v>
          </cell>
          <cell r="G110">
            <v>0</v>
          </cell>
          <cell r="H110" t="str">
            <v>CARAMELO</v>
          </cell>
          <cell r="I110" t="str">
            <v>U</v>
          </cell>
          <cell r="J110" t="str">
            <v>M</v>
          </cell>
        </row>
        <row r="111">
          <cell r="B111" t="str">
            <v>MG010290304</v>
          </cell>
          <cell r="C111" t="str">
            <v>MARRO GRANDE</v>
          </cell>
          <cell r="D111" t="str">
            <v>BANDOLERA</v>
          </cell>
          <cell r="E111" t="str">
            <v>BANDOLERA NATY SIMPLE</v>
          </cell>
          <cell r="F111" t="str">
            <v>BRIDGE</v>
          </cell>
          <cell r="G111">
            <v>0</v>
          </cell>
          <cell r="H111" t="str">
            <v>TABACO</v>
          </cell>
          <cell r="I111" t="str">
            <v>U</v>
          </cell>
          <cell r="J111" t="str">
            <v>M</v>
          </cell>
        </row>
        <row r="112">
          <cell r="B112" t="str">
            <v>MG010290307</v>
          </cell>
          <cell r="C112" t="str">
            <v>MARRO GRANDE</v>
          </cell>
          <cell r="D112" t="str">
            <v>BANDOLERA</v>
          </cell>
          <cell r="E112" t="str">
            <v>BANDOLERA NATY SIMPLE</v>
          </cell>
          <cell r="F112" t="str">
            <v>BRIDGE</v>
          </cell>
          <cell r="G112">
            <v>0</v>
          </cell>
          <cell r="H112" t="str">
            <v>ROJO</v>
          </cell>
          <cell r="I112" t="str">
            <v>U</v>
          </cell>
          <cell r="J112" t="str">
            <v>M</v>
          </cell>
        </row>
        <row r="113">
          <cell r="B113" t="str">
            <v>MG010290309</v>
          </cell>
          <cell r="C113" t="str">
            <v>MARRO GRANDE</v>
          </cell>
          <cell r="D113" t="str">
            <v>BANDOLERA</v>
          </cell>
          <cell r="E113" t="str">
            <v>BANDOLERA NATY SIMPLE</v>
          </cell>
          <cell r="F113" t="str">
            <v>BRIDGE</v>
          </cell>
          <cell r="G113">
            <v>0</v>
          </cell>
          <cell r="H113" t="str">
            <v>AZUL</v>
          </cell>
          <cell r="I113" t="str">
            <v>U</v>
          </cell>
          <cell r="J113" t="str">
            <v>M</v>
          </cell>
        </row>
        <row r="114">
          <cell r="B114" t="str">
            <v>MG010290312</v>
          </cell>
          <cell r="C114" t="str">
            <v>MARRO GRANDE</v>
          </cell>
          <cell r="D114" t="str">
            <v>BANDOLERA</v>
          </cell>
          <cell r="E114" t="str">
            <v>BANDOLERA NATY SIMPLE</v>
          </cell>
          <cell r="F114" t="str">
            <v>BRIDGE</v>
          </cell>
          <cell r="G114">
            <v>0</v>
          </cell>
          <cell r="H114" t="str">
            <v>GRIS</v>
          </cell>
          <cell r="I114" t="str">
            <v>U</v>
          </cell>
          <cell r="J114" t="str">
            <v>M</v>
          </cell>
        </row>
        <row r="115">
          <cell r="B115" t="str">
            <v>MG010290509</v>
          </cell>
          <cell r="C115" t="str">
            <v>MARRO GRANDE</v>
          </cell>
          <cell r="D115" t="str">
            <v>BANDOLERA</v>
          </cell>
          <cell r="E115" t="str">
            <v>BANDOLERA NATY SIMPLE</v>
          </cell>
          <cell r="F115" t="str">
            <v>GAMUZA</v>
          </cell>
          <cell r="G115">
            <v>0</v>
          </cell>
          <cell r="H115" t="str">
            <v>AZUL</v>
          </cell>
          <cell r="I115" t="str">
            <v>U</v>
          </cell>
          <cell r="J115" t="str">
            <v>M</v>
          </cell>
        </row>
        <row r="116">
          <cell r="B116" t="str">
            <v>MG010290516</v>
          </cell>
          <cell r="C116" t="str">
            <v>MARRO GRANDE</v>
          </cell>
          <cell r="D116" t="str">
            <v>BANDOLERA</v>
          </cell>
          <cell r="E116" t="str">
            <v>BANDOLERA NATY SIMPLE</v>
          </cell>
          <cell r="F116" t="str">
            <v>GAMUZA</v>
          </cell>
          <cell r="G116">
            <v>0</v>
          </cell>
          <cell r="H116" t="str">
            <v>OLIVE</v>
          </cell>
          <cell r="I116" t="str">
            <v>U</v>
          </cell>
          <cell r="J116" t="str">
            <v>M</v>
          </cell>
        </row>
        <row r="117">
          <cell r="B117" t="str">
            <v>MG010290517</v>
          </cell>
          <cell r="C117" t="str">
            <v>MARRO GRANDE</v>
          </cell>
          <cell r="D117" t="str">
            <v>BANDOLERA</v>
          </cell>
          <cell r="E117" t="str">
            <v>BANDOLERA NATY SIMPLE</v>
          </cell>
          <cell r="F117" t="str">
            <v>GAMUZA</v>
          </cell>
          <cell r="G117">
            <v>0</v>
          </cell>
          <cell r="H117" t="str">
            <v>GRIS MEDIO</v>
          </cell>
          <cell r="I117" t="str">
            <v>U</v>
          </cell>
          <cell r="J117" t="str">
            <v>M</v>
          </cell>
        </row>
        <row r="118">
          <cell r="B118" t="str">
            <v>MG010290518</v>
          </cell>
          <cell r="C118" t="str">
            <v>MARRO GRANDE</v>
          </cell>
          <cell r="D118" t="str">
            <v>BANDOLERA</v>
          </cell>
          <cell r="E118" t="str">
            <v>BANDOLERA NATY SIMPLE</v>
          </cell>
          <cell r="F118" t="str">
            <v>GAMUZA</v>
          </cell>
          <cell r="G118">
            <v>0</v>
          </cell>
          <cell r="H118" t="str">
            <v>MARSALA</v>
          </cell>
          <cell r="I118" t="str">
            <v>U</v>
          </cell>
          <cell r="J118" t="str">
            <v>M</v>
          </cell>
        </row>
        <row r="119">
          <cell r="B119" t="str">
            <v>MG010290550</v>
          </cell>
          <cell r="C119" t="str">
            <v>MARRO GRANDE</v>
          </cell>
          <cell r="D119" t="str">
            <v>BANDOLERA</v>
          </cell>
          <cell r="E119" t="str">
            <v>BANDOLERA NATY SIMPLE</v>
          </cell>
          <cell r="F119" t="str">
            <v>GAMUZA</v>
          </cell>
          <cell r="G119">
            <v>0</v>
          </cell>
          <cell r="H119" t="str">
            <v>VESUBIO/TABACO</v>
          </cell>
          <cell r="I119" t="str">
            <v>U</v>
          </cell>
          <cell r="J119" t="str">
            <v>M</v>
          </cell>
        </row>
        <row r="120">
          <cell r="B120" t="str">
            <v>MG010290551</v>
          </cell>
          <cell r="C120" t="str">
            <v>MARRO GRANDE</v>
          </cell>
          <cell r="D120" t="str">
            <v>BANDOLERA</v>
          </cell>
          <cell r="E120" t="str">
            <v>BANDOLERA NATY SIMPLE</v>
          </cell>
          <cell r="F120" t="str">
            <v>GAMUZA</v>
          </cell>
          <cell r="G120">
            <v>0</v>
          </cell>
          <cell r="H120" t="str">
            <v>MOSTAZA/TABACO</v>
          </cell>
          <cell r="I120" t="str">
            <v>U</v>
          </cell>
          <cell r="J120" t="str">
            <v>M</v>
          </cell>
        </row>
        <row r="121">
          <cell r="B121" t="str">
            <v>MG010290555-1</v>
          </cell>
          <cell r="C121" t="str">
            <v>MARRO GRANDE</v>
          </cell>
          <cell r="D121" t="str">
            <v>BANDOLERA</v>
          </cell>
          <cell r="E121" t="str">
            <v>BANDOLERA NATY SIMPLE</v>
          </cell>
          <cell r="F121" t="str">
            <v>GAMUZA</v>
          </cell>
          <cell r="G121">
            <v>0</v>
          </cell>
          <cell r="H121" t="str">
            <v>AVELLANA/NEGRO</v>
          </cell>
          <cell r="I121" t="str">
            <v>U</v>
          </cell>
          <cell r="J121" t="str">
            <v>M</v>
          </cell>
        </row>
        <row r="122">
          <cell r="B122" t="str">
            <v>MG010290555-4</v>
          </cell>
          <cell r="C122" t="str">
            <v>MARRO GRANDE</v>
          </cell>
          <cell r="D122" t="str">
            <v>BANDOLERA</v>
          </cell>
          <cell r="E122" t="str">
            <v>BANDOLERA NATY SIMPLE</v>
          </cell>
          <cell r="F122" t="str">
            <v>GAMUZA</v>
          </cell>
          <cell r="G122">
            <v>0</v>
          </cell>
          <cell r="H122" t="str">
            <v>AVELLANA/TABACO</v>
          </cell>
          <cell r="I122" t="str">
            <v>U</v>
          </cell>
          <cell r="J122" t="str">
            <v>M</v>
          </cell>
        </row>
        <row r="123">
          <cell r="B123" t="str">
            <v>MG010290556-4</v>
          </cell>
          <cell r="C123" t="str">
            <v>MARRO GRANDE</v>
          </cell>
          <cell r="D123" t="str">
            <v>BANDOLERA</v>
          </cell>
          <cell r="E123" t="str">
            <v>BANDOLERA NATY SIMPLE</v>
          </cell>
          <cell r="F123" t="str">
            <v>GAMUZA</v>
          </cell>
          <cell r="G123">
            <v>0</v>
          </cell>
          <cell r="H123" t="str">
            <v>OXIDO/TABACO</v>
          </cell>
          <cell r="I123" t="str">
            <v>U</v>
          </cell>
          <cell r="J123" t="str">
            <v>M</v>
          </cell>
        </row>
        <row r="124">
          <cell r="B124" t="str">
            <v>MG010290310</v>
          </cell>
          <cell r="C124" t="str">
            <v>MARRO GRANDE</v>
          </cell>
          <cell r="D124" t="str">
            <v>BANDOLERA</v>
          </cell>
          <cell r="E124" t="str">
            <v>BANDOLERA NATY SIMPLE NEW</v>
          </cell>
          <cell r="F124" t="str">
            <v>BRIDGE</v>
          </cell>
          <cell r="G124">
            <v>0</v>
          </cell>
          <cell r="H124" t="str">
            <v>VERDE</v>
          </cell>
          <cell r="I124" t="str">
            <v>U</v>
          </cell>
          <cell r="J124" t="str">
            <v>M</v>
          </cell>
        </row>
        <row r="125">
          <cell r="B125" t="str">
            <v>MG010470550</v>
          </cell>
          <cell r="C125" t="str">
            <v>MARRO GRANDE</v>
          </cell>
          <cell r="D125" t="str">
            <v>BANDOLERA</v>
          </cell>
          <cell r="E125" t="str">
            <v>BANDOLERA NATY SIMPLE NEW</v>
          </cell>
          <cell r="F125" t="str">
            <v>GAMUZA</v>
          </cell>
          <cell r="G125">
            <v>0</v>
          </cell>
          <cell r="H125" t="str">
            <v>VESUBIO</v>
          </cell>
          <cell r="I125" t="str">
            <v>U</v>
          </cell>
          <cell r="J125" t="str">
            <v>M</v>
          </cell>
        </row>
        <row r="126">
          <cell r="B126" t="str">
            <v>MG011090101</v>
          </cell>
          <cell r="C126" t="str">
            <v>MARRO GRANDE</v>
          </cell>
          <cell r="D126" t="str">
            <v>BANDOLERA</v>
          </cell>
          <cell r="E126" t="str">
            <v>BANDOLERA NEW VICENTA</v>
          </cell>
          <cell r="F126" t="str">
            <v>NAPADO</v>
          </cell>
          <cell r="G126">
            <v>0</v>
          </cell>
          <cell r="H126" t="str">
            <v>NEGRO</v>
          </cell>
          <cell r="I126" t="str">
            <v>U</v>
          </cell>
          <cell r="J126" t="str">
            <v>M</v>
          </cell>
        </row>
        <row r="127">
          <cell r="B127" t="str">
            <v>MG011090103</v>
          </cell>
          <cell r="C127" t="str">
            <v>MARRO GRANDE</v>
          </cell>
          <cell r="D127" t="str">
            <v>BANDOLERA</v>
          </cell>
          <cell r="E127" t="str">
            <v>BANDOLERA NEW VICENTA</v>
          </cell>
          <cell r="F127" t="str">
            <v>NAPADO</v>
          </cell>
          <cell r="G127">
            <v>0</v>
          </cell>
          <cell r="H127" t="str">
            <v xml:space="preserve">CARAMELO </v>
          </cell>
          <cell r="I127" t="str">
            <v>U</v>
          </cell>
          <cell r="J127" t="str">
            <v>M</v>
          </cell>
        </row>
        <row r="128">
          <cell r="B128" t="str">
            <v>MG011090550</v>
          </cell>
          <cell r="C128" t="str">
            <v>MARRO GRANDE</v>
          </cell>
          <cell r="D128" t="str">
            <v>BANDOLERA</v>
          </cell>
          <cell r="E128" t="str">
            <v>BANDOLERA NEW VICENTA</v>
          </cell>
          <cell r="F128" t="str">
            <v>GAMUZA</v>
          </cell>
          <cell r="G128">
            <v>0</v>
          </cell>
          <cell r="H128" t="str">
            <v>VESUBIO/TABACO</v>
          </cell>
          <cell r="I128" t="str">
            <v>U</v>
          </cell>
          <cell r="J128" t="str">
            <v>M</v>
          </cell>
        </row>
        <row r="129">
          <cell r="B129" t="str">
            <v>MG011093242</v>
          </cell>
          <cell r="C129" t="str">
            <v>MARRO GRANDE</v>
          </cell>
          <cell r="D129" t="str">
            <v>BANDOLERA</v>
          </cell>
          <cell r="E129" t="str">
            <v>BANDOLERA NEW VICENTA</v>
          </cell>
          <cell r="F129" t="str">
            <v>VINTAGE</v>
          </cell>
          <cell r="G129">
            <v>0</v>
          </cell>
          <cell r="H129" t="str">
            <v>MEDIO</v>
          </cell>
          <cell r="I129" t="str">
            <v>U</v>
          </cell>
          <cell r="J129" t="str">
            <v>M</v>
          </cell>
        </row>
        <row r="130">
          <cell r="B130" t="str">
            <v>MG011093409</v>
          </cell>
          <cell r="C130" t="str">
            <v>MARRO GRANDE</v>
          </cell>
          <cell r="D130" t="str">
            <v>BANDOLERA</v>
          </cell>
          <cell r="E130" t="str">
            <v>BANDOLERA NEW VICENTA</v>
          </cell>
          <cell r="F130" t="str">
            <v>DESCARNE</v>
          </cell>
          <cell r="G130">
            <v>0</v>
          </cell>
          <cell r="H130" t="str">
            <v>AZUL</v>
          </cell>
          <cell r="I130" t="str">
            <v>U</v>
          </cell>
          <cell r="J130" t="str">
            <v>M</v>
          </cell>
        </row>
        <row r="131">
          <cell r="B131" t="str">
            <v>MG011093464</v>
          </cell>
          <cell r="C131" t="str">
            <v>MARRO GRANDE</v>
          </cell>
          <cell r="D131" t="str">
            <v>BANDOLERA</v>
          </cell>
          <cell r="E131" t="str">
            <v>BANDOLERA NEW VICENTA</v>
          </cell>
          <cell r="F131" t="str">
            <v>DESCARNE</v>
          </cell>
          <cell r="G131">
            <v>0</v>
          </cell>
          <cell r="H131" t="str">
            <v>ROSA</v>
          </cell>
          <cell r="I131" t="str">
            <v>U</v>
          </cell>
          <cell r="J131" t="str">
            <v>M</v>
          </cell>
        </row>
        <row r="132">
          <cell r="B132" t="str">
            <v>MG100881101</v>
          </cell>
          <cell r="C132" t="str">
            <v>MARRO GRANDE</v>
          </cell>
          <cell r="D132" t="str">
            <v>BANDOLERA</v>
          </cell>
          <cell r="E132" t="str">
            <v>BANDOLERA NOE</v>
          </cell>
          <cell r="F132" t="str">
            <v>MAGNUM</v>
          </cell>
          <cell r="G132">
            <v>0</v>
          </cell>
          <cell r="H132" t="str">
            <v>NEGRO</v>
          </cell>
          <cell r="I132" t="str">
            <v>U</v>
          </cell>
          <cell r="J132" t="str">
            <v>M</v>
          </cell>
        </row>
        <row r="133">
          <cell r="B133" t="str">
            <v>MG100881120</v>
          </cell>
          <cell r="C133" t="str">
            <v>MARRO GRANDE</v>
          </cell>
          <cell r="D133" t="str">
            <v>BANDOLERA</v>
          </cell>
          <cell r="E133" t="str">
            <v>BANDOLERA NOE</v>
          </cell>
          <cell r="F133" t="str">
            <v>MAGNUM</v>
          </cell>
          <cell r="G133">
            <v>0</v>
          </cell>
          <cell r="H133" t="str">
            <v>CUOIO</v>
          </cell>
          <cell r="I133" t="str">
            <v>U</v>
          </cell>
          <cell r="J133" t="str">
            <v>M</v>
          </cell>
        </row>
        <row r="134">
          <cell r="B134" t="str">
            <v>MG100881160</v>
          </cell>
          <cell r="C134" t="str">
            <v>MARRO GRANDE</v>
          </cell>
          <cell r="D134" t="str">
            <v>BANDOLERA</v>
          </cell>
          <cell r="E134" t="str">
            <v>BANDOLERA NOE</v>
          </cell>
          <cell r="F134" t="str">
            <v>MAGNUM</v>
          </cell>
          <cell r="G134">
            <v>0</v>
          </cell>
          <cell r="H134" t="str">
            <v>ARMY</v>
          </cell>
          <cell r="I134" t="str">
            <v>U</v>
          </cell>
          <cell r="J134" t="str">
            <v>M</v>
          </cell>
        </row>
        <row r="135">
          <cell r="B135" t="str">
            <v>MG100881201</v>
          </cell>
          <cell r="C135" t="str">
            <v>MARRO GRANDE</v>
          </cell>
          <cell r="D135" t="str">
            <v>BANDOLERA</v>
          </cell>
          <cell r="E135" t="str">
            <v>BANDOLERA NOE</v>
          </cell>
          <cell r="F135" t="str">
            <v>DUNA</v>
          </cell>
          <cell r="G135">
            <v>0</v>
          </cell>
          <cell r="H135" t="str">
            <v>NEGRO</v>
          </cell>
          <cell r="I135" t="str">
            <v>U</v>
          </cell>
          <cell r="J135" t="str">
            <v>M</v>
          </cell>
        </row>
        <row r="136">
          <cell r="B136" t="str">
            <v>MG100881301</v>
          </cell>
          <cell r="C136" t="str">
            <v>MARRO GRANDE</v>
          </cell>
          <cell r="D136" t="str">
            <v>BANDOLERA</v>
          </cell>
          <cell r="E136" t="str">
            <v>BANDOLERA NOE</v>
          </cell>
          <cell r="F136" t="str">
            <v>NAPA LOLA SOFT</v>
          </cell>
          <cell r="G136">
            <v>0</v>
          </cell>
          <cell r="H136" t="str">
            <v>NEGRO</v>
          </cell>
          <cell r="I136" t="str">
            <v>U</v>
          </cell>
          <cell r="J136" t="str">
            <v>M</v>
          </cell>
        </row>
        <row r="137">
          <cell r="B137" t="str">
            <v>MG100881353</v>
          </cell>
          <cell r="C137" t="str">
            <v>MARRO GRANDE</v>
          </cell>
          <cell r="D137" t="str">
            <v>BANDOLERA</v>
          </cell>
          <cell r="E137" t="str">
            <v>BANDOLERA NOE</v>
          </cell>
          <cell r="F137" t="str">
            <v>NAPA LOLA SOFT</v>
          </cell>
          <cell r="G137">
            <v>0</v>
          </cell>
          <cell r="H137" t="str">
            <v>HAVANA</v>
          </cell>
          <cell r="I137" t="str">
            <v>U</v>
          </cell>
          <cell r="J137" t="str">
            <v>M</v>
          </cell>
        </row>
        <row r="138">
          <cell r="B138" t="str">
            <v>MG100881361</v>
          </cell>
          <cell r="C138" t="str">
            <v>MARRO GRANDE</v>
          </cell>
          <cell r="D138" t="str">
            <v>BANDOLERA</v>
          </cell>
          <cell r="E138" t="str">
            <v>BANDOLERA NOE</v>
          </cell>
          <cell r="F138" t="str">
            <v>NAPA LOLA SOFT</v>
          </cell>
          <cell r="G138">
            <v>0</v>
          </cell>
          <cell r="H138" t="str">
            <v>CLAY</v>
          </cell>
          <cell r="I138" t="str">
            <v>U</v>
          </cell>
          <cell r="J138" t="str">
            <v>M</v>
          </cell>
        </row>
        <row r="139">
          <cell r="B139" t="str">
            <v>MG100881553</v>
          </cell>
          <cell r="C139" t="str">
            <v>MARRO GRANDE</v>
          </cell>
          <cell r="D139" t="str">
            <v>BANDOLERA</v>
          </cell>
          <cell r="E139" t="str">
            <v>BANDOLERA NOE</v>
          </cell>
          <cell r="F139" t="str">
            <v>TOLEDO</v>
          </cell>
          <cell r="G139">
            <v>0</v>
          </cell>
          <cell r="H139" t="str">
            <v>HAVANA</v>
          </cell>
          <cell r="I139" t="str">
            <v>U</v>
          </cell>
          <cell r="J139" t="str">
            <v>M</v>
          </cell>
        </row>
        <row r="140">
          <cell r="B140" t="str">
            <v>MG100881561</v>
          </cell>
          <cell r="C140" t="str">
            <v>MARRO GRANDE</v>
          </cell>
          <cell r="D140" t="str">
            <v>BANDOLERA</v>
          </cell>
          <cell r="E140" t="str">
            <v>BANDOLERA NOE</v>
          </cell>
          <cell r="F140" t="str">
            <v>TOLEDO</v>
          </cell>
          <cell r="G140">
            <v>0</v>
          </cell>
          <cell r="H140" t="str">
            <v>CLAY</v>
          </cell>
          <cell r="I140" t="str">
            <v>U</v>
          </cell>
          <cell r="J140" t="str">
            <v>M</v>
          </cell>
        </row>
        <row r="141">
          <cell r="B141" t="str">
            <v>MG100881816</v>
          </cell>
          <cell r="C141" t="str">
            <v>MARRO GRANDE</v>
          </cell>
          <cell r="D141" t="str">
            <v>BANDOLERA</v>
          </cell>
          <cell r="E141" t="str">
            <v>BANDOLERA NOE</v>
          </cell>
          <cell r="F141" t="str">
            <v>SENA</v>
          </cell>
          <cell r="G141">
            <v>0</v>
          </cell>
          <cell r="H141" t="str">
            <v>DARK OLIVE</v>
          </cell>
          <cell r="I141" t="str">
            <v>U</v>
          </cell>
          <cell r="J141" t="str">
            <v>M</v>
          </cell>
        </row>
        <row r="142">
          <cell r="B142" t="str">
            <v>MG100881827</v>
          </cell>
          <cell r="C142" t="str">
            <v>MARRO GRANDE</v>
          </cell>
          <cell r="D142" t="str">
            <v>BANDOLERA</v>
          </cell>
          <cell r="E142" t="str">
            <v>BANDOLERA NOE</v>
          </cell>
          <cell r="F142" t="str">
            <v>SENA</v>
          </cell>
          <cell r="G142">
            <v>0</v>
          </cell>
          <cell r="H142" t="str">
            <v>PIEDRA</v>
          </cell>
          <cell r="I142" t="str">
            <v>U</v>
          </cell>
          <cell r="J142" t="str">
            <v>M</v>
          </cell>
        </row>
        <row r="143">
          <cell r="B143" t="str">
            <v>MG100881828</v>
          </cell>
          <cell r="C143" t="str">
            <v>MARRO GRANDE</v>
          </cell>
          <cell r="D143" t="str">
            <v>BANDOLERA</v>
          </cell>
          <cell r="E143" t="str">
            <v>BANDOLERA NOE</v>
          </cell>
          <cell r="F143" t="str">
            <v>SENA</v>
          </cell>
          <cell r="G143">
            <v>0</v>
          </cell>
          <cell r="H143" t="str">
            <v>VISON</v>
          </cell>
          <cell r="I143" t="str">
            <v>U</v>
          </cell>
          <cell r="J143" t="str">
            <v>M</v>
          </cell>
        </row>
        <row r="144">
          <cell r="B144" t="str">
            <v>MG100882129</v>
          </cell>
          <cell r="C144" t="str">
            <v>MARRO GRANDE</v>
          </cell>
          <cell r="D144" t="str">
            <v>BANDOLERA</v>
          </cell>
          <cell r="E144" t="str">
            <v>BANDOLERA NOE</v>
          </cell>
          <cell r="F144" t="str">
            <v>MACEIO</v>
          </cell>
          <cell r="G144">
            <v>0</v>
          </cell>
          <cell r="H144" t="str">
            <v>COTTON</v>
          </cell>
          <cell r="I144" t="str">
            <v>U</v>
          </cell>
          <cell r="J144" t="str">
            <v>M</v>
          </cell>
        </row>
        <row r="145">
          <cell r="B145" t="str">
            <v>MG100882201</v>
          </cell>
          <cell r="C145" t="str">
            <v>MARRO GRANDE</v>
          </cell>
          <cell r="D145" t="str">
            <v>BANDOLERA</v>
          </cell>
          <cell r="E145" t="str">
            <v>BANDOLERA NOE</v>
          </cell>
          <cell r="F145" t="str">
            <v>SALLY</v>
          </cell>
          <cell r="G145">
            <v>0</v>
          </cell>
          <cell r="H145" t="str">
            <v>NEGRO</v>
          </cell>
          <cell r="I145" t="str">
            <v>U</v>
          </cell>
          <cell r="J145" t="str">
            <v>M</v>
          </cell>
        </row>
        <row r="146">
          <cell r="B146" t="str">
            <v>MG151031623</v>
          </cell>
          <cell r="C146" t="str">
            <v>MARRO GRANDE</v>
          </cell>
          <cell r="D146" t="str">
            <v>BANDOLERA</v>
          </cell>
          <cell r="E146" t="str">
            <v>BANDOLERA PAMPA</v>
          </cell>
          <cell r="F146" t="str">
            <v>FIORENTINO</v>
          </cell>
          <cell r="G146">
            <v>0</v>
          </cell>
          <cell r="H146" t="str">
            <v>CEDRO</v>
          </cell>
          <cell r="I146" t="str">
            <v>U</v>
          </cell>
          <cell r="J146" t="str">
            <v>M</v>
          </cell>
        </row>
        <row r="147">
          <cell r="B147" t="str">
            <v>MG011040102</v>
          </cell>
          <cell r="C147" t="str">
            <v>MARRO GRANDE</v>
          </cell>
          <cell r="D147" t="str">
            <v>BANDOLERA</v>
          </cell>
          <cell r="E147" t="str">
            <v>BANDOLERA RUFINA</v>
          </cell>
          <cell r="F147" t="str">
            <v>NAPADO</v>
          </cell>
          <cell r="G147">
            <v>0</v>
          </cell>
          <cell r="H147" t="str">
            <v>SUELA</v>
          </cell>
          <cell r="I147" t="str">
            <v>U</v>
          </cell>
          <cell r="J147" t="str">
            <v>M</v>
          </cell>
        </row>
        <row r="148">
          <cell r="B148" t="str">
            <v>MG011040103</v>
          </cell>
          <cell r="C148" t="str">
            <v>MARRO GRANDE</v>
          </cell>
          <cell r="D148" t="str">
            <v>BANDOLERA</v>
          </cell>
          <cell r="E148" t="str">
            <v>BANDOLERA RUFINA</v>
          </cell>
          <cell r="F148" t="str">
            <v>NAPADO</v>
          </cell>
          <cell r="G148">
            <v>0</v>
          </cell>
          <cell r="H148" t="str">
            <v>CARAMELO</v>
          </cell>
          <cell r="I148" t="str">
            <v>U</v>
          </cell>
          <cell r="J148" t="str">
            <v>M</v>
          </cell>
        </row>
        <row r="149">
          <cell r="B149" t="str">
            <v>MG011040107</v>
          </cell>
          <cell r="C149" t="str">
            <v>MARRO GRANDE</v>
          </cell>
          <cell r="D149" t="str">
            <v>BANDOLERA</v>
          </cell>
          <cell r="E149" t="str">
            <v>BANDOLERA RUFINA</v>
          </cell>
          <cell r="F149" t="str">
            <v>NAPADO</v>
          </cell>
          <cell r="G149">
            <v>0</v>
          </cell>
          <cell r="H149" t="str">
            <v>ROJO</v>
          </cell>
          <cell r="I149" t="str">
            <v>U</v>
          </cell>
          <cell r="J149" t="str">
            <v>M</v>
          </cell>
        </row>
        <row r="150">
          <cell r="B150" t="str">
            <v>MG011041201</v>
          </cell>
          <cell r="C150" t="str">
            <v>MARRO GRANDE</v>
          </cell>
          <cell r="D150" t="str">
            <v>BANDOLERA</v>
          </cell>
          <cell r="E150" t="str">
            <v>BANDOLERA RUFINA</v>
          </cell>
          <cell r="F150" t="str">
            <v>DUNA</v>
          </cell>
          <cell r="G150">
            <v>0</v>
          </cell>
          <cell r="H150" t="str">
            <v>NEGRO</v>
          </cell>
          <cell r="I150" t="str">
            <v>U</v>
          </cell>
          <cell r="J150" t="str">
            <v>M</v>
          </cell>
        </row>
        <row r="151">
          <cell r="B151" t="str">
            <v>MG010810101</v>
          </cell>
          <cell r="C151" t="str">
            <v>MARRO GRANDE</v>
          </cell>
          <cell r="D151" t="str">
            <v>BANDOLERA</v>
          </cell>
          <cell r="E151" t="str">
            <v>BANDOLERA SAGITTA</v>
          </cell>
          <cell r="F151" t="str">
            <v>NAPADO</v>
          </cell>
          <cell r="G151">
            <v>0</v>
          </cell>
          <cell r="H151" t="str">
            <v>NEGRO</v>
          </cell>
          <cell r="I151" t="str">
            <v>U</v>
          </cell>
          <cell r="J151" t="str">
            <v>M</v>
          </cell>
        </row>
        <row r="152">
          <cell r="B152" t="str">
            <v>MG010810102</v>
          </cell>
          <cell r="C152" t="str">
            <v>MARRO GRANDE</v>
          </cell>
          <cell r="D152" t="str">
            <v>BANDOLERA</v>
          </cell>
          <cell r="E152" t="str">
            <v>BANDOLERA SAGITTA</v>
          </cell>
          <cell r="F152" t="str">
            <v>NAPADO</v>
          </cell>
          <cell r="G152">
            <v>0</v>
          </cell>
          <cell r="H152" t="str">
            <v>SUELA</v>
          </cell>
          <cell r="I152" t="str">
            <v>U</v>
          </cell>
          <cell r="J152" t="str">
            <v>M</v>
          </cell>
        </row>
        <row r="153">
          <cell r="B153" t="str">
            <v>MG010810103</v>
          </cell>
          <cell r="C153" t="str">
            <v>MARRO GRANDE</v>
          </cell>
          <cell r="D153" t="str">
            <v>BANDOLERA</v>
          </cell>
          <cell r="E153" t="str">
            <v>BANDOLERA SAGITTA</v>
          </cell>
          <cell r="F153" t="str">
            <v>NAPADO</v>
          </cell>
          <cell r="G153">
            <v>0</v>
          </cell>
          <cell r="H153" t="str">
            <v>CARAMELO</v>
          </cell>
          <cell r="I153" t="str">
            <v>U</v>
          </cell>
          <cell r="J153" t="str">
            <v>M</v>
          </cell>
        </row>
        <row r="154">
          <cell r="B154" t="str">
            <v>MG010810107</v>
          </cell>
          <cell r="C154" t="str">
            <v>MARRO GRANDE</v>
          </cell>
          <cell r="D154" t="str">
            <v>BANDOLERA</v>
          </cell>
          <cell r="E154" t="str">
            <v>BANDOLERA SAGITTA</v>
          </cell>
          <cell r="F154" t="str">
            <v>NAPADO</v>
          </cell>
          <cell r="G154">
            <v>0</v>
          </cell>
          <cell r="H154" t="str">
            <v>ROJO</v>
          </cell>
          <cell r="I154" t="str">
            <v>U</v>
          </cell>
          <cell r="J154" t="str">
            <v>M</v>
          </cell>
        </row>
        <row r="155">
          <cell r="B155" t="str">
            <v>MG010810109</v>
          </cell>
          <cell r="C155" t="str">
            <v>MARRO GRANDE</v>
          </cell>
          <cell r="D155" t="str">
            <v>BANDOLERA</v>
          </cell>
          <cell r="E155" t="str">
            <v>BANDOLERA SAGITTA</v>
          </cell>
          <cell r="F155" t="str">
            <v>NAPADO</v>
          </cell>
          <cell r="G155">
            <v>0</v>
          </cell>
          <cell r="H155" t="str">
            <v>AZUL</v>
          </cell>
          <cell r="I155" t="str">
            <v>U</v>
          </cell>
          <cell r="J155" t="str">
            <v>M</v>
          </cell>
        </row>
        <row r="156">
          <cell r="B156" t="str">
            <v>MG010810110</v>
          </cell>
          <cell r="C156" t="str">
            <v>MARRO GRANDE</v>
          </cell>
          <cell r="D156" t="str">
            <v>BANDOLERA</v>
          </cell>
          <cell r="E156" t="str">
            <v>BANDOLERA SAGITTA</v>
          </cell>
          <cell r="F156" t="str">
            <v>NAPADO</v>
          </cell>
          <cell r="G156">
            <v>0</v>
          </cell>
          <cell r="H156" t="str">
            <v>VERDE</v>
          </cell>
          <cell r="I156" t="str">
            <v>U</v>
          </cell>
          <cell r="J156" t="str">
            <v>M</v>
          </cell>
        </row>
        <row r="157">
          <cell r="B157" t="str">
            <v>MG010700101</v>
          </cell>
          <cell r="C157" t="str">
            <v>MARRO GRANDE</v>
          </cell>
          <cell r="D157" t="str">
            <v>BANDOLERA</v>
          </cell>
          <cell r="E157" t="str">
            <v>BANDOLERA VICENTA</v>
          </cell>
          <cell r="F157" t="str">
            <v>NAPADO</v>
          </cell>
          <cell r="G157">
            <v>0</v>
          </cell>
          <cell r="H157" t="str">
            <v>NEGRO</v>
          </cell>
          <cell r="I157" t="str">
            <v>U</v>
          </cell>
          <cell r="J157" t="str">
            <v>M</v>
          </cell>
        </row>
        <row r="158">
          <cell r="B158" t="str">
            <v>MG010700102</v>
          </cell>
          <cell r="C158" t="str">
            <v>MARRO GRANDE</v>
          </cell>
          <cell r="D158" t="str">
            <v>BANDOLERA</v>
          </cell>
          <cell r="E158" t="str">
            <v>BANDOLERA VICENTA</v>
          </cell>
          <cell r="F158" t="str">
            <v>NAPADO</v>
          </cell>
          <cell r="G158">
            <v>0</v>
          </cell>
          <cell r="H158" t="str">
            <v>SUELA</v>
          </cell>
          <cell r="I158" t="str">
            <v>U</v>
          </cell>
          <cell r="J158" t="str">
            <v>M</v>
          </cell>
        </row>
        <row r="159">
          <cell r="B159" t="str">
            <v>MG010700103</v>
          </cell>
          <cell r="C159" t="str">
            <v>MARRO GRANDE</v>
          </cell>
          <cell r="D159" t="str">
            <v>BANDOLERA</v>
          </cell>
          <cell r="E159" t="str">
            <v>BANDOLERA VICENTA</v>
          </cell>
          <cell r="F159" t="str">
            <v>NAPADO</v>
          </cell>
          <cell r="G159">
            <v>0</v>
          </cell>
          <cell r="H159" t="str">
            <v>CARAMELO</v>
          </cell>
          <cell r="I159" t="str">
            <v>U</v>
          </cell>
          <cell r="J159" t="str">
            <v>M</v>
          </cell>
        </row>
        <row r="160">
          <cell r="B160" t="str">
            <v>MG010700107</v>
          </cell>
          <cell r="C160" t="str">
            <v>MARRO GRANDE</v>
          </cell>
          <cell r="D160" t="str">
            <v>BANDOLERA</v>
          </cell>
          <cell r="E160" t="str">
            <v>BANDOLERA VICENTA</v>
          </cell>
          <cell r="F160" t="str">
            <v>NAPADO</v>
          </cell>
          <cell r="G160">
            <v>0</v>
          </cell>
          <cell r="H160" t="str">
            <v>ROJO</v>
          </cell>
          <cell r="I160" t="str">
            <v>U</v>
          </cell>
          <cell r="J160" t="str">
            <v>M</v>
          </cell>
        </row>
        <row r="161">
          <cell r="B161" t="str">
            <v>MG010700109</v>
          </cell>
          <cell r="C161" t="str">
            <v>MARRO GRANDE</v>
          </cell>
          <cell r="D161" t="str">
            <v>BANDOLERA</v>
          </cell>
          <cell r="E161" t="str">
            <v>BANDOLERA VICENTA</v>
          </cell>
          <cell r="F161" t="str">
            <v>NAPADO</v>
          </cell>
          <cell r="G161">
            <v>0</v>
          </cell>
          <cell r="H161" t="str">
            <v>AZUL</v>
          </cell>
          <cell r="I161" t="str">
            <v>U</v>
          </cell>
          <cell r="J161" t="str">
            <v>M</v>
          </cell>
        </row>
        <row r="162">
          <cell r="B162" t="str">
            <v>MG010700110</v>
          </cell>
          <cell r="C162" t="str">
            <v>MARRO GRANDE</v>
          </cell>
          <cell r="D162" t="str">
            <v>BANDOLERA</v>
          </cell>
          <cell r="E162" t="str">
            <v>BANDOLERA VICENTA</v>
          </cell>
          <cell r="F162" t="str">
            <v>NAPADO</v>
          </cell>
          <cell r="G162">
            <v>0</v>
          </cell>
          <cell r="H162" t="str">
            <v>VERDE</v>
          </cell>
          <cell r="I162" t="str">
            <v>U</v>
          </cell>
          <cell r="J162" t="str">
            <v>M</v>
          </cell>
        </row>
        <row r="163">
          <cell r="B163" t="str">
            <v>MG010700301</v>
          </cell>
          <cell r="C163" t="str">
            <v>MARRO GRANDE</v>
          </cell>
          <cell r="D163" t="str">
            <v>BANDOLERA</v>
          </cell>
          <cell r="E163" t="str">
            <v>BANDOLERA VICENTA</v>
          </cell>
          <cell r="F163" t="str">
            <v>BRIDGE</v>
          </cell>
          <cell r="G163">
            <v>0</v>
          </cell>
          <cell r="H163" t="str">
            <v>NEGRO</v>
          </cell>
          <cell r="I163" t="str">
            <v>U</v>
          </cell>
          <cell r="J163" t="str">
            <v>M</v>
          </cell>
        </row>
        <row r="164">
          <cell r="B164" t="str">
            <v>MG010700303</v>
          </cell>
          <cell r="C164" t="str">
            <v>MARRO GRANDE</v>
          </cell>
          <cell r="D164" t="str">
            <v>BANDOLERA</v>
          </cell>
          <cell r="E164" t="str">
            <v>BANDOLERA VICENTA</v>
          </cell>
          <cell r="F164" t="str">
            <v>BRIDGE</v>
          </cell>
          <cell r="G164">
            <v>0</v>
          </cell>
          <cell r="H164" t="str">
            <v>CARAMELO</v>
          </cell>
          <cell r="I164" t="str">
            <v>U</v>
          </cell>
          <cell r="J164" t="str">
            <v>M</v>
          </cell>
        </row>
        <row r="165">
          <cell r="B165" t="str">
            <v>MG010700307</v>
          </cell>
          <cell r="C165" t="str">
            <v>MARRO GRANDE</v>
          </cell>
          <cell r="D165" t="str">
            <v>BANDOLERA</v>
          </cell>
          <cell r="E165" t="str">
            <v>BANDOLERA VICENTA</v>
          </cell>
          <cell r="F165" t="str">
            <v>BRIDGE</v>
          </cell>
          <cell r="G165">
            <v>0</v>
          </cell>
          <cell r="H165" t="str">
            <v>ROJO</v>
          </cell>
          <cell r="I165" t="str">
            <v>U</v>
          </cell>
          <cell r="J165" t="str">
            <v>M</v>
          </cell>
        </row>
        <row r="166">
          <cell r="B166" t="str">
            <v>MG010700309</v>
          </cell>
          <cell r="C166" t="str">
            <v>MARRO GRANDE</v>
          </cell>
          <cell r="D166" t="str">
            <v>BANDOLERA</v>
          </cell>
          <cell r="E166" t="str">
            <v>BANDOLERA VICENTA</v>
          </cell>
          <cell r="F166" t="str">
            <v>BRIDGE</v>
          </cell>
          <cell r="G166">
            <v>0</v>
          </cell>
          <cell r="H166" t="str">
            <v>AZUL</v>
          </cell>
          <cell r="I166" t="str">
            <v>U</v>
          </cell>
          <cell r="J166" t="str">
            <v>M</v>
          </cell>
        </row>
        <row r="167">
          <cell r="B167" t="str">
            <v>MG010700310</v>
          </cell>
          <cell r="C167" t="str">
            <v>MARRO GRANDE</v>
          </cell>
          <cell r="D167" t="str">
            <v>BANDOLERA</v>
          </cell>
          <cell r="E167" t="str">
            <v>BANDOLERA VICENTA</v>
          </cell>
          <cell r="F167" t="str">
            <v>BRIDGE</v>
          </cell>
          <cell r="G167">
            <v>0</v>
          </cell>
          <cell r="H167" t="str">
            <v>VERDE</v>
          </cell>
          <cell r="I167" t="str">
            <v>U</v>
          </cell>
          <cell r="J167" t="str">
            <v>M</v>
          </cell>
        </row>
        <row r="168">
          <cell r="B168" t="str">
            <v>MG010700315</v>
          </cell>
          <cell r="C168" t="str">
            <v>MARRO GRANDE</v>
          </cell>
          <cell r="D168" t="str">
            <v>BANDOLERA</v>
          </cell>
          <cell r="E168" t="str">
            <v>BANDOLERA VICENTA</v>
          </cell>
          <cell r="F168" t="str">
            <v>BRIDGE</v>
          </cell>
          <cell r="G168">
            <v>0</v>
          </cell>
          <cell r="H168" t="str">
            <v>MALBEC</v>
          </cell>
          <cell r="I168" t="str">
            <v>U</v>
          </cell>
          <cell r="J168" t="str">
            <v>M</v>
          </cell>
        </row>
        <row r="169">
          <cell r="B169" t="str">
            <v>MG010700509</v>
          </cell>
          <cell r="C169" t="str">
            <v>MARRO GRANDE</v>
          </cell>
          <cell r="D169" t="str">
            <v>BANDOLERA</v>
          </cell>
          <cell r="E169" t="str">
            <v>BANDOLERA VICENTA</v>
          </cell>
          <cell r="F169" t="str">
            <v>GAMUZA</v>
          </cell>
          <cell r="G169">
            <v>0</v>
          </cell>
          <cell r="H169" t="str">
            <v>AZUL</v>
          </cell>
          <cell r="I169" t="str">
            <v>U</v>
          </cell>
          <cell r="J169" t="str">
            <v>M</v>
          </cell>
        </row>
        <row r="170">
          <cell r="B170" t="str">
            <v>MG010700516</v>
          </cell>
          <cell r="C170" t="str">
            <v>MARRO GRANDE</v>
          </cell>
          <cell r="D170" t="str">
            <v>BANDOLERA</v>
          </cell>
          <cell r="E170" t="str">
            <v>BANDOLERA VICENTA</v>
          </cell>
          <cell r="F170" t="str">
            <v>GAMUZA</v>
          </cell>
          <cell r="G170">
            <v>0</v>
          </cell>
          <cell r="H170" t="str">
            <v>OLIVE</v>
          </cell>
          <cell r="I170" t="str">
            <v>U</v>
          </cell>
          <cell r="J170" t="str">
            <v>M</v>
          </cell>
        </row>
        <row r="171">
          <cell r="B171" t="str">
            <v>MG010700517</v>
          </cell>
          <cell r="C171" t="str">
            <v>MARRO GRANDE</v>
          </cell>
          <cell r="D171" t="str">
            <v>BANDOLERA</v>
          </cell>
          <cell r="E171" t="str">
            <v>BANDOLERA VICENTA</v>
          </cell>
          <cell r="F171" t="str">
            <v>GAMUZA</v>
          </cell>
          <cell r="G171">
            <v>0</v>
          </cell>
          <cell r="H171" t="str">
            <v>GRIS MEDIO</v>
          </cell>
          <cell r="I171" t="str">
            <v>U</v>
          </cell>
          <cell r="J171" t="str">
            <v>M</v>
          </cell>
        </row>
        <row r="172">
          <cell r="B172" t="str">
            <v>MG010700518</v>
          </cell>
          <cell r="C172" t="str">
            <v>MARRO GRANDE</v>
          </cell>
          <cell r="D172" t="str">
            <v>BANDOLERA</v>
          </cell>
          <cell r="E172" t="str">
            <v>BANDOLERA VICENTA</v>
          </cell>
          <cell r="F172" t="str">
            <v>GAMUZA</v>
          </cell>
          <cell r="G172">
            <v>0</v>
          </cell>
          <cell r="H172" t="str">
            <v>MARSALA</v>
          </cell>
          <cell r="I172" t="str">
            <v>U</v>
          </cell>
          <cell r="J172" t="str">
            <v>M</v>
          </cell>
        </row>
        <row r="173">
          <cell r="B173" t="str">
            <v>MG010700522</v>
          </cell>
          <cell r="C173" t="str">
            <v>MARRO GRANDE</v>
          </cell>
          <cell r="D173" t="str">
            <v>BANDOLERA</v>
          </cell>
          <cell r="E173" t="str">
            <v>BANDOLERA VICENTA</v>
          </cell>
          <cell r="F173" t="str">
            <v>GAMUZA</v>
          </cell>
          <cell r="G173">
            <v>0</v>
          </cell>
          <cell r="H173" t="str">
            <v>GRIS OSCURO</v>
          </cell>
          <cell r="I173" t="str">
            <v>U</v>
          </cell>
          <cell r="J173" t="str">
            <v>M</v>
          </cell>
        </row>
        <row r="174">
          <cell r="B174" t="str">
            <v>MG010700550</v>
          </cell>
          <cell r="C174" t="str">
            <v>MARRO GRANDE</v>
          </cell>
          <cell r="D174" t="str">
            <v>BANDOLERA</v>
          </cell>
          <cell r="E174" t="str">
            <v>BANDOLERA VICENTA</v>
          </cell>
          <cell r="F174" t="str">
            <v>GAMUZA</v>
          </cell>
          <cell r="G174">
            <v>0</v>
          </cell>
          <cell r="H174" t="str">
            <v>VESUBIO</v>
          </cell>
          <cell r="I174" t="str">
            <v>U</v>
          </cell>
          <cell r="J174" t="str">
            <v>M</v>
          </cell>
        </row>
        <row r="175">
          <cell r="B175" t="str">
            <v>MG010700555</v>
          </cell>
          <cell r="C175" t="str">
            <v>MARRO GRANDE</v>
          </cell>
          <cell r="D175" t="str">
            <v>BANDOLERA</v>
          </cell>
          <cell r="E175" t="str">
            <v>BANDOLERA VICENTA</v>
          </cell>
          <cell r="F175" t="str">
            <v>GAMUZA</v>
          </cell>
          <cell r="G175">
            <v>0</v>
          </cell>
          <cell r="H175" t="str">
            <v>AVELLANA</v>
          </cell>
          <cell r="I175" t="str">
            <v>U</v>
          </cell>
          <cell r="J175" t="str">
            <v>M</v>
          </cell>
        </row>
        <row r="176">
          <cell r="B176" t="str">
            <v>MG010700556</v>
          </cell>
          <cell r="C176" t="str">
            <v>MARRO GRANDE</v>
          </cell>
          <cell r="D176" t="str">
            <v>BANDOLERA</v>
          </cell>
          <cell r="E176" t="str">
            <v>BANDOLERA VICENTA</v>
          </cell>
          <cell r="F176" t="str">
            <v>GAMUZA</v>
          </cell>
          <cell r="G176">
            <v>0</v>
          </cell>
          <cell r="H176" t="str">
            <v>OXIDO</v>
          </cell>
          <cell r="I176" t="str">
            <v>U</v>
          </cell>
          <cell r="J176" t="str">
            <v>M</v>
          </cell>
        </row>
        <row r="177">
          <cell r="B177" t="str">
            <v>MG010700558</v>
          </cell>
          <cell r="C177" t="str">
            <v>MARRO GRANDE</v>
          </cell>
          <cell r="D177" t="str">
            <v>BANDOLERA</v>
          </cell>
          <cell r="E177" t="str">
            <v>BANDOLERA VICENTA</v>
          </cell>
          <cell r="F177" t="str">
            <v>GAMUZA</v>
          </cell>
          <cell r="G177">
            <v>0</v>
          </cell>
          <cell r="H177" t="str">
            <v>CAFE</v>
          </cell>
          <cell r="I177" t="str">
            <v>U</v>
          </cell>
          <cell r="J177" t="str">
            <v>M</v>
          </cell>
        </row>
        <row r="178">
          <cell r="B178" t="str">
            <v>MG010700701</v>
          </cell>
          <cell r="C178" t="str">
            <v>MARRO GRANDE</v>
          </cell>
          <cell r="D178" t="str">
            <v>BANDOLERA</v>
          </cell>
          <cell r="E178" t="str">
            <v>BANDOLERA VICENTA</v>
          </cell>
          <cell r="F178" t="str">
            <v>IGUANA</v>
          </cell>
          <cell r="G178">
            <v>0</v>
          </cell>
          <cell r="H178" t="str">
            <v>NEGRO</v>
          </cell>
          <cell r="I178" t="str">
            <v>U</v>
          </cell>
          <cell r="J178" t="str">
            <v>M</v>
          </cell>
        </row>
        <row r="179">
          <cell r="B179" t="str">
            <v>MG010700703</v>
          </cell>
          <cell r="C179" t="str">
            <v>MARRO GRANDE</v>
          </cell>
          <cell r="D179" t="str">
            <v>BANDOLERA</v>
          </cell>
          <cell r="E179" t="str">
            <v>BANDOLERA VICENTA</v>
          </cell>
          <cell r="F179" t="str">
            <v>IGUANA</v>
          </cell>
          <cell r="G179">
            <v>0</v>
          </cell>
          <cell r="H179" t="str">
            <v>CARAMELO</v>
          </cell>
          <cell r="I179" t="str">
            <v>U</v>
          </cell>
          <cell r="J179" t="str">
            <v>M</v>
          </cell>
        </row>
        <row r="180">
          <cell r="B180" t="str">
            <v>MG010703243</v>
          </cell>
          <cell r="C180" t="str">
            <v>MARRO GRANDE</v>
          </cell>
          <cell r="D180" t="str">
            <v>BANDOLERA</v>
          </cell>
          <cell r="E180" t="str">
            <v>BANDOLERA VICENTA</v>
          </cell>
          <cell r="F180" t="str">
            <v>VINTAGE</v>
          </cell>
          <cell r="G180">
            <v>0</v>
          </cell>
          <cell r="H180" t="str">
            <v>DARK</v>
          </cell>
          <cell r="I180" t="str">
            <v>U</v>
          </cell>
          <cell r="J180" t="str">
            <v>M</v>
          </cell>
        </row>
        <row r="181">
          <cell r="B181" t="str">
            <v>MC020700101</v>
          </cell>
          <cell r="C181" t="str">
            <v>MARRO CHICA</v>
          </cell>
          <cell r="D181" t="str">
            <v>BILLETERA</v>
          </cell>
          <cell r="E181" t="str">
            <v>BILLETERA ADAM</v>
          </cell>
          <cell r="F181" t="str">
            <v>NAPADO</v>
          </cell>
          <cell r="G181">
            <v>0</v>
          </cell>
          <cell r="H181" t="str">
            <v>NEGRO</v>
          </cell>
          <cell r="I181" t="str">
            <v>U</v>
          </cell>
          <cell r="J181" t="str">
            <v>H</v>
          </cell>
        </row>
        <row r="182">
          <cell r="B182" t="str">
            <v>MC020700102</v>
          </cell>
          <cell r="C182" t="str">
            <v>MARRO CHICA</v>
          </cell>
          <cell r="D182" t="str">
            <v>BILLETERA</v>
          </cell>
          <cell r="E182" t="str">
            <v>BILLETERA ADAM</v>
          </cell>
          <cell r="F182" t="str">
            <v>NAPADO</v>
          </cell>
          <cell r="G182">
            <v>0</v>
          </cell>
          <cell r="H182" t="str">
            <v>SUELA</v>
          </cell>
          <cell r="I182" t="str">
            <v>U</v>
          </cell>
          <cell r="J182" t="str">
            <v>H</v>
          </cell>
        </row>
        <row r="183">
          <cell r="B183" t="str">
            <v>MC020700109</v>
          </cell>
          <cell r="C183" t="str">
            <v>MARRO CHICA</v>
          </cell>
          <cell r="D183" t="str">
            <v>BILLETERA</v>
          </cell>
          <cell r="E183" t="str">
            <v>BILLETERA ADAM</v>
          </cell>
          <cell r="F183" t="str">
            <v>NAPADO</v>
          </cell>
          <cell r="G183">
            <v>0</v>
          </cell>
          <cell r="H183" t="str">
            <v>AZUL</v>
          </cell>
          <cell r="I183" t="str">
            <v>U</v>
          </cell>
          <cell r="J183" t="str">
            <v>H</v>
          </cell>
        </row>
        <row r="184">
          <cell r="B184" t="str">
            <v>MC020700110</v>
          </cell>
          <cell r="C184" t="str">
            <v>MARRO CHICA</v>
          </cell>
          <cell r="D184" t="str">
            <v>BILLETERA</v>
          </cell>
          <cell r="E184" t="str">
            <v>BILLETERA ADAM</v>
          </cell>
          <cell r="F184" t="str">
            <v>NAPADO</v>
          </cell>
          <cell r="G184">
            <v>0</v>
          </cell>
          <cell r="H184" t="str">
            <v>VERDE</v>
          </cell>
          <cell r="I184" t="str">
            <v>U</v>
          </cell>
          <cell r="J184" t="str">
            <v>H</v>
          </cell>
        </row>
        <row r="185">
          <cell r="B185" t="str">
            <v>MC020700301</v>
          </cell>
          <cell r="C185" t="str">
            <v>MARRO CHICA</v>
          </cell>
          <cell r="D185" t="str">
            <v>BILLETERA</v>
          </cell>
          <cell r="E185" t="str">
            <v>BILLETERA ADAM</v>
          </cell>
          <cell r="F185" t="str">
            <v>BRIDGE</v>
          </cell>
          <cell r="G185">
            <v>0</v>
          </cell>
          <cell r="H185" t="str">
            <v>NEGRO</v>
          </cell>
          <cell r="I185" t="str">
            <v>U</v>
          </cell>
          <cell r="J185" t="str">
            <v>H</v>
          </cell>
        </row>
        <row r="186">
          <cell r="B186" t="str">
            <v>MC020700303</v>
          </cell>
          <cell r="C186" t="str">
            <v>MARRO CHICA</v>
          </cell>
          <cell r="D186" t="str">
            <v>BILLETERA</v>
          </cell>
          <cell r="E186" t="str">
            <v>BILLETERA ADAM</v>
          </cell>
          <cell r="F186" t="str">
            <v>BRIDGE</v>
          </cell>
          <cell r="G186">
            <v>0</v>
          </cell>
          <cell r="H186" t="str">
            <v>CARAMELO</v>
          </cell>
          <cell r="I186" t="str">
            <v>U</v>
          </cell>
          <cell r="J186" t="str">
            <v>H</v>
          </cell>
        </row>
        <row r="187">
          <cell r="B187" t="str">
            <v>MC020700304</v>
          </cell>
          <cell r="C187" t="str">
            <v>MARRO CHICA</v>
          </cell>
          <cell r="D187" t="str">
            <v>BILLETERA</v>
          </cell>
          <cell r="E187" t="str">
            <v>BILLETERA ADAM</v>
          </cell>
          <cell r="F187" t="str">
            <v>BRIDGE</v>
          </cell>
          <cell r="G187">
            <v>0</v>
          </cell>
          <cell r="H187" t="str">
            <v>TABACO</v>
          </cell>
          <cell r="I187" t="str">
            <v>U</v>
          </cell>
          <cell r="J187" t="str">
            <v>H</v>
          </cell>
        </row>
        <row r="188">
          <cell r="B188" t="str">
            <v>MC020700352</v>
          </cell>
          <cell r="C188" t="str">
            <v>MARRO CHICA</v>
          </cell>
          <cell r="D188" t="str">
            <v>BILLETERA</v>
          </cell>
          <cell r="E188" t="str">
            <v>BILLETERA ADAM</v>
          </cell>
          <cell r="F188" t="str">
            <v>BRIDGE</v>
          </cell>
          <cell r="G188">
            <v>0</v>
          </cell>
          <cell r="H188" t="str">
            <v>CHOCOLATE</v>
          </cell>
          <cell r="I188" t="str">
            <v>U</v>
          </cell>
          <cell r="J188" t="str">
            <v>H</v>
          </cell>
        </row>
        <row r="189">
          <cell r="B189" t="str">
            <v>MC150600008</v>
          </cell>
          <cell r="C189" t="str">
            <v>MARRO CHICA</v>
          </cell>
          <cell r="D189" t="str">
            <v>BILLETERA</v>
          </cell>
          <cell r="E189" t="str">
            <v>BILLETERA AMY</v>
          </cell>
          <cell r="F189" t="str">
            <v>CUERO</v>
          </cell>
          <cell r="G189">
            <v>0</v>
          </cell>
          <cell r="H189" t="str">
            <v>NATURAL</v>
          </cell>
          <cell r="I189" t="str">
            <v>U</v>
          </cell>
          <cell r="J189" t="str">
            <v>M</v>
          </cell>
        </row>
        <row r="190">
          <cell r="B190" t="str">
            <v>MC150601623</v>
          </cell>
          <cell r="C190" t="str">
            <v>MARRO CHICA</v>
          </cell>
          <cell r="D190" t="str">
            <v>BILLETERA</v>
          </cell>
          <cell r="E190" t="str">
            <v>BILLETERA AMY</v>
          </cell>
          <cell r="F190" t="str">
            <v>FIORENTINO</v>
          </cell>
          <cell r="G190">
            <v>0</v>
          </cell>
          <cell r="H190" t="str">
            <v>CEDRO</v>
          </cell>
          <cell r="I190" t="str">
            <v>U</v>
          </cell>
          <cell r="J190" t="str">
            <v>M</v>
          </cell>
        </row>
        <row r="191">
          <cell r="B191" t="str">
            <v>MC020830101</v>
          </cell>
          <cell r="C191" t="str">
            <v>MARRO CHICA</v>
          </cell>
          <cell r="D191" t="str">
            <v>BILLETERA</v>
          </cell>
          <cell r="E191" t="str">
            <v>BILLETERA ARLO</v>
          </cell>
          <cell r="F191" t="str">
            <v>NAPADO</v>
          </cell>
          <cell r="G191">
            <v>0</v>
          </cell>
          <cell r="H191" t="str">
            <v>NEGRO</v>
          </cell>
          <cell r="I191" t="str">
            <v>U</v>
          </cell>
          <cell r="J191" t="str">
            <v>H</v>
          </cell>
        </row>
        <row r="192">
          <cell r="B192" t="str">
            <v>MC020830109</v>
          </cell>
          <cell r="C192" t="str">
            <v>MARRO CHICA</v>
          </cell>
          <cell r="D192" t="str">
            <v>BILLETERA</v>
          </cell>
          <cell r="E192" t="str">
            <v>BILLETERA ARLO</v>
          </cell>
          <cell r="F192" t="str">
            <v>NAPADO</v>
          </cell>
          <cell r="G192">
            <v>0</v>
          </cell>
          <cell r="H192" t="str">
            <v>AZUL</v>
          </cell>
          <cell r="I192" t="str">
            <v>U</v>
          </cell>
          <cell r="J192" t="str">
            <v>H</v>
          </cell>
        </row>
        <row r="193">
          <cell r="B193" t="str">
            <v>MC020830110</v>
          </cell>
          <cell r="C193" t="str">
            <v>MARRO CHICA</v>
          </cell>
          <cell r="D193" t="str">
            <v>BILLETERA</v>
          </cell>
          <cell r="E193" t="str">
            <v>BILLETERA ARLO</v>
          </cell>
          <cell r="F193" t="str">
            <v>NAPADO</v>
          </cell>
          <cell r="G193">
            <v>0</v>
          </cell>
          <cell r="H193" t="str">
            <v>VERDE</v>
          </cell>
          <cell r="I193" t="str">
            <v>U</v>
          </cell>
          <cell r="J193" t="str">
            <v>H</v>
          </cell>
        </row>
        <row r="194">
          <cell r="B194" t="str">
            <v>MC020830301</v>
          </cell>
          <cell r="C194" t="str">
            <v>MARRO CHICA</v>
          </cell>
          <cell r="D194" t="str">
            <v>BILLETERA</v>
          </cell>
          <cell r="E194" t="str">
            <v>BILLETERA ARLO</v>
          </cell>
          <cell r="F194" t="str">
            <v>BRIDGE</v>
          </cell>
          <cell r="G194">
            <v>0</v>
          </cell>
          <cell r="H194" t="str">
            <v>NEGRO</v>
          </cell>
          <cell r="I194" t="str">
            <v>U</v>
          </cell>
          <cell r="J194" t="str">
            <v>H</v>
          </cell>
        </row>
        <row r="195">
          <cell r="B195" t="str">
            <v>MC020830303</v>
          </cell>
          <cell r="C195" t="str">
            <v>MARRO CHICA</v>
          </cell>
          <cell r="D195" t="str">
            <v>BILLETERA</v>
          </cell>
          <cell r="E195" t="str">
            <v>BILLETERA ARLO</v>
          </cell>
          <cell r="F195" t="str">
            <v>BRIDGE</v>
          </cell>
          <cell r="G195">
            <v>0</v>
          </cell>
          <cell r="H195" t="str">
            <v>CARAMELO</v>
          </cell>
          <cell r="I195" t="str">
            <v>U</v>
          </cell>
          <cell r="J195" t="str">
            <v>H</v>
          </cell>
        </row>
        <row r="196">
          <cell r="B196" t="str">
            <v>MC020830304</v>
          </cell>
          <cell r="C196" t="str">
            <v>MARRO CHICA</v>
          </cell>
          <cell r="D196" t="str">
            <v>BILLETERA</v>
          </cell>
          <cell r="E196" t="str">
            <v>BILLETERA ARLO</v>
          </cell>
          <cell r="F196" t="str">
            <v>BRIDGE</v>
          </cell>
          <cell r="G196">
            <v>0</v>
          </cell>
          <cell r="H196" t="str">
            <v>TABACO</v>
          </cell>
          <cell r="I196" t="str">
            <v>U</v>
          </cell>
          <cell r="J196" t="str">
            <v>H</v>
          </cell>
        </row>
        <row r="197">
          <cell r="B197" t="str">
            <v>MC020830352</v>
          </cell>
          <cell r="C197" t="str">
            <v>MARRO CHICA</v>
          </cell>
          <cell r="D197" t="str">
            <v>BILLETERA</v>
          </cell>
          <cell r="E197" t="str">
            <v>BILLETERA ARLO</v>
          </cell>
          <cell r="F197" t="str">
            <v>BRIDGE</v>
          </cell>
          <cell r="G197">
            <v>0</v>
          </cell>
          <cell r="H197" t="str">
            <v>CHOCOLATE</v>
          </cell>
          <cell r="I197" t="str">
            <v>U</v>
          </cell>
          <cell r="J197" t="str">
            <v>H</v>
          </cell>
        </row>
        <row r="198">
          <cell r="B198" t="str">
            <v>MC150590304</v>
          </cell>
          <cell r="C198" t="str">
            <v>MARRO CHICA</v>
          </cell>
          <cell r="D198" t="str">
            <v>BILLETERA</v>
          </cell>
          <cell r="E198" t="str">
            <v>BILLETERA BECK</v>
          </cell>
          <cell r="F198" t="str">
            <v>BRIDGE</v>
          </cell>
          <cell r="G198">
            <v>0</v>
          </cell>
          <cell r="H198" t="str">
            <v>TABACO</v>
          </cell>
          <cell r="I198" t="str">
            <v>U</v>
          </cell>
          <cell r="J198" t="str">
            <v>H</v>
          </cell>
        </row>
        <row r="199">
          <cell r="B199" t="str">
            <v>MC150591623</v>
          </cell>
          <cell r="C199" t="str">
            <v>MARRO CHICA</v>
          </cell>
          <cell r="D199" t="str">
            <v>BILLETERA</v>
          </cell>
          <cell r="E199" t="str">
            <v>BILLETERA BECK</v>
          </cell>
          <cell r="F199" t="str">
            <v>FIORENTINO</v>
          </cell>
          <cell r="G199">
            <v>0</v>
          </cell>
          <cell r="H199" t="str">
            <v>CEDRO</v>
          </cell>
          <cell r="I199" t="str">
            <v>U</v>
          </cell>
          <cell r="J199" t="str">
            <v>H</v>
          </cell>
        </row>
        <row r="200">
          <cell r="B200" t="str">
            <v>MC020480101</v>
          </cell>
          <cell r="C200" t="str">
            <v>MARRO CHICA</v>
          </cell>
          <cell r="D200" t="str">
            <v>BILLETERA</v>
          </cell>
          <cell r="E200" t="str">
            <v>BILLETERA BEIJING</v>
          </cell>
          <cell r="F200" t="str">
            <v>NAPADO</v>
          </cell>
          <cell r="G200">
            <v>0</v>
          </cell>
          <cell r="H200" t="str">
            <v>NEGRO</v>
          </cell>
          <cell r="I200" t="str">
            <v>U</v>
          </cell>
          <cell r="J200" t="str">
            <v>M</v>
          </cell>
        </row>
        <row r="201">
          <cell r="B201" t="str">
            <v>MC020480103</v>
          </cell>
          <cell r="C201" t="str">
            <v>MARRO CHICA</v>
          </cell>
          <cell r="D201" t="str">
            <v>BILLETERA</v>
          </cell>
          <cell r="E201" t="str">
            <v>BILLETERA BEIJING</v>
          </cell>
          <cell r="F201" t="str">
            <v>NAPADO</v>
          </cell>
          <cell r="G201">
            <v>0</v>
          </cell>
          <cell r="H201" t="str">
            <v>CARAMELO</v>
          </cell>
          <cell r="I201" t="str">
            <v>U</v>
          </cell>
          <cell r="J201" t="str">
            <v>M</v>
          </cell>
        </row>
        <row r="202">
          <cell r="B202" t="str">
            <v>MC020480107</v>
          </cell>
          <cell r="C202" t="str">
            <v>MARRO CHICA</v>
          </cell>
          <cell r="D202" t="str">
            <v>BILLETERA</v>
          </cell>
          <cell r="E202" t="str">
            <v>BILLETERA BEIJING</v>
          </cell>
          <cell r="F202" t="str">
            <v>NAPADO</v>
          </cell>
          <cell r="G202">
            <v>0</v>
          </cell>
          <cell r="H202" t="str">
            <v>ROJO</v>
          </cell>
          <cell r="I202" t="str">
            <v>U</v>
          </cell>
          <cell r="J202" t="str">
            <v>M</v>
          </cell>
        </row>
        <row r="203">
          <cell r="B203" t="str">
            <v>MC020480109</v>
          </cell>
          <cell r="C203" t="str">
            <v>MARRO CHICA</v>
          </cell>
          <cell r="D203" t="str">
            <v>BILLETERA</v>
          </cell>
          <cell r="E203" t="str">
            <v>BILLETERA BEIJING</v>
          </cell>
          <cell r="F203" t="str">
            <v>NAPADO</v>
          </cell>
          <cell r="G203">
            <v>0</v>
          </cell>
          <cell r="H203" t="str">
            <v>AZUL</v>
          </cell>
          <cell r="I203" t="str">
            <v>U</v>
          </cell>
          <cell r="J203" t="str">
            <v>M</v>
          </cell>
        </row>
        <row r="204">
          <cell r="B204" t="str">
            <v>MC020480110</v>
          </cell>
          <cell r="C204" t="str">
            <v>MARRO CHICA</v>
          </cell>
          <cell r="D204" t="str">
            <v>BILLETERA</v>
          </cell>
          <cell r="E204" t="str">
            <v>BILLETERA BEIJING</v>
          </cell>
          <cell r="F204" t="str">
            <v>NAPADO</v>
          </cell>
          <cell r="G204">
            <v>0</v>
          </cell>
          <cell r="H204" t="str">
            <v>VERDE</v>
          </cell>
          <cell r="I204" t="str">
            <v>U</v>
          </cell>
          <cell r="J204" t="str">
            <v>M</v>
          </cell>
        </row>
        <row r="205">
          <cell r="B205" t="str">
            <v>MC020480301</v>
          </cell>
          <cell r="C205" t="str">
            <v>MARRO CHICA</v>
          </cell>
          <cell r="D205" t="str">
            <v>BILLETERA</v>
          </cell>
          <cell r="E205" t="str">
            <v>BILLETERA BEIJING</v>
          </cell>
          <cell r="F205" t="str">
            <v>BRIDGE</v>
          </cell>
          <cell r="G205">
            <v>0</v>
          </cell>
          <cell r="H205" t="str">
            <v>NEGRO</v>
          </cell>
          <cell r="I205" t="str">
            <v>U</v>
          </cell>
          <cell r="J205" t="str">
            <v>M</v>
          </cell>
        </row>
        <row r="206">
          <cell r="B206" t="str">
            <v>MC020480303</v>
          </cell>
          <cell r="C206" t="str">
            <v>MARRO CHICA</v>
          </cell>
          <cell r="D206" t="str">
            <v>BILLETERA</v>
          </cell>
          <cell r="E206" t="str">
            <v>BILLETERA BEIJING</v>
          </cell>
          <cell r="F206" t="str">
            <v>BRIDGE</v>
          </cell>
          <cell r="G206">
            <v>0</v>
          </cell>
          <cell r="H206" t="str">
            <v>CARAMELO</v>
          </cell>
          <cell r="I206" t="str">
            <v>U</v>
          </cell>
          <cell r="J206" t="str">
            <v>M</v>
          </cell>
        </row>
        <row r="207">
          <cell r="B207" t="str">
            <v>MC020480307</v>
          </cell>
          <cell r="C207" t="str">
            <v>MARRO CHICA</v>
          </cell>
          <cell r="D207" t="str">
            <v>BILLETERA</v>
          </cell>
          <cell r="E207" t="str">
            <v>BILLETERA BEIJING</v>
          </cell>
          <cell r="F207" t="str">
            <v>BRIDGE</v>
          </cell>
          <cell r="G207">
            <v>0</v>
          </cell>
          <cell r="H207" t="str">
            <v>ROJO</v>
          </cell>
          <cell r="I207" t="str">
            <v>U</v>
          </cell>
          <cell r="J207" t="str">
            <v>M</v>
          </cell>
        </row>
        <row r="208">
          <cell r="B208" t="str">
            <v>MC020480309</v>
          </cell>
          <cell r="C208" t="str">
            <v>MARRO CHICA</v>
          </cell>
          <cell r="D208" t="str">
            <v>BILLETERA</v>
          </cell>
          <cell r="E208" t="str">
            <v>BILLETERA BEIJING</v>
          </cell>
          <cell r="F208" t="str">
            <v>BRIDGE</v>
          </cell>
          <cell r="G208">
            <v>0</v>
          </cell>
          <cell r="H208" t="str">
            <v>AZUL</v>
          </cell>
          <cell r="I208" t="str">
            <v>U</v>
          </cell>
          <cell r="J208" t="str">
            <v>M</v>
          </cell>
        </row>
        <row r="209">
          <cell r="B209" t="str">
            <v>MC020480310</v>
          </cell>
          <cell r="C209" t="str">
            <v>MARRO CHICA</v>
          </cell>
          <cell r="D209" t="str">
            <v>BILLETERA</v>
          </cell>
          <cell r="E209" t="str">
            <v>BILLETERA BEIJING</v>
          </cell>
          <cell r="F209" t="str">
            <v>BRIDGE</v>
          </cell>
          <cell r="G209">
            <v>0</v>
          </cell>
          <cell r="H209" t="str">
            <v>VERDE</v>
          </cell>
          <cell r="I209" t="str">
            <v>U</v>
          </cell>
          <cell r="J209" t="str">
            <v>M</v>
          </cell>
        </row>
        <row r="210">
          <cell r="B210" t="str">
            <v>MC020480312</v>
          </cell>
          <cell r="C210" t="str">
            <v>MARRO CHICA</v>
          </cell>
          <cell r="D210" t="str">
            <v>BILLETERA</v>
          </cell>
          <cell r="E210" t="str">
            <v>BILLETERA BEIJING</v>
          </cell>
          <cell r="F210" t="str">
            <v>BRIDGE</v>
          </cell>
          <cell r="G210">
            <v>0</v>
          </cell>
          <cell r="H210" t="str">
            <v>GRIS</v>
          </cell>
          <cell r="I210" t="str">
            <v>U</v>
          </cell>
          <cell r="J210" t="str">
            <v>M</v>
          </cell>
        </row>
        <row r="211">
          <cell r="B211" t="str">
            <v>MC020480315</v>
          </cell>
          <cell r="C211" t="str">
            <v>MARRO CHICA</v>
          </cell>
          <cell r="D211" t="str">
            <v>BILLETERA</v>
          </cell>
          <cell r="E211" t="str">
            <v>BILLETERA BEIJING</v>
          </cell>
          <cell r="F211" t="str">
            <v>BRIDGE</v>
          </cell>
          <cell r="G211">
            <v>0</v>
          </cell>
          <cell r="H211" t="str">
            <v>MALBEC</v>
          </cell>
          <cell r="I211" t="str">
            <v>U</v>
          </cell>
          <cell r="J211" t="str">
            <v>M</v>
          </cell>
        </row>
        <row r="212">
          <cell r="B212" t="str">
            <v>MC020480701</v>
          </cell>
          <cell r="C212" t="str">
            <v>MARRO CHICA</v>
          </cell>
          <cell r="D212" t="str">
            <v>BILLETERA</v>
          </cell>
          <cell r="E212" t="str">
            <v>BILLETERA BEIJING</v>
          </cell>
          <cell r="F212" t="str">
            <v>IGUANA</v>
          </cell>
          <cell r="G212">
            <v>0</v>
          </cell>
          <cell r="H212" t="str">
            <v>NEGRO</v>
          </cell>
          <cell r="I212" t="str">
            <v>U</v>
          </cell>
          <cell r="J212" t="str">
            <v>M</v>
          </cell>
        </row>
        <row r="213">
          <cell r="B213" t="str">
            <v>MC020480705</v>
          </cell>
          <cell r="C213" t="str">
            <v>MARRO CHICA</v>
          </cell>
          <cell r="D213" t="str">
            <v>BILLETERA</v>
          </cell>
          <cell r="E213" t="str">
            <v>BILLETERA BEIJING</v>
          </cell>
          <cell r="F213" t="str">
            <v>IGUANA</v>
          </cell>
          <cell r="G213">
            <v>0</v>
          </cell>
          <cell r="H213" t="str">
            <v>LONDON</v>
          </cell>
          <cell r="I213" t="str">
            <v>U</v>
          </cell>
          <cell r="J213" t="str">
            <v>M</v>
          </cell>
        </row>
        <row r="214">
          <cell r="B214" t="str">
            <v>MC020480703</v>
          </cell>
          <cell r="C214" t="str">
            <v>MARRO CHICA</v>
          </cell>
          <cell r="D214" t="str">
            <v>BILLETERA</v>
          </cell>
          <cell r="E214" t="str">
            <v xml:space="preserve">BILLETERA BEIJING </v>
          </cell>
          <cell r="F214" t="str">
            <v>IGUANA</v>
          </cell>
          <cell r="G214">
            <v>0</v>
          </cell>
          <cell r="H214" t="str">
            <v>CARAMELO</v>
          </cell>
          <cell r="I214" t="str">
            <v>U</v>
          </cell>
          <cell r="J214" t="str">
            <v>M</v>
          </cell>
        </row>
        <row r="215">
          <cell r="B215" t="str">
            <v>MC020480707</v>
          </cell>
          <cell r="C215" t="str">
            <v>MARRO CHICA</v>
          </cell>
          <cell r="D215" t="str">
            <v>BILLETERA</v>
          </cell>
          <cell r="E215" t="str">
            <v xml:space="preserve">BILLETERA BEIJING </v>
          </cell>
          <cell r="F215" t="str">
            <v>IGUANA</v>
          </cell>
          <cell r="G215">
            <v>0</v>
          </cell>
          <cell r="H215" t="str">
            <v>ROJO</v>
          </cell>
          <cell r="I215" t="str">
            <v>U</v>
          </cell>
          <cell r="J215" t="str">
            <v>M</v>
          </cell>
        </row>
        <row r="216">
          <cell r="B216" t="str">
            <v>MC020480709</v>
          </cell>
          <cell r="C216" t="str">
            <v>MARRO CHICA</v>
          </cell>
          <cell r="D216" t="str">
            <v>BILLETERA</v>
          </cell>
          <cell r="E216" t="str">
            <v xml:space="preserve">BILLETERA BEIJING </v>
          </cell>
          <cell r="F216" t="str">
            <v>IGUANA</v>
          </cell>
          <cell r="G216">
            <v>0</v>
          </cell>
          <cell r="H216" t="str">
            <v>AZUL</v>
          </cell>
          <cell r="I216" t="str">
            <v>U</v>
          </cell>
          <cell r="J216" t="str">
            <v>M</v>
          </cell>
        </row>
        <row r="217">
          <cell r="B217" t="str">
            <v>MC020480710</v>
          </cell>
          <cell r="C217" t="str">
            <v>MARRO CHICA</v>
          </cell>
          <cell r="D217" t="str">
            <v>BILLETERA</v>
          </cell>
          <cell r="E217" t="str">
            <v xml:space="preserve">BILLETERA BEIJING </v>
          </cell>
          <cell r="F217" t="str">
            <v>IGUANA</v>
          </cell>
          <cell r="G217">
            <v>0</v>
          </cell>
          <cell r="H217" t="str">
            <v>VERDE</v>
          </cell>
          <cell r="I217" t="str">
            <v>U</v>
          </cell>
          <cell r="J217" t="str">
            <v>M</v>
          </cell>
        </row>
        <row r="218">
          <cell r="B218" t="str">
            <v>MC020400101</v>
          </cell>
          <cell r="C218" t="str">
            <v>MARRO CHICA</v>
          </cell>
          <cell r="D218" t="str">
            <v>BILLETERA</v>
          </cell>
          <cell r="E218" t="str">
            <v>BILLETERA COPAHUE</v>
          </cell>
          <cell r="F218" t="str">
            <v>NAPADO</v>
          </cell>
          <cell r="G218">
            <v>0</v>
          </cell>
          <cell r="H218" t="str">
            <v>NEGRO</v>
          </cell>
          <cell r="I218" t="str">
            <v>U</v>
          </cell>
          <cell r="J218" t="str">
            <v>M</v>
          </cell>
        </row>
        <row r="219">
          <cell r="B219" t="str">
            <v>MC020400102</v>
          </cell>
          <cell r="C219" t="str">
            <v>MARRO CHICA</v>
          </cell>
          <cell r="D219" t="str">
            <v>BILLETERA</v>
          </cell>
          <cell r="E219" t="str">
            <v>BILLETERA COPAHUE</v>
          </cell>
          <cell r="F219" t="str">
            <v>NAPADO</v>
          </cell>
          <cell r="G219">
            <v>0</v>
          </cell>
          <cell r="H219" t="str">
            <v>SUELA</v>
          </cell>
          <cell r="I219" t="str">
            <v>U</v>
          </cell>
          <cell r="J219" t="str">
            <v>M</v>
          </cell>
        </row>
        <row r="220">
          <cell r="B220" t="str">
            <v>MC020400103</v>
          </cell>
          <cell r="C220" t="str">
            <v>MARRO CHICA</v>
          </cell>
          <cell r="D220" t="str">
            <v>BILLETERA</v>
          </cell>
          <cell r="E220" t="str">
            <v>BILLETERA COPAHUE</v>
          </cell>
          <cell r="F220" t="str">
            <v>NAPADO</v>
          </cell>
          <cell r="G220">
            <v>0</v>
          </cell>
          <cell r="H220" t="str">
            <v>CARAMELO</v>
          </cell>
          <cell r="I220" t="str">
            <v>U</v>
          </cell>
          <cell r="J220" t="str">
            <v>M</v>
          </cell>
        </row>
        <row r="221">
          <cell r="B221" t="str">
            <v>MC020400107</v>
          </cell>
          <cell r="C221" t="str">
            <v>MARRO CHICA</v>
          </cell>
          <cell r="D221" t="str">
            <v>BILLETERA</v>
          </cell>
          <cell r="E221" t="str">
            <v>BILLETERA COPAHUE</v>
          </cell>
          <cell r="F221" t="str">
            <v>NAPADO</v>
          </cell>
          <cell r="G221">
            <v>0</v>
          </cell>
          <cell r="H221" t="str">
            <v>ROJO</v>
          </cell>
          <cell r="I221" t="str">
            <v>U</v>
          </cell>
          <cell r="J221" t="str">
            <v>M</v>
          </cell>
        </row>
        <row r="222">
          <cell r="B222" t="str">
            <v>MC020400109</v>
          </cell>
          <cell r="C222" t="str">
            <v>MARRO CHICA</v>
          </cell>
          <cell r="D222" t="str">
            <v>BILLETERA</v>
          </cell>
          <cell r="E222" t="str">
            <v>BILLETERA COPAHUE</v>
          </cell>
          <cell r="F222" t="str">
            <v>NAPADO</v>
          </cell>
          <cell r="G222">
            <v>0</v>
          </cell>
          <cell r="H222" t="str">
            <v>AZUL</v>
          </cell>
          <cell r="I222" t="str">
            <v>U</v>
          </cell>
          <cell r="J222" t="str">
            <v>M</v>
          </cell>
        </row>
        <row r="223">
          <cell r="B223" t="str">
            <v>MC020400110</v>
          </cell>
          <cell r="C223" t="str">
            <v>MARRO CHICA</v>
          </cell>
          <cell r="D223" t="str">
            <v>BILLETERA</v>
          </cell>
          <cell r="E223" t="str">
            <v>BILLETERA COPAHUE</v>
          </cell>
          <cell r="F223" t="str">
            <v>NAPADO</v>
          </cell>
          <cell r="G223">
            <v>0</v>
          </cell>
          <cell r="H223" t="str">
            <v>VERDE</v>
          </cell>
          <cell r="I223" t="str">
            <v>U</v>
          </cell>
          <cell r="J223" t="str">
            <v>M</v>
          </cell>
        </row>
        <row r="224">
          <cell r="B224" t="str">
            <v>MC020370101</v>
          </cell>
          <cell r="C224" t="str">
            <v>MARRO CHICA</v>
          </cell>
          <cell r="D224" t="str">
            <v>BILLETERA</v>
          </cell>
          <cell r="E224" t="str">
            <v>BILLETERA FICHERO</v>
          </cell>
          <cell r="F224" t="str">
            <v>NAPADO</v>
          </cell>
          <cell r="G224">
            <v>0</v>
          </cell>
          <cell r="H224" t="str">
            <v>NEGRO</v>
          </cell>
          <cell r="I224" t="str">
            <v>U</v>
          </cell>
          <cell r="J224" t="str">
            <v>M</v>
          </cell>
        </row>
        <row r="225">
          <cell r="B225" t="str">
            <v>MC020370102</v>
          </cell>
          <cell r="C225" t="str">
            <v>MARRO CHICA</v>
          </cell>
          <cell r="D225" t="str">
            <v>BILLETERA</v>
          </cell>
          <cell r="E225" t="str">
            <v>BILLETERA FICHERO</v>
          </cell>
          <cell r="F225" t="str">
            <v>NAPADO</v>
          </cell>
          <cell r="G225">
            <v>0</v>
          </cell>
          <cell r="H225" t="str">
            <v>SUELA</v>
          </cell>
          <cell r="I225" t="str">
            <v>U</v>
          </cell>
          <cell r="J225" t="str">
            <v>M</v>
          </cell>
        </row>
        <row r="226">
          <cell r="B226" t="str">
            <v>MC020370103</v>
          </cell>
          <cell r="C226" t="str">
            <v>MARRO CHICA</v>
          </cell>
          <cell r="D226" t="str">
            <v>BILLETERA</v>
          </cell>
          <cell r="E226" t="str">
            <v>BILLETERA FICHERO</v>
          </cell>
          <cell r="F226" t="str">
            <v>NAPADO</v>
          </cell>
          <cell r="G226">
            <v>0</v>
          </cell>
          <cell r="H226" t="str">
            <v>CARAMELO</v>
          </cell>
          <cell r="I226" t="str">
            <v>U</v>
          </cell>
          <cell r="J226" t="str">
            <v>M</v>
          </cell>
        </row>
        <row r="227">
          <cell r="B227" t="str">
            <v>MC020370105</v>
          </cell>
          <cell r="C227" t="str">
            <v>MARRO CHICA</v>
          </cell>
          <cell r="D227" t="str">
            <v>BILLETERA</v>
          </cell>
          <cell r="E227" t="str">
            <v>BILLETERA FICHERO</v>
          </cell>
          <cell r="F227" t="str">
            <v>NAPADO</v>
          </cell>
          <cell r="G227">
            <v>0</v>
          </cell>
          <cell r="H227" t="str">
            <v>LONDON</v>
          </cell>
          <cell r="I227" t="str">
            <v>U</v>
          </cell>
          <cell r="J227" t="str">
            <v>M</v>
          </cell>
        </row>
        <row r="228">
          <cell r="B228" t="str">
            <v>MC020370107</v>
          </cell>
          <cell r="C228" t="str">
            <v>MARRO CHICA</v>
          </cell>
          <cell r="D228" t="str">
            <v>BILLETERA</v>
          </cell>
          <cell r="E228" t="str">
            <v>BILLETERA FICHERO</v>
          </cell>
          <cell r="F228" t="str">
            <v>NAPADO</v>
          </cell>
          <cell r="G228">
            <v>0</v>
          </cell>
          <cell r="H228" t="str">
            <v>ROJO</v>
          </cell>
          <cell r="I228" t="str">
            <v>U</v>
          </cell>
          <cell r="J228" t="str">
            <v>M</v>
          </cell>
        </row>
        <row r="229">
          <cell r="B229" t="str">
            <v>MC020370109</v>
          </cell>
          <cell r="C229" t="str">
            <v>MARRO CHICA</v>
          </cell>
          <cell r="D229" t="str">
            <v>BILLETERA</v>
          </cell>
          <cell r="E229" t="str">
            <v>BILLETERA FICHERO</v>
          </cell>
          <cell r="F229" t="str">
            <v>NAPADO</v>
          </cell>
          <cell r="G229">
            <v>0</v>
          </cell>
          <cell r="H229" t="str">
            <v>AZUL</v>
          </cell>
          <cell r="I229" t="str">
            <v>U</v>
          </cell>
          <cell r="J229" t="str">
            <v>M</v>
          </cell>
        </row>
        <row r="230">
          <cell r="B230" t="str">
            <v>MC020370110</v>
          </cell>
          <cell r="C230" t="str">
            <v>MARRO CHICA</v>
          </cell>
          <cell r="D230" t="str">
            <v>BILLETERA</v>
          </cell>
          <cell r="E230" t="str">
            <v>BILLETERA FICHERO</v>
          </cell>
          <cell r="F230" t="str">
            <v>NAPADO</v>
          </cell>
          <cell r="G230">
            <v>0</v>
          </cell>
          <cell r="H230" t="str">
            <v>VERDE</v>
          </cell>
          <cell r="I230" t="str">
            <v>U</v>
          </cell>
          <cell r="J230" t="str">
            <v>M</v>
          </cell>
        </row>
        <row r="231">
          <cell r="B231" t="str">
            <v>MC020372201</v>
          </cell>
          <cell r="C231" t="str">
            <v>MARRO CHICA</v>
          </cell>
          <cell r="D231" t="str">
            <v>BILLETERA</v>
          </cell>
          <cell r="E231" t="str">
            <v>BILLETERA FICHERO</v>
          </cell>
          <cell r="F231" t="str">
            <v>SALLY</v>
          </cell>
          <cell r="G231">
            <v>0</v>
          </cell>
          <cell r="H231" t="str">
            <v>NEGRO</v>
          </cell>
          <cell r="I231" t="str">
            <v>U</v>
          </cell>
          <cell r="J231" t="str">
            <v>M</v>
          </cell>
        </row>
        <row r="232">
          <cell r="B232" t="str">
            <v>MC020372202</v>
          </cell>
          <cell r="C232" t="str">
            <v>MARRO CHICA</v>
          </cell>
          <cell r="D232" t="str">
            <v>BILLETERA</v>
          </cell>
          <cell r="E232" t="str">
            <v>BILLETERA FICHERO</v>
          </cell>
          <cell r="F232" t="str">
            <v>SALLY</v>
          </cell>
          <cell r="G232">
            <v>0</v>
          </cell>
          <cell r="H232" t="str">
            <v>SUELA</v>
          </cell>
          <cell r="I232" t="str">
            <v>U</v>
          </cell>
          <cell r="J232" t="str">
            <v>M</v>
          </cell>
        </row>
        <row r="233">
          <cell r="B233" t="str">
            <v>MC020200201</v>
          </cell>
          <cell r="C233" t="str">
            <v>MARRO CHICA</v>
          </cell>
          <cell r="D233" t="str">
            <v>BILLETERA</v>
          </cell>
          <cell r="E233" t="str">
            <v>BILLETERA KEY</v>
          </cell>
          <cell r="F233" t="str">
            <v>TAMPONATO</v>
          </cell>
          <cell r="G233">
            <v>0</v>
          </cell>
          <cell r="H233" t="str">
            <v>NEGRO</v>
          </cell>
          <cell r="I233" t="str">
            <v>U</v>
          </cell>
          <cell r="J233" t="str">
            <v>M</v>
          </cell>
        </row>
        <row r="234">
          <cell r="B234" t="str">
            <v>MC020200202</v>
          </cell>
          <cell r="C234" t="str">
            <v>MARRO CHICA</v>
          </cell>
          <cell r="D234" t="str">
            <v>BILLETERA</v>
          </cell>
          <cell r="E234" t="str">
            <v>BILLETERA KEY</v>
          </cell>
          <cell r="F234" t="str">
            <v>TAMPONATO</v>
          </cell>
          <cell r="G234">
            <v>0</v>
          </cell>
          <cell r="H234" t="str">
            <v>SUELA</v>
          </cell>
          <cell r="I234" t="str">
            <v>U</v>
          </cell>
          <cell r="J234" t="str">
            <v>M</v>
          </cell>
        </row>
        <row r="235">
          <cell r="B235" t="str">
            <v>MC020200301</v>
          </cell>
          <cell r="C235" t="str">
            <v>MARRO CHICA</v>
          </cell>
          <cell r="D235" t="str">
            <v>BILLETERA</v>
          </cell>
          <cell r="E235" t="str">
            <v>BILLETERA KEY</v>
          </cell>
          <cell r="F235" t="str">
            <v>BRIDGE</v>
          </cell>
          <cell r="G235">
            <v>0</v>
          </cell>
          <cell r="H235" t="str">
            <v>NEGRO</v>
          </cell>
          <cell r="I235" t="str">
            <v>U</v>
          </cell>
          <cell r="J235" t="str">
            <v>M</v>
          </cell>
        </row>
        <row r="236">
          <cell r="B236" t="str">
            <v>MC020200303</v>
          </cell>
          <cell r="C236" t="str">
            <v>MARRO CHICA</v>
          </cell>
          <cell r="D236" t="str">
            <v>BILLETERA</v>
          </cell>
          <cell r="E236" t="str">
            <v>BILLETERA KEY</v>
          </cell>
          <cell r="F236" t="str">
            <v>BRIDGE</v>
          </cell>
          <cell r="G236">
            <v>0</v>
          </cell>
          <cell r="H236" t="str">
            <v>CARAMELO</v>
          </cell>
          <cell r="I236" t="str">
            <v>U</v>
          </cell>
          <cell r="J236" t="str">
            <v>M</v>
          </cell>
        </row>
        <row r="237">
          <cell r="B237" t="str">
            <v>MC020200304</v>
          </cell>
          <cell r="C237" t="str">
            <v>MARRO CHICA</v>
          </cell>
          <cell r="D237" t="str">
            <v>BILLETERA</v>
          </cell>
          <cell r="E237" t="str">
            <v>BILLETERA KEY</v>
          </cell>
          <cell r="F237" t="str">
            <v>BRIDGE</v>
          </cell>
          <cell r="G237">
            <v>0</v>
          </cell>
          <cell r="H237" t="str">
            <v>TABACO</v>
          </cell>
          <cell r="I237" t="str">
            <v>U</v>
          </cell>
          <cell r="J237" t="str">
            <v>M</v>
          </cell>
        </row>
        <row r="238">
          <cell r="B238" t="str">
            <v>MC020200307</v>
          </cell>
          <cell r="C238" t="str">
            <v>MARRO CHICA</v>
          </cell>
          <cell r="D238" t="str">
            <v>BILLETERA</v>
          </cell>
          <cell r="E238" t="str">
            <v>BILLETERA KEY</v>
          </cell>
          <cell r="F238" t="str">
            <v>BRIDGE</v>
          </cell>
          <cell r="G238">
            <v>0</v>
          </cell>
          <cell r="H238" t="str">
            <v>ROJO</v>
          </cell>
          <cell r="I238" t="str">
            <v>U</v>
          </cell>
          <cell r="J238" t="str">
            <v>M</v>
          </cell>
        </row>
        <row r="239">
          <cell r="B239" t="str">
            <v>MC020200309</v>
          </cell>
          <cell r="C239" t="str">
            <v>MARRO CHICA</v>
          </cell>
          <cell r="D239" t="str">
            <v>BILLETERA</v>
          </cell>
          <cell r="E239" t="str">
            <v>BILLETERA KEY</v>
          </cell>
          <cell r="F239" t="str">
            <v>BRIDGE</v>
          </cell>
          <cell r="G239">
            <v>0</v>
          </cell>
          <cell r="H239" t="str">
            <v>AZUL</v>
          </cell>
          <cell r="I239" t="str">
            <v>U</v>
          </cell>
          <cell r="J239" t="str">
            <v>M</v>
          </cell>
        </row>
        <row r="240">
          <cell r="B240" t="str">
            <v>MC020200310</v>
          </cell>
          <cell r="C240" t="str">
            <v>MARRO CHICA</v>
          </cell>
          <cell r="D240" t="str">
            <v>BILLETERA</v>
          </cell>
          <cell r="E240" t="str">
            <v>BILLETERA KEY</v>
          </cell>
          <cell r="F240" t="str">
            <v>BRIDGE</v>
          </cell>
          <cell r="G240">
            <v>0</v>
          </cell>
          <cell r="H240" t="str">
            <v>VERDE</v>
          </cell>
          <cell r="I240" t="str">
            <v>U</v>
          </cell>
          <cell r="J240" t="str">
            <v>M</v>
          </cell>
        </row>
        <row r="241">
          <cell r="B241" t="str">
            <v>MC020200352</v>
          </cell>
          <cell r="C241" t="str">
            <v>MARRO CHICA</v>
          </cell>
          <cell r="D241" t="str">
            <v>BILLETERA</v>
          </cell>
          <cell r="E241" t="str">
            <v>BILLETERA KEY</v>
          </cell>
          <cell r="F241" t="str">
            <v>BRIDGE</v>
          </cell>
          <cell r="G241">
            <v>0</v>
          </cell>
          <cell r="H241" t="str">
            <v>CHOCOLATE</v>
          </cell>
          <cell r="I241" t="str">
            <v>U</v>
          </cell>
          <cell r="J241" t="str">
            <v>M</v>
          </cell>
        </row>
        <row r="242">
          <cell r="B242" t="str">
            <v>MC020200701</v>
          </cell>
          <cell r="C242" t="str">
            <v>MARRO CHICA</v>
          </cell>
          <cell r="D242" t="str">
            <v>BILLETERA</v>
          </cell>
          <cell r="E242" t="str">
            <v>BILLETERA KEY</v>
          </cell>
          <cell r="F242" t="str">
            <v>IGUANA</v>
          </cell>
          <cell r="G242">
            <v>0</v>
          </cell>
          <cell r="H242" t="str">
            <v>NEGRO</v>
          </cell>
          <cell r="I242" t="str">
            <v>U</v>
          </cell>
          <cell r="J242" t="str">
            <v>M</v>
          </cell>
        </row>
        <row r="243">
          <cell r="B243" t="str">
            <v>MC020200703</v>
          </cell>
          <cell r="C243" t="str">
            <v>MARRO CHICA</v>
          </cell>
          <cell r="D243" t="str">
            <v>BILLETERA</v>
          </cell>
          <cell r="E243" t="str">
            <v>BILLETERA KEY</v>
          </cell>
          <cell r="F243" t="str">
            <v>IGUANA</v>
          </cell>
          <cell r="G243">
            <v>0</v>
          </cell>
          <cell r="H243" t="str">
            <v>CARAMELO</v>
          </cell>
          <cell r="I243" t="str">
            <v>U</v>
          </cell>
          <cell r="J243" t="str">
            <v>M</v>
          </cell>
        </row>
        <row r="244">
          <cell r="B244" t="str">
            <v>MC020200705</v>
          </cell>
          <cell r="C244" t="str">
            <v>MARRO CHICA</v>
          </cell>
          <cell r="D244" t="str">
            <v>BILLETERA</v>
          </cell>
          <cell r="E244" t="str">
            <v>BILLETERA KEY</v>
          </cell>
          <cell r="F244" t="str">
            <v>IGUANA</v>
          </cell>
          <cell r="G244">
            <v>0</v>
          </cell>
          <cell r="H244" t="str">
            <v>LONDON</v>
          </cell>
          <cell r="I244" t="str">
            <v>U</v>
          </cell>
          <cell r="J244" t="str">
            <v>M</v>
          </cell>
        </row>
        <row r="245">
          <cell r="B245" t="str">
            <v>MC020200707</v>
          </cell>
          <cell r="C245" t="str">
            <v>MARRO CHICA</v>
          </cell>
          <cell r="D245" t="str">
            <v>BILLETERA</v>
          </cell>
          <cell r="E245" t="str">
            <v>BILLETERA KEY</v>
          </cell>
          <cell r="F245" t="str">
            <v>IGUANA</v>
          </cell>
          <cell r="G245">
            <v>0</v>
          </cell>
          <cell r="H245" t="str">
            <v>ROJO</v>
          </cell>
          <cell r="I245" t="str">
            <v>U</v>
          </cell>
          <cell r="J245" t="str">
            <v>M</v>
          </cell>
        </row>
        <row r="246">
          <cell r="B246" t="str">
            <v>MC020200709</v>
          </cell>
          <cell r="C246" t="str">
            <v>MARRO CHICA</v>
          </cell>
          <cell r="D246" t="str">
            <v>BILLETERA</v>
          </cell>
          <cell r="E246" t="str">
            <v>BILLETERA KEY</v>
          </cell>
          <cell r="F246" t="str">
            <v>IGUANA</v>
          </cell>
          <cell r="G246">
            <v>0</v>
          </cell>
          <cell r="H246" t="str">
            <v>AZUL</v>
          </cell>
          <cell r="I246" t="str">
            <v>U</v>
          </cell>
          <cell r="J246" t="str">
            <v>M</v>
          </cell>
        </row>
        <row r="247">
          <cell r="B247" t="str">
            <v>MC020200752</v>
          </cell>
          <cell r="C247" t="str">
            <v>MARRO CHICA</v>
          </cell>
          <cell r="D247" t="str">
            <v>BILLETERA</v>
          </cell>
          <cell r="E247" t="str">
            <v>BILLETERA KEY</v>
          </cell>
          <cell r="F247" t="str">
            <v>IGUANA</v>
          </cell>
          <cell r="G247">
            <v>0</v>
          </cell>
          <cell r="H247" t="str">
            <v>CHOCOLATE</v>
          </cell>
          <cell r="I247" t="str">
            <v>U</v>
          </cell>
          <cell r="J247" t="str">
            <v>M</v>
          </cell>
        </row>
        <row r="248">
          <cell r="B248" t="str">
            <v>MC020090301</v>
          </cell>
          <cell r="C248" t="str">
            <v>MARRO CHICA</v>
          </cell>
          <cell r="D248" t="str">
            <v>BILLETERA</v>
          </cell>
          <cell r="E248" t="str">
            <v>BILLETERA KEY FULL BLACK</v>
          </cell>
          <cell r="F248" t="str">
            <v>BRIDGE</v>
          </cell>
          <cell r="G248">
            <v>0</v>
          </cell>
          <cell r="H248" t="str">
            <v>NEGRO</v>
          </cell>
          <cell r="I248" t="str">
            <v>U</v>
          </cell>
          <cell r="J248" t="str">
            <v>M</v>
          </cell>
        </row>
        <row r="249">
          <cell r="B249" t="str">
            <v>MC150580304</v>
          </cell>
          <cell r="C249" t="str">
            <v>MARRO CHICA</v>
          </cell>
          <cell r="D249" t="str">
            <v>BILLETERA</v>
          </cell>
          <cell r="E249" t="str">
            <v>BILLETERA LEON</v>
          </cell>
          <cell r="F249" t="str">
            <v>BRIDGE</v>
          </cell>
          <cell r="G249">
            <v>0</v>
          </cell>
          <cell r="H249" t="str">
            <v>TABACO</v>
          </cell>
          <cell r="I249" t="str">
            <v>U</v>
          </cell>
          <cell r="J249" t="str">
            <v>H</v>
          </cell>
        </row>
        <row r="250">
          <cell r="B250" t="str">
            <v>MC150581623</v>
          </cell>
          <cell r="C250" t="str">
            <v>MARRO CHICA</v>
          </cell>
          <cell r="D250" t="str">
            <v>BILLETERA</v>
          </cell>
          <cell r="E250" t="str">
            <v>BILLETERA LEON</v>
          </cell>
          <cell r="F250" t="str">
            <v>FIORENTINO</v>
          </cell>
          <cell r="G250">
            <v>0</v>
          </cell>
          <cell r="H250" t="str">
            <v>CEDRO</v>
          </cell>
          <cell r="I250" t="str">
            <v>U</v>
          </cell>
          <cell r="J250" t="str">
            <v>H</v>
          </cell>
        </row>
        <row r="251">
          <cell r="B251" t="str">
            <v>MC020330301</v>
          </cell>
          <cell r="C251" t="str">
            <v>MARRO CHICA</v>
          </cell>
          <cell r="D251" t="str">
            <v>BILLETERA</v>
          </cell>
          <cell r="E251" t="str">
            <v>BILLETERA LEXI</v>
          </cell>
          <cell r="F251" t="str">
            <v>BRIDGE</v>
          </cell>
          <cell r="G251">
            <v>0</v>
          </cell>
          <cell r="H251" t="str">
            <v>NEGRO</v>
          </cell>
          <cell r="I251" t="str">
            <v>U</v>
          </cell>
          <cell r="J251" t="str">
            <v>M</v>
          </cell>
        </row>
        <row r="252">
          <cell r="B252" t="str">
            <v>MC020330303</v>
          </cell>
          <cell r="C252" t="str">
            <v>MARRO CHICA</v>
          </cell>
          <cell r="D252" t="str">
            <v>BILLETERA</v>
          </cell>
          <cell r="E252" t="str">
            <v>BILLETERA LEXI</v>
          </cell>
          <cell r="F252" t="str">
            <v>BRIDGE</v>
          </cell>
          <cell r="G252">
            <v>0</v>
          </cell>
          <cell r="H252" t="str">
            <v>CARAMELO</v>
          </cell>
          <cell r="I252" t="str">
            <v>U</v>
          </cell>
          <cell r="J252" t="str">
            <v>M</v>
          </cell>
        </row>
        <row r="253">
          <cell r="B253" t="str">
            <v>MC020330304</v>
          </cell>
          <cell r="C253" t="str">
            <v>MARRO CHICA</v>
          </cell>
          <cell r="D253" t="str">
            <v>BILLETERA</v>
          </cell>
          <cell r="E253" t="str">
            <v>BILLETERA LEXI</v>
          </cell>
          <cell r="F253" t="str">
            <v>BRIDGE</v>
          </cell>
          <cell r="G253">
            <v>0</v>
          </cell>
          <cell r="H253" t="str">
            <v>TABACO</v>
          </cell>
          <cell r="I253" t="str">
            <v>U</v>
          </cell>
          <cell r="J253" t="str">
            <v>M</v>
          </cell>
        </row>
        <row r="254">
          <cell r="B254" t="str">
            <v>MC020330307</v>
          </cell>
          <cell r="C254" t="str">
            <v>MARRO CHICA</v>
          </cell>
          <cell r="D254" t="str">
            <v>BILLETERA</v>
          </cell>
          <cell r="E254" t="str">
            <v>BILLETERA LEXI</v>
          </cell>
          <cell r="F254" t="str">
            <v>BRIDGE</v>
          </cell>
          <cell r="G254">
            <v>0</v>
          </cell>
          <cell r="H254" t="str">
            <v>ROJO</v>
          </cell>
          <cell r="I254" t="str">
            <v>U</v>
          </cell>
          <cell r="J254" t="str">
            <v>M</v>
          </cell>
        </row>
        <row r="255">
          <cell r="B255" t="str">
            <v>MC020330309</v>
          </cell>
          <cell r="C255" t="str">
            <v>MARRO CHICA</v>
          </cell>
          <cell r="D255" t="str">
            <v>BILLETERA</v>
          </cell>
          <cell r="E255" t="str">
            <v>BILLETERA LEXI</v>
          </cell>
          <cell r="F255" t="str">
            <v>BRIDGE</v>
          </cell>
          <cell r="G255">
            <v>0</v>
          </cell>
          <cell r="H255" t="str">
            <v>AZUL</v>
          </cell>
          <cell r="I255" t="str">
            <v>U</v>
          </cell>
          <cell r="J255" t="str">
            <v>M</v>
          </cell>
        </row>
        <row r="256">
          <cell r="B256" t="str">
            <v>MC020330310</v>
          </cell>
          <cell r="C256" t="str">
            <v>MARRO CHICA</v>
          </cell>
          <cell r="D256" t="str">
            <v>BILLETERA</v>
          </cell>
          <cell r="E256" t="str">
            <v>BILLETERA LEXI</v>
          </cell>
          <cell r="F256" t="str">
            <v>BRIDGE</v>
          </cell>
          <cell r="G256">
            <v>0</v>
          </cell>
          <cell r="H256" t="str">
            <v>VERDE</v>
          </cell>
          <cell r="I256" t="str">
            <v>U</v>
          </cell>
          <cell r="J256" t="str">
            <v>M</v>
          </cell>
        </row>
        <row r="257">
          <cell r="B257" t="str">
            <v>MC020330312</v>
          </cell>
          <cell r="C257" t="str">
            <v>MARRO CHICA</v>
          </cell>
          <cell r="D257" t="str">
            <v>BILLETERA</v>
          </cell>
          <cell r="E257" t="str">
            <v>BILLETERA LEXI</v>
          </cell>
          <cell r="F257" t="str">
            <v>BRIDGE</v>
          </cell>
          <cell r="G257">
            <v>0</v>
          </cell>
          <cell r="H257" t="str">
            <v>GRIS</v>
          </cell>
          <cell r="I257" t="str">
            <v>U</v>
          </cell>
          <cell r="J257" t="str">
            <v>M</v>
          </cell>
        </row>
        <row r="258">
          <cell r="B258" t="str">
            <v>MC020330315</v>
          </cell>
          <cell r="C258" t="str">
            <v>MARRO CHICA</v>
          </cell>
          <cell r="D258" t="str">
            <v>BILLETERA</v>
          </cell>
          <cell r="E258" t="str">
            <v>BILLETERA LEXI</v>
          </cell>
          <cell r="F258" t="str">
            <v>BRIDGE</v>
          </cell>
          <cell r="G258">
            <v>0</v>
          </cell>
          <cell r="H258" t="str">
            <v>MALBEC</v>
          </cell>
          <cell r="I258" t="str">
            <v>U</v>
          </cell>
          <cell r="J258" t="str">
            <v>M</v>
          </cell>
        </row>
        <row r="259">
          <cell r="B259" t="str">
            <v>MC020440101</v>
          </cell>
          <cell r="C259" t="str">
            <v>MARRO CHICA</v>
          </cell>
          <cell r="D259" t="str">
            <v>BILLETERA</v>
          </cell>
          <cell r="E259" t="str">
            <v>BILLETERA LIAM</v>
          </cell>
          <cell r="F259" t="str">
            <v>NAPADO</v>
          </cell>
          <cell r="G259">
            <v>0</v>
          </cell>
          <cell r="H259" t="str">
            <v>NEGRO</v>
          </cell>
          <cell r="I259" t="str">
            <v>U</v>
          </cell>
          <cell r="J259" t="str">
            <v>H</v>
          </cell>
        </row>
        <row r="260">
          <cell r="B260" t="str">
            <v>MC020440102</v>
          </cell>
          <cell r="C260" t="str">
            <v>MARRO CHICA</v>
          </cell>
          <cell r="D260" t="str">
            <v>BILLETERA</v>
          </cell>
          <cell r="E260" t="str">
            <v>BILLETERA LIAM</v>
          </cell>
          <cell r="F260" t="str">
            <v>NAPADO</v>
          </cell>
          <cell r="G260">
            <v>0</v>
          </cell>
          <cell r="H260" t="str">
            <v>SUELA</v>
          </cell>
          <cell r="I260" t="str">
            <v>U</v>
          </cell>
          <cell r="J260" t="str">
            <v>H</v>
          </cell>
        </row>
        <row r="261">
          <cell r="B261" t="str">
            <v>MC020440103</v>
          </cell>
          <cell r="C261" t="str">
            <v>MARRO CHICA</v>
          </cell>
          <cell r="D261" t="str">
            <v>BILLETERA</v>
          </cell>
          <cell r="E261" t="str">
            <v>BILLETERA LIAM</v>
          </cell>
          <cell r="F261" t="str">
            <v>NAPADO</v>
          </cell>
          <cell r="G261">
            <v>0</v>
          </cell>
          <cell r="H261" t="str">
            <v>CARAMELO</v>
          </cell>
          <cell r="I261" t="str">
            <v>U</v>
          </cell>
          <cell r="J261" t="str">
            <v>H</v>
          </cell>
        </row>
        <row r="262">
          <cell r="B262" t="str">
            <v>MC020440104</v>
          </cell>
          <cell r="C262" t="str">
            <v>MARRO CHICA</v>
          </cell>
          <cell r="D262" t="str">
            <v>BILLETERA</v>
          </cell>
          <cell r="E262" t="str">
            <v>BILLETERA LIAM</v>
          </cell>
          <cell r="F262" t="str">
            <v>NAPADO</v>
          </cell>
          <cell r="G262">
            <v>0</v>
          </cell>
          <cell r="H262" t="str">
            <v>TABACO</v>
          </cell>
          <cell r="I262" t="str">
            <v>U</v>
          </cell>
          <cell r="J262" t="str">
            <v>H</v>
          </cell>
        </row>
        <row r="263">
          <cell r="B263" t="str">
            <v>MC020440109</v>
          </cell>
          <cell r="C263" t="str">
            <v>MARRO CHICA</v>
          </cell>
          <cell r="D263" t="str">
            <v>BILLETERA</v>
          </cell>
          <cell r="E263" t="str">
            <v>BILLETERA LIAM</v>
          </cell>
          <cell r="F263" t="str">
            <v>NAPADO</v>
          </cell>
          <cell r="G263">
            <v>0</v>
          </cell>
          <cell r="H263" t="str">
            <v>AZUL</v>
          </cell>
          <cell r="I263" t="str">
            <v>U</v>
          </cell>
          <cell r="J263" t="str">
            <v>H</v>
          </cell>
        </row>
        <row r="264">
          <cell r="B264" t="str">
            <v>MC020440110</v>
          </cell>
          <cell r="C264" t="str">
            <v>MARRO CHICA</v>
          </cell>
          <cell r="D264" t="str">
            <v>BILLETERA</v>
          </cell>
          <cell r="E264" t="str">
            <v>BILLETERA LIAM</v>
          </cell>
          <cell r="F264" t="str">
            <v>NAPADO</v>
          </cell>
          <cell r="G264">
            <v>0</v>
          </cell>
          <cell r="H264" t="str">
            <v>VERDE</v>
          </cell>
          <cell r="I264" t="str">
            <v>U</v>
          </cell>
          <cell r="J264" t="str">
            <v>H</v>
          </cell>
        </row>
        <row r="265">
          <cell r="B265" t="str">
            <v>MC020220101</v>
          </cell>
          <cell r="C265" t="str">
            <v>MARRO CHICA</v>
          </cell>
          <cell r="D265" t="str">
            <v>BILLETERA</v>
          </cell>
          <cell r="E265" t="str">
            <v>BILLETERA LUCA</v>
          </cell>
          <cell r="F265" t="str">
            <v>NAPADO</v>
          </cell>
          <cell r="G265">
            <v>0</v>
          </cell>
          <cell r="H265" t="str">
            <v>NEGRO</v>
          </cell>
          <cell r="I265" t="str">
            <v>U</v>
          </cell>
          <cell r="J265" t="str">
            <v>H</v>
          </cell>
        </row>
        <row r="266">
          <cell r="B266" t="str">
            <v>MC020220102</v>
          </cell>
          <cell r="C266" t="str">
            <v>MARRO CHICA</v>
          </cell>
          <cell r="D266" t="str">
            <v>BILLETERA</v>
          </cell>
          <cell r="E266" t="str">
            <v>BILLETERA LUCA</v>
          </cell>
          <cell r="F266" t="str">
            <v>NAPADO</v>
          </cell>
          <cell r="G266">
            <v>0</v>
          </cell>
          <cell r="H266" t="str">
            <v>SUELA</v>
          </cell>
          <cell r="I266" t="str">
            <v>U</v>
          </cell>
          <cell r="J266" t="str">
            <v>H</v>
          </cell>
        </row>
        <row r="267">
          <cell r="B267" t="str">
            <v>MC020220103</v>
          </cell>
          <cell r="C267" t="str">
            <v>MARRO CHICA</v>
          </cell>
          <cell r="D267" t="str">
            <v>BILLETERA</v>
          </cell>
          <cell r="E267" t="str">
            <v>BILLETERA LUCA</v>
          </cell>
          <cell r="F267" t="str">
            <v>NAPADO</v>
          </cell>
          <cell r="G267">
            <v>0</v>
          </cell>
          <cell r="H267" t="str">
            <v>CARAMELO</v>
          </cell>
          <cell r="I267" t="str">
            <v>U</v>
          </cell>
          <cell r="J267" t="str">
            <v>H</v>
          </cell>
        </row>
        <row r="268">
          <cell r="B268" t="str">
            <v>MC020220104</v>
          </cell>
          <cell r="C268" t="str">
            <v>MARRO CHICA</v>
          </cell>
          <cell r="D268" t="str">
            <v>BILLETERA</v>
          </cell>
          <cell r="E268" t="str">
            <v>BILLETERA LUCA</v>
          </cell>
          <cell r="F268" t="str">
            <v>NAPADO</v>
          </cell>
          <cell r="G268">
            <v>0</v>
          </cell>
          <cell r="H268" t="str">
            <v>TABACO</v>
          </cell>
          <cell r="I268" t="str">
            <v>U</v>
          </cell>
          <cell r="J268" t="str">
            <v>H</v>
          </cell>
        </row>
        <row r="269">
          <cell r="B269" t="str">
            <v>MC020220107</v>
          </cell>
          <cell r="C269" t="str">
            <v>MARRO CHICA</v>
          </cell>
          <cell r="D269" t="str">
            <v>BILLETERA</v>
          </cell>
          <cell r="E269" t="str">
            <v>BILLETERA LUCA</v>
          </cell>
          <cell r="F269" t="str">
            <v>NAPADO</v>
          </cell>
          <cell r="G269">
            <v>0</v>
          </cell>
          <cell r="H269" t="str">
            <v>ROJO</v>
          </cell>
          <cell r="I269" t="str">
            <v>U</v>
          </cell>
          <cell r="J269" t="str">
            <v>H</v>
          </cell>
        </row>
        <row r="270">
          <cell r="B270" t="str">
            <v>MC020220109</v>
          </cell>
          <cell r="C270" t="str">
            <v>MARRO CHICA</v>
          </cell>
          <cell r="D270" t="str">
            <v>BILLETERA</v>
          </cell>
          <cell r="E270" t="str">
            <v>BILLETERA LUCA</v>
          </cell>
          <cell r="F270" t="str">
            <v>NAPADO</v>
          </cell>
          <cell r="G270">
            <v>0</v>
          </cell>
          <cell r="H270" t="str">
            <v>AZUL</v>
          </cell>
          <cell r="I270" t="str">
            <v>U</v>
          </cell>
          <cell r="J270" t="str">
            <v>H</v>
          </cell>
        </row>
        <row r="271">
          <cell r="B271" t="str">
            <v>MC020220110</v>
          </cell>
          <cell r="C271" t="str">
            <v>MARRO CHICA</v>
          </cell>
          <cell r="D271" t="str">
            <v>BILLETERA</v>
          </cell>
          <cell r="E271" t="str">
            <v>BILLETERA LUCA</v>
          </cell>
          <cell r="F271" t="str">
            <v>NAPADO</v>
          </cell>
          <cell r="G271">
            <v>0</v>
          </cell>
          <cell r="H271" t="str">
            <v>VERDE</v>
          </cell>
          <cell r="I271" t="str">
            <v>U</v>
          </cell>
          <cell r="J271" t="str">
            <v>H</v>
          </cell>
        </row>
        <row r="272">
          <cell r="B272" t="str">
            <v>MC020220115</v>
          </cell>
          <cell r="C272" t="str">
            <v>MARRO CHICA</v>
          </cell>
          <cell r="D272" t="str">
            <v>BILLETERA</v>
          </cell>
          <cell r="E272" t="str">
            <v>BILLETERA LUCA</v>
          </cell>
          <cell r="F272" t="str">
            <v>NAPADO</v>
          </cell>
          <cell r="G272">
            <v>0</v>
          </cell>
          <cell r="H272" t="str">
            <v>MALBEC</v>
          </cell>
          <cell r="I272" t="str">
            <v>U</v>
          </cell>
          <cell r="J272" t="str">
            <v>H</v>
          </cell>
        </row>
        <row r="273">
          <cell r="B273" t="str">
            <v>MC020220301</v>
          </cell>
          <cell r="C273" t="str">
            <v>MARRO CHICA</v>
          </cell>
          <cell r="D273" t="str">
            <v>BILLETERA</v>
          </cell>
          <cell r="E273" t="str">
            <v>BILLETERA LUCA</v>
          </cell>
          <cell r="F273" t="str">
            <v>BRIDGE</v>
          </cell>
          <cell r="G273">
            <v>0</v>
          </cell>
          <cell r="H273" t="str">
            <v>NEGRO</v>
          </cell>
          <cell r="I273" t="str">
            <v>U</v>
          </cell>
          <cell r="J273" t="str">
            <v>H</v>
          </cell>
        </row>
        <row r="274">
          <cell r="B274" t="str">
            <v>MC020220302</v>
          </cell>
          <cell r="C274" t="str">
            <v>MARRO CHICA</v>
          </cell>
          <cell r="D274" t="str">
            <v>BILLETERA</v>
          </cell>
          <cell r="E274" t="str">
            <v>BILLETERA LUCA</v>
          </cell>
          <cell r="F274" t="str">
            <v>BRIDGE</v>
          </cell>
          <cell r="G274">
            <v>0</v>
          </cell>
          <cell r="H274" t="str">
            <v>SUELA</v>
          </cell>
          <cell r="I274" t="str">
            <v>U</v>
          </cell>
          <cell r="J274" t="str">
            <v>H</v>
          </cell>
        </row>
        <row r="275">
          <cell r="B275" t="str">
            <v>MC020220303</v>
          </cell>
          <cell r="C275" t="str">
            <v>MARRO CHICA</v>
          </cell>
          <cell r="D275" t="str">
            <v>BILLETERA</v>
          </cell>
          <cell r="E275" t="str">
            <v>BILLETERA LUCA</v>
          </cell>
          <cell r="F275" t="str">
            <v>BRIDGE</v>
          </cell>
          <cell r="G275">
            <v>0</v>
          </cell>
          <cell r="H275" t="str">
            <v>CARAMELO</v>
          </cell>
          <cell r="I275" t="str">
            <v>U</v>
          </cell>
          <cell r="J275" t="str">
            <v>H</v>
          </cell>
        </row>
        <row r="276">
          <cell r="B276" t="str">
            <v>MC020220304</v>
          </cell>
          <cell r="C276" t="str">
            <v>MARRO CHICA</v>
          </cell>
          <cell r="D276" t="str">
            <v>BILLETERA</v>
          </cell>
          <cell r="E276" t="str">
            <v>BILLETERA LUCA</v>
          </cell>
          <cell r="F276" t="str">
            <v>BRIDGE</v>
          </cell>
          <cell r="G276">
            <v>0</v>
          </cell>
          <cell r="H276" t="str">
            <v>TABACO</v>
          </cell>
          <cell r="I276" t="str">
            <v>U</v>
          </cell>
          <cell r="J276" t="str">
            <v>H</v>
          </cell>
        </row>
        <row r="277">
          <cell r="B277" t="str">
            <v>MC020220309</v>
          </cell>
          <cell r="C277" t="str">
            <v>MARRO CHICA</v>
          </cell>
          <cell r="D277" t="str">
            <v>BILLETERA</v>
          </cell>
          <cell r="E277" t="str">
            <v>BILLETERA LUCA</v>
          </cell>
          <cell r="F277" t="str">
            <v>BRIDGE</v>
          </cell>
          <cell r="G277">
            <v>0</v>
          </cell>
          <cell r="H277" t="str">
            <v>AZUL</v>
          </cell>
          <cell r="I277" t="str">
            <v>U</v>
          </cell>
          <cell r="J277" t="str">
            <v>H</v>
          </cell>
        </row>
        <row r="278">
          <cell r="B278" t="str">
            <v>MC020220310</v>
          </cell>
          <cell r="C278" t="str">
            <v>MARRO CHICA</v>
          </cell>
          <cell r="D278" t="str">
            <v>BILLETERA</v>
          </cell>
          <cell r="E278" t="str">
            <v>BILLETERA LUCA</v>
          </cell>
          <cell r="F278" t="str">
            <v>BRIDGE</v>
          </cell>
          <cell r="G278">
            <v>0</v>
          </cell>
          <cell r="H278" t="str">
            <v>VERDE</v>
          </cell>
          <cell r="I278" t="str">
            <v>U</v>
          </cell>
          <cell r="J278" t="str">
            <v>H</v>
          </cell>
        </row>
        <row r="279">
          <cell r="B279" t="str">
            <v>MC020220312</v>
          </cell>
          <cell r="C279" t="str">
            <v>MARRO CHICA</v>
          </cell>
          <cell r="D279" t="str">
            <v>BILLETERA</v>
          </cell>
          <cell r="E279" t="str">
            <v>BILLETERA LUCA</v>
          </cell>
          <cell r="F279" t="str">
            <v>BRIDGE</v>
          </cell>
          <cell r="G279">
            <v>0</v>
          </cell>
          <cell r="H279" t="str">
            <v>GRIS</v>
          </cell>
          <cell r="I279" t="str">
            <v>U</v>
          </cell>
          <cell r="J279" t="str">
            <v>H</v>
          </cell>
        </row>
        <row r="280">
          <cell r="B280" t="str">
            <v>MC020220352</v>
          </cell>
          <cell r="C280" t="str">
            <v>MARRO CHICA</v>
          </cell>
          <cell r="D280" t="str">
            <v>BILLETERA</v>
          </cell>
          <cell r="E280" t="str">
            <v>BILLETERA LUCA</v>
          </cell>
          <cell r="F280" t="str">
            <v>BRIDGE</v>
          </cell>
          <cell r="G280">
            <v>0</v>
          </cell>
          <cell r="H280" t="str">
            <v>CHOCOLATE</v>
          </cell>
          <cell r="I280" t="str">
            <v>U</v>
          </cell>
          <cell r="J280" t="str">
            <v>H</v>
          </cell>
        </row>
        <row r="281">
          <cell r="B281" t="str">
            <v>MC020220701</v>
          </cell>
          <cell r="C281" t="str">
            <v>MARRO CHICA</v>
          </cell>
          <cell r="D281" t="str">
            <v>BILLETERA</v>
          </cell>
          <cell r="E281" t="str">
            <v>BILLETERA LUCA</v>
          </cell>
          <cell r="F281" t="str">
            <v>IGUANA</v>
          </cell>
          <cell r="G281">
            <v>0</v>
          </cell>
          <cell r="H281" t="str">
            <v>NEGRO</v>
          </cell>
          <cell r="I281" t="str">
            <v>U</v>
          </cell>
          <cell r="J281" t="str">
            <v>H</v>
          </cell>
        </row>
        <row r="282">
          <cell r="B282" t="str">
            <v>MC020220703</v>
          </cell>
          <cell r="C282" t="str">
            <v>MARRO CHICA</v>
          </cell>
          <cell r="D282" t="str">
            <v>BILLETERA</v>
          </cell>
          <cell r="E282" t="str">
            <v>BILLETERA LUCA</v>
          </cell>
          <cell r="F282" t="str">
            <v>IGUANA</v>
          </cell>
          <cell r="G282">
            <v>0</v>
          </cell>
          <cell r="H282" t="str">
            <v>CARAMELO</v>
          </cell>
          <cell r="I282" t="str">
            <v>U</v>
          </cell>
          <cell r="J282" t="str">
            <v>H</v>
          </cell>
        </row>
        <row r="283">
          <cell r="B283" t="str">
            <v>MC020220705</v>
          </cell>
          <cell r="C283" t="str">
            <v>MARRO CHICA</v>
          </cell>
          <cell r="D283" t="str">
            <v>BILLETERA</v>
          </cell>
          <cell r="E283" t="str">
            <v>BILLETERA LUCA</v>
          </cell>
          <cell r="F283" t="str">
            <v>IGUANA</v>
          </cell>
          <cell r="G283">
            <v>0</v>
          </cell>
          <cell r="H283" t="str">
            <v>LONDON</v>
          </cell>
          <cell r="I283" t="str">
            <v>U</v>
          </cell>
          <cell r="J283" t="str">
            <v>H</v>
          </cell>
        </row>
        <row r="284">
          <cell r="B284" t="str">
            <v>MC020220707</v>
          </cell>
          <cell r="C284" t="str">
            <v>MARRO CHICA</v>
          </cell>
          <cell r="D284" t="str">
            <v>BILLETERA</v>
          </cell>
          <cell r="E284" t="str">
            <v>BILLETERA LUCA</v>
          </cell>
          <cell r="F284" t="str">
            <v>IGUANA</v>
          </cell>
          <cell r="G284">
            <v>0</v>
          </cell>
          <cell r="H284" t="str">
            <v>ROJO</v>
          </cell>
          <cell r="I284" t="str">
            <v>U</v>
          </cell>
          <cell r="J284" t="str">
            <v>H</v>
          </cell>
        </row>
        <row r="285">
          <cell r="B285" t="str">
            <v>MC020221201</v>
          </cell>
          <cell r="C285" t="str">
            <v>MARRO CHICA</v>
          </cell>
          <cell r="D285" t="str">
            <v>BILLETERA</v>
          </cell>
          <cell r="E285" t="str">
            <v>BILLETERA LUCA</v>
          </cell>
          <cell r="F285" t="str">
            <v>DUNA</v>
          </cell>
          <cell r="G285">
            <v>0</v>
          </cell>
          <cell r="H285" t="str">
            <v>NEGRO</v>
          </cell>
          <cell r="I285" t="str">
            <v>U</v>
          </cell>
          <cell r="J285" t="str">
            <v>H</v>
          </cell>
        </row>
        <row r="286">
          <cell r="B286" t="str">
            <v>MC020221623</v>
          </cell>
          <cell r="C286" t="str">
            <v>MARRO CHICA</v>
          </cell>
          <cell r="D286" t="str">
            <v>BILLETERA</v>
          </cell>
          <cell r="E286" t="str">
            <v>BILLETERA LUCA</v>
          </cell>
          <cell r="F286" t="str">
            <v>FIORENTINO</v>
          </cell>
          <cell r="G286">
            <v>0</v>
          </cell>
          <cell r="H286" t="str">
            <v>CEDRO</v>
          </cell>
          <cell r="I286" t="str">
            <v>U</v>
          </cell>
          <cell r="J286" t="str">
            <v>H</v>
          </cell>
        </row>
        <row r="287">
          <cell r="B287" t="str">
            <v>MC020320101</v>
          </cell>
          <cell r="C287" t="str">
            <v>MARRO CHICA</v>
          </cell>
          <cell r="D287" t="str">
            <v>BILLETERA</v>
          </cell>
          <cell r="E287" t="str">
            <v>BILLETERA MILO</v>
          </cell>
          <cell r="F287" t="str">
            <v>NAPADO</v>
          </cell>
          <cell r="G287">
            <v>0</v>
          </cell>
          <cell r="H287" t="str">
            <v>NEGRO</v>
          </cell>
          <cell r="I287" t="str">
            <v>U</v>
          </cell>
          <cell r="J287" t="str">
            <v>H</v>
          </cell>
        </row>
        <row r="288">
          <cell r="B288" t="str">
            <v>MC020320102</v>
          </cell>
          <cell r="C288" t="str">
            <v>MARRO CHICA</v>
          </cell>
          <cell r="D288" t="str">
            <v>BILLETERA</v>
          </cell>
          <cell r="E288" t="str">
            <v>BILLETERA MILO</v>
          </cell>
          <cell r="F288" t="str">
            <v>NAPADO</v>
          </cell>
          <cell r="G288">
            <v>0</v>
          </cell>
          <cell r="H288" t="str">
            <v>SUELA</v>
          </cell>
          <cell r="I288" t="str">
            <v>U</v>
          </cell>
          <cell r="J288" t="str">
            <v>H</v>
          </cell>
        </row>
        <row r="289">
          <cell r="B289" t="str">
            <v>MC020320109</v>
          </cell>
          <cell r="C289" t="str">
            <v>MARRO CHICA</v>
          </cell>
          <cell r="D289" t="str">
            <v>BILLETERA</v>
          </cell>
          <cell r="E289" t="str">
            <v>BILLETERA MILO</v>
          </cell>
          <cell r="F289" t="str">
            <v>NAPADO</v>
          </cell>
          <cell r="G289">
            <v>0</v>
          </cell>
          <cell r="H289" t="str">
            <v>AZUL</v>
          </cell>
          <cell r="I289" t="str">
            <v>U</v>
          </cell>
          <cell r="J289" t="str">
            <v>H</v>
          </cell>
        </row>
        <row r="290">
          <cell r="B290" t="str">
            <v>MC020430102</v>
          </cell>
          <cell r="C290" t="str">
            <v>MARRO CHICA</v>
          </cell>
          <cell r="D290" t="str">
            <v>BILLETERA</v>
          </cell>
          <cell r="E290" t="str">
            <v>BILLETERA MILO SIMPLE</v>
          </cell>
          <cell r="F290" t="str">
            <v>NAPADO</v>
          </cell>
          <cell r="G290">
            <v>0</v>
          </cell>
          <cell r="H290" t="str">
            <v>SUELA</v>
          </cell>
          <cell r="I290" t="str">
            <v>U</v>
          </cell>
          <cell r="J290" t="str">
            <v>H</v>
          </cell>
        </row>
        <row r="291">
          <cell r="B291" t="str">
            <v>MC020430104</v>
          </cell>
          <cell r="C291" t="str">
            <v>MARRO CHICA</v>
          </cell>
          <cell r="D291" t="str">
            <v>BILLETERA</v>
          </cell>
          <cell r="E291" t="str">
            <v>BILLETERA MILO SIMPLE</v>
          </cell>
          <cell r="F291" t="str">
            <v>NAPADO</v>
          </cell>
          <cell r="G291">
            <v>0</v>
          </cell>
          <cell r="H291" t="str">
            <v>TABACO</v>
          </cell>
          <cell r="I291" t="str">
            <v>U</v>
          </cell>
          <cell r="J291" t="str">
            <v>H</v>
          </cell>
        </row>
        <row r="292">
          <cell r="B292" t="str">
            <v>MC020430109</v>
          </cell>
          <cell r="C292" t="str">
            <v>MARRO CHICA</v>
          </cell>
          <cell r="D292" t="str">
            <v>BILLETERA</v>
          </cell>
          <cell r="E292" t="str">
            <v>BILLETERA MILO SIMPLE</v>
          </cell>
          <cell r="F292" t="str">
            <v>NAPADO</v>
          </cell>
          <cell r="G292">
            <v>0</v>
          </cell>
          <cell r="H292" t="str">
            <v>AZUL</v>
          </cell>
          <cell r="I292" t="str">
            <v>U</v>
          </cell>
          <cell r="J292" t="str">
            <v>H</v>
          </cell>
        </row>
        <row r="293">
          <cell r="B293" t="str">
            <v>MC020431201</v>
          </cell>
          <cell r="C293" t="str">
            <v>MARRO CHICA</v>
          </cell>
          <cell r="D293" t="str">
            <v>BILLETERA</v>
          </cell>
          <cell r="E293" t="str">
            <v>BILLETERA MILO SIMPLE</v>
          </cell>
          <cell r="F293" t="str">
            <v>DUNA</v>
          </cell>
          <cell r="G293">
            <v>0</v>
          </cell>
          <cell r="H293" t="str">
            <v>NEGRO</v>
          </cell>
          <cell r="I293" t="str">
            <v>U</v>
          </cell>
          <cell r="J293" t="str">
            <v>H</v>
          </cell>
        </row>
        <row r="294">
          <cell r="B294" t="str">
            <v>MC020431623</v>
          </cell>
          <cell r="C294" t="str">
            <v>MARRO CHICA</v>
          </cell>
          <cell r="D294" t="str">
            <v>BILLETERA</v>
          </cell>
          <cell r="E294" t="str">
            <v>BILLETERA MILO SIMPLE</v>
          </cell>
          <cell r="F294" t="str">
            <v>FIORENTINO</v>
          </cell>
          <cell r="G294">
            <v>0</v>
          </cell>
          <cell r="H294" t="str">
            <v>CEDRO</v>
          </cell>
          <cell r="I294" t="str">
            <v>U</v>
          </cell>
          <cell r="J294" t="str">
            <v>H</v>
          </cell>
        </row>
        <row r="295">
          <cell r="B295" t="str">
            <v>MC020432201</v>
          </cell>
          <cell r="C295" t="str">
            <v>MARRO CHICA</v>
          </cell>
          <cell r="D295" t="str">
            <v>BILLETERA</v>
          </cell>
          <cell r="E295" t="str">
            <v>BILLETERA MILO SIMPLE</v>
          </cell>
          <cell r="F295" t="str">
            <v>SALLY</v>
          </cell>
          <cell r="G295">
            <v>0</v>
          </cell>
          <cell r="H295" t="str">
            <v>NEGRO</v>
          </cell>
          <cell r="I295" t="str">
            <v>U</v>
          </cell>
          <cell r="J295" t="str">
            <v>H</v>
          </cell>
        </row>
        <row r="296">
          <cell r="B296" t="str">
            <v>MC020432202</v>
          </cell>
          <cell r="C296" t="str">
            <v>MARRO CHICA</v>
          </cell>
          <cell r="D296" t="str">
            <v>BILLETERA</v>
          </cell>
          <cell r="E296" t="str">
            <v>BILLETERA MILO SIMPLE</v>
          </cell>
          <cell r="F296" t="str">
            <v>SALLY</v>
          </cell>
          <cell r="G296">
            <v>0</v>
          </cell>
          <cell r="H296" t="str">
            <v>SUELA</v>
          </cell>
          <cell r="I296" t="str">
            <v>U</v>
          </cell>
          <cell r="J296" t="str">
            <v>H</v>
          </cell>
        </row>
        <row r="297">
          <cell r="B297" t="str">
            <v>MC020210101</v>
          </cell>
          <cell r="C297" t="str">
            <v>MARRO CHICA</v>
          </cell>
          <cell r="D297" t="str">
            <v>BILLETERA</v>
          </cell>
          <cell r="E297" t="str">
            <v>BILLETERA OSADIA</v>
          </cell>
          <cell r="F297" t="str">
            <v>NAPADO</v>
          </cell>
          <cell r="G297">
            <v>0</v>
          </cell>
          <cell r="H297" t="str">
            <v>NEGRO</v>
          </cell>
          <cell r="I297" t="str">
            <v>U</v>
          </cell>
          <cell r="J297" t="str">
            <v>M</v>
          </cell>
        </row>
        <row r="298">
          <cell r="B298" t="str">
            <v>MC020210102</v>
          </cell>
          <cell r="C298" t="str">
            <v>MARRO CHICA</v>
          </cell>
          <cell r="D298" t="str">
            <v>BILLETERA</v>
          </cell>
          <cell r="E298" t="str">
            <v>BILLETERA OSADIA</v>
          </cell>
          <cell r="F298" t="str">
            <v>NAPADO</v>
          </cell>
          <cell r="G298">
            <v>0</v>
          </cell>
          <cell r="H298" t="str">
            <v>SUELA</v>
          </cell>
          <cell r="I298" t="str">
            <v>U</v>
          </cell>
          <cell r="J298" t="str">
            <v>M</v>
          </cell>
        </row>
        <row r="299">
          <cell r="B299" t="str">
            <v>MC020210103</v>
          </cell>
          <cell r="C299" t="str">
            <v>MARRO CHICA</v>
          </cell>
          <cell r="D299" t="str">
            <v>BILLETERA</v>
          </cell>
          <cell r="E299" t="str">
            <v>BILLETERA OSADIA</v>
          </cell>
          <cell r="F299" t="str">
            <v>NAPADO</v>
          </cell>
          <cell r="G299">
            <v>0</v>
          </cell>
          <cell r="H299" t="str">
            <v>CARAMELO</v>
          </cell>
          <cell r="I299" t="str">
            <v>U</v>
          </cell>
          <cell r="J299" t="str">
            <v>M</v>
          </cell>
        </row>
        <row r="300">
          <cell r="B300" t="str">
            <v>MC020210107</v>
          </cell>
          <cell r="C300" t="str">
            <v>MARRO CHICA</v>
          </cell>
          <cell r="D300" t="str">
            <v>BILLETERA</v>
          </cell>
          <cell r="E300" t="str">
            <v>BILLETERA OSADIA</v>
          </cell>
          <cell r="F300" t="str">
            <v>NAPADO</v>
          </cell>
          <cell r="G300">
            <v>0</v>
          </cell>
          <cell r="H300" t="str">
            <v>ROJO</v>
          </cell>
          <cell r="I300" t="str">
            <v>U</v>
          </cell>
          <cell r="J300" t="str">
            <v>M</v>
          </cell>
        </row>
        <row r="301">
          <cell r="B301" t="str">
            <v>MC020210109</v>
          </cell>
          <cell r="C301" t="str">
            <v>MARRO CHICA</v>
          </cell>
          <cell r="D301" t="str">
            <v>BILLETERA</v>
          </cell>
          <cell r="E301" t="str">
            <v>BILLETERA OSADIA</v>
          </cell>
          <cell r="F301" t="str">
            <v>NAPADO</v>
          </cell>
          <cell r="G301">
            <v>0</v>
          </cell>
          <cell r="H301" t="str">
            <v>AZUL</v>
          </cell>
          <cell r="I301" t="str">
            <v>U</v>
          </cell>
          <cell r="J301" t="str">
            <v>M</v>
          </cell>
        </row>
        <row r="302">
          <cell r="B302" t="str">
            <v>MC020210110</v>
          </cell>
          <cell r="C302" t="str">
            <v>MARRO CHICA</v>
          </cell>
          <cell r="D302" t="str">
            <v>BILLETERA</v>
          </cell>
          <cell r="E302" t="str">
            <v>BILLETERA OSADIA</v>
          </cell>
          <cell r="F302" t="str">
            <v>NAPADO</v>
          </cell>
          <cell r="G302">
            <v>0</v>
          </cell>
          <cell r="H302" t="str">
            <v>VERDE</v>
          </cell>
          <cell r="I302" t="str">
            <v>U</v>
          </cell>
          <cell r="J302" t="str">
            <v>M</v>
          </cell>
        </row>
        <row r="303">
          <cell r="B303" t="str">
            <v>MC020210301</v>
          </cell>
          <cell r="C303" t="str">
            <v>MARRO CHICA</v>
          </cell>
          <cell r="D303" t="str">
            <v>BILLETERA</v>
          </cell>
          <cell r="E303" t="str">
            <v>BILLETERA OSADIA</v>
          </cell>
          <cell r="F303" t="str">
            <v>BRIDGE</v>
          </cell>
          <cell r="G303">
            <v>0</v>
          </cell>
          <cell r="H303" t="str">
            <v>NEGRO</v>
          </cell>
          <cell r="I303" t="str">
            <v>U</v>
          </cell>
          <cell r="J303" t="str">
            <v>M</v>
          </cell>
        </row>
        <row r="304">
          <cell r="B304" t="str">
            <v>MC020210303</v>
          </cell>
          <cell r="C304" t="str">
            <v>MARRO CHICA</v>
          </cell>
          <cell r="D304" t="str">
            <v>BILLETERA</v>
          </cell>
          <cell r="E304" t="str">
            <v>BILLETERA OSADIA</v>
          </cell>
          <cell r="F304" t="str">
            <v>BRIDGE</v>
          </cell>
          <cell r="G304">
            <v>0</v>
          </cell>
          <cell r="H304" t="str">
            <v>CARAMELO</v>
          </cell>
          <cell r="I304" t="str">
            <v>U</v>
          </cell>
          <cell r="J304" t="str">
            <v>M</v>
          </cell>
        </row>
        <row r="305">
          <cell r="B305" t="str">
            <v>MC020210304</v>
          </cell>
          <cell r="C305" t="str">
            <v>MARRO CHICA</v>
          </cell>
          <cell r="D305" t="str">
            <v>BILLETERA</v>
          </cell>
          <cell r="E305" t="str">
            <v>BILLETERA OSADIA</v>
          </cell>
          <cell r="F305" t="str">
            <v>BRIDGE</v>
          </cell>
          <cell r="G305">
            <v>0</v>
          </cell>
          <cell r="H305" t="str">
            <v>TABACO</v>
          </cell>
          <cell r="I305" t="str">
            <v>U</v>
          </cell>
          <cell r="J305" t="str">
            <v>M</v>
          </cell>
        </row>
        <row r="306">
          <cell r="B306" t="str">
            <v>MC020210307</v>
          </cell>
          <cell r="C306" t="str">
            <v>MARRO CHICA</v>
          </cell>
          <cell r="D306" t="str">
            <v>BILLETERA</v>
          </cell>
          <cell r="E306" t="str">
            <v>BILLETERA OSADIA</v>
          </cell>
          <cell r="F306" t="str">
            <v>BRIDGE</v>
          </cell>
          <cell r="G306">
            <v>0</v>
          </cell>
          <cell r="H306" t="str">
            <v>ROJO</v>
          </cell>
          <cell r="I306" t="str">
            <v>U</v>
          </cell>
          <cell r="J306" t="str">
            <v>M</v>
          </cell>
        </row>
        <row r="307">
          <cell r="B307" t="str">
            <v>MC020210309</v>
          </cell>
          <cell r="C307" t="str">
            <v>MARRO CHICA</v>
          </cell>
          <cell r="D307" t="str">
            <v>BILLETERA</v>
          </cell>
          <cell r="E307" t="str">
            <v>BILLETERA OSADIA</v>
          </cell>
          <cell r="F307" t="str">
            <v>BRIDGE</v>
          </cell>
          <cell r="G307">
            <v>0</v>
          </cell>
          <cell r="H307" t="str">
            <v>AZUL</v>
          </cell>
          <cell r="I307" t="str">
            <v>U</v>
          </cell>
          <cell r="J307" t="str">
            <v>M</v>
          </cell>
        </row>
        <row r="308">
          <cell r="B308" t="str">
            <v>MC020210310</v>
          </cell>
          <cell r="C308" t="str">
            <v>MARRO CHICA</v>
          </cell>
          <cell r="D308" t="str">
            <v>BILLETERA</v>
          </cell>
          <cell r="E308" t="str">
            <v>BILLETERA OSADIA</v>
          </cell>
          <cell r="F308" t="str">
            <v>BRIDGE</v>
          </cell>
          <cell r="G308">
            <v>0</v>
          </cell>
          <cell r="H308" t="str">
            <v>VERDE</v>
          </cell>
          <cell r="I308" t="str">
            <v>U</v>
          </cell>
          <cell r="J308" t="str">
            <v>M</v>
          </cell>
        </row>
        <row r="309">
          <cell r="B309" t="str">
            <v>MC020210312</v>
          </cell>
          <cell r="C309" t="str">
            <v>MARRO CHICA</v>
          </cell>
          <cell r="D309" t="str">
            <v>BILLETERA</v>
          </cell>
          <cell r="E309" t="str">
            <v>BILLETERA OSADIA</v>
          </cell>
          <cell r="F309" t="str">
            <v>BRIDGE</v>
          </cell>
          <cell r="G309">
            <v>0</v>
          </cell>
          <cell r="H309" t="str">
            <v>GRIS</v>
          </cell>
          <cell r="I309" t="str">
            <v>U</v>
          </cell>
          <cell r="J309" t="str">
            <v>M</v>
          </cell>
        </row>
        <row r="310">
          <cell r="B310" t="str">
            <v>MC020210315</v>
          </cell>
          <cell r="C310" t="str">
            <v>MARRO CHICA</v>
          </cell>
          <cell r="D310" t="str">
            <v>BILLETERA</v>
          </cell>
          <cell r="E310" t="str">
            <v>BILLETERA OSADIA</v>
          </cell>
          <cell r="F310" t="str">
            <v>BRIDGE</v>
          </cell>
          <cell r="G310">
            <v>0</v>
          </cell>
          <cell r="H310" t="str">
            <v>MALBEC</v>
          </cell>
          <cell r="I310" t="str">
            <v>U</v>
          </cell>
          <cell r="J310" t="str">
            <v>M</v>
          </cell>
        </row>
        <row r="311">
          <cell r="B311" t="str">
            <v>MC020210101-T</v>
          </cell>
          <cell r="C311" t="str">
            <v>MARRO CHICA</v>
          </cell>
          <cell r="D311" t="str">
            <v>BILLETERA</v>
          </cell>
          <cell r="E311" t="str">
            <v>BILLETERA OSADIA-T</v>
          </cell>
          <cell r="F311" t="str">
            <v>NAPADO</v>
          </cell>
          <cell r="G311">
            <v>0</v>
          </cell>
          <cell r="H311" t="str">
            <v>NEGRO</v>
          </cell>
          <cell r="I311" t="str">
            <v>U</v>
          </cell>
          <cell r="J311" t="str">
            <v>M</v>
          </cell>
        </row>
        <row r="312">
          <cell r="B312" t="str">
            <v>MC020210102-T</v>
          </cell>
          <cell r="C312" t="str">
            <v>MARRO CHICA</v>
          </cell>
          <cell r="D312" t="str">
            <v>BILLETERA</v>
          </cell>
          <cell r="E312" t="str">
            <v>BILLETERA OSADIA-T</v>
          </cell>
          <cell r="F312" t="str">
            <v>NAPADO</v>
          </cell>
          <cell r="G312">
            <v>0</v>
          </cell>
          <cell r="H312" t="str">
            <v>SUELA</v>
          </cell>
          <cell r="I312" t="str">
            <v>U</v>
          </cell>
          <cell r="J312" t="str">
            <v>M</v>
          </cell>
        </row>
        <row r="313">
          <cell r="B313" t="str">
            <v>MC020210103-T</v>
          </cell>
          <cell r="C313" t="str">
            <v>MARRO CHICA</v>
          </cell>
          <cell r="D313" t="str">
            <v>BILLETERA</v>
          </cell>
          <cell r="E313" t="str">
            <v>BILLETERA OSADIA-T</v>
          </cell>
          <cell r="F313" t="str">
            <v>NAPADO</v>
          </cell>
          <cell r="G313">
            <v>0</v>
          </cell>
          <cell r="H313" t="str">
            <v>CARAMELO</v>
          </cell>
          <cell r="I313" t="str">
            <v>U</v>
          </cell>
          <cell r="J313" t="str">
            <v>M</v>
          </cell>
        </row>
        <row r="314">
          <cell r="B314" t="str">
            <v>MC020210303-T</v>
          </cell>
          <cell r="C314" t="str">
            <v>MARRO CHICA</v>
          </cell>
          <cell r="D314" t="str">
            <v>BILLETERA</v>
          </cell>
          <cell r="E314" t="str">
            <v>BILLETERA OSADIA-T</v>
          </cell>
          <cell r="F314" t="str">
            <v>BRIDGE</v>
          </cell>
          <cell r="G314">
            <v>0</v>
          </cell>
          <cell r="H314" t="str">
            <v>CARAMELO</v>
          </cell>
          <cell r="I314" t="str">
            <v>U</v>
          </cell>
          <cell r="J314" t="str">
            <v>M</v>
          </cell>
        </row>
        <row r="315">
          <cell r="B315" t="str">
            <v>MC020210304-T</v>
          </cell>
          <cell r="C315" t="str">
            <v>MARRO CHICA</v>
          </cell>
          <cell r="D315" t="str">
            <v>BILLETERA</v>
          </cell>
          <cell r="E315" t="str">
            <v>BILLETERA OSADIA-T</v>
          </cell>
          <cell r="F315" t="str">
            <v>BRIDGE</v>
          </cell>
          <cell r="G315">
            <v>0</v>
          </cell>
          <cell r="H315" t="str">
            <v>TABACO</v>
          </cell>
          <cell r="I315" t="str">
            <v>U</v>
          </cell>
          <cell r="J315" t="str">
            <v>M</v>
          </cell>
        </row>
        <row r="316">
          <cell r="B316" t="str">
            <v>MC020210307-T</v>
          </cell>
          <cell r="C316" t="str">
            <v>MARRO CHICA</v>
          </cell>
          <cell r="D316" t="str">
            <v>BILLETERA</v>
          </cell>
          <cell r="E316" t="str">
            <v>BILLETERA OSADIA-T</v>
          </cell>
          <cell r="F316" t="str">
            <v>BRIDGE</v>
          </cell>
          <cell r="G316">
            <v>0</v>
          </cell>
          <cell r="H316" t="str">
            <v>ROJO</v>
          </cell>
          <cell r="I316" t="str">
            <v>U</v>
          </cell>
          <cell r="J316" t="str">
            <v>M</v>
          </cell>
        </row>
        <row r="317">
          <cell r="B317" t="str">
            <v>MC020210309-T</v>
          </cell>
          <cell r="C317" t="str">
            <v>MARRO CHICA</v>
          </cell>
          <cell r="D317" t="str">
            <v>BILLETERA</v>
          </cell>
          <cell r="E317" t="str">
            <v>BILLETERA OSADIA-T</v>
          </cell>
          <cell r="F317" t="str">
            <v>BRIDGE</v>
          </cell>
          <cell r="G317">
            <v>0</v>
          </cell>
          <cell r="H317" t="str">
            <v>AZUL</v>
          </cell>
          <cell r="I317" t="str">
            <v>U</v>
          </cell>
          <cell r="J317" t="str">
            <v>M</v>
          </cell>
        </row>
        <row r="318">
          <cell r="B318" t="str">
            <v>MC020210310-T</v>
          </cell>
          <cell r="C318" t="str">
            <v>MARRO CHICA</v>
          </cell>
          <cell r="D318" t="str">
            <v>BILLETERA</v>
          </cell>
          <cell r="E318" t="str">
            <v>BILLETERA OSADIA-T</v>
          </cell>
          <cell r="F318" t="str">
            <v>BRIDGE</v>
          </cell>
          <cell r="G318">
            <v>0</v>
          </cell>
          <cell r="H318" t="str">
            <v>VERDE</v>
          </cell>
          <cell r="I318" t="str">
            <v>U</v>
          </cell>
          <cell r="J318" t="str">
            <v>M</v>
          </cell>
        </row>
        <row r="319">
          <cell r="B319" t="str">
            <v>MC020300101</v>
          </cell>
          <cell r="C319" t="str">
            <v>MARRO CHICA</v>
          </cell>
          <cell r="D319" t="str">
            <v>BILLETERA</v>
          </cell>
          <cell r="E319" t="str">
            <v>BILLETERA PENY</v>
          </cell>
          <cell r="F319" t="str">
            <v>NAPADO</v>
          </cell>
          <cell r="G319">
            <v>0</v>
          </cell>
          <cell r="H319" t="str">
            <v>NEGRO</v>
          </cell>
          <cell r="I319" t="str">
            <v>U</v>
          </cell>
          <cell r="J319" t="str">
            <v>M</v>
          </cell>
        </row>
        <row r="320">
          <cell r="B320" t="str">
            <v>MC020300102</v>
          </cell>
          <cell r="C320" t="str">
            <v>MARRO CHICA</v>
          </cell>
          <cell r="D320" t="str">
            <v>BILLETERA</v>
          </cell>
          <cell r="E320" t="str">
            <v>BILLETERA PENY</v>
          </cell>
          <cell r="F320" t="str">
            <v>NAPADO</v>
          </cell>
          <cell r="G320">
            <v>0</v>
          </cell>
          <cell r="H320" t="str">
            <v>SUELA</v>
          </cell>
          <cell r="I320" t="str">
            <v>U</v>
          </cell>
          <cell r="J320" t="str">
            <v>M</v>
          </cell>
        </row>
        <row r="321">
          <cell r="B321" t="str">
            <v>MC020300103</v>
          </cell>
          <cell r="C321" t="str">
            <v>MARRO CHICA</v>
          </cell>
          <cell r="D321" t="str">
            <v>BILLETERA</v>
          </cell>
          <cell r="E321" t="str">
            <v>BILLETERA PENY</v>
          </cell>
          <cell r="F321" t="str">
            <v>NAPADO</v>
          </cell>
          <cell r="G321">
            <v>0</v>
          </cell>
          <cell r="H321" t="str">
            <v>CARAMELO</v>
          </cell>
          <cell r="I321" t="str">
            <v>U</v>
          </cell>
          <cell r="J321" t="str">
            <v>M</v>
          </cell>
        </row>
        <row r="322">
          <cell r="B322" t="str">
            <v>MC020300105</v>
          </cell>
          <cell r="C322" t="str">
            <v>MARRO CHICA</v>
          </cell>
          <cell r="D322" t="str">
            <v>BILLETERA</v>
          </cell>
          <cell r="E322" t="str">
            <v>BILLETERA PENY</v>
          </cell>
          <cell r="F322" t="str">
            <v>NAPADO</v>
          </cell>
          <cell r="G322">
            <v>0</v>
          </cell>
          <cell r="H322" t="str">
            <v>LONDON</v>
          </cell>
          <cell r="I322" t="str">
            <v>U</v>
          </cell>
          <cell r="J322" t="str">
            <v>M</v>
          </cell>
        </row>
        <row r="323">
          <cell r="B323" t="str">
            <v>MC020300107</v>
          </cell>
          <cell r="C323" t="str">
            <v>MARRO CHICA</v>
          </cell>
          <cell r="D323" t="str">
            <v>BILLETERA</v>
          </cell>
          <cell r="E323" t="str">
            <v>BILLETERA PENY</v>
          </cell>
          <cell r="F323" t="str">
            <v>NAPADO</v>
          </cell>
          <cell r="G323">
            <v>0</v>
          </cell>
          <cell r="H323" t="str">
            <v>ROJO</v>
          </cell>
          <cell r="I323" t="str">
            <v>U</v>
          </cell>
          <cell r="J323" t="str">
            <v>M</v>
          </cell>
        </row>
        <row r="324">
          <cell r="B324" t="str">
            <v>MC020300109</v>
          </cell>
          <cell r="C324" t="str">
            <v>MARRO CHICA</v>
          </cell>
          <cell r="D324" t="str">
            <v>BILLETERA</v>
          </cell>
          <cell r="E324" t="str">
            <v>BILLETERA PENY</v>
          </cell>
          <cell r="F324" t="str">
            <v>NAPADO</v>
          </cell>
          <cell r="G324">
            <v>0</v>
          </cell>
          <cell r="H324" t="str">
            <v>AZUL</v>
          </cell>
          <cell r="I324" t="str">
            <v>U</v>
          </cell>
          <cell r="J324" t="str">
            <v>M</v>
          </cell>
        </row>
        <row r="325">
          <cell r="B325" t="str">
            <v>MC020300110</v>
          </cell>
          <cell r="C325" t="str">
            <v>MARRO CHICA</v>
          </cell>
          <cell r="D325" t="str">
            <v>BILLETERA</v>
          </cell>
          <cell r="E325" t="str">
            <v>BILLETERA PENY</v>
          </cell>
          <cell r="F325" t="str">
            <v>NAPADO</v>
          </cell>
          <cell r="G325">
            <v>0</v>
          </cell>
          <cell r="H325" t="str">
            <v>VERDE</v>
          </cell>
          <cell r="I325" t="str">
            <v>U</v>
          </cell>
          <cell r="J325" t="str">
            <v>M</v>
          </cell>
        </row>
        <row r="326">
          <cell r="B326" t="str">
            <v>MC020300301</v>
          </cell>
          <cell r="C326" t="str">
            <v>MARRO CHICA</v>
          </cell>
          <cell r="D326" t="str">
            <v>BILLETERA</v>
          </cell>
          <cell r="E326" t="str">
            <v>BILLETERA PENY</v>
          </cell>
          <cell r="F326" t="str">
            <v xml:space="preserve">BRIDGE </v>
          </cell>
          <cell r="G326">
            <v>0</v>
          </cell>
          <cell r="H326" t="str">
            <v>NEGRO</v>
          </cell>
          <cell r="I326" t="str">
            <v>U</v>
          </cell>
          <cell r="J326" t="str">
            <v>M</v>
          </cell>
        </row>
        <row r="327">
          <cell r="B327" t="str">
            <v>MC020300303</v>
          </cell>
          <cell r="C327" t="str">
            <v>MARRO CHICA</v>
          </cell>
          <cell r="D327" t="str">
            <v>BILLETERA</v>
          </cell>
          <cell r="E327" t="str">
            <v>BILLETERA PENY</v>
          </cell>
          <cell r="F327" t="str">
            <v>BRIDGE</v>
          </cell>
          <cell r="G327">
            <v>0</v>
          </cell>
          <cell r="H327" t="str">
            <v>CARAMELO</v>
          </cell>
          <cell r="I327" t="str">
            <v>U</v>
          </cell>
          <cell r="J327" t="str">
            <v>M</v>
          </cell>
        </row>
        <row r="328">
          <cell r="B328" t="str">
            <v>MC020300304</v>
          </cell>
          <cell r="C328" t="str">
            <v>MARRO CHICA</v>
          </cell>
          <cell r="D328" t="str">
            <v>BILLETERA</v>
          </cell>
          <cell r="E328" t="str">
            <v>BILLETERA PENY</v>
          </cell>
          <cell r="F328" t="str">
            <v>BRIDGE</v>
          </cell>
          <cell r="G328">
            <v>0</v>
          </cell>
          <cell r="H328" t="str">
            <v>TABACO</v>
          </cell>
          <cell r="I328" t="str">
            <v>U</v>
          </cell>
          <cell r="J328" t="str">
            <v>M</v>
          </cell>
        </row>
        <row r="329">
          <cell r="B329" t="str">
            <v>MC020300307</v>
          </cell>
          <cell r="C329" t="str">
            <v>MARRO CHICA</v>
          </cell>
          <cell r="D329" t="str">
            <v>BILLETERA</v>
          </cell>
          <cell r="E329" t="str">
            <v>BILLETERA PENY</v>
          </cell>
          <cell r="F329" t="str">
            <v>BRIDGE</v>
          </cell>
          <cell r="G329">
            <v>0</v>
          </cell>
          <cell r="H329" t="str">
            <v>ROJO</v>
          </cell>
          <cell r="I329" t="str">
            <v>U</v>
          </cell>
          <cell r="J329" t="str">
            <v>M</v>
          </cell>
        </row>
        <row r="330">
          <cell r="B330" t="str">
            <v>MC020300310</v>
          </cell>
          <cell r="C330" t="str">
            <v>MARRO CHICA</v>
          </cell>
          <cell r="D330" t="str">
            <v>BILLETERA</v>
          </cell>
          <cell r="E330" t="str">
            <v>BILLETERA PENY</v>
          </cell>
          <cell r="F330" t="str">
            <v>BRIDGE</v>
          </cell>
          <cell r="G330">
            <v>0</v>
          </cell>
          <cell r="H330" t="str">
            <v>VERDE</v>
          </cell>
          <cell r="I330" t="str">
            <v>U</v>
          </cell>
          <cell r="J330" t="str">
            <v>M</v>
          </cell>
        </row>
        <row r="331">
          <cell r="B331" t="str">
            <v>MC020301910</v>
          </cell>
          <cell r="C331" t="str">
            <v>MARRO CHICA</v>
          </cell>
          <cell r="D331" t="str">
            <v>BILLETERA</v>
          </cell>
          <cell r="E331" t="str">
            <v>BILLETERA PENY</v>
          </cell>
          <cell r="F331" t="str">
            <v>MODENA</v>
          </cell>
          <cell r="G331">
            <v>0</v>
          </cell>
          <cell r="H331" t="str">
            <v>VERDE</v>
          </cell>
          <cell r="I331" t="str">
            <v>U</v>
          </cell>
          <cell r="J331" t="str">
            <v>M</v>
          </cell>
        </row>
        <row r="332">
          <cell r="B332" t="str">
            <v>MC020300315</v>
          </cell>
          <cell r="C332" t="str">
            <v>MARRO CHICA</v>
          </cell>
          <cell r="D332" t="str">
            <v>BILLETERA</v>
          </cell>
          <cell r="E332" t="str">
            <v>BILLETERA PENY</v>
          </cell>
          <cell r="F332" t="str">
            <v>BRIDGE</v>
          </cell>
          <cell r="G332">
            <v>0</v>
          </cell>
          <cell r="H332" t="str">
            <v>MALBEC</v>
          </cell>
          <cell r="I332" t="str">
            <v>U</v>
          </cell>
          <cell r="J332" t="str">
            <v>M</v>
          </cell>
        </row>
        <row r="333">
          <cell r="B333" t="str">
            <v>OT120560000</v>
          </cell>
          <cell r="C333" t="str">
            <v>OTROS</v>
          </cell>
          <cell r="D333" t="str">
            <v>REGALO</v>
          </cell>
          <cell r="E333" t="str">
            <v>BOLSA PARA BILLETERA CH</v>
          </cell>
          <cell r="F333" t="str">
            <v>LIENZO</v>
          </cell>
          <cell r="G333">
            <v>0</v>
          </cell>
          <cell r="H333" t="str">
            <v>CRUDO</v>
          </cell>
          <cell r="I333" t="str">
            <v>U</v>
          </cell>
          <cell r="J333">
            <v>0</v>
          </cell>
        </row>
        <row r="334">
          <cell r="B334" t="str">
            <v>OT120550000</v>
          </cell>
          <cell r="C334" t="str">
            <v>OTROS</v>
          </cell>
          <cell r="D334" t="str">
            <v>REGALO</v>
          </cell>
          <cell r="E334" t="str">
            <v>BOLSA PARA BILLETERA GDE</v>
          </cell>
          <cell r="F334" t="str">
            <v>LIENZO</v>
          </cell>
          <cell r="G334">
            <v>0</v>
          </cell>
          <cell r="H334" t="str">
            <v>CRUDO</v>
          </cell>
          <cell r="I334" t="str">
            <v>U</v>
          </cell>
          <cell r="J334">
            <v>0</v>
          </cell>
        </row>
        <row r="335">
          <cell r="B335" t="str">
            <v>MG010610301</v>
          </cell>
          <cell r="C335" t="str">
            <v>MARRO GRANDE</v>
          </cell>
          <cell r="D335" t="str">
            <v>BOLSO</v>
          </cell>
          <cell r="E335" t="str">
            <v>BOLSO LIHUEN</v>
          </cell>
          <cell r="F335" t="str">
            <v>BRIDGE</v>
          </cell>
          <cell r="G335">
            <v>0</v>
          </cell>
          <cell r="H335" t="str">
            <v>NEGRO</v>
          </cell>
          <cell r="I335" t="str">
            <v>U</v>
          </cell>
          <cell r="J335" t="str">
            <v>U</v>
          </cell>
        </row>
        <row r="336">
          <cell r="B336" t="str">
            <v>MG010610303</v>
          </cell>
          <cell r="C336" t="str">
            <v>MARRO GRANDE</v>
          </cell>
          <cell r="D336" t="str">
            <v>BOLSO</v>
          </cell>
          <cell r="E336" t="str">
            <v>BOLSO LIHUEN</v>
          </cell>
          <cell r="F336" t="str">
            <v>BRIDGE</v>
          </cell>
          <cell r="G336">
            <v>0</v>
          </cell>
          <cell r="H336" t="str">
            <v>CARAMELO</v>
          </cell>
          <cell r="I336" t="str">
            <v>U</v>
          </cell>
          <cell r="J336" t="str">
            <v>U</v>
          </cell>
        </row>
        <row r="337">
          <cell r="B337" t="str">
            <v>MG010610304</v>
          </cell>
          <cell r="C337" t="str">
            <v>MARRO GRANDE</v>
          </cell>
          <cell r="D337" t="str">
            <v>BOLSO</v>
          </cell>
          <cell r="E337" t="str">
            <v>BOLSO LIHUEN</v>
          </cell>
          <cell r="F337" t="str">
            <v>BRIDGE</v>
          </cell>
          <cell r="G337">
            <v>0</v>
          </cell>
          <cell r="H337" t="str">
            <v>TABACO</v>
          </cell>
          <cell r="I337" t="str">
            <v>U</v>
          </cell>
          <cell r="J337" t="str">
            <v>U</v>
          </cell>
        </row>
        <row r="338">
          <cell r="B338" t="str">
            <v>MG010610352</v>
          </cell>
          <cell r="C338" t="str">
            <v>MARRO GRANDE</v>
          </cell>
          <cell r="D338" t="str">
            <v>BOLSO</v>
          </cell>
          <cell r="E338" t="str">
            <v>BOLSO LIHUEN</v>
          </cell>
          <cell r="F338" t="str">
            <v>BRIDGE</v>
          </cell>
          <cell r="G338">
            <v>0</v>
          </cell>
          <cell r="H338" t="str">
            <v>CHOCOLATE</v>
          </cell>
          <cell r="I338" t="str">
            <v>U</v>
          </cell>
          <cell r="J338" t="str">
            <v>U</v>
          </cell>
        </row>
        <row r="339">
          <cell r="B339" t="str">
            <v>MG010611623</v>
          </cell>
          <cell r="C339" t="str">
            <v>MARRO GRANDE</v>
          </cell>
          <cell r="D339" t="str">
            <v>BOLSO</v>
          </cell>
          <cell r="E339" t="str">
            <v>BOLSO LIHUEN</v>
          </cell>
          <cell r="F339" t="str">
            <v>FIORENTINO</v>
          </cell>
          <cell r="G339">
            <v>0</v>
          </cell>
          <cell r="H339" t="str">
            <v>CEDRO</v>
          </cell>
          <cell r="I339" t="str">
            <v>U</v>
          </cell>
          <cell r="J339" t="str">
            <v>U</v>
          </cell>
        </row>
        <row r="340">
          <cell r="B340" t="str">
            <v>MG010580301</v>
          </cell>
          <cell r="C340" t="str">
            <v>MARRO GRANDE</v>
          </cell>
          <cell r="D340" t="str">
            <v>BOLSO</v>
          </cell>
          <cell r="E340" t="str">
            <v>BOLSO LIHUEN FULL BLACK</v>
          </cell>
          <cell r="F340" t="str">
            <v>BRIDGE</v>
          </cell>
          <cell r="G340">
            <v>0</v>
          </cell>
          <cell r="H340" t="str">
            <v>NEGRO</v>
          </cell>
          <cell r="I340" t="str">
            <v>U</v>
          </cell>
          <cell r="J340" t="str">
            <v>U</v>
          </cell>
        </row>
        <row r="341">
          <cell r="B341" t="str">
            <v>MG010100101</v>
          </cell>
          <cell r="C341" t="str">
            <v>MARRO GRANDE</v>
          </cell>
          <cell r="D341" t="str">
            <v>BOLSO</v>
          </cell>
          <cell r="E341" t="str">
            <v>BOLSO TUBO GRANDE</v>
          </cell>
          <cell r="F341" t="str">
            <v>NAPADO</v>
          </cell>
          <cell r="G341">
            <v>0</v>
          </cell>
          <cell r="H341" t="str">
            <v>NEGRO</v>
          </cell>
          <cell r="I341" t="str">
            <v>U</v>
          </cell>
          <cell r="J341" t="str">
            <v>U</v>
          </cell>
        </row>
        <row r="342">
          <cell r="B342" t="str">
            <v>MG010100102</v>
          </cell>
          <cell r="C342" t="str">
            <v>MARRO GRANDE</v>
          </cell>
          <cell r="D342" t="str">
            <v>BOLSO</v>
          </cell>
          <cell r="E342" t="str">
            <v>BOLSO TUBO GRANDE</v>
          </cell>
          <cell r="F342" t="str">
            <v>NAPADO</v>
          </cell>
          <cell r="G342">
            <v>0</v>
          </cell>
          <cell r="H342" t="str">
            <v>SUELA</v>
          </cell>
          <cell r="I342" t="str">
            <v>U</v>
          </cell>
          <cell r="J342" t="str">
            <v>U</v>
          </cell>
        </row>
        <row r="343">
          <cell r="B343" t="str">
            <v>MG010100201</v>
          </cell>
          <cell r="C343" t="str">
            <v>MARRO GRANDE</v>
          </cell>
          <cell r="D343" t="str">
            <v>BOLSO</v>
          </cell>
          <cell r="E343" t="str">
            <v>BOLSO TUBO GRANDE</v>
          </cell>
          <cell r="F343" t="str">
            <v>TAMPONATO</v>
          </cell>
          <cell r="G343">
            <v>0</v>
          </cell>
          <cell r="H343" t="str">
            <v>NEGRO</v>
          </cell>
          <cell r="I343" t="str">
            <v>U</v>
          </cell>
          <cell r="J343" t="str">
            <v>U</v>
          </cell>
        </row>
        <row r="344">
          <cell r="B344" t="str">
            <v>MG010100202</v>
          </cell>
          <cell r="C344" t="str">
            <v>MARRO GRANDE</v>
          </cell>
          <cell r="D344" t="str">
            <v>BOLSO</v>
          </cell>
          <cell r="E344" t="str">
            <v>BOLSO TUBO GRANDE</v>
          </cell>
          <cell r="F344" t="str">
            <v>TAMPONATO</v>
          </cell>
          <cell r="G344">
            <v>0</v>
          </cell>
          <cell r="H344" t="str">
            <v>SUELA</v>
          </cell>
          <cell r="I344" t="str">
            <v>U</v>
          </cell>
          <cell r="J344" t="str">
            <v>U</v>
          </cell>
        </row>
        <row r="345">
          <cell r="B345" t="str">
            <v>MG010100301</v>
          </cell>
          <cell r="C345" t="str">
            <v>MARRO GRANDE</v>
          </cell>
          <cell r="D345" t="str">
            <v>BOLSO</v>
          </cell>
          <cell r="E345" t="str">
            <v>BOLSO TUBO GRANDE</v>
          </cell>
          <cell r="F345" t="str">
            <v>BRIDGE</v>
          </cell>
          <cell r="G345">
            <v>0</v>
          </cell>
          <cell r="H345" t="str">
            <v>NEGRO</v>
          </cell>
          <cell r="I345" t="str">
            <v>U</v>
          </cell>
          <cell r="J345" t="str">
            <v>U</v>
          </cell>
        </row>
        <row r="346">
          <cell r="B346" t="str">
            <v>MG010100303</v>
          </cell>
          <cell r="C346" t="str">
            <v>MARRO GRANDE</v>
          </cell>
          <cell r="D346" t="str">
            <v>BOLSO</v>
          </cell>
          <cell r="E346" t="str">
            <v>BOLSO TUBO GRANDE</v>
          </cell>
          <cell r="F346" t="str">
            <v>BRIDGE</v>
          </cell>
          <cell r="G346">
            <v>0</v>
          </cell>
          <cell r="H346" t="str">
            <v>CARAMELO</v>
          </cell>
          <cell r="I346" t="str">
            <v>U</v>
          </cell>
          <cell r="J346" t="str">
            <v>U</v>
          </cell>
        </row>
        <row r="347">
          <cell r="B347" t="str">
            <v>MG010100304</v>
          </cell>
          <cell r="C347" t="str">
            <v>MARRO GRANDE</v>
          </cell>
          <cell r="D347" t="str">
            <v>BOLSO</v>
          </cell>
          <cell r="E347" t="str">
            <v>BOLSO TUBO GRANDE</v>
          </cell>
          <cell r="F347" t="str">
            <v>BRIDGE</v>
          </cell>
          <cell r="G347">
            <v>0</v>
          </cell>
          <cell r="H347" t="str">
            <v>TABACO</v>
          </cell>
          <cell r="I347" t="str">
            <v>U</v>
          </cell>
          <cell r="J347" t="str">
            <v>U</v>
          </cell>
        </row>
        <row r="348">
          <cell r="B348" t="str">
            <v>MG010100309-3</v>
          </cell>
          <cell r="C348" t="str">
            <v>MARRO GRANDE</v>
          </cell>
          <cell r="D348" t="str">
            <v>BOLSO</v>
          </cell>
          <cell r="E348" t="str">
            <v>BOLSO TUBO GRANDE</v>
          </cell>
          <cell r="F348" t="str">
            <v>GAMUZA/BRIDGE</v>
          </cell>
          <cell r="G348">
            <v>0</v>
          </cell>
          <cell r="H348" t="str">
            <v>AZUL/CARAMELO</v>
          </cell>
          <cell r="I348" t="str">
            <v>U</v>
          </cell>
          <cell r="J348" t="str">
            <v>U</v>
          </cell>
        </row>
        <row r="349">
          <cell r="B349" t="str">
            <v>MG010100316-3</v>
          </cell>
          <cell r="C349" t="str">
            <v>MARRO GRANDE</v>
          </cell>
          <cell r="D349" t="str">
            <v>BOLSO</v>
          </cell>
          <cell r="E349" t="str">
            <v>BOLSO TUBO GRANDE</v>
          </cell>
          <cell r="F349" t="str">
            <v>GAMUZA/BRIDGE</v>
          </cell>
          <cell r="G349">
            <v>0</v>
          </cell>
          <cell r="H349" t="str">
            <v>OLIVE/CARAMELO</v>
          </cell>
          <cell r="I349" t="str">
            <v>U</v>
          </cell>
          <cell r="J349" t="str">
            <v>U</v>
          </cell>
        </row>
        <row r="350">
          <cell r="B350" t="str">
            <v>MG010100509-3</v>
          </cell>
          <cell r="C350" t="str">
            <v>MARRO GRANDE</v>
          </cell>
          <cell r="D350" t="str">
            <v>BOLSO</v>
          </cell>
          <cell r="E350" t="str">
            <v>BOLSO TUBO GRANDE</v>
          </cell>
          <cell r="F350" t="str">
            <v>GAMUZA/IGUANA</v>
          </cell>
          <cell r="G350">
            <v>0</v>
          </cell>
          <cell r="H350" t="str">
            <v>AZUL/CARAMELO</v>
          </cell>
          <cell r="I350" t="str">
            <v>U</v>
          </cell>
          <cell r="J350" t="str">
            <v>U</v>
          </cell>
        </row>
        <row r="351">
          <cell r="B351" t="str">
            <v>MG010100509-4</v>
          </cell>
          <cell r="C351" t="str">
            <v>MARRO GRANDE</v>
          </cell>
          <cell r="D351" t="str">
            <v>BOLSO</v>
          </cell>
          <cell r="E351" t="str">
            <v>BOLSO TUBO GRANDE</v>
          </cell>
          <cell r="F351" t="str">
            <v>GAMUZA/BRIDGE</v>
          </cell>
          <cell r="G351">
            <v>0</v>
          </cell>
          <cell r="H351" t="str">
            <v>AZUL/TABACO</v>
          </cell>
          <cell r="I351" t="str">
            <v>U</v>
          </cell>
          <cell r="J351" t="str">
            <v>U</v>
          </cell>
        </row>
        <row r="352">
          <cell r="B352" t="str">
            <v>MG010100516-3</v>
          </cell>
          <cell r="C352" t="str">
            <v>MARRO GRANDE</v>
          </cell>
          <cell r="D352" t="str">
            <v>BOLSO</v>
          </cell>
          <cell r="E352" t="str">
            <v>BOLSO TUBO GRANDE</v>
          </cell>
          <cell r="F352" t="str">
            <v>GAMUZA/IGUANA</v>
          </cell>
          <cell r="G352">
            <v>0</v>
          </cell>
          <cell r="H352" t="str">
            <v>OLIVE/CARAMELO</v>
          </cell>
          <cell r="I352" t="str">
            <v>U</v>
          </cell>
          <cell r="J352" t="str">
            <v>U</v>
          </cell>
        </row>
        <row r="353">
          <cell r="B353" t="str">
            <v>MG010100516-4</v>
          </cell>
          <cell r="C353" t="str">
            <v>MARRO GRANDE</v>
          </cell>
          <cell r="D353" t="str">
            <v>BOLSO</v>
          </cell>
          <cell r="E353" t="str">
            <v>BOLSO TUBO GRANDE</v>
          </cell>
          <cell r="F353" t="str">
            <v>GAMUZA/BRIDGE</v>
          </cell>
          <cell r="G353">
            <v>0</v>
          </cell>
          <cell r="H353" t="str">
            <v>OLIVE/TABACO</v>
          </cell>
          <cell r="I353" t="str">
            <v>U</v>
          </cell>
          <cell r="J353" t="str">
            <v>U</v>
          </cell>
        </row>
        <row r="354">
          <cell r="B354" t="str">
            <v>MG010100517-3</v>
          </cell>
          <cell r="C354" t="str">
            <v>MARRO GRANDE</v>
          </cell>
          <cell r="D354" t="str">
            <v>BOLSO</v>
          </cell>
          <cell r="E354" t="str">
            <v>BOLSO TUBO GRANDE</v>
          </cell>
          <cell r="F354" t="str">
            <v>GAMUZA/BRIDGE</v>
          </cell>
          <cell r="G354">
            <v>0</v>
          </cell>
          <cell r="H354" t="str">
            <v>GRIS MEDIO/CARAMELO</v>
          </cell>
          <cell r="I354" t="str">
            <v>U</v>
          </cell>
          <cell r="J354" t="str">
            <v>U</v>
          </cell>
        </row>
        <row r="355">
          <cell r="B355" t="str">
            <v>MG010100522-3</v>
          </cell>
          <cell r="C355" t="str">
            <v>MARRO GRANDE</v>
          </cell>
          <cell r="D355" t="str">
            <v>BOLSO</v>
          </cell>
          <cell r="E355" t="str">
            <v>BOLSO TUBO GRANDE</v>
          </cell>
          <cell r="F355" t="str">
            <v>GAMUZA/BRIDGE</v>
          </cell>
          <cell r="G355">
            <v>0</v>
          </cell>
          <cell r="H355" t="str">
            <v>GRIS OSCURO/CARAMELO</v>
          </cell>
          <cell r="I355" t="str">
            <v>U</v>
          </cell>
          <cell r="J355" t="str">
            <v>U</v>
          </cell>
        </row>
        <row r="356">
          <cell r="B356" t="str">
            <v>MG010100522-4</v>
          </cell>
          <cell r="C356" t="str">
            <v>MARRO GRANDE</v>
          </cell>
          <cell r="D356" t="str">
            <v>BOLSO</v>
          </cell>
          <cell r="E356" t="str">
            <v>BOLSO TUBO GRANDE</v>
          </cell>
          <cell r="F356" t="str">
            <v>GAMUZA/BRIDGE</v>
          </cell>
          <cell r="G356">
            <v>0</v>
          </cell>
          <cell r="H356" t="str">
            <v>GRIS OSCURO/TABACO</v>
          </cell>
          <cell r="I356" t="str">
            <v>U</v>
          </cell>
          <cell r="J356" t="str">
            <v>U</v>
          </cell>
        </row>
        <row r="357">
          <cell r="B357" t="str">
            <v>MG010100550</v>
          </cell>
          <cell r="C357" t="str">
            <v>MARRO GRANDE</v>
          </cell>
          <cell r="D357" t="str">
            <v>BOLSO</v>
          </cell>
          <cell r="E357" t="str">
            <v>BOLSO TUBO GRANDE</v>
          </cell>
          <cell r="F357" t="str">
            <v>GAMUZA</v>
          </cell>
          <cell r="G357">
            <v>0</v>
          </cell>
          <cell r="H357" t="str">
            <v>VESUBIO/TABACO</v>
          </cell>
          <cell r="I357" t="str">
            <v>U</v>
          </cell>
          <cell r="J357" t="str">
            <v>U</v>
          </cell>
        </row>
        <row r="358">
          <cell r="B358" t="str">
            <v>MG010100550-1</v>
          </cell>
          <cell r="C358" t="str">
            <v>MARRO GRANDE</v>
          </cell>
          <cell r="D358" t="str">
            <v>BOLSO</v>
          </cell>
          <cell r="E358" t="str">
            <v>BOLSO TUBO GRANDE</v>
          </cell>
          <cell r="F358" t="str">
            <v>GAMUZA</v>
          </cell>
          <cell r="G358">
            <v>0</v>
          </cell>
          <cell r="H358" t="str">
            <v>VESUBIO/NEGRO</v>
          </cell>
          <cell r="I358" t="str">
            <v>U</v>
          </cell>
          <cell r="J358" t="str">
            <v>U</v>
          </cell>
        </row>
        <row r="359">
          <cell r="B359" t="str">
            <v>MG010100551</v>
          </cell>
          <cell r="C359" t="str">
            <v>MARRO GRANDE</v>
          </cell>
          <cell r="D359" t="str">
            <v>BOLSO</v>
          </cell>
          <cell r="E359" t="str">
            <v>BOLSO TUBO GRANDE</v>
          </cell>
          <cell r="F359" t="str">
            <v>GAMUZA</v>
          </cell>
          <cell r="G359">
            <v>0</v>
          </cell>
          <cell r="H359" t="str">
            <v>MOSTAZA/TABACO</v>
          </cell>
          <cell r="I359" t="str">
            <v>U</v>
          </cell>
          <cell r="J359" t="str">
            <v>U</v>
          </cell>
        </row>
        <row r="360">
          <cell r="B360" t="str">
            <v>MG010100552</v>
          </cell>
          <cell r="C360" t="str">
            <v>MARRO GRANDE</v>
          </cell>
          <cell r="D360" t="str">
            <v>BOLSO</v>
          </cell>
          <cell r="E360" t="str">
            <v>BOLSO TUBO GRANDE</v>
          </cell>
          <cell r="F360" t="str">
            <v>GAMUZA</v>
          </cell>
          <cell r="G360">
            <v>0</v>
          </cell>
          <cell r="H360" t="str">
            <v>CHOCOLATE/TABACO</v>
          </cell>
          <cell r="I360" t="str">
            <v>U</v>
          </cell>
          <cell r="J360" t="str">
            <v>U</v>
          </cell>
        </row>
        <row r="361">
          <cell r="B361" t="str">
            <v>MG010100552-1</v>
          </cell>
          <cell r="C361" t="str">
            <v>MARRO GRANDE</v>
          </cell>
          <cell r="D361" t="str">
            <v>BOLSO</v>
          </cell>
          <cell r="E361" t="str">
            <v>BOLSO TUBO GRANDE</v>
          </cell>
          <cell r="F361" t="str">
            <v>GAMUZA</v>
          </cell>
          <cell r="G361">
            <v>0</v>
          </cell>
          <cell r="H361" t="str">
            <v>CHOCOLATE/NEGRO</v>
          </cell>
          <cell r="I361" t="str">
            <v>U</v>
          </cell>
          <cell r="J361" t="str">
            <v>U</v>
          </cell>
        </row>
        <row r="362">
          <cell r="B362" t="str">
            <v>MG010100553</v>
          </cell>
          <cell r="C362" t="str">
            <v>MARRO GRANDE</v>
          </cell>
          <cell r="D362" t="str">
            <v>BOLSO</v>
          </cell>
          <cell r="E362" t="str">
            <v>BOLSO TUBO GRANDE</v>
          </cell>
          <cell r="F362" t="str">
            <v>GAMUZA</v>
          </cell>
          <cell r="G362">
            <v>0</v>
          </cell>
          <cell r="H362" t="str">
            <v>HABANO/NEGRO</v>
          </cell>
          <cell r="I362" t="str">
            <v>U</v>
          </cell>
          <cell r="J362" t="str">
            <v>U</v>
          </cell>
        </row>
        <row r="363">
          <cell r="B363" t="str">
            <v>MG010100555</v>
          </cell>
          <cell r="C363" t="str">
            <v>MARRO GRANDE</v>
          </cell>
          <cell r="D363" t="str">
            <v>BOLSO</v>
          </cell>
          <cell r="E363" t="str">
            <v>BOLSO TUBO GRANDE</v>
          </cell>
          <cell r="F363" t="str">
            <v>GAMUZA</v>
          </cell>
          <cell r="G363">
            <v>0</v>
          </cell>
          <cell r="H363" t="str">
            <v>AVELLANA/TABACO</v>
          </cell>
          <cell r="I363" t="str">
            <v>U</v>
          </cell>
          <cell r="J363" t="str">
            <v>U</v>
          </cell>
        </row>
        <row r="364">
          <cell r="B364" t="str">
            <v>MG010100555-1</v>
          </cell>
          <cell r="C364" t="str">
            <v>MARRO GRANDE</v>
          </cell>
          <cell r="D364" t="str">
            <v>BOLSO</v>
          </cell>
          <cell r="E364" t="str">
            <v>BOLSO TUBO GRANDE</v>
          </cell>
          <cell r="F364" t="str">
            <v>GAMUZA</v>
          </cell>
          <cell r="G364">
            <v>0</v>
          </cell>
          <cell r="H364" t="str">
            <v>AVELLANA/NEGRO</v>
          </cell>
          <cell r="I364" t="str">
            <v>U</v>
          </cell>
          <cell r="J364" t="str">
            <v>U</v>
          </cell>
        </row>
        <row r="365">
          <cell r="B365" t="str">
            <v>MG010100556</v>
          </cell>
          <cell r="C365" t="str">
            <v>MARRO GRANDE</v>
          </cell>
          <cell r="D365" t="str">
            <v>BOLSO</v>
          </cell>
          <cell r="E365" t="str">
            <v>BOLSO TUBO GRANDE</v>
          </cell>
          <cell r="F365" t="str">
            <v>GAMUZA</v>
          </cell>
          <cell r="G365">
            <v>0</v>
          </cell>
          <cell r="H365" t="str">
            <v>OXIDO/TABACO</v>
          </cell>
          <cell r="I365" t="str">
            <v>U</v>
          </cell>
          <cell r="J365" t="str">
            <v>U</v>
          </cell>
        </row>
        <row r="366">
          <cell r="B366" t="str">
            <v>MG010100558</v>
          </cell>
          <cell r="C366" t="str">
            <v>MARRO GRANDE</v>
          </cell>
          <cell r="D366" t="str">
            <v>BOLSO</v>
          </cell>
          <cell r="E366" t="str">
            <v>BOLSO TUBO GRANDE</v>
          </cell>
          <cell r="F366" t="str">
            <v>GAMUZA</v>
          </cell>
          <cell r="G366">
            <v>0</v>
          </cell>
          <cell r="H366" t="str">
            <v>CAFE/TABACO</v>
          </cell>
          <cell r="I366" t="str">
            <v>U</v>
          </cell>
          <cell r="J366" t="str">
            <v>U</v>
          </cell>
        </row>
        <row r="367">
          <cell r="B367" t="str">
            <v>MG010100558-1</v>
          </cell>
          <cell r="C367" t="str">
            <v>MARRO GRANDE</v>
          </cell>
          <cell r="D367" t="str">
            <v>BOLSO</v>
          </cell>
          <cell r="E367" t="str">
            <v>BOLSO TUBO GRANDE</v>
          </cell>
          <cell r="F367" t="str">
            <v>GAMUZA/BRIDGE</v>
          </cell>
          <cell r="G367">
            <v>0</v>
          </cell>
          <cell r="H367" t="str">
            <v>CAFE/NEGRO</v>
          </cell>
          <cell r="I367" t="str">
            <v>U</v>
          </cell>
          <cell r="J367" t="str">
            <v>U</v>
          </cell>
        </row>
        <row r="368">
          <cell r="B368" t="str">
            <v>MG010100601</v>
          </cell>
          <cell r="C368" t="str">
            <v>MARRO GRANDE</v>
          </cell>
          <cell r="D368" t="str">
            <v>BOLSO</v>
          </cell>
          <cell r="E368" t="str">
            <v>BOLSO TUBO GRANDE</v>
          </cell>
          <cell r="F368" t="str">
            <v>BUFALO</v>
          </cell>
          <cell r="G368">
            <v>0</v>
          </cell>
          <cell r="H368" t="str">
            <v>NEGRO</v>
          </cell>
          <cell r="I368" t="str">
            <v>U</v>
          </cell>
          <cell r="J368" t="str">
            <v>U</v>
          </cell>
        </row>
        <row r="369">
          <cell r="B369" t="str">
            <v>MG010100701</v>
          </cell>
          <cell r="C369" t="str">
            <v>MARRO GRANDE</v>
          </cell>
          <cell r="D369" t="str">
            <v>BOLSO</v>
          </cell>
          <cell r="E369" t="str">
            <v>BOLSO TUBO GRANDE</v>
          </cell>
          <cell r="F369" t="str">
            <v>BRIDGE/IGUANA</v>
          </cell>
          <cell r="G369">
            <v>0</v>
          </cell>
          <cell r="H369" t="str">
            <v>NEGRO</v>
          </cell>
          <cell r="I369" t="str">
            <v>U</v>
          </cell>
          <cell r="J369" t="str">
            <v>U</v>
          </cell>
        </row>
        <row r="370">
          <cell r="B370" t="str">
            <v>MG010100722-3</v>
          </cell>
          <cell r="C370" t="str">
            <v>MARRO GRANDE</v>
          </cell>
          <cell r="D370" t="str">
            <v>BOLSO</v>
          </cell>
          <cell r="E370" t="str">
            <v>BOLSO TUBO GRANDE</v>
          </cell>
          <cell r="F370" t="str">
            <v>GAMUZA/IGUANA</v>
          </cell>
          <cell r="G370">
            <v>0</v>
          </cell>
          <cell r="H370" t="str">
            <v>GRIS OSCURO/CARAMELO</v>
          </cell>
          <cell r="I370" t="str">
            <v>U</v>
          </cell>
          <cell r="J370" t="str">
            <v>U</v>
          </cell>
        </row>
        <row r="371">
          <cell r="B371" t="str">
            <v>MG010101623</v>
          </cell>
          <cell r="C371" t="str">
            <v>MARRO GRANDE</v>
          </cell>
          <cell r="D371" t="str">
            <v>BOLSO</v>
          </cell>
          <cell r="E371" t="str">
            <v>BOLSO TUBO GRANDE</v>
          </cell>
          <cell r="F371" t="str">
            <v>FIORENTINO</v>
          </cell>
          <cell r="G371">
            <v>0</v>
          </cell>
          <cell r="H371" t="str">
            <v>CEDRO</v>
          </cell>
          <cell r="I371" t="str">
            <v>U</v>
          </cell>
          <cell r="J371" t="str">
            <v>U</v>
          </cell>
        </row>
        <row r="372">
          <cell r="B372" t="str">
            <v>MG010103148</v>
          </cell>
          <cell r="C372" t="str">
            <v>MARRO GRANDE</v>
          </cell>
          <cell r="D372" t="str">
            <v>BOLSO</v>
          </cell>
          <cell r="E372" t="str">
            <v>BOLSO TUBO GRANDE</v>
          </cell>
          <cell r="F372" t="str">
            <v>PELO</v>
          </cell>
          <cell r="G372">
            <v>0</v>
          </cell>
          <cell r="H372" t="str">
            <v>MARRON ROJIZO</v>
          </cell>
          <cell r="I372" t="str">
            <v>U</v>
          </cell>
          <cell r="J372" t="str">
            <v>U</v>
          </cell>
        </row>
        <row r="373">
          <cell r="B373" t="str">
            <v>MG010103163</v>
          </cell>
          <cell r="C373" t="str">
            <v>MARRO GRANDE</v>
          </cell>
          <cell r="D373" t="str">
            <v>BOLSO</v>
          </cell>
          <cell r="E373" t="str">
            <v>BOLSO TUBO GRANDE</v>
          </cell>
          <cell r="F373" t="str">
            <v>PELO</v>
          </cell>
          <cell r="G373">
            <v>0</v>
          </cell>
          <cell r="H373" t="str">
            <v>MARRON</v>
          </cell>
          <cell r="I373" t="str">
            <v>U</v>
          </cell>
          <cell r="J373" t="str">
            <v>U</v>
          </cell>
        </row>
        <row r="374">
          <cell r="B374" t="str">
            <v>MG010110101</v>
          </cell>
          <cell r="C374" t="str">
            <v>MARRO GRANDE</v>
          </cell>
          <cell r="D374" t="str">
            <v>BOLSO</v>
          </cell>
          <cell r="E374" t="str">
            <v>BOLSO TUBO MERCEDES</v>
          </cell>
          <cell r="F374" t="str">
            <v>NAPADO</v>
          </cell>
          <cell r="G374">
            <v>0</v>
          </cell>
          <cell r="H374" t="str">
            <v>NEGRO</v>
          </cell>
          <cell r="I374" t="str">
            <v>U</v>
          </cell>
          <cell r="J374" t="str">
            <v>U</v>
          </cell>
        </row>
        <row r="375">
          <cell r="B375" t="str">
            <v>MG010110102</v>
          </cell>
          <cell r="C375" t="str">
            <v>MARRO GRANDE</v>
          </cell>
          <cell r="D375" t="str">
            <v>BOLSO</v>
          </cell>
          <cell r="E375" t="str">
            <v>BOLSO TUBO MERCEDES</v>
          </cell>
          <cell r="F375" t="str">
            <v>NAPADO</v>
          </cell>
          <cell r="G375">
            <v>0</v>
          </cell>
          <cell r="H375" t="str">
            <v>SUELA</v>
          </cell>
          <cell r="I375" t="str">
            <v>U</v>
          </cell>
          <cell r="J375" t="str">
            <v>U</v>
          </cell>
        </row>
        <row r="376">
          <cell r="B376" t="str">
            <v>MG010110201</v>
          </cell>
          <cell r="C376" t="str">
            <v>MARRO GRANDE</v>
          </cell>
          <cell r="D376" t="str">
            <v>BOLSO</v>
          </cell>
          <cell r="E376" t="str">
            <v>BOLSO TUBO MERCEDES</v>
          </cell>
          <cell r="F376" t="str">
            <v>TAMPONATO</v>
          </cell>
          <cell r="G376">
            <v>0</v>
          </cell>
          <cell r="H376" t="str">
            <v>NEGRO</v>
          </cell>
          <cell r="I376" t="str">
            <v>U</v>
          </cell>
          <cell r="J376" t="str">
            <v>U</v>
          </cell>
        </row>
        <row r="377">
          <cell r="B377" t="str">
            <v>MG010110202</v>
          </cell>
          <cell r="C377" t="str">
            <v>MARRO GRANDE</v>
          </cell>
          <cell r="D377" t="str">
            <v>BOLSO</v>
          </cell>
          <cell r="E377" t="str">
            <v>BOLSO TUBO MERCEDES</v>
          </cell>
          <cell r="F377" t="str">
            <v>TAMPONATO</v>
          </cell>
          <cell r="G377">
            <v>0</v>
          </cell>
          <cell r="H377" t="str">
            <v>SUELA</v>
          </cell>
          <cell r="I377" t="str">
            <v>U</v>
          </cell>
          <cell r="J377" t="str">
            <v>U</v>
          </cell>
        </row>
        <row r="378">
          <cell r="B378" t="str">
            <v>MG010110203</v>
          </cell>
          <cell r="C378" t="str">
            <v>MARRO GRANDE</v>
          </cell>
          <cell r="D378" t="str">
            <v>BOLSO</v>
          </cell>
          <cell r="E378" t="str">
            <v>BOLSO TUBO MERCEDES</v>
          </cell>
          <cell r="F378" t="str">
            <v>TAMPONATO</v>
          </cell>
          <cell r="G378">
            <v>0</v>
          </cell>
          <cell r="H378" t="str">
            <v>CARAMELO</v>
          </cell>
          <cell r="I378" t="str">
            <v>U</v>
          </cell>
          <cell r="J378" t="str">
            <v>U</v>
          </cell>
        </row>
        <row r="379">
          <cell r="B379" t="str">
            <v>MG010110301</v>
          </cell>
          <cell r="C379" t="str">
            <v>MARRO GRANDE</v>
          </cell>
          <cell r="D379" t="str">
            <v>BOLSO</v>
          </cell>
          <cell r="E379" t="str">
            <v>BOLSO TUBO MERCEDES</v>
          </cell>
          <cell r="F379" t="str">
            <v>BRIDGE</v>
          </cell>
          <cell r="G379">
            <v>0</v>
          </cell>
          <cell r="H379" t="str">
            <v>NEGRO</v>
          </cell>
          <cell r="I379" t="str">
            <v>U</v>
          </cell>
          <cell r="J379" t="str">
            <v>U</v>
          </cell>
        </row>
        <row r="380">
          <cell r="B380" t="str">
            <v>MG010110303</v>
          </cell>
          <cell r="C380" t="str">
            <v>MARRO GRANDE</v>
          </cell>
          <cell r="D380" t="str">
            <v>BOLSO</v>
          </cell>
          <cell r="E380" t="str">
            <v>BOLSO TUBO MERCEDES</v>
          </cell>
          <cell r="F380" t="str">
            <v>BRIDGE</v>
          </cell>
          <cell r="G380">
            <v>0</v>
          </cell>
          <cell r="H380" t="str">
            <v>CARAMELO</v>
          </cell>
          <cell r="I380" t="str">
            <v>U</v>
          </cell>
          <cell r="J380" t="str">
            <v>U</v>
          </cell>
        </row>
        <row r="381">
          <cell r="B381" t="str">
            <v>MG010110304</v>
          </cell>
          <cell r="C381" t="str">
            <v>MARRO GRANDE</v>
          </cell>
          <cell r="D381" t="str">
            <v>BOLSO</v>
          </cell>
          <cell r="E381" t="str">
            <v>BOLSO TUBO MERCEDES</v>
          </cell>
          <cell r="F381" t="str">
            <v>BRIDGE</v>
          </cell>
          <cell r="G381">
            <v>0</v>
          </cell>
          <cell r="H381" t="str">
            <v>TABACO</v>
          </cell>
          <cell r="I381" t="str">
            <v>U</v>
          </cell>
          <cell r="J381" t="str">
            <v>U</v>
          </cell>
        </row>
        <row r="382">
          <cell r="B382" t="str">
            <v>MG010110550</v>
          </cell>
          <cell r="C382" t="str">
            <v>MARRO GRANDE</v>
          </cell>
          <cell r="D382" t="str">
            <v>BOLSO</v>
          </cell>
          <cell r="E382" t="str">
            <v>BOLSO TUBO MERCEDES</v>
          </cell>
          <cell r="F382" t="str">
            <v>GAMUZA</v>
          </cell>
          <cell r="G382">
            <v>0</v>
          </cell>
          <cell r="H382" t="str">
            <v>VESUBIO/TABACO</v>
          </cell>
          <cell r="I382" t="str">
            <v>U</v>
          </cell>
          <cell r="J382" t="str">
            <v>U</v>
          </cell>
        </row>
        <row r="383">
          <cell r="B383" t="str">
            <v>MG010110551</v>
          </cell>
          <cell r="C383" t="str">
            <v>MARRO GRANDE</v>
          </cell>
          <cell r="D383" t="str">
            <v>BOLSO</v>
          </cell>
          <cell r="E383" t="str">
            <v>BOLSO TUBO MERCEDES</v>
          </cell>
          <cell r="F383" t="str">
            <v>GAMUZA</v>
          </cell>
          <cell r="G383">
            <v>0</v>
          </cell>
          <cell r="H383" t="str">
            <v>MOSTAZA/TABACO</v>
          </cell>
          <cell r="I383" t="str">
            <v>U</v>
          </cell>
          <cell r="J383" t="str">
            <v>U</v>
          </cell>
        </row>
        <row r="384">
          <cell r="B384" t="str">
            <v>MG010110552</v>
          </cell>
          <cell r="C384" t="str">
            <v>MARRO GRANDE</v>
          </cell>
          <cell r="D384" t="str">
            <v>BOLSO</v>
          </cell>
          <cell r="E384" t="str">
            <v>BOLSO TUBO MERCEDES</v>
          </cell>
          <cell r="F384" t="str">
            <v>GAMUZA</v>
          </cell>
          <cell r="G384">
            <v>0</v>
          </cell>
          <cell r="H384" t="str">
            <v>CHOCOLATE/TABACO</v>
          </cell>
          <cell r="I384" t="str">
            <v>U</v>
          </cell>
          <cell r="J384" t="str">
            <v>U</v>
          </cell>
        </row>
        <row r="385">
          <cell r="B385" t="str">
            <v>MG010120101</v>
          </cell>
          <cell r="C385" t="str">
            <v>MARRO GRANDE</v>
          </cell>
          <cell r="D385" t="str">
            <v>BOLSO</v>
          </cell>
          <cell r="E385" t="str">
            <v>BOLSO TUBO PATRICIA</v>
          </cell>
          <cell r="F385" t="str">
            <v>NAPADO</v>
          </cell>
          <cell r="G385">
            <v>0</v>
          </cell>
          <cell r="H385" t="str">
            <v>NEGRO</v>
          </cell>
          <cell r="I385" t="str">
            <v>U</v>
          </cell>
          <cell r="J385" t="str">
            <v>U</v>
          </cell>
        </row>
        <row r="386">
          <cell r="B386" t="str">
            <v>MG010120102</v>
          </cell>
          <cell r="C386" t="str">
            <v>MARRO GRANDE</v>
          </cell>
          <cell r="D386" t="str">
            <v>BOLSO</v>
          </cell>
          <cell r="E386" t="str">
            <v>BOLSO TUBO PATRICIA</v>
          </cell>
          <cell r="F386" t="str">
            <v>NAPADO</v>
          </cell>
          <cell r="G386">
            <v>0</v>
          </cell>
          <cell r="H386" t="str">
            <v>SUELA</v>
          </cell>
          <cell r="I386" t="str">
            <v>U</v>
          </cell>
          <cell r="J386" t="str">
            <v>U</v>
          </cell>
        </row>
        <row r="387">
          <cell r="B387" t="str">
            <v>MG010120301</v>
          </cell>
          <cell r="C387" t="str">
            <v>MARRO GRANDE</v>
          </cell>
          <cell r="D387" t="str">
            <v>BOLSO</v>
          </cell>
          <cell r="E387" t="str">
            <v>BOLSO TUBO PATRICIA</v>
          </cell>
          <cell r="F387" t="str">
            <v>BRIDGE</v>
          </cell>
          <cell r="G387">
            <v>0</v>
          </cell>
          <cell r="H387" t="str">
            <v>NEGRO</v>
          </cell>
          <cell r="I387" t="str">
            <v>U</v>
          </cell>
          <cell r="J387" t="str">
            <v>U</v>
          </cell>
        </row>
        <row r="388">
          <cell r="B388" t="str">
            <v>MG010120303</v>
          </cell>
          <cell r="C388" t="str">
            <v>MARRO GRANDE</v>
          </cell>
          <cell r="D388" t="str">
            <v>BOLSO</v>
          </cell>
          <cell r="E388" t="str">
            <v>BOLSO TUBO PATRICIA</v>
          </cell>
          <cell r="F388" t="str">
            <v>BRIDGE</v>
          </cell>
          <cell r="G388">
            <v>0</v>
          </cell>
          <cell r="H388" t="str">
            <v>CARAMELO</v>
          </cell>
          <cell r="I388" t="str">
            <v>U</v>
          </cell>
          <cell r="J388" t="str">
            <v>U</v>
          </cell>
        </row>
        <row r="389">
          <cell r="B389" t="str">
            <v>MG010120304</v>
          </cell>
          <cell r="C389" t="str">
            <v>MARRO GRANDE</v>
          </cell>
          <cell r="D389" t="str">
            <v>BOLSO</v>
          </cell>
          <cell r="E389" t="str">
            <v>BOLSO TUBO PATRICIA</v>
          </cell>
          <cell r="F389" t="str">
            <v>BRIDGE</v>
          </cell>
          <cell r="G389">
            <v>0</v>
          </cell>
          <cell r="H389" t="str">
            <v>TABACO</v>
          </cell>
          <cell r="I389" t="str">
            <v>U</v>
          </cell>
          <cell r="J389" t="str">
            <v>U</v>
          </cell>
        </row>
        <row r="390">
          <cell r="B390" t="str">
            <v>MG010120550</v>
          </cell>
          <cell r="C390" t="str">
            <v>MARRO GRANDE</v>
          </cell>
          <cell r="D390" t="str">
            <v>BOLSO</v>
          </cell>
          <cell r="E390" t="str">
            <v>BOLSO TUBO PATRICIA</v>
          </cell>
          <cell r="F390" t="str">
            <v>GAMUZA</v>
          </cell>
          <cell r="G390">
            <v>0</v>
          </cell>
          <cell r="H390" t="str">
            <v>VESUBIO/TABACO</v>
          </cell>
          <cell r="I390" t="str">
            <v>U</v>
          </cell>
          <cell r="J390" t="str">
            <v>U</v>
          </cell>
        </row>
        <row r="391">
          <cell r="B391" t="str">
            <v>MG010120551</v>
          </cell>
          <cell r="C391" t="str">
            <v>MARRO GRANDE</v>
          </cell>
          <cell r="D391" t="str">
            <v>BOLSO</v>
          </cell>
          <cell r="E391" t="str">
            <v>BOLSO TUBO PATRICIA</v>
          </cell>
          <cell r="F391" t="str">
            <v>GAMUZA</v>
          </cell>
          <cell r="G391">
            <v>0</v>
          </cell>
          <cell r="H391" t="str">
            <v>MOSTAZA/TABACO</v>
          </cell>
          <cell r="I391" t="str">
            <v>U</v>
          </cell>
          <cell r="J391" t="str">
            <v>U</v>
          </cell>
        </row>
        <row r="392">
          <cell r="B392" t="str">
            <v>MG010120552</v>
          </cell>
          <cell r="C392" t="str">
            <v>MARRO GRANDE</v>
          </cell>
          <cell r="D392" t="str">
            <v>BOLSO</v>
          </cell>
          <cell r="E392" t="str">
            <v>BOLSO TUBO PATRICIA</v>
          </cell>
          <cell r="F392" t="str">
            <v>GAMUZA</v>
          </cell>
          <cell r="G392">
            <v>0</v>
          </cell>
          <cell r="H392" t="str">
            <v>CHOCOLATE/TABACO</v>
          </cell>
          <cell r="I392" t="str">
            <v>U</v>
          </cell>
          <cell r="J392" t="str">
            <v>U</v>
          </cell>
        </row>
        <row r="393">
          <cell r="B393" t="str">
            <v>MG010080101</v>
          </cell>
          <cell r="C393" t="str">
            <v>MARRO GRANDE</v>
          </cell>
          <cell r="D393" t="str">
            <v>BOLSO</v>
          </cell>
          <cell r="E393" t="str">
            <v>BOLSO URBANO</v>
          </cell>
          <cell r="F393" t="str">
            <v>NAPADO</v>
          </cell>
          <cell r="G393">
            <v>0</v>
          </cell>
          <cell r="H393" t="str">
            <v>NEGRO</v>
          </cell>
          <cell r="I393" t="str">
            <v>U</v>
          </cell>
          <cell r="J393" t="str">
            <v>H</v>
          </cell>
        </row>
        <row r="394">
          <cell r="B394" t="str">
            <v>MG010080102</v>
          </cell>
          <cell r="C394" t="str">
            <v>MARRO GRANDE</v>
          </cell>
          <cell r="D394" t="str">
            <v>BOLSO</v>
          </cell>
          <cell r="E394" t="str">
            <v>BOLSO URBANO</v>
          </cell>
          <cell r="F394" t="str">
            <v>NAPADO</v>
          </cell>
          <cell r="G394">
            <v>0</v>
          </cell>
          <cell r="H394" t="str">
            <v>SUELA</v>
          </cell>
          <cell r="I394" t="str">
            <v>U</v>
          </cell>
          <cell r="J394" t="str">
            <v>H</v>
          </cell>
        </row>
        <row r="395">
          <cell r="B395" t="str">
            <v>MG010080301</v>
          </cell>
          <cell r="C395" t="str">
            <v>MARRO GRANDE</v>
          </cell>
          <cell r="D395" t="str">
            <v>BOLSO</v>
          </cell>
          <cell r="E395" t="str">
            <v>BOLSO URBANO</v>
          </cell>
          <cell r="F395" t="str">
            <v>BRIDGE</v>
          </cell>
          <cell r="G395">
            <v>0</v>
          </cell>
          <cell r="H395" t="str">
            <v>NEGRO</v>
          </cell>
          <cell r="I395" t="str">
            <v>U</v>
          </cell>
          <cell r="J395" t="str">
            <v>H</v>
          </cell>
        </row>
        <row r="396">
          <cell r="B396" t="str">
            <v>MG010080303</v>
          </cell>
          <cell r="C396" t="str">
            <v>MARRO GRANDE</v>
          </cell>
          <cell r="D396" t="str">
            <v>BOLSO</v>
          </cell>
          <cell r="E396" t="str">
            <v>BOLSO URBANO</v>
          </cell>
          <cell r="F396" t="str">
            <v>BRIDGE</v>
          </cell>
          <cell r="G396">
            <v>0</v>
          </cell>
          <cell r="H396" t="str">
            <v>CARAMELO</v>
          </cell>
          <cell r="I396" t="str">
            <v>U</v>
          </cell>
          <cell r="J396" t="str">
            <v>H</v>
          </cell>
        </row>
        <row r="397">
          <cell r="B397" t="str">
            <v>MG010080304</v>
          </cell>
          <cell r="C397" t="str">
            <v>MARRO GRANDE</v>
          </cell>
          <cell r="D397" t="str">
            <v>BOLSO</v>
          </cell>
          <cell r="E397" t="str">
            <v>BOLSO URBANO</v>
          </cell>
          <cell r="F397" t="str">
            <v>BRIDGE</v>
          </cell>
          <cell r="G397">
            <v>0</v>
          </cell>
          <cell r="H397" t="str">
            <v>TABACO</v>
          </cell>
          <cell r="I397" t="str">
            <v>U</v>
          </cell>
          <cell r="J397" t="str">
            <v>H</v>
          </cell>
        </row>
        <row r="398">
          <cell r="B398" t="str">
            <v>MG010080309</v>
          </cell>
          <cell r="C398" t="str">
            <v>MARRO GRANDE</v>
          </cell>
          <cell r="D398" t="str">
            <v>BOLSO</v>
          </cell>
          <cell r="E398" t="str">
            <v>BOLSO URBANO</v>
          </cell>
          <cell r="F398" t="str">
            <v>BRIDGE</v>
          </cell>
          <cell r="G398">
            <v>0</v>
          </cell>
          <cell r="H398" t="str">
            <v>AZUL</v>
          </cell>
          <cell r="I398" t="str">
            <v>U</v>
          </cell>
          <cell r="J398" t="str">
            <v>H</v>
          </cell>
        </row>
        <row r="399">
          <cell r="B399" t="str">
            <v>MG010080352</v>
          </cell>
          <cell r="C399" t="str">
            <v>MARRO GRANDE</v>
          </cell>
          <cell r="D399" t="str">
            <v>BOLSO</v>
          </cell>
          <cell r="E399" t="str">
            <v>BOLSO URBANO</v>
          </cell>
          <cell r="F399" t="str">
            <v>BRIDGE</v>
          </cell>
          <cell r="G399">
            <v>0</v>
          </cell>
          <cell r="H399" t="str">
            <v>CHOCOLATE</v>
          </cell>
          <cell r="I399" t="str">
            <v>U</v>
          </cell>
          <cell r="J399" t="str">
            <v>H</v>
          </cell>
        </row>
        <row r="400">
          <cell r="B400" t="str">
            <v>MG010081201</v>
          </cell>
          <cell r="C400" t="str">
            <v>MARRO GRANDE</v>
          </cell>
          <cell r="D400" t="str">
            <v>BOLSO</v>
          </cell>
          <cell r="E400" t="str">
            <v>BOLSO URBANO</v>
          </cell>
          <cell r="F400" t="str">
            <v>DUNA</v>
          </cell>
          <cell r="G400">
            <v>0</v>
          </cell>
          <cell r="H400" t="str">
            <v>NEGRO</v>
          </cell>
          <cell r="I400" t="str">
            <v>U</v>
          </cell>
          <cell r="J400" t="str">
            <v>H</v>
          </cell>
        </row>
        <row r="401">
          <cell r="B401" t="str">
            <v>MG010440301</v>
          </cell>
          <cell r="C401" t="str">
            <v>MARRO GRANDE</v>
          </cell>
          <cell r="D401" t="str">
            <v>BOLSO</v>
          </cell>
          <cell r="E401" t="str">
            <v>BOLSO URBANO FULL BLACK</v>
          </cell>
          <cell r="F401" t="str">
            <v>BRIDGE</v>
          </cell>
          <cell r="G401">
            <v>0</v>
          </cell>
          <cell r="H401" t="str">
            <v>NEGRO</v>
          </cell>
          <cell r="I401" t="str">
            <v>U</v>
          </cell>
          <cell r="J401" t="str">
            <v>H</v>
          </cell>
        </row>
        <row r="402">
          <cell r="B402" t="str">
            <v>CA140140002-36</v>
          </cell>
          <cell r="C402" t="str">
            <v>CALZADO</v>
          </cell>
          <cell r="D402" t="str">
            <v>BORCEGO</v>
          </cell>
          <cell r="E402" t="str">
            <v>BORCEGO ALELI</v>
          </cell>
          <cell r="F402" t="str">
            <v>CUERO</v>
          </cell>
          <cell r="G402">
            <v>0</v>
          </cell>
          <cell r="H402" t="str">
            <v xml:space="preserve"> SUELA</v>
          </cell>
          <cell r="I402">
            <v>36</v>
          </cell>
          <cell r="J402" t="str">
            <v>M</v>
          </cell>
        </row>
        <row r="403">
          <cell r="B403" t="str">
            <v>CA140140002-37</v>
          </cell>
          <cell r="C403" t="str">
            <v>CALZADO</v>
          </cell>
          <cell r="D403" t="str">
            <v>BORCEGO</v>
          </cell>
          <cell r="E403" t="str">
            <v>BORCEGO ALELI</v>
          </cell>
          <cell r="F403" t="str">
            <v>CUERO</v>
          </cell>
          <cell r="G403">
            <v>0</v>
          </cell>
          <cell r="H403" t="str">
            <v xml:space="preserve"> SUELA</v>
          </cell>
          <cell r="I403">
            <v>37</v>
          </cell>
          <cell r="J403" t="str">
            <v>M</v>
          </cell>
        </row>
        <row r="404">
          <cell r="B404" t="str">
            <v>CA140140002-38</v>
          </cell>
          <cell r="C404" t="str">
            <v>CALZADO</v>
          </cell>
          <cell r="D404" t="str">
            <v>BORCEGO</v>
          </cell>
          <cell r="E404" t="str">
            <v>BORCEGO ALELI</v>
          </cell>
          <cell r="F404" t="str">
            <v>CUERO</v>
          </cell>
          <cell r="G404">
            <v>0</v>
          </cell>
          <cell r="H404" t="str">
            <v xml:space="preserve"> SUELA</v>
          </cell>
          <cell r="I404">
            <v>38</v>
          </cell>
          <cell r="J404" t="str">
            <v>M</v>
          </cell>
        </row>
        <row r="405">
          <cell r="B405" t="str">
            <v>CA140140002-39</v>
          </cell>
          <cell r="C405" t="str">
            <v>CALZADO</v>
          </cell>
          <cell r="D405" t="str">
            <v>BORCEGO</v>
          </cell>
          <cell r="E405" t="str">
            <v>BORCEGO ALELI</v>
          </cell>
          <cell r="F405" t="str">
            <v>CUERO</v>
          </cell>
          <cell r="G405">
            <v>0</v>
          </cell>
          <cell r="H405" t="str">
            <v xml:space="preserve"> SUELA</v>
          </cell>
          <cell r="I405">
            <v>39</v>
          </cell>
          <cell r="J405" t="str">
            <v>M</v>
          </cell>
        </row>
        <row r="406">
          <cell r="B406" t="str">
            <v>CA140140002-40</v>
          </cell>
          <cell r="C406" t="str">
            <v>CALZADO</v>
          </cell>
          <cell r="D406" t="str">
            <v>BORCEGO</v>
          </cell>
          <cell r="E406" t="str">
            <v>BORCEGO ALELI</v>
          </cell>
          <cell r="F406" t="str">
            <v>CUERO</v>
          </cell>
          <cell r="G406">
            <v>0</v>
          </cell>
          <cell r="H406" t="str">
            <v xml:space="preserve"> SUELA</v>
          </cell>
          <cell r="I406">
            <v>40</v>
          </cell>
          <cell r="J406" t="str">
            <v>M</v>
          </cell>
        </row>
        <row r="407">
          <cell r="B407" t="str">
            <v>CA110050002-39</v>
          </cell>
          <cell r="C407" t="str">
            <v>CALZADO</v>
          </cell>
          <cell r="D407" t="str">
            <v>BORCEGO</v>
          </cell>
          <cell r="E407" t="str">
            <v>BORCEGO CLASSIC</v>
          </cell>
          <cell r="F407" t="str">
            <v>CUERO</v>
          </cell>
          <cell r="G407">
            <v>0</v>
          </cell>
          <cell r="H407" t="str">
            <v>SUELA</v>
          </cell>
          <cell r="I407">
            <v>39</v>
          </cell>
          <cell r="J407" t="str">
            <v>H</v>
          </cell>
        </row>
        <row r="408">
          <cell r="B408" t="str">
            <v>CA110050002-40</v>
          </cell>
          <cell r="C408" t="str">
            <v>CALZADO</v>
          </cell>
          <cell r="D408" t="str">
            <v>BORCEGO</v>
          </cell>
          <cell r="E408" t="str">
            <v>BORCEGO CLASSIC</v>
          </cell>
          <cell r="F408" t="str">
            <v>CUERO</v>
          </cell>
          <cell r="G408">
            <v>0</v>
          </cell>
          <cell r="H408" t="str">
            <v>SUELA</v>
          </cell>
          <cell r="I408">
            <v>40</v>
          </cell>
          <cell r="J408" t="str">
            <v>H</v>
          </cell>
        </row>
        <row r="409">
          <cell r="B409" t="str">
            <v>CA110050002-41</v>
          </cell>
          <cell r="C409" t="str">
            <v>CALZADO</v>
          </cell>
          <cell r="D409" t="str">
            <v>BORCEGO</v>
          </cell>
          <cell r="E409" t="str">
            <v>BORCEGO CLASSIC</v>
          </cell>
          <cell r="F409" t="str">
            <v>CUERO</v>
          </cell>
          <cell r="G409">
            <v>0</v>
          </cell>
          <cell r="H409" t="str">
            <v>SUELA</v>
          </cell>
          <cell r="I409">
            <v>41</v>
          </cell>
          <cell r="J409" t="str">
            <v>H</v>
          </cell>
        </row>
        <row r="410">
          <cell r="B410" t="str">
            <v>CA110050002-42</v>
          </cell>
          <cell r="C410" t="str">
            <v>CALZADO</v>
          </cell>
          <cell r="D410" t="str">
            <v>BORCEGO</v>
          </cell>
          <cell r="E410" t="str">
            <v>BORCEGO CLASSIC</v>
          </cell>
          <cell r="F410" t="str">
            <v>CUERO</v>
          </cell>
          <cell r="G410">
            <v>0</v>
          </cell>
          <cell r="H410" t="str">
            <v>SUELA</v>
          </cell>
          <cell r="I410">
            <v>42</v>
          </cell>
          <cell r="J410" t="str">
            <v>H</v>
          </cell>
        </row>
        <row r="411">
          <cell r="B411" t="str">
            <v>CA110050002-43</v>
          </cell>
          <cell r="C411" t="str">
            <v>CALZADO</v>
          </cell>
          <cell r="D411" t="str">
            <v>BORCEGO</v>
          </cell>
          <cell r="E411" t="str">
            <v>BORCEGO CLASSIC</v>
          </cell>
          <cell r="F411" t="str">
            <v>CUERO</v>
          </cell>
          <cell r="G411">
            <v>0</v>
          </cell>
          <cell r="H411" t="str">
            <v>SUELA</v>
          </cell>
          <cell r="I411">
            <v>43</v>
          </cell>
          <cell r="J411" t="str">
            <v>H</v>
          </cell>
        </row>
        <row r="412">
          <cell r="B412" t="str">
            <v>CA110050002-44</v>
          </cell>
          <cell r="C412" t="str">
            <v>CALZADO</v>
          </cell>
          <cell r="D412" t="str">
            <v>BORCEGO</v>
          </cell>
          <cell r="E412" t="str">
            <v>BORCEGO CLASSIC</v>
          </cell>
          <cell r="F412" t="str">
            <v>CUERO</v>
          </cell>
          <cell r="G412">
            <v>0</v>
          </cell>
          <cell r="H412" t="str">
            <v>SUELA</v>
          </cell>
          <cell r="I412">
            <v>44</v>
          </cell>
          <cell r="J412" t="str">
            <v>H</v>
          </cell>
        </row>
        <row r="413">
          <cell r="B413" t="str">
            <v>CA110050002-45</v>
          </cell>
          <cell r="C413" t="str">
            <v>CALZADO</v>
          </cell>
          <cell r="D413" t="str">
            <v>BORCEGO</v>
          </cell>
          <cell r="E413" t="str">
            <v>BORCEGO CLASSIC</v>
          </cell>
          <cell r="F413" t="str">
            <v>CUERO</v>
          </cell>
          <cell r="G413">
            <v>0</v>
          </cell>
          <cell r="H413" t="str">
            <v>SUELA</v>
          </cell>
          <cell r="I413">
            <v>45</v>
          </cell>
          <cell r="J413" t="str">
            <v>H</v>
          </cell>
        </row>
        <row r="414">
          <cell r="B414" t="str">
            <v>CA140150001-36</v>
          </cell>
          <cell r="C414" t="str">
            <v>CALZADO</v>
          </cell>
          <cell r="D414" t="str">
            <v>BOTA</v>
          </cell>
          <cell r="E414" t="str">
            <v>BOTA JAZMIN</v>
          </cell>
          <cell r="F414" t="str">
            <v>CUERO</v>
          </cell>
          <cell r="G414">
            <v>0</v>
          </cell>
          <cell r="H414" t="str">
            <v>NEGRO</v>
          </cell>
          <cell r="I414">
            <v>36</v>
          </cell>
          <cell r="J414" t="str">
            <v>M</v>
          </cell>
        </row>
        <row r="415">
          <cell r="B415" t="str">
            <v>CA140150001-37</v>
          </cell>
          <cell r="C415" t="str">
            <v>CALZADO</v>
          </cell>
          <cell r="D415" t="str">
            <v>BOTA</v>
          </cell>
          <cell r="E415" t="str">
            <v>BOTA JAZMIN</v>
          </cell>
          <cell r="F415" t="str">
            <v>CUERO</v>
          </cell>
          <cell r="G415">
            <v>0</v>
          </cell>
          <cell r="H415" t="str">
            <v>NEGRO</v>
          </cell>
          <cell r="I415">
            <v>37</v>
          </cell>
          <cell r="J415" t="str">
            <v>M</v>
          </cell>
        </row>
        <row r="416">
          <cell r="B416" t="str">
            <v>CA140150001-38</v>
          </cell>
          <cell r="C416" t="str">
            <v>CALZADO</v>
          </cell>
          <cell r="D416" t="str">
            <v>BOTA</v>
          </cell>
          <cell r="E416" t="str">
            <v>BOTA JAZMIN</v>
          </cell>
          <cell r="F416" t="str">
            <v>CUERO</v>
          </cell>
          <cell r="G416">
            <v>0</v>
          </cell>
          <cell r="H416" t="str">
            <v>NEGRO</v>
          </cell>
          <cell r="I416">
            <v>38</v>
          </cell>
          <cell r="J416" t="str">
            <v>M</v>
          </cell>
        </row>
        <row r="417">
          <cell r="B417" t="str">
            <v>CA140150001-39</v>
          </cell>
          <cell r="C417" t="str">
            <v>CALZADO</v>
          </cell>
          <cell r="D417" t="str">
            <v>BOTA</v>
          </cell>
          <cell r="E417" t="str">
            <v>BOTA JAZMIN</v>
          </cell>
          <cell r="F417" t="str">
            <v>CUERO</v>
          </cell>
          <cell r="G417">
            <v>0</v>
          </cell>
          <cell r="H417" t="str">
            <v>NEGRO</v>
          </cell>
          <cell r="I417">
            <v>39</v>
          </cell>
          <cell r="J417" t="str">
            <v>M</v>
          </cell>
        </row>
        <row r="418">
          <cell r="B418" t="str">
            <v>CA140150001-40</v>
          </cell>
          <cell r="C418" t="str">
            <v>CALZADO</v>
          </cell>
          <cell r="D418" t="str">
            <v>BOTA</v>
          </cell>
          <cell r="E418" t="str">
            <v>BOTA JAZMIN</v>
          </cell>
          <cell r="F418" t="str">
            <v>CUERO</v>
          </cell>
          <cell r="G418">
            <v>0</v>
          </cell>
          <cell r="H418" t="str">
            <v>NEGRO</v>
          </cell>
          <cell r="I418">
            <v>40</v>
          </cell>
          <cell r="J418" t="str">
            <v>M</v>
          </cell>
        </row>
        <row r="419">
          <cell r="B419" t="str">
            <v>CA110060002-39</v>
          </cell>
          <cell r="C419" t="str">
            <v>CALZADO</v>
          </cell>
          <cell r="D419" t="str">
            <v>BOTA</v>
          </cell>
          <cell r="E419" t="str">
            <v>BOTA MORRIS</v>
          </cell>
          <cell r="F419" t="str">
            <v>CUERO</v>
          </cell>
          <cell r="G419">
            <v>0</v>
          </cell>
          <cell r="H419" t="str">
            <v>SUELA</v>
          </cell>
          <cell r="I419">
            <v>39</v>
          </cell>
          <cell r="J419" t="str">
            <v>H</v>
          </cell>
        </row>
        <row r="420">
          <cell r="B420" t="str">
            <v>CA110060002-40</v>
          </cell>
          <cell r="C420" t="str">
            <v>CALZADO</v>
          </cell>
          <cell r="D420" t="str">
            <v>BOTA</v>
          </cell>
          <cell r="E420" t="str">
            <v>BOTA MORRIS</v>
          </cell>
          <cell r="F420" t="str">
            <v>CUERO</v>
          </cell>
          <cell r="G420">
            <v>0</v>
          </cell>
          <cell r="H420" t="str">
            <v>SUELA</v>
          </cell>
          <cell r="I420">
            <v>40</v>
          </cell>
          <cell r="J420" t="str">
            <v>H</v>
          </cell>
        </row>
        <row r="421">
          <cell r="B421" t="str">
            <v>CA110060002-41</v>
          </cell>
          <cell r="C421" t="str">
            <v>CALZADO</v>
          </cell>
          <cell r="D421" t="str">
            <v>BOTA</v>
          </cell>
          <cell r="E421" t="str">
            <v>BOTA MORRIS</v>
          </cell>
          <cell r="F421" t="str">
            <v>CUERO</v>
          </cell>
          <cell r="G421">
            <v>0</v>
          </cell>
          <cell r="H421" t="str">
            <v>SUELA</v>
          </cell>
          <cell r="I421">
            <v>41</v>
          </cell>
          <cell r="J421" t="str">
            <v>H</v>
          </cell>
        </row>
        <row r="422">
          <cell r="B422" t="str">
            <v>CA110060002-42</v>
          </cell>
          <cell r="C422" t="str">
            <v>CALZADO</v>
          </cell>
          <cell r="D422" t="str">
            <v>BOTA</v>
          </cell>
          <cell r="E422" t="str">
            <v>BOTA MORRIS</v>
          </cell>
          <cell r="F422" t="str">
            <v>CUERO</v>
          </cell>
          <cell r="G422">
            <v>0</v>
          </cell>
          <cell r="H422" t="str">
            <v>SUELA</v>
          </cell>
          <cell r="I422">
            <v>42</v>
          </cell>
          <cell r="J422" t="str">
            <v>H</v>
          </cell>
        </row>
        <row r="423">
          <cell r="B423" t="str">
            <v>CA110060002-43</v>
          </cell>
          <cell r="C423" t="str">
            <v>CALZADO</v>
          </cell>
          <cell r="D423" t="str">
            <v>BOTA</v>
          </cell>
          <cell r="E423" t="str">
            <v>BOTA MORRIS</v>
          </cell>
          <cell r="F423" t="str">
            <v>CUERO</v>
          </cell>
          <cell r="G423">
            <v>0</v>
          </cell>
          <cell r="H423" t="str">
            <v>SUELA</v>
          </cell>
          <cell r="I423">
            <v>43</v>
          </cell>
          <cell r="J423" t="str">
            <v>H</v>
          </cell>
        </row>
        <row r="424">
          <cell r="B424" t="str">
            <v>CA110060002-44</v>
          </cell>
          <cell r="C424" t="str">
            <v>CALZADO</v>
          </cell>
          <cell r="D424" t="str">
            <v>BOTA</v>
          </cell>
          <cell r="E424" t="str">
            <v>BOTA MORRIS</v>
          </cell>
          <cell r="F424" t="str">
            <v>CUERO</v>
          </cell>
          <cell r="G424">
            <v>0</v>
          </cell>
          <cell r="H424" t="str">
            <v>SUELA</v>
          </cell>
          <cell r="I424">
            <v>44</v>
          </cell>
          <cell r="J424" t="str">
            <v>H</v>
          </cell>
        </row>
        <row r="425">
          <cell r="B425" t="str">
            <v>CA110060002-45</v>
          </cell>
          <cell r="C425" t="str">
            <v>CALZADO</v>
          </cell>
          <cell r="D425" t="str">
            <v>BOTA</v>
          </cell>
          <cell r="E425" t="str">
            <v>BOTA MORRIS</v>
          </cell>
          <cell r="F425" t="str">
            <v>CUERO</v>
          </cell>
          <cell r="G425">
            <v>0</v>
          </cell>
          <cell r="H425" t="str">
            <v>SUELA</v>
          </cell>
          <cell r="I425">
            <v>45</v>
          </cell>
          <cell r="J425" t="str">
            <v>H</v>
          </cell>
        </row>
        <row r="426">
          <cell r="B426" t="str">
            <v>MG010210201</v>
          </cell>
          <cell r="C426" t="str">
            <v>MARRO GRANDE</v>
          </cell>
          <cell r="D426" t="str">
            <v>NECESSAIRE</v>
          </cell>
          <cell r="E426" t="str">
            <v>BOTINERO MARCOS 30</v>
          </cell>
          <cell r="F426" t="str">
            <v>TAMPONATO</v>
          </cell>
          <cell r="G426">
            <v>0</v>
          </cell>
          <cell r="H426" t="str">
            <v>NEGRO</v>
          </cell>
          <cell r="I426" t="str">
            <v>U</v>
          </cell>
          <cell r="J426" t="str">
            <v>H</v>
          </cell>
        </row>
        <row r="427">
          <cell r="B427" t="str">
            <v>MG010210202</v>
          </cell>
          <cell r="C427" t="str">
            <v>MARRO GRANDE</v>
          </cell>
          <cell r="D427" t="str">
            <v>NECESSAIRE</v>
          </cell>
          <cell r="E427" t="str">
            <v>BOTINERO MARCOS 30</v>
          </cell>
          <cell r="F427" t="str">
            <v>TAMPONATO</v>
          </cell>
          <cell r="G427">
            <v>0</v>
          </cell>
          <cell r="H427" t="str">
            <v>SUELA</v>
          </cell>
          <cell r="I427" t="str">
            <v>U</v>
          </cell>
          <cell r="J427" t="str">
            <v>H</v>
          </cell>
        </row>
        <row r="428">
          <cell r="B428" t="str">
            <v>MG010210203</v>
          </cell>
          <cell r="C428" t="str">
            <v>MARRO GRANDE</v>
          </cell>
          <cell r="D428" t="str">
            <v>NECESSAIRE</v>
          </cell>
          <cell r="E428" t="str">
            <v>BOTINERO MARCOS 30</v>
          </cell>
          <cell r="F428" t="str">
            <v>TAMPONATO</v>
          </cell>
          <cell r="G428">
            <v>0</v>
          </cell>
          <cell r="H428" t="str">
            <v>CARAMELO</v>
          </cell>
          <cell r="I428" t="str">
            <v>U</v>
          </cell>
          <cell r="J428" t="str">
            <v>H</v>
          </cell>
        </row>
        <row r="429">
          <cell r="B429" t="str">
            <v>MG010210301</v>
          </cell>
          <cell r="C429" t="str">
            <v>MARRO GRANDE</v>
          </cell>
          <cell r="D429" t="str">
            <v>NECESSAIRE</v>
          </cell>
          <cell r="E429" t="str">
            <v>BOTINERO MARCOS 30</v>
          </cell>
          <cell r="F429" t="str">
            <v>BRIDGE</v>
          </cell>
          <cell r="G429">
            <v>0</v>
          </cell>
          <cell r="H429" t="str">
            <v>NEGRO</v>
          </cell>
          <cell r="I429" t="str">
            <v>U</v>
          </cell>
          <cell r="J429" t="str">
            <v>H</v>
          </cell>
        </row>
        <row r="430">
          <cell r="B430" t="str">
            <v>MG010210303</v>
          </cell>
          <cell r="C430" t="str">
            <v>MARRO GRANDE</v>
          </cell>
          <cell r="D430" t="str">
            <v>NECESSAIRE</v>
          </cell>
          <cell r="E430" t="str">
            <v>BOTINERO MARCOS 30</v>
          </cell>
          <cell r="F430" t="str">
            <v>BRIDGE</v>
          </cell>
          <cell r="G430">
            <v>0</v>
          </cell>
          <cell r="H430" t="str">
            <v>CARAMELO</v>
          </cell>
          <cell r="I430" t="str">
            <v>U</v>
          </cell>
          <cell r="J430" t="str">
            <v>H</v>
          </cell>
        </row>
        <row r="431">
          <cell r="B431" t="str">
            <v>MG010210304</v>
          </cell>
          <cell r="C431" t="str">
            <v>MARRO GRANDE</v>
          </cell>
          <cell r="D431" t="str">
            <v>NECESSAIRE</v>
          </cell>
          <cell r="E431" t="str">
            <v>BOTINERO MARCOS 30</v>
          </cell>
          <cell r="F431" t="str">
            <v>BRIDGE</v>
          </cell>
          <cell r="G431">
            <v>0</v>
          </cell>
          <cell r="H431" t="str">
            <v>TABACO</v>
          </cell>
          <cell r="I431" t="str">
            <v>U</v>
          </cell>
          <cell r="J431" t="str">
            <v>H</v>
          </cell>
        </row>
        <row r="432">
          <cell r="B432" t="str">
            <v>MG010210307</v>
          </cell>
          <cell r="C432" t="str">
            <v>MARRO GRANDE</v>
          </cell>
          <cell r="D432" t="str">
            <v>NECESSAIRE</v>
          </cell>
          <cell r="E432" t="str">
            <v>BOTINERO MARCOS 30</v>
          </cell>
          <cell r="F432" t="str">
            <v>BRIDGE</v>
          </cell>
          <cell r="G432">
            <v>0</v>
          </cell>
          <cell r="H432" t="str">
            <v>ROJO</v>
          </cell>
          <cell r="I432" t="str">
            <v>U</v>
          </cell>
          <cell r="J432" t="str">
            <v>H</v>
          </cell>
        </row>
        <row r="433">
          <cell r="B433" t="str">
            <v>MG010210309</v>
          </cell>
          <cell r="C433" t="str">
            <v>MARRO GRANDE</v>
          </cell>
          <cell r="D433" t="str">
            <v>NECESSAIRE</v>
          </cell>
          <cell r="E433" t="str">
            <v>BOTINERO MARCOS 30</v>
          </cell>
          <cell r="F433" t="str">
            <v>BRIDGE</v>
          </cell>
          <cell r="G433">
            <v>0</v>
          </cell>
          <cell r="H433" t="str">
            <v>AZUL</v>
          </cell>
          <cell r="I433" t="str">
            <v>U</v>
          </cell>
          <cell r="J433" t="str">
            <v>H</v>
          </cell>
        </row>
        <row r="434">
          <cell r="B434" t="str">
            <v>MG010210315</v>
          </cell>
          <cell r="C434" t="str">
            <v>MARRO GRANDE</v>
          </cell>
          <cell r="D434" t="str">
            <v>NECESSAIRE</v>
          </cell>
          <cell r="E434" t="str">
            <v>BOTINERO MARCOS 30</v>
          </cell>
          <cell r="F434" t="str">
            <v>BRIDGE</v>
          </cell>
          <cell r="G434">
            <v>0</v>
          </cell>
          <cell r="H434" t="str">
            <v>MALBEC</v>
          </cell>
          <cell r="I434" t="str">
            <v>U</v>
          </cell>
          <cell r="J434" t="str">
            <v>H</v>
          </cell>
        </row>
        <row r="435">
          <cell r="B435" t="str">
            <v>MG010210352</v>
          </cell>
          <cell r="C435" t="str">
            <v>MARRO GRANDE</v>
          </cell>
          <cell r="D435" t="str">
            <v>NECESSAIRE</v>
          </cell>
          <cell r="E435" t="str">
            <v>BOTINERO MARCOS 30</v>
          </cell>
          <cell r="F435" t="str">
            <v>BRIDGE</v>
          </cell>
          <cell r="G435">
            <v>0</v>
          </cell>
          <cell r="H435" t="str">
            <v>CHOCOLATE</v>
          </cell>
          <cell r="I435" t="str">
            <v>U</v>
          </cell>
          <cell r="J435" t="str">
            <v>H</v>
          </cell>
        </row>
        <row r="436">
          <cell r="B436" t="str">
            <v>MG010210509-3</v>
          </cell>
          <cell r="C436" t="str">
            <v>MARRO GRANDE</v>
          </cell>
          <cell r="D436" t="str">
            <v>NECESSAIRE</v>
          </cell>
          <cell r="E436" t="str">
            <v>BOTINERO MARCOS 30</v>
          </cell>
          <cell r="F436" t="str">
            <v>GAMUZA</v>
          </cell>
          <cell r="G436">
            <v>0</v>
          </cell>
          <cell r="H436" t="str">
            <v>AZUL-CARAMELO</v>
          </cell>
          <cell r="I436" t="str">
            <v>U</v>
          </cell>
          <cell r="J436" t="str">
            <v>H</v>
          </cell>
        </row>
        <row r="437">
          <cell r="B437" t="str">
            <v>MG010210550</v>
          </cell>
          <cell r="C437" t="str">
            <v>MARRO GRANDE</v>
          </cell>
          <cell r="D437" t="str">
            <v>NECESSAIRE</v>
          </cell>
          <cell r="E437" t="str">
            <v>BOTINERO MARCOS 30</v>
          </cell>
          <cell r="F437" t="str">
            <v>GAMUZA</v>
          </cell>
          <cell r="G437">
            <v>0</v>
          </cell>
          <cell r="H437" t="str">
            <v>VESUBIO-TABACO</v>
          </cell>
          <cell r="I437" t="str">
            <v>U</v>
          </cell>
          <cell r="J437" t="str">
            <v>H</v>
          </cell>
        </row>
        <row r="438">
          <cell r="B438" t="str">
            <v>MG010210552</v>
          </cell>
          <cell r="C438" t="str">
            <v>MARRO GRANDE</v>
          </cell>
          <cell r="D438" t="str">
            <v>NECESSAIRE</v>
          </cell>
          <cell r="E438" t="str">
            <v>BOTINERO MARCOS 30</v>
          </cell>
          <cell r="F438" t="str">
            <v>GAMUZA</v>
          </cell>
          <cell r="G438">
            <v>0</v>
          </cell>
          <cell r="H438" t="str">
            <v>CHOCOLATE</v>
          </cell>
          <cell r="I438" t="str">
            <v>U</v>
          </cell>
          <cell r="J438" t="str">
            <v>H</v>
          </cell>
        </row>
        <row r="439">
          <cell r="B439" t="str">
            <v>MG010210558-1</v>
          </cell>
          <cell r="C439" t="str">
            <v>MARRO GRANDE</v>
          </cell>
          <cell r="D439" t="str">
            <v>NECESSAIRE</v>
          </cell>
          <cell r="E439" t="str">
            <v>BOTINERO MARCOS 30</v>
          </cell>
          <cell r="F439" t="str">
            <v>GAMUZA</v>
          </cell>
          <cell r="G439">
            <v>0</v>
          </cell>
          <cell r="H439" t="str">
            <v>CAFE-NEGRO</v>
          </cell>
          <cell r="I439" t="str">
            <v>U</v>
          </cell>
          <cell r="J439" t="str">
            <v>H</v>
          </cell>
        </row>
        <row r="440">
          <cell r="B440" t="str">
            <v>MG010210558-4</v>
          </cell>
          <cell r="C440" t="str">
            <v>MARRO GRANDE</v>
          </cell>
          <cell r="D440" t="str">
            <v>NECESSAIRE</v>
          </cell>
          <cell r="E440" t="str">
            <v>BOTINERO MARCOS 30</v>
          </cell>
          <cell r="F440" t="str">
            <v>GAMUZA</v>
          </cell>
          <cell r="G440">
            <v>0</v>
          </cell>
          <cell r="H440" t="str">
            <v>CAFE-TABACO</v>
          </cell>
          <cell r="I440" t="str">
            <v>U</v>
          </cell>
          <cell r="J440" t="str">
            <v>H</v>
          </cell>
        </row>
        <row r="441">
          <cell r="B441" t="str">
            <v>TX190212901</v>
          </cell>
          <cell r="C441" t="str">
            <v>ACCESORIOS</v>
          </cell>
          <cell r="D441" t="str">
            <v>BUFANDA</v>
          </cell>
          <cell r="E441" t="str">
            <v>BUFANDA ACRUX</v>
          </cell>
          <cell r="F441" t="str">
            <v>LANA ALPACA</v>
          </cell>
          <cell r="G441">
            <v>0</v>
          </cell>
          <cell r="H441" t="str">
            <v>NEGRO</v>
          </cell>
          <cell r="I441" t="str">
            <v>U</v>
          </cell>
          <cell r="J441" t="str">
            <v>U</v>
          </cell>
        </row>
        <row r="442">
          <cell r="B442" t="str">
            <v>TX190212909</v>
          </cell>
          <cell r="C442" t="str">
            <v>ACCESORIOS</v>
          </cell>
          <cell r="D442" t="str">
            <v>BUFANDA</v>
          </cell>
          <cell r="E442" t="str">
            <v>BUFANDA ACRUX</v>
          </cell>
          <cell r="F442" t="str">
            <v>LANA ALPACA</v>
          </cell>
          <cell r="G442">
            <v>0</v>
          </cell>
          <cell r="H442" t="str">
            <v>AZUL</v>
          </cell>
          <cell r="I442" t="str">
            <v>U</v>
          </cell>
          <cell r="J442" t="str">
            <v>U</v>
          </cell>
        </row>
        <row r="443">
          <cell r="B443" t="str">
            <v>TX190212912</v>
          </cell>
          <cell r="C443" t="str">
            <v>ACCESORIOS</v>
          </cell>
          <cell r="D443" t="str">
            <v>BUFANDA</v>
          </cell>
          <cell r="E443" t="str">
            <v>BUFANDA ACRUX</v>
          </cell>
          <cell r="F443" t="str">
            <v>LANA ALPACA</v>
          </cell>
          <cell r="G443">
            <v>0</v>
          </cell>
          <cell r="H443" t="str">
            <v>GRIS MEDIO</v>
          </cell>
          <cell r="I443" t="str">
            <v>U</v>
          </cell>
          <cell r="J443" t="str">
            <v>U</v>
          </cell>
        </row>
        <row r="444">
          <cell r="B444" t="str">
            <v>TX190212921</v>
          </cell>
          <cell r="C444" t="str">
            <v>ACCESORIOS</v>
          </cell>
          <cell r="D444" t="str">
            <v>BUFANDA</v>
          </cell>
          <cell r="E444" t="str">
            <v>BUFANDA ACRUX</v>
          </cell>
          <cell r="F444" t="str">
            <v>LANA ALPACA</v>
          </cell>
          <cell r="G444">
            <v>0</v>
          </cell>
          <cell r="H444" t="str">
            <v>TOSTADO</v>
          </cell>
          <cell r="I444" t="str">
            <v>U</v>
          </cell>
          <cell r="J444" t="str">
            <v>U</v>
          </cell>
        </row>
        <row r="445">
          <cell r="B445" t="str">
            <v>TX190212936</v>
          </cell>
          <cell r="C445" t="str">
            <v>ACCESORIOS</v>
          </cell>
          <cell r="D445" t="str">
            <v>BUFANDA</v>
          </cell>
          <cell r="E445" t="str">
            <v>BUFANDA ACRUX</v>
          </cell>
          <cell r="F445" t="str">
            <v>LANA ALPACA</v>
          </cell>
          <cell r="G445">
            <v>0</v>
          </cell>
          <cell r="H445" t="str">
            <v>CRUDO</v>
          </cell>
          <cell r="I445" t="str">
            <v>U</v>
          </cell>
          <cell r="J445" t="str">
            <v>U</v>
          </cell>
        </row>
        <row r="446">
          <cell r="B446" t="str">
            <v>TX190212952</v>
          </cell>
          <cell r="C446" t="str">
            <v>ACCESORIOS</v>
          </cell>
          <cell r="D446" t="str">
            <v>BUFANDA</v>
          </cell>
          <cell r="E446" t="str">
            <v>BUFANDA ACRUX</v>
          </cell>
          <cell r="F446" t="str">
            <v>LANA ALPACA</v>
          </cell>
          <cell r="G446">
            <v>0</v>
          </cell>
          <cell r="H446" t="str">
            <v>CHOCOLATE</v>
          </cell>
          <cell r="I446" t="str">
            <v>U</v>
          </cell>
          <cell r="J446" t="str">
            <v>U</v>
          </cell>
        </row>
        <row r="447">
          <cell r="B447" t="str">
            <v>TX190212911</v>
          </cell>
          <cell r="C447" t="str">
            <v>ACCESORIOS</v>
          </cell>
          <cell r="D447" t="str">
            <v>BUFANDA</v>
          </cell>
          <cell r="E447" t="str">
            <v>BUFANDA ACRUX</v>
          </cell>
          <cell r="F447" t="str">
            <v>LANA ALPACA</v>
          </cell>
          <cell r="G447">
            <v>0</v>
          </cell>
          <cell r="H447" t="str">
            <v>BEIGE</v>
          </cell>
          <cell r="I447" t="str">
            <v>U</v>
          </cell>
          <cell r="J447" t="str">
            <v>U</v>
          </cell>
        </row>
        <row r="448">
          <cell r="B448" t="str">
            <v>TX190202901</v>
          </cell>
          <cell r="C448" t="str">
            <v>ACCESORIOS</v>
          </cell>
          <cell r="D448" t="str">
            <v>BUFANDA</v>
          </cell>
          <cell r="E448" t="str">
            <v>BUFANDA ADHARA</v>
          </cell>
          <cell r="F448" t="str">
            <v>LANA ALPACA</v>
          </cell>
          <cell r="G448">
            <v>0</v>
          </cell>
          <cell r="H448" t="str">
            <v>NEGRO</v>
          </cell>
          <cell r="I448" t="str">
            <v>U</v>
          </cell>
          <cell r="J448" t="str">
            <v>U</v>
          </cell>
        </row>
        <row r="449">
          <cell r="B449" t="str">
            <v>TX190202909</v>
          </cell>
          <cell r="C449" t="str">
            <v>ACCESORIOS</v>
          </cell>
          <cell r="D449" t="str">
            <v>BUFANDA</v>
          </cell>
          <cell r="E449" t="str">
            <v>BUFANDA ADHARA</v>
          </cell>
          <cell r="F449" t="str">
            <v>LANA ALPACA</v>
          </cell>
          <cell r="G449">
            <v>0</v>
          </cell>
          <cell r="H449" t="str">
            <v>AZUL</v>
          </cell>
          <cell r="I449" t="str">
            <v>U</v>
          </cell>
          <cell r="J449" t="str">
            <v>U</v>
          </cell>
        </row>
        <row r="450">
          <cell r="B450" t="str">
            <v>TX190202912</v>
          </cell>
          <cell r="C450" t="str">
            <v>ACCESORIOS</v>
          </cell>
          <cell r="D450" t="str">
            <v>BUFANDA</v>
          </cell>
          <cell r="E450" t="str">
            <v>BUFANDA ADHARA</v>
          </cell>
          <cell r="F450" t="str">
            <v>LANA ALPACA</v>
          </cell>
          <cell r="G450">
            <v>0</v>
          </cell>
          <cell r="H450" t="str">
            <v>GRIS MEDIO</v>
          </cell>
          <cell r="I450" t="str">
            <v>U</v>
          </cell>
          <cell r="J450" t="str">
            <v>U</v>
          </cell>
        </row>
        <row r="451">
          <cell r="B451" t="str">
            <v>TX190202921</v>
          </cell>
          <cell r="C451" t="str">
            <v>ACCESORIOS</v>
          </cell>
          <cell r="D451" t="str">
            <v>BUFANDA</v>
          </cell>
          <cell r="E451" t="str">
            <v>BUFANDA ADHARA</v>
          </cell>
          <cell r="F451" t="str">
            <v>LANA ALPACA</v>
          </cell>
          <cell r="G451">
            <v>0</v>
          </cell>
          <cell r="H451" t="str">
            <v>TOSTADO</v>
          </cell>
          <cell r="I451" t="str">
            <v>U</v>
          </cell>
          <cell r="J451" t="str">
            <v>U</v>
          </cell>
        </row>
        <row r="452">
          <cell r="B452" t="str">
            <v>TX190202936</v>
          </cell>
          <cell r="C452" t="str">
            <v>ACCESORIOS</v>
          </cell>
          <cell r="D452" t="str">
            <v>BUFANDA</v>
          </cell>
          <cell r="E452" t="str">
            <v>BUFANDA ADHARA</v>
          </cell>
          <cell r="F452" t="str">
            <v>LANA ALPACA</v>
          </cell>
          <cell r="G452">
            <v>0</v>
          </cell>
          <cell r="H452" t="str">
            <v>CRUDO</v>
          </cell>
          <cell r="I452" t="str">
            <v>U</v>
          </cell>
          <cell r="J452" t="str">
            <v>U</v>
          </cell>
        </row>
        <row r="453">
          <cell r="B453" t="str">
            <v>TX190172801</v>
          </cell>
          <cell r="C453" t="str">
            <v>ACCESORIOS</v>
          </cell>
          <cell r="D453" t="str">
            <v>BUFANDA</v>
          </cell>
          <cell r="E453" t="str">
            <v>BUFANDA CAPELLA</v>
          </cell>
          <cell r="F453" t="str">
            <v>LANA LLAMA</v>
          </cell>
          <cell r="G453">
            <v>0</v>
          </cell>
          <cell r="H453" t="str">
            <v>NEGRO</v>
          </cell>
          <cell r="I453" t="str">
            <v>U</v>
          </cell>
          <cell r="J453" t="str">
            <v>U</v>
          </cell>
        </row>
        <row r="454">
          <cell r="B454" t="str">
            <v>TX190172809</v>
          </cell>
          <cell r="C454" t="str">
            <v>ACCESORIOS</v>
          </cell>
          <cell r="D454" t="str">
            <v>BUFANDA</v>
          </cell>
          <cell r="E454" t="str">
            <v>BUFANDA CAPELLA</v>
          </cell>
          <cell r="F454" t="str">
            <v>LANA LLAMA</v>
          </cell>
          <cell r="G454">
            <v>0</v>
          </cell>
          <cell r="H454" t="str">
            <v>AZUL</v>
          </cell>
          <cell r="I454" t="str">
            <v>U</v>
          </cell>
          <cell r="J454" t="str">
            <v>U</v>
          </cell>
        </row>
        <row r="455">
          <cell r="B455" t="str">
            <v>TX190172811</v>
          </cell>
          <cell r="C455" t="str">
            <v>ACCESORIOS</v>
          </cell>
          <cell r="D455" t="str">
            <v>BUFANDA</v>
          </cell>
          <cell r="E455" t="str">
            <v>BUFANDA CAPELLA</v>
          </cell>
          <cell r="F455" t="str">
            <v>LANA LLAMA</v>
          </cell>
          <cell r="G455">
            <v>0</v>
          </cell>
          <cell r="H455" t="str">
            <v>BEIGE</v>
          </cell>
          <cell r="I455" t="str">
            <v>U</v>
          </cell>
          <cell r="J455" t="str">
            <v>U</v>
          </cell>
        </row>
        <row r="456">
          <cell r="B456" t="str">
            <v>TX190172812</v>
          </cell>
          <cell r="C456" t="str">
            <v>ACCESORIOS</v>
          </cell>
          <cell r="D456" t="str">
            <v>BUFANDA</v>
          </cell>
          <cell r="E456" t="str">
            <v>BUFANDA CAPELLA</v>
          </cell>
          <cell r="F456" t="str">
            <v>LANA LLAMA</v>
          </cell>
          <cell r="G456">
            <v>0</v>
          </cell>
          <cell r="H456" t="str">
            <v>GRIS MEDIO</v>
          </cell>
          <cell r="I456" t="str">
            <v>U</v>
          </cell>
          <cell r="J456" t="str">
            <v>U</v>
          </cell>
        </row>
        <row r="457">
          <cell r="B457" t="str">
            <v>TX190172828</v>
          </cell>
          <cell r="C457" t="str">
            <v>ACCESORIOS</v>
          </cell>
          <cell r="D457" t="str">
            <v>BUFANDA</v>
          </cell>
          <cell r="E457" t="str">
            <v>BUFANDA CAPELLA</v>
          </cell>
          <cell r="F457" t="str">
            <v>LANA LLAMA</v>
          </cell>
          <cell r="G457">
            <v>0</v>
          </cell>
          <cell r="H457" t="str">
            <v>VISON</v>
          </cell>
          <cell r="I457" t="str">
            <v>U</v>
          </cell>
          <cell r="J457" t="str">
            <v>U</v>
          </cell>
        </row>
        <row r="458">
          <cell r="B458" t="str">
            <v>TX190172837</v>
          </cell>
          <cell r="C458" t="str">
            <v>ACCESORIOS</v>
          </cell>
          <cell r="D458" t="str">
            <v>BUFANDA</v>
          </cell>
          <cell r="E458" t="str">
            <v>BUFANDA CAPELLA</v>
          </cell>
          <cell r="F458" t="str">
            <v>LANA LLAMA</v>
          </cell>
          <cell r="G458">
            <v>0</v>
          </cell>
          <cell r="H458" t="str">
            <v>CRUDO</v>
          </cell>
          <cell r="I458" t="str">
            <v>U</v>
          </cell>
          <cell r="J458" t="str">
            <v>U</v>
          </cell>
        </row>
        <row r="459">
          <cell r="B459" t="str">
            <v>OT120300000</v>
          </cell>
          <cell r="C459" t="str">
            <v>OTROS</v>
          </cell>
          <cell r="D459" t="str">
            <v>OTROS</v>
          </cell>
          <cell r="E459" t="str">
            <v>CAJA REGALO LUCERO</v>
          </cell>
          <cell r="F459" t="str">
            <v>VARIOS</v>
          </cell>
          <cell r="G459">
            <v>0</v>
          </cell>
          <cell r="H459" t="str">
            <v>VARIOS</v>
          </cell>
          <cell r="I459" t="str">
            <v>U</v>
          </cell>
          <cell r="J459">
            <v>0</v>
          </cell>
        </row>
        <row r="460">
          <cell r="B460" t="str">
            <v>TX240293907-38</v>
          </cell>
          <cell r="C460" t="str">
            <v>TEXTIL</v>
          </cell>
          <cell r="D460" t="str">
            <v>CAMISA</v>
          </cell>
          <cell r="E460" t="str">
            <v>CAMISA ALASKA</v>
          </cell>
          <cell r="F460" t="str">
            <v>VIYELA</v>
          </cell>
          <cell r="H460" t="str">
            <v>ROJO</v>
          </cell>
          <cell r="I460" t="str">
            <v>U</v>
          </cell>
          <cell r="J460" t="str">
            <v>H</v>
          </cell>
        </row>
        <row r="461">
          <cell r="B461" t="str">
            <v>TX240293907-40</v>
          </cell>
          <cell r="C461" t="str">
            <v>TEXTIL</v>
          </cell>
          <cell r="D461" t="str">
            <v>CAMISA</v>
          </cell>
          <cell r="E461" t="str">
            <v>CAMISA ALASKA</v>
          </cell>
          <cell r="F461" t="str">
            <v>VIYELA</v>
          </cell>
          <cell r="H461" t="str">
            <v>ROJO</v>
          </cell>
          <cell r="I461" t="str">
            <v>U</v>
          </cell>
          <cell r="J461" t="str">
            <v>H</v>
          </cell>
        </row>
        <row r="462">
          <cell r="B462" t="str">
            <v>TX240293907-42</v>
          </cell>
          <cell r="C462" t="str">
            <v>TEXTIL</v>
          </cell>
          <cell r="D462" t="str">
            <v>CAMISA</v>
          </cell>
          <cell r="E462" t="str">
            <v>CAMISA ALASKA</v>
          </cell>
          <cell r="F462" t="str">
            <v>VIYELA</v>
          </cell>
          <cell r="H462" t="str">
            <v>ROJO</v>
          </cell>
          <cell r="I462" t="str">
            <v>U</v>
          </cell>
          <cell r="J462" t="str">
            <v>H</v>
          </cell>
        </row>
        <row r="463">
          <cell r="B463" t="str">
            <v>TX240293907-44</v>
          </cell>
          <cell r="C463" t="str">
            <v>TEXTIL</v>
          </cell>
          <cell r="D463" t="str">
            <v>CAMISA</v>
          </cell>
          <cell r="E463" t="str">
            <v>CAMISA ALASKA</v>
          </cell>
          <cell r="F463" t="str">
            <v>VIYELA</v>
          </cell>
          <cell r="H463" t="str">
            <v>ROJO</v>
          </cell>
          <cell r="I463" t="str">
            <v>U</v>
          </cell>
          <cell r="J463" t="str">
            <v>H</v>
          </cell>
        </row>
        <row r="464">
          <cell r="B464" t="str">
            <v>TX240293907-46</v>
          </cell>
          <cell r="C464" t="str">
            <v>TEXTIL</v>
          </cell>
          <cell r="D464" t="str">
            <v>CAMISA</v>
          </cell>
          <cell r="E464" t="str">
            <v>CAMISA ALASKA</v>
          </cell>
          <cell r="F464" t="str">
            <v>VIYELA</v>
          </cell>
          <cell r="H464" t="str">
            <v>ROJO</v>
          </cell>
          <cell r="I464" t="str">
            <v>U</v>
          </cell>
          <cell r="J464" t="str">
            <v>H</v>
          </cell>
        </row>
        <row r="465">
          <cell r="B465" t="str">
            <v>TX240293907-48</v>
          </cell>
          <cell r="C465" t="str">
            <v>TEXTIL</v>
          </cell>
          <cell r="D465" t="str">
            <v>CAMISA</v>
          </cell>
          <cell r="E465" t="str">
            <v>CAMISA ALASKA</v>
          </cell>
          <cell r="F465" t="str">
            <v>VIYELA</v>
          </cell>
          <cell r="H465" t="str">
            <v>ROJO</v>
          </cell>
          <cell r="I465" t="str">
            <v>U</v>
          </cell>
          <cell r="J465" t="str">
            <v>H</v>
          </cell>
        </row>
        <row r="466">
          <cell r="B466" t="str">
            <v>TX240293907-50</v>
          </cell>
          <cell r="C466" t="str">
            <v>TEXTIL</v>
          </cell>
          <cell r="D466" t="str">
            <v>CAMISA</v>
          </cell>
          <cell r="E466" t="str">
            <v>CAMISA ALASKA</v>
          </cell>
          <cell r="F466" t="str">
            <v>VIYELA</v>
          </cell>
          <cell r="H466" t="str">
            <v>ROJO</v>
          </cell>
          <cell r="I466" t="str">
            <v>U</v>
          </cell>
          <cell r="J466" t="str">
            <v>H</v>
          </cell>
        </row>
        <row r="467">
          <cell r="B467" t="str">
            <v>TX240293946-38</v>
          </cell>
          <cell r="C467" t="str">
            <v>TEXTIL</v>
          </cell>
          <cell r="D467" t="str">
            <v>CAMISA</v>
          </cell>
          <cell r="E467" t="str">
            <v>CAMISA ALASKA</v>
          </cell>
          <cell r="F467" t="str">
            <v>VIYELA</v>
          </cell>
          <cell r="H467" t="str">
            <v>ROSA</v>
          </cell>
          <cell r="I467" t="str">
            <v>U</v>
          </cell>
          <cell r="J467" t="str">
            <v>H</v>
          </cell>
        </row>
        <row r="468">
          <cell r="B468" t="str">
            <v>TX240293946-40</v>
          </cell>
          <cell r="C468" t="str">
            <v>TEXTIL</v>
          </cell>
          <cell r="D468" t="str">
            <v>CAMISA</v>
          </cell>
          <cell r="E468" t="str">
            <v>CAMISA ALASKA</v>
          </cell>
          <cell r="F468" t="str">
            <v>VIYELA</v>
          </cell>
          <cell r="H468" t="str">
            <v>ROSA</v>
          </cell>
          <cell r="I468" t="str">
            <v>U</v>
          </cell>
          <cell r="J468" t="str">
            <v>H</v>
          </cell>
        </row>
        <row r="469">
          <cell r="B469" t="str">
            <v>TX240293946-42</v>
          </cell>
          <cell r="C469" t="str">
            <v>TEXTIL</v>
          </cell>
          <cell r="D469" t="str">
            <v>CAMISA</v>
          </cell>
          <cell r="E469" t="str">
            <v>CAMISA ALASKA</v>
          </cell>
          <cell r="F469" t="str">
            <v>VIYELA</v>
          </cell>
          <cell r="H469" t="str">
            <v>ROSA</v>
          </cell>
          <cell r="I469" t="str">
            <v>U</v>
          </cell>
          <cell r="J469" t="str">
            <v>H</v>
          </cell>
        </row>
        <row r="470">
          <cell r="B470" t="str">
            <v>TX240293946-44</v>
          </cell>
          <cell r="C470" t="str">
            <v>TEXTIL</v>
          </cell>
          <cell r="D470" t="str">
            <v>CAMISA</v>
          </cell>
          <cell r="E470" t="str">
            <v>CAMISA ALASKA</v>
          </cell>
          <cell r="F470" t="str">
            <v>VIYELA</v>
          </cell>
          <cell r="H470" t="str">
            <v>ROSA</v>
          </cell>
          <cell r="I470" t="str">
            <v>U</v>
          </cell>
          <cell r="J470" t="str">
            <v>H</v>
          </cell>
        </row>
        <row r="471">
          <cell r="B471" t="str">
            <v>TX240293946-46</v>
          </cell>
          <cell r="C471" t="str">
            <v>TEXTIL</v>
          </cell>
          <cell r="D471" t="str">
            <v>CAMISA</v>
          </cell>
          <cell r="E471" t="str">
            <v>CAMISA ALASKA</v>
          </cell>
          <cell r="F471" t="str">
            <v>VIYELA</v>
          </cell>
          <cell r="H471" t="str">
            <v>ROSA</v>
          </cell>
          <cell r="I471" t="str">
            <v>U</v>
          </cell>
          <cell r="J471" t="str">
            <v>H</v>
          </cell>
        </row>
        <row r="472">
          <cell r="B472" t="str">
            <v>TX240293946-48</v>
          </cell>
          <cell r="C472" t="str">
            <v>TEXTIL</v>
          </cell>
          <cell r="D472" t="str">
            <v>CAMISA</v>
          </cell>
          <cell r="E472" t="str">
            <v>CAMISA ALASKA</v>
          </cell>
          <cell r="F472" t="str">
            <v>VIYELA</v>
          </cell>
          <cell r="H472" t="str">
            <v>ROSA</v>
          </cell>
          <cell r="I472" t="str">
            <v>U</v>
          </cell>
          <cell r="J472" t="str">
            <v>H</v>
          </cell>
        </row>
        <row r="473">
          <cell r="B473" t="str">
            <v>TX240293946-50</v>
          </cell>
          <cell r="C473" t="str">
            <v>TEXTIL</v>
          </cell>
          <cell r="D473" t="str">
            <v>CAMISA</v>
          </cell>
          <cell r="E473" t="str">
            <v>CAMISA ALASKA</v>
          </cell>
          <cell r="F473" t="str">
            <v>VIYELA</v>
          </cell>
          <cell r="H473" t="str">
            <v>ROSA</v>
          </cell>
          <cell r="I473" t="str">
            <v>U</v>
          </cell>
          <cell r="J473" t="str">
            <v>H</v>
          </cell>
        </row>
        <row r="474">
          <cell r="B474" t="str">
            <v>TX240293910-38</v>
          </cell>
          <cell r="C474" t="str">
            <v>TEXTIL</v>
          </cell>
          <cell r="D474" t="str">
            <v>CAMISA</v>
          </cell>
          <cell r="E474" t="str">
            <v>CAMISA ALASKA 607</v>
          </cell>
          <cell r="F474" t="str">
            <v>VIYELA</v>
          </cell>
          <cell r="H474" t="str">
            <v>VERDE</v>
          </cell>
          <cell r="I474" t="str">
            <v>U</v>
          </cell>
          <cell r="J474" t="str">
            <v>H</v>
          </cell>
        </row>
        <row r="475">
          <cell r="B475" t="str">
            <v>TX240293910-40</v>
          </cell>
          <cell r="C475" t="str">
            <v>TEXTIL</v>
          </cell>
          <cell r="D475" t="str">
            <v>CAMISA</v>
          </cell>
          <cell r="E475" t="str">
            <v>CAMISA ALASKA 607</v>
          </cell>
          <cell r="F475" t="str">
            <v>VIYELA</v>
          </cell>
          <cell r="H475" t="str">
            <v>VERDE</v>
          </cell>
          <cell r="I475" t="str">
            <v>U</v>
          </cell>
          <cell r="J475" t="str">
            <v>H</v>
          </cell>
        </row>
        <row r="476">
          <cell r="B476" t="str">
            <v>TX240293910-42</v>
          </cell>
          <cell r="C476" t="str">
            <v>TEXTIL</v>
          </cell>
          <cell r="D476" t="str">
            <v>CAMISA</v>
          </cell>
          <cell r="E476" t="str">
            <v>CAMISA ALASKA 607</v>
          </cell>
          <cell r="F476" t="str">
            <v>VIYELA</v>
          </cell>
          <cell r="H476" t="str">
            <v>VERDE</v>
          </cell>
          <cell r="I476" t="str">
            <v>U</v>
          </cell>
          <cell r="J476" t="str">
            <v>H</v>
          </cell>
        </row>
        <row r="477">
          <cell r="B477" t="str">
            <v>TX240293910-44</v>
          </cell>
          <cell r="C477" t="str">
            <v>TEXTIL</v>
          </cell>
          <cell r="D477" t="str">
            <v>CAMISA</v>
          </cell>
          <cell r="E477" t="str">
            <v>CAMISA ALASKA 607</v>
          </cell>
          <cell r="F477" t="str">
            <v>VIYELA</v>
          </cell>
          <cell r="H477" t="str">
            <v>VERDE</v>
          </cell>
          <cell r="I477" t="str">
            <v>U</v>
          </cell>
          <cell r="J477" t="str">
            <v>H</v>
          </cell>
        </row>
        <row r="478">
          <cell r="B478" t="str">
            <v>TX240293910-46</v>
          </cell>
          <cell r="C478" t="str">
            <v>TEXTIL</v>
          </cell>
          <cell r="D478" t="str">
            <v>CAMISA</v>
          </cell>
          <cell r="E478" t="str">
            <v>CAMISA ALASKA 607</v>
          </cell>
          <cell r="F478" t="str">
            <v>VIYELA</v>
          </cell>
          <cell r="G478">
            <v>0</v>
          </cell>
          <cell r="H478" t="str">
            <v>VERDE</v>
          </cell>
          <cell r="I478" t="str">
            <v>U</v>
          </cell>
          <cell r="J478" t="str">
            <v>H</v>
          </cell>
        </row>
        <row r="479">
          <cell r="B479" t="str">
            <v>TX240293910-48</v>
          </cell>
          <cell r="C479" t="str">
            <v>TEXTIL</v>
          </cell>
          <cell r="D479" t="str">
            <v>CAMISA</v>
          </cell>
          <cell r="E479" t="str">
            <v>CAMISA ALASKA 607</v>
          </cell>
          <cell r="F479" t="str">
            <v>VIYELA</v>
          </cell>
          <cell r="G479">
            <v>0</v>
          </cell>
          <cell r="H479" t="str">
            <v>VERDE</v>
          </cell>
          <cell r="I479" t="str">
            <v>U</v>
          </cell>
          <cell r="J479" t="str">
            <v>H</v>
          </cell>
        </row>
        <row r="480">
          <cell r="B480" t="str">
            <v>TX240293910-50</v>
          </cell>
          <cell r="C480" t="str">
            <v>TEXTIL</v>
          </cell>
          <cell r="D480" t="str">
            <v>CAMISA</v>
          </cell>
          <cell r="E480" t="str">
            <v>CAMISA ALASKA 607</v>
          </cell>
          <cell r="F480" t="str">
            <v>VIYELA</v>
          </cell>
          <cell r="G480">
            <v>0</v>
          </cell>
          <cell r="H480" t="str">
            <v>VERDE</v>
          </cell>
          <cell r="I480" t="str">
            <v>U</v>
          </cell>
          <cell r="J480" t="str">
            <v>H</v>
          </cell>
        </row>
        <row r="481">
          <cell r="B481" t="str">
            <v>TX240303910-38</v>
          </cell>
          <cell r="C481" t="str">
            <v>TEXTIL</v>
          </cell>
          <cell r="D481" t="str">
            <v>CAMISA</v>
          </cell>
          <cell r="E481" t="str">
            <v>CAMISA ALASKA 609</v>
          </cell>
          <cell r="F481" t="str">
            <v>VIYELA</v>
          </cell>
          <cell r="H481" t="str">
            <v>VERDE</v>
          </cell>
          <cell r="I481" t="str">
            <v>S</v>
          </cell>
          <cell r="J481" t="str">
            <v>H</v>
          </cell>
        </row>
        <row r="482">
          <cell r="B482" t="str">
            <v>TX240303910-40</v>
          </cell>
          <cell r="C482" t="str">
            <v>TEXTIL</v>
          </cell>
          <cell r="D482" t="str">
            <v>CAMISA</v>
          </cell>
          <cell r="E482" t="str">
            <v>CAMISA ALASKA 609</v>
          </cell>
          <cell r="F482" t="str">
            <v>VIYELA</v>
          </cell>
          <cell r="H482" t="str">
            <v>VERDE</v>
          </cell>
          <cell r="I482" t="str">
            <v>M</v>
          </cell>
          <cell r="J482" t="str">
            <v>H</v>
          </cell>
        </row>
        <row r="483">
          <cell r="B483" t="str">
            <v>TX240303910-42</v>
          </cell>
          <cell r="C483" t="str">
            <v>TEXTIL</v>
          </cell>
          <cell r="D483" t="str">
            <v>CAMISA</v>
          </cell>
          <cell r="E483" t="str">
            <v>CAMISA ALASKA 609</v>
          </cell>
          <cell r="F483" t="str">
            <v>VIYELA</v>
          </cell>
          <cell r="H483" t="str">
            <v>VERDE</v>
          </cell>
          <cell r="I483" t="str">
            <v>L</v>
          </cell>
          <cell r="J483" t="str">
            <v>H</v>
          </cell>
        </row>
        <row r="484">
          <cell r="B484" t="str">
            <v>TX240303910-44</v>
          </cell>
          <cell r="C484" t="str">
            <v>TEXTIL</v>
          </cell>
          <cell r="D484" t="str">
            <v>CAMISA</v>
          </cell>
          <cell r="E484" t="str">
            <v>CAMISA ALASKA 609</v>
          </cell>
          <cell r="F484" t="str">
            <v>VIYELA</v>
          </cell>
          <cell r="G484">
            <v>0</v>
          </cell>
          <cell r="H484" t="str">
            <v>VERDE</v>
          </cell>
          <cell r="I484" t="str">
            <v>XL</v>
          </cell>
          <cell r="J484" t="str">
            <v>H</v>
          </cell>
        </row>
        <row r="485">
          <cell r="B485" t="str">
            <v>TX240303910-46</v>
          </cell>
          <cell r="C485" t="str">
            <v>TEXTIL</v>
          </cell>
          <cell r="D485" t="str">
            <v>CAMISA</v>
          </cell>
          <cell r="E485" t="str">
            <v>CAMISA ALASKA 609</v>
          </cell>
          <cell r="F485" t="str">
            <v>VIYELA</v>
          </cell>
          <cell r="G485">
            <v>0</v>
          </cell>
          <cell r="H485" t="str">
            <v>VERDE</v>
          </cell>
          <cell r="I485" t="str">
            <v>XXL</v>
          </cell>
          <cell r="J485" t="str">
            <v>H</v>
          </cell>
        </row>
        <row r="486">
          <cell r="B486" t="str">
            <v>TX240303910-48</v>
          </cell>
          <cell r="C486" t="str">
            <v>TEXTIL</v>
          </cell>
          <cell r="D486" t="str">
            <v>CAMISA</v>
          </cell>
          <cell r="E486" t="str">
            <v>CAMISA ALASKA 609</v>
          </cell>
          <cell r="F486" t="str">
            <v>VIYELA</v>
          </cell>
          <cell r="G486">
            <v>0</v>
          </cell>
          <cell r="H486" t="str">
            <v>VERDE</v>
          </cell>
          <cell r="I486" t="str">
            <v>XXXL</v>
          </cell>
          <cell r="J486" t="str">
            <v>H</v>
          </cell>
        </row>
        <row r="487">
          <cell r="B487" t="str">
            <v>TX240303910-50</v>
          </cell>
          <cell r="C487" t="str">
            <v>TEXTIL</v>
          </cell>
          <cell r="D487" t="str">
            <v>CAMISA</v>
          </cell>
          <cell r="E487" t="str">
            <v>CAMISA ALASKA 609</v>
          </cell>
          <cell r="F487" t="str">
            <v>VIYELA</v>
          </cell>
          <cell r="G487">
            <v>0</v>
          </cell>
          <cell r="H487" t="str">
            <v>VERDE</v>
          </cell>
          <cell r="I487" t="str">
            <v>XXXXL</v>
          </cell>
          <cell r="J487" t="str">
            <v>H</v>
          </cell>
        </row>
        <row r="488">
          <cell r="B488" t="str">
            <v>C12I1150-38</v>
          </cell>
          <cell r="C488" t="str">
            <v>TEXTIL</v>
          </cell>
          <cell r="D488" t="str">
            <v>CAMISA</v>
          </cell>
          <cell r="E488" t="str">
            <v>CAMISA CUADRITOS ALGODÓN</v>
          </cell>
          <cell r="F488" t="str">
            <v>ALGODON</v>
          </cell>
          <cell r="G488">
            <v>0</v>
          </cell>
          <cell r="H488" t="str">
            <v>CUADRITOS</v>
          </cell>
          <cell r="I488">
            <v>38</v>
          </cell>
          <cell r="J488" t="str">
            <v>H</v>
          </cell>
        </row>
        <row r="489">
          <cell r="B489" t="str">
            <v>C12I1150-40</v>
          </cell>
          <cell r="C489" t="str">
            <v>TEXTIL</v>
          </cell>
          <cell r="D489" t="str">
            <v>CAMISA</v>
          </cell>
          <cell r="E489" t="str">
            <v>CAMISA CUADRITOS ALGODÓN</v>
          </cell>
          <cell r="F489" t="str">
            <v>ALGODON</v>
          </cell>
          <cell r="G489">
            <v>0</v>
          </cell>
          <cell r="H489" t="str">
            <v>CUADRITOS</v>
          </cell>
          <cell r="I489">
            <v>40</v>
          </cell>
          <cell r="J489" t="str">
            <v>H</v>
          </cell>
        </row>
        <row r="490">
          <cell r="B490" t="str">
            <v>C12I1150-42</v>
          </cell>
          <cell r="C490" t="str">
            <v>TEXTIL</v>
          </cell>
          <cell r="D490" t="str">
            <v>CAMISA</v>
          </cell>
          <cell r="E490" t="str">
            <v>CAMISA CUADRITOS ALGODÓN</v>
          </cell>
          <cell r="F490" t="str">
            <v>ALGODON</v>
          </cell>
          <cell r="G490">
            <v>0</v>
          </cell>
          <cell r="H490" t="str">
            <v>CUADRITOS</v>
          </cell>
          <cell r="I490">
            <v>42</v>
          </cell>
          <cell r="J490" t="str">
            <v>H</v>
          </cell>
        </row>
        <row r="491">
          <cell r="B491" t="str">
            <v>C12I1150-44</v>
          </cell>
          <cell r="C491" t="str">
            <v>TEXTIL</v>
          </cell>
          <cell r="D491" t="str">
            <v>CAMISA</v>
          </cell>
          <cell r="E491" t="str">
            <v>CAMISA CUADRITOS ALGODÓN</v>
          </cell>
          <cell r="F491" t="str">
            <v>ALGODON</v>
          </cell>
          <cell r="G491">
            <v>0</v>
          </cell>
          <cell r="H491" t="str">
            <v>CUADRITOS</v>
          </cell>
          <cell r="I491">
            <v>44</v>
          </cell>
          <cell r="J491" t="str">
            <v>H</v>
          </cell>
        </row>
        <row r="492">
          <cell r="B492" t="str">
            <v>C12I1150-46</v>
          </cell>
          <cell r="C492" t="str">
            <v>TEXTIL</v>
          </cell>
          <cell r="D492" t="str">
            <v>CAMISA</v>
          </cell>
          <cell r="E492" t="str">
            <v>CAMISA CUADRITOS ALGODÓN</v>
          </cell>
          <cell r="F492" t="str">
            <v>ALGODON</v>
          </cell>
          <cell r="G492">
            <v>0</v>
          </cell>
          <cell r="H492" t="str">
            <v>CUADRITOS</v>
          </cell>
          <cell r="I492">
            <v>46</v>
          </cell>
          <cell r="J492" t="str">
            <v>H</v>
          </cell>
        </row>
        <row r="493">
          <cell r="B493" t="str">
            <v>C8R8625-38</v>
          </cell>
          <cell r="C493" t="str">
            <v>TEXTIL</v>
          </cell>
          <cell r="D493" t="str">
            <v>CAMISA</v>
          </cell>
          <cell r="E493" t="str">
            <v>CAMISA CUADROS ALGODÓN</v>
          </cell>
          <cell r="F493" t="str">
            <v>ALGODON</v>
          </cell>
          <cell r="G493">
            <v>0</v>
          </cell>
          <cell r="H493" t="str">
            <v>NEGRO Y BLANCO</v>
          </cell>
          <cell r="I493">
            <v>38</v>
          </cell>
          <cell r="J493" t="str">
            <v>H</v>
          </cell>
        </row>
        <row r="494">
          <cell r="B494" t="str">
            <v>C8R8625-40</v>
          </cell>
          <cell r="C494" t="str">
            <v>TEXTIL</v>
          </cell>
          <cell r="D494" t="str">
            <v>CAMISA</v>
          </cell>
          <cell r="E494" t="str">
            <v>CAMISA CUADROS ALGODÓN</v>
          </cell>
          <cell r="F494" t="str">
            <v>ALGODON</v>
          </cell>
          <cell r="G494">
            <v>0</v>
          </cell>
          <cell r="H494" t="str">
            <v>NEGRO Y BLANCO</v>
          </cell>
          <cell r="I494">
            <v>40</v>
          </cell>
          <cell r="J494" t="str">
            <v>H</v>
          </cell>
        </row>
        <row r="495">
          <cell r="B495" t="str">
            <v>C8R8625-42</v>
          </cell>
          <cell r="C495" t="str">
            <v>TEXTIL</v>
          </cell>
          <cell r="D495" t="str">
            <v>CAMISA</v>
          </cell>
          <cell r="E495" t="str">
            <v>CAMISA CUADROS ALGODÓN</v>
          </cell>
          <cell r="F495" t="str">
            <v>ALGODON</v>
          </cell>
          <cell r="G495">
            <v>0</v>
          </cell>
          <cell r="H495" t="str">
            <v>NEGRO Y BLANCO</v>
          </cell>
          <cell r="I495">
            <v>42</v>
          </cell>
          <cell r="J495" t="str">
            <v>H</v>
          </cell>
        </row>
        <row r="496">
          <cell r="B496" t="str">
            <v>C8R8625-44</v>
          </cell>
          <cell r="C496" t="str">
            <v>TEXTIL</v>
          </cell>
          <cell r="D496" t="str">
            <v>CAMISA</v>
          </cell>
          <cell r="E496" t="str">
            <v>CAMISA CUADROS ALGODÓN</v>
          </cell>
          <cell r="F496" t="str">
            <v>ALGODON</v>
          </cell>
          <cell r="G496">
            <v>0</v>
          </cell>
          <cell r="H496" t="str">
            <v>NEGRO Y BLANCO</v>
          </cell>
          <cell r="I496">
            <v>44</v>
          </cell>
          <cell r="J496" t="str">
            <v>H</v>
          </cell>
        </row>
        <row r="497">
          <cell r="B497" t="str">
            <v>C8R8625-46</v>
          </cell>
          <cell r="C497" t="str">
            <v>TEXTIL</v>
          </cell>
          <cell r="D497" t="str">
            <v>CAMISA</v>
          </cell>
          <cell r="E497" t="str">
            <v>CAMISA CUADROS ALGODÓN</v>
          </cell>
          <cell r="F497" t="str">
            <v>ALGODON</v>
          </cell>
          <cell r="G497">
            <v>0</v>
          </cell>
          <cell r="H497" t="str">
            <v>NEGRO Y BLANCO</v>
          </cell>
          <cell r="I497">
            <v>46</v>
          </cell>
          <cell r="J497" t="str">
            <v>H</v>
          </cell>
        </row>
        <row r="498">
          <cell r="B498" t="str">
            <v>C44620-38</v>
          </cell>
          <cell r="C498" t="str">
            <v>TEXTIL</v>
          </cell>
          <cell r="D498" t="str">
            <v>CAMISA</v>
          </cell>
          <cell r="E498" t="str">
            <v>CAMISA LISA ALGODÓN</v>
          </cell>
          <cell r="F498" t="str">
            <v>ALGODON</v>
          </cell>
          <cell r="G498">
            <v>0</v>
          </cell>
          <cell r="H498" t="str">
            <v>AMARILLA</v>
          </cell>
          <cell r="I498">
            <v>38</v>
          </cell>
          <cell r="J498" t="str">
            <v>H</v>
          </cell>
        </row>
        <row r="499">
          <cell r="B499" t="str">
            <v>C44620-40</v>
          </cell>
          <cell r="C499" t="str">
            <v>TEXTIL</v>
          </cell>
          <cell r="D499" t="str">
            <v>CAMISA</v>
          </cell>
          <cell r="E499" t="str">
            <v>CAMISA LISA ALGODÓN</v>
          </cell>
          <cell r="F499" t="str">
            <v>ALGODON</v>
          </cell>
          <cell r="G499">
            <v>0</v>
          </cell>
          <cell r="H499" t="str">
            <v>AMARILLA</v>
          </cell>
          <cell r="I499">
            <v>40</v>
          </cell>
          <cell r="J499" t="str">
            <v>H</v>
          </cell>
        </row>
        <row r="500">
          <cell r="B500" t="str">
            <v>C44620-42</v>
          </cell>
          <cell r="C500" t="str">
            <v>TEXTIL</v>
          </cell>
          <cell r="D500" t="str">
            <v>CAMISA</v>
          </cell>
          <cell r="E500" t="str">
            <v>CAMISA LISA ALGODÓN</v>
          </cell>
          <cell r="F500" t="str">
            <v>ALGODON</v>
          </cell>
          <cell r="G500">
            <v>0</v>
          </cell>
          <cell r="H500" t="str">
            <v>AMARILLA</v>
          </cell>
          <cell r="I500">
            <v>42</v>
          </cell>
          <cell r="J500" t="str">
            <v>H</v>
          </cell>
        </row>
        <row r="501">
          <cell r="B501" t="str">
            <v>C44620-44</v>
          </cell>
          <cell r="C501" t="str">
            <v>TEXTIL</v>
          </cell>
          <cell r="D501" t="str">
            <v>CAMISA</v>
          </cell>
          <cell r="E501" t="str">
            <v>CAMISA LISA ALGODÓN</v>
          </cell>
          <cell r="F501" t="str">
            <v>ALGODON</v>
          </cell>
          <cell r="G501">
            <v>0</v>
          </cell>
          <cell r="H501" t="str">
            <v>AMARILLA</v>
          </cell>
          <cell r="I501">
            <v>44</v>
          </cell>
          <cell r="J501" t="str">
            <v>H</v>
          </cell>
        </row>
        <row r="502">
          <cell r="B502" t="str">
            <v>C44620-46</v>
          </cell>
          <cell r="C502" t="str">
            <v>TEXTIL</v>
          </cell>
          <cell r="D502" t="str">
            <v>CAMISA</v>
          </cell>
          <cell r="E502" t="str">
            <v>CAMISA LISA ALGODÓN</v>
          </cell>
          <cell r="F502" t="str">
            <v>ALGODON</v>
          </cell>
          <cell r="G502">
            <v>0</v>
          </cell>
          <cell r="H502" t="str">
            <v>AMARILLA</v>
          </cell>
          <cell r="I502">
            <v>46</v>
          </cell>
          <cell r="J502" t="str">
            <v>H</v>
          </cell>
        </row>
        <row r="503">
          <cell r="B503" t="str">
            <v>S44560-38</v>
          </cell>
          <cell r="C503" t="str">
            <v>TEXTIL</v>
          </cell>
          <cell r="D503" t="str">
            <v>CAMISA</v>
          </cell>
          <cell r="E503" t="str">
            <v>CAMISA LISA ALGODÓN</v>
          </cell>
          <cell r="F503" t="str">
            <v>ALGODON</v>
          </cell>
          <cell r="G503">
            <v>0</v>
          </cell>
          <cell r="H503" t="str">
            <v>BEIGE</v>
          </cell>
          <cell r="I503">
            <v>38</v>
          </cell>
          <cell r="J503" t="str">
            <v>H</v>
          </cell>
        </row>
        <row r="504">
          <cell r="B504" t="str">
            <v>S44560-40</v>
          </cell>
          <cell r="C504" t="str">
            <v>TEXTIL</v>
          </cell>
          <cell r="D504" t="str">
            <v>CAMISA</v>
          </cell>
          <cell r="E504" t="str">
            <v>CAMISA LISA ALGODÓN</v>
          </cell>
          <cell r="F504" t="str">
            <v>ALGODON</v>
          </cell>
          <cell r="G504">
            <v>0</v>
          </cell>
          <cell r="H504" t="str">
            <v>BEIGE</v>
          </cell>
          <cell r="I504">
            <v>40</v>
          </cell>
          <cell r="J504" t="str">
            <v>H</v>
          </cell>
        </row>
        <row r="505">
          <cell r="B505" t="str">
            <v>S44560-42</v>
          </cell>
          <cell r="C505" t="str">
            <v>TEXTIL</v>
          </cell>
          <cell r="D505" t="str">
            <v>CAMISA</v>
          </cell>
          <cell r="E505" t="str">
            <v>CAMISA LISA ALGODÓN</v>
          </cell>
          <cell r="F505" t="str">
            <v>ALGODON</v>
          </cell>
          <cell r="G505">
            <v>0</v>
          </cell>
          <cell r="H505" t="str">
            <v>BEIGE</v>
          </cell>
          <cell r="I505">
            <v>42</v>
          </cell>
          <cell r="J505" t="str">
            <v>H</v>
          </cell>
        </row>
        <row r="506">
          <cell r="B506" t="str">
            <v>S44560-44</v>
          </cell>
          <cell r="C506" t="str">
            <v>TEXTIL</v>
          </cell>
          <cell r="D506" t="str">
            <v>CAMISA</v>
          </cell>
          <cell r="E506" t="str">
            <v>CAMISA LISA ALGODÓN</v>
          </cell>
          <cell r="F506" t="str">
            <v>ALGODON</v>
          </cell>
          <cell r="G506">
            <v>0</v>
          </cell>
          <cell r="H506" t="str">
            <v>BEIGE</v>
          </cell>
          <cell r="I506">
            <v>44</v>
          </cell>
          <cell r="J506" t="str">
            <v>H</v>
          </cell>
        </row>
        <row r="507">
          <cell r="B507" t="str">
            <v>S44560-46</v>
          </cell>
          <cell r="C507" t="str">
            <v>TEXTIL</v>
          </cell>
          <cell r="D507" t="str">
            <v>CAMISA</v>
          </cell>
          <cell r="E507" t="str">
            <v>CAMISA LISA ALGODÓN</v>
          </cell>
          <cell r="F507" t="str">
            <v>ALGODON</v>
          </cell>
          <cell r="G507">
            <v>0</v>
          </cell>
          <cell r="H507" t="str">
            <v>BEIGE</v>
          </cell>
          <cell r="I507">
            <v>46</v>
          </cell>
          <cell r="J507" t="str">
            <v>H</v>
          </cell>
        </row>
        <row r="508">
          <cell r="B508" t="str">
            <v>S13-38</v>
          </cell>
          <cell r="C508" t="str">
            <v>TEXTIL</v>
          </cell>
          <cell r="D508" t="str">
            <v>CAMISA</v>
          </cell>
          <cell r="E508" t="str">
            <v>CAMISA LISA LINO</v>
          </cell>
          <cell r="F508" t="str">
            <v>LINO</v>
          </cell>
          <cell r="G508">
            <v>0</v>
          </cell>
          <cell r="H508" t="str">
            <v>CASCARILLA</v>
          </cell>
          <cell r="I508">
            <v>38</v>
          </cell>
          <cell r="J508" t="str">
            <v>H</v>
          </cell>
        </row>
        <row r="509">
          <cell r="B509" t="str">
            <v>S13-40</v>
          </cell>
          <cell r="C509" t="str">
            <v>TEXTIL</v>
          </cell>
          <cell r="D509" t="str">
            <v>CAMISA</v>
          </cell>
          <cell r="E509" t="str">
            <v>CAMISA LISA LINO</v>
          </cell>
          <cell r="F509" t="str">
            <v>LINO</v>
          </cell>
          <cell r="G509">
            <v>0</v>
          </cell>
          <cell r="H509" t="str">
            <v>CASCARILLA</v>
          </cell>
          <cell r="I509">
            <v>40</v>
          </cell>
          <cell r="J509" t="str">
            <v>H</v>
          </cell>
        </row>
        <row r="510">
          <cell r="B510" t="str">
            <v>S13-42</v>
          </cell>
          <cell r="C510" t="str">
            <v>TEXTIL</v>
          </cell>
          <cell r="D510" t="str">
            <v>CAMISA</v>
          </cell>
          <cell r="E510" t="str">
            <v>CAMISA LISA LINO</v>
          </cell>
          <cell r="F510" t="str">
            <v>LINO</v>
          </cell>
          <cell r="G510">
            <v>0</v>
          </cell>
          <cell r="H510" t="str">
            <v>CASCARILLA</v>
          </cell>
          <cell r="I510">
            <v>42</v>
          </cell>
          <cell r="J510" t="str">
            <v>H</v>
          </cell>
        </row>
        <row r="511">
          <cell r="B511" t="str">
            <v>S13-44</v>
          </cell>
          <cell r="C511" t="str">
            <v>TEXTIL</v>
          </cell>
          <cell r="D511" t="str">
            <v>CAMISA</v>
          </cell>
          <cell r="E511" t="str">
            <v>CAMISA LISA LINO</v>
          </cell>
          <cell r="F511" t="str">
            <v>LINO</v>
          </cell>
          <cell r="G511">
            <v>0</v>
          </cell>
          <cell r="H511" t="str">
            <v>CASCARILLA</v>
          </cell>
          <cell r="I511">
            <v>44</v>
          </cell>
          <cell r="J511" t="str">
            <v>H</v>
          </cell>
        </row>
        <row r="512">
          <cell r="B512" t="str">
            <v>S13-46</v>
          </cell>
          <cell r="C512" t="str">
            <v>TEXTIL</v>
          </cell>
          <cell r="D512" t="str">
            <v>CAMISA</v>
          </cell>
          <cell r="E512" t="str">
            <v>CAMISA LISA LINO</v>
          </cell>
          <cell r="F512" t="str">
            <v>LINO</v>
          </cell>
          <cell r="G512">
            <v>0</v>
          </cell>
          <cell r="H512" t="str">
            <v>CASCARILLA</v>
          </cell>
          <cell r="I512">
            <v>46</v>
          </cell>
          <cell r="J512" t="str">
            <v>H</v>
          </cell>
        </row>
        <row r="513">
          <cell r="B513" t="str">
            <v>S1ITA8981-0-38</v>
          </cell>
          <cell r="C513" t="str">
            <v>TEXTIL</v>
          </cell>
          <cell r="D513" t="str">
            <v>CAMISA</v>
          </cell>
          <cell r="E513" t="str">
            <v>CAMISA LISA LINO</v>
          </cell>
          <cell r="F513" t="str">
            <v>LINO</v>
          </cell>
          <cell r="G513" t="str">
            <v>LILA</v>
          </cell>
          <cell r="H513" t="str">
            <v>LILA</v>
          </cell>
          <cell r="I513">
            <v>38</v>
          </cell>
          <cell r="J513" t="str">
            <v>H</v>
          </cell>
        </row>
        <row r="514">
          <cell r="B514" t="str">
            <v>S1ITA8981-0-40</v>
          </cell>
          <cell r="C514" t="str">
            <v>TEXTIL</v>
          </cell>
          <cell r="D514" t="str">
            <v>CAMISA</v>
          </cell>
          <cell r="E514" t="str">
            <v>CAMISA LISA LINO</v>
          </cell>
          <cell r="F514" t="str">
            <v>LINO</v>
          </cell>
          <cell r="G514" t="str">
            <v>LILA</v>
          </cell>
          <cell r="H514" t="str">
            <v>LILA</v>
          </cell>
          <cell r="I514">
            <v>40</v>
          </cell>
          <cell r="J514" t="str">
            <v>H</v>
          </cell>
        </row>
        <row r="515">
          <cell r="B515" t="str">
            <v>S1ITA8981-0-42</v>
          </cell>
          <cell r="C515" t="str">
            <v>TEXTIL</v>
          </cell>
          <cell r="D515" t="str">
            <v>CAMISA</v>
          </cell>
          <cell r="E515" t="str">
            <v>CAMISA LISA LINO</v>
          </cell>
          <cell r="F515" t="str">
            <v>LINO</v>
          </cell>
          <cell r="G515" t="str">
            <v>LILA</v>
          </cell>
          <cell r="H515" t="str">
            <v>LILA</v>
          </cell>
          <cell r="I515">
            <v>42</v>
          </cell>
          <cell r="J515" t="str">
            <v>H</v>
          </cell>
        </row>
        <row r="516">
          <cell r="B516" t="str">
            <v>S1ITA8981-0-44</v>
          </cell>
          <cell r="C516" t="str">
            <v>TEXTIL</v>
          </cell>
          <cell r="D516" t="str">
            <v>CAMISA</v>
          </cell>
          <cell r="E516" t="str">
            <v>CAMISA LISA LINO</v>
          </cell>
          <cell r="F516" t="str">
            <v>LINO</v>
          </cell>
          <cell r="G516" t="str">
            <v>LILA</v>
          </cell>
          <cell r="H516" t="str">
            <v>LILA</v>
          </cell>
          <cell r="I516">
            <v>44</v>
          </cell>
          <cell r="J516" t="str">
            <v>H</v>
          </cell>
        </row>
        <row r="517">
          <cell r="B517" t="str">
            <v>S1ITA8981-0-46</v>
          </cell>
          <cell r="C517" t="str">
            <v>TEXTIL</v>
          </cell>
          <cell r="D517" t="str">
            <v>CAMISA</v>
          </cell>
          <cell r="E517" t="str">
            <v>CAMISA LISA LINO</v>
          </cell>
          <cell r="F517" t="str">
            <v>LINO</v>
          </cell>
          <cell r="G517" t="str">
            <v>LILA</v>
          </cell>
          <cell r="H517" t="str">
            <v>LILA</v>
          </cell>
          <cell r="I517">
            <v>46</v>
          </cell>
          <cell r="J517" t="str">
            <v>H</v>
          </cell>
        </row>
        <row r="518">
          <cell r="B518" t="str">
            <v>S1ITA8983-38</v>
          </cell>
          <cell r="C518" t="str">
            <v>TEXTIL</v>
          </cell>
          <cell r="D518" t="str">
            <v>CAMISA</v>
          </cell>
          <cell r="E518" t="str">
            <v>CAMISA LISA LINO</v>
          </cell>
          <cell r="F518" t="str">
            <v>LINO</v>
          </cell>
          <cell r="G518">
            <v>0</v>
          </cell>
          <cell r="H518" t="str">
            <v>AZULINO</v>
          </cell>
          <cell r="I518">
            <v>38</v>
          </cell>
          <cell r="J518" t="str">
            <v>H</v>
          </cell>
        </row>
        <row r="519">
          <cell r="B519" t="str">
            <v>S1ITA8983-40</v>
          </cell>
          <cell r="C519" t="str">
            <v>TEXTIL</v>
          </cell>
          <cell r="D519" t="str">
            <v>CAMISA</v>
          </cell>
          <cell r="E519" t="str">
            <v>CAMISA LISA LINO</v>
          </cell>
          <cell r="F519" t="str">
            <v>LINO</v>
          </cell>
          <cell r="G519">
            <v>0</v>
          </cell>
          <cell r="H519" t="str">
            <v>AZULINO</v>
          </cell>
          <cell r="I519">
            <v>40</v>
          </cell>
          <cell r="J519" t="str">
            <v>H</v>
          </cell>
        </row>
        <row r="520">
          <cell r="B520" t="str">
            <v>S1ITA8983-42</v>
          </cell>
          <cell r="C520" t="str">
            <v>TEXTIL</v>
          </cell>
          <cell r="D520" t="str">
            <v>CAMISA</v>
          </cell>
          <cell r="E520" t="str">
            <v>CAMISA LISA LINO</v>
          </cell>
          <cell r="F520" t="str">
            <v>LINO</v>
          </cell>
          <cell r="G520">
            <v>0</v>
          </cell>
          <cell r="H520" t="str">
            <v>AZULINO</v>
          </cell>
          <cell r="I520">
            <v>42</v>
          </cell>
          <cell r="J520" t="str">
            <v>H</v>
          </cell>
        </row>
        <row r="521">
          <cell r="B521" t="str">
            <v>S1ITA8983-44</v>
          </cell>
          <cell r="C521" t="str">
            <v>TEXTIL</v>
          </cell>
          <cell r="D521" t="str">
            <v>CAMISA</v>
          </cell>
          <cell r="E521" t="str">
            <v>CAMISA LISA LINO</v>
          </cell>
          <cell r="F521" t="str">
            <v>LINO</v>
          </cell>
          <cell r="G521">
            <v>0</v>
          </cell>
          <cell r="H521" t="str">
            <v>AZULINO</v>
          </cell>
          <cell r="I521">
            <v>44</v>
          </cell>
          <cell r="J521" t="str">
            <v>H</v>
          </cell>
        </row>
        <row r="522">
          <cell r="B522" t="str">
            <v>S1ITA8983-46</v>
          </cell>
          <cell r="C522" t="str">
            <v>TEXTIL</v>
          </cell>
          <cell r="D522" t="str">
            <v>CAMISA</v>
          </cell>
          <cell r="E522" t="str">
            <v>CAMISA LISA LINO</v>
          </cell>
          <cell r="F522" t="str">
            <v>LINO</v>
          </cell>
          <cell r="G522">
            <v>0</v>
          </cell>
          <cell r="H522" t="str">
            <v>AZULINO</v>
          </cell>
          <cell r="I522">
            <v>46</v>
          </cell>
          <cell r="J522" t="str">
            <v>H</v>
          </cell>
        </row>
        <row r="523">
          <cell r="B523" t="str">
            <v>S1ITA8985-38</v>
          </cell>
          <cell r="C523" t="str">
            <v>TEXTIL</v>
          </cell>
          <cell r="D523" t="str">
            <v>CAMISA</v>
          </cell>
          <cell r="E523" t="str">
            <v>CAMISA LISA LINO</v>
          </cell>
          <cell r="F523" t="str">
            <v>LINO</v>
          </cell>
          <cell r="G523">
            <v>0</v>
          </cell>
          <cell r="H523" t="str">
            <v>BEIGE</v>
          </cell>
          <cell r="I523">
            <v>38</v>
          </cell>
          <cell r="J523" t="str">
            <v>H</v>
          </cell>
        </row>
        <row r="524">
          <cell r="B524" t="str">
            <v>S1ITA8985-40</v>
          </cell>
          <cell r="C524" t="str">
            <v>TEXTIL</v>
          </cell>
          <cell r="D524" t="str">
            <v>CAMISA</v>
          </cell>
          <cell r="E524" t="str">
            <v>CAMISA LISA LINO</v>
          </cell>
          <cell r="F524" t="str">
            <v>LINO</v>
          </cell>
          <cell r="G524">
            <v>0</v>
          </cell>
          <cell r="H524" t="str">
            <v>BEIGE</v>
          </cell>
          <cell r="I524">
            <v>40</v>
          </cell>
          <cell r="J524" t="str">
            <v>H</v>
          </cell>
        </row>
        <row r="525">
          <cell r="B525" t="str">
            <v>S1ITA8985-42</v>
          </cell>
          <cell r="C525" t="str">
            <v>TEXTIL</v>
          </cell>
          <cell r="D525" t="str">
            <v>CAMISA</v>
          </cell>
          <cell r="E525" t="str">
            <v>CAMISA LISA LINO</v>
          </cell>
          <cell r="F525" t="str">
            <v>LINO</v>
          </cell>
          <cell r="G525">
            <v>0</v>
          </cell>
          <cell r="H525" t="str">
            <v>BEIGE</v>
          </cell>
          <cell r="I525">
            <v>42</v>
          </cell>
          <cell r="J525" t="str">
            <v>H</v>
          </cell>
        </row>
        <row r="526">
          <cell r="B526" t="str">
            <v>S1ITA8985-44</v>
          </cell>
          <cell r="C526" t="str">
            <v>TEXTIL</v>
          </cell>
          <cell r="D526" t="str">
            <v>CAMISA</v>
          </cell>
          <cell r="E526" t="str">
            <v>CAMISA LISA LINO</v>
          </cell>
          <cell r="F526" t="str">
            <v>LINO</v>
          </cell>
          <cell r="G526">
            <v>0</v>
          </cell>
          <cell r="H526" t="str">
            <v>BEIGE</v>
          </cell>
          <cell r="I526">
            <v>44</v>
          </cell>
          <cell r="J526" t="str">
            <v>H</v>
          </cell>
        </row>
        <row r="527">
          <cell r="B527" t="str">
            <v>S1ITA8985-46</v>
          </cell>
          <cell r="C527" t="str">
            <v>TEXTIL</v>
          </cell>
          <cell r="D527" t="str">
            <v>CAMISA</v>
          </cell>
          <cell r="E527" t="str">
            <v>CAMISA LISA LINO</v>
          </cell>
          <cell r="F527" t="str">
            <v>LINO</v>
          </cell>
          <cell r="G527">
            <v>0</v>
          </cell>
          <cell r="H527" t="str">
            <v>BEIGE</v>
          </cell>
          <cell r="I527">
            <v>46</v>
          </cell>
          <cell r="J527" t="str">
            <v>H</v>
          </cell>
        </row>
        <row r="528">
          <cell r="B528" t="str">
            <v>S1ITA8986-38</v>
          </cell>
          <cell r="C528" t="str">
            <v>TEXTIL</v>
          </cell>
          <cell r="D528" t="str">
            <v>CAMISA</v>
          </cell>
          <cell r="E528" t="str">
            <v>CAMISA LISA LINO</v>
          </cell>
          <cell r="F528" t="str">
            <v>LINO</v>
          </cell>
          <cell r="G528">
            <v>0</v>
          </cell>
          <cell r="H528" t="str">
            <v>GRIS</v>
          </cell>
          <cell r="I528">
            <v>38</v>
          </cell>
          <cell r="J528" t="str">
            <v>H</v>
          </cell>
        </row>
        <row r="529">
          <cell r="B529" t="str">
            <v>S1ITA8986-40</v>
          </cell>
          <cell r="C529" t="str">
            <v>TEXTIL</v>
          </cell>
          <cell r="D529" t="str">
            <v>CAMISA</v>
          </cell>
          <cell r="E529" t="str">
            <v>CAMISA LISA LINO</v>
          </cell>
          <cell r="F529" t="str">
            <v>LINO</v>
          </cell>
          <cell r="G529">
            <v>0</v>
          </cell>
          <cell r="H529" t="str">
            <v>GRIS</v>
          </cell>
          <cell r="I529">
            <v>40</v>
          </cell>
          <cell r="J529" t="str">
            <v>H</v>
          </cell>
        </row>
        <row r="530">
          <cell r="B530" t="str">
            <v>S1ITA8986-42</v>
          </cell>
          <cell r="C530" t="str">
            <v>TEXTIL</v>
          </cell>
          <cell r="D530" t="str">
            <v>CAMISA</v>
          </cell>
          <cell r="E530" t="str">
            <v>CAMISA LISA LINO</v>
          </cell>
          <cell r="F530" t="str">
            <v>LINO</v>
          </cell>
          <cell r="G530">
            <v>0</v>
          </cell>
          <cell r="H530" t="str">
            <v>GRIS</v>
          </cell>
          <cell r="I530">
            <v>42</v>
          </cell>
          <cell r="J530" t="str">
            <v>H</v>
          </cell>
        </row>
        <row r="531">
          <cell r="B531" t="str">
            <v>S1ITA8986-44</v>
          </cell>
          <cell r="C531" t="str">
            <v>TEXTIL</v>
          </cell>
          <cell r="D531" t="str">
            <v>CAMISA</v>
          </cell>
          <cell r="E531" t="str">
            <v>CAMISA LISA LINO</v>
          </cell>
          <cell r="F531" t="str">
            <v>LINO</v>
          </cell>
          <cell r="G531">
            <v>0</v>
          </cell>
          <cell r="H531" t="str">
            <v>GRIS</v>
          </cell>
          <cell r="I531">
            <v>44</v>
          </cell>
          <cell r="J531" t="str">
            <v>H</v>
          </cell>
        </row>
        <row r="532">
          <cell r="B532" t="str">
            <v>S1ITA8986-46</v>
          </cell>
          <cell r="C532" t="str">
            <v>TEXTIL</v>
          </cell>
          <cell r="D532" t="str">
            <v>CAMISA</v>
          </cell>
          <cell r="E532" t="str">
            <v>CAMISA LISA LINO</v>
          </cell>
          <cell r="F532" t="str">
            <v>LINO</v>
          </cell>
          <cell r="G532">
            <v>0</v>
          </cell>
          <cell r="H532" t="str">
            <v>GRIS</v>
          </cell>
          <cell r="I532">
            <v>46</v>
          </cell>
          <cell r="J532" t="str">
            <v>H</v>
          </cell>
        </row>
        <row r="533">
          <cell r="B533" t="str">
            <v>S1ITA8987-38</v>
          </cell>
          <cell r="C533" t="str">
            <v>TEXTIL</v>
          </cell>
          <cell r="D533" t="str">
            <v>CAMISA</v>
          </cell>
          <cell r="E533" t="str">
            <v>CAMISA LISA LINO</v>
          </cell>
          <cell r="F533" t="str">
            <v>LINO</v>
          </cell>
          <cell r="G533">
            <v>0</v>
          </cell>
          <cell r="H533" t="str">
            <v>BLANCO</v>
          </cell>
          <cell r="I533">
            <v>38</v>
          </cell>
          <cell r="J533" t="str">
            <v>H</v>
          </cell>
        </row>
        <row r="534">
          <cell r="B534" t="str">
            <v>S1ITA8987-40</v>
          </cell>
          <cell r="C534" t="str">
            <v>TEXTIL</v>
          </cell>
          <cell r="D534" t="str">
            <v>CAMISA</v>
          </cell>
          <cell r="E534" t="str">
            <v>CAMISA LISA LINO</v>
          </cell>
          <cell r="F534" t="str">
            <v>LINO</v>
          </cell>
          <cell r="G534">
            <v>0</v>
          </cell>
          <cell r="H534" t="str">
            <v>BLANCO</v>
          </cell>
          <cell r="I534">
            <v>40</v>
          </cell>
          <cell r="J534" t="str">
            <v>H</v>
          </cell>
        </row>
        <row r="535">
          <cell r="B535" t="str">
            <v>S1ITA8987-42</v>
          </cell>
          <cell r="C535" t="str">
            <v>TEXTIL</v>
          </cell>
          <cell r="D535" t="str">
            <v>CAMISA</v>
          </cell>
          <cell r="E535" t="str">
            <v>CAMISA LISA LINO</v>
          </cell>
          <cell r="F535" t="str">
            <v>LINO</v>
          </cell>
          <cell r="G535">
            <v>0</v>
          </cell>
          <cell r="H535" t="str">
            <v>BLANCO</v>
          </cell>
          <cell r="I535">
            <v>42</v>
          </cell>
          <cell r="J535" t="str">
            <v>H</v>
          </cell>
        </row>
        <row r="536">
          <cell r="B536" t="str">
            <v>S1ITA8987-44</v>
          </cell>
          <cell r="C536" t="str">
            <v>TEXTIL</v>
          </cell>
          <cell r="D536" t="str">
            <v>CAMISA</v>
          </cell>
          <cell r="E536" t="str">
            <v>CAMISA LISA LINO</v>
          </cell>
          <cell r="F536" t="str">
            <v>LINO</v>
          </cell>
          <cell r="G536">
            <v>0</v>
          </cell>
          <cell r="H536" t="str">
            <v>BLANCO</v>
          </cell>
          <cell r="I536">
            <v>44</v>
          </cell>
          <cell r="J536" t="str">
            <v>H</v>
          </cell>
        </row>
        <row r="537">
          <cell r="B537" t="str">
            <v>S1ITA8987-46</v>
          </cell>
          <cell r="C537" t="str">
            <v>TEXTIL</v>
          </cell>
          <cell r="D537" t="str">
            <v>CAMISA</v>
          </cell>
          <cell r="E537" t="str">
            <v>CAMISA LISA LINO</v>
          </cell>
          <cell r="F537" t="str">
            <v>LINO</v>
          </cell>
          <cell r="G537">
            <v>0</v>
          </cell>
          <cell r="H537" t="str">
            <v>BLANCO</v>
          </cell>
          <cell r="I537">
            <v>46</v>
          </cell>
          <cell r="J537" t="str">
            <v>H</v>
          </cell>
        </row>
        <row r="538">
          <cell r="B538" t="str">
            <v>SIITA8981-38</v>
          </cell>
          <cell r="C538" t="str">
            <v>TEXTIL</v>
          </cell>
          <cell r="D538" t="str">
            <v>CAMISA</v>
          </cell>
          <cell r="E538" t="str">
            <v>CAMISA LISA LINO</v>
          </cell>
          <cell r="F538" t="str">
            <v>LINO</v>
          </cell>
          <cell r="G538">
            <v>0</v>
          </cell>
          <cell r="H538" t="str">
            <v>CELESTE</v>
          </cell>
          <cell r="I538">
            <v>38</v>
          </cell>
          <cell r="J538" t="str">
            <v>H</v>
          </cell>
        </row>
        <row r="539">
          <cell r="B539" t="str">
            <v>SIITA8981-40</v>
          </cell>
          <cell r="C539" t="str">
            <v>TEXTIL</v>
          </cell>
          <cell r="D539" t="str">
            <v>CAMISA</v>
          </cell>
          <cell r="E539" t="str">
            <v>CAMISA LISA LINO</v>
          </cell>
          <cell r="F539" t="str">
            <v>LINO</v>
          </cell>
          <cell r="G539">
            <v>0</v>
          </cell>
          <cell r="H539" t="str">
            <v>CELESTE</v>
          </cell>
          <cell r="I539">
            <v>40</v>
          </cell>
          <cell r="J539" t="str">
            <v>H</v>
          </cell>
        </row>
        <row r="540">
          <cell r="B540" t="str">
            <v>SIITA8981-42</v>
          </cell>
          <cell r="C540" t="str">
            <v>TEXTIL</v>
          </cell>
          <cell r="D540" t="str">
            <v>CAMISA</v>
          </cell>
          <cell r="E540" t="str">
            <v>CAMISA LISA LINO</v>
          </cell>
          <cell r="F540" t="str">
            <v>LINO</v>
          </cell>
          <cell r="G540">
            <v>0</v>
          </cell>
          <cell r="H540" t="str">
            <v>CELESTE</v>
          </cell>
          <cell r="I540">
            <v>42</v>
          </cell>
          <cell r="J540" t="str">
            <v>H</v>
          </cell>
        </row>
        <row r="541">
          <cell r="B541" t="str">
            <v>SIITA8981-44</v>
          </cell>
          <cell r="C541" t="str">
            <v>TEXTIL</v>
          </cell>
          <cell r="D541" t="str">
            <v>CAMISA</v>
          </cell>
          <cell r="E541" t="str">
            <v>CAMISA LISA LINO</v>
          </cell>
          <cell r="F541" t="str">
            <v>LINO</v>
          </cell>
          <cell r="G541">
            <v>0</v>
          </cell>
          <cell r="H541" t="str">
            <v>CELESTE</v>
          </cell>
          <cell r="I541">
            <v>44</v>
          </cell>
          <cell r="J541" t="str">
            <v>H</v>
          </cell>
        </row>
        <row r="542">
          <cell r="B542" t="str">
            <v>SIITA8981-46</v>
          </cell>
          <cell r="C542" t="str">
            <v>TEXTIL</v>
          </cell>
          <cell r="D542" t="str">
            <v>CAMISA</v>
          </cell>
          <cell r="E542" t="str">
            <v>CAMISA LISA LINO</v>
          </cell>
          <cell r="F542" t="str">
            <v>LINO</v>
          </cell>
          <cell r="G542">
            <v>0</v>
          </cell>
          <cell r="H542" t="str">
            <v>CELESTE</v>
          </cell>
          <cell r="I542">
            <v>46</v>
          </cell>
          <cell r="J542" t="str">
            <v>H</v>
          </cell>
        </row>
        <row r="543">
          <cell r="B543" t="str">
            <v>A20-38</v>
          </cell>
          <cell r="C543" t="str">
            <v>TEXTIL</v>
          </cell>
          <cell r="D543" t="str">
            <v>CAMISA</v>
          </cell>
          <cell r="E543" t="str">
            <v>CAMISA MULTIRAYAS ALGODÓN</v>
          </cell>
          <cell r="F543" t="str">
            <v>ALGODON</v>
          </cell>
          <cell r="G543">
            <v>0</v>
          </cell>
          <cell r="H543" t="str">
            <v>CELESTE</v>
          </cell>
          <cell r="I543">
            <v>38</v>
          </cell>
          <cell r="J543" t="str">
            <v>H</v>
          </cell>
        </row>
        <row r="544">
          <cell r="B544" t="str">
            <v>A20-40</v>
          </cell>
          <cell r="C544" t="str">
            <v>TEXTIL</v>
          </cell>
          <cell r="D544" t="str">
            <v>CAMISA</v>
          </cell>
          <cell r="E544" t="str">
            <v>CAMISA MULTIRAYAS ALGODÓN</v>
          </cell>
          <cell r="F544" t="str">
            <v>ALGODON</v>
          </cell>
          <cell r="G544">
            <v>0</v>
          </cell>
          <cell r="H544" t="str">
            <v>CELESTE</v>
          </cell>
          <cell r="I544">
            <v>40</v>
          </cell>
          <cell r="J544" t="str">
            <v>H</v>
          </cell>
        </row>
        <row r="545">
          <cell r="B545" t="str">
            <v>A20-42</v>
          </cell>
          <cell r="C545" t="str">
            <v>TEXTIL</v>
          </cell>
          <cell r="D545" t="str">
            <v>CAMISA</v>
          </cell>
          <cell r="E545" t="str">
            <v>CAMISA MULTIRAYAS ALGODÓN</v>
          </cell>
          <cell r="F545" t="str">
            <v>ALGODON</v>
          </cell>
          <cell r="G545">
            <v>0</v>
          </cell>
          <cell r="H545" t="str">
            <v>CELESTE</v>
          </cell>
          <cell r="I545">
            <v>42</v>
          </cell>
          <cell r="J545" t="str">
            <v>H</v>
          </cell>
        </row>
        <row r="546">
          <cell r="B546" t="str">
            <v>A20-44</v>
          </cell>
          <cell r="C546" t="str">
            <v>TEXTIL</v>
          </cell>
          <cell r="D546" t="str">
            <v>CAMISA</v>
          </cell>
          <cell r="E546" t="str">
            <v>CAMISA MULTIRAYAS ALGODÓN</v>
          </cell>
          <cell r="F546" t="str">
            <v>ALGODON</v>
          </cell>
          <cell r="G546">
            <v>0</v>
          </cell>
          <cell r="H546" t="str">
            <v>CELESTE</v>
          </cell>
          <cell r="I546">
            <v>44</v>
          </cell>
          <cell r="J546" t="str">
            <v>H</v>
          </cell>
        </row>
        <row r="547">
          <cell r="B547" t="str">
            <v>A20-46</v>
          </cell>
          <cell r="C547" t="str">
            <v>TEXTIL</v>
          </cell>
          <cell r="D547" t="str">
            <v>CAMISA</v>
          </cell>
          <cell r="E547" t="str">
            <v>CAMISA MULTIRAYAS ALGODÓN</v>
          </cell>
          <cell r="F547" t="str">
            <v>ALGODON</v>
          </cell>
          <cell r="G547">
            <v>0</v>
          </cell>
          <cell r="H547" t="str">
            <v>CELESTE</v>
          </cell>
          <cell r="I547">
            <v>46</v>
          </cell>
          <cell r="J547" t="str">
            <v>H</v>
          </cell>
        </row>
        <row r="548">
          <cell r="B548" t="str">
            <v>ANGELO10028-38</v>
          </cell>
          <cell r="C548" t="str">
            <v>TEXTIL</v>
          </cell>
          <cell r="D548" t="str">
            <v>CAMISA</v>
          </cell>
          <cell r="E548" t="str">
            <v>CAMISA RAYADA</v>
          </cell>
          <cell r="F548" t="str">
            <v>MIXTA</v>
          </cell>
          <cell r="G548">
            <v>0</v>
          </cell>
          <cell r="H548" t="str">
            <v>B/N</v>
          </cell>
          <cell r="I548">
            <v>38</v>
          </cell>
          <cell r="J548" t="str">
            <v>H</v>
          </cell>
        </row>
        <row r="549">
          <cell r="B549" t="str">
            <v>ANGELO10028-40</v>
          </cell>
          <cell r="C549" t="str">
            <v>TEXTIL</v>
          </cell>
          <cell r="D549" t="str">
            <v>CAMISA</v>
          </cell>
          <cell r="E549" t="str">
            <v>CAMISA RAYADA</v>
          </cell>
          <cell r="F549" t="str">
            <v>MIXTA</v>
          </cell>
          <cell r="G549">
            <v>0</v>
          </cell>
          <cell r="H549" t="str">
            <v>B/N</v>
          </cell>
          <cell r="I549">
            <v>40</v>
          </cell>
          <cell r="J549" t="str">
            <v>H</v>
          </cell>
        </row>
        <row r="550">
          <cell r="B550" t="str">
            <v>ANGELO10028-42</v>
          </cell>
          <cell r="C550" t="str">
            <v>TEXTIL</v>
          </cell>
          <cell r="D550" t="str">
            <v>CAMISA</v>
          </cell>
          <cell r="E550" t="str">
            <v>CAMISA RAYADA</v>
          </cell>
          <cell r="F550" t="str">
            <v>MIXTA</v>
          </cell>
          <cell r="G550">
            <v>0</v>
          </cell>
          <cell r="H550" t="str">
            <v>B/N</v>
          </cell>
          <cell r="I550">
            <v>42</v>
          </cell>
          <cell r="J550" t="str">
            <v>H</v>
          </cell>
        </row>
        <row r="551">
          <cell r="B551" t="str">
            <v>ANGELO10028-44</v>
          </cell>
          <cell r="C551" t="str">
            <v>TEXTIL</v>
          </cell>
          <cell r="D551" t="str">
            <v>CAMISA</v>
          </cell>
          <cell r="E551" t="str">
            <v>CAMISA RAYADA</v>
          </cell>
          <cell r="F551" t="str">
            <v>MIXTA</v>
          </cell>
          <cell r="G551">
            <v>0</v>
          </cell>
          <cell r="H551" t="str">
            <v>B/N</v>
          </cell>
          <cell r="I551">
            <v>44</v>
          </cell>
          <cell r="J551" t="str">
            <v>H</v>
          </cell>
        </row>
        <row r="552">
          <cell r="B552" t="str">
            <v>ANGELO10028-46</v>
          </cell>
          <cell r="C552" t="str">
            <v>TEXTIL</v>
          </cell>
          <cell r="D552" t="str">
            <v>CAMISA</v>
          </cell>
          <cell r="E552" t="str">
            <v>CAMISA RAYADA</v>
          </cell>
          <cell r="F552" t="str">
            <v>MIXTA</v>
          </cell>
          <cell r="G552">
            <v>0</v>
          </cell>
          <cell r="H552" t="str">
            <v>B/N</v>
          </cell>
          <cell r="I552">
            <v>46</v>
          </cell>
          <cell r="J552" t="str">
            <v>H</v>
          </cell>
        </row>
        <row r="553">
          <cell r="B553" t="str">
            <v>4121284-38</v>
          </cell>
          <cell r="C553" t="str">
            <v>TEXTIL</v>
          </cell>
          <cell r="D553" t="str">
            <v>CAMISA</v>
          </cell>
          <cell r="E553" t="str">
            <v>CAMISA RAYADA ALGODÓN</v>
          </cell>
          <cell r="F553" t="str">
            <v>ALGODON</v>
          </cell>
          <cell r="G553">
            <v>0</v>
          </cell>
          <cell r="H553" t="str">
            <v>B/CELESTE</v>
          </cell>
          <cell r="I553">
            <v>38</v>
          </cell>
          <cell r="J553" t="str">
            <v>H</v>
          </cell>
        </row>
        <row r="554">
          <cell r="B554" t="str">
            <v>4121284-40</v>
          </cell>
          <cell r="C554" t="str">
            <v>TEXTIL</v>
          </cell>
          <cell r="D554" t="str">
            <v>CAMISA</v>
          </cell>
          <cell r="E554" t="str">
            <v>CAMISA RAYADA ALGODÓN</v>
          </cell>
          <cell r="F554" t="str">
            <v>ALGODON</v>
          </cell>
          <cell r="G554">
            <v>0</v>
          </cell>
          <cell r="H554" t="str">
            <v>B/CELESTE</v>
          </cell>
          <cell r="I554">
            <v>40</v>
          </cell>
          <cell r="J554" t="str">
            <v>H</v>
          </cell>
        </row>
        <row r="555">
          <cell r="B555" t="str">
            <v>4121284-42</v>
          </cell>
          <cell r="C555" t="str">
            <v>TEXTIL</v>
          </cell>
          <cell r="D555" t="str">
            <v>CAMISA</v>
          </cell>
          <cell r="E555" t="str">
            <v>CAMISA RAYADA ALGODÓN</v>
          </cell>
          <cell r="F555" t="str">
            <v>ALGODON</v>
          </cell>
          <cell r="G555">
            <v>0</v>
          </cell>
          <cell r="H555" t="str">
            <v>B/CELESTE</v>
          </cell>
          <cell r="I555">
            <v>42</v>
          </cell>
          <cell r="J555" t="str">
            <v>H</v>
          </cell>
        </row>
        <row r="556">
          <cell r="B556" t="str">
            <v>4121284-44</v>
          </cell>
          <cell r="C556" t="str">
            <v>TEXTIL</v>
          </cell>
          <cell r="D556" t="str">
            <v>CAMISA</v>
          </cell>
          <cell r="E556" t="str">
            <v>CAMISA RAYADA ALGODÓN</v>
          </cell>
          <cell r="F556" t="str">
            <v>ALGODON</v>
          </cell>
          <cell r="G556">
            <v>0</v>
          </cell>
          <cell r="H556" t="str">
            <v>B/CELESTE</v>
          </cell>
          <cell r="I556">
            <v>44</v>
          </cell>
          <cell r="J556" t="str">
            <v>H</v>
          </cell>
        </row>
        <row r="557">
          <cell r="B557" t="str">
            <v>4121284-46</v>
          </cell>
          <cell r="C557" t="str">
            <v>TEXTIL</v>
          </cell>
          <cell r="D557" t="str">
            <v>CAMISA</v>
          </cell>
          <cell r="E557" t="str">
            <v>CAMISA RAYADA ALGODÓN</v>
          </cell>
          <cell r="F557" t="str">
            <v>ALGODON</v>
          </cell>
          <cell r="G557">
            <v>0</v>
          </cell>
          <cell r="H557" t="str">
            <v>B/CELESTE</v>
          </cell>
          <cell r="I557">
            <v>46</v>
          </cell>
          <cell r="J557" t="str">
            <v>H</v>
          </cell>
        </row>
        <row r="558">
          <cell r="B558" t="str">
            <v>S15C3716-38</v>
          </cell>
          <cell r="C558" t="str">
            <v>TEXTIL</v>
          </cell>
          <cell r="D558" t="str">
            <v>CAMISA</v>
          </cell>
          <cell r="E558" t="str">
            <v>CAMISA RAYITAS ALGODÓN</v>
          </cell>
          <cell r="F558" t="str">
            <v>ALGODON</v>
          </cell>
          <cell r="G558">
            <v>0</v>
          </cell>
          <cell r="H558" t="str">
            <v>BLANCA-AMARILLA</v>
          </cell>
          <cell r="I558">
            <v>38</v>
          </cell>
          <cell r="J558" t="str">
            <v>H</v>
          </cell>
        </row>
        <row r="559">
          <cell r="B559" t="str">
            <v>S15C3716-40</v>
          </cell>
          <cell r="C559" t="str">
            <v>TEXTIL</v>
          </cell>
          <cell r="D559" t="str">
            <v>CAMISA</v>
          </cell>
          <cell r="E559" t="str">
            <v>CAMISA RAYITAS ALGODÓN</v>
          </cell>
          <cell r="F559" t="str">
            <v>ALGODON</v>
          </cell>
          <cell r="G559">
            <v>0</v>
          </cell>
          <cell r="H559" t="str">
            <v>BLANCA-AMARILLA</v>
          </cell>
          <cell r="I559">
            <v>40</v>
          </cell>
          <cell r="J559" t="str">
            <v>H</v>
          </cell>
        </row>
        <row r="560">
          <cell r="B560" t="str">
            <v>S15C3716-42</v>
          </cell>
          <cell r="C560" t="str">
            <v>TEXTIL</v>
          </cell>
          <cell r="D560" t="str">
            <v>CAMISA</v>
          </cell>
          <cell r="E560" t="str">
            <v>CAMISA RAYITAS ALGODÓN</v>
          </cell>
          <cell r="F560" t="str">
            <v>ALGODON</v>
          </cell>
          <cell r="G560">
            <v>0</v>
          </cell>
          <cell r="H560" t="str">
            <v>BLANCA-AMARILLA</v>
          </cell>
          <cell r="I560">
            <v>42</v>
          </cell>
          <cell r="J560" t="str">
            <v>H</v>
          </cell>
        </row>
        <row r="561">
          <cell r="B561" t="str">
            <v>S15C3716-44</v>
          </cell>
          <cell r="C561" t="str">
            <v>TEXTIL</v>
          </cell>
          <cell r="D561" t="str">
            <v>CAMISA</v>
          </cell>
          <cell r="E561" t="str">
            <v>CAMISA RAYITAS ALGODÓN</v>
          </cell>
          <cell r="F561" t="str">
            <v>ALGODON</v>
          </cell>
          <cell r="G561">
            <v>0</v>
          </cell>
          <cell r="H561" t="str">
            <v>BLANCA-AMARILLA</v>
          </cell>
          <cell r="I561">
            <v>44</v>
          </cell>
          <cell r="J561" t="str">
            <v>H</v>
          </cell>
        </row>
        <row r="562">
          <cell r="B562" t="str">
            <v>S15C3716-46</v>
          </cell>
          <cell r="C562" t="str">
            <v>TEXTIL</v>
          </cell>
          <cell r="D562" t="str">
            <v>CAMISA</v>
          </cell>
          <cell r="E562" t="str">
            <v>CAMISA RAYITAS ALGODÓN</v>
          </cell>
          <cell r="F562" t="str">
            <v>ALGODON</v>
          </cell>
          <cell r="G562">
            <v>0</v>
          </cell>
          <cell r="H562" t="str">
            <v>BLANCA-AMARILLA</v>
          </cell>
          <cell r="I562">
            <v>46</v>
          </cell>
          <cell r="J562" t="str">
            <v>H</v>
          </cell>
        </row>
        <row r="563">
          <cell r="B563" t="str">
            <v>S10-7-38</v>
          </cell>
          <cell r="C563" t="str">
            <v>TEXTIL</v>
          </cell>
          <cell r="D563" t="str">
            <v>CAMISA</v>
          </cell>
          <cell r="E563" t="str">
            <v>CAMISA TRAMA ALGODÓN</v>
          </cell>
          <cell r="F563" t="str">
            <v>ALGODON</v>
          </cell>
          <cell r="G563">
            <v>0</v>
          </cell>
          <cell r="H563" t="str">
            <v>BLANCO</v>
          </cell>
          <cell r="I563">
            <v>38</v>
          </cell>
          <cell r="J563" t="str">
            <v>H</v>
          </cell>
        </row>
        <row r="564">
          <cell r="B564" t="str">
            <v>S10-7-40</v>
          </cell>
          <cell r="C564" t="str">
            <v>TEXTIL</v>
          </cell>
          <cell r="D564" t="str">
            <v>CAMISA</v>
          </cell>
          <cell r="E564" t="str">
            <v>CAMISA TRAMA ALGODÓN</v>
          </cell>
          <cell r="F564" t="str">
            <v>ALGODON</v>
          </cell>
          <cell r="G564">
            <v>0</v>
          </cell>
          <cell r="H564" t="str">
            <v>BLANCO</v>
          </cell>
          <cell r="I564">
            <v>40</v>
          </cell>
          <cell r="J564" t="str">
            <v>H</v>
          </cell>
        </row>
        <row r="565">
          <cell r="B565" t="str">
            <v>S10-7-42</v>
          </cell>
          <cell r="C565" t="str">
            <v>TEXTIL</v>
          </cell>
          <cell r="D565" t="str">
            <v>CAMISA</v>
          </cell>
          <cell r="E565" t="str">
            <v>CAMISA TRAMA ALGODÓN</v>
          </cell>
          <cell r="F565" t="str">
            <v>ALGODON</v>
          </cell>
          <cell r="G565">
            <v>0</v>
          </cell>
          <cell r="H565" t="str">
            <v>BLANCO</v>
          </cell>
          <cell r="I565">
            <v>42</v>
          </cell>
          <cell r="J565" t="str">
            <v>H</v>
          </cell>
        </row>
        <row r="566">
          <cell r="B566" t="str">
            <v>S10-7-44</v>
          </cell>
          <cell r="C566" t="str">
            <v>TEXTIL</v>
          </cell>
          <cell r="D566" t="str">
            <v>CAMISA</v>
          </cell>
          <cell r="E566" t="str">
            <v>CAMISA TRAMA ALGODÓN</v>
          </cell>
          <cell r="F566" t="str">
            <v>ALGODON</v>
          </cell>
          <cell r="G566">
            <v>0</v>
          </cell>
          <cell r="H566" t="str">
            <v>BLANCO</v>
          </cell>
          <cell r="I566">
            <v>44</v>
          </cell>
          <cell r="J566" t="str">
            <v>H</v>
          </cell>
        </row>
        <row r="567">
          <cell r="B567" t="str">
            <v>S10-7-46</v>
          </cell>
          <cell r="C567" t="str">
            <v>TEXTIL</v>
          </cell>
          <cell r="D567" t="str">
            <v>CAMISA</v>
          </cell>
          <cell r="E567" t="str">
            <v>CAMISA TRAMA ALGODÓN</v>
          </cell>
          <cell r="F567" t="str">
            <v>ALGODON</v>
          </cell>
          <cell r="G567">
            <v>0</v>
          </cell>
          <cell r="H567" t="str">
            <v>BLANCO</v>
          </cell>
          <cell r="I567">
            <v>46</v>
          </cell>
          <cell r="J567" t="str">
            <v>H</v>
          </cell>
        </row>
        <row r="568">
          <cell r="B568" t="str">
            <v>TX180130101-L</v>
          </cell>
          <cell r="C568" t="str">
            <v>TEXTIL</v>
          </cell>
          <cell r="D568" t="str">
            <v>CAMPERA</v>
          </cell>
          <cell r="E568" t="str">
            <v>CAMPERA ALBERTO</v>
          </cell>
          <cell r="F568" t="str">
            <v>NAPADO</v>
          </cell>
          <cell r="G568">
            <v>0</v>
          </cell>
          <cell r="H568" t="str">
            <v>NEGRO</v>
          </cell>
          <cell r="I568" t="str">
            <v>L</v>
          </cell>
          <cell r="J568" t="str">
            <v>H</v>
          </cell>
        </row>
        <row r="569">
          <cell r="B569" t="str">
            <v>TX180130101-M</v>
          </cell>
          <cell r="C569" t="str">
            <v>TEXTIL</v>
          </cell>
          <cell r="D569" t="str">
            <v>CAMPERA</v>
          </cell>
          <cell r="E569" t="str">
            <v>CAMPERA ALBERTO</v>
          </cell>
          <cell r="F569" t="str">
            <v>NAPADO</v>
          </cell>
          <cell r="G569">
            <v>0</v>
          </cell>
          <cell r="H569" t="str">
            <v>NEGRO</v>
          </cell>
          <cell r="I569" t="str">
            <v>M</v>
          </cell>
          <cell r="J569" t="str">
            <v>H</v>
          </cell>
        </row>
        <row r="570">
          <cell r="B570" t="str">
            <v>TX180130101-S</v>
          </cell>
          <cell r="C570" t="str">
            <v>TEXTIL</v>
          </cell>
          <cell r="D570" t="str">
            <v>CAMPERA</v>
          </cell>
          <cell r="E570" t="str">
            <v>CAMPERA ALBERTO</v>
          </cell>
          <cell r="F570" t="str">
            <v>NAPADO</v>
          </cell>
          <cell r="G570">
            <v>0</v>
          </cell>
          <cell r="H570" t="str">
            <v>NEGRO</v>
          </cell>
          <cell r="I570" t="str">
            <v>S</v>
          </cell>
          <cell r="J570" t="str">
            <v>H</v>
          </cell>
        </row>
        <row r="571">
          <cell r="B571" t="str">
            <v>TX180130101-XL</v>
          </cell>
          <cell r="C571" t="str">
            <v>TEXTIL</v>
          </cell>
          <cell r="D571" t="str">
            <v>CAMPERA</v>
          </cell>
          <cell r="E571" t="str">
            <v>CAMPERA ALBERTO</v>
          </cell>
          <cell r="F571" t="str">
            <v>NAPADO</v>
          </cell>
          <cell r="G571">
            <v>0</v>
          </cell>
          <cell r="H571" t="str">
            <v>NEGRO</v>
          </cell>
          <cell r="I571" t="str">
            <v>XL</v>
          </cell>
          <cell r="J571" t="str">
            <v>H</v>
          </cell>
        </row>
        <row r="572">
          <cell r="B572" t="str">
            <v>TX180130152-L</v>
          </cell>
          <cell r="C572" t="str">
            <v>TEXTIL</v>
          </cell>
          <cell r="D572" t="str">
            <v>CAMPERA</v>
          </cell>
          <cell r="E572" t="str">
            <v>CAMPERA ALBERTO</v>
          </cell>
          <cell r="F572" t="str">
            <v>NAPADO</v>
          </cell>
          <cell r="G572">
            <v>0</v>
          </cell>
          <cell r="H572" t="str">
            <v>MARRON</v>
          </cell>
          <cell r="I572" t="str">
            <v>L</v>
          </cell>
          <cell r="J572" t="str">
            <v>H</v>
          </cell>
        </row>
        <row r="573">
          <cell r="B573" t="str">
            <v>TX180130152-M</v>
          </cell>
          <cell r="C573" t="str">
            <v>TEXTIL</v>
          </cell>
          <cell r="D573" t="str">
            <v>CAMPERA</v>
          </cell>
          <cell r="E573" t="str">
            <v>CAMPERA ALBERTO</v>
          </cell>
          <cell r="F573" t="str">
            <v>NAPADO</v>
          </cell>
          <cell r="G573">
            <v>0</v>
          </cell>
          <cell r="H573" t="str">
            <v>MARRON</v>
          </cell>
          <cell r="I573" t="str">
            <v>M</v>
          </cell>
          <cell r="J573" t="str">
            <v>H</v>
          </cell>
        </row>
        <row r="574">
          <cell r="B574" t="str">
            <v>TX180130152-S</v>
          </cell>
          <cell r="C574" t="str">
            <v>TEXTIL</v>
          </cell>
          <cell r="D574" t="str">
            <v>CAMPERA</v>
          </cell>
          <cell r="E574" t="str">
            <v>CAMPERA ALBERTO</v>
          </cell>
          <cell r="F574" t="str">
            <v>NAPADO</v>
          </cell>
          <cell r="G574">
            <v>0</v>
          </cell>
          <cell r="H574" t="str">
            <v>MARRON</v>
          </cell>
          <cell r="I574" t="str">
            <v>S</v>
          </cell>
          <cell r="J574" t="str">
            <v>H</v>
          </cell>
        </row>
        <row r="575">
          <cell r="B575" t="str">
            <v>TX180130152-XL</v>
          </cell>
          <cell r="C575" t="str">
            <v>TEXTIL</v>
          </cell>
          <cell r="D575" t="str">
            <v>CAMPERA</v>
          </cell>
          <cell r="E575" t="str">
            <v>CAMPERA ALBERTO</v>
          </cell>
          <cell r="F575" t="str">
            <v>NAPADO</v>
          </cell>
          <cell r="G575">
            <v>0</v>
          </cell>
          <cell r="H575" t="str">
            <v>MARRON</v>
          </cell>
          <cell r="I575" t="str">
            <v>XL</v>
          </cell>
          <cell r="J575" t="str">
            <v>H</v>
          </cell>
        </row>
        <row r="576">
          <cell r="B576" t="str">
            <v>TX130112701-L</v>
          </cell>
          <cell r="C576" t="str">
            <v>TEXTIL</v>
          </cell>
          <cell r="D576" t="str">
            <v>CAMPERA</v>
          </cell>
          <cell r="E576" t="str">
            <v>CAMPERA CHANDRA</v>
          </cell>
          <cell r="F576" t="str">
            <v>MICROFIBRA</v>
          </cell>
          <cell r="G576">
            <v>0</v>
          </cell>
          <cell r="H576" t="str">
            <v>NEGRO</v>
          </cell>
          <cell r="I576" t="str">
            <v>L</v>
          </cell>
          <cell r="J576" t="str">
            <v>M</v>
          </cell>
        </row>
        <row r="577">
          <cell r="B577" t="str">
            <v>TX130112701-M</v>
          </cell>
          <cell r="C577" t="str">
            <v>TEXTIL</v>
          </cell>
          <cell r="D577" t="str">
            <v>CAMPERA</v>
          </cell>
          <cell r="E577" t="str">
            <v>CAMPERA CHANDRA</v>
          </cell>
          <cell r="F577" t="str">
            <v>MICROFIBRA</v>
          </cell>
          <cell r="G577">
            <v>0</v>
          </cell>
          <cell r="H577" t="str">
            <v>NEGRO</v>
          </cell>
          <cell r="I577" t="str">
            <v>M</v>
          </cell>
          <cell r="J577" t="str">
            <v>M</v>
          </cell>
        </row>
        <row r="578">
          <cell r="B578" t="str">
            <v>TX130112701-S</v>
          </cell>
          <cell r="C578" t="str">
            <v>TEXTIL</v>
          </cell>
          <cell r="D578" t="str">
            <v>CAMPERA</v>
          </cell>
          <cell r="E578" t="str">
            <v>CAMPERA CHANDRA</v>
          </cell>
          <cell r="F578" t="str">
            <v>MICROFIBRA</v>
          </cell>
          <cell r="G578">
            <v>0</v>
          </cell>
          <cell r="H578" t="str">
            <v>NEGRO</v>
          </cell>
          <cell r="I578" t="str">
            <v>S</v>
          </cell>
          <cell r="J578" t="str">
            <v>M</v>
          </cell>
        </row>
        <row r="579">
          <cell r="B579" t="str">
            <v>TX130112701-XL</v>
          </cell>
          <cell r="C579" t="str">
            <v>TEXTIL</v>
          </cell>
          <cell r="D579" t="str">
            <v>CAMPERA</v>
          </cell>
          <cell r="E579" t="str">
            <v>CAMPERA CHANDRA</v>
          </cell>
          <cell r="F579" t="str">
            <v>MICROFIBRA</v>
          </cell>
          <cell r="G579">
            <v>0</v>
          </cell>
          <cell r="H579" t="str">
            <v>NEGRO</v>
          </cell>
          <cell r="I579" t="str">
            <v>XL</v>
          </cell>
          <cell r="J579" t="str">
            <v>M</v>
          </cell>
        </row>
        <row r="580">
          <cell r="B580" t="str">
            <v>TX130112701-XXL</v>
          </cell>
          <cell r="C580" t="str">
            <v>TEXTIL</v>
          </cell>
          <cell r="D580" t="str">
            <v>CAMPERA</v>
          </cell>
          <cell r="E580" t="str">
            <v>CAMPERA CHANDRA</v>
          </cell>
          <cell r="F580" t="str">
            <v>MICROFIBRA</v>
          </cell>
          <cell r="G580">
            <v>0</v>
          </cell>
          <cell r="H580" t="str">
            <v>NEGRO</v>
          </cell>
          <cell r="I580" t="str">
            <v>XXL</v>
          </cell>
          <cell r="J580" t="str">
            <v>M</v>
          </cell>
        </row>
        <row r="581">
          <cell r="B581" t="str">
            <v>TX130112709-L</v>
          </cell>
          <cell r="C581" t="str">
            <v>TEXTIL</v>
          </cell>
          <cell r="D581" t="str">
            <v>CAMPERA</v>
          </cell>
          <cell r="E581" t="str">
            <v>CAMPERA CHANDRA</v>
          </cell>
          <cell r="F581" t="str">
            <v>MICROFIBRA</v>
          </cell>
          <cell r="G581">
            <v>0</v>
          </cell>
          <cell r="H581" t="str">
            <v>AZUL</v>
          </cell>
          <cell r="I581" t="str">
            <v>L</v>
          </cell>
          <cell r="J581" t="str">
            <v>M</v>
          </cell>
        </row>
        <row r="582">
          <cell r="B582" t="str">
            <v>TX130112709-M</v>
          </cell>
          <cell r="C582" t="str">
            <v>TEXTIL</v>
          </cell>
          <cell r="D582" t="str">
            <v>CAMPERA</v>
          </cell>
          <cell r="E582" t="str">
            <v>CAMPERA CHANDRA</v>
          </cell>
          <cell r="F582" t="str">
            <v>MICROFIBRA</v>
          </cell>
          <cell r="G582">
            <v>0</v>
          </cell>
          <cell r="H582" t="str">
            <v>AZUL</v>
          </cell>
          <cell r="I582" t="str">
            <v>M</v>
          </cell>
          <cell r="J582" t="str">
            <v>M</v>
          </cell>
        </row>
        <row r="583">
          <cell r="B583" t="str">
            <v>TX130112709-S</v>
          </cell>
          <cell r="C583" t="str">
            <v>TEXTIL</v>
          </cell>
          <cell r="D583" t="str">
            <v>CAMPERA</v>
          </cell>
          <cell r="E583" t="str">
            <v>CAMPERA CHANDRA</v>
          </cell>
          <cell r="F583" t="str">
            <v>MICROFIBRA</v>
          </cell>
          <cell r="G583">
            <v>0</v>
          </cell>
          <cell r="H583" t="str">
            <v>AZUL</v>
          </cell>
          <cell r="I583" t="str">
            <v>S</v>
          </cell>
          <cell r="J583" t="str">
            <v>M</v>
          </cell>
        </row>
        <row r="584">
          <cell r="B584" t="str">
            <v>TX130112709-XL</v>
          </cell>
          <cell r="C584" t="str">
            <v>TEXTIL</v>
          </cell>
          <cell r="D584" t="str">
            <v>CAMPERA</v>
          </cell>
          <cell r="E584" t="str">
            <v>CAMPERA CHANDRA</v>
          </cell>
          <cell r="F584" t="str">
            <v>MICROFIBRA</v>
          </cell>
          <cell r="G584">
            <v>0</v>
          </cell>
          <cell r="H584" t="str">
            <v>AZUL</v>
          </cell>
          <cell r="I584" t="str">
            <v>XL</v>
          </cell>
          <cell r="J584" t="str">
            <v>M</v>
          </cell>
        </row>
        <row r="585">
          <cell r="B585" t="str">
            <v>TX130112709-XXL</v>
          </cell>
          <cell r="C585" t="str">
            <v>TEXTIL</v>
          </cell>
          <cell r="D585" t="str">
            <v>CAMPERA</v>
          </cell>
          <cell r="E585" t="str">
            <v>CAMPERA CHANDRA</v>
          </cell>
          <cell r="F585" t="str">
            <v>MICROFIBRA</v>
          </cell>
          <cell r="G585">
            <v>0</v>
          </cell>
          <cell r="H585" t="str">
            <v>AZUL</v>
          </cell>
          <cell r="I585" t="str">
            <v>XXL</v>
          </cell>
          <cell r="J585" t="str">
            <v>M</v>
          </cell>
        </row>
        <row r="586">
          <cell r="B586" t="str">
            <v>TX130112710-L</v>
          </cell>
          <cell r="C586" t="str">
            <v>TEXTIL</v>
          </cell>
          <cell r="D586" t="str">
            <v>CAMPERA</v>
          </cell>
          <cell r="E586" t="str">
            <v>CAMPERA CHANDRA</v>
          </cell>
          <cell r="F586" t="str">
            <v>MICROFIBRA</v>
          </cell>
          <cell r="G586">
            <v>0</v>
          </cell>
          <cell r="H586" t="str">
            <v>VERDE</v>
          </cell>
          <cell r="I586" t="str">
            <v>L</v>
          </cell>
          <cell r="J586" t="str">
            <v>M</v>
          </cell>
        </row>
        <row r="587">
          <cell r="B587" t="str">
            <v>TX130112710-M</v>
          </cell>
          <cell r="C587" t="str">
            <v>TEXTIL</v>
          </cell>
          <cell r="D587" t="str">
            <v>CAMPERA</v>
          </cell>
          <cell r="E587" t="str">
            <v>CAMPERA CHANDRA</v>
          </cell>
          <cell r="F587" t="str">
            <v>MICROFIBRA</v>
          </cell>
          <cell r="G587">
            <v>0</v>
          </cell>
          <cell r="H587" t="str">
            <v>VERDE</v>
          </cell>
          <cell r="I587" t="str">
            <v>M</v>
          </cell>
          <cell r="J587" t="str">
            <v>M</v>
          </cell>
        </row>
        <row r="588">
          <cell r="B588" t="str">
            <v>TX130112710-S</v>
          </cell>
          <cell r="C588" t="str">
            <v>TEXTIL</v>
          </cell>
          <cell r="D588" t="str">
            <v>CAMPERA</v>
          </cell>
          <cell r="E588" t="str">
            <v>CAMPERA CHANDRA</v>
          </cell>
          <cell r="F588" t="str">
            <v>MICROFIBRA</v>
          </cell>
          <cell r="G588">
            <v>0</v>
          </cell>
          <cell r="H588" t="str">
            <v>VERDE</v>
          </cell>
          <cell r="I588" t="str">
            <v>S</v>
          </cell>
          <cell r="J588" t="str">
            <v>M</v>
          </cell>
        </row>
        <row r="589">
          <cell r="B589" t="str">
            <v>TX130112710-XL</v>
          </cell>
          <cell r="C589" t="str">
            <v>TEXTIL</v>
          </cell>
          <cell r="D589" t="str">
            <v>CAMPERA</v>
          </cell>
          <cell r="E589" t="str">
            <v>CAMPERA CHANDRA</v>
          </cell>
          <cell r="F589" t="str">
            <v>MICROFIBRA</v>
          </cell>
          <cell r="G589">
            <v>0</v>
          </cell>
          <cell r="H589" t="str">
            <v>VERDE</v>
          </cell>
          <cell r="I589" t="str">
            <v>XL</v>
          </cell>
          <cell r="J589" t="str">
            <v>M</v>
          </cell>
        </row>
        <row r="590">
          <cell r="B590" t="str">
            <v>TX130112710-XXL</v>
          </cell>
          <cell r="C590" t="str">
            <v>TEXTIL</v>
          </cell>
          <cell r="D590" t="str">
            <v>CAMPERA</v>
          </cell>
          <cell r="E590" t="str">
            <v>CAMPERA CHANDRA</v>
          </cell>
          <cell r="F590" t="str">
            <v>MICROFIBRA</v>
          </cell>
          <cell r="G590">
            <v>0</v>
          </cell>
          <cell r="H590" t="str">
            <v>VERDE</v>
          </cell>
          <cell r="I590" t="str">
            <v>XXL</v>
          </cell>
          <cell r="J590" t="str">
            <v>M</v>
          </cell>
        </row>
        <row r="591">
          <cell r="B591" t="str">
            <v>TX130112733-L</v>
          </cell>
          <cell r="C591" t="str">
            <v>TEXTIL</v>
          </cell>
          <cell r="D591" t="str">
            <v>CAMPERA</v>
          </cell>
          <cell r="E591" t="str">
            <v>CAMPERA CHANDRA</v>
          </cell>
          <cell r="F591" t="str">
            <v>MICROFIBRA</v>
          </cell>
          <cell r="G591">
            <v>0</v>
          </cell>
          <cell r="H591" t="str">
            <v>CEMENTO</v>
          </cell>
          <cell r="I591" t="str">
            <v>L</v>
          </cell>
          <cell r="J591" t="str">
            <v>M</v>
          </cell>
        </row>
        <row r="592">
          <cell r="B592" t="str">
            <v>TX130112733-M</v>
          </cell>
          <cell r="C592" t="str">
            <v>TEXTIL</v>
          </cell>
          <cell r="D592" t="str">
            <v>CAMPERA</v>
          </cell>
          <cell r="E592" t="str">
            <v>CAMPERA CHANDRA</v>
          </cell>
          <cell r="F592" t="str">
            <v>MICROFIBRA</v>
          </cell>
          <cell r="G592">
            <v>0</v>
          </cell>
          <cell r="H592" t="str">
            <v>CEMENTO</v>
          </cell>
          <cell r="I592" t="str">
            <v>M</v>
          </cell>
          <cell r="J592" t="str">
            <v>M</v>
          </cell>
        </row>
        <row r="593">
          <cell r="B593" t="str">
            <v>TX130112733-S</v>
          </cell>
          <cell r="C593" t="str">
            <v>TEXTIL</v>
          </cell>
          <cell r="D593" t="str">
            <v>CAMPERA</v>
          </cell>
          <cell r="E593" t="str">
            <v>CAMPERA CHANDRA</v>
          </cell>
          <cell r="F593" t="str">
            <v>MICROFIBRA</v>
          </cell>
          <cell r="G593">
            <v>0</v>
          </cell>
          <cell r="H593" t="str">
            <v>CEMENTO</v>
          </cell>
          <cell r="I593" t="str">
            <v>S</v>
          </cell>
          <cell r="J593" t="str">
            <v>M</v>
          </cell>
        </row>
        <row r="594">
          <cell r="B594" t="str">
            <v>TX130112733-XL</v>
          </cell>
          <cell r="C594" t="str">
            <v>TEXTIL</v>
          </cell>
          <cell r="D594" t="str">
            <v>CAMPERA</v>
          </cell>
          <cell r="E594" t="str">
            <v>CAMPERA CHANDRA</v>
          </cell>
          <cell r="F594" t="str">
            <v>MICROFIBRA</v>
          </cell>
          <cell r="G594">
            <v>0</v>
          </cell>
          <cell r="H594" t="str">
            <v>CEMENTO</v>
          </cell>
          <cell r="I594" t="str">
            <v>XL</v>
          </cell>
          <cell r="J594" t="str">
            <v>M</v>
          </cell>
        </row>
        <row r="595">
          <cell r="B595" t="str">
            <v>TX130112733-XXL</v>
          </cell>
          <cell r="C595" t="str">
            <v>TEXTIL</v>
          </cell>
          <cell r="D595" t="str">
            <v>CAMPERA</v>
          </cell>
          <cell r="E595" t="str">
            <v>CAMPERA CHANDRA</v>
          </cell>
          <cell r="F595" t="str">
            <v>MICROFIBRA</v>
          </cell>
          <cell r="G595">
            <v>0</v>
          </cell>
          <cell r="H595" t="str">
            <v>CEMENTO</v>
          </cell>
          <cell r="I595" t="str">
            <v>XXL</v>
          </cell>
          <cell r="J595" t="str">
            <v>M</v>
          </cell>
        </row>
        <row r="596">
          <cell r="B596" t="str">
            <v>TX180150101-L</v>
          </cell>
          <cell r="C596" t="str">
            <v>TEXTIL</v>
          </cell>
          <cell r="D596" t="str">
            <v>CAMPERA</v>
          </cell>
          <cell r="E596" t="str">
            <v>CAMPERA CRISTINA</v>
          </cell>
          <cell r="F596" t="str">
            <v>NAPADO</v>
          </cell>
          <cell r="G596">
            <v>0</v>
          </cell>
          <cell r="H596" t="str">
            <v>NEGRO</v>
          </cell>
          <cell r="I596" t="str">
            <v>L</v>
          </cell>
          <cell r="J596" t="str">
            <v>M</v>
          </cell>
        </row>
        <row r="597">
          <cell r="B597" t="str">
            <v>TX180150101-M</v>
          </cell>
          <cell r="C597" t="str">
            <v>TEXTIL</v>
          </cell>
          <cell r="D597" t="str">
            <v>CAMPERA</v>
          </cell>
          <cell r="E597" t="str">
            <v>CAMPERA CRISTINA</v>
          </cell>
          <cell r="F597" t="str">
            <v>NAPADO</v>
          </cell>
          <cell r="G597">
            <v>0</v>
          </cell>
          <cell r="H597" t="str">
            <v>NEGRO</v>
          </cell>
          <cell r="I597" t="str">
            <v>M</v>
          </cell>
          <cell r="J597" t="str">
            <v>M</v>
          </cell>
        </row>
        <row r="598">
          <cell r="B598" t="str">
            <v>TX180150101-S</v>
          </cell>
          <cell r="C598" t="str">
            <v>TEXTIL</v>
          </cell>
          <cell r="D598" t="str">
            <v>CAMPERA</v>
          </cell>
          <cell r="E598" t="str">
            <v>CAMPERA CRISTINA</v>
          </cell>
          <cell r="F598" t="str">
            <v>NAPADO</v>
          </cell>
          <cell r="G598">
            <v>0</v>
          </cell>
          <cell r="H598" t="str">
            <v>NEGRO</v>
          </cell>
          <cell r="I598" t="str">
            <v>S</v>
          </cell>
          <cell r="J598" t="str">
            <v>M</v>
          </cell>
        </row>
        <row r="599">
          <cell r="B599" t="str">
            <v>TX180150101-XL</v>
          </cell>
          <cell r="C599" t="str">
            <v>TEXTIL</v>
          </cell>
          <cell r="D599" t="str">
            <v>CAMPERA</v>
          </cell>
          <cell r="E599" t="str">
            <v>CAMPERA CRISTINA</v>
          </cell>
          <cell r="F599" t="str">
            <v>NAPADO</v>
          </cell>
          <cell r="G599">
            <v>0</v>
          </cell>
          <cell r="H599" t="str">
            <v>NEGRO</v>
          </cell>
          <cell r="I599" t="str">
            <v>XL</v>
          </cell>
          <cell r="J599" t="str">
            <v>M</v>
          </cell>
        </row>
        <row r="600">
          <cell r="B600" t="str">
            <v>TX180150101-XS</v>
          </cell>
          <cell r="C600" t="str">
            <v>TEXTIL</v>
          </cell>
          <cell r="D600" t="str">
            <v>CAMPERA</v>
          </cell>
          <cell r="E600" t="str">
            <v>CAMPERA CRISTINA</v>
          </cell>
          <cell r="F600" t="str">
            <v>NAPADO</v>
          </cell>
          <cell r="G600">
            <v>0</v>
          </cell>
          <cell r="H600" t="str">
            <v>NEGRO</v>
          </cell>
          <cell r="I600" t="str">
            <v>XS</v>
          </cell>
          <cell r="J600" t="str">
            <v>M</v>
          </cell>
        </row>
        <row r="601">
          <cell r="B601" t="str">
            <v>TX180150101-XS-MC</v>
          </cell>
          <cell r="C601" t="str">
            <v>TEXTIL</v>
          </cell>
          <cell r="D601" t="str">
            <v>CAMPERA</v>
          </cell>
          <cell r="E601" t="str">
            <v>CAMPERA CRISTINA</v>
          </cell>
          <cell r="F601" t="str">
            <v>NAPADO</v>
          </cell>
          <cell r="G601">
            <v>0</v>
          </cell>
          <cell r="H601" t="str">
            <v>NEGRO</v>
          </cell>
          <cell r="I601" t="str">
            <v>XS MC</v>
          </cell>
          <cell r="J601" t="str">
            <v>M</v>
          </cell>
        </row>
        <row r="602">
          <cell r="B602" t="str">
            <v>TX180150102-L</v>
          </cell>
          <cell r="C602" t="str">
            <v>TEXTIL</v>
          </cell>
          <cell r="D602" t="str">
            <v>CAMPERA</v>
          </cell>
          <cell r="E602" t="str">
            <v>CAMPERA CRISTINA</v>
          </cell>
          <cell r="F602" t="str">
            <v>NAPADO</v>
          </cell>
          <cell r="G602">
            <v>0</v>
          </cell>
          <cell r="H602" t="str">
            <v>SUELA</v>
          </cell>
          <cell r="I602" t="str">
            <v>L</v>
          </cell>
          <cell r="J602" t="str">
            <v>M</v>
          </cell>
        </row>
        <row r="603">
          <cell r="B603" t="str">
            <v>TX180150102-M</v>
          </cell>
          <cell r="C603" t="str">
            <v>TEXTIL</v>
          </cell>
          <cell r="D603" t="str">
            <v>CAMPERA</v>
          </cell>
          <cell r="E603" t="str">
            <v>CAMPERA CRISTINA</v>
          </cell>
          <cell r="F603" t="str">
            <v>NAPADO</v>
          </cell>
          <cell r="G603">
            <v>0</v>
          </cell>
          <cell r="H603" t="str">
            <v>SUELA</v>
          </cell>
          <cell r="I603" t="str">
            <v>M</v>
          </cell>
          <cell r="J603" t="str">
            <v>M</v>
          </cell>
        </row>
        <row r="604">
          <cell r="B604" t="str">
            <v>TX180150102-S</v>
          </cell>
          <cell r="C604" t="str">
            <v>TEXTIL</v>
          </cell>
          <cell r="D604" t="str">
            <v>CAMPERA</v>
          </cell>
          <cell r="E604" t="str">
            <v>CAMPERA CRISTINA</v>
          </cell>
          <cell r="F604" t="str">
            <v>NAPADO</v>
          </cell>
          <cell r="G604">
            <v>0</v>
          </cell>
          <cell r="H604" t="str">
            <v>SUELA</v>
          </cell>
          <cell r="I604" t="str">
            <v>S</v>
          </cell>
          <cell r="J604" t="str">
            <v>M</v>
          </cell>
        </row>
        <row r="605">
          <cell r="B605" t="str">
            <v>TX180150102-XL</v>
          </cell>
          <cell r="C605" t="str">
            <v>TEXTIL</v>
          </cell>
          <cell r="D605" t="str">
            <v>CAMPERA</v>
          </cell>
          <cell r="E605" t="str">
            <v>CAMPERA CRISTINA</v>
          </cell>
          <cell r="F605" t="str">
            <v>NAPADO</v>
          </cell>
          <cell r="G605">
            <v>0</v>
          </cell>
          <cell r="H605" t="str">
            <v>SUELA</v>
          </cell>
          <cell r="I605" t="str">
            <v>XL</v>
          </cell>
          <cell r="J605" t="str">
            <v>M</v>
          </cell>
        </row>
        <row r="606">
          <cell r="B606" t="str">
            <v>TX180150102-XS</v>
          </cell>
          <cell r="C606" t="str">
            <v>TEXTIL</v>
          </cell>
          <cell r="D606" t="str">
            <v>CAMPERA</v>
          </cell>
          <cell r="E606" t="str">
            <v>CAMPERA CRISTINA</v>
          </cell>
          <cell r="F606" t="str">
            <v>NAPADO</v>
          </cell>
          <cell r="G606">
            <v>0</v>
          </cell>
          <cell r="H606" t="str">
            <v>SUELA</v>
          </cell>
          <cell r="I606" t="str">
            <v>XS</v>
          </cell>
          <cell r="J606" t="str">
            <v>M</v>
          </cell>
        </row>
        <row r="607">
          <cell r="B607" t="str">
            <v>TX180150102-XS-MC</v>
          </cell>
          <cell r="C607" t="str">
            <v>TEXTIL</v>
          </cell>
          <cell r="D607" t="str">
            <v>CAMPERA</v>
          </cell>
          <cell r="E607" t="str">
            <v>CAMPERA CRISTINA</v>
          </cell>
          <cell r="F607" t="str">
            <v>NAPADO</v>
          </cell>
          <cell r="G607">
            <v>0</v>
          </cell>
          <cell r="H607" t="str">
            <v>SUELA</v>
          </cell>
          <cell r="I607" t="str">
            <v>XS-MC</v>
          </cell>
          <cell r="J607" t="str">
            <v>M</v>
          </cell>
        </row>
        <row r="608">
          <cell r="B608" t="str">
            <v>TX180150103-L</v>
          </cell>
          <cell r="C608" t="str">
            <v>TEXTIL</v>
          </cell>
          <cell r="D608" t="str">
            <v>CAMPERA</v>
          </cell>
          <cell r="E608" t="str">
            <v>CAMPERA CRISTINA</v>
          </cell>
          <cell r="F608" t="str">
            <v>NAPADO</v>
          </cell>
          <cell r="G608">
            <v>0</v>
          </cell>
          <cell r="H608" t="str">
            <v xml:space="preserve">CARAMELO </v>
          </cell>
          <cell r="I608" t="str">
            <v>L</v>
          </cell>
          <cell r="J608" t="str">
            <v>M</v>
          </cell>
        </row>
        <row r="609">
          <cell r="B609" t="str">
            <v>TX180150103-M</v>
          </cell>
          <cell r="C609" t="str">
            <v>TEXTIL</v>
          </cell>
          <cell r="D609" t="str">
            <v>CAMPERA</v>
          </cell>
          <cell r="E609" t="str">
            <v>CAMPERA CRISTINA</v>
          </cell>
          <cell r="F609" t="str">
            <v>NAPADO</v>
          </cell>
          <cell r="G609">
            <v>0</v>
          </cell>
          <cell r="H609" t="str">
            <v xml:space="preserve">CARAMELO </v>
          </cell>
          <cell r="I609" t="str">
            <v>M</v>
          </cell>
          <cell r="J609" t="str">
            <v>M</v>
          </cell>
        </row>
        <row r="610">
          <cell r="B610" t="str">
            <v>TX180150103-S</v>
          </cell>
          <cell r="C610" t="str">
            <v>TEXTIL</v>
          </cell>
          <cell r="D610" t="str">
            <v>CAMPERA</v>
          </cell>
          <cell r="E610" t="str">
            <v>CAMPERA CRISTINA</v>
          </cell>
          <cell r="F610" t="str">
            <v>NAPADO</v>
          </cell>
          <cell r="G610">
            <v>0</v>
          </cell>
          <cell r="H610" t="str">
            <v xml:space="preserve">CARAMELO </v>
          </cell>
          <cell r="I610" t="str">
            <v>S</v>
          </cell>
          <cell r="J610" t="str">
            <v>M</v>
          </cell>
        </row>
        <row r="611">
          <cell r="B611" t="str">
            <v>TX180150103-XL</v>
          </cell>
          <cell r="C611" t="str">
            <v>TEXTIL</v>
          </cell>
          <cell r="D611" t="str">
            <v>CAMPERA</v>
          </cell>
          <cell r="E611" t="str">
            <v>CAMPERA CRISTINA</v>
          </cell>
          <cell r="F611" t="str">
            <v>NAPADO</v>
          </cell>
          <cell r="G611">
            <v>0</v>
          </cell>
          <cell r="H611" t="str">
            <v xml:space="preserve">CARAMELO </v>
          </cell>
          <cell r="I611" t="str">
            <v>XL</v>
          </cell>
          <cell r="J611" t="str">
            <v>M</v>
          </cell>
        </row>
        <row r="612">
          <cell r="B612" t="str">
            <v>TX180150103-XS</v>
          </cell>
          <cell r="C612" t="str">
            <v>TEXTIL</v>
          </cell>
          <cell r="D612" t="str">
            <v>CAMPERA</v>
          </cell>
          <cell r="E612" t="str">
            <v>CAMPERA CRISTINA</v>
          </cell>
          <cell r="F612" t="str">
            <v>NAPADO</v>
          </cell>
          <cell r="G612">
            <v>0</v>
          </cell>
          <cell r="H612" t="str">
            <v xml:space="preserve">CARAMELO </v>
          </cell>
          <cell r="I612" t="str">
            <v>XS</v>
          </cell>
          <cell r="J612" t="str">
            <v>M</v>
          </cell>
        </row>
        <row r="613">
          <cell r="B613" t="str">
            <v>TX180150103-XS-MC</v>
          </cell>
          <cell r="C613" t="str">
            <v>TEXTIL</v>
          </cell>
          <cell r="D613" t="str">
            <v>CAMPERA</v>
          </cell>
          <cell r="E613" t="str">
            <v>CAMPERA CRISTINA</v>
          </cell>
          <cell r="F613" t="str">
            <v>NAPADO</v>
          </cell>
          <cell r="G613">
            <v>0</v>
          </cell>
          <cell r="H613" t="str">
            <v xml:space="preserve">CARAMELO </v>
          </cell>
          <cell r="I613" t="str">
            <v>XS-MC</v>
          </cell>
          <cell r="J613" t="str">
            <v>M</v>
          </cell>
        </row>
        <row r="614">
          <cell r="B614" t="str">
            <v>TX180150134-L</v>
          </cell>
          <cell r="C614" t="str">
            <v>TEXTIL</v>
          </cell>
          <cell r="D614" t="str">
            <v>CAMPERA</v>
          </cell>
          <cell r="E614" t="str">
            <v>CAMPERA CRISTINA</v>
          </cell>
          <cell r="F614" t="str">
            <v>NAPADO</v>
          </cell>
          <cell r="G614">
            <v>0</v>
          </cell>
          <cell r="H614" t="str">
            <v>TIZA</v>
          </cell>
          <cell r="I614" t="str">
            <v>L</v>
          </cell>
          <cell r="J614" t="str">
            <v>M</v>
          </cell>
        </row>
        <row r="615">
          <cell r="B615" t="str">
            <v>TX180150134-M</v>
          </cell>
          <cell r="C615" t="str">
            <v>TEXTIL</v>
          </cell>
          <cell r="D615" t="str">
            <v>CAMPERA</v>
          </cell>
          <cell r="E615" t="str">
            <v>CAMPERA CRISTINA</v>
          </cell>
          <cell r="F615" t="str">
            <v>NAPADO</v>
          </cell>
          <cell r="G615">
            <v>0</v>
          </cell>
          <cell r="H615" t="str">
            <v>TIZA</v>
          </cell>
          <cell r="I615" t="str">
            <v>M</v>
          </cell>
          <cell r="J615" t="str">
            <v>M</v>
          </cell>
        </row>
        <row r="616">
          <cell r="B616" t="str">
            <v>TX180150134-S</v>
          </cell>
          <cell r="C616" t="str">
            <v>TEXTIL</v>
          </cell>
          <cell r="D616" t="str">
            <v>CAMPERA</v>
          </cell>
          <cell r="E616" t="str">
            <v>CAMPERA CRISTINA</v>
          </cell>
          <cell r="F616" t="str">
            <v>NAPADO</v>
          </cell>
          <cell r="G616">
            <v>0</v>
          </cell>
          <cell r="H616" t="str">
            <v>TIZA</v>
          </cell>
          <cell r="I616" t="str">
            <v>S</v>
          </cell>
          <cell r="J616" t="str">
            <v>M</v>
          </cell>
        </row>
        <row r="617">
          <cell r="B617" t="str">
            <v>TX180150134-XL</v>
          </cell>
          <cell r="C617" t="str">
            <v>TEXTIL</v>
          </cell>
          <cell r="D617" t="str">
            <v>CAMPERA</v>
          </cell>
          <cell r="E617" t="str">
            <v>CAMPERA CRISTINA</v>
          </cell>
          <cell r="F617" t="str">
            <v>NAPADO</v>
          </cell>
          <cell r="G617">
            <v>0</v>
          </cell>
          <cell r="H617" t="str">
            <v>TIZA</v>
          </cell>
          <cell r="I617" t="str">
            <v>XL</v>
          </cell>
          <cell r="J617" t="str">
            <v>M</v>
          </cell>
        </row>
        <row r="618">
          <cell r="B618" t="str">
            <v>TX180150134-XS</v>
          </cell>
          <cell r="C618" t="str">
            <v>TEXTIL</v>
          </cell>
          <cell r="D618" t="str">
            <v>CAMPERA</v>
          </cell>
          <cell r="E618" t="str">
            <v>CAMPERA CRISTINA</v>
          </cell>
          <cell r="F618" t="str">
            <v>NAPADO</v>
          </cell>
          <cell r="G618">
            <v>0</v>
          </cell>
          <cell r="H618" t="str">
            <v>TIZA</v>
          </cell>
          <cell r="I618" t="str">
            <v>XS</v>
          </cell>
          <cell r="J618" t="str">
            <v>M</v>
          </cell>
        </row>
        <row r="619">
          <cell r="B619" t="str">
            <v>TX180150134-XS-MC</v>
          </cell>
          <cell r="C619" t="str">
            <v>TEXTIL</v>
          </cell>
          <cell r="D619" t="str">
            <v>CAMPERA</v>
          </cell>
          <cell r="E619" t="str">
            <v>CAMPERA CRISTINA</v>
          </cell>
          <cell r="F619" t="str">
            <v>NAPADO</v>
          </cell>
          <cell r="G619">
            <v>0</v>
          </cell>
          <cell r="H619" t="str">
            <v>TIZA</v>
          </cell>
          <cell r="I619" t="str">
            <v>XS-MC</v>
          </cell>
          <cell r="J619" t="str">
            <v>M</v>
          </cell>
        </row>
        <row r="620">
          <cell r="B620" t="str">
            <v>TX130102701-L</v>
          </cell>
          <cell r="C620" t="str">
            <v>TEXTIL</v>
          </cell>
          <cell r="D620" t="str">
            <v>CAMPERA</v>
          </cell>
          <cell r="E620" t="str">
            <v>CAMPERA CRUX</v>
          </cell>
          <cell r="F620" t="str">
            <v>MICROFIBRA</v>
          </cell>
          <cell r="G620">
            <v>0</v>
          </cell>
          <cell r="H620" t="str">
            <v>NEGRO</v>
          </cell>
          <cell r="I620" t="str">
            <v>L</v>
          </cell>
          <cell r="J620" t="str">
            <v>H</v>
          </cell>
        </row>
        <row r="621">
          <cell r="B621" t="str">
            <v>TX130102701-M</v>
          </cell>
          <cell r="C621" t="str">
            <v>TEXTIL</v>
          </cell>
          <cell r="D621" t="str">
            <v>CAMPERA</v>
          </cell>
          <cell r="E621" t="str">
            <v>CAMPERA CRUX</v>
          </cell>
          <cell r="F621" t="str">
            <v>MICROFIBRA</v>
          </cell>
          <cell r="G621">
            <v>0</v>
          </cell>
          <cell r="H621" t="str">
            <v>NEGRO</v>
          </cell>
          <cell r="I621" t="str">
            <v>M</v>
          </cell>
          <cell r="J621" t="str">
            <v>H</v>
          </cell>
        </row>
        <row r="622">
          <cell r="B622" t="str">
            <v>TX130102701-S</v>
          </cell>
          <cell r="C622" t="str">
            <v>TEXTIL</v>
          </cell>
          <cell r="D622" t="str">
            <v>CAMPERA</v>
          </cell>
          <cell r="E622" t="str">
            <v>CAMPERA CRUX</v>
          </cell>
          <cell r="F622" t="str">
            <v>MICROFIBRA</v>
          </cell>
          <cell r="G622">
            <v>0</v>
          </cell>
          <cell r="H622" t="str">
            <v>NEGRO</v>
          </cell>
          <cell r="I622" t="str">
            <v>S</v>
          </cell>
          <cell r="J622" t="str">
            <v>H</v>
          </cell>
        </row>
        <row r="623">
          <cell r="B623" t="str">
            <v>TX130102701-XL</v>
          </cell>
          <cell r="C623" t="str">
            <v>TEXTIL</v>
          </cell>
          <cell r="D623" t="str">
            <v>CAMPERA</v>
          </cell>
          <cell r="E623" t="str">
            <v>CAMPERA CRUX</v>
          </cell>
          <cell r="F623" t="str">
            <v>MICROFIBRA</v>
          </cell>
          <cell r="G623">
            <v>0</v>
          </cell>
          <cell r="H623" t="str">
            <v>NEGRO</v>
          </cell>
          <cell r="I623" t="str">
            <v>XL</v>
          </cell>
          <cell r="J623" t="str">
            <v>H</v>
          </cell>
        </row>
        <row r="624">
          <cell r="B624" t="str">
            <v>TX130102701-XXL</v>
          </cell>
          <cell r="C624" t="str">
            <v>TEXTIL</v>
          </cell>
          <cell r="D624" t="str">
            <v>CAMPERA</v>
          </cell>
          <cell r="E624" t="str">
            <v>CAMPERA CRUX</v>
          </cell>
          <cell r="F624" t="str">
            <v>MICROFIBRA</v>
          </cell>
          <cell r="G624">
            <v>0</v>
          </cell>
          <cell r="H624" t="str">
            <v>NEGRO</v>
          </cell>
          <cell r="I624" t="str">
            <v>XXL</v>
          </cell>
          <cell r="J624" t="str">
            <v>H</v>
          </cell>
        </row>
        <row r="625">
          <cell r="B625" t="str">
            <v>TX130102709-L</v>
          </cell>
          <cell r="C625" t="str">
            <v>TEXTIL</v>
          </cell>
          <cell r="D625" t="str">
            <v>CAMPERA</v>
          </cell>
          <cell r="E625" t="str">
            <v>CAMPERA CRUX</v>
          </cell>
          <cell r="F625" t="str">
            <v>MICROFIBRA</v>
          </cell>
          <cell r="G625">
            <v>0</v>
          </cell>
          <cell r="H625" t="str">
            <v>AZUL</v>
          </cell>
          <cell r="I625" t="str">
            <v>L</v>
          </cell>
          <cell r="J625" t="str">
            <v>H</v>
          </cell>
        </row>
        <row r="626">
          <cell r="B626" t="str">
            <v>TX130102709-M</v>
          </cell>
          <cell r="C626" t="str">
            <v>TEXTIL</v>
          </cell>
          <cell r="D626" t="str">
            <v>CAMPERA</v>
          </cell>
          <cell r="E626" t="str">
            <v>CAMPERA CRUX</v>
          </cell>
          <cell r="F626" t="str">
            <v>MICROFIBRA</v>
          </cell>
          <cell r="G626">
            <v>0</v>
          </cell>
          <cell r="H626" t="str">
            <v>AZUL</v>
          </cell>
          <cell r="I626" t="str">
            <v>M</v>
          </cell>
          <cell r="J626" t="str">
            <v>H</v>
          </cell>
        </row>
        <row r="627">
          <cell r="B627" t="str">
            <v>TX130102709-S</v>
          </cell>
          <cell r="C627" t="str">
            <v>TEXTIL</v>
          </cell>
          <cell r="D627" t="str">
            <v>CAMPERA</v>
          </cell>
          <cell r="E627" t="str">
            <v>CAMPERA CRUX</v>
          </cell>
          <cell r="F627" t="str">
            <v>MICROFIBRA</v>
          </cell>
          <cell r="G627">
            <v>0</v>
          </cell>
          <cell r="H627" t="str">
            <v>AZUL</v>
          </cell>
          <cell r="I627" t="str">
            <v>S</v>
          </cell>
          <cell r="J627" t="str">
            <v>H</v>
          </cell>
        </row>
        <row r="628">
          <cell r="B628" t="str">
            <v>TX130102709-XL</v>
          </cell>
          <cell r="C628" t="str">
            <v>TEXTIL</v>
          </cell>
          <cell r="D628" t="str">
            <v>CAMPERA</v>
          </cell>
          <cell r="E628" t="str">
            <v>CAMPERA CRUX</v>
          </cell>
          <cell r="F628" t="str">
            <v>MICROFIBRA</v>
          </cell>
          <cell r="G628">
            <v>0</v>
          </cell>
          <cell r="H628" t="str">
            <v>AZUL</v>
          </cell>
          <cell r="I628" t="str">
            <v>XL</v>
          </cell>
          <cell r="J628" t="str">
            <v>H</v>
          </cell>
        </row>
        <row r="629">
          <cell r="B629" t="str">
            <v>TX130102709-XXL</v>
          </cell>
          <cell r="C629" t="str">
            <v>TEXTIL</v>
          </cell>
          <cell r="D629" t="str">
            <v>CAMPERA</v>
          </cell>
          <cell r="E629" t="str">
            <v>CAMPERA CRUX</v>
          </cell>
          <cell r="F629" t="str">
            <v>MICROFIBRA</v>
          </cell>
          <cell r="G629">
            <v>0</v>
          </cell>
          <cell r="H629" t="str">
            <v>AZUL</v>
          </cell>
          <cell r="I629" t="str">
            <v>XXL</v>
          </cell>
          <cell r="J629" t="str">
            <v>H</v>
          </cell>
        </row>
        <row r="630">
          <cell r="B630" t="str">
            <v>TX130102710-L</v>
          </cell>
          <cell r="C630" t="str">
            <v>TEXTIL</v>
          </cell>
          <cell r="D630" t="str">
            <v>CAMPERA</v>
          </cell>
          <cell r="E630" t="str">
            <v>CAMPERA CRUX</v>
          </cell>
          <cell r="F630" t="str">
            <v>MICROFIBRA</v>
          </cell>
          <cell r="G630">
            <v>0</v>
          </cell>
          <cell r="H630" t="str">
            <v>VERDE</v>
          </cell>
          <cell r="I630" t="str">
            <v>L</v>
          </cell>
          <cell r="J630" t="str">
            <v>H</v>
          </cell>
        </row>
        <row r="631">
          <cell r="B631" t="str">
            <v>TX130102710-M</v>
          </cell>
          <cell r="C631" t="str">
            <v>TEXTIL</v>
          </cell>
          <cell r="D631" t="str">
            <v>CAMPERA</v>
          </cell>
          <cell r="E631" t="str">
            <v>CAMPERA CRUX</v>
          </cell>
          <cell r="F631" t="str">
            <v>MICROFIBRA</v>
          </cell>
          <cell r="G631">
            <v>0</v>
          </cell>
          <cell r="H631" t="str">
            <v>VERDE</v>
          </cell>
          <cell r="I631" t="str">
            <v>M</v>
          </cell>
          <cell r="J631" t="str">
            <v>H</v>
          </cell>
        </row>
        <row r="632">
          <cell r="B632" t="str">
            <v>TX130102710-S</v>
          </cell>
          <cell r="C632" t="str">
            <v>TEXTIL</v>
          </cell>
          <cell r="D632" t="str">
            <v>CAMPERA</v>
          </cell>
          <cell r="E632" t="str">
            <v>CAMPERA CRUX</v>
          </cell>
          <cell r="F632" t="str">
            <v>MICROFIBRA</v>
          </cell>
          <cell r="G632">
            <v>0</v>
          </cell>
          <cell r="H632" t="str">
            <v>VERDE</v>
          </cell>
          <cell r="I632" t="str">
            <v>S</v>
          </cell>
          <cell r="J632" t="str">
            <v>H</v>
          </cell>
        </row>
        <row r="633">
          <cell r="B633" t="str">
            <v>TX130102710-XL</v>
          </cell>
          <cell r="C633" t="str">
            <v>TEXTIL</v>
          </cell>
          <cell r="D633" t="str">
            <v>CAMPERA</v>
          </cell>
          <cell r="E633" t="str">
            <v>CAMPERA CRUX</v>
          </cell>
          <cell r="F633" t="str">
            <v>MICROFIBRA</v>
          </cell>
          <cell r="G633">
            <v>0</v>
          </cell>
          <cell r="H633" t="str">
            <v>VERDE</v>
          </cell>
          <cell r="I633" t="str">
            <v>XL</v>
          </cell>
          <cell r="J633" t="str">
            <v>H</v>
          </cell>
        </row>
        <row r="634">
          <cell r="B634" t="str">
            <v>TX130102710-XXL</v>
          </cell>
          <cell r="C634" t="str">
            <v>TEXTIL</v>
          </cell>
          <cell r="D634" t="str">
            <v>CAMPERA</v>
          </cell>
          <cell r="E634" t="str">
            <v>CAMPERA CRUX</v>
          </cell>
          <cell r="F634" t="str">
            <v>MICROFIBRA</v>
          </cell>
          <cell r="G634">
            <v>0</v>
          </cell>
          <cell r="H634" t="str">
            <v>VERDE</v>
          </cell>
          <cell r="I634" t="str">
            <v>XXL</v>
          </cell>
          <cell r="J634" t="str">
            <v>H</v>
          </cell>
        </row>
        <row r="635">
          <cell r="B635" t="str">
            <v>TX180140101-L</v>
          </cell>
          <cell r="C635" t="str">
            <v>TEXTIL</v>
          </cell>
          <cell r="D635" t="str">
            <v>CAMPERA</v>
          </cell>
          <cell r="E635" t="str">
            <v>CAMPERA JAVIER</v>
          </cell>
          <cell r="F635" t="str">
            <v>NAPADO</v>
          </cell>
          <cell r="G635">
            <v>0</v>
          </cell>
          <cell r="H635" t="str">
            <v>NEGRO</v>
          </cell>
          <cell r="I635" t="str">
            <v>L</v>
          </cell>
          <cell r="J635" t="str">
            <v>H</v>
          </cell>
        </row>
        <row r="636">
          <cell r="B636" t="str">
            <v>TX180140101-M</v>
          </cell>
          <cell r="C636" t="str">
            <v>TEXTIL</v>
          </cell>
          <cell r="D636" t="str">
            <v>CAMPERA</v>
          </cell>
          <cell r="E636" t="str">
            <v>CAMPERA JAVIER</v>
          </cell>
          <cell r="F636" t="str">
            <v>NAPADO</v>
          </cell>
          <cell r="G636">
            <v>0</v>
          </cell>
          <cell r="H636" t="str">
            <v>NEGRO</v>
          </cell>
          <cell r="I636" t="str">
            <v>M</v>
          </cell>
          <cell r="J636" t="str">
            <v>H</v>
          </cell>
        </row>
        <row r="637">
          <cell r="B637" t="str">
            <v>TX180140101-S</v>
          </cell>
          <cell r="C637" t="str">
            <v>TEXTIL</v>
          </cell>
          <cell r="D637" t="str">
            <v>CAMPERA</v>
          </cell>
          <cell r="E637" t="str">
            <v>CAMPERA JAVIER</v>
          </cell>
          <cell r="F637" t="str">
            <v>NAPADO</v>
          </cell>
          <cell r="G637">
            <v>0</v>
          </cell>
          <cell r="H637" t="str">
            <v>NEGRO</v>
          </cell>
          <cell r="I637" t="str">
            <v>S</v>
          </cell>
          <cell r="J637" t="str">
            <v>H</v>
          </cell>
        </row>
        <row r="638">
          <cell r="B638" t="str">
            <v>TX180140101-XL</v>
          </cell>
          <cell r="C638" t="str">
            <v>TEXTIL</v>
          </cell>
          <cell r="D638" t="str">
            <v>CAMPERA</v>
          </cell>
          <cell r="E638" t="str">
            <v>CAMPERA JAVIER</v>
          </cell>
          <cell r="F638" t="str">
            <v>NAPADO</v>
          </cell>
          <cell r="G638">
            <v>0</v>
          </cell>
          <cell r="H638" t="str">
            <v>NEGRO</v>
          </cell>
          <cell r="I638" t="str">
            <v>XL</v>
          </cell>
          <cell r="J638" t="str">
            <v>H</v>
          </cell>
        </row>
        <row r="639">
          <cell r="B639" t="str">
            <v>TX220233501-L</v>
          </cell>
          <cell r="C639" t="str">
            <v>TEXTIL</v>
          </cell>
          <cell r="D639" t="str">
            <v>CAMPERA</v>
          </cell>
          <cell r="E639" t="str">
            <v>CAMPERA SKI C/CIERRE</v>
          </cell>
          <cell r="F639" t="str">
            <v>PURA LANA</v>
          </cell>
          <cell r="G639">
            <v>0</v>
          </cell>
          <cell r="H639" t="str">
            <v>NEGRO</v>
          </cell>
          <cell r="I639" t="str">
            <v>U</v>
          </cell>
          <cell r="J639" t="str">
            <v>U</v>
          </cell>
        </row>
        <row r="640">
          <cell r="B640" t="str">
            <v>TX220233501-M</v>
          </cell>
          <cell r="C640" t="str">
            <v>TEXTIL</v>
          </cell>
          <cell r="D640" t="str">
            <v>CAMPERA</v>
          </cell>
          <cell r="E640" t="str">
            <v>CAMPERA SKI C/CIERRE</v>
          </cell>
          <cell r="F640" t="str">
            <v>PURA LANA</v>
          </cell>
          <cell r="G640">
            <v>0</v>
          </cell>
          <cell r="H640" t="str">
            <v>NEGRO</v>
          </cell>
          <cell r="I640" t="str">
            <v>U</v>
          </cell>
          <cell r="J640" t="str">
            <v>U</v>
          </cell>
        </row>
        <row r="641">
          <cell r="B641" t="str">
            <v>TX220233501-XL</v>
          </cell>
          <cell r="C641" t="str">
            <v>TEXTIL</v>
          </cell>
          <cell r="D641" t="str">
            <v>CAMPERA</v>
          </cell>
          <cell r="E641" t="str">
            <v>CAMPERA SKI C/CIERRE</v>
          </cell>
          <cell r="F641" t="str">
            <v>PURA LANA</v>
          </cell>
          <cell r="G641">
            <v>0</v>
          </cell>
          <cell r="H641" t="str">
            <v>NEGRO</v>
          </cell>
          <cell r="I641" t="str">
            <v>U</v>
          </cell>
          <cell r="J641" t="str">
            <v>U</v>
          </cell>
        </row>
        <row r="642">
          <cell r="B642" t="str">
            <v>TX220233501-XXL</v>
          </cell>
          <cell r="C642" t="str">
            <v>TEXTIL</v>
          </cell>
          <cell r="D642" t="str">
            <v>CAMPERA</v>
          </cell>
          <cell r="E642" t="str">
            <v>CAMPERA SKI C/CIERRE</v>
          </cell>
          <cell r="F642" t="str">
            <v>PURA LANA</v>
          </cell>
          <cell r="G642">
            <v>0</v>
          </cell>
          <cell r="H642" t="str">
            <v>NEGRO</v>
          </cell>
          <cell r="I642" t="str">
            <v>U</v>
          </cell>
          <cell r="J642" t="str">
            <v>U</v>
          </cell>
        </row>
        <row r="643">
          <cell r="B643" t="str">
            <v>TX220233509-L</v>
          </cell>
          <cell r="C643" t="str">
            <v>TEXTIL</v>
          </cell>
          <cell r="D643" t="str">
            <v>CAMPERA</v>
          </cell>
          <cell r="E643" t="str">
            <v>CAMPERA SKI C/CIERRE</v>
          </cell>
          <cell r="F643" t="str">
            <v>PURA LANA</v>
          </cell>
          <cell r="G643">
            <v>0</v>
          </cell>
          <cell r="H643" t="str">
            <v>AZUL</v>
          </cell>
          <cell r="I643" t="str">
            <v>U</v>
          </cell>
          <cell r="J643" t="str">
            <v>U</v>
          </cell>
        </row>
        <row r="644">
          <cell r="B644" t="str">
            <v>TX220233509-M</v>
          </cell>
          <cell r="C644" t="str">
            <v>TEXTIL</v>
          </cell>
          <cell r="D644" t="str">
            <v>CAMPERA</v>
          </cell>
          <cell r="E644" t="str">
            <v>CAMPERA SKI C/CIERRE</v>
          </cell>
          <cell r="F644" t="str">
            <v>PURA LANA</v>
          </cell>
          <cell r="G644">
            <v>0</v>
          </cell>
          <cell r="H644" t="str">
            <v>AZUL</v>
          </cell>
          <cell r="I644" t="str">
            <v>U</v>
          </cell>
          <cell r="J644" t="str">
            <v>U</v>
          </cell>
        </row>
        <row r="645">
          <cell r="B645" t="str">
            <v>TX220233509-XL</v>
          </cell>
          <cell r="C645" t="str">
            <v>TEXTIL</v>
          </cell>
          <cell r="D645" t="str">
            <v>CAMPERA</v>
          </cell>
          <cell r="E645" t="str">
            <v>CAMPERA SKI C/CIERRE</v>
          </cell>
          <cell r="F645" t="str">
            <v>PURA LANA</v>
          </cell>
          <cell r="G645">
            <v>0</v>
          </cell>
          <cell r="H645" t="str">
            <v>AZUL</v>
          </cell>
          <cell r="I645" t="str">
            <v>U</v>
          </cell>
          <cell r="J645" t="str">
            <v>U</v>
          </cell>
        </row>
        <row r="646">
          <cell r="B646" t="str">
            <v>TX220233509-XXL</v>
          </cell>
          <cell r="C646" t="str">
            <v>TEXTIL</v>
          </cell>
          <cell r="D646" t="str">
            <v>CAMPERA</v>
          </cell>
          <cell r="E646" t="str">
            <v>CAMPERA SKI C/CIERRE</v>
          </cell>
          <cell r="F646" t="str">
            <v>PURA LANA</v>
          </cell>
          <cell r="G646">
            <v>0</v>
          </cell>
          <cell r="H646" t="str">
            <v>AZUL</v>
          </cell>
          <cell r="I646" t="str">
            <v>U</v>
          </cell>
          <cell r="J646" t="str">
            <v>U</v>
          </cell>
        </row>
        <row r="647">
          <cell r="B647" t="str">
            <v>TX220233512-L</v>
          </cell>
          <cell r="C647" t="str">
            <v>TEXTIL</v>
          </cell>
          <cell r="D647" t="str">
            <v>CAMPERA</v>
          </cell>
          <cell r="E647" t="str">
            <v>CAMPERA SKI C/CIERRE</v>
          </cell>
          <cell r="F647" t="str">
            <v>PURA LANA</v>
          </cell>
          <cell r="G647">
            <v>0</v>
          </cell>
          <cell r="H647" t="str">
            <v>GRIS TOPO</v>
          </cell>
          <cell r="I647" t="str">
            <v>U</v>
          </cell>
          <cell r="J647" t="str">
            <v>U</v>
          </cell>
        </row>
        <row r="648">
          <cell r="B648" t="str">
            <v>TX220233512-M</v>
          </cell>
          <cell r="C648" t="str">
            <v>TEXTIL</v>
          </cell>
          <cell r="D648" t="str">
            <v>CAMPERA</v>
          </cell>
          <cell r="E648" t="str">
            <v>CAMPERA SKI C/CIERRE</v>
          </cell>
          <cell r="F648" t="str">
            <v>PURA LANA</v>
          </cell>
          <cell r="G648">
            <v>0</v>
          </cell>
          <cell r="H648" t="str">
            <v>GRIS TOPO</v>
          </cell>
          <cell r="I648" t="str">
            <v>U</v>
          </cell>
          <cell r="J648" t="str">
            <v>U</v>
          </cell>
        </row>
        <row r="649">
          <cell r="B649" t="str">
            <v>TX220233512-XL</v>
          </cell>
          <cell r="C649" t="str">
            <v>TEXTIL</v>
          </cell>
          <cell r="D649" t="str">
            <v>CAMPERA</v>
          </cell>
          <cell r="E649" t="str">
            <v>CAMPERA SKI C/CIERRE</v>
          </cell>
          <cell r="F649" t="str">
            <v>PURA LANA</v>
          </cell>
          <cell r="G649">
            <v>0</v>
          </cell>
          <cell r="H649" t="str">
            <v>GRIS TOPO</v>
          </cell>
          <cell r="I649" t="str">
            <v>U</v>
          </cell>
          <cell r="J649" t="str">
            <v>U</v>
          </cell>
        </row>
        <row r="650">
          <cell r="B650" t="str">
            <v>TX220233512-XXL</v>
          </cell>
          <cell r="C650" t="str">
            <v>TEXTIL</v>
          </cell>
          <cell r="D650" t="str">
            <v>CAMPERA</v>
          </cell>
          <cell r="E650" t="str">
            <v>CAMPERA SKI C/CIERRE</v>
          </cell>
          <cell r="F650" t="str">
            <v>PURA LANA</v>
          </cell>
          <cell r="G650">
            <v>0</v>
          </cell>
          <cell r="H650" t="str">
            <v>GRIS TOPO</v>
          </cell>
          <cell r="I650" t="str">
            <v>U</v>
          </cell>
          <cell r="J650" t="str">
            <v>U</v>
          </cell>
        </row>
        <row r="651">
          <cell r="B651" t="str">
            <v>TX220263552-L</v>
          </cell>
          <cell r="C651" t="str">
            <v>TEXTIL</v>
          </cell>
          <cell r="D651" t="str">
            <v>CAMPERA</v>
          </cell>
          <cell r="E651" t="str">
            <v>CAMPERA VIR</v>
          </cell>
          <cell r="F651" t="str">
            <v>PURA LANA</v>
          </cell>
          <cell r="G651">
            <v>0</v>
          </cell>
          <cell r="H651" t="str">
            <v>CHOCOLATE</v>
          </cell>
          <cell r="I651" t="str">
            <v>U</v>
          </cell>
          <cell r="J651" t="str">
            <v>U</v>
          </cell>
        </row>
        <row r="652">
          <cell r="B652" t="str">
            <v>TX220263552-M</v>
          </cell>
          <cell r="C652" t="str">
            <v>TEXTIL</v>
          </cell>
          <cell r="D652" t="str">
            <v>CAMPERA</v>
          </cell>
          <cell r="E652" t="str">
            <v>CAMPERA VIR</v>
          </cell>
          <cell r="F652" t="str">
            <v>PURA LANA</v>
          </cell>
          <cell r="G652">
            <v>0</v>
          </cell>
          <cell r="H652" t="str">
            <v>CHOCOLATE</v>
          </cell>
          <cell r="I652" t="str">
            <v>U</v>
          </cell>
          <cell r="J652" t="str">
            <v>U</v>
          </cell>
        </row>
        <row r="653">
          <cell r="B653" t="str">
            <v>TX220263552-XL</v>
          </cell>
          <cell r="C653" t="str">
            <v>TEXTIL</v>
          </cell>
          <cell r="D653" t="str">
            <v>CAMPERA</v>
          </cell>
          <cell r="E653" t="str">
            <v>CAMPERA VIR</v>
          </cell>
          <cell r="F653" t="str">
            <v>PURA LANA</v>
          </cell>
          <cell r="G653">
            <v>0</v>
          </cell>
          <cell r="H653" t="str">
            <v>CHOCOLATE</v>
          </cell>
          <cell r="I653" t="str">
            <v>U</v>
          </cell>
          <cell r="J653" t="str">
            <v>U</v>
          </cell>
        </row>
        <row r="654">
          <cell r="B654" t="str">
            <v>TX220263552-XXL</v>
          </cell>
          <cell r="C654" t="str">
            <v>TEXTIL</v>
          </cell>
          <cell r="D654" t="str">
            <v>CAMPERA</v>
          </cell>
          <cell r="E654" t="str">
            <v>CAMPERA VIR</v>
          </cell>
          <cell r="F654" t="str">
            <v>PURA LANA</v>
          </cell>
          <cell r="G654">
            <v>0</v>
          </cell>
          <cell r="H654" t="str">
            <v>CHOCOLATE</v>
          </cell>
          <cell r="I654" t="str">
            <v>U</v>
          </cell>
          <cell r="J654" t="str">
            <v>U</v>
          </cell>
        </row>
        <row r="655">
          <cell r="B655" t="str">
            <v>TX220263565-L</v>
          </cell>
          <cell r="C655" t="str">
            <v>TEXTIL</v>
          </cell>
          <cell r="D655" t="str">
            <v>CAMPERA</v>
          </cell>
          <cell r="E655" t="str">
            <v>CAMPERA VIR</v>
          </cell>
          <cell r="F655" t="str">
            <v>PURA LANA</v>
          </cell>
          <cell r="G655">
            <v>0</v>
          </cell>
          <cell r="H655" t="str">
            <v>CHOCOLINO</v>
          </cell>
          <cell r="I655" t="str">
            <v>U</v>
          </cell>
          <cell r="J655" t="str">
            <v>U</v>
          </cell>
        </row>
        <row r="656">
          <cell r="B656" t="str">
            <v>TX220263565-M</v>
          </cell>
          <cell r="C656" t="str">
            <v>TEXTIL</v>
          </cell>
          <cell r="D656" t="str">
            <v>CAMPERA</v>
          </cell>
          <cell r="E656" t="str">
            <v>CAMPERA VIR</v>
          </cell>
          <cell r="F656" t="str">
            <v>PURA LANA</v>
          </cell>
          <cell r="G656">
            <v>0</v>
          </cell>
          <cell r="H656" t="str">
            <v>CHOCOLINO</v>
          </cell>
          <cell r="I656" t="str">
            <v>U</v>
          </cell>
          <cell r="J656" t="str">
            <v>U</v>
          </cell>
        </row>
        <row r="657">
          <cell r="B657" t="str">
            <v>TX220263565-XL</v>
          </cell>
          <cell r="C657" t="str">
            <v>TEXTIL</v>
          </cell>
          <cell r="D657" t="str">
            <v>CAMPERA</v>
          </cell>
          <cell r="E657" t="str">
            <v>CAMPERA VIR</v>
          </cell>
          <cell r="F657" t="str">
            <v>PURA LANA</v>
          </cell>
          <cell r="G657">
            <v>0</v>
          </cell>
          <cell r="H657" t="str">
            <v>CHOCOLINO</v>
          </cell>
          <cell r="I657" t="str">
            <v>U</v>
          </cell>
          <cell r="J657" t="str">
            <v>U</v>
          </cell>
        </row>
        <row r="658">
          <cell r="B658" t="str">
            <v>TX220263565-XXL</v>
          </cell>
          <cell r="C658" t="str">
            <v>TEXTIL</v>
          </cell>
          <cell r="D658" t="str">
            <v>CAMPERA</v>
          </cell>
          <cell r="E658" t="str">
            <v>CAMPERA VIR</v>
          </cell>
          <cell r="F658" t="str">
            <v>PURA LANA</v>
          </cell>
          <cell r="G658">
            <v>0</v>
          </cell>
          <cell r="H658" t="str">
            <v>CHOCOLINO</v>
          </cell>
          <cell r="I658" t="str">
            <v>U</v>
          </cell>
          <cell r="J658" t="str">
            <v>U</v>
          </cell>
        </row>
        <row r="659">
          <cell r="B659" t="str">
            <v>OT090440101</v>
          </cell>
          <cell r="C659" t="str">
            <v>ACCESORIOS</v>
          </cell>
          <cell r="D659" t="str">
            <v>GORRA</v>
          </cell>
          <cell r="E659" t="str">
            <v>CAP JOCKEY</v>
          </cell>
          <cell r="F659" t="str">
            <v>NAPADO</v>
          </cell>
          <cell r="G659">
            <v>0</v>
          </cell>
          <cell r="H659" t="str">
            <v>NEGRO</v>
          </cell>
          <cell r="I659" t="str">
            <v>U</v>
          </cell>
          <cell r="J659" t="str">
            <v>U</v>
          </cell>
        </row>
        <row r="660">
          <cell r="B660" t="str">
            <v>OT090442456</v>
          </cell>
          <cell r="C660" t="str">
            <v>ACCESORIOS</v>
          </cell>
          <cell r="D660" t="str">
            <v>GORRA</v>
          </cell>
          <cell r="E660" t="str">
            <v>CAP JOCKEY</v>
          </cell>
          <cell r="F660" t="str">
            <v>CARPINCHO</v>
          </cell>
          <cell r="G660">
            <v>0</v>
          </cell>
          <cell r="H660" t="str">
            <v>OXIDO</v>
          </cell>
          <cell r="I660" t="str">
            <v>U</v>
          </cell>
          <cell r="J660" t="str">
            <v>U</v>
          </cell>
        </row>
        <row r="661">
          <cell r="B661" t="str">
            <v>MG010840301</v>
          </cell>
          <cell r="C661" t="str">
            <v>MARRO GRANDE</v>
          </cell>
          <cell r="D661" t="str">
            <v>CARTERA</v>
          </cell>
          <cell r="E661" t="str">
            <v>CARTERA ACONCAGUA</v>
          </cell>
          <cell r="F661" t="str">
            <v>BRIDGE</v>
          </cell>
          <cell r="G661">
            <v>0</v>
          </cell>
          <cell r="H661" t="str">
            <v>NEGRO</v>
          </cell>
          <cell r="I661" t="str">
            <v>U</v>
          </cell>
          <cell r="J661" t="str">
            <v>U</v>
          </cell>
        </row>
        <row r="662">
          <cell r="B662" t="str">
            <v>MG010840303</v>
          </cell>
          <cell r="C662" t="str">
            <v>MARRO GRANDE</v>
          </cell>
          <cell r="D662" t="str">
            <v>CARTERA</v>
          </cell>
          <cell r="E662" t="str">
            <v>CARTERA ACONCAGUA</v>
          </cell>
          <cell r="F662" t="str">
            <v>BRIDGE</v>
          </cell>
          <cell r="G662">
            <v>0</v>
          </cell>
          <cell r="H662" t="str">
            <v>CARAMELO</v>
          </cell>
          <cell r="I662" t="str">
            <v>U</v>
          </cell>
          <cell r="J662" t="str">
            <v>M</v>
          </cell>
        </row>
        <row r="663">
          <cell r="B663" t="str">
            <v>MG010840304</v>
          </cell>
          <cell r="C663" t="str">
            <v>MARRO GRANDE</v>
          </cell>
          <cell r="D663" t="str">
            <v>CARTERA</v>
          </cell>
          <cell r="E663" t="str">
            <v>CARTERA ACONCAGUA</v>
          </cell>
          <cell r="F663" t="str">
            <v>BRIDGE</v>
          </cell>
          <cell r="G663">
            <v>0</v>
          </cell>
          <cell r="H663" t="str">
            <v>TABACO</v>
          </cell>
          <cell r="I663" t="str">
            <v>U</v>
          </cell>
          <cell r="J663" t="str">
            <v>M</v>
          </cell>
        </row>
        <row r="664">
          <cell r="B664" t="str">
            <v>MG010840307</v>
          </cell>
          <cell r="C664" t="str">
            <v>MARRO GRANDE</v>
          </cell>
          <cell r="D664" t="str">
            <v>CARTERA</v>
          </cell>
          <cell r="E664" t="str">
            <v>CARTERA ACONCAGUA</v>
          </cell>
          <cell r="F664" t="str">
            <v>BRIDGE</v>
          </cell>
          <cell r="G664">
            <v>0</v>
          </cell>
          <cell r="H664" t="str">
            <v>ROJO</v>
          </cell>
          <cell r="I664" t="str">
            <v>U</v>
          </cell>
          <cell r="J664" t="str">
            <v>M</v>
          </cell>
        </row>
        <row r="665">
          <cell r="B665" t="str">
            <v>MG010840309</v>
          </cell>
          <cell r="C665" t="str">
            <v>MARRO GRANDE</v>
          </cell>
          <cell r="D665" t="str">
            <v>CARTERA</v>
          </cell>
          <cell r="E665" t="str">
            <v>CARTERA ACONCAGUA</v>
          </cell>
          <cell r="F665" t="str">
            <v>BRIDGE</v>
          </cell>
          <cell r="G665">
            <v>0</v>
          </cell>
          <cell r="H665" t="str">
            <v>AZUL</v>
          </cell>
          <cell r="I665" t="str">
            <v>U</v>
          </cell>
          <cell r="J665" t="str">
            <v>M</v>
          </cell>
        </row>
        <row r="666">
          <cell r="B666" t="str">
            <v>MG010840310</v>
          </cell>
          <cell r="C666" t="str">
            <v>MARRO GRANDE</v>
          </cell>
          <cell r="D666" t="str">
            <v>CARTERA</v>
          </cell>
          <cell r="E666" t="str">
            <v>CARTERA ACONCAGUA</v>
          </cell>
          <cell r="F666" t="str">
            <v>BRIDGE</v>
          </cell>
          <cell r="G666">
            <v>0</v>
          </cell>
          <cell r="H666" t="str">
            <v>VERDE</v>
          </cell>
          <cell r="I666" t="str">
            <v>U</v>
          </cell>
          <cell r="J666" t="str">
            <v>M</v>
          </cell>
        </row>
        <row r="667">
          <cell r="B667" t="str">
            <v>MG010840311</v>
          </cell>
          <cell r="C667" t="str">
            <v>MARRO GRANDE</v>
          </cell>
          <cell r="D667" t="str">
            <v>CARTERA</v>
          </cell>
          <cell r="E667" t="str">
            <v>CARTERA ACONCAGUA</v>
          </cell>
          <cell r="F667" t="str">
            <v>BRIDGE</v>
          </cell>
          <cell r="G667">
            <v>0</v>
          </cell>
          <cell r="H667" t="str">
            <v>CAMEL</v>
          </cell>
          <cell r="I667" t="str">
            <v>U</v>
          </cell>
          <cell r="J667" t="str">
            <v>M</v>
          </cell>
        </row>
        <row r="668">
          <cell r="B668" t="str">
            <v>MG010840315</v>
          </cell>
          <cell r="C668" t="str">
            <v>MARRO GRANDE</v>
          </cell>
          <cell r="D668" t="str">
            <v>CARTERA</v>
          </cell>
          <cell r="E668" t="str">
            <v>CARTERA ACONCAGUA</v>
          </cell>
          <cell r="F668" t="str">
            <v>BRIDGE</v>
          </cell>
          <cell r="G668">
            <v>0</v>
          </cell>
          <cell r="H668" t="str">
            <v>MALBEC</v>
          </cell>
          <cell r="I668" t="str">
            <v>U</v>
          </cell>
          <cell r="J668" t="str">
            <v>M</v>
          </cell>
        </row>
        <row r="669">
          <cell r="B669" t="str">
            <v>MG010841201</v>
          </cell>
          <cell r="C669" t="str">
            <v>MARRO GRANDE</v>
          </cell>
          <cell r="D669" t="str">
            <v>CARTERA</v>
          </cell>
          <cell r="E669" t="str">
            <v>CARTERA ACONCAGUA</v>
          </cell>
          <cell r="F669" t="str">
            <v>DUNA</v>
          </cell>
          <cell r="G669">
            <v>0</v>
          </cell>
          <cell r="H669" t="str">
            <v>NEGRO</v>
          </cell>
          <cell r="I669" t="str">
            <v>U</v>
          </cell>
          <cell r="J669" t="str">
            <v>M</v>
          </cell>
        </row>
        <row r="670">
          <cell r="B670" t="str">
            <v>MG010050301</v>
          </cell>
          <cell r="C670" t="str">
            <v>MARRO GRANDE</v>
          </cell>
          <cell r="D670" t="str">
            <v>CARTERA</v>
          </cell>
          <cell r="E670" t="str">
            <v>CARTERA ADRIANA</v>
          </cell>
          <cell r="F670" t="str">
            <v>BRIDGE</v>
          </cell>
          <cell r="G670">
            <v>0</v>
          </cell>
          <cell r="H670" t="str">
            <v>NEGRO</v>
          </cell>
          <cell r="I670" t="str">
            <v>U</v>
          </cell>
          <cell r="J670" t="str">
            <v>M</v>
          </cell>
        </row>
        <row r="671">
          <cell r="B671" t="str">
            <v>MG010050303</v>
          </cell>
          <cell r="C671" t="str">
            <v>MARRO GRANDE</v>
          </cell>
          <cell r="D671" t="str">
            <v>CARTERA</v>
          </cell>
          <cell r="E671" t="str">
            <v>CARTERA ADRIANA</v>
          </cell>
          <cell r="F671" t="str">
            <v>BRIDGE</v>
          </cell>
          <cell r="G671">
            <v>0</v>
          </cell>
          <cell r="H671" t="str">
            <v>CARAMELO</v>
          </cell>
          <cell r="I671" t="str">
            <v>U</v>
          </cell>
          <cell r="J671" t="str">
            <v>M</v>
          </cell>
        </row>
        <row r="672">
          <cell r="B672" t="str">
            <v>MG010050304</v>
          </cell>
          <cell r="C672" t="str">
            <v>MARRO GRANDE</v>
          </cell>
          <cell r="D672" t="str">
            <v>CARTERA</v>
          </cell>
          <cell r="E672" t="str">
            <v>CARTERA ADRIANA</v>
          </cell>
          <cell r="F672" t="str">
            <v>BRIDGE</v>
          </cell>
          <cell r="G672">
            <v>0</v>
          </cell>
          <cell r="H672" t="str">
            <v>TABACO</v>
          </cell>
          <cell r="I672" t="str">
            <v>U</v>
          </cell>
          <cell r="J672" t="str">
            <v>M</v>
          </cell>
        </row>
        <row r="673">
          <cell r="B673" t="str">
            <v>MG151021623</v>
          </cell>
          <cell r="C673" t="str">
            <v>MARRO GRANDE</v>
          </cell>
          <cell r="D673" t="str">
            <v>CARTERA</v>
          </cell>
          <cell r="E673" t="str">
            <v>CARTERA AMANDA</v>
          </cell>
          <cell r="F673" t="str">
            <v>FIORENTINO</v>
          </cell>
          <cell r="G673">
            <v>0</v>
          </cell>
          <cell r="H673" t="str">
            <v>CEDRO</v>
          </cell>
          <cell r="I673" t="str">
            <v>U</v>
          </cell>
          <cell r="J673" t="str">
            <v>M</v>
          </cell>
        </row>
        <row r="674">
          <cell r="B674" t="str">
            <v>MG010060201</v>
          </cell>
          <cell r="C674" t="str">
            <v>MARRO GRANDE</v>
          </cell>
          <cell r="D674" t="str">
            <v>CARTERA</v>
          </cell>
          <cell r="E674" t="str">
            <v>CARTERA AMARILLA</v>
          </cell>
          <cell r="F674" t="str">
            <v>TAMPONATO</v>
          </cell>
          <cell r="G674">
            <v>0</v>
          </cell>
          <cell r="H674" t="str">
            <v>NEGRO</v>
          </cell>
          <cell r="I674" t="str">
            <v>U</v>
          </cell>
          <cell r="J674" t="str">
            <v>M</v>
          </cell>
        </row>
        <row r="675">
          <cell r="B675" t="str">
            <v>MG010060202</v>
          </cell>
          <cell r="C675" t="str">
            <v>MARRO GRANDE</v>
          </cell>
          <cell r="D675" t="str">
            <v>CARTERA</v>
          </cell>
          <cell r="E675" t="str">
            <v>CARTERA AMARILLA</v>
          </cell>
          <cell r="F675" t="str">
            <v>TAMPONATO</v>
          </cell>
          <cell r="G675">
            <v>0</v>
          </cell>
          <cell r="H675" t="str">
            <v>SUELA</v>
          </cell>
          <cell r="I675" t="str">
            <v>U</v>
          </cell>
          <cell r="J675" t="str">
            <v>M</v>
          </cell>
        </row>
        <row r="676">
          <cell r="B676" t="str">
            <v>MG010060301</v>
          </cell>
          <cell r="C676" t="str">
            <v>MARRO GRANDE</v>
          </cell>
          <cell r="D676" t="str">
            <v>CARTERA</v>
          </cell>
          <cell r="E676" t="str">
            <v>CARTERA AMARILLA</v>
          </cell>
          <cell r="F676" t="str">
            <v>BRIDGE</v>
          </cell>
          <cell r="G676">
            <v>0</v>
          </cell>
          <cell r="H676" t="str">
            <v>NEGRO</v>
          </cell>
          <cell r="I676" t="str">
            <v>U</v>
          </cell>
          <cell r="J676" t="str">
            <v>M</v>
          </cell>
        </row>
        <row r="677">
          <cell r="B677" t="str">
            <v>MG010060303</v>
          </cell>
          <cell r="C677" t="str">
            <v>MARRO GRANDE</v>
          </cell>
          <cell r="D677" t="str">
            <v>CARTERA</v>
          </cell>
          <cell r="E677" t="str">
            <v>CARTERA AMARILLA</v>
          </cell>
          <cell r="F677" t="str">
            <v>BRIDGE</v>
          </cell>
          <cell r="G677">
            <v>0</v>
          </cell>
          <cell r="H677" t="str">
            <v>CARAMELO</v>
          </cell>
          <cell r="I677" t="str">
            <v>U</v>
          </cell>
          <cell r="J677" t="str">
            <v>M</v>
          </cell>
        </row>
        <row r="678">
          <cell r="B678" t="str">
            <v>MG010060304</v>
          </cell>
          <cell r="C678" t="str">
            <v>MARRO GRANDE</v>
          </cell>
          <cell r="D678" t="str">
            <v>CARTERA</v>
          </cell>
          <cell r="E678" t="str">
            <v>CARTERA AMARILLA</v>
          </cell>
          <cell r="F678" t="str">
            <v>BRIDGE</v>
          </cell>
          <cell r="G678">
            <v>0</v>
          </cell>
          <cell r="H678" t="str">
            <v>TABACO</v>
          </cell>
          <cell r="I678" t="str">
            <v>U</v>
          </cell>
          <cell r="J678" t="str">
            <v>M</v>
          </cell>
        </row>
        <row r="679">
          <cell r="B679" t="str">
            <v>MG010060305</v>
          </cell>
          <cell r="C679" t="str">
            <v>MARRO GRANDE</v>
          </cell>
          <cell r="D679" t="str">
            <v>CARTERA</v>
          </cell>
          <cell r="E679" t="str">
            <v>CARTERA AMARILLA</v>
          </cell>
          <cell r="F679" t="str">
            <v>BRIDGE</v>
          </cell>
          <cell r="G679">
            <v>0</v>
          </cell>
          <cell r="H679" t="str">
            <v>LONDON</v>
          </cell>
          <cell r="I679" t="str">
            <v>U</v>
          </cell>
          <cell r="J679" t="str">
            <v>M</v>
          </cell>
        </row>
        <row r="680">
          <cell r="B680" t="str">
            <v>MG010060307</v>
          </cell>
          <cell r="C680" t="str">
            <v>MARRO GRANDE</v>
          </cell>
          <cell r="D680" t="str">
            <v>CARTERA</v>
          </cell>
          <cell r="E680" t="str">
            <v>CARTERA AMARILLA</v>
          </cell>
          <cell r="F680" t="str">
            <v>BRIDGE</v>
          </cell>
          <cell r="G680">
            <v>0</v>
          </cell>
          <cell r="H680" t="str">
            <v>ROJO</v>
          </cell>
          <cell r="I680" t="str">
            <v>U</v>
          </cell>
          <cell r="J680" t="str">
            <v>M</v>
          </cell>
        </row>
        <row r="681">
          <cell r="B681" t="str">
            <v>MG010060309</v>
          </cell>
          <cell r="C681" t="str">
            <v>MARRO GRANDE</v>
          </cell>
          <cell r="D681" t="str">
            <v>CARTERA</v>
          </cell>
          <cell r="E681" t="str">
            <v>CARTERA AMARILLA</v>
          </cell>
          <cell r="F681" t="str">
            <v>BRIDGE</v>
          </cell>
          <cell r="G681">
            <v>0</v>
          </cell>
          <cell r="H681" t="str">
            <v>AZUL</v>
          </cell>
          <cell r="I681" t="str">
            <v>U</v>
          </cell>
          <cell r="J681" t="str">
            <v>M</v>
          </cell>
        </row>
        <row r="682">
          <cell r="B682" t="str">
            <v>MG010060310</v>
          </cell>
          <cell r="C682" t="str">
            <v>MARRO GRANDE</v>
          </cell>
          <cell r="D682" t="str">
            <v>CARTERA</v>
          </cell>
          <cell r="E682" t="str">
            <v>CARTERA AMARILLA</v>
          </cell>
          <cell r="F682" t="str">
            <v>BRIDGE</v>
          </cell>
          <cell r="G682">
            <v>0</v>
          </cell>
          <cell r="H682" t="str">
            <v>VERDE</v>
          </cell>
          <cell r="I682" t="str">
            <v>U</v>
          </cell>
          <cell r="J682" t="str">
            <v>M</v>
          </cell>
        </row>
        <row r="683">
          <cell r="B683" t="str">
            <v>MG010060504-1</v>
          </cell>
          <cell r="C683" t="str">
            <v>MARRO GRANDE</v>
          </cell>
          <cell r="D683" t="str">
            <v>CARTERA</v>
          </cell>
          <cell r="E683" t="str">
            <v>CARTERA AMARILLA</v>
          </cell>
          <cell r="F683" t="str">
            <v>GAMUZA</v>
          </cell>
          <cell r="G683">
            <v>0</v>
          </cell>
          <cell r="H683" t="str">
            <v>TABACO/NEGRO</v>
          </cell>
          <cell r="I683" t="str">
            <v>U</v>
          </cell>
          <cell r="J683" t="str">
            <v>M</v>
          </cell>
        </row>
        <row r="684">
          <cell r="B684" t="str">
            <v>MG010060504-4</v>
          </cell>
          <cell r="C684" t="str">
            <v>MARRO GRANDE</v>
          </cell>
          <cell r="D684" t="str">
            <v>CARTERA</v>
          </cell>
          <cell r="E684" t="str">
            <v>CARTERA AMARILLA</v>
          </cell>
          <cell r="F684" t="str">
            <v>GAMUZA</v>
          </cell>
          <cell r="G684">
            <v>0</v>
          </cell>
          <cell r="H684" t="str">
            <v>TABACO/TABACO</v>
          </cell>
          <cell r="I684" t="str">
            <v>U</v>
          </cell>
          <cell r="J684" t="str">
            <v>M</v>
          </cell>
        </row>
        <row r="685">
          <cell r="B685" t="str">
            <v>MG010060550</v>
          </cell>
          <cell r="C685" t="str">
            <v>MARRO GRANDE</v>
          </cell>
          <cell r="D685" t="str">
            <v>CARTERA</v>
          </cell>
          <cell r="E685" t="str">
            <v>CARTERA AMARILLA</v>
          </cell>
          <cell r="F685" t="str">
            <v>GAMUZA</v>
          </cell>
          <cell r="G685">
            <v>0</v>
          </cell>
          <cell r="H685" t="str">
            <v>VESUBIO/TABACO</v>
          </cell>
          <cell r="I685" t="str">
            <v>U</v>
          </cell>
          <cell r="J685" t="str">
            <v>M</v>
          </cell>
        </row>
        <row r="686">
          <cell r="B686" t="str">
            <v>MG010060552</v>
          </cell>
          <cell r="C686" t="str">
            <v>MARRO GRANDE</v>
          </cell>
          <cell r="D686" t="str">
            <v>CARTERA</v>
          </cell>
          <cell r="E686" t="str">
            <v>CARTERA AMARILLA</v>
          </cell>
          <cell r="F686" t="str">
            <v>GAMUZA</v>
          </cell>
          <cell r="G686">
            <v>0</v>
          </cell>
          <cell r="H686" t="str">
            <v>CHOCOLATE/TABACO</v>
          </cell>
          <cell r="I686" t="str">
            <v>U</v>
          </cell>
          <cell r="J686" t="str">
            <v>M</v>
          </cell>
        </row>
        <row r="687">
          <cell r="B687" t="str">
            <v>MG010060552-1</v>
          </cell>
          <cell r="C687" t="str">
            <v>MARRO GRANDE</v>
          </cell>
          <cell r="D687" t="str">
            <v>CARTERA</v>
          </cell>
          <cell r="E687" t="str">
            <v>CARTERA AMARILLA</v>
          </cell>
          <cell r="F687" t="str">
            <v>GAMUZA</v>
          </cell>
          <cell r="G687">
            <v>0</v>
          </cell>
          <cell r="H687" t="str">
            <v>CHOCOLATE/NEGRO</v>
          </cell>
          <cell r="I687" t="str">
            <v>U</v>
          </cell>
          <cell r="J687" t="str">
            <v>M</v>
          </cell>
        </row>
        <row r="688">
          <cell r="B688" t="str">
            <v>MG010060555</v>
          </cell>
          <cell r="C688" t="str">
            <v>MARRO GRANDE</v>
          </cell>
          <cell r="D688" t="str">
            <v>CARTERA</v>
          </cell>
          <cell r="E688" t="str">
            <v>CARTERA AMARILLA</v>
          </cell>
          <cell r="F688" t="str">
            <v>GAMUZA</v>
          </cell>
          <cell r="G688">
            <v>0</v>
          </cell>
          <cell r="H688" t="str">
            <v>AVELLANA/TABACO</v>
          </cell>
          <cell r="I688" t="str">
            <v>U</v>
          </cell>
          <cell r="J688" t="str">
            <v>M</v>
          </cell>
        </row>
        <row r="689">
          <cell r="B689" t="str">
            <v>MG010060556-1</v>
          </cell>
          <cell r="C689" t="str">
            <v>MARRO GRANDE</v>
          </cell>
          <cell r="D689" t="str">
            <v>CARTERA</v>
          </cell>
          <cell r="E689" t="str">
            <v>CARTERA AMARILLA</v>
          </cell>
          <cell r="F689" t="str">
            <v>GAMUZA</v>
          </cell>
          <cell r="G689">
            <v>0</v>
          </cell>
          <cell r="H689" t="str">
            <v>OXIDO/NEGRO</v>
          </cell>
          <cell r="I689" t="str">
            <v>U</v>
          </cell>
          <cell r="J689" t="str">
            <v>M</v>
          </cell>
        </row>
        <row r="690">
          <cell r="B690" t="str">
            <v>MG010060556-4</v>
          </cell>
          <cell r="C690" t="str">
            <v>MARRO GRANDE</v>
          </cell>
          <cell r="D690" t="str">
            <v>CARTERA</v>
          </cell>
          <cell r="E690" t="str">
            <v>CARTERA AMARILLA</v>
          </cell>
          <cell r="F690" t="str">
            <v>GAMUZA</v>
          </cell>
          <cell r="G690">
            <v>0</v>
          </cell>
          <cell r="H690" t="str">
            <v>OXIDO/TABACO</v>
          </cell>
          <cell r="I690" t="str">
            <v>U</v>
          </cell>
          <cell r="J690" t="str">
            <v>M</v>
          </cell>
        </row>
        <row r="691">
          <cell r="B691" t="str">
            <v>MG010920301</v>
          </cell>
          <cell r="C691" t="str">
            <v>MARRO GRANDE</v>
          </cell>
          <cell r="D691" t="str">
            <v>CARTERA</v>
          </cell>
          <cell r="E691" t="str">
            <v>CARTERA AMARILLA C/CIERRE</v>
          </cell>
          <cell r="F691" t="str">
            <v>BRIDGE</v>
          </cell>
          <cell r="G691">
            <v>0</v>
          </cell>
          <cell r="H691" t="str">
            <v>NEGRO</v>
          </cell>
          <cell r="I691" t="str">
            <v>U</v>
          </cell>
          <cell r="J691" t="str">
            <v>M</v>
          </cell>
        </row>
        <row r="692">
          <cell r="B692" t="str">
            <v>MG010920303</v>
          </cell>
          <cell r="C692" t="str">
            <v>MARRO GRANDE</v>
          </cell>
          <cell r="D692" t="str">
            <v>CARTERA</v>
          </cell>
          <cell r="E692" t="str">
            <v>CARTERA AMARILLA C/CIERRE</v>
          </cell>
          <cell r="F692" t="str">
            <v>BRIDGE</v>
          </cell>
          <cell r="G692">
            <v>0</v>
          </cell>
          <cell r="H692" t="str">
            <v>CARAMELO</v>
          </cell>
          <cell r="I692" t="str">
            <v>U</v>
          </cell>
          <cell r="J692" t="str">
            <v>M</v>
          </cell>
        </row>
        <row r="693">
          <cell r="B693" t="str">
            <v>MG010920304</v>
          </cell>
          <cell r="C693" t="str">
            <v>MARRO GRANDE</v>
          </cell>
          <cell r="D693" t="str">
            <v>CARTERA</v>
          </cell>
          <cell r="E693" t="str">
            <v>CARTERA AMARILLA C/CIERRE</v>
          </cell>
          <cell r="F693" t="str">
            <v>BRIDGE</v>
          </cell>
          <cell r="G693">
            <v>0</v>
          </cell>
          <cell r="H693" t="str">
            <v>TABACO</v>
          </cell>
          <cell r="I693" t="str">
            <v>U</v>
          </cell>
          <cell r="J693" t="str">
            <v>M</v>
          </cell>
        </row>
        <row r="694">
          <cell r="B694" t="str">
            <v>MG010920305</v>
          </cell>
          <cell r="C694" t="str">
            <v>MARRO GRANDE</v>
          </cell>
          <cell r="D694" t="str">
            <v>CARTERA</v>
          </cell>
          <cell r="E694" t="str">
            <v>CARTERA AMARILLA C/CIERRE</v>
          </cell>
          <cell r="F694" t="str">
            <v>BRIDGE</v>
          </cell>
          <cell r="G694">
            <v>0</v>
          </cell>
          <cell r="H694" t="str">
            <v>LONDON</v>
          </cell>
          <cell r="I694" t="str">
            <v>U</v>
          </cell>
          <cell r="J694" t="str">
            <v>M</v>
          </cell>
        </row>
        <row r="695">
          <cell r="B695" t="str">
            <v>MG010920352</v>
          </cell>
          <cell r="C695" t="str">
            <v>MARRO GRANDE</v>
          </cell>
          <cell r="D695" t="str">
            <v>CARTERA</v>
          </cell>
          <cell r="E695" t="str">
            <v>CARTERA AMARILLA C/CIERRE</v>
          </cell>
          <cell r="F695" t="str">
            <v>BRIDGE</v>
          </cell>
          <cell r="G695">
            <v>0</v>
          </cell>
          <cell r="H695" t="str">
            <v>CHOCOLATE</v>
          </cell>
          <cell r="I695" t="str">
            <v>U</v>
          </cell>
          <cell r="J695" t="str">
            <v>M</v>
          </cell>
        </row>
        <row r="696">
          <cell r="B696" t="str">
            <v>MG010920707</v>
          </cell>
          <cell r="C696" t="str">
            <v>MARRO GRANDE</v>
          </cell>
          <cell r="D696" t="str">
            <v>CARTERA</v>
          </cell>
          <cell r="E696" t="str">
            <v>CARTERA AMARILLA C/CIERRE</v>
          </cell>
          <cell r="F696" t="str">
            <v>IGUANA</v>
          </cell>
          <cell r="G696">
            <v>0</v>
          </cell>
          <cell r="H696" t="str">
            <v>ROJO</v>
          </cell>
          <cell r="I696" t="str">
            <v>U</v>
          </cell>
          <cell r="J696" t="str">
            <v>M</v>
          </cell>
        </row>
        <row r="697">
          <cell r="B697" t="str">
            <v>MG010923111</v>
          </cell>
          <cell r="C697" t="str">
            <v>MARRO GRANDE</v>
          </cell>
          <cell r="D697" t="str">
            <v>CARTERA</v>
          </cell>
          <cell r="E697" t="str">
            <v>CARTERA AMARILLA C/CIERRE</v>
          </cell>
          <cell r="F697" t="str">
            <v>PELO</v>
          </cell>
          <cell r="G697">
            <v>0</v>
          </cell>
          <cell r="H697" t="str">
            <v>BEIGE</v>
          </cell>
          <cell r="I697" t="str">
            <v>U</v>
          </cell>
          <cell r="J697" t="str">
            <v>M</v>
          </cell>
        </row>
        <row r="698">
          <cell r="B698" t="str">
            <v>MG010923242</v>
          </cell>
          <cell r="C698" t="str">
            <v>MARRO GRANDE</v>
          </cell>
          <cell r="D698" t="str">
            <v>CARTERA</v>
          </cell>
          <cell r="E698" t="str">
            <v>CARTERA AMARILLA C/CIERRE</v>
          </cell>
          <cell r="F698" t="str">
            <v>VINTAGE</v>
          </cell>
          <cell r="G698">
            <v>0</v>
          </cell>
          <cell r="H698" t="str">
            <v>MEDIO</v>
          </cell>
          <cell r="I698" t="str">
            <v>U</v>
          </cell>
          <cell r="J698" t="str">
            <v>M</v>
          </cell>
        </row>
        <row r="699">
          <cell r="B699" t="str">
            <v>MG010710202</v>
          </cell>
          <cell r="C699" t="str">
            <v>MARRO GRANDE</v>
          </cell>
          <cell r="D699" t="str">
            <v>CARTERA</v>
          </cell>
          <cell r="E699" t="str">
            <v>CARTERA AMARILLA SET SOBRE</v>
          </cell>
          <cell r="F699" t="str">
            <v>TAMPONATO</v>
          </cell>
          <cell r="G699">
            <v>0</v>
          </cell>
          <cell r="H699" t="str">
            <v>SUELA</v>
          </cell>
          <cell r="I699" t="str">
            <v>U</v>
          </cell>
          <cell r="J699" t="str">
            <v>M</v>
          </cell>
        </row>
        <row r="700">
          <cell r="B700" t="str">
            <v>MG010710301</v>
          </cell>
          <cell r="C700" t="str">
            <v>MARRO GRANDE</v>
          </cell>
          <cell r="D700" t="str">
            <v>CARTERA</v>
          </cell>
          <cell r="E700" t="str">
            <v>CARTERA AMARILLA SET SOBRE</v>
          </cell>
          <cell r="F700" t="str">
            <v>BRIDGE</v>
          </cell>
          <cell r="G700">
            <v>0</v>
          </cell>
          <cell r="H700" t="str">
            <v>NEGRO</v>
          </cell>
          <cell r="I700" t="str">
            <v>U</v>
          </cell>
          <cell r="J700" t="str">
            <v>M</v>
          </cell>
        </row>
        <row r="701">
          <cell r="B701" t="str">
            <v>MG010710302</v>
          </cell>
          <cell r="C701" t="str">
            <v>MARRO GRANDE</v>
          </cell>
          <cell r="D701" t="str">
            <v>CARTERA</v>
          </cell>
          <cell r="E701" t="str">
            <v>CARTERA AMARILLA SET SOBRE</v>
          </cell>
          <cell r="F701" t="str">
            <v>BRIDGE NAPO</v>
          </cell>
          <cell r="G701">
            <v>0</v>
          </cell>
          <cell r="H701" t="str">
            <v>SUELA</v>
          </cell>
          <cell r="I701" t="str">
            <v>U</v>
          </cell>
          <cell r="J701" t="str">
            <v>M</v>
          </cell>
        </row>
        <row r="702">
          <cell r="B702" t="str">
            <v>MG010710303</v>
          </cell>
          <cell r="C702" t="str">
            <v>MARRO GRANDE</v>
          </cell>
          <cell r="D702" t="str">
            <v>CARTERA</v>
          </cell>
          <cell r="E702" t="str">
            <v>CARTERA AMARILLA SET SOBRE</v>
          </cell>
          <cell r="F702" t="str">
            <v>BRIDGE</v>
          </cell>
          <cell r="G702">
            <v>0</v>
          </cell>
          <cell r="H702" t="str">
            <v>CARAMELO</v>
          </cell>
          <cell r="I702" t="str">
            <v>U</v>
          </cell>
          <cell r="J702" t="str">
            <v>M</v>
          </cell>
        </row>
        <row r="703">
          <cell r="B703" t="str">
            <v>MG010710304</v>
          </cell>
          <cell r="C703" t="str">
            <v>MARRO GRANDE</v>
          </cell>
          <cell r="D703" t="str">
            <v>CARTERA</v>
          </cell>
          <cell r="E703" t="str">
            <v>CARTERA AMARILLA SET SOBRE</v>
          </cell>
          <cell r="F703" t="str">
            <v>BRIDGE</v>
          </cell>
          <cell r="G703">
            <v>0</v>
          </cell>
          <cell r="H703" t="str">
            <v>TABACO</v>
          </cell>
          <cell r="I703" t="str">
            <v>U</v>
          </cell>
          <cell r="J703" t="str">
            <v>M</v>
          </cell>
        </row>
        <row r="704">
          <cell r="B704" t="str">
            <v>MG010710305</v>
          </cell>
          <cell r="C704" t="str">
            <v>MARRO GRANDE</v>
          </cell>
          <cell r="D704" t="str">
            <v>CARTERA</v>
          </cell>
          <cell r="E704" t="str">
            <v>CARTERA AMARILLA SET SOBRE</v>
          </cell>
          <cell r="F704" t="str">
            <v>BRIDGE</v>
          </cell>
          <cell r="G704">
            <v>0</v>
          </cell>
          <cell r="H704" t="str">
            <v>LONDON</v>
          </cell>
          <cell r="I704" t="str">
            <v>U</v>
          </cell>
          <cell r="J704" t="str">
            <v>M</v>
          </cell>
        </row>
        <row r="705">
          <cell r="B705" t="str">
            <v>MG010710307</v>
          </cell>
          <cell r="C705" t="str">
            <v>MARRO GRANDE</v>
          </cell>
          <cell r="D705" t="str">
            <v>CARTERA</v>
          </cell>
          <cell r="E705" t="str">
            <v>CARTERA AMARILLA SET SOBRE</v>
          </cell>
          <cell r="F705" t="str">
            <v>BRIDGE</v>
          </cell>
          <cell r="G705">
            <v>0</v>
          </cell>
          <cell r="H705" t="str">
            <v>ROJO</v>
          </cell>
          <cell r="I705" t="str">
            <v>U</v>
          </cell>
          <cell r="J705" t="str">
            <v>M</v>
          </cell>
        </row>
        <row r="706">
          <cell r="B706" t="str">
            <v>MG010710309</v>
          </cell>
          <cell r="C706" t="str">
            <v>MARRO GRANDE</v>
          </cell>
          <cell r="D706" t="str">
            <v>CARTERA</v>
          </cell>
          <cell r="E706" t="str">
            <v>CARTERA AMARILLA SET SOBRE</v>
          </cell>
          <cell r="F706" t="str">
            <v>BRIDGE</v>
          </cell>
          <cell r="G706">
            <v>0</v>
          </cell>
          <cell r="H706" t="str">
            <v>AZUL</v>
          </cell>
          <cell r="I706" t="str">
            <v>U</v>
          </cell>
          <cell r="J706" t="str">
            <v>M</v>
          </cell>
        </row>
        <row r="707">
          <cell r="B707" t="str">
            <v>MG010710310</v>
          </cell>
          <cell r="C707" t="str">
            <v>MARRO GRANDE</v>
          </cell>
          <cell r="D707" t="str">
            <v>CARTERA</v>
          </cell>
          <cell r="E707" t="str">
            <v>CARTERA AMARILLA SET SOBRE</v>
          </cell>
          <cell r="F707" t="str">
            <v>BRIDGE</v>
          </cell>
          <cell r="G707">
            <v>0</v>
          </cell>
          <cell r="H707" t="str">
            <v>VERDE</v>
          </cell>
          <cell r="I707" t="str">
            <v>U</v>
          </cell>
          <cell r="J707" t="str">
            <v>M</v>
          </cell>
        </row>
        <row r="708">
          <cell r="B708" t="str">
            <v>MG010710311</v>
          </cell>
          <cell r="C708" t="str">
            <v>MARRO GRANDE</v>
          </cell>
          <cell r="D708" t="str">
            <v>CARTERA</v>
          </cell>
          <cell r="E708" t="str">
            <v>CARTERA AMARILLA SET SOBRE</v>
          </cell>
          <cell r="F708" t="str">
            <v>BRIDGE</v>
          </cell>
          <cell r="G708">
            <v>0</v>
          </cell>
          <cell r="H708" t="str">
            <v>CAMEL</v>
          </cell>
          <cell r="I708" t="str">
            <v>U</v>
          </cell>
          <cell r="J708" t="str">
            <v>M</v>
          </cell>
        </row>
        <row r="709">
          <cell r="B709" t="str">
            <v>MG010710314</v>
          </cell>
          <cell r="C709" t="str">
            <v>MARRO GRANDE</v>
          </cell>
          <cell r="D709" t="str">
            <v>CARTERA</v>
          </cell>
          <cell r="E709" t="str">
            <v>CARTERA AMARILLA SET SOBRE</v>
          </cell>
          <cell r="F709" t="str">
            <v>BRIDGE</v>
          </cell>
          <cell r="G709">
            <v>0</v>
          </cell>
          <cell r="H709" t="str">
            <v>ORANGE</v>
          </cell>
          <cell r="I709" t="str">
            <v>U</v>
          </cell>
          <cell r="J709" t="str">
            <v>M</v>
          </cell>
        </row>
        <row r="710">
          <cell r="B710" t="str">
            <v>MG010710315</v>
          </cell>
          <cell r="C710" t="str">
            <v>MARRO GRANDE</v>
          </cell>
          <cell r="D710" t="str">
            <v>CARTERA</v>
          </cell>
          <cell r="E710" t="str">
            <v>CARTERA AMARILLA SET SOBRE</v>
          </cell>
          <cell r="F710" t="str">
            <v>BRIDGE</v>
          </cell>
          <cell r="G710">
            <v>0</v>
          </cell>
          <cell r="H710" t="str">
            <v>MALBEC</v>
          </cell>
          <cell r="I710" t="str">
            <v>U</v>
          </cell>
          <cell r="J710" t="str">
            <v>M</v>
          </cell>
        </row>
        <row r="711">
          <cell r="B711" t="str">
            <v>MG010710352</v>
          </cell>
          <cell r="C711" t="str">
            <v>MARRO GRANDE</v>
          </cell>
          <cell r="D711" t="str">
            <v>CARTERA</v>
          </cell>
          <cell r="E711" t="str">
            <v>CARTERA AMARILLA SET SOBRE</v>
          </cell>
          <cell r="F711" t="str">
            <v>BRIDGE</v>
          </cell>
          <cell r="G711">
            <v>0</v>
          </cell>
          <cell r="H711" t="str">
            <v>CHOCOLATE</v>
          </cell>
          <cell r="I711" t="str">
            <v>U</v>
          </cell>
          <cell r="J711" t="str">
            <v>M</v>
          </cell>
        </row>
        <row r="712">
          <cell r="B712" t="str">
            <v>MG010710504-1</v>
          </cell>
          <cell r="C712" t="str">
            <v>MARRO GRANDE</v>
          </cell>
          <cell r="D712" t="str">
            <v>CARTERA</v>
          </cell>
          <cell r="E712" t="str">
            <v>CARTERA AMARILLA SET SOBRE</v>
          </cell>
          <cell r="F712" t="str">
            <v>GAMUZA</v>
          </cell>
          <cell r="G712">
            <v>0</v>
          </cell>
          <cell r="H712" t="str">
            <v>TABACO/NEGRO</v>
          </cell>
          <cell r="I712" t="str">
            <v>U</v>
          </cell>
          <cell r="J712" t="str">
            <v>M</v>
          </cell>
        </row>
        <row r="713">
          <cell r="B713" t="str">
            <v>MG010710504-4</v>
          </cell>
          <cell r="C713" t="str">
            <v>MARRO GRANDE</v>
          </cell>
          <cell r="D713" t="str">
            <v>CARTERA</v>
          </cell>
          <cell r="E713" t="str">
            <v>CARTERA AMARILLA SET SOBRE</v>
          </cell>
          <cell r="F713" t="str">
            <v>GAMUZA</v>
          </cell>
          <cell r="G713">
            <v>0</v>
          </cell>
          <cell r="H713" t="str">
            <v>TABACO/TABACO</v>
          </cell>
          <cell r="I713" t="str">
            <v>U</v>
          </cell>
          <cell r="J713" t="str">
            <v>M</v>
          </cell>
        </row>
        <row r="714">
          <cell r="B714" t="str">
            <v>MG010710516</v>
          </cell>
          <cell r="C714" t="str">
            <v>MARRO GRANDE</v>
          </cell>
          <cell r="D714" t="str">
            <v>CARTERA</v>
          </cell>
          <cell r="E714" t="str">
            <v>CARTERA AMARILLA SET SOBRE</v>
          </cell>
          <cell r="F714" t="str">
            <v>GAMUZA</v>
          </cell>
          <cell r="G714">
            <v>0</v>
          </cell>
          <cell r="H714" t="str">
            <v>OLIVE</v>
          </cell>
          <cell r="I714" t="str">
            <v>U</v>
          </cell>
          <cell r="J714" t="str">
            <v>M</v>
          </cell>
        </row>
        <row r="715">
          <cell r="B715" t="str">
            <v>MG010710517</v>
          </cell>
          <cell r="C715" t="str">
            <v>MARRO GRANDE</v>
          </cell>
          <cell r="D715" t="str">
            <v>CARTERA</v>
          </cell>
          <cell r="E715" t="str">
            <v>CARTERA AMARILLA SET SOBRE</v>
          </cell>
          <cell r="F715" t="str">
            <v>GAMUZA</v>
          </cell>
          <cell r="G715">
            <v>0</v>
          </cell>
          <cell r="H715" t="str">
            <v>GRIS MEDIO</v>
          </cell>
          <cell r="I715" t="str">
            <v>U</v>
          </cell>
          <cell r="J715" t="str">
            <v>M</v>
          </cell>
        </row>
        <row r="716">
          <cell r="B716" t="str">
            <v>MG010710518</v>
          </cell>
          <cell r="C716" t="str">
            <v>MARRO GRANDE</v>
          </cell>
          <cell r="D716" t="str">
            <v>CARTERA</v>
          </cell>
          <cell r="E716" t="str">
            <v>CARTERA AMARILLA SET SOBRE</v>
          </cell>
          <cell r="F716" t="str">
            <v>GAMUZA</v>
          </cell>
          <cell r="G716">
            <v>0</v>
          </cell>
          <cell r="H716" t="str">
            <v>MARSALA</v>
          </cell>
          <cell r="I716" t="str">
            <v>U</v>
          </cell>
          <cell r="J716" t="str">
            <v>M</v>
          </cell>
        </row>
        <row r="717">
          <cell r="B717" t="str">
            <v>MG010710550</v>
          </cell>
          <cell r="C717" t="str">
            <v>MARRO GRANDE</v>
          </cell>
          <cell r="D717" t="str">
            <v>CARTERA</v>
          </cell>
          <cell r="E717" t="str">
            <v>CARTERA AMARILLA SET SOBRE</v>
          </cell>
          <cell r="F717" t="str">
            <v>GAMUZA</v>
          </cell>
          <cell r="G717">
            <v>0</v>
          </cell>
          <cell r="H717" t="str">
            <v>VESUBIO/TABACO</v>
          </cell>
          <cell r="I717" t="str">
            <v>U</v>
          </cell>
          <cell r="J717" t="str">
            <v>M</v>
          </cell>
        </row>
        <row r="718">
          <cell r="B718" t="str">
            <v>MG010710550-1</v>
          </cell>
          <cell r="C718" t="str">
            <v>MARRO GRANDE</v>
          </cell>
          <cell r="D718" t="str">
            <v>CARTERA</v>
          </cell>
          <cell r="E718" t="str">
            <v>CARTERA AMARILLA SET SOBRE</v>
          </cell>
          <cell r="F718" t="str">
            <v>GAMUZA</v>
          </cell>
          <cell r="G718">
            <v>0</v>
          </cell>
          <cell r="H718" t="str">
            <v>VESUBIO/NEGRO</v>
          </cell>
          <cell r="I718" t="str">
            <v>U</v>
          </cell>
          <cell r="J718" t="str">
            <v>M</v>
          </cell>
        </row>
        <row r="719">
          <cell r="B719" t="str">
            <v>MG010710552-1</v>
          </cell>
          <cell r="C719" t="str">
            <v>MARRO GRANDE</v>
          </cell>
          <cell r="D719" t="str">
            <v>CARTERA</v>
          </cell>
          <cell r="E719" t="str">
            <v>CARTERA AMARILLA SET SOBRE</v>
          </cell>
          <cell r="F719" t="str">
            <v>GAMUZA</v>
          </cell>
          <cell r="G719">
            <v>0</v>
          </cell>
          <cell r="H719" t="str">
            <v>CHOCOLATE/NEGRO</v>
          </cell>
          <cell r="I719" t="str">
            <v>U</v>
          </cell>
          <cell r="J719" t="str">
            <v>M</v>
          </cell>
        </row>
        <row r="720">
          <cell r="B720" t="str">
            <v>MG010710555-4</v>
          </cell>
          <cell r="C720" t="str">
            <v>MARRO GRANDE</v>
          </cell>
          <cell r="D720" t="str">
            <v>CARTERA</v>
          </cell>
          <cell r="E720" t="str">
            <v>CARTERA AMARILLA SET SOBRE</v>
          </cell>
          <cell r="F720" t="str">
            <v>GAMUZA</v>
          </cell>
          <cell r="G720">
            <v>0</v>
          </cell>
          <cell r="H720" t="str">
            <v>AVELLANA/TABACO</v>
          </cell>
          <cell r="I720" t="str">
            <v>U</v>
          </cell>
          <cell r="J720" t="str">
            <v>M</v>
          </cell>
        </row>
        <row r="721">
          <cell r="B721" t="str">
            <v>MG010710556-1</v>
          </cell>
          <cell r="C721" t="str">
            <v>MARRO GRANDE</v>
          </cell>
          <cell r="D721" t="str">
            <v>CARTERA</v>
          </cell>
          <cell r="E721" t="str">
            <v>CARTERA AMARILLA SET SOBRE</v>
          </cell>
          <cell r="F721" t="str">
            <v>GAMUZA</v>
          </cell>
          <cell r="G721">
            <v>0</v>
          </cell>
          <cell r="H721" t="str">
            <v>OXIDO/NEGRO</v>
          </cell>
          <cell r="I721" t="str">
            <v>U</v>
          </cell>
          <cell r="J721" t="str">
            <v>M</v>
          </cell>
        </row>
        <row r="722">
          <cell r="B722" t="str">
            <v>MG010710556-4</v>
          </cell>
          <cell r="C722" t="str">
            <v>MARRO GRANDE</v>
          </cell>
          <cell r="D722" t="str">
            <v>CARTERA</v>
          </cell>
          <cell r="E722" t="str">
            <v>CARTERA AMARILLA SET SOBRE</v>
          </cell>
          <cell r="F722" t="str">
            <v>GAMUZA</v>
          </cell>
          <cell r="G722">
            <v>0</v>
          </cell>
          <cell r="H722" t="str">
            <v>OXIDO/TABACO</v>
          </cell>
          <cell r="I722" t="str">
            <v>U</v>
          </cell>
          <cell r="J722" t="str">
            <v>M</v>
          </cell>
        </row>
        <row r="723">
          <cell r="B723" t="str">
            <v>MG010710701</v>
          </cell>
          <cell r="C723" t="str">
            <v>MARRO GRANDE</v>
          </cell>
          <cell r="D723" t="str">
            <v>CARTERA</v>
          </cell>
          <cell r="E723" t="str">
            <v>CARTERA AMARILLA SET SOBRE</v>
          </cell>
          <cell r="F723" t="str">
            <v>IGUANA</v>
          </cell>
          <cell r="G723">
            <v>0</v>
          </cell>
          <cell r="H723" t="str">
            <v>NEGRO</v>
          </cell>
          <cell r="I723" t="str">
            <v>U</v>
          </cell>
          <cell r="J723" t="str">
            <v>M</v>
          </cell>
        </row>
        <row r="724">
          <cell r="B724" t="str">
            <v>MG010710703</v>
          </cell>
          <cell r="C724" t="str">
            <v>MARRO GRANDE</v>
          </cell>
          <cell r="D724" t="str">
            <v>CARTERA</v>
          </cell>
          <cell r="E724" t="str">
            <v>CARTERA AMARILLA SET SOBRE</v>
          </cell>
          <cell r="F724" t="str">
            <v>IGUANA</v>
          </cell>
          <cell r="G724">
            <v>0</v>
          </cell>
          <cell r="H724" t="str">
            <v>CARAMELO</v>
          </cell>
          <cell r="I724" t="str">
            <v>U</v>
          </cell>
          <cell r="J724" t="str">
            <v>M</v>
          </cell>
        </row>
        <row r="725">
          <cell r="B725" t="str">
            <v>MG010710705</v>
          </cell>
          <cell r="C725" t="str">
            <v>MARRO GRANDE</v>
          </cell>
          <cell r="D725" t="str">
            <v>CARTERA</v>
          </cell>
          <cell r="E725" t="str">
            <v>CARTERA AMARILLA SET SOBRE</v>
          </cell>
          <cell r="F725" t="str">
            <v>IGUANA</v>
          </cell>
          <cell r="G725">
            <v>0</v>
          </cell>
          <cell r="H725" t="str">
            <v>LONDON</v>
          </cell>
          <cell r="I725" t="str">
            <v>U</v>
          </cell>
          <cell r="J725" t="str">
            <v>M</v>
          </cell>
        </row>
        <row r="726">
          <cell r="B726" t="str">
            <v>MG010710707</v>
          </cell>
          <cell r="C726" t="str">
            <v>MARRO GRANDE</v>
          </cell>
          <cell r="D726" t="str">
            <v>CARTERA</v>
          </cell>
          <cell r="E726" t="str">
            <v>CARTERA AMARILLA SET SOBRE</v>
          </cell>
          <cell r="F726" t="str">
            <v>IGUANA</v>
          </cell>
          <cell r="G726">
            <v>0</v>
          </cell>
          <cell r="H726" t="str">
            <v>ROJO</v>
          </cell>
          <cell r="I726" t="str">
            <v>U</v>
          </cell>
          <cell r="J726" t="str">
            <v>M</v>
          </cell>
        </row>
        <row r="727">
          <cell r="B727" t="str">
            <v>MG010710709</v>
          </cell>
          <cell r="C727" t="str">
            <v>MARRO GRANDE</v>
          </cell>
          <cell r="D727" t="str">
            <v>CARTERA</v>
          </cell>
          <cell r="E727" t="str">
            <v>CARTERA AMARILLA SET SOBRE</v>
          </cell>
          <cell r="F727" t="str">
            <v>IGUANA</v>
          </cell>
          <cell r="G727">
            <v>0</v>
          </cell>
          <cell r="H727" t="str">
            <v>AZUL</v>
          </cell>
          <cell r="I727" t="str">
            <v>U</v>
          </cell>
          <cell r="J727" t="str">
            <v>M</v>
          </cell>
        </row>
        <row r="728">
          <cell r="B728" t="str">
            <v>MG010710710</v>
          </cell>
          <cell r="C728" t="str">
            <v>MARRO GRANDE</v>
          </cell>
          <cell r="D728" t="str">
            <v>CARTERA</v>
          </cell>
          <cell r="E728" t="str">
            <v>CARTERA AMARILLA SET SOBRE</v>
          </cell>
          <cell r="F728" t="str">
            <v>IGUANA</v>
          </cell>
          <cell r="G728">
            <v>0</v>
          </cell>
          <cell r="H728" t="str">
            <v>VERDE</v>
          </cell>
          <cell r="I728" t="str">
            <v>U</v>
          </cell>
          <cell r="J728" t="str">
            <v>M</v>
          </cell>
        </row>
        <row r="729">
          <cell r="B729" t="str">
            <v>MG010711001</v>
          </cell>
          <cell r="C729" t="str">
            <v>MARRO GRANDE</v>
          </cell>
          <cell r="D729" t="str">
            <v>CARTERA</v>
          </cell>
          <cell r="E729" t="str">
            <v>CARTERA AMARILLA SET SOBRE</v>
          </cell>
          <cell r="F729" t="str">
            <v>CROCO</v>
          </cell>
          <cell r="G729">
            <v>0</v>
          </cell>
          <cell r="H729" t="str">
            <v>NEGRO</v>
          </cell>
          <cell r="I729" t="str">
            <v>U</v>
          </cell>
          <cell r="J729" t="str">
            <v>M</v>
          </cell>
        </row>
        <row r="730">
          <cell r="B730" t="str">
            <v>MG010713163</v>
          </cell>
          <cell r="C730" t="str">
            <v>MARRO GRANDE</v>
          </cell>
          <cell r="D730" t="str">
            <v>CARTERA</v>
          </cell>
          <cell r="E730" t="str">
            <v>CARTERA AMARILLA SET SOBRE</v>
          </cell>
          <cell r="F730" t="str">
            <v>PELO</v>
          </cell>
          <cell r="G730">
            <v>0</v>
          </cell>
          <cell r="H730" t="str">
            <v>MARRON/CHOCOLATE</v>
          </cell>
          <cell r="I730" t="str">
            <v>U</v>
          </cell>
          <cell r="J730" t="str">
            <v>M</v>
          </cell>
        </row>
        <row r="731">
          <cell r="B731" t="str">
            <v>MG010713241</v>
          </cell>
          <cell r="C731" t="str">
            <v>MARRO GRANDE</v>
          </cell>
          <cell r="D731" t="str">
            <v>CARTERA</v>
          </cell>
          <cell r="E731" t="str">
            <v>CARTERA AMARILLA SET SOBRE</v>
          </cell>
          <cell r="F731" t="str">
            <v>VINTAGE</v>
          </cell>
          <cell r="G731">
            <v>0</v>
          </cell>
          <cell r="H731" t="str">
            <v>LIGHT</v>
          </cell>
          <cell r="I731" t="str">
            <v>U</v>
          </cell>
          <cell r="J731" t="str">
            <v>M</v>
          </cell>
        </row>
        <row r="732">
          <cell r="B732" t="str">
            <v>MG010713242</v>
          </cell>
          <cell r="C732" t="str">
            <v>MARRO GRANDE</v>
          </cell>
          <cell r="D732" t="str">
            <v>CARTERA</v>
          </cell>
          <cell r="E732" t="str">
            <v>CARTERA AMARILLA SET SOBRE</v>
          </cell>
          <cell r="F732" t="str">
            <v>VINTAGE</v>
          </cell>
          <cell r="G732">
            <v>0</v>
          </cell>
          <cell r="H732" t="str">
            <v>MEDIO</v>
          </cell>
          <cell r="I732" t="str">
            <v>U</v>
          </cell>
          <cell r="J732" t="str">
            <v>M</v>
          </cell>
        </row>
        <row r="733">
          <cell r="B733" t="str">
            <v>MG010713243</v>
          </cell>
          <cell r="C733" t="str">
            <v>MARRO GRANDE</v>
          </cell>
          <cell r="D733" t="str">
            <v>CARTERA</v>
          </cell>
          <cell r="E733" t="str">
            <v>CARTERA AMARILLA SET SOBRE</v>
          </cell>
          <cell r="F733" t="str">
            <v>VINTAGE</v>
          </cell>
          <cell r="G733">
            <v>0</v>
          </cell>
          <cell r="H733" t="str">
            <v>DARK</v>
          </cell>
          <cell r="I733" t="str">
            <v>U</v>
          </cell>
          <cell r="J733" t="str">
            <v>M</v>
          </cell>
        </row>
        <row r="734">
          <cell r="B734" t="str">
            <v>MG010713311</v>
          </cell>
          <cell r="C734" t="str">
            <v>MARRO GRANDE</v>
          </cell>
          <cell r="D734" t="str">
            <v>CARTERA</v>
          </cell>
          <cell r="E734" t="str">
            <v>CARTERA AMARILLA SET SOBRE</v>
          </cell>
          <cell r="F734" t="str">
            <v>CRASH</v>
          </cell>
          <cell r="G734">
            <v>0</v>
          </cell>
          <cell r="H734" t="str">
            <v>BEIGE</v>
          </cell>
          <cell r="I734" t="str">
            <v>U</v>
          </cell>
          <cell r="J734" t="str">
            <v>M</v>
          </cell>
        </row>
        <row r="735">
          <cell r="B735" t="str">
            <v>MG010713344</v>
          </cell>
          <cell r="C735" t="str">
            <v>MARRO GRANDE</v>
          </cell>
          <cell r="D735" t="str">
            <v>CARTERA</v>
          </cell>
          <cell r="E735" t="str">
            <v>CARTERA AMARILLA SET SOBRE</v>
          </cell>
          <cell r="F735" t="str">
            <v>CRASH</v>
          </cell>
          <cell r="G735">
            <v>0</v>
          </cell>
          <cell r="H735" t="str">
            <v>BLACK</v>
          </cell>
          <cell r="I735" t="str">
            <v>U</v>
          </cell>
          <cell r="J735" t="str">
            <v>M</v>
          </cell>
        </row>
        <row r="736">
          <cell r="B736" t="str">
            <v>MG010713345</v>
          </cell>
          <cell r="C736" t="str">
            <v>MARRO GRANDE</v>
          </cell>
          <cell r="D736" t="str">
            <v>CARTERA</v>
          </cell>
          <cell r="E736" t="str">
            <v>CARTERA AMARILLA SET SOBRE</v>
          </cell>
          <cell r="F736" t="str">
            <v>CRASH</v>
          </cell>
          <cell r="G736">
            <v>0</v>
          </cell>
          <cell r="H736" t="str">
            <v>MALBORO</v>
          </cell>
          <cell r="I736" t="str">
            <v>U</v>
          </cell>
          <cell r="J736" t="str">
            <v>M</v>
          </cell>
        </row>
        <row r="737">
          <cell r="B737" t="str">
            <v>MG010713347</v>
          </cell>
          <cell r="C737" t="str">
            <v>MARRO GRANDE</v>
          </cell>
          <cell r="D737" t="str">
            <v>CARTERA</v>
          </cell>
          <cell r="E737" t="str">
            <v>CARTERA AMARILLA SET SOBRE</v>
          </cell>
          <cell r="F737" t="str">
            <v>LEDER</v>
          </cell>
          <cell r="G737">
            <v>0</v>
          </cell>
          <cell r="H737" t="str">
            <v>BLUE DARK</v>
          </cell>
          <cell r="I737" t="str">
            <v>U</v>
          </cell>
          <cell r="J737" t="str">
            <v>M</v>
          </cell>
        </row>
        <row r="738">
          <cell r="B738" t="str">
            <v>MG010710522</v>
          </cell>
          <cell r="C738" t="str">
            <v>MARRO GRANDE</v>
          </cell>
          <cell r="D738" t="str">
            <v>CARTERA</v>
          </cell>
          <cell r="E738" t="str">
            <v xml:space="preserve">CARTERA AMARILLA SET SOBRE </v>
          </cell>
          <cell r="F738" t="str">
            <v>GAMUZA</v>
          </cell>
          <cell r="G738">
            <v>0</v>
          </cell>
          <cell r="H738" t="str">
            <v>GRIS OSCURO</v>
          </cell>
          <cell r="I738" t="str">
            <v>U</v>
          </cell>
          <cell r="J738" t="str">
            <v>M</v>
          </cell>
        </row>
        <row r="739">
          <cell r="B739" t="str">
            <v>MG010710558</v>
          </cell>
          <cell r="C739" t="str">
            <v>MARRO GRANDE</v>
          </cell>
          <cell r="D739" t="str">
            <v>CARTERA</v>
          </cell>
          <cell r="E739" t="str">
            <v xml:space="preserve">CARTERA AMARILLA SET SOBRE </v>
          </cell>
          <cell r="F739" t="str">
            <v>GAMUZA</v>
          </cell>
          <cell r="G739">
            <v>0</v>
          </cell>
          <cell r="H739" t="str">
            <v>CAFE/TABACO</v>
          </cell>
          <cell r="I739" t="str">
            <v>U</v>
          </cell>
          <cell r="J739" t="str">
            <v>M</v>
          </cell>
        </row>
        <row r="740">
          <cell r="B740" t="str">
            <v>MG010710558-2</v>
          </cell>
          <cell r="C740" t="str">
            <v>MARRO GRANDE</v>
          </cell>
          <cell r="D740" t="str">
            <v>CARTERA</v>
          </cell>
          <cell r="E740" t="str">
            <v xml:space="preserve">CARTERA AMARILLA SET SOBRE </v>
          </cell>
          <cell r="F740" t="str">
            <v>GAMUZA</v>
          </cell>
          <cell r="G740">
            <v>0</v>
          </cell>
          <cell r="H740" t="str">
            <v>CAFE/SUELA</v>
          </cell>
          <cell r="I740" t="str">
            <v>U</v>
          </cell>
          <cell r="J740" t="str">
            <v>M</v>
          </cell>
        </row>
        <row r="741">
          <cell r="B741" t="str">
            <v>MG010711019</v>
          </cell>
          <cell r="C741" t="str">
            <v>MARRO GRANDE</v>
          </cell>
          <cell r="D741" t="str">
            <v>CARTERA</v>
          </cell>
          <cell r="E741" t="str">
            <v xml:space="preserve">CARTERA AMARILLA SET SOBRE </v>
          </cell>
          <cell r="F741" t="str">
            <v>CROCO</v>
          </cell>
          <cell r="G741">
            <v>0</v>
          </cell>
          <cell r="H741" t="str">
            <v>CANELA</v>
          </cell>
          <cell r="I741" t="str">
            <v>U</v>
          </cell>
          <cell r="J741" t="str">
            <v>M</v>
          </cell>
        </row>
        <row r="742">
          <cell r="B742" t="str">
            <v>MG010711623</v>
          </cell>
          <cell r="C742" t="str">
            <v>MARRO GRANDE</v>
          </cell>
          <cell r="D742" t="str">
            <v>CARTERA</v>
          </cell>
          <cell r="E742" t="str">
            <v xml:space="preserve">CARTERA AMARILLA SET SOBRE </v>
          </cell>
          <cell r="F742" t="str">
            <v>FIORENTINO</v>
          </cell>
          <cell r="G742">
            <v>0</v>
          </cell>
          <cell r="H742" t="str">
            <v>CEDRO</v>
          </cell>
          <cell r="I742" t="str">
            <v>U</v>
          </cell>
          <cell r="J742" t="str">
            <v>M</v>
          </cell>
        </row>
        <row r="743">
          <cell r="B743" t="str">
            <v>MG010713139</v>
          </cell>
          <cell r="C743" t="str">
            <v>MARRO GRANDE</v>
          </cell>
          <cell r="D743" t="str">
            <v>CARTERA</v>
          </cell>
          <cell r="E743" t="str">
            <v xml:space="preserve">CARTERA AMARILLA SET SOBRE </v>
          </cell>
          <cell r="F743" t="str">
            <v>PELO</v>
          </cell>
          <cell r="G743">
            <v>0</v>
          </cell>
          <cell r="H743" t="str">
            <v>HEREFORD</v>
          </cell>
          <cell r="I743" t="str">
            <v>U</v>
          </cell>
          <cell r="J743" t="str">
            <v>M</v>
          </cell>
        </row>
        <row r="744">
          <cell r="B744" t="str">
            <v>MG010713140</v>
          </cell>
          <cell r="C744" t="str">
            <v>MARRO GRANDE</v>
          </cell>
          <cell r="D744" t="str">
            <v>CARTERA</v>
          </cell>
          <cell r="E744" t="str">
            <v xml:space="preserve">CARTERA AMARILLA SET SOBRE </v>
          </cell>
          <cell r="F744" t="str">
            <v>PELO</v>
          </cell>
          <cell r="G744">
            <v>0</v>
          </cell>
          <cell r="H744" t="str">
            <v>HOLANDO</v>
          </cell>
          <cell r="I744" t="str">
            <v>U</v>
          </cell>
          <cell r="J744" t="str">
            <v>M</v>
          </cell>
        </row>
        <row r="745">
          <cell r="B745" t="str">
            <v>MG010070301</v>
          </cell>
          <cell r="C745" t="str">
            <v>MARRO GRANDE</v>
          </cell>
          <cell r="D745" t="str">
            <v>CARTERA</v>
          </cell>
          <cell r="E745" t="str">
            <v>CARTERA APHOLO</v>
          </cell>
          <cell r="F745" t="str">
            <v>BRIDGE</v>
          </cell>
          <cell r="G745">
            <v>0</v>
          </cell>
          <cell r="H745" t="str">
            <v>NEGRO</v>
          </cell>
          <cell r="I745" t="str">
            <v>U</v>
          </cell>
          <cell r="J745" t="str">
            <v>M</v>
          </cell>
        </row>
        <row r="746">
          <cell r="B746" t="str">
            <v>MG010070303</v>
          </cell>
          <cell r="C746" t="str">
            <v>MARRO GRANDE</v>
          </cell>
          <cell r="D746" t="str">
            <v>CARTERA</v>
          </cell>
          <cell r="E746" t="str">
            <v>CARTERA APHOLO</v>
          </cell>
          <cell r="F746" t="str">
            <v>BRIDGE</v>
          </cell>
          <cell r="G746">
            <v>0</v>
          </cell>
          <cell r="H746" t="str">
            <v>CARAMELO</v>
          </cell>
          <cell r="I746" t="str">
            <v>U</v>
          </cell>
          <cell r="J746" t="str">
            <v>M</v>
          </cell>
        </row>
        <row r="747">
          <cell r="B747" t="str">
            <v>MG010070304</v>
          </cell>
          <cell r="C747" t="str">
            <v>MARRO GRANDE</v>
          </cell>
          <cell r="D747" t="str">
            <v>CARTERA</v>
          </cell>
          <cell r="E747" t="str">
            <v>CARTERA APHOLO</v>
          </cell>
          <cell r="F747" t="str">
            <v>BRIDGE</v>
          </cell>
          <cell r="G747">
            <v>0</v>
          </cell>
          <cell r="H747" t="str">
            <v>TABACO</v>
          </cell>
          <cell r="I747" t="str">
            <v>U</v>
          </cell>
          <cell r="J747" t="str">
            <v>M</v>
          </cell>
        </row>
        <row r="748">
          <cell r="B748" t="str">
            <v>MG010070307</v>
          </cell>
          <cell r="C748" t="str">
            <v>MARRO GRANDE</v>
          </cell>
          <cell r="D748" t="str">
            <v>CARTERA</v>
          </cell>
          <cell r="E748" t="str">
            <v>CARTERA APHOLO</v>
          </cell>
          <cell r="F748" t="str">
            <v>BRIDGE</v>
          </cell>
          <cell r="G748">
            <v>0</v>
          </cell>
          <cell r="H748" t="str">
            <v>ROJO</v>
          </cell>
          <cell r="I748" t="str">
            <v>U</v>
          </cell>
          <cell r="J748" t="str">
            <v>M</v>
          </cell>
        </row>
        <row r="749">
          <cell r="B749" t="str">
            <v>MG010070309</v>
          </cell>
          <cell r="C749" t="str">
            <v>MARRO GRANDE</v>
          </cell>
          <cell r="D749" t="str">
            <v>CARTERA</v>
          </cell>
          <cell r="E749" t="str">
            <v>CARTERA APHOLO</v>
          </cell>
          <cell r="F749" t="str">
            <v>BRIDGE</v>
          </cell>
          <cell r="G749">
            <v>0</v>
          </cell>
          <cell r="H749" t="str">
            <v>AZUL</v>
          </cell>
          <cell r="I749" t="str">
            <v>U</v>
          </cell>
          <cell r="J749" t="str">
            <v>M</v>
          </cell>
        </row>
        <row r="750">
          <cell r="B750" t="str">
            <v>MG010070310</v>
          </cell>
          <cell r="C750" t="str">
            <v>MARRO GRANDE</v>
          </cell>
          <cell r="D750" t="str">
            <v>CARTERA</v>
          </cell>
          <cell r="E750" t="str">
            <v>CARTERA APHOLO</v>
          </cell>
          <cell r="F750" t="str">
            <v>BRIDGE</v>
          </cell>
          <cell r="G750">
            <v>0</v>
          </cell>
          <cell r="H750" t="str">
            <v>VERDE</v>
          </cell>
          <cell r="I750" t="str">
            <v>U</v>
          </cell>
          <cell r="J750" t="str">
            <v>M</v>
          </cell>
        </row>
        <row r="751">
          <cell r="B751" t="str">
            <v>MG010930301</v>
          </cell>
          <cell r="C751" t="str">
            <v>MARRO GRANDE</v>
          </cell>
          <cell r="D751" t="str">
            <v>CARTERA</v>
          </cell>
          <cell r="E751" t="str">
            <v>CARTERA APHOLO C/CIERRE</v>
          </cell>
          <cell r="F751" t="str">
            <v>BRIDGE</v>
          </cell>
          <cell r="G751">
            <v>0</v>
          </cell>
          <cell r="H751" t="str">
            <v>NEGRO</v>
          </cell>
          <cell r="I751" t="str">
            <v>U</v>
          </cell>
          <cell r="J751" t="str">
            <v>M</v>
          </cell>
        </row>
        <row r="752">
          <cell r="B752" t="str">
            <v>MG010930303</v>
          </cell>
          <cell r="C752" t="str">
            <v>MARRO GRANDE</v>
          </cell>
          <cell r="D752" t="str">
            <v>CARTERA</v>
          </cell>
          <cell r="E752" t="str">
            <v>CARTERA APHOLO C/CIERRE</v>
          </cell>
          <cell r="F752" t="str">
            <v>BRIDGE</v>
          </cell>
          <cell r="G752">
            <v>0</v>
          </cell>
          <cell r="H752" t="str">
            <v>CARAMELO</v>
          </cell>
          <cell r="I752" t="str">
            <v>U</v>
          </cell>
          <cell r="J752" t="str">
            <v>M</v>
          </cell>
        </row>
        <row r="753">
          <cell r="B753" t="str">
            <v>MG010930304</v>
          </cell>
          <cell r="C753" t="str">
            <v>MARRO GRANDE</v>
          </cell>
          <cell r="D753" t="str">
            <v>CARTERA</v>
          </cell>
          <cell r="E753" t="str">
            <v>CARTERA APHOLO C/CIERRE</v>
          </cell>
          <cell r="F753" t="str">
            <v>BRIDGE</v>
          </cell>
          <cell r="G753">
            <v>0</v>
          </cell>
          <cell r="H753" t="str">
            <v>TABACO</v>
          </cell>
          <cell r="I753" t="str">
            <v>U</v>
          </cell>
          <cell r="J753" t="str">
            <v>M</v>
          </cell>
        </row>
        <row r="754">
          <cell r="B754" t="str">
            <v>MG010930315</v>
          </cell>
          <cell r="C754" t="str">
            <v>MARRO GRANDE</v>
          </cell>
          <cell r="D754" t="str">
            <v>CARTERA</v>
          </cell>
          <cell r="E754" t="str">
            <v>CARTERA APHOLO C/CIERRE</v>
          </cell>
          <cell r="F754" t="str">
            <v>BRIDGE</v>
          </cell>
          <cell r="G754">
            <v>0</v>
          </cell>
          <cell r="H754" t="str">
            <v>MALBEC</v>
          </cell>
          <cell r="I754" t="str">
            <v>U</v>
          </cell>
          <cell r="J754" t="str">
            <v>M</v>
          </cell>
        </row>
        <row r="755">
          <cell r="B755" t="str">
            <v>MG010931623</v>
          </cell>
          <cell r="C755" t="str">
            <v>MARRO GRANDE</v>
          </cell>
          <cell r="D755" t="str">
            <v>CARTERA</v>
          </cell>
          <cell r="E755" t="str">
            <v>CARTERA APHOLO C/CIERRE</v>
          </cell>
          <cell r="F755" t="str">
            <v>FIORENTINO</v>
          </cell>
          <cell r="G755">
            <v>0</v>
          </cell>
          <cell r="H755" t="str">
            <v>CEDRO</v>
          </cell>
          <cell r="I755" t="str">
            <v>U</v>
          </cell>
          <cell r="J755" t="str">
            <v>M</v>
          </cell>
        </row>
        <row r="756">
          <cell r="B756" t="str">
            <v>MG010720301</v>
          </cell>
          <cell r="C756" t="str">
            <v>MARRO GRANDE</v>
          </cell>
          <cell r="D756" t="str">
            <v>CARTERA</v>
          </cell>
          <cell r="E756" t="str">
            <v>CARTERA APHOLO SET SOBRE</v>
          </cell>
          <cell r="F756" t="str">
            <v>BRIDGE</v>
          </cell>
          <cell r="G756">
            <v>0</v>
          </cell>
          <cell r="H756" t="str">
            <v>NEGRO</v>
          </cell>
          <cell r="I756" t="str">
            <v>U</v>
          </cell>
          <cell r="J756" t="str">
            <v>M</v>
          </cell>
        </row>
        <row r="757">
          <cell r="B757" t="str">
            <v>MG010720303</v>
          </cell>
          <cell r="C757" t="str">
            <v>MARRO GRANDE</v>
          </cell>
          <cell r="D757" t="str">
            <v>CARTERA</v>
          </cell>
          <cell r="E757" t="str">
            <v>CARTERA APHOLO SET SOBRE</v>
          </cell>
          <cell r="F757" t="str">
            <v>BRIDGE</v>
          </cell>
          <cell r="G757">
            <v>0</v>
          </cell>
          <cell r="H757" t="str">
            <v>CARAMELO</v>
          </cell>
          <cell r="I757" t="str">
            <v>U</v>
          </cell>
          <cell r="J757" t="str">
            <v>M</v>
          </cell>
        </row>
        <row r="758">
          <cell r="B758" t="str">
            <v>MG010720304</v>
          </cell>
          <cell r="C758" t="str">
            <v>MARRO GRANDE</v>
          </cell>
          <cell r="D758" t="str">
            <v>CARTERA</v>
          </cell>
          <cell r="E758" t="str">
            <v>CARTERA APHOLO SET SOBRE</v>
          </cell>
          <cell r="F758" t="str">
            <v>BRIDGE</v>
          </cell>
          <cell r="G758">
            <v>0</v>
          </cell>
          <cell r="H758" t="str">
            <v>TABACO</v>
          </cell>
          <cell r="I758" t="str">
            <v>U</v>
          </cell>
          <cell r="J758" t="str">
            <v>M</v>
          </cell>
        </row>
        <row r="759">
          <cell r="B759" t="str">
            <v>MG010720307</v>
          </cell>
          <cell r="C759" t="str">
            <v>MARRO GRANDE</v>
          </cell>
          <cell r="D759" t="str">
            <v>CARTERA</v>
          </cell>
          <cell r="E759" t="str">
            <v>CARTERA APHOLO SET SOBRE</v>
          </cell>
          <cell r="F759" t="str">
            <v>BRIDGE</v>
          </cell>
          <cell r="G759">
            <v>0</v>
          </cell>
          <cell r="H759" t="str">
            <v>ROJO</v>
          </cell>
          <cell r="I759" t="str">
            <v>U</v>
          </cell>
          <cell r="J759" t="str">
            <v>M</v>
          </cell>
        </row>
        <row r="760">
          <cell r="B760" t="str">
            <v>MG010720309</v>
          </cell>
          <cell r="C760" t="str">
            <v>MARRO GRANDE</v>
          </cell>
          <cell r="D760" t="str">
            <v>CARTERA</v>
          </cell>
          <cell r="E760" t="str">
            <v>CARTERA APHOLO SET SOBRE</v>
          </cell>
          <cell r="F760" t="str">
            <v>BRIDGE</v>
          </cell>
          <cell r="G760">
            <v>0</v>
          </cell>
          <cell r="H760" t="str">
            <v>AZUL</v>
          </cell>
          <cell r="I760" t="str">
            <v>U</v>
          </cell>
          <cell r="J760" t="str">
            <v>M</v>
          </cell>
        </row>
        <row r="761">
          <cell r="B761" t="str">
            <v>MG010720310</v>
          </cell>
          <cell r="C761" t="str">
            <v>MARRO GRANDE</v>
          </cell>
          <cell r="D761" t="str">
            <v>CARTERA</v>
          </cell>
          <cell r="E761" t="str">
            <v>CARTERA APHOLO SET SOBRE</v>
          </cell>
          <cell r="F761" t="str">
            <v>BRIDGE</v>
          </cell>
          <cell r="G761">
            <v>0</v>
          </cell>
          <cell r="H761" t="str">
            <v>VERDE</v>
          </cell>
          <cell r="I761" t="str">
            <v>U</v>
          </cell>
          <cell r="J761" t="str">
            <v>M</v>
          </cell>
        </row>
        <row r="762">
          <cell r="B762" t="str">
            <v>MG010090101</v>
          </cell>
          <cell r="C762" t="str">
            <v>MARRO GRANDE</v>
          </cell>
          <cell r="D762" t="str">
            <v>CARTERA</v>
          </cell>
          <cell r="E762" t="str">
            <v>CARTERA BAULITO</v>
          </cell>
          <cell r="F762" t="str">
            <v>NAPADO</v>
          </cell>
          <cell r="G762">
            <v>0</v>
          </cell>
          <cell r="H762" t="str">
            <v>NEGRO</v>
          </cell>
          <cell r="I762" t="str">
            <v>U</v>
          </cell>
          <cell r="J762" t="str">
            <v>M</v>
          </cell>
        </row>
        <row r="763">
          <cell r="B763" t="str">
            <v>MG010090102</v>
          </cell>
          <cell r="C763" t="str">
            <v>MARRO GRANDE</v>
          </cell>
          <cell r="D763" t="str">
            <v>CARTERA</v>
          </cell>
          <cell r="E763" t="str">
            <v>CARTERA BAULITO</v>
          </cell>
          <cell r="F763" t="str">
            <v>NAPADO</v>
          </cell>
          <cell r="G763">
            <v>0</v>
          </cell>
          <cell r="H763" t="str">
            <v>SUELA</v>
          </cell>
          <cell r="I763" t="str">
            <v>U</v>
          </cell>
          <cell r="J763" t="str">
            <v>M</v>
          </cell>
        </row>
        <row r="764">
          <cell r="B764" t="str">
            <v>MG010090201</v>
          </cell>
          <cell r="C764" t="str">
            <v>MARRO GRANDE</v>
          </cell>
          <cell r="D764" t="str">
            <v>CARTERA</v>
          </cell>
          <cell r="E764" t="str">
            <v>CARTERA BAULITO</v>
          </cell>
          <cell r="F764" t="str">
            <v>TAMPONATO</v>
          </cell>
          <cell r="G764">
            <v>0</v>
          </cell>
          <cell r="H764" t="str">
            <v>NEGRO</v>
          </cell>
          <cell r="I764" t="str">
            <v>U</v>
          </cell>
          <cell r="J764" t="str">
            <v>M</v>
          </cell>
        </row>
        <row r="765">
          <cell r="B765" t="str">
            <v>MG010090202</v>
          </cell>
          <cell r="C765" t="str">
            <v>MARRO GRANDE</v>
          </cell>
          <cell r="D765" t="str">
            <v>CARTERA</v>
          </cell>
          <cell r="E765" t="str">
            <v>CARTERA BAULITO</v>
          </cell>
          <cell r="F765" t="str">
            <v>TAMPONATO</v>
          </cell>
          <cell r="G765">
            <v>0</v>
          </cell>
          <cell r="H765" t="str">
            <v>SUELA</v>
          </cell>
          <cell r="I765" t="str">
            <v>U</v>
          </cell>
          <cell r="J765" t="str">
            <v>M</v>
          </cell>
        </row>
        <row r="766">
          <cell r="B766" t="str">
            <v>MG010090203</v>
          </cell>
          <cell r="C766" t="str">
            <v>MARRO GRANDE</v>
          </cell>
          <cell r="D766" t="str">
            <v>CARTERA</v>
          </cell>
          <cell r="E766" t="str">
            <v>CARTERA BAULITO</v>
          </cell>
          <cell r="F766" t="str">
            <v>TAMPONATO</v>
          </cell>
          <cell r="G766">
            <v>0</v>
          </cell>
          <cell r="H766" t="str">
            <v>CARAMELO</v>
          </cell>
          <cell r="I766" t="str">
            <v>U</v>
          </cell>
          <cell r="J766" t="str">
            <v>M</v>
          </cell>
        </row>
        <row r="767">
          <cell r="B767" t="str">
            <v>MG010090301</v>
          </cell>
          <cell r="C767" t="str">
            <v>MARRO GRANDE</v>
          </cell>
          <cell r="D767" t="str">
            <v>CARTERA</v>
          </cell>
          <cell r="E767" t="str">
            <v>CARTERA BAULITO</v>
          </cell>
          <cell r="F767" t="str">
            <v>BRIDGE</v>
          </cell>
          <cell r="G767">
            <v>0</v>
          </cell>
          <cell r="H767" t="str">
            <v>NEGRO</v>
          </cell>
          <cell r="I767" t="str">
            <v>U</v>
          </cell>
          <cell r="J767" t="str">
            <v>M</v>
          </cell>
        </row>
        <row r="768">
          <cell r="B768" t="str">
            <v>MG010090303</v>
          </cell>
          <cell r="C768" t="str">
            <v>MARRO GRANDE</v>
          </cell>
          <cell r="D768" t="str">
            <v>CARTERA</v>
          </cell>
          <cell r="E768" t="str">
            <v>CARTERA BAULITO</v>
          </cell>
          <cell r="F768" t="str">
            <v>BRIDGE</v>
          </cell>
          <cell r="G768">
            <v>0</v>
          </cell>
          <cell r="H768" t="str">
            <v>CARAMELO</v>
          </cell>
          <cell r="I768" t="str">
            <v>U</v>
          </cell>
          <cell r="J768" t="str">
            <v>M</v>
          </cell>
        </row>
        <row r="769">
          <cell r="B769" t="str">
            <v>MG010090304</v>
          </cell>
          <cell r="C769" t="str">
            <v>MARRO GRANDE</v>
          </cell>
          <cell r="D769" t="str">
            <v>CARTERA</v>
          </cell>
          <cell r="E769" t="str">
            <v>CARTERA BAULITO</v>
          </cell>
          <cell r="F769" t="str">
            <v>BRIDGE</v>
          </cell>
          <cell r="G769">
            <v>0</v>
          </cell>
          <cell r="H769" t="str">
            <v>TABACO</v>
          </cell>
          <cell r="I769" t="str">
            <v>U</v>
          </cell>
          <cell r="J769" t="str">
            <v>M</v>
          </cell>
        </row>
        <row r="770">
          <cell r="B770" t="str">
            <v>MG010090307</v>
          </cell>
          <cell r="C770" t="str">
            <v>MARRO GRANDE</v>
          </cell>
          <cell r="D770" t="str">
            <v>CARTERA</v>
          </cell>
          <cell r="E770" t="str">
            <v>CARTERA BAULITO</v>
          </cell>
          <cell r="F770" t="str">
            <v>BRIDGE</v>
          </cell>
          <cell r="G770">
            <v>0</v>
          </cell>
          <cell r="H770" t="str">
            <v>ROJO</v>
          </cell>
          <cell r="I770" t="str">
            <v>U</v>
          </cell>
          <cell r="J770" t="str">
            <v>M</v>
          </cell>
        </row>
        <row r="771">
          <cell r="B771" t="str">
            <v>MG010090309</v>
          </cell>
          <cell r="C771" t="str">
            <v>MARRO GRANDE</v>
          </cell>
          <cell r="D771" t="str">
            <v>CARTERA</v>
          </cell>
          <cell r="E771" t="str">
            <v>CARTERA BAULITO</v>
          </cell>
          <cell r="F771" t="str">
            <v>BRIDGE</v>
          </cell>
          <cell r="G771">
            <v>0</v>
          </cell>
          <cell r="H771" t="str">
            <v>AZUL</v>
          </cell>
          <cell r="I771" t="str">
            <v>U</v>
          </cell>
          <cell r="J771" t="str">
            <v>M</v>
          </cell>
        </row>
        <row r="772">
          <cell r="B772" t="str">
            <v>MG010090310</v>
          </cell>
          <cell r="C772" t="str">
            <v>MARRO GRANDE</v>
          </cell>
          <cell r="D772" t="str">
            <v>CARTERA</v>
          </cell>
          <cell r="E772" t="str">
            <v>CARTERA BAULITO</v>
          </cell>
          <cell r="F772" t="str">
            <v>BRIDGE</v>
          </cell>
          <cell r="G772">
            <v>0</v>
          </cell>
          <cell r="H772" t="str">
            <v>VERDE</v>
          </cell>
          <cell r="I772" t="str">
            <v>U</v>
          </cell>
          <cell r="J772" t="str">
            <v>M</v>
          </cell>
        </row>
        <row r="773">
          <cell r="B773" t="str">
            <v>MG010090550</v>
          </cell>
          <cell r="C773" t="str">
            <v>MARRO GRANDE</v>
          </cell>
          <cell r="D773" t="str">
            <v>CARTERA</v>
          </cell>
          <cell r="E773" t="str">
            <v>CARTERA BAULITO</v>
          </cell>
          <cell r="F773" t="str">
            <v>GAMUZA</v>
          </cell>
          <cell r="G773">
            <v>0</v>
          </cell>
          <cell r="H773" t="str">
            <v>VESUBIO/TABACO</v>
          </cell>
          <cell r="I773" t="str">
            <v>U</v>
          </cell>
          <cell r="J773" t="str">
            <v>M</v>
          </cell>
        </row>
        <row r="774">
          <cell r="B774" t="str">
            <v>MG010090551</v>
          </cell>
          <cell r="C774" t="str">
            <v>MARRO GRANDE</v>
          </cell>
          <cell r="D774" t="str">
            <v>CARTERA</v>
          </cell>
          <cell r="E774" t="str">
            <v>CARTERA BAULITO</v>
          </cell>
          <cell r="F774" t="str">
            <v>GAMUZA</v>
          </cell>
          <cell r="G774">
            <v>0</v>
          </cell>
          <cell r="H774" t="str">
            <v>MOSTAZA/TABACO</v>
          </cell>
          <cell r="I774" t="str">
            <v>U</v>
          </cell>
          <cell r="J774" t="str">
            <v>M</v>
          </cell>
        </row>
        <row r="775">
          <cell r="B775" t="str">
            <v>MG010090552</v>
          </cell>
          <cell r="C775" t="str">
            <v>MARRO GRANDE</v>
          </cell>
          <cell r="D775" t="str">
            <v>CARTERA</v>
          </cell>
          <cell r="E775" t="str">
            <v>CARTERA BAULITO</v>
          </cell>
          <cell r="F775" t="str">
            <v>GAMUZA</v>
          </cell>
          <cell r="G775">
            <v>0</v>
          </cell>
          <cell r="H775" t="str">
            <v>CHOCOLATE/TABACO</v>
          </cell>
          <cell r="I775" t="str">
            <v>U</v>
          </cell>
          <cell r="J775" t="str">
            <v>M</v>
          </cell>
        </row>
        <row r="776">
          <cell r="B776" t="str">
            <v>MG010090558</v>
          </cell>
          <cell r="C776" t="str">
            <v>MARRO GRANDE</v>
          </cell>
          <cell r="D776" t="str">
            <v>CARTERA</v>
          </cell>
          <cell r="E776" t="str">
            <v>CARTERA BAULITO</v>
          </cell>
          <cell r="F776" t="str">
            <v>GAMUZA</v>
          </cell>
          <cell r="G776">
            <v>0</v>
          </cell>
          <cell r="H776" t="str">
            <v>CAFE/TABACO</v>
          </cell>
          <cell r="I776" t="str">
            <v>U</v>
          </cell>
          <cell r="J776" t="str">
            <v>M</v>
          </cell>
        </row>
        <row r="777">
          <cell r="B777" t="str">
            <v>MG010090701</v>
          </cell>
          <cell r="C777" t="str">
            <v>MARRO GRANDE</v>
          </cell>
          <cell r="D777" t="str">
            <v>CARTERA</v>
          </cell>
          <cell r="E777" t="str">
            <v>CARTERA BAULITO</v>
          </cell>
          <cell r="F777" t="str">
            <v>IGUANA</v>
          </cell>
          <cell r="G777">
            <v>0</v>
          </cell>
          <cell r="H777" t="str">
            <v>NEGRO</v>
          </cell>
          <cell r="I777" t="str">
            <v>U</v>
          </cell>
          <cell r="J777" t="str">
            <v>M</v>
          </cell>
        </row>
        <row r="778">
          <cell r="B778" t="str">
            <v>MG010090703</v>
          </cell>
          <cell r="C778" t="str">
            <v>MARRO GRANDE</v>
          </cell>
          <cell r="D778" t="str">
            <v>CARTERA</v>
          </cell>
          <cell r="E778" t="str">
            <v>CARTERA BAULITO</v>
          </cell>
          <cell r="F778" t="str">
            <v>IGUANA</v>
          </cell>
          <cell r="G778">
            <v>0</v>
          </cell>
          <cell r="H778" t="str">
            <v>CARAMELO</v>
          </cell>
          <cell r="I778" t="str">
            <v>U</v>
          </cell>
          <cell r="J778" t="str">
            <v>M</v>
          </cell>
        </row>
        <row r="779">
          <cell r="B779" t="str">
            <v>MG010090707</v>
          </cell>
          <cell r="C779" t="str">
            <v>MARRO GRANDE</v>
          </cell>
          <cell r="D779" t="str">
            <v>CARTERA</v>
          </cell>
          <cell r="E779" t="str">
            <v>CARTERA BAULITO</v>
          </cell>
          <cell r="F779" t="str">
            <v>IGUANA</v>
          </cell>
          <cell r="G779">
            <v>0</v>
          </cell>
          <cell r="H779" t="str">
            <v>ROJO</v>
          </cell>
          <cell r="I779" t="str">
            <v>U</v>
          </cell>
          <cell r="J779" t="str">
            <v>M</v>
          </cell>
        </row>
        <row r="780">
          <cell r="B780" t="str">
            <v>MG010090709</v>
          </cell>
          <cell r="C780" t="str">
            <v>MARRO GRANDE</v>
          </cell>
          <cell r="D780" t="str">
            <v>CARTERA</v>
          </cell>
          <cell r="E780" t="str">
            <v>CARTERA BAULITO</v>
          </cell>
          <cell r="F780" t="str">
            <v>IGUANA</v>
          </cell>
          <cell r="G780">
            <v>0</v>
          </cell>
          <cell r="H780" t="str">
            <v>AZUL</v>
          </cell>
          <cell r="I780" t="str">
            <v>U</v>
          </cell>
          <cell r="J780" t="str">
            <v>M</v>
          </cell>
        </row>
        <row r="781">
          <cell r="B781" t="str">
            <v>MG010090710</v>
          </cell>
          <cell r="C781" t="str">
            <v>MARRO GRANDE</v>
          </cell>
          <cell r="D781" t="str">
            <v>CARTERA</v>
          </cell>
          <cell r="E781" t="str">
            <v>CARTERA BAULITO</v>
          </cell>
          <cell r="F781" t="str">
            <v>IGUANA</v>
          </cell>
          <cell r="G781">
            <v>0</v>
          </cell>
          <cell r="H781" t="str">
            <v>VERDE</v>
          </cell>
          <cell r="I781" t="str">
            <v>U</v>
          </cell>
          <cell r="J781" t="str">
            <v>M</v>
          </cell>
        </row>
        <row r="782">
          <cell r="B782" t="str">
            <v>MG010091623</v>
          </cell>
          <cell r="C782" t="str">
            <v>MARRO GRANDE</v>
          </cell>
          <cell r="D782" t="str">
            <v>CARTERA</v>
          </cell>
          <cell r="E782" t="str">
            <v>CARTERA BAULITO</v>
          </cell>
          <cell r="F782" t="str">
            <v>FIORENTINO</v>
          </cell>
          <cell r="G782">
            <v>0</v>
          </cell>
          <cell r="H782" t="str">
            <v>CEDRO</v>
          </cell>
          <cell r="I782" t="str">
            <v>U</v>
          </cell>
          <cell r="J782" t="str">
            <v>M</v>
          </cell>
        </row>
        <row r="783">
          <cell r="B783" t="str">
            <v>MG010200101</v>
          </cell>
          <cell r="C783" t="str">
            <v>MARRO GRANDE</v>
          </cell>
          <cell r="D783" t="str">
            <v>CARTERA</v>
          </cell>
          <cell r="E783" t="str">
            <v>CARTERA BOWLING</v>
          </cell>
          <cell r="F783" t="str">
            <v>NAPADO</v>
          </cell>
          <cell r="G783">
            <v>0</v>
          </cell>
          <cell r="H783" t="str">
            <v>NEGRO</v>
          </cell>
          <cell r="I783" t="str">
            <v>U</v>
          </cell>
          <cell r="J783" t="str">
            <v>M</v>
          </cell>
        </row>
        <row r="784">
          <cell r="B784" t="str">
            <v>MG010200102</v>
          </cell>
          <cell r="C784" t="str">
            <v>MARRO GRANDE</v>
          </cell>
          <cell r="D784" t="str">
            <v>CARTERA</v>
          </cell>
          <cell r="E784" t="str">
            <v>CARTERA BOWLING</v>
          </cell>
          <cell r="F784" t="str">
            <v>NAPADO</v>
          </cell>
          <cell r="G784">
            <v>0</v>
          </cell>
          <cell r="H784" t="str">
            <v>SUELA</v>
          </cell>
          <cell r="I784" t="str">
            <v>U</v>
          </cell>
          <cell r="J784" t="str">
            <v>M</v>
          </cell>
        </row>
        <row r="785">
          <cell r="B785" t="str">
            <v>MG010200201</v>
          </cell>
          <cell r="C785" t="str">
            <v>MARRO GRANDE</v>
          </cell>
          <cell r="D785" t="str">
            <v>CARTERA</v>
          </cell>
          <cell r="E785" t="str">
            <v>CARTERA BOWLING</v>
          </cell>
          <cell r="F785" t="str">
            <v>TAMPONATO</v>
          </cell>
          <cell r="G785">
            <v>0</v>
          </cell>
          <cell r="H785" t="str">
            <v>NEGRO</v>
          </cell>
          <cell r="I785" t="str">
            <v>U</v>
          </cell>
          <cell r="J785" t="str">
            <v>M</v>
          </cell>
        </row>
        <row r="786">
          <cell r="B786" t="str">
            <v>MG010200303</v>
          </cell>
          <cell r="C786" t="str">
            <v>MARRO GRANDE</v>
          </cell>
          <cell r="D786" t="str">
            <v>CARTERA</v>
          </cell>
          <cell r="E786" t="str">
            <v>CARTERA BOWLING</v>
          </cell>
          <cell r="F786" t="str">
            <v>BRIDGE</v>
          </cell>
          <cell r="G786">
            <v>0</v>
          </cell>
          <cell r="H786" t="str">
            <v>CARAMELO</v>
          </cell>
          <cell r="I786" t="str">
            <v>U</v>
          </cell>
          <cell r="J786" t="str">
            <v>M</v>
          </cell>
        </row>
        <row r="787">
          <cell r="B787" t="str">
            <v>MG010200304</v>
          </cell>
          <cell r="C787" t="str">
            <v>MARRO GRANDE</v>
          </cell>
          <cell r="D787" t="str">
            <v>CARTERA</v>
          </cell>
          <cell r="E787" t="str">
            <v>CARTERA BOWLING</v>
          </cell>
          <cell r="F787" t="str">
            <v>BRIDGE</v>
          </cell>
          <cell r="G787">
            <v>0</v>
          </cell>
          <cell r="H787" t="str">
            <v>TABACO</v>
          </cell>
          <cell r="I787" t="str">
            <v>U</v>
          </cell>
          <cell r="J787" t="str">
            <v>M</v>
          </cell>
        </row>
        <row r="788">
          <cell r="B788" t="str">
            <v>MG010850301</v>
          </cell>
          <cell r="C788" t="str">
            <v>MARRO GRANDE</v>
          </cell>
          <cell r="D788" t="str">
            <v>CARTERA</v>
          </cell>
          <cell r="E788" t="str">
            <v>CARTERA CHALTEN</v>
          </cell>
          <cell r="F788" t="str">
            <v>BRIDGE</v>
          </cell>
          <cell r="G788">
            <v>0</v>
          </cell>
          <cell r="H788" t="str">
            <v>NEGRO</v>
          </cell>
          <cell r="I788" t="str">
            <v>U</v>
          </cell>
          <cell r="J788" t="str">
            <v>M</v>
          </cell>
        </row>
        <row r="789">
          <cell r="B789" t="str">
            <v>MG010850303</v>
          </cell>
          <cell r="C789" t="str">
            <v>MARRO GRANDE</v>
          </cell>
          <cell r="D789" t="str">
            <v>CARTERA</v>
          </cell>
          <cell r="E789" t="str">
            <v>CARTERA CHALTEN</v>
          </cell>
          <cell r="F789" t="str">
            <v>BRIDGE</v>
          </cell>
          <cell r="G789">
            <v>0</v>
          </cell>
          <cell r="H789" t="str">
            <v>CARAMELO</v>
          </cell>
          <cell r="I789" t="str">
            <v>U</v>
          </cell>
          <cell r="J789" t="str">
            <v>M</v>
          </cell>
        </row>
        <row r="790">
          <cell r="B790" t="str">
            <v>MG010850304</v>
          </cell>
          <cell r="C790" t="str">
            <v>MARRO GRANDE</v>
          </cell>
          <cell r="D790" t="str">
            <v>CARTERA</v>
          </cell>
          <cell r="E790" t="str">
            <v>CARTERA CHALTEN</v>
          </cell>
          <cell r="F790" t="str">
            <v>BRIDGE</v>
          </cell>
          <cell r="G790">
            <v>0</v>
          </cell>
          <cell r="H790" t="str">
            <v>TABACO</v>
          </cell>
          <cell r="I790" t="str">
            <v>U</v>
          </cell>
          <cell r="J790" t="str">
            <v>M</v>
          </cell>
        </row>
        <row r="791">
          <cell r="B791" t="str">
            <v>MG010850305</v>
          </cell>
          <cell r="C791" t="str">
            <v>MARRO GRANDE</v>
          </cell>
          <cell r="D791" t="str">
            <v>CARTERA</v>
          </cell>
          <cell r="E791" t="str">
            <v>CARTERA CHALTEN</v>
          </cell>
          <cell r="F791" t="str">
            <v>BRIDGE</v>
          </cell>
          <cell r="G791">
            <v>0</v>
          </cell>
          <cell r="H791" t="str">
            <v>LONDON</v>
          </cell>
          <cell r="I791" t="str">
            <v>U</v>
          </cell>
          <cell r="J791" t="str">
            <v>M</v>
          </cell>
        </row>
        <row r="792">
          <cell r="B792" t="str">
            <v>MG010850307</v>
          </cell>
          <cell r="C792" t="str">
            <v>MARRO GRANDE</v>
          </cell>
          <cell r="D792" t="str">
            <v>CARTERA</v>
          </cell>
          <cell r="E792" t="str">
            <v>CARTERA CHALTEN</v>
          </cell>
          <cell r="F792" t="str">
            <v>BRIDGE</v>
          </cell>
          <cell r="G792">
            <v>0</v>
          </cell>
          <cell r="H792" t="str">
            <v>ROJO</v>
          </cell>
          <cell r="I792" t="str">
            <v>U</v>
          </cell>
          <cell r="J792" t="str">
            <v>M</v>
          </cell>
        </row>
        <row r="793">
          <cell r="B793" t="str">
            <v>MG010850309</v>
          </cell>
          <cell r="C793" t="str">
            <v>MARRO GRANDE</v>
          </cell>
          <cell r="D793" t="str">
            <v>CARTERA</v>
          </cell>
          <cell r="E793" t="str">
            <v>CARTERA CHALTEN</v>
          </cell>
          <cell r="F793" t="str">
            <v>BRIDGE</v>
          </cell>
          <cell r="G793">
            <v>0</v>
          </cell>
          <cell r="H793" t="str">
            <v>AZUL</v>
          </cell>
          <cell r="I793" t="str">
            <v>U</v>
          </cell>
          <cell r="J793" t="str">
            <v>M</v>
          </cell>
        </row>
        <row r="794">
          <cell r="B794" t="str">
            <v>MG010850310</v>
          </cell>
          <cell r="C794" t="str">
            <v>MARRO GRANDE</v>
          </cell>
          <cell r="D794" t="str">
            <v>CARTERA</v>
          </cell>
          <cell r="E794" t="str">
            <v>CARTERA CHALTEN</v>
          </cell>
          <cell r="F794" t="str">
            <v>BRIDGE</v>
          </cell>
          <cell r="G794">
            <v>0</v>
          </cell>
          <cell r="H794" t="str">
            <v>VERDE</v>
          </cell>
          <cell r="I794" t="str">
            <v>U</v>
          </cell>
          <cell r="J794" t="str">
            <v>M</v>
          </cell>
        </row>
        <row r="795">
          <cell r="B795" t="str">
            <v>MG010850311</v>
          </cell>
          <cell r="C795" t="str">
            <v>MARRO GRANDE</v>
          </cell>
          <cell r="D795" t="str">
            <v>CARTERA</v>
          </cell>
          <cell r="E795" t="str">
            <v>CARTERA CHALTEN</v>
          </cell>
          <cell r="F795" t="str">
            <v>BRIDGE</v>
          </cell>
          <cell r="G795">
            <v>0</v>
          </cell>
          <cell r="H795" t="str">
            <v>CAMEL</v>
          </cell>
          <cell r="I795" t="str">
            <v>U</v>
          </cell>
          <cell r="J795" t="str">
            <v>M</v>
          </cell>
        </row>
        <row r="796">
          <cell r="B796" t="str">
            <v>MG010850315</v>
          </cell>
          <cell r="C796" t="str">
            <v>MARRO GRANDE</v>
          </cell>
          <cell r="D796" t="str">
            <v>CARTERA</v>
          </cell>
          <cell r="E796" t="str">
            <v>CARTERA CHALTEN</v>
          </cell>
          <cell r="F796" t="str">
            <v>BRIDGE</v>
          </cell>
          <cell r="G796">
            <v>0</v>
          </cell>
          <cell r="H796" t="str">
            <v>MALBEC</v>
          </cell>
          <cell r="I796" t="str">
            <v>U</v>
          </cell>
          <cell r="J796" t="str">
            <v>M</v>
          </cell>
        </row>
        <row r="797">
          <cell r="B797" t="str">
            <v>MG010330301</v>
          </cell>
          <cell r="C797" t="str">
            <v>MARRO GRANDE</v>
          </cell>
          <cell r="D797" t="str">
            <v>CARTERA</v>
          </cell>
          <cell r="E797" t="str">
            <v>CARTERA DOS HEBILLAS</v>
          </cell>
          <cell r="F797" t="str">
            <v>BRIDGE</v>
          </cell>
          <cell r="G797">
            <v>0</v>
          </cell>
          <cell r="H797" t="str">
            <v>NEGRO</v>
          </cell>
          <cell r="I797" t="str">
            <v>U</v>
          </cell>
          <cell r="J797" t="str">
            <v>M</v>
          </cell>
        </row>
        <row r="798">
          <cell r="B798" t="str">
            <v>MG010330303</v>
          </cell>
          <cell r="C798" t="str">
            <v>MARRO GRANDE</v>
          </cell>
          <cell r="D798" t="str">
            <v>CARTERA</v>
          </cell>
          <cell r="E798" t="str">
            <v>CARTERA DOS HEBILLAS</v>
          </cell>
          <cell r="F798" t="str">
            <v>BRIDGE</v>
          </cell>
          <cell r="G798">
            <v>0</v>
          </cell>
          <cell r="H798" t="str">
            <v>CARAMELO</v>
          </cell>
          <cell r="I798" t="str">
            <v>U</v>
          </cell>
          <cell r="J798" t="str">
            <v>M</v>
          </cell>
        </row>
        <row r="799">
          <cell r="B799" t="str">
            <v>MG010330304</v>
          </cell>
          <cell r="C799" t="str">
            <v>MARRO GRANDE</v>
          </cell>
          <cell r="D799" t="str">
            <v>CARTERA</v>
          </cell>
          <cell r="E799" t="str">
            <v>CARTERA DOS HEBILLAS</v>
          </cell>
          <cell r="F799" t="str">
            <v>BRIDGE</v>
          </cell>
          <cell r="G799">
            <v>0</v>
          </cell>
          <cell r="H799" t="str">
            <v>TABACO</v>
          </cell>
          <cell r="I799" t="str">
            <v>U</v>
          </cell>
          <cell r="J799" t="str">
            <v>M</v>
          </cell>
        </row>
        <row r="800">
          <cell r="B800" t="str">
            <v>MG010330550</v>
          </cell>
          <cell r="C800" t="str">
            <v>MARRO GRANDE</v>
          </cell>
          <cell r="D800" t="str">
            <v>CARTERA</v>
          </cell>
          <cell r="E800" t="str">
            <v>CARTERA DOS HEBILLAS</v>
          </cell>
          <cell r="F800" t="str">
            <v>GAMUZA</v>
          </cell>
          <cell r="G800">
            <v>0</v>
          </cell>
          <cell r="H800" t="str">
            <v>VESUBIO/TABACO</v>
          </cell>
          <cell r="I800" t="str">
            <v>U</v>
          </cell>
          <cell r="J800" t="str">
            <v>M</v>
          </cell>
        </row>
        <row r="801">
          <cell r="B801" t="str">
            <v>MG010330550-01</v>
          </cell>
          <cell r="C801" t="str">
            <v>MARRO GRANDE</v>
          </cell>
          <cell r="D801" t="str">
            <v>CARTERA</v>
          </cell>
          <cell r="E801" t="str">
            <v>CARTERA DOS HEBILLAS</v>
          </cell>
          <cell r="F801" t="str">
            <v>GAMUZA</v>
          </cell>
          <cell r="G801">
            <v>0</v>
          </cell>
          <cell r="H801" t="str">
            <v>VESUBIO/NEGRO</v>
          </cell>
          <cell r="I801" t="str">
            <v>U</v>
          </cell>
          <cell r="J801" t="str">
            <v>M</v>
          </cell>
        </row>
        <row r="802">
          <cell r="B802" t="str">
            <v>MG010330551</v>
          </cell>
          <cell r="C802" t="str">
            <v>MARRO GRANDE</v>
          </cell>
          <cell r="D802" t="str">
            <v>CARTERA</v>
          </cell>
          <cell r="E802" t="str">
            <v>CARTERA DOS HEBILLAS</v>
          </cell>
          <cell r="F802" t="str">
            <v>GAMUZA</v>
          </cell>
          <cell r="G802">
            <v>0</v>
          </cell>
          <cell r="H802" t="str">
            <v>MOSTAZA/TABACO</v>
          </cell>
          <cell r="I802" t="str">
            <v>U</v>
          </cell>
          <cell r="J802" t="str">
            <v>M</v>
          </cell>
        </row>
        <row r="803">
          <cell r="B803" t="str">
            <v>MG010330552</v>
          </cell>
          <cell r="C803" t="str">
            <v>MARRO GRANDE</v>
          </cell>
          <cell r="D803" t="str">
            <v>CARTERA</v>
          </cell>
          <cell r="E803" t="str">
            <v>CARTERA DOS HEBILLAS</v>
          </cell>
          <cell r="F803" t="str">
            <v>GAMUZA</v>
          </cell>
          <cell r="G803">
            <v>0</v>
          </cell>
          <cell r="H803" t="str">
            <v>CHOCOLATE/TABACO</v>
          </cell>
          <cell r="I803" t="str">
            <v>U</v>
          </cell>
          <cell r="J803" t="str">
            <v>M</v>
          </cell>
        </row>
        <row r="804">
          <cell r="B804" t="str">
            <v>MG010330553</v>
          </cell>
          <cell r="C804" t="str">
            <v>MARRO GRANDE</v>
          </cell>
          <cell r="D804" t="str">
            <v>CARTERA</v>
          </cell>
          <cell r="E804" t="str">
            <v>CARTERA DOS HEBILLAS</v>
          </cell>
          <cell r="F804" t="str">
            <v>GAMUZA</v>
          </cell>
          <cell r="G804">
            <v>0</v>
          </cell>
          <cell r="H804" t="str">
            <v>HABANO/NEGRO</v>
          </cell>
          <cell r="I804" t="str">
            <v>U</v>
          </cell>
          <cell r="J804" t="str">
            <v>M</v>
          </cell>
        </row>
        <row r="805">
          <cell r="B805" t="str">
            <v>MG010330553-04</v>
          </cell>
          <cell r="C805" t="str">
            <v>MARRO GRANDE</v>
          </cell>
          <cell r="D805" t="str">
            <v>CARTERA</v>
          </cell>
          <cell r="E805" t="str">
            <v>CARTERA DOS HEBILLAS</v>
          </cell>
          <cell r="F805" t="str">
            <v>GAMUZA</v>
          </cell>
          <cell r="G805">
            <v>0</v>
          </cell>
          <cell r="H805" t="str">
            <v>HABANO/TABACO</v>
          </cell>
          <cell r="I805" t="str">
            <v>U</v>
          </cell>
          <cell r="J805" t="str">
            <v>M</v>
          </cell>
        </row>
        <row r="806">
          <cell r="B806" t="str">
            <v>MG010740301</v>
          </cell>
          <cell r="C806" t="str">
            <v>MARRO GRANDE</v>
          </cell>
          <cell r="D806" t="str">
            <v>CARTERA</v>
          </cell>
          <cell r="E806" t="str">
            <v>CARTERA DOS HEBILLAS NEW</v>
          </cell>
          <cell r="F806" t="str">
            <v>BRIDGE</v>
          </cell>
          <cell r="G806">
            <v>0</v>
          </cell>
          <cell r="H806" t="str">
            <v>NEGRO</v>
          </cell>
          <cell r="I806" t="str">
            <v>U</v>
          </cell>
          <cell r="J806" t="str">
            <v>M</v>
          </cell>
        </row>
        <row r="807">
          <cell r="B807" t="str">
            <v>MG010740303</v>
          </cell>
          <cell r="C807" t="str">
            <v>MARRO GRANDE</v>
          </cell>
          <cell r="D807" t="str">
            <v>CARTERA</v>
          </cell>
          <cell r="E807" t="str">
            <v>CARTERA DOS HEBILLAS NEW</v>
          </cell>
          <cell r="F807" t="str">
            <v>BRIDGE</v>
          </cell>
          <cell r="G807">
            <v>0</v>
          </cell>
          <cell r="H807" t="str">
            <v>CARAMELO</v>
          </cell>
          <cell r="I807" t="str">
            <v>U</v>
          </cell>
          <cell r="J807" t="str">
            <v>M</v>
          </cell>
        </row>
        <row r="808">
          <cell r="B808" t="str">
            <v>MG010740304</v>
          </cell>
          <cell r="C808" t="str">
            <v>MARRO GRANDE</v>
          </cell>
          <cell r="D808" t="str">
            <v>CARTERA</v>
          </cell>
          <cell r="E808" t="str">
            <v>CARTERA DOS HEBILLAS NEW</v>
          </cell>
          <cell r="F808" t="str">
            <v>BRIDGE</v>
          </cell>
          <cell r="G808">
            <v>0</v>
          </cell>
          <cell r="H808" t="str">
            <v>TABACO</v>
          </cell>
          <cell r="I808" t="str">
            <v>U</v>
          </cell>
          <cell r="J808" t="str">
            <v>M</v>
          </cell>
        </row>
        <row r="809">
          <cell r="B809" t="str">
            <v>MG010740509-4</v>
          </cell>
          <cell r="C809" t="str">
            <v>MARRO GRANDE</v>
          </cell>
          <cell r="D809" t="str">
            <v>CARTERA</v>
          </cell>
          <cell r="E809" t="str">
            <v>CARTERA DOS HEBILLAS NEW</v>
          </cell>
          <cell r="F809" t="str">
            <v>GAMUZA/BRIDGE</v>
          </cell>
          <cell r="G809">
            <v>0</v>
          </cell>
          <cell r="H809" t="str">
            <v>AZUL/TABACO</v>
          </cell>
          <cell r="I809" t="str">
            <v>U</v>
          </cell>
          <cell r="J809" t="str">
            <v>M</v>
          </cell>
        </row>
        <row r="810">
          <cell r="B810" t="str">
            <v>MG010740516-4</v>
          </cell>
          <cell r="C810" t="str">
            <v>MARRO GRANDE</v>
          </cell>
          <cell r="D810" t="str">
            <v>CARTERA</v>
          </cell>
          <cell r="E810" t="str">
            <v>CARTERA DOS HEBILLAS NEW</v>
          </cell>
          <cell r="F810" t="str">
            <v>GAMUZA</v>
          </cell>
          <cell r="G810">
            <v>0</v>
          </cell>
          <cell r="H810" t="str">
            <v>OLIVE/TABACO</v>
          </cell>
          <cell r="I810" t="str">
            <v>U</v>
          </cell>
          <cell r="J810" t="str">
            <v>M</v>
          </cell>
        </row>
        <row r="811">
          <cell r="B811" t="str">
            <v>MG010740517-4</v>
          </cell>
          <cell r="C811" t="str">
            <v>MARRO GRANDE</v>
          </cell>
          <cell r="D811" t="str">
            <v>CARTERA</v>
          </cell>
          <cell r="E811" t="str">
            <v>CARTERA DOS HEBILLAS NEW</v>
          </cell>
          <cell r="F811" t="str">
            <v>GAMUZA</v>
          </cell>
          <cell r="G811">
            <v>0</v>
          </cell>
          <cell r="H811" t="str">
            <v>GRIS MEDIO/TABACO</v>
          </cell>
          <cell r="I811" t="str">
            <v>U</v>
          </cell>
          <cell r="J811" t="str">
            <v>M</v>
          </cell>
        </row>
        <row r="812">
          <cell r="B812" t="str">
            <v>MG010740550</v>
          </cell>
          <cell r="C812" t="str">
            <v>MARRO GRANDE</v>
          </cell>
          <cell r="D812" t="str">
            <v>CARTERA</v>
          </cell>
          <cell r="E812" t="str">
            <v>CARTERA DOS HEBILLAS NEW</v>
          </cell>
          <cell r="F812" t="str">
            <v>GAMUZA</v>
          </cell>
          <cell r="G812">
            <v>0</v>
          </cell>
          <cell r="H812" t="str">
            <v>VESUBIO/TABACO</v>
          </cell>
          <cell r="I812" t="str">
            <v>U</v>
          </cell>
          <cell r="J812" t="str">
            <v>M</v>
          </cell>
        </row>
        <row r="813">
          <cell r="B813" t="str">
            <v>MG010740555</v>
          </cell>
          <cell r="C813" t="str">
            <v>MARRO GRANDE</v>
          </cell>
          <cell r="D813" t="str">
            <v>CARTERA</v>
          </cell>
          <cell r="E813" t="str">
            <v>CARTERA DOS HEBILLAS NEW</v>
          </cell>
          <cell r="F813" t="str">
            <v>GAMUZA</v>
          </cell>
          <cell r="G813">
            <v>0</v>
          </cell>
          <cell r="H813" t="str">
            <v>AVELLANA/TABACO</v>
          </cell>
          <cell r="I813" t="str">
            <v>U</v>
          </cell>
          <cell r="J813" t="str">
            <v>M</v>
          </cell>
        </row>
        <row r="814">
          <cell r="B814" t="str">
            <v>MG010740556-4</v>
          </cell>
          <cell r="C814" t="str">
            <v>MARRO GRANDE</v>
          </cell>
          <cell r="D814" t="str">
            <v>CARTERA</v>
          </cell>
          <cell r="E814" t="str">
            <v>CARTERA DOS HEBILLAS NEW</v>
          </cell>
          <cell r="F814" t="str">
            <v>GAMUZA</v>
          </cell>
          <cell r="G814">
            <v>0</v>
          </cell>
          <cell r="H814" t="str">
            <v>OXIDO/TABACO</v>
          </cell>
          <cell r="I814" t="str">
            <v>U</v>
          </cell>
          <cell r="J814" t="str">
            <v>M</v>
          </cell>
        </row>
        <row r="815">
          <cell r="B815" t="str">
            <v>MG010740558</v>
          </cell>
          <cell r="C815" t="str">
            <v>MARRO GRANDE</v>
          </cell>
          <cell r="D815" t="str">
            <v>CARTERA</v>
          </cell>
          <cell r="E815" t="str">
            <v>CARTERA DOS HEBILLAS NEW</v>
          </cell>
          <cell r="F815" t="str">
            <v>GAMUZA</v>
          </cell>
          <cell r="G815">
            <v>0</v>
          </cell>
          <cell r="H815" t="str">
            <v>CAFE</v>
          </cell>
          <cell r="I815" t="str">
            <v>U</v>
          </cell>
          <cell r="J815" t="str">
            <v>M</v>
          </cell>
        </row>
        <row r="816">
          <cell r="B816" t="str">
            <v>MG010740558-4</v>
          </cell>
          <cell r="C816" t="str">
            <v>MARRO GRANDE</v>
          </cell>
          <cell r="D816" t="str">
            <v>CARTERA</v>
          </cell>
          <cell r="E816" t="str">
            <v>CARTERA DOS HEBILLAS NEW</v>
          </cell>
          <cell r="F816" t="str">
            <v>GAMUZA</v>
          </cell>
          <cell r="G816">
            <v>0</v>
          </cell>
          <cell r="H816" t="str">
            <v>MARRON TOOL/TABACO</v>
          </cell>
          <cell r="I816" t="str">
            <v>U</v>
          </cell>
          <cell r="J816" t="str">
            <v>M</v>
          </cell>
        </row>
        <row r="817">
          <cell r="B817" t="str">
            <v>MG011130103</v>
          </cell>
          <cell r="C817" t="str">
            <v>MARRO GRANDE</v>
          </cell>
          <cell r="D817" t="str">
            <v>CARTERA</v>
          </cell>
          <cell r="E817" t="str">
            <v>CARTERA EMILIA</v>
          </cell>
          <cell r="F817" t="str">
            <v>NAPADO</v>
          </cell>
          <cell r="G817">
            <v>0</v>
          </cell>
          <cell r="H817" t="str">
            <v>CARAMELO</v>
          </cell>
          <cell r="I817" t="str">
            <v>U</v>
          </cell>
          <cell r="J817" t="str">
            <v>M</v>
          </cell>
        </row>
        <row r="818">
          <cell r="B818" t="str">
            <v>MG011130115</v>
          </cell>
          <cell r="C818" t="str">
            <v>MARRO GRANDE</v>
          </cell>
          <cell r="D818" t="str">
            <v>CARTERA</v>
          </cell>
          <cell r="E818" t="str">
            <v>CARTERA EMILIA</v>
          </cell>
          <cell r="F818" t="str">
            <v>NAPADO</v>
          </cell>
          <cell r="G818">
            <v>0</v>
          </cell>
          <cell r="H818" t="str">
            <v>MALBEC</v>
          </cell>
          <cell r="I818" t="str">
            <v>U</v>
          </cell>
          <cell r="J818" t="str">
            <v>M</v>
          </cell>
        </row>
        <row r="819">
          <cell r="B819" t="str">
            <v>MG011131201</v>
          </cell>
          <cell r="C819" t="str">
            <v>MARRO GRANDE</v>
          </cell>
          <cell r="D819" t="str">
            <v>CARTERA</v>
          </cell>
          <cell r="E819" t="str">
            <v>CARTERA EMILIA</v>
          </cell>
          <cell r="F819" t="str">
            <v>DUNA</v>
          </cell>
          <cell r="G819">
            <v>0</v>
          </cell>
          <cell r="H819" t="str">
            <v>NEGRO</v>
          </cell>
          <cell r="I819" t="str">
            <v>U</v>
          </cell>
          <cell r="J819" t="str">
            <v>M</v>
          </cell>
        </row>
        <row r="820">
          <cell r="B820" t="str">
            <v>MG011133344</v>
          </cell>
          <cell r="C820" t="str">
            <v>MARRO GRANDE</v>
          </cell>
          <cell r="D820" t="str">
            <v>CARTERA</v>
          </cell>
          <cell r="E820" t="str">
            <v>CARTERA EMILIA</v>
          </cell>
          <cell r="F820" t="str">
            <v>CRASH</v>
          </cell>
          <cell r="G820">
            <v>0</v>
          </cell>
          <cell r="H820" t="str">
            <v>BLACK</v>
          </cell>
          <cell r="I820" t="str">
            <v>U</v>
          </cell>
          <cell r="J820" t="str">
            <v>M</v>
          </cell>
        </row>
        <row r="821">
          <cell r="B821" t="str">
            <v>MG010130101</v>
          </cell>
          <cell r="C821" t="str">
            <v>MARRO GRANDE</v>
          </cell>
          <cell r="D821" t="str">
            <v>CARTERA</v>
          </cell>
          <cell r="E821" t="str">
            <v>CARTERA ENRIQUETA</v>
          </cell>
          <cell r="F821" t="str">
            <v>NAPADO</v>
          </cell>
          <cell r="G821">
            <v>0</v>
          </cell>
          <cell r="H821" t="str">
            <v>NEGRO</v>
          </cell>
          <cell r="I821" t="str">
            <v>U</v>
          </cell>
          <cell r="J821" t="str">
            <v>M</v>
          </cell>
        </row>
        <row r="822">
          <cell r="B822" t="str">
            <v>MG010130102</v>
          </cell>
          <cell r="C822" t="str">
            <v>MARRO GRANDE</v>
          </cell>
          <cell r="D822" t="str">
            <v>CARTERA</v>
          </cell>
          <cell r="E822" t="str">
            <v>CARTERA ENRIQUETA</v>
          </cell>
          <cell r="F822" t="str">
            <v>NAPADO</v>
          </cell>
          <cell r="G822">
            <v>0</v>
          </cell>
          <cell r="H822" t="str">
            <v>SUELA</v>
          </cell>
          <cell r="I822" t="str">
            <v>U</v>
          </cell>
          <cell r="J822" t="str">
            <v>M</v>
          </cell>
        </row>
        <row r="823">
          <cell r="B823" t="str">
            <v>MG010130550</v>
          </cell>
          <cell r="C823" t="str">
            <v>MARRO GRANDE</v>
          </cell>
          <cell r="D823" t="str">
            <v>CARTERA</v>
          </cell>
          <cell r="E823" t="str">
            <v>CARTERA ENRIQUETA</v>
          </cell>
          <cell r="F823" t="str">
            <v>GAMUZA</v>
          </cell>
          <cell r="G823">
            <v>0</v>
          </cell>
          <cell r="H823" t="str">
            <v>VESUBIO/TABACO</v>
          </cell>
          <cell r="I823" t="str">
            <v>U</v>
          </cell>
          <cell r="J823" t="str">
            <v>M</v>
          </cell>
        </row>
        <row r="824">
          <cell r="B824" t="str">
            <v>MG010130551</v>
          </cell>
          <cell r="C824" t="str">
            <v>MARRO GRANDE</v>
          </cell>
          <cell r="D824" t="str">
            <v>CARTERA</v>
          </cell>
          <cell r="E824" t="str">
            <v>CARTERA ENRIQUETA</v>
          </cell>
          <cell r="F824" t="str">
            <v>GAMUZA</v>
          </cell>
          <cell r="G824">
            <v>0</v>
          </cell>
          <cell r="H824" t="str">
            <v>MOSTAZA/TABACO</v>
          </cell>
          <cell r="I824" t="str">
            <v>U</v>
          </cell>
          <cell r="J824" t="str">
            <v>M</v>
          </cell>
        </row>
        <row r="825">
          <cell r="B825" t="str">
            <v>MG010130552</v>
          </cell>
          <cell r="C825" t="str">
            <v>MARRO GRANDE</v>
          </cell>
          <cell r="D825" t="str">
            <v>CARTERA</v>
          </cell>
          <cell r="E825" t="str">
            <v>CARTERA ENRIQUETA</v>
          </cell>
          <cell r="F825" t="str">
            <v>GAMUZA</v>
          </cell>
          <cell r="G825">
            <v>0</v>
          </cell>
          <cell r="H825" t="str">
            <v>CHOCOLATE/TABACO</v>
          </cell>
          <cell r="I825" t="str">
            <v>U</v>
          </cell>
          <cell r="J825" t="str">
            <v>M</v>
          </cell>
        </row>
        <row r="826">
          <cell r="B826" t="str">
            <v>MG010140301</v>
          </cell>
          <cell r="C826" t="str">
            <v>MARRO GRANDE</v>
          </cell>
          <cell r="D826" t="str">
            <v>CARTERA</v>
          </cell>
          <cell r="E826" t="str">
            <v>CARTERA ESTELA</v>
          </cell>
          <cell r="F826" t="str">
            <v>BRIDGE</v>
          </cell>
          <cell r="G826">
            <v>0</v>
          </cell>
          <cell r="H826" t="str">
            <v>NEGRO</v>
          </cell>
          <cell r="I826" t="str">
            <v>U</v>
          </cell>
          <cell r="J826" t="str">
            <v>M</v>
          </cell>
        </row>
        <row r="827">
          <cell r="B827" t="str">
            <v>MG010140302</v>
          </cell>
          <cell r="C827" t="str">
            <v>MARRO GRANDE</v>
          </cell>
          <cell r="D827" t="str">
            <v>CARTERA</v>
          </cell>
          <cell r="E827" t="str">
            <v>CARTERA ESTELA</v>
          </cell>
          <cell r="F827" t="str">
            <v>BRIDGE</v>
          </cell>
          <cell r="G827">
            <v>0</v>
          </cell>
          <cell r="H827" t="str">
            <v>SUELA</v>
          </cell>
          <cell r="I827" t="str">
            <v>U</v>
          </cell>
          <cell r="J827" t="str">
            <v>M</v>
          </cell>
        </row>
        <row r="828">
          <cell r="B828" t="str">
            <v>MG010140303</v>
          </cell>
          <cell r="C828" t="str">
            <v>MARRO GRANDE</v>
          </cell>
          <cell r="D828" t="str">
            <v>CARTERA</v>
          </cell>
          <cell r="E828" t="str">
            <v>CARTERA ESTELA</v>
          </cell>
          <cell r="F828" t="str">
            <v>BRIDGE</v>
          </cell>
          <cell r="G828">
            <v>0</v>
          </cell>
          <cell r="H828" t="str">
            <v>CARAMELO</v>
          </cell>
          <cell r="I828" t="str">
            <v>U</v>
          </cell>
          <cell r="J828" t="str">
            <v>M</v>
          </cell>
        </row>
        <row r="829">
          <cell r="B829" t="str">
            <v>MG010140304</v>
          </cell>
          <cell r="C829" t="str">
            <v>MARRO GRANDE</v>
          </cell>
          <cell r="D829" t="str">
            <v>CARTERA</v>
          </cell>
          <cell r="E829" t="str">
            <v>CARTERA ESTELA</v>
          </cell>
          <cell r="F829" t="str">
            <v>BRIDGE</v>
          </cell>
          <cell r="G829">
            <v>0</v>
          </cell>
          <cell r="H829" t="str">
            <v>TABACO</v>
          </cell>
          <cell r="I829" t="str">
            <v>U</v>
          </cell>
          <cell r="J829" t="str">
            <v>M</v>
          </cell>
        </row>
        <row r="830">
          <cell r="B830" t="str">
            <v>MG010960301</v>
          </cell>
          <cell r="C830" t="str">
            <v>MARRO GRANDE</v>
          </cell>
          <cell r="D830" t="str">
            <v>CARTERA</v>
          </cell>
          <cell r="E830" t="str">
            <v>CARTERA IBERA</v>
          </cell>
          <cell r="F830" t="str">
            <v>BRIDGE</v>
          </cell>
          <cell r="G830">
            <v>0</v>
          </cell>
          <cell r="H830" t="str">
            <v>NEGRO</v>
          </cell>
          <cell r="I830" t="str">
            <v>U</v>
          </cell>
          <cell r="J830" t="str">
            <v>M</v>
          </cell>
        </row>
        <row r="831">
          <cell r="B831" t="str">
            <v>MG010960304</v>
          </cell>
          <cell r="C831" t="str">
            <v>MARRO GRANDE</v>
          </cell>
          <cell r="D831" t="str">
            <v>CARTERA</v>
          </cell>
          <cell r="E831" t="str">
            <v>CARTERA IBERA</v>
          </cell>
          <cell r="F831" t="str">
            <v>BRIDGE</v>
          </cell>
          <cell r="G831">
            <v>0</v>
          </cell>
          <cell r="H831" t="str">
            <v>TABACO</v>
          </cell>
          <cell r="I831" t="str">
            <v>U</v>
          </cell>
          <cell r="J831" t="str">
            <v>M</v>
          </cell>
        </row>
        <row r="832">
          <cell r="B832" t="str">
            <v>MG010960315</v>
          </cell>
          <cell r="C832" t="str">
            <v>MARRO GRANDE</v>
          </cell>
          <cell r="D832" t="str">
            <v>CARTERA</v>
          </cell>
          <cell r="E832" t="str">
            <v>CARTERA IBERA</v>
          </cell>
          <cell r="F832" t="str">
            <v>BRIDGE</v>
          </cell>
          <cell r="G832">
            <v>0</v>
          </cell>
          <cell r="H832" t="str">
            <v>MALBEC</v>
          </cell>
          <cell r="I832" t="str">
            <v>U</v>
          </cell>
          <cell r="J832" t="str">
            <v>M</v>
          </cell>
        </row>
        <row r="833">
          <cell r="B833" t="str">
            <v>MG010961019</v>
          </cell>
          <cell r="C833" t="str">
            <v>MARRO GRANDE</v>
          </cell>
          <cell r="D833" t="str">
            <v>CARTERA</v>
          </cell>
          <cell r="E833" t="str">
            <v>CARTERA IBERA</v>
          </cell>
          <cell r="F833" t="str">
            <v>CROCO</v>
          </cell>
          <cell r="G833">
            <v>0</v>
          </cell>
          <cell r="H833" t="str">
            <v>CANELA</v>
          </cell>
          <cell r="I833" t="str">
            <v>U</v>
          </cell>
          <cell r="J833" t="str">
            <v>M</v>
          </cell>
        </row>
        <row r="834">
          <cell r="B834" t="str">
            <v>MG010961623</v>
          </cell>
          <cell r="C834" t="str">
            <v>MARRO GRANDE</v>
          </cell>
          <cell r="D834" t="str">
            <v>CARTERA</v>
          </cell>
          <cell r="E834" t="str">
            <v>CARTERA IBERA</v>
          </cell>
          <cell r="F834" t="str">
            <v>FIORENTINO</v>
          </cell>
          <cell r="G834">
            <v>0</v>
          </cell>
          <cell r="H834" t="str">
            <v>CEDRO</v>
          </cell>
          <cell r="I834" t="str">
            <v>U</v>
          </cell>
          <cell r="J834" t="str">
            <v>M</v>
          </cell>
        </row>
        <row r="835">
          <cell r="B835" t="str">
            <v>MG010961803</v>
          </cell>
          <cell r="C835" t="str">
            <v>MARRO GRANDE</v>
          </cell>
          <cell r="D835" t="str">
            <v>CARTERA</v>
          </cell>
          <cell r="E835" t="str">
            <v>CARTERA IBERA</v>
          </cell>
          <cell r="F835" t="str">
            <v>SENA</v>
          </cell>
          <cell r="G835">
            <v>0</v>
          </cell>
          <cell r="H835" t="str">
            <v>CARAMELO</v>
          </cell>
          <cell r="I835" t="str">
            <v>U</v>
          </cell>
          <cell r="J835" t="str">
            <v>M</v>
          </cell>
        </row>
        <row r="836">
          <cell r="B836" t="str">
            <v>MG010961816</v>
          </cell>
          <cell r="C836" t="str">
            <v>MARRO GRANDE</v>
          </cell>
          <cell r="D836" t="str">
            <v>CARTERA</v>
          </cell>
          <cell r="E836" t="str">
            <v>CARTERA IBERA</v>
          </cell>
          <cell r="F836" t="str">
            <v>SENA</v>
          </cell>
          <cell r="G836">
            <v>0</v>
          </cell>
          <cell r="H836" t="str">
            <v>OLIVE</v>
          </cell>
          <cell r="I836" t="str">
            <v>U</v>
          </cell>
          <cell r="J836" t="str">
            <v>M</v>
          </cell>
        </row>
        <row r="837">
          <cell r="B837" t="str">
            <v>MG010961825</v>
          </cell>
          <cell r="C837" t="str">
            <v>MARRO GRANDE</v>
          </cell>
          <cell r="D837" t="str">
            <v>CARTERA</v>
          </cell>
          <cell r="E837" t="str">
            <v>CARTERA IBERA</v>
          </cell>
          <cell r="F837" t="str">
            <v>SENA</v>
          </cell>
          <cell r="G837">
            <v>0</v>
          </cell>
          <cell r="H837" t="str">
            <v>WHISKY</v>
          </cell>
          <cell r="I837" t="str">
            <v>U</v>
          </cell>
          <cell r="J837" t="str">
            <v>M</v>
          </cell>
        </row>
        <row r="838">
          <cell r="B838" t="str">
            <v>MG010961826</v>
          </cell>
          <cell r="C838" t="str">
            <v>MARRO GRANDE</v>
          </cell>
          <cell r="D838" t="str">
            <v>CARTERA</v>
          </cell>
          <cell r="E838" t="str">
            <v>CARTERA IBERA</v>
          </cell>
          <cell r="F838" t="str">
            <v>SENA</v>
          </cell>
          <cell r="G838">
            <v>0</v>
          </cell>
          <cell r="H838" t="str">
            <v>CAPUCHINO</v>
          </cell>
          <cell r="I838" t="str">
            <v>U</v>
          </cell>
          <cell r="J838" t="str">
            <v>M</v>
          </cell>
        </row>
        <row r="839">
          <cell r="B839" t="str">
            <v>MG010961827</v>
          </cell>
          <cell r="C839" t="str">
            <v>MARRO GRANDE</v>
          </cell>
          <cell r="D839" t="str">
            <v>CARTERA</v>
          </cell>
          <cell r="E839" t="str">
            <v>CARTERA IBERA</v>
          </cell>
          <cell r="F839" t="str">
            <v>SENA</v>
          </cell>
          <cell r="G839">
            <v>0</v>
          </cell>
          <cell r="H839" t="str">
            <v>PIEDRA</v>
          </cell>
          <cell r="I839" t="str">
            <v>U</v>
          </cell>
          <cell r="J839" t="str">
            <v>M</v>
          </cell>
        </row>
        <row r="840">
          <cell r="B840" t="str">
            <v>MG010962201</v>
          </cell>
          <cell r="C840" t="str">
            <v>MARRO GRANDE</v>
          </cell>
          <cell r="D840" t="str">
            <v>CARTERA</v>
          </cell>
          <cell r="E840" t="str">
            <v>CARTERA IBERA</v>
          </cell>
          <cell r="F840" t="str">
            <v>SALLY</v>
          </cell>
          <cell r="G840">
            <v>0</v>
          </cell>
          <cell r="H840" t="str">
            <v>NEGRO</v>
          </cell>
          <cell r="I840" t="str">
            <v>U</v>
          </cell>
          <cell r="J840" t="str">
            <v>M</v>
          </cell>
        </row>
        <row r="841">
          <cell r="B841" t="str">
            <v>MG010962202</v>
          </cell>
          <cell r="C841" t="str">
            <v>MARRO GRANDE</v>
          </cell>
          <cell r="D841" t="str">
            <v>CARTERA</v>
          </cell>
          <cell r="E841" t="str">
            <v>CARTERA IBERA</v>
          </cell>
          <cell r="F841" t="str">
            <v>SALLY</v>
          </cell>
          <cell r="G841">
            <v>0</v>
          </cell>
          <cell r="H841" t="str">
            <v>SUELA</v>
          </cell>
          <cell r="I841" t="str">
            <v>U</v>
          </cell>
          <cell r="J841" t="str">
            <v>M</v>
          </cell>
        </row>
        <row r="842">
          <cell r="B842" t="str">
            <v>MG010980301</v>
          </cell>
          <cell r="C842" t="str">
            <v>MARRO GRANDE</v>
          </cell>
          <cell r="D842" t="str">
            <v>CARTERA</v>
          </cell>
          <cell r="E842" t="str">
            <v>CARTERA JUSTINA</v>
          </cell>
          <cell r="F842" t="str">
            <v>BRIDGE</v>
          </cell>
          <cell r="G842">
            <v>0</v>
          </cell>
          <cell r="H842" t="str">
            <v>NEGRO</v>
          </cell>
          <cell r="I842" t="str">
            <v>U</v>
          </cell>
          <cell r="J842" t="str">
            <v>M</v>
          </cell>
        </row>
        <row r="843">
          <cell r="B843" t="str">
            <v>MG010980303</v>
          </cell>
          <cell r="C843" t="str">
            <v>MARRO GRANDE</v>
          </cell>
          <cell r="D843" t="str">
            <v>CARTERA</v>
          </cell>
          <cell r="E843" t="str">
            <v>CARTERA JUSTINA</v>
          </cell>
          <cell r="F843" t="str">
            <v>BRIDGE</v>
          </cell>
          <cell r="G843">
            <v>0</v>
          </cell>
          <cell r="H843" t="str">
            <v>CARAMELO</v>
          </cell>
          <cell r="I843" t="str">
            <v>U</v>
          </cell>
          <cell r="J843" t="str">
            <v>M</v>
          </cell>
        </row>
        <row r="844">
          <cell r="B844" t="str">
            <v>MG010980304</v>
          </cell>
          <cell r="C844" t="str">
            <v>MARRO GRANDE</v>
          </cell>
          <cell r="D844" t="str">
            <v>CARTERA</v>
          </cell>
          <cell r="E844" t="str">
            <v>CARTERA JUSTINA</v>
          </cell>
          <cell r="F844" t="str">
            <v>BRIDGE</v>
          </cell>
          <cell r="G844">
            <v>0</v>
          </cell>
          <cell r="H844" t="str">
            <v>TABACO</v>
          </cell>
          <cell r="I844" t="str">
            <v>U</v>
          </cell>
          <cell r="J844" t="str">
            <v>M</v>
          </cell>
        </row>
        <row r="845">
          <cell r="B845" t="str">
            <v>MG010981623</v>
          </cell>
          <cell r="C845" t="str">
            <v>MARRO GRANDE</v>
          </cell>
          <cell r="D845" t="str">
            <v>CARTERA</v>
          </cell>
          <cell r="E845" t="str">
            <v>CARTERA JUSTINA</v>
          </cell>
          <cell r="F845" t="str">
            <v>FIORENTINO</v>
          </cell>
          <cell r="G845">
            <v>0</v>
          </cell>
          <cell r="H845" t="str">
            <v>CEDRO</v>
          </cell>
          <cell r="I845" t="str">
            <v>U</v>
          </cell>
          <cell r="J845" t="str">
            <v>M</v>
          </cell>
        </row>
        <row r="846">
          <cell r="B846" t="str">
            <v>MG011050101</v>
          </cell>
          <cell r="C846" t="str">
            <v>MARRO GRANDE</v>
          </cell>
          <cell r="D846" t="str">
            <v>CARTERA</v>
          </cell>
          <cell r="E846" t="str">
            <v>CARTERA LEANDRA</v>
          </cell>
          <cell r="F846" t="str">
            <v>NAPADO</v>
          </cell>
          <cell r="G846">
            <v>0</v>
          </cell>
          <cell r="H846" t="str">
            <v>NEGRO</v>
          </cell>
          <cell r="I846" t="str">
            <v>U</v>
          </cell>
          <cell r="J846" t="str">
            <v>M</v>
          </cell>
        </row>
        <row r="847">
          <cell r="B847" t="str">
            <v>MG011050102</v>
          </cell>
          <cell r="C847" t="str">
            <v>MARRO GRANDE</v>
          </cell>
          <cell r="D847" t="str">
            <v>CARTERA</v>
          </cell>
          <cell r="E847" t="str">
            <v>CARTERA LEANDRA</v>
          </cell>
          <cell r="F847" t="str">
            <v>NAPADO</v>
          </cell>
          <cell r="G847">
            <v>0</v>
          </cell>
          <cell r="H847" t="str">
            <v>SUELA</v>
          </cell>
          <cell r="I847" t="str">
            <v>U</v>
          </cell>
          <cell r="J847" t="str">
            <v>M</v>
          </cell>
        </row>
        <row r="848">
          <cell r="B848" t="str">
            <v>MG011050103</v>
          </cell>
          <cell r="C848" t="str">
            <v>MARRO GRANDE</v>
          </cell>
          <cell r="D848" t="str">
            <v>CARTERA</v>
          </cell>
          <cell r="E848" t="str">
            <v>CARTERA LEANDRA</v>
          </cell>
          <cell r="F848" t="str">
            <v>NAPADO</v>
          </cell>
          <cell r="G848">
            <v>0</v>
          </cell>
          <cell r="H848" t="str">
            <v>CARAMELO</v>
          </cell>
          <cell r="I848" t="str">
            <v>U</v>
          </cell>
          <cell r="J848" t="str">
            <v>M</v>
          </cell>
        </row>
        <row r="849">
          <cell r="B849" t="str">
            <v>MG011050107</v>
          </cell>
          <cell r="C849" t="str">
            <v>MARRO GRANDE</v>
          </cell>
          <cell r="D849" t="str">
            <v>CARTERA</v>
          </cell>
          <cell r="E849" t="str">
            <v>CARTERA LEANDRA</v>
          </cell>
          <cell r="F849" t="str">
            <v>NAPADO</v>
          </cell>
          <cell r="G849">
            <v>0</v>
          </cell>
          <cell r="H849" t="str">
            <v>ROJO</v>
          </cell>
          <cell r="I849" t="str">
            <v>U</v>
          </cell>
          <cell r="J849" t="str">
            <v>M</v>
          </cell>
        </row>
        <row r="850">
          <cell r="B850" t="str">
            <v>MG011050115</v>
          </cell>
          <cell r="C850" t="str">
            <v>MARRO GRANDE</v>
          </cell>
          <cell r="D850" t="str">
            <v>CARTERA</v>
          </cell>
          <cell r="E850" t="str">
            <v>CARTERA LEANDRA</v>
          </cell>
          <cell r="F850" t="str">
            <v>NAPADO</v>
          </cell>
          <cell r="G850">
            <v>0</v>
          </cell>
          <cell r="H850" t="str">
            <v>MALBEC</v>
          </cell>
          <cell r="I850" t="str">
            <v>U</v>
          </cell>
          <cell r="J850" t="str">
            <v>M</v>
          </cell>
        </row>
        <row r="851">
          <cell r="B851" t="str">
            <v>MG011051201</v>
          </cell>
          <cell r="C851" t="str">
            <v>MARRO GRANDE</v>
          </cell>
          <cell r="D851" t="str">
            <v>CARTERA</v>
          </cell>
          <cell r="E851" t="str">
            <v>CARTERA LEANDRA</v>
          </cell>
          <cell r="F851" t="str">
            <v>DUNA</v>
          </cell>
          <cell r="G851">
            <v>0</v>
          </cell>
          <cell r="H851" t="str">
            <v>NEGRO</v>
          </cell>
          <cell r="I851" t="str">
            <v>U</v>
          </cell>
          <cell r="J851" t="str">
            <v>M</v>
          </cell>
        </row>
        <row r="852">
          <cell r="B852" t="str">
            <v>MG011053311</v>
          </cell>
          <cell r="C852" t="str">
            <v>MARRO GRANDE</v>
          </cell>
          <cell r="D852" t="str">
            <v>CARTERA</v>
          </cell>
          <cell r="E852" t="str">
            <v>CARTERA LEANDRA</v>
          </cell>
          <cell r="F852" t="str">
            <v>CRASH</v>
          </cell>
          <cell r="G852">
            <v>0</v>
          </cell>
          <cell r="H852" t="str">
            <v>BEIGE</v>
          </cell>
          <cell r="I852" t="str">
            <v>U</v>
          </cell>
          <cell r="J852" t="str">
            <v>M</v>
          </cell>
        </row>
        <row r="853">
          <cell r="B853" t="str">
            <v>MG011053347</v>
          </cell>
          <cell r="C853" t="str">
            <v>MARRO GRANDE</v>
          </cell>
          <cell r="D853" t="str">
            <v>CARTERA</v>
          </cell>
          <cell r="E853" t="str">
            <v>CARTERA LEANDRA</v>
          </cell>
          <cell r="F853" t="str">
            <v>CRASH</v>
          </cell>
          <cell r="G853">
            <v>0</v>
          </cell>
          <cell r="H853" t="str">
            <v>BLUE DARK</v>
          </cell>
          <cell r="I853" t="str">
            <v>U</v>
          </cell>
          <cell r="J853" t="str">
            <v>M</v>
          </cell>
        </row>
        <row r="854">
          <cell r="B854" t="str">
            <v>MG010830101</v>
          </cell>
          <cell r="C854" t="str">
            <v>MARRO GRANDE</v>
          </cell>
          <cell r="D854" t="str">
            <v>CARTERA</v>
          </cell>
          <cell r="E854" t="str">
            <v>CARTERA LISBOA</v>
          </cell>
          <cell r="F854" t="str">
            <v>NAPADO</v>
          </cell>
          <cell r="G854">
            <v>0</v>
          </cell>
          <cell r="H854" t="str">
            <v>NEGRO</v>
          </cell>
          <cell r="I854" t="str">
            <v>U</v>
          </cell>
          <cell r="J854" t="str">
            <v>M</v>
          </cell>
        </row>
        <row r="855">
          <cell r="B855" t="str">
            <v>MG010830103</v>
          </cell>
          <cell r="C855" t="str">
            <v>MARRO GRANDE</v>
          </cell>
          <cell r="D855" t="str">
            <v>CARTERA</v>
          </cell>
          <cell r="E855" t="str">
            <v>CARTERA LISBOA</v>
          </cell>
          <cell r="F855" t="str">
            <v>NAPADO</v>
          </cell>
          <cell r="G855">
            <v>0</v>
          </cell>
          <cell r="H855" t="str">
            <v>CARAMELO</v>
          </cell>
          <cell r="I855" t="str">
            <v>U</v>
          </cell>
          <cell r="J855" t="str">
            <v>M</v>
          </cell>
        </row>
        <row r="856">
          <cell r="B856" t="str">
            <v>MG010830107</v>
          </cell>
          <cell r="C856" t="str">
            <v>MARRO GRANDE</v>
          </cell>
          <cell r="D856" t="str">
            <v>CARTERA</v>
          </cell>
          <cell r="E856" t="str">
            <v>CARTERA LISBOA</v>
          </cell>
          <cell r="F856" t="str">
            <v>NAPADO</v>
          </cell>
          <cell r="G856">
            <v>0</v>
          </cell>
          <cell r="H856" t="str">
            <v>ROJO</v>
          </cell>
          <cell r="I856" t="str">
            <v>U</v>
          </cell>
          <cell r="J856" t="str">
            <v>M</v>
          </cell>
        </row>
        <row r="857">
          <cell r="B857" t="str">
            <v>MG010830109</v>
          </cell>
          <cell r="C857" t="str">
            <v>MARRO GRANDE</v>
          </cell>
          <cell r="D857" t="str">
            <v>CARTERA</v>
          </cell>
          <cell r="E857" t="str">
            <v>CARTERA LISBOA</v>
          </cell>
          <cell r="F857" t="str">
            <v>NAPADO</v>
          </cell>
          <cell r="G857">
            <v>0</v>
          </cell>
          <cell r="H857" t="str">
            <v>AZUL</v>
          </cell>
          <cell r="I857" t="str">
            <v>U</v>
          </cell>
          <cell r="J857" t="str">
            <v>M</v>
          </cell>
        </row>
        <row r="858">
          <cell r="B858" t="str">
            <v>MG010830110</v>
          </cell>
          <cell r="C858" t="str">
            <v>MARRO GRANDE</v>
          </cell>
          <cell r="D858" t="str">
            <v>CARTERA</v>
          </cell>
          <cell r="E858" t="str">
            <v>CARTERA LISBOA</v>
          </cell>
          <cell r="F858" t="str">
            <v>NAPADO</v>
          </cell>
          <cell r="G858">
            <v>0</v>
          </cell>
          <cell r="H858" t="str">
            <v>VERDE</v>
          </cell>
          <cell r="I858" t="str">
            <v>U</v>
          </cell>
          <cell r="J858" t="str">
            <v>M</v>
          </cell>
        </row>
        <row r="859">
          <cell r="B859" t="str">
            <v>MG010830509-3</v>
          </cell>
          <cell r="C859" t="str">
            <v>MARRO GRANDE</v>
          </cell>
          <cell r="D859" t="str">
            <v>CARTERA</v>
          </cell>
          <cell r="E859" t="str">
            <v>CARTERA LISBOA</v>
          </cell>
          <cell r="F859" t="str">
            <v>GAMUZA</v>
          </cell>
          <cell r="G859">
            <v>0</v>
          </cell>
          <cell r="H859" t="str">
            <v>AZUL/CARAMELO</v>
          </cell>
          <cell r="I859" t="str">
            <v>U</v>
          </cell>
          <cell r="J859" t="str">
            <v>M</v>
          </cell>
        </row>
        <row r="860">
          <cell r="B860" t="str">
            <v>MG010830509-4</v>
          </cell>
          <cell r="C860" t="str">
            <v>MARRO GRANDE</v>
          </cell>
          <cell r="D860" t="str">
            <v>CARTERA</v>
          </cell>
          <cell r="E860" t="str">
            <v>CARTERA LISBOA</v>
          </cell>
          <cell r="F860" t="str">
            <v>GAMUZA</v>
          </cell>
          <cell r="G860">
            <v>0</v>
          </cell>
          <cell r="H860" t="str">
            <v>AZUL/TABACO</v>
          </cell>
          <cell r="I860" t="str">
            <v>U</v>
          </cell>
          <cell r="J860" t="str">
            <v>M</v>
          </cell>
        </row>
        <row r="861">
          <cell r="B861" t="str">
            <v>MG010830516-3</v>
          </cell>
          <cell r="C861" t="str">
            <v>MARRO GRANDE</v>
          </cell>
          <cell r="D861" t="str">
            <v>CARTERA</v>
          </cell>
          <cell r="E861" t="str">
            <v>CARTERA LISBOA</v>
          </cell>
          <cell r="F861" t="str">
            <v>GAMUZA</v>
          </cell>
          <cell r="G861">
            <v>0</v>
          </cell>
          <cell r="H861" t="str">
            <v>OLIVE/CARAMELO</v>
          </cell>
          <cell r="I861" t="str">
            <v>U</v>
          </cell>
          <cell r="J861" t="str">
            <v>M</v>
          </cell>
        </row>
        <row r="862">
          <cell r="B862" t="str">
            <v>MG010830516-4</v>
          </cell>
          <cell r="C862" t="str">
            <v>MARRO GRANDE</v>
          </cell>
          <cell r="D862" t="str">
            <v>CARTERA</v>
          </cell>
          <cell r="E862" t="str">
            <v>CARTERA LISBOA</v>
          </cell>
          <cell r="F862" t="str">
            <v>GAMUZA</v>
          </cell>
          <cell r="G862">
            <v>0</v>
          </cell>
          <cell r="H862" t="str">
            <v>OLIVE/TABACO</v>
          </cell>
          <cell r="I862" t="str">
            <v>U</v>
          </cell>
          <cell r="J862" t="str">
            <v>M</v>
          </cell>
        </row>
        <row r="863">
          <cell r="B863" t="str">
            <v>MG010830522-4</v>
          </cell>
          <cell r="C863" t="str">
            <v>MARRO GRANDE</v>
          </cell>
          <cell r="D863" t="str">
            <v>CARTERA</v>
          </cell>
          <cell r="E863" t="str">
            <v>CARTERA LISBOA</v>
          </cell>
          <cell r="F863" t="str">
            <v>GAMUZA</v>
          </cell>
          <cell r="G863">
            <v>0</v>
          </cell>
          <cell r="H863" t="str">
            <v>GRIS OSCURO/TABACO</v>
          </cell>
          <cell r="I863" t="str">
            <v>U</v>
          </cell>
          <cell r="J863" t="str">
            <v>M</v>
          </cell>
        </row>
        <row r="864">
          <cell r="B864" t="str">
            <v>MG010830550</v>
          </cell>
          <cell r="C864" t="str">
            <v>MARRO GRANDE</v>
          </cell>
          <cell r="D864" t="str">
            <v>CARTERA</v>
          </cell>
          <cell r="E864" t="str">
            <v>CARTERA LISBOA</v>
          </cell>
          <cell r="F864" t="str">
            <v>GAMUZA</v>
          </cell>
          <cell r="G864">
            <v>0</v>
          </cell>
          <cell r="H864" t="str">
            <v>VESUBIO/TABACO</v>
          </cell>
          <cell r="I864" t="str">
            <v>U</v>
          </cell>
          <cell r="J864" t="str">
            <v>M</v>
          </cell>
        </row>
        <row r="865">
          <cell r="B865" t="str">
            <v>MG010830550-1</v>
          </cell>
          <cell r="C865" t="str">
            <v>MARRO GRANDE</v>
          </cell>
          <cell r="D865" t="str">
            <v>CARTERA</v>
          </cell>
          <cell r="E865" t="str">
            <v>CARTERA LISBOA</v>
          </cell>
          <cell r="F865" t="str">
            <v>GAMUZA</v>
          </cell>
          <cell r="G865">
            <v>0</v>
          </cell>
          <cell r="H865" t="str">
            <v>VESUBIO/NEGRO</v>
          </cell>
          <cell r="I865" t="str">
            <v>U</v>
          </cell>
          <cell r="J865" t="str">
            <v>M</v>
          </cell>
        </row>
        <row r="866">
          <cell r="B866" t="str">
            <v>MG010830555</v>
          </cell>
          <cell r="C866" t="str">
            <v>MARRO GRANDE</v>
          </cell>
          <cell r="D866" t="str">
            <v>CARTERA</v>
          </cell>
          <cell r="E866" t="str">
            <v>CARTERA LISBOA</v>
          </cell>
          <cell r="F866" t="str">
            <v>GAMUZA</v>
          </cell>
          <cell r="G866">
            <v>0</v>
          </cell>
          <cell r="H866" t="str">
            <v>AVELLANA/TABACO</v>
          </cell>
          <cell r="I866" t="str">
            <v>U</v>
          </cell>
          <cell r="J866" t="str">
            <v>M</v>
          </cell>
        </row>
        <row r="867">
          <cell r="B867" t="str">
            <v>MG010830556</v>
          </cell>
          <cell r="C867" t="str">
            <v>MARRO GRANDE</v>
          </cell>
          <cell r="D867" t="str">
            <v>CARTERA</v>
          </cell>
          <cell r="E867" t="str">
            <v>CARTERA LISBOA</v>
          </cell>
          <cell r="F867" t="str">
            <v>GAMUZA</v>
          </cell>
          <cell r="G867">
            <v>0</v>
          </cell>
          <cell r="H867" t="str">
            <v>OXIDO/TABACO</v>
          </cell>
          <cell r="I867" t="str">
            <v>U</v>
          </cell>
          <cell r="J867" t="str">
            <v>M</v>
          </cell>
        </row>
        <row r="868">
          <cell r="B868" t="str">
            <v>MG010830556-1</v>
          </cell>
          <cell r="C868" t="str">
            <v>MARRO GRANDE</v>
          </cell>
          <cell r="D868" t="str">
            <v>CARTERA</v>
          </cell>
          <cell r="E868" t="str">
            <v>CARTERA LISBOA</v>
          </cell>
          <cell r="F868" t="str">
            <v>GAMUZA</v>
          </cell>
          <cell r="G868">
            <v>0</v>
          </cell>
          <cell r="H868" t="str">
            <v>OXIDO/NEGRO</v>
          </cell>
          <cell r="I868" t="str">
            <v>U</v>
          </cell>
          <cell r="J868" t="str">
            <v>M</v>
          </cell>
        </row>
        <row r="869">
          <cell r="B869" t="str">
            <v>MG010830701</v>
          </cell>
          <cell r="C869" t="str">
            <v>MARRO GRANDE</v>
          </cell>
          <cell r="D869" t="str">
            <v>CARTERA</v>
          </cell>
          <cell r="E869" t="str">
            <v>CARTERA LISBOA</v>
          </cell>
          <cell r="F869" t="str">
            <v>IGUANA</v>
          </cell>
          <cell r="G869">
            <v>0</v>
          </cell>
          <cell r="H869" t="str">
            <v>NEGRO</v>
          </cell>
          <cell r="I869" t="str">
            <v>U</v>
          </cell>
          <cell r="J869" t="str">
            <v>M</v>
          </cell>
        </row>
        <row r="870">
          <cell r="B870" t="str">
            <v>MG010830703</v>
          </cell>
          <cell r="C870" t="str">
            <v>MARRO GRANDE</v>
          </cell>
          <cell r="D870" t="str">
            <v>CARTERA</v>
          </cell>
          <cell r="E870" t="str">
            <v>CARTERA LISBOA</v>
          </cell>
          <cell r="F870" t="str">
            <v>IGUANA</v>
          </cell>
          <cell r="G870">
            <v>0</v>
          </cell>
          <cell r="H870" t="str">
            <v>CARAMELO</v>
          </cell>
          <cell r="I870" t="str">
            <v>U</v>
          </cell>
          <cell r="J870" t="str">
            <v>M</v>
          </cell>
        </row>
        <row r="871">
          <cell r="B871" t="str">
            <v>MG010830705</v>
          </cell>
          <cell r="C871" t="str">
            <v>MARRO GRANDE</v>
          </cell>
          <cell r="D871" t="str">
            <v>CARTERA</v>
          </cell>
          <cell r="E871" t="str">
            <v>CARTERA LISBOA</v>
          </cell>
          <cell r="F871" t="str">
            <v>IGUANA</v>
          </cell>
          <cell r="G871">
            <v>0</v>
          </cell>
          <cell r="H871" t="str">
            <v>LONDON</v>
          </cell>
          <cell r="I871" t="str">
            <v>U</v>
          </cell>
          <cell r="J871" t="str">
            <v>M</v>
          </cell>
        </row>
        <row r="872">
          <cell r="B872" t="str">
            <v>MG010830707</v>
          </cell>
          <cell r="C872" t="str">
            <v>MARRO GRANDE</v>
          </cell>
          <cell r="D872" t="str">
            <v>CARTERA</v>
          </cell>
          <cell r="E872" t="str">
            <v>CARTERA LISBOA</v>
          </cell>
          <cell r="F872" t="str">
            <v>IGUANA</v>
          </cell>
          <cell r="G872">
            <v>0</v>
          </cell>
          <cell r="H872" t="str">
            <v>ROJO</v>
          </cell>
          <cell r="I872" t="str">
            <v>U</v>
          </cell>
          <cell r="J872" t="str">
            <v>M</v>
          </cell>
        </row>
        <row r="873">
          <cell r="B873" t="str">
            <v>MG010830709</v>
          </cell>
          <cell r="C873" t="str">
            <v>MARRO GRANDE</v>
          </cell>
          <cell r="D873" t="str">
            <v>CARTERA</v>
          </cell>
          <cell r="E873" t="str">
            <v>CARTERA LISBOA</v>
          </cell>
          <cell r="F873" t="str">
            <v>IGUANA</v>
          </cell>
          <cell r="G873">
            <v>0</v>
          </cell>
          <cell r="H873" t="str">
            <v>AZUL</v>
          </cell>
          <cell r="I873" t="str">
            <v>U</v>
          </cell>
          <cell r="J873" t="str">
            <v>M</v>
          </cell>
        </row>
        <row r="874">
          <cell r="B874" t="str">
            <v>MG010830710</v>
          </cell>
          <cell r="C874" t="str">
            <v>MARRO GRANDE</v>
          </cell>
          <cell r="D874" t="str">
            <v>CARTERA</v>
          </cell>
          <cell r="E874" t="str">
            <v>CARTERA LISBOA</v>
          </cell>
          <cell r="F874" t="str">
            <v>IGUANA</v>
          </cell>
          <cell r="G874">
            <v>0</v>
          </cell>
          <cell r="H874" t="str">
            <v>VERDE</v>
          </cell>
          <cell r="I874" t="str">
            <v>U</v>
          </cell>
          <cell r="J874" t="str">
            <v>M</v>
          </cell>
        </row>
        <row r="875">
          <cell r="B875" t="str">
            <v>MG010830852</v>
          </cell>
          <cell r="C875" t="str">
            <v>MARRO GRANDE</v>
          </cell>
          <cell r="D875" t="str">
            <v>CARTERA</v>
          </cell>
          <cell r="E875" t="str">
            <v>CARTERA LISBOA</v>
          </cell>
          <cell r="F875" t="str">
            <v>GAMUZA LH</v>
          </cell>
          <cell r="G875">
            <v>0</v>
          </cell>
          <cell r="H875" t="str">
            <v>CHOCOLATE/TABACO</v>
          </cell>
          <cell r="I875" t="str">
            <v>U</v>
          </cell>
          <cell r="J875" t="str">
            <v>M</v>
          </cell>
        </row>
        <row r="876">
          <cell r="B876" t="str">
            <v>MG010830859</v>
          </cell>
          <cell r="C876" t="str">
            <v>MARRO GRANDE</v>
          </cell>
          <cell r="D876" t="str">
            <v>CARTERA</v>
          </cell>
          <cell r="E876" t="str">
            <v>CARTERA LISBOA</v>
          </cell>
          <cell r="F876" t="str">
            <v>GAMUZA LH</v>
          </cell>
          <cell r="G876">
            <v>0</v>
          </cell>
          <cell r="H876" t="str">
            <v>BRICK/TABACO</v>
          </cell>
          <cell r="I876" t="str">
            <v>U</v>
          </cell>
          <cell r="J876" t="str">
            <v>M</v>
          </cell>
        </row>
        <row r="877">
          <cell r="B877" t="str">
            <v>MG010831201</v>
          </cell>
          <cell r="C877" t="str">
            <v>MARRO GRANDE</v>
          </cell>
          <cell r="D877" t="str">
            <v>CARTERA</v>
          </cell>
          <cell r="E877" t="str">
            <v>CARTERA LISBOA</v>
          </cell>
          <cell r="F877" t="str">
            <v>DUNA</v>
          </cell>
          <cell r="G877">
            <v>0</v>
          </cell>
          <cell r="H877" t="str">
            <v>NEGRO</v>
          </cell>
          <cell r="I877" t="str">
            <v>U</v>
          </cell>
          <cell r="J877" t="str">
            <v>M</v>
          </cell>
        </row>
        <row r="878">
          <cell r="B878" t="str">
            <v>MG010831623</v>
          </cell>
          <cell r="C878" t="str">
            <v>MARRO GRANDE</v>
          </cell>
          <cell r="D878" t="str">
            <v>CARTERA</v>
          </cell>
          <cell r="E878" t="str">
            <v>CARTERA LISBOA</v>
          </cell>
          <cell r="F878" t="str">
            <v>FIORENTINO</v>
          </cell>
          <cell r="G878">
            <v>0</v>
          </cell>
          <cell r="H878" t="str">
            <v>CEDRO</v>
          </cell>
          <cell r="I878" t="str">
            <v>U</v>
          </cell>
          <cell r="J878" t="str">
            <v>M</v>
          </cell>
        </row>
        <row r="879">
          <cell r="B879" t="str">
            <v>MG010860301</v>
          </cell>
          <cell r="C879" t="str">
            <v>MARRO GRANDE</v>
          </cell>
          <cell r="D879" t="str">
            <v>CARTERA</v>
          </cell>
          <cell r="E879" t="str">
            <v>CARTERA LONDRES</v>
          </cell>
          <cell r="F879" t="str">
            <v>BRIDGE</v>
          </cell>
          <cell r="G879">
            <v>0</v>
          </cell>
          <cell r="H879" t="str">
            <v>NEGRO</v>
          </cell>
          <cell r="I879" t="str">
            <v>U</v>
          </cell>
          <cell r="J879" t="str">
            <v>M</v>
          </cell>
        </row>
        <row r="880">
          <cell r="B880" t="str">
            <v>MG010860303</v>
          </cell>
          <cell r="C880" t="str">
            <v>MARRO GRANDE</v>
          </cell>
          <cell r="D880" t="str">
            <v>CARTERA</v>
          </cell>
          <cell r="E880" t="str">
            <v>CARTERA LONDRES</v>
          </cell>
          <cell r="F880" t="str">
            <v>BRIDGE</v>
          </cell>
          <cell r="G880">
            <v>0</v>
          </cell>
          <cell r="H880" t="str">
            <v>CARAMELO</v>
          </cell>
          <cell r="I880" t="str">
            <v>U</v>
          </cell>
          <cell r="J880" t="str">
            <v>M</v>
          </cell>
        </row>
        <row r="881">
          <cell r="B881" t="str">
            <v>MG010860304</v>
          </cell>
          <cell r="C881" t="str">
            <v>MARRO GRANDE</v>
          </cell>
          <cell r="D881" t="str">
            <v>CARTERA</v>
          </cell>
          <cell r="E881" t="str">
            <v>CARTERA LONDRES</v>
          </cell>
          <cell r="F881" t="str">
            <v>BRIDGE</v>
          </cell>
          <cell r="G881">
            <v>0</v>
          </cell>
          <cell r="H881" t="str">
            <v>TABACO</v>
          </cell>
          <cell r="I881" t="str">
            <v>U</v>
          </cell>
          <cell r="J881" t="str">
            <v>M</v>
          </cell>
        </row>
        <row r="882">
          <cell r="B882" t="str">
            <v>MG010860307</v>
          </cell>
          <cell r="C882" t="str">
            <v>MARRO GRANDE</v>
          </cell>
          <cell r="D882" t="str">
            <v>CARTERA</v>
          </cell>
          <cell r="E882" t="str">
            <v>CARTERA LONDRES</v>
          </cell>
          <cell r="F882" t="str">
            <v>BRIDGE</v>
          </cell>
          <cell r="G882">
            <v>0</v>
          </cell>
          <cell r="H882" t="str">
            <v>ROJO</v>
          </cell>
          <cell r="I882" t="str">
            <v>U</v>
          </cell>
          <cell r="J882" t="str">
            <v>M</v>
          </cell>
        </row>
        <row r="883">
          <cell r="B883" t="str">
            <v>MG010860315</v>
          </cell>
          <cell r="C883" t="str">
            <v>MARRO GRANDE</v>
          </cell>
          <cell r="D883" t="str">
            <v>CARTERA</v>
          </cell>
          <cell r="E883" t="str">
            <v>CARTERA LONDRES</v>
          </cell>
          <cell r="F883" t="str">
            <v>BRIDGE</v>
          </cell>
          <cell r="G883">
            <v>0</v>
          </cell>
          <cell r="H883" t="str">
            <v>MALBEC</v>
          </cell>
          <cell r="I883" t="str">
            <v>U</v>
          </cell>
          <cell r="J883" t="str">
            <v>M</v>
          </cell>
        </row>
        <row r="884">
          <cell r="B884" t="str">
            <v>MG010860352</v>
          </cell>
          <cell r="C884" t="str">
            <v>MARRO GRANDE</v>
          </cell>
          <cell r="D884" t="str">
            <v>CARTERA</v>
          </cell>
          <cell r="E884" t="str">
            <v>CARTERA LONDRES</v>
          </cell>
          <cell r="F884" t="str">
            <v>BRIDGE</v>
          </cell>
          <cell r="G884">
            <v>0</v>
          </cell>
          <cell r="H884" t="str">
            <v>CHOCOLATE</v>
          </cell>
          <cell r="I884" t="str">
            <v>U</v>
          </cell>
          <cell r="J884" t="str">
            <v>M</v>
          </cell>
        </row>
        <row r="885">
          <cell r="B885" t="str">
            <v>MG010863311</v>
          </cell>
          <cell r="C885" t="str">
            <v>MARRO GRANDE</v>
          </cell>
          <cell r="D885" t="str">
            <v>CARTERA</v>
          </cell>
          <cell r="E885" t="str">
            <v>CARTERA LONDRES</v>
          </cell>
          <cell r="F885" t="str">
            <v>CRASH</v>
          </cell>
          <cell r="G885">
            <v>0</v>
          </cell>
          <cell r="H885" t="str">
            <v>BEIGE</v>
          </cell>
          <cell r="I885" t="str">
            <v>U</v>
          </cell>
          <cell r="J885" t="str">
            <v>M</v>
          </cell>
        </row>
        <row r="886">
          <cell r="B886" t="str">
            <v>MG010863347</v>
          </cell>
          <cell r="C886" t="str">
            <v>MARRO GRANDE</v>
          </cell>
          <cell r="D886" t="str">
            <v>CARTERA</v>
          </cell>
          <cell r="E886" t="str">
            <v>CARTERA LONDRES</v>
          </cell>
          <cell r="F886" t="str">
            <v>CRASH</v>
          </cell>
          <cell r="G886">
            <v>0</v>
          </cell>
          <cell r="H886" t="str">
            <v>BLUE DARK</v>
          </cell>
          <cell r="I886" t="str">
            <v>U</v>
          </cell>
          <cell r="J886" t="str">
            <v>M</v>
          </cell>
        </row>
        <row r="887">
          <cell r="B887" t="str">
            <v>MG010020301</v>
          </cell>
          <cell r="C887" t="str">
            <v>MARRO GRANDE</v>
          </cell>
          <cell r="D887" t="str">
            <v>CARTERA</v>
          </cell>
          <cell r="E887" t="str">
            <v>CARTERA MALKA</v>
          </cell>
          <cell r="F887" t="str">
            <v>BRIDGE</v>
          </cell>
          <cell r="G887">
            <v>0</v>
          </cell>
          <cell r="H887" t="str">
            <v>NEGRO</v>
          </cell>
          <cell r="I887" t="str">
            <v>U</v>
          </cell>
          <cell r="J887" t="str">
            <v>M</v>
          </cell>
        </row>
        <row r="888">
          <cell r="B888" t="str">
            <v>MG010020303</v>
          </cell>
          <cell r="C888" t="str">
            <v>MARRO GRANDE</v>
          </cell>
          <cell r="D888" t="str">
            <v>CARTERA</v>
          </cell>
          <cell r="E888" t="str">
            <v>CARTERA MALKA</v>
          </cell>
          <cell r="F888" t="str">
            <v>BRIDGE</v>
          </cell>
          <cell r="G888">
            <v>0</v>
          </cell>
          <cell r="H888" t="str">
            <v>CARAMELO</v>
          </cell>
          <cell r="I888" t="str">
            <v>U</v>
          </cell>
          <cell r="J888" t="str">
            <v>M</v>
          </cell>
        </row>
        <row r="889">
          <cell r="B889" t="str">
            <v>MG010480301</v>
          </cell>
          <cell r="C889" t="str">
            <v>MARRO GRANDE</v>
          </cell>
          <cell r="D889" t="str">
            <v>CARTERA</v>
          </cell>
          <cell r="E889" t="str">
            <v>CARTERA MILI</v>
          </cell>
          <cell r="F889" t="str">
            <v>BRIDGE</v>
          </cell>
          <cell r="G889">
            <v>0</v>
          </cell>
          <cell r="H889" t="str">
            <v>NEGRO</v>
          </cell>
          <cell r="I889" t="str">
            <v>U</v>
          </cell>
          <cell r="J889" t="str">
            <v>M</v>
          </cell>
        </row>
        <row r="890">
          <cell r="B890" t="str">
            <v>MG010480303</v>
          </cell>
          <cell r="C890" t="str">
            <v>MARRO GRANDE</v>
          </cell>
          <cell r="D890" t="str">
            <v>CARTERA</v>
          </cell>
          <cell r="E890" t="str">
            <v>CARTERA MILI</v>
          </cell>
          <cell r="F890" t="str">
            <v>BRIDGE</v>
          </cell>
          <cell r="G890">
            <v>0</v>
          </cell>
          <cell r="H890" t="str">
            <v>CARAMELO</v>
          </cell>
          <cell r="I890" t="str">
            <v>U</v>
          </cell>
          <cell r="J890" t="str">
            <v>M</v>
          </cell>
        </row>
        <row r="891">
          <cell r="B891" t="str">
            <v>MG010480503</v>
          </cell>
          <cell r="C891" t="str">
            <v>MARRO GRANDE</v>
          </cell>
          <cell r="D891" t="str">
            <v>CARTERA</v>
          </cell>
          <cell r="E891" t="str">
            <v>CARTERA MILI</v>
          </cell>
          <cell r="F891" t="str">
            <v>GAMUZA</v>
          </cell>
          <cell r="G891">
            <v>0</v>
          </cell>
          <cell r="H891" t="str">
            <v>CARAMELO</v>
          </cell>
          <cell r="I891" t="str">
            <v>U</v>
          </cell>
          <cell r="J891" t="str">
            <v>M</v>
          </cell>
        </row>
        <row r="892">
          <cell r="B892" t="str">
            <v>MG010480551</v>
          </cell>
          <cell r="C892" t="str">
            <v>MARRO GRANDE</v>
          </cell>
          <cell r="D892" t="str">
            <v>CARTERA</v>
          </cell>
          <cell r="E892" t="str">
            <v>CARTERA MILI</v>
          </cell>
          <cell r="F892" t="str">
            <v>GAMUZA</v>
          </cell>
          <cell r="G892">
            <v>0</v>
          </cell>
          <cell r="H892" t="str">
            <v>MOSTAZA</v>
          </cell>
          <cell r="I892" t="str">
            <v>U</v>
          </cell>
          <cell r="J892" t="str">
            <v>M</v>
          </cell>
        </row>
        <row r="893">
          <cell r="B893" t="str">
            <v>MG010480552</v>
          </cell>
          <cell r="C893" t="str">
            <v>MARRO GRANDE</v>
          </cell>
          <cell r="D893" t="str">
            <v>CARTERA</v>
          </cell>
          <cell r="E893" t="str">
            <v>CARTERA MILI</v>
          </cell>
          <cell r="F893" t="str">
            <v>GAMUZA</v>
          </cell>
          <cell r="G893">
            <v>0</v>
          </cell>
          <cell r="H893" t="str">
            <v>CHOCOLATE</v>
          </cell>
          <cell r="I893" t="str">
            <v>U</v>
          </cell>
          <cell r="J893" t="str">
            <v>M</v>
          </cell>
        </row>
        <row r="894">
          <cell r="B894" t="str">
            <v>MG010170201</v>
          </cell>
          <cell r="C894" t="str">
            <v>MARRO GRANDE</v>
          </cell>
          <cell r="D894" t="str">
            <v>CARTERA</v>
          </cell>
          <cell r="E894" t="str">
            <v>CARTERA MINI APHOLO</v>
          </cell>
          <cell r="F894" t="str">
            <v>TAMPONATO</v>
          </cell>
          <cell r="G894">
            <v>0</v>
          </cell>
          <cell r="H894" t="str">
            <v>NEGRO</v>
          </cell>
          <cell r="I894" t="str">
            <v>U</v>
          </cell>
          <cell r="J894" t="str">
            <v>M</v>
          </cell>
        </row>
        <row r="895">
          <cell r="B895" t="str">
            <v>MG010170202</v>
          </cell>
          <cell r="C895" t="str">
            <v>MARRO GRANDE</v>
          </cell>
          <cell r="D895" t="str">
            <v>CARTERA</v>
          </cell>
          <cell r="E895" t="str">
            <v>CARTERA MINI APHOLO</v>
          </cell>
          <cell r="F895" t="str">
            <v>TAMPONATO</v>
          </cell>
          <cell r="G895">
            <v>0</v>
          </cell>
          <cell r="H895" t="str">
            <v>SUELA</v>
          </cell>
          <cell r="I895" t="str">
            <v>U</v>
          </cell>
          <cell r="J895" t="str">
            <v>M</v>
          </cell>
        </row>
        <row r="896">
          <cell r="B896" t="str">
            <v>MG010170205</v>
          </cell>
          <cell r="C896" t="str">
            <v>MARRO GRANDE</v>
          </cell>
          <cell r="D896" t="str">
            <v>CARTERA</v>
          </cell>
          <cell r="E896" t="str">
            <v>CARTERA MINI APHOLO</v>
          </cell>
          <cell r="F896" t="str">
            <v>TAMPONATO</v>
          </cell>
          <cell r="G896">
            <v>0</v>
          </cell>
          <cell r="H896" t="str">
            <v>LONDON</v>
          </cell>
          <cell r="I896" t="str">
            <v>U</v>
          </cell>
          <cell r="J896" t="str">
            <v>M</v>
          </cell>
        </row>
        <row r="897">
          <cell r="B897" t="str">
            <v>MG010170301</v>
          </cell>
          <cell r="C897" t="str">
            <v>MARRO GRANDE</v>
          </cell>
          <cell r="D897" t="str">
            <v>CARTERA</v>
          </cell>
          <cell r="E897" t="str">
            <v>CARTERA MINI APHOLO</v>
          </cell>
          <cell r="F897" t="str">
            <v>BRIDGE</v>
          </cell>
          <cell r="G897">
            <v>0</v>
          </cell>
          <cell r="H897" t="str">
            <v>NEGRO</v>
          </cell>
          <cell r="I897" t="str">
            <v>U</v>
          </cell>
          <cell r="J897" t="str">
            <v>M</v>
          </cell>
        </row>
        <row r="898">
          <cell r="B898" t="str">
            <v>MG010170303</v>
          </cell>
          <cell r="C898" t="str">
            <v>MARRO GRANDE</v>
          </cell>
          <cell r="D898" t="str">
            <v>CARTERA</v>
          </cell>
          <cell r="E898" t="str">
            <v>CARTERA MINI APHOLO</v>
          </cell>
          <cell r="F898" t="str">
            <v>BRIDGE</v>
          </cell>
          <cell r="G898">
            <v>0</v>
          </cell>
          <cell r="H898" t="str">
            <v>CARAMELO</v>
          </cell>
          <cell r="I898" t="str">
            <v>U</v>
          </cell>
          <cell r="J898" t="str">
            <v>M</v>
          </cell>
        </row>
        <row r="899">
          <cell r="B899" t="str">
            <v>MG010170304</v>
          </cell>
          <cell r="C899" t="str">
            <v>MARRO GRANDE</v>
          </cell>
          <cell r="D899" t="str">
            <v>CARTERA</v>
          </cell>
          <cell r="E899" t="str">
            <v>CARTERA MINI APHOLO</v>
          </cell>
          <cell r="F899" t="str">
            <v>BRIDGE</v>
          </cell>
          <cell r="G899">
            <v>0</v>
          </cell>
          <cell r="H899" t="str">
            <v>TABACO</v>
          </cell>
          <cell r="I899" t="str">
            <v>U</v>
          </cell>
          <cell r="J899" t="str">
            <v>M</v>
          </cell>
        </row>
        <row r="900">
          <cell r="B900" t="str">
            <v>MG010170305</v>
          </cell>
          <cell r="C900" t="str">
            <v>MARRO GRANDE</v>
          </cell>
          <cell r="D900" t="str">
            <v>CARTERA</v>
          </cell>
          <cell r="E900" t="str">
            <v>CARTERA MINI APHOLO</v>
          </cell>
          <cell r="F900" t="str">
            <v>BRIDGE</v>
          </cell>
          <cell r="G900">
            <v>0</v>
          </cell>
          <cell r="H900" t="str">
            <v>LONDON</v>
          </cell>
          <cell r="I900" t="str">
            <v>U</v>
          </cell>
          <cell r="J900" t="str">
            <v>M</v>
          </cell>
        </row>
        <row r="901">
          <cell r="B901" t="str">
            <v>MG010170307</v>
          </cell>
          <cell r="C901" t="str">
            <v>MARRO GRANDE</v>
          </cell>
          <cell r="D901" t="str">
            <v>CARTERA</v>
          </cell>
          <cell r="E901" t="str">
            <v>CARTERA MINI APHOLO</v>
          </cell>
          <cell r="F901" t="str">
            <v>BRIDGE</v>
          </cell>
          <cell r="G901">
            <v>0</v>
          </cell>
          <cell r="H901" t="str">
            <v>ROJO</v>
          </cell>
          <cell r="I901" t="str">
            <v>U</v>
          </cell>
          <cell r="J901" t="str">
            <v>M</v>
          </cell>
        </row>
        <row r="902">
          <cell r="B902" t="str">
            <v>MG010170309</v>
          </cell>
          <cell r="C902" t="str">
            <v>MARRO GRANDE</v>
          </cell>
          <cell r="D902" t="str">
            <v>CARTERA</v>
          </cell>
          <cell r="E902" t="str">
            <v>CARTERA MINI APHOLO</v>
          </cell>
          <cell r="F902" t="str">
            <v>BRIDGE</v>
          </cell>
          <cell r="G902">
            <v>0</v>
          </cell>
          <cell r="H902" t="str">
            <v>AZUL</v>
          </cell>
          <cell r="I902" t="str">
            <v>U</v>
          </cell>
          <cell r="J902" t="str">
            <v>M</v>
          </cell>
        </row>
        <row r="903">
          <cell r="B903" t="str">
            <v>MG010170310</v>
          </cell>
          <cell r="C903" t="str">
            <v>MARRO GRANDE</v>
          </cell>
          <cell r="D903" t="str">
            <v>CARTERA</v>
          </cell>
          <cell r="E903" t="str">
            <v>CARTERA MINI APHOLO</v>
          </cell>
          <cell r="F903" t="str">
            <v>BRIDGE</v>
          </cell>
          <cell r="G903">
            <v>0</v>
          </cell>
          <cell r="H903" t="str">
            <v>VERDE</v>
          </cell>
          <cell r="I903" t="str">
            <v>U</v>
          </cell>
          <cell r="J903" t="str">
            <v>M</v>
          </cell>
        </row>
        <row r="904">
          <cell r="B904" t="str">
            <v>MG010170550</v>
          </cell>
          <cell r="C904" t="str">
            <v>MARRO GRANDE</v>
          </cell>
          <cell r="D904" t="str">
            <v>CARTERA</v>
          </cell>
          <cell r="E904" t="str">
            <v>CARTERA MINI APHOLO</v>
          </cell>
          <cell r="F904" t="str">
            <v>GAMUZA</v>
          </cell>
          <cell r="G904">
            <v>0</v>
          </cell>
          <cell r="H904" t="str">
            <v>VESUBIO/TABACO</v>
          </cell>
          <cell r="I904" t="str">
            <v>U</v>
          </cell>
          <cell r="J904" t="str">
            <v>M</v>
          </cell>
        </row>
        <row r="905">
          <cell r="B905" t="str">
            <v>MG010170551</v>
          </cell>
          <cell r="C905" t="str">
            <v>MARRO GRANDE</v>
          </cell>
          <cell r="D905" t="str">
            <v>CARTERA</v>
          </cell>
          <cell r="E905" t="str">
            <v>CARTERA MINI APHOLO</v>
          </cell>
          <cell r="F905" t="str">
            <v>GAMUZA</v>
          </cell>
          <cell r="G905">
            <v>0</v>
          </cell>
          <cell r="H905" t="str">
            <v>MOSTAZA/TABACO</v>
          </cell>
          <cell r="I905" t="str">
            <v>U</v>
          </cell>
          <cell r="J905" t="str">
            <v>M</v>
          </cell>
        </row>
        <row r="906">
          <cell r="B906" t="str">
            <v>MG010170555</v>
          </cell>
          <cell r="C906" t="str">
            <v>MARRO GRANDE</v>
          </cell>
          <cell r="D906" t="str">
            <v>CARTERA</v>
          </cell>
          <cell r="E906" t="str">
            <v>CARTERA MINI APHOLO</v>
          </cell>
          <cell r="F906" t="str">
            <v>GAMUZA</v>
          </cell>
          <cell r="G906">
            <v>0</v>
          </cell>
          <cell r="H906" t="str">
            <v>AVELLANA/TABACO</v>
          </cell>
          <cell r="I906" t="str">
            <v>U</v>
          </cell>
          <cell r="J906" t="str">
            <v>M</v>
          </cell>
        </row>
        <row r="907">
          <cell r="B907" t="str">
            <v>MG010170555-1</v>
          </cell>
          <cell r="C907" t="str">
            <v>MARRO GRANDE</v>
          </cell>
          <cell r="D907" t="str">
            <v>CARTERA</v>
          </cell>
          <cell r="E907" t="str">
            <v>CARTERA MINI APHOLO</v>
          </cell>
          <cell r="F907" t="str">
            <v>GAMUZA</v>
          </cell>
          <cell r="G907">
            <v>0</v>
          </cell>
          <cell r="H907" t="str">
            <v>AVELLANA/NEGRO</v>
          </cell>
          <cell r="I907" t="str">
            <v>U</v>
          </cell>
          <cell r="J907" t="str">
            <v>M</v>
          </cell>
        </row>
        <row r="908">
          <cell r="B908" t="str">
            <v>MG010170556-1</v>
          </cell>
          <cell r="C908" t="str">
            <v>MARRO GRANDE</v>
          </cell>
          <cell r="D908" t="str">
            <v>CARTERA</v>
          </cell>
          <cell r="E908" t="str">
            <v>CARTERA MINI APHOLO</v>
          </cell>
          <cell r="F908" t="str">
            <v>GAMUZA</v>
          </cell>
          <cell r="G908">
            <v>0</v>
          </cell>
          <cell r="H908" t="str">
            <v>OXIDO/NEGRO</v>
          </cell>
          <cell r="I908" t="str">
            <v>U</v>
          </cell>
          <cell r="J908" t="str">
            <v>M</v>
          </cell>
        </row>
        <row r="909">
          <cell r="B909" t="str">
            <v>MG010170556-4</v>
          </cell>
          <cell r="C909" t="str">
            <v>MARRO GRANDE</v>
          </cell>
          <cell r="D909" t="str">
            <v>CARTERA</v>
          </cell>
          <cell r="E909" t="str">
            <v>CARTERA MINI APHOLO</v>
          </cell>
          <cell r="F909" t="str">
            <v>GAMUZA</v>
          </cell>
          <cell r="G909">
            <v>0</v>
          </cell>
          <cell r="H909" t="str">
            <v>OXIDO/TABACO</v>
          </cell>
          <cell r="I909" t="str">
            <v>U</v>
          </cell>
          <cell r="J909" t="str">
            <v>M</v>
          </cell>
        </row>
        <row r="910">
          <cell r="B910" t="str">
            <v>MG010910301</v>
          </cell>
          <cell r="C910" t="str">
            <v>MARRO GRANDE</v>
          </cell>
          <cell r="D910" t="str">
            <v>CARTERA</v>
          </cell>
          <cell r="E910" t="str">
            <v>CARTERA MINI APHOLO C/CIERRE</v>
          </cell>
          <cell r="F910" t="str">
            <v>BRIDGE</v>
          </cell>
          <cell r="G910">
            <v>0</v>
          </cell>
          <cell r="H910" t="str">
            <v>NEGRO</v>
          </cell>
          <cell r="I910" t="str">
            <v>U</v>
          </cell>
          <cell r="J910" t="str">
            <v>M</v>
          </cell>
        </row>
        <row r="911">
          <cell r="B911" t="str">
            <v>MG010910303</v>
          </cell>
          <cell r="C911" t="str">
            <v>MARRO GRANDE</v>
          </cell>
          <cell r="D911" t="str">
            <v>CARTERA</v>
          </cell>
          <cell r="E911" t="str">
            <v>CARTERA MINI APHOLO C/CIERRE</v>
          </cell>
          <cell r="F911" t="str">
            <v>BRIDGE</v>
          </cell>
          <cell r="G911">
            <v>0</v>
          </cell>
          <cell r="H911" t="str">
            <v>CARAMELO</v>
          </cell>
          <cell r="I911" t="str">
            <v>U</v>
          </cell>
          <cell r="J911" t="str">
            <v>M</v>
          </cell>
        </row>
        <row r="912">
          <cell r="B912" t="str">
            <v>MG010910304</v>
          </cell>
          <cell r="C912" t="str">
            <v>MARRO GRANDE</v>
          </cell>
          <cell r="D912" t="str">
            <v>CARTERA</v>
          </cell>
          <cell r="E912" t="str">
            <v>CARTERA MINI APHOLO C/CIERRE</v>
          </cell>
          <cell r="F912" t="str">
            <v>BRIDGE</v>
          </cell>
          <cell r="G912">
            <v>0</v>
          </cell>
          <cell r="H912" t="str">
            <v>TABACO</v>
          </cell>
          <cell r="I912" t="str">
            <v>U</v>
          </cell>
          <cell r="J912" t="str">
            <v>M</v>
          </cell>
        </row>
        <row r="913">
          <cell r="B913" t="str">
            <v>MG010910307</v>
          </cell>
          <cell r="C913" t="str">
            <v>MARRO GRANDE</v>
          </cell>
          <cell r="D913" t="str">
            <v>CARTERA</v>
          </cell>
          <cell r="E913" t="str">
            <v>CARTERA MINI APHOLO C/CIERRE</v>
          </cell>
          <cell r="F913" t="str">
            <v>BRIDGE</v>
          </cell>
          <cell r="G913">
            <v>0</v>
          </cell>
          <cell r="H913" t="str">
            <v>ROJO</v>
          </cell>
          <cell r="I913" t="str">
            <v>U</v>
          </cell>
          <cell r="J913" t="str">
            <v>M</v>
          </cell>
        </row>
        <row r="914">
          <cell r="B914" t="str">
            <v>MG010910315</v>
          </cell>
          <cell r="C914" t="str">
            <v>MARRO GRANDE</v>
          </cell>
          <cell r="D914" t="str">
            <v>CARTERA</v>
          </cell>
          <cell r="E914" t="str">
            <v>CARTERA MINI APHOLO C/CIERRE</v>
          </cell>
          <cell r="F914" t="str">
            <v>BRIDGE</v>
          </cell>
          <cell r="G914">
            <v>0</v>
          </cell>
          <cell r="H914" t="str">
            <v>MALBEC</v>
          </cell>
          <cell r="I914" t="str">
            <v>U</v>
          </cell>
          <cell r="J914" t="str">
            <v>M</v>
          </cell>
        </row>
        <row r="915">
          <cell r="B915" t="str">
            <v>MG010911623</v>
          </cell>
          <cell r="C915" t="str">
            <v>MARRO GRANDE</v>
          </cell>
          <cell r="D915" t="str">
            <v>CARTERA</v>
          </cell>
          <cell r="E915" t="str">
            <v>CARTERA MINI APHOLO C/CIERRE</v>
          </cell>
          <cell r="F915" t="str">
            <v>FIORENTINO</v>
          </cell>
          <cell r="G915">
            <v>0</v>
          </cell>
          <cell r="H915" t="str">
            <v>CEDRO</v>
          </cell>
          <cell r="I915" t="str">
            <v>U</v>
          </cell>
          <cell r="J915" t="str">
            <v>M</v>
          </cell>
        </row>
        <row r="916">
          <cell r="B916" t="str">
            <v>MG010730301</v>
          </cell>
          <cell r="C916" t="str">
            <v>MARRO GRANDE</v>
          </cell>
          <cell r="D916" t="str">
            <v>CARTERA</v>
          </cell>
          <cell r="E916" t="str">
            <v>CARTERA MINI APHOLO SET SOBRE</v>
          </cell>
          <cell r="F916" t="str">
            <v>BRIDGE</v>
          </cell>
          <cell r="G916">
            <v>0</v>
          </cell>
          <cell r="H916" t="str">
            <v>NEGRO</v>
          </cell>
          <cell r="I916" t="str">
            <v>U</v>
          </cell>
          <cell r="J916" t="str">
            <v>M</v>
          </cell>
        </row>
        <row r="917">
          <cell r="B917" t="str">
            <v>MG010730302</v>
          </cell>
          <cell r="C917" t="str">
            <v>MARRO GRANDE</v>
          </cell>
          <cell r="D917" t="str">
            <v>CARTERA</v>
          </cell>
          <cell r="E917" t="str">
            <v>CARTERA MINI APHOLO SET SOBRE</v>
          </cell>
          <cell r="F917" t="str">
            <v>BRIDGE NAPO</v>
          </cell>
          <cell r="G917">
            <v>0</v>
          </cell>
          <cell r="H917" t="str">
            <v>SUELA</v>
          </cell>
          <cell r="I917" t="str">
            <v>U</v>
          </cell>
          <cell r="J917" t="str">
            <v>M</v>
          </cell>
        </row>
        <row r="918">
          <cell r="B918" t="str">
            <v>MG010730303</v>
          </cell>
          <cell r="C918" t="str">
            <v>MARRO GRANDE</v>
          </cell>
          <cell r="D918" t="str">
            <v>CARTERA</v>
          </cell>
          <cell r="E918" t="str">
            <v>CARTERA MINI APHOLO SET SOBRE</v>
          </cell>
          <cell r="F918" t="str">
            <v>BRIDGE</v>
          </cell>
          <cell r="G918">
            <v>0</v>
          </cell>
          <cell r="H918" t="str">
            <v>CARAMELO</v>
          </cell>
          <cell r="I918" t="str">
            <v>U</v>
          </cell>
          <cell r="J918" t="str">
            <v>M</v>
          </cell>
        </row>
        <row r="919">
          <cell r="B919" t="str">
            <v>MG010730304</v>
          </cell>
          <cell r="C919" t="str">
            <v>MARRO GRANDE</v>
          </cell>
          <cell r="D919" t="str">
            <v>CARTERA</v>
          </cell>
          <cell r="E919" t="str">
            <v>CARTERA MINI APHOLO SET SOBRE</v>
          </cell>
          <cell r="F919" t="str">
            <v>BRIDGE</v>
          </cell>
          <cell r="G919">
            <v>0</v>
          </cell>
          <cell r="H919" t="str">
            <v>TABACO</v>
          </cell>
          <cell r="I919" t="str">
            <v>U</v>
          </cell>
          <cell r="J919" t="str">
            <v>M</v>
          </cell>
        </row>
        <row r="920">
          <cell r="B920" t="str">
            <v>MG010730305</v>
          </cell>
          <cell r="C920" t="str">
            <v>MARRO GRANDE</v>
          </cell>
          <cell r="D920" t="str">
            <v>CARTERA</v>
          </cell>
          <cell r="E920" t="str">
            <v>CARTERA MINI APHOLO SET SOBRE</v>
          </cell>
          <cell r="F920" t="str">
            <v>BRIDGE</v>
          </cell>
          <cell r="G920">
            <v>0</v>
          </cell>
          <cell r="H920" t="str">
            <v>LONDON</v>
          </cell>
          <cell r="I920" t="str">
            <v>U</v>
          </cell>
          <cell r="J920" t="str">
            <v>M</v>
          </cell>
        </row>
        <row r="921">
          <cell r="B921" t="str">
            <v>MG010730307</v>
          </cell>
          <cell r="C921" t="str">
            <v>MARRO GRANDE</v>
          </cell>
          <cell r="D921" t="str">
            <v>CARTERA</v>
          </cell>
          <cell r="E921" t="str">
            <v>CARTERA MINI APHOLO SET SOBRE</v>
          </cell>
          <cell r="F921" t="str">
            <v>BRIDGE</v>
          </cell>
          <cell r="G921">
            <v>0</v>
          </cell>
          <cell r="H921" t="str">
            <v>ROJO</v>
          </cell>
          <cell r="I921" t="str">
            <v>U</v>
          </cell>
          <cell r="J921" t="str">
            <v>M</v>
          </cell>
        </row>
        <row r="922">
          <cell r="B922" t="str">
            <v>MG010730309</v>
          </cell>
          <cell r="C922" t="str">
            <v>MARRO GRANDE</v>
          </cell>
          <cell r="D922" t="str">
            <v>CARTERA</v>
          </cell>
          <cell r="E922" t="str">
            <v>CARTERA MINI APHOLO SET SOBRE</v>
          </cell>
          <cell r="F922" t="str">
            <v>BRIDGE</v>
          </cell>
          <cell r="G922">
            <v>0</v>
          </cell>
          <cell r="H922" t="str">
            <v>AZUL</v>
          </cell>
          <cell r="I922" t="str">
            <v>U</v>
          </cell>
          <cell r="J922" t="str">
            <v>M</v>
          </cell>
        </row>
        <row r="923">
          <cell r="B923" t="str">
            <v>MG010730310</v>
          </cell>
          <cell r="C923" t="str">
            <v>MARRO GRANDE</v>
          </cell>
          <cell r="D923" t="str">
            <v>CARTERA</v>
          </cell>
          <cell r="E923" t="str">
            <v>CARTERA MINI APHOLO SET SOBRE</v>
          </cell>
          <cell r="F923" t="str">
            <v>BRIDGE</v>
          </cell>
          <cell r="G923">
            <v>0</v>
          </cell>
          <cell r="H923" t="str">
            <v>VERDE</v>
          </cell>
          <cell r="I923" t="str">
            <v>U</v>
          </cell>
          <cell r="J923" t="str">
            <v>M</v>
          </cell>
        </row>
        <row r="924">
          <cell r="B924" t="str">
            <v>MG010730352</v>
          </cell>
          <cell r="C924" t="str">
            <v>MARRO GRANDE</v>
          </cell>
          <cell r="D924" t="str">
            <v>CARTERA</v>
          </cell>
          <cell r="E924" t="str">
            <v>CARTERA MINI APHOLO SET SOBRE</v>
          </cell>
          <cell r="F924" t="str">
            <v>BRIDGE</v>
          </cell>
          <cell r="G924">
            <v>0</v>
          </cell>
          <cell r="H924" t="str">
            <v>CHOCOLATE</v>
          </cell>
          <cell r="I924" t="str">
            <v>U</v>
          </cell>
          <cell r="J924" t="str">
            <v>M</v>
          </cell>
        </row>
        <row r="925">
          <cell r="B925" t="str">
            <v>MG010730550</v>
          </cell>
          <cell r="C925" t="str">
            <v>MARRO GRANDE</v>
          </cell>
          <cell r="D925" t="str">
            <v>CARTERA</v>
          </cell>
          <cell r="E925" t="str">
            <v>CARTERA MINI APHOLO SET SOBRE</v>
          </cell>
          <cell r="F925" t="str">
            <v>GAMUZA</v>
          </cell>
          <cell r="G925">
            <v>0</v>
          </cell>
          <cell r="H925" t="str">
            <v>VESUBIO/TABACO</v>
          </cell>
          <cell r="I925" t="str">
            <v>U</v>
          </cell>
          <cell r="J925" t="str">
            <v>M</v>
          </cell>
        </row>
        <row r="926">
          <cell r="B926" t="str">
            <v>MG010730551</v>
          </cell>
          <cell r="C926" t="str">
            <v>MARRO GRANDE</v>
          </cell>
          <cell r="D926" t="str">
            <v>CARTERA</v>
          </cell>
          <cell r="E926" t="str">
            <v>CARTERA MINI APHOLO SET SOBRE</v>
          </cell>
          <cell r="F926" t="str">
            <v>GAMUZA</v>
          </cell>
          <cell r="G926">
            <v>0</v>
          </cell>
          <cell r="H926" t="str">
            <v>MOSTAZA/TABACO</v>
          </cell>
          <cell r="I926" t="str">
            <v>U</v>
          </cell>
          <cell r="J926" t="str">
            <v>M</v>
          </cell>
        </row>
        <row r="927">
          <cell r="B927" t="str">
            <v>MG010730555</v>
          </cell>
          <cell r="C927" t="str">
            <v>MARRO GRANDE</v>
          </cell>
          <cell r="D927" t="str">
            <v>CARTERA</v>
          </cell>
          <cell r="E927" t="str">
            <v>CARTERA MINI APHOLO SET SOBRE</v>
          </cell>
          <cell r="F927" t="str">
            <v>GAMUZA</v>
          </cell>
          <cell r="G927">
            <v>0</v>
          </cell>
          <cell r="H927" t="str">
            <v>AVELLANA/TABACO</v>
          </cell>
          <cell r="I927" t="str">
            <v>U</v>
          </cell>
          <cell r="J927" t="str">
            <v>M</v>
          </cell>
        </row>
        <row r="928">
          <cell r="B928" t="str">
            <v>MG010730555-1</v>
          </cell>
          <cell r="C928" t="str">
            <v>MARRO GRANDE</v>
          </cell>
          <cell r="D928" t="str">
            <v>CARTERA</v>
          </cell>
          <cell r="E928" t="str">
            <v>CARTERA MINI APHOLO SET SOBRE</v>
          </cell>
          <cell r="F928" t="str">
            <v>GAMUZA</v>
          </cell>
          <cell r="G928">
            <v>0</v>
          </cell>
          <cell r="H928" t="str">
            <v>AVELLANA/NEGRO</v>
          </cell>
          <cell r="I928" t="str">
            <v>U</v>
          </cell>
          <cell r="J928" t="str">
            <v>M</v>
          </cell>
        </row>
        <row r="929">
          <cell r="B929" t="str">
            <v>MG010730556</v>
          </cell>
          <cell r="C929" t="str">
            <v>MARRO GRANDE</v>
          </cell>
          <cell r="D929" t="str">
            <v>CARTERA</v>
          </cell>
          <cell r="E929" t="str">
            <v>CARTERA MINI APHOLO SET SOBRE</v>
          </cell>
          <cell r="F929" t="str">
            <v>GAMUZA</v>
          </cell>
          <cell r="G929">
            <v>0</v>
          </cell>
          <cell r="H929" t="str">
            <v>OXIDO/NEGRO</v>
          </cell>
          <cell r="I929" t="str">
            <v>U</v>
          </cell>
          <cell r="J929" t="str">
            <v>M</v>
          </cell>
        </row>
        <row r="930">
          <cell r="B930" t="str">
            <v>MG010730556-4</v>
          </cell>
          <cell r="C930" t="str">
            <v>MARRO GRANDE</v>
          </cell>
          <cell r="D930" t="str">
            <v>CARTERA</v>
          </cell>
          <cell r="E930" t="str">
            <v>CARTERA MINI APHOLO SET SOBRE</v>
          </cell>
          <cell r="F930" t="str">
            <v>GAMUZA</v>
          </cell>
          <cell r="G930">
            <v>0</v>
          </cell>
          <cell r="H930" t="str">
            <v>OXIDO/TABACO</v>
          </cell>
          <cell r="I930" t="str">
            <v>U</v>
          </cell>
          <cell r="J930" t="str">
            <v>M</v>
          </cell>
        </row>
        <row r="931">
          <cell r="B931" t="str">
            <v>MG011120101</v>
          </cell>
          <cell r="C931" t="str">
            <v>MARRO GRANDE</v>
          </cell>
          <cell r="D931" t="str">
            <v>CARTERA</v>
          </cell>
          <cell r="E931" t="str">
            <v>CARTERA MINI EMMA</v>
          </cell>
          <cell r="F931" t="str">
            <v>NAPADO</v>
          </cell>
          <cell r="G931">
            <v>0</v>
          </cell>
          <cell r="H931" t="str">
            <v>NEGRO</v>
          </cell>
          <cell r="I931" t="str">
            <v>U</v>
          </cell>
          <cell r="J931" t="str">
            <v>M</v>
          </cell>
        </row>
        <row r="932">
          <cell r="B932" t="str">
            <v>MG011120102</v>
          </cell>
          <cell r="C932" t="str">
            <v>MARRO GRANDE</v>
          </cell>
          <cell r="D932" t="str">
            <v>CARTERA</v>
          </cell>
          <cell r="E932" t="str">
            <v>CARTERA MINI EMMA</v>
          </cell>
          <cell r="F932" t="str">
            <v>NAPADO</v>
          </cell>
          <cell r="G932">
            <v>0</v>
          </cell>
          <cell r="H932" t="str">
            <v>SUELA</v>
          </cell>
          <cell r="I932" t="str">
            <v>U</v>
          </cell>
          <cell r="J932" t="str">
            <v>M</v>
          </cell>
        </row>
        <row r="933">
          <cell r="B933" t="str">
            <v>MG011120103</v>
          </cell>
          <cell r="C933" t="str">
            <v>MARRO GRANDE</v>
          </cell>
          <cell r="D933" t="str">
            <v>CARTERA</v>
          </cell>
          <cell r="E933" t="str">
            <v>CARTERA MINI EMMA</v>
          </cell>
          <cell r="F933" t="str">
            <v>NAPADO</v>
          </cell>
          <cell r="G933">
            <v>0</v>
          </cell>
          <cell r="H933" t="str">
            <v xml:space="preserve">CARAMELO </v>
          </cell>
          <cell r="I933" t="str">
            <v>U</v>
          </cell>
          <cell r="J933" t="str">
            <v>M</v>
          </cell>
        </row>
        <row r="934">
          <cell r="B934" t="str">
            <v>MG011120107</v>
          </cell>
          <cell r="C934" t="str">
            <v>MARRO GRANDE</v>
          </cell>
          <cell r="D934" t="str">
            <v>CARTERA</v>
          </cell>
          <cell r="E934" t="str">
            <v>CARTERA MINI EMMA</v>
          </cell>
          <cell r="F934" t="str">
            <v>NAPADO</v>
          </cell>
          <cell r="G934">
            <v>0</v>
          </cell>
          <cell r="H934" t="str">
            <v>ROJO</v>
          </cell>
          <cell r="I934" t="str">
            <v>U</v>
          </cell>
          <cell r="J934" t="str">
            <v>M</v>
          </cell>
        </row>
        <row r="935">
          <cell r="B935" t="str">
            <v>MG011120115</v>
          </cell>
          <cell r="C935" t="str">
            <v>MARRO GRANDE</v>
          </cell>
          <cell r="D935" t="str">
            <v>CARTERA</v>
          </cell>
          <cell r="E935" t="str">
            <v>CARTERA MINI EMMA</v>
          </cell>
          <cell r="F935" t="str">
            <v>NAPADO</v>
          </cell>
          <cell r="G935">
            <v>0</v>
          </cell>
          <cell r="H935" t="str">
            <v>MALBEC</v>
          </cell>
          <cell r="I935" t="str">
            <v>U</v>
          </cell>
          <cell r="J935" t="str">
            <v>M</v>
          </cell>
        </row>
        <row r="936">
          <cell r="B936" t="str">
            <v>MG100950101</v>
          </cell>
          <cell r="C936" t="str">
            <v>MARRO GRANDE</v>
          </cell>
          <cell r="D936" t="str">
            <v>CARTERA</v>
          </cell>
          <cell r="E936" t="str">
            <v>CARTERA MIRABELLA</v>
          </cell>
          <cell r="F936" t="str">
            <v>NAPADO</v>
          </cell>
          <cell r="G936">
            <v>0</v>
          </cell>
          <cell r="H936" t="str">
            <v>NEGRO</v>
          </cell>
          <cell r="I936" t="str">
            <v>U</v>
          </cell>
          <cell r="J936" t="str">
            <v>M</v>
          </cell>
        </row>
        <row r="937">
          <cell r="B937" t="str">
            <v>MG100950102</v>
          </cell>
          <cell r="C937" t="str">
            <v>MARRO GRANDE</v>
          </cell>
          <cell r="D937" t="str">
            <v>CARTERA</v>
          </cell>
          <cell r="E937" t="str">
            <v>CARTERA MIRABELLA</v>
          </cell>
          <cell r="F937" t="str">
            <v>NAPADO</v>
          </cell>
          <cell r="G937">
            <v>0</v>
          </cell>
          <cell r="H937" t="str">
            <v>SUELA</v>
          </cell>
          <cell r="I937" t="str">
            <v>U</v>
          </cell>
          <cell r="J937" t="str">
            <v>M</v>
          </cell>
        </row>
        <row r="938">
          <cell r="B938" t="str">
            <v>MG100950103</v>
          </cell>
          <cell r="C938" t="str">
            <v>MARRO GRANDE</v>
          </cell>
          <cell r="D938" t="str">
            <v>CARTERA</v>
          </cell>
          <cell r="E938" t="str">
            <v>CARTERA MIRABELLA</v>
          </cell>
          <cell r="F938" t="str">
            <v>NAPADO</v>
          </cell>
          <cell r="G938">
            <v>0</v>
          </cell>
          <cell r="H938" t="str">
            <v>CARAMELO</v>
          </cell>
          <cell r="I938" t="str">
            <v>U</v>
          </cell>
          <cell r="J938" t="str">
            <v>M</v>
          </cell>
        </row>
        <row r="939">
          <cell r="B939" t="str">
            <v>MG100951201</v>
          </cell>
          <cell r="C939" t="str">
            <v>MARRO GRANDE</v>
          </cell>
          <cell r="D939" t="str">
            <v>CARTERA</v>
          </cell>
          <cell r="E939" t="str">
            <v>CARTERA MIRABELLA</v>
          </cell>
          <cell r="F939" t="str">
            <v>DUNA</v>
          </cell>
          <cell r="G939">
            <v>0</v>
          </cell>
          <cell r="H939" t="str">
            <v>NEGRO</v>
          </cell>
          <cell r="I939" t="str">
            <v>U</v>
          </cell>
          <cell r="J939" t="str">
            <v>M</v>
          </cell>
        </row>
        <row r="940">
          <cell r="B940" t="str">
            <v>MG010300301</v>
          </cell>
          <cell r="C940" t="str">
            <v>MARRO GRANDE</v>
          </cell>
          <cell r="D940" t="str">
            <v>CARTERA</v>
          </cell>
          <cell r="E940" t="str">
            <v>CARTERA PRAGMA</v>
          </cell>
          <cell r="F940" t="str">
            <v>BRIDGE</v>
          </cell>
          <cell r="G940">
            <v>0</v>
          </cell>
          <cell r="H940" t="str">
            <v>NEGRO</v>
          </cell>
          <cell r="I940" t="str">
            <v>U</v>
          </cell>
          <cell r="J940" t="str">
            <v>M</v>
          </cell>
        </row>
        <row r="941">
          <cell r="B941" t="str">
            <v>MG010300550</v>
          </cell>
          <cell r="C941" t="str">
            <v>MARRO GRANDE</v>
          </cell>
          <cell r="D941" t="str">
            <v>CARTERA</v>
          </cell>
          <cell r="E941" t="str">
            <v>CARTERA PRAGMA</v>
          </cell>
          <cell r="F941" t="str">
            <v>GAMUZA</v>
          </cell>
          <cell r="G941">
            <v>0</v>
          </cell>
          <cell r="H941" t="str">
            <v>VESUBIO</v>
          </cell>
          <cell r="I941" t="str">
            <v>U</v>
          </cell>
          <cell r="J941" t="str">
            <v>M</v>
          </cell>
        </row>
        <row r="942">
          <cell r="B942" t="str">
            <v>MG010300551</v>
          </cell>
          <cell r="C942" t="str">
            <v>MARRO GRANDE</v>
          </cell>
          <cell r="D942" t="str">
            <v>CARTERA</v>
          </cell>
          <cell r="E942" t="str">
            <v>CARTERA PRAGMA</v>
          </cell>
          <cell r="F942" t="str">
            <v>GAMUZA</v>
          </cell>
          <cell r="G942">
            <v>0</v>
          </cell>
          <cell r="H942" t="str">
            <v>MOSTAZA</v>
          </cell>
          <cell r="I942" t="str">
            <v>U</v>
          </cell>
          <cell r="J942" t="str">
            <v>M</v>
          </cell>
        </row>
        <row r="943">
          <cell r="B943" t="str">
            <v>MG010600301</v>
          </cell>
          <cell r="C943" t="str">
            <v>MARRO GRANDE</v>
          </cell>
          <cell r="D943" t="str">
            <v>BANDOLERA</v>
          </cell>
          <cell r="E943" t="str">
            <v>CARTERA YARA</v>
          </cell>
          <cell r="F943" t="str">
            <v>BRIDGE</v>
          </cell>
          <cell r="G943">
            <v>0</v>
          </cell>
          <cell r="H943" t="str">
            <v>NEGRO</v>
          </cell>
          <cell r="I943" t="str">
            <v>U</v>
          </cell>
          <cell r="J943" t="str">
            <v>M</v>
          </cell>
        </row>
        <row r="944">
          <cell r="B944" t="str">
            <v>MG010600303</v>
          </cell>
          <cell r="C944" t="str">
            <v>MARRO GRANDE</v>
          </cell>
          <cell r="D944" t="str">
            <v>BANDOLERA</v>
          </cell>
          <cell r="E944" t="str">
            <v>CARTERA YARA</v>
          </cell>
          <cell r="F944" t="str">
            <v>BRIDGE</v>
          </cell>
          <cell r="G944">
            <v>0</v>
          </cell>
          <cell r="H944" t="str">
            <v>CARAMELO</v>
          </cell>
          <cell r="I944" t="str">
            <v>U</v>
          </cell>
          <cell r="J944" t="str">
            <v>M</v>
          </cell>
        </row>
        <row r="945">
          <cell r="B945" t="str">
            <v>MG010600304</v>
          </cell>
          <cell r="C945" t="str">
            <v>MARRO GRANDE</v>
          </cell>
          <cell r="D945" t="str">
            <v>BANDOLERA</v>
          </cell>
          <cell r="E945" t="str">
            <v>CARTERA YARA</v>
          </cell>
          <cell r="F945" t="str">
            <v>BRIDGE</v>
          </cell>
          <cell r="G945">
            <v>0</v>
          </cell>
          <cell r="H945" t="str">
            <v>TABACO</v>
          </cell>
          <cell r="I945" t="str">
            <v>U</v>
          </cell>
          <cell r="J945" t="str">
            <v>M</v>
          </cell>
        </row>
        <row r="946">
          <cell r="B946" t="str">
            <v>MG010600307</v>
          </cell>
          <cell r="C946" t="str">
            <v>MARRO GRANDE</v>
          </cell>
          <cell r="D946" t="str">
            <v>BANDOLERA</v>
          </cell>
          <cell r="E946" t="str">
            <v>CARTERA YARA</v>
          </cell>
          <cell r="F946" t="str">
            <v>BRIDGE</v>
          </cell>
          <cell r="G946">
            <v>0</v>
          </cell>
          <cell r="H946" t="str">
            <v>ROJO</v>
          </cell>
          <cell r="I946" t="str">
            <v>U</v>
          </cell>
          <cell r="J946" t="str">
            <v>M</v>
          </cell>
        </row>
        <row r="947">
          <cell r="B947" t="str">
            <v>MG010600309</v>
          </cell>
          <cell r="C947" t="str">
            <v>MARRO GRANDE</v>
          </cell>
          <cell r="D947" t="str">
            <v>BANDOLERA</v>
          </cell>
          <cell r="E947" t="str">
            <v>CARTERA YARA</v>
          </cell>
          <cell r="F947" t="str">
            <v>BRIDGE</v>
          </cell>
          <cell r="G947">
            <v>0</v>
          </cell>
          <cell r="H947" t="str">
            <v>AZUL</v>
          </cell>
          <cell r="I947" t="str">
            <v>U</v>
          </cell>
          <cell r="J947" t="str">
            <v>M</v>
          </cell>
        </row>
        <row r="948">
          <cell r="B948" t="str">
            <v>MG010600310</v>
          </cell>
          <cell r="C948" t="str">
            <v>MARRO GRANDE</v>
          </cell>
          <cell r="D948" t="str">
            <v>BANDOLERA</v>
          </cell>
          <cell r="E948" t="str">
            <v>CARTERA YARA</v>
          </cell>
          <cell r="F948" t="str">
            <v>BRIDGE</v>
          </cell>
          <cell r="G948">
            <v>0</v>
          </cell>
          <cell r="H948" t="str">
            <v>VERDE</v>
          </cell>
          <cell r="I948" t="str">
            <v>U</v>
          </cell>
          <cell r="J948" t="str">
            <v>M</v>
          </cell>
        </row>
        <row r="949">
          <cell r="B949" t="str">
            <v>MG010600315</v>
          </cell>
          <cell r="C949" t="str">
            <v>MARRO GRANDE</v>
          </cell>
          <cell r="D949" t="str">
            <v>BANDOLERA</v>
          </cell>
          <cell r="E949" t="str">
            <v>CARTERA YARA</v>
          </cell>
          <cell r="F949" t="str">
            <v>BRIDGE</v>
          </cell>
          <cell r="G949">
            <v>0</v>
          </cell>
          <cell r="H949" t="str">
            <v>MALBEC</v>
          </cell>
          <cell r="I949" t="str">
            <v>U</v>
          </cell>
          <cell r="J949" t="str">
            <v>M</v>
          </cell>
        </row>
        <row r="950">
          <cell r="B950" t="str">
            <v>MG010600701</v>
          </cell>
          <cell r="C950" t="str">
            <v>MARRO GRANDE</v>
          </cell>
          <cell r="D950" t="str">
            <v>BANDOLERA</v>
          </cell>
          <cell r="E950" t="str">
            <v>CARTERA YARA</v>
          </cell>
          <cell r="F950" t="str">
            <v>IGUANA</v>
          </cell>
          <cell r="G950">
            <v>0</v>
          </cell>
          <cell r="H950" t="str">
            <v>NEGRO</v>
          </cell>
          <cell r="I950" t="str">
            <v>U</v>
          </cell>
          <cell r="J950" t="str">
            <v>M</v>
          </cell>
        </row>
        <row r="951">
          <cell r="B951" t="str">
            <v>MG010600703</v>
          </cell>
          <cell r="C951" t="str">
            <v>MARRO GRANDE</v>
          </cell>
          <cell r="D951" t="str">
            <v>BANDOLERA</v>
          </cell>
          <cell r="E951" t="str">
            <v>CARTERA YARA</v>
          </cell>
          <cell r="F951" t="str">
            <v>IGUANA</v>
          </cell>
          <cell r="G951">
            <v>0</v>
          </cell>
          <cell r="H951" t="str">
            <v>CARAMELO</v>
          </cell>
          <cell r="I951" t="str">
            <v>U</v>
          </cell>
          <cell r="J951" t="str">
            <v>M</v>
          </cell>
        </row>
        <row r="952">
          <cell r="B952" t="str">
            <v>MC020360301</v>
          </cell>
          <cell r="C952" t="str">
            <v>MARRO CHICA</v>
          </cell>
          <cell r="D952" t="str">
            <v>CARTUCHERA</v>
          </cell>
          <cell r="E952" t="str">
            <v>CARTUCHERA MONT</v>
          </cell>
          <cell r="F952" t="str">
            <v>BRIDGE</v>
          </cell>
          <cell r="G952">
            <v>0</v>
          </cell>
          <cell r="H952" t="str">
            <v>NEGRO</v>
          </cell>
          <cell r="I952" t="str">
            <v>U</v>
          </cell>
          <cell r="J952" t="str">
            <v>U</v>
          </cell>
        </row>
        <row r="953">
          <cell r="B953" t="str">
            <v>MC020360302</v>
          </cell>
          <cell r="C953" t="str">
            <v>MARRO CHICA</v>
          </cell>
          <cell r="D953" t="str">
            <v>CARTUCHERA</v>
          </cell>
          <cell r="E953" t="str">
            <v>CARTUCHERA MONT</v>
          </cell>
          <cell r="F953" t="str">
            <v>BRIDGE NAPO</v>
          </cell>
          <cell r="G953">
            <v>0</v>
          </cell>
          <cell r="H953" t="str">
            <v>SUELA</v>
          </cell>
          <cell r="I953" t="str">
            <v>U</v>
          </cell>
          <cell r="J953" t="str">
            <v>U</v>
          </cell>
        </row>
        <row r="954">
          <cell r="B954" t="str">
            <v>MC020360303</v>
          </cell>
          <cell r="C954" t="str">
            <v>MARRO CHICA</v>
          </cell>
          <cell r="D954" t="str">
            <v>CARTUCHERA</v>
          </cell>
          <cell r="E954" t="str">
            <v>CARTUCHERA MONT</v>
          </cell>
          <cell r="F954" t="str">
            <v>BRIDGE</v>
          </cell>
          <cell r="G954">
            <v>0</v>
          </cell>
          <cell r="H954" t="str">
            <v>CARAMELO</v>
          </cell>
          <cell r="I954" t="str">
            <v>U</v>
          </cell>
          <cell r="J954" t="str">
            <v>U</v>
          </cell>
        </row>
        <row r="955">
          <cell r="B955" t="str">
            <v>MC020360304</v>
          </cell>
          <cell r="C955" t="str">
            <v>MARRO CHICA</v>
          </cell>
          <cell r="D955" t="str">
            <v>CARTUCHERA</v>
          </cell>
          <cell r="E955" t="str">
            <v>CARTUCHERA MONT</v>
          </cell>
          <cell r="F955" t="str">
            <v>BRIDGE</v>
          </cell>
          <cell r="G955">
            <v>0</v>
          </cell>
          <cell r="H955" t="str">
            <v>TABACO</v>
          </cell>
          <cell r="I955" t="str">
            <v>U</v>
          </cell>
          <cell r="J955" t="str">
            <v>U</v>
          </cell>
        </row>
        <row r="956">
          <cell r="B956" t="str">
            <v>MC020360307</v>
          </cell>
          <cell r="C956" t="str">
            <v>MARRO CHICA</v>
          </cell>
          <cell r="D956" t="str">
            <v>CARTUCHERA</v>
          </cell>
          <cell r="E956" t="str">
            <v>CARTUCHERA MONT</v>
          </cell>
          <cell r="F956" t="str">
            <v>BRIDGE</v>
          </cell>
          <cell r="G956">
            <v>0</v>
          </cell>
          <cell r="H956" t="str">
            <v>ROJO</v>
          </cell>
          <cell r="I956" t="str">
            <v>U</v>
          </cell>
          <cell r="J956" t="str">
            <v>U</v>
          </cell>
        </row>
        <row r="957">
          <cell r="B957" t="str">
            <v>MC020360309</v>
          </cell>
          <cell r="C957" t="str">
            <v>MARRO CHICA</v>
          </cell>
          <cell r="D957" t="str">
            <v>CARTUCHERA</v>
          </cell>
          <cell r="E957" t="str">
            <v>CARTUCHERA MONT</v>
          </cell>
          <cell r="F957" t="str">
            <v>BRIDGE</v>
          </cell>
          <cell r="G957">
            <v>0</v>
          </cell>
          <cell r="H957" t="str">
            <v>AZUL</v>
          </cell>
          <cell r="I957" t="str">
            <v>U</v>
          </cell>
          <cell r="J957" t="str">
            <v>U</v>
          </cell>
        </row>
        <row r="958">
          <cell r="B958" t="str">
            <v>MC020360310</v>
          </cell>
          <cell r="C958" t="str">
            <v>MARRO CHICA</v>
          </cell>
          <cell r="D958" t="str">
            <v>CARTUCHERA</v>
          </cell>
          <cell r="E958" t="str">
            <v>CARTUCHERA MONT</v>
          </cell>
          <cell r="F958" t="str">
            <v>BRIDGE</v>
          </cell>
          <cell r="G958">
            <v>0</v>
          </cell>
          <cell r="H958" t="str">
            <v>VERDE</v>
          </cell>
          <cell r="I958" t="str">
            <v>U</v>
          </cell>
          <cell r="J958" t="str">
            <v>U</v>
          </cell>
        </row>
        <row r="959">
          <cell r="B959" t="str">
            <v>MC020360315</v>
          </cell>
          <cell r="C959" t="str">
            <v>MARRO CHICA</v>
          </cell>
          <cell r="D959" t="str">
            <v>CARTUCHERA</v>
          </cell>
          <cell r="E959" t="str">
            <v>CARTUCHERA MONT</v>
          </cell>
          <cell r="F959" t="str">
            <v>BRIDGE</v>
          </cell>
          <cell r="G959">
            <v>0</v>
          </cell>
          <cell r="H959" t="str">
            <v>MALBEC</v>
          </cell>
          <cell r="I959" t="str">
            <v>U</v>
          </cell>
          <cell r="J959" t="str">
            <v>U</v>
          </cell>
        </row>
        <row r="960">
          <cell r="B960" t="str">
            <v>MC020361201</v>
          </cell>
          <cell r="C960" t="str">
            <v>MARRO CHICA</v>
          </cell>
          <cell r="D960" t="str">
            <v>CARTUCHERA</v>
          </cell>
          <cell r="E960" t="str">
            <v>CARTUCHERA MONT</v>
          </cell>
          <cell r="F960" t="str">
            <v>DUNA</v>
          </cell>
          <cell r="G960">
            <v>0</v>
          </cell>
          <cell r="H960" t="str">
            <v>NEGRO</v>
          </cell>
          <cell r="I960" t="str">
            <v>U</v>
          </cell>
          <cell r="J960" t="str">
            <v>U</v>
          </cell>
        </row>
        <row r="961">
          <cell r="B961" t="str">
            <v>MC020363111</v>
          </cell>
          <cell r="C961" t="str">
            <v>MARRO CHICA</v>
          </cell>
          <cell r="D961" t="str">
            <v>CARTUCHERA</v>
          </cell>
          <cell r="E961" t="str">
            <v>CARTUCHERA MONT</v>
          </cell>
          <cell r="F961" t="str">
            <v>PELO</v>
          </cell>
          <cell r="G961">
            <v>0</v>
          </cell>
          <cell r="H961" t="str">
            <v>BEIGE</v>
          </cell>
          <cell r="I961" t="str">
            <v>U</v>
          </cell>
          <cell r="J961" t="str">
            <v>U</v>
          </cell>
        </row>
        <row r="962">
          <cell r="B962" t="str">
            <v>MC020363163</v>
          </cell>
          <cell r="C962" t="str">
            <v>MARRO CHICA</v>
          </cell>
          <cell r="D962" t="str">
            <v>CARTUCHERA</v>
          </cell>
          <cell r="E962" t="str">
            <v>CARTUCHERA MONT</v>
          </cell>
          <cell r="F962" t="str">
            <v>PELO</v>
          </cell>
          <cell r="G962">
            <v>0</v>
          </cell>
          <cell r="H962" t="str">
            <v>MARRON</v>
          </cell>
          <cell r="I962" t="str">
            <v>U</v>
          </cell>
          <cell r="J962" t="str">
            <v>U</v>
          </cell>
        </row>
        <row r="963">
          <cell r="B963" t="str">
            <v>MC020363241</v>
          </cell>
          <cell r="C963" t="str">
            <v>MARRO CHICA</v>
          </cell>
          <cell r="D963" t="str">
            <v>CARTUCHERA</v>
          </cell>
          <cell r="E963" t="str">
            <v>CARTUCHERA MONT</v>
          </cell>
          <cell r="F963" t="str">
            <v>VINTAGE</v>
          </cell>
          <cell r="G963">
            <v>0</v>
          </cell>
          <cell r="H963" t="str">
            <v>LIGHT</v>
          </cell>
          <cell r="I963" t="str">
            <v>U</v>
          </cell>
          <cell r="J963" t="str">
            <v>U</v>
          </cell>
        </row>
        <row r="964">
          <cell r="B964" t="str">
            <v>MC020363243</v>
          </cell>
          <cell r="C964" t="str">
            <v>MARRO CHICA</v>
          </cell>
          <cell r="D964" t="str">
            <v>CARTUCHERA</v>
          </cell>
          <cell r="E964" t="str">
            <v>CARTUCHERA MONT</v>
          </cell>
          <cell r="F964" t="str">
            <v>VINTAGE</v>
          </cell>
          <cell r="G964">
            <v>0</v>
          </cell>
          <cell r="H964" t="str">
            <v>DARK</v>
          </cell>
          <cell r="I964" t="str">
            <v>U</v>
          </cell>
          <cell r="J964" t="str">
            <v>U</v>
          </cell>
        </row>
        <row r="965">
          <cell r="B965" t="str">
            <v>MC020160301</v>
          </cell>
          <cell r="C965" t="str">
            <v>MARRO CHICA</v>
          </cell>
          <cell r="D965" t="str">
            <v>CARTUCHERA</v>
          </cell>
          <cell r="E965" t="str">
            <v>CARTUCHERA MONT FULL BLACK</v>
          </cell>
          <cell r="F965" t="str">
            <v>BRIDGE</v>
          </cell>
          <cell r="G965">
            <v>0</v>
          </cell>
          <cell r="H965" t="str">
            <v>NEGRO</v>
          </cell>
          <cell r="I965" t="str">
            <v>U</v>
          </cell>
          <cell r="J965" t="str">
            <v>U</v>
          </cell>
        </row>
        <row r="966">
          <cell r="B966" t="str">
            <v>TX220243601-L</v>
          </cell>
          <cell r="C966" t="str">
            <v>TEXTIL</v>
          </cell>
          <cell r="D966" t="str">
            <v>CHALECO</v>
          </cell>
          <cell r="E966" t="str">
            <v>CHALECO PRATTO</v>
          </cell>
          <cell r="F966" t="str">
            <v>ALGODON/LANA</v>
          </cell>
          <cell r="G966">
            <v>0</v>
          </cell>
          <cell r="H966" t="str">
            <v>NEGRO</v>
          </cell>
          <cell r="I966" t="str">
            <v>U</v>
          </cell>
          <cell r="J966" t="str">
            <v>H</v>
          </cell>
        </row>
        <row r="967">
          <cell r="B967" t="str">
            <v>TX220243601-M</v>
          </cell>
          <cell r="C967" t="str">
            <v>TEXTIL</v>
          </cell>
          <cell r="D967" t="str">
            <v>CHALECO</v>
          </cell>
          <cell r="E967" t="str">
            <v>CHALECO PRATTO</v>
          </cell>
          <cell r="F967" t="str">
            <v>ALGODON/LANA</v>
          </cell>
          <cell r="G967">
            <v>0</v>
          </cell>
          <cell r="H967" t="str">
            <v>NEGRO</v>
          </cell>
          <cell r="I967" t="str">
            <v>U</v>
          </cell>
          <cell r="J967" t="str">
            <v>H</v>
          </cell>
        </row>
        <row r="968">
          <cell r="B968" t="str">
            <v>TX220243601-XL</v>
          </cell>
          <cell r="C968" t="str">
            <v>TEXTIL</v>
          </cell>
          <cell r="D968" t="str">
            <v>CHALECO</v>
          </cell>
          <cell r="E968" t="str">
            <v>CHALECO PRATTO</v>
          </cell>
          <cell r="F968" t="str">
            <v>ALGODON/LANA</v>
          </cell>
          <cell r="G968">
            <v>0</v>
          </cell>
          <cell r="H968" t="str">
            <v>NEGRO</v>
          </cell>
          <cell r="I968" t="str">
            <v>U</v>
          </cell>
          <cell r="J968" t="str">
            <v>H</v>
          </cell>
        </row>
        <row r="969">
          <cell r="B969" t="str">
            <v>TX220243601-XXL</v>
          </cell>
          <cell r="C969" t="str">
            <v>TEXTIL</v>
          </cell>
          <cell r="D969" t="str">
            <v>CHALECO</v>
          </cell>
          <cell r="E969" t="str">
            <v>CHALECO PRATTO</v>
          </cell>
          <cell r="F969" t="str">
            <v>ALGODON/LANA</v>
          </cell>
          <cell r="G969">
            <v>0</v>
          </cell>
          <cell r="H969" t="str">
            <v>NEGRO</v>
          </cell>
          <cell r="I969" t="str">
            <v>U</v>
          </cell>
          <cell r="J969" t="str">
            <v>H</v>
          </cell>
        </row>
        <row r="970">
          <cell r="B970" t="str">
            <v>TX220243609-L</v>
          </cell>
          <cell r="C970" t="str">
            <v>TEXTIL</v>
          </cell>
          <cell r="D970" t="str">
            <v>CHALECO</v>
          </cell>
          <cell r="E970" t="str">
            <v>CHALECO PRATTO</v>
          </cell>
          <cell r="F970" t="str">
            <v>ALGODON/LANA</v>
          </cell>
          <cell r="G970">
            <v>0</v>
          </cell>
          <cell r="H970" t="str">
            <v>AZUL</v>
          </cell>
          <cell r="I970" t="str">
            <v>U</v>
          </cell>
          <cell r="J970" t="str">
            <v>H</v>
          </cell>
        </row>
        <row r="971">
          <cell r="B971" t="str">
            <v>TX220243609-M</v>
          </cell>
          <cell r="C971" t="str">
            <v>TEXTIL</v>
          </cell>
          <cell r="D971" t="str">
            <v>CHALECO</v>
          </cell>
          <cell r="E971" t="str">
            <v>CHALECO PRATTO</v>
          </cell>
          <cell r="F971" t="str">
            <v>ALGODON/LANA</v>
          </cell>
          <cell r="G971">
            <v>0</v>
          </cell>
          <cell r="H971" t="str">
            <v>AZUL</v>
          </cell>
          <cell r="I971" t="str">
            <v>U</v>
          </cell>
          <cell r="J971" t="str">
            <v>H</v>
          </cell>
        </row>
        <row r="972">
          <cell r="B972" t="str">
            <v>TX220243609-XL</v>
          </cell>
          <cell r="C972" t="str">
            <v>TEXTIL</v>
          </cell>
          <cell r="D972" t="str">
            <v>CHALECO</v>
          </cell>
          <cell r="E972" t="str">
            <v>CHALECO PRATTO</v>
          </cell>
          <cell r="F972" t="str">
            <v>ALGODON/LANA</v>
          </cell>
          <cell r="G972">
            <v>0</v>
          </cell>
          <cell r="H972" t="str">
            <v>AZUL</v>
          </cell>
          <cell r="I972" t="str">
            <v>U</v>
          </cell>
          <cell r="J972" t="str">
            <v>H</v>
          </cell>
        </row>
        <row r="973">
          <cell r="B973" t="str">
            <v>TX220243609-XXL</v>
          </cell>
          <cell r="C973" t="str">
            <v>TEXTIL</v>
          </cell>
          <cell r="D973" t="str">
            <v>CHALECO</v>
          </cell>
          <cell r="E973" t="str">
            <v>CHALECO PRATTO</v>
          </cell>
          <cell r="F973" t="str">
            <v>ALGODON/LANA</v>
          </cell>
          <cell r="G973">
            <v>0</v>
          </cell>
          <cell r="H973" t="str">
            <v>AZUL</v>
          </cell>
          <cell r="I973" t="str">
            <v>U</v>
          </cell>
          <cell r="J973" t="str">
            <v>H</v>
          </cell>
        </row>
        <row r="974">
          <cell r="B974" t="str">
            <v>TX130122701-L</v>
          </cell>
          <cell r="C974" t="str">
            <v>TEXTIL</v>
          </cell>
          <cell r="D974" t="str">
            <v>CHALECO</v>
          </cell>
          <cell r="E974" t="str">
            <v>CHALECO RAMI</v>
          </cell>
          <cell r="F974" t="str">
            <v>MICROPOLAR</v>
          </cell>
          <cell r="G974">
            <v>0</v>
          </cell>
          <cell r="H974" t="str">
            <v>NEGRO</v>
          </cell>
          <cell r="I974" t="str">
            <v>L</v>
          </cell>
          <cell r="J974" t="str">
            <v>H</v>
          </cell>
        </row>
        <row r="975">
          <cell r="B975" t="str">
            <v>TX130122701-M</v>
          </cell>
          <cell r="C975" t="str">
            <v>TEXTIL</v>
          </cell>
          <cell r="D975" t="str">
            <v>CHALECO</v>
          </cell>
          <cell r="E975" t="str">
            <v>CHALECO RAMI</v>
          </cell>
          <cell r="F975" t="str">
            <v>MICROPOLAR</v>
          </cell>
          <cell r="G975">
            <v>0</v>
          </cell>
          <cell r="H975" t="str">
            <v>NEGRO</v>
          </cell>
          <cell r="I975" t="str">
            <v>M</v>
          </cell>
          <cell r="J975" t="str">
            <v>H</v>
          </cell>
        </row>
        <row r="976">
          <cell r="B976" t="str">
            <v>TX130122701-S</v>
          </cell>
          <cell r="C976" t="str">
            <v>TEXTIL</v>
          </cell>
          <cell r="D976" t="str">
            <v>CHALECO</v>
          </cell>
          <cell r="E976" t="str">
            <v>CHALECO RAMI</v>
          </cell>
          <cell r="F976" t="str">
            <v>MICROPOLAR</v>
          </cell>
          <cell r="G976">
            <v>0</v>
          </cell>
          <cell r="H976" t="str">
            <v>NEGRO</v>
          </cell>
          <cell r="I976" t="str">
            <v>S</v>
          </cell>
          <cell r="J976" t="str">
            <v>H</v>
          </cell>
        </row>
        <row r="977">
          <cell r="B977" t="str">
            <v>TX130122701-XL</v>
          </cell>
          <cell r="C977" t="str">
            <v>TEXTIL</v>
          </cell>
          <cell r="D977" t="str">
            <v>CHALECO</v>
          </cell>
          <cell r="E977" t="str">
            <v>CHALECO RAMI</v>
          </cell>
          <cell r="F977" t="str">
            <v>MICROPOLAR</v>
          </cell>
          <cell r="G977">
            <v>0</v>
          </cell>
          <cell r="H977" t="str">
            <v>NEGRO</v>
          </cell>
          <cell r="I977" t="str">
            <v>XL</v>
          </cell>
          <cell r="J977" t="str">
            <v>H</v>
          </cell>
        </row>
        <row r="978">
          <cell r="B978" t="str">
            <v>TX130122701-XXL</v>
          </cell>
          <cell r="C978" t="str">
            <v>TEXTIL</v>
          </cell>
          <cell r="D978" t="str">
            <v>CHALECO</v>
          </cell>
          <cell r="E978" t="str">
            <v>CHALECO RAMI</v>
          </cell>
          <cell r="F978" t="str">
            <v>MICROPOLAR</v>
          </cell>
          <cell r="G978">
            <v>0</v>
          </cell>
          <cell r="H978" t="str">
            <v>NEGRO</v>
          </cell>
          <cell r="I978" t="str">
            <v>XXL</v>
          </cell>
          <cell r="J978" t="str">
            <v>H</v>
          </cell>
        </row>
        <row r="979">
          <cell r="B979" t="str">
            <v>TX130122709-L</v>
          </cell>
          <cell r="C979" t="str">
            <v>TEXTIL</v>
          </cell>
          <cell r="D979" t="str">
            <v>CHALECO</v>
          </cell>
          <cell r="E979" t="str">
            <v>CHALECO RAMI</v>
          </cell>
          <cell r="F979" t="str">
            <v>MICROPOLAR</v>
          </cell>
          <cell r="G979">
            <v>0</v>
          </cell>
          <cell r="H979" t="str">
            <v>AZUL</v>
          </cell>
          <cell r="I979" t="str">
            <v>L</v>
          </cell>
          <cell r="J979" t="str">
            <v>H</v>
          </cell>
        </row>
        <row r="980">
          <cell r="B980" t="str">
            <v>TX130122709-M</v>
          </cell>
          <cell r="C980" t="str">
            <v>TEXTIL</v>
          </cell>
          <cell r="D980" t="str">
            <v>CHALECO</v>
          </cell>
          <cell r="E980" t="str">
            <v>CHALECO RAMI</v>
          </cell>
          <cell r="F980" t="str">
            <v>MICROPOLAR</v>
          </cell>
          <cell r="G980">
            <v>0</v>
          </cell>
          <cell r="H980" t="str">
            <v>AZUL</v>
          </cell>
          <cell r="I980" t="str">
            <v>M</v>
          </cell>
          <cell r="J980" t="str">
            <v>H</v>
          </cell>
        </row>
        <row r="981">
          <cell r="B981" t="str">
            <v>TX130122709-S</v>
          </cell>
          <cell r="C981" t="str">
            <v>TEXTIL</v>
          </cell>
          <cell r="D981" t="str">
            <v>CHALECO</v>
          </cell>
          <cell r="E981" t="str">
            <v>CHALECO RAMI</v>
          </cell>
          <cell r="F981" t="str">
            <v>MICROPOLAR</v>
          </cell>
          <cell r="G981">
            <v>0</v>
          </cell>
          <cell r="H981" t="str">
            <v>AZUL</v>
          </cell>
          <cell r="I981" t="str">
            <v>S</v>
          </cell>
          <cell r="J981" t="str">
            <v>H</v>
          </cell>
        </row>
        <row r="982">
          <cell r="B982" t="str">
            <v>TX130122709-XL</v>
          </cell>
          <cell r="C982" t="str">
            <v>TEXTIL</v>
          </cell>
          <cell r="D982" t="str">
            <v>CHALECO</v>
          </cell>
          <cell r="E982" t="str">
            <v>CHALECO RAMI</v>
          </cell>
          <cell r="F982" t="str">
            <v>MICROPOLAR</v>
          </cell>
          <cell r="G982">
            <v>0</v>
          </cell>
          <cell r="H982" t="str">
            <v>AZUL</v>
          </cell>
          <cell r="I982" t="str">
            <v>XL</v>
          </cell>
          <cell r="J982" t="str">
            <v>H</v>
          </cell>
        </row>
        <row r="983">
          <cell r="B983" t="str">
            <v>TX130122709-XXL</v>
          </cell>
          <cell r="C983" t="str">
            <v>TEXTIL</v>
          </cell>
          <cell r="D983" t="str">
            <v>CHALECO</v>
          </cell>
          <cell r="E983" t="str">
            <v>CHALECO RAMI</v>
          </cell>
          <cell r="F983" t="str">
            <v>MICROPOLAR</v>
          </cell>
          <cell r="G983">
            <v>0</v>
          </cell>
          <cell r="H983" t="str">
            <v>AZUL</v>
          </cell>
          <cell r="I983" t="str">
            <v>XXL</v>
          </cell>
          <cell r="J983" t="str">
            <v>H</v>
          </cell>
        </row>
        <row r="984">
          <cell r="B984" t="str">
            <v>TX130122710-L</v>
          </cell>
          <cell r="C984" t="str">
            <v>TEXTIL</v>
          </cell>
          <cell r="D984" t="str">
            <v>CHALECO</v>
          </cell>
          <cell r="E984" t="str">
            <v>CHALECO RAMI</v>
          </cell>
          <cell r="F984" t="str">
            <v>MICROPOLAR</v>
          </cell>
          <cell r="G984">
            <v>0</v>
          </cell>
          <cell r="H984" t="str">
            <v>VERDE</v>
          </cell>
          <cell r="I984" t="str">
            <v>L</v>
          </cell>
          <cell r="J984" t="str">
            <v>H</v>
          </cell>
        </row>
        <row r="985">
          <cell r="B985" t="str">
            <v>TX130122710-M</v>
          </cell>
          <cell r="C985" t="str">
            <v>TEXTIL</v>
          </cell>
          <cell r="D985" t="str">
            <v>CHALECO</v>
          </cell>
          <cell r="E985" t="str">
            <v>CHALECO RAMI</v>
          </cell>
          <cell r="F985" t="str">
            <v>MICROPOLAR</v>
          </cell>
          <cell r="G985">
            <v>0</v>
          </cell>
          <cell r="H985" t="str">
            <v>VERDE</v>
          </cell>
          <cell r="I985" t="str">
            <v>M</v>
          </cell>
          <cell r="J985" t="str">
            <v>H</v>
          </cell>
        </row>
        <row r="986">
          <cell r="B986" t="str">
            <v>TX130122710-S</v>
          </cell>
          <cell r="C986" t="str">
            <v>TEXTIL</v>
          </cell>
          <cell r="D986" t="str">
            <v>CHALECO</v>
          </cell>
          <cell r="E986" t="str">
            <v>CHALECO RAMI</v>
          </cell>
          <cell r="F986" t="str">
            <v>MICROPOLAR</v>
          </cell>
          <cell r="G986">
            <v>0</v>
          </cell>
          <cell r="H986" t="str">
            <v>VERDE</v>
          </cell>
          <cell r="I986" t="str">
            <v>S</v>
          </cell>
          <cell r="J986" t="str">
            <v>H</v>
          </cell>
        </row>
        <row r="987">
          <cell r="B987" t="str">
            <v>TX130122710-XL</v>
          </cell>
          <cell r="C987" t="str">
            <v>TEXTIL</v>
          </cell>
          <cell r="D987" t="str">
            <v>CHALECO</v>
          </cell>
          <cell r="E987" t="str">
            <v>CHALECO RAMI</v>
          </cell>
          <cell r="F987" t="str">
            <v>MICROPOLAR</v>
          </cell>
          <cell r="G987">
            <v>0</v>
          </cell>
          <cell r="H987" t="str">
            <v>VERDE</v>
          </cell>
          <cell r="I987" t="str">
            <v>XL</v>
          </cell>
          <cell r="J987" t="str">
            <v>H</v>
          </cell>
        </row>
        <row r="988">
          <cell r="B988" t="str">
            <v>TX130122710-XXL</v>
          </cell>
          <cell r="C988" t="str">
            <v>TEXTIL</v>
          </cell>
          <cell r="D988" t="str">
            <v>CHALECO</v>
          </cell>
          <cell r="E988" t="str">
            <v>CHALECO RAMI</v>
          </cell>
          <cell r="F988" t="str">
            <v>MICROPOLAR</v>
          </cell>
          <cell r="G988">
            <v>0</v>
          </cell>
          <cell r="H988" t="str">
            <v>VERDE</v>
          </cell>
          <cell r="I988" t="str">
            <v>XXL</v>
          </cell>
          <cell r="J988" t="str">
            <v>H</v>
          </cell>
        </row>
        <row r="989">
          <cell r="B989" t="str">
            <v>TX200183001-L</v>
          </cell>
          <cell r="C989" t="str">
            <v>TEXTIL</v>
          </cell>
          <cell r="D989" t="str">
            <v>CHOMBA</v>
          </cell>
          <cell r="E989" t="str">
            <v>CHOMBA POLO NAOS</v>
          </cell>
          <cell r="F989" t="str">
            <v>PIQUE</v>
          </cell>
          <cell r="G989">
            <v>0</v>
          </cell>
          <cell r="H989" t="str">
            <v>NEGRO</v>
          </cell>
          <cell r="I989">
            <v>42</v>
          </cell>
          <cell r="J989" t="str">
            <v>H</v>
          </cell>
        </row>
        <row r="990">
          <cell r="B990" t="str">
            <v>TX200183001-M</v>
          </cell>
          <cell r="C990" t="str">
            <v>TEXTIL</v>
          </cell>
          <cell r="D990" t="str">
            <v>CHOMBA</v>
          </cell>
          <cell r="E990" t="str">
            <v>CHOMBA POLO NAOS</v>
          </cell>
          <cell r="F990" t="str">
            <v>PIQUE</v>
          </cell>
          <cell r="G990">
            <v>0</v>
          </cell>
          <cell r="H990" t="str">
            <v>NEGRO</v>
          </cell>
          <cell r="I990">
            <v>40</v>
          </cell>
          <cell r="J990" t="str">
            <v>H</v>
          </cell>
        </row>
        <row r="991">
          <cell r="B991" t="str">
            <v>TX200183001-S</v>
          </cell>
          <cell r="C991" t="str">
            <v>TEXTIL</v>
          </cell>
          <cell r="D991" t="str">
            <v>CHOMBA</v>
          </cell>
          <cell r="E991" t="str">
            <v>CHOMBA POLO NAOS</v>
          </cell>
          <cell r="F991" t="str">
            <v>PIQUE</v>
          </cell>
          <cell r="G991">
            <v>0</v>
          </cell>
          <cell r="H991" t="str">
            <v>NEGRO</v>
          </cell>
          <cell r="I991">
            <v>38</v>
          </cell>
          <cell r="J991" t="str">
            <v>H</v>
          </cell>
        </row>
        <row r="992">
          <cell r="B992" t="str">
            <v>TX200183001-XL</v>
          </cell>
          <cell r="C992" t="str">
            <v>TEXTIL</v>
          </cell>
          <cell r="D992" t="str">
            <v>CHOMBA</v>
          </cell>
          <cell r="E992" t="str">
            <v>CHOMBA POLO NAOS</v>
          </cell>
          <cell r="F992" t="str">
            <v>PIQUE</v>
          </cell>
          <cell r="G992">
            <v>0</v>
          </cell>
          <cell r="H992" t="str">
            <v>NEGRO</v>
          </cell>
          <cell r="I992">
            <v>44</v>
          </cell>
          <cell r="J992" t="str">
            <v>H</v>
          </cell>
        </row>
        <row r="993">
          <cell r="B993" t="str">
            <v>TX200183001-XXL</v>
          </cell>
          <cell r="C993" t="str">
            <v>TEXTIL</v>
          </cell>
          <cell r="D993" t="str">
            <v>CHOMBA</v>
          </cell>
          <cell r="E993" t="str">
            <v>CHOMBA POLO NAOS</v>
          </cell>
          <cell r="F993" t="str">
            <v>PIQUE</v>
          </cell>
          <cell r="G993">
            <v>0</v>
          </cell>
          <cell r="H993" t="str">
            <v>NEGRO</v>
          </cell>
          <cell r="I993">
            <v>46</v>
          </cell>
          <cell r="J993" t="str">
            <v>H</v>
          </cell>
        </row>
        <row r="994">
          <cell r="B994" t="str">
            <v>TX200183001-XXXL</v>
          </cell>
          <cell r="C994" t="str">
            <v>TEXTIL</v>
          </cell>
          <cell r="D994" t="str">
            <v>CHOMBA</v>
          </cell>
          <cell r="E994" t="str">
            <v>CHOMBA POLO NAOS</v>
          </cell>
          <cell r="F994" t="str">
            <v>PIQUE</v>
          </cell>
          <cell r="G994">
            <v>0</v>
          </cell>
          <cell r="H994" t="str">
            <v>NEGRO</v>
          </cell>
          <cell r="I994">
            <v>48</v>
          </cell>
          <cell r="J994" t="str">
            <v>H</v>
          </cell>
        </row>
        <row r="995">
          <cell r="B995" t="str">
            <v>TX200183024-L</v>
          </cell>
          <cell r="C995" t="str">
            <v>TEXTIL</v>
          </cell>
          <cell r="D995" t="str">
            <v>CHOMBA</v>
          </cell>
          <cell r="E995" t="str">
            <v>CHOMBA POLO NAOS</v>
          </cell>
          <cell r="F995" t="str">
            <v>PIQUE</v>
          </cell>
          <cell r="G995">
            <v>0</v>
          </cell>
          <cell r="H995" t="str">
            <v>BLANCO</v>
          </cell>
          <cell r="I995">
            <v>42</v>
          </cell>
          <cell r="J995" t="str">
            <v>H</v>
          </cell>
        </row>
        <row r="996">
          <cell r="B996" t="str">
            <v>TX200183024-M</v>
          </cell>
          <cell r="C996" t="str">
            <v>TEXTIL</v>
          </cell>
          <cell r="D996" t="str">
            <v>CHOMBA</v>
          </cell>
          <cell r="E996" t="str">
            <v>CHOMBA POLO NAOS</v>
          </cell>
          <cell r="F996" t="str">
            <v>PIQUE</v>
          </cell>
          <cell r="G996">
            <v>0</v>
          </cell>
          <cell r="H996" t="str">
            <v>BLANCO</v>
          </cell>
          <cell r="I996">
            <v>40</v>
          </cell>
          <cell r="J996" t="str">
            <v>H</v>
          </cell>
        </row>
        <row r="997">
          <cell r="B997" t="str">
            <v>TX200183024-S</v>
          </cell>
          <cell r="C997" t="str">
            <v>TEXTIL</v>
          </cell>
          <cell r="D997" t="str">
            <v>CHOMBA</v>
          </cell>
          <cell r="E997" t="str">
            <v>CHOMBA POLO NAOS</v>
          </cell>
          <cell r="F997" t="str">
            <v>PIQUE</v>
          </cell>
          <cell r="G997">
            <v>0</v>
          </cell>
          <cell r="H997" t="str">
            <v>BLANCO</v>
          </cell>
          <cell r="I997">
            <v>38</v>
          </cell>
          <cell r="J997" t="str">
            <v>H</v>
          </cell>
        </row>
        <row r="998">
          <cell r="B998" t="str">
            <v>TX200183024-XL</v>
          </cell>
          <cell r="C998" t="str">
            <v>TEXTIL</v>
          </cell>
          <cell r="D998" t="str">
            <v>CHOMBA</v>
          </cell>
          <cell r="E998" t="str">
            <v>CHOMBA POLO NAOS</v>
          </cell>
          <cell r="F998" t="str">
            <v>PIQUE</v>
          </cell>
          <cell r="G998">
            <v>0</v>
          </cell>
          <cell r="H998" t="str">
            <v>BLANCO</v>
          </cell>
          <cell r="I998">
            <v>44</v>
          </cell>
          <cell r="J998" t="str">
            <v>H</v>
          </cell>
        </row>
        <row r="999">
          <cell r="B999" t="str">
            <v>TX200183024-XXL</v>
          </cell>
          <cell r="C999" t="str">
            <v>TEXTIL</v>
          </cell>
          <cell r="D999" t="str">
            <v>CHOMBA</v>
          </cell>
          <cell r="E999" t="str">
            <v>CHOMBA POLO NAOS</v>
          </cell>
          <cell r="F999" t="str">
            <v>PIQUE</v>
          </cell>
          <cell r="G999">
            <v>0</v>
          </cell>
          <cell r="H999" t="str">
            <v>BLANCO</v>
          </cell>
          <cell r="I999">
            <v>46</v>
          </cell>
          <cell r="J999" t="str">
            <v>H</v>
          </cell>
        </row>
        <row r="1000">
          <cell r="B1000" t="str">
            <v>TX200183024-XXXL</v>
          </cell>
          <cell r="C1000" t="str">
            <v>TEXTIL</v>
          </cell>
          <cell r="D1000" t="str">
            <v>CHOMBA</v>
          </cell>
          <cell r="E1000" t="str">
            <v>CHOMBA POLO NAOS</v>
          </cell>
          <cell r="F1000" t="str">
            <v>PIQUE</v>
          </cell>
          <cell r="G1000">
            <v>0</v>
          </cell>
          <cell r="H1000" t="str">
            <v>BLANCO</v>
          </cell>
          <cell r="I1000">
            <v>48</v>
          </cell>
          <cell r="J1000" t="str">
            <v>H</v>
          </cell>
        </row>
        <row r="1001">
          <cell r="B1001" t="str">
            <v>TX200183037-L</v>
          </cell>
          <cell r="C1001" t="str">
            <v>TEXTIL</v>
          </cell>
          <cell r="D1001" t="str">
            <v>CHOMBA</v>
          </cell>
          <cell r="E1001" t="str">
            <v>CHOMBA POLO NAOS</v>
          </cell>
          <cell r="F1001" t="str">
            <v>PIQUE</v>
          </cell>
          <cell r="G1001">
            <v>0</v>
          </cell>
          <cell r="H1001" t="str">
            <v>AZUL MARINO</v>
          </cell>
          <cell r="I1001">
            <v>42</v>
          </cell>
          <cell r="J1001" t="str">
            <v>H</v>
          </cell>
        </row>
        <row r="1002">
          <cell r="B1002" t="str">
            <v>TX200183037-M</v>
          </cell>
          <cell r="C1002" t="str">
            <v>TEXTIL</v>
          </cell>
          <cell r="D1002" t="str">
            <v>CHOMBA</v>
          </cell>
          <cell r="E1002" t="str">
            <v>CHOMBA POLO NAOS</v>
          </cell>
          <cell r="F1002" t="str">
            <v>PIQUE</v>
          </cell>
          <cell r="G1002">
            <v>0</v>
          </cell>
          <cell r="H1002" t="str">
            <v>AZUL MARINO</v>
          </cell>
          <cell r="I1002">
            <v>40</v>
          </cell>
          <cell r="J1002" t="str">
            <v>H</v>
          </cell>
        </row>
        <row r="1003">
          <cell r="B1003" t="str">
            <v>TX200183037-S</v>
          </cell>
          <cell r="C1003" t="str">
            <v>TEXTIL</v>
          </cell>
          <cell r="D1003" t="str">
            <v>CHOMBA</v>
          </cell>
          <cell r="E1003" t="str">
            <v>CHOMBA POLO NAOS</v>
          </cell>
          <cell r="F1003" t="str">
            <v>PIQUE</v>
          </cell>
          <cell r="G1003">
            <v>0</v>
          </cell>
          <cell r="H1003" t="str">
            <v>AZUL MARINO</v>
          </cell>
          <cell r="I1003">
            <v>38</v>
          </cell>
          <cell r="J1003" t="str">
            <v>H</v>
          </cell>
        </row>
        <row r="1004">
          <cell r="B1004" t="str">
            <v>TX200183037-XL</v>
          </cell>
          <cell r="C1004" t="str">
            <v>TEXTIL</v>
          </cell>
          <cell r="D1004" t="str">
            <v>CHOMBA</v>
          </cell>
          <cell r="E1004" t="str">
            <v>CHOMBA POLO NAOS</v>
          </cell>
          <cell r="F1004" t="str">
            <v>PIQUE</v>
          </cell>
          <cell r="G1004">
            <v>0</v>
          </cell>
          <cell r="H1004" t="str">
            <v>AZUL MARINO</v>
          </cell>
          <cell r="I1004">
            <v>44</v>
          </cell>
          <cell r="J1004" t="str">
            <v>H</v>
          </cell>
        </row>
        <row r="1005">
          <cell r="B1005" t="str">
            <v>TX200183037-XXL</v>
          </cell>
          <cell r="C1005" t="str">
            <v>TEXTIL</v>
          </cell>
          <cell r="D1005" t="str">
            <v>CHOMBA</v>
          </cell>
          <cell r="E1005" t="str">
            <v>CHOMBA POLO NAOS</v>
          </cell>
          <cell r="F1005" t="str">
            <v>PIQUE</v>
          </cell>
          <cell r="G1005">
            <v>0</v>
          </cell>
          <cell r="H1005" t="str">
            <v>AZUL MARINO</v>
          </cell>
          <cell r="I1005">
            <v>46</v>
          </cell>
          <cell r="J1005" t="str">
            <v>H</v>
          </cell>
        </row>
        <row r="1006">
          <cell r="B1006" t="str">
            <v>TX200183037-XXXL</v>
          </cell>
          <cell r="C1006" t="str">
            <v>TEXTIL</v>
          </cell>
          <cell r="D1006" t="str">
            <v>CHOMBA</v>
          </cell>
          <cell r="E1006" t="str">
            <v>CHOMBA POLO NAOS</v>
          </cell>
          <cell r="F1006" t="str">
            <v>PIQUE</v>
          </cell>
          <cell r="G1006">
            <v>0</v>
          </cell>
          <cell r="H1006" t="str">
            <v>AZUL MARINO</v>
          </cell>
          <cell r="I1006">
            <v>48</v>
          </cell>
          <cell r="J1006" t="str">
            <v>H</v>
          </cell>
        </row>
        <row r="1007">
          <cell r="B1007" t="str">
            <v>TX200183038-L</v>
          </cell>
          <cell r="C1007" t="str">
            <v>TEXTIL</v>
          </cell>
          <cell r="D1007" t="str">
            <v>CHOMBA</v>
          </cell>
          <cell r="E1007" t="str">
            <v>CHOMBA POLO NAOS</v>
          </cell>
          <cell r="F1007" t="str">
            <v>PIQUE</v>
          </cell>
          <cell r="G1007">
            <v>0</v>
          </cell>
          <cell r="H1007" t="str">
            <v>DENIM GASTADO</v>
          </cell>
          <cell r="I1007">
            <v>42</v>
          </cell>
          <cell r="J1007" t="str">
            <v>H</v>
          </cell>
        </row>
        <row r="1008">
          <cell r="B1008" t="str">
            <v>TX200183038-M</v>
          </cell>
          <cell r="C1008" t="str">
            <v>TEXTIL</v>
          </cell>
          <cell r="D1008" t="str">
            <v>CHOMBA</v>
          </cell>
          <cell r="E1008" t="str">
            <v>CHOMBA POLO NAOS</v>
          </cell>
          <cell r="F1008" t="str">
            <v>PIQUE</v>
          </cell>
          <cell r="G1008">
            <v>0</v>
          </cell>
          <cell r="H1008" t="str">
            <v>DENIM GASTADO</v>
          </cell>
          <cell r="I1008">
            <v>40</v>
          </cell>
          <cell r="J1008" t="str">
            <v>H</v>
          </cell>
        </row>
        <row r="1009">
          <cell r="B1009" t="str">
            <v>TX200183038-S</v>
          </cell>
          <cell r="C1009" t="str">
            <v>TEXTIL</v>
          </cell>
          <cell r="D1009" t="str">
            <v>CHOMBA</v>
          </cell>
          <cell r="E1009" t="str">
            <v>CHOMBA POLO NAOS</v>
          </cell>
          <cell r="F1009" t="str">
            <v>PIQUE</v>
          </cell>
          <cell r="G1009">
            <v>0</v>
          </cell>
          <cell r="H1009" t="str">
            <v>DENIM GASTADO</v>
          </cell>
          <cell r="I1009">
            <v>38</v>
          </cell>
          <cell r="J1009" t="str">
            <v>H</v>
          </cell>
        </row>
        <row r="1010">
          <cell r="B1010" t="str">
            <v>TX200183038-XL</v>
          </cell>
          <cell r="C1010" t="str">
            <v>TEXTIL</v>
          </cell>
          <cell r="D1010" t="str">
            <v>CHOMBA</v>
          </cell>
          <cell r="E1010" t="str">
            <v>CHOMBA POLO NAOS</v>
          </cell>
          <cell r="F1010" t="str">
            <v>PIQUE</v>
          </cell>
          <cell r="G1010">
            <v>0</v>
          </cell>
          <cell r="H1010" t="str">
            <v>DENIM GASTADO</v>
          </cell>
          <cell r="I1010">
            <v>44</v>
          </cell>
          <cell r="J1010" t="str">
            <v>H</v>
          </cell>
        </row>
        <row r="1011">
          <cell r="B1011" t="str">
            <v>TX200183038-XXL</v>
          </cell>
          <cell r="C1011" t="str">
            <v>TEXTIL</v>
          </cell>
          <cell r="D1011" t="str">
            <v>CHOMBA</v>
          </cell>
          <cell r="E1011" t="str">
            <v>CHOMBA POLO NAOS</v>
          </cell>
          <cell r="F1011" t="str">
            <v>PIQUE</v>
          </cell>
          <cell r="G1011">
            <v>0</v>
          </cell>
          <cell r="H1011" t="str">
            <v>DENIM GASTADO</v>
          </cell>
          <cell r="I1011">
            <v>46</v>
          </cell>
          <cell r="J1011" t="str">
            <v>H</v>
          </cell>
        </row>
        <row r="1012">
          <cell r="B1012" t="str">
            <v>TX200183038-XXXL</v>
          </cell>
          <cell r="C1012" t="str">
            <v>TEXTIL</v>
          </cell>
          <cell r="D1012" t="str">
            <v>CHOMBA</v>
          </cell>
          <cell r="E1012" t="str">
            <v>CHOMBA POLO NAOS</v>
          </cell>
          <cell r="F1012" t="str">
            <v>PIQUE</v>
          </cell>
          <cell r="G1012">
            <v>0</v>
          </cell>
          <cell r="H1012" t="str">
            <v>DENIM GASTADO</v>
          </cell>
          <cell r="I1012">
            <v>48</v>
          </cell>
          <cell r="J1012" t="str">
            <v>H</v>
          </cell>
        </row>
        <row r="1013">
          <cell r="B1013" t="str">
            <v>MC050110004-100</v>
          </cell>
          <cell r="C1013" t="str">
            <v>CINTURON</v>
          </cell>
          <cell r="D1013" t="str">
            <v>CINTURON</v>
          </cell>
          <cell r="E1013" t="str">
            <v>CINTURON ALFO 223</v>
          </cell>
          <cell r="F1013" t="str">
            <v>CUERO</v>
          </cell>
          <cell r="G1013" t="str">
            <v>NIQUEL</v>
          </cell>
          <cell r="H1013" t="str">
            <v>TABACO</v>
          </cell>
          <cell r="I1013">
            <v>100</v>
          </cell>
          <cell r="J1013" t="str">
            <v>H</v>
          </cell>
        </row>
        <row r="1014">
          <cell r="B1014" t="str">
            <v>MC050110004-105</v>
          </cell>
          <cell r="C1014" t="str">
            <v>CINTURON</v>
          </cell>
          <cell r="D1014" t="str">
            <v>CINTURON</v>
          </cell>
          <cell r="E1014" t="str">
            <v>CINTURON ALFO 223</v>
          </cell>
          <cell r="F1014" t="str">
            <v>CUERO</v>
          </cell>
          <cell r="G1014" t="str">
            <v>NIQUEL</v>
          </cell>
          <cell r="H1014" t="str">
            <v>TABACO</v>
          </cell>
          <cell r="I1014">
            <v>105</v>
          </cell>
          <cell r="J1014" t="str">
            <v>H</v>
          </cell>
        </row>
        <row r="1015">
          <cell r="B1015" t="str">
            <v>MC050110004-110</v>
          </cell>
          <cell r="C1015" t="str">
            <v>CINTURON</v>
          </cell>
          <cell r="D1015" t="str">
            <v>CINTURON</v>
          </cell>
          <cell r="E1015" t="str">
            <v>CINTURON ALFO 223</v>
          </cell>
          <cell r="F1015" t="str">
            <v>CUERO</v>
          </cell>
          <cell r="G1015" t="str">
            <v>NIQUEL</v>
          </cell>
          <cell r="H1015" t="str">
            <v>TABACO</v>
          </cell>
          <cell r="I1015">
            <v>110</v>
          </cell>
          <cell r="J1015" t="str">
            <v>H</v>
          </cell>
        </row>
        <row r="1016">
          <cell r="B1016" t="str">
            <v>MC050110004-115</v>
          </cell>
          <cell r="C1016" t="str">
            <v>CINTURON</v>
          </cell>
          <cell r="D1016" t="str">
            <v>CINTURON</v>
          </cell>
          <cell r="E1016" t="str">
            <v>CINTURON ALFO 223</v>
          </cell>
          <cell r="F1016" t="str">
            <v>CUERO</v>
          </cell>
          <cell r="G1016" t="str">
            <v>NIQUEL</v>
          </cell>
          <cell r="H1016" t="str">
            <v>TABACO</v>
          </cell>
          <cell r="I1016">
            <v>115</v>
          </cell>
          <cell r="J1016" t="str">
            <v>H</v>
          </cell>
        </row>
        <row r="1017">
          <cell r="B1017" t="str">
            <v>MC050110004-120</v>
          </cell>
          <cell r="C1017" t="str">
            <v>CINTURON</v>
          </cell>
          <cell r="D1017" t="str">
            <v>CINTURON</v>
          </cell>
          <cell r="E1017" t="str">
            <v>CINTURON ALFO 223</v>
          </cell>
          <cell r="F1017" t="str">
            <v>CUERO</v>
          </cell>
          <cell r="G1017" t="str">
            <v>NIQUEL</v>
          </cell>
          <cell r="H1017" t="str">
            <v>TABACO</v>
          </cell>
          <cell r="I1017">
            <v>120</v>
          </cell>
          <cell r="J1017" t="str">
            <v>H</v>
          </cell>
        </row>
        <row r="1018">
          <cell r="B1018" t="str">
            <v>MC050110004-85</v>
          </cell>
          <cell r="C1018" t="str">
            <v>CINTURON</v>
          </cell>
          <cell r="D1018" t="str">
            <v>CINTURON</v>
          </cell>
          <cell r="E1018" t="str">
            <v>CINTURON ALFO 223</v>
          </cell>
          <cell r="F1018" t="str">
            <v>CUERO</v>
          </cell>
          <cell r="G1018" t="str">
            <v>NIQUEL</v>
          </cell>
          <cell r="H1018" t="str">
            <v>TABACO</v>
          </cell>
          <cell r="I1018">
            <v>85</v>
          </cell>
          <cell r="J1018" t="str">
            <v>H</v>
          </cell>
        </row>
        <row r="1019">
          <cell r="B1019" t="str">
            <v>MC050110004-90</v>
          </cell>
          <cell r="C1019" t="str">
            <v>CINTURON</v>
          </cell>
          <cell r="D1019" t="str">
            <v>CINTURON</v>
          </cell>
          <cell r="E1019" t="str">
            <v>CINTURON ALFO 223</v>
          </cell>
          <cell r="F1019" t="str">
            <v>CUERO</v>
          </cell>
          <cell r="G1019" t="str">
            <v>NIQUEL</v>
          </cell>
          <cell r="H1019" t="str">
            <v>TABACO</v>
          </cell>
          <cell r="I1019">
            <v>90</v>
          </cell>
          <cell r="J1019" t="str">
            <v>H</v>
          </cell>
        </row>
        <row r="1020">
          <cell r="B1020" t="str">
            <v>MC050110004-95</v>
          </cell>
          <cell r="C1020" t="str">
            <v>CINTURON</v>
          </cell>
          <cell r="D1020" t="str">
            <v>CINTURON</v>
          </cell>
          <cell r="E1020" t="str">
            <v>CINTURON ALFO 223</v>
          </cell>
          <cell r="F1020" t="str">
            <v>CUERO</v>
          </cell>
          <cell r="G1020" t="str">
            <v>NIQUEL</v>
          </cell>
          <cell r="H1020" t="str">
            <v>TABACO</v>
          </cell>
          <cell r="I1020">
            <v>95</v>
          </cell>
          <cell r="J1020" t="str">
            <v>H</v>
          </cell>
        </row>
        <row r="1021">
          <cell r="B1021" t="str">
            <v>MC050100001-100</v>
          </cell>
          <cell r="C1021" t="str">
            <v>CINTURON</v>
          </cell>
          <cell r="D1021" t="str">
            <v>CINTURON</v>
          </cell>
          <cell r="E1021" t="str">
            <v>CINTURON ESPIGA 216</v>
          </cell>
          <cell r="F1021" t="str">
            <v>CUERO</v>
          </cell>
          <cell r="G1021" t="str">
            <v>NIQUEL</v>
          </cell>
          <cell r="H1021" t="str">
            <v>NEGRO</v>
          </cell>
          <cell r="I1021">
            <v>100</v>
          </cell>
          <cell r="J1021" t="str">
            <v>H</v>
          </cell>
        </row>
        <row r="1022">
          <cell r="B1022" t="str">
            <v>MC050100001-105</v>
          </cell>
          <cell r="C1022" t="str">
            <v>CINTURON</v>
          </cell>
          <cell r="D1022" t="str">
            <v>CINTURON</v>
          </cell>
          <cell r="E1022" t="str">
            <v>CINTURON ESPIGA 216</v>
          </cell>
          <cell r="F1022" t="str">
            <v>CUERO</v>
          </cell>
          <cell r="G1022" t="str">
            <v>NIQUEL</v>
          </cell>
          <cell r="H1022" t="str">
            <v>NEGRO</v>
          </cell>
          <cell r="I1022">
            <v>105</v>
          </cell>
          <cell r="J1022" t="str">
            <v>H</v>
          </cell>
        </row>
        <row r="1023">
          <cell r="B1023" t="str">
            <v>MC050100001-110</v>
          </cell>
          <cell r="C1023" t="str">
            <v>CINTURON</v>
          </cell>
          <cell r="D1023" t="str">
            <v>CINTURON</v>
          </cell>
          <cell r="E1023" t="str">
            <v>CINTURON ESPIGA 216</v>
          </cell>
          <cell r="F1023" t="str">
            <v>CUERO</v>
          </cell>
          <cell r="G1023" t="str">
            <v>NIQUEL</v>
          </cell>
          <cell r="H1023" t="str">
            <v>NEGRO</v>
          </cell>
          <cell r="I1023">
            <v>110</v>
          </cell>
          <cell r="J1023" t="str">
            <v>H</v>
          </cell>
        </row>
        <row r="1024">
          <cell r="B1024" t="str">
            <v>MC050100001-115</v>
          </cell>
          <cell r="C1024" t="str">
            <v>CINTURON</v>
          </cell>
          <cell r="D1024" t="str">
            <v>CINTURON</v>
          </cell>
          <cell r="E1024" t="str">
            <v>CINTURON ESPIGA 216</v>
          </cell>
          <cell r="F1024" t="str">
            <v>CUERO</v>
          </cell>
          <cell r="G1024" t="str">
            <v>NIQUEL</v>
          </cell>
          <cell r="H1024" t="str">
            <v>NEGRO</v>
          </cell>
          <cell r="I1024">
            <v>115</v>
          </cell>
          <cell r="J1024" t="str">
            <v>H</v>
          </cell>
        </row>
        <row r="1025">
          <cell r="B1025" t="str">
            <v>MC050100001-120</v>
          </cell>
          <cell r="C1025" t="str">
            <v>CINTURON</v>
          </cell>
          <cell r="D1025" t="str">
            <v>CINTURON</v>
          </cell>
          <cell r="E1025" t="str">
            <v>CINTURON ESPIGA 216</v>
          </cell>
          <cell r="F1025" t="str">
            <v>CUERO</v>
          </cell>
          <cell r="G1025" t="str">
            <v>NIQUEL</v>
          </cell>
          <cell r="H1025" t="str">
            <v>NEGRO</v>
          </cell>
          <cell r="I1025">
            <v>120</v>
          </cell>
          <cell r="J1025" t="str">
            <v>H</v>
          </cell>
        </row>
        <row r="1026">
          <cell r="B1026" t="str">
            <v>MC050100001-85</v>
          </cell>
          <cell r="C1026" t="str">
            <v>CINTURON</v>
          </cell>
          <cell r="D1026" t="str">
            <v>CINTURON</v>
          </cell>
          <cell r="E1026" t="str">
            <v>CINTURON ESPIGA 216</v>
          </cell>
          <cell r="F1026" t="str">
            <v>CUERO</v>
          </cell>
          <cell r="G1026" t="str">
            <v>NIQUEL</v>
          </cell>
          <cell r="H1026" t="str">
            <v>NEGRO</v>
          </cell>
          <cell r="I1026">
            <v>85</v>
          </cell>
          <cell r="J1026" t="str">
            <v>H</v>
          </cell>
        </row>
        <row r="1027">
          <cell r="B1027" t="str">
            <v>MC050100001-90</v>
          </cell>
          <cell r="C1027" t="str">
            <v>CINTURON</v>
          </cell>
          <cell r="D1027" t="str">
            <v>CINTURON</v>
          </cell>
          <cell r="E1027" t="str">
            <v>CINTURON ESPIGA 216</v>
          </cell>
          <cell r="F1027" t="str">
            <v>CUERO</v>
          </cell>
          <cell r="G1027" t="str">
            <v>NIQUEL</v>
          </cell>
          <cell r="H1027" t="str">
            <v>NEGRO</v>
          </cell>
          <cell r="I1027">
            <v>90</v>
          </cell>
          <cell r="J1027" t="str">
            <v>H</v>
          </cell>
        </row>
        <row r="1028">
          <cell r="B1028" t="str">
            <v>MC050100001-95</v>
          </cell>
          <cell r="C1028" t="str">
            <v>CINTURON</v>
          </cell>
          <cell r="D1028" t="str">
            <v>CINTURON</v>
          </cell>
          <cell r="E1028" t="str">
            <v>CINTURON ESPIGA 216</v>
          </cell>
          <cell r="F1028" t="str">
            <v>CUERO</v>
          </cell>
          <cell r="G1028" t="str">
            <v>NIQUEL</v>
          </cell>
          <cell r="H1028" t="str">
            <v>NEGRO</v>
          </cell>
          <cell r="I1028">
            <v>95</v>
          </cell>
          <cell r="J1028" t="str">
            <v>H</v>
          </cell>
        </row>
        <row r="1029">
          <cell r="B1029" t="str">
            <v>MC050100002-100</v>
          </cell>
          <cell r="C1029" t="str">
            <v>CINTURON</v>
          </cell>
          <cell r="D1029" t="str">
            <v>CINTURON</v>
          </cell>
          <cell r="E1029" t="str">
            <v>CINTURON ESPIGA 216</v>
          </cell>
          <cell r="F1029" t="str">
            <v>CUERO</v>
          </cell>
          <cell r="G1029" t="str">
            <v>NIQUEL</v>
          </cell>
          <cell r="H1029" t="str">
            <v>SUELA</v>
          </cell>
          <cell r="I1029">
            <v>100</v>
          </cell>
          <cell r="J1029" t="str">
            <v>H</v>
          </cell>
        </row>
        <row r="1030">
          <cell r="B1030" t="str">
            <v>MC050100002-105</v>
          </cell>
          <cell r="C1030" t="str">
            <v>CINTURON</v>
          </cell>
          <cell r="D1030" t="str">
            <v>CINTURON</v>
          </cell>
          <cell r="E1030" t="str">
            <v>CINTURON ESPIGA 216</v>
          </cell>
          <cell r="F1030" t="str">
            <v>CUERO</v>
          </cell>
          <cell r="G1030" t="str">
            <v>NIQUEL</v>
          </cell>
          <cell r="H1030" t="str">
            <v>SUELA</v>
          </cell>
          <cell r="I1030">
            <v>105</v>
          </cell>
          <cell r="J1030" t="str">
            <v>H</v>
          </cell>
        </row>
        <row r="1031">
          <cell r="B1031" t="str">
            <v>MC050100002-110</v>
          </cell>
          <cell r="C1031" t="str">
            <v>CINTURON</v>
          </cell>
          <cell r="D1031" t="str">
            <v>CINTURON</v>
          </cell>
          <cell r="E1031" t="str">
            <v>CINTURON ESPIGA 216</v>
          </cell>
          <cell r="F1031" t="str">
            <v>CUERO</v>
          </cell>
          <cell r="G1031" t="str">
            <v>NIQUEL</v>
          </cell>
          <cell r="H1031" t="str">
            <v>SUELA</v>
          </cell>
          <cell r="I1031">
            <v>110</v>
          </cell>
          <cell r="J1031" t="str">
            <v>H</v>
          </cell>
        </row>
        <row r="1032">
          <cell r="B1032" t="str">
            <v>MC050100002-115</v>
          </cell>
          <cell r="C1032" t="str">
            <v>CINTURON</v>
          </cell>
          <cell r="D1032" t="str">
            <v>CINTURON</v>
          </cell>
          <cell r="E1032" t="str">
            <v>CINTURON ESPIGA 216</v>
          </cell>
          <cell r="F1032" t="str">
            <v>CUERO</v>
          </cell>
          <cell r="G1032" t="str">
            <v>NIQUEL</v>
          </cell>
          <cell r="H1032" t="str">
            <v>SUELA</v>
          </cell>
          <cell r="I1032">
            <v>115</v>
          </cell>
          <cell r="J1032" t="str">
            <v>H</v>
          </cell>
        </row>
        <row r="1033">
          <cell r="B1033" t="str">
            <v>MC050100002-120</v>
          </cell>
          <cell r="C1033" t="str">
            <v>CINTURON</v>
          </cell>
          <cell r="D1033" t="str">
            <v>CINTURON</v>
          </cell>
          <cell r="E1033" t="str">
            <v>CINTURON ESPIGA 216</v>
          </cell>
          <cell r="F1033" t="str">
            <v>CUERO</v>
          </cell>
          <cell r="G1033" t="str">
            <v>NIQUEL</v>
          </cell>
          <cell r="H1033" t="str">
            <v>SUELA</v>
          </cell>
          <cell r="I1033">
            <v>120</v>
          </cell>
          <cell r="J1033" t="str">
            <v>H</v>
          </cell>
        </row>
        <row r="1034">
          <cell r="B1034" t="str">
            <v>MC050100002-85</v>
          </cell>
          <cell r="C1034" t="str">
            <v>CINTURON</v>
          </cell>
          <cell r="D1034" t="str">
            <v>CINTURON</v>
          </cell>
          <cell r="E1034" t="str">
            <v>CINTURON ESPIGA 216</v>
          </cell>
          <cell r="F1034" t="str">
            <v>CUERO</v>
          </cell>
          <cell r="G1034" t="str">
            <v>NIQUEL</v>
          </cell>
          <cell r="H1034" t="str">
            <v>SUELA</v>
          </cell>
          <cell r="I1034">
            <v>85</v>
          </cell>
          <cell r="J1034" t="str">
            <v>H</v>
          </cell>
        </row>
        <row r="1035">
          <cell r="B1035" t="str">
            <v>MC050100002-90</v>
          </cell>
          <cell r="C1035" t="str">
            <v>CINTURON</v>
          </cell>
          <cell r="D1035" t="str">
            <v>CINTURON</v>
          </cell>
          <cell r="E1035" t="str">
            <v>CINTURON ESPIGA 216</v>
          </cell>
          <cell r="F1035" t="str">
            <v>CUERO</v>
          </cell>
          <cell r="G1035" t="str">
            <v>NIQUEL</v>
          </cell>
          <cell r="H1035" t="str">
            <v>SUELA</v>
          </cell>
          <cell r="I1035">
            <v>90</v>
          </cell>
          <cell r="J1035" t="str">
            <v>H</v>
          </cell>
        </row>
        <row r="1036">
          <cell r="B1036" t="str">
            <v>MC050100002-95</v>
          </cell>
          <cell r="C1036" t="str">
            <v>CINTURON</v>
          </cell>
          <cell r="D1036" t="str">
            <v>CINTURON</v>
          </cell>
          <cell r="E1036" t="str">
            <v>CINTURON ESPIGA 216</v>
          </cell>
          <cell r="F1036" t="str">
            <v>CUERO</v>
          </cell>
          <cell r="G1036" t="str">
            <v>NIQUEL</v>
          </cell>
          <cell r="H1036" t="str">
            <v>SUELA</v>
          </cell>
          <cell r="I1036">
            <v>95</v>
          </cell>
          <cell r="J1036" t="str">
            <v>H</v>
          </cell>
        </row>
        <row r="1037">
          <cell r="B1037" t="str">
            <v>MC010171724</v>
          </cell>
          <cell r="C1037" t="str">
            <v>CINTURON</v>
          </cell>
          <cell r="D1037" t="str">
            <v>CINTURON</v>
          </cell>
          <cell r="E1037" t="str">
            <v>CINTURON FER</v>
          </cell>
          <cell r="F1037" t="str">
            <v>TELA</v>
          </cell>
          <cell r="G1037">
            <v>0</v>
          </cell>
          <cell r="H1037" t="str">
            <v>BLANCO</v>
          </cell>
          <cell r="I1037" t="str">
            <v>U</v>
          </cell>
          <cell r="J1037" t="str">
            <v>H</v>
          </cell>
        </row>
        <row r="1038">
          <cell r="B1038" t="str">
            <v>MC050140301-100</v>
          </cell>
          <cell r="C1038" t="str">
            <v>CINTURON</v>
          </cell>
          <cell r="D1038" t="str">
            <v>CINTURON</v>
          </cell>
          <cell r="E1038" t="str">
            <v>CINTURON GUS 650</v>
          </cell>
          <cell r="F1038" t="str">
            <v>BRIDGE</v>
          </cell>
          <cell r="G1038">
            <v>0</v>
          </cell>
          <cell r="H1038" t="str">
            <v>NEGRO</v>
          </cell>
          <cell r="I1038">
            <v>100</v>
          </cell>
          <cell r="J1038" t="str">
            <v>H</v>
          </cell>
        </row>
        <row r="1039">
          <cell r="B1039" t="str">
            <v>MC050140301-105</v>
          </cell>
          <cell r="C1039" t="str">
            <v>CINTURON</v>
          </cell>
          <cell r="D1039" t="str">
            <v>CINTURON</v>
          </cell>
          <cell r="E1039" t="str">
            <v>CINTURON GUS 650</v>
          </cell>
          <cell r="F1039" t="str">
            <v>BRIDGE</v>
          </cell>
          <cell r="G1039">
            <v>0</v>
          </cell>
          <cell r="H1039" t="str">
            <v>NEGRO</v>
          </cell>
          <cell r="I1039">
            <v>105</v>
          </cell>
          <cell r="J1039" t="str">
            <v>H</v>
          </cell>
        </row>
        <row r="1040">
          <cell r="B1040" t="str">
            <v>MC050140301-110</v>
          </cell>
          <cell r="C1040" t="str">
            <v>CINTURON</v>
          </cell>
          <cell r="D1040" t="str">
            <v>CINTURON</v>
          </cell>
          <cell r="E1040" t="str">
            <v>CINTURON GUS 650</v>
          </cell>
          <cell r="F1040" t="str">
            <v>BRIDGE</v>
          </cell>
          <cell r="G1040">
            <v>0</v>
          </cell>
          <cell r="H1040" t="str">
            <v>NEGRO</v>
          </cell>
          <cell r="I1040">
            <v>110</v>
          </cell>
          <cell r="J1040" t="str">
            <v>H</v>
          </cell>
        </row>
        <row r="1041">
          <cell r="B1041" t="str">
            <v>MC050140301-115</v>
          </cell>
          <cell r="C1041" t="str">
            <v>CINTURON</v>
          </cell>
          <cell r="D1041" t="str">
            <v>CINTURON</v>
          </cell>
          <cell r="E1041" t="str">
            <v>CINTURON GUS 650</v>
          </cell>
          <cell r="F1041" t="str">
            <v>BRIDGE</v>
          </cell>
          <cell r="G1041">
            <v>0</v>
          </cell>
          <cell r="H1041" t="str">
            <v>NEGRO</v>
          </cell>
          <cell r="I1041">
            <v>115</v>
          </cell>
          <cell r="J1041" t="str">
            <v>H</v>
          </cell>
        </row>
        <row r="1042">
          <cell r="B1042" t="str">
            <v>MC050140301-120</v>
          </cell>
          <cell r="C1042" t="str">
            <v>CINTURON</v>
          </cell>
          <cell r="D1042" t="str">
            <v>CINTURON</v>
          </cell>
          <cell r="E1042" t="str">
            <v>CINTURON GUS 650</v>
          </cell>
          <cell r="F1042" t="str">
            <v>BRIDGE</v>
          </cell>
          <cell r="G1042">
            <v>0</v>
          </cell>
          <cell r="H1042" t="str">
            <v>NEGRO</v>
          </cell>
          <cell r="I1042">
            <v>120</v>
          </cell>
          <cell r="J1042" t="str">
            <v>H</v>
          </cell>
        </row>
        <row r="1043">
          <cell r="B1043" t="str">
            <v>MC050140301-85</v>
          </cell>
          <cell r="C1043" t="str">
            <v>CINTURON</v>
          </cell>
          <cell r="D1043" t="str">
            <v>CINTURON</v>
          </cell>
          <cell r="E1043" t="str">
            <v>CINTURON GUS 650</v>
          </cell>
          <cell r="F1043" t="str">
            <v>BRIDGE</v>
          </cell>
          <cell r="G1043">
            <v>0</v>
          </cell>
          <cell r="H1043" t="str">
            <v>NEGRO</v>
          </cell>
          <cell r="I1043">
            <v>85</v>
          </cell>
          <cell r="J1043" t="str">
            <v>H</v>
          </cell>
        </row>
        <row r="1044">
          <cell r="B1044" t="str">
            <v>MC050140301-90</v>
          </cell>
          <cell r="C1044" t="str">
            <v>CINTURON</v>
          </cell>
          <cell r="D1044" t="str">
            <v>CINTURON</v>
          </cell>
          <cell r="E1044" t="str">
            <v>CINTURON GUS 650</v>
          </cell>
          <cell r="F1044" t="str">
            <v>BRIDGE</v>
          </cell>
          <cell r="G1044">
            <v>0</v>
          </cell>
          <cell r="H1044" t="str">
            <v>NEGRO</v>
          </cell>
          <cell r="I1044">
            <v>90</v>
          </cell>
          <cell r="J1044" t="str">
            <v>H</v>
          </cell>
        </row>
        <row r="1045">
          <cell r="B1045" t="str">
            <v>MC050140301-95</v>
          </cell>
          <cell r="C1045" t="str">
            <v>CINTURON</v>
          </cell>
          <cell r="D1045" t="str">
            <v>CINTURON</v>
          </cell>
          <cell r="E1045" t="str">
            <v>CINTURON GUS 650</v>
          </cell>
          <cell r="F1045" t="str">
            <v>BRIDGE</v>
          </cell>
          <cell r="G1045">
            <v>0</v>
          </cell>
          <cell r="H1045" t="str">
            <v>NEGRO</v>
          </cell>
          <cell r="I1045">
            <v>95</v>
          </cell>
          <cell r="J1045" t="str">
            <v>H</v>
          </cell>
        </row>
        <row r="1046">
          <cell r="B1046" t="str">
            <v>MC050140302-100</v>
          </cell>
          <cell r="C1046" t="str">
            <v>CINTURON</v>
          </cell>
          <cell r="D1046" t="str">
            <v>CINTURON</v>
          </cell>
          <cell r="E1046" t="str">
            <v>CINTURON GUS 650</v>
          </cell>
          <cell r="F1046" t="str">
            <v>BRIDGE</v>
          </cell>
          <cell r="G1046">
            <v>0</v>
          </cell>
          <cell r="H1046" t="str">
            <v>SUELA</v>
          </cell>
          <cell r="I1046">
            <v>100</v>
          </cell>
          <cell r="J1046" t="str">
            <v>H</v>
          </cell>
        </row>
        <row r="1047">
          <cell r="B1047" t="str">
            <v>MC050140302-105</v>
          </cell>
          <cell r="C1047" t="str">
            <v>CINTURON</v>
          </cell>
          <cell r="D1047" t="str">
            <v>CINTURON</v>
          </cell>
          <cell r="E1047" t="str">
            <v>CINTURON GUS 650</v>
          </cell>
          <cell r="F1047" t="str">
            <v>BRIDGE</v>
          </cell>
          <cell r="G1047">
            <v>0</v>
          </cell>
          <cell r="H1047" t="str">
            <v>SUELA</v>
          </cell>
          <cell r="I1047">
            <v>105</v>
          </cell>
          <cell r="J1047" t="str">
            <v>H</v>
          </cell>
        </row>
        <row r="1048">
          <cell r="B1048" t="str">
            <v>MC050140302-110</v>
          </cell>
          <cell r="C1048" t="str">
            <v>CINTURON</v>
          </cell>
          <cell r="D1048" t="str">
            <v>CINTURON</v>
          </cell>
          <cell r="E1048" t="str">
            <v>CINTURON GUS 650</v>
          </cell>
          <cell r="F1048" t="str">
            <v>BRIDGE</v>
          </cell>
          <cell r="G1048">
            <v>0</v>
          </cell>
          <cell r="H1048" t="str">
            <v>SUELA</v>
          </cell>
          <cell r="I1048">
            <v>110</v>
          </cell>
          <cell r="J1048" t="str">
            <v>H</v>
          </cell>
        </row>
        <row r="1049">
          <cell r="B1049" t="str">
            <v>MC050140302-115</v>
          </cell>
          <cell r="C1049" t="str">
            <v>CINTURON</v>
          </cell>
          <cell r="D1049" t="str">
            <v>CINTURON</v>
          </cell>
          <cell r="E1049" t="str">
            <v>CINTURON GUS 650</v>
          </cell>
          <cell r="F1049" t="str">
            <v>BRIDGE</v>
          </cell>
          <cell r="G1049">
            <v>0</v>
          </cell>
          <cell r="H1049" t="str">
            <v>SUELA</v>
          </cell>
          <cell r="I1049">
            <v>115</v>
          </cell>
          <cell r="J1049" t="str">
            <v>H</v>
          </cell>
        </row>
        <row r="1050">
          <cell r="B1050" t="str">
            <v>MC050140302-120</v>
          </cell>
          <cell r="C1050" t="str">
            <v>CINTURON</v>
          </cell>
          <cell r="D1050" t="str">
            <v>CINTURON</v>
          </cell>
          <cell r="E1050" t="str">
            <v>CINTURON GUS 650</v>
          </cell>
          <cell r="F1050" t="str">
            <v>BRIDGE</v>
          </cell>
          <cell r="G1050">
            <v>0</v>
          </cell>
          <cell r="H1050" t="str">
            <v>SUELA</v>
          </cell>
          <cell r="I1050">
            <v>120</v>
          </cell>
          <cell r="J1050" t="str">
            <v>H</v>
          </cell>
        </row>
        <row r="1051">
          <cell r="B1051" t="str">
            <v>MC050140302-85</v>
          </cell>
          <cell r="C1051" t="str">
            <v>CINTURON</v>
          </cell>
          <cell r="D1051" t="str">
            <v>CINTURON</v>
          </cell>
          <cell r="E1051" t="str">
            <v>CINTURON GUS 650</v>
          </cell>
          <cell r="F1051" t="str">
            <v>BRIDGE</v>
          </cell>
          <cell r="G1051">
            <v>0</v>
          </cell>
          <cell r="H1051" t="str">
            <v>SUELA</v>
          </cell>
          <cell r="I1051">
            <v>85</v>
          </cell>
          <cell r="J1051" t="str">
            <v>H</v>
          </cell>
        </row>
        <row r="1052">
          <cell r="B1052" t="str">
            <v>MC050140302-90</v>
          </cell>
          <cell r="C1052" t="str">
            <v>CINTURON</v>
          </cell>
          <cell r="D1052" t="str">
            <v>CINTURON</v>
          </cell>
          <cell r="E1052" t="str">
            <v>CINTURON GUS 650</v>
          </cell>
          <cell r="F1052" t="str">
            <v>BRIDGE</v>
          </cell>
          <cell r="G1052">
            <v>0</v>
          </cell>
          <cell r="H1052" t="str">
            <v>SUELA</v>
          </cell>
          <cell r="I1052">
            <v>90</v>
          </cell>
          <cell r="J1052" t="str">
            <v>H</v>
          </cell>
        </row>
        <row r="1053">
          <cell r="B1053" t="str">
            <v>MC050140302-95</v>
          </cell>
          <cell r="C1053" t="str">
            <v>CINTURON</v>
          </cell>
          <cell r="D1053" t="str">
            <v>CINTURON</v>
          </cell>
          <cell r="E1053" t="str">
            <v>CINTURON GUS 650</v>
          </cell>
          <cell r="F1053" t="str">
            <v>BRIDGE</v>
          </cell>
          <cell r="G1053">
            <v>0</v>
          </cell>
          <cell r="H1053" t="str">
            <v>SUELA</v>
          </cell>
          <cell r="I1053">
            <v>95</v>
          </cell>
          <cell r="J1053" t="str">
            <v>H</v>
          </cell>
        </row>
        <row r="1054">
          <cell r="B1054" t="str">
            <v>MC050150101-100</v>
          </cell>
          <cell r="C1054" t="str">
            <v>CINTURON</v>
          </cell>
          <cell r="D1054" t="str">
            <v>CINTURON</v>
          </cell>
          <cell r="E1054" t="str">
            <v>CINTURON JAIRO 455</v>
          </cell>
          <cell r="F1054" t="str">
            <v>NAPADO</v>
          </cell>
          <cell r="G1054" t="str">
            <v>NIQUEL</v>
          </cell>
          <cell r="H1054" t="str">
            <v>NEGRO</v>
          </cell>
          <cell r="I1054">
            <v>100</v>
          </cell>
          <cell r="J1054" t="str">
            <v>H</v>
          </cell>
        </row>
        <row r="1055">
          <cell r="B1055" t="str">
            <v>MC050150101-105</v>
          </cell>
          <cell r="C1055" t="str">
            <v>CINTURON</v>
          </cell>
          <cell r="D1055" t="str">
            <v>CINTURON</v>
          </cell>
          <cell r="E1055" t="str">
            <v>CINTURON JAIRO 455</v>
          </cell>
          <cell r="F1055" t="str">
            <v>NAPADO</v>
          </cell>
          <cell r="G1055" t="str">
            <v>NIQUEL</v>
          </cell>
          <cell r="H1055" t="str">
            <v>NEGRO</v>
          </cell>
          <cell r="I1055">
            <v>105</v>
          </cell>
          <cell r="J1055" t="str">
            <v>H</v>
          </cell>
        </row>
        <row r="1056">
          <cell r="B1056" t="str">
            <v>MC050150101-110</v>
          </cell>
          <cell r="C1056" t="str">
            <v>CINTURON</v>
          </cell>
          <cell r="D1056" t="str">
            <v>CINTURON</v>
          </cell>
          <cell r="E1056" t="str">
            <v>CINTURON JAIRO 455</v>
          </cell>
          <cell r="F1056" t="str">
            <v>NAPADO</v>
          </cell>
          <cell r="G1056" t="str">
            <v>NIQUEL</v>
          </cell>
          <cell r="H1056" t="str">
            <v>NEGRO</v>
          </cell>
          <cell r="I1056">
            <v>110</v>
          </cell>
          <cell r="J1056" t="str">
            <v>H</v>
          </cell>
        </row>
        <row r="1057">
          <cell r="B1057" t="str">
            <v>MC050150101-115</v>
          </cell>
          <cell r="C1057" t="str">
            <v>CINTURON</v>
          </cell>
          <cell r="D1057" t="str">
            <v>CINTURON</v>
          </cell>
          <cell r="E1057" t="str">
            <v>CINTURON JAIRO 455</v>
          </cell>
          <cell r="F1057" t="str">
            <v>NAPADO</v>
          </cell>
          <cell r="G1057" t="str">
            <v>NIQUEL</v>
          </cell>
          <cell r="H1057" t="str">
            <v>NEGRO</v>
          </cell>
          <cell r="I1057">
            <v>115</v>
          </cell>
          <cell r="J1057" t="str">
            <v>H</v>
          </cell>
        </row>
        <row r="1058">
          <cell r="B1058" t="str">
            <v>MC050150101-120</v>
          </cell>
          <cell r="C1058" t="str">
            <v>CINTURON</v>
          </cell>
          <cell r="D1058" t="str">
            <v>CINTURON</v>
          </cell>
          <cell r="E1058" t="str">
            <v>CINTURON JAIRO 455</v>
          </cell>
          <cell r="F1058" t="str">
            <v>NAPADO</v>
          </cell>
          <cell r="G1058" t="str">
            <v>NIQUEL</v>
          </cell>
          <cell r="H1058" t="str">
            <v>NEGRO</v>
          </cell>
          <cell r="I1058">
            <v>120</v>
          </cell>
          <cell r="J1058" t="str">
            <v>H</v>
          </cell>
        </row>
        <row r="1059">
          <cell r="B1059" t="str">
            <v>MC050150101-85</v>
          </cell>
          <cell r="C1059" t="str">
            <v>CINTURON</v>
          </cell>
          <cell r="D1059" t="str">
            <v>CINTURON</v>
          </cell>
          <cell r="E1059" t="str">
            <v>CINTURON JAIRO 455</v>
          </cell>
          <cell r="F1059" t="str">
            <v>NAPADO</v>
          </cell>
          <cell r="G1059" t="str">
            <v>NIQUEL</v>
          </cell>
          <cell r="H1059" t="str">
            <v>NEGRO</v>
          </cell>
          <cell r="I1059">
            <v>85</v>
          </cell>
          <cell r="J1059" t="str">
            <v>H</v>
          </cell>
        </row>
        <row r="1060">
          <cell r="B1060" t="str">
            <v>MC050150101-90</v>
          </cell>
          <cell r="C1060" t="str">
            <v>CINTURON</v>
          </cell>
          <cell r="D1060" t="str">
            <v>CINTURON</v>
          </cell>
          <cell r="E1060" t="str">
            <v>CINTURON JAIRO 455</v>
          </cell>
          <cell r="F1060" t="str">
            <v>NAPADO</v>
          </cell>
          <cell r="G1060" t="str">
            <v>NIQUEL</v>
          </cell>
          <cell r="H1060" t="str">
            <v>NEGRO</v>
          </cell>
          <cell r="I1060">
            <v>90</v>
          </cell>
          <cell r="J1060" t="str">
            <v>H</v>
          </cell>
        </row>
        <row r="1061">
          <cell r="B1061" t="str">
            <v>MC050150101-95</v>
          </cell>
          <cell r="C1061" t="str">
            <v>CINTURON</v>
          </cell>
          <cell r="D1061" t="str">
            <v>CINTURON</v>
          </cell>
          <cell r="E1061" t="str">
            <v>CINTURON JAIRO 455</v>
          </cell>
          <cell r="F1061" t="str">
            <v>NAPADO</v>
          </cell>
          <cell r="G1061" t="str">
            <v>NIQUEL</v>
          </cell>
          <cell r="H1061" t="str">
            <v>NEGRO</v>
          </cell>
          <cell r="I1061">
            <v>95</v>
          </cell>
          <cell r="J1061" t="str">
            <v>H</v>
          </cell>
        </row>
        <row r="1062">
          <cell r="B1062" t="str">
            <v>MC050150152-100</v>
          </cell>
          <cell r="C1062" t="str">
            <v>CINTURON</v>
          </cell>
          <cell r="D1062" t="str">
            <v>CINTURON</v>
          </cell>
          <cell r="E1062" t="str">
            <v>CINTURON JAIRO 455</v>
          </cell>
          <cell r="F1062" t="str">
            <v>NAPADO</v>
          </cell>
          <cell r="G1062" t="str">
            <v>NIQUEL</v>
          </cell>
          <cell r="H1062" t="str">
            <v>CHOCOLATE</v>
          </cell>
          <cell r="I1062">
            <v>100</v>
          </cell>
          <cell r="J1062" t="str">
            <v>H</v>
          </cell>
        </row>
        <row r="1063">
          <cell r="B1063" t="str">
            <v>MC050150152-105</v>
          </cell>
          <cell r="C1063" t="str">
            <v>CINTURON</v>
          </cell>
          <cell r="D1063" t="str">
            <v>CINTURON</v>
          </cell>
          <cell r="E1063" t="str">
            <v>CINTURON JAIRO 455</v>
          </cell>
          <cell r="F1063" t="str">
            <v>NAPADO</v>
          </cell>
          <cell r="G1063" t="str">
            <v>NIQUEL</v>
          </cell>
          <cell r="H1063" t="str">
            <v>CHOCOLATE</v>
          </cell>
          <cell r="I1063">
            <v>105</v>
          </cell>
          <cell r="J1063" t="str">
            <v>H</v>
          </cell>
        </row>
        <row r="1064">
          <cell r="B1064" t="str">
            <v>MC050150152-110</v>
          </cell>
          <cell r="C1064" t="str">
            <v>CINTURON</v>
          </cell>
          <cell r="D1064" t="str">
            <v>CINTURON</v>
          </cell>
          <cell r="E1064" t="str">
            <v>CINTURON JAIRO 455</v>
          </cell>
          <cell r="F1064" t="str">
            <v>NAPADO</v>
          </cell>
          <cell r="G1064" t="str">
            <v>NIQUEL</v>
          </cell>
          <cell r="H1064" t="str">
            <v>CHOCOLATE</v>
          </cell>
          <cell r="I1064">
            <v>110</v>
          </cell>
          <cell r="J1064" t="str">
            <v>H</v>
          </cell>
        </row>
        <row r="1065">
          <cell r="B1065" t="str">
            <v>MC050150152-115</v>
          </cell>
          <cell r="C1065" t="str">
            <v>CINTURON</v>
          </cell>
          <cell r="D1065" t="str">
            <v>CINTURON</v>
          </cell>
          <cell r="E1065" t="str">
            <v>CINTURON JAIRO 455</v>
          </cell>
          <cell r="F1065" t="str">
            <v>NAPADO</v>
          </cell>
          <cell r="G1065" t="str">
            <v>NIQUEL</v>
          </cell>
          <cell r="H1065" t="str">
            <v>CHOCOLATE</v>
          </cell>
          <cell r="I1065">
            <v>115</v>
          </cell>
          <cell r="J1065" t="str">
            <v>H</v>
          </cell>
        </row>
        <row r="1066">
          <cell r="B1066" t="str">
            <v>MC050150152-120</v>
          </cell>
          <cell r="C1066" t="str">
            <v>CINTURON</v>
          </cell>
          <cell r="D1066" t="str">
            <v>CINTURON</v>
          </cell>
          <cell r="E1066" t="str">
            <v>CINTURON JAIRO 455</v>
          </cell>
          <cell r="F1066" t="str">
            <v>NAPADO</v>
          </cell>
          <cell r="G1066" t="str">
            <v>NIQUEL</v>
          </cell>
          <cell r="H1066" t="str">
            <v>CHOCOLATE</v>
          </cell>
          <cell r="I1066">
            <v>120</v>
          </cell>
          <cell r="J1066" t="str">
            <v>H</v>
          </cell>
        </row>
        <row r="1067">
          <cell r="B1067" t="str">
            <v>MC050150152-85</v>
          </cell>
          <cell r="C1067" t="str">
            <v>CINTURON</v>
          </cell>
          <cell r="D1067" t="str">
            <v>CINTURON</v>
          </cell>
          <cell r="E1067" t="str">
            <v>CINTURON JAIRO 455</v>
          </cell>
          <cell r="F1067" t="str">
            <v>NAPADO</v>
          </cell>
          <cell r="G1067" t="str">
            <v>NIQUEL</v>
          </cell>
          <cell r="H1067" t="str">
            <v>CHOCOLATE</v>
          </cell>
          <cell r="I1067">
            <v>85</v>
          </cell>
          <cell r="J1067" t="str">
            <v>H</v>
          </cell>
        </row>
        <row r="1068">
          <cell r="B1068" t="str">
            <v>MC050150152-90</v>
          </cell>
          <cell r="C1068" t="str">
            <v>CINTURON</v>
          </cell>
          <cell r="D1068" t="str">
            <v>CINTURON</v>
          </cell>
          <cell r="E1068" t="str">
            <v>CINTURON JAIRO 455</v>
          </cell>
          <cell r="F1068" t="str">
            <v>NAPADO</v>
          </cell>
          <cell r="G1068" t="str">
            <v>NIQUEL</v>
          </cell>
          <cell r="H1068" t="str">
            <v>CHOCOLATE</v>
          </cell>
          <cell r="I1068">
            <v>90</v>
          </cell>
          <cell r="J1068" t="str">
            <v>H</v>
          </cell>
        </row>
        <row r="1069">
          <cell r="B1069" t="str">
            <v>MC050150152-95</v>
          </cell>
          <cell r="C1069" t="str">
            <v>CINTURON</v>
          </cell>
          <cell r="D1069" t="str">
            <v>CINTURON</v>
          </cell>
          <cell r="E1069" t="str">
            <v>CINTURON JAIRO 455</v>
          </cell>
          <cell r="F1069" t="str">
            <v>NAPADO</v>
          </cell>
          <cell r="G1069" t="str">
            <v>NIQUEL</v>
          </cell>
          <cell r="H1069" t="str">
            <v>CHOCOLATE</v>
          </cell>
          <cell r="I1069">
            <v>95</v>
          </cell>
          <cell r="J1069" t="str">
            <v>H</v>
          </cell>
        </row>
        <row r="1070">
          <cell r="B1070" t="str">
            <v>MC040030102-100</v>
          </cell>
          <cell r="C1070" t="str">
            <v>CINTURON</v>
          </cell>
          <cell r="D1070" t="str">
            <v>CINTURON</v>
          </cell>
          <cell r="E1070" t="str">
            <v>CINTURON JORGE</v>
          </cell>
          <cell r="F1070" t="str">
            <v>NAPADO</v>
          </cell>
          <cell r="G1070" t="str">
            <v>NIQUEL</v>
          </cell>
          <cell r="H1070" t="str">
            <v>SUELA</v>
          </cell>
          <cell r="I1070" t="str">
            <v>U</v>
          </cell>
          <cell r="J1070" t="str">
            <v>H</v>
          </cell>
        </row>
        <row r="1071">
          <cell r="B1071" t="str">
            <v>MC040030102-105</v>
          </cell>
          <cell r="C1071" t="str">
            <v>CINTURON</v>
          </cell>
          <cell r="D1071" t="str">
            <v>CINTURON</v>
          </cell>
          <cell r="E1071" t="str">
            <v>CINTURON JORGE</v>
          </cell>
          <cell r="F1071" t="str">
            <v>NAPADO</v>
          </cell>
          <cell r="G1071" t="str">
            <v>NIQUEL</v>
          </cell>
          <cell r="H1071" t="str">
            <v>SUELA</v>
          </cell>
          <cell r="I1071" t="str">
            <v>U</v>
          </cell>
          <cell r="J1071" t="str">
            <v>H</v>
          </cell>
        </row>
        <row r="1072">
          <cell r="B1072" t="str">
            <v>MC040030102-110</v>
          </cell>
          <cell r="C1072" t="str">
            <v>CINTURON</v>
          </cell>
          <cell r="D1072" t="str">
            <v>CINTURON</v>
          </cell>
          <cell r="E1072" t="str">
            <v>CINTURON JORGE</v>
          </cell>
          <cell r="F1072" t="str">
            <v>NAPADO</v>
          </cell>
          <cell r="G1072" t="str">
            <v>NIQUEL</v>
          </cell>
          <cell r="H1072" t="str">
            <v>SUELA</v>
          </cell>
          <cell r="I1072" t="str">
            <v>U</v>
          </cell>
          <cell r="J1072" t="str">
            <v>H</v>
          </cell>
        </row>
        <row r="1073">
          <cell r="B1073" t="str">
            <v>MC040030102-115</v>
          </cell>
          <cell r="C1073" t="str">
            <v>CINTURON</v>
          </cell>
          <cell r="D1073" t="str">
            <v>CINTURON</v>
          </cell>
          <cell r="E1073" t="str">
            <v>CINTURON JORGE</v>
          </cell>
          <cell r="F1073" t="str">
            <v>NAPADO</v>
          </cell>
          <cell r="G1073" t="str">
            <v>NIQUEL</v>
          </cell>
          <cell r="H1073" t="str">
            <v>SUELA</v>
          </cell>
          <cell r="I1073" t="str">
            <v>U</v>
          </cell>
          <cell r="J1073" t="str">
            <v>H</v>
          </cell>
        </row>
        <row r="1074">
          <cell r="B1074" t="str">
            <v>MC040030102-85</v>
          </cell>
          <cell r="C1074" t="str">
            <v>CINTURON</v>
          </cell>
          <cell r="D1074" t="str">
            <v>CINTURON</v>
          </cell>
          <cell r="E1074" t="str">
            <v>CINTURON JORGE</v>
          </cell>
          <cell r="F1074" t="str">
            <v>NAPADO</v>
          </cell>
          <cell r="G1074" t="str">
            <v>NIQUEL</v>
          </cell>
          <cell r="H1074" t="str">
            <v>SUELA</v>
          </cell>
          <cell r="I1074" t="str">
            <v>U</v>
          </cell>
          <cell r="J1074" t="str">
            <v>H</v>
          </cell>
        </row>
        <row r="1075">
          <cell r="B1075" t="str">
            <v>MC040030102-90</v>
          </cell>
          <cell r="C1075" t="str">
            <v>CINTURON</v>
          </cell>
          <cell r="D1075" t="str">
            <v>CINTURON</v>
          </cell>
          <cell r="E1075" t="str">
            <v>CINTURON JORGE</v>
          </cell>
          <cell r="F1075" t="str">
            <v>NAPADO</v>
          </cell>
          <cell r="G1075" t="str">
            <v>NIQUEL</v>
          </cell>
          <cell r="H1075" t="str">
            <v>SUELA</v>
          </cell>
          <cell r="I1075" t="str">
            <v>U</v>
          </cell>
          <cell r="J1075" t="str">
            <v>H</v>
          </cell>
        </row>
        <row r="1076">
          <cell r="B1076" t="str">
            <v>MC040030102-95</v>
          </cell>
          <cell r="C1076" t="str">
            <v>CINTURON</v>
          </cell>
          <cell r="D1076" t="str">
            <v>CINTURON</v>
          </cell>
          <cell r="E1076" t="str">
            <v>CINTURON JORGE</v>
          </cell>
          <cell r="F1076" t="str">
            <v>NAPADO</v>
          </cell>
          <cell r="G1076" t="str">
            <v>NIQUEL</v>
          </cell>
          <cell r="H1076" t="str">
            <v>SUELA</v>
          </cell>
          <cell r="I1076" t="str">
            <v>U</v>
          </cell>
          <cell r="J1076" t="str">
            <v>H</v>
          </cell>
        </row>
        <row r="1077">
          <cell r="B1077" t="str">
            <v>MC040040102-100</v>
          </cell>
          <cell r="C1077" t="str">
            <v>CINTURON</v>
          </cell>
          <cell r="D1077" t="str">
            <v>CINTURON</v>
          </cell>
          <cell r="E1077" t="str">
            <v>CINTURON JORGE</v>
          </cell>
          <cell r="F1077" t="str">
            <v>NAPADO</v>
          </cell>
          <cell r="G1077" t="str">
            <v>BRONCE</v>
          </cell>
          <cell r="H1077" t="str">
            <v>SUELA</v>
          </cell>
          <cell r="I1077" t="str">
            <v>U</v>
          </cell>
          <cell r="J1077" t="str">
            <v>H</v>
          </cell>
        </row>
        <row r="1078">
          <cell r="B1078" t="str">
            <v>MC040040102-110</v>
          </cell>
          <cell r="C1078" t="str">
            <v>CINTURON</v>
          </cell>
          <cell r="D1078" t="str">
            <v>CINTURON</v>
          </cell>
          <cell r="E1078" t="str">
            <v>CINTURON JORGE</v>
          </cell>
          <cell r="F1078" t="str">
            <v>NAPADO</v>
          </cell>
          <cell r="G1078" t="str">
            <v>BRONCE</v>
          </cell>
          <cell r="H1078" t="str">
            <v>SUELA</v>
          </cell>
          <cell r="I1078" t="str">
            <v>U</v>
          </cell>
          <cell r="J1078" t="str">
            <v>H</v>
          </cell>
        </row>
        <row r="1079">
          <cell r="B1079" t="str">
            <v>MC040040102-115</v>
          </cell>
          <cell r="C1079" t="str">
            <v>CINTURON</v>
          </cell>
          <cell r="D1079" t="str">
            <v>CINTURON</v>
          </cell>
          <cell r="E1079" t="str">
            <v>CINTURON JORGE</v>
          </cell>
          <cell r="F1079" t="str">
            <v>NAPADO</v>
          </cell>
          <cell r="G1079" t="str">
            <v>BRONCE</v>
          </cell>
          <cell r="H1079" t="str">
            <v>SUELA</v>
          </cell>
          <cell r="I1079" t="str">
            <v>U</v>
          </cell>
          <cell r="J1079" t="str">
            <v>H</v>
          </cell>
        </row>
        <row r="1080">
          <cell r="B1080" t="str">
            <v>MC040040102-85</v>
          </cell>
          <cell r="C1080" t="str">
            <v>CINTURON</v>
          </cell>
          <cell r="D1080" t="str">
            <v>CINTURON</v>
          </cell>
          <cell r="E1080" t="str">
            <v>CINTURON JORGE</v>
          </cell>
          <cell r="F1080" t="str">
            <v>NAPADO</v>
          </cell>
          <cell r="G1080" t="str">
            <v>BRONCE</v>
          </cell>
          <cell r="H1080" t="str">
            <v>SUELA</v>
          </cell>
          <cell r="I1080" t="str">
            <v>U</v>
          </cell>
          <cell r="J1080" t="str">
            <v>H</v>
          </cell>
        </row>
        <row r="1081">
          <cell r="B1081" t="str">
            <v>MC040040102-90</v>
          </cell>
          <cell r="C1081" t="str">
            <v>CINTURON</v>
          </cell>
          <cell r="D1081" t="str">
            <v>CINTURON</v>
          </cell>
          <cell r="E1081" t="str">
            <v>CINTURON JORGE</v>
          </cell>
          <cell r="F1081" t="str">
            <v>NAPADO</v>
          </cell>
          <cell r="G1081" t="str">
            <v>BRONCE</v>
          </cell>
          <cell r="H1081" t="str">
            <v>SUELA</v>
          </cell>
          <cell r="I1081" t="str">
            <v>U</v>
          </cell>
          <cell r="J1081" t="str">
            <v>H</v>
          </cell>
        </row>
        <row r="1082">
          <cell r="B1082" t="str">
            <v>MC040040102-95</v>
          </cell>
          <cell r="C1082" t="str">
            <v>CINTURON</v>
          </cell>
          <cell r="D1082" t="str">
            <v>CINTURON</v>
          </cell>
          <cell r="E1082" t="str">
            <v>CINTURON JORGE</v>
          </cell>
          <cell r="F1082" t="str">
            <v>NAPADO</v>
          </cell>
          <cell r="G1082" t="str">
            <v>BRONCE</v>
          </cell>
          <cell r="H1082" t="str">
            <v>SUELA</v>
          </cell>
          <cell r="I1082" t="str">
            <v>U</v>
          </cell>
          <cell r="J1082" t="str">
            <v>H</v>
          </cell>
        </row>
        <row r="1083">
          <cell r="B1083" t="str">
            <v>MC040480101-100</v>
          </cell>
          <cell r="C1083" t="str">
            <v>CINTURON</v>
          </cell>
          <cell r="D1083" t="str">
            <v>CINTURON</v>
          </cell>
          <cell r="E1083" t="str">
            <v>CINTURON LOPA</v>
          </cell>
          <cell r="F1083" t="str">
            <v>NAPADO</v>
          </cell>
          <cell r="G1083" t="str">
            <v>NIQUEL</v>
          </cell>
          <cell r="H1083" t="str">
            <v>NEGRO</v>
          </cell>
          <cell r="I1083" t="str">
            <v>U</v>
          </cell>
          <cell r="J1083" t="str">
            <v>H</v>
          </cell>
        </row>
        <row r="1084">
          <cell r="B1084" t="str">
            <v>MC040480101-105</v>
          </cell>
          <cell r="C1084" t="str">
            <v>CINTURON</v>
          </cell>
          <cell r="D1084" t="str">
            <v>CINTURON</v>
          </cell>
          <cell r="E1084" t="str">
            <v>CINTURON LOPA</v>
          </cell>
          <cell r="F1084" t="str">
            <v>NAPADO</v>
          </cell>
          <cell r="G1084" t="str">
            <v>NIQUEL</v>
          </cell>
          <cell r="H1084" t="str">
            <v>NEGRO</v>
          </cell>
          <cell r="I1084" t="str">
            <v>U</v>
          </cell>
          <cell r="J1084" t="str">
            <v>H</v>
          </cell>
        </row>
        <row r="1085">
          <cell r="B1085" t="str">
            <v>MC040480101-110</v>
          </cell>
          <cell r="C1085" t="str">
            <v>CINTURON</v>
          </cell>
          <cell r="D1085" t="str">
            <v>CINTURON</v>
          </cell>
          <cell r="E1085" t="str">
            <v>CINTURON LOPA</v>
          </cell>
          <cell r="F1085" t="str">
            <v>NAPADO</v>
          </cell>
          <cell r="G1085" t="str">
            <v>NIQUEL</v>
          </cell>
          <cell r="H1085" t="str">
            <v>NEGRO</v>
          </cell>
          <cell r="I1085" t="str">
            <v>U</v>
          </cell>
          <cell r="J1085" t="str">
            <v>H</v>
          </cell>
        </row>
        <row r="1086">
          <cell r="B1086" t="str">
            <v>MC040480101-115</v>
          </cell>
          <cell r="C1086" t="str">
            <v>CINTURON</v>
          </cell>
          <cell r="D1086" t="str">
            <v>CINTURON</v>
          </cell>
          <cell r="E1086" t="str">
            <v>CINTURON LOPA</v>
          </cell>
          <cell r="F1086" t="str">
            <v>NAPADO</v>
          </cell>
          <cell r="G1086" t="str">
            <v>NIQUEL</v>
          </cell>
          <cell r="H1086" t="str">
            <v>NEGRO</v>
          </cell>
          <cell r="I1086" t="str">
            <v>U</v>
          </cell>
          <cell r="J1086" t="str">
            <v>H</v>
          </cell>
        </row>
        <row r="1087">
          <cell r="B1087" t="str">
            <v>MC040480101-120</v>
          </cell>
          <cell r="C1087" t="str">
            <v>CINTURON</v>
          </cell>
          <cell r="D1087" t="str">
            <v>CINTURON</v>
          </cell>
          <cell r="E1087" t="str">
            <v>CINTURON LOPA</v>
          </cell>
          <cell r="F1087" t="str">
            <v>NAPADO</v>
          </cell>
          <cell r="G1087" t="str">
            <v>NIQUEL</v>
          </cell>
          <cell r="H1087" t="str">
            <v>NEGRO</v>
          </cell>
          <cell r="I1087" t="str">
            <v>U</v>
          </cell>
          <cell r="J1087" t="str">
            <v>H</v>
          </cell>
        </row>
        <row r="1088">
          <cell r="B1088" t="str">
            <v>MC040480101-85</v>
          </cell>
          <cell r="C1088" t="str">
            <v>CINTURON</v>
          </cell>
          <cell r="D1088" t="str">
            <v>CINTURON</v>
          </cell>
          <cell r="E1088" t="str">
            <v>CINTURON LOPA</v>
          </cell>
          <cell r="F1088" t="str">
            <v>NAPADO</v>
          </cell>
          <cell r="G1088" t="str">
            <v>NIQUEL</v>
          </cell>
          <cell r="H1088" t="str">
            <v>NEGRO</v>
          </cell>
          <cell r="I1088" t="str">
            <v>U</v>
          </cell>
          <cell r="J1088" t="str">
            <v>H</v>
          </cell>
        </row>
        <row r="1089">
          <cell r="B1089" t="str">
            <v>MC040480101-90</v>
          </cell>
          <cell r="C1089" t="str">
            <v>CINTURON</v>
          </cell>
          <cell r="D1089" t="str">
            <v>CINTURON</v>
          </cell>
          <cell r="E1089" t="str">
            <v>CINTURON LOPA</v>
          </cell>
          <cell r="F1089" t="str">
            <v>NAPADO</v>
          </cell>
          <cell r="G1089" t="str">
            <v>NIQUEL</v>
          </cell>
          <cell r="H1089" t="str">
            <v>NEGRO</v>
          </cell>
          <cell r="I1089" t="str">
            <v>U</v>
          </cell>
          <cell r="J1089" t="str">
            <v>H</v>
          </cell>
        </row>
        <row r="1090">
          <cell r="B1090" t="str">
            <v>MC040480101-95</v>
          </cell>
          <cell r="C1090" t="str">
            <v>CINTURON</v>
          </cell>
          <cell r="D1090" t="str">
            <v>CINTURON</v>
          </cell>
          <cell r="E1090" t="str">
            <v>CINTURON LOPA</v>
          </cell>
          <cell r="F1090" t="str">
            <v>NAPADO</v>
          </cell>
          <cell r="G1090" t="str">
            <v>NIQUEL</v>
          </cell>
          <cell r="H1090" t="str">
            <v>NEGRO</v>
          </cell>
          <cell r="I1090" t="str">
            <v>U</v>
          </cell>
          <cell r="J1090" t="str">
            <v>H</v>
          </cell>
        </row>
        <row r="1091">
          <cell r="B1091" t="str">
            <v>MC040480102-100</v>
          </cell>
          <cell r="C1091" t="str">
            <v>CINTURON</v>
          </cell>
          <cell r="D1091" t="str">
            <v>CINTURON</v>
          </cell>
          <cell r="E1091" t="str">
            <v>CINTURON LOPA</v>
          </cell>
          <cell r="F1091" t="str">
            <v>NAPADO</v>
          </cell>
          <cell r="G1091" t="str">
            <v>NIQUEL</v>
          </cell>
          <cell r="H1091" t="str">
            <v>SUELA</v>
          </cell>
          <cell r="I1091" t="str">
            <v>U</v>
          </cell>
          <cell r="J1091" t="str">
            <v>H</v>
          </cell>
        </row>
        <row r="1092">
          <cell r="B1092" t="str">
            <v>MC040480102-105</v>
          </cell>
          <cell r="C1092" t="str">
            <v>CINTURON</v>
          </cell>
          <cell r="D1092" t="str">
            <v>CINTURON</v>
          </cell>
          <cell r="E1092" t="str">
            <v>CINTURON LOPA</v>
          </cell>
          <cell r="F1092" t="str">
            <v>NAPADO</v>
          </cell>
          <cell r="G1092" t="str">
            <v>NIQUEL</v>
          </cell>
          <cell r="H1092" t="str">
            <v>SUELA</v>
          </cell>
          <cell r="I1092" t="str">
            <v>U</v>
          </cell>
          <cell r="J1092" t="str">
            <v>H</v>
          </cell>
        </row>
        <row r="1093">
          <cell r="B1093" t="str">
            <v>MC040480102-110</v>
          </cell>
          <cell r="C1093" t="str">
            <v>CINTURON</v>
          </cell>
          <cell r="D1093" t="str">
            <v>CINTURON</v>
          </cell>
          <cell r="E1093" t="str">
            <v>CINTURON LOPA</v>
          </cell>
          <cell r="F1093" t="str">
            <v>NAPADO</v>
          </cell>
          <cell r="G1093" t="str">
            <v>NIQUEL</v>
          </cell>
          <cell r="H1093" t="str">
            <v>SUELA</v>
          </cell>
          <cell r="I1093" t="str">
            <v>U</v>
          </cell>
          <cell r="J1093" t="str">
            <v>H</v>
          </cell>
        </row>
        <row r="1094">
          <cell r="B1094" t="str">
            <v>MC040480102-115</v>
          </cell>
          <cell r="C1094" t="str">
            <v>CINTURON</v>
          </cell>
          <cell r="D1094" t="str">
            <v>CINTURON</v>
          </cell>
          <cell r="E1094" t="str">
            <v>CINTURON LOPA</v>
          </cell>
          <cell r="F1094" t="str">
            <v>NAPADO</v>
          </cell>
          <cell r="G1094" t="str">
            <v>NIQUEL</v>
          </cell>
          <cell r="H1094" t="str">
            <v>SUELA</v>
          </cell>
          <cell r="I1094" t="str">
            <v>U</v>
          </cell>
          <cell r="J1094" t="str">
            <v>H</v>
          </cell>
        </row>
        <row r="1095">
          <cell r="B1095" t="str">
            <v>MC040480102-120</v>
          </cell>
          <cell r="C1095" t="str">
            <v>CINTURON</v>
          </cell>
          <cell r="D1095" t="str">
            <v>CINTURON</v>
          </cell>
          <cell r="E1095" t="str">
            <v>CINTURON LOPA</v>
          </cell>
          <cell r="F1095" t="str">
            <v>NAPADO</v>
          </cell>
          <cell r="G1095" t="str">
            <v>NIQUEL</v>
          </cell>
          <cell r="H1095" t="str">
            <v>SUELA</v>
          </cell>
          <cell r="I1095" t="str">
            <v>U</v>
          </cell>
          <cell r="J1095" t="str">
            <v>H</v>
          </cell>
        </row>
        <row r="1096">
          <cell r="B1096" t="str">
            <v>MC040480102-85</v>
          </cell>
          <cell r="C1096" t="str">
            <v>CINTURON</v>
          </cell>
          <cell r="D1096" t="str">
            <v>CINTURON</v>
          </cell>
          <cell r="E1096" t="str">
            <v>CINTURON LOPA</v>
          </cell>
          <cell r="F1096" t="str">
            <v>NAPADO</v>
          </cell>
          <cell r="G1096" t="str">
            <v>NIQUEL</v>
          </cell>
          <cell r="H1096" t="str">
            <v>SUELA</v>
          </cell>
          <cell r="I1096" t="str">
            <v>U</v>
          </cell>
          <cell r="J1096" t="str">
            <v>H</v>
          </cell>
        </row>
        <row r="1097">
          <cell r="B1097" t="str">
            <v>MC040480102-90</v>
          </cell>
          <cell r="C1097" t="str">
            <v>CINTURON</v>
          </cell>
          <cell r="D1097" t="str">
            <v>CINTURON</v>
          </cell>
          <cell r="E1097" t="str">
            <v>CINTURON LOPA</v>
          </cell>
          <cell r="F1097" t="str">
            <v>NAPADO</v>
          </cell>
          <cell r="G1097" t="str">
            <v>NIQUEL</v>
          </cell>
          <cell r="H1097" t="str">
            <v>SUELA</v>
          </cell>
          <cell r="I1097" t="str">
            <v>U</v>
          </cell>
          <cell r="J1097" t="str">
            <v>H</v>
          </cell>
        </row>
        <row r="1098">
          <cell r="B1098" t="str">
            <v>MC040480102-95</v>
          </cell>
          <cell r="C1098" t="str">
            <v>CINTURON</v>
          </cell>
          <cell r="D1098" t="str">
            <v>CINTURON</v>
          </cell>
          <cell r="E1098" t="str">
            <v>CINTURON LOPA</v>
          </cell>
          <cell r="F1098" t="str">
            <v>NAPADO</v>
          </cell>
          <cell r="G1098" t="str">
            <v>NIQUEL</v>
          </cell>
          <cell r="H1098" t="str">
            <v>SUELA</v>
          </cell>
          <cell r="I1098" t="str">
            <v>U</v>
          </cell>
          <cell r="J1098" t="str">
            <v>H</v>
          </cell>
        </row>
        <row r="1099">
          <cell r="B1099" t="str">
            <v>CM1</v>
          </cell>
          <cell r="C1099" t="str">
            <v>CINTURON</v>
          </cell>
          <cell r="D1099" t="str">
            <v>CINTURON</v>
          </cell>
          <cell r="E1099" t="str">
            <v>CINTURON MARINERO</v>
          </cell>
          <cell r="F1099" t="str">
            <v>ALGODON</v>
          </cell>
          <cell r="G1099" t="str">
            <v>NIQUEL</v>
          </cell>
          <cell r="H1099" t="str">
            <v>AZUL/TABACO</v>
          </cell>
          <cell r="I1099" t="str">
            <v>U</v>
          </cell>
          <cell r="J1099" t="str">
            <v>H</v>
          </cell>
        </row>
        <row r="1100">
          <cell r="B1100" t="str">
            <v>CM2</v>
          </cell>
          <cell r="C1100" t="str">
            <v>CINTURON</v>
          </cell>
          <cell r="D1100" t="str">
            <v>CINTURON</v>
          </cell>
          <cell r="E1100" t="str">
            <v>CINTURON MARINERO</v>
          </cell>
          <cell r="F1100" t="str">
            <v>ALGODON</v>
          </cell>
          <cell r="G1100" t="str">
            <v>NIQUEL</v>
          </cell>
          <cell r="H1100" t="str">
            <v>AZUL/NEGRO</v>
          </cell>
          <cell r="I1100" t="str">
            <v>U</v>
          </cell>
          <cell r="J1100" t="str">
            <v>H</v>
          </cell>
        </row>
        <row r="1101">
          <cell r="B1101" t="str">
            <v>CM3</v>
          </cell>
          <cell r="C1101" t="str">
            <v>CINTURON</v>
          </cell>
          <cell r="D1101" t="str">
            <v>CINTURON</v>
          </cell>
          <cell r="E1101" t="str">
            <v>CINTURON MARINERO</v>
          </cell>
          <cell r="F1101" t="str">
            <v>ALGODON</v>
          </cell>
          <cell r="G1101" t="str">
            <v>NIQUEL</v>
          </cell>
          <cell r="H1101" t="str">
            <v>VERDE/TABACO</v>
          </cell>
          <cell r="I1101" t="str">
            <v>U</v>
          </cell>
          <cell r="J1101" t="str">
            <v>H</v>
          </cell>
        </row>
        <row r="1102">
          <cell r="B1102" t="str">
            <v>CM4</v>
          </cell>
          <cell r="C1102" t="str">
            <v>CINTURON</v>
          </cell>
          <cell r="D1102" t="str">
            <v>CINTURON</v>
          </cell>
          <cell r="E1102" t="str">
            <v>CINTURON MARINERO</v>
          </cell>
          <cell r="F1102" t="str">
            <v>ALGODON</v>
          </cell>
          <cell r="G1102" t="str">
            <v>NIQUEL</v>
          </cell>
          <cell r="H1102" t="str">
            <v>VERDE/NEGRO</v>
          </cell>
          <cell r="I1102" t="str">
            <v>U</v>
          </cell>
          <cell r="J1102" t="str">
            <v>H</v>
          </cell>
        </row>
        <row r="1103">
          <cell r="B1103" t="str">
            <v>CM5</v>
          </cell>
          <cell r="C1103" t="str">
            <v>CINTURON</v>
          </cell>
          <cell r="D1103" t="str">
            <v>CINTURON</v>
          </cell>
          <cell r="E1103" t="str">
            <v>CINTURON MARINERO</v>
          </cell>
          <cell r="F1103" t="str">
            <v>ALGODON</v>
          </cell>
          <cell r="G1103" t="str">
            <v>NIQUEL</v>
          </cell>
          <cell r="H1103" t="str">
            <v>CHOCOLATE/TABACO</v>
          </cell>
          <cell r="I1103" t="str">
            <v>U</v>
          </cell>
          <cell r="J1103" t="str">
            <v>H</v>
          </cell>
        </row>
        <row r="1104">
          <cell r="B1104" t="str">
            <v>CM6</v>
          </cell>
          <cell r="C1104" t="str">
            <v>CINTURON</v>
          </cell>
          <cell r="D1104" t="str">
            <v>CINTURON</v>
          </cell>
          <cell r="E1104" t="str">
            <v>CINTURON MARINERO</v>
          </cell>
          <cell r="F1104" t="str">
            <v>ALGODON</v>
          </cell>
          <cell r="G1104" t="str">
            <v>NIQUEL</v>
          </cell>
          <cell r="H1104" t="str">
            <v>CHOCOLATE/NEGRO</v>
          </cell>
          <cell r="I1104" t="str">
            <v>U</v>
          </cell>
          <cell r="J1104" t="str">
            <v>H</v>
          </cell>
        </row>
        <row r="1105">
          <cell r="B1105" t="str">
            <v>MC050120301-L</v>
          </cell>
          <cell r="C1105" t="str">
            <v>CINTURON</v>
          </cell>
          <cell r="D1105" t="str">
            <v>CINTURON</v>
          </cell>
          <cell r="E1105" t="str">
            <v>CINTURON MIA</v>
          </cell>
          <cell r="F1105" t="str">
            <v>BRIDGE</v>
          </cell>
          <cell r="G1105" t="str">
            <v>NIQUEL</v>
          </cell>
          <cell r="H1105" t="str">
            <v>NEGRO</v>
          </cell>
          <cell r="I1105" t="str">
            <v>L</v>
          </cell>
          <cell r="J1105" t="str">
            <v>M</v>
          </cell>
        </row>
        <row r="1106">
          <cell r="B1106" t="str">
            <v>MC050120301-M</v>
          </cell>
          <cell r="C1106" t="str">
            <v>CINTURON</v>
          </cell>
          <cell r="D1106" t="str">
            <v>CINTURON</v>
          </cell>
          <cell r="E1106" t="str">
            <v>CINTURON MIA</v>
          </cell>
          <cell r="F1106" t="str">
            <v>BRIDGE</v>
          </cell>
          <cell r="G1106" t="str">
            <v>NIQUEL</v>
          </cell>
          <cell r="H1106" t="str">
            <v>NEGRO</v>
          </cell>
          <cell r="I1106" t="str">
            <v>M</v>
          </cell>
          <cell r="J1106" t="str">
            <v>M</v>
          </cell>
        </row>
        <row r="1107">
          <cell r="B1107" t="str">
            <v>MC050120301-S</v>
          </cell>
          <cell r="C1107" t="str">
            <v>CINTURON</v>
          </cell>
          <cell r="D1107" t="str">
            <v>CINTURON</v>
          </cell>
          <cell r="E1107" t="str">
            <v>CINTURON MIA</v>
          </cell>
          <cell r="F1107" t="str">
            <v>BRIDGE</v>
          </cell>
          <cell r="G1107" t="str">
            <v>NIQUEL</v>
          </cell>
          <cell r="H1107" t="str">
            <v>NEGRO</v>
          </cell>
          <cell r="I1107" t="str">
            <v>S</v>
          </cell>
          <cell r="J1107" t="str">
            <v>M</v>
          </cell>
        </row>
        <row r="1108">
          <cell r="B1108" t="str">
            <v>MC050120301-XS</v>
          </cell>
          <cell r="C1108" t="str">
            <v>CINTURON</v>
          </cell>
          <cell r="D1108" t="str">
            <v>CINTURON</v>
          </cell>
          <cell r="E1108" t="str">
            <v>CINTURON MIA</v>
          </cell>
          <cell r="F1108" t="str">
            <v>BRIDGE</v>
          </cell>
          <cell r="G1108" t="str">
            <v>NIQUEL</v>
          </cell>
          <cell r="H1108" t="str">
            <v>NEGRO</v>
          </cell>
          <cell r="I1108" t="str">
            <v>XS</v>
          </cell>
          <cell r="J1108" t="str">
            <v>M</v>
          </cell>
        </row>
        <row r="1109">
          <cell r="B1109" t="str">
            <v>MC050120303-L</v>
          </cell>
          <cell r="C1109" t="str">
            <v>CINTURON</v>
          </cell>
          <cell r="D1109" t="str">
            <v>CINTURON</v>
          </cell>
          <cell r="E1109" t="str">
            <v>CINTURON MIA</v>
          </cell>
          <cell r="F1109" t="str">
            <v>BRIDGE</v>
          </cell>
          <cell r="G1109" t="str">
            <v>NIQUEL</v>
          </cell>
          <cell r="H1109" t="str">
            <v>CARAMELO</v>
          </cell>
          <cell r="I1109" t="str">
            <v>L</v>
          </cell>
          <cell r="J1109" t="str">
            <v>M</v>
          </cell>
        </row>
        <row r="1110">
          <cell r="B1110" t="str">
            <v>MC050120303-M</v>
          </cell>
          <cell r="C1110" t="str">
            <v>CINTURON</v>
          </cell>
          <cell r="D1110" t="str">
            <v>CINTURON</v>
          </cell>
          <cell r="E1110" t="str">
            <v>CINTURON MIA</v>
          </cell>
          <cell r="F1110" t="str">
            <v>BRIDGE</v>
          </cell>
          <cell r="G1110" t="str">
            <v>NIQUEL</v>
          </cell>
          <cell r="H1110" t="str">
            <v>CARAMELO</v>
          </cell>
          <cell r="I1110" t="str">
            <v>M</v>
          </cell>
          <cell r="J1110" t="str">
            <v>M</v>
          </cell>
        </row>
        <row r="1111">
          <cell r="B1111" t="str">
            <v>MC050120303-S</v>
          </cell>
          <cell r="C1111" t="str">
            <v>CINTURON</v>
          </cell>
          <cell r="D1111" t="str">
            <v>CINTURON</v>
          </cell>
          <cell r="E1111" t="str">
            <v>CINTURON MIA</v>
          </cell>
          <cell r="F1111" t="str">
            <v>BRIDGE</v>
          </cell>
          <cell r="G1111" t="str">
            <v>NIQUEL</v>
          </cell>
          <cell r="H1111" t="str">
            <v>CARAMELO</v>
          </cell>
          <cell r="I1111" t="str">
            <v>S</v>
          </cell>
          <cell r="J1111" t="str">
            <v>M</v>
          </cell>
        </row>
        <row r="1112">
          <cell r="B1112" t="str">
            <v>MC050120303-XS</v>
          </cell>
          <cell r="C1112" t="str">
            <v>CINTURON</v>
          </cell>
          <cell r="D1112" t="str">
            <v>CINTURON</v>
          </cell>
          <cell r="E1112" t="str">
            <v>CINTURON MIA</v>
          </cell>
          <cell r="F1112" t="str">
            <v>BRIDGE</v>
          </cell>
          <cell r="G1112" t="str">
            <v>NIQUEL</v>
          </cell>
          <cell r="H1112" t="str">
            <v>CARAMELO</v>
          </cell>
          <cell r="I1112" t="str">
            <v>XS</v>
          </cell>
          <cell r="J1112" t="str">
            <v>M</v>
          </cell>
        </row>
        <row r="1113">
          <cell r="B1113" t="str">
            <v>MC050120304-L</v>
          </cell>
          <cell r="C1113" t="str">
            <v>CINTURON</v>
          </cell>
          <cell r="D1113" t="str">
            <v>CINTURON</v>
          </cell>
          <cell r="E1113" t="str">
            <v>CINTURON MIA</v>
          </cell>
          <cell r="F1113" t="str">
            <v>BRIDGE</v>
          </cell>
          <cell r="G1113" t="str">
            <v>NIQUEL</v>
          </cell>
          <cell r="H1113" t="str">
            <v>TABACO</v>
          </cell>
          <cell r="I1113" t="str">
            <v>L</v>
          </cell>
          <cell r="J1113" t="str">
            <v>M</v>
          </cell>
        </row>
        <row r="1114">
          <cell r="B1114" t="str">
            <v>MC050120304-M</v>
          </cell>
          <cell r="C1114" t="str">
            <v>CINTURON</v>
          </cell>
          <cell r="D1114" t="str">
            <v>CINTURON</v>
          </cell>
          <cell r="E1114" t="str">
            <v>CINTURON MIA</v>
          </cell>
          <cell r="F1114" t="str">
            <v>BRIDGE</v>
          </cell>
          <cell r="G1114" t="str">
            <v>NIQUEL</v>
          </cell>
          <cell r="H1114" t="str">
            <v>TABACO</v>
          </cell>
          <cell r="I1114" t="str">
            <v>M</v>
          </cell>
          <cell r="J1114" t="str">
            <v>M</v>
          </cell>
        </row>
        <row r="1115">
          <cell r="B1115" t="str">
            <v>MC050120304-S</v>
          </cell>
          <cell r="C1115" t="str">
            <v>CINTURON</v>
          </cell>
          <cell r="D1115" t="str">
            <v>CINTURON</v>
          </cell>
          <cell r="E1115" t="str">
            <v>CINTURON MIA</v>
          </cell>
          <cell r="F1115" t="str">
            <v>BRIDGE</v>
          </cell>
          <cell r="G1115" t="str">
            <v>NIQUEL</v>
          </cell>
          <cell r="H1115" t="str">
            <v>TABACO</v>
          </cell>
          <cell r="I1115" t="str">
            <v>S</v>
          </cell>
          <cell r="J1115" t="str">
            <v>M</v>
          </cell>
        </row>
        <row r="1116">
          <cell r="B1116" t="str">
            <v>MC050120304-XS</v>
          </cell>
          <cell r="C1116" t="str">
            <v>CINTURON</v>
          </cell>
          <cell r="D1116" t="str">
            <v>CINTURON</v>
          </cell>
          <cell r="E1116" t="str">
            <v>CINTURON MIA</v>
          </cell>
          <cell r="F1116" t="str">
            <v>BRIDGE</v>
          </cell>
          <cell r="G1116" t="str">
            <v>NIQUEL</v>
          </cell>
          <cell r="H1116" t="str">
            <v>TABACO</v>
          </cell>
          <cell r="I1116" t="str">
            <v>XS</v>
          </cell>
          <cell r="J1116" t="str">
            <v>M</v>
          </cell>
        </row>
        <row r="1117">
          <cell r="B1117" t="str">
            <v>MC050120307-L</v>
          </cell>
          <cell r="C1117" t="str">
            <v>CINTURON</v>
          </cell>
          <cell r="D1117" t="str">
            <v>CINTURON</v>
          </cell>
          <cell r="E1117" t="str">
            <v>CINTURON MIA</v>
          </cell>
          <cell r="F1117" t="str">
            <v>BRIDGE</v>
          </cell>
          <cell r="G1117" t="str">
            <v>NIQUEL</v>
          </cell>
          <cell r="H1117" t="str">
            <v>ROJO</v>
          </cell>
          <cell r="I1117" t="str">
            <v>L</v>
          </cell>
          <cell r="J1117" t="str">
            <v>M</v>
          </cell>
        </row>
        <row r="1118">
          <cell r="B1118" t="str">
            <v>MC050120307-M</v>
          </cell>
          <cell r="C1118" t="str">
            <v>CINTURON</v>
          </cell>
          <cell r="D1118" t="str">
            <v>CINTURON</v>
          </cell>
          <cell r="E1118" t="str">
            <v>CINTURON MIA</v>
          </cell>
          <cell r="F1118" t="str">
            <v>BRIDGE</v>
          </cell>
          <cell r="G1118" t="str">
            <v>NIQUEL</v>
          </cell>
          <cell r="H1118" t="str">
            <v>ROJO</v>
          </cell>
          <cell r="I1118" t="str">
            <v>M</v>
          </cell>
          <cell r="J1118" t="str">
            <v>M</v>
          </cell>
        </row>
        <row r="1119">
          <cell r="B1119" t="str">
            <v>MC050120307-S</v>
          </cell>
          <cell r="C1119" t="str">
            <v>CINTURON</v>
          </cell>
          <cell r="D1119" t="str">
            <v>CINTURON</v>
          </cell>
          <cell r="E1119" t="str">
            <v>CINTURON MIA</v>
          </cell>
          <cell r="F1119" t="str">
            <v>BRIDGE</v>
          </cell>
          <cell r="G1119" t="str">
            <v>NIQUEL</v>
          </cell>
          <cell r="H1119" t="str">
            <v>ROJO</v>
          </cell>
          <cell r="I1119" t="str">
            <v>S</v>
          </cell>
          <cell r="J1119" t="str">
            <v>M</v>
          </cell>
        </row>
        <row r="1120">
          <cell r="B1120" t="str">
            <v>MC050120307-XS</v>
          </cell>
          <cell r="C1120" t="str">
            <v>CINTURON</v>
          </cell>
          <cell r="D1120" t="str">
            <v>CINTURON</v>
          </cell>
          <cell r="E1120" t="str">
            <v>CINTURON MIA</v>
          </cell>
          <cell r="F1120" t="str">
            <v>BRIDGE</v>
          </cell>
          <cell r="G1120" t="str">
            <v>NIQUEL</v>
          </cell>
          <cell r="H1120" t="str">
            <v>ROJO</v>
          </cell>
          <cell r="I1120" t="str">
            <v>XS</v>
          </cell>
          <cell r="J1120" t="str">
            <v>M</v>
          </cell>
        </row>
        <row r="1121">
          <cell r="B1121" t="str">
            <v>MC050120309-L</v>
          </cell>
          <cell r="C1121" t="str">
            <v>CINTURON</v>
          </cell>
          <cell r="D1121" t="str">
            <v>CINTURON</v>
          </cell>
          <cell r="E1121" t="str">
            <v>CINTURON MIA</v>
          </cell>
          <cell r="F1121" t="str">
            <v>BRIDGE</v>
          </cell>
          <cell r="G1121" t="str">
            <v>NIQUEL</v>
          </cell>
          <cell r="H1121" t="str">
            <v>AZUL</v>
          </cell>
          <cell r="I1121" t="str">
            <v>L</v>
          </cell>
          <cell r="J1121" t="str">
            <v>M</v>
          </cell>
        </row>
        <row r="1122">
          <cell r="B1122" t="str">
            <v>MC050120309-M</v>
          </cell>
          <cell r="C1122" t="str">
            <v>CINTURON</v>
          </cell>
          <cell r="D1122" t="str">
            <v>CINTURON</v>
          </cell>
          <cell r="E1122" t="str">
            <v>CINTURON MIA</v>
          </cell>
          <cell r="F1122" t="str">
            <v>BRIDGE</v>
          </cell>
          <cell r="G1122" t="str">
            <v>NIQUEL</v>
          </cell>
          <cell r="H1122" t="str">
            <v>AZUL</v>
          </cell>
          <cell r="I1122" t="str">
            <v>M</v>
          </cell>
          <cell r="J1122" t="str">
            <v>M</v>
          </cell>
        </row>
        <row r="1123">
          <cell r="B1123" t="str">
            <v>MC050120309-S</v>
          </cell>
          <cell r="C1123" t="str">
            <v>CINTURON</v>
          </cell>
          <cell r="D1123" t="str">
            <v>CINTURON</v>
          </cell>
          <cell r="E1123" t="str">
            <v>CINTURON MIA</v>
          </cell>
          <cell r="F1123" t="str">
            <v>BRIDGE</v>
          </cell>
          <cell r="G1123" t="str">
            <v>NIQUEL</v>
          </cell>
          <cell r="H1123" t="str">
            <v>AZUL</v>
          </cell>
          <cell r="I1123" t="str">
            <v>S</v>
          </cell>
          <cell r="J1123" t="str">
            <v>M</v>
          </cell>
        </row>
        <row r="1124">
          <cell r="B1124" t="str">
            <v>MC050120309-XS</v>
          </cell>
          <cell r="C1124" t="str">
            <v>CINTURON</v>
          </cell>
          <cell r="D1124" t="str">
            <v>CINTURON</v>
          </cell>
          <cell r="E1124" t="str">
            <v>CINTURON MIA</v>
          </cell>
          <cell r="F1124" t="str">
            <v>BRIDGE</v>
          </cell>
          <cell r="G1124" t="str">
            <v>NIQUEL</v>
          </cell>
          <cell r="H1124" t="str">
            <v>AZUL</v>
          </cell>
          <cell r="I1124" t="str">
            <v>XS</v>
          </cell>
          <cell r="J1124" t="str">
            <v>M</v>
          </cell>
        </row>
        <row r="1125">
          <cell r="B1125" t="str">
            <v>MC050120310-L</v>
          </cell>
          <cell r="C1125" t="str">
            <v>CINTURON</v>
          </cell>
          <cell r="D1125" t="str">
            <v>CINTURON</v>
          </cell>
          <cell r="E1125" t="str">
            <v>CINTURON MIA</v>
          </cell>
          <cell r="F1125" t="str">
            <v>BRIDGE</v>
          </cell>
          <cell r="G1125" t="str">
            <v>NIQUEL</v>
          </cell>
          <cell r="H1125" t="str">
            <v>VERDE</v>
          </cell>
          <cell r="I1125" t="str">
            <v>L</v>
          </cell>
          <cell r="J1125" t="str">
            <v>M</v>
          </cell>
        </row>
        <row r="1126">
          <cell r="B1126" t="str">
            <v>MC050120310-M</v>
          </cell>
          <cell r="C1126" t="str">
            <v>CINTURON</v>
          </cell>
          <cell r="D1126" t="str">
            <v>CINTURON</v>
          </cell>
          <cell r="E1126" t="str">
            <v>CINTURON MIA</v>
          </cell>
          <cell r="F1126" t="str">
            <v>BRIDGE</v>
          </cell>
          <cell r="G1126" t="str">
            <v>NIQUEL</v>
          </cell>
          <cell r="H1126" t="str">
            <v>VERDE</v>
          </cell>
          <cell r="I1126" t="str">
            <v>M</v>
          </cell>
          <cell r="J1126" t="str">
            <v>M</v>
          </cell>
        </row>
        <row r="1127">
          <cell r="B1127" t="str">
            <v>MC050120310-S</v>
          </cell>
          <cell r="C1127" t="str">
            <v>CINTURON</v>
          </cell>
          <cell r="D1127" t="str">
            <v>CINTURON</v>
          </cell>
          <cell r="E1127" t="str">
            <v>CINTURON MIA</v>
          </cell>
          <cell r="F1127" t="str">
            <v>BRIDGE</v>
          </cell>
          <cell r="G1127" t="str">
            <v>NIQUEL</v>
          </cell>
          <cell r="H1127" t="str">
            <v>VERDE</v>
          </cell>
          <cell r="I1127" t="str">
            <v>S</v>
          </cell>
          <cell r="J1127" t="str">
            <v>M</v>
          </cell>
        </row>
        <row r="1128">
          <cell r="B1128" t="str">
            <v>MC050120310-XS</v>
          </cell>
          <cell r="C1128" t="str">
            <v>CINTURON</v>
          </cell>
          <cell r="D1128" t="str">
            <v>CINTURON</v>
          </cell>
          <cell r="E1128" t="str">
            <v>CINTURON MIA</v>
          </cell>
          <cell r="F1128" t="str">
            <v>BRIDGE</v>
          </cell>
          <cell r="G1128" t="str">
            <v>NIQUEL</v>
          </cell>
          <cell r="H1128" t="str">
            <v>VERDE</v>
          </cell>
          <cell r="I1128" t="str">
            <v>XS</v>
          </cell>
          <cell r="J1128" t="str">
            <v>M</v>
          </cell>
        </row>
        <row r="1129">
          <cell r="B1129" t="str">
            <v>MC050160909-100</v>
          </cell>
          <cell r="C1129" t="str">
            <v>CINTURON</v>
          </cell>
          <cell r="D1129" t="str">
            <v>CINTURON</v>
          </cell>
          <cell r="E1129" t="str">
            <v>CINTURON PANAMA 468</v>
          </cell>
          <cell r="F1129" t="str">
            <v>PANAMA/CUERO</v>
          </cell>
          <cell r="G1129">
            <v>0</v>
          </cell>
          <cell r="H1129" t="str">
            <v>AZUL</v>
          </cell>
          <cell r="I1129">
            <v>100</v>
          </cell>
          <cell r="J1129" t="str">
            <v>H</v>
          </cell>
        </row>
        <row r="1130">
          <cell r="B1130" t="str">
            <v>MC050160909-105</v>
          </cell>
          <cell r="C1130" t="str">
            <v>CINTURON</v>
          </cell>
          <cell r="D1130" t="str">
            <v>CINTURON</v>
          </cell>
          <cell r="E1130" t="str">
            <v>CINTURON PANAMA 468</v>
          </cell>
          <cell r="F1130" t="str">
            <v>PANAMA/CUERO</v>
          </cell>
          <cell r="G1130">
            <v>0</v>
          </cell>
          <cell r="H1130" t="str">
            <v>AZUL</v>
          </cell>
          <cell r="I1130">
            <v>105</v>
          </cell>
          <cell r="J1130" t="str">
            <v>H</v>
          </cell>
        </row>
        <row r="1131">
          <cell r="B1131" t="str">
            <v>MC050160909-110</v>
          </cell>
          <cell r="C1131" t="str">
            <v>CINTURON</v>
          </cell>
          <cell r="D1131" t="str">
            <v>CINTURON</v>
          </cell>
          <cell r="E1131" t="str">
            <v>CINTURON PANAMA 468</v>
          </cell>
          <cell r="F1131" t="str">
            <v>PANAMA/CUERO</v>
          </cell>
          <cell r="G1131">
            <v>0</v>
          </cell>
          <cell r="H1131" t="str">
            <v>AZUL</v>
          </cell>
          <cell r="I1131">
            <v>110</v>
          </cell>
          <cell r="J1131" t="str">
            <v>H</v>
          </cell>
        </row>
        <row r="1132">
          <cell r="B1132" t="str">
            <v>MC050160909-115</v>
          </cell>
          <cell r="C1132" t="str">
            <v>CINTURON</v>
          </cell>
          <cell r="D1132" t="str">
            <v>CINTURON</v>
          </cell>
          <cell r="E1132" t="str">
            <v>CINTURON PANAMA 468</v>
          </cell>
          <cell r="F1132" t="str">
            <v>PANAMA/CUERO</v>
          </cell>
          <cell r="G1132">
            <v>0</v>
          </cell>
          <cell r="H1132" t="str">
            <v>AZUL</v>
          </cell>
          <cell r="I1132">
            <v>115</v>
          </cell>
          <cell r="J1132" t="str">
            <v>H</v>
          </cell>
        </row>
        <row r="1133">
          <cell r="B1133" t="str">
            <v>MC050160909-120</v>
          </cell>
          <cell r="C1133" t="str">
            <v>CINTURON</v>
          </cell>
          <cell r="D1133" t="str">
            <v>CINTURON</v>
          </cell>
          <cell r="E1133" t="str">
            <v>CINTURON PANAMA 468</v>
          </cell>
          <cell r="F1133" t="str">
            <v>PANAMA/CUERO</v>
          </cell>
          <cell r="G1133">
            <v>0</v>
          </cell>
          <cell r="H1133" t="str">
            <v>AZUL</v>
          </cell>
          <cell r="I1133">
            <v>120</v>
          </cell>
          <cell r="J1133" t="str">
            <v>H</v>
          </cell>
        </row>
        <row r="1134">
          <cell r="B1134" t="str">
            <v>MC050160909-85</v>
          </cell>
          <cell r="C1134" t="str">
            <v>CINTURON</v>
          </cell>
          <cell r="D1134" t="str">
            <v>CINTURON</v>
          </cell>
          <cell r="E1134" t="str">
            <v>CINTURON PANAMA 468</v>
          </cell>
          <cell r="F1134" t="str">
            <v>PANAMA/CUERO</v>
          </cell>
          <cell r="G1134">
            <v>0</v>
          </cell>
          <cell r="H1134" t="str">
            <v>AZUL</v>
          </cell>
          <cell r="I1134">
            <v>85</v>
          </cell>
          <cell r="J1134" t="str">
            <v>H</v>
          </cell>
        </row>
        <row r="1135">
          <cell r="B1135" t="str">
            <v>MC050160909-90</v>
          </cell>
          <cell r="C1135" t="str">
            <v>CINTURON</v>
          </cell>
          <cell r="D1135" t="str">
            <v>CINTURON</v>
          </cell>
          <cell r="E1135" t="str">
            <v>CINTURON PANAMA 468</v>
          </cell>
          <cell r="F1135" t="str">
            <v>PANAMA/CUERO</v>
          </cell>
          <cell r="G1135">
            <v>0</v>
          </cell>
          <cell r="H1135" t="str">
            <v>AZUL</v>
          </cell>
          <cell r="I1135">
            <v>90</v>
          </cell>
          <cell r="J1135" t="str">
            <v>H</v>
          </cell>
        </row>
        <row r="1136">
          <cell r="B1136" t="str">
            <v>MC050160909-95</v>
          </cell>
          <cell r="C1136" t="str">
            <v>CINTURON</v>
          </cell>
          <cell r="D1136" t="str">
            <v>CINTURON</v>
          </cell>
          <cell r="E1136" t="str">
            <v>CINTURON PANAMA 468</v>
          </cell>
          <cell r="F1136" t="str">
            <v>PANAMA/CUERO</v>
          </cell>
          <cell r="G1136">
            <v>0</v>
          </cell>
          <cell r="H1136" t="str">
            <v>AZUL</v>
          </cell>
          <cell r="I1136">
            <v>95</v>
          </cell>
          <cell r="J1136" t="str">
            <v>H</v>
          </cell>
        </row>
        <row r="1137">
          <cell r="B1137" t="str">
            <v>MC050160910-100</v>
          </cell>
          <cell r="C1137" t="str">
            <v>CINTURON</v>
          </cell>
          <cell r="D1137" t="str">
            <v>CINTURON</v>
          </cell>
          <cell r="E1137" t="str">
            <v>CINTURON PANAMA 468</v>
          </cell>
          <cell r="F1137" t="str">
            <v>PANAMA/CUERO</v>
          </cell>
          <cell r="G1137">
            <v>0</v>
          </cell>
          <cell r="H1137" t="str">
            <v>VERDE</v>
          </cell>
          <cell r="I1137">
            <v>100</v>
          </cell>
          <cell r="J1137" t="str">
            <v>H</v>
          </cell>
        </row>
        <row r="1138">
          <cell r="B1138" t="str">
            <v>MC050160910-105</v>
          </cell>
          <cell r="C1138" t="str">
            <v>CINTURON</v>
          </cell>
          <cell r="D1138" t="str">
            <v>CINTURON</v>
          </cell>
          <cell r="E1138" t="str">
            <v>CINTURON PANAMA 468</v>
          </cell>
          <cell r="F1138" t="str">
            <v>PANAMA/CUERO</v>
          </cell>
          <cell r="G1138">
            <v>0</v>
          </cell>
          <cell r="H1138" t="str">
            <v>VERDE</v>
          </cell>
          <cell r="I1138">
            <v>105</v>
          </cell>
          <cell r="J1138" t="str">
            <v>H</v>
          </cell>
        </row>
        <row r="1139">
          <cell r="B1139" t="str">
            <v>MC050160910-110</v>
          </cell>
          <cell r="C1139" t="str">
            <v>CINTURON</v>
          </cell>
          <cell r="D1139" t="str">
            <v>CINTURON</v>
          </cell>
          <cell r="E1139" t="str">
            <v>CINTURON PANAMA 468</v>
          </cell>
          <cell r="F1139" t="str">
            <v>PANAMA/CUERO</v>
          </cell>
          <cell r="G1139">
            <v>0</v>
          </cell>
          <cell r="H1139" t="str">
            <v>VERDE</v>
          </cell>
          <cell r="I1139">
            <v>110</v>
          </cell>
          <cell r="J1139" t="str">
            <v>H</v>
          </cell>
        </row>
        <row r="1140">
          <cell r="B1140" t="str">
            <v>MC050160910-115</v>
          </cell>
          <cell r="C1140" t="str">
            <v>CINTURON</v>
          </cell>
          <cell r="D1140" t="str">
            <v>CINTURON</v>
          </cell>
          <cell r="E1140" t="str">
            <v>CINTURON PANAMA 468</v>
          </cell>
          <cell r="F1140" t="str">
            <v>PANAMA/CUERO</v>
          </cell>
          <cell r="G1140">
            <v>0</v>
          </cell>
          <cell r="H1140" t="str">
            <v>VERDE</v>
          </cell>
          <cell r="I1140">
            <v>115</v>
          </cell>
          <cell r="J1140" t="str">
            <v>H</v>
          </cell>
        </row>
        <row r="1141">
          <cell r="B1141" t="str">
            <v>MC050160910-120</v>
          </cell>
          <cell r="C1141" t="str">
            <v>CINTURON</v>
          </cell>
          <cell r="D1141" t="str">
            <v>CINTURON</v>
          </cell>
          <cell r="E1141" t="str">
            <v>CINTURON PANAMA 468</v>
          </cell>
          <cell r="F1141" t="str">
            <v>PANAMA/CUERO</v>
          </cell>
          <cell r="G1141">
            <v>0</v>
          </cell>
          <cell r="H1141" t="str">
            <v>VERDE</v>
          </cell>
          <cell r="I1141">
            <v>120</v>
          </cell>
          <cell r="J1141" t="str">
            <v>H</v>
          </cell>
        </row>
        <row r="1142">
          <cell r="B1142" t="str">
            <v>MC050160910-85</v>
          </cell>
          <cell r="C1142" t="str">
            <v>CINTURON</v>
          </cell>
          <cell r="D1142" t="str">
            <v>CINTURON</v>
          </cell>
          <cell r="E1142" t="str">
            <v>CINTURON PANAMA 468</v>
          </cell>
          <cell r="F1142" t="str">
            <v>PANAMA/CUERO</v>
          </cell>
          <cell r="G1142">
            <v>0</v>
          </cell>
          <cell r="H1142" t="str">
            <v>VERDE</v>
          </cell>
          <cell r="I1142">
            <v>85</v>
          </cell>
          <cell r="J1142" t="str">
            <v>H</v>
          </cell>
        </row>
        <row r="1143">
          <cell r="B1143" t="str">
            <v>MC050160910-90</v>
          </cell>
          <cell r="C1143" t="str">
            <v>CINTURON</v>
          </cell>
          <cell r="D1143" t="str">
            <v>CINTURON</v>
          </cell>
          <cell r="E1143" t="str">
            <v>CINTURON PANAMA 468</v>
          </cell>
          <cell r="F1143" t="str">
            <v>PANAMA/CUERO</v>
          </cell>
          <cell r="G1143">
            <v>0</v>
          </cell>
          <cell r="H1143" t="str">
            <v>VERDE</v>
          </cell>
          <cell r="I1143">
            <v>90</v>
          </cell>
          <cell r="J1143" t="str">
            <v>H</v>
          </cell>
        </row>
        <row r="1144">
          <cell r="B1144" t="str">
            <v>MC050160910-95</v>
          </cell>
          <cell r="C1144" t="str">
            <v>CINTURON</v>
          </cell>
          <cell r="D1144" t="str">
            <v>CINTURON</v>
          </cell>
          <cell r="E1144" t="str">
            <v>CINTURON PANAMA 468</v>
          </cell>
          <cell r="F1144" t="str">
            <v>PANAMA/CUERO</v>
          </cell>
          <cell r="G1144">
            <v>0</v>
          </cell>
          <cell r="H1144" t="str">
            <v>VERDE</v>
          </cell>
          <cell r="I1144">
            <v>95</v>
          </cell>
          <cell r="J1144" t="str">
            <v>H</v>
          </cell>
        </row>
        <row r="1145">
          <cell r="B1145" t="str">
            <v>MC050160921-100</v>
          </cell>
          <cell r="C1145" t="str">
            <v>CINTURON</v>
          </cell>
          <cell r="D1145" t="str">
            <v>CINTURON</v>
          </cell>
          <cell r="E1145" t="str">
            <v>CINTURON PANAMA 468</v>
          </cell>
          <cell r="F1145" t="str">
            <v>PANAMA/CUERO</v>
          </cell>
          <cell r="G1145">
            <v>0</v>
          </cell>
          <cell r="H1145" t="str">
            <v>TOSTADO</v>
          </cell>
          <cell r="I1145">
            <v>100</v>
          </cell>
          <cell r="J1145" t="str">
            <v>H</v>
          </cell>
        </row>
        <row r="1146">
          <cell r="B1146" t="str">
            <v>MC050160921-105</v>
          </cell>
          <cell r="C1146" t="str">
            <v>CINTURON</v>
          </cell>
          <cell r="D1146" t="str">
            <v>CINTURON</v>
          </cell>
          <cell r="E1146" t="str">
            <v>CINTURON PANAMA 468</v>
          </cell>
          <cell r="F1146" t="str">
            <v>PANAMA/CUERO</v>
          </cell>
          <cell r="G1146">
            <v>0</v>
          </cell>
          <cell r="H1146" t="str">
            <v>TOSTADO</v>
          </cell>
          <cell r="I1146">
            <v>105</v>
          </cell>
          <cell r="J1146" t="str">
            <v>H</v>
          </cell>
        </row>
        <row r="1147">
          <cell r="B1147" t="str">
            <v>MC050160921-110</v>
          </cell>
          <cell r="C1147" t="str">
            <v>CINTURON</v>
          </cell>
          <cell r="D1147" t="str">
            <v>CINTURON</v>
          </cell>
          <cell r="E1147" t="str">
            <v>CINTURON PANAMA 468</v>
          </cell>
          <cell r="F1147" t="str">
            <v>PANAMA/CUERO</v>
          </cell>
          <cell r="G1147">
            <v>0</v>
          </cell>
          <cell r="H1147" t="str">
            <v>TOSTADO</v>
          </cell>
          <cell r="I1147">
            <v>110</v>
          </cell>
          <cell r="J1147" t="str">
            <v>H</v>
          </cell>
        </row>
        <row r="1148">
          <cell r="B1148" t="str">
            <v>MC050160921-115</v>
          </cell>
          <cell r="C1148" t="str">
            <v>CINTURON</v>
          </cell>
          <cell r="D1148" t="str">
            <v>CINTURON</v>
          </cell>
          <cell r="E1148" t="str">
            <v>CINTURON PANAMA 468</v>
          </cell>
          <cell r="F1148" t="str">
            <v>PANAMA/CUERO</v>
          </cell>
          <cell r="G1148">
            <v>0</v>
          </cell>
          <cell r="H1148" t="str">
            <v>TOSTADO</v>
          </cell>
          <cell r="I1148">
            <v>115</v>
          </cell>
          <cell r="J1148" t="str">
            <v>H</v>
          </cell>
        </row>
        <row r="1149">
          <cell r="B1149" t="str">
            <v>MC050160921-120</v>
          </cell>
          <cell r="C1149" t="str">
            <v>CINTURON</v>
          </cell>
          <cell r="D1149" t="str">
            <v>CINTURON</v>
          </cell>
          <cell r="E1149" t="str">
            <v>CINTURON PANAMA 468</v>
          </cell>
          <cell r="F1149" t="str">
            <v>PANAMA/CUERO</v>
          </cell>
          <cell r="G1149">
            <v>0</v>
          </cell>
          <cell r="H1149" t="str">
            <v>TOSTADO</v>
          </cell>
          <cell r="I1149">
            <v>120</v>
          </cell>
          <cell r="J1149" t="str">
            <v>H</v>
          </cell>
        </row>
        <row r="1150">
          <cell r="B1150" t="str">
            <v>MC050160921-85</v>
          </cell>
          <cell r="C1150" t="str">
            <v>CINTURON</v>
          </cell>
          <cell r="D1150" t="str">
            <v>CINTURON</v>
          </cell>
          <cell r="E1150" t="str">
            <v>CINTURON PANAMA 468</v>
          </cell>
          <cell r="F1150" t="str">
            <v>PANAMA/CUERO</v>
          </cell>
          <cell r="G1150">
            <v>0</v>
          </cell>
          <cell r="H1150" t="str">
            <v>TOSTADO</v>
          </cell>
          <cell r="I1150">
            <v>85</v>
          </cell>
          <cell r="J1150" t="str">
            <v>H</v>
          </cell>
        </row>
        <row r="1151">
          <cell r="B1151" t="str">
            <v>MC050160921-90</v>
          </cell>
          <cell r="C1151" t="str">
            <v>CINTURON</v>
          </cell>
          <cell r="D1151" t="str">
            <v>CINTURON</v>
          </cell>
          <cell r="E1151" t="str">
            <v>CINTURON PANAMA 468</v>
          </cell>
          <cell r="F1151" t="str">
            <v>PANAMA/CUERO</v>
          </cell>
          <cell r="G1151">
            <v>0</v>
          </cell>
          <cell r="H1151" t="str">
            <v>TOSTADO</v>
          </cell>
          <cell r="I1151">
            <v>90</v>
          </cell>
          <cell r="J1151" t="str">
            <v>H</v>
          </cell>
        </row>
        <row r="1152">
          <cell r="B1152" t="str">
            <v>MC050160921-95</v>
          </cell>
          <cell r="C1152" t="str">
            <v>CINTURON</v>
          </cell>
          <cell r="D1152" t="str">
            <v>CINTURON</v>
          </cell>
          <cell r="E1152" t="str">
            <v>CINTURON PANAMA 468</v>
          </cell>
          <cell r="F1152" t="str">
            <v>PANAMA/CUERO</v>
          </cell>
          <cell r="G1152">
            <v>0</v>
          </cell>
          <cell r="H1152" t="str">
            <v>TOSTADO</v>
          </cell>
          <cell r="I1152">
            <v>95</v>
          </cell>
          <cell r="J1152" t="str">
            <v>H</v>
          </cell>
        </row>
        <row r="1153">
          <cell r="B1153" t="str">
            <v>MC050130309-100</v>
          </cell>
          <cell r="C1153" t="str">
            <v>CINTURON</v>
          </cell>
          <cell r="D1153" t="str">
            <v>CINTURON</v>
          </cell>
          <cell r="E1153" t="str">
            <v>CINTURON REX 508</v>
          </cell>
          <cell r="F1153" t="str">
            <v>BRIDGE</v>
          </cell>
          <cell r="G1153">
            <v>0</v>
          </cell>
          <cell r="H1153" t="str">
            <v>AZUL/MALBEC</v>
          </cell>
          <cell r="I1153">
            <v>100</v>
          </cell>
          <cell r="J1153" t="str">
            <v>H</v>
          </cell>
        </row>
        <row r="1154">
          <cell r="B1154" t="str">
            <v>MC050130309-105</v>
          </cell>
          <cell r="C1154" t="str">
            <v>CINTURON</v>
          </cell>
          <cell r="D1154" t="str">
            <v>CINTURON</v>
          </cell>
          <cell r="E1154" t="str">
            <v>CINTURON REX 508</v>
          </cell>
          <cell r="F1154" t="str">
            <v>BRIDGE</v>
          </cell>
          <cell r="G1154">
            <v>0</v>
          </cell>
          <cell r="H1154" t="str">
            <v>AZUL/MALBEC</v>
          </cell>
          <cell r="I1154">
            <v>105</v>
          </cell>
          <cell r="J1154" t="str">
            <v>H</v>
          </cell>
        </row>
        <row r="1155">
          <cell r="B1155" t="str">
            <v>MC050130309-110</v>
          </cell>
          <cell r="C1155" t="str">
            <v>CINTURON</v>
          </cell>
          <cell r="D1155" t="str">
            <v>CINTURON</v>
          </cell>
          <cell r="E1155" t="str">
            <v>CINTURON REX 508</v>
          </cell>
          <cell r="F1155" t="str">
            <v>BRIDGE</v>
          </cell>
          <cell r="G1155">
            <v>0</v>
          </cell>
          <cell r="H1155" t="str">
            <v>AZUL/MALBEC</v>
          </cell>
          <cell r="I1155">
            <v>110</v>
          </cell>
          <cell r="J1155" t="str">
            <v>H</v>
          </cell>
        </row>
        <row r="1156">
          <cell r="B1156" t="str">
            <v>MC050130309-115</v>
          </cell>
          <cell r="C1156" t="str">
            <v>CINTURON</v>
          </cell>
          <cell r="D1156" t="str">
            <v>CINTURON</v>
          </cell>
          <cell r="E1156" t="str">
            <v>CINTURON REX 508</v>
          </cell>
          <cell r="F1156" t="str">
            <v>BRIDGE</v>
          </cell>
          <cell r="G1156">
            <v>0</v>
          </cell>
          <cell r="H1156" t="str">
            <v>AZUL/MALBEC</v>
          </cell>
          <cell r="I1156">
            <v>115</v>
          </cell>
          <cell r="J1156" t="str">
            <v>H</v>
          </cell>
        </row>
        <row r="1157">
          <cell r="B1157" t="str">
            <v>MC050130309-120</v>
          </cell>
          <cell r="C1157" t="str">
            <v>CINTURON</v>
          </cell>
          <cell r="D1157" t="str">
            <v>CINTURON</v>
          </cell>
          <cell r="E1157" t="str">
            <v>CINTURON REX 508</v>
          </cell>
          <cell r="F1157" t="str">
            <v>BRIDGE</v>
          </cell>
          <cell r="G1157">
            <v>0</v>
          </cell>
          <cell r="H1157" t="str">
            <v>AZUL/MALBEC</v>
          </cell>
          <cell r="I1157">
            <v>120</v>
          </cell>
          <cell r="J1157" t="str">
            <v>H</v>
          </cell>
        </row>
        <row r="1158">
          <cell r="B1158" t="str">
            <v>MC050130309-85</v>
          </cell>
          <cell r="C1158" t="str">
            <v>CINTURON</v>
          </cell>
          <cell r="D1158" t="str">
            <v>CINTURON</v>
          </cell>
          <cell r="E1158" t="str">
            <v>CINTURON REX 508</v>
          </cell>
          <cell r="F1158" t="str">
            <v>BRIDGE</v>
          </cell>
          <cell r="G1158">
            <v>0</v>
          </cell>
          <cell r="H1158" t="str">
            <v>AZUL/MALBEC</v>
          </cell>
          <cell r="I1158">
            <v>85</v>
          </cell>
          <cell r="J1158" t="str">
            <v>H</v>
          </cell>
        </row>
        <row r="1159">
          <cell r="B1159" t="str">
            <v>MC050130309-90</v>
          </cell>
          <cell r="C1159" t="str">
            <v>CINTURON</v>
          </cell>
          <cell r="D1159" t="str">
            <v>CINTURON</v>
          </cell>
          <cell r="E1159" t="str">
            <v>CINTURON REX 508</v>
          </cell>
          <cell r="F1159" t="str">
            <v>BRIDGE</v>
          </cell>
          <cell r="G1159">
            <v>0</v>
          </cell>
          <cell r="H1159" t="str">
            <v>AZUL/MALBEC</v>
          </cell>
          <cell r="I1159">
            <v>90</v>
          </cell>
          <cell r="J1159" t="str">
            <v>H</v>
          </cell>
        </row>
        <row r="1160">
          <cell r="B1160" t="str">
            <v>MC050130309-95</v>
          </cell>
          <cell r="C1160" t="str">
            <v>CINTURON</v>
          </cell>
          <cell r="D1160" t="str">
            <v>CINTURON</v>
          </cell>
          <cell r="E1160" t="str">
            <v>CINTURON REX 508</v>
          </cell>
          <cell r="F1160" t="str">
            <v>BRIDGE</v>
          </cell>
          <cell r="G1160">
            <v>0</v>
          </cell>
          <cell r="H1160" t="str">
            <v>AZUL/MALBEC</v>
          </cell>
          <cell r="I1160">
            <v>95</v>
          </cell>
          <cell r="J1160" t="str">
            <v>H</v>
          </cell>
        </row>
        <row r="1161">
          <cell r="B1161" t="str">
            <v>MC040140101-100</v>
          </cell>
          <cell r="C1161" t="str">
            <v>CINTURON</v>
          </cell>
          <cell r="D1161" t="str">
            <v>CINTURON</v>
          </cell>
          <cell r="E1161" t="str">
            <v>CINTURON TINO</v>
          </cell>
          <cell r="F1161" t="str">
            <v>NAPADO</v>
          </cell>
          <cell r="G1161" t="str">
            <v>NIQUEL</v>
          </cell>
          <cell r="H1161" t="str">
            <v>NEGRO</v>
          </cell>
          <cell r="I1161" t="str">
            <v>U</v>
          </cell>
          <cell r="J1161" t="str">
            <v>H</v>
          </cell>
        </row>
        <row r="1162">
          <cell r="B1162" t="str">
            <v>MC040140101-105</v>
          </cell>
          <cell r="C1162" t="str">
            <v>CINTURON</v>
          </cell>
          <cell r="D1162" t="str">
            <v>CINTURON</v>
          </cell>
          <cell r="E1162" t="str">
            <v>CINTURON TINO</v>
          </cell>
          <cell r="F1162" t="str">
            <v>NAPADO</v>
          </cell>
          <cell r="G1162" t="str">
            <v>NIQUEL</v>
          </cell>
          <cell r="H1162" t="str">
            <v>NEGRO</v>
          </cell>
          <cell r="I1162" t="str">
            <v>U</v>
          </cell>
          <cell r="J1162" t="str">
            <v>H</v>
          </cell>
        </row>
        <row r="1163">
          <cell r="B1163" t="str">
            <v>MC040140101-110</v>
          </cell>
          <cell r="C1163" t="str">
            <v>CINTURON</v>
          </cell>
          <cell r="D1163" t="str">
            <v>CINTURON</v>
          </cell>
          <cell r="E1163" t="str">
            <v>CINTURON TINO</v>
          </cell>
          <cell r="F1163" t="str">
            <v>NAPADO</v>
          </cell>
          <cell r="G1163" t="str">
            <v>NIQUEL</v>
          </cell>
          <cell r="H1163" t="str">
            <v>NEGRO</v>
          </cell>
          <cell r="I1163" t="str">
            <v>U</v>
          </cell>
          <cell r="J1163" t="str">
            <v>H</v>
          </cell>
        </row>
        <row r="1164">
          <cell r="B1164" t="str">
            <v>MC040140101-115</v>
          </cell>
          <cell r="C1164" t="str">
            <v>CINTURON</v>
          </cell>
          <cell r="D1164" t="str">
            <v>CINTURON</v>
          </cell>
          <cell r="E1164" t="str">
            <v>CINTURON TINO</v>
          </cell>
          <cell r="F1164" t="str">
            <v>NAPADO</v>
          </cell>
          <cell r="G1164" t="str">
            <v>NIQUEL</v>
          </cell>
          <cell r="H1164" t="str">
            <v>NEGRO</v>
          </cell>
          <cell r="I1164" t="str">
            <v>U</v>
          </cell>
          <cell r="J1164" t="str">
            <v>H</v>
          </cell>
        </row>
        <row r="1165">
          <cell r="B1165" t="str">
            <v>MC040140101-120</v>
          </cell>
          <cell r="C1165" t="str">
            <v>CINTURON</v>
          </cell>
          <cell r="D1165" t="str">
            <v>CINTURON</v>
          </cell>
          <cell r="E1165" t="str">
            <v>CINTURON TINO</v>
          </cell>
          <cell r="F1165" t="str">
            <v>NAPADO</v>
          </cell>
          <cell r="G1165" t="str">
            <v>NIQUEL</v>
          </cell>
          <cell r="H1165" t="str">
            <v>NEGRO</v>
          </cell>
          <cell r="I1165" t="str">
            <v>U</v>
          </cell>
          <cell r="J1165" t="str">
            <v>H</v>
          </cell>
        </row>
        <row r="1166">
          <cell r="B1166" t="str">
            <v>MC040140101-85</v>
          </cell>
          <cell r="C1166" t="str">
            <v>CINTURON</v>
          </cell>
          <cell r="D1166" t="str">
            <v>CINTURON</v>
          </cell>
          <cell r="E1166" t="str">
            <v>CINTURON TINO</v>
          </cell>
          <cell r="F1166" t="str">
            <v>NAPADO</v>
          </cell>
          <cell r="G1166" t="str">
            <v>NIQUEL</v>
          </cell>
          <cell r="H1166" t="str">
            <v>NEGRO</v>
          </cell>
          <cell r="I1166" t="str">
            <v>U</v>
          </cell>
          <cell r="J1166" t="str">
            <v>H</v>
          </cell>
        </row>
        <row r="1167">
          <cell r="B1167" t="str">
            <v>MC040140101-90</v>
          </cell>
          <cell r="C1167" t="str">
            <v>CINTURON</v>
          </cell>
          <cell r="D1167" t="str">
            <v>CINTURON</v>
          </cell>
          <cell r="E1167" t="str">
            <v>CINTURON TINO</v>
          </cell>
          <cell r="F1167" t="str">
            <v>NAPADO</v>
          </cell>
          <cell r="G1167" t="str">
            <v>NIQUEL</v>
          </cell>
          <cell r="H1167" t="str">
            <v>NEGRO</v>
          </cell>
          <cell r="I1167" t="str">
            <v>U</v>
          </cell>
          <cell r="J1167" t="str">
            <v>H</v>
          </cell>
        </row>
        <row r="1168">
          <cell r="B1168" t="str">
            <v>MC040140101-95</v>
          </cell>
          <cell r="C1168" t="str">
            <v>CINTURON</v>
          </cell>
          <cell r="D1168" t="str">
            <v>CINTURON</v>
          </cell>
          <cell r="E1168" t="str">
            <v>CINTURON TINO</v>
          </cell>
          <cell r="F1168" t="str">
            <v>NAPADO</v>
          </cell>
          <cell r="G1168" t="str">
            <v>NIQUEL</v>
          </cell>
          <cell r="H1168" t="str">
            <v>NEGRO</v>
          </cell>
          <cell r="I1168" t="str">
            <v>U</v>
          </cell>
          <cell r="J1168" t="str">
            <v>H</v>
          </cell>
        </row>
        <row r="1169">
          <cell r="B1169" t="str">
            <v>MC040140102-100</v>
          </cell>
          <cell r="C1169" t="str">
            <v>CINTURON</v>
          </cell>
          <cell r="D1169" t="str">
            <v>CINTURON</v>
          </cell>
          <cell r="E1169" t="str">
            <v>CINTURON TINO</v>
          </cell>
          <cell r="F1169" t="str">
            <v>NAPADO</v>
          </cell>
          <cell r="G1169" t="str">
            <v>NIQUEL</v>
          </cell>
          <cell r="H1169" t="str">
            <v>SUELA</v>
          </cell>
          <cell r="I1169" t="str">
            <v>U</v>
          </cell>
          <cell r="J1169" t="str">
            <v>H</v>
          </cell>
        </row>
        <row r="1170">
          <cell r="B1170" t="str">
            <v>MC040140102-105</v>
          </cell>
          <cell r="C1170" t="str">
            <v>CINTURON</v>
          </cell>
          <cell r="D1170" t="str">
            <v>CINTURON</v>
          </cell>
          <cell r="E1170" t="str">
            <v>CINTURON TINO</v>
          </cell>
          <cell r="F1170" t="str">
            <v>NAPADO</v>
          </cell>
          <cell r="G1170" t="str">
            <v>NIQUEL</v>
          </cell>
          <cell r="H1170" t="str">
            <v>SUELA</v>
          </cell>
          <cell r="I1170" t="str">
            <v>U</v>
          </cell>
          <cell r="J1170" t="str">
            <v>H</v>
          </cell>
        </row>
        <row r="1171">
          <cell r="B1171" t="str">
            <v>MC040140102-110</v>
          </cell>
          <cell r="C1171" t="str">
            <v>CINTURON</v>
          </cell>
          <cell r="D1171" t="str">
            <v>CINTURON</v>
          </cell>
          <cell r="E1171" t="str">
            <v>CINTURON TINO</v>
          </cell>
          <cell r="F1171" t="str">
            <v>NAPADO</v>
          </cell>
          <cell r="G1171" t="str">
            <v>NIQUEL</v>
          </cell>
          <cell r="H1171" t="str">
            <v>SUELA</v>
          </cell>
          <cell r="I1171" t="str">
            <v>U</v>
          </cell>
          <cell r="J1171" t="str">
            <v>H</v>
          </cell>
        </row>
        <row r="1172">
          <cell r="B1172" t="str">
            <v>MC040140102-115</v>
          </cell>
          <cell r="C1172" t="str">
            <v>CINTURON</v>
          </cell>
          <cell r="D1172" t="str">
            <v>CINTURON</v>
          </cell>
          <cell r="E1172" t="str">
            <v>CINTURON TINO</v>
          </cell>
          <cell r="F1172" t="str">
            <v>NAPADO</v>
          </cell>
          <cell r="G1172" t="str">
            <v>NIQUEL</v>
          </cell>
          <cell r="H1172" t="str">
            <v>SUELA</v>
          </cell>
          <cell r="I1172" t="str">
            <v>U</v>
          </cell>
          <cell r="J1172" t="str">
            <v>H</v>
          </cell>
        </row>
        <row r="1173">
          <cell r="B1173" t="str">
            <v>MC040140102-120</v>
          </cell>
          <cell r="C1173" t="str">
            <v>CINTURON</v>
          </cell>
          <cell r="D1173" t="str">
            <v>CINTURON</v>
          </cell>
          <cell r="E1173" t="str">
            <v>CINTURON TINO</v>
          </cell>
          <cell r="F1173" t="str">
            <v>NAPADO</v>
          </cell>
          <cell r="G1173" t="str">
            <v>NIQUEL</v>
          </cell>
          <cell r="H1173" t="str">
            <v>SUELA</v>
          </cell>
          <cell r="I1173" t="str">
            <v>U</v>
          </cell>
          <cell r="J1173" t="str">
            <v>H</v>
          </cell>
        </row>
        <row r="1174">
          <cell r="B1174" t="str">
            <v>MC040140102-85</v>
          </cell>
          <cell r="C1174" t="str">
            <v>CINTURON</v>
          </cell>
          <cell r="D1174" t="str">
            <v>CINTURON</v>
          </cell>
          <cell r="E1174" t="str">
            <v>CINTURON TINO</v>
          </cell>
          <cell r="F1174" t="str">
            <v>NAPADO</v>
          </cell>
          <cell r="G1174" t="str">
            <v>NIQUEL</v>
          </cell>
          <cell r="H1174" t="str">
            <v>SUELA</v>
          </cell>
          <cell r="I1174" t="str">
            <v>U</v>
          </cell>
          <cell r="J1174" t="str">
            <v>H</v>
          </cell>
        </row>
        <row r="1175">
          <cell r="B1175" t="str">
            <v>MC040140102-90</v>
          </cell>
          <cell r="C1175" t="str">
            <v>CINTURON</v>
          </cell>
          <cell r="D1175" t="str">
            <v>CINTURON</v>
          </cell>
          <cell r="E1175" t="str">
            <v>CINTURON TINO</v>
          </cell>
          <cell r="F1175" t="str">
            <v>NAPADO</v>
          </cell>
          <cell r="G1175" t="str">
            <v>NIQUEL</v>
          </cell>
          <cell r="H1175" t="str">
            <v>SUELA</v>
          </cell>
          <cell r="I1175" t="str">
            <v>U</v>
          </cell>
          <cell r="J1175" t="str">
            <v>H</v>
          </cell>
        </row>
        <row r="1176">
          <cell r="B1176" t="str">
            <v>MC040140102-95</v>
          </cell>
          <cell r="C1176" t="str">
            <v>CINTURON</v>
          </cell>
          <cell r="D1176" t="str">
            <v>CINTURON</v>
          </cell>
          <cell r="E1176" t="str">
            <v>CINTURON TINO</v>
          </cell>
          <cell r="F1176" t="str">
            <v>NAPADO</v>
          </cell>
          <cell r="G1176" t="str">
            <v>NIQUEL</v>
          </cell>
          <cell r="H1176" t="str">
            <v>SUELA</v>
          </cell>
          <cell r="I1176" t="str">
            <v>U</v>
          </cell>
          <cell r="J1176" t="str">
            <v>H</v>
          </cell>
        </row>
        <row r="1177">
          <cell r="B1177" t="str">
            <v>MC040140103-100</v>
          </cell>
          <cell r="C1177" t="str">
            <v>CINTURON</v>
          </cell>
          <cell r="D1177" t="str">
            <v>CINTURON</v>
          </cell>
          <cell r="E1177" t="str">
            <v>CINTURON TINO</v>
          </cell>
          <cell r="F1177" t="str">
            <v>NAPADO</v>
          </cell>
          <cell r="G1177" t="str">
            <v>NIQUEL</v>
          </cell>
          <cell r="H1177" t="str">
            <v>CARAMELO</v>
          </cell>
          <cell r="I1177" t="str">
            <v>U</v>
          </cell>
          <cell r="J1177" t="str">
            <v>H</v>
          </cell>
        </row>
        <row r="1178">
          <cell r="B1178" t="str">
            <v>MC040140103-105</v>
          </cell>
          <cell r="C1178" t="str">
            <v>CINTURON</v>
          </cell>
          <cell r="D1178" t="str">
            <v>CINTURON</v>
          </cell>
          <cell r="E1178" t="str">
            <v>CINTURON TINO</v>
          </cell>
          <cell r="F1178" t="str">
            <v>NAPADO</v>
          </cell>
          <cell r="G1178" t="str">
            <v>NIQUEL</v>
          </cell>
          <cell r="H1178" t="str">
            <v>CARAMELO</v>
          </cell>
          <cell r="I1178" t="str">
            <v>U</v>
          </cell>
          <cell r="J1178" t="str">
            <v>H</v>
          </cell>
        </row>
        <row r="1179">
          <cell r="B1179" t="str">
            <v>MC040140103-110</v>
          </cell>
          <cell r="C1179" t="str">
            <v>CINTURON</v>
          </cell>
          <cell r="D1179" t="str">
            <v>CINTURON</v>
          </cell>
          <cell r="E1179" t="str">
            <v>CINTURON TINO</v>
          </cell>
          <cell r="F1179" t="str">
            <v>NAPADO</v>
          </cell>
          <cell r="G1179" t="str">
            <v>NIQUEL</v>
          </cell>
          <cell r="H1179" t="str">
            <v>CARAMELO</v>
          </cell>
          <cell r="I1179" t="str">
            <v>U</v>
          </cell>
          <cell r="J1179" t="str">
            <v>H</v>
          </cell>
        </row>
        <row r="1180">
          <cell r="B1180" t="str">
            <v>MC040140103-115</v>
          </cell>
          <cell r="C1180" t="str">
            <v>CINTURON</v>
          </cell>
          <cell r="D1180" t="str">
            <v>CINTURON</v>
          </cell>
          <cell r="E1180" t="str">
            <v>CINTURON TINO</v>
          </cell>
          <cell r="F1180" t="str">
            <v>NAPADO</v>
          </cell>
          <cell r="G1180" t="str">
            <v>NIQUEL</v>
          </cell>
          <cell r="H1180" t="str">
            <v>CARAMELO</v>
          </cell>
          <cell r="I1180" t="str">
            <v>U</v>
          </cell>
          <cell r="J1180" t="str">
            <v>H</v>
          </cell>
        </row>
        <row r="1181">
          <cell r="B1181" t="str">
            <v>MC040140103-120</v>
          </cell>
          <cell r="C1181" t="str">
            <v>CINTURON</v>
          </cell>
          <cell r="D1181" t="str">
            <v>CINTURON</v>
          </cell>
          <cell r="E1181" t="str">
            <v>CINTURON TINO</v>
          </cell>
          <cell r="F1181" t="str">
            <v>NAPADO</v>
          </cell>
          <cell r="G1181" t="str">
            <v>NIQUEL</v>
          </cell>
          <cell r="H1181" t="str">
            <v>CARAMELO</v>
          </cell>
          <cell r="I1181" t="str">
            <v>U</v>
          </cell>
          <cell r="J1181" t="str">
            <v>H</v>
          </cell>
        </row>
        <row r="1182">
          <cell r="B1182" t="str">
            <v>MC040140103-85</v>
          </cell>
          <cell r="C1182" t="str">
            <v>CINTURON</v>
          </cell>
          <cell r="D1182" t="str">
            <v>CINTURON</v>
          </cell>
          <cell r="E1182" t="str">
            <v>CINTURON TINO</v>
          </cell>
          <cell r="F1182" t="str">
            <v>NAPADO</v>
          </cell>
          <cell r="G1182" t="str">
            <v>NIQUEL</v>
          </cell>
          <cell r="H1182" t="str">
            <v>CARAMELO</v>
          </cell>
          <cell r="I1182" t="str">
            <v>U</v>
          </cell>
          <cell r="J1182" t="str">
            <v>H</v>
          </cell>
        </row>
        <row r="1183">
          <cell r="B1183" t="str">
            <v>MC040140103-90</v>
          </cell>
          <cell r="C1183" t="str">
            <v>CINTURON</v>
          </cell>
          <cell r="D1183" t="str">
            <v>CINTURON</v>
          </cell>
          <cell r="E1183" t="str">
            <v>CINTURON TINO</v>
          </cell>
          <cell r="F1183" t="str">
            <v>NAPADO</v>
          </cell>
          <cell r="G1183" t="str">
            <v>NIQUEL</v>
          </cell>
          <cell r="H1183" t="str">
            <v>CARAMELO</v>
          </cell>
          <cell r="I1183" t="str">
            <v>U</v>
          </cell>
          <cell r="J1183" t="str">
            <v>H</v>
          </cell>
        </row>
        <row r="1184">
          <cell r="B1184" t="str">
            <v>MC040140103-95</v>
          </cell>
          <cell r="C1184" t="str">
            <v>CINTURON</v>
          </cell>
          <cell r="D1184" t="str">
            <v>CINTURON</v>
          </cell>
          <cell r="E1184" t="str">
            <v>CINTURON TINO</v>
          </cell>
          <cell r="F1184" t="str">
            <v>NAPADO</v>
          </cell>
          <cell r="G1184" t="str">
            <v>NIQUEL</v>
          </cell>
          <cell r="H1184" t="str">
            <v>CARAMELO</v>
          </cell>
          <cell r="I1184" t="str">
            <v>U</v>
          </cell>
          <cell r="J1184" t="str">
            <v>H</v>
          </cell>
        </row>
        <row r="1185">
          <cell r="B1185" t="str">
            <v>MC050090103-100</v>
          </cell>
          <cell r="C1185" t="str">
            <v>CINTURON</v>
          </cell>
          <cell r="D1185" t="str">
            <v>CINTURON</v>
          </cell>
          <cell r="E1185" t="str">
            <v>CINTURON TRENZADO 431</v>
          </cell>
          <cell r="F1185" t="str">
            <v>NAPADO</v>
          </cell>
          <cell r="G1185" t="str">
            <v>NIQUEL</v>
          </cell>
          <cell r="H1185" t="str">
            <v>CARAMELO</v>
          </cell>
          <cell r="I1185">
            <v>100</v>
          </cell>
          <cell r="J1185" t="str">
            <v>M</v>
          </cell>
        </row>
        <row r="1186">
          <cell r="B1186" t="str">
            <v>MC050090103-105</v>
          </cell>
          <cell r="C1186" t="str">
            <v>CINTURON</v>
          </cell>
          <cell r="D1186" t="str">
            <v>CINTURON</v>
          </cell>
          <cell r="E1186" t="str">
            <v>CINTURON TRENZADO 431</v>
          </cell>
          <cell r="F1186" t="str">
            <v>NAPADO</v>
          </cell>
          <cell r="G1186" t="str">
            <v>NIQUEL</v>
          </cell>
          <cell r="H1186" t="str">
            <v>CARAMELO</v>
          </cell>
          <cell r="I1186">
            <v>105</v>
          </cell>
          <cell r="J1186" t="str">
            <v>M</v>
          </cell>
        </row>
        <row r="1187">
          <cell r="B1187" t="str">
            <v>MC050090103-110</v>
          </cell>
          <cell r="C1187" t="str">
            <v>CINTURON</v>
          </cell>
          <cell r="D1187" t="str">
            <v>CINTURON</v>
          </cell>
          <cell r="E1187" t="str">
            <v>CINTURON TRENZADO 431</v>
          </cell>
          <cell r="F1187" t="str">
            <v>NAPADO</v>
          </cell>
          <cell r="G1187" t="str">
            <v>NIQUEL</v>
          </cell>
          <cell r="H1187" t="str">
            <v>CARAMELO</v>
          </cell>
          <cell r="I1187">
            <v>110</v>
          </cell>
          <cell r="J1187" t="str">
            <v>M</v>
          </cell>
        </row>
        <row r="1188">
          <cell r="B1188" t="str">
            <v>MC050090103-115</v>
          </cell>
          <cell r="C1188" t="str">
            <v>CINTURON</v>
          </cell>
          <cell r="D1188" t="str">
            <v>CINTURON</v>
          </cell>
          <cell r="E1188" t="str">
            <v>CINTURON TRENZADO 431</v>
          </cell>
          <cell r="F1188" t="str">
            <v>NAPADO</v>
          </cell>
          <cell r="G1188" t="str">
            <v>NIQUEL</v>
          </cell>
          <cell r="H1188" t="str">
            <v>CARAMELO</v>
          </cell>
          <cell r="I1188">
            <v>115</v>
          </cell>
          <cell r="J1188" t="str">
            <v>M</v>
          </cell>
        </row>
        <row r="1189">
          <cell r="B1189" t="str">
            <v>MC050090103-120</v>
          </cell>
          <cell r="C1189" t="str">
            <v>CINTURON</v>
          </cell>
          <cell r="D1189" t="str">
            <v>CINTURON</v>
          </cell>
          <cell r="E1189" t="str">
            <v>CINTURON TRENZADO 431</v>
          </cell>
          <cell r="F1189" t="str">
            <v>NAPADO</v>
          </cell>
          <cell r="G1189" t="str">
            <v>NIQUEL</v>
          </cell>
          <cell r="H1189" t="str">
            <v>CARAMELO</v>
          </cell>
          <cell r="I1189">
            <v>120</v>
          </cell>
          <cell r="J1189" t="str">
            <v>M</v>
          </cell>
        </row>
        <row r="1190">
          <cell r="B1190" t="str">
            <v>MC050090103-85</v>
          </cell>
          <cell r="C1190" t="str">
            <v>CINTURON</v>
          </cell>
          <cell r="D1190" t="str">
            <v>CINTURON</v>
          </cell>
          <cell r="E1190" t="str">
            <v>CINTURON TRENZADO 431</v>
          </cell>
          <cell r="F1190" t="str">
            <v>NAPADO</v>
          </cell>
          <cell r="G1190" t="str">
            <v>NIQUEL</v>
          </cell>
          <cell r="H1190" t="str">
            <v>CARAMELO</v>
          </cell>
          <cell r="I1190">
            <v>85</v>
          </cell>
          <cell r="J1190" t="str">
            <v>M</v>
          </cell>
        </row>
        <row r="1191">
          <cell r="B1191" t="str">
            <v>MC050090103-90</v>
          </cell>
          <cell r="C1191" t="str">
            <v>CINTURON</v>
          </cell>
          <cell r="D1191" t="str">
            <v>CINTURON</v>
          </cell>
          <cell r="E1191" t="str">
            <v>CINTURON TRENZADO 431</v>
          </cell>
          <cell r="F1191" t="str">
            <v>NAPADO</v>
          </cell>
          <cell r="G1191" t="str">
            <v>NIQUEL</v>
          </cell>
          <cell r="H1191" t="str">
            <v>CARAMELO</v>
          </cell>
          <cell r="I1191">
            <v>90</v>
          </cell>
          <cell r="J1191" t="str">
            <v>M</v>
          </cell>
        </row>
        <row r="1192">
          <cell r="B1192" t="str">
            <v>MC050090103-95</v>
          </cell>
          <cell r="C1192" t="str">
            <v>CINTURON</v>
          </cell>
          <cell r="D1192" t="str">
            <v>CINTURON</v>
          </cell>
          <cell r="E1192" t="str">
            <v>CINTURON TRENZADO 431</v>
          </cell>
          <cell r="F1192" t="str">
            <v>NAPADO</v>
          </cell>
          <cell r="G1192" t="str">
            <v>NIQUEL</v>
          </cell>
          <cell r="H1192" t="str">
            <v>CARAMELO</v>
          </cell>
          <cell r="I1192">
            <v>95</v>
          </cell>
          <cell r="J1192" t="str">
            <v>M</v>
          </cell>
        </row>
        <row r="1193">
          <cell r="B1193" t="str">
            <v>MC010030402-100</v>
          </cell>
          <cell r="C1193" t="str">
            <v>CINTURON</v>
          </cell>
          <cell r="D1193" t="str">
            <v>CINTURON</v>
          </cell>
          <cell r="E1193" t="str">
            <v>CINTURON VAQUETA</v>
          </cell>
          <cell r="F1193" t="str">
            <v>VAQUETA</v>
          </cell>
          <cell r="G1193" t="str">
            <v>NIQUEL</v>
          </cell>
          <cell r="H1193" t="str">
            <v>SUELA</v>
          </cell>
          <cell r="I1193" t="str">
            <v>U</v>
          </cell>
          <cell r="J1193" t="str">
            <v>H</v>
          </cell>
        </row>
        <row r="1194">
          <cell r="B1194" t="str">
            <v>MC010030402-105</v>
          </cell>
          <cell r="C1194" t="str">
            <v>CINTURON</v>
          </cell>
          <cell r="D1194" t="str">
            <v>CINTURON</v>
          </cell>
          <cell r="E1194" t="str">
            <v>CINTURON VAQUETA</v>
          </cell>
          <cell r="F1194" t="str">
            <v>VAQUETA</v>
          </cell>
          <cell r="G1194" t="str">
            <v>NIQUEL</v>
          </cell>
          <cell r="H1194" t="str">
            <v>SUELA</v>
          </cell>
          <cell r="I1194" t="str">
            <v>U</v>
          </cell>
          <cell r="J1194" t="str">
            <v>H</v>
          </cell>
        </row>
        <row r="1195">
          <cell r="B1195" t="str">
            <v>MC010030402-110</v>
          </cell>
          <cell r="C1195" t="str">
            <v>CINTURON</v>
          </cell>
          <cell r="D1195" t="str">
            <v>CINTURON</v>
          </cell>
          <cell r="E1195" t="str">
            <v>CINTURON VAQUETA</v>
          </cell>
          <cell r="F1195" t="str">
            <v>VAQUETA</v>
          </cell>
          <cell r="G1195" t="str">
            <v>NIQUEL</v>
          </cell>
          <cell r="H1195" t="str">
            <v>SUELA</v>
          </cell>
          <cell r="I1195" t="str">
            <v>U</v>
          </cell>
          <cell r="J1195" t="str">
            <v>H</v>
          </cell>
        </row>
        <row r="1196">
          <cell r="B1196" t="str">
            <v>MC010030402-115</v>
          </cell>
          <cell r="C1196" t="str">
            <v>CINTURON</v>
          </cell>
          <cell r="D1196" t="str">
            <v>CINTURON</v>
          </cell>
          <cell r="E1196" t="str">
            <v>CINTURON VAQUETA</v>
          </cell>
          <cell r="F1196" t="str">
            <v>VAQUETA</v>
          </cell>
          <cell r="G1196" t="str">
            <v>NIQUEL</v>
          </cell>
          <cell r="H1196" t="str">
            <v>SUELA</v>
          </cell>
          <cell r="I1196" t="str">
            <v>U</v>
          </cell>
          <cell r="J1196" t="str">
            <v>H</v>
          </cell>
        </row>
        <row r="1197">
          <cell r="B1197" t="str">
            <v>MC010030402-120</v>
          </cell>
          <cell r="C1197" t="str">
            <v>CINTURON</v>
          </cell>
          <cell r="D1197" t="str">
            <v>CINTURON</v>
          </cell>
          <cell r="E1197" t="str">
            <v>CINTURON VAQUETA</v>
          </cell>
          <cell r="F1197" t="str">
            <v>VAQUETA</v>
          </cell>
          <cell r="G1197" t="str">
            <v>NIQUEL</v>
          </cell>
          <cell r="H1197" t="str">
            <v>SUELA</v>
          </cell>
          <cell r="I1197" t="str">
            <v>U</v>
          </cell>
          <cell r="J1197" t="str">
            <v>H</v>
          </cell>
        </row>
        <row r="1198">
          <cell r="B1198" t="str">
            <v>MC010030402-85</v>
          </cell>
          <cell r="C1198" t="str">
            <v>CINTURON</v>
          </cell>
          <cell r="D1198" t="str">
            <v>CINTURON</v>
          </cell>
          <cell r="E1198" t="str">
            <v>CINTURON VAQUETA</v>
          </cell>
          <cell r="F1198" t="str">
            <v>VAQUETA</v>
          </cell>
          <cell r="G1198" t="str">
            <v>NIQUEL</v>
          </cell>
          <cell r="H1198" t="str">
            <v>SUELA</v>
          </cell>
          <cell r="I1198" t="str">
            <v>U</v>
          </cell>
          <cell r="J1198" t="str">
            <v>H</v>
          </cell>
        </row>
        <row r="1199">
          <cell r="B1199" t="str">
            <v>MC010030402-90</v>
          </cell>
          <cell r="C1199" t="str">
            <v>CINTURON</v>
          </cell>
          <cell r="D1199" t="str">
            <v>CINTURON</v>
          </cell>
          <cell r="E1199" t="str">
            <v>CINTURON VAQUETA</v>
          </cell>
          <cell r="F1199" t="str">
            <v>VAQUETA</v>
          </cell>
          <cell r="G1199" t="str">
            <v>NIQUEL</v>
          </cell>
          <cell r="H1199" t="str">
            <v>SUELA</v>
          </cell>
          <cell r="I1199" t="str">
            <v>U</v>
          </cell>
          <cell r="J1199" t="str">
            <v>H</v>
          </cell>
        </row>
        <row r="1200">
          <cell r="B1200" t="str">
            <v>MC010030402-95</v>
          </cell>
          <cell r="C1200" t="str">
            <v>CINTURON</v>
          </cell>
          <cell r="D1200" t="str">
            <v>CINTURON</v>
          </cell>
          <cell r="E1200" t="str">
            <v>CINTURON VAQUETA</v>
          </cell>
          <cell r="F1200" t="str">
            <v>VAQUETA</v>
          </cell>
          <cell r="G1200" t="str">
            <v>NIQUEL</v>
          </cell>
          <cell r="H1200" t="str">
            <v>SUELA</v>
          </cell>
          <cell r="I1200" t="str">
            <v>U</v>
          </cell>
          <cell r="J1200" t="str">
            <v>H</v>
          </cell>
        </row>
        <row r="1201">
          <cell r="B1201" t="str">
            <v>MC010040402-100</v>
          </cell>
          <cell r="C1201" t="str">
            <v>CINTURON</v>
          </cell>
          <cell r="D1201" t="str">
            <v>CINTURON</v>
          </cell>
          <cell r="E1201" t="str">
            <v>CINTURON VAQUETA</v>
          </cell>
          <cell r="F1201" t="str">
            <v>VAQUETA</v>
          </cell>
          <cell r="G1201" t="str">
            <v>BRONCE</v>
          </cell>
          <cell r="H1201" t="str">
            <v>SUELA</v>
          </cell>
          <cell r="I1201" t="str">
            <v>U</v>
          </cell>
          <cell r="J1201" t="str">
            <v>H</v>
          </cell>
        </row>
        <row r="1202">
          <cell r="B1202" t="str">
            <v>MC010040402-105</v>
          </cell>
          <cell r="C1202" t="str">
            <v>CINTURON</v>
          </cell>
          <cell r="D1202" t="str">
            <v>CINTURON</v>
          </cell>
          <cell r="E1202" t="str">
            <v>CINTURON VAQUETA</v>
          </cell>
          <cell r="F1202" t="str">
            <v>VAQUETA</v>
          </cell>
          <cell r="G1202" t="str">
            <v>BRONCE</v>
          </cell>
          <cell r="H1202" t="str">
            <v>SUELA</v>
          </cell>
          <cell r="I1202" t="str">
            <v>U</v>
          </cell>
          <cell r="J1202" t="str">
            <v>H</v>
          </cell>
        </row>
        <row r="1203">
          <cell r="B1203" t="str">
            <v>MC010040402-110</v>
          </cell>
          <cell r="C1203" t="str">
            <v>CINTURON</v>
          </cell>
          <cell r="D1203" t="str">
            <v>CINTURON</v>
          </cell>
          <cell r="E1203" t="str">
            <v>CINTURON VAQUETA</v>
          </cell>
          <cell r="F1203" t="str">
            <v>VAQUETA</v>
          </cell>
          <cell r="G1203" t="str">
            <v>BRONCE</v>
          </cell>
          <cell r="H1203" t="str">
            <v>SUELA</v>
          </cell>
          <cell r="I1203" t="str">
            <v>U</v>
          </cell>
          <cell r="J1203" t="str">
            <v>H</v>
          </cell>
        </row>
        <row r="1204">
          <cell r="B1204" t="str">
            <v>MC010040402-85</v>
          </cell>
          <cell r="C1204" t="str">
            <v>CINTURON</v>
          </cell>
          <cell r="D1204" t="str">
            <v>CINTURON</v>
          </cell>
          <cell r="E1204" t="str">
            <v>CINTURON VAQUETA</v>
          </cell>
          <cell r="F1204" t="str">
            <v>VAQUETA</v>
          </cell>
          <cell r="G1204" t="str">
            <v>BRONCE</v>
          </cell>
          <cell r="H1204" t="str">
            <v>SUELA</v>
          </cell>
          <cell r="I1204" t="str">
            <v>U</v>
          </cell>
          <cell r="J1204" t="str">
            <v>H</v>
          </cell>
        </row>
        <row r="1205">
          <cell r="B1205" t="str">
            <v>MC010040402-90</v>
          </cell>
          <cell r="C1205" t="str">
            <v>CINTURON</v>
          </cell>
          <cell r="D1205" t="str">
            <v>CINTURON</v>
          </cell>
          <cell r="E1205" t="str">
            <v>CINTURON VAQUETA</v>
          </cell>
          <cell r="F1205" t="str">
            <v>VAQUETA</v>
          </cell>
          <cell r="G1205" t="str">
            <v>BRONCE</v>
          </cell>
          <cell r="H1205" t="str">
            <v>SUELA</v>
          </cell>
          <cell r="I1205" t="str">
            <v>U</v>
          </cell>
          <cell r="J1205" t="str">
            <v>H</v>
          </cell>
        </row>
        <row r="1206">
          <cell r="B1206" t="str">
            <v>MC010040402-95</v>
          </cell>
          <cell r="C1206" t="str">
            <v>CINTURON</v>
          </cell>
          <cell r="D1206" t="str">
            <v>CINTURON</v>
          </cell>
          <cell r="E1206" t="str">
            <v>CINTURON VAQUETA</v>
          </cell>
          <cell r="F1206" t="str">
            <v>VAQUETA</v>
          </cell>
          <cell r="G1206" t="str">
            <v>BRONCE</v>
          </cell>
          <cell r="H1206" t="str">
            <v>SUELA</v>
          </cell>
          <cell r="I1206" t="str">
            <v>U</v>
          </cell>
          <cell r="J1206" t="str">
            <v>H</v>
          </cell>
        </row>
        <row r="1207">
          <cell r="B1207" t="str">
            <v>MC010060401-100</v>
          </cell>
          <cell r="C1207" t="str">
            <v>CINTURON</v>
          </cell>
          <cell r="D1207" t="str">
            <v>CINTURON</v>
          </cell>
          <cell r="E1207" t="str">
            <v>CINTURON VAQUETA</v>
          </cell>
          <cell r="F1207" t="str">
            <v>VAQUETA</v>
          </cell>
          <cell r="G1207" t="str">
            <v>NIQUEL</v>
          </cell>
          <cell r="H1207" t="str">
            <v>NEGRO</v>
          </cell>
          <cell r="I1207" t="str">
            <v>U</v>
          </cell>
          <cell r="J1207" t="str">
            <v>H</v>
          </cell>
        </row>
        <row r="1208">
          <cell r="B1208" t="str">
            <v>MC010060401-105</v>
          </cell>
          <cell r="C1208" t="str">
            <v>CINTURON</v>
          </cell>
          <cell r="D1208" t="str">
            <v>CINTURON</v>
          </cell>
          <cell r="E1208" t="str">
            <v>CINTURON VAQUETA</v>
          </cell>
          <cell r="F1208" t="str">
            <v>VAQUETA</v>
          </cell>
          <cell r="G1208" t="str">
            <v>NIQUEL</v>
          </cell>
          <cell r="H1208" t="str">
            <v>NEGRO</v>
          </cell>
          <cell r="I1208" t="str">
            <v>U</v>
          </cell>
          <cell r="J1208" t="str">
            <v>H</v>
          </cell>
        </row>
        <row r="1209">
          <cell r="B1209" t="str">
            <v>MC010060401-110</v>
          </cell>
          <cell r="C1209" t="str">
            <v>CINTURON</v>
          </cell>
          <cell r="D1209" t="str">
            <v>CINTURON</v>
          </cell>
          <cell r="E1209" t="str">
            <v>CINTURON VAQUETA</v>
          </cell>
          <cell r="F1209" t="str">
            <v>VAQUETA</v>
          </cell>
          <cell r="G1209" t="str">
            <v>NIQUEL</v>
          </cell>
          <cell r="H1209" t="str">
            <v>NEGRO</v>
          </cell>
          <cell r="I1209" t="str">
            <v>U</v>
          </cell>
          <cell r="J1209" t="str">
            <v>H</v>
          </cell>
        </row>
        <row r="1210">
          <cell r="B1210" t="str">
            <v>MC010060401-115</v>
          </cell>
          <cell r="C1210" t="str">
            <v>CINTURON</v>
          </cell>
          <cell r="D1210" t="str">
            <v>CINTURON</v>
          </cell>
          <cell r="E1210" t="str">
            <v>CINTURON VAQUETA</v>
          </cell>
          <cell r="F1210" t="str">
            <v>VAQUETA</v>
          </cell>
          <cell r="G1210" t="str">
            <v>NIQUEL</v>
          </cell>
          <cell r="H1210" t="str">
            <v>NEGRO</v>
          </cell>
          <cell r="I1210" t="str">
            <v>U</v>
          </cell>
          <cell r="J1210" t="str">
            <v>H</v>
          </cell>
        </row>
        <row r="1211">
          <cell r="B1211" t="str">
            <v>MC010060401-120</v>
          </cell>
          <cell r="C1211" t="str">
            <v>CINTURON</v>
          </cell>
          <cell r="D1211" t="str">
            <v>CINTURON</v>
          </cell>
          <cell r="E1211" t="str">
            <v>CINTURON VAQUETA</v>
          </cell>
          <cell r="F1211" t="str">
            <v>VAQUETA</v>
          </cell>
          <cell r="G1211" t="str">
            <v>NIQUEL</v>
          </cell>
          <cell r="H1211" t="str">
            <v>NEGRO</v>
          </cell>
          <cell r="I1211" t="str">
            <v>U</v>
          </cell>
          <cell r="J1211" t="str">
            <v>H</v>
          </cell>
        </row>
        <row r="1212">
          <cell r="B1212" t="str">
            <v>MC010060401-85</v>
          </cell>
          <cell r="C1212" t="str">
            <v>CINTURON</v>
          </cell>
          <cell r="D1212" t="str">
            <v>CINTURON</v>
          </cell>
          <cell r="E1212" t="str">
            <v>CINTURON VAQUETA</v>
          </cell>
          <cell r="F1212" t="str">
            <v>VAQUETA</v>
          </cell>
          <cell r="G1212" t="str">
            <v>NIQUEL</v>
          </cell>
          <cell r="H1212" t="str">
            <v>NEGRO</v>
          </cell>
          <cell r="I1212" t="str">
            <v>U</v>
          </cell>
          <cell r="J1212" t="str">
            <v>H</v>
          </cell>
        </row>
        <row r="1213">
          <cell r="B1213" t="str">
            <v>MC010060401-90</v>
          </cell>
          <cell r="C1213" t="str">
            <v>CINTURON</v>
          </cell>
          <cell r="D1213" t="str">
            <v>CINTURON</v>
          </cell>
          <cell r="E1213" t="str">
            <v>CINTURON VAQUETA</v>
          </cell>
          <cell r="F1213" t="str">
            <v>VAQUETA</v>
          </cell>
          <cell r="G1213" t="str">
            <v>NIQUEL</v>
          </cell>
          <cell r="H1213" t="str">
            <v>NEGRO</v>
          </cell>
          <cell r="I1213" t="str">
            <v>U</v>
          </cell>
          <cell r="J1213" t="str">
            <v>H</v>
          </cell>
        </row>
        <row r="1214">
          <cell r="B1214" t="str">
            <v>MC010060401-95</v>
          </cell>
          <cell r="C1214" t="str">
            <v>CINTURON</v>
          </cell>
          <cell r="D1214" t="str">
            <v>CINTURON</v>
          </cell>
          <cell r="E1214" t="str">
            <v>CINTURON VAQUETA</v>
          </cell>
          <cell r="F1214" t="str">
            <v>VAQUETA</v>
          </cell>
          <cell r="G1214" t="str">
            <v>NIQUEL</v>
          </cell>
          <cell r="H1214" t="str">
            <v>NEGRO</v>
          </cell>
          <cell r="I1214" t="str">
            <v>U</v>
          </cell>
          <cell r="J1214" t="str">
            <v>H</v>
          </cell>
        </row>
        <row r="1215">
          <cell r="B1215" t="str">
            <v>MC010070401-85</v>
          </cell>
          <cell r="C1215" t="str">
            <v>CINTURON</v>
          </cell>
          <cell r="D1215" t="str">
            <v>CINTURON</v>
          </cell>
          <cell r="E1215" t="str">
            <v>CINTURON VAQUETA</v>
          </cell>
          <cell r="F1215" t="str">
            <v>VAQUETA</v>
          </cell>
          <cell r="G1215" t="str">
            <v>PELTRE</v>
          </cell>
          <cell r="H1215" t="str">
            <v>NEGRO</v>
          </cell>
          <cell r="I1215" t="str">
            <v>U</v>
          </cell>
          <cell r="J1215" t="str">
            <v>H</v>
          </cell>
        </row>
        <row r="1216">
          <cell r="B1216" t="str">
            <v>MC010070401-90</v>
          </cell>
          <cell r="C1216" t="str">
            <v>CINTURON</v>
          </cell>
          <cell r="D1216" t="str">
            <v>CINTURON</v>
          </cell>
          <cell r="E1216" t="str">
            <v>CINTURON VAQUETA</v>
          </cell>
          <cell r="F1216" t="str">
            <v>VAQUETA</v>
          </cell>
          <cell r="G1216" t="str">
            <v>PELTRE</v>
          </cell>
          <cell r="H1216" t="str">
            <v>NEGRO</v>
          </cell>
          <cell r="I1216" t="str">
            <v>U</v>
          </cell>
          <cell r="J1216" t="str">
            <v>H</v>
          </cell>
        </row>
        <row r="1217">
          <cell r="B1217" t="str">
            <v>MC010070402-100</v>
          </cell>
          <cell r="C1217" t="str">
            <v>CINTURON</v>
          </cell>
          <cell r="D1217" t="str">
            <v>CINTURON</v>
          </cell>
          <cell r="E1217" t="str">
            <v>CINTURON VAQUETA</v>
          </cell>
          <cell r="F1217" t="str">
            <v>VAQUETA</v>
          </cell>
          <cell r="G1217" t="str">
            <v>PELTRE</v>
          </cell>
          <cell r="H1217" t="str">
            <v>SUELA</v>
          </cell>
          <cell r="I1217" t="str">
            <v>U</v>
          </cell>
          <cell r="J1217" t="str">
            <v>H</v>
          </cell>
        </row>
        <row r="1218">
          <cell r="B1218" t="str">
            <v>MC010070402-90</v>
          </cell>
          <cell r="C1218" t="str">
            <v>CINTURON</v>
          </cell>
          <cell r="D1218" t="str">
            <v>CINTURON</v>
          </cell>
          <cell r="E1218" t="str">
            <v>CINTURON VAQUETA</v>
          </cell>
          <cell r="F1218" t="str">
            <v>VAQUETA</v>
          </cell>
          <cell r="G1218" t="str">
            <v>PELTRE</v>
          </cell>
          <cell r="H1218" t="str">
            <v>SUELA</v>
          </cell>
          <cell r="I1218" t="str">
            <v>U</v>
          </cell>
          <cell r="J1218" t="str">
            <v>H</v>
          </cell>
        </row>
        <row r="1219">
          <cell r="B1219" t="str">
            <v>MC010070402-95</v>
          </cell>
          <cell r="C1219" t="str">
            <v>CINTURON</v>
          </cell>
          <cell r="D1219" t="str">
            <v>CINTURON</v>
          </cell>
          <cell r="E1219" t="str">
            <v>CINTURON VAQUETA</v>
          </cell>
          <cell r="F1219" t="str">
            <v>VAQUETA</v>
          </cell>
          <cell r="G1219" t="str">
            <v>PELTRE</v>
          </cell>
          <cell r="H1219" t="str">
            <v>SUELA</v>
          </cell>
          <cell r="I1219" t="str">
            <v>U</v>
          </cell>
          <cell r="J1219" t="str">
            <v>H</v>
          </cell>
        </row>
        <row r="1220">
          <cell r="B1220" t="str">
            <v>MC010080401-105</v>
          </cell>
          <cell r="C1220" t="str">
            <v>CINTURON</v>
          </cell>
          <cell r="D1220" t="str">
            <v>CINTURON</v>
          </cell>
          <cell r="E1220" t="str">
            <v>CINTURON VAQUETA</v>
          </cell>
          <cell r="F1220" t="str">
            <v>VAQUETA</v>
          </cell>
          <cell r="G1220" t="str">
            <v>BRONCE</v>
          </cell>
          <cell r="H1220" t="str">
            <v>NEGRO</v>
          </cell>
          <cell r="I1220" t="str">
            <v>U</v>
          </cell>
          <cell r="J1220" t="str">
            <v>H</v>
          </cell>
        </row>
        <row r="1221">
          <cell r="B1221" t="str">
            <v>MC010080401-110</v>
          </cell>
          <cell r="C1221" t="str">
            <v>CINTURON</v>
          </cell>
          <cell r="D1221" t="str">
            <v>CINTURON</v>
          </cell>
          <cell r="E1221" t="str">
            <v>CINTURON VAQUETA</v>
          </cell>
          <cell r="F1221" t="str">
            <v>VAQUETA</v>
          </cell>
          <cell r="G1221" t="str">
            <v>BRONCE</v>
          </cell>
          <cell r="H1221" t="str">
            <v>NEGRO</v>
          </cell>
          <cell r="I1221" t="str">
            <v>U</v>
          </cell>
          <cell r="J1221" t="str">
            <v>H</v>
          </cell>
        </row>
        <row r="1222">
          <cell r="B1222" t="str">
            <v>MC010080401-85</v>
          </cell>
          <cell r="C1222" t="str">
            <v>CINTURON</v>
          </cell>
          <cell r="D1222" t="str">
            <v>CINTURON</v>
          </cell>
          <cell r="E1222" t="str">
            <v>CINTURON VAQUETA</v>
          </cell>
          <cell r="F1222" t="str">
            <v>VAQUETA</v>
          </cell>
          <cell r="G1222" t="str">
            <v>BRONCE</v>
          </cell>
          <cell r="H1222" t="str">
            <v>NEGRO</v>
          </cell>
          <cell r="I1222" t="str">
            <v>U</v>
          </cell>
          <cell r="J1222" t="str">
            <v>H</v>
          </cell>
        </row>
        <row r="1223">
          <cell r="B1223" t="str">
            <v>MC010080401-90</v>
          </cell>
          <cell r="C1223" t="str">
            <v>CINTURON</v>
          </cell>
          <cell r="D1223" t="str">
            <v>CINTURON</v>
          </cell>
          <cell r="E1223" t="str">
            <v>CINTURON VAQUETA</v>
          </cell>
          <cell r="F1223" t="str">
            <v>VAQUETA</v>
          </cell>
          <cell r="G1223" t="str">
            <v>BRONCE</v>
          </cell>
          <cell r="H1223" t="str">
            <v>NEGRO</v>
          </cell>
          <cell r="I1223" t="str">
            <v>U</v>
          </cell>
          <cell r="J1223" t="str">
            <v>H</v>
          </cell>
        </row>
        <row r="1224">
          <cell r="B1224" t="str">
            <v>OT010260101-30</v>
          </cell>
          <cell r="C1224" t="str">
            <v>ACCESORIOS</v>
          </cell>
          <cell r="D1224" t="str">
            <v>CORREA</v>
          </cell>
          <cell r="E1224" t="str">
            <v xml:space="preserve">CORREA ANTONIETA 30 MM </v>
          </cell>
          <cell r="F1224" t="str">
            <v>NAPADO</v>
          </cell>
          <cell r="G1224" t="str">
            <v>NIQUEL</v>
          </cell>
          <cell r="H1224" t="str">
            <v>NEGRO</v>
          </cell>
          <cell r="I1224" t="str">
            <v>U</v>
          </cell>
          <cell r="J1224" t="str">
            <v>M</v>
          </cell>
        </row>
        <row r="1225">
          <cell r="B1225" t="str">
            <v>OT010260102-30</v>
          </cell>
          <cell r="C1225" t="str">
            <v>ACCESORIOS</v>
          </cell>
          <cell r="D1225" t="str">
            <v>CORREA</v>
          </cell>
          <cell r="E1225" t="str">
            <v xml:space="preserve">CORREA ANTONIETA 30 MM </v>
          </cell>
          <cell r="F1225" t="str">
            <v>NAPADO</v>
          </cell>
          <cell r="G1225" t="str">
            <v>NIQUEL</v>
          </cell>
          <cell r="H1225" t="str">
            <v>SUELA</v>
          </cell>
          <cell r="I1225" t="str">
            <v>U</v>
          </cell>
          <cell r="J1225" t="str">
            <v>M</v>
          </cell>
        </row>
        <row r="1226">
          <cell r="B1226" t="str">
            <v>OT010260103-30</v>
          </cell>
          <cell r="C1226" t="str">
            <v>ACCESORIOS</v>
          </cell>
          <cell r="D1226" t="str">
            <v>CORREA</v>
          </cell>
          <cell r="E1226" t="str">
            <v xml:space="preserve">CORREA ANTONIETA 30 MM </v>
          </cell>
          <cell r="F1226" t="str">
            <v>NAPADO</v>
          </cell>
          <cell r="G1226" t="str">
            <v>NIQUEL</v>
          </cell>
          <cell r="H1226" t="str">
            <v>CARAMELO</v>
          </cell>
          <cell r="I1226" t="str">
            <v>U</v>
          </cell>
          <cell r="J1226" t="str">
            <v>M</v>
          </cell>
        </row>
        <row r="1227">
          <cell r="B1227" t="str">
            <v>OT010260107-30</v>
          </cell>
          <cell r="C1227" t="str">
            <v>ACCESORIOS</v>
          </cell>
          <cell r="D1227" t="str">
            <v>CORREA</v>
          </cell>
          <cell r="E1227" t="str">
            <v xml:space="preserve">CORREA ANTONIETA 30 MM </v>
          </cell>
          <cell r="F1227" t="str">
            <v>NAPADO</v>
          </cell>
          <cell r="G1227" t="str">
            <v>NIQUEL</v>
          </cell>
          <cell r="H1227" t="str">
            <v>ROJO</v>
          </cell>
          <cell r="I1227" t="str">
            <v>U</v>
          </cell>
          <cell r="J1227" t="str">
            <v>M</v>
          </cell>
        </row>
        <row r="1228">
          <cell r="B1228" t="str">
            <v>OT010260109-30</v>
          </cell>
          <cell r="C1228" t="str">
            <v>ACCESORIOS</v>
          </cell>
          <cell r="D1228" t="str">
            <v>CORREA</v>
          </cell>
          <cell r="E1228" t="str">
            <v xml:space="preserve">CORREA ANTONIETA 30 MM </v>
          </cell>
          <cell r="F1228" t="str">
            <v>NAPADO</v>
          </cell>
          <cell r="G1228" t="str">
            <v>NIQUEL</v>
          </cell>
          <cell r="H1228" t="str">
            <v>AZUL</v>
          </cell>
          <cell r="I1228" t="str">
            <v>U</v>
          </cell>
          <cell r="J1228" t="str">
            <v>M</v>
          </cell>
        </row>
        <row r="1229">
          <cell r="B1229" t="str">
            <v>OT010260110-30</v>
          </cell>
          <cell r="C1229" t="str">
            <v>ACCESORIOS</v>
          </cell>
          <cell r="D1229" t="str">
            <v>CORREA</v>
          </cell>
          <cell r="E1229" t="str">
            <v xml:space="preserve">CORREA ANTONIETA 30 MM </v>
          </cell>
          <cell r="F1229" t="str">
            <v>NAPADO</v>
          </cell>
          <cell r="G1229" t="str">
            <v>NIQUEL</v>
          </cell>
          <cell r="H1229" t="str">
            <v>VERDE</v>
          </cell>
          <cell r="I1229" t="str">
            <v>U</v>
          </cell>
          <cell r="J1229" t="str">
            <v>M</v>
          </cell>
        </row>
        <row r="1230">
          <cell r="B1230" t="str">
            <v>OT010260301-30</v>
          </cell>
          <cell r="C1230" t="str">
            <v>ACCESORIOS</v>
          </cell>
          <cell r="D1230" t="str">
            <v>CORREA</v>
          </cell>
          <cell r="E1230" t="str">
            <v xml:space="preserve">CORREA ANTONIETA 30 MM </v>
          </cell>
          <cell r="F1230" t="str">
            <v>BRIDGE</v>
          </cell>
          <cell r="G1230" t="str">
            <v>NIQUEL</v>
          </cell>
          <cell r="H1230" t="str">
            <v>NEGRO</v>
          </cell>
          <cell r="I1230" t="str">
            <v>U</v>
          </cell>
          <cell r="J1230" t="str">
            <v>M</v>
          </cell>
        </row>
        <row r="1231">
          <cell r="B1231" t="str">
            <v>OT010260302-30</v>
          </cell>
          <cell r="C1231" t="str">
            <v>ACCESORIOS</v>
          </cell>
          <cell r="D1231" t="str">
            <v>CORREA</v>
          </cell>
          <cell r="E1231" t="str">
            <v xml:space="preserve">CORREA ANTONIETA 30 MM </v>
          </cell>
          <cell r="F1231" t="str">
            <v>BRIDGE</v>
          </cell>
          <cell r="G1231" t="str">
            <v>NIQUEL</v>
          </cell>
          <cell r="H1231" t="str">
            <v>SUELA</v>
          </cell>
          <cell r="I1231" t="str">
            <v>U</v>
          </cell>
          <cell r="J1231" t="str">
            <v>M</v>
          </cell>
        </row>
        <row r="1232">
          <cell r="B1232" t="str">
            <v>OT010260303-30</v>
          </cell>
          <cell r="C1232" t="str">
            <v>ACCESORIOS</v>
          </cell>
          <cell r="D1232" t="str">
            <v>CORREA</v>
          </cell>
          <cell r="E1232" t="str">
            <v xml:space="preserve">CORREA ANTONIETA 30 MM </v>
          </cell>
          <cell r="F1232" t="str">
            <v>BRIDGE</v>
          </cell>
          <cell r="G1232" t="str">
            <v>NIQUEL</v>
          </cell>
          <cell r="H1232" t="str">
            <v>CARAMELO</v>
          </cell>
          <cell r="I1232" t="str">
            <v>U</v>
          </cell>
          <cell r="J1232" t="str">
            <v>M</v>
          </cell>
        </row>
        <row r="1233">
          <cell r="B1233" t="str">
            <v>OT010260307-30</v>
          </cell>
          <cell r="C1233" t="str">
            <v>ACCESORIOS</v>
          </cell>
          <cell r="D1233" t="str">
            <v>CORREA</v>
          </cell>
          <cell r="E1233" t="str">
            <v xml:space="preserve">CORREA ANTONIETA 30 MM </v>
          </cell>
          <cell r="F1233" t="str">
            <v>BRIDGE</v>
          </cell>
          <cell r="G1233" t="str">
            <v>NIQUEL</v>
          </cell>
          <cell r="H1233" t="str">
            <v>ROJO</v>
          </cell>
          <cell r="I1233" t="str">
            <v>U</v>
          </cell>
          <cell r="J1233" t="str">
            <v>M</v>
          </cell>
        </row>
        <row r="1234">
          <cell r="B1234" t="str">
            <v>OT010260309-30</v>
          </cell>
          <cell r="C1234" t="str">
            <v>ACCESORIOS</v>
          </cell>
          <cell r="D1234" t="str">
            <v>CORREA</v>
          </cell>
          <cell r="E1234" t="str">
            <v xml:space="preserve">CORREA ANTONIETA 30 MM </v>
          </cell>
          <cell r="F1234" t="str">
            <v>BRIDGE</v>
          </cell>
          <cell r="G1234" t="str">
            <v>NIQUEL</v>
          </cell>
          <cell r="H1234" t="str">
            <v>AZUL</v>
          </cell>
          <cell r="I1234" t="str">
            <v>U</v>
          </cell>
          <cell r="J1234" t="str">
            <v>M</v>
          </cell>
        </row>
        <row r="1235">
          <cell r="B1235" t="str">
            <v>OT010260310-30</v>
          </cell>
          <cell r="C1235" t="str">
            <v>ACCESORIOS</v>
          </cell>
          <cell r="D1235" t="str">
            <v>CORREA</v>
          </cell>
          <cell r="E1235" t="str">
            <v xml:space="preserve">CORREA ANTONIETA 30 MM </v>
          </cell>
          <cell r="F1235" t="str">
            <v>BRIDGE</v>
          </cell>
          <cell r="G1235" t="str">
            <v>NIQUEL</v>
          </cell>
          <cell r="H1235" t="str">
            <v>VERDE</v>
          </cell>
          <cell r="I1235" t="str">
            <v>U</v>
          </cell>
          <cell r="J1235" t="str">
            <v>M</v>
          </cell>
        </row>
        <row r="1236">
          <cell r="B1236" t="str">
            <v>OT010260550-30</v>
          </cell>
          <cell r="C1236" t="str">
            <v>ACCESORIOS</v>
          </cell>
          <cell r="D1236" t="str">
            <v>CORREA</v>
          </cell>
          <cell r="E1236" t="str">
            <v xml:space="preserve">CORREA ANTONIETA 30 MM </v>
          </cell>
          <cell r="F1236" t="str">
            <v>GAMUZA</v>
          </cell>
          <cell r="G1236" t="str">
            <v>NIQUEL</v>
          </cell>
          <cell r="H1236" t="str">
            <v>VESUBIO</v>
          </cell>
          <cell r="I1236" t="str">
            <v>U</v>
          </cell>
          <cell r="J1236" t="str">
            <v>M</v>
          </cell>
        </row>
        <row r="1237">
          <cell r="B1237" t="str">
            <v>OT010260555-30</v>
          </cell>
          <cell r="C1237" t="str">
            <v>ACCESORIOS</v>
          </cell>
          <cell r="D1237" t="str">
            <v>CORREA</v>
          </cell>
          <cell r="E1237" t="str">
            <v xml:space="preserve">CORREA ANTONIETA 30 MM </v>
          </cell>
          <cell r="F1237" t="str">
            <v>GAMUZA</v>
          </cell>
          <cell r="G1237" t="str">
            <v>NIQUEL</v>
          </cell>
          <cell r="H1237" t="str">
            <v>AVELLANA</v>
          </cell>
          <cell r="I1237" t="str">
            <v>U</v>
          </cell>
          <cell r="J1237" t="str">
            <v>M</v>
          </cell>
        </row>
        <row r="1238">
          <cell r="B1238" t="str">
            <v>OT010260556-30</v>
          </cell>
          <cell r="C1238" t="str">
            <v>ACCESORIOS</v>
          </cell>
          <cell r="D1238" t="str">
            <v>CORREA</v>
          </cell>
          <cell r="E1238" t="str">
            <v xml:space="preserve">CORREA ANTONIETA 30 MM </v>
          </cell>
          <cell r="F1238" t="str">
            <v>GAMUZA</v>
          </cell>
          <cell r="G1238" t="str">
            <v>NIQUEL</v>
          </cell>
          <cell r="H1238" t="str">
            <v>OXIDO</v>
          </cell>
          <cell r="I1238" t="str">
            <v>U</v>
          </cell>
          <cell r="J1238" t="str">
            <v>M</v>
          </cell>
        </row>
        <row r="1239">
          <cell r="B1239" t="str">
            <v>OT010260558-30</v>
          </cell>
          <cell r="C1239" t="str">
            <v>ACCESORIOS</v>
          </cell>
          <cell r="D1239" t="str">
            <v>CORREA</v>
          </cell>
          <cell r="E1239" t="str">
            <v xml:space="preserve">CORREA ANTONIETA 30 MM </v>
          </cell>
          <cell r="F1239" t="str">
            <v>GAMUZA</v>
          </cell>
          <cell r="G1239" t="str">
            <v>NIQUEL</v>
          </cell>
          <cell r="H1239" t="str">
            <v>CAFE</v>
          </cell>
          <cell r="I1239" t="str">
            <v>U</v>
          </cell>
          <cell r="J1239" t="str">
            <v>M</v>
          </cell>
        </row>
        <row r="1240">
          <cell r="B1240" t="str">
            <v>OT020410301</v>
          </cell>
          <cell r="C1240" t="str">
            <v>ACCESORIOS</v>
          </cell>
          <cell r="D1240" t="str">
            <v>CORREA</v>
          </cell>
          <cell r="E1240" t="str">
            <v>CORREA LOLI</v>
          </cell>
          <cell r="F1240" t="str">
            <v>ALGODON/CUERO</v>
          </cell>
          <cell r="G1240">
            <v>0</v>
          </cell>
          <cell r="H1240" t="str">
            <v>NEGRO</v>
          </cell>
          <cell r="I1240" t="str">
            <v>U</v>
          </cell>
          <cell r="J1240" t="str">
            <v>U</v>
          </cell>
        </row>
        <row r="1241">
          <cell r="B1241" t="str">
            <v>OT020410303</v>
          </cell>
          <cell r="C1241" t="str">
            <v>ACCESORIOS</v>
          </cell>
          <cell r="D1241" t="str">
            <v>CORREA</v>
          </cell>
          <cell r="E1241" t="str">
            <v>CORREA LOLI</v>
          </cell>
          <cell r="F1241" t="str">
            <v>ALGODON/CUERO</v>
          </cell>
          <cell r="G1241">
            <v>0</v>
          </cell>
          <cell r="H1241" t="str">
            <v>CARAMELO</v>
          </cell>
          <cell r="I1241" t="str">
            <v>U</v>
          </cell>
          <cell r="J1241" t="str">
            <v>U</v>
          </cell>
        </row>
        <row r="1242">
          <cell r="B1242" t="str">
            <v>OT020410304</v>
          </cell>
          <cell r="C1242" t="str">
            <v>ACCESORIOS</v>
          </cell>
          <cell r="D1242" t="str">
            <v>CORREA</v>
          </cell>
          <cell r="E1242" t="str">
            <v>CORREA LOLI</v>
          </cell>
          <cell r="F1242" t="str">
            <v>ALGODON/CUERO</v>
          </cell>
          <cell r="G1242">
            <v>0</v>
          </cell>
          <cell r="H1242" t="str">
            <v>TABACO</v>
          </cell>
          <cell r="I1242" t="str">
            <v>U</v>
          </cell>
          <cell r="J1242" t="str">
            <v>U</v>
          </cell>
        </row>
        <row r="1243">
          <cell r="B1243" t="str">
            <v>OT020410307</v>
          </cell>
          <cell r="C1243" t="str">
            <v>ACCESORIOS</v>
          </cell>
          <cell r="D1243" t="str">
            <v>CORREA</v>
          </cell>
          <cell r="E1243" t="str">
            <v>CORREA LOLI</v>
          </cell>
          <cell r="F1243" t="str">
            <v>ALGODON/CUERO</v>
          </cell>
          <cell r="G1243">
            <v>0</v>
          </cell>
          <cell r="H1243" t="str">
            <v>ROJO</v>
          </cell>
          <cell r="I1243" t="str">
            <v>U</v>
          </cell>
          <cell r="J1243" t="str">
            <v>U</v>
          </cell>
        </row>
        <row r="1244">
          <cell r="B1244" t="str">
            <v>OT020410309</v>
          </cell>
          <cell r="C1244" t="str">
            <v>ACCESORIOS</v>
          </cell>
          <cell r="D1244" t="str">
            <v>CORREA</v>
          </cell>
          <cell r="E1244" t="str">
            <v>CORREA LOLI</v>
          </cell>
          <cell r="F1244" t="str">
            <v>ALGODON/CUERO</v>
          </cell>
          <cell r="G1244">
            <v>0</v>
          </cell>
          <cell r="H1244" t="str">
            <v>AZUL</v>
          </cell>
          <cell r="I1244" t="str">
            <v>U</v>
          </cell>
          <cell r="J1244" t="str">
            <v>U</v>
          </cell>
        </row>
        <row r="1245">
          <cell r="B1245" t="str">
            <v>OT020410310</v>
          </cell>
          <cell r="C1245" t="str">
            <v>ACCESORIOS</v>
          </cell>
          <cell r="D1245" t="str">
            <v>CORREA</v>
          </cell>
          <cell r="E1245" t="str">
            <v>CORREA LOLI</v>
          </cell>
          <cell r="F1245" t="str">
            <v>ALGODON/CUERO</v>
          </cell>
          <cell r="G1245">
            <v>0</v>
          </cell>
          <cell r="H1245" t="str">
            <v>VERDE</v>
          </cell>
          <cell r="I1245" t="str">
            <v>U</v>
          </cell>
          <cell r="J1245" t="str">
            <v>U</v>
          </cell>
        </row>
        <row r="1246">
          <cell r="B1246" t="str">
            <v>OT020410315</v>
          </cell>
          <cell r="C1246" t="str">
            <v>ACCESORIOS</v>
          </cell>
          <cell r="D1246" t="str">
            <v>CORREA</v>
          </cell>
          <cell r="E1246" t="str">
            <v>CORREA LOLI</v>
          </cell>
          <cell r="F1246" t="str">
            <v>ALGODON/CUERO</v>
          </cell>
          <cell r="G1246">
            <v>0</v>
          </cell>
          <cell r="H1246" t="str">
            <v>MALBEC</v>
          </cell>
          <cell r="I1246" t="str">
            <v>U</v>
          </cell>
          <cell r="J1246" t="str">
            <v>U</v>
          </cell>
        </row>
        <row r="1247">
          <cell r="B1247" t="str">
            <v>OT020420301</v>
          </cell>
          <cell r="C1247" t="str">
            <v>ACCESORIOS</v>
          </cell>
          <cell r="D1247" t="str">
            <v>CORREA</v>
          </cell>
          <cell r="E1247" t="str">
            <v>CORREA LORE</v>
          </cell>
          <cell r="F1247" t="str">
            <v>ACRILICO/CUERO</v>
          </cell>
          <cell r="G1247">
            <v>0</v>
          </cell>
          <cell r="H1247" t="str">
            <v>NEGRO</v>
          </cell>
          <cell r="I1247" t="str">
            <v>U</v>
          </cell>
          <cell r="J1247" t="str">
            <v>U</v>
          </cell>
        </row>
        <row r="1248">
          <cell r="B1248" t="str">
            <v>OT020420303</v>
          </cell>
          <cell r="C1248" t="str">
            <v>ACCESORIOS</v>
          </cell>
          <cell r="D1248" t="str">
            <v>CORREA</v>
          </cell>
          <cell r="E1248" t="str">
            <v>CORREA LORE</v>
          </cell>
          <cell r="F1248" t="str">
            <v>ACRILICO/CUERO</v>
          </cell>
          <cell r="G1248">
            <v>0</v>
          </cell>
          <cell r="H1248" t="str">
            <v>CARAMELO</v>
          </cell>
          <cell r="I1248" t="str">
            <v>U</v>
          </cell>
          <cell r="J1248" t="str">
            <v>U</v>
          </cell>
        </row>
        <row r="1249">
          <cell r="B1249" t="str">
            <v>OT010290101-20</v>
          </cell>
          <cell r="C1249" t="str">
            <v>ACCESORIOS</v>
          </cell>
          <cell r="D1249" t="str">
            <v>CORREA</v>
          </cell>
          <cell r="E1249" t="str">
            <v>CORREA VICENTA 20 MM</v>
          </cell>
          <cell r="F1249" t="str">
            <v>NAPADO</v>
          </cell>
          <cell r="G1249" t="str">
            <v>NIQUEL</v>
          </cell>
          <cell r="H1249" t="str">
            <v>NEGRO</v>
          </cell>
          <cell r="I1249" t="str">
            <v>U</v>
          </cell>
          <cell r="J1249" t="str">
            <v>U</v>
          </cell>
        </row>
        <row r="1250">
          <cell r="B1250" t="str">
            <v>OT010290102-20</v>
          </cell>
          <cell r="C1250" t="str">
            <v>ACCESORIOS</v>
          </cell>
          <cell r="D1250" t="str">
            <v>CORREA</v>
          </cell>
          <cell r="E1250" t="str">
            <v>CORREA VICENTA 20 MM</v>
          </cell>
          <cell r="F1250" t="str">
            <v>NAPADO</v>
          </cell>
          <cell r="G1250" t="str">
            <v>NIQUEL</v>
          </cell>
          <cell r="H1250" t="str">
            <v>SUELA</v>
          </cell>
          <cell r="I1250" t="str">
            <v>U</v>
          </cell>
          <cell r="J1250" t="str">
            <v>U</v>
          </cell>
        </row>
        <row r="1251">
          <cell r="B1251" t="str">
            <v>OT010290103-20</v>
          </cell>
          <cell r="C1251" t="str">
            <v>ACCESORIOS</v>
          </cell>
          <cell r="D1251" t="str">
            <v>CORREA</v>
          </cell>
          <cell r="E1251" t="str">
            <v>CORREA VICENTA 20 MM</v>
          </cell>
          <cell r="F1251" t="str">
            <v>NAPADO</v>
          </cell>
          <cell r="G1251" t="str">
            <v>NIQUEL</v>
          </cell>
          <cell r="H1251" t="str">
            <v>CARAMELO</v>
          </cell>
          <cell r="I1251" t="str">
            <v>U</v>
          </cell>
          <cell r="J1251" t="str">
            <v>U</v>
          </cell>
        </row>
        <row r="1252">
          <cell r="B1252" t="str">
            <v>OT010290107-20</v>
          </cell>
          <cell r="C1252" t="str">
            <v>ACCESORIOS</v>
          </cell>
          <cell r="D1252" t="str">
            <v>CORREA</v>
          </cell>
          <cell r="E1252" t="str">
            <v>CORREA VICENTA 20 MM</v>
          </cell>
          <cell r="F1252" t="str">
            <v>NAPADO</v>
          </cell>
          <cell r="G1252" t="str">
            <v>NIQUEL</v>
          </cell>
          <cell r="H1252" t="str">
            <v>ROJO</v>
          </cell>
          <cell r="I1252" t="str">
            <v>U</v>
          </cell>
          <cell r="J1252" t="str">
            <v>U</v>
          </cell>
        </row>
        <row r="1253">
          <cell r="B1253" t="str">
            <v>OT010290109-20</v>
          </cell>
          <cell r="C1253" t="str">
            <v>ACCESORIOS</v>
          </cell>
          <cell r="D1253" t="str">
            <v>CORREA</v>
          </cell>
          <cell r="E1253" t="str">
            <v>CORREA VICENTA 20 MM</v>
          </cell>
          <cell r="F1253" t="str">
            <v>NAPADO</v>
          </cell>
          <cell r="G1253" t="str">
            <v>NIQUEL</v>
          </cell>
          <cell r="H1253" t="str">
            <v>AZUL</v>
          </cell>
          <cell r="I1253" t="str">
            <v>U</v>
          </cell>
          <cell r="J1253" t="str">
            <v>U</v>
          </cell>
        </row>
        <row r="1254">
          <cell r="B1254" t="str">
            <v>OT010290110-20</v>
          </cell>
          <cell r="C1254" t="str">
            <v>ACCESORIOS</v>
          </cell>
          <cell r="D1254" t="str">
            <v>CORREA</v>
          </cell>
          <cell r="E1254" t="str">
            <v>CORREA VICENTA 20 MM</v>
          </cell>
          <cell r="F1254" t="str">
            <v>NAPADO</v>
          </cell>
          <cell r="G1254" t="str">
            <v>NIQUEL</v>
          </cell>
          <cell r="H1254" t="str">
            <v>VERDE</v>
          </cell>
          <cell r="I1254" t="str">
            <v>U</v>
          </cell>
          <cell r="J1254" t="str">
            <v>U</v>
          </cell>
        </row>
        <row r="1255">
          <cell r="B1255" t="str">
            <v>OT010290301-20</v>
          </cell>
          <cell r="C1255" t="str">
            <v>ACCESORIOS</v>
          </cell>
          <cell r="D1255" t="str">
            <v>CORREA</v>
          </cell>
          <cell r="E1255" t="str">
            <v>CORREA VICENTA 20 MM</v>
          </cell>
          <cell r="F1255" t="str">
            <v>BRIDGE</v>
          </cell>
          <cell r="G1255" t="str">
            <v>NIQUEL</v>
          </cell>
          <cell r="H1255" t="str">
            <v>NEGRO</v>
          </cell>
          <cell r="I1255" t="str">
            <v>U</v>
          </cell>
          <cell r="J1255" t="str">
            <v>U</v>
          </cell>
        </row>
        <row r="1256">
          <cell r="B1256" t="str">
            <v>OT010290303-20</v>
          </cell>
          <cell r="C1256" t="str">
            <v>ACCESORIOS</v>
          </cell>
          <cell r="D1256" t="str">
            <v>CORREA</v>
          </cell>
          <cell r="E1256" t="str">
            <v>CORREA VICENTA 20 MM</v>
          </cell>
          <cell r="F1256" t="str">
            <v>BRIDGE</v>
          </cell>
          <cell r="G1256" t="str">
            <v>NIQUEL</v>
          </cell>
          <cell r="H1256" t="str">
            <v>CARAMELO</v>
          </cell>
          <cell r="I1256" t="str">
            <v>U</v>
          </cell>
          <cell r="J1256" t="str">
            <v>U</v>
          </cell>
        </row>
        <row r="1257">
          <cell r="B1257" t="str">
            <v>OT010290555-20</v>
          </cell>
          <cell r="C1257" t="str">
            <v>ACCESORIOS</v>
          </cell>
          <cell r="D1257" t="str">
            <v>CORREA</v>
          </cell>
          <cell r="E1257" t="str">
            <v>CORREA VICENTA 20 MM</v>
          </cell>
          <cell r="F1257" t="str">
            <v>GAMUZA</v>
          </cell>
          <cell r="G1257" t="str">
            <v>NIQUEL</v>
          </cell>
          <cell r="H1257" t="str">
            <v>AVELLANA</v>
          </cell>
          <cell r="I1257" t="str">
            <v>U</v>
          </cell>
          <cell r="J1257" t="str">
            <v>U</v>
          </cell>
        </row>
        <row r="1258">
          <cell r="B1258" t="str">
            <v>OT010290556-20</v>
          </cell>
          <cell r="C1258" t="str">
            <v>ACCESORIOS</v>
          </cell>
          <cell r="D1258" t="str">
            <v>CORREA</v>
          </cell>
          <cell r="E1258" t="str">
            <v>CORREA VICENTA 20 MM</v>
          </cell>
          <cell r="F1258" t="str">
            <v>GAMUZA</v>
          </cell>
          <cell r="G1258" t="str">
            <v>NIQUEL</v>
          </cell>
          <cell r="H1258" t="str">
            <v>OXIDO</v>
          </cell>
          <cell r="I1258" t="str">
            <v>U</v>
          </cell>
          <cell r="J1258" t="str">
            <v>U</v>
          </cell>
        </row>
        <row r="1259">
          <cell r="B1259" t="str">
            <v>OT010290558-20</v>
          </cell>
          <cell r="C1259" t="str">
            <v>ACCESORIOS</v>
          </cell>
          <cell r="D1259" t="str">
            <v>CORREA</v>
          </cell>
          <cell r="E1259" t="str">
            <v>CORREA VICENTA 20 MM</v>
          </cell>
          <cell r="F1259" t="str">
            <v>GAMUZA</v>
          </cell>
          <cell r="G1259" t="str">
            <v>NIQUEL</v>
          </cell>
          <cell r="H1259" t="str">
            <v>CAFE</v>
          </cell>
          <cell r="I1259" t="str">
            <v>U</v>
          </cell>
          <cell r="J1259" t="str">
            <v>U</v>
          </cell>
        </row>
        <row r="1260">
          <cell r="B1260" t="str">
            <v>OT010290701-20</v>
          </cell>
          <cell r="C1260" t="str">
            <v>ACCESORIOS</v>
          </cell>
          <cell r="D1260" t="str">
            <v>CORREA</v>
          </cell>
          <cell r="E1260" t="str">
            <v>CORREA VICENTA 20 MM</v>
          </cell>
          <cell r="F1260" t="str">
            <v>IGUANA</v>
          </cell>
          <cell r="G1260" t="str">
            <v>NIQUEL</v>
          </cell>
          <cell r="H1260" t="str">
            <v>NEGRO</v>
          </cell>
          <cell r="I1260" t="str">
            <v>U</v>
          </cell>
          <cell r="J1260" t="str">
            <v>U</v>
          </cell>
        </row>
        <row r="1261">
          <cell r="B1261" t="str">
            <v>OT010290703-20</v>
          </cell>
          <cell r="C1261" t="str">
            <v>ACCESORIOS</v>
          </cell>
          <cell r="D1261" t="str">
            <v>CORREA</v>
          </cell>
          <cell r="E1261" t="str">
            <v>CORREA VICENTA 20 MM</v>
          </cell>
          <cell r="F1261" t="str">
            <v>IGUANA</v>
          </cell>
          <cell r="G1261" t="str">
            <v>NIQUEL</v>
          </cell>
          <cell r="H1261" t="str">
            <v>CARAMELO</v>
          </cell>
          <cell r="I1261" t="str">
            <v>U</v>
          </cell>
          <cell r="J1261" t="str">
            <v>U</v>
          </cell>
        </row>
        <row r="1262">
          <cell r="B1262" t="str">
            <v>OT210520002</v>
          </cell>
          <cell r="C1262" t="str">
            <v>DECO</v>
          </cell>
          <cell r="D1262" t="str">
            <v>DECO</v>
          </cell>
          <cell r="E1262" t="str">
            <v>DELANTAL JAIME</v>
          </cell>
          <cell r="F1262" t="str">
            <v>CUERO</v>
          </cell>
          <cell r="G1262">
            <v>0</v>
          </cell>
          <cell r="H1262" t="str">
            <v>SUELA</v>
          </cell>
          <cell r="I1262" t="str">
            <v>U</v>
          </cell>
          <cell r="J1262" t="str">
            <v>H</v>
          </cell>
        </row>
        <row r="1263">
          <cell r="B1263" t="str">
            <v>TX050040101</v>
          </cell>
          <cell r="C1263" t="str">
            <v>TEXTIL</v>
          </cell>
          <cell r="D1263" t="str">
            <v>ESTOLA</v>
          </cell>
          <cell r="E1263" t="str">
            <v>ESTOLA RAYADA</v>
          </cell>
          <cell r="F1263" t="str">
            <v>TELA</v>
          </cell>
          <cell r="G1263">
            <v>0</v>
          </cell>
          <cell r="H1263" t="str">
            <v>NEGRO</v>
          </cell>
          <cell r="I1263" t="str">
            <v>U</v>
          </cell>
          <cell r="J1263" t="str">
            <v>U</v>
          </cell>
        </row>
        <row r="1264">
          <cell r="B1264" t="str">
            <v>TX050040102</v>
          </cell>
          <cell r="C1264" t="str">
            <v>TEXTIL</v>
          </cell>
          <cell r="D1264" t="str">
            <v>ESTOLA</v>
          </cell>
          <cell r="E1264" t="str">
            <v>ESTOLA RAYADA</v>
          </cell>
          <cell r="F1264" t="str">
            <v>TELA</v>
          </cell>
          <cell r="G1264">
            <v>0</v>
          </cell>
          <cell r="H1264" t="str">
            <v>CRUDO</v>
          </cell>
          <cell r="I1264" t="str">
            <v>U</v>
          </cell>
          <cell r="J1264" t="str">
            <v>U</v>
          </cell>
        </row>
        <row r="1265">
          <cell r="B1265" t="str">
            <v>TX050040103</v>
          </cell>
          <cell r="C1265" t="str">
            <v>TEXTIL</v>
          </cell>
          <cell r="D1265" t="str">
            <v>ESTOLA</v>
          </cell>
          <cell r="E1265" t="str">
            <v>ESTOLA RAYADA</v>
          </cell>
          <cell r="F1265" t="str">
            <v>TELA</v>
          </cell>
          <cell r="G1265">
            <v>0</v>
          </cell>
          <cell r="H1265" t="str">
            <v>VERDE</v>
          </cell>
          <cell r="I1265" t="str">
            <v>U</v>
          </cell>
          <cell r="J1265" t="str">
            <v>U</v>
          </cell>
        </row>
        <row r="1266">
          <cell r="B1266" t="str">
            <v>TX050040104</v>
          </cell>
          <cell r="C1266" t="str">
            <v>TEXTIL</v>
          </cell>
          <cell r="D1266" t="str">
            <v>ESTOLA</v>
          </cell>
          <cell r="E1266" t="str">
            <v>ESTOLA RAYADA</v>
          </cell>
          <cell r="F1266" t="str">
            <v>TELA</v>
          </cell>
          <cell r="G1266">
            <v>0</v>
          </cell>
          <cell r="H1266" t="str">
            <v>AZUL</v>
          </cell>
          <cell r="I1266" t="str">
            <v>U</v>
          </cell>
          <cell r="J1266" t="str">
            <v>U</v>
          </cell>
        </row>
        <row r="1267">
          <cell r="B1267" t="str">
            <v>TX050040105</v>
          </cell>
          <cell r="C1267" t="str">
            <v>TEXTIL</v>
          </cell>
          <cell r="D1267" t="str">
            <v>ESTOLA</v>
          </cell>
          <cell r="E1267" t="str">
            <v>ESTOLA RAYADA</v>
          </cell>
          <cell r="F1267" t="str">
            <v>TELA</v>
          </cell>
          <cell r="G1267">
            <v>0</v>
          </cell>
          <cell r="H1267" t="str">
            <v>GRIS TOPO</v>
          </cell>
          <cell r="I1267" t="str">
            <v>U</v>
          </cell>
          <cell r="J1267" t="str">
            <v>U</v>
          </cell>
        </row>
        <row r="1268">
          <cell r="B1268" t="str">
            <v>TX050040106</v>
          </cell>
          <cell r="C1268" t="str">
            <v>TEXTIL</v>
          </cell>
          <cell r="D1268" t="str">
            <v>ESTOLA</v>
          </cell>
          <cell r="E1268" t="str">
            <v>ESTOLA RAYADA</v>
          </cell>
          <cell r="F1268" t="str">
            <v>TELA</v>
          </cell>
          <cell r="G1268">
            <v>0</v>
          </cell>
          <cell r="H1268" t="str">
            <v>GRIS CLARO</v>
          </cell>
          <cell r="I1268" t="str">
            <v>U</v>
          </cell>
          <cell r="J1268" t="str">
            <v>U</v>
          </cell>
        </row>
        <row r="1269">
          <cell r="B1269" t="str">
            <v>OT010510000</v>
          </cell>
          <cell r="C1269" t="str">
            <v>OTROS</v>
          </cell>
          <cell r="D1269" t="str">
            <v>FUNDA CAMPERA</v>
          </cell>
          <cell r="E1269" t="str">
            <v>FUNDA CAMPERAS</v>
          </cell>
          <cell r="F1269" t="str">
            <v>LIENZO</v>
          </cell>
          <cell r="G1269">
            <v>0</v>
          </cell>
          <cell r="H1269" t="str">
            <v>CRUDO</v>
          </cell>
          <cell r="I1269" t="str">
            <v>U</v>
          </cell>
          <cell r="J1269" t="str">
            <v>U</v>
          </cell>
        </row>
        <row r="1270">
          <cell r="B1270" t="str">
            <v>MC020731601</v>
          </cell>
          <cell r="C1270" t="str">
            <v>MARRO CHICA</v>
          </cell>
          <cell r="D1270" t="str">
            <v>FUNDA CUADERNO</v>
          </cell>
          <cell r="E1270" t="str">
            <v>FUNDA CUADERNO A4</v>
          </cell>
          <cell r="F1270" t="str">
            <v>FIORENTINO</v>
          </cell>
          <cell r="G1270">
            <v>0</v>
          </cell>
          <cell r="H1270" t="str">
            <v>NEGRO</v>
          </cell>
          <cell r="I1270" t="str">
            <v>U</v>
          </cell>
          <cell r="J1270" t="str">
            <v>U</v>
          </cell>
        </row>
        <row r="1271">
          <cell r="B1271" t="str">
            <v>MC020731623</v>
          </cell>
          <cell r="C1271" t="str">
            <v>MARRO CHICA</v>
          </cell>
          <cell r="D1271" t="str">
            <v>FUNDA CUADERNO</v>
          </cell>
          <cell r="E1271" t="str">
            <v>FUNDA CUADERNO A4</v>
          </cell>
          <cell r="F1271" t="str">
            <v>FIORENTINO</v>
          </cell>
          <cell r="G1271">
            <v>0</v>
          </cell>
          <cell r="H1271" t="str">
            <v>CEDRO</v>
          </cell>
          <cell r="I1271" t="str">
            <v>U</v>
          </cell>
          <cell r="J1271" t="str">
            <v>U</v>
          </cell>
        </row>
        <row r="1272">
          <cell r="B1272" t="str">
            <v>MC020741601</v>
          </cell>
          <cell r="C1272" t="str">
            <v>MARRO CHICA</v>
          </cell>
          <cell r="D1272" t="str">
            <v>FUNDA CUADERNO</v>
          </cell>
          <cell r="E1272" t="str">
            <v>FUNDA CUADERNO A5</v>
          </cell>
          <cell r="F1272" t="str">
            <v>FIORENTINO</v>
          </cell>
          <cell r="G1272">
            <v>0</v>
          </cell>
          <cell r="H1272" t="str">
            <v xml:space="preserve">NEGRO </v>
          </cell>
          <cell r="I1272" t="str">
            <v>U</v>
          </cell>
          <cell r="J1272" t="str">
            <v>U</v>
          </cell>
        </row>
        <row r="1273">
          <cell r="B1273" t="str">
            <v>MC020741623</v>
          </cell>
          <cell r="C1273" t="str">
            <v>MARRO CHICA</v>
          </cell>
          <cell r="D1273" t="str">
            <v>FUNDA CUADERNO</v>
          </cell>
          <cell r="E1273" t="str">
            <v>FUNDA CUADERNO A5</v>
          </cell>
          <cell r="F1273" t="str">
            <v>FIORENTINO</v>
          </cell>
          <cell r="G1273">
            <v>0</v>
          </cell>
          <cell r="H1273" t="str">
            <v>CEDRO</v>
          </cell>
          <cell r="I1273" t="str">
            <v>U</v>
          </cell>
          <cell r="J1273" t="str">
            <v>U</v>
          </cell>
        </row>
        <row r="1274">
          <cell r="B1274" t="str">
            <v>MC020761601</v>
          </cell>
          <cell r="C1274" t="str">
            <v>MARRO CHICA</v>
          </cell>
          <cell r="D1274" t="str">
            <v>FUNDA CUADERNO</v>
          </cell>
          <cell r="E1274" t="str">
            <v>FUNDA CUADERNO A6</v>
          </cell>
          <cell r="F1274" t="str">
            <v>FIORENTINO</v>
          </cell>
          <cell r="G1274">
            <v>0</v>
          </cell>
          <cell r="H1274" t="str">
            <v>NEGRO</v>
          </cell>
          <cell r="I1274" t="str">
            <v>U</v>
          </cell>
          <cell r="J1274" t="str">
            <v>U</v>
          </cell>
        </row>
        <row r="1275">
          <cell r="B1275" t="str">
            <v>MC020761623</v>
          </cell>
          <cell r="C1275" t="str">
            <v>MARRO CHICA</v>
          </cell>
          <cell r="D1275" t="str">
            <v>FUNDA CUADERNO</v>
          </cell>
          <cell r="E1275" t="str">
            <v>FUNDA CUADERNO A6</v>
          </cell>
          <cell r="F1275" t="str">
            <v>FIORENTINO</v>
          </cell>
          <cell r="G1275">
            <v>0</v>
          </cell>
          <cell r="H1275" t="str">
            <v>CEDRO</v>
          </cell>
          <cell r="I1275" t="str">
            <v>U</v>
          </cell>
          <cell r="J1275" t="str">
            <v>U</v>
          </cell>
        </row>
        <row r="1276">
          <cell r="B1276" t="str">
            <v>TX190182901</v>
          </cell>
          <cell r="C1276" t="str">
            <v>ACCESORIOS</v>
          </cell>
          <cell r="D1276" t="str">
            <v>GORRO</v>
          </cell>
          <cell r="E1276" t="str">
            <v>GORRO ANTARES</v>
          </cell>
          <cell r="F1276" t="str">
            <v>LANA ALPACA</v>
          </cell>
          <cell r="G1276">
            <v>0</v>
          </cell>
          <cell r="H1276" t="str">
            <v>NEGRO</v>
          </cell>
          <cell r="I1276" t="str">
            <v>U</v>
          </cell>
          <cell r="J1276" t="str">
            <v>H</v>
          </cell>
        </row>
        <row r="1277">
          <cell r="B1277" t="str">
            <v>TX190182909</v>
          </cell>
          <cell r="C1277" t="str">
            <v>ACCESORIOS</v>
          </cell>
          <cell r="D1277" t="str">
            <v>GORRO</v>
          </cell>
          <cell r="E1277" t="str">
            <v>GORRO ANTARES</v>
          </cell>
          <cell r="F1277" t="str">
            <v>LANA ALPACA</v>
          </cell>
          <cell r="G1277">
            <v>0</v>
          </cell>
          <cell r="H1277" t="str">
            <v>AZUL</v>
          </cell>
          <cell r="I1277" t="str">
            <v>U</v>
          </cell>
          <cell r="J1277" t="str">
            <v>H</v>
          </cell>
        </row>
        <row r="1278">
          <cell r="B1278" t="str">
            <v>TX190182912</v>
          </cell>
          <cell r="C1278" t="str">
            <v>ACCESORIOS</v>
          </cell>
          <cell r="D1278" t="str">
            <v>GORRO</v>
          </cell>
          <cell r="E1278" t="str">
            <v>GORRO ANTARES</v>
          </cell>
          <cell r="F1278" t="str">
            <v>LANA ALPACA</v>
          </cell>
          <cell r="G1278">
            <v>0</v>
          </cell>
          <cell r="H1278" t="str">
            <v>GRIS MEDIO</v>
          </cell>
          <cell r="I1278" t="str">
            <v>U</v>
          </cell>
          <cell r="J1278" t="str">
            <v>H</v>
          </cell>
        </row>
        <row r="1279">
          <cell r="B1279" t="str">
            <v>TX190182921</v>
          </cell>
          <cell r="C1279" t="str">
            <v>ACCESORIOS</v>
          </cell>
          <cell r="D1279" t="str">
            <v>GORRO</v>
          </cell>
          <cell r="E1279" t="str">
            <v>GORRO ANTARES</v>
          </cell>
          <cell r="F1279" t="str">
            <v>LANA ALPACA</v>
          </cell>
          <cell r="G1279">
            <v>0</v>
          </cell>
          <cell r="H1279" t="str">
            <v>TOSTADO</v>
          </cell>
          <cell r="I1279" t="str">
            <v>U</v>
          </cell>
          <cell r="J1279" t="str">
            <v>H</v>
          </cell>
        </row>
        <row r="1280">
          <cell r="B1280" t="str">
            <v>TX190182936</v>
          </cell>
          <cell r="C1280" t="str">
            <v>ACCESORIOS</v>
          </cell>
          <cell r="D1280" t="str">
            <v>GORRO</v>
          </cell>
          <cell r="E1280" t="str">
            <v>GORRO ANTARES</v>
          </cell>
          <cell r="F1280" t="str">
            <v>LANA ALPACA</v>
          </cell>
          <cell r="G1280">
            <v>0</v>
          </cell>
          <cell r="H1280" t="str">
            <v>CRUDO</v>
          </cell>
          <cell r="I1280" t="str">
            <v>U</v>
          </cell>
          <cell r="J1280" t="str">
            <v>H</v>
          </cell>
        </row>
        <row r="1281">
          <cell r="B1281" t="str">
            <v>OT090230009-L</v>
          </cell>
          <cell r="C1281" t="str">
            <v>ACCESORIOS</v>
          </cell>
          <cell r="D1281" t="str">
            <v>GORRO</v>
          </cell>
          <cell r="E1281" t="str">
            <v>GORRO ESPIGA</v>
          </cell>
          <cell r="F1281" t="str">
            <v>TELA</v>
          </cell>
          <cell r="G1281">
            <v>0</v>
          </cell>
          <cell r="H1281" t="str">
            <v>AZULINO</v>
          </cell>
          <cell r="I1281" t="str">
            <v>L</v>
          </cell>
          <cell r="J1281" t="str">
            <v>H</v>
          </cell>
        </row>
        <row r="1282">
          <cell r="B1282" t="str">
            <v>OT090230009-M</v>
          </cell>
          <cell r="C1282" t="str">
            <v>ACCESORIOS</v>
          </cell>
          <cell r="D1282" t="str">
            <v>GORRO</v>
          </cell>
          <cell r="E1282" t="str">
            <v>GORRO ESPIGA</v>
          </cell>
          <cell r="F1282" t="str">
            <v>TELA</v>
          </cell>
          <cell r="G1282">
            <v>0</v>
          </cell>
          <cell r="H1282" t="str">
            <v>AZULINO</v>
          </cell>
          <cell r="I1282" t="str">
            <v>M</v>
          </cell>
          <cell r="J1282" t="str">
            <v>H</v>
          </cell>
        </row>
        <row r="1283">
          <cell r="B1283" t="str">
            <v>OT090230009-S</v>
          </cell>
          <cell r="C1283" t="str">
            <v>ACCESORIOS</v>
          </cell>
          <cell r="D1283" t="str">
            <v>GORRO</v>
          </cell>
          <cell r="E1283" t="str">
            <v>GORRO ESPIGA</v>
          </cell>
          <cell r="F1283" t="str">
            <v>TELA</v>
          </cell>
          <cell r="G1283">
            <v>0</v>
          </cell>
          <cell r="H1283" t="str">
            <v>AZULINO</v>
          </cell>
          <cell r="I1283" t="str">
            <v>S</v>
          </cell>
          <cell r="J1283" t="str">
            <v>H</v>
          </cell>
        </row>
        <row r="1284">
          <cell r="B1284" t="str">
            <v>OT090230009-XL</v>
          </cell>
          <cell r="C1284" t="str">
            <v>ACCESORIOS</v>
          </cell>
          <cell r="D1284" t="str">
            <v>GORRO</v>
          </cell>
          <cell r="E1284" t="str">
            <v>GORRO ESPIGA</v>
          </cell>
          <cell r="F1284" t="str">
            <v>TELA</v>
          </cell>
          <cell r="G1284">
            <v>0</v>
          </cell>
          <cell r="H1284" t="str">
            <v>AZULINO</v>
          </cell>
          <cell r="I1284" t="str">
            <v>XL</v>
          </cell>
          <cell r="J1284" t="str">
            <v>H</v>
          </cell>
        </row>
        <row r="1285">
          <cell r="B1285" t="str">
            <v>OT090230009-XXL</v>
          </cell>
          <cell r="C1285" t="str">
            <v>ACCESORIOS</v>
          </cell>
          <cell r="D1285" t="str">
            <v>GORRO</v>
          </cell>
          <cell r="E1285" t="str">
            <v>GORRO ESPIGA</v>
          </cell>
          <cell r="F1285" t="str">
            <v>TELA</v>
          </cell>
          <cell r="G1285">
            <v>0</v>
          </cell>
          <cell r="H1285" t="str">
            <v>AZULINO</v>
          </cell>
          <cell r="I1285" t="str">
            <v>XXL</v>
          </cell>
          <cell r="J1285" t="str">
            <v>H</v>
          </cell>
        </row>
        <row r="1286">
          <cell r="B1286" t="str">
            <v>OT090230012-L</v>
          </cell>
          <cell r="C1286" t="str">
            <v>ACCESORIOS</v>
          </cell>
          <cell r="D1286" t="str">
            <v>GORRO</v>
          </cell>
          <cell r="E1286" t="str">
            <v>GORRO ESPIGA</v>
          </cell>
          <cell r="F1286" t="str">
            <v>TELA</v>
          </cell>
          <cell r="G1286">
            <v>0</v>
          </cell>
          <cell r="H1286" t="str">
            <v>GRIS CLARO</v>
          </cell>
          <cell r="I1286" t="str">
            <v>L</v>
          </cell>
          <cell r="J1286" t="str">
            <v>H</v>
          </cell>
        </row>
        <row r="1287">
          <cell r="B1287" t="str">
            <v>OT090230012-M</v>
          </cell>
          <cell r="C1287" t="str">
            <v>ACCESORIOS</v>
          </cell>
          <cell r="D1287" t="str">
            <v>GORRO</v>
          </cell>
          <cell r="E1287" t="str">
            <v>GORRO ESPIGA</v>
          </cell>
          <cell r="F1287" t="str">
            <v>TELA</v>
          </cell>
          <cell r="G1287">
            <v>0</v>
          </cell>
          <cell r="H1287" t="str">
            <v>GRIS CLARO</v>
          </cell>
          <cell r="I1287" t="str">
            <v>M</v>
          </cell>
          <cell r="J1287" t="str">
            <v>H</v>
          </cell>
        </row>
        <row r="1288">
          <cell r="B1288" t="str">
            <v>OT090230012-S</v>
          </cell>
          <cell r="C1288" t="str">
            <v>ACCESORIOS</v>
          </cell>
          <cell r="D1288" t="str">
            <v>GORRO</v>
          </cell>
          <cell r="E1288" t="str">
            <v>GORRO ESPIGA</v>
          </cell>
          <cell r="F1288" t="str">
            <v>TELA</v>
          </cell>
          <cell r="G1288">
            <v>0</v>
          </cell>
          <cell r="H1288" t="str">
            <v>GRIS CLARO</v>
          </cell>
          <cell r="I1288" t="str">
            <v>S</v>
          </cell>
          <cell r="J1288" t="str">
            <v>H</v>
          </cell>
        </row>
        <row r="1289">
          <cell r="B1289" t="str">
            <v>OT090230012-XL</v>
          </cell>
          <cell r="C1289" t="str">
            <v>ACCESORIOS</v>
          </cell>
          <cell r="D1289" t="str">
            <v>GORRO</v>
          </cell>
          <cell r="E1289" t="str">
            <v>GORRO ESPIGA</v>
          </cell>
          <cell r="F1289" t="str">
            <v>TELA</v>
          </cell>
          <cell r="G1289">
            <v>0</v>
          </cell>
          <cell r="H1289" t="str">
            <v>GRIS CLARO</v>
          </cell>
          <cell r="I1289" t="str">
            <v>XL</v>
          </cell>
          <cell r="J1289" t="str">
            <v>H</v>
          </cell>
        </row>
        <row r="1290">
          <cell r="B1290" t="str">
            <v>OT090230012-XXL</v>
          </cell>
          <cell r="C1290" t="str">
            <v>ACCESORIOS</v>
          </cell>
          <cell r="D1290" t="str">
            <v>GORRO</v>
          </cell>
          <cell r="E1290" t="str">
            <v>GORRO ESPIGA</v>
          </cell>
          <cell r="F1290" t="str">
            <v>TELA</v>
          </cell>
          <cell r="G1290">
            <v>0</v>
          </cell>
          <cell r="H1290" t="str">
            <v>GRIS CLARO</v>
          </cell>
          <cell r="I1290" t="str">
            <v>XXL</v>
          </cell>
          <cell r="J1290" t="str">
            <v>H</v>
          </cell>
        </row>
        <row r="1291">
          <cell r="B1291" t="str">
            <v>OT090220001-L</v>
          </cell>
          <cell r="C1291" t="str">
            <v>ACCESORIOS</v>
          </cell>
          <cell r="D1291" t="str">
            <v>GORRO</v>
          </cell>
          <cell r="E1291" t="str">
            <v>GORRO PAÑO</v>
          </cell>
          <cell r="F1291" t="str">
            <v>TELA</v>
          </cell>
          <cell r="G1291">
            <v>0</v>
          </cell>
          <cell r="H1291" t="str">
            <v>NEGRO</v>
          </cell>
          <cell r="I1291" t="str">
            <v>L</v>
          </cell>
          <cell r="J1291" t="str">
            <v>H</v>
          </cell>
        </row>
        <row r="1292">
          <cell r="B1292" t="str">
            <v>OT090220001-M</v>
          </cell>
          <cell r="C1292" t="str">
            <v>ACCESORIOS</v>
          </cell>
          <cell r="D1292" t="str">
            <v>GORRO</v>
          </cell>
          <cell r="E1292" t="str">
            <v>GORRO PAÑO</v>
          </cell>
          <cell r="F1292" t="str">
            <v>TELA</v>
          </cell>
          <cell r="G1292">
            <v>0</v>
          </cell>
          <cell r="H1292" t="str">
            <v>NEGRO</v>
          </cell>
          <cell r="I1292" t="str">
            <v>M</v>
          </cell>
          <cell r="J1292" t="str">
            <v>H</v>
          </cell>
        </row>
        <row r="1293">
          <cell r="B1293" t="str">
            <v>OT090220001-S</v>
          </cell>
          <cell r="C1293" t="str">
            <v>ACCESORIOS</v>
          </cell>
          <cell r="D1293" t="str">
            <v>GORRO</v>
          </cell>
          <cell r="E1293" t="str">
            <v>GORRO PAÑO</v>
          </cell>
          <cell r="F1293" t="str">
            <v>TELA</v>
          </cell>
          <cell r="G1293">
            <v>0</v>
          </cell>
          <cell r="H1293" t="str">
            <v>NEGRO</v>
          </cell>
          <cell r="I1293" t="str">
            <v>S</v>
          </cell>
          <cell r="J1293" t="str">
            <v>H</v>
          </cell>
        </row>
        <row r="1294">
          <cell r="B1294" t="str">
            <v>OT090220001-XL</v>
          </cell>
          <cell r="C1294" t="str">
            <v>ACCESORIOS</v>
          </cell>
          <cell r="D1294" t="str">
            <v>GORRO</v>
          </cell>
          <cell r="E1294" t="str">
            <v>GORRO PAÑO</v>
          </cell>
          <cell r="F1294" t="str">
            <v>TELA</v>
          </cell>
          <cell r="G1294">
            <v>0</v>
          </cell>
          <cell r="H1294" t="str">
            <v>NEGRO</v>
          </cell>
          <cell r="I1294" t="str">
            <v>XL</v>
          </cell>
          <cell r="J1294" t="str">
            <v>H</v>
          </cell>
        </row>
        <row r="1295">
          <cell r="B1295" t="str">
            <v>OT090220001-XXL</v>
          </cell>
          <cell r="C1295" t="str">
            <v>ACCESORIOS</v>
          </cell>
          <cell r="D1295" t="str">
            <v>GORRO</v>
          </cell>
          <cell r="E1295" t="str">
            <v>GORRO PAÑO</v>
          </cell>
          <cell r="F1295" t="str">
            <v>TELA</v>
          </cell>
          <cell r="G1295">
            <v>0</v>
          </cell>
          <cell r="H1295" t="str">
            <v>NEGRO</v>
          </cell>
          <cell r="I1295" t="str">
            <v>XXL</v>
          </cell>
          <cell r="J1295" t="str">
            <v>H</v>
          </cell>
        </row>
        <row r="1296">
          <cell r="B1296" t="str">
            <v>OT090220009-L</v>
          </cell>
          <cell r="C1296" t="str">
            <v>ACCESORIOS</v>
          </cell>
          <cell r="D1296" t="str">
            <v>GORRO</v>
          </cell>
          <cell r="E1296" t="str">
            <v>GORRO PAÑO</v>
          </cell>
          <cell r="F1296" t="str">
            <v>TELA</v>
          </cell>
          <cell r="G1296">
            <v>0</v>
          </cell>
          <cell r="H1296" t="str">
            <v>AZUL MARINO</v>
          </cell>
          <cell r="I1296" t="str">
            <v>L</v>
          </cell>
          <cell r="J1296" t="str">
            <v>H</v>
          </cell>
        </row>
        <row r="1297">
          <cell r="B1297" t="str">
            <v>OT090220009-M</v>
          </cell>
          <cell r="C1297" t="str">
            <v>ACCESORIOS</v>
          </cell>
          <cell r="D1297" t="str">
            <v>GORRO</v>
          </cell>
          <cell r="E1297" t="str">
            <v>GORRO PAÑO</v>
          </cell>
          <cell r="F1297" t="str">
            <v>TELA</v>
          </cell>
          <cell r="G1297">
            <v>0</v>
          </cell>
          <cell r="H1297" t="str">
            <v>AZUL MARINO</v>
          </cell>
          <cell r="I1297" t="str">
            <v>M</v>
          </cell>
          <cell r="J1297" t="str">
            <v>H</v>
          </cell>
        </row>
        <row r="1298">
          <cell r="B1298" t="str">
            <v>OT090220009-S</v>
          </cell>
          <cell r="C1298" t="str">
            <v>ACCESORIOS</v>
          </cell>
          <cell r="D1298" t="str">
            <v>GORRO</v>
          </cell>
          <cell r="E1298" t="str">
            <v>GORRO PAÑO</v>
          </cell>
          <cell r="F1298" t="str">
            <v>TELA</v>
          </cell>
          <cell r="G1298">
            <v>0</v>
          </cell>
          <cell r="H1298" t="str">
            <v>AZUL MARINO</v>
          </cell>
          <cell r="I1298" t="str">
            <v>S</v>
          </cell>
          <cell r="J1298" t="str">
            <v>H</v>
          </cell>
        </row>
        <row r="1299">
          <cell r="B1299" t="str">
            <v>OT090220009-XL</v>
          </cell>
          <cell r="C1299" t="str">
            <v>ACCESORIOS</v>
          </cell>
          <cell r="D1299" t="str">
            <v>GORRO</v>
          </cell>
          <cell r="E1299" t="str">
            <v>GORRO PAÑO</v>
          </cell>
          <cell r="F1299" t="str">
            <v>TELA</v>
          </cell>
          <cell r="G1299">
            <v>0</v>
          </cell>
          <cell r="H1299" t="str">
            <v>AZUL MARINO</v>
          </cell>
          <cell r="I1299" t="str">
            <v>XL</v>
          </cell>
          <cell r="J1299" t="str">
            <v>H</v>
          </cell>
        </row>
        <row r="1300">
          <cell r="B1300" t="str">
            <v>OT090220009-XXL</v>
          </cell>
          <cell r="C1300" t="str">
            <v>ACCESORIOS</v>
          </cell>
          <cell r="D1300" t="str">
            <v>GORRO</v>
          </cell>
          <cell r="E1300" t="str">
            <v>GORRO PAÑO</v>
          </cell>
          <cell r="F1300" t="str">
            <v>TELA</v>
          </cell>
          <cell r="G1300">
            <v>0</v>
          </cell>
          <cell r="H1300" t="str">
            <v>AZUL MARINO</v>
          </cell>
          <cell r="I1300" t="str">
            <v>XXL</v>
          </cell>
          <cell r="J1300" t="str">
            <v>H</v>
          </cell>
        </row>
        <row r="1301">
          <cell r="B1301" t="str">
            <v>OT090220012-L</v>
          </cell>
          <cell r="C1301" t="str">
            <v>ACCESORIOS</v>
          </cell>
          <cell r="D1301" t="str">
            <v>GORRO</v>
          </cell>
          <cell r="E1301" t="str">
            <v>GORRO PAÑO</v>
          </cell>
          <cell r="F1301" t="str">
            <v>TELA</v>
          </cell>
          <cell r="G1301">
            <v>0</v>
          </cell>
          <cell r="H1301" t="str">
            <v>GRIS TOPO</v>
          </cell>
          <cell r="I1301" t="str">
            <v>L</v>
          </cell>
          <cell r="J1301" t="str">
            <v>H</v>
          </cell>
        </row>
        <row r="1302">
          <cell r="B1302" t="str">
            <v>OT090220012-M</v>
          </cell>
          <cell r="C1302" t="str">
            <v>ACCESORIOS</v>
          </cell>
          <cell r="D1302" t="str">
            <v>GORRO</v>
          </cell>
          <cell r="E1302" t="str">
            <v>GORRO PAÑO</v>
          </cell>
          <cell r="F1302" t="str">
            <v>TELA</v>
          </cell>
          <cell r="G1302">
            <v>0</v>
          </cell>
          <cell r="H1302" t="str">
            <v>GRIS TOPO</v>
          </cell>
          <cell r="I1302" t="str">
            <v>M</v>
          </cell>
          <cell r="J1302" t="str">
            <v>H</v>
          </cell>
        </row>
        <row r="1303">
          <cell r="B1303" t="str">
            <v>OT090220012-S</v>
          </cell>
          <cell r="C1303" t="str">
            <v>ACCESORIOS</v>
          </cell>
          <cell r="D1303" t="str">
            <v>GORRO</v>
          </cell>
          <cell r="E1303" t="str">
            <v>GORRO PAÑO</v>
          </cell>
          <cell r="F1303" t="str">
            <v>TELA</v>
          </cell>
          <cell r="G1303">
            <v>0</v>
          </cell>
          <cell r="H1303" t="str">
            <v>GRIS TOPO</v>
          </cell>
          <cell r="I1303" t="str">
            <v>S</v>
          </cell>
          <cell r="J1303" t="str">
            <v>H</v>
          </cell>
        </row>
        <row r="1304">
          <cell r="B1304" t="str">
            <v>OT090220012-XL</v>
          </cell>
          <cell r="C1304" t="str">
            <v>ACCESORIOS</v>
          </cell>
          <cell r="D1304" t="str">
            <v>GORRO</v>
          </cell>
          <cell r="E1304" t="str">
            <v>GORRO PAÑO</v>
          </cell>
          <cell r="F1304" t="str">
            <v>TELA</v>
          </cell>
          <cell r="G1304">
            <v>0</v>
          </cell>
          <cell r="H1304" t="str">
            <v>GRIS TOPO</v>
          </cell>
          <cell r="I1304" t="str">
            <v>XL</v>
          </cell>
          <cell r="J1304" t="str">
            <v>H</v>
          </cell>
        </row>
        <row r="1305">
          <cell r="B1305" t="str">
            <v>OT090220012-XXL</v>
          </cell>
          <cell r="C1305" t="str">
            <v>ACCESORIOS</v>
          </cell>
          <cell r="D1305" t="str">
            <v>GORRO</v>
          </cell>
          <cell r="E1305" t="str">
            <v>GORRO PAÑO</v>
          </cell>
          <cell r="F1305" t="str">
            <v>TELA</v>
          </cell>
          <cell r="G1305">
            <v>0</v>
          </cell>
          <cell r="H1305" t="str">
            <v>GRIS TOPO</v>
          </cell>
          <cell r="I1305" t="str">
            <v>XXL</v>
          </cell>
          <cell r="J1305" t="str">
            <v>H</v>
          </cell>
        </row>
        <row r="1306">
          <cell r="B1306" t="str">
            <v>TX190162801</v>
          </cell>
          <cell r="C1306" t="str">
            <v>ACCESORIOS</v>
          </cell>
          <cell r="D1306" t="str">
            <v>GORRO</v>
          </cell>
          <cell r="E1306" t="str">
            <v>GORRO SIRIUS</v>
          </cell>
          <cell r="F1306" t="str">
            <v>LANA LLAMA</v>
          </cell>
          <cell r="G1306">
            <v>0</v>
          </cell>
          <cell r="H1306" t="str">
            <v>NEGRO</v>
          </cell>
          <cell r="I1306" t="str">
            <v>U</v>
          </cell>
          <cell r="J1306" t="str">
            <v>H</v>
          </cell>
        </row>
        <row r="1307">
          <cell r="B1307" t="str">
            <v>TX190162809</v>
          </cell>
          <cell r="C1307" t="str">
            <v>ACCESORIOS</v>
          </cell>
          <cell r="D1307" t="str">
            <v>GORRO</v>
          </cell>
          <cell r="E1307" t="str">
            <v>GORRO SIRIUS</v>
          </cell>
          <cell r="F1307" t="str">
            <v>LANA LLAMA</v>
          </cell>
          <cell r="G1307">
            <v>0</v>
          </cell>
          <cell r="H1307" t="str">
            <v>AZUL</v>
          </cell>
          <cell r="I1307" t="str">
            <v>U</v>
          </cell>
          <cell r="J1307" t="str">
            <v>H</v>
          </cell>
        </row>
        <row r="1308">
          <cell r="B1308" t="str">
            <v>TX190162811</v>
          </cell>
          <cell r="C1308" t="str">
            <v>ACCESORIOS</v>
          </cell>
          <cell r="D1308" t="str">
            <v>GORRO</v>
          </cell>
          <cell r="E1308" t="str">
            <v>GORRO SIRIUS</v>
          </cell>
          <cell r="F1308" t="str">
            <v>LANA LLAMA</v>
          </cell>
          <cell r="G1308">
            <v>0</v>
          </cell>
          <cell r="H1308" t="str">
            <v>BEIGE</v>
          </cell>
          <cell r="I1308" t="str">
            <v>U</v>
          </cell>
          <cell r="J1308" t="str">
            <v>H</v>
          </cell>
        </row>
        <row r="1309">
          <cell r="B1309" t="str">
            <v>TX190162812</v>
          </cell>
          <cell r="C1309" t="str">
            <v>ACCESORIOS</v>
          </cell>
          <cell r="D1309" t="str">
            <v>GORRO</v>
          </cell>
          <cell r="E1309" t="str">
            <v>GORRO SIRIUS</v>
          </cell>
          <cell r="F1309" t="str">
            <v>LANA LLAMA</v>
          </cell>
          <cell r="G1309">
            <v>0</v>
          </cell>
          <cell r="H1309" t="str">
            <v>GRIS MEDIO</v>
          </cell>
          <cell r="I1309" t="str">
            <v>U</v>
          </cell>
          <cell r="J1309" t="str">
            <v>H</v>
          </cell>
        </row>
        <row r="1310">
          <cell r="B1310" t="str">
            <v>TX190162828</v>
          </cell>
          <cell r="C1310" t="str">
            <v>ACCESORIOS</v>
          </cell>
          <cell r="D1310" t="str">
            <v>GORRO</v>
          </cell>
          <cell r="E1310" t="str">
            <v>GORRO SIRIUS</v>
          </cell>
          <cell r="F1310" t="str">
            <v>LANA LLAMA</v>
          </cell>
          <cell r="G1310">
            <v>0</v>
          </cell>
          <cell r="H1310" t="str">
            <v>VISON</v>
          </cell>
          <cell r="I1310" t="str">
            <v>U</v>
          </cell>
          <cell r="J1310" t="str">
            <v>H</v>
          </cell>
        </row>
        <row r="1311">
          <cell r="B1311" t="str">
            <v>TX190162836</v>
          </cell>
          <cell r="C1311" t="str">
            <v>ACCESORIOS</v>
          </cell>
          <cell r="D1311" t="str">
            <v>GORRO</v>
          </cell>
          <cell r="E1311" t="str">
            <v>GORRO SIRIUS</v>
          </cell>
          <cell r="F1311" t="str">
            <v>LANA LLAMA</v>
          </cell>
          <cell r="G1311">
            <v>0</v>
          </cell>
          <cell r="H1311" t="str">
            <v>CRUDO</v>
          </cell>
          <cell r="I1311" t="str">
            <v>U</v>
          </cell>
          <cell r="J1311" t="str">
            <v>H</v>
          </cell>
        </row>
        <row r="1312">
          <cell r="B1312" t="str">
            <v>TX190192901</v>
          </cell>
          <cell r="C1312" t="str">
            <v>ACCESORIOS</v>
          </cell>
          <cell r="D1312" t="str">
            <v>GORRO</v>
          </cell>
          <cell r="E1312" t="str">
            <v>GORRO VEGA</v>
          </cell>
          <cell r="F1312" t="str">
            <v>LANA ALPACA</v>
          </cell>
          <cell r="G1312">
            <v>0</v>
          </cell>
          <cell r="H1312" t="str">
            <v>NEGRO</v>
          </cell>
          <cell r="I1312" t="str">
            <v>U</v>
          </cell>
          <cell r="J1312" t="str">
            <v>H</v>
          </cell>
        </row>
        <row r="1313">
          <cell r="B1313" t="str">
            <v>TX190192909</v>
          </cell>
          <cell r="C1313" t="str">
            <v>ACCESORIOS</v>
          </cell>
          <cell r="D1313" t="str">
            <v>GORRO</v>
          </cell>
          <cell r="E1313" t="str">
            <v>GORRO VEGA</v>
          </cell>
          <cell r="F1313" t="str">
            <v>LANA ALPACA</v>
          </cell>
          <cell r="G1313">
            <v>0</v>
          </cell>
          <cell r="H1313" t="str">
            <v>AZUL</v>
          </cell>
          <cell r="I1313" t="str">
            <v>U</v>
          </cell>
          <cell r="J1313" t="str">
            <v>H</v>
          </cell>
        </row>
        <row r="1314">
          <cell r="B1314" t="str">
            <v>TX190192912</v>
          </cell>
          <cell r="C1314" t="str">
            <v>ACCESORIOS</v>
          </cell>
          <cell r="D1314" t="str">
            <v>GORRO</v>
          </cell>
          <cell r="E1314" t="str">
            <v>GORRO VEGA</v>
          </cell>
          <cell r="F1314" t="str">
            <v>LANA ALPACA</v>
          </cell>
          <cell r="G1314">
            <v>0</v>
          </cell>
          <cell r="H1314" t="str">
            <v>GRIS MEDIO</v>
          </cell>
          <cell r="I1314" t="str">
            <v>U</v>
          </cell>
          <cell r="J1314" t="str">
            <v>H</v>
          </cell>
        </row>
        <row r="1315">
          <cell r="B1315" t="str">
            <v>TX190192921</v>
          </cell>
          <cell r="C1315" t="str">
            <v>ACCESORIOS</v>
          </cell>
          <cell r="D1315" t="str">
            <v>GORRO</v>
          </cell>
          <cell r="E1315" t="str">
            <v>GORRO VEGA</v>
          </cell>
          <cell r="F1315" t="str">
            <v>LANA ALPACA</v>
          </cell>
          <cell r="G1315">
            <v>0</v>
          </cell>
          <cell r="H1315" t="str">
            <v>TOSTADO</v>
          </cell>
          <cell r="I1315" t="str">
            <v>U</v>
          </cell>
          <cell r="J1315" t="str">
            <v>H</v>
          </cell>
        </row>
        <row r="1316">
          <cell r="B1316" t="str">
            <v>TX190192936</v>
          </cell>
          <cell r="C1316" t="str">
            <v>ACCESORIOS</v>
          </cell>
          <cell r="D1316" t="str">
            <v>GORRO</v>
          </cell>
          <cell r="E1316" t="str">
            <v>GORRO VEGA</v>
          </cell>
          <cell r="F1316" t="str">
            <v>LANA ALPACA</v>
          </cell>
          <cell r="G1316">
            <v>0</v>
          </cell>
          <cell r="H1316" t="str">
            <v>CRUDO</v>
          </cell>
          <cell r="I1316" t="str">
            <v>U</v>
          </cell>
          <cell r="J1316" t="str">
            <v>H</v>
          </cell>
        </row>
        <row r="1317">
          <cell r="B1317" t="str">
            <v>OT130502601-L</v>
          </cell>
          <cell r="C1317" t="str">
            <v>ACCESORIOS</v>
          </cell>
          <cell r="D1317" t="str">
            <v>GORRO</v>
          </cell>
          <cell r="E1317" t="str">
            <v>GORRO VENTO</v>
          </cell>
          <cell r="F1317" t="str">
            <v>PAÑO LANA</v>
          </cell>
          <cell r="G1317">
            <v>0</v>
          </cell>
          <cell r="H1317" t="str">
            <v>NEGRO</v>
          </cell>
          <cell r="I1317" t="str">
            <v>L</v>
          </cell>
          <cell r="J1317" t="str">
            <v>H</v>
          </cell>
        </row>
        <row r="1318">
          <cell r="B1318" t="str">
            <v>OT130502601-M</v>
          </cell>
          <cell r="C1318" t="str">
            <v>ACCESORIOS</v>
          </cell>
          <cell r="D1318" t="str">
            <v>GORRO</v>
          </cell>
          <cell r="E1318" t="str">
            <v>GORRO VENTO</v>
          </cell>
          <cell r="F1318" t="str">
            <v>PAÑO LANA</v>
          </cell>
          <cell r="G1318">
            <v>0</v>
          </cell>
          <cell r="H1318" t="str">
            <v>NEGRO</v>
          </cell>
          <cell r="I1318" t="str">
            <v>M</v>
          </cell>
          <cell r="J1318" t="str">
            <v>H</v>
          </cell>
        </row>
        <row r="1319">
          <cell r="B1319" t="str">
            <v>OT130502601-S</v>
          </cell>
          <cell r="C1319" t="str">
            <v>ACCESORIOS</v>
          </cell>
          <cell r="D1319" t="str">
            <v>GORRO</v>
          </cell>
          <cell r="E1319" t="str">
            <v>GORRO VENTO</v>
          </cell>
          <cell r="F1319" t="str">
            <v>PAÑO LANA</v>
          </cell>
          <cell r="G1319">
            <v>0</v>
          </cell>
          <cell r="H1319" t="str">
            <v>NEGRO</v>
          </cell>
          <cell r="I1319" t="str">
            <v>S</v>
          </cell>
          <cell r="J1319" t="str">
            <v>H</v>
          </cell>
        </row>
        <row r="1320">
          <cell r="B1320" t="str">
            <v>OT130502601-XL</v>
          </cell>
          <cell r="C1320" t="str">
            <v>ACCESORIOS</v>
          </cell>
          <cell r="D1320" t="str">
            <v>GORRO</v>
          </cell>
          <cell r="E1320" t="str">
            <v>GORRO VENTO</v>
          </cell>
          <cell r="F1320" t="str">
            <v>PAÑO LANA</v>
          </cell>
          <cell r="G1320">
            <v>0</v>
          </cell>
          <cell r="H1320" t="str">
            <v>NEGRO</v>
          </cell>
          <cell r="I1320" t="str">
            <v>XL</v>
          </cell>
          <cell r="J1320" t="str">
            <v>H</v>
          </cell>
        </row>
        <row r="1321">
          <cell r="B1321" t="str">
            <v>OT130502601-XXL</v>
          </cell>
          <cell r="C1321" t="str">
            <v>ACCESORIOS</v>
          </cell>
          <cell r="D1321" t="str">
            <v>GORRO</v>
          </cell>
          <cell r="E1321" t="str">
            <v>GORRO VENTO</v>
          </cell>
          <cell r="F1321" t="str">
            <v>PAÑO LANA</v>
          </cell>
          <cell r="G1321">
            <v>0</v>
          </cell>
          <cell r="H1321" t="str">
            <v>NEGRO</v>
          </cell>
          <cell r="I1321" t="str">
            <v>XXL</v>
          </cell>
          <cell r="J1321" t="str">
            <v>H</v>
          </cell>
        </row>
        <row r="1322">
          <cell r="B1322" t="str">
            <v>OT130502610-L</v>
          </cell>
          <cell r="C1322" t="str">
            <v>ACCESORIOS</v>
          </cell>
          <cell r="D1322" t="str">
            <v>GORRO</v>
          </cell>
          <cell r="E1322" t="str">
            <v>GORRO VENTO</v>
          </cell>
          <cell r="F1322" t="str">
            <v>PAÑO LANA</v>
          </cell>
          <cell r="G1322">
            <v>0</v>
          </cell>
          <cell r="H1322" t="str">
            <v>VERDE</v>
          </cell>
          <cell r="I1322" t="str">
            <v>L</v>
          </cell>
          <cell r="J1322" t="str">
            <v>H</v>
          </cell>
        </row>
        <row r="1323">
          <cell r="B1323" t="str">
            <v>OT130502610-M</v>
          </cell>
          <cell r="C1323" t="str">
            <v>ACCESORIOS</v>
          </cell>
          <cell r="D1323" t="str">
            <v>GORRO</v>
          </cell>
          <cell r="E1323" t="str">
            <v>GORRO VENTO</v>
          </cell>
          <cell r="F1323" t="str">
            <v>PAÑO LANA</v>
          </cell>
          <cell r="G1323">
            <v>0</v>
          </cell>
          <cell r="H1323" t="str">
            <v>VERDE</v>
          </cell>
          <cell r="I1323" t="str">
            <v>M</v>
          </cell>
          <cell r="J1323" t="str">
            <v>H</v>
          </cell>
        </row>
        <row r="1324">
          <cell r="B1324" t="str">
            <v>OT130502610-S</v>
          </cell>
          <cell r="C1324" t="str">
            <v>ACCESORIOS</v>
          </cell>
          <cell r="D1324" t="str">
            <v>GORRO</v>
          </cell>
          <cell r="E1324" t="str">
            <v>GORRO VENTO</v>
          </cell>
          <cell r="F1324" t="str">
            <v>PAÑO LANA</v>
          </cell>
          <cell r="G1324">
            <v>0</v>
          </cell>
          <cell r="H1324" t="str">
            <v>VERDE</v>
          </cell>
          <cell r="I1324" t="str">
            <v>S</v>
          </cell>
          <cell r="J1324" t="str">
            <v>H</v>
          </cell>
        </row>
        <row r="1325">
          <cell r="B1325" t="str">
            <v>OT130502610-XL</v>
          </cell>
          <cell r="C1325" t="str">
            <v>ACCESORIOS</v>
          </cell>
          <cell r="D1325" t="str">
            <v>GORRO</v>
          </cell>
          <cell r="E1325" t="str">
            <v>GORRO VENTO</v>
          </cell>
          <cell r="F1325" t="str">
            <v>PAÑO LANA</v>
          </cell>
          <cell r="G1325">
            <v>0</v>
          </cell>
          <cell r="H1325" t="str">
            <v>VERDE</v>
          </cell>
          <cell r="I1325" t="str">
            <v>XL</v>
          </cell>
          <cell r="J1325" t="str">
            <v>H</v>
          </cell>
        </row>
        <row r="1326">
          <cell r="B1326" t="str">
            <v>OT130502610-XXL</v>
          </cell>
          <cell r="C1326" t="str">
            <v>ACCESORIOS</v>
          </cell>
          <cell r="D1326" t="str">
            <v>GORRO</v>
          </cell>
          <cell r="E1326" t="str">
            <v>GORRO VENTO</v>
          </cell>
          <cell r="F1326" t="str">
            <v>PAÑO LANA</v>
          </cell>
          <cell r="G1326">
            <v>0</v>
          </cell>
          <cell r="H1326" t="str">
            <v>VERDE</v>
          </cell>
          <cell r="I1326" t="str">
            <v>XXL</v>
          </cell>
          <cell r="J1326" t="str">
            <v>H</v>
          </cell>
        </row>
        <row r="1327">
          <cell r="B1327" t="str">
            <v>OT130502611-L</v>
          </cell>
          <cell r="C1327" t="str">
            <v>ACCESORIOS</v>
          </cell>
          <cell r="D1327" t="str">
            <v>GORRO</v>
          </cell>
          <cell r="E1327" t="str">
            <v>GORRO VENTO</v>
          </cell>
          <cell r="F1327" t="str">
            <v>PAÑO LANA</v>
          </cell>
          <cell r="G1327">
            <v>0</v>
          </cell>
          <cell r="H1327" t="str">
            <v>BEIGE</v>
          </cell>
          <cell r="I1327" t="str">
            <v>L</v>
          </cell>
          <cell r="J1327" t="str">
            <v>H</v>
          </cell>
        </row>
        <row r="1328">
          <cell r="B1328" t="str">
            <v>OT130502611-M</v>
          </cell>
          <cell r="C1328" t="str">
            <v>ACCESORIOS</v>
          </cell>
          <cell r="D1328" t="str">
            <v>GORRO</v>
          </cell>
          <cell r="E1328" t="str">
            <v>GORRO VENTO</v>
          </cell>
          <cell r="F1328" t="str">
            <v>PAÑO LANA</v>
          </cell>
          <cell r="G1328">
            <v>0</v>
          </cell>
          <cell r="H1328" t="str">
            <v>BEIGE</v>
          </cell>
          <cell r="I1328" t="str">
            <v>M</v>
          </cell>
          <cell r="J1328" t="str">
            <v>H</v>
          </cell>
        </row>
        <row r="1329">
          <cell r="B1329" t="str">
            <v>OT130502611-S</v>
          </cell>
          <cell r="C1329" t="str">
            <v>ACCESORIOS</v>
          </cell>
          <cell r="D1329" t="str">
            <v>GORRO</v>
          </cell>
          <cell r="E1329" t="str">
            <v>GORRO VENTO</v>
          </cell>
          <cell r="F1329" t="str">
            <v>PAÑO LANA</v>
          </cell>
          <cell r="G1329">
            <v>0</v>
          </cell>
          <cell r="H1329" t="str">
            <v>BEIGE</v>
          </cell>
          <cell r="I1329" t="str">
            <v>S</v>
          </cell>
          <cell r="J1329" t="str">
            <v>H</v>
          </cell>
        </row>
        <row r="1330">
          <cell r="B1330" t="str">
            <v>OT130502611-XL</v>
          </cell>
          <cell r="C1330" t="str">
            <v>ACCESORIOS</v>
          </cell>
          <cell r="D1330" t="str">
            <v>GORRO</v>
          </cell>
          <cell r="E1330" t="str">
            <v>GORRO VENTO</v>
          </cell>
          <cell r="F1330" t="str">
            <v>PAÑO LANA</v>
          </cell>
          <cell r="G1330">
            <v>0</v>
          </cell>
          <cell r="H1330" t="str">
            <v>BEIGE</v>
          </cell>
          <cell r="I1330" t="str">
            <v>XL</v>
          </cell>
          <cell r="J1330" t="str">
            <v>H</v>
          </cell>
        </row>
        <row r="1331">
          <cell r="B1331" t="str">
            <v>OT130502611-XXL</v>
          </cell>
          <cell r="C1331" t="str">
            <v>ACCESORIOS</v>
          </cell>
          <cell r="D1331" t="str">
            <v>GORRO</v>
          </cell>
          <cell r="E1331" t="str">
            <v>GORRO VENTO</v>
          </cell>
          <cell r="F1331" t="str">
            <v>PAÑO LANA</v>
          </cell>
          <cell r="G1331">
            <v>0</v>
          </cell>
          <cell r="H1331" t="str">
            <v>BEIGE</v>
          </cell>
          <cell r="I1331" t="str">
            <v>XXL</v>
          </cell>
          <cell r="J1331" t="str">
            <v>H</v>
          </cell>
        </row>
        <row r="1332">
          <cell r="B1332" t="str">
            <v>OT130502612-L</v>
          </cell>
          <cell r="C1332" t="str">
            <v>ACCESORIOS</v>
          </cell>
          <cell r="D1332" t="str">
            <v>GORRO</v>
          </cell>
          <cell r="E1332" t="str">
            <v>GORRO VENTO</v>
          </cell>
          <cell r="F1332" t="str">
            <v>PAÑO LANA</v>
          </cell>
          <cell r="G1332">
            <v>0</v>
          </cell>
          <cell r="H1332" t="str">
            <v>GRIS</v>
          </cell>
          <cell r="I1332" t="str">
            <v>L</v>
          </cell>
          <cell r="J1332" t="str">
            <v>H</v>
          </cell>
        </row>
        <row r="1333">
          <cell r="B1333" t="str">
            <v>OT130502612-M</v>
          </cell>
          <cell r="C1333" t="str">
            <v>ACCESORIOS</v>
          </cell>
          <cell r="D1333" t="str">
            <v>GORRO</v>
          </cell>
          <cell r="E1333" t="str">
            <v>GORRO VENTO</v>
          </cell>
          <cell r="F1333" t="str">
            <v>PAÑO LANA</v>
          </cell>
          <cell r="G1333">
            <v>0</v>
          </cell>
          <cell r="H1333" t="str">
            <v>GRIS</v>
          </cell>
          <cell r="I1333" t="str">
            <v>M</v>
          </cell>
          <cell r="J1333" t="str">
            <v>H</v>
          </cell>
        </row>
        <row r="1334">
          <cell r="B1334" t="str">
            <v>OT130502612-S</v>
          </cell>
          <cell r="C1334" t="str">
            <v>ACCESORIOS</v>
          </cell>
          <cell r="D1334" t="str">
            <v>GORRO</v>
          </cell>
          <cell r="E1334" t="str">
            <v>GORRO VENTO</v>
          </cell>
          <cell r="F1334" t="str">
            <v>PAÑO LANA</v>
          </cell>
          <cell r="G1334">
            <v>0</v>
          </cell>
          <cell r="H1334" t="str">
            <v>GRIS</v>
          </cell>
          <cell r="I1334" t="str">
            <v>S</v>
          </cell>
          <cell r="J1334" t="str">
            <v>H</v>
          </cell>
        </row>
        <row r="1335">
          <cell r="B1335" t="str">
            <v>OT130502612-XL</v>
          </cell>
          <cell r="C1335" t="str">
            <v>ACCESORIOS</v>
          </cell>
          <cell r="D1335" t="str">
            <v>GORRO</v>
          </cell>
          <cell r="E1335" t="str">
            <v>GORRO VENTO</v>
          </cell>
          <cell r="F1335" t="str">
            <v>PAÑO LANA</v>
          </cell>
          <cell r="G1335">
            <v>0</v>
          </cell>
          <cell r="H1335" t="str">
            <v>GRIS</v>
          </cell>
          <cell r="I1335" t="str">
            <v>XL</v>
          </cell>
          <cell r="J1335" t="str">
            <v>H</v>
          </cell>
        </row>
        <row r="1336">
          <cell r="B1336" t="str">
            <v>OT130502612-XXL</v>
          </cell>
          <cell r="C1336" t="str">
            <v>ACCESORIOS</v>
          </cell>
          <cell r="D1336" t="str">
            <v>GORRO</v>
          </cell>
          <cell r="E1336" t="str">
            <v>GORRO VENTO</v>
          </cell>
          <cell r="F1336" t="str">
            <v>PAÑO LANA</v>
          </cell>
          <cell r="G1336">
            <v>0</v>
          </cell>
          <cell r="H1336" t="str">
            <v>GRIS</v>
          </cell>
          <cell r="I1336" t="str">
            <v>XXL</v>
          </cell>
          <cell r="J1336" t="str">
            <v>H</v>
          </cell>
        </row>
        <row r="1337">
          <cell r="B1337" t="str">
            <v>TX190222811</v>
          </cell>
          <cell r="C1337" t="str">
            <v>TEXTIL</v>
          </cell>
          <cell r="D1337" t="str">
            <v>GUANTES</v>
          </cell>
          <cell r="E1337" t="str">
            <v>GUANTE RIGEL</v>
          </cell>
          <cell r="F1337" t="str">
            <v>LANA LLAMA</v>
          </cell>
          <cell r="G1337">
            <v>0</v>
          </cell>
          <cell r="H1337" t="str">
            <v>BEIGE</v>
          </cell>
          <cell r="I1337" t="str">
            <v>U</v>
          </cell>
          <cell r="J1337" t="str">
            <v>U</v>
          </cell>
        </row>
        <row r="1338">
          <cell r="B1338" t="str">
            <v>TX190222828</v>
          </cell>
          <cell r="C1338" t="str">
            <v>TEXTIL</v>
          </cell>
          <cell r="D1338" t="str">
            <v>GUANTES</v>
          </cell>
          <cell r="E1338" t="str">
            <v>GUANTE RIGEL</v>
          </cell>
          <cell r="F1338" t="str">
            <v>LANA LLAMA</v>
          </cell>
          <cell r="G1338">
            <v>0</v>
          </cell>
          <cell r="H1338" t="str">
            <v>VISON</v>
          </cell>
          <cell r="I1338" t="str">
            <v>U</v>
          </cell>
          <cell r="J1338" t="str">
            <v>U</v>
          </cell>
        </row>
        <row r="1339">
          <cell r="B1339" t="str">
            <v>TX190222836</v>
          </cell>
          <cell r="C1339" t="str">
            <v>TEXTIL</v>
          </cell>
          <cell r="D1339" t="str">
            <v>GUANTES</v>
          </cell>
          <cell r="E1339" t="str">
            <v>GUANTE RIGEL</v>
          </cell>
          <cell r="F1339" t="str">
            <v>LANA LLAMA</v>
          </cell>
          <cell r="G1339">
            <v>0</v>
          </cell>
          <cell r="H1339" t="str">
            <v>CRUDO</v>
          </cell>
          <cell r="I1339" t="str">
            <v>U</v>
          </cell>
          <cell r="J1339" t="str">
            <v>U</v>
          </cell>
        </row>
        <row r="1340">
          <cell r="B1340" t="str">
            <v>OT020540101</v>
          </cell>
          <cell r="C1340" t="str">
            <v>DECO</v>
          </cell>
          <cell r="D1340" t="str">
            <v>INDIVIDUAL</v>
          </cell>
          <cell r="E1340" t="str">
            <v>INDIVIDUAL CURVO</v>
          </cell>
          <cell r="F1340" t="str">
            <v>NAPADO</v>
          </cell>
          <cell r="G1340">
            <v>0</v>
          </cell>
          <cell r="H1340" t="str">
            <v>NEGRO</v>
          </cell>
          <cell r="I1340" t="str">
            <v>U</v>
          </cell>
          <cell r="J1340" t="str">
            <v>U</v>
          </cell>
        </row>
        <row r="1341">
          <cell r="B1341" t="str">
            <v>OT020540102</v>
          </cell>
          <cell r="C1341" t="str">
            <v>DECO</v>
          </cell>
          <cell r="D1341" t="str">
            <v>INDIVIDUAL</v>
          </cell>
          <cell r="E1341" t="str">
            <v>INDIVIDUAL CURVO</v>
          </cell>
          <cell r="F1341" t="str">
            <v>NAPADO</v>
          </cell>
          <cell r="G1341">
            <v>0</v>
          </cell>
          <cell r="H1341" t="str">
            <v>SUELA</v>
          </cell>
          <cell r="I1341" t="str">
            <v>U</v>
          </cell>
          <cell r="J1341" t="str">
            <v>U</v>
          </cell>
        </row>
        <row r="1342">
          <cell r="B1342" t="str">
            <v>OT020540103</v>
          </cell>
          <cell r="C1342" t="str">
            <v>DECO</v>
          </cell>
          <cell r="D1342" t="str">
            <v>INDIVIDUAL</v>
          </cell>
          <cell r="E1342" t="str">
            <v>INDIVIDUAL CURVO</v>
          </cell>
          <cell r="F1342" t="str">
            <v>NAPADO</v>
          </cell>
          <cell r="G1342">
            <v>0</v>
          </cell>
          <cell r="H1342" t="str">
            <v xml:space="preserve">CARAMELO </v>
          </cell>
          <cell r="I1342" t="str">
            <v>U</v>
          </cell>
          <cell r="J1342" t="str">
            <v>U</v>
          </cell>
        </row>
        <row r="1343">
          <cell r="B1343" t="str">
            <v>OT020540104</v>
          </cell>
          <cell r="C1343" t="str">
            <v>DECO</v>
          </cell>
          <cell r="D1343" t="str">
            <v>INDIVIDUAL</v>
          </cell>
          <cell r="E1343" t="str">
            <v>INDIVIDUAL CURVO</v>
          </cell>
          <cell r="F1343" t="str">
            <v>NAPADO</v>
          </cell>
          <cell r="G1343">
            <v>0</v>
          </cell>
          <cell r="H1343" t="str">
            <v>TABACO</v>
          </cell>
          <cell r="I1343" t="str">
            <v>U</v>
          </cell>
          <cell r="J1343" t="str">
            <v>U</v>
          </cell>
        </row>
        <row r="1344">
          <cell r="B1344" t="str">
            <v>OT020540301</v>
          </cell>
          <cell r="C1344" t="str">
            <v>DECO</v>
          </cell>
          <cell r="D1344" t="str">
            <v>INDIVIDUAL</v>
          </cell>
          <cell r="E1344" t="str">
            <v>INDIVIDUAL CURVO</v>
          </cell>
          <cell r="F1344" t="str">
            <v>BRIDGE</v>
          </cell>
          <cell r="G1344">
            <v>0</v>
          </cell>
          <cell r="H1344" t="str">
            <v>NEGRO</v>
          </cell>
          <cell r="I1344" t="str">
            <v>U</v>
          </cell>
          <cell r="J1344" t="str">
            <v>U</v>
          </cell>
        </row>
        <row r="1345">
          <cell r="B1345" t="str">
            <v>OT020540304</v>
          </cell>
          <cell r="C1345" t="str">
            <v>DECO</v>
          </cell>
          <cell r="D1345" t="str">
            <v>INDIVIDUAL</v>
          </cell>
          <cell r="E1345" t="str">
            <v>INDIVIDUAL CURVO</v>
          </cell>
          <cell r="F1345" t="str">
            <v>BRIDGE</v>
          </cell>
          <cell r="G1345">
            <v>0</v>
          </cell>
          <cell r="H1345" t="str">
            <v>TABACO</v>
          </cell>
          <cell r="I1345" t="str">
            <v>U</v>
          </cell>
          <cell r="J1345" t="str">
            <v>U</v>
          </cell>
        </row>
        <row r="1346">
          <cell r="B1346" t="str">
            <v>OT020540307</v>
          </cell>
          <cell r="C1346" t="str">
            <v>DECO</v>
          </cell>
          <cell r="D1346" t="str">
            <v>INDIVIDUAL</v>
          </cell>
          <cell r="E1346" t="str">
            <v>INDIVIDUAL CURVO</v>
          </cell>
          <cell r="F1346" t="str">
            <v>BRIDGE</v>
          </cell>
          <cell r="G1346">
            <v>0</v>
          </cell>
          <cell r="H1346" t="str">
            <v>ROJO</v>
          </cell>
          <cell r="I1346" t="str">
            <v>U</v>
          </cell>
          <cell r="J1346" t="str">
            <v>U</v>
          </cell>
        </row>
        <row r="1347">
          <cell r="B1347" t="str">
            <v>OT020020101</v>
          </cell>
          <cell r="C1347" t="str">
            <v>DECO</v>
          </cell>
          <cell r="D1347" t="str">
            <v>INDIVIDUAL</v>
          </cell>
          <cell r="E1347" t="str">
            <v>INDIVIDUAL FORRADO</v>
          </cell>
          <cell r="F1347" t="str">
            <v>NAPADO</v>
          </cell>
          <cell r="G1347">
            <v>0</v>
          </cell>
          <cell r="H1347" t="str">
            <v>NEGRO</v>
          </cell>
          <cell r="I1347" t="str">
            <v>U</v>
          </cell>
          <cell r="J1347" t="str">
            <v>U</v>
          </cell>
        </row>
        <row r="1348">
          <cell r="B1348" t="str">
            <v>OT020020102</v>
          </cell>
          <cell r="C1348" t="str">
            <v>DECO</v>
          </cell>
          <cell r="D1348" t="str">
            <v>INDIVIDUAL</v>
          </cell>
          <cell r="E1348" t="str">
            <v>INDIVIDUAL FORRADO</v>
          </cell>
          <cell r="F1348" t="str">
            <v>NAPADO</v>
          </cell>
          <cell r="G1348">
            <v>0</v>
          </cell>
          <cell r="H1348" t="str">
            <v>SUELA</v>
          </cell>
          <cell r="I1348" t="str">
            <v>U</v>
          </cell>
          <cell r="J1348" t="str">
            <v>U</v>
          </cell>
        </row>
        <row r="1349">
          <cell r="B1349" t="str">
            <v>OT020530101</v>
          </cell>
          <cell r="C1349" t="str">
            <v>DECO</v>
          </cell>
          <cell r="D1349" t="str">
            <v>INDIVIDUAL</v>
          </cell>
          <cell r="E1349" t="str">
            <v>INDIVIDUAL RECTO</v>
          </cell>
          <cell r="F1349" t="str">
            <v>NAPADO</v>
          </cell>
          <cell r="G1349">
            <v>0</v>
          </cell>
          <cell r="H1349" t="str">
            <v>NEGRO</v>
          </cell>
          <cell r="I1349" t="str">
            <v>U</v>
          </cell>
          <cell r="J1349" t="str">
            <v>U</v>
          </cell>
        </row>
        <row r="1350">
          <cell r="B1350" t="str">
            <v>OT020530102</v>
          </cell>
          <cell r="C1350" t="str">
            <v>DECO</v>
          </cell>
          <cell r="D1350" t="str">
            <v>INDIVIDUAL</v>
          </cell>
          <cell r="E1350" t="str">
            <v>INDIVIDUAL RECTO</v>
          </cell>
          <cell r="F1350" t="str">
            <v>NAPADO</v>
          </cell>
          <cell r="G1350">
            <v>0</v>
          </cell>
          <cell r="H1350" t="str">
            <v>SUELA</v>
          </cell>
          <cell r="I1350" t="str">
            <v>U</v>
          </cell>
          <cell r="J1350" t="str">
            <v>U</v>
          </cell>
        </row>
        <row r="1351">
          <cell r="B1351" t="str">
            <v>OT020530103</v>
          </cell>
          <cell r="C1351" t="str">
            <v>DECO</v>
          </cell>
          <cell r="D1351" t="str">
            <v>INDIVIDUAL</v>
          </cell>
          <cell r="E1351" t="str">
            <v>INDIVIDUAL RECTO</v>
          </cell>
          <cell r="F1351" t="str">
            <v>NAPADO</v>
          </cell>
          <cell r="G1351">
            <v>0</v>
          </cell>
          <cell r="H1351" t="str">
            <v xml:space="preserve">CARAMELO </v>
          </cell>
          <cell r="I1351" t="str">
            <v>U</v>
          </cell>
          <cell r="J1351" t="str">
            <v>U</v>
          </cell>
        </row>
        <row r="1352">
          <cell r="B1352" t="str">
            <v>OT020530104</v>
          </cell>
          <cell r="C1352" t="str">
            <v>DECO</v>
          </cell>
          <cell r="D1352" t="str">
            <v>INDIVIDUAL</v>
          </cell>
          <cell r="E1352" t="str">
            <v>INDIVIDUAL RECTO</v>
          </cell>
          <cell r="F1352" t="str">
            <v>NAPADO</v>
          </cell>
          <cell r="G1352">
            <v>0</v>
          </cell>
          <cell r="H1352" t="str">
            <v>TABACO</v>
          </cell>
          <cell r="I1352" t="str">
            <v>U</v>
          </cell>
          <cell r="J1352" t="str">
            <v>U</v>
          </cell>
        </row>
        <row r="1353">
          <cell r="B1353" t="str">
            <v>OT020530301</v>
          </cell>
          <cell r="C1353" t="str">
            <v>DECO</v>
          </cell>
          <cell r="D1353" t="str">
            <v>INDIVIDUAL</v>
          </cell>
          <cell r="E1353" t="str">
            <v>INDIVIDUAL RECTO</v>
          </cell>
          <cell r="F1353" t="str">
            <v>BRIDGE</v>
          </cell>
          <cell r="G1353">
            <v>0</v>
          </cell>
          <cell r="H1353" t="str">
            <v>NEGRO</v>
          </cell>
          <cell r="I1353" t="str">
            <v>U</v>
          </cell>
          <cell r="J1353" t="str">
            <v>U</v>
          </cell>
        </row>
        <row r="1354">
          <cell r="B1354" t="str">
            <v>OT020530304</v>
          </cell>
          <cell r="C1354" t="str">
            <v>DECO</v>
          </cell>
          <cell r="D1354" t="str">
            <v>INDIVIDUAL</v>
          </cell>
          <cell r="E1354" t="str">
            <v>INDIVIDUAL RECTO</v>
          </cell>
          <cell r="F1354" t="str">
            <v>BRIDGE</v>
          </cell>
          <cell r="G1354">
            <v>0</v>
          </cell>
          <cell r="H1354" t="str">
            <v>TABACO</v>
          </cell>
          <cell r="I1354" t="str">
            <v>U</v>
          </cell>
          <cell r="J1354" t="str">
            <v>U</v>
          </cell>
        </row>
        <row r="1355">
          <cell r="B1355" t="str">
            <v>OT020530307</v>
          </cell>
          <cell r="C1355" t="str">
            <v>DECO</v>
          </cell>
          <cell r="D1355" t="str">
            <v>INDIVIDUAL</v>
          </cell>
          <cell r="E1355" t="str">
            <v>INDIVIDUAL RECTO</v>
          </cell>
          <cell r="F1355" t="str">
            <v>BRIDGE</v>
          </cell>
          <cell r="G1355">
            <v>0</v>
          </cell>
          <cell r="H1355" t="str">
            <v>ROJO</v>
          </cell>
          <cell r="I1355" t="str">
            <v>U</v>
          </cell>
          <cell r="J1355" t="str">
            <v>U</v>
          </cell>
        </row>
        <row r="1356">
          <cell r="B1356" t="str">
            <v>INDI1</v>
          </cell>
          <cell r="C1356" t="str">
            <v>DECO</v>
          </cell>
          <cell r="D1356" t="str">
            <v>INDIVIDUAL</v>
          </cell>
          <cell r="E1356" t="str">
            <v>INDIVIDUAL SIMPLE</v>
          </cell>
          <cell r="F1356" t="str">
            <v>TAMPONATO</v>
          </cell>
          <cell r="G1356">
            <v>0</v>
          </cell>
          <cell r="H1356" t="str">
            <v>NEGRO</v>
          </cell>
          <cell r="I1356" t="str">
            <v>U</v>
          </cell>
          <cell r="J1356" t="str">
            <v>U</v>
          </cell>
        </row>
        <row r="1357">
          <cell r="B1357" t="str">
            <v>INDI2</v>
          </cell>
          <cell r="C1357" t="str">
            <v>DECO</v>
          </cell>
          <cell r="D1357" t="str">
            <v>INDIVIDUAL</v>
          </cell>
          <cell r="E1357" t="str">
            <v>INDIVIDUAL SIMPLE</v>
          </cell>
          <cell r="F1357" t="str">
            <v>TAMPONATO</v>
          </cell>
          <cell r="G1357">
            <v>0</v>
          </cell>
          <cell r="H1357" t="str">
            <v>SUELA</v>
          </cell>
          <cell r="I1357" t="str">
            <v>U</v>
          </cell>
          <cell r="J1357" t="str">
            <v>U</v>
          </cell>
        </row>
        <row r="1358">
          <cell r="B1358" t="str">
            <v>OT020010304</v>
          </cell>
          <cell r="C1358" t="str">
            <v>DECO</v>
          </cell>
          <cell r="D1358" t="str">
            <v>INDIVIDUAL</v>
          </cell>
          <cell r="E1358" t="str">
            <v>INDIVIDUAL SIMPLE</v>
          </cell>
          <cell r="F1358" t="str">
            <v>BRIDGE</v>
          </cell>
          <cell r="G1358">
            <v>0</v>
          </cell>
          <cell r="H1358" t="str">
            <v>TABACO</v>
          </cell>
          <cell r="I1358" t="str">
            <v>U</v>
          </cell>
          <cell r="J1358" t="str">
            <v>U</v>
          </cell>
        </row>
        <row r="1359">
          <cell r="B1359" t="str">
            <v>OT020010307</v>
          </cell>
          <cell r="C1359" t="str">
            <v>DECO</v>
          </cell>
          <cell r="D1359" t="str">
            <v>INDIVIDUAL</v>
          </cell>
          <cell r="E1359" t="str">
            <v>INDIVIDUAL SIMPLE</v>
          </cell>
          <cell r="F1359" t="str">
            <v>BRIDGE</v>
          </cell>
          <cell r="G1359">
            <v>0</v>
          </cell>
          <cell r="H1359" t="str">
            <v>ROJO</v>
          </cell>
          <cell r="I1359" t="str">
            <v>U</v>
          </cell>
          <cell r="J1359" t="str">
            <v>U</v>
          </cell>
        </row>
        <row r="1360">
          <cell r="B1360" t="str">
            <v>OT030040101</v>
          </cell>
          <cell r="C1360" t="str">
            <v>DECO</v>
          </cell>
          <cell r="D1360" t="str">
            <v>INDIVIDUAL</v>
          </cell>
          <cell r="E1360" t="str">
            <v>INDIVIDUAL SIMPLE</v>
          </cell>
          <cell r="F1360" t="str">
            <v>NAPADO</v>
          </cell>
          <cell r="G1360">
            <v>0</v>
          </cell>
          <cell r="H1360" t="str">
            <v>NEGRO</v>
          </cell>
          <cell r="I1360" t="str">
            <v>U</v>
          </cell>
          <cell r="J1360" t="str">
            <v>U</v>
          </cell>
        </row>
        <row r="1361">
          <cell r="B1361" t="str">
            <v>OT030040102</v>
          </cell>
          <cell r="C1361" t="str">
            <v>DECO</v>
          </cell>
          <cell r="D1361" t="str">
            <v>INDIVIDUAL</v>
          </cell>
          <cell r="E1361" t="str">
            <v>INDIVIDUAL SIMPLE</v>
          </cell>
          <cell r="F1361" t="str">
            <v>NAPADO</v>
          </cell>
          <cell r="G1361">
            <v>0</v>
          </cell>
          <cell r="H1361" t="str">
            <v>SUELA</v>
          </cell>
          <cell r="I1361" t="str">
            <v>U</v>
          </cell>
          <cell r="J1361" t="str">
            <v>U</v>
          </cell>
        </row>
        <row r="1362">
          <cell r="B1362" t="str">
            <v>OT020130501</v>
          </cell>
          <cell r="C1362" t="str">
            <v>ACCESORIOS</v>
          </cell>
          <cell r="D1362" t="str">
            <v>LLAVERO</v>
          </cell>
          <cell r="E1362" t="str">
            <v>LLAVERO ALDANA</v>
          </cell>
          <cell r="F1362" t="str">
            <v>GAMUZA</v>
          </cell>
          <cell r="G1362">
            <v>0</v>
          </cell>
          <cell r="H1362" t="str">
            <v>NEGRO</v>
          </cell>
          <cell r="I1362" t="str">
            <v>U</v>
          </cell>
          <cell r="J1362" t="str">
            <v>U</v>
          </cell>
        </row>
        <row r="1363">
          <cell r="B1363" t="str">
            <v>OT020130502</v>
          </cell>
          <cell r="C1363" t="str">
            <v>ACCESORIOS</v>
          </cell>
          <cell r="D1363" t="str">
            <v>LLAVERO</v>
          </cell>
          <cell r="E1363" t="str">
            <v>LLAVERO ALDANA</v>
          </cell>
          <cell r="F1363" t="str">
            <v>GAMUZA</v>
          </cell>
          <cell r="G1363">
            <v>0</v>
          </cell>
          <cell r="H1363" t="str">
            <v>SUELA</v>
          </cell>
          <cell r="I1363" t="str">
            <v>U</v>
          </cell>
          <cell r="J1363" t="str">
            <v>U</v>
          </cell>
        </row>
        <row r="1364">
          <cell r="B1364" t="str">
            <v>OT020130504</v>
          </cell>
          <cell r="C1364" t="str">
            <v>ACCESORIOS</v>
          </cell>
          <cell r="D1364" t="str">
            <v>LLAVERO</v>
          </cell>
          <cell r="E1364" t="str">
            <v>LLAVERO ALDANA</v>
          </cell>
          <cell r="F1364" t="str">
            <v>GAMUZA</v>
          </cell>
          <cell r="G1364">
            <v>0</v>
          </cell>
          <cell r="H1364" t="str">
            <v>TABACO</v>
          </cell>
          <cell r="I1364" t="str">
            <v>U</v>
          </cell>
          <cell r="J1364" t="str">
            <v>U</v>
          </cell>
        </row>
        <row r="1365">
          <cell r="B1365" t="str">
            <v>OT020130510</v>
          </cell>
          <cell r="C1365" t="str">
            <v>ACCESORIOS</v>
          </cell>
          <cell r="D1365" t="str">
            <v>LLAVERO</v>
          </cell>
          <cell r="E1365" t="str">
            <v>LLAVERO ALDANA</v>
          </cell>
          <cell r="F1365" t="str">
            <v>GAMUZA</v>
          </cell>
          <cell r="G1365">
            <v>0</v>
          </cell>
          <cell r="H1365" t="str">
            <v>VERDE</v>
          </cell>
          <cell r="I1365" t="str">
            <v>U</v>
          </cell>
          <cell r="J1365" t="str">
            <v>U</v>
          </cell>
        </row>
        <row r="1366">
          <cell r="B1366" t="str">
            <v>OT020130550</v>
          </cell>
          <cell r="C1366" t="str">
            <v>ACCESORIOS</v>
          </cell>
          <cell r="D1366" t="str">
            <v>LLAVERO</v>
          </cell>
          <cell r="E1366" t="str">
            <v>LLAVERO ALDANA</v>
          </cell>
          <cell r="F1366" t="str">
            <v>GAMUZA</v>
          </cell>
          <cell r="G1366">
            <v>0</v>
          </cell>
          <cell r="H1366" t="str">
            <v>VESUBIO</v>
          </cell>
          <cell r="I1366" t="str">
            <v>U</v>
          </cell>
          <cell r="J1366" t="str">
            <v>U</v>
          </cell>
        </row>
        <row r="1367">
          <cell r="B1367" t="str">
            <v>OT020130551</v>
          </cell>
          <cell r="C1367" t="str">
            <v>ACCESORIOS</v>
          </cell>
          <cell r="D1367" t="str">
            <v>LLAVERO</v>
          </cell>
          <cell r="E1367" t="str">
            <v>LLAVERO ALDANA</v>
          </cell>
          <cell r="F1367" t="str">
            <v>GAMUZA</v>
          </cell>
          <cell r="G1367">
            <v>0</v>
          </cell>
          <cell r="H1367" t="str">
            <v>MOSTAZA</v>
          </cell>
          <cell r="I1367" t="str">
            <v>U</v>
          </cell>
          <cell r="J1367" t="str">
            <v>U</v>
          </cell>
        </row>
        <row r="1368">
          <cell r="B1368" t="str">
            <v>OT020130554</v>
          </cell>
          <cell r="C1368" t="str">
            <v>ACCESORIOS</v>
          </cell>
          <cell r="D1368" t="str">
            <v>LLAVERO</v>
          </cell>
          <cell r="E1368" t="str">
            <v>LLAVERO ALDANA</v>
          </cell>
          <cell r="F1368" t="str">
            <v>GAMUZA</v>
          </cell>
          <cell r="G1368">
            <v>0</v>
          </cell>
          <cell r="H1368" t="str">
            <v>UVA</v>
          </cell>
          <cell r="I1368" t="str">
            <v>U</v>
          </cell>
          <cell r="J1368" t="str">
            <v>U</v>
          </cell>
        </row>
        <row r="1369">
          <cell r="B1369" t="str">
            <v>OT020130555</v>
          </cell>
          <cell r="C1369" t="str">
            <v>ACCESORIOS</v>
          </cell>
          <cell r="D1369" t="str">
            <v>LLAVERO</v>
          </cell>
          <cell r="E1369" t="str">
            <v>LLAVERO ALDANA</v>
          </cell>
          <cell r="F1369" t="str">
            <v>GAMUZA</v>
          </cell>
          <cell r="G1369">
            <v>0</v>
          </cell>
          <cell r="H1369" t="str">
            <v>AVELLANA</v>
          </cell>
          <cell r="I1369" t="str">
            <v>U</v>
          </cell>
          <cell r="J1369" t="str">
            <v>U</v>
          </cell>
        </row>
        <row r="1370">
          <cell r="B1370" t="str">
            <v>OT020130556</v>
          </cell>
          <cell r="C1370" t="str">
            <v>ACCESORIOS</v>
          </cell>
          <cell r="D1370" t="str">
            <v>LLAVERO</v>
          </cell>
          <cell r="E1370" t="str">
            <v>LLAVERO ALDANA</v>
          </cell>
          <cell r="F1370" t="str">
            <v>GAMUZA</v>
          </cell>
          <cell r="G1370">
            <v>0</v>
          </cell>
          <cell r="H1370" t="str">
            <v>OXIDO</v>
          </cell>
          <cell r="I1370" t="str">
            <v>U</v>
          </cell>
          <cell r="J1370" t="str">
            <v>U</v>
          </cell>
        </row>
        <row r="1371">
          <cell r="B1371" t="str">
            <v>OT020130557</v>
          </cell>
          <cell r="C1371" t="str">
            <v>ACCESORIOS</v>
          </cell>
          <cell r="D1371" t="str">
            <v>LLAVERO</v>
          </cell>
          <cell r="E1371" t="str">
            <v>LLAVERO ALDANA</v>
          </cell>
          <cell r="F1371" t="str">
            <v>GAMUZA</v>
          </cell>
          <cell r="G1371">
            <v>0</v>
          </cell>
          <cell r="H1371" t="str">
            <v>SALMON</v>
          </cell>
          <cell r="I1371" t="str">
            <v>U</v>
          </cell>
          <cell r="J1371" t="str">
            <v>U</v>
          </cell>
        </row>
        <row r="1372">
          <cell r="B1372" t="str">
            <v>OT020130558</v>
          </cell>
          <cell r="C1372" t="str">
            <v>ACCESORIOS</v>
          </cell>
          <cell r="D1372" t="str">
            <v>LLAVERO</v>
          </cell>
          <cell r="E1372" t="str">
            <v>LLAVERO ALDANA</v>
          </cell>
          <cell r="F1372" t="str">
            <v>GAMUZA</v>
          </cell>
          <cell r="G1372">
            <v>0</v>
          </cell>
          <cell r="H1372" t="str">
            <v>MARRON TOOL</v>
          </cell>
          <cell r="I1372" t="str">
            <v>U</v>
          </cell>
          <cell r="J1372" t="str">
            <v>U</v>
          </cell>
        </row>
        <row r="1373">
          <cell r="B1373" t="str">
            <v>OT020130559</v>
          </cell>
          <cell r="C1373" t="str">
            <v>ACCESORIOS</v>
          </cell>
          <cell r="D1373" t="str">
            <v>LLAVERO</v>
          </cell>
          <cell r="E1373" t="str">
            <v>LLAVERO ALDANA</v>
          </cell>
          <cell r="F1373" t="str">
            <v>GAMUZA LH</v>
          </cell>
          <cell r="G1373">
            <v>0</v>
          </cell>
          <cell r="H1373" t="str">
            <v>BRICK</v>
          </cell>
          <cell r="I1373" t="str">
            <v>U</v>
          </cell>
          <cell r="J1373" t="str">
            <v>U</v>
          </cell>
        </row>
        <row r="1374">
          <cell r="B1374" t="str">
            <v>OT020160201</v>
          </cell>
          <cell r="C1374" t="str">
            <v>ACCESORIOS</v>
          </cell>
          <cell r="D1374" t="str">
            <v>LLAVERO</v>
          </cell>
          <cell r="E1374" t="str">
            <v>LLAVERO CALE</v>
          </cell>
          <cell r="F1374" t="str">
            <v>TAMPONATO</v>
          </cell>
          <cell r="G1374">
            <v>0</v>
          </cell>
          <cell r="H1374" t="str">
            <v>NEGRO</v>
          </cell>
          <cell r="I1374" t="str">
            <v>U</v>
          </cell>
          <cell r="J1374" t="str">
            <v>U</v>
          </cell>
        </row>
        <row r="1375">
          <cell r="B1375" t="str">
            <v>OT020160202</v>
          </cell>
          <cell r="C1375" t="str">
            <v>ACCESORIOS</v>
          </cell>
          <cell r="D1375" t="str">
            <v>LLAVERO</v>
          </cell>
          <cell r="E1375" t="str">
            <v>LLAVERO CALE</v>
          </cell>
          <cell r="F1375" t="str">
            <v>TAMPONATO</v>
          </cell>
          <cell r="G1375">
            <v>0</v>
          </cell>
          <cell r="H1375" t="str">
            <v>SUELA</v>
          </cell>
          <cell r="I1375" t="str">
            <v>U</v>
          </cell>
          <cell r="J1375" t="str">
            <v>U</v>
          </cell>
        </row>
        <row r="1376">
          <cell r="B1376" t="str">
            <v>OT020200301</v>
          </cell>
          <cell r="C1376" t="str">
            <v>ACCESORIOS</v>
          </cell>
          <cell r="D1376" t="str">
            <v>LLAVERO</v>
          </cell>
          <cell r="E1376" t="str">
            <v>LLAVERO COLGANTE RIGEL</v>
          </cell>
          <cell r="F1376" t="str">
            <v>BRIDGE</v>
          </cell>
          <cell r="G1376">
            <v>0</v>
          </cell>
          <cell r="H1376" t="str">
            <v>NEGRO</v>
          </cell>
          <cell r="I1376" t="str">
            <v>U</v>
          </cell>
          <cell r="J1376" t="str">
            <v>U</v>
          </cell>
        </row>
        <row r="1377">
          <cell r="B1377" t="str">
            <v>OT020200303</v>
          </cell>
          <cell r="C1377" t="str">
            <v>ACCESORIOS</v>
          </cell>
          <cell r="D1377" t="str">
            <v>LLAVERO</v>
          </cell>
          <cell r="E1377" t="str">
            <v>LLAVERO COLGANTE RIGEL</v>
          </cell>
          <cell r="F1377" t="str">
            <v>BRIDGE</v>
          </cell>
          <cell r="G1377">
            <v>0</v>
          </cell>
          <cell r="H1377" t="str">
            <v>CARAMELO</v>
          </cell>
          <cell r="I1377" t="str">
            <v>U</v>
          </cell>
          <cell r="J1377" t="str">
            <v>U</v>
          </cell>
        </row>
        <row r="1378">
          <cell r="B1378" t="str">
            <v>OT020200304</v>
          </cell>
          <cell r="C1378" t="str">
            <v>ACCESORIOS</v>
          </cell>
          <cell r="D1378" t="str">
            <v>LLAVERO</v>
          </cell>
          <cell r="E1378" t="str">
            <v>LLAVERO COLGANTE RIGEL</v>
          </cell>
          <cell r="F1378" t="str">
            <v>BRIDGE</v>
          </cell>
          <cell r="G1378">
            <v>0</v>
          </cell>
          <cell r="H1378" t="str">
            <v>TABACO</v>
          </cell>
          <cell r="I1378" t="str">
            <v>U</v>
          </cell>
          <cell r="J1378" t="str">
            <v>U</v>
          </cell>
        </row>
        <row r="1379">
          <cell r="B1379" t="str">
            <v>OT020200307</v>
          </cell>
          <cell r="C1379" t="str">
            <v>ACCESORIOS</v>
          </cell>
          <cell r="D1379" t="str">
            <v>LLAVERO</v>
          </cell>
          <cell r="E1379" t="str">
            <v>LLAVERO COLGANTE RIGEL</v>
          </cell>
          <cell r="F1379" t="str">
            <v>BRIDGE</v>
          </cell>
          <cell r="G1379">
            <v>0</v>
          </cell>
          <cell r="H1379" t="str">
            <v>ROJO</v>
          </cell>
          <cell r="I1379" t="str">
            <v>U</v>
          </cell>
          <cell r="J1379" t="str">
            <v>U</v>
          </cell>
        </row>
        <row r="1380">
          <cell r="B1380" t="str">
            <v>OT020120501</v>
          </cell>
          <cell r="C1380" t="str">
            <v>ACCESORIOS</v>
          </cell>
          <cell r="D1380" t="str">
            <v>LLAVERO</v>
          </cell>
          <cell r="E1380" t="str">
            <v>LLAVERO ELSA</v>
          </cell>
          <cell r="F1380" t="str">
            <v>GAMUZA</v>
          </cell>
          <cell r="G1380">
            <v>0</v>
          </cell>
          <cell r="H1380" t="str">
            <v>NEGRO</v>
          </cell>
          <cell r="I1380" t="str">
            <v>U</v>
          </cell>
          <cell r="J1380" t="str">
            <v>U</v>
          </cell>
        </row>
        <row r="1381">
          <cell r="B1381" t="str">
            <v>OT020120502</v>
          </cell>
          <cell r="C1381" t="str">
            <v>ACCESORIOS</v>
          </cell>
          <cell r="D1381" t="str">
            <v>LLAVERO</v>
          </cell>
          <cell r="E1381" t="str">
            <v>LLAVERO ELSA</v>
          </cell>
          <cell r="F1381" t="str">
            <v>GAMUZA</v>
          </cell>
          <cell r="G1381">
            <v>0</v>
          </cell>
          <cell r="H1381" t="str">
            <v>SUELA</v>
          </cell>
          <cell r="I1381" t="str">
            <v>U</v>
          </cell>
          <cell r="J1381" t="str">
            <v>U</v>
          </cell>
        </row>
        <row r="1382">
          <cell r="B1382" t="str">
            <v>OT020120504</v>
          </cell>
          <cell r="C1382" t="str">
            <v>ACCESORIOS</v>
          </cell>
          <cell r="D1382" t="str">
            <v>LLAVERO</v>
          </cell>
          <cell r="E1382" t="str">
            <v>LLAVERO ELSA</v>
          </cell>
          <cell r="F1382" t="str">
            <v>GAMUZA</v>
          </cell>
          <cell r="G1382">
            <v>0</v>
          </cell>
          <cell r="H1382" t="str">
            <v>TABACO</v>
          </cell>
          <cell r="I1382" t="str">
            <v>U</v>
          </cell>
          <cell r="J1382" t="str">
            <v>U</v>
          </cell>
        </row>
        <row r="1383">
          <cell r="B1383" t="str">
            <v>OT020120510</v>
          </cell>
          <cell r="C1383" t="str">
            <v>ACCESORIOS</v>
          </cell>
          <cell r="D1383" t="str">
            <v>LLAVERO</v>
          </cell>
          <cell r="E1383" t="str">
            <v>LLAVERO ELSA</v>
          </cell>
          <cell r="F1383" t="str">
            <v>GAMUZA</v>
          </cell>
          <cell r="G1383">
            <v>0</v>
          </cell>
          <cell r="H1383" t="str">
            <v>VERDE</v>
          </cell>
          <cell r="I1383" t="str">
            <v>U</v>
          </cell>
          <cell r="J1383" t="str">
            <v>U</v>
          </cell>
        </row>
        <row r="1384">
          <cell r="B1384" t="str">
            <v>OT020120550</v>
          </cell>
          <cell r="C1384" t="str">
            <v>ACCESORIOS</v>
          </cell>
          <cell r="D1384" t="str">
            <v>LLAVERO</v>
          </cell>
          <cell r="E1384" t="str">
            <v>LLAVERO ELSA</v>
          </cell>
          <cell r="F1384" t="str">
            <v>GAMUZA</v>
          </cell>
          <cell r="G1384">
            <v>0</v>
          </cell>
          <cell r="H1384" t="str">
            <v>VESUBIO</v>
          </cell>
          <cell r="I1384" t="str">
            <v>U</v>
          </cell>
          <cell r="J1384" t="str">
            <v>U</v>
          </cell>
        </row>
        <row r="1385">
          <cell r="B1385" t="str">
            <v>OT020120551</v>
          </cell>
          <cell r="C1385" t="str">
            <v>ACCESORIOS</v>
          </cell>
          <cell r="D1385" t="str">
            <v>LLAVERO</v>
          </cell>
          <cell r="E1385" t="str">
            <v>LLAVERO ELSA</v>
          </cell>
          <cell r="F1385" t="str">
            <v>GAMUZA</v>
          </cell>
          <cell r="G1385">
            <v>0</v>
          </cell>
          <cell r="H1385" t="str">
            <v>MOSTAZA</v>
          </cell>
          <cell r="I1385" t="str">
            <v>U</v>
          </cell>
          <cell r="J1385" t="str">
            <v>U</v>
          </cell>
        </row>
        <row r="1386">
          <cell r="B1386" t="str">
            <v>OT020120554</v>
          </cell>
          <cell r="C1386" t="str">
            <v>ACCESORIOS</v>
          </cell>
          <cell r="D1386" t="str">
            <v>LLAVERO</v>
          </cell>
          <cell r="E1386" t="str">
            <v>LLAVERO ELSA</v>
          </cell>
          <cell r="F1386" t="str">
            <v>GAMUZA</v>
          </cell>
          <cell r="G1386">
            <v>0</v>
          </cell>
          <cell r="H1386" t="str">
            <v>UVA</v>
          </cell>
          <cell r="I1386" t="str">
            <v>U</v>
          </cell>
          <cell r="J1386" t="str">
            <v>U</v>
          </cell>
        </row>
        <row r="1387">
          <cell r="B1387" t="str">
            <v>OT020120555</v>
          </cell>
          <cell r="C1387" t="str">
            <v>ACCESORIOS</v>
          </cell>
          <cell r="D1387" t="str">
            <v>LLAVERO</v>
          </cell>
          <cell r="E1387" t="str">
            <v>LLAVERO ELSA</v>
          </cell>
          <cell r="F1387" t="str">
            <v>GAMUZA</v>
          </cell>
          <cell r="G1387">
            <v>0</v>
          </cell>
          <cell r="H1387" t="str">
            <v>AVELLANA</v>
          </cell>
          <cell r="I1387" t="str">
            <v>U</v>
          </cell>
          <cell r="J1387" t="str">
            <v>U</v>
          </cell>
        </row>
        <row r="1388">
          <cell r="B1388" t="str">
            <v>OT020120556</v>
          </cell>
          <cell r="C1388" t="str">
            <v>ACCESORIOS</v>
          </cell>
          <cell r="D1388" t="str">
            <v>LLAVERO</v>
          </cell>
          <cell r="E1388" t="str">
            <v>LLAVERO ELSA</v>
          </cell>
          <cell r="F1388" t="str">
            <v>GAMUZA</v>
          </cell>
          <cell r="G1388">
            <v>0</v>
          </cell>
          <cell r="H1388" t="str">
            <v>OXIDO</v>
          </cell>
          <cell r="I1388" t="str">
            <v>U</v>
          </cell>
          <cell r="J1388" t="str">
            <v>U</v>
          </cell>
        </row>
        <row r="1389">
          <cell r="B1389" t="str">
            <v>OT020120557</v>
          </cell>
          <cell r="C1389" t="str">
            <v>ACCESORIOS</v>
          </cell>
          <cell r="D1389" t="str">
            <v>LLAVERO</v>
          </cell>
          <cell r="E1389" t="str">
            <v>LLAVERO ELSA</v>
          </cell>
          <cell r="F1389" t="str">
            <v>GAMUZA</v>
          </cell>
          <cell r="G1389">
            <v>0</v>
          </cell>
          <cell r="H1389" t="str">
            <v>SALMON</v>
          </cell>
          <cell r="I1389" t="str">
            <v>U</v>
          </cell>
          <cell r="J1389" t="str">
            <v>U</v>
          </cell>
        </row>
        <row r="1390">
          <cell r="B1390" t="str">
            <v>OT020120558</v>
          </cell>
          <cell r="C1390" t="str">
            <v>ACCESORIOS</v>
          </cell>
          <cell r="D1390" t="str">
            <v>LLAVERO</v>
          </cell>
          <cell r="E1390" t="str">
            <v>LLAVERO ELSA</v>
          </cell>
          <cell r="F1390" t="str">
            <v>GAMUZA</v>
          </cell>
          <cell r="G1390">
            <v>0</v>
          </cell>
          <cell r="H1390" t="str">
            <v>MARRON TOOL</v>
          </cell>
          <cell r="I1390" t="str">
            <v>U</v>
          </cell>
          <cell r="J1390" t="str">
            <v>U</v>
          </cell>
        </row>
        <row r="1391">
          <cell r="B1391" t="str">
            <v>OT050250101</v>
          </cell>
          <cell r="C1391" t="str">
            <v>ACCESORIOS</v>
          </cell>
          <cell r="D1391" t="str">
            <v>LLAVERO</v>
          </cell>
          <cell r="E1391" t="str">
            <v>LLAVERO ESPIGA 216</v>
          </cell>
          <cell r="F1391" t="str">
            <v>NAPADO</v>
          </cell>
          <cell r="G1391">
            <v>0</v>
          </cell>
          <cell r="H1391" t="str">
            <v>NEGRO</v>
          </cell>
          <cell r="I1391" t="str">
            <v>U</v>
          </cell>
          <cell r="J1391" t="str">
            <v>U</v>
          </cell>
        </row>
        <row r="1392">
          <cell r="B1392" t="str">
            <v>OT050250102</v>
          </cell>
          <cell r="C1392" t="str">
            <v>ACCESORIOS</v>
          </cell>
          <cell r="D1392" t="str">
            <v>LLAVERO</v>
          </cell>
          <cell r="E1392" t="str">
            <v>LLAVERO ESPIGA 216</v>
          </cell>
          <cell r="F1392" t="str">
            <v>NAPADO</v>
          </cell>
          <cell r="G1392">
            <v>0</v>
          </cell>
          <cell r="H1392" t="str">
            <v>SUELA</v>
          </cell>
          <cell r="I1392" t="str">
            <v>U</v>
          </cell>
          <cell r="J1392" t="str">
            <v>U</v>
          </cell>
        </row>
        <row r="1393">
          <cell r="B1393" t="str">
            <v>OT050250152</v>
          </cell>
          <cell r="C1393" t="str">
            <v>ACCESORIOS</v>
          </cell>
          <cell r="D1393" t="str">
            <v>LLAVERO</v>
          </cell>
          <cell r="E1393" t="str">
            <v>LLAVERO ESPIGA 216</v>
          </cell>
          <cell r="F1393" t="str">
            <v>NAPADO</v>
          </cell>
          <cell r="G1393">
            <v>0</v>
          </cell>
          <cell r="H1393" t="str">
            <v>CHOCOLATE</v>
          </cell>
          <cell r="I1393" t="str">
            <v>U</v>
          </cell>
          <cell r="J1393" t="str">
            <v>U</v>
          </cell>
        </row>
        <row r="1394">
          <cell r="B1394" t="str">
            <v>OT050280701</v>
          </cell>
          <cell r="C1394" t="str">
            <v>ACCESORIOS</v>
          </cell>
          <cell r="D1394" t="str">
            <v>LLAVERO</v>
          </cell>
          <cell r="E1394" t="str">
            <v>LLAVERO IGUANA</v>
          </cell>
          <cell r="F1394" t="str">
            <v>IGUANA/BRIDGE</v>
          </cell>
          <cell r="G1394" t="str">
            <v>NIQUEL</v>
          </cell>
          <cell r="H1394" t="str">
            <v>NEGRO</v>
          </cell>
          <cell r="I1394" t="str">
            <v>U</v>
          </cell>
          <cell r="J1394" t="str">
            <v>U</v>
          </cell>
        </row>
        <row r="1395">
          <cell r="B1395" t="str">
            <v>OT050280704</v>
          </cell>
          <cell r="C1395" t="str">
            <v>ACCESORIOS</v>
          </cell>
          <cell r="D1395" t="str">
            <v>LLAVERO</v>
          </cell>
          <cell r="E1395" t="str">
            <v>LLAVERO IGUANA</v>
          </cell>
          <cell r="F1395" t="str">
            <v>IGUANA/BRIDGE</v>
          </cell>
          <cell r="G1395" t="str">
            <v>NIQUEL</v>
          </cell>
          <cell r="H1395" t="str">
            <v>TABACO</v>
          </cell>
          <cell r="I1395" t="str">
            <v>U</v>
          </cell>
          <cell r="J1395" t="str">
            <v>U</v>
          </cell>
        </row>
        <row r="1396">
          <cell r="B1396" t="str">
            <v>OT020340101</v>
          </cell>
          <cell r="C1396" t="str">
            <v>ACCESORIOS</v>
          </cell>
          <cell r="D1396" t="str">
            <v>LLAVERO</v>
          </cell>
          <cell r="E1396" t="str">
            <v>LLAVERO INICIALES</v>
          </cell>
          <cell r="F1396" t="str">
            <v>NAPADO</v>
          </cell>
          <cell r="G1396">
            <v>0</v>
          </cell>
          <cell r="H1396" t="str">
            <v>NEGRO</v>
          </cell>
          <cell r="I1396" t="str">
            <v>U</v>
          </cell>
          <cell r="J1396" t="str">
            <v>U</v>
          </cell>
        </row>
        <row r="1397">
          <cell r="B1397" t="str">
            <v>OT020340102</v>
          </cell>
          <cell r="C1397" t="str">
            <v>ACCESORIOS</v>
          </cell>
          <cell r="D1397" t="str">
            <v>LLAVERO</v>
          </cell>
          <cell r="E1397" t="str">
            <v>LLAVERO INICIALES</v>
          </cell>
          <cell r="F1397" t="str">
            <v>NAPADO</v>
          </cell>
          <cell r="G1397">
            <v>0</v>
          </cell>
          <cell r="H1397" t="str">
            <v>SUELA</v>
          </cell>
          <cell r="I1397" t="str">
            <v>U</v>
          </cell>
          <cell r="J1397" t="str">
            <v>U</v>
          </cell>
        </row>
        <row r="1398">
          <cell r="B1398" t="str">
            <v>OT020340104</v>
          </cell>
          <cell r="C1398" t="str">
            <v>ACCESORIOS</v>
          </cell>
          <cell r="D1398" t="str">
            <v>LLAVERO</v>
          </cell>
          <cell r="E1398" t="str">
            <v>LLAVERO INICIALES</v>
          </cell>
          <cell r="F1398" t="str">
            <v>NAPADO</v>
          </cell>
          <cell r="G1398">
            <v>0</v>
          </cell>
          <cell r="H1398" t="str">
            <v>TABACO</v>
          </cell>
          <cell r="I1398" t="str">
            <v>U</v>
          </cell>
          <cell r="J1398" t="str">
            <v>U</v>
          </cell>
        </row>
        <row r="1399">
          <cell r="B1399" t="str">
            <v>OT020340107</v>
          </cell>
          <cell r="C1399" t="str">
            <v>ACCESORIOS</v>
          </cell>
          <cell r="D1399" t="str">
            <v>LLAVERO</v>
          </cell>
          <cell r="E1399" t="str">
            <v>LLAVERO INICIALES</v>
          </cell>
          <cell r="F1399" t="str">
            <v>NAPADO</v>
          </cell>
          <cell r="G1399">
            <v>0</v>
          </cell>
          <cell r="H1399" t="str">
            <v>ROJO</v>
          </cell>
          <cell r="I1399" t="str">
            <v>U</v>
          </cell>
          <cell r="J1399" t="str">
            <v>U</v>
          </cell>
        </row>
        <row r="1400">
          <cell r="B1400" t="str">
            <v>OT020340109</v>
          </cell>
          <cell r="C1400" t="str">
            <v>ACCESORIOS</v>
          </cell>
          <cell r="D1400" t="str">
            <v>LLAVERO</v>
          </cell>
          <cell r="E1400" t="str">
            <v>LLAVERO INICIALES</v>
          </cell>
          <cell r="F1400" t="str">
            <v>NAPADO</v>
          </cell>
          <cell r="G1400">
            <v>0</v>
          </cell>
          <cell r="H1400" t="str">
            <v>AZUL</v>
          </cell>
          <cell r="I1400" t="str">
            <v>U</v>
          </cell>
          <cell r="J1400" t="str">
            <v>U</v>
          </cell>
        </row>
        <row r="1401">
          <cell r="B1401" t="str">
            <v>OT020340110</v>
          </cell>
          <cell r="C1401" t="str">
            <v>ACCESORIOS</v>
          </cell>
          <cell r="D1401" t="str">
            <v>LLAVERO</v>
          </cell>
          <cell r="E1401" t="str">
            <v>LLAVERO INICIALES</v>
          </cell>
          <cell r="F1401" t="str">
            <v>NAPADO</v>
          </cell>
          <cell r="G1401">
            <v>0</v>
          </cell>
          <cell r="H1401" t="str">
            <v>VERDE</v>
          </cell>
          <cell r="I1401" t="str">
            <v>U</v>
          </cell>
          <cell r="J1401" t="str">
            <v>U</v>
          </cell>
        </row>
        <row r="1402">
          <cell r="B1402" t="str">
            <v>OT020341623</v>
          </cell>
          <cell r="C1402" t="str">
            <v>ACCESORIOS</v>
          </cell>
          <cell r="D1402" t="str">
            <v>LLAVERO</v>
          </cell>
          <cell r="E1402" t="str">
            <v>LLAVERO INICIALES</v>
          </cell>
          <cell r="F1402" t="str">
            <v>FIORENTINO</v>
          </cell>
          <cell r="G1402">
            <v>0</v>
          </cell>
          <cell r="H1402" t="str">
            <v>CEDRO</v>
          </cell>
          <cell r="I1402" t="str">
            <v>U</v>
          </cell>
          <cell r="J1402" t="str">
            <v>U</v>
          </cell>
        </row>
        <row r="1403">
          <cell r="B1403" t="str">
            <v>OT020340115</v>
          </cell>
          <cell r="C1403" t="str">
            <v>ACCESORIOS</v>
          </cell>
          <cell r="D1403" t="str">
            <v>LLAVERO</v>
          </cell>
          <cell r="E1403" t="str">
            <v>LLAVERO INICIALES</v>
          </cell>
          <cell r="F1403" t="str">
            <v>NAPADO</v>
          </cell>
          <cell r="G1403">
            <v>0</v>
          </cell>
          <cell r="H1403" t="str">
            <v>MALBEC</v>
          </cell>
          <cell r="I1403" t="str">
            <v>U</v>
          </cell>
          <cell r="J1403" t="str">
            <v>U</v>
          </cell>
        </row>
        <row r="1404">
          <cell r="B1404" t="str">
            <v>OT050240101</v>
          </cell>
          <cell r="C1404" t="str">
            <v>ACCESORIOS</v>
          </cell>
          <cell r="D1404" t="str">
            <v>LLAVERO</v>
          </cell>
          <cell r="E1404" t="str">
            <v>LLAVERO JAIRO L455</v>
          </cell>
          <cell r="F1404" t="str">
            <v>NAPADO</v>
          </cell>
          <cell r="G1404" t="str">
            <v>NIQUEL</v>
          </cell>
          <cell r="H1404" t="str">
            <v>NEGRO</v>
          </cell>
          <cell r="I1404" t="str">
            <v>U</v>
          </cell>
          <cell r="J1404" t="str">
            <v>U</v>
          </cell>
        </row>
        <row r="1405">
          <cell r="B1405" t="str">
            <v>OT050240102</v>
          </cell>
          <cell r="C1405" t="str">
            <v>ACCESORIOS</v>
          </cell>
          <cell r="D1405" t="str">
            <v>LLAVERO</v>
          </cell>
          <cell r="E1405" t="str">
            <v>LLAVERO JAIRO L455</v>
          </cell>
          <cell r="F1405" t="str">
            <v>NAPADO</v>
          </cell>
          <cell r="G1405" t="str">
            <v>NIQUEL</v>
          </cell>
          <cell r="H1405" t="str">
            <v>SUELA</v>
          </cell>
          <cell r="I1405" t="str">
            <v>U</v>
          </cell>
          <cell r="J1405" t="str">
            <v>U</v>
          </cell>
        </row>
        <row r="1406">
          <cell r="B1406" t="str">
            <v>OT050240152</v>
          </cell>
          <cell r="C1406" t="str">
            <v>ACCESORIOS</v>
          </cell>
          <cell r="D1406" t="str">
            <v>LLAVERO</v>
          </cell>
          <cell r="E1406" t="str">
            <v>LLAVERO JAIRO L455</v>
          </cell>
          <cell r="F1406" t="str">
            <v>NAPADO</v>
          </cell>
          <cell r="G1406" t="str">
            <v>NIQUEL</v>
          </cell>
          <cell r="H1406" t="str">
            <v>CHOCOLATE</v>
          </cell>
          <cell r="I1406" t="str">
            <v>U</v>
          </cell>
          <cell r="J1406" t="str">
            <v>U</v>
          </cell>
        </row>
        <row r="1407">
          <cell r="B1407" t="str">
            <v>OT020090101</v>
          </cell>
          <cell r="C1407" t="str">
            <v>ACCESORIOS</v>
          </cell>
          <cell r="D1407" t="str">
            <v>LLAVERO</v>
          </cell>
          <cell r="E1407" t="str">
            <v>LLAVERO KAREN</v>
          </cell>
          <cell r="F1407" t="str">
            <v>CUERO VARIOS</v>
          </cell>
          <cell r="G1407">
            <v>0</v>
          </cell>
          <cell r="H1407" t="str">
            <v>NEGRO/MOSTAZA</v>
          </cell>
          <cell r="I1407" t="str">
            <v>U</v>
          </cell>
          <cell r="J1407" t="str">
            <v>U</v>
          </cell>
        </row>
        <row r="1408">
          <cell r="B1408" t="str">
            <v>OT020090105</v>
          </cell>
          <cell r="C1408" t="str">
            <v>ACCESORIOS</v>
          </cell>
          <cell r="D1408" t="str">
            <v>LLAVERO</v>
          </cell>
          <cell r="E1408" t="str">
            <v>LLAVERO KAREN</v>
          </cell>
          <cell r="F1408" t="str">
            <v>CUERO VARIOS</v>
          </cell>
          <cell r="G1408">
            <v>0</v>
          </cell>
          <cell r="H1408" t="str">
            <v>LONDON/MOSTAZA</v>
          </cell>
          <cell r="I1408" t="str">
            <v>U</v>
          </cell>
          <cell r="J1408" t="str">
            <v>U</v>
          </cell>
        </row>
        <row r="1409">
          <cell r="B1409" t="str">
            <v>OT020090107</v>
          </cell>
          <cell r="C1409" t="str">
            <v>ACCESORIOS</v>
          </cell>
          <cell r="D1409" t="str">
            <v>LLAVERO</v>
          </cell>
          <cell r="E1409" t="str">
            <v>LLAVERO KAREN</v>
          </cell>
          <cell r="F1409" t="str">
            <v>CUERO VARIOS</v>
          </cell>
          <cell r="G1409">
            <v>0</v>
          </cell>
          <cell r="H1409" t="str">
            <v>ROJO/MOSTAZA</v>
          </cell>
          <cell r="I1409" t="str">
            <v>U</v>
          </cell>
          <cell r="J1409" t="str">
            <v>U</v>
          </cell>
        </row>
        <row r="1410">
          <cell r="B1410" t="str">
            <v>OT020090110</v>
          </cell>
          <cell r="C1410" t="str">
            <v>ACCESORIOS</v>
          </cell>
          <cell r="D1410" t="str">
            <v>LLAVERO</v>
          </cell>
          <cell r="E1410" t="str">
            <v>LLAVERO KAREN</v>
          </cell>
          <cell r="F1410" t="str">
            <v>CUERO VARIOS</v>
          </cell>
          <cell r="G1410">
            <v>0</v>
          </cell>
          <cell r="H1410" t="str">
            <v>VERDE/MOSTAZA</v>
          </cell>
          <cell r="I1410" t="str">
            <v>U</v>
          </cell>
          <cell r="J1410" t="str">
            <v>U</v>
          </cell>
        </row>
        <row r="1411">
          <cell r="B1411" t="str">
            <v>OT020090303</v>
          </cell>
          <cell r="C1411" t="str">
            <v>ACCESORIOS</v>
          </cell>
          <cell r="D1411" t="str">
            <v>LLAVERO</v>
          </cell>
          <cell r="E1411" t="str">
            <v>LLAVERO KAREN</v>
          </cell>
          <cell r="F1411" t="str">
            <v>CUERO VARIOS</v>
          </cell>
          <cell r="G1411">
            <v>0</v>
          </cell>
          <cell r="H1411" t="str">
            <v>CARAMELO/MOSTAZA</v>
          </cell>
          <cell r="I1411" t="str">
            <v>U</v>
          </cell>
          <cell r="J1411" t="str">
            <v>U</v>
          </cell>
        </row>
        <row r="1412">
          <cell r="B1412" t="str">
            <v>OT020100103</v>
          </cell>
          <cell r="C1412" t="str">
            <v>ACCESORIOS</v>
          </cell>
          <cell r="D1412" t="str">
            <v>LLAVERO</v>
          </cell>
          <cell r="E1412" t="str">
            <v>LLAVERO KAREN</v>
          </cell>
          <cell r="F1412" t="str">
            <v>CUERO VARIOS</v>
          </cell>
          <cell r="G1412">
            <v>0</v>
          </cell>
          <cell r="H1412" t="str">
            <v>CARAMELO/UVA</v>
          </cell>
          <cell r="I1412" t="str">
            <v>U</v>
          </cell>
          <cell r="J1412" t="str">
            <v>U</v>
          </cell>
        </row>
        <row r="1413">
          <cell r="B1413" t="str">
            <v>OT020100105</v>
          </cell>
          <cell r="C1413" t="str">
            <v>ACCESORIOS</v>
          </cell>
          <cell r="D1413" t="str">
            <v>LLAVERO</v>
          </cell>
          <cell r="E1413" t="str">
            <v>LLAVERO KAREN</v>
          </cell>
          <cell r="F1413" t="str">
            <v>CUERO VARIOS</v>
          </cell>
          <cell r="G1413">
            <v>0</v>
          </cell>
          <cell r="H1413" t="str">
            <v>LONDON/UVA</v>
          </cell>
          <cell r="I1413" t="str">
            <v>U</v>
          </cell>
          <cell r="J1413" t="str">
            <v>U</v>
          </cell>
        </row>
        <row r="1414">
          <cell r="B1414" t="str">
            <v>OT020100107</v>
          </cell>
          <cell r="C1414" t="str">
            <v>ACCESORIOS</v>
          </cell>
          <cell r="D1414" t="str">
            <v>LLAVERO</v>
          </cell>
          <cell r="E1414" t="str">
            <v>LLAVERO KAREN</v>
          </cell>
          <cell r="F1414" t="str">
            <v>CUERO VARIOS</v>
          </cell>
          <cell r="G1414">
            <v>0</v>
          </cell>
          <cell r="H1414" t="str">
            <v>ROJO/UVA</v>
          </cell>
          <cell r="I1414" t="str">
            <v>U</v>
          </cell>
          <cell r="J1414" t="str">
            <v>U</v>
          </cell>
        </row>
        <row r="1415">
          <cell r="B1415" t="str">
            <v>OT020100303</v>
          </cell>
          <cell r="C1415" t="str">
            <v>ACCESORIOS</v>
          </cell>
          <cell r="D1415" t="str">
            <v>LLAVERO</v>
          </cell>
          <cell r="E1415" t="str">
            <v>LLAVERO KAREN</v>
          </cell>
          <cell r="F1415" t="str">
            <v>CUERO VARIOS</v>
          </cell>
          <cell r="G1415">
            <v>0</v>
          </cell>
          <cell r="H1415" t="str">
            <v>CARAMELO/UVA</v>
          </cell>
          <cell r="I1415" t="str">
            <v>U</v>
          </cell>
          <cell r="J1415" t="str">
            <v>U</v>
          </cell>
        </row>
        <row r="1416">
          <cell r="B1416" t="str">
            <v>OT020100304</v>
          </cell>
          <cell r="C1416" t="str">
            <v>ACCESORIOS</v>
          </cell>
          <cell r="D1416" t="str">
            <v>LLAVERO</v>
          </cell>
          <cell r="E1416" t="str">
            <v>LLAVERO KAREN</v>
          </cell>
          <cell r="F1416" t="str">
            <v>CUERO VARIOS</v>
          </cell>
          <cell r="G1416">
            <v>0</v>
          </cell>
          <cell r="H1416" t="str">
            <v>TABACO/UVA</v>
          </cell>
          <cell r="I1416" t="str">
            <v>U</v>
          </cell>
          <cell r="J1416" t="str">
            <v>U</v>
          </cell>
        </row>
        <row r="1417">
          <cell r="B1417" t="str">
            <v>OT020100309</v>
          </cell>
          <cell r="C1417" t="str">
            <v>ACCESORIOS</v>
          </cell>
          <cell r="D1417" t="str">
            <v>LLAVERO</v>
          </cell>
          <cell r="E1417" t="str">
            <v>LLAVERO KAREN</v>
          </cell>
          <cell r="F1417" t="str">
            <v>CUERO VARIOS</v>
          </cell>
          <cell r="G1417">
            <v>0</v>
          </cell>
          <cell r="H1417" t="str">
            <v>AZUL/UVA</v>
          </cell>
          <cell r="I1417" t="str">
            <v>U</v>
          </cell>
          <cell r="J1417" t="str">
            <v>U</v>
          </cell>
        </row>
        <row r="1418">
          <cell r="B1418" t="str">
            <v>OT020110001</v>
          </cell>
          <cell r="C1418" t="str">
            <v>ACCESORIOS</v>
          </cell>
          <cell r="D1418" t="str">
            <v>LLAVERO</v>
          </cell>
          <cell r="E1418" t="str">
            <v>LLAVERO KAREN</v>
          </cell>
          <cell r="F1418" t="str">
            <v>CUERO VARIOS</v>
          </cell>
          <cell r="G1418">
            <v>0</v>
          </cell>
          <cell r="H1418" t="str">
            <v>NEGRO/VERDE ESMERALDA</v>
          </cell>
          <cell r="I1418" t="str">
            <v>U</v>
          </cell>
          <cell r="J1418" t="str">
            <v>U</v>
          </cell>
        </row>
        <row r="1419">
          <cell r="B1419" t="str">
            <v>OT020110303</v>
          </cell>
          <cell r="C1419" t="str">
            <v>ACCESORIOS</v>
          </cell>
          <cell r="D1419" t="str">
            <v>LLAVERO</v>
          </cell>
          <cell r="E1419" t="str">
            <v>LLAVERO KAREN</v>
          </cell>
          <cell r="F1419" t="str">
            <v>CUERO VARIOS</v>
          </cell>
          <cell r="G1419">
            <v>0</v>
          </cell>
          <cell r="H1419" t="str">
            <v>CARAMELO/VERDE ESMERALDA</v>
          </cell>
          <cell r="I1419" t="str">
            <v>U</v>
          </cell>
          <cell r="J1419" t="str">
            <v>U</v>
          </cell>
        </row>
        <row r="1420">
          <cell r="B1420" t="str">
            <v>OT020110305</v>
          </cell>
          <cell r="C1420" t="str">
            <v>ACCESORIOS</v>
          </cell>
          <cell r="D1420" t="str">
            <v>LLAVERO</v>
          </cell>
          <cell r="E1420" t="str">
            <v>LLAVERO KAREN</v>
          </cell>
          <cell r="F1420" t="str">
            <v>CUERO VARIOS</v>
          </cell>
          <cell r="G1420">
            <v>0</v>
          </cell>
          <cell r="H1420" t="str">
            <v>LONDON/VERDE ESMERALDA</v>
          </cell>
          <cell r="I1420" t="str">
            <v>U</v>
          </cell>
          <cell r="J1420" t="str">
            <v>U</v>
          </cell>
        </row>
        <row r="1421">
          <cell r="B1421" t="str">
            <v>OT020110309</v>
          </cell>
          <cell r="C1421" t="str">
            <v>ACCESORIOS</v>
          </cell>
          <cell r="D1421" t="str">
            <v>LLAVERO</v>
          </cell>
          <cell r="E1421" t="str">
            <v>LLAVERO KAREN</v>
          </cell>
          <cell r="F1421" t="str">
            <v>CUERO VARIOS</v>
          </cell>
          <cell r="G1421">
            <v>0</v>
          </cell>
          <cell r="H1421" t="str">
            <v>AZUL/VERDE ESMERALDA</v>
          </cell>
          <cell r="I1421" t="str">
            <v>U</v>
          </cell>
          <cell r="J1421" t="str">
            <v>U</v>
          </cell>
        </row>
        <row r="1422">
          <cell r="B1422" t="str">
            <v>OT020150003</v>
          </cell>
          <cell r="C1422" t="str">
            <v>ACCESORIOS</v>
          </cell>
          <cell r="D1422" t="str">
            <v>LLAVERO</v>
          </cell>
          <cell r="E1422" t="str">
            <v>LLAVERO KAREN</v>
          </cell>
          <cell r="F1422" t="str">
            <v>CUERO VARIOS</v>
          </cell>
          <cell r="G1422">
            <v>0</v>
          </cell>
          <cell r="H1422" t="str">
            <v>CARAMELO/NEGRO</v>
          </cell>
          <cell r="I1422" t="str">
            <v>U</v>
          </cell>
          <cell r="J1422" t="str">
            <v>U</v>
          </cell>
        </row>
        <row r="1423">
          <cell r="B1423" t="str">
            <v>OT020150007</v>
          </cell>
          <cell r="C1423" t="str">
            <v>ACCESORIOS</v>
          </cell>
          <cell r="D1423" t="str">
            <v>LLAVERO</v>
          </cell>
          <cell r="E1423" t="str">
            <v>LLAVERO KAREN</v>
          </cell>
          <cell r="F1423" t="str">
            <v>CUERO VARIOS</v>
          </cell>
          <cell r="G1423">
            <v>0</v>
          </cell>
          <cell r="H1423" t="str">
            <v>ROJO/NEGRO</v>
          </cell>
          <cell r="I1423" t="str">
            <v>U</v>
          </cell>
          <cell r="J1423" t="str">
            <v>U</v>
          </cell>
        </row>
        <row r="1424">
          <cell r="B1424" t="str">
            <v>OT020170001</v>
          </cell>
          <cell r="C1424" t="str">
            <v>ACCESORIOS</v>
          </cell>
          <cell r="D1424" t="str">
            <v>LLAVERO</v>
          </cell>
          <cell r="E1424" t="str">
            <v>LLAVERO KAREN</v>
          </cell>
          <cell r="F1424" t="str">
            <v>CUERO VARIOS</v>
          </cell>
          <cell r="G1424">
            <v>0</v>
          </cell>
          <cell r="H1424" t="str">
            <v>NEGRO/AVELLANA</v>
          </cell>
          <cell r="I1424" t="str">
            <v>U</v>
          </cell>
          <cell r="J1424" t="str">
            <v>U</v>
          </cell>
        </row>
        <row r="1425">
          <cell r="B1425" t="str">
            <v>OT020170003</v>
          </cell>
          <cell r="C1425" t="str">
            <v>ACCESORIOS</v>
          </cell>
          <cell r="D1425" t="str">
            <v>LLAVERO</v>
          </cell>
          <cell r="E1425" t="str">
            <v>LLAVERO KAREN</v>
          </cell>
          <cell r="F1425" t="str">
            <v>CUERO VARIOS</v>
          </cell>
          <cell r="G1425">
            <v>0</v>
          </cell>
          <cell r="H1425" t="str">
            <v>CARAMELO/AVELLANA</v>
          </cell>
          <cell r="I1425" t="str">
            <v>U</v>
          </cell>
          <cell r="J1425" t="str">
            <v>U</v>
          </cell>
        </row>
        <row r="1426">
          <cell r="B1426" t="str">
            <v>OT020170007</v>
          </cell>
          <cell r="C1426" t="str">
            <v>ACCESORIOS</v>
          </cell>
          <cell r="D1426" t="str">
            <v>LLAVERO</v>
          </cell>
          <cell r="E1426" t="str">
            <v>LLAVERO KAREN</v>
          </cell>
          <cell r="F1426" t="str">
            <v>CUERO VARIOS</v>
          </cell>
          <cell r="G1426">
            <v>0</v>
          </cell>
          <cell r="H1426" t="str">
            <v>ROJO/AVELLANA</v>
          </cell>
          <cell r="I1426" t="str">
            <v>U</v>
          </cell>
          <cell r="J1426" t="str">
            <v>U</v>
          </cell>
        </row>
        <row r="1427">
          <cell r="B1427" t="str">
            <v>OT020170010</v>
          </cell>
          <cell r="C1427" t="str">
            <v>ACCESORIOS</v>
          </cell>
          <cell r="D1427" t="str">
            <v>LLAVERO</v>
          </cell>
          <cell r="E1427" t="str">
            <v>LLAVERO KAREN</v>
          </cell>
          <cell r="F1427" t="str">
            <v>CUERO VARIOS</v>
          </cell>
          <cell r="G1427">
            <v>0</v>
          </cell>
          <cell r="H1427" t="str">
            <v>VERDE/AVELLANA</v>
          </cell>
          <cell r="I1427" t="str">
            <v>U</v>
          </cell>
          <cell r="J1427" t="str">
            <v>U</v>
          </cell>
        </row>
        <row r="1428">
          <cell r="B1428" t="str">
            <v>OT020180009</v>
          </cell>
          <cell r="C1428" t="str">
            <v>ACCESORIOS</v>
          </cell>
          <cell r="D1428" t="str">
            <v>LLAVERO</v>
          </cell>
          <cell r="E1428" t="str">
            <v>LLAVERO KAREN</v>
          </cell>
          <cell r="F1428" t="str">
            <v>CUERO VARIOS</v>
          </cell>
          <cell r="G1428">
            <v>0</v>
          </cell>
          <cell r="H1428" t="str">
            <v>AZUL/OXIDO</v>
          </cell>
          <cell r="I1428" t="str">
            <v>U</v>
          </cell>
          <cell r="J1428" t="str">
            <v>U</v>
          </cell>
        </row>
        <row r="1429">
          <cell r="B1429" t="str">
            <v>OT020190001</v>
          </cell>
          <cell r="C1429" t="str">
            <v>ACCESORIOS</v>
          </cell>
          <cell r="D1429" t="str">
            <v>LLAVERO</v>
          </cell>
          <cell r="E1429" t="str">
            <v>LLAVERO KAREN</v>
          </cell>
          <cell r="F1429" t="str">
            <v>CUERO VARIOS</v>
          </cell>
          <cell r="G1429">
            <v>0</v>
          </cell>
          <cell r="H1429" t="str">
            <v>NEGRO/SALMON</v>
          </cell>
          <cell r="I1429" t="str">
            <v>U</v>
          </cell>
          <cell r="J1429" t="str">
            <v>U</v>
          </cell>
        </row>
        <row r="1430">
          <cell r="B1430" t="str">
            <v>OT020190009</v>
          </cell>
          <cell r="C1430" t="str">
            <v>ACCESORIOS</v>
          </cell>
          <cell r="D1430" t="str">
            <v>LLAVERO</v>
          </cell>
          <cell r="E1430" t="str">
            <v>LLAVERO KAREN</v>
          </cell>
          <cell r="F1430" t="str">
            <v>CUERO VARIOS</v>
          </cell>
          <cell r="G1430">
            <v>0</v>
          </cell>
          <cell r="H1430" t="str">
            <v>AZUL/SALMON</v>
          </cell>
          <cell r="I1430" t="str">
            <v>U</v>
          </cell>
          <cell r="J1430" t="str">
            <v>U</v>
          </cell>
        </row>
        <row r="1431">
          <cell r="B1431" t="str">
            <v>OT020190010</v>
          </cell>
          <cell r="C1431" t="str">
            <v>ACCESORIOS</v>
          </cell>
          <cell r="D1431" t="str">
            <v>LLAVERO</v>
          </cell>
          <cell r="E1431" t="str">
            <v>LLAVERO KAREN</v>
          </cell>
          <cell r="F1431" t="str">
            <v>CUERO VARIOS</v>
          </cell>
          <cell r="G1431">
            <v>0</v>
          </cell>
          <cell r="H1431" t="str">
            <v>VERDE/SALMON</v>
          </cell>
          <cell r="I1431" t="str">
            <v>U</v>
          </cell>
          <cell r="J1431" t="str">
            <v>U</v>
          </cell>
        </row>
        <row r="1432">
          <cell r="B1432" t="str">
            <v>OT020480301-17</v>
          </cell>
          <cell r="C1432" t="str">
            <v>ACCESORIOS</v>
          </cell>
          <cell r="D1432" t="str">
            <v>LLAVERO</v>
          </cell>
          <cell r="E1432" t="str">
            <v>LLAVERO KAREN</v>
          </cell>
          <cell r="F1432" t="str">
            <v>CUERO VARIOS</v>
          </cell>
          <cell r="G1432">
            <v>0</v>
          </cell>
          <cell r="H1432" t="str">
            <v>NEGRO/GRIS MEDIO</v>
          </cell>
          <cell r="I1432" t="str">
            <v>U</v>
          </cell>
          <cell r="J1432" t="str">
            <v>U</v>
          </cell>
        </row>
        <row r="1433">
          <cell r="B1433" t="str">
            <v>OT020480301-22</v>
          </cell>
          <cell r="C1433" t="str">
            <v>ACCESORIOS</v>
          </cell>
          <cell r="D1433" t="str">
            <v>LLAVERO</v>
          </cell>
          <cell r="E1433" t="str">
            <v>LLAVERO KAREN</v>
          </cell>
          <cell r="F1433" t="str">
            <v>CUERO VARIOS</v>
          </cell>
          <cell r="G1433">
            <v>0</v>
          </cell>
          <cell r="H1433" t="str">
            <v>NEGRO/GRIS OSCURO</v>
          </cell>
          <cell r="I1433" t="str">
            <v>U</v>
          </cell>
          <cell r="J1433" t="str">
            <v>U</v>
          </cell>
        </row>
        <row r="1434">
          <cell r="B1434" t="str">
            <v>OT020480301-50</v>
          </cell>
          <cell r="C1434" t="str">
            <v>ACCESORIOS</v>
          </cell>
          <cell r="D1434" t="str">
            <v>LLAVERO</v>
          </cell>
          <cell r="E1434" t="str">
            <v>LLAVERO KAREN</v>
          </cell>
          <cell r="F1434" t="str">
            <v>CUERO VARIOS</v>
          </cell>
          <cell r="G1434">
            <v>0</v>
          </cell>
          <cell r="H1434" t="str">
            <v>NEGRO/VESUBIO</v>
          </cell>
          <cell r="I1434" t="str">
            <v>U</v>
          </cell>
          <cell r="J1434" t="str">
            <v>U</v>
          </cell>
        </row>
        <row r="1435">
          <cell r="B1435" t="str">
            <v>OT020480301-56</v>
          </cell>
          <cell r="C1435" t="str">
            <v>ACCESORIOS</v>
          </cell>
          <cell r="D1435" t="str">
            <v>LLAVERO</v>
          </cell>
          <cell r="E1435" t="str">
            <v>LLAVERO KAREN</v>
          </cell>
          <cell r="F1435" t="str">
            <v>CUERO VARIOS</v>
          </cell>
          <cell r="G1435">
            <v>0</v>
          </cell>
          <cell r="H1435" t="str">
            <v>NEGRO/OXIDO</v>
          </cell>
          <cell r="I1435" t="str">
            <v>U</v>
          </cell>
          <cell r="J1435" t="str">
            <v>U</v>
          </cell>
        </row>
        <row r="1436">
          <cell r="B1436" t="str">
            <v>OT020480303-09</v>
          </cell>
          <cell r="C1436" t="str">
            <v>ACCESORIOS</v>
          </cell>
          <cell r="D1436" t="str">
            <v>LLAVERO</v>
          </cell>
          <cell r="E1436" t="str">
            <v>LLAVERO KAREN</v>
          </cell>
          <cell r="F1436" t="str">
            <v>CUERO VARIOS</v>
          </cell>
          <cell r="G1436">
            <v>0</v>
          </cell>
          <cell r="H1436" t="str">
            <v>CARAMELO/AZUL</v>
          </cell>
          <cell r="I1436" t="str">
            <v>U</v>
          </cell>
          <cell r="J1436" t="str">
            <v>U</v>
          </cell>
        </row>
        <row r="1437">
          <cell r="B1437" t="str">
            <v>OT020480303-16</v>
          </cell>
          <cell r="C1437" t="str">
            <v>ACCESORIOS</v>
          </cell>
          <cell r="D1437" t="str">
            <v>LLAVERO</v>
          </cell>
          <cell r="E1437" t="str">
            <v>LLAVERO KAREN</v>
          </cell>
          <cell r="F1437" t="str">
            <v>CUERO VARIOS</v>
          </cell>
          <cell r="G1437">
            <v>0</v>
          </cell>
          <cell r="H1437" t="str">
            <v>CARAMELO/OLIVE</v>
          </cell>
          <cell r="I1437" t="str">
            <v>U</v>
          </cell>
          <cell r="J1437" t="str">
            <v>U</v>
          </cell>
        </row>
        <row r="1438">
          <cell r="B1438" t="str">
            <v>OT020480303-18</v>
          </cell>
          <cell r="C1438" t="str">
            <v>ACCESORIOS</v>
          </cell>
          <cell r="D1438" t="str">
            <v>LLAVERO</v>
          </cell>
          <cell r="E1438" t="str">
            <v>LLAVERO KAREN</v>
          </cell>
          <cell r="F1438" t="str">
            <v>CUERO VARIOS</v>
          </cell>
          <cell r="G1438">
            <v>0</v>
          </cell>
          <cell r="H1438" t="str">
            <v>CARAMELO/MARSALA</v>
          </cell>
          <cell r="I1438" t="str">
            <v>U</v>
          </cell>
          <cell r="J1438" t="str">
            <v>U</v>
          </cell>
        </row>
        <row r="1439">
          <cell r="B1439" t="str">
            <v>OT020480303-58</v>
          </cell>
          <cell r="C1439" t="str">
            <v>ACCESORIOS</v>
          </cell>
          <cell r="D1439" t="str">
            <v>LLAVERO</v>
          </cell>
          <cell r="E1439" t="str">
            <v>LLAVERO KAREN</v>
          </cell>
          <cell r="F1439" t="str">
            <v>CUERO VARIOS</v>
          </cell>
          <cell r="G1439">
            <v>0</v>
          </cell>
          <cell r="H1439" t="str">
            <v>CARAMELO/CAFE</v>
          </cell>
          <cell r="I1439" t="str">
            <v>U</v>
          </cell>
          <cell r="J1439" t="str">
            <v>U</v>
          </cell>
        </row>
        <row r="1440">
          <cell r="B1440" t="str">
            <v>OT020480304-16</v>
          </cell>
          <cell r="C1440" t="str">
            <v>ACCESORIOS</v>
          </cell>
          <cell r="D1440" t="str">
            <v>LLAVERO</v>
          </cell>
          <cell r="E1440" t="str">
            <v>LLAVERO KAREN</v>
          </cell>
          <cell r="F1440" t="str">
            <v>CUERO VARIOS</v>
          </cell>
          <cell r="G1440">
            <v>0</v>
          </cell>
          <cell r="H1440" t="str">
            <v>TABACO/OLIVE</v>
          </cell>
          <cell r="I1440" t="str">
            <v>U</v>
          </cell>
          <cell r="J1440" t="str">
            <v>U</v>
          </cell>
        </row>
        <row r="1441">
          <cell r="B1441" t="str">
            <v>OT020480304-55</v>
          </cell>
          <cell r="C1441" t="str">
            <v>ACCESORIOS</v>
          </cell>
          <cell r="D1441" t="str">
            <v>LLAVERO</v>
          </cell>
          <cell r="E1441" t="str">
            <v>LLAVERO KAREN</v>
          </cell>
          <cell r="F1441" t="str">
            <v>CUERO VARIOS</v>
          </cell>
          <cell r="G1441">
            <v>0</v>
          </cell>
          <cell r="H1441" t="str">
            <v>TABACO/AVELLANA</v>
          </cell>
          <cell r="I1441" t="str">
            <v>U</v>
          </cell>
          <cell r="J1441" t="str">
            <v>U</v>
          </cell>
        </row>
        <row r="1442">
          <cell r="B1442" t="str">
            <v>OT020480309-09</v>
          </cell>
          <cell r="C1442" t="str">
            <v>ACCESORIOS</v>
          </cell>
          <cell r="D1442" t="str">
            <v>LLAVERO</v>
          </cell>
          <cell r="E1442" t="str">
            <v>LLAVERO KAREN</v>
          </cell>
          <cell r="F1442" t="str">
            <v>CUERO VARIOS</v>
          </cell>
          <cell r="G1442">
            <v>0</v>
          </cell>
          <cell r="H1442" t="str">
            <v>AZUL/AZUL</v>
          </cell>
          <cell r="I1442" t="str">
            <v>U</v>
          </cell>
          <cell r="J1442" t="str">
            <v>U</v>
          </cell>
        </row>
        <row r="1443">
          <cell r="B1443" t="str">
            <v>OT020480309-18</v>
          </cell>
          <cell r="C1443" t="str">
            <v>ACCESORIOS</v>
          </cell>
          <cell r="D1443" t="str">
            <v>LLAVERO</v>
          </cell>
          <cell r="E1443" t="str">
            <v>LLAVERO KAREN</v>
          </cell>
          <cell r="F1443" t="str">
            <v>CUERO VARIOS</v>
          </cell>
          <cell r="G1443">
            <v>0</v>
          </cell>
          <cell r="H1443" t="str">
            <v>AZUL/MARSALA</v>
          </cell>
          <cell r="I1443" t="str">
            <v>U</v>
          </cell>
          <cell r="J1443" t="str">
            <v>U</v>
          </cell>
        </row>
        <row r="1444">
          <cell r="B1444" t="str">
            <v>OT020480309-55</v>
          </cell>
          <cell r="C1444" t="str">
            <v>ACCESORIOS</v>
          </cell>
          <cell r="D1444" t="str">
            <v>LLAVERO</v>
          </cell>
          <cell r="E1444" t="str">
            <v>LLAVERO KAREN</v>
          </cell>
          <cell r="F1444" t="str">
            <v>CUERO VARIOS</v>
          </cell>
          <cell r="G1444">
            <v>0</v>
          </cell>
          <cell r="H1444" t="str">
            <v>AZUL/AVELLANA</v>
          </cell>
          <cell r="I1444" t="str">
            <v>U</v>
          </cell>
          <cell r="J1444" t="str">
            <v>U</v>
          </cell>
        </row>
        <row r="1445">
          <cell r="B1445" t="str">
            <v>OT020480310-16</v>
          </cell>
          <cell r="C1445" t="str">
            <v>ACCESORIOS</v>
          </cell>
          <cell r="D1445" t="str">
            <v>LLAVERO</v>
          </cell>
          <cell r="E1445" t="str">
            <v>LLAVERO KAREN</v>
          </cell>
          <cell r="F1445" t="str">
            <v>CUERO VARIOS</v>
          </cell>
          <cell r="G1445">
            <v>0</v>
          </cell>
          <cell r="H1445" t="str">
            <v>VERDE/OLIVE</v>
          </cell>
          <cell r="I1445" t="str">
            <v>U</v>
          </cell>
          <cell r="J1445" t="str">
            <v>U</v>
          </cell>
        </row>
        <row r="1446">
          <cell r="B1446" t="str">
            <v>OT020480310-56</v>
          </cell>
          <cell r="C1446" t="str">
            <v>ACCESORIOS</v>
          </cell>
          <cell r="D1446" t="str">
            <v>LLAVERO</v>
          </cell>
          <cell r="E1446" t="str">
            <v>LLAVERO KAREN</v>
          </cell>
          <cell r="F1446" t="str">
            <v>CUERO VARIOS</v>
          </cell>
          <cell r="G1446">
            <v>0</v>
          </cell>
          <cell r="H1446" t="str">
            <v>VERDE/OXIDO</v>
          </cell>
          <cell r="I1446" t="str">
            <v>U</v>
          </cell>
          <cell r="J1446" t="str">
            <v>U</v>
          </cell>
        </row>
        <row r="1447">
          <cell r="B1447" t="str">
            <v>OT020480315-09</v>
          </cell>
          <cell r="C1447" t="str">
            <v>ACCESORIOS</v>
          </cell>
          <cell r="D1447" t="str">
            <v>LLAVERO</v>
          </cell>
          <cell r="E1447" t="str">
            <v>LLAVERO KAREN</v>
          </cell>
          <cell r="F1447" t="str">
            <v>CUERO VARIOS</v>
          </cell>
          <cell r="G1447">
            <v>0</v>
          </cell>
          <cell r="H1447" t="str">
            <v>MALBEC/AZUL</v>
          </cell>
          <cell r="I1447" t="str">
            <v>U</v>
          </cell>
          <cell r="J1447" t="str">
            <v>U</v>
          </cell>
        </row>
        <row r="1448">
          <cell r="B1448" t="str">
            <v>OT020480315-18</v>
          </cell>
          <cell r="C1448" t="str">
            <v>ACCESORIOS</v>
          </cell>
          <cell r="D1448" t="str">
            <v>LLAVERO</v>
          </cell>
          <cell r="E1448" t="str">
            <v>LLAVERO KAREN</v>
          </cell>
          <cell r="F1448" t="str">
            <v>CUERO VARIOS</v>
          </cell>
          <cell r="G1448">
            <v>0</v>
          </cell>
          <cell r="H1448" t="str">
            <v>MALBEC/MARSALA</v>
          </cell>
          <cell r="I1448" t="str">
            <v>U</v>
          </cell>
          <cell r="J1448" t="str">
            <v>U</v>
          </cell>
        </row>
        <row r="1449">
          <cell r="B1449" t="str">
            <v>OT020480315-56</v>
          </cell>
          <cell r="C1449" t="str">
            <v>ACCESORIOS</v>
          </cell>
          <cell r="D1449" t="str">
            <v>LLAVERO</v>
          </cell>
          <cell r="E1449" t="str">
            <v>LLAVERO KAREN</v>
          </cell>
          <cell r="F1449" t="str">
            <v>CUERO VARIOS</v>
          </cell>
          <cell r="G1449">
            <v>0</v>
          </cell>
          <cell r="H1449" t="str">
            <v>MALBEC/OXIDO</v>
          </cell>
          <cell r="I1449" t="str">
            <v>U</v>
          </cell>
          <cell r="J1449" t="str">
            <v>U</v>
          </cell>
        </row>
        <row r="1450">
          <cell r="B1450" t="str">
            <v>OT020050101</v>
          </cell>
          <cell r="C1450" t="str">
            <v>ACCESORIOS</v>
          </cell>
          <cell r="D1450" t="str">
            <v>LLAVERO</v>
          </cell>
          <cell r="E1450" t="str">
            <v>LLAVERO PAMPA</v>
          </cell>
          <cell r="F1450" t="str">
            <v>NAPADO</v>
          </cell>
          <cell r="G1450">
            <v>0</v>
          </cell>
          <cell r="H1450" t="str">
            <v>NEGRO</v>
          </cell>
          <cell r="I1450" t="str">
            <v>U</v>
          </cell>
          <cell r="J1450" t="str">
            <v>U</v>
          </cell>
        </row>
        <row r="1451">
          <cell r="B1451" t="str">
            <v>OT020050102</v>
          </cell>
          <cell r="C1451" t="str">
            <v>ACCESORIOS</v>
          </cell>
          <cell r="D1451" t="str">
            <v>LLAVERO</v>
          </cell>
          <cell r="E1451" t="str">
            <v>LLAVERO PAMPA</v>
          </cell>
          <cell r="F1451" t="str">
            <v>NAPADO</v>
          </cell>
          <cell r="G1451">
            <v>0</v>
          </cell>
          <cell r="H1451" t="str">
            <v>SUELA</v>
          </cell>
          <cell r="I1451" t="str">
            <v>U</v>
          </cell>
          <cell r="J1451" t="str">
            <v>U</v>
          </cell>
        </row>
        <row r="1452">
          <cell r="B1452" t="str">
            <v>OT020050202</v>
          </cell>
          <cell r="C1452" t="str">
            <v>ACCESORIOS</v>
          </cell>
          <cell r="D1452" t="str">
            <v>LLAVERO</v>
          </cell>
          <cell r="E1452" t="str">
            <v>LLAVERO PAMPA</v>
          </cell>
          <cell r="F1452" t="str">
            <v>TAMPONATO</v>
          </cell>
          <cell r="G1452">
            <v>0</v>
          </cell>
          <cell r="H1452" t="str">
            <v>SUELA</v>
          </cell>
          <cell r="I1452" t="str">
            <v>U</v>
          </cell>
          <cell r="J1452" t="str">
            <v>U</v>
          </cell>
        </row>
        <row r="1453">
          <cell r="B1453" t="str">
            <v>OT020050204</v>
          </cell>
          <cell r="C1453" t="str">
            <v>ACCESORIOS</v>
          </cell>
          <cell r="D1453" t="str">
            <v>LLAVERO</v>
          </cell>
          <cell r="E1453" t="str">
            <v>LLAVERO PAMPA</v>
          </cell>
          <cell r="F1453" t="str">
            <v>TAMPONATO</v>
          </cell>
          <cell r="G1453">
            <v>0</v>
          </cell>
          <cell r="H1453" t="str">
            <v>TABACO</v>
          </cell>
          <cell r="I1453" t="str">
            <v>U</v>
          </cell>
          <cell r="J1453" t="str">
            <v>U</v>
          </cell>
        </row>
        <row r="1454">
          <cell r="B1454" t="str">
            <v>OT020050205</v>
          </cell>
          <cell r="C1454" t="str">
            <v>ACCESORIOS</v>
          </cell>
          <cell r="D1454" t="str">
            <v>LLAVERO</v>
          </cell>
          <cell r="E1454" t="str">
            <v>LLAVERO PAMPA</v>
          </cell>
          <cell r="F1454" t="str">
            <v>TAMPONATO</v>
          </cell>
          <cell r="G1454">
            <v>0</v>
          </cell>
          <cell r="H1454" t="str">
            <v>LONDON</v>
          </cell>
          <cell r="I1454" t="str">
            <v>U</v>
          </cell>
          <cell r="J1454" t="str">
            <v>U</v>
          </cell>
        </row>
        <row r="1455">
          <cell r="B1455" t="str">
            <v>OT020050301</v>
          </cell>
          <cell r="C1455" t="str">
            <v>ACCESORIOS</v>
          </cell>
          <cell r="D1455" t="str">
            <v>LLAVERO</v>
          </cell>
          <cell r="E1455" t="str">
            <v>LLAVERO PAMPA</v>
          </cell>
          <cell r="F1455" t="str">
            <v>BRIDGE</v>
          </cell>
          <cell r="G1455">
            <v>0</v>
          </cell>
          <cell r="H1455" t="str">
            <v>NEGRO</v>
          </cell>
          <cell r="I1455" t="str">
            <v>U</v>
          </cell>
          <cell r="J1455" t="str">
            <v>U</v>
          </cell>
        </row>
        <row r="1456">
          <cell r="B1456" t="str">
            <v>OT020050302</v>
          </cell>
          <cell r="C1456" t="str">
            <v>ACCESORIOS</v>
          </cell>
          <cell r="D1456" t="str">
            <v>LLAVERO</v>
          </cell>
          <cell r="E1456" t="str">
            <v>LLAVERO PAMPA</v>
          </cell>
          <cell r="F1456" t="str">
            <v>BRIDGE</v>
          </cell>
          <cell r="G1456">
            <v>0</v>
          </cell>
          <cell r="H1456" t="str">
            <v>SUELA</v>
          </cell>
          <cell r="I1456" t="str">
            <v>U</v>
          </cell>
          <cell r="J1456" t="str">
            <v>U</v>
          </cell>
        </row>
        <row r="1457">
          <cell r="B1457" t="str">
            <v>OT020050303</v>
          </cell>
          <cell r="C1457" t="str">
            <v>ACCESORIOS</v>
          </cell>
          <cell r="D1457" t="str">
            <v>LLAVERO</v>
          </cell>
          <cell r="E1457" t="str">
            <v>LLAVERO PAMPA</v>
          </cell>
          <cell r="F1457" t="str">
            <v>BRIDGE</v>
          </cell>
          <cell r="G1457">
            <v>0</v>
          </cell>
          <cell r="H1457" t="str">
            <v>CARAMELO</v>
          </cell>
          <cell r="I1457" t="str">
            <v>U</v>
          </cell>
          <cell r="J1457" t="str">
            <v>U</v>
          </cell>
        </row>
        <row r="1458">
          <cell r="B1458" t="str">
            <v>OT020050304</v>
          </cell>
          <cell r="C1458" t="str">
            <v>ACCESORIOS</v>
          </cell>
          <cell r="D1458" t="str">
            <v>LLAVERO</v>
          </cell>
          <cell r="E1458" t="str">
            <v>LLAVERO PAMPA</v>
          </cell>
          <cell r="F1458" t="str">
            <v>BRIDGE</v>
          </cell>
          <cell r="G1458">
            <v>0</v>
          </cell>
          <cell r="H1458" t="str">
            <v>TABACO</v>
          </cell>
          <cell r="I1458" t="str">
            <v>U</v>
          </cell>
          <cell r="J1458" t="str">
            <v>U</v>
          </cell>
        </row>
        <row r="1459">
          <cell r="B1459" t="str">
            <v>OT020050307</v>
          </cell>
          <cell r="C1459" t="str">
            <v>ACCESORIOS</v>
          </cell>
          <cell r="D1459" t="str">
            <v>LLAVERO</v>
          </cell>
          <cell r="E1459" t="str">
            <v>LLAVERO PAMPA</v>
          </cell>
          <cell r="F1459" t="str">
            <v>BRIDGE</v>
          </cell>
          <cell r="G1459">
            <v>0</v>
          </cell>
          <cell r="H1459" t="str">
            <v>ROJO</v>
          </cell>
          <cell r="I1459" t="str">
            <v>U</v>
          </cell>
          <cell r="J1459" t="str">
            <v>U</v>
          </cell>
        </row>
        <row r="1460">
          <cell r="B1460" t="str">
            <v>OT020050309</v>
          </cell>
          <cell r="C1460" t="str">
            <v>ACCESORIOS</v>
          </cell>
          <cell r="D1460" t="str">
            <v>LLAVERO</v>
          </cell>
          <cell r="E1460" t="str">
            <v>LLAVERO PAMPA</v>
          </cell>
          <cell r="F1460" t="str">
            <v>BRIDGE</v>
          </cell>
          <cell r="G1460">
            <v>0</v>
          </cell>
          <cell r="H1460" t="str">
            <v>AZUL</v>
          </cell>
          <cell r="I1460" t="str">
            <v>U</v>
          </cell>
          <cell r="J1460" t="str">
            <v>U</v>
          </cell>
        </row>
        <row r="1461">
          <cell r="B1461" t="str">
            <v>OT020050310</v>
          </cell>
          <cell r="C1461" t="str">
            <v>ACCESORIOS</v>
          </cell>
          <cell r="D1461" t="str">
            <v>LLAVERO</v>
          </cell>
          <cell r="E1461" t="str">
            <v>LLAVERO PAMPA</v>
          </cell>
          <cell r="F1461" t="str">
            <v>BRIDGE</v>
          </cell>
          <cell r="G1461">
            <v>0</v>
          </cell>
          <cell r="H1461" t="str">
            <v>VERDE</v>
          </cell>
          <cell r="I1461" t="str">
            <v>U</v>
          </cell>
          <cell r="J1461" t="str">
            <v>U</v>
          </cell>
        </row>
        <row r="1462">
          <cell r="B1462" t="str">
            <v>OT050270909</v>
          </cell>
          <cell r="C1462" t="str">
            <v>ACCESORIOS</v>
          </cell>
          <cell r="D1462" t="str">
            <v>LLAVERO</v>
          </cell>
          <cell r="E1462" t="str">
            <v>LLAVERO PANAMA</v>
          </cell>
          <cell r="F1462" t="str">
            <v>CUERO/PANAMA</v>
          </cell>
          <cell r="G1462" t="str">
            <v>NIQUEL</v>
          </cell>
          <cell r="H1462" t="str">
            <v>AZUL</v>
          </cell>
          <cell r="I1462" t="str">
            <v>U</v>
          </cell>
          <cell r="J1462" t="str">
            <v>U</v>
          </cell>
        </row>
        <row r="1463">
          <cell r="B1463" t="str">
            <v>OT050270910</v>
          </cell>
          <cell r="C1463" t="str">
            <v>ACCESORIOS</v>
          </cell>
          <cell r="D1463" t="str">
            <v>LLAVERO</v>
          </cell>
          <cell r="E1463" t="str">
            <v>LLAVERO PANAMA</v>
          </cell>
          <cell r="F1463" t="str">
            <v>CUERO/PANAMA</v>
          </cell>
          <cell r="G1463" t="str">
            <v>NIQUEL</v>
          </cell>
          <cell r="H1463" t="str">
            <v>VERDE</v>
          </cell>
          <cell r="I1463" t="str">
            <v>U</v>
          </cell>
          <cell r="J1463" t="str">
            <v>U</v>
          </cell>
        </row>
        <row r="1464">
          <cell r="B1464" t="str">
            <v>OT050270921</v>
          </cell>
          <cell r="C1464" t="str">
            <v>ACCESORIOS</v>
          </cell>
          <cell r="D1464" t="str">
            <v>LLAVERO</v>
          </cell>
          <cell r="E1464" t="str">
            <v>LLAVERO PANAMA</v>
          </cell>
          <cell r="F1464" t="str">
            <v>CUERO/PANAMA</v>
          </cell>
          <cell r="G1464" t="str">
            <v>NIQUEL</v>
          </cell>
          <cell r="H1464" t="str">
            <v>TOSTADO</v>
          </cell>
          <cell r="I1464" t="str">
            <v>U</v>
          </cell>
          <cell r="J1464" t="str">
            <v>U</v>
          </cell>
        </row>
        <row r="1465">
          <cell r="B1465" t="str">
            <v>OT020060301</v>
          </cell>
          <cell r="C1465" t="str">
            <v>ACCESORIOS</v>
          </cell>
          <cell r="D1465" t="str">
            <v>LLAVERO</v>
          </cell>
          <cell r="E1465" t="str">
            <v>LLAVERO SIMPLE</v>
          </cell>
          <cell r="F1465" t="str">
            <v>BRIDGE</v>
          </cell>
          <cell r="G1465">
            <v>0</v>
          </cell>
          <cell r="H1465" t="str">
            <v>NEGRO</v>
          </cell>
          <cell r="I1465" t="str">
            <v>U</v>
          </cell>
          <cell r="J1465" t="str">
            <v>U</v>
          </cell>
        </row>
        <row r="1466">
          <cell r="B1466" t="str">
            <v>OT020060303</v>
          </cell>
          <cell r="C1466" t="str">
            <v>ACCESORIOS</v>
          </cell>
          <cell r="D1466" t="str">
            <v>LLAVERO</v>
          </cell>
          <cell r="E1466" t="str">
            <v>LLAVERO SIMPLE</v>
          </cell>
          <cell r="F1466" t="str">
            <v>BRIDGE</v>
          </cell>
          <cell r="G1466">
            <v>0</v>
          </cell>
          <cell r="H1466" t="str">
            <v>CARAMELO</v>
          </cell>
          <cell r="I1466" t="str">
            <v>U</v>
          </cell>
          <cell r="J1466" t="str">
            <v>U</v>
          </cell>
        </row>
        <row r="1467">
          <cell r="B1467" t="str">
            <v>OT020060304</v>
          </cell>
          <cell r="C1467" t="str">
            <v>ACCESORIOS</v>
          </cell>
          <cell r="D1467" t="str">
            <v>LLAVERO</v>
          </cell>
          <cell r="E1467" t="str">
            <v>LLAVERO SIMPLE</v>
          </cell>
          <cell r="F1467" t="str">
            <v>BRIDGE</v>
          </cell>
          <cell r="G1467">
            <v>0</v>
          </cell>
          <cell r="H1467" t="str">
            <v>TABACO</v>
          </cell>
          <cell r="I1467" t="str">
            <v>U</v>
          </cell>
          <cell r="J1467" t="str">
            <v>U</v>
          </cell>
        </row>
        <row r="1468">
          <cell r="B1468" t="str">
            <v>OT020060307</v>
          </cell>
          <cell r="C1468" t="str">
            <v>ACCESORIOS</v>
          </cell>
          <cell r="D1468" t="str">
            <v>LLAVERO</v>
          </cell>
          <cell r="E1468" t="str">
            <v>LLAVERO SIMPLE</v>
          </cell>
          <cell r="F1468" t="str">
            <v>BRIDGE</v>
          </cell>
          <cell r="G1468">
            <v>0</v>
          </cell>
          <cell r="H1468" t="str">
            <v>ROJO</v>
          </cell>
          <cell r="I1468" t="str">
            <v>U</v>
          </cell>
          <cell r="J1468" t="str">
            <v>U</v>
          </cell>
        </row>
        <row r="1469">
          <cell r="B1469" t="str">
            <v>OT020060309</v>
          </cell>
          <cell r="C1469" t="str">
            <v>ACCESORIOS</v>
          </cell>
          <cell r="D1469" t="str">
            <v>LLAVERO</v>
          </cell>
          <cell r="E1469" t="str">
            <v>LLAVERO SIMPLE</v>
          </cell>
          <cell r="F1469" t="str">
            <v>BRIDGE</v>
          </cell>
          <cell r="G1469">
            <v>0</v>
          </cell>
          <cell r="H1469" t="str">
            <v>AZUL</v>
          </cell>
          <cell r="I1469" t="str">
            <v>U</v>
          </cell>
          <cell r="J1469" t="str">
            <v>U</v>
          </cell>
        </row>
        <row r="1470">
          <cell r="B1470" t="str">
            <v>OT020060310</v>
          </cell>
          <cell r="C1470" t="str">
            <v>ACCESORIOS</v>
          </cell>
          <cell r="D1470" t="str">
            <v>LLAVERO</v>
          </cell>
          <cell r="E1470" t="str">
            <v>LLAVERO SIMPLE</v>
          </cell>
          <cell r="F1470" t="str">
            <v>BRIDGE</v>
          </cell>
          <cell r="G1470">
            <v>0</v>
          </cell>
          <cell r="H1470" t="str">
            <v>VERDE</v>
          </cell>
          <cell r="I1470" t="str">
            <v>U</v>
          </cell>
          <cell r="J1470" t="str">
            <v>U</v>
          </cell>
        </row>
        <row r="1471">
          <cell r="B1471" t="str">
            <v>MC020240301</v>
          </cell>
          <cell r="C1471" t="str">
            <v>ACCESORIOS</v>
          </cell>
          <cell r="D1471" t="str">
            <v>LLAVERO</v>
          </cell>
          <cell r="E1471" t="str">
            <v>LLAVERO TEO</v>
          </cell>
          <cell r="F1471" t="str">
            <v>BRIDGE</v>
          </cell>
          <cell r="G1471">
            <v>0</v>
          </cell>
          <cell r="H1471" t="str">
            <v>NEGRO</v>
          </cell>
          <cell r="I1471" t="str">
            <v>U</v>
          </cell>
          <cell r="J1471" t="str">
            <v>U</v>
          </cell>
        </row>
        <row r="1472">
          <cell r="B1472" t="str">
            <v>MC020240303</v>
          </cell>
          <cell r="C1472" t="str">
            <v>ACCESORIOS</v>
          </cell>
          <cell r="D1472" t="str">
            <v>LLAVERO</v>
          </cell>
          <cell r="E1472" t="str">
            <v>LLAVERO TEO</v>
          </cell>
          <cell r="F1472" t="str">
            <v>BRIDGE</v>
          </cell>
          <cell r="G1472">
            <v>0</v>
          </cell>
          <cell r="H1472" t="str">
            <v>CARAMELO</v>
          </cell>
          <cell r="I1472" t="str">
            <v>U</v>
          </cell>
          <cell r="J1472" t="str">
            <v>U</v>
          </cell>
        </row>
        <row r="1473">
          <cell r="B1473" t="str">
            <v>MC020240304</v>
          </cell>
          <cell r="C1473" t="str">
            <v>ACCESORIOS</v>
          </cell>
          <cell r="D1473" t="str">
            <v>LLAVERO</v>
          </cell>
          <cell r="E1473" t="str">
            <v>LLAVERO TEO</v>
          </cell>
          <cell r="F1473" t="str">
            <v>BRIDGE</v>
          </cell>
          <cell r="G1473">
            <v>0</v>
          </cell>
          <cell r="H1473" t="str">
            <v>TABACO</v>
          </cell>
          <cell r="I1473" t="str">
            <v>U</v>
          </cell>
          <cell r="J1473" t="str">
            <v>U</v>
          </cell>
        </row>
        <row r="1474">
          <cell r="B1474" t="str">
            <v>MC020240307</v>
          </cell>
          <cell r="C1474" t="str">
            <v>ACCESORIOS</v>
          </cell>
          <cell r="D1474" t="str">
            <v>LLAVERO</v>
          </cell>
          <cell r="E1474" t="str">
            <v>LLAVERO TEO</v>
          </cell>
          <cell r="F1474" t="str">
            <v>BRIDGE</v>
          </cell>
          <cell r="G1474">
            <v>0</v>
          </cell>
          <cell r="H1474" t="str">
            <v>ROJO</v>
          </cell>
          <cell r="I1474" t="str">
            <v>U</v>
          </cell>
          <cell r="J1474" t="str">
            <v>U</v>
          </cell>
        </row>
        <row r="1475">
          <cell r="B1475" t="str">
            <v>MC020240309</v>
          </cell>
          <cell r="C1475" t="str">
            <v>ACCESORIOS</v>
          </cell>
          <cell r="D1475" t="str">
            <v>LLAVERO</v>
          </cell>
          <cell r="E1475" t="str">
            <v>LLAVERO TEO</v>
          </cell>
          <cell r="F1475" t="str">
            <v>BRIDGE</v>
          </cell>
          <cell r="G1475">
            <v>0</v>
          </cell>
          <cell r="H1475" t="str">
            <v>AZUL</v>
          </cell>
          <cell r="I1475" t="str">
            <v>U</v>
          </cell>
          <cell r="J1475" t="str">
            <v>U</v>
          </cell>
        </row>
        <row r="1476">
          <cell r="B1476" t="str">
            <v>MC020240310</v>
          </cell>
          <cell r="C1476" t="str">
            <v>ACCESORIOS</v>
          </cell>
          <cell r="D1476" t="str">
            <v>LLAVERO</v>
          </cell>
          <cell r="E1476" t="str">
            <v>LLAVERO TEO</v>
          </cell>
          <cell r="F1476" t="str">
            <v>BRIDGE</v>
          </cell>
          <cell r="G1476">
            <v>0</v>
          </cell>
          <cell r="H1476" t="str">
            <v>VERDE</v>
          </cell>
          <cell r="I1476" t="str">
            <v>U</v>
          </cell>
          <cell r="J1476" t="str">
            <v>U</v>
          </cell>
        </row>
        <row r="1477">
          <cell r="B1477" t="str">
            <v>TX230283801</v>
          </cell>
          <cell r="C1477" t="str">
            <v>TEXTIL</v>
          </cell>
          <cell r="D1477" t="str">
            <v>MEDIAS</v>
          </cell>
          <cell r="E1477" t="str">
            <v>MEDIAS DE VESTIR 207</v>
          </cell>
          <cell r="F1477" t="str">
            <v>POLIAMIDA</v>
          </cell>
          <cell r="G1477">
            <v>0</v>
          </cell>
          <cell r="H1477" t="str">
            <v>NEGRO</v>
          </cell>
          <cell r="I1477" t="str">
            <v>U</v>
          </cell>
          <cell r="J1477" t="str">
            <v>H</v>
          </cell>
        </row>
        <row r="1478">
          <cell r="B1478" t="str">
            <v>TX230283837</v>
          </cell>
          <cell r="C1478" t="str">
            <v>TEXTIL</v>
          </cell>
          <cell r="D1478" t="str">
            <v>MEDIAS</v>
          </cell>
          <cell r="E1478" t="str">
            <v>MEDIAS DE VESTIR 207</v>
          </cell>
          <cell r="F1478" t="str">
            <v>POLIAMIDA</v>
          </cell>
          <cell r="G1478">
            <v>0</v>
          </cell>
          <cell r="H1478" t="str">
            <v>AZUL MARINO</v>
          </cell>
          <cell r="I1478" t="str">
            <v>U</v>
          </cell>
          <cell r="J1478" t="str">
            <v>H</v>
          </cell>
        </row>
        <row r="1479">
          <cell r="B1479" t="str">
            <v>TX230283852</v>
          </cell>
          <cell r="C1479" t="str">
            <v>TEXTIL</v>
          </cell>
          <cell r="D1479" t="str">
            <v>MEDIAS</v>
          </cell>
          <cell r="E1479" t="str">
            <v>MEDIAS DE VESTIR 207</v>
          </cell>
          <cell r="F1479" t="str">
            <v>POLIAMIDA</v>
          </cell>
          <cell r="G1479">
            <v>0</v>
          </cell>
          <cell r="H1479" t="str">
            <v>CHOCOLATE</v>
          </cell>
          <cell r="I1479" t="str">
            <v>U</v>
          </cell>
          <cell r="J1479" t="str">
            <v>H</v>
          </cell>
        </row>
        <row r="1480">
          <cell r="B1480" t="str">
            <v>TX230273701-1</v>
          </cell>
          <cell r="C1480" t="str">
            <v>TEXTIL</v>
          </cell>
          <cell r="D1480" t="str">
            <v>MEDIAS</v>
          </cell>
          <cell r="E1480" t="str">
            <v>MEDIAS DE VESTIR 472 (38-41)</v>
          </cell>
          <cell r="F1480" t="str">
            <v>ALGODON</v>
          </cell>
          <cell r="G1480">
            <v>0</v>
          </cell>
          <cell r="H1480" t="str">
            <v>NEGRO</v>
          </cell>
          <cell r="I1480">
            <v>1</v>
          </cell>
          <cell r="J1480" t="str">
            <v>H</v>
          </cell>
        </row>
        <row r="1481">
          <cell r="B1481" t="str">
            <v>TX230273701-2</v>
          </cell>
          <cell r="C1481" t="str">
            <v>TEXTIL</v>
          </cell>
          <cell r="D1481" t="str">
            <v>MEDIAS</v>
          </cell>
          <cell r="E1481" t="str">
            <v>MEDIAS DE VESTIR 472 (42-45)</v>
          </cell>
          <cell r="F1481" t="str">
            <v>ALGODON</v>
          </cell>
          <cell r="G1481">
            <v>0</v>
          </cell>
          <cell r="H1481" t="str">
            <v>NEGRO</v>
          </cell>
          <cell r="I1481">
            <v>2</v>
          </cell>
          <cell r="J1481" t="str">
            <v>H</v>
          </cell>
        </row>
        <row r="1482">
          <cell r="B1482" t="str">
            <v>CA170130001-39</v>
          </cell>
          <cell r="C1482" t="str">
            <v>CALZADO</v>
          </cell>
          <cell r="D1482" t="str">
            <v>MOCASIN</v>
          </cell>
          <cell r="E1482" t="str">
            <v>MOCASIN FANGIO</v>
          </cell>
          <cell r="F1482" t="str">
            <v>CUERO</v>
          </cell>
          <cell r="G1482">
            <v>0</v>
          </cell>
          <cell r="H1482" t="str">
            <v>NEGRO</v>
          </cell>
          <cell r="I1482">
            <v>39</v>
          </cell>
          <cell r="J1482" t="str">
            <v>H</v>
          </cell>
        </row>
        <row r="1483">
          <cell r="B1483" t="str">
            <v>CA170130001-40</v>
          </cell>
          <cell r="C1483" t="str">
            <v>CALZADO</v>
          </cell>
          <cell r="D1483" t="str">
            <v>MOCASIN</v>
          </cell>
          <cell r="E1483" t="str">
            <v>MOCASIN FANGIO</v>
          </cell>
          <cell r="F1483" t="str">
            <v>CUERO</v>
          </cell>
          <cell r="G1483">
            <v>0</v>
          </cell>
          <cell r="H1483" t="str">
            <v>NEGRO</v>
          </cell>
          <cell r="I1483">
            <v>40</v>
          </cell>
          <cell r="J1483" t="str">
            <v>H</v>
          </cell>
        </row>
        <row r="1484">
          <cell r="B1484" t="str">
            <v>CA170130001-41</v>
          </cell>
          <cell r="C1484" t="str">
            <v>CALZADO</v>
          </cell>
          <cell r="D1484" t="str">
            <v>MOCASIN</v>
          </cell>
          <cell r="E1484" t="str">
            <v>MOCASIN FANGIO</v>
          </cell>
          <cell r="F1484" t="str">
            <v>CUERO</v>
          </cell>
          <cell r="G1484">
            <v>0</v>
          </cell>
          <cell r="H1484" t="str">
            <v>NEGRO</v>
          </cell>
          <cell r="I1484">
            <v>41</v>
          </cell>
          <cell r="J1484" t="str">
            <v>H</v>
          </cell>
        </row>
        <row r="1485">
          <cell r="B1485" t="str">
            <v>CA170130001-42</v>
          </cell>
          <cell r="C1485" t="str">
            <v>CALZADO</v>
          </cell>
          <cell r="D1485" t="str">
            <v>MOCASIN</v>
          </cell>
          <cell r="E1485" t="str">
            <v>MOCASIN FANGIO</v>
          </cell>
          <cell r="F1485" t="str">
            <v>CUERO</v>
          </cell>
          <cell r="G1485">
            <v>0</v>
          </cell>
          <cell r="H1485" t="str">
            <v>NEGRO</v>
          </cell>
          <cell r="I1485">
            <v>42</v>
          </cell>
          <cell r="J1485" t="str">
            <v>H</v>
          </cell>
        </row>
        <row r="1486">
          <cell r="B1486" t="str">
            <v>CA170130001-43</v>
          </cell>
          <cell r="C1486" t="str">
            <v>CALZADO</v>
          </cell>
          <cell r="D1486" t="str">
            <v>MOCASIN</v>
          </cell>
          <cell r="E1486" t="str">
            <v>MOCASIN FANGIO</v>
          </cell>
          <cell r="F1486" t="str">
            <v>CUERO</v>
          </cell>
          <cell r="G1486">
            <v>0</v>
          </cell>
          <cell r="H1486" t="str">
            <v>NEGRO</v>
          </cell>
          <cell r="I1486">
            <v>43</v>
          </cell>
          <cell r="J1486" t="str">
            <v>H</v>
          </cell>
        </row>
        <row r="1487">
          <cell r="B1487" t="str">
            <v>CA170130001-44</v>
          </cell>
          <cell r="C1487" t="str">
            <v>CALZADO</v>
          </cell>
          <cell r="D1487" t="str">
            <v>MOCASIN</v>
          </cell>
          <cell r="E1487" t="str">
            <v>MOCASIN FANGIO</v>
          </cell>
          <cell r="F1487" t="str">
            <v>CUERO</v>
          </cell>
          <cell r="G1487">
            <v>0</v>
          </cell>
          <cell r="H1487" t="str">
            <v>NEGRO</v>
          </cell>
          <cell r="I1487">
            <v>44</v>
          </cell>
          <cell r="J1487" t="str">
            <v>H</v>
          </cell>
        </row>
        <row r="1488">
          <cell r="B1488" t="str">
            <v>CA170130001-45</v>
          </cell>
          <cell r="C1488" t="str">
            <v>CALZADO</v>
          </cell>
          <cell r="D1488" t="str">
            <v>MOCASIN</v>
          </cell>
          <cell r="E1488" t="str">
            <v>MOCASIN FANGIO</v>
          </cell>
          <cell r="F1488" t="str">
            <v>CUERO</v>
          </cell>
          <cell r="G1488">
            <v>0</v>
          </cell>
          <cell r="H1488" t="str">
            <v>NEGRO</v>
          </cell>
          <cell r="I1488">
            <v>45</v>
          </cell>
          <cell r="J1488" t="str">
            <v>H</v>
          </cell>
        </row>
        <row r="1489">
          <cell r="B1489" t="str">
            <v>CA170130004-39</v>
          </cell>
          <cell r="C1489" t="str">
            <v>CALZADO</v>
          </cell>
          <cell r="D1489" t="str">
            <v>MOCASIN</v>
          </cell>
          <cell r="E1489" t="str">
            <v>MOCASIN FANGIO</v>
          </cell>
          <cell r="F1489" t="str">
            <v>CUERO</v>
          </cell>
          <cell r="G1489">
            <v>0</v>
          </cell>
          <cell r="H1489" t="str">
            <v>TABACO</v>
          </cell>
          <cell r="I1489">
            <v>39</v>
          </cell>
          <cell r="J1489" t="str">
            <v>H</v>
          </cell>
        </row>
        <row r="1490">
          <cell r="B1490" t="str">
            <v>CA170130004-40</v>
          </cell>
          <cell r="C1490" t="str">
            <v>CALZADO</v>
          </cell>
          <cell r="D1490" t="str">
            <v>MOCASIN</v>
          </cell>
          <cell r="E1490" t="str">
            <v>MOCASIN FANGIO</v>
          </cell>
          <cell r="F1490" t="str">
            <v>CUERO</v>
          </cell>
          <cell r="G1490">
            <v>0</v>
          </cell>
          <cell r="H1490" t="str">
            <v>TABACO</v>
          </cell>
          <cell r="I1490">
            <v>40</v>
          </cell>
          <cell r="J1490" t="str">
            <v>H</v>
          </cell>
        </row>
        <row r="1491">
          <cell r="B1491" t="str">
            <v>CA170130004-41</v>
          </cell>
          <cell r="C1491" t="str">
            <v>CALZADO</v>
          </cell>
          <cell r="D1491" t="str">
            <v>MOCASIN</v>
          </cell>
          <cell r="E1491" t="str">
            <v>MOCASIN FANGIO</v>
          </cell>
          <cell r="F1491" t="str">
            <v>CUERO</v>
          </cell>
          <cell r="G1491">
            <v>0</v>
          </cell>
          <cell r="H1491" t="str">
            <v>TABACO</v>
          </cell>
          <cell r="I1491">
            <v>41</v>
          </cell>
          <cell r="J1491" t="str">
            <v>H</v>
          </cell>
        </row>
        <row r="1492">
          <cell r="B1492" t="str">
            <v>CA170130004-42</v>
          </cell>
          <cell r="C1492" t="str">
            <v>CALZADO</v>
          </cell>
          <cell r="D1492" t="str">
            <v>MOCASIN</v>
          </cell>
          <cell r="E1492" t="str">
            <v>MOCASIN FANGIO</v>
          </cell>
          <cell r="F1492" t="str">
            <v>CUERO</v>
          </cell>
          <cell r="G1492">
            <v>0</v>
          </cell>
          <cell r="H1492" t="str">
            <v>TABACO</v>
          </cell>
          <cell r="I1492">
            <v>42</v>
          </cell>
          <cell r="J1492" t="str">
            <v>H</v>
          </cell>
        </row>
        <row r="1493">
          <cell r="B1493" t="str">
            <v>CA170130004-43</v>
          </cell>
          <cell r="C1493" t="str">
            <v>CALZADO</v>
          </cell>
          <cell r="D1493" t="str">
            <v>MOCASIN</v>
          </cell>
          <cell r="E1493" t="str">
            <v>MOCASIN FANGIO</v>
          </cell>
          <cell r="F1493" t="str">
            <v>CUERO</v>
          </cell>
          <cell r="G1493">
            <v>0</v>
          </cell>
          <cell r="H1493" t="str">
            <v>TABACO</v>
          </cell>
          <cell r="I1493">
            <v>43</v>
          </cell>
          <cell r="J1493" t="str">
            <v>H</v>
          </cell>
        </row>
        <row r="1494">
          <cell r="B1494" t="str">
            <v>CA170130004-44</v>
          </cell>
          <cell r="C1494" t="str">
            <v>CALZADO</v>
          </cell>
          <cell r="D1494" t="str">
            <v>MOCASIN</v>
          </cell>
          <cell r="E1494" t="str">
            <v>MOCASIN FANGIO</v>
          </cell>
          <cell r="F1494" t="str">
            <v>CUERO</v>
          </cell>
          <cell r="G1494">
            <v>0</v>
          </cell>
          <cell r="H1494" t="str">
            <v>TABACO</v>
          </cell>
          <cell r="I1494">
            <v>44</v>
          </cell>
          <cell r="J1494" t="str">
            <v>H</v>
          </cell>
        </row>
        <row r="1495">
          <cell r="B1495" t="str">
            <v>CA170130004-45</v>
          </cell>
          <cell r="C1495" t="str">
            <v>CALZADO</v>
          </cell>
          <cell r="D1495" t="str">
            <v>MOCASIN</v>
          </cell>
          <cell r="E1495" t="str">
            <v>MOCASIN FANGIO</v>
          </cell>
          <cell r="F1495" t="str">
            <v>CUERO</v>
          </cell>
          <cell r="G1495">
            <v>0</v>
          </cell>
          <cell r="H1495" t="str">
            <v>TABACO</v>
          </cell>
          <cell r="I1495">
            <v>45</v>
          </cell>
          <cell r="J1495" t="str">
            <v>H</v>
          </cell>
        </row>
        <row r="1496">
          <cell r="B1496" t="str">
            <v>CA140100002-36</v>
          </cell>
          <cell r="C1496" t="str">
            <v>CALZADO</v>
          </cell>
          <cell r="D1496" t="str">
            <v>MOCASIN</v>
          </cell>
          <cell r="E1496" t="str">
            <v>MOCASIN JULIA</v>
          </cell>
          <cell r="F1496" t="str">
            <v>CUERO</v>
          </cell>
          <cell r="G1496">
            <v>0</v>
          </cell>
          <cell r="H1496" t="str">
            <v>SUELA</v>
          </cell>
          <cell r="I1496">
            <v>36</v>
          </cell>
          <cell r="J1496" t="str">
            <v>M</v>
          </cell>
        </row>
        <row r="1497">
          <cell r="B1497" t="str">
            <v>CA140100002-37</v>
          </cell>
          <cell r="C1497" t="str">
            <v>CALZADO</v>
          </cell>
          <cell r="D1497" t="str">
            <v>MOCASIN</v>
          </cell>
          <cell r="E1497" t="str">
            <v>MOCASIN JULIA</v>
          </cell>
          <cell r="F1497" t="str">
            <v>CUERO</v>
          </cell>
          <cell r="G1497">
            <v>0</v>
          </cell>
          <cell r="H1497" t="str">
            <v>SUELA</v>
          </cell>
          <cell r="I1497">
            <v>37</v>
          </cell>
          <cell r="J1497" t="str">
            <v>M</v>
          </cell>
        </row>
        <row r="1498">
          <cell r="B1498" t="str">
            <v>CA140100002-38</v>
          </cell>
          <cell r="C1498" t="str">
            <v>CALZADO</v>
          </cell>
          <cell r="D1498" t="str">
            <v>MOCASIN</v>
          </cell>
          <cell r="E1498" t="str">
            <v>MOCASIN JULIA</v>
          </cell>
          <cell r="F1498" t="str">
            <v>CUERO</v>
          </cell>
          <cell r="G1498">
            <v>0</v>
          </cell>
          <cell r="H1498" t="str">
            <v>SUELA</v>
          </cell>
          <cell r="I1498">
            <v>38</v>
          </cell>
          <cell r="J1498" t="str">
            <v>M</v>
          </cell>
        </row>
        <row r="1499">
          <cell r="B1499" t="str">
            <v>CA140100002-39</v>
          </cell>
          <cell r="C1499" t="str">
            <v>CALZADO</v>
          </cell>
          <cell r="D1499" t="str">
            <v>MOCASIN</v>
          </cell>
          <cell r="E1499" t="str">
            <v>MOCASIN JULIA</v>
          </cell>
          <cell r="F1499" t="str">
            <v>CUERO</v>
          </cell>
          <cell r="G1499">
            <v>0</v>
          </cell>
          <cell r="H1499" t="str">
            <v>SUELA</v>
          </cell>
          <cell r="I1499">
            <v>39</v>
          </cell>
          <cell r="J1499" t="str">
            <v>M</v>
          </cell>
        </row>
        <row r="1500">
          <cell r="B1500" t="str">
            <v>CA140100002-40</v>
          </cell>
          <cell r="C1500" t="str">
            <v>CALZADO</v>
          </cell>
          <cell r="D1500" t="str">
            <v>MOCASIN</v>
          </cell>
          <cell r="E1500" t="str">
            <v>MOCASIN JULIA</v>
          </cell>
          <cell r="F1500" t="str">
            <v>CUERO</v>
          </cell>
          <cell r="G1500">
            <v>0</v>
          </cell>
          <cell r="H1500" t="str">
            <v>SUELA</v>
          </cell>
          <cell r="I1500">
            <v>40</v>
          </cell>
          <cell r="J1500" t="str">
            <v>M</v>
          </cell>
        </row>
        <row r="1501">
          <cell r="B1501" t="str">
            <v>CA140100002-41</v>
          </cell>
          <cell r="C1501" t="str">
            <v>CALZADO</v>
          </cell>
          <cell r="D1501" t="str">
            <v>MOCASIN</v>
          </cell>
          <cell r="E1501" t="str">
            <v>MOCASIN JULIA</v>
          </cell>
          <cell r="F1501" t="str">
            <v>CUERO</v>
          </cell>
          <cell r="G1501">
            <v>0</v>
          </cell>
          <cell r="H1501" t="str">
            <v>SUELA</v>
          </cell>
          <cell r="I1501">
            <v>41</v>
          </cell>
          <cell r="J1501" t="str">
            <v>M</v>
          </cell>
        </row>
        <row r="1502">
          <cell r="B1502" t="str">
            <v>CA140090031-36</v>
          </cell>
          <cell r="C1502" t="str">
            <v>CALZADO</v>
          </cell>
          <cell r="D1502" t="str">
            <v>MOCASIN</v>
          </cell>
          <cell r="E1502" t="str">
            <v>MOCASIN PAULA</v>
          </cell>
          <cell r="F1502" t="str">
            <v>CUERO</v>
          </cell>
          <cell r="G1502">
            <v>0</v>
          </cell>
          <cell r="H1502" t="str">
            <v>NUDE</v>
          </cell>
          <cell r="I1502">
            <v>36</v>
          </cell>
          <cell r="J1502" t="str">
            <v>M</v>
          </cell>
        </row>
        <row r="1503">
          <cell r="B1503" t="str">
            <v>CA140090031-37</v>
          </cell>
          <cell r="C1503" t="str">
            <v>CALZADO</v>
          </cell>
          <cell r="D1503" t="str">
            <v>MOCASIN</v>
          </cell>
          <cell r="E1503" t="str">
            <v>MOCASIN PAULA</v>
          </cell>
          <cell r="F1503" t="str">
            <v>CUERO</v>
          </cell>
          <cell r="G1503">
            <v>0</v>
          </cell>
          <cell r="H1503" t="str">
            <v>NUDE</v>
          </cell>
          <cell r="I1503">
            <v>37</v>
          </cell>
          <cell r="J1503" t="str">
            <v>M</v>
          </cell>
        </row>
        <row r="1504">
          <cell r="B1504" t="str">
            <v>CA140090031-38</v>
          </cell>
          <cell r="C1504" t="str">
            <v>CALZADO</v>
          </cell>
          <cell r="D1504" t="str">
            <v>MOCASIN</v>
          </cell>
          <cell r="E1504" t="str">
            <v>MOCASIN PAULA</v>
          </cell>
          <cell r="F1504" t="str">
            <v>CUERO</v>
          </cell>
          <cell r="G1504">
            <v>0</v>
          </cell>
          <cell r="H1504" t="str">
            <v>NUDE</v>
          </cell>
          <cell r="I1504">
            <v>38</v>
          </cell>
          <cell r="J1504" t="str">
            <v>M</v>
          </cell>
        </row>
        <row r="1505">
          <cell r="B1505" t="str">
            <v>CA140090031-39</v>
          </cell>
          <cell r="C1505" t="str">
            <v>CALZADO</v>
          </cell>
          <cell r="D1505" t="str">
            <v>MOCASIN</v>
          </cell>
          <cell r="E1505" t="str">
            <v>MOCASIN PAULA</v>
          </cell>
          <cell r="F1505" t="str">
            <v>CUERO</v>
          </cell>
          <cell r="G1505">
            <v>0</v>
          </cell>
          <cell r="H1505" t="str">
            <v>NUDE</v>
          </cell>
          <cell r="I1505">
            <v>39</v>
          </cell>
          <cell r="J1505" t="str">
            <v>M</v>
          </cell>
        </row>
        <row r="1506">
          <cell r="B1506" t="str">
            <v>CA140090031-40</v>
          </cell>
          <cell r="C1506" t="str">
            <v>CALZADO</v>
          </cell>
          <cell r="D1506" t="str">
            <v>MOCASIN</v>
          </cell>
          <cell r="E1506" t="str">
            <v>MOCASIN PAULA</v>
          </cell>
          <cell r="F1506" t="str">
            <v>CUERO</v>
          </cell>
          <cell r="G1506">
            <v>0</v>
          </cell>
          <cell r="H1506" t="str">
            <v>NUDE</v>
          </cell>
          <cell r="I1506">
            <v>40</v>
          </cell>
          <cell r="J1506" t="str">
            <v>M</v>
          </cell>
        </row>
        <row r="1507">
          <cell r="B1507" t="str">
            <v>CA140090031-41</v>
          </cell>
          <cell r="C1507" t="str">
            <v>CALZADO</v>
          </cell>
          <cell r="D1507" t="str">
            <v>MOCASIN</v>
          </cell>
          <cell r="E1507" t="str">
            <v>MOCASIN PAULA</v>
          </cell>
          <cell r="F1507" t="str">
            <v>CUERO</v>
          </cell>
          <cell r="G1507">
            <v>0</v>
          </cell>
          <cell r="H1507" t="str">
            <v>NUDE</v>
          </cell>
          <cell r="I1507">
            <v>41</v>
          </cell>
          <cell r="J1507" t="str">
            <v>M</v>
          </cell>
        </row>
        <row r="1508">
          <cell r="B1508" t="str">
            <v>MG101212129</v>
          </cell>
          <cell r="C1508" t="str">
            <v>MARRO GRANDE</v>
          </cell>
          <cell r="D1508" t="str">
            <v>MOCHILA</v>
          </cell>
          <cell r="E1508" t="str">
            <v>MOCHILA ANA</v>
          </cell>
          <cell r="F1508" t="str">
            <v>MACEIO</v>
          </cell>
          <cell r="G1508">
            <v>0</v>
          </cell>
          <cell r="H1508" t="str">
            <v>COTTON</v>
          </cell>
          <cell r="I1508" t="str">
            <v>U</v>
          </cell>
          <cell r="J1508" t="str">
            <v>M</v>
          </cell>
        </row>
        <row r="1509">
          <cell r="B1509" t="str">
            <v>MG101212201</v>
          </cell>
          <cell r="C1509" t="str">
            <v>MARRO GRANDE</v>
          </cell>
          <cell r="D1509" t="str">
            <v>MOCHILA</v>
          </cell>
          <cell r="E1509" t="str">
            <v>MOCHILA ANA</v>
          </cell>
          <cell r="F1509" t="str">
            <v>SALLY</v>
          </cell>
          <cell r="G1509">
            <v>0</v>
          </cell>
          <cell r="H1509" t="str">
            <v>NEGRO</v>
          </cell>
          <cell r="I1509" t="str">
            <v>U</v>
          </cell>
          <cell r="J1509" t="str">
            <v>M</v>
          </cell>
        </row>
        <row r="1510">
          <cell r="B1510" t="str">
            <v>MG101212202</v>
          </cell>
          <cell r="C1510" t="str">
            <v>MARRO GRANDE</v>
          </cell>
          <cell r="D1510" t="str">
            <v>MOCHILA</v>
          </cell>
          <cell r="E1510" t="str">
            <v>MOCHILA ANA</v>
          </cell>
          <cell r="F1510" t="str">
            <v>SALLY</v>
          </cell>
          <cell r="G1510">
            <v>0</v>
          </cell>
          <cell r="H1510" t="str">
            <v>SUELA</v>
          </cell>
          <cell r="I1510" t="str">
            <v>U</v>
          </cell>
          <cell r="J1510" t="str">
            <v>M</v>
          </cell>
        </row>
        <row r="1511">
          <cell r="B1511" t="str">
            <v>MG101212225</v>
          </cell>
          <cell r="C1511" t="str">
            <v>MARRO GRANDE</v>
          </cell>
          <cell r="D1511" t="str">
            <v>MOCHILA</v>
          </cell>
          <cell r="E1511" t="str">
            <v>MOCHILA ANA</v>
          </cell>
          <cell r="F1511" t="str">
            <v>SALLY</v>
          </cell>
          <cell r="G1511">
            <v>0</v>
          </cell>
          <cell r="H1511" t="str">
            <v>WHISKY</v>
          </cell>
          <cell r="I1511" t="str">
            <v>U</v>
          </cell>
          <cell r="J1511" t="str">
            <v>M</v>
          </cell>
        </row>
        <row r="1512">
          <cell r="B1512" t="str">
            <v>MG011100101</v>
          </cell>
          <cell r="C1512" t="str">
            <v>MARRO GRANDE</v>
          </cell>
          <cell r="D1512" t="str">
            <v>MOCHILA</v>
          </cell>
          <cell r="E1512" t="str">
            <v>MOCHILA ATLAS FULL BLACK 1</v>
          </cell>
          <cell r="F1512" t="str">
            <v>NAPADO</v>
          </cell>
          <cell r="G1512">
            <v>0</v>
          </cell>
          <cell r="H1512" t="str">
            <v>NEGRO</v>
          </cell>
          <cell r="I1512" t="str">
            <v>U</v>
          </cell>
          <cell r="J1512" t="str">
            <v>U</v>
          </cell>
        </row>
        <row r="1513">
          <cell r="B1513" t="str">
            <v>MG011110101</v>
          </cell>
          <cell r="C1513" t="str">
            <v>MARRO GRANDE</v>
          </cell>
          <cell r="D1513" t="str">
            <v>MOCHILA</v>
          </cell>
          <cell r="E1513" t="str">
            <v>MOCHILA ATLAS FULL BLACK 2</v>
          </cell>
          <cell r="F1513" t="str">
            <v>NAPADO</v>
          </cell>
          <cell r="G1513">
            <v>0</v>
          </cell>
          <cell r="H1513" t="str">
            <v>NEGRO</v>
          </cell>
          <cell r="I1513" t="str">
            <v>U</v>
          </cell>
          <cell r="J1513" t="str">
            <v>U</v>
          </cell>
        </row>
        <row r="1514">
          <cell r="B1514" t="str">
            <v>MG010250101</v>
          </cell>
          <cell r="C1514" t="str">
            <v>MARRO GRANDE</v>
          </cell>
          <cell r="D1514" t="str">
            <v>MOCHILA</v>
          </cell>
          <cell r="E1514" t="str">
            <v>MOCHILA BODY BAG</v>
          </cell>
          <cell r="F1514" t="str">
            <v>NAPADO</v>
          </cell>
          <cell r="G1514">
            <v>0</v>
          </cell>
          <cell r="H1514" t="str">
            <v>NEGRO</v>
          </cell>
          <cell r="I1514" t="str">
            <v>U</v>
          </cell>
          <cell r="J1514" t="str">
            <v>H</v>
          </cell>
        </row>
        <row r="1515">
          <cell r="B1515" t="str">
            <v>MG010250301</v>
          </cell>
          <cell r="C1515" t="str">
            <v>MARRO GRANDE</v>
          </cell>
          <cell r="D1515" t="str">
            <v>MOCHILA</v>
          </cell>
          <cell r="E1515" t="str">
            <v>MOCHILA BODY BAG</v>
          </cell>
          <cell r="F1515" t="str">
            <v>BRIDGE</v>
          </cell>
          <cell r="G1515">
            <v>0</v>
          </cell>
          <cell r="H1515" t="str">
            <v>NEGRO</v>
          </cell>
          <cell r="I1515" t="str">
            <v>U</v>
          </cell>
          <cell r="J1515" t="str">
            <v>H</v>
          </cell>
        </row>
        <row r="1516">
          <cell r="B1516" t="str">
            <v>MG010320301</v>
          </cell>
          <cell r="C1516" t="str">
            <v>MARRO GRANDE</v>
          </cell>
          <cell r="D1516" t="str">
            <v>MOCHILA</v>
          </cell>
          <cell r="E1516" t="str">
            <v>MOCHILA CAMI</v>
          </cell>
          <cell r="F1516" t="str">
            <v>BRIDGE</v>
          </cell>
          <cell r="G1516">
            <v>0</v>
          </cell>
          <cell r="H1516" t="str">
            <v>NEGRO</v>
          </cell>
          <cell r="I1516" t="str">
            <v>U</v>
          </cell>
          <cell r="J1516" t="str">
            <v>M</v>
          </cell>
        </row>
        <row r="1517">
          <cell r="B1517" t="str">
            <v>MG010320303</v>
          </cell>
          <cell r="C1517" t="str">
            <v>MARRO GRANDE</v>
          </cell>
          <cell r="D1517" t="str">
            <v>MOCHILA</v>
          </cell>
          <cell r="E1517" t="str">
            <v>MOCHILA CAMI</v>
          </cell>
          <cell r="F1517" t="str">
            <v>BRIDGE</v>
          </cell>
          <cell r="G1517">
            <v>0</v>
          </cell>
          <cell r="H1517" t="str">
            <v>CARAMELO</v>
          </cell>
          <cell r="I1517" t="str">
            <v>U</v>
          </cell>
          <cell r="J1517" t="str">
            <v>M</v>
          </cell>
        </row>
        <row r="1518">
          <cell r="B1518" t="str">
            <v>MG010320304</v>
          </cell>
          <cell r="C1518" t="str">
            <v>MARRO GRANDE</v>
          </cell>
          <cell r="D1518" t="str">
            <v>MOCHILA</v>
          </cell>
          <cell r="E1518" t="str">
            <v>MOCHILA CAMI</v>
          </cell>
          <cell r="F1518" t="str">
            <v>BRIDGE</v>
          </cell>
          <cell r="G1518">
            <v>0</v>
          </cell>
          <cell r="H1518" t="str">
            <v>TABACO</v>
          </cell>
          <cell r="I1518" t="str">
            <v>U</v>
          </cell>
          <cell r="J1518" t="str">
            <v>M</v>
          </cell>
        </row>
        <row r="1519">
          <cell r="B1519" t="str">
            <v>MG010320307</v>
          </cell>
          <cell r="C1519" t="str">
            <v>MARRO GRANDE</v>
          </cell>
          <cell r="D1519" t="str">
            <v>MOCHILA</v>
          </cell>
          <cell r="E1519" t="str">
            <v>MOCHILA CAMI</v>
          </cell>
          <cell r="F1519" t="str">
            <v>BRIDGE</v>
          </cell>
          <cell r="G1519">
            <v>0</v>
          </cell>
          <cell r="H1519" t="str">
            <v>ROJO</v>
          </cell>
          <cell r="I1519" t="str">
            <v>U</v>
          </cell>
          <cell r="J1519" t="str">
            <v>M</v>
          </cell>
        </row>
        <row r="1520">
          <cell r="B1520" t="str">
            <v>MG010320309</v>
          </cell>
          <cell r="C1520" t="str">
            <v>MARRO GRANDE</v>
          </cell>
          <cell r="D1520" t="str">
            <v>MOCHILA</v>
          </cell>
          <cell r="E1520" t="str">
            <v>MOCHILA CAMI</v>
          </cell>
          <cell r="F1520" t="str">
            <v>BRIDGE</v>
          </cell>
          <cell r="G1520">
            <v>0</v>
          </cell>
          <cell r="H1520" t="str">
            <v>AZUL</v>
          </cell>
          <cell r="I1520" t="str">
            <v>U</v>
          </cell>
          <cell r="J1520" t="str">
            <v>M</v>
          </cell>
        </row>
        <row r="1521">
          <cell r="B1521" t="str">
            <v>MG010320311</v>
          </cell>
          <cell r="C1521" t="str">
            <v>MARRO GRANDE</v>
          </cell>
          <cell r="D1521" t="str">
            <v>MOCHILA</v>
          </cell>
          <cell r="E1521" t="str">
            <v>MOCHILA CAMI</v>
          </cell>
          <cell r="F1521" t="str">
            <v>BRIDGE</v>
          </cell>
          <cell r="G1521">
            <v>0</v>
          </cell>
          <cell r="H1521" t="str">
            <v>SUELA</v>
          </cell>
          <cell r="I1521" t="str">
            <v>U</v>
          </cell>
          <cell r="J1521" t="str">
            <v>M</v>
          </cell>
        </row>
        <row r="1522">
          <cell r="B1522" t="str">
            <v>MG010320550</v>
          </cell>
          <cell r="C1522" t="str">
            <v>MARRO GRANDE</v>
          </cell>
          <cell r="D1522" t="str">
            <v>MOCHILA</v>
          </cell>
          <cell r="E1522" t="str">
            <v>MOCHILA CAMI</v>
          </cell>
          <cell r="F1522" t="str">
            <v>GAMUZA</v>
          </cell>
          <cell r="G1522">
            <v>0</v>
          </cell>
          <cell r="H1522" t="str">
            <v>VESUBIO</v>
          </cell>
          <cell r="I1522" t="str">
            <v>U</v>
          </cell>
          <cell r="J1522" t="str">
            <v>M</v>
          </cell>
        </row>
        <row r="1523">
          <cell r="B1523" t="str">
            <v>MG010320552</v>
          </cell>
          <cell r="C1523" t="str">
            <v>MARRO GRANDE</v>
          </cell>
          <cell r="D1523" t="str">
            <v>MOCHILA</v>
          </cell>
          <cell r="E1523" t="str">
            <v>MOCHILA CAMI</v>
          </cell>
          <cell r="F1523" t="str">
            <v>GAMUZA</v>
          </cell>
          <cell r="G1523">
            <v>0</v>
          </cell>
          <cell r="H1523" t="str">
            <v>CHOCOLATE</v>
          </cell>
          <cell r="I1523" t="str">
            <v>U</v>
          </cell>
          <cell r="J1523" t="str">
            <v>M</v>
          </cell>
        </row>
        <row r="1524">
          <cell r="B1524" t="str">
            <v>MG100941101</v>
          </cell>
          <cell r="C1524" t="str">
            <v>MARRO GRANDE</v>
          </cell>
          <cell r="D1524" t="str">
            <v>MOCHILA</v>
          </cell>
          <cell r="E1524" t="str">
            <v>MOCHILA JUANA</v>
          </cell>
          <cell r="F1524" t="str">
            <v>MAGNUM</v>
          </cell>
          <cell r="G1524">
            <v>0</v>
          </cell>
          <cell r="H1524" t="str">
            <v>NEGRO</v>
          </cell>
          <cell r="I1524" t="str">
            <v>U</v>
          </cell>
          <cell r="J1524" t="str">
            <v>M</v>
          </cell>
        </row>
        <row r="1525">
          <cell r="B1525" t="str">
            <v>MG100941120</v>
          </cell>
          <cell r="C1525" t="str">
            <v>MARRO GRANDE</v>
          </cell>
          <cell r="D1525" t="str">
            <v>MOCHILA</v>
          </cell>
          <cell r="E1525" t="str">
            <v>MOCHILA JUANA</v>
          </cell>
          <cell r="F1525" t="str">
            <v>MAGNUM</v>
          </cell>
          <cell r="G1525">
            <v>0</v>
          </cell>
          <cell r="H1525" t="str">
            <v>CUOIO</v>
          </cell>
          <cell r="I1525" t="str">
            <v>U</v>
          </cell>
          <cell r="J1525" t="str">
            <v>M</v>
          </cell>
        </row>
        <row r="1526">
          <cell r="B1526" t="str">
            <v>MG100941201</v>
          </cell>
          <cell r="C1526" t="str">
            <v>MARRO GRANDE</v>
          </cell>
          <cell r="D1526" t="str">
            <v>MOCHILA</v>
          </cell>
          <cell r="E1526" t="str">
            <v>MOCHILA JUANA</v>
          </cell>
          <cell r="F1526" t="str">
            <v>DUNA</v>
          </cell>
          <cell r="G1526">
            <v>0</v>
          </cell>
          <cell r="H1526" t="str">
            <v>NEGRO</v>
          </cell>
          <cell r="I1526" t="str">
            <v>U</v>
          </cell>
          <cell r="J1526" t="str">
            <v>M</v>
          </cell>
        </row>
        <row r="1527">
          <cell r="B1527" t="str">
            <v>MG100941803</v>
          </cell>
          <cell r="C1527" t="str">
            <v>MARRO GRANDE</v>
          </cell>
          <cell r="D1527" t="str">
            <v>MOCHILA</v>
          </cell>
          <cell r="E1527" t="str">
            <v>MOCHILA JUANA</v>
          </cell>
          <cell r="F1527" t="str">
            <v>SENA</v>
          </cell>
          <cell r="G1527">
            <v>0</v>
          </cell>
          <cell r="H1527" t="str">
            <v>CARAMELO</v>
          </cell>
          <cell r="I1527" t="str">
            <v>U</v>
          </cell>
          <cell r="J1527" t="str">
            <v>M</v>
          </cell>
        </row>
        <row r="1528">
          <cell r="B1528" t="str">
            <v>MG100942129</v>
          </cell>
          <cell r="C1528" t="str">
            <v>MARRO GRANDE</v>
          </cell>
          <cell r="D1528" t="str">
            <v>MOCHILA</v>
          </cell>
          <cell r="E1528" t="str">
            <v>MOCHILA JUANA</v>
          </cell>
          <cell r="F1528" t="str">
            <v>MACEIO</v>
          </cell>
          <cell r="G1528">
            <v>0</v>
          </cell>
          <cell r="H1528" t="str">
            <v>COTTON</v>
          </cell>
          <cell r="I1528" t="str">
            <v>U</v>
          </cell>
          <cell r="J1528" t="str">
            <v>M</v>
          </cell>
        </row>
        <row r="1529">
          <cell r="B1529" t="str">
            <v>MG100942201</v>
          </cell>
          <cell r="C1529" t="str">
            <v>MARRO GRANDE</v>
          </cell>
          <cell r="D1529" t="str">
            <v>MOCHILA</v>
          </cell>
          <cell r="E1529" t="str">
            <v>MOCHILA JUANA</v>
          </cell>
          <cell r="F1529" t="str">
            <v xml:space="preserve">SALLY </v>
          </cell>
          <cell r="G1529">
            <v>0</v>
          </cell>
          <cell r="H1529" t="str">
            <v>NEGRO</v>
          </cell>
          <cell r="I1529" t="str">
            <v>U</v>
          </cell>
          <cell r="J1529" t="str">
            <v>M</v>
          </cell>
        </row>
        <row r="1530">
          <cell r="B1530" t="str">
            <v>MG100942202</v>
          </cell>
          <cell r="C1530" t="str">
            <v>MARRO GRANDE</v>
          </cell>
          <cell r="D1530" t="str">
            <v>MOCHILA</v>
          </cell>
          <cell r="E1530" t="str">
            <v>MOCHILA JUANA</v>
          </cell>
          <cell r="F1530" t="str">
            <v xml:space="preserve">SALLY </v>
          </cell>
          <cell r="G1530">
            <v>0</v>
          </cell>
          <cell r="H1530" t="str">
            <v>SUELA</v>
          </cell>
          <cell r="I1530" t="str">
            <v>U</v>
          </cell>
          <cell r="J1530" t="str">
            <v>M</v>
          </cell>
        </row>
        <row r="1531">
          <cell r="B1531" t="str">
            <v>MG100942225</v>
          </cell>
          <cell r="C1531" t="str">
            <v>MARRO GRANDE</v>
          </cell>
          <cell r="D1531" t="str">
            <v>MOCHILA</v>
          </cell>
          <cell r="E1531" t="str">
            <v>MOCHILA JUANA</v>
          </cell>
          <cell r="F1531" t="str">
            <v xml:space="preserve">SALLY </v>
          </cell>
          <cell r="G1531">
            <v>0</v>
          </cell>
          <cell r="H1531" t="str">
            <v>WHISKY</v>
          </cell>
          <cell r="I1531" t="str">
            <v>U</v>
          </cell>
          <cell r="J1531" t="str">
            <v>M</v>
          </cell>
        </row>
        <row r="1532">
          <cell r="B1532" t="str">
            <v>MG010970301</v>
          </cell>
          <cell r="C1532" t="str">
            <v>MARRO GRANDE</v>
          </cell>
          <cell r="D1532" t="str">
            <v>MOCHILA</v>
          </cell>
          <cell r="E1532" t="str">
            <v>MOCHILA LIBRA</v>
          </cell>
          <cell r="F1532" t="str">
            <v>BRIDGE</v>
          </cell>
          <cell r="G1532">
            <v>0</v>
          </cell>
          <cell r="H1532" t="str">
            <v>NEGRO</v>
          </cell>
          <cell r="I1532" t="str">
            <v>U</v>
          </cell>
          <cell r="J1532" t="str">
            <v>M</v>
          </cell>
        </row>
        <row r="1533">
          <cell r="B1533" t="str">
            <v>MG010970303</v>
          </cell>
          <cell r="C1533" t="str">
            <v>MARRO GRANDE</v>
          </cell>
          <cell r="D1533" t="str">
            <v>MOCHILA</v>
          </cell>
          <cell r="E1533" t="str">
            <v>MOCHILA LIBRA</v>
          </cell>
          <cell r="F1533" t="str">
            <v>BRIDGE</v>
          </cell>
          <cell r="G1533">
            <v>0</v>
          </cell>
          <cell r="H1533" t="str">
            <v>CARAMELO</v>
          </cell>
          <cell r="I1533" t="str">
            <v>U</v>
          </cell>
          <cell r="J1533" t="str">
            <v>M</v>
          </cell>
        </row>
        <row r="1534">
          <cell r="B1534" t="str">
            <v>MG010970304</v>
          </cell>
          <cell r="C1534" t="str">
            <v>MARRO GRANDE</v>
          </cell>
          <cell r="D1534" t="str">
            <v>MOCHILA</v>
          </cell>
          <cell r="E1534" t="str">
            <v>MOCHILA LIBRA</v>
          </cell>
          <cell r="F1534" t="str">
            <v>BRIDGE</v>
          </cell>
          <cell r="G1534">
            <v>0</v>
          </cell>
          <cell r="H1534" t="str">
            <v>TABACO</v>
          </cell>
          <cell r="I1534" t="str">
            <v>U</v>
          </cell>
          <cell r="J1534" t="str">
            <v>M</v>
          </cell>
        </row>
        <row r="1535">
          <cell r="B1535" t="str">
            <v>MG010970315</v>
          </cell>
          <cell r="C1535" t="str">
            <v>MARRO GRANDE</v>
          </cell>
          <cell r="D1535" t="str">
            <v>MOCHILA</v>
          </cell>
          <cell r="E1535" t="str">
            <v>MOCHILA LIBRA</v>
          </cell>
          <cell r="F1535" t="str">
            <v>BRIDGE</v>
          </cell>
          <cell r="G1535">
            <v>0</v>
          </cell>
          <cell r="H1535" t="str">
            <v>MALBEC</v>
          </cell>
          <cell r="I1535" t="str">
            <v>U</v>
          </cell>
          <cell r="J1535" t="str">
            <v>M</v>
          </cell>
        </row>
        <row r="1536">
          <cell r="B1536" t="str">
            <v>MG010190101</v>
          </cell>
          <cell r="C1536" t="str">
            <v>MARRO GRANDE</v>
          </cell>
          <cell r="D1536" t="str">
            <v>MOCHILA</v>
          </cell>
          <cell r="E1536" t="str">
            <v>MOCHILA MARCOS</v>
          </cell>
          <cell r="F1536" t="str">
            <v>NAPADO</v>
          </cell>
          <cell r="G1536">
            <v>0</v>
          </cell>
          <cell r="H1536" t="str">
            <v>NEGRO</v>
          </cell>
          <cell r="I1536" t="str">
            <v>U</v>
          </cell>
          <cell r="J1536" t="str">
            <v>U</v>
          </cell>
        </row>
        <row r="1537">
          <cell r="B1537" t="str">
            <v>MG010190102</v>
          </cell>
          <cell r="C1537" t="str">
            <v>MARRO GRANDE</v>
          </cell>
          <cell r="D1537" t="str">
            <v>MOCHILA</v>
          </cell>
          <cell r="E1537" t="str">
            <v>MOCHILA MARCOS</v>
          </cell>
          <cell r="F1537" t="str">
            <v>NAPADO</v>
          </cell>
          <cell r="G1537">
            <v>0</v>
          </cell>
          <cell r="H1537" t="str">
            <v>SUELA</v>
          </cell>
          <cell r="I1537" t="str">
            <v>U</v>
          </cell>
          <cell r="J1537" t="str">
            <v>U</v>
          </cell>
        </row>
        <row r="1538">
          <cell r="B1538" t="str">
            <v>MG010190201</v>
          </cell>
          <cell r="C1538" t="str">
            <v>MARRO GRANDE</v>
          </cell>
          <cell r="D1538" t="str">
            <v>MOCHILA</v>
          </cell>
          <cell r="E1538" t="str">
            <v>MOCHILA MARCOS</v>
          </cell>
          <cell r="F1538" t="str">
            <v>TAMPONATO</v>
          </cell>
          <cell r="G1538">
            <v>0</v>
          </cell>
          <cell r="H1538" t="str">
            <v>NEGRO</v>
          </cell>
          <cell r="I1538" t="str">
            <v>U</v>
          </cell>
          <cell r="J1538" t="str">
            <v>U</v>
          </cell>
        </row>
        <row r="1539">
          <cell r="B1539" t="str">
            <v>MG010190202</v>
          </cell>
          <cell r="C1539" t="str">
            <v>MARRO GRANDE</v>
          </cell>
          <cell r="D1539" t="str">
            <v>MOCHILA</v>
          </cell>
          <cell r="E1539" t="str">
            <v>MOCHILA MARCOS</v>
          </cell>
          <cell r="F1539" t="str">
            <v>TAMPONATO</v>
          </cell>
          <cell r="G1539">
            <v>0</v>
          </cell>
          <cell r="H1539" t="str">
            <v>SUELA</v>
          </cell>
          <cell r="I1539" t="str">
            <v>U</v>
          </cell>
          <cell r="J1539" t="str">
            <v>U</v>
          </cell>
        </row>
        <row r="1540">
          <cell r="B1540" t="str">
            <v>MG010190301</v>
          </cell>
          <cell r="C1540" t="str">
            <v>MARRO GRANDE</v>
          </cell>
          <cell r="D1540" t="str">
            <v>MOCHILA</v>
          </cell>
          <cell r="E1540" t="str">
            <v>MOCHILA MARCOS</v>
          </cell>
          <cell r="F1540" t="str">
            <v>BRIDGE</v>
          </cell>
          <cell r="G1540">
            <v>0</v>
          </cell>
          <cell r="H1540" t="str">
            <v>NEGRO</v>
          </cell>
          <cell r="I1540" t="str">
            <v>U</v>
          </cell>
          <cell r="J1540" t="str">
            <v>U</v>
          </cell>
        </row>
        <row r="1541">
          <cell r="B1541" t="str">
            <v>MG010190302</v>
          </cell>
          <cell r="C1541" t="str">
            <v>MARRO GRANDE</v>
          </cell>
          <cell r="D1541" t="str">
            <v>MOCHILA</v>
          </cell>
          <cell r="E1541" t="str">
            <v>MOCHILA MARCOS</v>
          </cell>
          <cell r="F1541" t="str">
            <v>BRIDGE</v>
          </cell>
          <cell r="G1541">
            <v>0</v>
          </cell>
          <cell r="H1541" t="str">
            <v>SUELA</v>
          </cell>
          <cell r="I1541" t="str">
            <v>U</v>
          </cell>
          <cell r="J1541" t="str">
            <v>U</v>
          </cell>
        </row>
        <row r="1542">
          <cell r="B1542" t="str">
            <v>MG010190303</v>
          </cell>
          <cell r="C1542" t="str">
            <v>MARRO GRANDE</v>
          </cell>
          <cell r="D1542" t="str">
            <v>MOCHILA</v>
          </cell>
          <cell r="E1542" t="str">
            <v>MOCHILA MARCOS</v>
          </cell>
          <cell r="F1542" t="str">
            <v>BRIDGE</v>
          </cell>
          <cell r="G1542">
            <v>0</v>
          </cell>
          <cell r="H1542" t="str">
            <v>CARAMELO</v>
          </cell>
          <cell r="I1542" t="str">
            <v>U</v>
          </cell>
          <cell r="J1542" t="str">
            <v>U</v>
          </cell>
        </row>
        <row r="1543">
          <cell r="B1543" t="str">
            <v>MG010190304</v>
          </cell>
          <cell r="C1543" t="str">
            <v>MARRO GRANDE</v>
          </cell>
          <cell r="D1543" t="str">
            <v>MOCHILA</v>
          </cell>
          <cell r="E1543" t="str">
            <v>MOCHILA MARCOS</v>
          </cell>
          <cell r="F1543" t="str">
            <v>BRIDGE</v>
          </cell>
          <cell r="G1543">
            <v>0</v>
          </cell>
          <cell r="H1543" t="str">
            <v>TABACO</v>
          </cell>
          <cell r="I1543" t="str">
            <v>U</v>
          </cell>
          <cell r="J1543" t="str">
            <v>U</v>
          </cell>
        </row>
        <row r="1544">
          <cell r="B1544" t="str">
            <v>MG010190309</v>
          </cell>
          <cell r="C1544" t="str">
            <v>MARRO GRANDE</v>
          </cell>
          <cell r="D1544" t="str">
            <v>MOCHILA</v>
          </cell>
          <cell r="E1544" t="str">
            <v>MOCHILA MARCOS</v>
          </cell>
          <cell r="F1544" t="str">
            <v>BRIDGE</v>
          </cell>
          <cell r="G1544">
            <v>0</v>
          </cell>
          <cell r="H1544" t="str">
            <v>AZUL</v>
          </cell>
          <cell r="I1544" t="str">
            <v>U</v>
          </cell>
          <cell r="J1544" t="str">
            <v>U</v>
          </cell>
        </row>
        <row r="1545">
          <cell r="B1545" t="str">
            <v>MG010190352</v>
          </cell>
          <cell r="C1545" t="str">
            <v>MARRO GRANDE</v>
          </cell>
          <cell r="D1545" t="str">
            <v>MOCHILA</v>
          </cell>
          <cell r="E1545" t="str">
            <v>MOCHILA MARCOS</v>
          </cell>
          <cell r="F1545" t="str">
            <v>BRIDGE</v>
          </cell>
          <cell r="G1545">
            <v>0</v>
          </cell>
          <cell r="H1545" t="str">
            <v>CHOCOLATE</v>
          </cell>
          <cell r="I1545" t="str">
            <v>U</v>
          </cell>
          <cell r="J1545" t="str">
            <v>U</v>
          </cell>
        </row>
        <row r="1546">
          <cell r="B1546" t="str">
            <v>MG010990101</v>
          </cell>
          <cell r="C1546" t="str">
            <v>MARRO GRANDE</v>
          </cell>
          <cell r="D1546" t="str">
            <v>MOCHILA</v>
          </cell>
          <cell r="E1546" t="str">
            <v>MOCHILA MARCOS FULL BLACK</v>
          </cell>
          <cell r="F1546" t="str">
            <v>NAPADO</v>
          </cell>
          <cell r="G1546">
            <v>0</v>
          </cell>
          <cell r="H1546" t="str">
            <v>NEGRO</v>
          </cell>
          <cell r="I1546" t="str">
            <v>U</v>
          </cell>
          <cell r="J1546" t="str">
            <v>U</v>
          </cell>
        </row>
        <row r="1547">
          <cell r="B1547" t="str">
            <v>MG010990301</v>
          </cell>
          <cell r="C1547" t="str">
            <v>MARRO GRANDE</v>
          </cell>
          <cell r="D1547" t="str">
            <v>MOCHILA</v>
          </cell>
          <cell r="E1547" t="str">
            <v>MOCHILA MARCOS FULL BLACK</v>
          </cell>
          <cell r="F1547" t="str">
            <v>BRIDGE</v>
          </cell>
          <cell r="G1547">
            <v>0</v>
          </cell>
          <cell r="H1547" t="str">
            <v>NEGRO</v>
          </cell>
          <cell r="I1547" t="str">
            <v>U</v>
          </cell>
          <cell r="J1547" t="str">
            <v>U</v>
          </cell>
        </row>
        <row r="1548">
          <cell r="B1548" t="str">
            <v>MG010991201</v>
          </cell>
          <cell r="C1548" t="str">
            <v>MARRO GRANDE</v>
          </cell>
          <cell r="D1548" t="str">
            <v>MOCHILA</v>
          </cell>
          <cell r="E1548" t="str">
            <v>MOCHILA MARCOS FULL BLACK</v>
          </cell>
          <cell r="F1548" t="str">
            <v>DUNA</v>
          </cell>
          <cell r="G1548">
            <v>0</v>
          </cell>
          <cell r="H1548" t="str">
            <v>NEGRO</v>
          </cell>
          <cell r="I1548" t="str">
            <v>U</v>
          </cell>
          <cell r="J1548" t="str">
            <v>U</v>
          </cell>
        </row>
        <row r="1549">
          <cell r="B1549" t="str">
            <v>MG010040301</v>
          </cell>
          <cell r="C1549" t="str">
            <v>MARRO GRANDE</v>
          </cell>
          <cell r="D1549" t="str">
            <v>MOCHILA</v>
          </cell>
          <cell r="E1549" t="str">
            <v>MOCHILA PACARI</v>
          </cell>
          <cell r="F1549" t="str">
            <v>BRIDGE</v>
          </cell>
          <cell r="G1549">
            <v>0</v>
          </cell>
          <cell r="H1549" t="str">
            <v>NEGRO</v>
          </cell>
          <cell r="I1549" t="str">
            <v>U</v>
          </cell>
          <cell r="J1549" t="str">
            <v>M</v>
          </cell>
        </row>
        <row r="1550">
          <cell r="B1550" t="str">
            <v>MG010040303</v>
          </cell>
          <cell r="C1550" t="str">
            <v>MARRO GRANDE</v>
          </cell>
          <cell r="D1550" t="str">
            <v>MOCHILA</v>
          </cell>
          <cell r="E1550" t="str">
            <v>MOCHILA PACARI</v>
          </cell>
          <cell r="F1550" t="str">
            <v>BRIDGE</v>
          </cell>
          <cell r="G1550">
            <v>0</v>
          </cell>
          <cell r="H1550" t="str">
            <v>CARAMELO</v>
          </cell>
          <cell r="I1550" t="str">
            <v>U</v>
          </cell>
          <cell r="J1550" t="str">
            <v>M</v>
          </cell>
        </row>
        <row r="1551">
          <cell r="B1551" t="str">
            <v>MG010040304</v>
          </cell>
          <cell r="C1551" t="str">
            <v>MARRO GRANDE</v>
          </cell>
          <cell r="D1551" t="str">
            <v>MOCHILA</v>
          </cell>
          <cell r="E1551" t="str">
            <v>MOCHILA PACARI</v>
          </cell>
          <cell r="F1551" t="str">
            <v>BRIDGE</v>
          </cell>
          <cell r="G1551">
            <v>0</v>
          </cell>
          <cell r="H1551" t="str">
            <v>TABACO</v>
          </cell>
          <cell r="I1551" t="str">
            <v>U</v>
          </cell>
          <cell r="J1551" t="str">
            <v>M</v>
          </cell>
        </row>
        <row r="1552">
          <cell r="B1552" t="str">
            <v>MG010040307</v>
          </cell>
          <cell r="C1552" t="str">
            <v>MARRO GRANDE</v>
          </cell>
          <cell r="D1552" t="str">
            <v>MOCHILA</v>
          </cell>
          <cell r="E1552" t="str">
            <v>MOCHILA PACARI</v>
          </cell>
          <cell r="F1552" t="str">
            <v>BRIDGE</v>
          </cell>
          <cell r="G1552">
            <v>0</v>
          </cell>
          <cell r="H1552" t="str">
            <v>ROJO</v>
          </cell>
          <cell r="I1552" t="str">
            <v>U</v>
          </cell>
          <cell r="J1552" t="str">
            <v>M</v>
          </cell>
        </row>
        <row r="1553">
          <cell r="B1553" t="str">
            <v>MG010040315</v>
          </cell>
          <cell r="C1553" t="str">
            <v>MARRO GRANDE</v>
          </cell>
          <cell r="D1553" t="str">
            <v>MOCHILA</v>
          </cell>
          <cell r="E1553" t="str">
            <v>MOCHILA PACARI</v>
          </cell>
          <cell r="F1553" t="str">
            <v>BRIDGE</v>
          </cell>
          <cell r="G1553">
            <v>0</v>
          </cell>
          <cell r="H1553" t="str">
            <v>MALBEC</v>
          </cell>
          <cell r="I1553" t="str">
            <v>U</v>
          </cell>
          <cell r="J1553" t="str">
            <v>M</v>
          </cell>
        </row>
        <row r="1554">
          <cell r="B1554" t="str">
            <v>MG010040352</v>
          </cell>
          <cell r="C1554" t="str">
            <v>MARRO GRANDE</v>
          </cell>
          <cell r="D1554" t="str">
            <v>MOCHILA</v>
          </cell>
          <cell r="E1554" t="str">
            <v>MOCHILA PACARI</v>
          </cell>
          <cell r="F1554" t="str">
            <v>BRIDGE</v>
          </cell>
          <cell r="G1554">
            <v>0</v>
          </cell>
          <cell r="H1554" t="str">
            <v>CHOCOLATE</v>
          </cell>
          <cell r="I1554" t="str">
            <v>U</v>
          </cell>
          <cell r="J1554" t="str">
            <v>M</v>
          </cell>
        </row>
        <row r="1555">
          <cell r="B1555" t="str">
            <v>MG010041601</v>
          </cell>
          <cell r="C1555" t="str">
            <v>MARRO GRANDE</v>
          </cell>
          <cell r="D1555" t="str">
            <v>MOCHILA</v>
          </cell>
          <cell r="E1555" t="str">
            <v>MOCHILA PACARI</v>
          </cell>
          <cell r="F1555" t="str">
            <v>FIORENTINO</v>
          </cell>
          <cell r="G1555">
            <v>0</v>
          </cell>
          <cell r="H1555" t="str">
            <v>NEGRO</v>
          </cell>
          <cell r="I1555" t="str">
            <v>U</v>
          </cell>
          <cell r="J1555" t="str">
            <v>M</v>
          </cell>
        </row>
        <row r="1556">
          <cell r="B1556" t="str">
            <v>MG010041623</v>
          </cell>
          <cell r="C1556" t="str">
            <v>MARRO GRANDE</v>
          </cell>
          <cell r="D1556" t="str">
            <v>MOCHILA</v>
          </cell>
          <cell r="E1556" t="str">
            <v>MOCHILA PACARI</v>
          </cell>
          <cell r="F1556" t="str">
            <v>FIORENTINO</v>
          </cell>
          <cell r="G1556">
            <v>0</v>
          </cell>
          <cell r="H1556" t="str">
            <v>CEDRO</v>
          </cell>
          <cell r="I1556" t="str">
            <v>U</v>
          </cell>
          <cell r="J1556" t="str">
            <v>M</v>
          </cell>
        </row>
        <row r="1557">
          <cell r="B1557" t="str">
            <v>MG010043111</v>
          </cell>
          <cell r="C1557" t="str">
            <v>MARRO GRANDE</v>
          </cell>
          <cell r="D1557" t="str">
            <v>MOCHILA</v>
          </cell>
          <cell r="E1557" t="str">
            <v>MOCHILA PACARI</v>
          </cell>
          <cell r="F1557" t="str">
            <v>PELO</v>
          </cell>
          <cell r="G1557">
            <v>0</v>
          </cell>
          <cell r="H1557" t="str">
            <v>BEIGE</v>
          </cell>
          <cell r="I1557" t="str">
            <v>U</v>
          </cell>
          <cell r="J1557" t="str">
            <v>M</v>
          </cell>
        </row>
        <row r="1558">
          <cell r="B1558" t="str">
            <v>MG010043163</v>
          </cell>
          <cell r="C1558" t="str">
            <v>MARRO GRANDE</v>
          </cell>
          <cell r="D1558" t="str">
            <v>MOCHILA</v>
          </cell>
          <cell r="E1558" t="str">
            <v>MOCHILA PACARI</v>
          </cell>
          <cell r="F1558" t="str">
            <v>PELO</v>
          </cell>
          <cell r="G1558">
            <v>0</v>
          </cell>
          <cell r="H1558" t="str">
            <v>MARRON</v>
          </cell>
          <cell r="I1558" t="str">
            <v>U</v>
          </cell>
          <cell r="J1558" t="str">
            <v>M</v>
          </cell>
        </row>
        <row r="1559">
          <cell r="B1559" t="str">
            <v>MG010043241</v>
          </cell>
          <cell r="C1559" t="str">
            <v>MARRO GRANDE</v>
          </cell>
          <cell r="D1559" t="str">
            <v>MOCHILA</v>
          </cell>
          <cell r="E1559" t="str">
            <v>MOCHILA PACARI</v>
          </cell>
          <cell r="F1559" t="str">
            <v>VINTAGE</v>
          </cell>
          <cell r="G1559">
            <v>0</v>
          </cell>
          <cell r="H1559" t="str">
            <v>LIGHT</v>
          </cell>
          <cell r="I1559" t="str">
            <v>U</v>
          </cell>
          <cell r="J1559" t="str">
            <v>M</v>
          </cell>
        </row>
        <row r="1560">
          <cell r="B1560" t="str">
            <v>MG010043242</v>
          </cell>
          <cell r="C1560" t="str">
            <v>MARRO GRANDE</v>
          </cell>
          <cell r="D1560" t="str">
            <v>MOCHILA</v>
          </cell>
          <cell r="E1560" t="str">
            <v>MOCHILA PACARI</v>
          </cell>
          <cell r="F1560" t="str">
            <v>VINTAGE</v>
          </cell>
          <cell r="G1560">
            <v>0</v>
          </cell>
          <cell r="H1560" t="str">
            <v>MEDIO</v>
          </cell>
          <cell r="I1560" t="str">
            <v>U</v>
          </cell>
          <cell r="J1560" t="str">
            <v>M</v>
          </cell>
        </row>
        <row r="1561">
          <cell r="B1561" t="str">
            <v>MG010043243</v>
          </cell>
          <cell r="C1561" t="str">
            <v>MARRO GRANDE</v>
          </cell>
          <cell r="D1561" t="str">
            <v>MOCHILA</v>
          </cell>
          <cell r="E1561" t="str">
            <v>MOCHILA PACARI</v>
          </cell>
          <cell r="F1561" t="str">
            <v>VINTAGE</v>
          </cell>
          <cell r="G1561">
            <v>0</v>
          </cell>
          <cell r="H1561" t="str">
            <v>DARK</v>
          </cell>
          <cell r="I1561" t="str">
            <v>U</v>
          </cell>
          <cell r="J1561" t="str">
            <v>M</v>
          </cell>
        </row>
        <row r="1562">
          <cell r="B1562" t="str">
            <v>MG010043311</v>
          </cell>
          <cell r="C1562" t="str">
            <v>MARRO GRANDE</v>
          </cell>
          <cell r="D1562" t="str">
            <v>MOCHILA</v>
          </cell>
          <cell r="E1562" t="str">
            <v>MOCHILA PACARI</v>
          </cell>
          <cell r="F1562" t="str">
            <v>CRASH</v>
          </cell>
          <cell r="G1562">
            <v>0</v>
          </cell>
          <cell r="H1562" t="str">
            <v>BEIGE</v>
          </cell>
          <cell r="I1562" t="str">
            <v>U</v>
          </cell>
          <cell r="J1562" t="str">
            <v>M</v>
          </cell>
        </row>
        <row r="1563">
          <cell r="B1563" t="str">
            <v>MG010043344</v>
          </cell>
          <cell r="C1563" t="str">
            <v>MARRO GRANDE</v>
          </cell>
          <cell r="D1563" t="str">
            <v>MOCHILA</v>
          </cell>
          <cell r="E1563" t="str">
            <v>MOCHILA PACARI</v>
          </cell>
          <cell r="F1563" t="str">
            <v>CRASH</v>
          </cell>
          <cell r="G1563">
            <v>0</v>
          </cell>
          <cell r="H1563" t="str">
            <v>BLACK</v>
          </cell>
          <cell r="I1563" t="str">
            <v>U</v>
          </cell>
          <cell r="J1563" t="str">
            <v>M</v>
          </cell>
        </row>
        <row r="1564">
          <cell r="B1564" t="str">
            <v>MG010043345</v>
          </cell>
          <cell r="C1564" t="str">
            <v>MARRO GRANDE</v>
          </cell>
          <cell r="D1564" t="str">
            <v>MOCHILA</v>
          </cell>
          <cell r="E1564" t="str">
            <v>MOCHILA PACARI</v>
          </cell>
          <cell r="F1564" t="str">
            <v>CRASH</v>
          </cell>
          <cell r="G1564">
            <v>0</v>
          </cell>
          <cell r="H1564" t="str">
            <v>MALBORO</v>
          </cell>
          <cell r="I1564" t="str">
            <v>U</v>
          </cell>
          <cell r="J1564" t="str">
            <v>M</v>
          </cell>
        </row>
        <row r="1565">
          <cell r="B1565" t="str">
            <v>MG010043347</v>
          </cell>
          <cell r="C1565" t="str">
            <v>MARRO GRANDE</v>
          </cell>
          <cell r="D1565" t="str">
            <v>MOCHILA</v>
          </cell>
          <cell r="E1565" t="str">
            <v>MOCHILA PACARI</v>
          </cell>
          <cell r="F1565" t="str">
            <v>CRASH</v>
          </cell>
          <cell r="G1565">
            <v>0</v>
          </cell>
          <cell r="H1565" t="str">
            <v>BLUE DARK</v>
          </cell>
          <cell r="I1565" t="str">
            <v>U</v>
          </cell>
          <cell r="J1565" t="str">
            <v>M</v>
          </cell>
        </row>
        <row r="1566">
          <cell r="B1566" t="str">
            <v>MG010640301</v>
          </cell>
          <cell r="C1566" t="str">
            <v>MARRO GRANDE</v>
          </cell>
          <cell r="D1566" t="str">
            <v>MOCHILA</v>
          </cell>
          <cell r="E1566" t="str">
            <v>MOCHILA PIETRO</v>
          </cell>
          <cell r="F1566" t="str">
            <v>BRIDGE</v>
          </cell>
          <cell r="G1566">
            <v>0</v>
          </cell>
          <cell r="H1566" t="str">
            <v>NEGRO</v>
          </cell>
          <cell r="I1566" t="str">
            <v>U</v>
          </cell>
          <cell r="J1566" t="str">
            <v>H</v>
          </cell>
        </row>
        <row r="1567">
          <cell r="B1567" t="str">
            <v>MG010640303</v>
          </cell>
          <cell r="C1567" t="str">
            <v>MARRO GRANDE</v>
          </cell>
          <cell r="D1567" t="str">
            <v>MOCHILA</v>
          </cell>
          <cell r="E1567" t="str">
            <v>MOCHILA PIETRO</v>
          </cell>
          <cell r="F1567" t="str">
            <v>BRIDGE</v>
          </cell>
          <cell r="G1567">
            <v>0</v>
          </cell>
          <cell r="H1567" t="str">
            <v>CARAMELO</v>
          </cell>
          <cell r="I1567" t="str">
            <v>U</v>
          </cell>
          <cell r="J1567" t="str">
            <v>H</v>
          </cell>
        </row>
        <row r="1568">
          <cell r="B1568" t="str">
            <v>MG010640304</v>
          </cell>
          <cell r="C1568" t="str">
            <v>MARRO GRANDE</v>
          </cell>
          <cell r="D1568" t="str">
            <v>MOCHILA</v>
          </cell>
          <cell r="E1568" t="str">
            <v>MOCHILA PIETRO</v>
          </cell>
          <cell r="F1568" t="str">
            <v>BRIDGE</v>
          </cell>
          <cell r="G1568">
            <v>0</v>
          </cell>
          <cell r="H1568" t="str">
            <v>TABACO</v>
          </cell>
          <cell r="I1568" t="str">
            <v>U</v>
          </cell>
          <cell r="J1568" t="str">
            <v>H</v>
          </cell>
        </row>
        <row r="1569">
          <cell r="B1569" t="str">
            <v>MG010641201</v>
          </cell>
          <cell r="C1569" t="str">
            <v>MARRO GRANDE</v>
          </cell>
          <cell r="D1569" t="str">
            <v>MOCHILA</v>
          </cell>
          <cell r="E1569" t="str">
            <v>MOCHILA PIETRO</v>
          </cell>
          <cell r="F1569" t="str">
            <v>DUNA</v>
          </cell>
          <cell r="G1569">
            <v>0</v>
          </cell>
          <cell r="H1569" t="str">
            <v>NEGRO</v>
          </cell>
          <cell r="I1569" t="str">
            <v>U</v>
          </cell>
          <cell r="J1569" t="str">
            <v>H</v>
          </cell>
        </row>
        <row r="1570">
          <cell r="B1570" t="str">
            <v>MG010641623</v>
          </cell>
          <cell r="C1570" t="str">
            <v>MARRO GRANDE</v>
          </cell>
          <cell r="D1570" t="str">
            <v>MOCHILA</v>
          </cell>
          <cell r="E1570" t="str">
            <v>MOCHILA PIETRO</v>
          </cell>
          <cell r="F1570" t="str">
            <v>FIORENTINO</v>
          </cell>
          <cell r="G1570">
            <v>0</v>
          </cell>
          <cell r="H1570" t="str">
            <v>CEDRO</v>
          </cell>
          <cell r="I1570" t="str">
            <v>U</v>
          </cell>
          <cell r="J1570" t="str">
            <v>H</v>
          </cell>
        </row>
        <row r="1571">
          <cell r="B1571" t="str">
            <v>MG011000301</v>
          </cell>
          <cell r="C1571" t="str">
            <v>MARRO GRANDE</v>
          </cell>
          <cell r="D1571" t="str">
            <v>MOCHILA</v>
          </cell>
          <cell r="E1571" t="str">
            <v>MOCHILA PIETRO FULL BLACK</v>
          </cell>
          <cell r="F1571" t="str">
            <v>BRIDGE</v>
          </cell>
          <cell r="G1571">
            <v>0</v>
          </cell>
          <cell r="H1571" t="str">
            <v>NEGRO</v>
          </cell>
          <cell r="I1571" t="str">
            <v>U</v>
          </cell>
          <cell r="J1571" t="str">
            <v>H</v>
          </cell>
        </row>
        <row r="1572">
          <cell r="B1572" t="str">
            <v>MG010790101</v>
          </cell>
          <cell r="C1572" t="str">
            <v>MARRO GRANDE</v>
          </cell>
          <cell r="D1572" t="str">
            <v>MOCHILA</v>
          </cell>
          <cell r="E1572" t="str">
            <v>MOCHILA PORTIA</v>
          </cell>
          <cell r="F1572" t="str">
            <v>NAPADO</v>
          </cell>
          <cell r="G1572">
            <v>0</v>
          </cell>
          <cell r="H1572" t="str">
            <v>NEGRO</v>
          </cell>
          <cell r="I1572" t="str">
            <v>U</v>
          </cell>
          <cell r="J1572" t="str">
            <v>U</v>
          </cell>
        </row>
        <row r="1573">
          <cell r="B1573" t="str">
            <v>MG010790102</v>
          </cell>
          <cell r="C1573" t="str">
            <v>MARRO GRANDE</v>
          </cell>
          <cell r="D1573" t="str">
            <v>MOCHILA</v>
          </cell>
          <cell r="E1573" t="str">
            <v>MOCHILA PORTIA</v>
          </cell>
          <cell r="F1573" t="str">
            <v>NAPADO</v>
          </cell>
          <cell r="G1573">
            <v>0</v>
          </cell>
          <cell r="H1573" t="str">
            <v>SUELA</v>
          </cell>
          <cell r="I1573" t="str">
            <v>U</v>
          </cell>
          <cell r="J1573" t="str">
            <v>U</v>
          </cell>
        </row>
        <row r="1574">
          <cell r="B1574" t="str">
            <v>MG010790301</v>
          </cell>
          <cell r="C1574" t="str">
            <v>MARRO GRANDE</v>
          </cell>
          <cell r="D1574" t="str">
            <v>MOCHILA</v>
          </cell>
          <cell r="E1574" t="str">
            <v>MOCHILA PORTIA</v>
          </cell>
          <cell r="F1574" t="str">
            <v>BRIDGE</v>
          </cell>
          <cell r="G1574">
            <v>0</v>
          </cell>
          <cell r="H1574" t="str">
            <v>NEGRO</v>
          </cell>
          <cell r="I1574" t="str">
            <v>U</v>
          </cell>
          <cell r="J1574" t="str">
            <v>U</v>
          </cell>
        </row>
        <row r="1575">
          <cell r="B1575" t="str">
            <v>MG010790303</v>
          </cell>
          <cell r="C1575" t="str">
            <v>MARRO GRANDE</v>
          </cell>
          <cell r="D1575" t="str">
            <v>MOCHILA</v>
          </cell>
          <cell r="E1575" t="str">
            <v>MOCHILA PORTIA</v>
          </cell>
          <cell r="F1575" t="str">
            <v>BRIDGE</v>
          </cell>
          <cell r="G1575">
            <v>0</v>
          </cell>
          <cell r="H1575" t="str">
            <v>CARAMELO</v>
          </cell>
          <cell r="I1575" t="str">
            <v>U</v>
          </cell>
          <cell r="J1575" t="str">
            <v>U</v>
          </cell>
        </row>
        <row r="1576">
          <cell r="B1576" t="str">
            <v>MG010790304</v>
          </cell>
          <cell r="C1576" t="str">
            <v>MARRO GRANDE</v>
          </cell>
          <cell r="D1576" t="str">
            <v>MOCHILA</v>
          </cell>
          <cell r="E1576" t="str">
            <v>MOCHILA PORTIA</v>
          </cell>
          <cell r="F1576" t="str">
            <v>BRIDGE</v>
          </cell>
          <cell r="G1576">
            <v>0</v>
          </cell>
          <cell r="H1576" t="str">
            <v>TABACO</v>
          </cell>
          <cell r="I1576" t="str">
            <v>U</v>
          </cell>
          <cell r="J1576" t="str">
            <v>U</v>
          </cell>
        </row>
        <row r="1577">
          <cell r="B1577" t="str">
            <v>MG010790309</v>
          </cell>
          <cell r="C1577" t="str">
            <v>MARRO GRANDE</v>
          </cell>
          <cell r="D1577" t="str">
            <v>MOCHILA</v>
          </cell>
          <cell r="E1577" t="str">
            <v>MOCHILA PORTIA</v>
          </cell>
          <cell r="F1577" t="str">
            <v>BRIDGE</v>
          </cell>
          <cell r="G1577">
            <v>0</v>
          </cell>
          <cell r="H1577" t="str">
            <v>AZUL</v>
          </cell>
          <cell r="I1577" t="str">
            <v>U</v>
          </cell>
          <cell r="J1577" t="str">
            <v>U</v>
          </cell>
        </row>
        <row r="1578">
          <cell r="B1578" t="str">
            <v>MG010790312</v>
          </cell>
          <cell r="C1578" t="str">
            <v>MARRO GRANDE</v>
          </cell>
          <cell r="D1578" t="str">
            <v>MOCHILA</v>
          </cell>
          <cell r="E1578" t="str">
            <v>MOCHILA PORTIA</v>
          </cell>
          <cell r="F1578" t="str">
            <v>BRIDGE</v>
          </cell>
          <cell r="G1578">
            <v>0</v>
          </cell>
          <cell r="H1578" t="str">
            <v>GRIS</v>
          </cell>
          <cell r="I1578" t="str">
            <v>U</v>
          </cell>
          <cell r="J1578" t="str">
            <v>U</v>
          </cell>
        </row>
        <row r="1579">
          <cell r="B1579" t="str">
            <v>MG010790352</v>
          </cell>
          <cell r="C1579" t="str">
            <v>MARRO GRANDE</v>
          </cell>
          <cell r="D1579" t="str">
            <v>MOCHILA</v>
          </cell>
          <cell r="E1579" t="str">
            <v>MOCHILA PORTIA</v>
          </cell>
          <cell r="F1579" t="str">
            <v>BRIDGE</v>
          </cell>
          <cell r="G1579">
            <v>0</v>
          </cell>
          <cell r="H1579" t="str">
            <v>CHOCOLATE</v>
          </cell>
          <cell r="I1579" t="str">
            <v>U</v>
          </cell>
          <cell r="J1579" t="str">
            <v>U</v>
          </cell>
        </row>
        <row r="1580">
          <cell r="B1580" t="str">
            <v>MG010180301</v>
          </cell>
          <cell r="C1580" t="str">
            <v>MARRO GRANDE</v>
          </cell>
          <cell r="D1580" t="str">
            <v>MOCHILA</v>
          </cell>
          <cell r="E1580" t="str">
            <v>MOCHILA PORTIA FULL BLACK</v>
          </cell>
          <cell r="F1580" t="str">
            <v>BRIDGE</v>
          </cell>
          <cell r="G1580">
            <v>0</v>
          </cell>
          <cell r="H1580" t="str">
            <v>NEGRO</v>
          </cell>
          <cell r="I1580" t="str">
            <v>U</v>
          </cell>
          <cell r="J1580" t="str">
            <v>U</v>
          </cell>
        </row>
        <row r="1581">
          <cell r="B1581" t="str">
            <v>MG161174101</v>
          </cell>
          <cell r="C1581" t="str">
            <v>MARRO GRANDE</v>
          </cell>
          <cell r="D1581" t="str">
            <v>TECH</v>
          </cell>
          <cell r="E1581" t="str">
            <v>MOCHILA TECH 210512</v>
          </cell>
          <cell r="F1581" t="str">
            <v>CORDURA</v>
          </cell>
          <cell r="G1581">
            <v>0</v>
          </cell>
          <cell r="H1581" t="str">
            <v>NEGRO</v>
          </cell>
          <cell r="I1581" t="str">
            <v>U</v>
          </cell>
          <cell r="J1581" t="str">
            <v>U</v>
          </cell>
        </row>
        <row r="1582">
          <cell r="B1582" t="str">
            <v>MG161184101</v>
          </cell>
          <cell r="C1582" t="str">
            <v>MARRO GRANDE</v>
          </cell>
          <cell r="D1582" t="str">
            <v>TECH</v>
          </cell>
          <cell r="E1582" t="str">
            <v>MOCHILA TECH 21066</v>
          </cell>
          <cell r="F1582" t="str">
            <v>CORDURA</v>
          </cell>
          <cell r="G1582">
            <v>0</v>
          </cell>
          <cell r="H1582" t="str">
            <v>NEGRO</v>
          </cell>
          <cell r="I1582" t="str">
            <v>U</v>
          </cell>
          <cell r="J1582" t="str">
            <v>U</v>
          </cell>
        </row>
        <row r="1583">
          <cell r="B1583" t="str">
            <v>MG161144101</v>
          </cell>
          <cell r="C1583" t="str">
            <v>MARRO GRANDE</v>
          </cell>
          <cell r="D1583" t="str">
            <v>TECH</v>
          </cell>
          <cell r="E1583" t="str">
            <v>MOCHILA TECH 2551</v>
          </cell>
          <cell r="F1583" t="str">
            <v>CORDURA</v>
          </cell>
          <cell r="G1583">
            <v>0</v>
          </cell>
          <cell r="H1583" t="str">
            <v>AZUL</v>
          </cell>
          <cell r="I1583" t="str">
            <v>U</v>
          </cell>
          <cell r="J1583" t="str">
            <v>U</v>
          </cell>
        </row>
        <row r="1584">
          <cell r="B1584" t="str">
            <v>MG161204101</v>
          </cell>
          <cell r="C1584" t="str">
            <v>MARRO GRANDE</v>
          </cell>
          <cell r="D1584" t="str">
            <v>TECH</v>
          </cell>
          <cell r="E1584" t="str">
            <v>MOCHILA TECH 21076</v>
          </cell>
          <cell r="F1584" t="str">
            <v>CORDURA</v>
          </cell>
          <cell r="G1584">
            <v>0</v>
          </cell>
          <cell r="H1584" t="str">
            <v>NEGRO</v>
          </cell>
          <cell r="I1584" t="str">
            <v>U</v>
          </cell>
          <cell r="J1584" t="str">
            <v>U</v>
          </cell>
        </row>
        <row r="1585">
          <cell r="B1585" t="str">
            <v>MG161154101</v>
          </cell>
          <cell r="C1585" t="str">
            <v>MARRO GRANDE</v>
          </cell>
          <cell r="D1585" t="str">
            <v>TECH</v>
          </cell>
          <cell r="E1585" t="str">
            <v>MOCHILA TECH 2551</v>
          </cell>
          <cell r="F1585" t="str">
            <v>CORDURA</v>
          </cell>
          <cell r="G1585">
            <v>0</v>
          </cell>
          <cell r="H1585" t="str">
            <v>NEGRO</v>
          </cell>
          <cell r="I1585" t="str">
            <v>U</v>
          </cell>
          <cell r="J1585" t="str">
            <v>U</v>
          </cell>
        </row>
        <row r="1586">
          <cell r="B1586" t="str">
            <v>MG161164112</v>
          </cell>
          <cell r="C1586" t="str">
            <v>MARRO GRANDE</v>
          </cell>
          <cell r="D1586" t="str">
            <v>TECH</v>
          </cell>
          <cell r="E1586" t="str">
            <v>MOCHILA TECH 2551</v>
          </cell>
          <cell r="F1586" t="str">
            <v>CORDURA</v>
          </cell>
          <cell r="G1586">
            <v>0</v>
          </cell>
          <cell r="H1586" t="str">
            <v>GRIS</v>
          </cell>
          <cell r="I1586" t="str">
            <v>U</v>
          </cell>
          <cell r="J1586" t="str">
            <v>U</v>
          </cell>
        </row>
        <row r="1587">
          <cell r="B1587" t="str">
            <v>MG161194101</v>
          </cell>
          <cell r="C1587" t="str">
            <v>MARRO GRANDE</v>
          </cell>
          <cell r="D1587" t="str">
            <v>TECH</v>
          </cell>
          <cell r="E1587" t="str">
            <v>MOCHILA TECH 40998</v>
          </cell>
          <cell r="F1587" t="str">
            <v>CORDURA</v>
          </cell>
          <cell r="G1587">
            <v>0</v>
          </cell>
          <cell r="H1587" t="str">
            <v>NEGRO</v>
          </cell>
          <cell r="I1587" t="str">
            <v>U</v>
          </cell>
          <cell r="J1587" t="str">
            <v>U</v>
          </cell>
        </row>
        <row r="1588">
          <cell r="B1588" t="str">
            <v>MG010030303</v>
          </cell>
          <cell r="C1588" t="str">
            <v>MARRO GRANDE</v>
          </cell>
          <cell r="D1588" t="str">
            <v>MOCHILA</v>
          </cell>
          <cell r="E1588" t="str">
            <v>MOCHILA TOBIAS</v>
          </cell>
          <cell r="F1588" t="str">
            <v>BRIDGE</v>
          </cell>
          <cell r="G1588">
            <v>0</v>
          </cell>
          <cell r="H1588" t="str">
            <v>CARAMELO</v>
          </cell>
          <cell r="I1588" t="str">
            <v>U</v>
          </cell>
          <cell r="J1588" t="str">
            <v>H</v>
          </cell>
        </row>
        <row r="1589">
          <cell r="B1589" t="str">
            <v>MG010030304</v>
          </cell>
          <cell r="C1589" t="str">
            <v>MARRO GRANDE</v>
          </cell>
          <cell r="D1589" t="str">
            <v>MOCHILA</v>
          </cell>
          <cell r="E1589" t="str">
            <v>MOCHILA TOBIAS</v>
          </cell>
          <cell r="F1589" t="str">
            <v>BRIDGE</v>
          </cell>
          <cell r="G1589">
            <v>0</v>
          </cell>
          <cell r="H1589" t="str">
            <v>TABACO</v>
          </cell>
          <cell r="I1589" t="str">
            <v>U</v>
          </cell>
          <cell r="J1589" t="str">
            <v>H</v>
          </cell>
        </row>
        <row r="1590">
          <cell r="B1590" t="str">
            <v>MG010030309</v>
          </cell>
          <cell r="C1590" t="str">
            <v>MARRO GRANDE</v>
          </cell>
          <cell r="D1590" t="str">
            <v>MOCHILA</v>
          </cell>
          <cell r="E1590" t="str">
            <v>MOCHILA TOBIAS</v>
          </cell>
          <cell r="F1590" t="str">
            <v>BRIDGE</v>
          </cell>
          <cell r="G1590">
            <v>0</v>
          </cell>
          <cell r="H1590" t="str">
            <v>AZUL</v>
          </cell>
          <cell r="I1590" t="str">
            <v>U</v>
          </cell>
          <cell r="J1590" t="str">
            <v>H</v>
          </cell>
        </row>
        <row r="1591">
          <cell r="B1591" t="str">
            <v>MG010630301</v>
          </cell>
          <cell r="C1591" t="str">
            <v>MARRO GRANDE</v>
          </cell>
          <cell r="D1591" t="str">
            <v>MOCHILA</v>
          </cell>
          <cell r="E1591" t="str">
            <v>MOCHILA TOBIAS FULL BLACK</v>
          </cell>
          <cell r="F1591" t="str">
            <v>BRIDGE</v>
          </cell>
          <cell r="G1591">
            <v>0</v>
          </cell>
          <cell r="H1591" t="str">
            <v>NEGRO</v>
          </cell>
          <cell r="I1591" t="str">
            <v>U</v>
          </cell>
          <cell r="J1591" t="str">
            <v>H</v>
          </cell>
        </row>
        <row r="1592">
          <cell r="B1592" t="str">
            <v>MC020660101</v>
          </cell>
          <cell r="C1592" t="str">
            <v>MARRO CHICA</v>
          </cell>
          <cell r="D1592" t="str">
            <v>MONEDERO</v>
          </cell>
          <cell r="E1592" t="str">
            <v>MONEDERO AMBAR</v>
          </cell>
          <cell r="F1592" t="str">
            <v>NAPADO</v>
          </cell>
          <cell r="G1592">
            <v>0</v>
          </cell>
          <cell r="H1592" t="str">
            <v>NEGRO</v>
          </cell>
          <cell r="I1592" t="str">
            <v>U</v>
          </cell>
          <cell r="J1592" t="str">
            <v>U</v>
          </cell>
        </row>
        <row r="1593">
          <cell r="B1593" t="str">
            <v>MC020660103</v>
          </cell>
          <cell r="C1593" t="str">
            <v>MARRO CHICA</v>
          </cell>
          <cell r="D1593" t="str">
            <v>MONEDERO</v>
          </cell>
          <cell r="E1593" t="str">
            <v>MONEDERO AMBAR</v>
          </cell>
          <cell r="F1593" t="str">
            <v>NAPADO</v>
          </cell>
          <cell r="G1593">
            <v>0</v>
          </cell>
          <cell r="H1593" t="str">
            <v>CARAMELO</v>
          </cell>
          <cell r="I1593" t="str">
            <v>U</v>
          </cell>
          <cell r="J1593" t="str">
            <v>U</v>
          </cell>
        </row>
        <row r="1594">
          <cell r="B1594" t="str">
            <v>MC020660104</v>
          </cell>
          <cell r="C1594" t="str">
            <v>MARRO CHICA</v>
          </cell>
          <cell r="D1594" t="str">
            <v>MONEDERO</v>
          </cell>
          <cell r="E1594" t="str">
            <v>MONEDERO AMBAR</v>
          </cell>
          <cell r="F1594" t="str">
            <v>NAPADO</v>
          </cell>
          <cell r="G1594">
            <v>0</v>
          </cell>
          <cell r="H1594" t="str">
            <v>TABACO</v>
          </cell>
          <cell r="I1594" t="str">
            <v>U</v>
          </cell>
          <cell r="J1594" t="str">
            <v>U</v>
          </cell>
        </row>
        <row r="1595">
          <cell r="B1595" t="str">
            <v>MC020660107</v>
          </cell>
          <cell r="C1595" t="str">
            <v>MARRO CHICA</v>
          </cell>
          <cell r="D1595" t="str">
            <v>MONEDERO</v>
          </cell>
          <cell r="E1595" t="str">
            <v>MONEDERO AMBAR</v>
          </cell>
          <cell r="F1595" t="str">
            <v>NAPADO</v>
          </cell>
          <cell r="G1595">
            <v>0</v>
          </cell>
          <cell r="H1595" t="str">
            <v>ROJO</v>
          </cell>
          <cell r="I1595" t="str">
            <v>U</v>
          </cell>
          <cell r="J1595" t="str">
            <v>U</v>
          </cell>
        </row>
        <row r="1596">
          <cell r="B1596" t="str">
            <v>MC020661201</v>
          </cell>
          <cell r="C1596" t="str">
            <v>MARRO CHICA</v>
          </cell>
          <cell r="D1596" t="str">
            <v>MONEDERO</v>
          </cell>
          <cell r="E1596" t="str">
            <v>MONEDERO AMBAR</v>
          </cell>
          <cell r="F1596" t="str">
            <v>DUNA</v>
          </cell>
          <cell r="G1596">
            <v>0</v>
          </cell>
          <cell r="H1596" t="str">
            <v>NEGRO</v>
          </cell>
          <cell r="I1596" t="str">
            <v>U</v>
          </cell>
          <cell r="J1596" t="str">
            <v>U</v>
          </cell>
        </row>
        <row r="1597">
          <cell r="B1597" t="str">
            <v>MC020660109</v>
          </cell>
          <cell r="C1597" t="str">
            <v>MARRO CHICA</v>
          </cell>
          <cell r="D1597" t="str">
            <v>MONEDERO</v>
          </cell>
          <cell r="E1597" t="str">
            <v>MONEDERO AMBAR</v>
          </cell>
          <cell r="F1597" t="str">
            <v xml:space="preserve">NAPADO </v>
          </cell>
          <cell r="G1597">
            <v>0</v>
          </cell>
          <cell r="H1597" t="str">
            <v>AZUL</v>
          </cell>
          <cell r="I1597" t="str">
            <v>U</v>
          </cell>
          <cell r="J1597" t="str">
            <v>U</v>
          </cell>
        </row>
        <row r="1598">
          <cell r="B1598" t="str">
            <v>MC020230102</v>
          </cell>
          <cell r="C1598" t="str">
            <v>MARRO CHICA</v>
          </cell>
          <cell r="D1598" t="str">
            <v>MONEDERO</v>
          </cell>
          <cell r="E1598" t="str">
            <v>MONEDERO CHICO</v>
          </cell>
          <cell r="F1598" t="str">
            <v>NAPADO</v>
          </cell>
          <cell r="G1598">
            <v>0</v>
          </cell>
          <cell r="H1598" t="str">
            <v>SUELA</v>
          </cell>
          <cell r="I1598" t="str">
            <v>U</v>
          </cell>
          <cell r="J1598" t="str">
            <v>U</v>
          </cell>
        </row>
        <row r="1599">
          <cell r="B1599" t="str">
            <v>MC020230301</v>
          </cell>
          <cell r="C1599" t="str">
            <v>MARRO CHICA</v>
          </cell>
          <cell r="D1599" t="str">
            <v>MONEDERO</v>
          </cell>
          <cell r="E1599" t="str">
            <v>MONEDERO CHICO</v>
          </cell>
          <cell r="F1599" t="str">
            <v>BRIDGE</v>
          </cell>
          <cell r="G1599">
            <v>0</v>
          </cell>
          <cell r="H1599" t="str">
            <v>NEGRO</v>
          </cell>
          <cell r="I1599" t="str">
            <v>U</v>
          </cell>
          <cell r="J1599" t="str">
            <v>U</v>
          </cell>
        </row>
        <row r="1600">
          <cell r="B1600" t="str">
            <v>MC020230303</v>
          </cell>
          <cell r="C1600" t="str">
            <v>MARRO CHICA</v>
          </cell>
          <cell r="D1600" t="str">
            <v>MONEDERO</v>
          </cell>
          <cell r="E1600" t="str">
            <v>MONEDERO CHICO</v>
          </cell>
          <cell r="F1600" t="str">
            <v>BRIDGE</v>
          </cell>
          <cell r="G1600">
            <v>0</v>
          </cell>
          <cell r="H1600" t="str">
            <v>CARAMELO</v>
          </cell>
          <cell r="I1600" t="str">
            <v>U</v>
          </cell>
          <cell r="J1600" t="str">
            <v>U</v>
          </cell>
        </row>
        <row r="1601">
          <cell r="B1601" t="str">
            <v>MC020230304</v>
          </cell>
          <cell r="C1601" t="str">
            <v>MARRO CHICA</v>
          </cell>
          <cell r="D1601" t="str">
            <v>MONEDERO</v>
          </cell>
          <cell r="E1601" t="str">
            <v>MONEDERO CHICO</v>
          </cell>
          <cell r="F1601" t="str">
            <v>BRIDGE</v>
          </cell>
          <cell r="G1601">
            <v>0</v>
          </cell>
          <cell r="H1601" t="str">
            <v>TABACO</v>
          </cell>
          <cell r="I1601" t="str">
            <v>U</v>
          </cell>
          <cell r="J1601" t="str">
            <v>U</v>
          </cell>
        </row>
        <row r="1602">
          <cell r="B1602" t="str">
            <v>MC020230307</v>
          </cell>
          <cell r="C1602" t="str">
            <v>MARRO CHICA</v>
          </cell>
          <cell r="D1602" t="str">
            <v>MONEDERO</v>
          </cell>
          <cell r="E1602" t="str">
            <v>MONEDERO CHICO</v>
          </cell>
          <cell r="F1602" t="str">
            <v>BRIDGE</v>
          </cell>
          <cell r="G1602">
            <v>0</v>
          </cell>
          <cell r="H1602" t="str">
            <v>ROJO</v>
          </cell>
          <cell r="I1602" t="str">
            <v>U</v>
          </cell>
          <cell r="J1602" t="str">
            <v>U</v>
          </cell>
        </row>
        <row r="1603">
          <cell r="B1603" t="str">
            <v>MC020230309</v>
          </cell>
          <cell r="C1603" t="str">
            <v>MARRO CHICA</v>
          </cell>
          <cell r="D1603" t="str">
            <v>MONEDERO</v>
          </cell>
          <cell r="E1603" t="str">
            <v>MONEDERO CHICO</v>
          </cell>
          <cell r="F1603" t="str">
            <v>BRIDGE</v>
          </cell>
          <cell r="G1603">
            <v>0</v>
          </cell>
          <cell r="H1603" t="str">
            <v>AZUL</v>
          </cell>
          <cell r="I1603" t="str">
            <v>U</v>
          </cell>
          <cell r="J1603" t="str">
            <v>U</v>
          </cell>
        </row>
        <row r="1604">
          <cell r="B1604" t="str">
            <v>MC020230310</v>
          </cell>
          <cell r="C1604" t="str">
            <v>MARRO CHICA</v>
          </cell>
          <cell r="D1604" t="str">
            <v>MONEDERO</v>
          </cell>
          <cell r="E1604" t="str">
            <v>MONEDERO CHICO</v>
          </cell>
          <cell r="F1604" t="str">
            <v>BRIDGE</v>
          </cell>
          <cell r="G1604">
            <v>0</v>
          </cell>
          <cell r="H1604" t="str">
            <v>VERDE</v>
          </cell>
          <cell r="I1604" t="str">
            <v>U</v>
          </cell>
          <cell r="J1604" t="str">
            <v>U</v>
          </cell>
        </row>
        <row r="1605">
          <cell r="B1605" t="str">
            <v>MC020800701</v>
          </cell>
          <cell r="C1605" t="str">
            <v>MARRO CHICA</v>
          </cell>
          <cell r="D1605" t="str">
            <v>MONEDERO</v>
          </cell>
          <cell r="E1605" t="str">
            <v>MONEDERO CIRCULAR</v>
          </cell>
          <cell r="F1605" t="str">
            <v>IGUANA</v>
          </cell>
          <cell r="G1605">
            <v>0</v>
          </cell>
          <cell r="H1605" t="str">
            <v>NEGRO</v>
          </cell>
          <cell r="I1605" t="str">
            <v>U</v>
          </cell>
          <cell r="J1605" t="str">
            <v>M</v>
          </cell>
        </row>
        <row r="1606">
          <cell r="B1606" t="str">
            <v>MC020800703</v>
          </cell>
          <cell r="C1606" t="str">
            <v>MARRO CHICA</v>
          </cell>
          <cell r="D1606" t="str">
            <v>MONEDERO</v>
          </cell>
          <cell r="E1606" t="str">
            <v>MONEDERO CIRCULAR</v>
          </cell>
          <cell r="F1606" t="str">
            <v>IGUANA</v>
          </cell>
          <cell r="G1606">
            <v>0</v>
          </cell>
          <cell r="H1606" t="str">
            <v>CARAMELO</v>
          </cell>
          <cell r="I1606" t="str">
            <v>U</v>
          </cell>
          <cell r="J1606" t="str">
            <v>M</v>
          </cell>
        </row>
        <row r="1607">
          <cell r="B1607" t="str">
            <v>MC020800707</v>
          </cell>
          <cell r="C1607" t="str">
            <v>MARRO CHICA</v>
          </cell>
          <cell r="D1607" t="str">
            <v>MONEDERO</v>
          </cell>
          <cell r="E1607" t="str">
            <v>MONEDERO CIRCULAR</v>
          </cell>
          <cell r="F1607" t="str">
            <v>IGUANA</v>
          </cell>
          <cell r="G1607">
            <v>0</v>
          </cell>
          <cell r="H1607" t="str">
            <v>ROJO</v>
          </cell>
          <cell r="I1607" t="str">
            <v>U</v>
          </cell>
          <cell r="J1607" t="str">
            <v>M</v>
          </cell>
        </row>
        <row r="1608">
          <cell r="B1608" t="str">
            <v>MC020720102</v>
          </cell>
          <cell r="C1608" t="str">
            <v>MARRO CHICA</v>
          </cell>
          <cell r="D1608" t="str">
            <v>MONEDERO</v>
          </cell>
          <cell r="E1608" t="str">
            <v>MONEDERO CORY</v>
          </cell>
          <cell r="F1608" t="str">
            <v>NAPADO</v>
          </cell>
          <cell r="G1608">
            <v>0</v>
          </cell>
          <cell r="H1608" t="str">
            <v>SUELA</v>
          </cell>
          <cell r="I1608" t="str">
            <v>U</v>
          </cell>
          <cell r="J1608" t="str">
            <v>M</v>
          </cell>
        </row>
        <row r="1609">
          <cell r="B1609" t="str">
            <v>MC020720103</v>
          </cell>
          <cell r="C1609" t="str">
            <v>MARRO CHICA</v>
          </cell>
          <cell r="D1609" t="str">
            <v>MONEDERO</v>
          </cell>
          <cell r="E1609" t="str">
            <v>MONEDERO CORY</v>
          </cell>
          <cell r="F1609" t="str">
            <v>NAPADO</v>
          </cell>
          <cell r="G1609">
            <v>0</v>
          </cell>
          <cell r="H1609" t="str">
            <v>CARAMELO</v>
          </cell>
          <cell r="I1609" t="str">
            <v>U</v>
          </cell>
          <cell r="J1609" t="str">
            <v>M</v>
          </cell>
        </row>
        <row r="1610">
          <cell r="B1610" t="str">
            <v>MC020720107</v>
          </cell>
          <cell r="C1610" t="str">
            <v>MARRO CHICA</v>
          </cell>
          <cell r="D1610" t="str">
            <v>MONEDERO</v>
          </cell>
          <cell r="E1610" t="str">
            <v>MONEDERO CORY</v>
          </cell>
          <cell r="F1610" t="str">
            <v>NAPADO</v>
          </cell>
          <cell r="G1610">
            <v>0</v>
          </cell>
          <cell r="H1610" t="str">
            <v>ROJO</v>
          </cell>
          <cell r="I1610" t="str">
            <v>U</v>
          </cell>
          <cell r="J1610" t="str">
            <v>M</v>
          </cell>
        </row>
        <row r="1611">
          <cell r="B1611" t="str">
            <v>MC020720115</v>
          </cell>
          <cell r="C1611" t="str">
            <v>MARRO CHICA</v>
          </cell>
          <cell r="D1611" t="str">
            <v>MONEDERO</v>
          </cell>
          <cell r="E1611" t="str">
            <v>MONEDERO CORY</v>
          </cell>
          <cell r="F1611" t="str">
            <v>NAPADO</v>
          </cell>
          <cell r="G1611">
            <v>0</v>
          </cell>
          <cell r="H1611" t="str">
            <v>MALBEC</v>
          </cell>
          <cell r="I1611" t="str">
            <v>U</v>
          </cell>
          <cell r="J1611" t="str">
            <v>M</v>
          </cell>
        </row>
        <row r="1612">
          <cell r="B1612" t="str">
            <v>MC020720305</v>
          </cell>
          <cell r="C1612" t="str">
            <v>MARRO CHICA</v>
          </cell>
          <cell r="D1612" t="str">
            <v>MONEDERO</v>
          </cell>
          <cell r="E1612" t="str">
            <v>MONEDERO CORY</v>
          </cell>
          <cell r="F1612" t="str">
            <v>BRIDGE</v>
          </cell>
          <cell r="G1612">
            <v>0</v>
          </cell>
          <cell r="H1612" t="str">
            <v>LONDON</v>
          </cell>
          <cell r="I1612" t="str">
            <v>U</v>
          </cell>
          <cell r="J1612" t="str">
            <v>M</v>
          </cell>
        </row>
        <row r="1613">
          <cell r="B1613" t="str">
            <v>MC020720701</v>
          </cell>
          <cell r="C1613" t="str">
            <v>MARRO CHICA</v>
          </cell>
          <cell r="D1613" t="str">
            <v>MONEDERO</v>
          </cell>
          <cell r="E1613" t="str">
            <v>MONEDERO CORY</v>
          </cell>
          <cell r="F1613" t="str">
            <v>IGUANA</v>
          </cell>
          <cell r="G1613">
            <v>0</v>
          </cell>
          <cell r="H1613" t="str">
            <v>NEGRO</v>
          </cell>
          <cell r="I1613" t="str">
            <v>U</v>
          </cell>
          <cell r="J1613" t="str">
            <v>M</v>
          </cell>
        </row>
        <row r="1614">
          <cell r="B1614" t="str">
            <v>MC020720703</v>
          </cell>
          <cell r="C1614" t="str">
            <v>MARRO CHICA</v>
          </cell>
          <cell r="D1614" t="str">
            <v>MONEDERO</v>
          </cell>
          <cell r="E1614" t="str">
            <v>MONEDERO CORY</v>
          </cell>
          <cell r="F1614" t="str">
            <v>IGUANA</v>
          </cell>
          <cell r="G1614">
            <v>0</v>
          </cell>
          <cell r="H1614" t="str">
            <v>CARAMELO</v>
          </cell>
          <cell r="I1614" t="str">
            <v>U</v>
          </cell>
          <cell r="J1614" t="str">
            <v>M</v>
          </cell>
        </row>
        <row r="1615">
          <cell r="B1615" t="str">
            <v>MC020720707</v>
          </cell>
          <cell r="C1615" t="str">
            <v>MARRO CHICA</v>
          </cell>
          <cell r="D1615" t="str">
            <v>MONEDERO</v>
          </cell>
          <cell r="E1615" t="str">
            <v>MONEDERO CORY</v>
          </cell>
          <cell r="F1615" t="str">
            <v>IGUANA</v>
          </cell>
          <cell r="G1615">
            <v>0</v>
          </cell>
          <cell r="H1615" t="str">
            <v>ROJO</v>
          </cell>
          <cell r="I1615" t="str">
            <v>U</v>
          </cell>
          <cell r="J1615" t="str">
            <v>M</v>
          </cell>
        </row>
        <row r="1616">
          <cell r="B1616" t="str">
            <v>MC020721201</v>
          </cell>
          <cell r="C1616" t="str">
            <v>MARRO CHICA</v>
          </cell>
          <cell r="D1616" t="str">
            <v>MONEDERO</v>
          </cell>
          <cell r="E1616" t="str">
            <v>MONEDERO CORY</v>
          </cell>
          <cell r="F1616" t="str">
            <v>DUNA</v>
          </cell>
          <cell r="G1616">
            <v>0</v>
          </cell>
          <cell r="H1616" t="str">
            <v>NEGRO</v>
          </cell>
          <cell r="I1616" t="str">
            <v>U</v>
          </cell>
          <cell r="J1616" t="str">
            <v>M</v>
          </cell>
        </row>
        <row r="1617">
          <cell r="B1617" t="str">
            <v>MC020723241</v>
          </cell>
          <cell r="C1617" t="str">
            <v>MARRO CHICA</v>
          </cell>
          <cell r="D1617" t="str">
            <v>MONEDERO</v>
          </cell>
          <cell r="E1617" t="str">
            <v>MONEDERO CORY</v>
          </cell>
          <cell r="F1617" t="str">
            <v>VINTAGE</v>
          </cell>
          <cell r="G1617">
            <v>0</v>
          </cell>
          <cell r="H1617" t="str">
            <v>LIGHT</v>
          </cell>
          <cell r="I1617" t="str">
            <v>U</v>
          </cell>
          <cell r="J1617" t="str">
            <v>M</v>
          </cell>
        </row>
        <row r="1618">
          <cell r="B1618" t="str">
            <v>MC020723242</v>
          </cell>
          <cell r="C1618" t="str">
            <v>MARRO CHICA</v>
          </cell>
          <cell r="D1618" t="str">
            <v>MONEDERO</v>
          </cell>
          <cell r="E1618" t="str">
            <v>MONEDERO CORY</v>
          </cell>
          <cell r="F1618" t="str">
            <v>VINTAGE</v>
          </cell>
          <cell r="G1618">
            <v>0</v>
          </cell>
          <cell r="H1618" t="str">
            <v>MEDIO</v>
          </cell>
          <cell r="I1618" t="str">
            <v>U</v>
          </cell>
          <cell r="J1618" t="str">
            <v>M</v>
          </cell>
        </row>
        <row r="1619">
          <cell r="B1619" t="str">
            <v>MC020723243</v>
          </cell>
          <cell r="C1619" t="str">
            <v>MARRO CHICA</v>
          </cell>
          <cell r="D1619" t="str">
            <v>MONEDERO</v>
          </cell>
          <cell r="E1619" t="str">
            <v>MONEDERO CORY</v>
          </cell>
          <cell r="F1619" t="str">
            <v>VINTAGE</v>
          </cell>
          <cell r="G1619">
            <v>0</v>
          </cell>
          <cell r="H1619" t="str">
            <v>DARK</v>
          </cell>
          <cell r="I1619" t="str">
            <v>U</v>
          </cell>
          <cell r="J1619" t="str">
            <v>M</v>
          </cell>
        </row>
        <row r="1620">
          <cell r="B1620" t="str">
            <v>MC020290101</v>
          </cell>
          <cell r="C1620" t="str">
            <v>MARRO CHICA</v>
          </cell>
          <cell r="D1620" t="str">
            <v>MONEDERO</v>
          </cell>
          <cell r="E1620" t="str">
            <v>MONEDERO GRACE</v>
          </cell>
          <cell r="F1620" t="str">
            <v>NAPADO</v>
          </cell>
          <cell r="G1620">
            <v>0</v>
          </cell>
          <cell r="H1620" t="str">
            <v>NEGRO</v>
          </cell>
          <cell r="I1620" t="str">
            <v>U</v>
          </cell>
          <cell r="J1620" t="str">
            <v>U</v>
          </cell>
        </row>
        <row r="1621">
          <cell r="B1621" t="str">
            <v>MC020290102</v>
          </cell>
          <cell r="C1621" t="str">
            <v>MARRO CHICA</v>
          </cell>
          <cell r="D1621" t="str">
            <v>MONEDERO</v>
          </cell>
          <cell r="E1621" t="str">
            <v>MONEDERO GRACE</v>
          </cell>
          <cell r="F1621" t="str">
            <v>NAPADO</v>
          </cell>
          <cell r="G1621">
            <v>0</v>
          </cell>
          <cell r="H1621" t="str">
            <v>SUELA</v>
          </cell>
          <cell r="I1621" t="str">
            <v>U</v>
          </cell>
          <cell r="J1621" t="str">
            <v>U</v>
          </cell>
        </row>
        <row r="1622">
          <cell r="B1622" t="str">
            <v>MC020290103</v>
          </cell>
          <cell r="C1622" t="str">
            <v>MARRO CHICA</v>
          </cell>
          <cell r="D1622" t="str">
            <v>MONEDERO</v>
          </cell>
          <cell r="E1622" t="str">
            <v>MONEDERO GRACE</v>
          </cell>
          <cell r="F1622" t="str">
            <v>NAPADO</v>
          </cell>
          <cell r="G1622">
            <v>0</v>
          </cell>
          <cell r="H1622" t="str">
            <v>CARAMELO</v>
          </cell>
          <cell r="I1622" t="str">
            <v>U</v>
          </cell>
          <cell r="J1622" t="str">
            <v>U</v>
          </cell>
        </row>
        <row r="1623">
          <cell r="B1623" t="str">
            <v>MC020290107</v>
          </cell>
          <cell r="C1623" t="str">
            <v>MARRO CHICA</v>
          </cell>
          <cell r="D1623" t="str">
            <v>MONEDERO</v>
          </cell>
          <cell r="E1623" t="str">
            <v>MONEDERO GRACE</v>
          </cell>
          <cell r="F1623" t="str">
            <v>NAPADO</v>
          </cell>
          <cell r="G1623">
            <v>0</v>
          </cell>
          <cell r="H1623" t="str">
            <v>ROJO</v>
          </cell>
          <cell r="I1623" t="str">
            <v>U</v>
          </cell>
          <cell r="J1623" t="str">
            <v>U</v>
          </cell>
        </row>
        <row r="1624">
          <cell r="B1624" t="str">
            <v>MC020290109</v>
          </cell>
          <cell r="C1624" t="str">
            <v>MARRO CHICA</v>
          </cell>
          <cell r="D1624" t="str">
            <v>MONEDERO</v>
          </cell>
          <cell r="E1624" t="str">
            <v>MONEDERO GRACE</v>
          </cell>
          <cell r="F1624" t="str">
            <v>NAPADO</v>
          </cell>
          <cell r="G1624">
            <v>0</v>
          </cell>
          <cell r="H1624" t="str">
            <v>AZUL</v>
          </cell>
          <cell r="I1624" t="str">
            <v>U</v>
          </cell>
          <cell r="J1624" t="str">
            <v>U</v>
          </cell>
        </row>
        <row r="1625">
          <cell r="B1625" t="str">
            <v>MC020290110</v>
          </cell>
          <cell r="C1625" t="str">
            <v>MARRO CHICA</v>
          </cell>
          <cell r="D1625" t="str">
            <v>MONEDERO</v>
          </cell>
          <cell r="E1625" t="str">
            <v>MONEDERO GRACE</v>
          </cell>
          <cell r="F1625" t="str">
            <v>NAPADO</v>
          </cell>
          <cell r="G1625">
            <v>0</v>
          </cell>
          <cell r="H1625" t="str">
            <v>VERDE</v>
          </cell>
          <cell r="I1625" t="str">
            <v>U</v>
          </cell>
          <cell r="J1625" t="str">
            <v>U</v>
          </cell>
        </row>
        <row r="1626">
          <cell r="B1626" t="str">
            <v>MC020290301</v>
          </cell>
          <cell r="C1626" t="str">
            <v>MARRO CHICA</v>
          </cell>
          <cell r="D1626" t="str">
            <v>MONEDERO</v>
          </cell>
          <cell r="E1626" t="str">
            <v>MONEDERO GRACE</v>
          </cell>
          <cell r="F1626" t="str">
            <v>BRIDGE</v>
          </cell>
          <cell r="G1626">
            <v>0</v>
          </cell>
          <cell r="H1626" t="str">
            <v>NEGRO</v>
          </cell>
          <cell r="I1626" t="str">
            <v>U</v>
          </cell>
          <cell r="J1626" t="str">
            <v>U</v>
          </cell>
        </row>
        <row r="1627">
          <cell r="B1627" t="str">
            <v>MC020290302</v>
          </cell>
          <cell r="C1627" t="str">
            <v>MARRO CHICA</v>
          </cell>
          <cell r="D1627" t="str">
            <v>MONEDERO</v>
          </cell>
          <cell r="E1627" t="str">
            <v>MONEDERO GRACE</v>
          </cell>
          <cell r="F1627" t="str">
            <v>BRIDGE</v>
          </cell>
          <cell r="G1627">
            <v>0</v>
          </cell>
          <cell r="H1627" t="str">
            <v>SUELA</v>
          </cell>
          <cell r="I1627" t="str">
            <v>U</v>
          </cell>
          <cell r="J1627" t="str">
            <v>U</v>
          </cell>
        </row>
        <row r="1628">
          <cell r="B1628" t="str">
            <v>MC020290303</v>
          </cell>
          <cell r="C1628" t="str">
            <v>MARRO CHICA</v>
          </cell>
          <cell r="D1628" t="str">
            <v>MONEDERO</v>
          </cell>
          <cell r="E1628" t="str">
            <v>MONEDERO GRACE</v>
          </cell>
          <cell r="F1628" t="str">
            <v>BRIDGE</v>
          </cell>
          <cell r="G1628">
            <v>0</v>
          </cell>
          <cell r="H1628" t="str">
            <v>CARAMELO</v>
          </cell>
          <cell r="I1628" t="str">
            <v>U</v>
          </cell>
          <cell r="J1628" t="str">
            <v>U</v>
          </cell>
        </row>
        <row r="1629">
          <cell r="B1629" t="str">
            <v>MC020290307</v>
          </cell>
          <cell r="C1629" t="str">
            <v>MARRO CHICA</v>
          </cell>
          <cell r="D1629" t="str">
            <v>MONEDERO</v>
          </cell>
          <cell r="E1629" t="str">
            <v>MONEDERO GRACE</v>
          </cell>
          <cell r="F1629" t="str">
            <v>BRIDGE</v>
          </cell>
          <cell r="G1629">
            <v>0</v>
          </cell>
          <cell r="H1629" t="str">
            <v>ROJO</v>
          </cell>
          <cell r="I1629" t="str">
            <v>U</v>
          </cell>
          <cell r="J1629" t="str">
            <v>U</v>
          </cell>
        </row>
        <row r="1630">
          <cell r="B1630" t="str">
            <v>MC020290309</v>
          </cell>
          <cell r="C1630" t="str">
            <v>MARRO CHICA</v>
          </cell>
          <cell r="D1630" t="str">
            <v>MONEDERO</v>
          </cell>
          <cell r="E1630" t="str">
            <v>MONEDERO GRACE</v>
          </cell>
          <cell r="F1630" t="str">
            <v>BRIDGE</v>
          </cell>
          <cell r="G1630">
            <v>0</v>
          </cell>
          <cell r="H1630" t="str">
            <v>AZUL</v>
          </cell>
          <cell r="I1630" t="str">
            <v>U</v>
          </cell>
          <cell r="J1630" t="str">
            <v>U</v>
          </cell>
        </row>
        <row r="1631">
          <cell r="B1631" t="str">
            <v>MC020290310</v>
          </cell>
          <cell r="C1631" t="str">
            <v>MARRO CHICA</v>
          </cell>
          <cell r="D1631" t="str">
            <v>MONEDERO</v>
          </cell>
          <cell r="E1631" t="str">
            <v>MONEDERO GRACE</v>
          </cell>
          <cell r="F1631" t="str">
            <v>BRIDGE</v>
          </cell>
          <cell r="G1631">
            <v>0</v>
          </cell>
          <cell r="H1631" t="str">
            <v>VERDE</v>
          </cell>
          <cell r="I1631" t="str">
            <v>U</v>
          </cell>
          <cell r="J1631" t="str">
            <v>U</v>
          </cell>
        </row>
        <row r="1632">
          <cell r="B1632" t="str">
            <v>MC020290315</v>
          </cell>
          <cell r="C1632" t="str">
            <v>MARRO CHICA</v>
          </cell>
          <cell r="D1632" t="str">
            <v>MONEDERO</v>
          </cell>
          <cell r="E1632" t="str">
            <v>MONEDERO GRACE</v>
          </cell>
          <cell r="F1632" t="str">
            <v>BRIDGE</v>
          </cell>
          <cell r="G1632">
            <v>0</v>
          </cell>
          <cell r="H1632" t="str">
            <v>MALBEC</v>
          </cell>
          <cell r="I1632" t="str">
            <v>U</v>
          </cell>
          <cell r="J1632" t="str">
            <v>U</v>
          </cell>
        </row>
        <row r="1633">
          <cell r="B1633" t="str">
            <v>MC020290701</v>
          </cell>
          <cell r="C1633" t="str">
            <v>MARRO CHICA</v>
          </cell>
          <cell r="D1633" t="str">
            <v>MONEDERO</v>
          </cell>
          <cell r="E1633" t="str">
            <v>MONEDERO GRACE</v>
          </cell>
          <cell r="F1633" t="str">
            <v>IGUANA</v>
          </cell>
          <cell r="G1633">
            <v>0</v>
          </cell>
          <cell r="H1633" t="str">
            <v>NEGRO</v>
          </cell>
          <cell r="I1633" t="str">
            <v>U</v>
          </cell>
          <cell r="J1633" t="str">
            <v>U</v>
          </cell>
        </row>
        <row r="1634">
          <cell r="B1634" t="str">
            <v>MC020290703</v>
          </cell>
          <cell r="C1634" t="str">
            <v>MARRO CHICA</v>
          </cell>
          <cell r="D1634" t="str">
            <v>MONEDERO</v>
          </cell>
          <cell r="E1634" t="str">
            <v>MONEDERO GRACE</v>
          </cell>
          <cell r="F1634" t="str">
            <v>IGUANA</v>
          </cell>
          <cell r="G1634">
            <v>0</v>
          </cell>
          <cell r="H1634" t="str">
            <v>CARAMELO</v>
          </cell>
          <cell r="I1634" t="str">
            <v>U</v>
          </cell>
          <cell r="J1634" t="str">
            <v>U</v>
          </cell>
        </row>
        <row r="1635">
          <cell r="B1635" t="str">
            <v>MC020290707</v>
          </cell>
          <cell r="C1635" t="str">
            <v>MARRO CHICA</v>
          </cell>
          <cell r="D1635" t="str">
            <v>MONEDERO</v>
          </cell>
          <cell r="E1635" t="str">
            <v>MONEDERO GRACE</v>
          </cell>
          <cell r="F1635" t="str">
            <v>IGUANA</v>
          </cell>
          <cell r="G1635">
            <v>0</v>
          </cell>
          <cell r="H1635" t="str">
            <v>ROJO</v>
          </cell>
          <cell r="I1635" t="str">
            <v>U</v>
          </cell>
          <cell r="J1635" t="str">
            <v>U</v>
          </cell>
        </row>
        <row r="1636">
          <cell r="B1636" t="str">
            <v>MC020290709</v>
          </cell>
          <cell r="C1636" t="str">
            <v>MARRO CHICA</v>
          </cell>
          <cell r="D1636" t="str">
            <v>MONEDERO</v>
          </cell>
          <cell r="E1636" t="str">
            <v>MONEDERO GRACE</v>
          </cell>
          <cell r="F1636" t="str">
            <v>IGUANA</v>
          </cell>
          <cell r="G1636">
            <v>0</v>
          </cell>
          <cell r="H1636" t="str">
            <v>AZUL</v>
          </cell>
          <cell r="I1636" t="str">
            <v>U</v>
          </cell>
          <cell r="J1636" t="str">
            <v>U</v>
          </cell>
        </row>
        <row r="1637">
          <cell r="B1637" t="str">
            <v>MC020290710</v>
          </cell>
          <cell r="C1637" t="str">
            <v>MARRO CHICA</v>
          </cell>
          <cell r="D1637" t="str">
            <v>MONEDERO</v>
          </cell>
          <cell r="E1637" t="str">
            <v>MONEDERO GRACE</v>
          </cell>
          <cell r="F1637" t="str">
            <v>IGUANA</v>
          </cell>
          <cell r="G1637">
            <v>0</v>
          </cell>
          <cell r="H1637" t="str">
            <v>VERDE</v>
          </cell>
          <cell r="I1637" t="str">
            <v>U</v>
          </cell>
          <cell r="J1637" t="str">
            <v>U</v>
          </cell>
        </row>
        <row r="1638">
          <cell r="B1638" t="str">
            <v>MC020293241</v>
          </cell>
          <cell r="C1638" t="str">
            <v>MARRO CHICA</v>
          </cell>
          <cell r="D1638" t="str">
            <v>MONEDERO</v>
          </cell>
          <cell r="E1638" t="str">
            <v>MONEDERO GRACE</v>
          </cell>
          <cell r="F1638" t="str">
            <v>VINTAGE</v>
          </cell>
          <cell r="G1638">
            <v>0</v>
          </cell>
          <cell r="H1638" t="str">
            <v>LIGHT</v>
          </cell>
          <cell r="I1638" t="str">
            <v>U</v>
          </cell>
          <cell r="J1638" t="str">
            <v>U</v>
          </cell>
        </row>
        <row r="1639">
          <cell r="B1639" t="str">
            <v>MC020293242</v>
          </cell>
          <cell r="C1639" t="str">
            <v>MARRO CHICA</v>
          </cell>
          <cell r="D1639" t="str">
            <v>MONEDERO</v>
          </cell>
          <cell r="E1639" t="str">
            <v>MONEDERO GRACE</v>
          </cell>
          <cell r="F1639" t="str">
            <v>VINTAGE</v>
          </cell>
          <cell r="G1639">
            <v>0</v>
          </cell>
          <cell r="H1639" t="str">
            <v>MEDIO</v>
          </cell>
          <cell r="I1639" t="str">
            <v>U</v>
          </cell>
          <cell r="J1639" t="str">
            <v>U</v>
          </cell>
        </row>
        <row r="1640">
          <cell r="B1640" t="str">
            <v>MC020293243</v>
          </cell>
          <cell r="C1640" t="str">
            <v>MARRO CHICA</v>
          </cell>
          <cell r="D1640" t="str">
            <v>MONEDERO</v>
          </cell>
          <cell r="E1640" t="str">
            <v>MONEDERO GRACE</v>
          </cell>
          <cell r="F1640" t="str">
            <v>VINTAGE</v>
          </cell>
          <cell r="G1640">
            <v>0</v>
          </cell>
          <cell r="H1640" t="str">
            <v>DARK</v>
          </cell>
          <cell r="I1640" t="str">
            <v>U</v>
          </cell>
          <cell r="J1640" t="str">
            <v>U</v>
          </cell>
        </row>
        <row r="1641">
          <cell r="B1641" t="str">
            <v>MC020790103</v>
          </cell>
          <cell r="C1641" t="str">
            <v>MARRO CHICA</v>
          </cell>
          <cell r="D1641" t="str">
            <v>MONEDERO</v>
          </cell>
          <cell r="E1641" t="str">
            <v>MONEDERO LUISA</v>
          </cell>
          <cell r="F1641" t="str">
            <v>NAPADO</v>
          </cell>
          <cell r="G1641">
            <v>0</v>
          </cell>
          <cell r="H1641" t="str">
            <v xml:space="preserve">CARAMELO </v>
          </cell>
          <cell r="I1641" t="str">
            <v>U</v>
          </cell>
          <cell r="J1641" t="str">
            <v>M</v>
          </cell>
        </row>
        <row r="1642">
          <cell r="B1642" t="str">
            <v>MC020790301</v>
          </cell>
          <cell r="C1642" t="str">
            <v>MARRO CHICA</v>
          </cell>
          <cell r="D1642" t="str">
            <v>MONEDERO</v>
          </cell>
          <cell r="E1642" t="str">
            <v>MONEDERO LUISA</v>
          </cell>
          <cell r="F1642" t="str">
            <v>BRIDGE</v>
          </cell>
          <cell r="G1642">
            <v>0</v>
          </cell>
          <cell r="H1642" t="str">
            <v>NEGRO</v>
          </cell>
          <cell r="I1642" t="str">
            <v>U</v>
          </cell>
          <cell r="J1642" t="str">
            <v>M</v>
          </cell>
        </row>
        <row r="1643">
          <cell r="B1643" t="str">
            <v>MC020790304</v>
          </cell>
          <cell r="C1643" t="str">
            <v>MARRO CHICA</v>
          </cell>
          <cell r="D1643" t="str">
            <v>MONEDERO</v>
          </cell>
          <cell r="E1643" t="str">
            <v>MONEDERO LUISA</v>
          </cell>
          <cell r="F1643" t="str">
            <v>BRIDGE</v>
          </cell>
          <cell r="G1643">
            <v>0</v>
          </cell>
          <cell r="H1643" t="str">
            <v>TABACO</v>
          </cell>
          <cell r="I1643" t="str">
            <v>U</v>
          </cell>
          <cell r="J1643" t="str">
            <v>M</v>
          </cell>
        </row>
        <row r="1644">
          <cell r="B1644" t="str">
            <v>MC020790307</v>
          </cell>
          <cell r="C1644" t="str">
            <v>MARRO CHICA</v>
          </cell>
          <cell r="D1644" t="str">
            <v>MONEDERO</v>
          </cell>
          <cell r="E1644" t="str">
            <v>MONEDERO LUISA</v>
          </cell>
          <cell r="F1644" t="str">
            <v>BRIDGE</v>
          </cell>
          <cell r="G1644">
            <v>0</v>
          </cell>
          <cell r="H1644" t="str">
            <v>ROJO</v>
          </cell>
          <cell r="I1644" t="str">
            <v>U</v>
          </cell>
          <cell r="J1644" t="str">
            <v>M</v>
          </cell>
        </row>
        <row r="1645">
          <cell r="B1645" t="str">
            <v>MC020790315</v>
          </cell>
          <cell r="C1645" t="str">
            <v>MARRO CHICA</v>
          </cell>
          <cell r="D1645" t="str">
            <v>MONEDERO</v>
          </cell>
          <cell r="E1645" t="str">
            <v>MONEDERO LUISA</v>
          </cell>
          <cell r="F1645" t="str">
            <v>BRIDGE</v>
          </cell>
          <cell r="G1645">
            <v>0</v>
          </cell>
          <cell r="H1645" t="str">
            <v>MALBEC</v>
          </cell>
          <cell r="I1645" t="str">
            <v>U</v>
          </cell>
          <cell r="J1645" t="str">
            <v>M</v>
          </cell>
        </row>
        <row r="1646">
          <cell r="B1646" t="str">
            <v>MC020050101</v>
          </cell>
          <cell r="C1646" t="str">
            <v>MARRO CHICA</v>
          </cell>
          <cell r="D1646" t="str">
            <v>MONEDERO</v>
          </cell>
          <cell r="E1646" t="str">
            <v>MONEDERO MARIA</v>
          </cell>
          <cell r="F1646" t="str">
            <v>NAPADO</v>
          </cell>
          <cell r="G1646">
            <v>0</v>
          </cell>
          <cell r="H1646" t="str">
            <v>NEGRO</v>
          </cell>
          <cell r="I1646" t="str">
            <v>U</v>
          </cell>
          <cell r="J1646" t="str">
            <v>M</v>
          </cell>
        </row>
        <row r="1647">
          <cell r="B1647" t="str">
            <v>MC020050102</v>
          </cell>
          <cell r="C1647" t="str">
            <v>MARRO CHICA</v>
          </cell>
          <cell r="D1647" t="str">
            <v>MONEDERO</v>
          </cell>
          <cell r="E1647" t="str">
            <v>MONEDERO MARIA</v>
          </cell>
          <cell r="F1647" t="str">
            <v>NAPADO</v>
          </cell>
          <cell r="G1647">
            <v>0</v>
          </cell>
          <cell r="H1647" t="str">
            <v>SUELA</v>
          </cell>
          <cell r="I1647" t="str">
            <v>U</v>
          </cell>
          <cell r="J1647" t="str">
            <v>M</v>
          </cell>
        </row>
        <row r="1648">
          <cell r="B1648" t="str">
            <v>MC020050301</v>
          </cell>
          <cell r="C1648" t="str">
            <v>MARRO CHICA</v>
          </cell>
          <cell r="D1648" t="str">
            <v>MONEDERO</v>
          </cell>
          <cell r="E1648" t="str">
            <v>MONEDERO MARIA</v>
          </cell>
          <cell r="F1648" t="str">
            <v>BRIDGE</v>
          </cell>
          <cell r="G1648">
            <v>0</v>
          </cell>
          <cell r="H1648" t="str">
            <v>NEGRO</v>
          </cell>
          <cell r="I1648" t="str">
            <v>U</v>
          </cell>
          <cell r="J1648" t="str">
            <v>M</v>
          </cell>
        </row>
        <row r="1649">
          <cell r="B1649" t="str">
            <v>MC020050303</v>
          </cell>
          <cell r="C1649" t="str">
            <v>MARRO CHICA</v>
          </cell>
          <cell r="D1649" t="str">
            <v>MONEDERO</v>
          </cell>
          <cell r="E1649" t="str">
            <v>MONEDERO MARIA</v>
          </cell>
          <cell r="F1649" t="str">
            <v>BRIDGE</v>
          </cell>
          <cell r="G1649">
            <v>0</v>
          </cell>
          <cell r="H1649" t="str">
            <v>CARAMELO</v>
          </cell>
          <cell r="I1649" t="str">
            <v>U</v>
          </cell>
          <cell r="J1649" t="str">
            <v>M</v>
          </cell>
        </row>
        <row r="1650">
          <cell r="B1650" t="str">
            <v>MC020050304</v>
          </cell>
          <cell r="C1650" t="str">
            <v>MARRO CHICA</v>
          </cell>
          <cell r="D1650" t="str">
            <v>MONEDERO</v>
          </cell>
          <cell r="E1650" t="str">
            <v>MONEDERO MARIA</v>
          </cell>
          <cell r="F1650" t="str">
            <v>BRIDGE</v>
          </cell>
          <cell r="G1650">
            <v>0</v>
          </cell>
          <cell r="H1650" t="str">
            <v>TABACO</v>
          </cell>
          <cell r="I1650" t="str">
            <v>U</v>
          </cell>
          <cell r="J1650" t="str">
            <v>M</v>
          </cell>
        </row>
        <row r="1651">
          <cell r="B1651" t="str">
            <v>MC020050307</v>
          </cell>
          <cell r="C1651" t="str">
            <v>MARRO CHICA</v>
          </cell>
          <cell r="D1651" t="str">
            <v>MONEDERO</v>
          </cell>
          <cell r="E1651" t="str">
            <v>MONEDERO MARIA</v>
          </cell>
          <cell r="F1651" t="str">
            <v>BRIDGE</v>
          </cell>
          <cell r="G1651">
            <v>0</v>
          </cell>
          <cell r="H1651" t="str">
            <v>ROJO</v>
          </cell>
          <cell r="I1651" t="str">
            <v>U</v>
          </cell>
          <cell r="J1651" t="str">
            <v>M</v>
          </cell>
        </row>
        <row r="1652">
          <cell r="B1652" t="str">
            <v>MC020050309</v>
          </cell>
          <cell r="C1652" t="str">
            <v>MARRO CHICA</v>
          </cell>
          <cell r="D1652" t="str">
            <v>MONEDERO</v>
          </cell>
          <cell r="E1652" t="str">
            <v>MONEDERO MARIA</v>
          </cell>
          <cell r="F1652" t="str">
            <v>BRIDGE</v>
          </cell>
          <cell r="G1652">
            <v>0</v>
          </cell>
          <cell r="H1652" t="str">
            <v>AZUL</v>
          </cell>
          <cell r="I1652" t="str">
            <v>U</v>
          </cell>
          <cell r="J1652" t="str">
            <v>M</v>
          </cell>
        </row>
        <row r="1653">
          <cell r="B1653" t="str">
            <v>MC020050310</v>
          </cell>
          <cell r="C1653" t="str">
            <v>MARRO CHICA</v>
          </cell>
          <cell r="D1653" t="str">
            <v>MONEDERO</v>
          </cell>
          <cell r="E1653" t="str">
            <v>MONEDERO MARIA</v>
          </cell>
          <cell r="F1653" t="str">
            <v>BRIDGE</v>
          </cell>
          <cell r="G1653">
            <v>0</v>
          </cell>
          <cell r="H1653" t="str">
            <v>VERDE</v>
          </cell>
          <cell r="I1653" t="str">
            <v>U</v>
          </cell>
          <cell r="J1653" t="str">
            <v>M</v>
          </cell>
        </row>
        <row r="1654">
          <cell r="B1654" t="str">
            <v>MC020050401</v>
          </cell>
          <cell r="C1654" t="str">
            <v>MARRO CHICA</v>
          </cell>
          <cell r="D1654" t="str">
            <v>MONEDERO</v>
          </cell>
          <cell r="E1654" t="str">
            <v>MONEDERO MARIA</v>
          </cell>
          <cell r="F1654" t="str">
            <v>VAQUETA</v>
          </cell>
          <cell r="G1654">
            <v>0</v>
          </cell>
          <cell r="H1654" t="str">
            <v>NEGRO</v>
          </cell>
          <cell r="I1654" t="str">
            <v>U</v>
          </cell>
          <cell r="J1654" t="str">
            <v>M</v>
          </cell>
        </row>
        <row r="1655">
          <cell r="B1655" t="str">
            <v>MC020050402</v>
          </cell>
          <cell r="C1655" t="str">
            <v>MARRO CHICA</v>
          </cell>
          <cell r="D1655" t="str">
            <v>MONEDERO</v>
          </cell>
          <cell r="E1655" t="str">
            <v>MONEDERO MARIA</v>
          </cell>
          <cell r="F1655" t="str">
            <v>VAQUETA</v>
          </cell>
          <cell r="G1655">
            <v>0</v>
          </cell>
          <cell r="H1655" t="str">
            <v>SUELA</v>
          </cell>
          <cell r="I1655" t="str">
            <v>U</v>
          </cell>
          <cell r="J1655" t="str">
            <v>M</v>
          </cell>
        </row>
        <row r="1656">
          <cell r="B1656" t="str">
            <v>MC020050405</v>
          </cell>
          <cell r="C1656" t="str">
            <v>MARRO CHICA</v>
          </cell>
          <cell r="D1656" t="str">
            <v>MONEDERO</v>
          </cell>
          <cell r="E1656" t="str">
            <v>MONEDERO MARIA</v>
          </cell>
          <cell r="F1656" t="str">
            <v>VAQUETA</v>
          </cell>
          <cell r="G1656">
            <v>0</v>
          </cell>
          <cell r="H1656" t="str">
            <v>LONDON</v>
          </cell>
          <cell r="I1656" t="str">
            <v>U</v>
          </cell>
          <cell r="J1656" t="str">
            <v>M</v>
          </cell>
        </row>
        <row r="1657">
          <cell r="B1657" t="str">
            <v>MG010240201</v>
          </cell>
          <cell r="C1657" t="str">
            <v>MARRO GRANDE</v>
          </cell>
          <cell r="D1657" t="str">
            <v>MORRAL</v>
          </cell>
          <cell r="E1657" t="str">
            <v>MORRAL ADI VINTAGE</v>
          </cell>
          <cell r="F1657" t="str">
            <v>TAMPONATO</v>
          </cell>
          <cell r="G1657">
            <v>0</v>
          </cell>
          <cell r="H1657" t="str">
            <v>NEGRO</v>
          </cell>
          <cell r="I1657" t="str">
            <v>U</v>
          </cell>
          <cell r="J1657" t="str">
            <v>H</v>
          </cell>
        </row>
        <row r="1658">
          <cell r="B1658" t="str">
            <v>MG010240202</v>
          </cell>
          <cell r="C1658" t="str">
            <v>MARRO GRANDE</v>
          </cell>
          <cell r="D1658" t="str">
            <v>MORRAL</v>
          </cell>
          <cell r="E1658" t="str">
            <v>MORRAL ADI VINTAGE</v>
          </cell>
          <cell r="F1658" t="str">
            <v>TAMPONATO</v>
          </cell>
          <cell r="G1658">
            <v>0</v>
          </cell>
          <cell r="H1658" t="str">
            <v>SUELA</v>
          </cell>
          <cell r="I1658" t="str">
            <v>U</v>
          </cell>
          <cell r="J1658" t="str">
            <v>H</v>
          </cell>
        </row>
        <row r="1659">
          <cell r="B1659" t="str">
            <v>MG010240301</v>
          </cell>
          <cell r="C1659" t="str">
            <v>MARRO GRANDE</v>
          </cell>
          <cell r="D1659" t="str">
            <v>MORRAL</v>
          </cell>
          <cell r="E1659" t="str">
            <v>MORRAL ADI VINTAGE</v>
          </cell>
          <cell r="F1659" t="str">
            <v>BRIDGE</v>
          </cell>
          <cell r="G1659">
            <v>0</v>
          </cell>
          <cell r="H1659" t="str">
            <v>NEGRO</v>
          </cell>
          <cell r="I1659" t="str">
            <v>U</v>
          </cell>
          <cell r="J1659" t="str">
            <v>H</v>
          </cell>
        </row>
        <row r="1660">
          <cell r="B1660" t="str">
            <v>MG010240303</v>
          </cell>
          <cell r="C1660" t="str">
            <v>MARRO GRANDE</v>
          </cell>
          <cell r="D1660" t="str">
            <v>MORRAL</v>
          </cell>
          <cell r="E1660" t="str">
            <v>MORRAL ADI VINTAGE</v>
          </cell>
          <cell r="F1660" t="str">
            <v>BRIDGE</v>
          </cell>
          <cell r="G1660">
            <v>0</v>
          </cell>
          <cell r="H1660" t="str">
            <v>CARAMELO</v>
          </cell>
          <cell r="I1660" t="str">
            <v>U</v>
          </cell>
          <cell r="J1660" t="str">
            <v>H</v>
          </cell>
        </row>
        <row r="1661">
          <cell r="B1661" t="str">
            <v>MG010240304</v>
          </cell>
          <cell r="C1661" t="str">
            <v>MARRO GRANDE</v>
          </cell>
          <cell r="D1661" t="str">
            <v>MORRAL</v>
          </cell>
          <cell r="E1661" t="str">
            <v>MORRAL ADI VINTAGE</v>
          </cell>
          <cell r="F1661" t="str">
            <v>BRIDGE</v>
          </cell>
          <cell r="G1661">
            <v>0</v>
          </cell>
          <cell r="H1661" t="str">
            <v>TABACO</v>
          </cell>
          <cell r="I1661" t="str">
            <v>U</v>
          </cell>
          <cell r="J1661" t="str">
            <v>H</v>
          </cell>
        </row>
        <row r="1662">
          <cell r="B1662" t="str">
            <v>MG010270301</v>
          </cell>
          <cell r="C1662" t="str">
            <v>MARRO GRANDE</v>
          </cell>
          <cell r="D1662" t="str">
            <v>MORRAL</v>
          </cell>
          <cell r="E1662" t="str">
            <v>MORRAL ANGOSTO</v>
          </cell>
          <cell r="F1662" t="str">
            <v>BRIDGE</v>
          </cell>
          <cell r="G1662">
            <v>0</v>
          </cell>
          <cell r="H1662" t="str">
            <v>NEGRO</v>
          </cell>
          <cell r="I1662" t="str">
            <v>U</v>
          </cell>
          <cell r="J1662" t="str">
            <v>H</v>
          </cell>
        </row>
        <row r="1663">
          <cell r="B1663" t="str">
            <v>MG010270303</v>
          </cell>
          <cell r="C1663" t="str">
            <v>MARRO GRANDE</v>
          </cell>
          <cell r="D1663" t="str">
            <v>MORRAL</v>
          </cell>
          <cell r="E1663" t="str">
            <v>MORRAL ANGOSTO</v>
          </cell>
          <cell r="F1663" t="str">
            <v>BRIDGE</v>
          </cell>
          <cell r="G1663">
            <v>0</v>
          </cell>
          <cell r="H1663" t="str">
            <v>CARAMELO</v>
          </cell>
          <cell r="I1663" t="str">
            <v>U</v>
          </cell>
          <cell r="J1663" t="str">
            <v>H</v>
          </cell>
        </row>
        <row r="1664">
          <cell r="B1664" t="str">
            <v>MG010270304</v>
          </cell>
          <cell r="C1664" t="str">
            <v>MARRO GRANDE</v>
          </cell>
          <cell r="D1664" t="str">
            <v>MORRAL</v>
          </cell>
          <cell r="E1664" t="str">
            <v>MORRAL ANGOSTO</v>
          </cell>
          <cell r="F1664" t="str">
            <v>BRIDGE</v>
          </cell>
          <cell r="G1664">
            <v>0</v>
          </cell>
          <cell r="H1664" t="str">
            <v>TABACO</v>
          </cell>
          <cell r="I1664" t="str">
            <v>U</v>
          </cell>
          <cell r="J1664" t="str">
            <v>H</v>
          </cell>
        </row>
        <row r="1665">
          <cell r="B1665" t="str">
            <v>MG010270309</v>
          </cell>
          <cell r="C1665" t="str">
            <v>MARRO GRANDE</v>
          </cell>
          <cell r="D1665" t="str">
            <v>MORRAL</v>
          </cell>
          <cell r="E1665" t="str">
            <v>MORRAL ANGOSTO</v>
          </cell>
          <cell r="F1665" t="str">
            <v>BRIDGE</v>
          </cell>
          <cell r="G1665">
            <v>0</v>
          </cell>
          <cell r="H1665" t="str">
            <v>AZUL</v>
          </cell>
          <cell r="I1665" t="str">
            <v>U</v>
          </cell>
          <cell r="J1665" t="str">
            <v>H</v>
          </cell>
        </row>
        <row r="1666">
          <cell r="B1666" t="str">
            <v>MG010270352</v>
          </cell>
          <cell r="C1666" t="str">
            <v>MARRO GRANDE</v>
          </cell>
          <cell r="D1666" t="str">
            <v>MORRAL</v>
          </cell>
          <cell r="E1666" t="str">
            <v>MORRAL ANGOSTO</v>
          </cell>
          <cell r="F1666" t="str">
            <v>BRIDGE</v>
          </cell>
          <cell r="G1666">
            <v>0</v>
          </cell>
          <cell r="H1666" t="str">
            <v>CHOCOLATE</v>
          </cell>
          <cell r="I1666" t="str">
            <v>U</v>
          </cell>
          <cell r="J1666" t="str">
            <v>H</v>
          </cell>
        </row>
        <row r="1667">
          <cell r="B1667" t="str">
            <v>MG010270550-01</v>
          </cell>
          <cell r="C1667" t="str">
            <v>MARRO GRANDE</v>
          </cell>
          <cell r="D1667" t="str">
            <v>MORRAL</v>
          </cell>
          <cell r="E1667" t="str">
            <v>MORRAL ANGOSTO</v>
          </cell>
          <cell r="F1667" t="str">
            <v>GAMUZA</v>
          </cell>
          <cell r="G1667">
            <v>0</v>
          </cell>
          <cell r="H1667" t="str">
            <v>VESUBIO/NEGRO</v>
          </cell>
          <cell r="I1667" t="str">
            <v>U</v>
          </cell>
          <cell r="J1667" t="str">
            <v>H</v>
          </cell>
        </row>
        <row r="1668">
          <cell r="B1668" t="str">
            <v>MG010270550-4</v>
          </cell>
          <cell r="C1668" t="str">
            <v>MARRO GRANDE</v>
          </cell>
          <cell r="D1668" t="str">
            <v>MORRAL</v>
          </cell>
          <cell r="E1668" t="str">
            <v>MORRAL ANGOSTO</v>
          </cell>
          <cell r="F1668" t="str">
            <v>GAMUZA</v>
          </cell>
          <cell r="G1668">
            <v>0</v>
          </cell>
          <cell r="H1668" t="str">
            <v>VESUBIO/TABACO</v>
          </cell>
          <cell r="I1668" t="str">
            <v>U</v>
          </cell>
          <cell r="J1668" t="str">
            <v>H</v>
          </cell>
        </row>
        <row r="1669">
          <cell r="B1669" t="str">
            <v>MG010270552</v>
          </cell>
          <cell r="C1669" t="str">
            <v>MARRO GRANDE</v>
          </cell>
          <cell r="D1669" t="str">
            <v>MORRAL</v>
          </cell>
          <cell r="E1669" t="str">
            <v>MORRAL ANGOSTO</v>
          </cell>
          <cell r="F1669" t="str">
            <v>GAMUZA</v>
          </cell>
          <cell r="G1669">
            <v>0</v>
          </cell>
          <cell r="H1669" t="str">
            <v>CHOCOLATE</v>
          </cell>
          <cell r="I1669" t="str">
            <v>U</v>
          </cell>
          <cell r="J1669" t="str">
            <v>H</v>
          </cell>
        </row>
        <row r="1670">
          <cell r="B1670" t="str">
            <v>MG010270558-4</v>
          </cell>
          <cell r="C1670" t="str">
            <v>MARRO GRANDE</v>
          </cell>
          <cell r="D1670" t="str">
            <v>MORRAL</v>
          </cell>
          <cell r="E1670" t="str">
            <v>MORRAL ANGOSTO</v>
          </cell>
          <cell r="F1670" t="str">
            <v>GAMUZA</v>
          </cell>
          <cell r="G1670">
            <v>0</v>
          </cell>
          <cell r="H1670" t="str">
            <v>CAFE/TABACO</v>
          </cell>
          <cell r="I1670" t="str">
            <v>U</v>
          </cell>
          <cell r="J1670" t="str">
            <v>H</v>
          </cell>
        </row>
        <row r="1671">
          <cell r="B1671" t="str">
            <v>MG010370101</v>
          </cell>
          <cell r="C1671" t="str">
            <v>MARRO GRANDE</v>
          </cell>
          <cell r="D1671" t="str">
            <v>BANDOLERA</v>
          </cell>
          <cell r="E1671" t="str">
            <v>MORRAL BERLIN</v>
          </cell>
          <cell r="F1671" t="str">
            <v>NAPADO</v>
          </cell>
          <cell r="G1671">
            <v>0</v>
          </cell>
          <cell r="H1671" t="str">
            <v>NEGRO</v>
          </cell>
          <cell r="I1671" t="str">
            <v>U</v>
          </cell>
          <cell r="J1671" t="str">
            <v>H</v>
          </cell>
        </row>
        <row r="1672">
          <cell r="B1672" t="str">
            <v>MG010370201</v>
          </cell>
          <cell r="C1672" t="str">
            <v>MARRO GRANDE</v>
          </cell>
          <cell r="D1672" t="str">
            <v>BANDOLERA</v>
          </cell>
          <cell r="E1672" t="str">
            <v>MORRAL BERLIN</v>
          </cell>
          <cell r="F1672" t="str">
            <v>TAMPONATO</v>
          </cell>
          <cell r="G1672">
            <v>0</v>
          </cell>
          <cell r="H1672" t="str">
            <v>NEGRO</v>
          </cell>
          <cell r="I1672" t="str">
            <v>U</v>
          </cell>
          <cell r="J1672" t="str">
            <v>H</v>
          </cell>
        </row>
        <row r="1673">
          <cell r="B1673" t="str">
            <v>MG010370202</v>
          </cell>
          <cell r="C1673" t="str">
            <v>MARRO GRANDE</v>
          </cell>
          <cell r="D1673" t="str">
            <v>BANDOLERA</v>
          </cell>
          <cell r="E1673" t="str">
            <v>MORRAL BERLIN</v>
          </cell>
          <cell r="F1673" t="str">
            <v>TAMPONATO</v>
          </cell>
          <cell r="G1673">
            <v>0</v>
          </cell>
          <cell r="H1673" t="str">
            <v>SUELA</v>
          </cell>
          <cell r="I1673" t="str">
            <v>U</v>
          </cell>
          <cell r="J1673" t="str">
            <v>H</v>
          </cell>
        </row>
        <row r="1674">
          <cell r="B1674" t="str">
            <v>MG010370301</v>
          </cell>
          <cell r="C1674" t="str">
            <v>MARRO GRANDE</v>
          </cell>
          <cell r="D1674" t="str">
            <v>BANDOLERA</v>
          </cell>
          <cell r="E1674" t="str">
            <v>MORRAL BERLIN</v>
          </cell>
          <cell r="F1674" t="str">
            <v>BRIDGE</v>
          </cell>
          <cell r="G1674">
            <v>0</v>
          </cell>
          <cell r="H1674" t="str">
            <v>NEGRO</v>
          </cell>
          <cell r="I1674" t="str">
            <v>U</v>
          </cell>
          <cell r="J1674" t="str">
            <v>H</v>
          </cell>
        </row>
        <row r="1675">
          <cell r="B1675" t="str">
            <v>MG010370303</v>
          </cell>
          <cell r="C1675" t="str">
            <v>MARRO GRANDE</v>
          </cell>
          <cell r="D1675" t="str">
            <v>BANDOLERA</v>
          </cell>
          <cell r="E1675" t="str">
            <v>MORRAL BERLIN</v>
          </cell>
          <cell r="F1675" t="str">
            <v>BRIDGE</v>
          </cell>
          <cell r="G1675">
            <v>0</v>
          </cell>
          <cell r="H1675" t="str">
            <v>CARAMELO</v>
          </cell>
          <cell r="I1675" t="str">
            <v>U</v>
          </cell>
          <cell r="J1675" t="str">
            <v>H</v>
          </cell>
        </row>
        <row r="1676">
          <cell r="B1676" t="str">
            <v>MG010370304</v>
          </cell>
          <cell r="C1676" t="str">
            <v>MARRO GRANDE</v>
          </cell>
          <cell r="D1676" t="str">
            <v>BANDOLERA</v>
          </cell>
          <cell r="E1676" t="str">
            <v>MORRAL BERLIN</v>
          </cell>
          <cell r="F1676" t="str">
            <v>BRIDGE</v>
          </cell>
          <cell r="G1676">
            <v>0</v>
          </cell>
          <cell r="H1676" t="str">
            <v>TABACO</v>
          </cell>
          <cell r="I1676" t="str">
            <v>U</v>
          </cell>
          <cell r="J1676" t="str">
            <v>H</v>
          </cell>
        </row>
        <row r="1677">
          <cell r="B1677" t="str">
            <v>MG010370352</v>
          </cell>
          <cell r="C1677" t="str">
            <v>MARRO GRANDE</v>
          </cell>
          <cell r="D1677" t="str">
            <v>BANDOLERA</v>
          </cell>
          <cell r="E1677" t="str">
            <v>MORRAL BERLIN</v>
          </cell>
          <cell r="F1677" t="str">
            <v>BRIDGE</v>
          </cell>
          <cell r="G1677">
            <v>0</v>
          </cell>
          <cell r="H1677" t="str">
            <v>CHOCOLATE</v>
          </cell>
          <cell r="I1677" t="str">
            <v>U</v>
          </cell>
          <cell r="J1677" t="str">
            <v>H</v>
          </cell>
        </row>
        <row r="1678">
          <cell r="B1678" t="str">
            <v>MG020450202</v>
          </cell>
          <cell r="C1678" t="str">
            <v>MARRO GRANDE</v>
          </cell>
          <cell r="D1678" t="str">
            <v>MORRAL</v>
          </cell>
          <cell r="E1678" t="str">
            <v>MORRAL CARLOS</v>
          </cell>
          <cell r="F1678" t="str">
            <v>TAMPONATO</v>
          </cell>
          <cell r="G1678">
            <v>0</v>
          </cell>
          <cell r="H1678" t="str">
            <v>SUELA</v>
          </cell>
          <cell r="I1678" t="str">
            <v>U</v>
          </cell>
          <cell r="J1678" t="str">
            <v>H</v>
          </cell>
        </row>
        <row r="1679">
          <cell r="B1679" t="str">
            <v>MG020450301</v>
          </cell>
          <cell r="C1679" t="str">
            <v>MARRO GRANDE</v>
          </cell>
          <cell r="D1679" t="str">
            <v>MORRAL</v>
          </cell>
          <cell r="E1679" t="str">
            <v>MORRAL CARLOS</v>
          </cell>
          <cell r="F1679" t="str">
            <v>BRIDGE</v>
          </cell>
          <cell r="G1679">
            <v>0</v>
          </cell>
          <cell r="H1679" t="str">
            <v>NEGRO</v>
          </cell>
          <cell r="I1679" t="str">
            <v>U</v>
          </cell>
          <cell r="J1679" t="str">
            <v>H</v>
          </cell>
        </row>
        <row r="1680">
          <cell r="B1680" t="str">
            <v>MG020450303</v>
          </cell>
          <cell r="C1680" t="str">
            <v>MARRO GRANDE</v>
          </cell>
          <cell r="D1680" t="str">
            <v>MORRAL</v>
          </cell>
          <cell r="E1680" t="str">
            <v>MORRAL CARLOS</v>
          </cell>
          <cell r="F1680" t="str">
            <v>BRIDGE</v>
          </cell>
          <cell r="G1680">
            <v>0</v>
          </cell>
          <cell r="H1680" t="str">
            <v>CARAMELO</v>
          </cell>
          <cell r="I1680" t="str">
            <v>U</v>
          </cell>
          <cell r="J1680" t="str">
            <v>H</v>
          </cell>
        </row>
        <row r="1681">
          <cell r="B1681" t="str">
            <v>MG020450304</v>
          </cell>
          <cell r="C1681" t="str">
            <v>MARRO GRANDE</v>
          </cell>
          <cell r="D1681" t="str">
            <v>MORRAL</v>
          </cell>
          <cell r="E1681" t="str">
            <v>MORRAL CARLOS</v>
          </cell>
          <cell r="F1681" t="str">
            <v>BRIDGE</v>
          </cell>
          <cell r="G1681">
            <v>0</v>
          </cell>
          <cell r="H1681" t="str">
            <v>TABACO</v>
          </cell>
          <cell r="I1681" t="str">
            <v>U</v>
          </cell>
          <cell r="J1681" t="str">
            <v>H</v>
          </cell>
        </row>
        <row r="1682">
          <cell r="B1682" t="str">
            <v>MG020450352</v>
          </cell>
          <cell r="C1682" t="str">
            <v>MARRO GRANDE</v>
          </cell>
          <cell r="D1682" t="str">
            <v>MORRAL</v>
          </cell>
          <cell r="E1682" t="str">
            <v>MORRAL CARLOS</v>
          </cell>
          <cell r="F1682" t="str">
            <v>BRIDGE</v>
          </cell>
          <cell r="G1682">
            <v>0</v>
          </cell>
          <cell r="H1682" t="str">
            <v>CHOCOLATE</v>
          </cell>
          <cell r="I1682" t="str">
            <v>U</v>
          </cell>
          <cell r="J1682" t="str">
            <v>H</v>
          </cell>
        </row>
        <row r="1683">
          <cell r="B1683" t="str">
            <v>MG010750301</v>
          </cell>
          <cell r="C1683" t="str">
            <v>MARRO GRANDE</v>
          </cell>
          <cell r="D1683" t="str">
            <v>MORRAL</v>
          </cell>
          <cell r="E1683" t="str">
            <v>MORRAL DRACO</v>
          </cell>
          <cell r="F1683" t="str">
            <v>BRIDGE</v>
          </cell>
          <cell r="G1683">
            <v>0</v>
          </cell>
          <cell r="H1683" t="str">
            <v>NEGRO</v>
          </cell>
          <cell r="I1683" t="str">
            <v>U</v>
          </cell>
          <cell r="J1683" t="str">
            <v>H</v>
          </cell>
        </row>
        <row r="1684">
          <cell r="B1684" t="str">
            <v>MG010750303</v>
          </cell>
          <cell r="C1684" t="str">
            <v>MARRO GRANDE</v>
          </cell>
          <cell r="D1684" t="str">
            <v>MORRAL</v>
          </cell>
          <cell r="E1684" t="str">
            <v>MORRAL DRACO</v>
          </cell>
          <cell r="F1684" t="str">
            <v>BRIDGE</v>
          </cell>
          <cell r="G1684">
            <v>0</v>
          </cell>
          <cell r="H1684" t="str">
            <v>CARAMELO</v>
          </cell>
          <cell r="I1684" t="str">
            <v>U</v>
          </cell>
          <cell r="J1684" t="str">
            <v>H</v>
          </cell>
        </row>
        <row r="1685">
          <cell r="B1685" t="str">
            <v>MG010750304</v>
          </cell>
          <cell r="C1685" t="str">
            <v>MARRO GRANDE</v>
          </cell>
          <cell r="D1685" t="str">
            <v>MORRAL</v>
          </cell>
          <cell r="E1685" t="str">
            <v>MORRAL DRACO</v>
          </cell>
          <cell r="F1685" t="str">
            <v>BRIDGE</v>
          </cell>
          <cell r="G1685">
            <v>0</v>
          </cell>
          <cell r="H1685" t="str">
            <v>TABACO</v>
          </cell>
          <cell r="I1685" t="str">
            <v>U</v>
          </cell>
          <cell r="J1685" t="str">
            <v>H</v>
          </cell>
        </row>
        <row r="1686">
          <cell r="B1686" t="str">
            <v>MG010750309</v>
          </cell>
          <cell r="C1686" t="str">
            <v>MARRO GRANDE</v>
          </cell>
          <cell r="D1686" t="str">
            <v>MORRAL</v>
          </cell>
          <cell r="E1686" t="str">
            <v>MORRAL DRACO</v>
          </cell>
          <cell r="F1686" t="str">
            <v>BRIDGE</v>
          </cell>
          <cell r="G1686">
            <v>0</v>
          </cell>
          <cell r="H1686" t="str">
            <v>AZUL</v>
          </cell>
          <cell r="I1686" t="str">
            <v>U</v>
          </cell>
          <cell r="J1686" t="str">
            <v>H</v>
          </cell>
        </row>
        <row r="1687">
          <cell r="B1687" t="str">
            <v>MG010750312</v>
          </cell>
          <cell r="C1687" t="str">
            <v>MARRO GRANDE</v>
          </cell>
          <cell r="D1687" t="str">
            <v>MORRAL</v>
          </cell>
          <cell r="E1687" t="str">
            <v>MORRAL DRACO</v>
          </cell>
          <cell r="F1687" t="str">
            <v>BRIDGE</v>
          </cell>
          <cell r="G1687">
            <v>0</v>
          </cell>
          <cell r="H1687" t="str">
            <v>GRIS</v>
          </cell>
          <cell r="I1687" t="str">
            <v>U</v>
          </cell>
          <cell r="J1687" t="str">
            <v>H</v>
          </cell>
        </row>
        <row r="1688">
          <cell r="B1688" t="str">
            <v>MG010750352</v>
          </cell>
          <cell r="C1688" t="str">
            <v>MARRO GRANDE</v>
          </cell>
          <cell r="D1688" t="str">
            <v>MORRAL</v>
          </cell>
          <cell r="E1688" t="str">
            <v>MORRAL DRACO</v>
          </cell>
          <cell r="F1688" t="str">
            <v>BRIDGE</v>
          </cell>
          <cell r="G1688">
            <v>0</v>
          </cell>
          <cell r="H1688" t="str">
            <v>CHOCOLATE</v>
          </cell>
          <cell r="I1688" t="str">
            <v>U</v>
          </cell>
          <cell r="J1688" t="str">
            <v>H</v>
          </cell>
        </row>
        <row r="1689">
          <cell r="B1689" t="str">
            <v>MG010280301</v>
          </cell>
          <cell r="C1689" t="str">
            <v>MARRO GRANDE</v>
          </cell>
          <cell r="D1689" t="str">
            <v>MORRAL</v>
          </cell>
          <cell r="E1689" t="str">
            <v>MORRAL HIPPIE URBANA</v>
          </cell>
          <cell r="F1689" t="str">
            <v>BRIDGE</v>
          </cell>
          <cell r="G1689">
            <v>0</v>
          </cell>
          <cell r="H1689" t="str">
            <v>NEGRO</v>
          </cell>
          <cell r="I1689" t="str">
            <v>U</v>
          </cell>
          <cell r="J1689" t="str">
            <v>M</v>
          </cell>
        </row>
        <row r="1690">
          <cell r="B1690" t="str">
            <v>MG010280303</v>
          </cell>
          <cell r="C1690" t="str">
            <v>MARRO GRANDE</v>
          </cell>
          <cell r="D1690" t="str">
            <v>MORRAL</v>
          </cell>
          <cell r="E1690" t="str">
            <v>MORRAL HIPPIE URBANA</v>
          </cell>
          <cell r="F1690" t="str">
            <v>BRIDGE</v>
          </cell>
          <cell r="G1690">
            <v>0</v>
          </cell>
          <cell r="H1690" t="str">
            <v>CARAMELO</v>
          </cell>
          <cell r="I1690" t="str">
            <v>U</v>
          </cell>
          <cell r="J1690" t="str">
            <v>M</v>
          </cell>
        </row>
        <row r="1691">
          <cell r="B1691" t="str">
            <v>MG010280304</v>
          </cell>
          <cell r="C1691" t="str">
            <v>MARRO GRANDE</v>
          </cell>
          <cell r="D1691" t="str">
            <v>MORRAL</v>
          </cell>
          <cell r="E1691" t="str">
            <v>MORRAL HIPPIE URBANA</v>
          </cell>
          <cell r="F1691" t="str">
            <v>BRIDGE</v>
          </cell>
          <cell r="G1691">
            <v>0</v>
          </cell>
          <cell r="H1691" t="str">
            <v>TABACO</v>
          </cell>
          <cell r="I1691" t="str">
            <v>U</v>
          </cell>
          <cell r="J1691" t="str">
            <v>M</v>
          </cell>
        </row>
        <row r="1692">
          <cell r="B1692" t="str">
            <v>MG010280307</v>
          </cell>
          <cell r="C1692" t="str">
            <v>MARRO GRANDE</v>
          </cell>
          <cell r="D1692" t="str">
            <v>MORRAL</v>
          </cell>
          <cell r="E1692" t="str">
            <v>MORRAL HIPPIE URBANA</v>
          </cell>
          <cell r="F1692" t="str">
            <v>BRIDGE</v>
          </cell>
          <cell r="G1692">
            <v>0</v>
          </cell>
          <cell r="H1692" t="str">
            <v>ROJO</v>
          </cell>
          <cell r="I1692" t="str">
            <v>U</v>
          </cell>
          <cell r="J1692" t="str">
            <v>M</v>
          </cell>
        </row>
        <row r="1693">
          <cell r="B1693" t="str">
            <v>MG010280309</v>
          </cell>
          <cell r="C1693" t="str">
            <v>MARRO GRANDE</v>
          </cell>
          <cell r="D1693" t="str">
            <v>MORRAL</v>
          </cell>
          <cell r="E1693" t="str">
            <v>MORRAL HIPPIE URBANA</v>
          </cell>
          <cell r="F1693" t="str">
            <v>BRIDGE</v>
          </cell>
          <cell r="G1693">
            <v>0</v>
          </cell>
          <cell r="H1693" t="str">
            <v>AZUL</v>
          </cell>
          <cell r="I1693" t="str">
            <v>U</v>
          </cell>
          <cell r="J1693" t="str">
            <v>M</v>
          </cell>
        </row>
        <row r="1694">
          <cell r="B1694" t="str">
            <v>MG010280550</v>
          </cell>
          <cell r="C1694" t="str">
            <v>MARRO GRANDE</v>
          </cell>
          <cell r="D1694" t="str">
            <v>MORRAL</v>
          </cell>
          <cell r="E1694" t="str">
            <v>MORRAL HIPPIE URBANA</v>
          </cell>
          <cell r="F1694" t="str">
            <v>GAMUZA</v>
          </cell>
          <cell r="G1694">
            <v>0</v>
          </cell>
          <cell r="H1694" t="str">
            <v>VESUBIO</v>
          </cell>
          <cell r="I1694" t="str">
            <v>U</v>
          </cell>
          <cell r="J1694" t="str">
            <v>M</v>
          </cell>
        </row>
        <row r="1695">
          <cell r="B1695" t="str">
            <v>MG010280551</v>
          </cell>
          <cell r="C1695" t="str">
            <v>MARRO GRANDE</v>
          </cell>
          <cell r="D1695" t="str">
            <v>MORRAL</v>
          </cell>
          <cell r="E1695" t="str">
            <v>MORRAL HIPPIE URBANA</v>
          </cell>
          <cell r="F1695" t="str">
            <v>GAMUZA</v>
          </cell>
          <cell r="G1695">
            <v>0</v>
          </cell>
          <cell r="H1695" t="str">
            <v>MOSTAZA</v>
          </cell>
          <cell r="I1695" t="str">
            <v>U</v>
          </cell>
          <cell r="J1695" t="str">
            <v>M</v>
          </cell>
        </row>
        <row r="1696">
          <cell r="B1696" t="str">
            <v>MG010280552</v>
          </cell>
          <cell r="C1696" t="str">
            <v>MARRO GRANDE</v>
          </cell>
          <cell r="D1696" t="str">
            <v>MORRAL</v>
          </cell>
          <cell r="E1696" t="str">
            <v>MORRAL HIPPIE URBANA</v>
          </cell>
          <cell r="F1696" t="str">
            <v>GAMUZA</v>
          </cell>
          <cell r="G1696">
            <v>0</v>
          </cell>
          <cell r="H1696" t="str">
            <v>CHOCOLATE</v>
          </cell>
          <cell r="I1696" t="str">
            <v>U</v>
          </cell>
          <cell r="J1696" t="str">
            <v>M</v>
          </cell>
        </row>
        <row r="1697">
          <cell r="B1697" t="str">
            <v>MG010410201</v>
          </cell>
          <cell r="C1697" t="str">
            <v>MARRO GRANDE</v>
          </cell>
          <cell r="D1697" t="str">
            <v>BANDOLERA</v>
          </cell>
          <cell r="E1697" t="str">
            <v>MORRAL LUCAS</v>
          </cell>
          <cell r="F1697" t="str">
            <v>TAMPONATO</v>
          </cell>
          <cell r="G1697">
            <v>0</v>
          </cell>
          <cell r="H1697" t="str">
            <v>NEGRO</v>
          </cell>
          <cell r="I1697" t="str">
            <v>U</v>
          </cell>
          <cell r="J1697" t="str">
            <v>H</v>
          </cell>
        </row>
        <row r="1698">
          <cell r="B1698" t="str">
            <v>MG010410202</v>
          </cell>
          <cell r="C1698" t="str">
            <v>MARRO GRANDE</v>
          </cell>
          <cell r="D1698" t="str">
            <v>BANDOLERA</v>
          </cell>
          <cell r="E1698" t="str">
            <v>MORRAL LUCAS</v>
          </cell>
          <cell r="F1698" t="str">
            <v>TAMPONATO</v>
          </cell>
          <cell r="G1698">
            <v>0</v>
          </cell>
          <cell r="H1698" t="str">
            <v>SUELA</v>
          </cell>
          <cell r="I1698" t="str">
            <v>U</v>
          </cell>
          <cell r="J1698" t="str">
            <v>H</v>
          </cell>
        </row>
        <row r="1699">
          <cell r="B1699" t="str">
            <v>MG010410301</v>
          </cell>
          <cell r="C1699" t="str">
            <v>MARRO GRANDE</v>
          </cell>
          <cell r="D1699" t="str">
            <v>BANDOLERA</v>
          </cell>
          <cell r="E1699" t="str">
            <v>MORRAL LUCAS</v>
          </cell>
          <cell r="F1699" t="str">
            <v>BRIDGE</v>
          </cell>
          <cell r="G1699">
            <v>0</v>
          </cell>
          <cell r="H1699" t="str">
            <v>NEGRO</v>
          </cell>
          <cell r="I1699" t="str">
            <v>U</v>
          </cell>
          <cell r="J1699" t="str">
            <v>H</v>
          </cell>
        </row>
        <row r="1700">
          <cell r="B1700" t="str">
            <v>MG010410303</v>
          </cell>
          <cell r="C1700" t="str">
            <v>MARRO GRANDE</v>
          </cell>
          <cell r="D1700" t="str">
            <v>BANDOLERA</v>
          </cell>
          <cell r="E1700" t="str">
            <v>MORRAL LUCAS</v>
          </cell>
          <cell r="F1700" t="str">
            <v>BRIDGE</v>
          </cell>
          <cell r="G1700">
            <v>0</v>
          </cell>
          <cell r="H1700" t="str">
            <v>CARAMELO</v>
          </cell>
          <cell r="I1700" t="str">
            <v>U</v>
          </cell>
          <cell r="J1700" t="str">
            <v>H</v>
          </cell>
        </row>
        <row r="1701">
          <cell r="B1701" t="str">
            <v>MG010410304</v>
          </cell>
          <cell r="C1701" t="str">
            <v>MARRO GRANDE</v>
          </cell>
          <cell r="D1701" t="str">
            <v>BANDOLERA</v>
          </cell>
          <cell r="E1701" t="str">
            <v>MORRAL LUCAS</v>
          </cell>
          <cell r="F1701" t="str">
            <v>BRIDGE</v>
          </cell>
          <cell r="G1701">
            <v>0</v>
          </cell>
          <cell r="H1701" t="str">
            <v>TABACO</v>
          </cell>
          <cell r="I1701" t="str">
            <v>U</v>
          </cell>
          <cell r="J1701" t="str">
            <v>H</v>
          </cell>
        </row>
        <row r="1702">
          <cell r="B1702" t="str">
            <v>MG010410312</v>
          </cell>
          <cell r="C1702" t="str">
            <v>MARRO GRANDE</v>
          </cell>
          <cell r="D1702" t="str">
            <v>BANDOLERA</v>
          </cell>
          <cell r="E1702" t="str">
            <v>MORRAL LUCAS</v>
          </cell>
          <cell r="F1702" t="str">
            <v>BRIDGE</v>
          </cell>
          <cell r="G1702">
            <v>0</v>
          </cell>
          <cell r="H1702" t="str">
            <v>GRIS</v>
          </cell>
          <cell r="I1702" t="str">
            <v>U</v>
          </cell>
          <cell r="J1702" t="str">
            <v>H</v>
          </cell>
        </row>
        <row r="1703">
          <cell r="B1703" t="str">
            <v>MG010500201</v>
          </cell>
          <cell r="C1703" t="str">
            <v>MARRO GRANDE</v>
          </cell>
          <cell r="D1703" t="str">
            <v>MORRAL</v>
          </cell>
          <cell r="E1703" t="str">
            <v>MORRAL OLDIE</v>
          </cell>
          <cell r="F1703" t="str">
            <v>TAMPONATO</v>
          </cell>
          <cell r="G1703">
            <v>0</v>
          </cell>
          <cell r="H1703" t="str">
            <v>NEGRO</v>
          </cell>
          <cell r="I1703" t="str">
            <v>U</v>
          </cell>
          <cell r="J1703" t="str">
            <v>H</v>
          </cell>
        </row>
        <row r="1704">
          <cell r="B1704" t="str">
            <v>MG010500202</v>
          </cell>
          <cell r="C1704" t="str">
            <v>MARRO GRANDE</v>
          </cell>
          <cell r="D1704" t="str">
            <v>MORRAL</v>
          </cell>
          <cell r="E1704" t="str">
            <v>MORRAL OLDIE</v>
          </cell>
          <cell r="F1704" t="str">
            <v>TAMPONATO</v>
          </cell>
          <cell r="G1704">
            <v>0</v>
          </cell>
          <cell r="H1704" t="str">
            <v>SUELA</v>
          </cell>
          <cell r="I1704" t="str">
            <v>U</v>
          </cell>
          <cell r="J1704" t="str">
            <v>H</v>
          </cell>
        </row>
        <row r="1705">
          <cell r="B1705" t="str">
            <v>MG010500301</v>
          </cell>
          <cell r="C1705" t="str">
            <v>MARRO GRANDE</v>
          </cell>
          <cell r="D1705" t="str">
            <v>MORRAL</v>
          </cell>
          <cell r="E1705" t="str">
            <v>MORRAL OLDIE</v>
          </cell>
          <cell r="F1705" t="str">
            <v>BRIDGE</v>
          </cell>
          <cell r="G1705">
            <v>0</v>
          </cell>
          <cell r="H1705" t="str">
            <v>NEGRO</v>
          </cell>
          <cell r="I1705" t="str">
            <v>U</v>
          </cell>
          <cell r="J1705" t="str">
            <v>H</v>
          </cell>
        </row>
        <row r="1706">
          <cell r="B1706" t="str">
            <v>MG010500303</v>
          </cell>
          <cell r="C1706" t="str">
            <v>MARRO GRANDE</v>
          </cell>
          <cell r="D1706" t="str">
            <v>MORRAL</v>
          </cell>
          <cell r="E1706" t="str">
            <v>MORRAL OLDIE</v>
          </cell>
          <cell r="F1706" t="str">
            <v>BRIDGE</v>
          </cell>
          <cell r="G1706">
            <v>0</v>
          </cell>
          <cell r="H1706" t="str">
            <v>CARAMELO</v>
          </cell>
          <cell r="I1706" t="str">
            <v>U</v>
          </cell>
          <cell r="J1706" t="str">
            <v>H</v>
          </cell>
        </row>
        <row r="1707">
          <cell r="B1707" t="str">
            <v>MG010500304</v>
          </cell>
          <cell r="C1707" t="str">
            <v>MARRO GRANDE</v>
          </cell>
          <cell r="D1707" t="str">
            <v>MORRAL</v>
          </cell>
          <cell r="E1707" t="str">
            <v>MORRAL OLDIE</v>
          </cell>
          <cell r="F1707" t="str">
            <v>BRIDGE</v>
          </cell>
          <cell r="G1707">
            <v>0</v>
          </cell>
          <cell r="H1707" t="str">
            <v>TABACO</v>
          </cell>
          <cell r="I1707" t="str">
            <v>U</v>
          </cell>
          <cell r="J1707" t="str">
            <v>H</v>
          </cell>
        </row>
        <row r="1708">
          <cell r="B1708" t="str">
            <v>MG010500352</v>
          </cell>
          <cell r="C1708" t="str">
            <v>MARRO GRANDE</v>
          </cell>
          <cell r="D1708" t="str">
            <v>MORRAL</v>
          </cell>
          <cell r="E1708" t="str">
            <v>MORRAL OLDIE</v>
          </cell>
          <cell r="F1708" t="str">
            <v>BRIDGE</v>
          </cell>
          <cell r="G1708">
            <v>0</v>
          </cell>
          <cell r="H1708" t="str">
            <v>CHOCOLATE</v>
          </cell>
          <cell r="I1708" t="str">
            <v>U</v>
          </cell>
          <cell r="J1708" t="str">
            <v>H</v>
          </cell>
        </row>
        <row r="1709">
          <cell r="B1709" t="str">
            <v>MG010501623</v>
          </cell>
          <cell r="C1709" t="str">
            <v>MARRO GRANDE</v>
          </cell>
          <cell r="D1709" t="str">
            <v>MORRAL</v>
          </cell>
          <cell r="E1709" t="str">
            <v>MORRAL OLDIE</v>
          </cell>
          <cell r="F1709" t="str">
            <v>FIORENTINO</v>
          </cell>
          <cell r="G1709">
            <v>0</v>
          </cell>
          <cell r="H1709" t="str">
            <v>CEDRO</v>
          </cell>
          <cell r="I1709" t="str">
            <v>U</v>
          </cell>
          <cell r="J1709" t="str">
            <v>H</v>
          </cell>
        </row>
        <row r="1710">
          <cell r="B1710" t="str">
            <v>OT010400101</v>
          </cell>
          <cell r="C1710" t="str">
            <v>DECO</v>
          </cell>
          <cell r="D1710" t="str">
            <v>MOUSEPAD</v>
          </cell>
          <cell r="E1710" t="str">
            <v>MOUSEPAD</v>
          </cell>
          <cell r="F1710" t="str">
            <v>NAPADO</v>
          </cell>
          <cell r="G1710">
            <v>0</v>
          </cell>
          <cell r="H1710" t="str">
            <v>NEGRO</v>
          </cell>
          <cell r="I1710" t="str">
            <v>U</v>
          </cell>
          <cell r="J1710" t="str">
            <v>U</v>
          </cell>
        </row>
        <row r="1711">
          <cell r="B1711" t="str">
            <v>OT010400102</v>
          </cell>
          <cell r="C1711" t="str">
            <v>DECO</v>
          </cell>
          <cell r="D1711" t="str">
            <v>MOUSEPAD</v>
          </cell>
          <cell r="E1711" t="str">
            <v>MOUSEPAD</v>
          </cell>
          <cell r="F1711" t="str">
            <v>NAPADO</v>
          </cell>
          <cell r="G1711">
            <v>0</v>
          </cell>
          <cell r="H1711" t="str">
            <v>SUELA</v>
          </cell>
          <cell r="I1711" t="str">
            <v>U</v>
          </cell>
          <cell r="J1711" t="str">
            <v>U</v>
          </cell>
        </row>
        <row r="1712">
          <cell r="B1712" t="str">
            <v>OT010400103</v>
          </cell>
          <cell r="C1712" t="str">
            <v>DECO</v>
          </cell>
          <cell r="D1712" t="str">
            <v>MOUSEPAD</v>
          </cell>
          <cell r="E1712" t="str">
            <v>MOUSEPAD</v>
          </cell>
          <cell r="F1712" t="str">
            <v>NAPADO</v>
          </cell>
          <cell r="G1712">
            <v>0</v>
          </cell>
          <cell r="H1712" t="str">
            <v xml:space="preserve">CARAMELO </v>
          </cell>
          <cell r="I1712" t="str">
            <v>U</v>
          </cell>
          <cell r="J1712" t="str">
            <v>U</v>
          </cell>
        </row>
        <row r="1713">
          <cell r="B1713" t="str">
            <v>OT010400104</v>
          </cell>
          <cell r="C1713" t="str">
            <v>DECO</v>
          </cell>
          <cell r="D1713" t="str">
            <v>MOUSEPAD</v>
          </cell>
          <cell r="E1713" t="str">
            <v>MOUSEPAD</v>
          </cell>
          <cell r="F1713" t="str">
            <v>NAPADO</v>
          </cell>
          <cell r="G1713">
            <v>0</v>
          </cell>
          <cell r="H1713" t="str">
            <v>TABACO</v>
          </cell>
          <cell r="I1713" t="str">
            <v>U</v>
          </cell>
          <cell r="J1713" t="str">
            <v>U</v>
          </cell>
        </row>
        <row r="1714">
          <cell r="B1714" t="str">
            <v>OT010400301</v>
          </cell>
          <cell r="C1714" t="str">
            <v>DECO</v>
          </cell>
          <cell r="D1714" t="str">
            <v>MOUSEPAD</v>
          </cell>
          <cell r="E1714" t="str">
            <v>MOUSEPAD</v>
          </cell>
          <cell r="F1714" t="str">
            <v>BRIDGE</v>
          </cell>
          <cell r="G1714">
            <v>0</v>
          </cell>
          <cell r="H1714" t="str">
            <v>NEGRO</v>
          </cell>
          <cell r="I1714" t="str">
            <v>U</v>
          </cell>
          <cell r="J1714" t="str">
            <v>U</v>
          </cell>
        </row>
        <row r="1715">
          <cell r="B1715" t="str">
            <v>OT010400303</v>
          </cell>
          <cell r="C1715" t="str">
            <v>DECO</v>
          </cell>
          <cell r="D1715" t="str">
            <v>MOUSEPAD</v>
          </cell>
          <cell r="E1715" t="str">
            <v>MOUSEPAD</v>
          </cell>
          <cell r="F1715" t="str">
            <v>BRIDGE</v>
          </cell>
          <cell r="G1715">
            <v>0</v>
          </cell>
          <cell r="H1715" t="str">
            <v>CARAMELO</v>
          </cell>
          <cell r="I1715" t="str">
            <v>U</v>
          </cell>
          <cell r="J1715" t="str">
            <v>U</v>
          </cell>
        </row>
        <row r="1716">
          <cell r="B1716" t="str">
            <v>OT010400304</v>
          </cell>
          <cell r="C1716" t="str">
            <v>DECO</v>
          </cell>
          <cell r="D1716" t="str">
            <v>MOUSEPAD</v>
          </cell>
          <cell r="E1716" t="str">
            <v>MOUSEPAD</v>
          </cell>
          <cell r="F1716" t="str">
            <v>BRIDGE</v>
          </cell>
          <cell r="G1716">
            <v>0</v>
          </cell>
          <cell r="H1716" t="str">
            <v>TABACO</v>
          </cell>
          <cell r="I1716" t="str">
            <v>U</v>
          </cell>
          <cell r="J1716" t="str">
            <v>U</v>
          </cell>
        </row>
        <row r="1717">
          <cell r="B1717" t="str">
            <v>OT010400307</v>
          </cell>
          <cell r="C1717" t="str">
            <v>DECO</v>
          </cell>
          <cell r="D1717" t="str">
            <v>MOUSEPAD</v>
          </cell>
          <cell r="E1717" t="str">
            <v>MOUSEPAD</v>
          </cell>
          <cell r="F1717" t="str">
            <v>BRIDGE</v>
          </cell>
          <cell r="G1717">
            <v>0</v>
          </cell>
          <cell r="H1717" t="str">
            <v>ROJO</v>
          </cell>
          <cell r="I1717" t="str">
            <v>U</v>
          </cell>
          <cell r="J1717" t="str">
            <v>U</v>
          </cell>
        </row>
        <row r="1718">
          <cell r="B1718" t="str">
            <v>MC010010101</v>
          </cell>
          <cell r="C1718" t="str">
            <v>MARRO CHICA</v>
          </cell>
          <cell r="D1718" t="str">
            <v>NECESSAIRE</v>
          </cell>
          <cell r="E1718" t="str">
            <v>NECESSAIRE</v>
          </cell>
          <cell r="F1718" t="str">
            <v>NAPADO</v>
          </cell>
          <cell r="G1718">
            <v>0</v>
          </cell>
          <cell r="H1718" t="str">
            <v>NEGRO</v>
          </cell>
          <cell r="I1718" t="str">
            <v>U</v>
          </cell>
          <cell r="J1718" t="str">
            <v>U</v>
          </cell>
        </row>
        <row r="1719">
          <cell r="B1719" t="str">
            <v>MC010010102</v>
          </cell>
          <cell r="C1719" t="str">
            <v>MARRO CHICA</v>
          </cell>
          <cell r="D1719" t="str">
            <v>NECESSAIRE</v>
          </cell>
          <cell r="E1719" t="str">
            <v>NECESSAIRE</v>
          </cell>
          <cell r="F1719" t="str">
            <v>NAPADO</v>
          </cell>
          <cell r="G1719">
            <v>0</v>
          </cell>
          <cell r="H1719" t="str">
            <v>SUELA</v>
          </cell>
          <cell r="I1719" t="str">
            <v>U</v>
          </cell>
          <cell r="J1719" t="str">
            <v>U</v>
          </cell>
        </row>
        <row r="1720">
          <cell r="B1720" t="str">
            <v>MC010010201</v>
          </cell>
          <cell r="C1720" t="str">
            <v>MARRO CHICA</v>
          </cell>
          <cell r="D1720" t="str">
            <v>NECESSAIRE</v>
          </cell>
          <cell r="E1720" t="str">
            <v>NECESSAIRE</v>
          </cell>
          <cell r="F1720" t="str">
            <v>TAMPONATO</v>
          </cell>
          <cell r="G1720">
            <v>0</v>
          </cell>
          <cell r="H1720" t="str">
            <v>NEGRO</v>
          </cell>
          <cell r="I1720" t="str">
            <v>U</v>
          </cell>
          <cell r="J1720" t="str">
            <v>U</v>
          </cell>
        </row>
        <row r="1721">
          <cell r="B1721" t="str">
            <v>MC010010202</v>
          </cell>
          <cell r="C1721" t="str">
            <v>MARRO CHICA</v>
          </cell>
          <cell r="D1721" t="str">
            <v>NECESSAIRE</v>
          </cell>
          <cell r="E1721" t="str">
            <v>NECESSAIRE</v>
          </cell>
          <cell r="F1721" t="str">
            <v>TAMPONATO</v>
          </cell>
          <cell r="G1721">
            <v>0</v>
          </cell>
          <cell r="H1721" t="str">
            <v>SUELA</v>
          </cell>
          <cell r="I1721" t="str">
            <v>U</v>
          </cell>
          <cell r="J1721" t="str">
            <v>U</v>
          </cell>
        </row>
        <row r="1722">
          <cell r="B1722" t="str">
            <v>MC010010203</v>
          </cell>
          <cell r="C1722" t="str">
            <v>MARRO CHICA</v>
          </cell>
          <cell r="D1722" t="str">
            <v>NECESSAIRE</v>
          </cell>
          <cell r="E1722" t="str">
            <v>NECESSAIRE</v>
          </cell>
          <cell r="F1722" t="str">
            <v>TAMPONATO</v>
          </cell>
          <cell r="G1722">
            <v>0</v>
          </cell>
          <cell r="H1722" t="str">
            <v>CARAMELO</v>
          </cell>
          <cell r="I1722" t="str">
            <v>U</v>
          </cell>
          <cell r="J1722" t="str">
            <v>U</v>
          </cell>
        </row>
        <row r="1723">
          <cell r="B1723" t="str">
            <v>MC010010301</v>
          </cell>
          <cell r="C1723" t="str">
            <v>MARRO CHICA</v>
          </cell>
          <cell r="D1723" t="str">
            <v>NECESSAIRE</v>
          </cell>
          <cell r="E1723" t="str">
            <v>NECESSAIRE</v>
          </cell>
          <cell r="F1723" t="str">
            <v>BRIDGE</v>
          </cell>
          <cell r="G1723">
            <v>0</v>
          </cell>
          <cell r="H1723" t="str">
            <v>NEGRO</v>
          </cell>
          <cell r="I1723" t="str">
            <v>U</v>
          </cell>
          <cell r="J1723" t="str">
            <v>U</v>
          </cell>
        </row>
        <row r="1724">
          <cell r="B1724" t="str">
            <v>MC010010302</v>
          </cell>
          <cell r="C1724" t="str">
            <v>MARRO CHICA</v>
          </cell>
          <cell r="D1724" t="str">
            <v>NECESSAIRE</v>
          </cell>
          <cell r="E1724" t="str">
            <v>NECESSAIRE</v>
          </cell>
          <cell r="F1724" t="str">
            <v>BRIDGE</v>
          </cell>
          <cell r="G1724">
            <v>0</v>
          </cell>
          <cell r="H1724" t="str">
            <v>SUELA</v>
          </cell>
          <cell r="I1724" t="str">
            <v>U</v>
          </cell>
          <cell r="J1724" t="str">
            <v>U</v>
          </cell>
        </row>
        <row r="1725">
          <cell r="B1725" t="str">
            <v>MC010010303</v>
          </cell>
          <cell r="C1725" t="str">
            <v>MARRO CHICA</v>
          </cell>
          <cell r="D1725" t="str">
            <v>NECESSAIRE</v>
          </cell>
          <cell r="E1725" t="str">
            <v>NECESSAIRE</v>
          </cell>
          <cell r="F1725" t="str">
            <v>BRIDGE</v>
          </cell>
          <cell r="G1725">
            <v>0</v>
          </cell>
          <cell r="H1725" t="str">
            <v>CARAMELO</v>
          </cell>
          <cell r="I1725" t="str">
            <v>U</v>
          </cell>
          <cell r="J1725" t="str">
            <v>U</v>
          </cell>
        </row>
        <row r="1726">
          <cell r="B1726" t="str">
            <v>MC010010304</v>
          </cell>
          <cell r="C1726" t="str">
            <v>MARRO CHICA</v>
          </cell>
          <cell r="D1726" t="str">
            <v>NECESSAIRE</v>
          </cell>
          <cell r="E1726" t="str">
            <v>NECESSAIRE</v>
          </cell>
          <cell r="F1726" t="str">
            <v>BRIDGE</v>
          </cell>
          <cell r="G1726">
            <v>0</v>
          </cell>
          <cell r="H1726" t="str">
            <v>TABACO</v>
          </cell>
          <cell r="I1726" t="str">
            <v>U</v>
          </cell>
          <cell r="J1726" t="str">
            <v>U</v>
          </cell>
        </row>
        <row r="1727">
          <cell r="B1727" t="str">
            <v>MC020670301</v>
          </cell>
          <cell r="C1727" t="str">
            <v>MARRO CHICA</v>
          </cell>
          <cell r="D1727" t="str">
            <v>NECESSAIRE</v>
          </cell>
          <cell r="E1727" t="str">
            <v>NECESSAIRE FELI</v>
          </cell>
          <cell r="F1727" t="str">
            <v>BRIDGE</v>
          </cell>
          <cell r="G1727">
            <v>0</v>
          </cell>
          <cell r="H1727" t="str">
            <v>NEGRO</v>
          </cell>
          <cell r="I1727" t="str">
            <v>U</v>
          </cell>
          <cell r="J1727" t="str">
            <v>M</v>
          </cell>
        </row>
        <row r="1728">
          <cell r="B1728" t="str">
            <v>MC020670303</v>
          </cell>
          <cell r="C1728" t="str">
            <v>MARRO CHICA</v>
          </cell>
          <cell r="D1728" t="str">
            <v>NECESSAIRE</v>
          </cell>
          <cell r="E1728" t="str">
            <v>NECESSAIRE FELI</v>
          </cell>
          <cell r="F1728" t="str">
            <v>BRIDGE</v>
          </cell>
          <cell r="G1728">
            <v>0</v>
          </cell>
          <cell r="H1728" t="str">
            <v>CARAMELO</v>
          </cell>
          <cell r="I1728" t="str">
            <v>U</v>
          </cell>
          <cell r="J1728" t="str">
            <v>M</v>
          </cell>
        </row>
        <row r="1729">
          <cell r="B1729" t="str">
            <v>MC020670304</v>
          </cell>
          <cell r="C1729" t="str">
            <v>MARRO CHICA</v>
          </cell>
          <cell r="D1729" t="str">
            <v>NECESSAIRE</v>
          </cell>
          <cell r="E1729" t="str">
            <v>NECESSAIRE FELI</v>
          </cell>
          <cell r="F1729" t="str">
            <v>BRIDGE</v>
          </cell>
          <cell r="G1729">
            <v>0</v>
          </cell>
          <cell r="H1729" t="str">
            <v>TABACO</v>
          </cell>
          <cell r="I1729" t="str">
            <v>U</v>
          </cell>
          <cell r="J1729" t="str">
            <v>M</v>
          </cell>
        </row>
        <row r="1730">
          <cell r="B1730" t="str">
            <v>MC020670307</v>
          </cell>
          <cell r="C1730" t="str">
            <v>MARRO CHICA</v>
          </cell>
          <cell r="D1730" t="str">
            <v>NECESSAIRE</v>
          </cell>
          <cell r="E1730" t="str">
            <v>NECESSAIRE FELI</v>
          </cell>
          <cell r="F1730" t="str">
            <v>BRIDGE</v>
          </cell>
          <cell r="G1730">
            <v>0</v>
          </cell>
          <cell r="H1730" t="str">
            <v>ROJO</v>
          </cell>
          <cell r="I1730" t="str">
            <v>U</v>
          </cell>
          <cell r="J1730" t="str">
            <v>M</v>
          </cell>
        </row>
        <row r="1731">
          <cell r="B1731" t="str">
            <v>MC020670701</v>
          </cell>
          <cell r="C1731" t="str">
            <v>MARRO CHICA</v>
          </cell>
          <cell r="D1731" t="str">
            <v>NECESSAIRE</v>
          </cell>
          <cell r="E1731" t="str">
            <v>NECESSAIRE FELI</v>
          </cell>
          <cell r="F1731" t="str">
            <v>IGUANA</v>
          </cell>
          <cell r="G1731">
            <v>0</v>
          </cell>
          <cell r="H1731" t="str">
            <v>NEGRO</v>
          </cell>
          <cell r="I1731" t="str">
            <v>U</v>
          </cell>
          <cell r="J1731" t="str">
            <v>M</v>
          </cell>
        </row>
        <row r="1732">
          <cell r="B1732" t="str">
            <v>MC020670703</v>
          </cell>
          <cell r="C1732" t="str">
            <v>MARRO CHICA</v>
          </cell>
          <cell r="D1732" t="str">
            <v>NECESSAIRE</v>
          </cell>
          <cell r="E1732" t="str">
            <v>NECESSAIRE FELI</v>
          </cell>
          <cell r="F1732" t="str">
            <v>IGUANA</v>
          </cell>
          <cell r="G1732">
            <v>0</v>
          </cell>
          <cell r="H1732" t="str">
            <v>CARAMELO</v>
          </cell>
          <cell r="I1732" t="str">
            <v>U</v>
          </cell>
          <cell r="J1732" t="str">
            <v>M</v>
          </cell>
        </row>
        <row r="1733">
          <cell r="B1733" t="str">
            <v>MC020670707</v>
          </cell>
          <cell r="C1733" t="str">
            <v>MARRO CHICA</v>
          </cell>
          <cell r="D1733" t="str">
            <v>NECESSAIRE</v>
          </cell>
          <cell r="E1733" t="str">
            <v>NECESSAIRE FELI</v>
          </cell>
          <cell r="F1733" t="str">
            <v>IGUANA</v>
          </cell>
          <cell r="G1733">
            <v>0</v>
          </cell>
          <cell r="H1733" t="str">
            <v>ROJO</v>
          </cell>
          <cell r="I1733" t="str">
            <v>U</v>
          </cell>
          <cell r="J1733" t="str">
            <v>M</v>
          </cell>
        </row>
        <row r="1734">
          <cell r="B1734" t="str">
            <v>MC010420301</v>
          </cell>
          <cell r="C1734" t="str">
            <v>MARRO CHICA</v>
          </cell>
          <cell r="D1734" t="str">
            <v>NECESSAIRE</v>
          </cell>
          <cell r="E1734" t="str">
            <v>NECESSAIRE LANIN</v>
          </cell>
          <cell r="F1734" t="str">
            <v>BRIDGE</v>
          </cell>
          <cell r="G1734">
            <v>0</v>
          </cell>
          <cell r="H1734" t="str">
            <v>NEGRO</v>
          </cell>
          <cell r="I1734" t="str">
            <v>U</v>
          </cell>
          <cell r="J1734" t="str">
            <v>U</v>
          </cell>
        </row>
        <row r="1735">
          <cell r="B1735" t="str">
            <v>MC010420303</v>
          </cell>
          <cell r="C1735" t="str">
            <v>MARRO CHICA</v>
          </cell>
          <cell r="D1735" t="str">
            <v>NECESSAIRE</v>
          </cell>
          <cell r="E1735" t="str">
            <v>NECESSAIRE LANIN</v>
          </cell>
          <cell r="F1735" t="str">
            <v>BRIDGE</v>
          </cell>
          <cell r="G1735">
            <v>0</v>
          </cell>
          <cell r="H1735" t="str">
            <v>CARAMELO</v>
          </cell>
          <cell r="I1735" t="str">
            <v>U</v>
          </cell>
          <cell r="J1735" t="str">
            <v>U</v>
          </cell>
        </row>
        <row r="1736">
          <cell r="B1736" t="str">
            <v>MC010420304</v>
          </cell>
          <cell r="C1736" t="str">
            <v>MARRO CHICA</v>
          </cell>
          <cell r="D1736" t="str">
            <v>NECESSAIRE</v>
          </cell>
          <cell r="E1736" t="str">
            <v>NECESSAIRE LANIN</v>
          </cell>
          <cell r="F1736" t="str">
            <v>BRIDGE</v>
          </cell>
          <cell r="G1736">
            <v>0</v>
          </cell>
          <cell r="H1736" t="str">
            <v>TABACO</v>
          </cell>
          <cell r="I1736" t="str">
            <v>U</v>
          </cell>
          <cell r="J1736" t="str">
            <v>U</v>
          </cell>
        </row>
        <row r="1737">
          <cell r="B1737" t="str">
            <v>MC010421623</v>
          </cell>
          <cell r="C1737" t="str">
            <v>MARRO CHICA</v>
          </cell>
          <cell r="D1737" t="str">
            <v>NECESSAIRE</v>
          </cell>
          <cell r="E1737" t="str">
            <v>NECESSAIRE LANIN</v>
          </cell>
          <cell r="F1737" t="str">
            <v>FIORENTINO</v>
          </cell>
          <cell r="G1737">
            <v>0</v>
          </cell>
          <cell r="H1737" t="str">
            <v>CEDRO</v>
          </cell>
          <cell r="I1737" t="str">
            <v>U</v>
          </cell>
          <cell r="J1737" t="str">
            <v>U</v>
          </cell>
        </row>
        <row r="1738">
          <cell r="B1738" t="str">
            <v>MC010423111</v>
          </cell>
          <cell r="C1738" t="str">
            <v>MARRO CHICA</v>
          </cell>
          <cell r="D1738" t="str">
            <v>NECESSAIRE</v>
          </cell>
          <cell r="E1738" t="str">
            <v>NECESSAIRE LANIN</v>
          </cell>
          <cell r="F1738" t="str">
            <v>PELO</v>
          </cell>
          <cell r="G1738">
            <v>0</v>
          </cell>
          <cell r="H1738" t="str">
            <v>BEIGE</v>
          </cell>
          <cell r="I1738" t="str">
            <v>U</v>
          </cell>
          <cell r="J1738" t="str">
            <v>U</v>
          </cell>
        </row>
        <row r="1739">
          <cell r="B1739" t="str">
            <v>MC010423241</v>
          </cell>
          <cell r="C1739" t="str">
            <v>MARRO CHICA</v>
          </cell>
          <cell r="D1739" t="str">
            <v>NECESSAIRE</v>
          </cell>
          <cell r="E1739" t="str">
            <v>NECESSAIRE LANIN</v>
          </cell>
          <cell r="F1739" t="str">
            <v>VINTAGE</v>
          </cell>
          <cell r="G1739">
            <v>0</v>
          </cell>
          <cell r="H1739" t="str">
            <v>LIGHT</v>
          </cell>
          <cell r="I1739" t="str">
            <v>U</v>
          </cell>
          <cell r="J1739" t="str">
            <v>U</v>
          </cell>
        </row>
        <row r="1740">
          <cell r="B1740" t="str">
            <v>MG010520301</v>
          </cell>
          <cell r="C1740" t="str">
            <v>MARRO CHICA</v>
          </cell>
          <cell r="D1740" t="str">
            <v>NECESSAIRE</v>
          </cell>
          <cell r="E1740" t="str">
            <v>NECESSAIRE LANIN FULL BLACK</v>
          </cell>
          <cell r="F1740" t="str">
            <v>BRIDGE</v>
          </cell>
          <cell r="G1740">
            <v>0</v>
          </cell>
          <cell r="H1740" t="str">
            <v>NEGRO</v>
          </cell>
          <cell r="I1740" t="str">
            <v>U</v>
          </cell>
          <cell r="J1740" t="str">
            <v>U</v>
          </cell>
        </row>
        <row r="1741">
          <cell r="B1741" t="str">
            <v>MC020680301</v>
          </cell>
          <cell r="C1741" t="str">
            <v>MARRO CHICA</v>
          </cell>
          <cell r="D1741" t="str">
            <v>NECESSAIRE</v>
          </cell>
          <cell r="E1741" t="str">
            <v>NECESSAIRE LARA</v>
          </cell>
          <cell r="F1741" t="str">
            <v>BRIDGE</v>
          </cell>
          <cell r="G1741">
            <v>0</v>
          </cell>
          <cell r="H1741" t="str">
            <v>NEGRO</v>
          </cell>
          <cell r="I1741" t="str">
            <v>U</v>
          </cell>
          <cell r="J1741" t="str">
            <v>M</v>
          </cell>
        </row>
        <row r="1742">
          <cell r="B1742" t="str">
            <v>MC020680303</v>
          </cell>
          <cell r="C1742" t="str">
            <v>MARRO CHICA</v>
          </cell>
          <cell r="D1742" t="str">
            <v>NECESSAIRE</v>
          </cell>
          <cell r="E1742" t="str">
            <v>NECESSAIRE LARA</v>
          </cell>
          <cell r="F1742" t="str">
            <v>BRIDGE</v>
          </cell>
          <cell r="G1742">
            <v>0</v>
          </cell>
          <cell r="H1742" t="str">
            <v>CARAMELO</v>
          </cell>
          <cell r="I1742" t="str">
            <v>U</v>
          </cell>
          <cell r="J1742" t="str">
            <v>M</v>
          </cell>
        </row>
        <row r="1743">
          <cell r="B1743" t="str">
            <v>MC020680315</v>
          </cell>
          <cell r="C1743" t="str">
            <v>MARRO CHICA</v>
          </cell>
          <cell r="D1743" t="str">
            <v>NECESSAIRE</v>
          </cell>
          <cell r="E1743" t="str">
            <v>NECESSAIRE LARA</v>
          </cell>
          <cell r="F1743" t="str">
            <v>BRIDGE</v>
          </cell>
          <cell r="G1743">
            <v>0</v>
          </cell>
          <cell r="H1743" t="str">
            <v>MALBEC</v>
          </cell>
          <cell r="I1743" t="str">
            <v>U</v>
          </cell>
          <cell r="J1743" t="str">
            <v>M</v>
          </cell>
        </row>
        <row r="1744">
          <cell r="B1744" t="str">
            <v>MC020680701</v>
          </cell>
          <cell r="C1744" t="str">
            <v>MARRO CHICA</v>
          </cell>
          <cell r="D1744" t="str">
            <v>NECESSAIRE</v>
          </cell>
          <cell r="E1744" t="str">
            <v>NECESSAIRE LARA</v>
          </cell>
          <cell r="F1744" t="str">
            <v>IGUANA</v>
          </cell>
          <cell r="G1744">
            <v>0</v>
          </cell>
          <cell r="H1744" t="str">
            <v>NEGRO</v>
          </cell>
          <cell r="I1744" t="str">
            <v>U</v>
          </cell>
          <cell r="J1744" t="str">
            <v>M</v>
          </cell>
        </row>
        <row r="1745">
          <cell r="B1745" t="str">
            <v>MC020680703</v>
          </cell>
          <cell r="C1745" t="str">
            <v>MARRO CHICA</v>
          </cell>
          <cell r="D1745" t="str">
            <v>NECESSAIRE</v>
          </cell>
          <cell r="E1745" t="str">
            <v>NECESSAIRE LARA</v>
          </cell>
          <cell r="F1745" t="str">
            <v>IGUANA</v>
          </cell>
          <cell r="G1745">
            <v>0</v>
          </cell>
          <cell r="H1745" t="str">
            <v>CARAMELO</v>
          </cell>
          <cell r="I1745" t="str">
            <v>U</v>
          </cell>
          <cell r="J1745" t="str">
            <v>M</v>
          </cell>
        </row>
        <row r="1746">
          <cell r="B1746" t="str">
            <v>MC020680707</v>
          </cell>
          <cell r="C1746" t="str">
            <v>MARRO CHICA</v>
          </cell>
          <cell r="D1746" t="str">
            <v>NECESSAIRE</v>
          </cell>
          <cell r="E1746" t="str">
            <v>NECESSAIRE LARA</v>
          </cell>
          <cell r="F1746" t="str">
            <v>IGUANA</v>
          </cell>
          <cell r="G1746">
            <v>0</v>
          </cell>
          <cell r="H1746" t="str">
            <v>ROJO</v>
          </cell>
          <cell r="I1746" t="str">
            <v>U</v>
          </cell>
          <cell r="J1746" t="str">
            <v>M</v>
          </cell>
        </row>
        <row r="1747">
          <cell r="B1747" t="str">
            <v>MC020681623</v>
          </cell>
          <cell r="C1747" t="str">
            <v>MARRO CHICA</v>
          </cell>
          <cell r="D1747" t="str">
            <v>NECESSAIRE</v>
          </cell>
          <cell r="E1747" t="str">
            <v>NECESSAIRE LARA</v>
          </cell>
          <cell r="F1747" t="str">
            <v>FIORENTINO</v>
          </cell>
          <cell r="G1747">
            <v>0</v>
          </cell>
          <cell r="H1747" t="str">
            <v>CEDRO</v>
          </cell>
          <cell r="I1747" t="str">
            <v>U</v>
          </cell>
          <cell r="J1747" t="str">
            <v>M</v>
          </cell>
        </row>
        <row r="1748">
          <cell r="B1748" t="str">
            <v>MG010260301</v>
          </cell>
          <cell r="C1748" t="str">
            <v>MARRO GRANDE</v>
          </cell>
          <cell r="D1748" t="str">
            <v>NECESSAIRE</v>
          </cell>
          <cell r="E1748" t="str">
            <v>NECESSAIRE MINI MARCOS</v>
          </cell>
          <cell r="F1748" t="str">
            <v>BRIDGE</v>
          </cell>
          <cell r="G1748">
            <v>0</v>
          </cell>
          <cell r="H1748" t="str">
            <v>NEGRO</v>
          </cell>
          <cell r="I1748" t="str">
            <v>U</v>
          </cell>
          <cell r="J1748" t="str">
            <v>U</v>
          </cell>
        </row>
        <row r="1749">
          <cell r="B1749" t="str">
            <v>MG010260303</v>
          </cell>
          <cell r="C1749" t="str">
            <v>MARRO GRANDE</v>
          </cell>
          <cell r="D1749" t="str">
            <v>NECESSAIRE</v>
          </cell>
          <cell r="E1749" t="str">
            <v>NECESSAIRE MINI MARCOS</v>
          </cell>
          <cell r="F1749" t="str">
            <v>BRIDGE</v>
          </cell>
          <cell r="G1749">
            <v>0</v>
          </cell>
          <cell r="H1749" t="str">
            <v>CARAMELO</v>
          </cell>
          <cell r="I1749" t="str">
            <v>U</v>
          </cell>
          <cell r="J1749" t="str">
            <v>U</v>
          </cell>
        </row>
        <row r="1750">
          <cell r="B1750" t="str">
            <v>MG010260304</v>
          </cell>
          <cell r="C1750" t="str">
            <v>MARRO GRANDE</v>
          </cell>
          <cell r="D1750" t="str">
            <v>NECESSAIRE</v>
          </cell>
          <cell r="E1750" t="str">
            <v>NECESSAIRE MINI MARCOS</v>
          </cell>
          <cell r="F1750" t="str">
            <v>BRIDGE</v>
          </cell>
          <cell r="G1750">
            <v>0</v>
          </cell>
          <cell r="H1750" t="str">
            <v>TABACO</v>
          </cell>
          <cell r="I1750" t="str">
            <v>U</v>
          </cell>
          <cell r="J1750" t="str">
            <v>U</v>
          </cell>
        </row>
        <row r="1751">
          <cell r="B1751" t="str">
            <v>MG010260307</v>
          </cell>
          <cell r="C1751" t="str">
            <v>MARRO GRANDE</v>
          </cell>
          <cell r="D1751" t="str">
            <v>NECESSAIRE</v>
          </cell>
          <cell r="E1751" t="str">
            <v>NECESSAIRE MINI MARCOS</v>
          </cell>
          <cell r="F1751" t="str">
            <v>BRIDGE</v>
          </cell>
          <cell r="G1751">
            <v>0</v>
          </cell>
          <cell r="H1751" t="str">
            <v>ROJO</v>
          </cell>
          <cell r="I1751" t="str">
            <v>U</v>
          </cell>
          <cell r="J1751" t="str">
            <v>U</v>
          </cell>
        </row>
        <row r="1752">
          <cell r="B1752" t="str">
            <v>MG010260309</v>
          </cell>
          <cell r="C1752" t="str">
            <v>MARRO GRANDE</v>
          </cell>
          <cell r="D1752" t="str">
            <v>NECESSAIRE</v>
          </cell>
          <cell r="E1752" t="str">
            <v>NECESSAIRE MINI MARCOS</v>
          </cell>
          <cell r="F1752" t="str">
            <v>BRIDGE</v>
          </cell>
          <cell r="G1752">
            <v>0</v>
          </cell>
          <cell r="H1752" t="str">
            <v>AZUL</v>
          </cell>
          <cell r="I1752" t="str">
            <v>U</v>
          </cell>
          <cell r="J1752" t="str">
            <v>U</v>
          </cell>
        </row>
        <row r="1753">
          <cell r="B1753" t="str">
            <v>MG010260310</v>
          </cell>
          <cell r="C1753" t="str">
            <v>MARRO GRANDE</v>
          </cell>
          <cell r="D1753" t="str">
            <v>NECESSAIRE</v>
          </cell>
          <cell r="E1753" t="str">
            <v>NECESSAIRE MINI MARCOS</v>
          </cell>
          <cell r="F1753" t="str">
            <v>BRIDGE</v>
          </cell>
          <cell r="G1753">
            <v>0</v>
          </cell>
          <cell r="H1753" t="str">
            <v>VERDE</v>
          </cell>
          <cell r="I1753" t="str">
            <v>U</v>
          </cell>
          <cell r="J1753" t="str">
            <v>U</v>
          </cell>
        </row>
        <row r="1754">
          <cell r="B1754" t="str">
            <v>MG010260311</v>
          </cell>
          <cell r="C1754" t="str">
            <v>MARRO GRANDE</v>
          </cell>
          <cell r="D1754" t="str">
            <v>NECESSAIRE</v>
          </cell>
          <cell r="E1754" t="str">
            <v>NECESSAIRE MINI MARCOS</v>
          </cell>
          <cell r="F1754" t="str">
            <v>BRIDGE</v>
          </cell>
          <cell r="G1754">
            <v>0</v>
          </cell>
          <cell r="H1754" t="str">
            <v>CAMEL</v>
          </cell>
          <cell r="I1754" t="str">
            <v>U</v>
          </cell>
          <cell r="J1754" t="str">
            <v>U</v>
          </cell>
        </row>
        <row r="1755">
          <cell r="B1755" t="str">
            <v>MG010260312</v>
          </cell>
          <cell r="C1755" t="str">
            <v>MARRO GRANDE</v>
          </cell>
          <cell r="D1755" t="str">
            <v>NECESSAIRE</v>
          </cell>
          <cell r="E1755" t="str">
            <v>NECESSAIRE MINI MARCOS</v>
          </cell>
          <cell r="F1755" t="str">
            <v>BRIDGE</v>
          </cell>
          <cell r="G1755">
            <v>0</v>
          </cell>
          <cell r="H1755" t="str">
            <v>GRIS</v>
          </cell>
          <cell r="I1755" t="str">
            <v>U</v>
          </cell>
          <cell r="J1755" t="str">
            <v>U</v>
          </cell>
        </row>
        <row r="1756">
          <cell r="B1756" t="str">
            <v>MG010260352</v>
          </cell>
          <cell r="C1756" t="str">
            <v>MARRO GRANDE</v>
          </cell>
          <cell r="D1756" t="str">
            <v>NECESSAIRE</v>
          </cell>
          <cell r="E1756" t="str">
            <v>NECESSAIRE MINI MARCOS</v>
          </cell>
          <cell r="F1756" t="str">
            <v>BRIDGE</v>
          </cell>
          <cell r="G1756">
            <v>0</v>
          </cell>
          <cell r="H1756" t="str">
            <v>CHOCOLATE</v>
          </cell>
          <cell r="I1756" t="str">
            <v>U</v>
          </cell>
          <cell r="J1756" t="str">
            <v>U</v>
          </cell>
        </row>
        <row r="1757">
          <cell r="B1757" t="str">
            <v>MG010261623</v>
          </cell>
          <cell r="C1757" t="str">
            <v>MARRO GRANDE</v>
          </cell>
          <cell r="D1757" t="str">
            <v>NECESSAIRE</v>
          </cell>
          <cell r="E1757" t="str">
            <v>NECESSAIRE MINI MARCOS</v>
          </cell>
          <cell r="F1757" t="str">
            <v>FIORENTINO</v>
          </cell>
          <cell r="G1757">
            <v>0</v>
          </cell>
          <cell r="H1757" t="str">
            <v>CEDRO</v>
          </cell>
          <cell r="I1757" t="str">
            <v>U</v>
          </cell>
          <cell r="J1757" t="str">
            <v>U</v>
          </cell>
        </row>
        <row r="1758">
          <cell r="B1758" t="str">
            <v>MG010261904</v>
          </cell>
          <cell r="C1758" t="str">
            <v>MARRO GRANDE</v>
          </cell>
          <cell r="D1758" t="str">
            <v>NECESSAIRE</v>
          </cell>
          <cell r="E1758" t="str">
            <v>NECESSAIRE MINI MARCOS</v>
          </cell>
          <cell r="F1758" t="str">
            <v>MODENA</v>
          </cell>
          <cell r="G1758">
            <v>0</v>
          </cell>
          <cell r="H1758" t="str">
            <v>TABACO</v>
          </cell>
          <cell r="I1758" t="str">
            <v>U</v>
          </cell>
          <cell r="J1758" t="str">
            <v>U</v>
          </cell>
        </row>
        <row r="1759">
          <cell r="B1759" t="str">
            <v>MG010460301</v>
          </cell>
          <cell r="C1759" t="str">
            <v>MARRO GRANDE</v>
          </cell>
          <cell r="D1759" t="str">
            <v>NECESSAIRE</v>
          </cell>
          <cell r="E1759" t="str">
            <v>NECESSAIRE MINI MARCOS FULL BLACK</v>
          </cell>
          <cell r="F1759" t="str">
            <v>BRIDGE</v>
          </cell>
          <cell r="G1759">
            <v>0</v>
          </cell>
          <cell r="H1759" t="str">
            <v>NEGRO</v>
          </cell>
          <cell r="I1759" t="str">
            <v>U</v>
          </cell>
          <cell r="J1759" t="str">
            <v>U</v>
          </cell>
        </row>
        <row r="1760">
          <cell r="B1760" t="str">
            <v>MC020010101</v>
          </cell>
          <cell r="C1760" t="str">
            <v>MARRO CHICA</v>
          </cell>
          <cell r="D1760" t="str">
            <v>NECESSAIRE</v>
          </cell>
          <cell r="E1760" t="str">
            <v>NECESSAIRE TOM</v>
          </cell>
          <cell r="F1760" t="str">
            <v>NAPADO</v>
          </cell>
          <cell r="G1760">
            <v>0</v>
          </cell>
          <cell r="H1760" t="str">
            <v>NEGRO</v>
          </cell>
          <cell r="I1760" t="str">
            <v>U</v>
          </cell>
          <cell r="J1760" t="str">
            <v>U</v>
          </cell>
        </row>
        <row r="1761">
          <cell r="B1761" t="str">
            <v>MC020010102</v>
          </cell>
          <cell r="C1761" t="str">
            <v>MARRO CHICA</v>
          </cell>
          <cell r="D1761" t="str">
            <v>NECESSAIRE</v>
          </cell>
          <cell r="E1761" t="str">
            <v>NECESSAIRE TOM</v>
          </cell>
          <cell r="F1761" t="str">
            <v>NAPADO</v>
          </cell>
          <cell r="G1761">
            <v>0</v>
          </cell>
          <cell r="H1761" t="str">
            <v>SUELA</v>
          </cell>
          <cell r="I1761" t="str">
            <v>U</v>
          </cell>
          <cell r="J1761" t="str">
            <v>U</v>
          </cell>
        </row>
        <row r="1762">
          <cell r="B1762" t="str">
            <v>MC020010303</v>
          </cell>
          <cell r="C1762" t="str">
            <v>MARRO CHICA</v>
          </cell>
          <cell r="D1762" t="str">
            <v>NECESSAIRE</v>
          </cell>
          <cell r="E1762" t="str">
            <v>NECESSAIRE TOM</v>
          </cell>
          <cell r="F1762" t="str">
            <v>BRIDGE</v>
          </cell>
          <cell r="G1762">
            <v>0</v>
          </cell>
          <cell r="H1762" t="str">
            <v>CARAMELO</v>
          </cell>
          <cell r="I1762" t="str">
            <v>U</v>
          </cell>
          <cell r="J1762" t="str">
            <v>U</v>
          </cell>
        </row>
        <row r="1763">
          <cell r="B1763" t="str">
            <v>MC020010304</v>
          </cell>
          <cell r="C1763" t="str">
            <v>MARRO CHICA</v>
          </cell>
          <cell r="D1763" t="str">
            <v>NECESSAIRE</v>
          </cell>
          <cell r="E1763" t="str">
            <v>NECESSAIRE TOM</v>
          </cell>
          <cell r="F1763" t="str">
            <v>BRIDGE</v>
          </cell>
          <cell r="G1763">
            <v>0</v>
          </cell>
          <cell r="H1763" t="str">
            <v>TABACO</v>
          </cell>
          <cell r="I1763" t="str">
            <v>U</v>
          </cell>
          <cell r="J1763" t="str">
            <v>U</v>
          </cell>
        </row>
        <row r="1764">
          <cell r="B1764" t="str">
            <v>MC020010307</v>
          </cell>
          <cell r="C1764" t="str">
            <v>MARRO CHICA</v>
          </cell>
          <cell r="D1764" t="str">
            <v>NECESSAIRE</v>
          </cell>
          <cell r="E1764" t="str">
            <v>NECESSAIRE TOM</v>
          </cell>
          <cell r="F1764" t="str">
            <v>BRIDGE</v>
          </cell>
          <cell r="G1764">
            <v>0</v>
          </cell>
          <cell r="H1764" t="str">
            <v>ROJO</v>
          </cell>
          <cell r="I1764" t="str">
            <v>U</v>
          </cell>
          <cell r="J1764" t="str">
            <v>U</v>
          </cell>
        </row>
        <row r="1765">
          <cell r="B1765" t="str">
            <v>MC020010352</v>
          </cell>
          <cell r="C1765" t="str">
            <v>MARRO CHICA</v>
          </cell>
          <cell r="D1765" t="str">
            <v>NECESSAIRE</v>
          </cell>
          <cell r="E1765" t="str">
            <v>NECESSAIRE TOM</v>
          </cell>
          <cell r="F1765" t="str">
            <v>BRIDGE</v>
          </cell>
          <cell r="G1765">
            <v>0</v>
          </cell>
          <cell r="H1765" t="str">
            <v>CHOCOLATE</v>
          </cell>
          <cell r="I1765" t="str">
            <v>U</v>
          </cell>
          <cell r="J1765" t="str">
            <v>U</v>
          </cell>
        </row>
        <row r="1766">
          <cell r="B1766" t="str">
            <v>MC020010301</v>
          </cell>
          <cell r="C1766" t="str">
            <v>MARRO CHICA</v>
          </cell>
          <cell r="D1766" t="str">
            <v>NECESSAIRE</v>
          </cell>
          <cell r="E1766" t="str">
            <v>NECESSAIRE TOM</v>
          </cell>
          <cell r="F1766" t="str">
            <v>BRIDGE</v>
          </cell>
          <cell r="G1766">
            <v>0</v>
          </cell>
          <cell r="H1766" t="str">
            <v>NEGRO</v>
          </cell>
          <cell r="I1766" t="str">
            <v>U</v>
          </cell>
          <cell r="J1766" t="str">
            <v>U</v>
          </cell>
        </row>
        <row r="1767">
          <cell r="B1767" t="str">
            <v>MC020010823</v>
          </cell>
          <cell r="C1767" t="str">
            <v>MARRO CHICA</v>
          </cell>
          <cell r="D1767" t="str">
            <v>NECESSAIRE</v>
          </cell>
          <cell r="E1767" t="str">
            <v>NECESSAIRE TOM</v>
          </cell>
          <cell r="F1767" t="str">
            <v>JACQUARD</v>
          </cell>
          <cell r="G1767">
            <v>0</v>
          </cell>
          <cell r="H1767" t="str">
            <v>TJ004</v>
          </cell>
          <cell r="I1767" t="str">
            <v>U</v>
          </cell>
          <cell r="J1767" t="str">
            <v>U</v>
          </cell>
        </row>
        <row r="1768">
          <cell r="B1768" t="str">
            <v>MC020010831</v>
          </cell>
          <cell r="C1768" t="str">
            <v>MARRO CHICA</v>
          </cell>
          <cell r="D1768" t="str">
            <v>NECESSAIRE</v>
          </cell>
          <cell r="E1768" t="str">
            <v>NECESSAIRE TOM</v>
          </cell>
          <cell r="F1768" t="str">
            <v>JACQUARD</v>
          </cell>
          <cell r="G1768">
            <v>0</v>
          </cell>
          <cell r="H1768" t="str">
            <v>TJ012</v>
          </cell>
          <cell r="I1768" t="str">
            <v>U</v>
          </cell>
          <cell r="J1768" t="str">
            <v>U</v>
          </cell>
        </row>
        <row r="1769">
          <cell r="B1769" t="str">
            <v>CA090112403-41</v>
          </cell>
          <cell r="C1769" t="str">
            <v>CALZADO</v>
          </cell>
          <cell r="D1769" t="str">
            <v>PANTUFLA</v>
          </cell>
          <cell r="E1769" t="str">
            <v>PANTUFLA GALO</v>
          </cell>
          <cell r="F1769" t="str">
            <v>CARPINCHO</v>
          </cell>
          <cell r="G1769">
            <v>0</v>
          </cell>
          <cell r="H1769" t="str">
            <v>CARAMELO</v>
          </cell>
          <cell r="I1769">
            <v>41</v>
          </cell>
          <cell r="J1769" t="str">
            <v>H</v>
          </cell>
        </row>
        <row r="1770">
          <cell r="B1770" t="str">
            <v>CA090112403-42</v>
          </cell>
          <cell r="C1770" t="str">
            <v>CALZADO</v>
          </cell>
          <cell r="D1770" t="str">
            <v>PANTUFLA</v>
          </cell>
          <cell r="E1770" t="str">
            <v>PANTUFLA GALO</v>
          </cell>
          <cell r="F1770" t="str">
            <v>CARPINCHO</v>
          </cell>
          <cell r="G1770">
            <v>0</v>
          </cell>
          <cell r="H1770" t="str">
            <v>CARAMELO</v>
          </cell>
          <cell r="I1770">
            <v>42</v>
          </cell>
          <cell r="J1770" t="str">
            <v>H</v>
          </cell>
        </row>
        <row r="1771">
          <cell r="B1771" t="str">
            <v>CA090112403-43</v>
          </cell>
          <cell r="C1771" t="str">
            <v>CALZADO</v>
          </cell>
          <cell r="D1771" t="str">
            <v>PANTUFLA</v>
          </cell>
          <cell r="E1771" t="str">
            <v>PANTUFLA GALO</v>
          </cell>
          <cell r="F1771" t="str">
            <v>CARPINCHO</v>
          </cell>
          <cell r="G1771">
            <v>0</v>
          </cell>
          <cell r="H1771" t="str">
            <v>CARAMELO</v>
          </cell>
          <cell r="I1771">
            <v>43</v>
          </cell>
          <cell r="J1771" t="str">
            <v>H</v>
          </cell>
        </row>
        <row r="1772">
          <cell r="B1772" t="str">
            <v>CA090112452-41</v>
          </cell>
          <cell r="C1772" t="str">
            <v>CALZADO</v>
          </cell>
          <cell r="D1772" t="str">
            <v>PANTUFLA</v>
          </cell>
          <cell r="E1772" t="str">
            <v>PANTUFLA GALO</v>
          </cell>
          <cell r="F1772" t="str">
            <v>CARPINCHO</v>
          </cell>
          <cell r="G1772">
            <v>0</v>
          </cell>
          <cell r="H1772" t="str">
            <v>CHOCOLATE</v>
          </cell>
          <cell r="I1772">
            <v>41</v>
          </cell>
          <cell r="J1772" t="str">
            <v>H</v>
          </cell>
        </row>
        <row r="1773">
          <cell r="B1773" t="str">
            <v>CA090112452-42</v>
          </cell>
          <cell r="C1773" t="str">
            <v>CALZADO</v>
          </cell>
          <cell r="D1773" t="str">
            <v>PANTUFLA</v>
          </cell>
          <cell r="E1773" t="str">
            <v>PANTUFLA GALO</v>
          </cell>
          <cell r="F1773" t="str">
            <v>CARPINCHO</v>
          </cell>
          <cell r="G1773">
            <v>0</v>
          </cell>
          <cell r="H1773" t="str">
            <v>CHOCOLATE</v>
          </cell>
          <cell r="I1773">
            <v>42</v>
          </cell>
          <cell r="J1773" t="str">
            <v>H</v>
          </cell>
        </row>
        <row r="1774">
          <cell r="B1774" t="str">
            <v>CA090112452-43</v>
          </cell>
          <cell r="C1774" t="str">
            <v>CALZADO</v>
          </cell>
          <cell r="D1774" t="str">
            <v>PANTUFLA</v>
          </cell>
          <cell r="E1774" t="str">
            <v>PANTUFLA GALO</v>
          </cell>
          <cell r="F1774" t="str">
            <v>CARPINCHO</v>
          </cell>
          <cell r="G1774">
            <v>0</v>
          </cell>
          <cell r="H1774" t="str">
            <v>CHOCOLATE</v>
          </cell>
          <cell r="I1774">
            <v>43</v>
          </cell>
          <cell r="J1774" t="str">
            <v>H</v>
          </cell>
        </row>
        <row r="1775">
          <cell r="B1775" t="str">
            <v>CA090112452-44</v>
          </cell>
          <cell r="C1775" t="str">
            <v>CALZADO</v>
          </cell>
          <cell r="D1775" t="str">
            <v>PANTUFLA</v>
          </cell>
          <cell r="E1775" t="str">
            <v>PANTUFLA GALO</v>
          </cell>
          <cell r="F1775" t="str">
            <v>CARPINCHO</v>
          </cell>
          <cell r="G1775">
            <v>0</v>
          </cell>
          <cell r="H1775" t="str">
            <v>CHOCOLATE</v>
          </cell>
          <cell r="I1775">
            <v>44</v>
          </cell>
          <cell r="J1775" t="str">
            <v>H</v>
          </cell>
        </row>
        <row r="1776">
          <cell r="B1776" t="str">
            <v>CA090112452-45</v>
          </cell>
          <cell r="C1776" t="str">
            <v>CALZADO</v>
          </cell>
          <cell r="D1776" t="str">
            <v>PANTUFLA</v>
          </cell>
          <cell r="E1776" t="str">
            <v>PANTUFLA GALO</v>
          </cell>
          <cell r="F1776" t="str">
            <v>CARPINCHO</v>
          </cell>
          <cell r="G1776">
            <v>0</v>
          </cell>
          <cell r="H1776" t="str">
            <v>CHOCOLATE</v>
          </cell>
          <cell r="I1776">
            <v>45</v>
          </cell>
          <cell r="J1776" t="str">
            <v>H</v>
          </cell>
        </row>
        <row r="1777">
          <cell r="B1777" t="str">
            <v>OT120310000</v>
          </cell>
          <cell r="C1777" t="str">
            <v>OTROS</v>
          </cell>
          <cell r="D1777" t="str">
            <v>OTROS</v>
          </cell>
          <cell r="E1777" t="str">
            <v xml:space="preserve">PAPEL REGALO LUCERO </v>
          </cell>
          <cell r="F1777" t="str">
            <v>VARIOS</v>
          </cell>
          <cell r="G1777">
            <v>0</v>
          </cell>
          <cell r="H1777" t="str">
            <v>VARIOS</v>
          </cell>
          <cell r="I1777" t="str">
            <v>U</v>
          </cell>
          <cell r="J1777">
            <v>0</v>
          </cell>
        </row>
        <row r="1778">
          <cell r="B1778" t="str">
            <v>OT160430001</v>
          </cell>
          <cell r="C1778" t="str">
            <v>OTROS</v>
          </cell>
          <cell r="D1778" t="str">
            <v>OTROS</v>
          </cell>
          <cell r="E1778" t="str">
            <v>PAPEL SEDA EL LUCERO 60x40</v>
          </cell>
          <cell r="F1778" t="str">
            <v>VARIOS</v>
          </cell>
          <cell r="G1778">
            <v>0</v>
          </cell>
          <cell r="H1778" t="str">
            <v>GRIS</v>
          </cell>
          <cell r="I1778" t="str">
            <v>U</v>
          </cell>
          <cell r="J1778">
            <v>0</v>
          </cell>
        </row>
        <row r="1779">
          <cell r="B1779" t="str">
            <v>MG010680101</v>
          </cell>
          <cell r="C1779" t="str">
            <v>MARRO GRANDE</v>
          </cell>
          <cell r="D1779" t="str">
            <v>PHONEBAG</v>
          </cell>
          <cell r="E1779" t="str">
            <v>PHONEBAG SIRIO</v>
          </cell>
          <cell r="F1779" t="str">
            <v>NAPADO</v>
          </cell>
          <cell r="G1779">
            <v>0</v>
          </cell>
          <cell r="H1779" t="str">
            <v>NEGRO</v>
          </cell>
          <cell r="I1779" t="str">
            <v>U</v>
          </cell>
          <cell r="J1779" t="str">
            <v>U</v>
          </cell>
        </row>
        <row r="1780">
          <cell r="B1780" t="str">
            <v>MG010680103</v>
          </cell>
          <cell r="C1780" t="str">
            <v>MARRO GRANDE</v>
          </cell>
          <cell r="D1780" t="str">
            <v>PHONEBAG</v>
          </cell>
          <cell r="E1780" t="str">
            <v>PHONEBAG SIRIO</v>
          </cell>
          <cell r="F1780" t="str">
            <v>NAPADO</v>
          </cell>
          <cell r="G1780">
            <v>0</v>
          </cell>
          <cell r="H1780" t="str">
            <v>CARAMELO</v>
          </cell>
          <cell r="I1780" t="str">
            <v>U</v>
          </cell>
          <cell r="J1780" t="str">
            <v>U</v>
          </cell>
        </row>
        <row r="1781">
          <cell r="B1781" t="str">
            <v>MG010680105</v>
          </cell>
          <cell r="C1781" t="str">
            <v>MARRO GRANDE</v>
          </cell>
          <cell r="D1781" t="str">
            <v>PHONEBAG</v>
          </cell>
          <cell r="E1781" t="str">
            <v>PHONEBAG SIRIO</v>
          </cell>
          <cell r="F1781" t="str">
            <v>NAPADO</v>
          </cell>
          <cell r="G1781">
            <v>0</v>
          </cell>
          <cell r="H1781" t="str">
            <v>LONDON</v>
          </cell>
          <cell r="I1781" t="str">
            <v>U</v>
          </cell>
          <cell r="J1781" t="str">
            <v>U</v>
          </cell>
        </row>
        <row r="1782">
          <cell r="B1782" t="str">
            <v>MG010680110</v>
          </cell>
          <cell r="C1782" t="str">
            <v>MARRO GRANDE</v>
          </cell>
          <cell r="D1782" t="str">
            <v>PHONEBAG</v>
          </cell>
          <cell r="E1782" t="str">
            <v>PHONEBAG SIRIO</v>
          </cell>
          <cell r="F1782" t="str">
            <v>NAPADO</v>
          </cell>
          <cell r="G1782">
            <v>0</v>
          </cell>
          <cell r="H1782" t="str">
            <v>VERDE</v>
          </cell>
          <cell r="I1782" t="str">
            <v>U</v>
          </cell>
          <cell r="J1782" t="str">
            <v>U</v>
          </cell>
        </row>
        <row r="1783">
          <cell r="B1783" t="str">
            <v>MG010680301</v>
          </cell>
          <cell r="C1783" t="str">
            <v>MARRO GRANDE</v>
          </cell>
          <cell r="D1783" t="str">
            <v>PHONEBAG</v>
          </cell>
          <cell r="E1783" t="str">
            <v>PHONEBAG SIRIO</v>
          </cell>
          <cell r="F1783" t="str">
            <v>BRIDGE</v>
          </cell>
          <cell r="G1783">
            <v>0</v>
          </cell>
          <cell r="H1783" t="str">
            <v>NEGRO</v>
          </cell>
          <cell r="I1783" t="str">
            <v>U</v>
          </cell>
          <cell r="J1783" t="str">
            <v>U</v>
          </cell>
        </row>
        <row r="1784">
          <cell r="B1784" t="str">
            <v>MG010680303</v>
          </cell>
          <cell r="C1784" t="str">
            <v>MARRO GRANDE</v>
          </cell>
          <cell r="D1784" t="str">
            <v>PHONEBAG</v>
          </cell>
          <cell r="E1784" t="str">
            <v>PHONEBAG SIRIO</v>
          </cell>
          <cell r="F1784" t="str">
            <v>BRIDGE</v>
          </cell>
          <cell r="G1784">
            <v>0</v>
          </cell>
          <cell r="H1784" t="str">
            <v>CARAMELO</v>
          </cell>
          <cell r="I1784" t="str">
            <v>U</v>
          </cell>
          <cell r="J1784" t="str">
            <v>U</v>
          </cell>
        </row>
        <row r="1785">
          <cell r="B1785" t="str">
            <v>MG010680304</v>
          </cell>
          <cell r="C1785" t="str">
            <v>MARRO GRANDE</v>
          </cell>
          <cell r="D1785" t="str">
            <v>PHONEBAG</v>
          </cell>
          <cell r="E1785" t="str">
            <v>PHONEBAG SIRIO</v>
          </cell>
          <cell r="F1785" t="str">
            <v>BRIDGE</v>
          </cell>
          <cell r="G1785">
            <v>0</v>
          </cell>
          <cell r="H1785" t="str">
            <v>TABACO</v>
          </cell>
          <cell r="I1785" t="str">
            <v>U</v>
          </cell>
          <cell r="J1785" t="str">
            <v>U</v>
          </cell>
        </row>
        <row r="1786">
          <cell r="B1786" t="str">
            <v>MG010680307</v>
          </cell>
          <cell r="C1786" t="str">
            <v>MARRO GRANDE</v>
          </cell>
          <cell r="D1786" t="str">
            <v>PHONEBAG</v>
          </cell>
          <cell r="E1786" t="str">
            <v>PHONEBAG SIRIO</v>
          </cell>
          <cell r="F1786" t="str">
            <v>BRIDGE</v>
          </cell>
          <cell r="G1786">
            <v>0</v>
          </cell>
          <cell r="H1786" t="str">
            <v>ROJO</v>
          </cell>
          <cell r="I1786" t="str">
            <v>U</v>
          </cell>
          <cell r="J1786" t="str">
            <v>U</v>
          </cell>
        </row>
        <row r="1787">
          <cell r="B1787" t="str">
            <v>MG010680309</v>
          </cell>
          <cell r="C1787" t="str">
            <v>MARRO GRANDE</v>
          </cell>
          <cell r="D1787" t="str">
            <v>PHONEBAG</v>
          </cell>
          <cell r="E1787" t="str">
            <v>PHONEBAG SIRIO</v>
          </cell>
          <cell r="F1787" t="str">
            <v>BRIDGE</v>
          </cell>
          <cell r="G1787">
            <v>0</v>
          </cell>
          <cell r="H1787" t="str">
            <v>AZUL</v>
          </cell>
          <cell r="I1787" t="str">
            <v>U</v>
          </cell>
          <cell r="J1787" t="str">
            <v>U</v>
          </cell>
        </row>
        <row r="1788">
          <cell r="B1788" t="str">
            <v>MG010650301</v>
          </cell>
          <cell r="C1788" t="str">
            <v>MARRO GRANDE</v>
          </cell>
          <cell r="D1788" t="str">
            <v>PHONEBAG</v>
          </cell>
          <cell r="E1788" t="str">
            <v>PHONEBAG TANIA</v>
          </cell>
          <cell r="F1788" t="str">
            <v>BRIDGE</v>
          </cell>
          <cell r="G1788">
            <v>0</v>
          </cell>
          <cell r="H1788" t="str">
            <v>NEGRO</v>
          </cell>
          <cell r="I1788" t="str">
            <v>U</v>
          </cell>
          <cell r="J1788" t="str">
            <v>U</v>
          </cell>
        </row>
        <row r="1789">
          <cell r="B1789" t="str">
            <v>MG010650303</v>
          </cell>
          <cell r="C1789" t="str">
            <v>MARRO GRANDE</v>
          </cell>
          <cell r="D1789" t="str">
            <v>PHONEBAG</v>
          </cell>
          <cell r="E1789" t="str">
            <v>PHONEBAG TANIA</v>
          </cell>
          <cell r="F1789" t="str">
            <v>BRIDGE</v>
          </cell>
          <cell r="G1789">
            <v>0</v>
          </cell>
          <cell r="H1789" t="str">
            <v>CARAMELO</v>
          </cell>
          <cell r="I1789" t="str">
            <v>U</v>
          </cell>
          <cell r="J1789" t="str">
            <v>U</v>
          </cell>
        </row>
        <row r="1790">
          <cell r="B1790" t="str">
            <v>MG010650304</v>
          </cell>
          <cell r="C1790" t="str">
            <v>MARRO GRANDE</v>
          </cell>
          <cell r="D1790" t="str">
            <v>PHONEBAG</v>
          </cell>
          <cell r="E1790" t="str">
            <v>PHONEBAG TANIA</v>
          </cell>
          <cell r="F1790" t="str">
            <v>BRIDGE</v>
          </cell>
          <cell r="G1790">
            <v>0</v>
          </cell>
          <cell r="H1790" t="str">
            <v>TABACO</v>
          </cell>
          <cell r="I1790" t="str">
            <v>U</v>
          </cell>
          <cell r="J1790" t="str">
            <v>U</v>
          </cell>
        </row>
        <row r="1791">
          <cell r="B1791" t="str">
            <v>MG010650307</v>
          </cell>
          <cell r="C1791" t="str">
            <v>MARRO GRANDE</v>
          </cell>
          <cell r="D1791" t="str">
            <v>PHONEBAG</v>
          </cell>
          <cell r="E1791" t="str">
            <v>PHONEBAG TANIA</v>
          </cell>
          <cell r="F1791" t="str">
            <v>BRIDGE</v>
          </cell>
          <cell r="G1791">
            <v>0</v>
          </cell>
          <cell r="H1791" t="str">
            <v>ROJO</v>
          </cell>
          <cell r="I1791" t="str">
            <v>U</v>
          </cell>
          <cell r="J1791" t="str">
            <v>U</v>
          </cell>
        </row>
        <row r="1792">
          <cell r="B1792" t="str">
            <v>MG010650509</v>
          </cell>
          <cell r="C1792" t="str">
            <v>MARRO GRANDE</v>
          </cell>
          <cell r="D1792" t="str">
            <v>PHONEBAG</v>
          </cell>
          <cell r="E1792" t="str">
            <v>PHONEBAG TANIA</v>
          </cell>
          <cell r="F1792" t="str">
            <v>GAMUZA</v>
          </cell>
          <cell r="G1792">
            <v>0</v>
          </cell>
          <cell r="H1792" t="str">
            <v>AZUL</v>
          </cell>
          <cell r="I1792" t="str">
            <v>U</v>
          </cell>
          <cell r="J1792" t="str">
            <v>U</v>
          </cell>
        </row>
        <row r="1793">
          <cell r="B1793" t="str">
            <v>MG010650516</v>
          </cell>
          <cell r="C1793" t="str">
            <v>MARRO GRANDE</v>
          </cell>
          <cell r="D1793" t="str">
            <v>PHONEBAG</v>
          </cell>
          <cell r="E1793" t="str">
            <v>PHONEBAG TANIA</v>
          </cell>
          <cell r="F1793" t="str">
            <v>GAMUZA</v>
          </cell>
          <cell r="G1793">
            <v>0</v>
          </cell>
          <cell r="H1793" t="str">
            <v>OLIVE</v>
          </cell>
          <cell r="I1793" t="str">
            <v>U</v>
          </cell>
          <cell r="J1793" t="str">
            <v>U</v>
          </cell>
        </row>
        <row r="1794">
          <cell r="B1794" t="str">
            <v>MG010650517</v>
          </cell>
          <cell r="C1794" t="str">
            <v>MARRO GRANDE</v>
          </cell>
          <cell r="D1794" t="str">
            <v>PHONEBAG</v>
          </cell>
          <cell r="E1794" t="str">
            <v>PHONEBAG TANIA</v>
          </cell>
          <cell r="F1794" t="str">
            <v>GAMUZA</v>
          </cell>
          <cell r="G1794">
            <v>0</v>
          </cell>
          <cell r="H1794" t="str">
            <v>GRIS MEDIO</v>
          </cell>
          <cell r="I1794" t="str">
            <v>U</v>
          </cell>
          <cell r="J1794" t="str">
            <v>U</v>
          </cell>
        </row>
        <row r="1795">
          <cell r="B1795" t="str">
            <v>MG010650518</v>
          </cell>
          <cell r="C1795" t="str">
            <v>MARRO GRANDE</v>
          </cell>
          <cell r="D1795" t="str">
            <v>PHONEBAG</v>
          </cell>
          <cell r="E1795" t="str">
            <v>PHONEBAG TANIA</v>
          </cell>
          <cell r="F1795" t="str">
            <v>GAMUZA</v>
          </cell>
          <cell r="G1795">
            <v>0</v>
          </cell>
          <cell r="H1795" t="str">
            <v>MARSALA</v>
          </cell>
          <cell r="I1795" t="str">
            <v>U</v>
          </cell>
          <cell r="J1795" t="str">
            <v>U</v>
          </cell>
        </row>
        <row r="1796">
          <cell r="B1796" t="str">
            <v>MG010650550</v>
          </cell>
          <cell r="C1796" t="str">
            <v>MARRO GRANDE</v>
          </cell>
          <cell r="D1796" t="str">
            <v>PHONEBAG</v>
          </cell>
          <cell r="E1796" t="str">
            <v>PHONEBAG TANIA</v>
          </cell>
          <cell r="F1796" t="str">
            <v>GAMUZA</v>
          </cell>
          <cell r="G1796">
            <v>0</v>
          </cell>
          <cell r="H1796" t="str">
            <v>VESUBIO</v>
          </cell>
          <cell r="I1796" t="str">
            <v>U</v>
          </cell>
          <cell r="J1796" t="str">
            <v>U</v>
          </cell>
        </row>
        <row r="1797">
          <cell r="B1797" t="str">
            <v>MG010650556</v>
          </cell>
          <cell r="C1797" t="str">
            <v>MARRO GRANDE</v>
          </cell>
          <cell r="D1797" t="str">
            <v>PHONEBAG</v>
          </cell>
          <cell r="E1797" t="str">
            <v>PHONEBAG TANIA</v>
          </cell>
          <cell r="F1797" t="str">
            <v>GAMUZA</v>
          </cell>
          <cell r="G1797">
            <v>0</v>
          </cell>
          <cell r="H1797" t="str">
            <v>OXIDO</v>
          </cell>
          <cell r="I1797" t="str">
            <v>U</v>
          </cell>
          <cell r="J1797" t="str">
            <v>U</v>
          </cell>
        </row>
        <row r="1798">
          <cell r="B1798" t="str">
            <v>MG010650556-3</v>
          </cell>
          <cell r="C1798" t="str">
            <v>MARRO GRANDE</v>
          </cell>
          <cell r="D1798" t="str">
            <v>PHONEBAG</v>
          </cell>
          <cell r="E1798" t="str">
            <v>PHONEBAG TANIA</v>
          </cell>
          <cell r="F1798" t="str">
            <v>GAMUZA</v>
          </cell>
          <cell r="G1798">
            <v>0</v>
          </cell>
          <cell r="H1798" t="str">
            <v>OXIDO/CARAMELO</v>
          </cell>
          <cell r="I1798" t="str">
            <v>U</v>
          </cell>
          <cell r="J1798" t="str">
            <v>U</v>
          </cell>
        </row>
        <row r="1799">
          <cell r="B1799" t="str">
            <v>MG010650558</v>
          </cell>
          <cell r="C1799" t="str">
            <v>MARRO GRANDE</v>
          </cell>
          <cell r="D1799" t="str">
            <v>PHONEBAG</v>
          </cell>
          <cell r="E1799" t="str">
            <v>PHONEBAG TANIA</v>
          </cell>
          <cell r="F1799" t="str">
            <v>GAMUZA</v>
          </cell>
          <cell r="G1799">
            <v>0</v>
          </cell>
          <cell r="H1799" t="str">
            <v>CAFE</v>
          </cell>
          <cell r="I1799" t="str">
            <v>U</v>
          </cell>
          <cell r="J1799" t="str">
            <v>U</v>
          </cell>
        </row>
        <row r="1800">
          <cell r="B1800" t="str">
            <v>MG010653111</v>
          </cell>
          <cell r="C1800" t="str">
            <v>MARRO GRANDE</v>
          </cell>
          <cell r="D1800" t="str">
            <v>PHONEBAG</v>
          </cell>
          <cell r="E1800" t="str">
            <v>PHONEBAG TANIA</v>
          </cell>
          <cell r="F1800" t="str">
            <v>PELO</v>
          </cell>
          <cell r="G1800">
            <v>0</v>
          </cell>
          <cell r="H1800" t="str">
            <v>BEIGE</v>
          </cell>
          <cell r="I1800" t="str">
            <v>U</v>
          </cell>
          <cell r="J1800" t="str">
            <v>U</v>
          </cell>
        </row>
        <row r="1801">
          <cell r="B1801" t="str">
            <v>MG010653163</v>
          </cell>
          <cell r="C1801" t="str">
            <v>MARRO GRANDE</v>
          </cell>
          <cell r="D1801" t="str">
            <v>PHONEBAG</v>
          </cell>
          <cell r="E1801" t="str">
            <v>PHONEBAG TANIA</v>
          </cell>
          <cell r="F1801" t="str">
            <v>PELO</v>
          </cell>
          <cell r="G1801">
            <v>0</v>
          </cell>
          <cell r="H1801" t="str">
            <v>MARRON</v>
          </cell>
          <cell r="I1801" t="str">
            <v>U</v>
          </cell>
          <cell r="J1801" t="str">
            <v>U</v>
          </cell>
        </row>
        <row r="1802">
          <cell r="B1802" t="str">
            <v>MG010653241</v>
          </cell>
          <cell r="C1802" t="str">
            <v>MARRO GRANDE</v>
          </cell>
          <cell r="D1802" t="str">
            <v>PHONEBAG</v>
          </cell>
          <cell r="E1802" t="str">
            <v>PHONEBAG TANIA</v>
          </cell>
          <cell r="F1802" t="str">
            <v>VINTAGE</v>
          </cell>
          <cell r="G1802">
            <v>0</v>
          </cell>
          <cell r="H1802" t="str">
            <v>LIGHT</v>
          </cell>
          <cell r="I1802" t="str">
            <v>U</v>
          </cell>
          <cell r="J1802" t="str">
            <v>U</v>
          </cell>
        </row>
        <row r="1803">
          <cell r="B1803" t="str">
            <v>MG010653242</v>
          </cell>
          <cell r="C1803" t="str">
            <v>MARRO GRANDE</v>
          </cell>
          <cell r="D1803" t="str">
            <v>PHONEBAG</v>
          </cell>
          <cell r="E1803" t="str">
            <v>PHONEBAG TANIA</v>
          </cell>
          <cell r="F1803" t="str">
            <v>VINTAGE</v>
          </cell>
          <cell r="G1803">
            <v>0</v>
          </cell>
          <cell r="H1803" t="str">
            <v>MEDIO</v>
          </cell>
          <cell r="I1803" t="str">
            <v>U</v>
          </cell>
          <cell r="J1803" t="str">
            <v>U</v>
          </cell>
        </row>
        <row r="1804">
          <cell r="B1804" t="str">
            <v>MG010653243</v>
          </cell>
          <cell r="C1804" t="str">
            <v>MARRO GRANDE</v>
          </cell>
          <cell r="D1804" t="str">
            <v>PHONEBAG</v>
          </cell>
          <cell r="E1804" t="str">
            <v>PHONEBAG TANIA</v>
          </cell>
          <cell r="F1804" t="str">
            <v>VINTAGE</v>
          </cell>
          <cell r="G1804">
            <v>0</v>
          </cell>
          <cell r="H1804" t="str">
            <v>DARK</v>
          </cell>
          <cell r="I1804" t="str">
            <v>U</v>
          </cell>
          <cell r="J1804" t="str">
            <v>U</v>
          </cell>
        </row>
        <row r="1805">
          <cell r="B1805" t="str">
            <v>MG010653464</v>
          </cell>
          <cell r="C1805" t="str">
            <v>MARRO GRANDE</v>
          </cell>
          <cell r="D1805" t="str">
            <v>PHONEBAG</v>
          </cell>
          <cell r="E1805" t="str">
            <v>PHONEBAG TANIA</v>
          </cell>
          <cell r="F1805" t="str">
            <v>DESCARNE</v>
          </cell>
          <cell r="G1805">
            <v>0</v>
          </cell>
          <cell r="H1805" t="str">
            <v>ROSA</v>
          </cell>
          <cell r="I1805" t="str">
            <v>U</v>
          </cell>
          <cell r="J1805" t="str">
            <v>U</v>
          </cell>
        </row>
        <row r="1806">
          <cell r="B1806" t="str">
            <v>MG010780301</v>
          </cell>
          <cell r="C1806" t="str">
            <v>MARRO GRANDE</v>
          </cell>
          <cell r="D1806" t="str">
            <v>PHONEBAG</v>
          </cell>
          <cell r="E1806" t="str">
            <v>PHONEBAG TAURUS</v>
          </cell>
          <cell r="F1806" t="str">
            <v>BRIDGE</v>
          </cell>
          <cell r="G1806">
            <v>0</v>
          </cell>
          <cell r="H1806" t="str">
            <v>NEGRO</v>
          </cell>
          <cell r="I1806" t="str">
            <v>U</v>
          </cell>
          <cell r="J1806" t="str">
            <v>U</v>
          </cell>
        </row>
        <row r="1807">
          <cell r="B1807" t="str">
            <v>MG010780302</v>
          </cell>
          <cell r="C1807" t="str">
            <v>MARRO GRANDE</v>
          </cell>
          <cell r="D1807" t="str">
            <v>PHONEBAG</v>
          </cell>
          <cell r="E1807" t="str">
            <v>PHONEBAG TAURUS</v>
          </cell>
          <cell r="F1807" t="str">
            <v>BRIDGE</v>
          </cell>
          <cell r="G1807">
            <v>0</v>
          </cell>
          <cell r="H1807" t="str">
            <v>SUELA</v>
          </cell>
          <cell r="I1807" t="str">
            <v>U</v>
          </cell>
          <cell r="J1807" t="str">
            <v>U</v>
          </cell>
        </row>
        <row r="1808">
          <cell r="B1808" t="str">
            <v>MG010780303</v>
          </cell>
          <cell r="C1808" t="str">
            <v>MARRO GRANDE</v>
          </cell>
          <cell r="D1808" t="str">
            <v>PHONEBAG</v>
          </cell>
          <cell r="E1808" t="str">
            <v>PHONEBAG TAURUS</v>
          </cell>
          <cell r="F1808" t="str">
            <v>BRIDGE</v>
          </cell>
          <cell r="G1808">
            <v>0</v>
          </cell>
          <cell r="H1808" t="str">
            <v>CARAMELO</v>
          </cell>
          <cell r="I1808" t="str">
            <v>U</v>
          </cell>
          <cell r="J1808" t="str">
            <v>U</v>
          </cell>
        </row>
        <row r="1809">
          <cell r="B1809" t="str">
            <v>MG010780304</v>
          </cell>
          <cell r="C1809" t="str">
            <v>MARRO GRANDE</v>
          </cell>
          <cell r="D1809" t="str">
            <v>PHONEBAG</v>
          </cell>
          <cell r="E1809" t="str">
            <v>PHONEBAG TAURUS</v>
          </cell>
          <cell r="F1809" t="str">
            <v>BRIDGE</v>
          </cell>
          <cell r="G1809">
            <v>0</v>
          </cell>
          <cell r="H1809" t="str">
            <v>TABACO</v>
          </cell>
          <cell r="I1809" t="str">
            <v>U</v>
          </cell>
          <cell r="J1809" t="str">
            <v>U</v>
          </cell>
        </row>
        <row r="1810">
          <cell r="B1810" t="str">
            <v>MG010780309</v>
          </cell>
          <cell r="C1810" t="str">
            <v>MARRO GRANDE</v>
          </cell>
          <cell r="D1810" t="str">
            <v>PHONEBAG</v>
          </cell>
          <cell r="E1810" t="str">
            <v>PHONEBAG TAURUS</v>
          </cell>
          <cell r="F1810" t="str">
            <v>BRIDGE</v>
          </cell>
          <cell r="G1810">
            <v>0</v>
          </cell>
          <cell r="H1810" t="str">
            <v>AZUL</v>
          </cell>
          <cell r="I1810" t="str">
            <v>U</v>
          </cell>
          <cell r="J1810" t="str">
            <v>U</v>
          </cell>
        </row>
        <row r="1811">
          <cell r="B1811" t="str">
            <v>MG010780312</v>
          </cell>
          <cell r="C1811" t="str">
            <v>MARRO GRANDE</v>
          </cell>
          <cell r="D1811" t="str">
            <v>PHONEBAG</v>
          </cell>
          <cell r="E1811" t="str">
            <v>PHONEBAG TAURUS</v>
          </cell>
          <cell r="F1811" t="str">
            <v>BRIDGE</v>
          </cell>
          <cell r="G1811">
            <v>0</v>
          </cell>
          <cell r="H1811" t="str">
            <v>GRIS</v>
          </cell>
          <cell r="I1811" t="str">
            <v>U</v>
          </cell>
          <cell r="J1811" t="str">
            <v>U</v>
          </cell>
        </row>
        <row r="1812">
          <cell r="B1812" t="str">
            <v>MG010780352</v>
          </cell>
          <cell r="C1812" t="str">
            <v>MARRO GRANDE</v>
          </cell>
          <cell r="D1812" t="str">
            <v>PHONEBAG</v>
          </cell>
          <cell r="E1812" t="str">
            <v>PHONEBAG TAURUS</v>
          </cell>
          <cell r="F1812" t="str">
            <v>BRIDGE</v>
          </cell>
          <cell r="G1812">
            <v>0</v>
          </cell>
          <cell r="H1812" t="str">
            <v>CHOCOLATE</v>
          </cell>
          <cell r="I1812" t="str">
            <v>U</v>
          </cell>
          <cell r="J1812" t="str">
            <v>U</v>
          </cell>
        </row>
        <row r="1813">
          <cell r="B1813" t="str">
            <v>MG010490301</v>
          </cell>
          <cell r="C1813" t="str">
            <v>MARRO GRANDE</v>
          </cell>
          <cell r="D1813" t="str">
            <v>PHONEBAG</v>
          </cell>
          <cell r="E1813" t="str">
            <v>PHONEBAG TAURUS FULL BLACK</v>
          </cell>
          <cell r="F1813" t="str">
            <v>BRIDGE</v>
          </cell>
          <cell r="G1813">
            <v>0</v>
          </cell>
          <cell r="H1813" t="str">
            <v>NEGRO</v>
          </cell>
          <cell r="I1813" t="str">
            <v>U</v>
          </cell>
          <cell r="J1813" t="str">
            <v>U</v>
          </cell>
        </row>
        <row r="1814">
          <cell r="B1814" t="str">
            <v>MC020340401</v>
          </cell>
          <cell r="C1814" t="str">
            <v>ACCESORIOS</v>
          </cell>
          <cell r="D1814" t="str">
            <v>PORTA AIRPOD</v>
          </cell>
          <cell r="E1814" t="str">
            <v>PORTA AIRPOD AIRPOD 08</v>
          </cell>
          <cell r="F1814" t="str">
            <v>VAQUETA</v>
          </cell>
          <cell r="G1814">
            <v>0</v>
          </cell>
          <cell r="H1814" t="str">
            <v>NEGRO</v>
          </cell>
          <cell r="I1814" t="str">
            <v>U</v>
          </cell>
          <cell r="J1814" t="str">
            <v>U</v>
          </cell>
        </row>
        <row r="1815">
          <cell r="B1815" t="str">
            <v>MC020340402</v>
          </cell>
          <cell r="C1815" t="str">
            <v>ACCESORIOS</v>
          </cell>
          <cell r="D1815" t="str">
            <v>PORTA AIRPOD</v>
          </cell>
          <cell r="E1815" t="str">
            <v>PORTA AIRPOD AIRPOD 08</v>
          </cell>
          <cell r="F1815" t="str">
            <v>VAQUETA</v>
          </cell>
          <cell r="G1815">
            <v>0</v>
          </cell>
          <cell r="H1815" t="str">
            <v>SUELA</v>
          </cell>
          <cell r="I1815" t="str">
            <v>U</v>
          </cell>
          <cell r="J1815" t="str">
            <v>U</v>
          </cell>
        </row>
        <row r="1816">
          <cell r="B1816" t="str">
            <v>MC020340405</v>
          </cell>
          <cell r="C1816" t="str">
            <v>ACCESORIOS</v>
          </cell>
          <cell r="D1816" t="str">
            <v>PORTA AIRPOD</v>
          </cell>
          <cell r="E1816" t="str">
            <v>PORTA AIRPOD AIRPOD 08</v>
          </cell>
          <cell r="F1816" t="str">
            <v>VAQUETA</v>
          </cell>
          <cell r="G1816">
            <v>0</v>
          </cell>
          <cell r="H1816" t="str">
            <v>LONDON</v>
          </cell>
          <cell r="I1816" t="str">
            <v>U</v>
          </cell>
          <cell r="J1816" t="str">
            <v>U</v>
          </cell>
        </row>
        <row r="1817">
          <cell r="B1817" t="str">
            <v>MC020350401</v>
          </cell>
          <cell r="C1817" t="str">
            <v>ACCESORIOS</v>
          </cell>
          <cell r="D1817" t="str">
            <v>PORTA AIRPOD</v>
          </cell>
          <cell r="E1817" t="str">
            <v>PORTA AIRPOD AIRPOD 09</v>
          </cell>
          <cell r="F1817" t="str">
            <v>VAQUETA</v>
          </cell>
          <cell r="G1817">
            <v>0</v>
          </cell>
          <cell r="H1817" t="str">
            <v>NEGRO</v>
          </cell>
          <cell r="I1817" t="str">
            <v>U</v>
          </cell>
          <cell r="J1817" t="str">
            <v>U</v>
          </cell>
        </row>
        <row r="1818">
          <cell r="B1818" t="str">
            <v>MC020350402</v>
          </cell>
          <cell r="C1818" t="str">
            <v>ACCESORIOS</v>
          </cell>
          <cell r="D1818" t="str">
            <v>PORTA AIRPOD</v>
          </cell>
          <cell r="E1818" t="str">
            <v>PORTA AIRPOD AIRPOD 09</v>
          </cell>
          <cell r="F1818" t="str">
            <v>VAQUETA</v>
          </cell>
          <cell r="G1818">
            <v>0</v>
          </cell>
          <cell r="H1818" t="str">
            <v>SUELA</v>
          </cell>
          <cell r="I1818" t="str">
            <v>U</v>
          </cell>
          <cell r="J1818" t="str">
            <v>U</v>
          </cell>
        </row>
        <row r="1819">
          <cell r="B1819" t="str">
            <v>MC020350405</v>
          </cell>
          <cell r="C1819" t="str">
            <v>ACCESORIOS</v>
          </cell>
          <cell r="D1819" t="str">
            <v>PORTA AIRPOD</v>
          </cell>
          <cell r="E1819" t="str">
            <v>PORTA AIRPOD AIRPOD 09</v>
          </cell>
          <cell r="F1819" t="str">
            <v>VAQUETA</v>
          </cell>
          <cell r="G1819">
            <v>0</v>
          </cell>
          <cell r="H1819" t="str">
            <v>LONDON</v>
          </cell>
          <cell r="I1819" t="str">
            <v>U</v>
          </cell>
          <cell r="J1819" t="str">
            <v>U</v>
          </cell>
        </row>
        <row r="1820">
          <cell r="B1820" t="str">
            <v>MC020750301</v>
          </cell>
          <cell r="C1820" t="str">
            <v>MARRO CHICA</v>
          </cell>
          <cell r="D1820" t="str">
            <v>NECESSAIRE</v>
          </cell>
          <cell r="E1820" t="str">
            <v xml:space="preserve">PORTA HIGIENE </v>
          </cell>
          <cell r="F1820" t="str">
            <v>BRIDGE</v>
          </cell>
          <cell r="G1820">
            <v>0</v>
          </cell>
          <cell r="H1820" t="str">
            <v>NEGRO</v>
          </cell>
          <cell r="I1820" t="str">
            <v>U</v>
          </cell>
          <cell r="J1820" t="str">
            <v>U</v>
          </cell>
        </row>
        <row r="1821">
          <cell r="B1821" t="str">
            <v>MC020750303</v>
          </cell>
          <cell r="C1821" t="str">
            <v>MARRO CHICA</v>
          </cell>
          <cell r="D1821" t="str">
            <v>NECESSAIRE</v>
          </cell>
          <cell r="E1821" t="str">
            <v xml:space="preserve">PORTA HIGIENE </v>
          </cell>
          <cell r="F1821" t="str">
            <v xml:space="preserve">BRIDGE </v>
          </cell>
          <cell r="G1821">
            <v>0</v>
          </cell>
          <cell r="H1821" t="str">
            <v>CARAMELO</v>
          </cell>
          <cell r="I1821" t="str">
            <v>U</v>
          </cell>
          <cell r="J1821" t="str">
            <v>U</v>
          </cell>
        </row>
        <row r="1822">
          <cell r="B1822" t="str">
            <v>MC020750304</v>
          </cell>
          <cell r="C1822" t="str">
            <v>MARRO CHICA</v>
          </cell>
          <cell r="D1822" t="str">
            <v>NECESSAIRE</v>
          </cell>
          <cell r="E1822" t="str">
            <v xml:space="preserve">PORTA HIGIENE </v>
          </cell>
          <cell r="F1822" t="str">
            <v>BRIDGE</v>
          </cell>
          <cell r="G1822">
            <v>0</v>
          </cell>
          <cell r="H1822" t="str">
            <v>TABACO</v>
          </cell>
          <cell r="I1822" t="str">
            <v>U</v>
          </cell>
          <cell r="J1822" t="str">
            <v>U</v>
          </cell>
        </row>
        <row r="1823">
          <cell r="B1823" t="str">
            <v>MC020750309</v>
          </cell>
          <cell r="C1823" t="str">
            <v>MARRO CHICA</v>
          </cell>
          <cell r="D1823" t="str">
            <v>NECESSAIRE</v>
          </cell>
          <cell r="E1823" t="str">
            <v xml:space="preserve">PORTA HIGIENE </v>
          </cell>
          <cell r="F1823" t="str">
            <v xml:space="preserve">BRIDGE </v>
          </cell>
          <cell r="G1823">
            <v>0</v>
          </cell>
          <cell r="H1823" t="str">
            <v>AZUL</v>
          </cell>
          <cell r="I1823" t="str">
            <v>U</v>
          </cell>
          <cell r="J1823" t="str">
            <v>U</v>
          </cell>
        </row>
        <row r="1824">
          <cell r="B1824" t="str">
            <v>MC020750310</v>
          </cell>
          <cell r="C1824" t="str">
            <v>MARRO CHICA</v>
          </cell>
          <cell r="D1824" t="str">
            <v>NECESSAIRE</v>
          </cell>
          <cell r="E1824" t="str">
            <v xml:space="preserve">PORTA HIGIENE </v>
          </cell>
          <cell r="F1824" t="str">
            <v xml:space="preserve">BRIDGE </v>
          </cell>
          <cell r="G1824">
            <v>0</v>
          </cell>
          <cell r="H1824" t="str">
            <v>VERDE</v>
          </cell>
          <cell r="I1824" t="str">
            <v>U</v>
          </cell>
          <cell r="J1824" t="str">
            <v>U</v>
          </cell>
        </row>
        <row r="1825">
          <cell r="B1825" t="str">
            <v>MC020751623</v>
          </cell>
          <cell r="C1825" t="str">
            <v>MARRO CHICA</v>
          </cell>
          <cell r="D1825" t="str">
            <v>NECESSAIRE</v>
          </cell>
          <cell r="E1825" t="str">
            <v xml:space="preserve">PORTA HIGIENE </v>
          </cell>
          <cell r="F1825" t="str">
            <v>FIORENTINO</v>
          </cell>
          <cell r="G1825">
            <v>0</v>
          </cell>
          <cell r="H1825" t="str">
            <v>CEDRO</v>
          </cell>
          <cell r="I1825" t="str">
            <v>U</v>
          </cell>
          <cell r="J1825" t="str">
            <v>U</v>
          </cell>
        </row>
        <row r="1826">
          <cell r="B1826" t="str">
            <v>MC020781601</v>
          </cell>
          <cell r="C1826" t="str">
            <v>MARRO CHICA</v>
          </cell>
          <cell r="D1826" t="str">
            <v>PORTA TABACO</v>
          </cell>
          <cell r="E1826" t="str">
            <v>PORTA TABACO</v>
          </cell>
          <cell r="F1826" t="str">
            <v>FIORENTINO</v>
          </cell>
          <cell r="G1826">
            <v>0</v>
          </cell>
          <cell r="H1826" t="str">
            <v>NEGRO</v>
          </cell>
          <cell r="I1826" t="str">
            <v>U</v>
          </cell>
          <cell r="J1826" t="str">
            <v>U</v>
          </cell>
        </row>
        <row r="1827">
          <cell r="B1827" t="str">
            <v>MC020781623</v>
          </cell>
          <cell r="C1827" t="str">
            <v>MARRO CHICA</v>
          </cell>
          <cell r="D1827" t="str">
            <v>PORTA TABACO</v>
          </cell>
          <cell r="E1827" t="str">
            <v>PORTA TABACO</v>
          </cell>
          <cell r="F1827" t="str">
            <v>FIORENTINO</v>
          </cell>
          <cell r="G1827">
            <v>0</v>
          </cell>
          <cell r="H1827" t="str">
            <v>CEDRO</v>
          </cell>
          <cell r="I1827" t="str">
            <v>U</v>
          </cell>
          <cell r="J1827" t="str">
            <v>U</v>
          </cell>
        </row>
        <row r="1828">
          <cell r="B1828" t="str">
            <v>MC020470301</v>
          </cell>
          <cell r="C1828" t="str">
            <v>MARRO CHICA</v>
          </cell>
          <cell r="D1828" t="str">
            <v>PORTABILLETES</v>
          </cell>
          <cell r="E1828" t="str">
            <v>PORTABILLETES CORVUS</v>
          </cell>
          <cell r="F1828" t="str">
            <v>BRIDGE</v>
          </cell>
          <cell r="G1828">
            <v>0</v>
          </cell>
          <cell r="H1828" t="str">
            <v>NEGRO</v>
          </cell>
          <cell r="I1828" t="str">
            <v>U</v>
          </cell>
          <cell r="J1828" t="str">
            <v>U</v>
          </cell>
        </row>
        <row r="1829">
          <cell r="B1829" t="str">
            <v>MC020470303</v>
          </cell>
          <cell r="C1829" t="str">
            <v>MARRO CHICA</v>
          </cell>
          <cell r="D1829" t="str">
            <v>PORTABILLETES</v>
          </cell>
          <cell r="E1829" t="str">
            <v>PORTABILLETES CORVUS</v>
          </cell>
          <cell r="F1829" t="str">
            <v>BRIDGE</v>
          </cell>
          <cell r="G1829">
            <v>0</v>
          </cell>
          <cell r="H1829" t="str">
            <v>CARAMELO</v>
          </cell>
          <cell r="I1829" t="str">
            <v>U</v>
          </cell>
          <cell r="J1829" t="str">
            <v>U</v>
          </cell>
        </row>
        <row r="1830">
          <cell r="B1830" t="str">
            <v>MC020470304</v>
          </cell>
          <cell r="C1830" t="str">
            <v>MARRO CHICA</v>
          </cell>
          <cell r="D1830" t="str">
            <v>PORTABILLETES</v>
          </cell>
          <cell r="E1830" t="str">
            <v>PORTABILLETES CORVUS</v>
          </cell>
          <cell r="F1830" t="str">
            <v>BRIDGE</v>
          </cell>
          <cell r="G1830">
            <v>0</v>
          </cell>
          <cell r="H1830" t="str">
            <v>TABACO</v>
          </cell>
          <cell r="I1830" t="str">
            <v>U</v>
          </cell>
          <cell r="J1830" t="str">
            <v>U</v>
          </cell>
        </row>
        <row r="1831">
          <cell r="B1831" t="str">
            <v>MC020470307</v>
          </cell>
          <cell r="C1831" t="str">
            <v>MARRO CHICA</v>
          </cell>
          <cell r="D1831" t="str">
            <v>PORTABILLETES</v>
          </cell>
          <cell r="E1831" t="str">
            <v>PORTABILLETES CORVUS</v>
          </cell>
          <cell r="F1831" t="str">
            <v>BRIDGE</v>
          </cell>
          <cell r="G1831">
            <v>0</v>
          </cell>
          <cell r="H1831" t="str">
            <v>ROJO</v>
          </cell>
          <cell r="I1831" t="str">
            <v>U</v>
          </cell>
          <cell r="J1831" t="str">
            <v>U</v>
          </cell>
        </row>
        <row r="1832">
          <cell r="B1832" t="str">
            <v>MC020470309</v>
          </cell>
          <cell r="C1832" t="str">
            <v>MARRO CHICA</v>
          </cell>
          <cell r="D1832" t="str">
            <v>PORTABILLETES</v>
          </cell>
          <cell r="E1832" t="str">
            <v>PORTABILLETES CORVUS</v>
          </cell>
          <cell r="F1832" t="str">
            <v>BRIDGE</v>
          </cell>
          <cell r="G1832">
            <v>0</v>
          </cell>
          <cell r="H1832" t="str">
            <v>AZUL</v>
          </cell>
          <cell r="I1832" t="str">
            <v>U</v>
          </cell>
          <cell r="J1832" t="str">
            <v>U</v>
          </cell>
        </row>
        <row r="1833">
          <cell r="B1833" t="str">
            <v>MC020470310</v>
          </cell>
          <cell r="C1833" t="str">
            <v>MARRO CHICA</v>
          </cell>
          <cell r="D1833" t="str">
            <v>PORTABILLETES</v>
          </cell>
          <cell r="E1833" t="str">
            <v>PORTABILLETES CORVUS</v>
          </cell>
          <cell r="F1833" t="str">
            <v>BRIDGE</v>
          </cell>
          <cell r="G1833">
            <v>0</v>
          </cell>
          <cell r="H1833" t="str">
            <v>VERDE</v>
          </cell>
          <cell r="I1833" t="str">
            <v>U</v>
          </cell>
          <cell r="J1833" t="str">
            <v>U</v>
          </cell>
        </row>
        <row r="1834">
          <cell r="B1834" t="str">
            <v>MC020470315</v>
          </cell>
          <cell r="C1834" t="str">
            <v>MARRO CHICA</v>
          </cell>
          <cell r="D1834" t="str">
            <v>PORTABILLETES</v>
          </cell>
          <cell r="E1834" t="str">
            <v>PORTABILLETES CORVUS</v>
          </cell>
          <cell r="F1834" t="str">
            <v>BRIDGE</v>
          </cell>
          <cell r="G1834">
            <v>0</v>
          </cell>
          <cell r="H1834" t="str">
            <v>MALBEC</v>
          </cell>
          <cell r="I1834" t="str">
            <v>U</v>
          </cell>
          <cell r="J1834" t="str">
            <v>U</v>
          </cell>
        </row>
        <row r="1835">
          <cell r="B1835" t="str">
            <v>MC020490101</v>
          </cell>
          <cell r="C1835" t="str">
            <v>MARRO CHICA</v>
          </cell>
          <cell r="D1835" t="str">
            <v>PORTABILLETES</v>
          </cell>
          <cell r="E1835" t="str">
            <v>PORTABILLETES CRATER</v>
          </cell>
          <cell r="F1835" t="str">
            <v>NAPADO</v>
          </cell>
          <cell r="G1835">
            <v>0</v>
          </cell>
          <cell r="H1835" t="str">
            <v>NEGRO</v>
          </cell>
          <cell r="I1835" t="str">
            <v>U</v>
          </cell>
          <cell r="J1835" t="str">
            <v>U</v>
          </cell>
        </row>
        <row r="1836">
          <cell r="B1836" t="str">
            <v>MC020490102</v>
          </cell>
          <cell r="C1836" t="str">
            <v>MARRO CHICA</v>
          </cell>
          <cell r="D1836" t="str">
            <v>PORTABILLETES</v>
          </cell>
          <cell r="E1836" t="str">
            <v>PORTABILLETES CRATER</v>
          </cell>
          <cell r="F1836" t="str">
            <v>NAPADO</v>
          </cell>
          <cell r="G1836">
            <v>0</v>
          </cell>
          <cell r="H1836" t="str">
            <v>SUELA</v>
          </cell>
          <cell r="I1836" t="str">
            <v>U</v>
          </cell>
          <cell r="J1836" t="str">
            <v>U</v>
          </cell>
        </row>
        <row r="1837">
          <cell r="B1837" t="str">
            <v>MC020490103</v>
          </cell>
          <cell r="C1837" t="str">
            <v>MARRO CHICA</v>
          </cell>
          <cell r="D1837" t="str">
            <v>PORTABILLETES</v>
          </cell>
          <cell r="E1837" t="str">
            <v>PORTABILLETES CRATER</v>
          </cell>
          <cell r="F1837" t="str">
            <v>NAPADO</v>
          </cell>
          <cell r="G1837">
            <v>0</v>
          </cell>
          <cell r="H1837" t="str">
            <v>CARAMELO</v>
          </cell>
          <cell r="I1837" t="str">
            <v>U</v>
          </cell>
          <cell r="J1837" t="str">
            <v>U</v>
          </cell>
        </row>
        <row r="1838">
          <cell r="B1838" t="str">
            <v>MC020490104</v>
          </cell>
          <cell r="C1838" t="str">
            <v>MARRO CHICA</v>
          </cell>
          <cell r="D1838" t="str">
            <v>PORTABILLETES</v>
          </cell>
          <cell r="E1838" t="str">
            <v>PORTABILLETES CRATER</v>
          </cell>
          <cell r="F1838" t="str">
            <v>NAPADO</v>
          </cell>
          <cell r="G1838">
            <v>0</v>
          </cell>
          <cell r="H1838" t="str">
            <v>TABACO</v>
          </cell>
          <cell r="I1838" t="str">
            <v>U</v>
          </cell>
          <cell r="J1838" t="str">
            <v>U</v>
          </cell>
        </row>
        <row r="1839">
          <cell r="B1839" t="str">
            <v>MC020490109</v>
          </cell>
          <cell r="C1839" t="str">
            <v>MARRO CHICA</v>
          </cell>
          <cell r="D1839" t="str">
            <v>PORTABILLETES</v>
          </cell>
          <cell r="E1839" t="str">
            <v>PORTABILLETES CRATER</v>
          </cell>
          <cell r="F1839" t="str">
            <v>NAPADO</v>
          </cell>
          <cell r="G1839">
            <v>0</v>
          </cell>
          <cell r="H1839" t="str">
            <v>AZUL</v>
          </cell>
          <cell r="I1839" t="str">
            <v>U</v>
          </cell>
          <cell r="J1839" t="str">
            <v>U</v>
          </cell>
        </row>
        <row r="1840">
          <cell r="B1840" t="str">
            <v>MC020490110</v>
          </cell>
          <cell r="C1840" t="str">
            <v>MARRO CHICA</v>
          </cell>
          <cell r="D1840" t="str">
            <v>PORTABILLETES</v>
          </cell>
          <cell r="E1840" t="str">
            <v>PORTABILLETES CRATER</v>
          </cell>
          <cell r="F1840" t="str">
            <v>NAPADO</v>
          </cell>
          <cell r="G1840">
            <v>0</v>
          </cell>
          <cell r="H1840" t="str">
            <v>VERDE</v>
          </cell>
          <cell r="I1840" t="str">
            <v>U</v>
          </cell>
          <cell r="J1840" t="str">
            <v>U</v>
          </cell>
        </row>
        <row r="1841">
          <cell r="B1841" t="str">
            <v>MC020690401</v>
          </cell>
          <cell r="C1841" t="str">
            <v>MARRO CHICA</v>
          </cell>
          <cell r="D1841" t="str">
            <v>PORTACABLES</v>
          </cell>
          <cell r="E1841" t="str">
            <v>PORTACABLES 1</v>
          </cell>
          <cell r="F1841" t="str">
            <v>VAQUETA</v>
          </cell>
          <cell r="G1841">
            <v>0</v>
          </cell>
          <cell r="H1841" t="str">
            <v>NEGRO</v>
          </cell>
          <cell r="I1841" t="str">
            <v>U</v>
          </cell>
          <cell r="J1841" t="str">
            <v>U</v>
          </cell>
        </row>
        <row r="1842">
          <cell r="B1842" t="str">
            <v>MC020690402</v>
          </cell>
          <cell r="C1842" t="str">
            <v>MARRO CHICA</v>
          </cell>
          <cell r="D1842" t="str">
            <v>PORTACABLES</v>
          </cell>
          <cell r="E1842" t="str">
            <v>PORTACABLES 1</v>
          </cell>
          <cell r="F1842" t="str">
            <v>VAQUETA</v>
          </cell>
          <cell r="G1842">
            <v>0</v>
          </cell>
          <cell r="H1842" t="str">
            <v>SUELA</v>
          </cell>
          <cell r="I1842" t="str">
            <v>U</v>
          </cell>
          <cell r="J1842" t="str">
            <v>U</v>
          </cell>
        </row>
        <row r="1843">
          <cell r="B1843" t="str">
            <v>MC020690408</v>
          </cell>
          <cell r="C1843" t="str">
            <v>MARRO CHICA</v>
          </cell>
          <cell r="D1843" t="str">
            <v>PORTACABLES</v>
          </cell>
          <cell r="E1843" t="str">
            <v>PORTACABLES 1</v>
          </cell>
          <cell r="F1843" t="str">
            <v>VAQUETA</v>
          </cell>
          <cell r="G1843">
            <v>0</v>
          </cell>
          <cell r="H1843" t="str">
            <v>NATURAL</v>
          </cell>
          <cell r="I1843" t="str">
            <v>U</v>
          </cell>
          <cell r="J1843" t="str">
            <v>U</v>
          </cell>
        </row>
        <row r="1844">
          <cell r="B1844" t="str">
            <v>MC020690413</v>
          </cell>
          <cell r="C1844" t="str">
            <v>MARRO CHICA</v>
          </cell>
          <cell r="D1844" t="str">
            <v>PORTACABLES</v>
          </cell>
          <cell r="E1844" t="str">
            <v>PORTACABLES 1</v>
          </cell>
          <cell r="F1844" t="str">
            <v>VAQUETA</v>
          </cell>
          <cell r="G1844">
            <v>0</v>
          </cell>
          <cell r="H1844" t="str">
            <v>DULCE DE LECHE</v>
          </cell>
          <cell r="I1844" t="str">
            <v>U</v>
          </cell>
          <cell r="J1844" t="str">
            <v>U</v>
          </cell>
        </row>
        <row r="1845">
          <cell r="B1845" t="str">
            <v>MC020690452</v>
          </cell>
          <cell r="C1845" t="str">
            <v>MARRO CHICA</v>
          </cell>
          <cell r="D1845" t="str">
            <v>PORTACABLES</v>
          </cell>
          <cell r="E1845" t="str">
            <v>PORTACABLES 1</v>
          </cell>
          <cell r="F1845" t="str">
            <v>VAQUETA</v>
          </cell>
          <cell r="G1845">
            <v>0</v>
          </cell>
          <cell r="H1845" t="str">
            <v>CHOCOLATE</v>
          </cell>
          <cell r="I1845" t="str">
            <v>U</v>
          </cell>
          <cell r="J1845" t="str">
            <v>U</v>
          </cell>
        </row>
        <row r="1846">
          <cell r="B1846" t="str">
            <v>MC020691623</v>
          </cell>
          <cell r="C1846" t="str">
            <v>MARRO CHICA</v>
          </cell>
          <cell r="D1846" t="str">
            <v>PORTACABLES</v>
          </cell>
          <cell r="E1846" t="str">
            <v>PORTACABLES 1</v>
          </cell>
          <cell r="F1846" t="str">
            <v>FIORENTINO</v>
          </cell>
          <cell r="G1846">
            <v>0</v>
          </cell>
          <cell r="H1846" t="str">
            <v>CEDRO</v>
          </cell>
          <cell r="I1846" t="str">
            <v>U</v>
          </cell>
          <cell r="J1846" t="str">
            <v>U</v>
          </cell>
        </row>
        <row r="1847">
          <cell r="B1847" t="str">
            <v>MC020691901</v>
          </cell>
          <cell r="C1847" t="str">
            <v>MARRO CHICA</v>
          </cell>
          <cell r="D1847" t="str">
            <v>PORTACABLES</v>
          </cell>
          <cell r="E1847" t="str">
            <v>PORTACABLES 1</v>
          </cell>
          <cell r="F1847" t="str">
            <v>MODENA</v>
          </cell>
          <cell r="G1847">
            <v>0</v>
          </cell>
          <cell r="H1847" t="str">
            <v>NEGRO</v>
          </cell>
          <cell r="I1847" t="str">
            <v>U</v>
          </cell>
          <cell r="J1847" t="str">
            <v>U</v>
          </cell>
        </row>
        <row r="1848">
          <cell r="B1848" t="str">
            <v>MC020610401</v>
          </cell>
          <cell r="C1848" t="str">
            <v>MARRO CHICA</v>
          </cell>
          <cell r="D1848" t="str">
            <v>PORTACABLES</v>
          </cell>
          <cell r="E1848" t="str">
            <v>PORTACABLES 2</v>
          </cell>
          <cell r="F1848" t="str">
            <v>VAQUETA</v>
          </cell>
          <cell r="G1848">
            <v>0</v>
          </cell>
          <cell r="H1848" t="str">
            <v>NEGRO</v>
          </cell>
          <cell r="I1848" t="str">
            <v>U</v>
          </cell>
          <cell r="J1848" t="str">
            <v>U</v>
          </cell>
        </row>
        <row r="1849">
          <cell r="B1849" t="str">
            <v>MC020610402</v>
          </cell>
          <cell r="C1849" t="str">
            <v>MARRO CHICA</v>
          </cell>
          <cell r="D1849" t="str">
            <v>PORTACABLES</v>
          </cell>
          <cell r="E1849" t="str">
            <v>PORTACABLES 2</v>
          </cell>
          <cell r="F1849" t="str">
            <v>VAQUETA</v>
          </cell>
          <cell r="G1849">
            <v>0</v>
          </cell>
          <cell r="H1849" t="str">
            <v>SUELA</v>
          </cell>
          <cell r="I1849" t="str">
            <v>U</v>
          </cell>
          <cell r="J1849" t="str">
            <v>U</v>
          </cell>
        </row>
        <row r="1850">
          <cell r="B1850" t="str">
            <v>MC020610408</v>
          </cell>
          <cell r="C1850" t="str">
            <v>MARRO CHICA</v>
          </cell>
          <cell r="D1850" t="str">
            <v>PORTACABLES</v>
          </cell>
          <cell r="E1850" t="str">
            <v>PORTACABLES 2</v>
          </cell>
          <cell r="F1850" t="str">
            <v>VAQUETA</v>
          </cell>
          <cell r="G1850">
            <v>0</v>
          </cell>
          <cell r="H1850" t="str">
            <v>NATURAL</v>
          </cell>
          <cell r="I1850" t="str">
            <v>U</v>
          </cell>
          <cell r="J1850" t="str">
            <v>U</v>
          </cell>
        </row>
        <row r="1851">
          <cell r="B1851" t="str">
            <v>MC020610413</v>
          </cell>
          <cell r="C1851" t="str">
            <v>MARRO CHICA</v>
          </cell>
          <cell r="D1851" t="str">
            <v>PORTACABLES</v>
          </cell>
          <cell r="E1851" t="str">
            <v>PORTACABLES 2</v>
          </cell>
          <cell r="F1851" t="str">
            <v>VAQUETA</v>
          </cell>
          <cell r="G1851">
            <v>0</v>
          </cell>
          <cell r="H1851" t="str">
            <v>DULCE DE LECHE</v>
          </cell>
          <cell r="I1851" t="str">
            <v>U</v>
          </cell>
          <cell r="J1851" t="str">
            <v>U</v>
          </cell>
        </row>
        <row r="1852">
          <cell r="B1852" t="str">
            <v>MC020610452</v>
          </cell>
          <cell r="C1852" t="str">
            <v>MARRO CHICA</v>
          </cell>
          <cell r="D1852" t="str">
            <v>PORTACABLES</v>
          </cell>
          <cell r="E1852" t="str">
            <v>PORTACABLES 2</v>
          </cell>
          <cell r="F1852" t="str">
            <v>VAQUETA</v>
          </cell>
          <cell r="G1852">
            <v>0</v>
          </cell>
          <cell r="H1852" t="str">
            <v>CHOCOLATE</v>
          </cell>
          <cell r="I1852" t="str">
            <v>U</v>
          </cell>
          <cell r="J1852" t="str">
            <v>U</v>
          </cell>
        </row>
        <row r="1853">
          <cell r="B1853" t="str">
            <v>MC020611623</v>
          </cell>
          <cell r="C1853" t="str">
            <v>MARRO CHICA</v>
          </cell>
          <cell r="D1853" t="str">
            <v>PORTACABLES</v>
          </cell>
          <cell r="E1853" t="str">
            <v>PORTACABLES 2</v>
          </cell>
          <cell r="F1853" t="str">
            <v>FIORENTINO</v>
          </cell>
          <cell r="G1853">
            <v>0</v>
          </cell>
          <cell r="H1853" t="str">
            <v>CEDRO</v>
          </cell>
          <cell r="I1853" t="str">
            <v>U</v>
          </cell>
          <cell r="J1853" t="str">
            <v>U</v>
          </cell>
        </row>
        <row r="1854">
          <cell r="B1854" t="str">
            <v>MC020611901</v>
          </cell>
          <cell r="C1854" t="str">
            <v>MARRO CHICA</v>
          </cell>
          <cell r="D1854" t="str">
            <v>PORTACABLES</v>
          </cell>
          <cell r="E1854" t="str">
            <v>PORTACABLES 2</v>
          </cell>
          <cell r="F1854" t="str">
            <v>MODENA</v>
          </cell>
          <cell r="G1854">
            <v>0</v>
          </cell>
          <cell r="H1854" t="str">
            <v>NEGRO</v>
          </cell>
          <cell r="I1854" t="str">
            <v>U</v>
          </cell>
          <cell r="J1854" t="str">
            <v>U</v>
          </cell>
        </row>
        <row r="1855">
          <cell r="B1855" t="str">
            <v>MC020613241</v>
          </cell>
          <cell r="C1855" t="str">
            <v>MARRO CHICA</v>
          </cell>
          <cell r="D1855" t="str">
            <v>PORTACABLES</v>
          </cell>
          <cell r="E1855" t="str">
            <v>PORTACABLES 2</v>
          </cell>
          <cell r="F1855" t="str">
            <v>VINTAGE</v>
          </cell>
          <cell r="G1855">
            <v>0</v>
          </cell>
          <cell r="H1855" t="str">
            <v>LIGHT</v>
          </cell>
          <cell r="I1855" t="str">
            <v>U</v>
          </cell>
          <cell r="J1855" t="str">
            <v>U</v>
          </cell>
        </row>
        <row r="1856">
          <cell r="B1856" t="str">
            <v>MC020613242</v>
          </cell>
          <cell r="C1856" t="str">
            <v>MARRO CHICA</v>
          </cell>
          <cell r="D1856" t="str">
            <v>PORTACABLES</v>
          </cell>
          <cell r="E1856" t="str">
            <v>PORTACABLES 2</v>
          </cell>
          <cell r="F1856" t="str">
            <v>VINTAGE</v>
          </cell>
          <cell r="G1856">
            <v>0</v>
          </cell>
          <cell r="H1856" t="str">
            <v>MEDIO</v>
          </cell>
          <cell r="I1856" t="str">
            <v>U</v>
          </cell>
          <cell r="J1856" t="str">
            <v>U</v>
          </cell>
        </row>
        <row r="1857">
          <cell r="B1857" t="str">
            <v>MC020613243</v>
          </cell>
          <cell r="C1857" t="str">
            <v>MARRO CHICA</v>
          </cell>
          <cell r="D1857" t="str">
            <v>PORTACABLES</v>
          </cell>
          <cell r="E1857" t="str">
            <v>PORTACABLES 2</v>
          </cell>
          <cell r="F1857" t="str">
            <v>VINTAGE</v>
          </cell>
          <cell r="G1857">
            <v>0</v>
          </cell>
          <cell r="H1857" t="str">
            <v>DARK</v>
          </cell>
          <cell r="I1857" t="str">
            <v>U</v>
          </cell>
          <cell r="J1857" t="str">
            <v>U</v>
          </cell>
        </row>
        <row r="1858">
          <cell r="B1858" t="str">
            <v>MC020550401</v>
          </cell>
          <cell r="C1858" t="str">
            <v>MARRO CHICA</v>
          </cell>
          <cell r="D1858" t="str">
            <v>PORTACABLES</v>
          </cell>
          <cell r="E1858" t="str">
            <v>PORTACABLES 3</v>
          </cell>
          <cell r="F1858" t="str">
            <v>VAQUETA</v>
          </cell>
          <cell r="G1858">
            <v>0</v>
          </cell>
          <cell r="H1858" t="str">
            <v>NEGRO</v>
          </cell>
          <cell r="I1858" t="str">
            <v>U</v>
          </cell>
          <cell r="J1858" t="str">
            <v>U</v>
          </cell>
        </row>
        <row r="1859">
          <cell r="B1859" t="str">
            <v>MC020550402</v>
          </cell>
          <cell r="C1859" t="str">
            <v>MARRO CHICA</v>
          </cell>
          <cell r="D1859" t="str">
            <v>PORTACABLES</v>
          </cell>
          <cell r="E1859" t="str">
            <v>PORTACABLES 3</v>
          </cell>
          <cell r="F1859" t="str">
            <v>VAQUETA</v>
          </cell>
          <cell r="G1859">
            <v>0</v>
          </cell>
          <cell r="H1859" t="str">
            <v>SUELA</v>
          </cell>
          <cell r="I1859" t="str">
            <v>U</v>
          </cell>
          <cell r="J1859" t="str">
            <v>U</v>
          </cell>
        </row>
        <row r="1860">
          <cell r="B1860" t="str">
            <v>MC020550408</v>
          </cell>
          <cell r="C1860" t="str">
            <v>MARRO CHICA</v>
          </cell>
          <cell r="D1860" t="str">
            <v>PORTACABLES</v>
          </cell>
          <cell r="E1860" t="str">
            <v>PORTACABLES 3</v>
          </cell>
          <cell r="F1860" t="str">
            <v>VAQUETA</v>
          </cell>
          <cell r="G1860">
            <v>0</v>
          </cell>
          <cell r="H1860" t="str">
            <v>NATURAL</v>
          </cell>
          <cell r="I1860" t="str">
            <v>U</v>
          </cell>
          <cell r="J1860" t="str">
            <v>U</v>
          </cell>
        </row>
        <row r="1861">
          <cell r="B1861" t="str">
            <v>MC020550413</v>
          </cell>
          <cell r="C1861" t="str">
            <v>MARRO CHICA</v>
          </cell>
          <cell r="D1861" t="str">
            <v>PORTACABLES</v>
          </cell>
          <cell r="E1861" t="str">
            <v>PORTACABLES 3</v>
          </cell>
          <cell r="F1861" t="str">
            <v>VAQUETA</v>
          </cell>
          <cell r="G1861">
            <v>0</v>
          </cell>
          <cell r="H1861" t="str">
            <v>DULCE DE LECHE</v>
          </cell>
          <cell r="I1861" t="str">
            <v>U</v>
          </cell>
          <cell r="J1861" t="str">
            <v>U</v>
          </cell>
        </row>
        <row r="1862">
          <cell r="B1862" t="str">
            <v>MC020550452</v>
          </cell>
          <cell r="C1862" t="str">
            <v>MARRO CHICA</v>
          </cell>
          <cell r="D1862" t="str">
            <v>PORTACABLES</v>
          </cell>
          <cell r="E1862" t="str">
            <v>PORTACABLES 3</v>
          </cell>
          <cell r="F1862" t="str">
            <v>VAQUETA</v>
          </cell>
          <cell r="G1862">
            <v>0</v>
          </cell>
          <cell r="H1862" t="str">
            <v>CHOCOLATE</v>
          </cell>
          <cell r="I1862" t="str">
            <v>U</v>
          </cell>
          <cell r="J1862" t="str">
            <v>U</v>
          </cell>
        </row>
        <row r="1863">
          <cell r="B1863" t="str">
            <v>MC020551623</v>
          </cell>
          <cell r="C1863" t="str">
            <v>MARRO CHICA</v>
          </cell>
          <cell r="D1863" t="str">
            <v>PORTACABLES</v>
          </cell>
          <cell r="E1863" t="str">
            <v>PORTACABLES 3</v>
          </cell>
          <cell r="F1863" t="str">
            <v>FIORENTINO</v>
          </cell>
          <cell r="G1863">
            <v>0</v>
          </cell>
          <cell r="H1863" t="str">
            <v>CEDRO</v>
          </cell>
          <cell r="I1863" t="str">
            <v>U</v>
          </cell>
          <cell r="J1863" t="str">
            <v>U</v>
          </cell>
        </row>
        <row r="1864">
          <cell r="B1864" t="str">
            <v>MC020551901</v>
          </cell>
          <cell r="C1864" t="str">
            <v>MARRO CHICA</v>
          </cell>
          <cell r="D1864" t="str">
            <v>PORTACABLES</v>
          </cell>
          <cell r="E1864" t="str">
            <v>PORTACABLES 3</v>
          </cell>
          <cell r="F1864" t="str">
            <v>MODENA</v>
          </cell>
          <cell r="G1864">
            <v>0</v>
          </cell>
          <cell r="H1864" t="str">
            <v>NEGRO</v>
          </cell>
          <cell r="I1864" t="str">
            <v>U</v>
          </cell>
          <cell r="J1864" t="str">
            <v>U</v>
          </cell>
        </row>
        <row r="1865">
          <cell r="B1865" t="str">
            <v>MC020553241</v>
          </cell>
          <cell r="C1865" t="str">
            <v>MARRO CHICA</v>
          </cell>
          <cell r="D1865" t="str">
            <v>PORTACABLES</v>
          </cell>
          <cell r="E1865" t="str">
            <v>PORTACABLES 3</v>
          </cell>
          <cell r="F1865" t="str">
            <v>VINTAGE</v>
          </cell>
          <cell r="G1865">
            <v>0</v>
          </cell>
          <cell r="H1865" t="str">
            <v>LIGHT</v>
          </cell>
          <cell r="I1865" t="str">
            <v>U</v>
          </cell>
          <cell r="J1865" t="str">
            <v>U</v>
          </cell>
        </row>
        <row r="1866">
          <cell r="B1866" t="str">
            <v>MC020553242</v>
          </cell>
          <cell r="C1866" t="str">
            <v>MARRO CHICA</v>
          </cell>
          <cell r="D1866" t="str">
            <v>PORTACABLES</v>
          </cell>
          <cell r="E1866" t="str">
            <v>PORTACABLES 3</v>
          </cell>
          <cell r="F1866" t="str">
            <v>VINTAGE</v>
          </cell>
          <cell r="G1866">
            <v>0</v>
          </cell>
          <cell r="H1866" t="str">
            <v>MEDIO</v>
          </cell>
          <cell r="I1866" t="str">
            <v>U</v>
          </cell>
          <cell r="J1866" t="str">
            <v>U</v>
          </cell>
        </row>
        <row r="1867">
          <cell r="B1867" t="str">
            <v>MC020553243</v>
          </cell>
          <cell r="C1867" t="str">
            <v>MARRO CHICA</v>
          </cell>
          <cell r="D1867" t="str">
            <v>PORTACABLES</v>
          </cell>
          <cell r="E1867" t="str">
            <v>PORTACABLES 3</v>
          </cell>
          <cell r="F1867" t="str">
            <v>VINTAGE</v>
          </cell>
          <cell r="G1867">
            <v>0</v>
          </cell>
          <cell r="H1867" t="str">
            <v>DARK</v>
          </cell>
          <cell r="I1867" t="str">
            <v>U</v>
          </cell>
          <cell r="J1867" t="str">
            <v>U</v>
          </cell>
        </row>
        <row r="1868">
          <cell r="B1868" t="str">
            <v>MC020630301</v>
          </cell>
          <cell r="C1868" t="str">
            <v>MARRO CHICA</v>
          </cell>
          <cell r="D1868" t="str">
            <v>PORTACINTO</v>
          </cell>
          <cell r="E1868" t="str">
            <v>PORTACINTO ELIAS</v>
          </cell>
          <cell r="F1868" t="str">
            <v>BRIDGE</v>
          </cell>
          <cell r="G1868">
            <v>0</v>
          </cell>
          <cell r="H1868" t="str">
            <v>NEGRO</v>
          </cell>
          <cell r="I1868" t="str">
            <v>U</v>
          </cell>
          <cell r="J1868" t="str">
            <v>H</v>
          </cell>
        </row>
        <row r="1869">
          <cell r="B1869" t="str">
            <v>MC020630304</v>
          </cell>
          <cell r="C1869" t="str">
            <v>MARRO CHICA</v>
          </cell>
          <cell r="D1869" t="str">
            <v>PORTACINTO</v>
          </cell>
          <cell r="E1869" t="str">
            <v>PORTACINTO ELIAS</v>
          </cell>
          <cell r="F1869" t="str">
            <v>BRIDGE</v>
          </cell>
          <cell r="G1869">
            <v>0</v>
          </cell>
          <cell r="H1869" t="str">
            <v>TABACO</v>
          </cell>
          <cell r="I1869" t="str">
            <v>U</v>
          </cell>
          <cell r="J1869" t="str">
            <v>H</v>
          </cell>
        </row>
        <row r="1870">
          <cell r="B1870" t="str">
            <v>MC020631623</v>
          </cell>
          <cell r="C1870" t="str">
            <v>MARRO CHICA</v>
          </cell>
          <cell r="D1870" t="str">
            <v>PORTACINTO</v>
          </cell>
          <cell r="E1870" t="str">
            <v>PORTACINTO ELIAS</v>
          </cell>
          <cell r="F1870" t="str">
            <v>FIORENTINO</v>
          </cell>
          <cell r="G1870">
            <v>0</v>
          </cell>
          <cell r="H1870" t="str">
            <v>CEDRO</v>
          </cell>
          <cell r="I1870" t="str">
            <v>U</v>
          </cell>
          <cell r="J1870" t="str">
            <v>H</v>
          </cell>
        </row>
        <row r="1871">
          <cell r="B1871" t="str">
            <v>MC020631901</v>
          </cell>
          <cell r="C1871" t="str">
            <v>MARRO CHICA</v>
          </cell>
          <cell r="D1871" t="str">
            <v>PORTACINTO</v>
          </cell>
          <cell r="E1871" t="str">
            <v>PORTACINTO ELIAS</v>
          </cell>
          <cell r="F1871" t="str">
            <v xml:space="preserve">MODENA </v>
          </cell>
          <cell r="G1871">
            <v>0</v>
          </cell>
          <cell r="H1871" t="str">
            <v>NEGRO</v>
          </cell>
          <cell r="I1871" t="str">
            <v>U</v>
          </cell>
          <cell r="J1871" t="str">
            <v>H</v>
          </cell>
        </row>
        <row r="1872">
          <cell r="B1872" t="str">
            <v>MC020631904</v>
          </cell>
          <cell r="C1872" t="str">
            <v>MARRO CHICA</v>
          </cell>
          <cell r="D1872" t="str">
            <v>PORTACINTO</v>
          </cell>
          <cell r="E1872" t="str">
            <v>PORTACINTO ELIAS</v>
          </cell>
          <cell r="F1872" t="str">
            <v>MODENA</v>
          </cell>
          <cell r="G1872">
            <v>0</v>
          </cell>
          <cell r="H1872" t="str">
            <v>TABACO</v>
          </cell>
          <cell r="I1872" t="str">
            <v>U</v>
          </cell>
          <cell r="J1872" t="str">
            <v>H</v>
          </cell>
        </row>
        <row r="1873">
          <cell r="B1873" t="str">
            <v>MC020560301</v>
          </cell>
          <cell r="C1873" t="str">
            <v>MARRO CHICA</v>
          </cell>
          <cell r="D1873" t="str">
            <v>PORTACINTO</v>
          </cell>
          <cell r="E1873" t="str">
            <v>PORTACINTO LOU</v>
          </cell>
          <cell r="F1873" t="str">
            <v>BRIDGE</v>
          </cell>
          <cell r="G1873">
            <v>0</v>
          </cell>
          <cell r="H1873" t="str">
            <v>NEGRO</v>
          </cell>
          <cell r="I1873" t="str">
            <v>U</v>
          </cell>
          <cell r="J1873" t="str">
            <v>H</v>
          </cell>
        </row>
        <row r="1874">
          <cell r="B1874" t="str">
            <v>MC020560304</v>
          </cell>
          <cell r="C1874" t="str">
            <v>MARRO CHICA</v>
          </cell>
          <cell r="D1874" t="str">
            <v>PORTACINTO</v>
          </cell>
          <cell r="E1874" t="str">
            <v>PORTACINTO LOU</v>
          </cell>
          <cell r="F1874" t="str">
            <v>BRIDGE</v>
          </cell>
          <cell r="G1874">
            <v>0</v>
          </cell>
          <cell r="H1874" t="str">
            <v>TABACO</v>
          </cell>
          <cell r="I1874" t="str">
            <v>U</v>
          </cell>
          <cell r="J1874" t="str">
            <v>H</v>
          </cell>
        </row>
        <row r="1875">
          <cell r="B1875" t="str">
            <v>MC020561623</v>
          </cell>
          <cell r="C1875" t="str">
            <v>MARRO CHICA</v>
          </cell>
          <cell r="D1875" t="str">
            <v>PORTACINTO</v>
          </cell>
          <cell r="E1875" t="str">
            <v>PORTACINTO LOU</v>
          </cell>
          <cell r="F1875" t="str">
            <v>FIORENTINO</v>
          </cell>
          <cell r="G1875">
            <v>0</v>
          </cell>
          <cell r="H1875" t="str">
            <v>CEDRO</v>
          </cell>
          <cell r="I1875" t="str">
            <v>U</v>
          </cell>
          <cell r="J1875" t="str">
            <v>H</v>
          </cell>
        </row>
        <row r="1876">
          <cell r="B1876" t="str">
            <v>MC020561901</v>
          </cell>
          <cell r="C1876" t="str">
            <v>MARRO CHICA</v>
          </cell>
          <cell r="D1876" t="str">
            <v>PORTACINTO</v>
          </cell>
          <cell r="E1876" t="str">
            <v>PORTACINTO LOU</v>
          </cell>
          <cell r="F1876" t="str">
            <v>MODENA</v>
          </cell>
          <cell r="G1876">
            <v>0</v>
          </cell>
          <cell r="H1876" t="str">
            <v>NEGRO</v>
          </cell>
          <cell r="I1876" t="str">
            <v>U</v>
          </cell>
          <cell r="J1876" t="str">
            <v>H</v>
          </cell>
        </row>
        <row r="1877">
          <cell r="B1877" t="str">
            <v>MC020561904</v>
          </cell>
          <cell r="C1877" t="str">
            <v>MARRO CHICA</v>
          </cell>
          <cell r="D1877" t="str">
            <v>PORTACINTO</v>
          </cell>
          <cell r="E1877" t="str">
            <v>PORTACINTO LOU</v>
          </cell>
          <cell r="F1877" t="str">
            <v>MODENA</v>
          </cell>
          <cell r="G1877">
            <v>0</v>
          </cell>
          <cell r="H1877" t="str">
            <v>TABACO</v>
          </cell>
          <cell r="I1877" t="str">
            <v>U</v>
          </cell>
          <cell r="J1877" t="str">
            <v>H</v>
          </cell>
        </row>
        <row r="1878">
          <cell r="B1878" t="str">
            <v>MG010220102</v>
          </cell>
          <cell r="C1878" t="str">
            <v>MARRO GRANDE</v>
          </cell>
          <cell r="D1878" t="str">
            <v>PORTAFOLIO</v>
          </cell>
          <cell r="E1878" t="str">
            <v>PORTAFOLIO ADRIAN</v>
          </cell>
          <cell r="F1878" t="str">
            <v>NAPADO</v>
          </cell>
          <cell r="G1878">
            <v>0</v>
          </cell>
          <cell r="H1878" t="str">
            <v>SUELA</v>
          </cell>
          <cell r="I1878" t="str">
            <v>U</v>
          </cell>
          <cell r="J1878" t="str">
            <v>H</v>
          </cell>
        </row>
        <row r="1879">
          <cell r="B1879" t="str">
            <v>MG010220201</v>
          </cell>
          <cell r="C1879" t="str">
            <v>MARRO GRANDE</v>
          </cell>
          <cell r="D1879" t="str">
            <v>PORTAFOLIO</v>
          </cell>
          <cell r="E1879" t="str">
            <v>PORTAFOLIO ADRIAN</v>
          </cell>
          <cell r="F1879" t="str">
            <v>TAMPONATO</v>
          </cell>
          <cell r="G1879">
            <v>0</v>
          </cell>
          <cell r="H1879" t="str">
            <v>NEGRO</v>
          </cell>
          <cell r="I1879" t="str">
            <v>U</v>
          </cell>
          <cell r="J1879" t="str">
            <v>H</v>
          </cell>
        </row>
        <row r="1880">
          <cell r="B1880" t="str">
            <v>MG010220202</v>
          </cell>
          <cell r="C1880" t="str">
            <v>MARRO GRANDE</v>
          </cell>
          <cell r="D1880" t="str">
            <v>PORTAFOLIO</v>
          </cell>
          <cell r="E1880" t="str">
            <v>PORTAFOLIO ADRIAN</v>
          </cell>
          <cell r="F1880" t="str">
            <v>TAMPONATO</v>
          </cell>
          <cell r="G1880">
            <v>0</v>
          </cell>
          <cell r="H1880" t="str">
            <v>SUELA</v>
          </cell>
          <cell r="I1880" t="str">
            <v>U</v>
          </cell>
          <cell r="J1880" t="str">
            <v>H</v>
          </cell>
        </row>
        <row r="1881">
          <cell r="B1881" t="str">
            <v>MG010220205</v>
          </cell>
          <cell r="C1881" t="str">
            <v>MARRO GRANDE</v>
          </cell>
          <cell r="D1881" t="str">
            <v>PORTAFOLIO</v>
          </cell>
          <cell r="E1881" t="str">
            <v>PORTAFOLIO ADRIAN</v>
          </cell>
          <cell r="F1881" t="str">
            <v>TAMPONATO</v>
          </cell>
          <cell r="G1881">
            <v>0</v>
          </cell>
          <cell r="H1881" t="str">
            <v>LONDON</v>
          </cell>
          <cell r="I1881" t="str">
            <v>U</v>
          </cell>
          <cell r="J1881" t="str">
            <v>H</v>
          </cell>
        </row>
        <row r="1882">
          <cell r="B1882" t="str">
            <v>MG010220401</v>
          </cell>
          <cell r="C1882" t="str">
            <v>MARRO GRANDE</v>
          </cell>
          <cell r="D1882" t="str">
            <v>PORTAFOLIO</v>
          </cell>
          <cell r="E1882" t="str">
            <v>PORTAFOLIO ADRIAN</v>
          </cell>
          <cell r="F1882" t="str">
            <v>VAQUETA</v>
          </cell>
          <cell r="G1882">
            <v>0</v>
          </cell>
          <cell r="H1882" t="str">
            <v>NEGRO</v>
          </cell>
          <cell r="I1882" t="str">
            <v>U</v>
          </cell>
          <cell r="J1882" t="str">
            <v>H</v>
          </cell>
        </row>
        <row r="1883">
          <cell r="B1883" t="str">
            <v>MG010220402</v>
          </cell>
          <cell r="C1883" t="str">
            <v>MARRO GRANDE</v>
          </cell>
          <cell r="D1883" t="str">
            <v>PORTAFOLIO</v>
          </cell>
          <cell r="E1883" t="str">
            <v>PORTAFOLIO ADRIAN</v>
          </cell>
          <cell r="F1883" t="str">
            <v>VAQUETA</v>
          </cell>
          <cell r="G1883">
            <v>0</v>
          </cell>
          <cell r="H1883" t="str">
            <v>SUELA</v>
          </cell>
          <cell r="I1883" t="str">
            <v>U</v>
          </cell>
          <cell r="J1883" t="str">
            <v>H</v>
          </cell>
        </row>
        <row r="1884">
          <cell r="B1884" t="str">
            <v>MG010220405</v>
          </cell>
          <cell r="C1884" t="str">
            <v>MARRO GRANDE</v>
          </cell>
          <cell r="D1884" t="str">
            <v>PORTAFOLIO</v>
          </cell>
          <cell r="E1884" t="str">
            <v>PORTAFOLIO ADRIAN</v>
          </cell>
          <cell r="F1884" t="str">
            <v>VAQUETA</v>
          </cell>
          <cell r="G1884">
            <v>0</v>
          </cell>
          <cell r="H1884" t="str">
            <v>LONDON</v>
          </cell>
          <cell r="I1884" t="str">
            <v>U</v>
          </cell>
          <cell r="J1884" t="str">
            <v>H</v>
          </cell>
        </row>
        <row r="1885">
          <cell r="B1885" t="str">
            <v>MG010620301</v>
          </cell>
          <cell r="C1885" t="str">
            <v>MARRO GRANDE</v>
          </cell>
          <cell r="D1885" t="str">
            <v>PORTAFOLIO</v>
          </cell>
          <cell r="E1885" t="str">
            <v>PORTAFOLIO HUAPI</v>
          </cell>
          <cell r="F1885" t="str">
            <v>BRIDGE</v>
          </cell>
          <cell r="G1885">
            <v>0</v>
          </cell>
          <cell r="H1885" t="str">
            <v>NEGRO</v>
          </cell>
          <cell r="I1885" t="str">
            <v>U</v>
          </cell>
          <cell r="J1885" t="str">
            <v>U</v>
          </cell>
        </row>
        <row r="1886">
          <cell r="B1886" t="str">
            <v>MG010620303</v>
          </cell>
          <cell r="C1886" t="str">
            <v>MARRO GRANDE</v>
          </cell>
          <cell r="D1886" t="str">
            <v>PORTAFOLIO</v>
          </cell>
          <cell r="E1886" t="str">
            <v>PORTAFOLIO HUAPI</v>
          </cell>
          <cell r="F1886" t="str">
            <v>BRIDGE</v>
          </cell>
          <cell r="G1886">
            <v>0</v>
          </cell>
          <cell r="H1886" t="str">
            <v>CARAMELO</v>
          </cell>
          <cell r="I1886" t="str">
            <v>U</v>
          </cell>
          <cell r="J1886" t="str">
            <v>U</v>
          </cell>
        </row>
        <row r="1887">
          <cell r="B1887" t="str">
            <v>MG010620304</v>
          </cell>
          <cell r="C1887" t="str">
            <v>MARRO GRANDE</v>
          </cell>
          <cell r="D1887" t="str">
            <v>PORTAFOLIO</v>
          </cell>
          <cell r="E1887" t="str">
            <v>PORTAFOLIO HUAPI</v>
          </cell>
          <cell r="F1887" t="str">
            <v>BRIDGE</v>
          </cell>
          <cell r="G1887">
            <v>0</v>
          </cell>
          <cell r="H1887" t="str">
            <v>TABACO</v>
          </cell>
          <cell r="I1887" t="str">
            <v>U</v>
          </cell>
          <cell r="J1887" t="str">
            <v>U</v>
          </cell>
        </row>
        <row r="1888">
          <cell r="B1888" t="str">
            <v>MG010620315</v>
          </cell>
          <cell r="C1888" t="str">
            <v>MARRO GRANDE</v>
          </cell>
          <cell r="D1888" t="str">
            <v>PORTAFOLIO</v>
          </cell>
          <cell r="E1888" t="str">
            <v>PORTAFOLIO HUAPI</v>
          </cell>
          <cell r="F1888" t="str">
            <v>BRIDGE</v>
          </cell>
          <cell r="G1888">
            <v>0</v>
          </cell>
          <cell r="H1888" t="str">
            <v>MALBEC</v>
          </cell>
          <cell r="I1888" t="str">
            <v>U</v>
          </cell>
          <cell r="J1888" t="str">
            <v>U</v>
          </cell>
        </row>
        <row r="1889">
          <cell r="B1889" t="str">
            <v>MG010620352</v>
          </cell>
          <cell r="C1889" t="str">
            <v>MARRO GRANDE</v>
          </cell>
          <cell r="D1889" t="str">
            <v>PORTAFOLIO</v>
          </cell>
          <cell r="E1889" t="str">
            <v>PORTAFOLIO HUAPI</v>
          </cell>
          <cell r="F1889" t="str">
            <v>BRIDGE</v>
          </cell>
          <cell r="G1889">
            <v>0</v>
          </cell>
          <cell r="H1889" t="str">
            <v>CHOCOLATE</v>
          </cell>
          <cell r="I1889" t="str">
            <v>U</v>
          </cell>
          <cell r="J1889" t="str">
            <v>U</v>
          </cell>
        </row>
        <row r="1890">
          <cell r="B1890" t="str">
            <v>MG010621623</v>
          </cell>
          <cell r="C1890" t="str">
            <v>MARRO GRANDE</v>
          </cell>
          <cell r="D1890" t="str">
            <v>PORTAFOLIO</v>
          </cell>
          <cell r="E1890" t="str">
            <v>PORTAFOLIO HUAPI</v>
          </cell>
          <cell r="F1890" t="str">
            <v>FIORENTINO</v>
          </cell>
          <cell r="G1890">
            <v>0</v>
          </cell>
          <cell r="H1890" t="str">
            <v>CEDRO</v>
          </cell>
          <cell r="I1890" t="str">
            <v>U</v>
          </cell>
          <cell r="J1890" t="str">
            <v>U</v>
          </cell>
        </row>
        <row r="1891">
          <cell r="B1891" t="str">
            <v>MG010510201</v>
          </cell>
          <cell r="C1891" t="str">
            <v>MARRO GRANDE</v>
          </cell>
          <cell r="D1891" t="str">
            <v>PORTAFOLIO</v>
          </cell>
          <cell r="E1891" t="str">
            <v>PORTAFOLIO OLDIE</v>
          </cell>
          <cell r="F1891" t="str">
            <v>TAMPONATO</v>
          </cell>
          <cell r="G1891">
            <v>0</v>
          </cell>
          <cell r="H1891" t="str">
            <v>NEGRO</v>
          </cell>
          <cell r="I1891" t="str">
            <v>U</v>
          </cell>
          <cell r="J1891" t="str">
            <v>U</v>
          </cell>
        </row>
        <row r="1892">
          <cell r="B1892" t="str">
            <v>MG010510202</v>
          </cell>
          <cell r="C1892" t="str">
            <v>MARRO GRANDE</v>
          </cell>
          <cell r="D1892" t="str">
            <v>PORTAFOLIO</v>
          </cell>
          <cell r="E1892" t="str">
            <v>PORTAFOLIO OLDIE</v>
          </cell>
          <cell r="F1892" t="str">
            <v>TAMPONATO</v>
          </cell>
          <cell r="G1892">
            <v>0</v>
          </cell>
          <cell r="H1892" t="str">
            <v>SUELA</v>
          </cell>
          <cell r="I1892" t="str">
            <v>U</v>
          </cell>
          <cell r="J1892" t="str">
            <v>U</v>
          </cell>
        </row>
        <row r="1893">
          <cell r="B1893" t="str">
            <v>MG010510301</v>
          </cell>
          <cell r="C1893" t="str">
            <v>MARRO GRANDE</v>
          </cell>
          <cell r="D1893" t="str">
            <v>PORTAFOLIO</v>
          </cell>
          <cell r="E1893" t="str">
            <v>PORTAFOLIO OLDIE</v>
          </cell>
          <cell r="F1893" t="str">
            <v>BRIDGE</v>
          </cell>
          <cell r="G1893">
            <v>0</v>
          </cell>
          <cell r="H1893" t="str">
            <v>NEGRO</v>
          </cell>
          <cell r="I1893" t="str">
            <v>U</v>
          </cell>
          <cell r="J1893" t="str">
            <v>U</v>
          </cell>
        </row>
        <row r="1894">
          <cell r="B1894" t="str">
            <v>MG010510303</v>
          </cell>
          <cell r="C1894" t="str">
            <v>MARRO GRANDE</v>
          </cell>
          <cell r="D1894" t="str">
            <v>PORTAFOLIO</v>
          </cell>
          <cell r="E1894" t="str">
            <v>PORTAFOLIO OLDIE</v>
          </cell>
          <cell r="F1894" t="str">
            <v>BRIDGE</v>
          </cell>
          <cell r="G1894">
            <v>0</v>
          </cell>
          <cell r="H1894" t="str">
            <v>CARAMELO</v>
          </cell>
          <cell r="I1894" t="str">
            <v>U</v>
          </cell>
          <cell r="J1894" t="str">
            <v>U</v>
          </cell>
        </row>
        <row r="1895">
          <cell r="B1895" t="str">
            <v>MG010510304</v>
          </cell>
          <cell r="C1895" t="str">
            <v>MARRO GRANDE</v>
          </cell>
          <cell r="D1895" t="str">
            <v>PORTAFOLIO</v>
          </cell>
          <cell r="E1895" t="str">
            <v>PORTAFOLIO OLDIE</v>
          </cell>
          <cell r="F1895" t="str">
            <v>BRIDGE</v>
          </cell>
          <cell r="G1895">
            <v>0</v>
          </cell>
          <cell r="H1895" t="str">
            <v>TABACO</v>
          </cell>
          <cell r="I1895" t="str">
            <v>U</v>
          </cell>
          <cell r="J1895" t="str">
            <v>U</v>
          </cell>
        </row>
        <row r="1896">
          <cell r="B1896" t="str">
            <v>MG010510352</v>
          </cell>
          <cell r="C1896" t="str">
            <v>MARRO GRANDE</v>
          </cell>
          <cell r="D1896" t="str">
            <v>PORTAFOLIO</v>
          </cell>
          <cell r="E1896" t="str">
            <v>PORTAFOLIO OLDIE</v>
          </cell>
          <cell r="F1896" t="str">
            <v>BRIDGE</v>
          </cell>
          <cell r="G1896">
            <v>0</v>
          </cell>
          <cell r="H1896" t="str">
            <v xml:space="preserve">CHOCOLATE </v>
          </cell>
          <cell r="I1896" t="str">
            <v>U</v>
          </cell>
          <cell r="J1896" t="str">
            <v>U</v>
          </cell>
        </row>
        <row r="1897">
          <cell r="B1897" t="str">
            <v>MG010511623</v>
          </cell>
          <cell r="C1897" t="str">
            <v>MARRO GRANDE</v>
          </cell>
          <cell r="D1897" t="str">
            <v>PORTAFOLIO</v>
          </cell>
          <cell r="E1897" t="str">
            <v>PORTAFOLIO OLDIE</v>
          </cell>
          <cell r="F1897" t="str">
            <v>FIORENTINO</v>
          </cell>
          <cell r="G1897">
            <v>0</v>
          </cell>
          <cell r="H1897" t="str">
            <v>CEDRO</v>
          </cell>
          <cell r="I1897" t="str">
            <v>U</v>
          </cell>
          <cell r="J1897" t="str">
            <v>U</v>
          </cell>
        </row>
        <row r="1898">
          <cell r="B1898" t="str">
            <v>MG010420301</v>
          </cell>
          <cell r="C1898" t="str">
            <v>MARRO GRANDE</v>
          </cell>
          <cell r="D1898" t="str">
            <v>PORTAFOLIO</v>
          </cell>
          <cell r="E1898" t="str">
            <v>PORTAFOLIO RUBEN</v>
          </cell>
          <cell r="F1898" t="str">
            <v>BRIDGE</v>
          </cell>
          <cell r="G1898">
            <v>0</v>
          </cell>
          <cell r="H1898" t="str">
            <v>NEGRO</v>
          </cell>
          <cell r="I1898" t="str">
            <v>U</v>
          </cell>
          <cell r="J1898" t="str">
            <v>H</v>
          </cell>
        </row>
        <row r="1899">
          <cell r="B1899" t="str">
            <v>MG010420303</v>
          </cell>
          <cell r="C1899" t="str">
            <v>MARRO GRANDE</v>
          </cell>
          <cell r="D1899" t="str">
            <v>PORTAFOLIO</v>
          </cell>
          <cell r="E1899" t="str">
            <v>PORTAFOLIO RUBEN</v>
          </cell>
          <cell r="F1899" t="str">
            <v>BRIDGE</v>
          </cell>
          <cell r="G1899">
            <v>0</v>
          </cell>
          <cell r="H1899" t="str">
            <v>CARAMELO</v>
          </cell>
          <cell r="I1899" t="str">
            <v>U</v>
          </cell>
          <cell r="J1899" t="str">
            <v>H</v>
          </cell>
        </row>
        <row r="1900">
          <cell r="B1900" t="str">
            <v>MG010420304</v>
          </cell>
          <cell r="C1900" t="str">
            <v>MARRO GRANDE</v>
          </cell>
          <cell r="D1900" t="str">
            <v>PORTAFOLIO</v>
          </cell>
          <cell r="E1900" t="str">
            <v>PORTAFOLIO RUBEN</v>
          </cell>
          <cell r="F1900" t="str">
            <v>BRIDGE</v>
          </cell>
          <cell r="G1900">
            <v>0</v>
          </cell>
          <cell r="H1900" t="str">
            <v>TABACO</v>
          </cell>
          <cell r="I1900" t="str">
            <v>U</v>
          </cell>
          <cell r="J1900" t="str">
            <v>H</v>
          </cell>
        </row>
        <row r="1901">
          <cell r="B1901" t="str">
            <v>MG010420312</v>
          </cell>
          <cell r="C1901" t="str">
            <v>MARRO GRANDE</v>
          </cell>
          <cell r="D1901" t="str">
            <v>PORTAFOLIO</v>
          </cell>
          <cell r="E1901" t="str">
            <v>PORTAFOLIO RUBEN</v>
          </cell>
          <cell r="F1901" t="str">
            <v>BRIDGE</v>
          </cell>
          <cell r="G1901">
            <v>0</v>
          </cell>
          <cell r="H1901" t="str">
            <v>GRIS</v>
          </cell>
          <cell r="I1901" t="str">
            <v>U</v>
          </cell>
          <cell r="J1901" t="str">
            <v>H</v>
          </cell>
        </row>
        <row r="1902">
          <cell r="B1902" t="str">
            <v>MG010420352</v>
          </cell>
          <cell r="C1902" t="str">
            <v>MARRO GRANDE</v>
          </cell>
          <cell r="D1902" t="str">
            <v>PORTAFOLIO</v>
          </cell>
          <cell r="E1902" t="str">
            <v>PORTAFOLIO RUBEN</v>
          </cell>
          <cell r="F1902" t="str">
            <v>BRIDGE</v>
          </cell>
          <cell r="G1902">
            <v>0</v>
          </cell>
          <cell r="H1902" t="str">
            <v>CHOCOLATE</v>
          </cell>
          <cell r="I1902" t="str">
            <v>U</v>
          </cell>
          <cell r="J1902" t="str">
            <v>H</v>
          </cell>
        </row>
        <row r="1903">
          <cell r="B1903" t="str">
            <v>MG010770301</v>
          </cell>
          <cell r="C1903" t="str">
            <v>MARRO GRANDE</v>
          </cell>
          <cell r="D1903" t="str">
            <v>PORTAFOLIO</v>
          </cell>
          <cell r="E1903" t="str">
            <v>PORTAFOLIO VENUS CH</v>
          </cell>
          <cell r="F1903" t="str">
            <v>BRIDGE</v>
          </cell>
          <cell r="G1903">
            <v>0</v>
          </cell>
          <cell r="H1903" t="str">
            <v>NEGRO</v>
          </cell>
          <cell r="I1903" t="str">
            <v>U</v>
          </cell>
          <cell r="J1903" t="str">
            <v>U</v>
          </cell>
        </row>
        <row r="1904">
          <cell r="B1904" t="str">
            <v>MG010770303</v>
          </cell>
          <cell r="C1904" t="str">
            <v>MARRO GRANDE</v>
          </cell>
          <cell r="D1904" t="str">
            <v>PORTAFOLIO</v>
          </cell>
          <cell r="E1904" t="str">
            <v>PORTAFOLIO VENUS CH</v>
          </cell>
          <cell r="F1904" t="str">
            <v>BRIDGE</v>
          </cell>
          <cell r="G1904">
            <v>0</v>
          </cell>
          <cell r="H1904" t="str">
            <v>CARAMELO</v>
          </cell>
          <cell r="I1904" t="str">
            <v>U</v>
          </cell>
          <cell r="J1904" t="str">
            <v>U</v>
          </cell>
        </row>
        <row r="1905">
          <cell r="B1905" t="str">
            <v>MG010770304</v>
          </cell>
          <cell r="C1905" t="str">
            <v>MARRO GRANDE</v>
          </cell>
          <cell r="D1905" t="str">
            <v>PORTAFOLIO</v>
          </cell>
          <cell r="E1905" t="str">
            <v>PORTAFOLIO VENUS CH</v>
          </cell>
          <cell r="F1905" t="str">
            <v>BRIDGE</v>
          </cell>
          <cell r="G1905">
            <v>0</v>
          </cell>
          <cell r="H1905" t="str">
            <v>TABACO</v>
          </cell>
          <cell r="I1905" t="str">
            <v>U</v>
          </cell>
          <cell r="J1905" t="str">
            <v>U</v>
          </cell>
        </row>
        <row r="1906">
          <cell r="B1906" t="str">
            <v>MG010770309</v>
          </cell>
          <cell r="C1906" t="str">
            <v>MARRO GRANDE</v>
          </cell>
          <cell r="D1906" t="str">
            <v>PORTAFOLIO</v>
          </cell>
          <cell r="E1906" t="str">
            <v>PORTAFOLIO VENUS CH</v>
          </cell>
          <cell r="F1906" t="str">
            <v>BRIDGE</v>
          </cell>
          <cell r="G1906">
            <v>0</v>
          </cell>
          <cell r="H1906" t="str">
            <v>AZUL</v>
          </cell>
          <cell r="I1906" t="str">
            <v>U</v>
          </cell>
          <cell r="J1906" t="str">
            <v>U</v>
          </cell>
        </row>
        <row r="1907">
          <cell r="B1907" t="str">
            <v>MG010770309-3</v>
          </cell>
          <cell r="C1907" t="str">
            <v>MARRO GRANDE</v>
          </cell>
          <cell r="D1907" t="str">
            <v>PORTAFOLIO</v>
          </cell>
          <cell r="E1907" t="str">
            <v>PORTAFOLIO VENUS CH</v>
          </cell>
          <cell r="F1907" t="str">
            <v>GAMUZA/BRIDGE</v>
          </cell>
          <cell r="G1907">
            <v>0</v>
          </cell>
          <cell r="H1907" t="str">
            <v>AZUL/CARAMELO</v>
          </cell>
          <cell r="I1907" t="str">
            <v>U</v>
          </cell>
          <cell r="J1907" t="str">
            <v>U</v>
          </cell>
        </row>
        <row r="1908">
          <cell r="B1908" t="str">
            <v>MG010770312</v>
          </cell>
          <cell r="C1908" t="str">
            <v>MARRO GRANDE</v>
          </cell>
          <cell r="D1908" t="str">
            <v>PORTAFOLIO</v>
          </cell>
          <cell r="E1908" t="str">
            <v>PORTAFOLIO VENUS CH</v>
          </cell>
          <cell r="F1908" t="str">
            <v>BRIDGE</v>
          </cell>
          <cell r="G1908">
            <v>0</v>
          </cell>
          <cell r="H1908" t="str">
            <v>GRIS</v>
          </cell>
          <cell r="I1908" t="str">
            <v>U</v>
          </cell>
          <cell r="J1908" t="str">
            <v>U</v>
          </cell>
        </row>
        <row r="1909">
          <cell r="B1909" t="str">
            <v>MG010770315</v>
          </cell>
          <cell r="C1909" t="str">
            <v>MARRO GRANDE</v>
          </cell>
          <cell r="D1909" t="str">
            <v>PORTAFOLIO</v>
          </cell>
          <cell r="E1909" t="str">
            <v>PORTAFOLIO VENUS CH</v>
          </cell>
          <cell r="F1909" t="str">
            <v>BRIDGE</v>
          </cell>
          <cell r="G1909">
            <v>0</v>
          </cell>
          <cell r="H1909" t="str">
            <v>MALBEC</v>
          </cell>
          <cell r="I1909" t="str">
            <v>U</v>
          </cell>
          <cell r="J1909" t="str">
            <v>U</v>
          </cell>
        </row>
        <row r="1910">
          <cell r="B1910" t="str">
            <v>MG010770509-3</v>
          </cell>
          <cell r="C1910" t="str">
            <v>MARRO GRANDE</v>
          </cell>
          <cell r="D1910" t="str">
            <v>PORTAFOLIO</v>
          </cell>
          <cell r="E1910" t="str">
            <v>PORTAFOLIO VENUS CH</v>
          </cell>
          <cell r="F1910" t="str">
            <v>GAMUZA/IGUANA</v>
          </cell>
          <cell r="G1910">
            <v>0</v>
          </cell>
          <cell r="H1910" t="str">
            <v>AZUL/CARAMELO</v>
          </cell>
          <cell r="I1910" t="str">
            <v>U</v>
          </cell>
          <cell r="J1910" t="str">
            <v>U</v>
          </cell>
        </row>
        <row r="1911">
          <cell r="B1911" t="str">
            <v>MG010770516-3</v>
          </cell>
          <cell r="C1911" t="str">
            <v>MARRO GRANDE</v>
          </cell>
          <cell r="D1911" t="str">
            <v>PORTAFOLIO</v>
          </cell>
          <cell r="E1911" t="str">
            <v>PORTAFOLIO VENUS CH</v>
          </cell>
          <cell r="F1911" t="str">
            <v>GAMUZA/IGUANA</v>
          </cell>
          <cell r="G1911">
            <v>0</v>
          </cell>
          <cell r="H1911" t="str">
            <v>OLIVE/CARAMELO</v>
          </cell>
          <cell r="I1911" t="str">
            <v>U</v>
          </cell>
          <cell r="J1911" t="str">
            <v>U</v>
          </cell>
        </row>
        <row r="1912">
          <cell r="B1912" t="str">
            <v>MG010770516-4</v>
          </cell>
          <cell r="C1912" t="str">
            <v>MARRO GRANDE</v>
          </cell>
          <cell r="D1912" t="str">
            <v>PORTAFOLIO</v>
          </cell>
          <cell r="E1912" t="str">
            <v>PORTAFOLIO VENUS CH</v>
          </cell>
          <cell r="F1912" t="str">
            <v>GAMUZA/BRIDGE</v>
          </cell>
          <cell r="G1912">
            <v>0</v>
          </cell>
          <cell r="H1912" t="str">
            <v>OLIVE/TABACO</v>
          </cell>
          <cell r="I1912" t="str">
            <v>U</v>
          </cell>
          <cell r="J1912" t="str">
            <v>U</v>
          </cell>
        </row>
        <row r="1913">
          <cell r="B1913" t="str">
            <v>MG010770517-3</v>
          </cell>
          <cell r="C1913" t="str">
            <v>MARRO GRANDE</v>
          </cell>
          <cell r="D1913" t="str">
            <v>PORTAFOLIO</v>
          </cell>
          <cell r="E1913" t="str">
            <v>PORTAFOLIO VENUS CH</v>
          </cell>
          <cell r="F1913" t="str">
            <v>GAMUZA/BRIDGE</v>
          </cell>
          <cell r="G1913">
            <v>0</v>
          </cell>
          <cell r="H1913" t="str">
            <v>GRIS MEDIO/CARAMELO</v>
          </cell>
          <cell r="I1913" t="str">
            <v>U</v>
          </cell>
          <cell r="J1913" t="str">
            <v>U</v>
          </cell>
        </row>
        <row r="1914">
          <cell r="B1914" t="str">
            <v>MG010770550-4</v>
          </cell>
          <cell r="C1914" t="str">
            <v>MARRO GRANDE</v>
          </cell>
          <cell r="D1914" t="str">
            <v>PORTAFOLIO</v>
          </cell>
          <cell r="E1914" t="str">
            <v>PORTAFOLIO VENUS CH</v>
          </cell>
          <cell r="F1914" t="str">
            <v>GAMUZA/BRIDGE</v>
          </cell>
          <cell r="G1914">
            <v>0</v>
          </cell>
          <cell r="H1914" t="str">
            <v>VESUBIO/TABACO</v>
          </cell>
          <cell r="I1914" t="str">
            <v>U</v>
          </cell>
          <cell r="J1914" t="str">
            <v>U</v>
          </cell>
        </row>
        <row r="1915">
          <cell r="B1915" t="str">
            <v>MG010760301</v>
          </cell>
          <cell r="C1915" t="str">
            <v>MARRO GRANDE</v>
          </cell>
          <cell r="D1915" t="str">
            <v>PORTAFOLIO</v>
          </cell>
          <cell r="E1915" t="str">
            <v>PORTAFOLIO VENUS GD</v>
          </cell>
          <cell r="F1915" t="str">
            <v>BRIDGE</v>
          </cell>
          <cell r="G1915">
            <v>0</v>
          </cell>
          <cell r="H1915" t="str">
            <v>NEGRO</v>
          </cell>
          <cell r="I1915" t="str">
            <v>U</v>
          </cell>
          <cell r="J1915" t="str">
            <v>U</v>
          </cell>
        </row>
        <row r="1916">
          <cell r="B1916" t="str">
            <v>MG010760303</v>
          </cell>
          <cell r="C1916" t="str">
            <v>MARRO GRANDE</v>
          </cell>
          <cell r="D1916" t="str">
            <v>PORTAFOLIO</v>
          </cell>
          <cell r="E1916" t="str">
            <v>PORTAFOLIO VENUS GD</v>
          </cell>
          <cell r="F1916" t="str">
            <v>BRIDGE</v>
          </cell>
          <cell r="G1916">
            <v>0</v>
          </cell>
          <cell r="H1916" t="str">
            <v>CARAMELO</v>
          </cell>
          <cell r="I1916" t="str">
            <v>U</v>
          </cell>
          <cell r="J1916" t="str">
            <v>U</v>
          </cell>
        </row>
        <row r="1917">
          <cell r="B1917" t="str">
            <v>MG010760304</v>
          </cell>
          <cell r="C1917" t="str">
            <v>MARRO GRANDE</v>
          </cell>
          <cell r="D1917" t="str">
            <v>PORTAFOLIO</v>
          </cell>
          <cell r="E1917" t="str">
            <v>PORTAFOLIO VENUS GD</v>
          </cell>
          <cell r="F1917" t="str">
            <v>BRIDGE</v>
          </cell>
          <cell r="G1917">
            <v>0</v>
          </cell>
          <cell r="H1917" t="str">
            <v>TABACO</v>
          </cell>
          <cell r="I1917" t="str">
            <v>U</v>
          </cell>
          <cell r="J1917" t="str">
            <v>U</v>
          </cell>
        </row>
        <row r="1918">
          <cell r="B1918" t="str">
            <v>MG010760309</v>
          </cell>
          <cell r="C1918" t="str">
            <v>MARRO GRANDE</v>
          </cell>
          <cell r="D1918" t="str">
            <v>PORTAFOLIO</v>
          </cell>
          <cell r="E1918" t="str">
            <v>PORTAFOLIO VENUS GD</v>
          </cell>
          <cell r="F1918" t="str">
            <v>BRIDGE</v>
          </cell>
          <cell r="G1918">
            <v>0</v>
          </cell>
          <cell r="H1918" t="str">
            <v>AZUL</v>
          </cell>
          <cell r="I1918" t="str">
            <v>U</v>
          </cell>
          <cell r="J1918" t="str">
            <v>U</v>
          </cell>
        </row>
        <row r="1919">
          <cell r="B1919" t="str">
            <v>MG010760312</v>
          </cell>
          <cell r="C1919" t="str">
            <v>MARRO GRANDE</v>
          </cell>
          <cell r="D1919" t="str">
            <v>PORTAFOLIO</v>
          </cell>
          <cell r="E1919" t="str">
            <v>PORTAFOLIO VENUS GD</v>
          </cell>
          <cell r="F1919" t="str">
            <v>BRIDGE</v>
          </cell>
          <cell r="G1919">
            <v>0</v>
          </cell>
          <cell r="H1919" t="str">
            <v>GRIS</v>
          </cell>
          <cell r="I1919" t="str">
            <v>U</v>
          </cell>
          <cell r="J1919" t="str">
            <v>U</v>
          </cell>
        </row>
        <row r="1920">
          <cell r="B1920" t="str">
            <v>MC020650301</v>
          </cell>
          <cell r="C1920" t="str">
            <v>MARRO CHICA</v>
          </cell>
          <cell r="D1920" t="str">
            <v>PORTALAPICERA</v>
          </cell>
          <cell r="E1920" t="str">
            <v>PORTALAPICERAS</v>
          </cell>
          <cell r="F1920" t="str">
            <v>BRIDGE</v>
          </cell>
          <cell r="G1920">
            <v>0</v>
          </cell>
          <cell r="H1920" t="str">
            <v>NEGRO</v>
          </cell>
          <cell r="I1920" t="str">
            <v>U</v>
          </cell>
          <cell r="J1920" t="str">
            <v>U</v>
          </cell>
        </row>
        <row r="1921">
          <cell r="B1921" t="str">
            <v>MC020650303</v>
          </cell>
          <cell r="C1921" t="str">
            <v>MARRO CHICA</v>
          </cell>
          <cell r="D1921" t="str">
            <v>PORTALAPICERA</v>
          </cell>
          <cell r="E1921" t="str">
            <v>PORTALAPICERAS</v>
          </cell>
          <cell r="F1921" t="str">
            <v>BRIDGE</v>
          </cell>
          <cell r="G1921">
            <v>0</v>
          </cell>
          <cell r="H1921" t="str">
            <v>CARAMELO</v>
          </cell>
          <cell r="I1921" t="str">
            <v>U</v>
          </cell>
          <cell r="J1921" t="str">
            <v>U</v>
          </cell>
        </row>
        <row r="1922">
          <cell r="B1922" t="str">
            <v>MC020650307</v>
          </cell>
          <cell r="C1922" t="str">
            <v>MARRO CHICA</v>
          </cell>
          <cell r="D1922" t="str">
            <v>PORTALAPICERA</v>
          </cell>
          <cell r="E1922" t="str">
            <v>PORTALAPICERAS</v>
          </cell>
          <cell r="F1922" t="str">
            <v>BRIDGE</v>
          </cell>
          <cell r="G1922">
            <v>0</v>
          </cell>
          <cell r="H1922" t="str">
            <v>ROJO</v>
          </cell>
          <cell r="I1922" t="str">
            <v>U</v>
          </cell>
          <cell r="J1922" t="str">
            <v>U</v>
          </cell>
        </row>
        <row r="1923">
          <cell r="B1923" t="str">
            <v>MC020650315</v>
          </cell>
          <cell r="C1923" t="str">
            <v>MARRO CHICA</v>
          </cell>
          <cell r="D1923" t="str">
            <v>PORTALAPICERA</v>
          </cell>
          <cell r="E1923" t="str">
            <v>PORTALAPICERAS</v>
          </cell>
          <cell r="F1923" t="str">
            <v>BRIDGE</v>
          </cell>
          <cell r="G1923">
            <v>0</v>
          </cell>
          <cell r="H1923" t="str">
            <v>MALBEC</v>
          </cell>
          <cell r="I1923" t="str">
            <v>U</v>
          </cell>
          <cell r="J1923" t="str">
            <v>U</v>
          </cell>
        </row>
        <row r="1924">
          <cell r="B1924" t="str">
            <v>MC020650352</v>
          </cell>
          <cell r="C1924" t="str">
            <v>MARRO CHICA</v>
          </cell>
          <cell r="D1924" t="str">
            <v>PORTALAPICERA</v>
          </cell>
          <cell r="E1924" t="str">
            <v>PORTALAPICERAS</v>
          </cell>
          <cell r="F1924" t="str">
            <v>BRIDGE</v>
          </cell>
          <cell r="G1924">
            <v>0</v>
          </cell>
          <cell r="H1924" t="str">
            <v>CHOCOLATE</v>
          </cell>
          <cell r="I1924" t="str">
            <v>U</v>
          </cell>
          <cell r="J1924" t="str">
            <v>U</v>
          </cell>
        </row>
        <row r="1925">
          <cell r="B1925" t="str">
            <v>MC020650401</v>
          </cell>
          <cell r="C1925" t="str">
            <v>MARRO CHICA</v>
          </cell>
          <cell r="D1925" t="str">
            <v>PORTALAPICERA</v>
          </cell>
          <cell r="E1925" t="str">
            <v>PORTALAPICERAS</v>
          </cell>
          <cell r="F1925" t="str">
            <v>VAQUETA</v>
          </cell>
          <cell r="G1925">
            <v>0</v>
          </cell>
          <cell r="H1925" t="str">
            <v>NEGRO</v>
          </cell>
          <cell r="I1925" t="str">
            <v>U</v>
          </cell>
          <cell r="J1925" t="str">
            <v>U</v>
          </cell>
        </row>
        <row r="1926">
          <cell r="B1926" t="str">
            <v>MC020650402</v>
          </cell>
          <cell r="C1926" t="str">
            <v>MARRO CHICA</v>
          </cell>
          <cell r="D1926" t="str">
            <v>PORTALAPICERA</v>
          </cell>
          <cell r="E1926" t="str">
            <v>PORTALAPICERAS</v>
          </cell>
          <cell r="F1926" t="str">
            <v>VAQUETA</v>
          </cell>
          <cell r="G1926">
            <v>0</v>
          </cell>
          <cell r="H1926" t="str">
            <v>SUELA</v>
          </cell>
          <cell r="I1926" t="str">
            <v>U</v>
          </cell>
          <cell r="J1926" t="str">
            <v>U</v>
          </cell>
        </row>
        <row r="1927">
          <cell r="B1927" t="str">
            <v>MC020650408</v>
          </cell>
          <cell r="C1927" t="str">
            <v>MARRO CHICA</v>
          </cell>
          <cell r="D1927" t="str">
            <v>PORTALAPICERA</v>
          </cell>
          <cell r="E1927" t="str">
            <v>PORTALAPICERAS</v>
          </cell>
          <cell r="F1927" t="str">
            <v>VAQUETA</v>
          </cell>
          <cell r="G1927">
            <v>0</v>
          </cell>
          <cell r="H1927" t="str">
            <v>NATURAL</v>
          </cell>
          <cell r="I1927" t="str">
            <v>U</v>
          </cell>
          <cell r="J1927" t="str">
            <v>U</v>
          </cell>
        </row>
        <row r="1928">
          <cell r="B1928" t="str">
            <v>MC020650428</v>
          </cell>
          <cell r="C1928" t="str">
            <v>MARRO CHICA</v>
          </cell>
          <cell r="D1928" t="str">
            <v>PORTALAPICERA</v>
          </cell>
          <cell r="E1928" t="str">
            <v>PORTALAPICERAS</v>
          </cell>
          <cell r="F1928" t="str">
            <v>VAQUETA</v>
          </cell>
          <cell r="G1928">
            <v>0</v>
          </cell>
          <cell r="H1928" t="str">
            <v>VISON</v>
          </cell>
          <cell r="I1928" t="str">
            <v>U</v>
          </cell>
          <cell r="J1928" t="str">
            <v>U</v>
          </cell>
        </row>
        <row r="1929">
          <cell r="B1929" t="str">
            <v>MC020650452</v>
          </cell>
          <cell r="C1929" t="str">
            <v>MARRO CHICA</v>
          </cell>
          <cell r="D1929" t="str">
            <v>PORTALAPICERA</v>
          </cell>
          <cell r="E1929" t="str">
            <v>PORTALAPICERAS</v>
          </cell>
          <cell r="F1929" t="str">
            <v>VAQUETA</v>
          </cell>
          <cell r="G1929">
            <v>0</v>
          </cell>
          <cell r="H1929" t="str">
            <v>CHOCOLATE</v>
          </cell>
          <cell r="I1929" t="str">
            <v>U</v>
          </cell>
          <cell r="J1929" t="str">
            <v>U</v>
          </cell>
        </row>
        <row r="1930">
          <cell r="B1930" t="str">
            <v>MC020651623</v>
          </cell>
          <cell r="C1930" t="str">
            <v>MARRO CHICA</v>
          </cell>
          <cell r="D1930" t="str">
            <v>PORTALAPICERA</v>
          </cell>
          <cell r="E1930" t="str">
            <v>PORTALAPICERAS</v>
          </cell>
          <cell r="F1930" t="str">
            <v>FIORENTINO</v>
          </cell>
          <cell r="G1930">
            <v>0</v>
          </cell>
          <cell r="H1930" t="str">
            <v>CEDRO</v>
          </cell>
          <cell r="I1930" t="str">
            <v>U</v>
          </cell>
          <cell r="J1930" t="str">
            <v>U</v>
          </cell>
        </row>
        <row r="1931">
          <cell r="B1931" t="str">
            <v>MG020560201</v>
          </cell>
          <cell r="C1931" t="str">
            <v>MARRO GRANDE</v>
          </cell>
          <cell r="D1931" t="str">
            <v>PORTALAPTOP</v>
          </cell>
          <cell r="E1931" t="str">
            <v>PORTALAPTOP ELOY</v>
          </cell>
          <cell r="F1931" t="str">
            <v>TAMPONATO</v>
          </cell>
          <cell r="G1931">
            <v>0</v>
          </cell>
          <cell r="H1931" t="str">
            <v>NEGRO</v>
          </cell>
          <cell r="I1931" t="str">
            <v>U</v>
          </cell>
          <cell r="J1931" t="str">
            <v>U</v>
          </cell>
        </row>
        <row r="1932">
          <cell r="B1932" t="str">
            <v>MG020560202</v>
          </cell>
          <cell r="C1932" t="str">
            <v>MARRO GRANDE</v>
          </cell>
          <cell r="D1932" t="str">
            <v>PORTALAPTOP</v>
          </cell>
          <cell r="E1932" t="str">
            <v>PORTALAPTOP ELOY</v>
          </cell>
          <cell r="F1932" t="str">
            <v>TAMPONATO</v>
          </cell>
          <cell r="G1932">
            <v>0</v>
          </cell>
          <cell r="H1932" t="str">
            <v>SUELA</v>
          </cell>
          <cell r="I1932" t="str">
            <v>U</v>
          </cell>
          <cell r="J1932" t="str">
            <v>U</v>
          </cell>
        </row>
        <row r="1933">
          <cell r="B1933" t="str">
            <v>MG020561601</v>
          </cell>
          <cell r="C1933" t="str">
            <v>MARRO GRANDE</v>
          </cell>
          <cell r="D1933" t="str">
            <v>PORTALAPTOP</v>
          </cell>
          <cell r="E1933" t="str">
            <v>PORTALAPTOP ELOY</v>
          </cell>
          <cell r="F1933" t="str">
            <v>FIORENTINO</v>
          </cell>
          <cell r="G1933">
            <v>0</v>
          </cell>
          <cell r="H1933" t="str">
            <v>NEGRO</v>
          </cell>
          <cell r="I1933" t="str">
            <v>U</v>
          </cell>
          <cell r="J1933" t="str">
            <v>U</v>
          </cell>
        </row>
        <row r="1934">
          <cell r="B1934" t="str">
            <v>MG020561623</v>
          </cell>
          <cell r="C1934" t="str">
            <v>MARRO GRANDE</v>
          </cell>
          <cell r="D1934" t="str">
            <v>PORTALAPTOP</v>
          </cell>
          <cell r="E1934" t="str">
            <v>PORTALAPTOP ELOY</v>
          </cell>
          <cell r="F1934" t="str">
            <v>FIORENTINO</v>
          </cell>
          <cell r="G1934">
            <v>0</v>
          </cell>
          <cell r="H1934" t="str">
            <v>CEDRO</v>
          </cell>
          <cell r="I1934" t="str">
            <v>U</v>
          </cell>
          <cell r="J1934" t="str">
            <v>U</v>
          </cell>
        </row>
        <row r="1935">
          <cell r="B1935" t="str">
            <v>MG020561901</v>
          </cell>
          <cell r="C1935" t="str">
            <v>MARRO GRANDE</v>
          </cell>
          <cell r="D1935" t="str">
            <v>PORTALAPTOP</v>
          </cell>
          <cell r="E1935" t="str">
            <v>PORTALAPTOP ELOY</v>
          </cell>
          <cell r="F1935" t="str">
            <v>MODENA</v>
          </cell>
          <cell r="G1935">
            <v>0</v>
          </cell>
          <cell r="H1935" t="str">
            <v>NEGRO</v>
          </cell>
          <cell r="I1935" t="str">
            <v>U</v>
          </cell>
          <cell r="J1935" t="str">
            <v>U</v>
          </cell>
        </row>
        <row r="1936">
          <cell r="B1936" t="str">
            <v>MG020561904</v>
          </cell>
          <cell r="C1936" t="str">
            <v>MARRO GRANDE</v>
          </cell>
          <cell r="D1936" t="str">
            <v>PORTALAPTOP</v>
          </cell>
          <cell r="E1936" t="str">
            <v>PORTALAPTOP ELOY</v>
          </cell>
          <cell r="F1936" t="str">
            <v>MODENA</v>
          </cell>
          <cell r="G1936">
            <v>0</v>
          </cell>
          <cell r="H1936" t="str">
            <v>TABACO</v>
          </cell>
          <cell r="I1936" t="str">
            <v>U</v>
          </cell>
          <cell r="J1936" t="str">
            <v>U</v>
          </cell>
        </row>
        <row r="1937">
          <cell r="B1937" t="str">
            <v>MG010670301</v>
          </cell>
          <cell r="C1937" t="str">
            <v>MARRO GRANDE</v>
          </cell>
          <cell r="D1937" t="str">
            <v>PORTALAPTOP</v>
          </cell>
          <cell r="E1937" t="str">
            <v>PORTALAPTOP IVAN</v>
          </cell>
          <cell r="F1937" t="str">
            <v>BRIDGE</v>
          </cell>
          <cell r="G1937">
            <v>0</v>
          </cell>
          <cell r="H1937" t="str">
            <v>NEGRO</v>
          </cell>
          <cell r="I1937" t="str">
            <v>U</v>
          </cell>
          <cell r="J1937" t="str">
            <v>H</v>
          </cell>
        </row>
        <row r="1938">
          <cell r="B1938" t="str">
            <v>MG020550401</v>
          </cell>
          <cell r="C1938" t="str">
            <v>MARRO GRANDE</v>
          </cell>
          <cell r="D1938" t="str">
            <v>PORTALAPTOP</v>
          </cell>
          <cell r="E1938" t="str">
            <v>PORTALAPTOP JOY</v>
          </cell>
          <cell r="F1938" t="str">
            <v>VAQUETA</v>
          </cell>
          <cell r="G1938">
            <v>0</v>
          </cell>
          <cell r="H1938" t="str">
            <v>NEGRO</v>
          </cell>
          <cell r="I1938" t="str">
            <v>U</v>
          </cell>
          <cell r="J1938" t="str">
            <v>U</v>
          </cell>
        </row>
        <row r="1939">
          <cell r="B1939" t="str">
            <v>MG020550402</v>
          </cell>
          <cell r="C1939" t="str">
            <v>MARRO GRANDE</v>
          </cell>
          <cell r="D1939" t="str">
            <v>PORTALAPTOP</v>
          </cell>
          <cell r="E1939" t="str">
            <v>PORTALAPTOP JOY</v>
          </cell>
          <cell r="F1939" t="str">
            <v>VAQUETA</v>
          </cell>
          <cell r="G1939">
            <v>0</v>
          </cell>
          <cell r="H1939" t="str">
            <v>SUELA</v>
          </cell>
          <cell r="I1939" t="str">
            <v>U</v>
          </cell>
          <cell r="J1939" t="str">
            <v>U</v>
          </cell>
        </row>
        <row r="1940">
          <cell r="B1940" t="str">
            <v>MG020551601</v>
          </cell>
          <cell r="C1940" t="str">
            <v>MARRO GRANDE</v>
          </cell>
          <cell r="D1940" t="str">
            <v>PORTALAPTOP</v>
          </cell>
          <cell r="E1940" t="str">
            <v>PORTALAPTOP JOY</v>
          </cell>
          <cell r="F1940" t="str">
            <v>FIORENTINO</v>
          </cell>
          <cell r="G1940">
            <v>0</v>
          </cell>
          <cell r="H1940" t="str">
            <v>NEGRO</v>
          </cell>
          <cell r="I1940" t="str">
            <v>U</v>
          </cell>
          <cell r="J1940" t="str">
            <v>U</v>
          </cell>
        </row>
        <row r="1941">
          <cell r="B1941" t="str">
            <v>MG020551623</v>
          </cell>
          <cell r="C1941" t="str">
            <v>MARRO GRANDE</v>
          </cell>
          <cell r="D1941" t="str">
            <v>PORTALAPTOP</v>
          </cell>
          <cell r="E1941" t="str">
            <v>PORTALAPTOP JOY</v>
          </cell>
          <cell r="F1941" t="str">
            <v>FIORENTINO</v>
          </cell>
          <cell r="G1941">
            <v>0</v>
          </cell>
          <cell r="H1941" t="str">
            <v>CEDRO</v>
          </cell>
          <cell r="I1941" t="str">
            <v>U</v>
          </cell>
          <cell r="J1941" t="str">
            <v>U</v>
          </cell>
        </row>
        <row r="1942">
          <cell r="B1942" t="str">
            <v>MG020551901</v>
          </cell>
          <cell r="C1942" t="str">
            <v>MARRO GRANDE</v>
          </cell>
          <cell r="D1942" t="str">
            <v>PORTALAPTOP</v>
          </cell>
          <cell r="E1942" t="str">
            <v>PORTALAPTOP JOY</v>
          </cell>
          <cell r="F1942" t="str">
            <v>MODENA</v>
          </cell>
          <cell r="G1942">
            <v>0</v>
          </cell>
          <cell r="H1942" t="str">
            <v>NEGRO</v>
          </cell>
          <cell r="I1942" t="str">
            <v>U</v>
          </cell>
          <cell r="J1942" t="str">
            <v>U</v>
          </cell>
        </row>
        <row r="1943">
          <cell r="B1943" t="str">
            <v>MG020551904</v>
          </cell>
          <cell r="C1943" t="str">
            <v>MARRO GRANDE</v>
          </cell>
          <cell r="D1943" t="str">
            <v>PORTALAPTOP</v>
          </cell>
          <cell r="E1943" t="str">
            <v>PORTALAPTOP JOY</v>
          </cell>
          <cell r="F1943" t="str">
            <v>MODENA</v>
          </cell>
          <cell r="G1943">
            <v>0</v>
          </cell>
          <cell r="H1943" t="str">
            <v>TABACO</v>
          </cell>
          <cell r="I1943" t="str">
            <v>U</v>
          </cell>
          <cell r="J1943" t="str">
            <v>U</v>
          </cell>
        </row>
        <row r="1944">
          <cell r="B1944" t="str">
            <v>MG020540301</v>
          </cell>
          <cell r="C1944" t="str">
            <v>MARRO GRANDE</v>
          </cell>
          <cell r="D1944" t="str">
            <v>PORTALAPTOP</v>
          </cell>
          <cell r="E1944" t="str">
            <v>PORTALAPTOP LES</v>
          </cell>
          <cell r="F1944" t="str">
            <v>BRIDGE</v>
          </cell>
          <cell r="G1944">
            <v>0</v>
          </cell>
          <cell r="H1944" t="str">
            <v>NEGRO</v>
          </cell>
          <cell r="I1944" t="str">
            <v>U</v>
          </cell>
          <cell r="J1944" t="str">
            <v>U</v>
          </cell>
        </row>
        <row r="1945">
          <cell r="B1945" t="str">
            <v>MG020540303</v>
          </cell>
          <cell r="C1945" t="str">
            <v>MARRO GRANDE</v>
          </cell>
          <cell r="D1945" t="str">
            <v>PORTALAPTOP</v>
          </cell>
          <cell r="E1945" t="str">
            <v>PORTALAPTOP LES</v>
          </cell>
          <cell r="F1945" t="str">
            <v>BRIDGE</v>
          </cell>
          <cell r="G1945">
            <v>0</v>
          </cell>
          <cell r="H1945" t="str">
            <v>CARAMELO</v>
          </cell>
          <cell r="I1945" t="str">
            <v>U</v>
          </cell>
          <cell r="J1945" t="str">
            <v>U</v>
          </cell>
        </row>
        <row r="1946">
          <cell r="B1946" t="str">
            <v>MG020540304</v>
          </cell>
          <cell r="C1946" t="str">
            <v>MARRO GRANDE</v>
          </cell>
          <cell r="D1946" t="str">
            <v>PORTALAPTOP</v>
          </cell>
          <cell r="E1946" t="str">
            <v>PORTALAPTOP LES</v>
          </cell>
          <cell r="F1946" t="str">
            <v>BRIDGE</v>
          </cell>
          <cell r="G1946">
            <v>0</v>
          </cell>
          <cell r="H1946" t="str">
            <v>TABACO</v>
          </cell>
          <cell r="I1946" t="str">
            <v>U</v>
          </cell>
          <cell r="J1946" t="str">
            <v>U</v>
          </cell>
        </row>
        <row r="1947">
          <cell r="B1947" t="str">
            <v>MG020540307</v>
          </cell>
          <cell r="C1947" t="str">
            <v>MARRO GRANDE</v>
          </cell>
          <cell r="D1947" t="str">
            <v>PORTALAPTOP</v>
          </cell>
          <cell r="E1947" t="str">
            <v>PORTALAPTOP LES</v>
          </cell>
          <cell r="F1947" t="str">
            <v>BRIDGE</v>
          </cell>
          <cell r="G1947">
            <v>0</v>
          </cell>
          <cell r="H1947" t="str">
            <v>ROJO</v>
          </cell>
          <cell r="I1947" t="str">
            <v>U</v>
          </cell>
          <cell r="J1947" t="str">
            <v>U</v>
          </cell>
        </row>
        <row r="1948">
          <cell r="B1948" t="str">
            <v>MG020540309</v>
          </cell>
          <cell r="C1948" t="str">
            <v>MARRO GRANDE</v>
          </cell>
          <cell r="D1948" t="str">
            <v>PORTALAPTOP</v>
          </cell>
          <cell r="E1948" t="str">
            <v>PORTALAPTOP LES</v>
          </cell>
          <cell r="F1948" t="str">
            <v>BRIDGE</v>
          </cell>
          <cell r="G1948">
            <v>0</v>
          </cell>
          <cell r="H1948" t="str">
            <v>AZUL</v>
          </cell>
          <cell r="I1948" t="str">
            <v>U</v>
          </cell>
          <cell r="J1948" t="str">
            <v>U</v>
          </cell>
        </row>
        <row r="1949">
          <cell r="B1949" t="str">
            <v>MG020540310</v>
          </cell>
          <cell r="C1949" t="str">
            <v>MARRO GRANDE</v>
          </cell>
          <cell r="D1949" t="str">
            <v>PORTALAPTOP</v>
          </cell>
          <cell r="E1949" t="str">
            <v>PORTALAPTOP LES</v>
          </cell>
          <cell r="F1949" t="str">
            <v>BRIDGE</v>
          </cell>
          <cell r="G1949">
            <v>0</v>
          </cell>
          <cell r="H1949" t="str">
            <v>VERDE</v>
          </cell>
          <cell r="I1949" t="str">
            <v>U</v>
          </cell>
          <cell r="J1949" t="str">
            <v>U</v>
          </cell>
        </row>
        <row r="1950">
          <cell r="B1950" t="str">
            <v>MG020540312</v>
          </cell>
          <cell r="C1950" t="str">
            <v>MARRO GRANDE</v>
          </cell>
          <cell r="D1950" t="str">
            <v>PORTALAPTOP</v>
          </cell>
          <cell r="E1950" t="str">
            <v>PORTALAPTOP LES</v>
          </cell>
          <cell r="F1950" t="str">
            <v>BRIDGE</v>
          </cell>
          <cell r="G1950">
            <v>0</v>
          </cell>
          <cell r="H1950" t="str">
            <v>GRIS</v>
          </cell>
          <cell r="I1950" t="str">
            <v>U</v>
          </cell>
          <cell r="J1950" t="str">
            <v>U</v>
          </cell>
        </row>
        <row r="1951">
          <cell r="B1951" t="str">
            <v>MG020540352</v>
          </cell>
          <cell r="C1951" t="str">
            <v>MARRO GRANDE</v>
          </cell>
          <cell r="D1951" t="str">
            <v>PORTALAPTOP</v>
          </cell>
          <cell r="E1951" t="str">
            <v>PORTALAPTOP LES</v>
          </cell>
          <cell r="F1951" t="str">
            <v>BRIDGE</v>
          </cell>
          <cell r="G1951">
            <v>0</v>
          </cell>
          <cell r="H1951" t="str">
            <v>CHOCOLATE</v>
          </cell>
          <cell r="I1951" t="str">
            <v>U</v>
          </cell>
          <cell r="J1951" t="str">
            <v>U</v>
          </cell>
        </row>
        <row r="1952">
          <cell r="B1952" t="str">
            <v>MG020541623</v>
          </cell>
          <cell r="C1952" t="str">
            <v>MARRO GRANDE</v>
          </cell>
          <cell r="D1952" t="str">
            <v>PORTALAPTOP</v>
          </cell>
          <cell r="E1952" t="str">
            <v>PORTALAPTOP LES</v>
          </cell>
          <cell r="F1952" t="str">
            <v>FIORENTINO</v>
          </cell>
          <cell r="G1952">
            <v>0</v>
          </cell>
          <cell r="H1952" t="str">
            <v>CEDRO</v>
          </cell>
          <cell r="I1952" t="str">
            <v>U</v>
          </cell>
          <cell r="J1952" t="str">
            <v>U</v>
          </cell>
        </row>
        <row r="1953">
          <cell r="B1953" t="str">
            <v>MG010160301</v>
          </cell>
          <cell r="C1953" t="str">
            <v>MARRO GRANDE</v>
          </cell>
          <cell r="D1953" t="str">
            <v>PORTALAPTOP</v>
          </cell>
          <cell r="E1953" t="str">
            <v>PORTALAPTOP LES FULL BLACK</v>
          </cell>
          <cell r="F1953" t="str">
            <v>BRIDGE</v>
          </cell>
          <cell r="G1953">
            <v>0</v>
          </cell>
          <cell r="H1953" t="str">
            <v>NEGRO</v>
          </cell>
          <cell r="I1953" t="str">
            <v>U</v>
          </cell>
          <cell r="J1953" t="str">
            <v>U</v>
          </cell>
        </row>
        <row r="1954">
          <cell r="B1954" t="str">
            <v>MG011070301</v>
          </cell>
          <cell r="C1954" t="str">
            <v>MARRO GRANDE</v>
          </cell>
          <cell r="D1954" t="str">
            <v>PORTALAPTOP</v>
          </cell>
          <cell r="E1954" t="str">
            <v>PORTALAPTOP MILTON</v>
          </cell>
          <cell r="F1954" t="str">
            <v>BRIDGE</v>
          </cell>
          <cell r="G1954">
            <v>0</v>
          </cell>
          <cell r="H1954" t="str">
            <v>NEGRO</v>
          </cell>
          <cell r="I1954" t="str">
            <v>U</v>
          </cell>
          <cell r="J1954" t="str">
            <v>U</v>
          </cell>
        </row>
        <row r="1955">
          <cell r="B1955" t="str">
            <v>MG011070303</v>
          </cell>
          <cell r="C1955" t="str">
            <v>MARRO GRANDE</v>
          </cell>
          <cell r="D1955" t="str">
            <v>PORTALAPTOP</v>
          </cell>
          <cell r="E1955" t="str">
            <v>PORTALAPTOP MILTON</v>
          </cell>
          <cell r="F1955" t="str">
            <v>BRIDGE</v>
          </cell>
          <cell r="G1955">
            <v>0</v>
          </cell>
          <cell r="H1955" t="str">
            <v>CARAMELO</v>
          </cell>
          <cell r="I1955" t="str">
            <v>U</v>
          </cell>
          <cell r="J1955" t="str">
            <v>U</v>
          </cell>
        </row>
        <row r="1956">
          <cell r="B1956" t="str">
            <v>MG011070304</v>
          </cell>
          <cell r="C1956" t="str">
            <v>MARRO GRANDE</v>
          </cell>
          <cell r="D1956" t="str">
            <v>PORTALAPTOP</v>
          </cell>
          <cell r="E1956" t="str">
            <v>PORTALAPTOP MILTON</v>
          </cell>
          <cell r="F1956" t="str">
            <v>BRIDGE</v>
          </cell>
          <cell r="G1956">
            <v>0</v>
          </cell>
          <cell r="H1956" t="str">
            <v>TABACO</v>
          </cell>
          <cell r="I1956" t="str">
            <v>U</v>
          </cell>
          <cell r="J1956" t="str">
            <v>U</v>
          </cell>
        </row>
        <row r="1957">
          <cell r="B1957" t="str">
            <v>MG011070315</v>
          </cell>
          <cell r="C1957" t="str">
            <v>MARRO GRANDE</v>
          </cell>
          <cell r="D1957" t="str">
            <v>PORTALAPTOP</v>
          </cell>
          <cell r="E1957" t="str">
            <v>PORTALAPTOP MILTON</v>
          </cell>
          <cell r="F1957" t="str">
            <v>BRIDGE</v>
          </cell>
          <cell r="G1957">
            <v>0</v>
          </cell>
          <cell r="H1957" t="str">
            <v>MALBEC</v>
          </cell>
          <cell r="I1957" t="str">
            <v>U</v>
          </cell>
          <cell r="J1957" t="str">
            <v>U</v>
          </cell>
        </row>
        <row r="1958">
          <cell r="B1958" t="str">
            <v>MG011071601</v>
          </cell>
          <cell r="C1958" t="str">
            <v>MARRO GRANDE</v>
          </cell>
          <cell r="D1958" t="str">
            <v>PORTALAPTOP</v>
          </cell>
          <cell r="E1958" t="str">
            <v>PORTALAPTOP MILTON</v>
          </cell>
          <cell r="F1958" t="str">
            <v>FIORENTINO</v>
          </cell>
          <cell r="G1958">
            <v>0</v>
          </cell>
          <cell r="H1958" t="str">
            <v>NEGRO</v>
          </cell>
          <cell r="I1958" t="str">
            <v>U</v>
          </cell>
          <cell r="J1958" t="str">
            <v>U</v>
          </cell>
        </row>
        <row r="1959">
          <cell r="B1959" t="str">
            <v>MG011071623</v>
          </cell>
          <cell r="C1959" t="str">
            <v>MARRO GRANDE</v>
          </cell>
          <cell r="D1959" t="str">
            <v>PORTALAPTOP</v>
          </cell>
          <cell r="E1959" t="str">
            <v>PORTALAPTOP MILTON</v>
          </cell>
          <cell r="F1959" t="str">
            <v>FIORENTINO</v>
          </cell>
          <cell r="G1959">
            <v>0</v>
          </cell>
          <cell r="H1959" t="str">
            <v>CEDRO</v>
          </cell>
          <cell r="I1959" t="str">
            <v>U</v>
          </cell>
          <cell r="J1959" t="str">
            <v>U</v>
          </cell>
        </row>
        <row r="1960">
          <cell r="B1960" t="str">
            <v>MG011071901</v>
          </cell>
          <cell r="C1960" t="str">
            <v>MARRO GRANDE</v>
          </cell>
          <cell r="D1960" t="str">
            <v>PORTALAPTOP</v>
          </cell>
          <cell r="E1960" t="str">
            <v>PORTALAPTOP MILTON</v>
          </cell>
          <cell r="F1960" t="str">
            <v>MODENA</v>
          </cell>
          <cell r="G1960">
            <v>0</v>
          </cell>
          <cell r="H1960" t="str">
            <v>NEGRO</v>
          </cell>
          <cell r="I1960" t="str">
            <v>U</v>
          </cell>
          <cell r="J1960" t="str">
            <v>U</v>
          </cell>
        </row>
        <row r="1961">
          <cell r="B1961" t="str">
            <v>MC020460301</v>
          </cell>
          <cell r="C1961" t="str">
            <v>MARRO CHICA</v>
          </cell>
          <cell r="D1961" t="str">
            <v>PORTALENTES</v>
          </cell>
          <cell r="E1961" t="str">
            <v>PORTALENTES COLBY</v>
          </cell>
          <cell r="F1961" t="str">
            <v>BRIDGE</v>
          </cell>
          <cell r="G1961">
            <v>0</v>
          </cell>
          <cell r="H1961" t="str">
            <v>NEGRO</v>
          </cell>
          <cell r="I1961" t="str">
            <v>U</v>
          </cell>
          <cell r="J1961" t="str">
            <v>U</v>
          </cell>
        </row>
        <row r="1962">
          <cell r="B1962" t="str">
            <v>MC020460303</v>
          </cell>
          <cell r="C1962" t="str">
            <v>MARRO CHICA</v>
          </cell>
          <cell r="D1962" t="str">
            <v>PORTALENTES</v>
          </cell>
          <cell r="E1962" t="str">
            <v>PORTALENTES COLBY</v>
          </cell>
          <cell r="F1962" t="str">
            <v>BRIDGE</v>
          </cell>
          <cell r="G1962">
            <v>0</v>
          </cell>
          <cell r="H1962" t="str">
            <v>CARAMELO</v>
          </cell>
          <cell r="I1962" t="str">
            <v>U</v>
          </cell>
          <cell r="J1962" t="str">
            <v>U</v>
          </cell>
        </row>
        <row r="1963">
          <cell r="B1963" t="str">
            <v>MC020460304</v>
          </cell>
          <cell r="C1963" t="str">
            <v>MARRO CHICA</v>
          </cell>
          <cell r="D1963" t="str">
            <v>PORTALENTES</v>
          </cell>
          <cell r="E1963" t="str">
            <v>PORTALENTES COLBY</v>
          </cell>
          <cell r="F1963" t="str">
            <v>BRIDGE</v>
          </cell>
          <cell r="G1963">
            <v>0</v>
          </cell>
          <cell r="H1963" t="str">
            <v>TABACO</v>
          </cell>
          <cell r="I1963" t="str">
            <v>U</v>
          </cell>
          <cell r="J1963" t="str">
            <v>U</v>
          </cell>
        </row>
        <row r="1964">
          <cell r="B1964" t="str">
            <v>MC020460307</v>
          </cell>
          <cell r="C1964" t="str">
            <v>MARRO CHICA</v>
          </cell>
          <cell r="D1964" t="str">
            <v>PORTALENTES</v>
          </cell>
          <cell r="E1964" t="str">
            <v>PORTALENTES COLBY</v>
          </cell>
          <cell r="F1964" t="str">
            <v>BRIDGE</v>
          </cell>
          <cell r="G1964">
            <v>0</v>
          </cell>
          <cell r="H1964" t="str">
            <v>ROJO</v>
          </cell>
          <cell r="I1964" t="str">
            <v>U</v>
          </cell>
          <cell r="J1964" t="str">
            <v>U</v>
          </cell>
        </row>
        <row r="1965">
          <cell r="B1965" t="str">
            <v>MC020460315</v>
          </cell>
          <cell r="C1965" t="str">
            <v>MARRO CHICA</v>
          </cell>
          <cell r="D1965" t="str">
            <v>PORTALENTES</v>
          </cell>
          <cell r="E1965" t="str">
            <v>PORTALENTES COLBY</v>
          </cell>
          <cell r="F1965" t="str">
            <v>BRIDGE</v>
          </cell>
          <cell r="G1965">
            <v>0</v>
          </cell>
          <cell r="H1965" t="str">
            <v>MALBEC</v>
          </cell>
          <cell r="I1965" t="str">
            <v>U</v>
          </cell>
          <cell r="J1965" t="str">
            <v>U</v>
          </cell>
        </row>
        <row r="1966">
          <cell r="B1966" t="str">
            <v>MC020460701</v>
          </cell>
          <cell r="C1966" t="str">
            <v>MARRO CHICA</v>
          </cell>
          <cell r="D1966" t="str">
            <v>PORTALENTES</v>
          </cell>
          <cell r="E1966" t="str">
            <v>PORTALENTES COLBY</v>
          </cell>
          <cell r="F1966" t="str">
            <v>IGUANA</v>
          </cell>
          <cell r="G1966">
            <v>0</v>
          </cell>
          <cell r="H1966" t="str">
            <v>NEGRO</v>
          </cell>
          <cell r="I1966" t="str">
            <v>U</v>
          </cell>
          <cell r="J1966" t="str">
            <v>U</v>
          </cell>
        </row>
        <row r="1967">
          <cell r="B1967" t="str">
            <v>MC020460703</v>
          </cell>
          <cell r="C1967" t="str">
            <v>MARRO CHICA</v>
          </cell>
          <cell r="D1967" t="str">
            <v>PORTALENTES</v>
          </cell>
          <cell r="E1967" t="str">
            <v>PORTALENTES COLBY</v>
          </cell>
          <cell r="F1967" t="str">
            <v>IGUANA</v>
          </cell>
          <cell r="G1967">
            <v>0</v>
          </cell>
          <cell r="H1967" t="str">
            <v>CARAMELO</v>
          </cell>
          <cell r="I1967" t="str">
            <v>U</v>
          </cell>
          <cell r="J1967" t="str">
            <v>U</v>
          </cell>
        </row>
        <row r="1968">
          <cell r="B1968" t="str">
            <v>MC020460707</v>
          </cell>
          <cell r="C1968" t="str">
            <v>MARRO CHICA</v>
          </cell>
          <cell r="D1968" t="str">
            <v>PORTALENTES</v>
          </cell>
          <cell r="E1968" t="str">
            <v>PORTALENTES COLBY</v>
          </cell>
          <cell r="F1968" t="str">
            <v>IGUANA</v>
          </cell>
          <cell r="G1968">
            <v>0</v>
          </cell>
          <cell r="H1968" t="str">
            <v>ROJO</v>
          </cell>
          <cell r="I1968" t="str">
            <v>U</v>
          </cell>
          <cell r="J1968" t="str">
            <v>U</v>
          </cell>
        </row>
        <row r="1969">
          <cell r="B1969" t="str">
            <v>MC020460709</v>
          </cell>
          <cell r="C1969" t="str">
            <v>MARRO CHICA</v>
          </cell>
          <cell r="D1969" t="str">
            <v>PORTALENTES</v>
          </cell>
          <cell r="E1969" t="str">
            <v>PORTALENTES COLBY</v>
          </cell>
          <cell r="F1969" t="str">
            <v>IGUANA</v>
          </cell>
          <cell r="G1969">
            <v>0</v>
          </cell>
          <cell r="H1969" t="str">
            <v>AZUL</v>
          </cell>
          <cell r="I1969" t="str">
            <v>U</v>
          </cell>
          <cell r="J1969" t="str">
            <v>U</v>
          </cell>
        </row>
        <row r="1970">
          <cell r="B1970" t="str">
            <v>MC020460710</v>
          </cell>
          <cell r="C1970" t="str">
            <v>MARRO CHICA</v>
          </cell>
          <cell r="D1970" t="str">
            <v>PORTALENTES</v>
          </cell>
          <cell r="E1970" t="str">
            <v>PORTALENTES COLBY</v>
          </cell>
          <cell r="F1970" t="str">
            <v>IGUANA</v>
          </cell>
          <cell r="G1970">
            <v>0</v>
          </cell>
          <cell r="H1970" t="str">
            <v>VERDE</v>
          </cell>
          <cell r="I1970" t="str">
            <v>U</v>
          </cell>
          <cell r="J1970" t="str">
            <v>U</v>
          </cell>
        </row>
        <row r="1971">
          <cell r="B1971" t="str">
            <v>MC020461623</v>
          </cell>
          <cell r="C1971" t="str">
            <v>MARRO CHICA</v>
          </cell>
          <cell r="D1971" t="str">
            <v>PORTALENTES</v>
          </cell>
          <cell r="E1971" t="str">
            <v>PORTALENTES COLBY</v>
          </cell>
          <cell r="F1971" t="str">
            <v>FIORENTINO</v>
          </cell>
          <cell r="G1971">
            <v>0</v>
          </cell>
          <cell r="H1971" t="str">
            <v>CEDRO</v>
          </cell>
          <cell r="I1971" t="str">
            <v>U</v>
          </cell>
          <cell r="J1971" t="str">
            <v>U</v>
          </cell>
        </row>
        <row r="1972">
          <cell r="B1972" t="str">
            <v>MC020463241</v>
          </cell>
          <cell r="C1972" t="str">
            <v>MARRO CHICA</v>
          </cell>
          <cell r="D1972" t="str">
            <v>PORTALENTES</v>
          </cell>
          <cell r="E1972" t="str">
            <v>PORTALENTES COLBY</v>
          </cell>
          <cell r="F1972" t="str">
            <v>VINTAGE</v>
          </cell>
          <cell r="G1972">
            <v>0</v>
          </cell>
          <cell r="H1972" t="str">
            <v>LIGHT</v>
          </cell>
          <cell r="I1972" t="str">
            <v>U</v>
          </cell>
          <cell r="J1972" t="str">
            <v>U</v>
          </cell>
        </row>
        <row r="1973">
          <cell r="B1973" t="str">
            <v>MC020463242</v>
          </cell>
          <cell r="C1973" t="str">
            <v>MARRO CHICA</v>
          </cell>
          <cell r="D1973" t="str">
            <v>PORTALENTES</v>
          </cell>
          <cell r="E1973" t="str">
            <v>PORTALENTES COLBY</v>
          </cell>
          <cell r="F1973" t="str">
            <v>VINTAGE</v>
          </cell>
          <cell r="G1973">
            <v>0</v>
          </cell>
          <cell r="H1973" t="str">
            <v>MEDIO</v>
          </cell>
          <cell r="I1973" t="str">
            <v>U</v>
          </cell>
          <cell r="J1973" t="str">
            <v>U</v>
          </cell>
        </row>
        <row r="1974">
          <cell r="B1974" t="str">
            <v>MC020463243</v>
          </cell>
          <cell r="C1974" t="str">
            <v>MARRO CHICA</v>
          </cell>
          <cell r="D1974" t="str">
            <v>PORTALENTES</v>
          </cell>
          <cell r="E1974" t="str">
            <v>PORTALENTES COLBY</v>
          </cell>
          <cell r="F1974" t="str">
            <v>VINTAGE</v>
          </cell>
          <cell r="G1974">
            <v>0</v>
          </cell>
          <cell r="H1974" t="str">
            <v>DARK</v>
          </cell>
          <cell r="I1974" t="str">
            <v>U</v>
          </cell>
          <cell r="J1974" t="str">
            <v>U</v>
          </cell>
        </row>
        <row r="1975">
          <cell r="B1975" t="str">
            <v>MC020390401</v>
          </cell>
          <cell r="C1975" t="str">
            <v>MARRO CHICA</v>
          </cell>
          <cell r="D1975" t="str">
            <v>PORTALENTES</v>
          </cell>
          <cell r="E1975" t="str">
            <v>PORTALENTES JANO</v>
          </cell>
          <cell r="F1975" t="str">
            <v>VAQUETA</v>
          </cell>
          <cell r="G1975">
            <v>0</v>
          </cell>
          <cell r="H1975" t="str">
            <v>NEGRO</v>
          </cell>
          <cell r="I1975" t="str">
            <v>U</v>
          </cell>
          <cell r="J1975" t="str">
            <v>U</v>
          </cell>
        </row>
        <row r="1976">
          <cell r="B1976" t="str">
            <v>MC020390402</v>
          </cell>
          <cell r="C1976" t="str">
            <v>MARRO CHICA</v>
          </cell>
          <cell r="D1976" t="str">
            <v>PORTALENTES</v>
          </cell>
          <cell r="E1976" t="str">
            <v>PORTALENTES JANO</v>
          </cell>
          <cell r="F1976" t="str">
            <v>VAQUETA</v>
          </cell>
          <cell r="G1976">
            <v>0</v>
          </cell>
          <cell r="H1976" t="str">
            <v>SUELA</v>
          </cell>
          <cell r="I1976" t="str">
            <v>U</v>
          </cell>
          <cell r="J1976" t="str">
            <v>U</v>
          </cell>
        </row>
        <row r="1977">
          <cell r="B1977" t="str">
            <v>MC020390406</v>
          </cell>
          <cell r="C1977" t="str">
            <v>MARRO CHICA</v>
          </cell>
          <cell r="D1977" t="str">
            <v>PORTALENTES</v>
          </cell>
          <cell r="E1977" t="str">
            <v>PORTALENTES JANO</v>
          </cell>
          <cell r="F1977" t="str">
            <v>VAQUETA</v>
          </cell>
          <cell r="G1977">
            <v>0</v>
          </cell>
          <cell r="H1977" t="str">
            <v>BORDO</v>
          </cell>
          <cell r="I1977" t="str">
            <v>U</v>
          </cell>
          <cell r="J1977" t="str">
            <v>U</v>
          </cell>
        </row>
        <row r="1978">
          <cell r="B1978" t="str">
            <v>MC020390408</v>
          </cell>
          <cell r="C1978" t="str">
            <v>MARRO CHICA</v>
          </cell>
          <cell r="D1978" t="str">
            <v>PORTALENTES</v>
          </cell>
          <cell r="E1978" t="str">
            <v>PORTALENTES JANO</v>
          </cell>
          <cell r="F1978" t="str">
            <v>VAQUETA</v>
          </cell>
          <cell r="G1978">
            <v>0</v>
          </cell>
          <cell r="H1978" t="str">
            <v>NATURAL</v>
          </cell>
          <cell r="I1978" t="str">
            <v>U</v>
          </cell>
          <cell r="J1978" t="str">
            <v>U</v>
          </cell>
        </row>
        <row r="1979">
          <cell r="B1979" t="str">
            <v>MC020390413</v>
          </cell>
          <cell r="C1979" t="str">
            <v>MARRO CHICA</v>
          </cell>
          <cell r="D1979" t="str">
            <v>PORTALENTES</v>
          </cell>
          <cell r="E1979" t="str">
            <v>PORTALENTES JANO</v>
          </cell>
          <cell r="F1979" t="str">
            <v>VAQUETA</v>
          </cell>
          <cell r="G1979">
            <v>0</v>
          </cell>
          <cell r="H1979" t="str">
            <v>DULCE DE LECHE</v>
          </cell>
          <cell r="I1979" t="str">
            <v>U</v>
          </cell>
          <cell r="J1979" t="str">
            <v>U</v>
          </cell>
        </row>
        <row r="1980">
          <cell r="B1980" t="str">
            <v>MC020390452</v>
          </cell>
          <cell r="C1980" t="str">
            <v>MARRO CHICA</v>
          </cell>
          <cell r="D1980" t="str">
            <v>PORTALENTES</v>
          </cell>
          <cell r="E1980" t="str">
            <v>PORTALENTES JANO</v>
          </cell>
          <cell r="F1980" t="str">
            <v>VAQUETA</v>
          </cell>
          <cell r="G1980">
            <v>0</v>
          </cell>
          <cell r="H1980" t="str">
            <v>CHOCOLATE</v>
          </cell>
          <cell r="I1980" t="str">
            <v>U</v>
          </cell>
          <cell r="J1980" t="str">
            <v>U</v>
          </cell>
        </row>
        <row r="1981">
          <cell r="B1981" t="str">
            <v>MC020390701</v>
          </cell>
          <cell r="C1981" t="str">
            <v>MARRO CHICA</v>
          </cell>
          <cell r="D1981" t="str">
            <v>PORTALENTES</v>
          </cell>
          <cell r="E1981" t="str">
            <v>PORTALENTES JANO</v>
          </cell>
          <cell r="F1981" t="str">
            <v>IGUANA</v>
          </cell>
          <cell r="G1981">
            <v>0</v>
          </cell>
          <cell r="H1981" t="str">
            <v>NEGRO</v>
          </cell>
          <cell r="I1981" t="str">
            <v>U</v>
          </cell>
          <cell r="J1981" t="str">
            <v>U</v>
          </cell>
        </row>
        <row r="1982">
          <cell r="B1982" t="str">
            <v>MC020390703</v>
          </cell>
          <cell r="C1982" t="str">
            <v>MARRO CHICA</v>
          </cell>
          <cell r="D1982" t="str">
            <v>PORTALENTES</v>
          </cell>
          <cell r="E1982" t="str">
            <v>PORTALENTES JANO</v>
          </cell>
          <cell r="F1982" t="str">
            <v>IGUANA</v>
          </cell>
          <cell r="G1982">
            <v>0</v>
          </cell>
          <cell r="H1982" t="str">
            <v>CARAMELO</v>
          </cell>
          <cell r="I1982" t="str">
            <v>U</v>
          </cell>
          <cell r="J1982" t="str">
            <v>U</v>
          </cell>
        </row>
        <row r="1983">
          <cell r="B1983" t="str">
            <v>MC020390705</v>
          </cell>
          <cell r="C1983" t="str">
            <v>MARRO CHICA</v>
          </cell>
          <cell r="D1983" t="str">
            <v>PORTALENTES</v>
          </cell>
          <cell r="E1983" t="str">
            <v>PORTALENTES JANO</v>
          </cell>
          <cell r="F1983" t="str">
            <v>IGUANA</v>
          </cell>
          <cell r="G1983">
            <v>0</v>
          </cell>
          <cell r="H1983" t="str">
            <v>LONDON</v>
          </cell>
          <cell r="I1983" t="str">
            <v>U</v>
          </cell>
          <cell r="J1983" t="str">
            <v>U</v>
          </cell>
        </row>
        <row r="1984">
          <cell r="B1984" t="str">
            <v>MC020390707</v>
          </cell>
          <cell r="C1984" t="str">
            <v>MARRO CHICA</v>
          </cell>
          <cell r="D1984" t="str">
            <v>PORTALENTES</v>
          </cell>
          <cell r="E1984" t="str">
            <v>PORTALENTES JANO</v>
          </cell>
          <cell r="F1984" t="str">
            <v>IGUANA</v>
          </cell>
          <cell r="G1984">
            <v>0</v>
          </cell>
          <cell r="H1984" t="str">
            <v>ROJO</v>
          </cell>
          <cell r="I1984" t="str">
            <v>U</v>
          </cell>
          <cell r="J1984" t="str">
            <v>U</v>
          </cell>
        </row>
        <row r="1985">
          <cell r="B1985" t="str">
            <v>MC020390709</v>
          </cell>
          <cell r="C1985" t="str">
            <v>MARRO CHICA</v>
          </cell>
          <cell r="D1985" t="str">
            <v>PORTALENTES</v>
          </cell>
          <cell r="E1985" t="str">
            <v>PORTALENTES JANO</v>
          </cell>
          <cell r="F1985" t="str">
            <v>IGUANA</v>
          </cell>
          <cell r="G1985">
            <v>0</v>
          </cell>
          <cell r="H1985" t="str">
            <v>AZUL</v>
          </cell>
          <cell r="I1985" t="str">
            <v>U</v>
          </cell>
          <cell r="J1985" t="str">
            <v>U</v>
          </cell>
        </row>
        <row r="1986">
          <cell r="B1986" t="str">
            <v>MC020390710</v>
          </cell>
          <cell r="C1986" t="str">
            <v>MARRO CHICA</v>
          </cell>
          <cell r="D1986" t="str">
            <v>PORTALENTES</v>
          </cell>
          <cell r="E1986" t="str">
            <v>PORTALENTES JANO</v>
          </cell>
          <cell r="F1986" t="str">
            <v>IGUANA</v>
          </cell>
          <cell r="G1986">
            <v>0</v>
          </cell>
          <cell r="H1986" t="str">
            <v>VERDE</v>
          </cell>
          <cell r="I1986" t="str">
            <v>U</v>
          </cell>
          <cell r="J1986" t="str">
            <v>U</v>
          </cell>
        </row>
        <row r="1987">
          <cell r="B1987" t="str">
            <v>MC020170101</v>
          </cell>
          <cell r="C1987" t="str">
            <v>MARRO CHICA</v>
          </cell>
          <cell r="D1987" t="str">
            <v>PORTALENTES</v>
          </cell>
          <cell r="E1987" t="str">
            <v>PORTALENTES LUZ</v>
          </cell>
          <cell r="F1987" t="str">
            <v>NAPADO</v>
          </cell>
          <cell r="G1987">
            <v>0</v>
          </cell>
          <cell r="H1987" t="str">
            <v>NEGRO</v>
          </cell>
          <cell r="I1987" t="str">
            <v>U</v>
          </cell>
          <cell r="J1987" t="str">
            <v>U</v>
          </cell>
        </row>
        <row r="1988">
          <cell r="B1988" t="str">
            <v>MC020170102</v>
          </cell>
          <cell r="C1988" t="str">
            <v>MARRO CHICA</v>
          </cell>
          <cell r="D1988" t="str">
            <v>PORTALENTES</v>
          </cell>
          <cell r="E1988" t="str">
            <v>PORTALENTES LUZ</v>
          </cell>
          <cell r="F1988" t="str">
            <v>NAPADO</v>
          </cell>
          <cell r="G1988">
            <v>0</v>
          </cell>
          <cell r="H1988" t="str">
            <v>SUELA</v>
          </cell>
          <cell r="I1988" t="str">
            <v>U</v>
          </cell>
          <cell r="J1988" t="str">
            <v>U</v>
          </cell>
        </row>
        <row r="1989">
          <cell r="B1989" t="str">
            <v>MC020170107</v>
          </cell>
          <cell r="C1989" t="str">
            <v>MARRO CHICA</v>
          </cell>
          <cell r="D1989" t="str">
            <v>PORTALENTES</v>
          </cell>
          <cell r="E1989" t="str">
            <v>PORTALENTES LUZ</v>
          </cell>
          <cell r="F1989" t="str">
            <v>NAPADO</v>
          </cell>
          <cell r="G1989">
            <v>0</v>
          </cell>
          <cell r="H1989" t="str">
            <v>ROJO</v>
          </cell>
          <cell r="I1989" t="str">
            <v>U</v>
          </cell>
          <cell r="J1989" t="str">
            <v>U</v>
          </cell>
        </row>
        <row r="1990">
          <cell r="B1990" t="str">
            <v>MC020170109</v>
          </cell>
          <cell r="C1990" t="str">
            <v>MARRO CHICA</v>
          </cell>
          <cell r="D1990" t="str">
            <v>PORTALENTES</v>
          </cell>
          <cell r="E1990" t="str">
            <v>PORTALENTES LUZ</v>
          </cell>
          <cell r="F1990" t="str">
            <v>NAPADO</v>
          </cell>
          <cell r="G1990">
            <v>0</v>
          </cell>
          <cell r="H1990" t="str">
            <v>AZUL</v>
          </cell>
          <cell r="I1990" t="str">
            <v>U</v>
          </cell>
          <cell r="J1990" t="str">
            <v>U</v>
          </cell>
        </row>
        <row r="1991">
          <cell r="B1991" t="str">
            <v>MC020170110</v>
          </cell>
          <cell r="C1991" t="str">
            <v>MARRO CHICA</v>
          </cell>
          <cell r="D1991" t="str">
            <v>PORTALENTES</v>
          </cell>
          <cell r="E1991" t="str">
            <v>PORTALENTES LUZ</v>
          </cell>
          <cell r="F1991" t="str">
            <v>NAPADO</v>
          </cell>
          <cell r="G1991">
            <v>0</v>
          </cell>
          <cell r="H1991" t="str">
            <v>VERDE</v>
          </cell>
          <cell r="I1991" t="str">
            <v>U</v>
          </cell>
          <cell r="J1991" t="str">
            <v>U</v>
          </cell>
        </row>
        <row r="1992">
          <cell r="B1992" t="str">
            <v>MC020170301</v>
          </cell>
          <cell r="C1992" t="str">
            <v>MARRO CHICA</v>
          </cell>
          <cell r="D1992" t="str">
            <v>PORTALENTES</v>
          </cell>
          <cell r="E1992" t="str">
            <v>PORTALENTES LUZ</v>
          </cell>
          <cell r="F1992" t="str">
            <v>BRIDGE</v>
          </cell>
          <cell r="G1992">
            <v>0</v>
          </cell>
          <cell r="H1992" t="str">
            <v>NEGRO</v>
          </cell>
          <cell r="I1992" t="str">
            <v>U</v>
          </cell>
          <cell r="J1992" t="str">
            <v>U</v>
          </cell>
        </row>
        <row r="1993">
          <cell r="B1993" t="str">
            <v>MC020170303</v>
          </cell>
          <cell r="C1993" t="str">
            <v>MARRO CHICA</v>
          </cell>
          <cell r="D1993" t="str">
            <v>PORTALENTES</v>
          </cell>
          <cell r="E1993" t="str">
            <v>PORTALENTES LUZ</v>
          </cell>
          <cell r="F1993" t="str">
            <v>BRIDGE</v>
          </cell>
          <cell r="G1993">
            <v>0</v>
          </cell>
          <cell r="H1993" t="str">
            <v>CARAMELO</v>
          </cell>
          <cell r="I1993" t="str">
            <v>U</v>
          </cell>
          <cell r="J1993" t="str">
            <v>U</v>
          </cell>
        </row>
        <row r="1994">
          <cell r="B1994" t="str">
            <v>MC020170304</v>
          </cell>
          <cell r="C1994" t="str">
            <v>MARRO CHICA</v>
          </cell>
          <cell r="D1994" t="str">
            <v>PORTALENTES</v>
          </cell>
          <cell r="E1994" t="str">
            <v>PORTALENTES LUZ</v>
          </cell>
          <cell r="F1994" t="str">
            <v>BRIDGE</v>
          </cell>
          <cell r="G1994">
            <v>0</v>
          </cell>
          <cell r="H1994" t="str">
            <v>TABACO</v>
          </cell>
          <cell r="I1994" t="str">
            <v>U</v>
          </cell>
          <cell r="J1994" t="str">
            <v>U</v>
          </cell>
        </row>
        <row r="1995">
          <cell r="B1995" t="str">
            <v>MC020170307</v>
          </cell>
          <cell r="C1995" t="str">
            <v>MARRO CHICA</v>
          </cell>
          <cell r="D1995" t="str">
            <v>PORTALENTES</v>
          </cell>
          <cell r="E1995" t="str">
            <v>PORTALENTES LUZ</v>
          </cell>
          <cell r="F1995" t="str">
            <v>BRIDGE</v>
          </cell>
          <cell r="G1995">
            <v>0</v>
          </cell>
          <cell r="H1995" t="str">
            <v>ROJO</v>
          </cell>
          <cell r="I1995" t="str">
            <v>U</v>
          </cell>
          <cell r="J1995" t="str">
            <v>U</v>
          </cell>
        </row>
        <row r="1996">
          <cell r="B1996" t="str">
            <v>MC020170309</v>
          </cell>
          <cell r="C1996" t="str">
            <v>MARRO CHICA</v>
          </cell>
          <cell r="D1996" t="str">
            <v>PORTALENTES</v>
          </cell>
          <cell r="E1996" t="str">
            <v>PORTALENTES LUZ</v>
          </cell>
          <cell r="F1996" t="str">
            <v>BRIDGE</v>
          </cell>
          <cell r="G1996">
            <v>0</v>
          </cell>
          <cell r="H1996" t="str">
            <v>AZUL</v>
          </cell>
          <cell r="I1996" t="str">
            <v>U</v>
          </cell>
          <cell r="J1996" t="str">
            <v>U</v>
          </cell>
        </row>
        <row r="1997">
          <cell r="B1997" t="str">
            <v>MC020170310</v>
          </cell>
          <cell r="C1997" t="str">
            <v>MARRO CHICA</v>
          </cell>
          <cell r="D1997" t="str">
            <v>PORTALENTES</v>
          </cell>
          <cell r="E1997" t="str">
            <v>PORTALENTES LUZ</v>
          </cell>
          <cell r="F1997" t="str">
            <v>BRIDGE</v>
          </cell>
          <cell r="G1997">
            <v>0</v>
          </cell>
          <cell r="H1997" t="str">
            <v>VERDE</v>
          </cell>
          <cell r="I1997" t="str">
            <v>U</v>
          </cell>
          <cell r="J1997" t="str">
            <v>U</v>
          </cell>
        </row>
        <row r="1998">
          <cell r="B1998" t="str">
            <v>MC020170315</v>
          </cell>
          <cell r="C1998" t="str">
            <v>MARRO CHICA</v>
          </cell>
          <cell r="D1998" t="str">
            <v>PORTALENTES</v>
          </cell>
          <cell r="E1998" t="str">
            <v>PORTALENTES LUZ</v>
          </cell>
          <cell r="F1998" t="str">
            <v>BRIDGE</v>
          </cell>
          <cell r="G1998">
            <v>0</v>
          </cell>
          <cell r="H1998" t="str">
            <v>MALBEC</v>
          </cell>
          <cell r="I1998" t="str">
            <v>U</v>
          </cell>
          <cell r="J1998" t="str">
            <v>U</v>
          </cell>
        </row>
        <row r="1999">
          <cell r="B1999" t="str">
            <v>MC020170352</v>
          </cell>
          <cell r="C1999" t="str">
            <v>MARRO CHICA</v>
          </cell>
          <cell r="D1999" t="str">
            <v>PORTALENTES</v>
          </cell>
          <cell r="E1999" t="str">
            <v>PORTALENTES LUZ</v>
          </cell>
          <cell r="F1999" t="str">
            <v>BRIDGE</v>
          </cell>
          <cell r="G1999">
            <v>0</v>
          </cell>
          <cell r="H1999" t="str">
            <v>CHOCOLATE</v>
          </cell>
          <cell r="I1999" t="str">
            <v>U</v>
          </cell>
          <cell r="J1999" t="str">
            <v>U</v>
          </cell>
        </row>
        <row r="2000">
          <cell r="B2000" t="str">
            <v>MC020170701</v>
          </cell>
          <cell r="C2000" t="str">
            <v>MARRO CHICA</v>
          </cell>
          <cell r="D2000" t="str">
            <v>PORTALENTES</v>
          </cell>
          <cell r="E2000" t="str">
            <v>PORTALENTES LUZ</v>
          </cell>
          <cell r="F2000" t="str">
            <v>IGUANA</v>
          </cell>
          <cell r="G2000">
            <v>0</v>
          </cell>
          <cell r="H2000" t="str">
            <v>NEGRO</v>
          </cell>
          <cell r="I2000" t="str">
            <v>U</v>
          </cell>
          <cell r="J2000" t="str">
            <v>U</v>
          </cell>
        </row>
        <row r="2001">
          <cell r="B2001" t="str">
            <v>MC020170703</v>
          </cell>
          <cell r="C2001" t="str">
            <v>MARRO CHICA</v>
          </cell>
          <cell r="D2001" t="str">
            <v>PORTALENTES</v>
          </cell>
          <cell r="E2001" t="str">
            <v>PORTALENTES LUZ</v>
          </cell>
          <cell r="F2001" t="str">
            <v>IGUANA</v>
          </cell>
          <cell r="G2001">
            <v>0</v>
          </cell>
          <cell r="H2001" t="str">
            <v>CARAMELO</v>
          </cell>
          <cell r="I2001" t="str">
            <v>U</v>
          </cell>
          <cell r="J2001" t="str">
            <v>U</v>
          </cell>
        </row>
        <row r="2002">
          <cell r="B2002" t="str">
            <v>MC020170705</v>
          </cell>
          <cell r="C2002" t="str">
            <v>MARRO CHICA</v>
          </cell>
          <cell r="D2002" t="str">
            <v>PORTALENTES</v>
          </cell>
          <cell r="E2002" t="str">
            <v>PORTALENTES LUZ</v>
          </cell>
          <cell r="F2002" t="str">
            <v>IGUANA</v>
          </cell>
          <cell r="G2002">
            <v>0</v>
          </cell>
          <cell r="H2002" t="str">
            <v>LONDON</v>
          </cell>
          <cell r="I2002" t="str">
            <v>U</v>
          </cell>
          <cell r="J2002" t="str">
            <v>U</v>
          </cell>
        </row>
        <row r="2003">
          <cell r="B2003" t="str">
            <v>MC020170707</v>
          </cell>
          <cell r="C2003" t="str">
            <v>MARRO CHICA</v>
          </cell>
          <cell r="D2003" t="str">
            <v>PORTALENTES</v>
          </cell>
          <cell r="E2003" t="str">
            <v>PORTALENTES LUZ</v>
          </cell>
          <cell r="F2003" t="str">
            <v>IGUANA</v>
          </cell>
          <cell r="G2003">
            <v>0</v>
          </cell>
          <cell r="H2003" t="str">
            <v>ROJO</v>
          </cell>
          <cell r="I2003" t="str">
            <v>U</v>
          </cell>
          <cell r="J2003" t="str">
            <v>U</v>
          </cell>
        </row>
        <row r="2004">
          <cell r="B2004" t="str">
            <v>MC020170709</v>
          </cell>
          <cell r="C2004" t="str">
            <v>MARRO CHICA</v>
          </cell>
          <cell r="D2004" t="str">
            <v>PORTALENTES</v>
          </cell>
          <cell r="E2004" t="str">
            <v>PORTALENTES LUZ</v>
          </cell>
          <cell r="F2004" t="str">
            <v>IGUANA</v>
          </cell>
          <cell r="G2004">
            <v>0</v>
          </cell>
          <cell r="H2004" t="str">
            <v>AZUL</v>
          </cell>
          <cell r="I2004" t="str">
            <v>U</v>
          </cell>
          <cell r="J2004" t="str">
            <v>U</v>
          </cell>
        </row>
        <row r="2005">
          <cell r="B2005" t="str">
            <v>MC020170710</v>
          </cell>
          <cell r="C2005" t="str">
            <v>MARRO CHICA</v>
          </cell>
          <cell r="D2005" t="str">
            <v>PORTALENTES</v>
          </cell>
          <cell r="E2005" t="str">
            <v>PORTALENTES LUZ</v>
          </cell>
          <cell r="F2005" t="str">
            <v>IGUANA</v>
          </cell>
          <cell r="G2005">
            <v>0</v>
          </cell>
          <cell r="H2005" t="str">
            <v>VERDE</v>
          </cell>
          <cell r="I2005" t="str">
            <v>U</v>
          </cell>
          <cell r="J2005" t="str">
            <v>U</v>
          </cell>
        </row>
        <row r="2006">
          <cell r="B2006" t="str">
            <v>MC020170752</v>
          </cell>
          <cell r="C2006" t="str">
            <v>MARRO CHICA</v>
          </cell>
          <cell r="D2006" t="str">
            <v>PORTALENTES</v>
          </cell>
          <cell r="E2006" t="str">
            <v>PORTALENTES LUZ</v>
          </cell>
          <cell r="F2006" t="str">
            <v>IGUANA</v>
          </cell>
          <cell r="G2006">
            <v>0</v>
          </cell>
          <cell r="H2006" t="str">
            <v>CHOCOLATE</v>
          </cell>
          <cell r="I2006" t="str">
            <v>U</v>
          </cell>
          <cell r="J2006" t="str">
            <v>U</v>
          </cell>
        </row>
        <row r="2007">
          <cell r="B2007" t="str">
            <v>MC020171623</v>
          </cell>
          <cell r="C2007" t="str">
            <v>MARRO CHICA</v>
          </cell>
          <cell r="D2007" t="str">
            <v>PORTALENTES</v>
          </cell>
          <cell r="E2007" t="str">
            <v>PORTALENTES LUZ</v>
          </cell>
          <cell r="F2007" t="str">
            <v>FIORENTINO</v>
          </cell>
          <cell r="G2007">
            <v>0</v>
          </cell>
          <cell r="H2007" t="str">
            <v>CEDRO</v>
          </cell>
          <cell r="I2007" t="str">
            <v>U</v>
          </cell>
          <cell r="J2007" t="str">
            <v>U</v>
          </cell>
        </row>
        <row r="2008">
          <cell r="B2008" t="str">
            <v>MC020260402</v>
          </cell>
          <cell r="C2008" t="str">
            <v>MARRO CHICA</v>
          </cell>
          <cell r="D2008" t="str">
            <v>PORTALENTES</v>
          </cell>
          <cell r="E2008" t="str">
            <v>PORTALENTES MANU</v>
          </cell>
          <cell r="F2008" t="str">
            <v>VAQUETA</v>
          </cell>
          <cell r="G2008">
            <v>0</v>
          </cell>
          <cell r="H2008" t="str">
            <v>SUELA</v>
          </cell>
          <cell r="I2008" t="str">
            <v>U</v>
          </cell>
          <cell r="J2008" t="str">
            <v>U</v>
          </cell>
        </row>
        <row r="2009">
          <cell r="B2009" t="str">
            <v>MC020260408</v>
          </cell>
          <cell r="C2009" t="str">
            <v>MARRO CHICA</v>
          </cell>
          <cell r="D2009" t="str">
            <v>PORTALENTES</v>
          </cell>
          <cell r="E2009" t="str">
            <v>PORTALENTES MANU</v>
          </cell>
          <cell r="F2009" t="str">
            <v>VAQUETA</v>
          </cell>
          <cell r="G2009">
            <v>0</v>
          </cell>
          <cell r="H2009" t="str">
            <v>NATURAL</v>
          </cell>
          <cell r="I2009" t="str">
            <v>U</v>
          </cell>
          <cell r="J2009" t="str">
            <v>U</v>
          </cell>
        </row>
        <row r="2010">
          <cell r="B2010" t="str">
            <v>MC020260413</v>
          </cell>
          <cell r="C2010" t="str">
            <v>MARRO CHICA</v>
          </cell>
          <cell r="D2010" t="str">
            <v>PORTALENTES</v>
          </cell>
          <cell r="E2010" t="str">
            <v>PORTALENTES MANU</v>
          </cell>
          <cell r="F2010" t="str">
            <v>VAQUETA</v>
          </cell>
          <cell r="G2010">
            <v>0</v>
          </cell>
          <cell r="H2010" t="str">
            <v>DULCE DE LECHE</v>
          </cell>
          <cell r="I2010" t="str">
            <v>U</v>
          </cell>
          <cell r="J2010" t="str">
            <v>U</v>
          </cell>
        </row>
        <row r="2011">
          <cell r="B2011" t="str">
            <v>MC020260452</v>
          </cell>
          <cell r="C2011" t="str">
            <v>MARRO CHICA</v>
          </cell>
          <cell r="D2011" t="str">
            <v>PORTALENTES</v>
          </cell>
          <cell r="E2011" t="str">
            <v>PORTALENTES MANU</v>
          </cell>
          <cell r="F2011" t="str">
            <v>VAQUETA</v>
          </cell>
          <cell r="G2011">
            <v>0</v>
          </cell>
          <cell r="H2011" t="str">
            <v>CHOCOLATE</v>
          </cell>
          <cell r="I2011" t="str">
            <v>U</v>
          </cell>
          <cell r="J2011" t="str">
            <v>U</v>
          </cell>
        </row>
        <row r="2012">
          <cell r="B2012" t="str">
            <v>MC020620301</v>
          </cell>
          <cell r="C2012" t="str">
            <v>MARRO CHICA</v>
          </cell>
          <cell r="D2012" t="str">
            <v>PORTALENTES</v>
          </cell>
          <cell r="E2012" t="str">
            <v>PORTALENTES MANU</v>
          </cell>
          <cell r="F2012" t="str">
            <v>BRIDGE</v>
          </cell>
          <cell r="G2012">
            <v>0</v>
          </cell>
          <cell r="H2012" t="str">
            <v>NEGRO</v>
          </cell>
          <cell r="I2012" t="str">
            <v>U</v>
          </cell>
          <cell r="J2012" t="str">
            <v>U</v>
          </cell>
        </row>
        <row r="2013">
          <cell r="B2013" t="str">
            <v>MC020620303</v>
          </cell>
          <cell r="C2013" t="str">
            <v>MARRO CHICA</v>
          </cell>
          <cell r="D2013" t="str">
            <v>PORTALENTES</v>
          </cell>
          <cell r="E2013" t="str">
            <v>PORTALENTES MANU</v>
          </cell>
          <cell r="F2013" t="str">
            <v>BRIDGE</v>
          </cell>
          <cell r="G2013">
            <v>0</v>
          </cell>
          <cell r="H2013" t="str">
            <v>CARAMELO</v>
          </cell>
          <cell r="I2013" t="str">
            <v>U</v>
          </cell>
          <cell r="J2013" t="str">
            <v>U</v>
          </cell>
        </row>
        <row r="2014">
          <cell r="B2014" t="str">
            <v>MC020620304</v>
          </cell>
          <cell r="C2014" t="str">
            <v>MARRO CHICA</v>
          </cell>
          <cell r="D2014" t="str">
            <v>PORTALENTES</v>
          </cell>
          <cell r="E2014" t="str">
            <v>PORTALENTES MANU</v>
          </cell>
          <cell r="F2014" t="str">
            <v>BRIDGE</v>
          </cell>
          <cell r="G2014">
            <v>0</v>
          </cell>
          <cell r="H2014" t="str">
            <v>TABACO</v>
          </cell>
          <cell r="I2014" t="str">
            <v>U</v>
          </cell>
          <cell r="J2014" t="str">
            <v>U</v>
          </cell>
        </row>
        <row r="2015">
          <cell r="B2015" t="str">
            <v>MC020620307</v>
          </cell>
          <cell r="C2015" t="str">
            <v>MARRO CHICA</v>
          </cell>
          <cell r="D2015" t="str">
            <v>PORTALENTES</v>
          </cell>
          <cell r="E2015" t="str">
            <v>PORTALENTES MANU</v>
          </cell>
          <cell r="F2015" t="str">
            <v>BRIDGE</v>
          </cell>
          <cell r="G2015">
            <v>0</v>
          </cell>
          <cell r="H2015" t="str">
            <v>ROJO</v>
          </cell>
          <cell r="I2015" t="str">
            <v>U</v>
          </cell>
          <cell r="J2015" t="str">
            <v>U</v>
          </cell>
        </row>
        <row r="2016">
          <cell r="B2016" t="str">
            <v>MC020620315</v>
          </cell>
          <cell r="C2016" t="str">
            <v>MARRO CHICA</v>
          </cell>
          <cell r="D2016" t="str">
            <v>PORTALENTES</v>
          </cell>
          <cell r="E2016" t="str">
            <v>PORTALENTES MANU</v>
          </cell>
          <cell r="F2016" t="str">
            <v>BRIDGE</v>
          </cell>
          <cell r="G2016">
            <v>0</v>
          </cell>
          <cell r="H2016" t="str">
            <v>MALBEC</v>
          </cell>
          <cell r="I2016" t="str">
            <v>U</v>
          </cell>
          <cell r="J2016" t="str">
            <v>U</v>
          </cell>
        </row>
        <row r="2017">
          <cell r="B2017" t="str">
            <v>MC020620701</v>
          </cell>
          <cell r="C2017" t="str">
            <v>MARRO CHICA</v>
          </cell>
          <cell r="D2017" t="str">
            <v>PORTALENTES</v>
          </cell>
          <cell r="E2017" t="str">
            <v>PORTALENTES MANU</v>
          </cell>
          <cell r="F2017" t="str">
            <v>IGUANA</v>
          </cell>
          <cell r="G2017">
            <v>0</v>
          </cell>
          <cell r="H2017" t="str">
            <v>NEGRO</v>
          </cell>
          <cell r="I2017" t="str">
            <v>U</v>
          </cell>
          <cell r="J2017" t="str">
            <v>U</v>
          </cell>
        </row>
        <row r="2018">
          <cell r="B2018" t="str">
            <v>MC020620703</v>
          </cell>
          <cell r="C2018" t="str">
            <v>MARRO CHICA</v>
          </cell>
          <cell r="D2018" t="str">
            <v>PORTALENTES</v>
          </cell>
          <cell r="E2018" t="str">
            <v>PORTALENTES MANU</v>
          </cell>
          <cell r="F2018" t="str">
            <v>IGUANA</v>
          </cell>
          <cell r="G2018">
            <v>0</v>
          </cell>
          <cell r="H2018" t="str">
            <v>CARAMELO</v>
          </cell>
          <cell r="I2018" t="str">
            <v>U</v>
          </cell>
          <cell r="J2018" t="str">
            <v>U</v>
          </cell>
        </row>
        <row r="2019">
          <cell r="B2019" t="str">
            <v>MC020620707</v>
          </cell>
          <cell r="C2019" t="str">
            <v>MARRO CHICA</v>
          </cell>
          <cell r="D2019" t="str">
            <v>PORTALENTES</v>
          </cell>
          <cell r="E2019" t="str">
            <v>PORTALENTES MANU</v>
          </cell>
          <cell r="F2019" t="str">
            <v>IGUANA</v>
          </cell>
          <cell r="G2019">
            <v>0</v>
          </cell>
          <cell r="H2019" t="str">
            <v>ROJO</v>
          </cell>
          <cell r="I2019" t="str">
            <v>U</v>
          </cell>
          <cell r="J2019" t="str">
            <v>U</v>
          </cell>
        </row>
        <row r="2020">
          <cell r="B2020" t="str">
            <v>MC020620709</v>
          </cell>
          <cell r="C2020" t="str">
            <v>MARRO CHICA</v>
          </cell>
          <cell r="D2020" t="str">
            <v>PORTALENTES</v>
          </cell>
          <cell r="E2020" t="str">
            <v>PORTALENTES MANU</v>
          </cell>
          <cell r="F2020" t="str">
            <v>IGUANA</v>
          </cell>
          <cell r="G2020">
            <v>0</v>
          </cell>
          <cell r="H2020" t="str">
            <v>AZUL</v>
          </cell>
          <cell r="I2020" t="str">
            <v>U</v>
          </cell>
          <cell r="J2020" t="str">
            <v>U</v>
          </cell>
        </row>
        <row r="2021">
          <cell r="B2021" t="str">
            <v>MC020620710</v>
          </cell>
          <cell r="C2021" t="str">
            <v>MARRO CHICA</v>
          </cell>
          <cell r="D2021" t="str">
            <v>PORTALENTES</v>
          </cell>
          <cell r="E2021" t="str">
            <v>PORTALENTES MANU</v>
          </cell>
          <cell r="F2021" t="str">
            <v>IGUANA</v>
          </cell>
          <cell r="G2021">
            <v>0</v>
          </cell>
          <cell r="H2021" t="str">
            <v>VERDE</v>
          </cell>
          <cell r="I2021" t="str">
            <v>U</v>
          </cell>
          <cell r="J2021" t="str">
            <v>U</v>
          </cell>
        </row>
        <row r="2022">
          <cell r="B2022" t="str">
            <v>MC020110101</v>
          </cell>
          <cell r="C2022" t="str">
            <v>MARRO CHICA</v>
          </cell>
          <cell r="D2022" t="str">
            <v>PORTALENTES</v>
          </cell>
          <cell r="E2022" t="str">
            <v>PORTALENTES ORION</v>
          </cell>
          <cell r="F2022" t="str">
            <v>NAPADO</v>
          </cell>
          <cell r="G2022">
            <v>0</v>
          </cell>
          <cell r="H2022" t="str">
            <v>NEGRO</v>
          </cell>
          <cell r="I2022" t="str">
            <v>U</v>
          </cell>
          <cell r="J2022" t="str">
            <v>U</v>
          </cell>
        </row>
        <row r="2023">
          <cell r="B2023" t="str">
            <v>MC020110102</v>
          </cell>
          <cell r="C2023" t="str">
            <v>MARRO CHICA</v>
          </cell>
          <cell r="D2023" t="str">
            <v>PORTALENTES</v>
          </cell>
          <cell r="E2023" t="str">
            <v>PORTALENTES ORION</v>
          </cell>
          <cell r="F2023" t="str">
            <v>NAPADO</v>
          </cell>
          <cell r="G2023">
            <v>0</v>
          </cell>
          <cell r="H2023" t="str">
            <v>SUELA</v>
          </cell>
          <cell r="I2023" t="str">
            <v>U</v>
          </cell>
          <cell r="J2023" t="str">
            <v>U</v>
          </cell>
        </row>
        <row r="2024">
          <cell r="B2024" t="str">
            <v>MC020110107</v>
          </cell>
          <cell r="C2024" t="str">
            <v>MARRO CHICA</v>
          </cell>
          <cell r="D2024" t="str">
            <v>PORTALENTES</v>
          </cell>
          <cell r="E2024" t="str">
            <v>PORTALENTES ORION</v>
          </cell>
          <cell r="F2024" t="str">
            <v>NAPADO</v>
          </cell>
          <cell r="G2024">
            <v>0</v>
          </cell>
          <cell r="H2024" t="str">
            <v>ROJO</v>
          </cell>
          <cell r="I2024" t="str">
            <v>U</v>
          </cell>
          <cell r="J2024" t="str">
            <v>U</v>
          </cell>
        </row>
        <row r="2025">
          <cell r="B2025" t="str">
            <v>MC020110109</v>
          </cell>
          <cell r="C2025" t="str">
            <v>MARRO CHICA</v>
          </cell>
          <cell r="D2025" t="str">
            <v>PORTALENTES</v>
          </cell>
          <cell r="E2025" t="str">
            <v>PORTALENTES ORION</v>
          </cell>
          <cell r="F2025" t="str">
            <v>NAPADO</v>
          </cell>
          <cell r="G2025">
            <v>0</v>
          </cell>
          <cell r="H2025" t="str">
            <v>AZUL</v>
          </cell>
          <cell r="I2025" t="str">
            <v>U</v>
          </cell>
          <cell r="J2025" t="str">
            <v>U</v>
          </cell>
        </row>
        <row r="2026">
          <cell r="B2026" t="str">
            <v>MC020110110</v>
          </cell>
          <cell r="C2026" t="str">
            <v>MARRO CHICA</v>
          </cell>
          <cell r="D2026" t="str">
            <v>PORTALENTES</v>
          </cell>
          <cell r="E2026" t="str">
            <v>PORTALENTES ORION</v>
          </cell>
          <cell r="F2026" t="str">
            <v>NAPADO</v>
          </cell>
          <cell r="G2026">
            <v>0</v>
          </cell>
          <cell r="H2026" t="str">
            <v>VERDE</v>
          </cell>
          <cell r="I2026" t="str">
            <v>U</v>
          </cell>
          <cell r="J2026" t="str">
            <v>U</v>
          </cell>
        </row>
        <row r="2027">
          <cell r="B2027" t="str">
            <v>MC020110115</v>
          </cell>
          <cell r="C2027" t="str">
            <v>MARRO CHICA</v>
          </cell>
          <cell r="D2027" t="str">
            <v>PORTALENTES</v>
          </cell>
          <cell r="E2027" t="str">
            <v>PORTALENTES ORION</v>
          </cell>
          <cell r="F2027" t="str">
            <v>NAPADO</v>
          </cell>
          <cell r="G2027">
            <v>0</v>
          </cell>
          <cell r="H2027" t="str">
            <v>MALBEC</v>
          </cell>
          <cell r="I2027" t="str">
            <v>U</v>
          </cell>
          <cell r="J2027" t="str">
            <v>U</v>
          </cell>
        </row>
        <row r="2028">
          <cell r="B2028" t="str">
            <v>MC020110201</v>
          </cell>
          <cell r="C2028" t="str">
            <v>MARRO CHICA</v>
          </cell>
          <cell r="D2028" t="str">
            <v>PORTALENTES</v>
          </cell>
          <cell r="E2028" t="str">
            <v>PORTALENTES ORION</v>
          </cell>
          <cell r="F2028" t="str">
            <v>TAMPONATO</v>
          </cell>
          <cell r="G2028">
            <v>0</v>
          </cell>
          <cell r="H2028" t="str">
            <v>NEGRO</v>
          </cell>
          <cell r="I2028" t="str">
            <v>U</v>
          </cell>
          <cell r="J2028" t="str">
            <v>U</v>
          </cell>
        </row>
        <row r="2029">
          <cell r="B2029" t="str">
            <v>MC020110202</v>
          </cell>
          <cell r="C2029" t="str">
            <v>MARRO CHICA</v>
          </cell>
          <cell r="D2029" t="str">
            <v>PORTALENTES</v>
          </cell>
          <cell r="E2029" t="str">
            <v>PORTALENTES ORION</v>
          </cell>
          <cell r="F2029" t="str">
            <v>TAMPONATO</v>
          </cell>
          <cell r="G2029">
            <v>0</v>
          </cell>
          <cell r="H2029" t="str">
            <v>SUELA</v>
          </cell>
          <cell r="I2029" t="str">
            <v>U</v>
          </cell>
          <cell r="J2029" t="str">
            <v>U</v>
          </cell>
        </row>
        <row r="2030">
          <cell r="B2030" t="str">
            <v>MC020110205</v>
          </cell>
          <cell r="C2030" t="str">
            <v>MARRO CHICA</v>
          </cell>
          <cell r="D2030" t="str">
            <v>PORTALENTES</v>
          </cell>
          <cell r="E2030" t="str">
            <v>PORTALENTES ORION</v>
          </cell>
          <cell r="F2030" t="str">
            <v>TAMPONATO</v>
          </cell>
          <cell r="G2030">
            <v>0</v>
          </cell>
          <cell r="H2030" t="str">
            <v>LONDON</v>
          </cell>
          <cell r="I2030" t="str">
            <v>U</v>
          </cell>
          <cell r="J2030" t="str">
            <v>U</v>
          </cell>
        </row>
        <row r="2031">
          <cell r="B2031" t="str">
            <v>MC020110301</v>
          </cell>
          <cell r="C2031" t="str">
            <v>MARRO CHICA</v>
          </cell>
          <cell r="D2031" t="str">
            <v>PORTALENTES</v>
          </cell>
          <cell r="E2031" t="str">
            <v>PORTALENTES ORION</v>
          </cell>
          <cell r="F2031" t="str">
            <v>BRIDGE</v>
          </cell>
          <cell r="G2031">
            <v>0</v>
          </cell>
          <cell r="H2031" t="str">
            <v>NEGRO</v>
          </cell>
          <cell r="I2031" t="str">
            <v>U</v>
          </cell>
          <cell r="J2031" t="str">
            <v>U</v>
          </cell>
        </row>
        <row r="2032">
          <cell r="B2032" t="str">
            <v>MC020110303</v>
          </cell>
          <cell r="C2032" t="str">
            <v>MARRO CHICA</v>
          </cell>
          <cell r="D2032" t="str">
            <v>PORTALENTES</v>
          </cell>
          <cell r="E2032" t="str">
            <v>PORTALENTES ORION</v>
          </cell>
          <cell r="F2032" t="str">
            <v>BRIDGE</v>
          </cell>
          <cell r="G2032">
            <v>0</v>
          </cell>
          <cell r="H2032" t="str">
            <v>CARAMELO</v>
          </cell>
          <cell r="I2032" t="str">
            <v>U</v>
          </cell>
          <cell r="J2032" t="str">
            <v>U</v>
          </cell>
        </row>
        <row r="2033">
          <cell r="B2033" t="str">
            <v>MC020110304</v>
          </cell>
          <cell r="C2033" t="str">
            <v>MARRO CHICA</v>
          </cell>
          <cell r="D2033" t="str">
            <v>PORTALENTES</v>
          </cell>
          <cell r="E2033" t="str">
            <v>PORTALENTES ORION</v>
          </cell>
          <cell r="F2033" t="str">
            <v>BRIDGE</v>
          </cell>
          <cell r="G2033">
            <v>0</v>
          </cell>
          <cell r="H2033" t="str">
            <v>TABACO</v>
          </cell>
          <cell r="I2033" t="str">
            <v>U</v>
          </cell>
          <cell r="J2033" t="str">
            <v>U</v>
          </cell>
        </row>
        <row r="2034">
          <cell r="B2034" t="str">
            <v>MC020110307</v>
          </cell>
          <cell r="C2034" t="str">
            <v>MARRO CHICA</v>
          </cell>
          <cell r="D2034" t="str">
            <v>PORTALENTES</v>
          </cell>
          <cell r="E2034" t="str">
            <v>PORTALENTES ORION</v>
          </cell>
          <cell r="F2034" t="str">
            <v>BRIDGE</v>
          </cell>
          <cell r="G2034">
            <v>0</v>
          </cell>
          <cell r="H2034" t="str">
            <v>ROJO</v>
          </cell>
          <cell r="I2034" t="str">
            <v>U</v>
          </cell>
          <cell r="J2034" t="str">
            <v>U</v>
          </cell>
        </row>
        <row r="2035">
          <cell r="B2035" t="str">
            <v>MC020110309</v>
          </cell>
          <cell r="C2035" t="str">
            <v>MARRO CHICA</v>
          </cell>
          <cell r="D2035" t="str">
            <v>PORTALENTES</v>
          </cell>
          <cell r="E2035" t="str">
            <v>PORTALENTES ORION</v>
          </cell>
          <cell r="F2035" t="str">
            <v>BRIDGE</v>
          </cell>
          <cell r="G2035">
            <v>0</v>
          </cell>
          <cell r="H2035" t="str">
            <v>AZUL</v>
          </cell>
          <cell r="I2035" t="str">
            <v>U</v>
          </cell>
          <cell r="J2035" t="str">
            <v>U</v>
          </cell>
        </row>
        <row r="2036">
          <cell r="B2036" t="str">
            <v>MC020110310</v>
          </cell>
          <cell r="C2036" t="str">
            <v>MARRO CHICA</v>
          </cell>
          <cell r="D2036" t="str">
            <v>PORTALENTES</v>
          </cell>
          <cell r="E2036" t="str">
            <v>PORTALENTES ORION</v>
          </cell>
          <cell r="F2036" t="str">
            <v>BRIDGE</v>
          </cell>
          <cell r="G2036">
            <v>0</v>
          </cell>
          <cell r="H2036" t="str">
            <v>VERDE</v>
          </cell>
          <cell r="I2036" t="str">
            <v>U</v>
          </cell>
          <cell r="J2036" t="str">
            <v>U</v>
          </cell>
        </row>
        <row r="2037">
          <cell r="B2037" t="str">
            <v>MC020110315</v>
          </cell>
          <cell r="C2037" t="str">
            <v>MARRO CHICA</v>
          </cell>
          <cell r="D2037" t="str">
            <v>PORTALENTES</v>
          </cell>
          <cell r="E2037" t="str">
            <v>PORTALENTES ORION</v>
          </cell>
          <cell r="F2037" t="str">
            <v>BRIDGE</v>
          </cell>
          <cell r="G2037">
            <v>0</v>
          </cell>
          <cell r="H2037" t="str">
            <v>MALBEC</v>
          </cell>
          <cell r="I2037" t="str">
            <v>U</v>
          </cell>
          <cell r="J2037" t="str">
            <v>U</v>
          </cell>
        </row>
        <row r="2038">
          <cell r="B2038" t="str">
            <v>MC020113241</v>
          </cell>
          <cell r="C2038" t="str">
            <v>MARRO CHICA</v>
          </cell>
          <cell r="D2038" t="str">
            <v>PORTALENTES</v>
          </cell>
          <cell r="E2038" t="str">
            <v>PORTALENTES ORION</v>
          </cell>
          <cell r="F2038" t="str">
            <v>VINTAGE</v>
          </cell>
          <cell r="G2038">
            <v>0</v>
          </cell>
          <cell r="H2038" t="str">
            <v>LIGHT</v>
          </cell>
          <cell r="I2038" t="str">
            <v>U</v>
          </cell>
          <cell r="J2038" t="str">
            <v>U</v>
          </cell>
        </row>
        <row r="2039">
          <cell r="B2039" t="str">
            <v>MC020113242</v>
          </cell>
          <cell r="C2039" t="str">
            <v>MARRO CHICA</v>
          </cell>
          <cell r="D2039" t="str">
            <v>PORTALENTES</v>
          </cell>
          <cell r="E2039" t="str">
            <v>PORTALENTES ORION</v>
          </cell>
          <cell r="F2039" t="str">
            <v>VINTAGE</v>
          </cell>
          <cell r="G2039">
            <v>0</v>
          </cell>
          <cell r="H2039" t="str">
            <v>MEDIO</v>
          </cell>
          <cell r="I2039" t="str">
            <v>U</v>
          </cell>
          <cell r="J2039" t="str">
            <v>U</v>
          </cell>
        </row>
        <row r="2040">
          <cell r="B2040" t="str">
            <v>MC020113243</v>
          </cell>
          <cell r="C2040" t="str">
            <v>MARRO CHICA</v>
          </cell>
          <cell r="D2040" t="str">
            <v>PORTALENTES</v>
          </cell>
          <cell r="E2040" t="str">
            <v>PORTALENTES ORION</v>
          </cell>
          <cell r="F2040" t="str">
            <v>VINTAGE</v>
          </cell>
          <cell r="G2040">
            <v>0</v>
          </cell>
          <cell r="H2040" t="str">
            <v>DARK</v>
          </cell>
          <cell r="I2040" t="str">
            <v>U</v>
          </cell>
          <cell r="J2040" t="str">
            <v>U</v>
          </cell>
        </row>
        <row r="2041">
          <cell r="B2041" t="str">
            <v>MC020450301</v>
          </cell>
          <cell r="C2041" t="str">
            <v>MARRO CHICA</v>
          </cell>
          <cell r="D2041" t="str">
            <v>PORTALLAVES</v>
          </cell>
          <cell r="E2041" t="str">
            <v>PORTALLAVES ALAN</v>
          </cell>
          <cell r="F2041" t="str">
            <v>BRIDGE</v>
          </cell>
          <cell r="G2041">
            <v>0</v>
          </cell>
          <cell r="H2041" t="str">
            <v>NEGRO</v>
          </cell>
          <cell r="I2041" t="str">
            <v>U</v>
          </cell>
          <cell r="J2041" t="str">
            <v>H</v>
          </cell>
        </row>
        <row r="2042">
          <cell r="B2042" t="str">
            <v>MC020450304</v>
          </cell>
          <cell r="C2042" t="str">
            <v>MARRO CHICA</v>
          </cell>
          <cell r="D2042" t="str">
            <v>PORTALLAVES</v>
          </cell>
          <cell r="E2042" t="str">
            <v>PORTALLAVES ALAN</v>
          </cell>
          <cell r="F2042" t="str">
            <v>BRIDGE</v>
          </cell>
          <cell r="G2042">
            <v>0</v>
          </cell>
          <cell r="H2042" t="str">
            <v>TABACO</v>
          </cell>
          <cell r="I2042" t="str">
            <v>U</v>
          </cell>
          <cell r="J2042" t="str">
            <v>H</v>
          </cell>
        </row>
        <row r="2043">
          <cell r="B2043" t="str">
            <v>MC020451623</v>
          </cell>
          <cell r="C2043" t="str">
            <v>MARRO CHICA</v>
          </cell>
          <cell r="D2043" t="str">
            <v>PORTALLAVES</v>
          </cell>
          <cell r="E2043" t="str">
            <v>PORTALLAVES ALAN</v>
          </cell>
          <cell r="F2043" t="str">
            <v>FIORENTINO</v>
          </cell>
          <cell r="G2043">
            <v>0</v>
          </cell>
          <cell r="H2043" t="str">
            <v>CEDRO</v>
          </cell>
          <cell r="I2043" t="str">
            <v>U</v>
          </cell>
          <cell r="J2043" t="str">
            <v>H</v>
          </cell>
        </row>
        <row r="2044">
          <cell r="B2044" t="str">
            <v>MC020451826</v>
          </cell>
          <cell r="C2044" t="str">
            <v>MARRO CHICA</v>
          </cell>
          <cell r="D2044" t="str">
            <v>PORTALLAVES</v>
          </cell>
          <cell r="E2044" t="str">
            <v>PORTALLAVES ALAN</v>
          </cell>
          <cell r="F2044" t="str">
            <v>SENA</v>
          </cell>
          <cell r="G2044">
            <v>0</v>
          </cell>
          <cell r="H2044" t="str">
            <v>CAPUCHINO</v>
          </cell>
          <cell r="I2044" t="str">
            <v>U</v>
          </cell>
          <cell r="J2044" t="str">
            <v>H</v>
          </cell>
        </row>
        <row r="2045">
          <cell r="B2045" t="str">
            <v>MC020451828</v>
          </cell>
          <cell r="C2045" t="str">
            <v>MARRO CHICA</v>
          </cell>
          <cell r="D2045" t="str">
            <v>PORTALLAVES</v>
          </cell>
          <cell r="E2045" t="str">
            <v>PORTALLAVES ALAN</v>
          </cell>
          <cell r="F2045" t="str">
            <v>SENA</v>
          </cell>
          <cell r="G2045">
            <v>0</v>
          </cell>
          <cell r="H2045" t="str">
            <v>VISON</v>
          </cell>
          <cell r="I2045" t="str">
            <v>U</v>
          </cell>
          <cell r="J2045" t="str">
            <v>H</v>
          </cell>
        </row>
        <row r="2046">
          <cell r="B2046" t="str">
            <v>MC020540301</v>
          </cell>
          <cell r="C2046" t="str">
            <v>MARRO CHICA</v>
          </cell>
          <cell r="D2046" t="str">
            <v>PORTALLAVES</v>
          </cell>
          <cell r="E2046" t="str">
            <v>PORTALLAVES COLT</v>
          </cell>
          <cell r="F2046" t="str">
            <v>BRIDGE</v>
          </cell>
          <cell r="G2046">
            <v>0</v>
          </cell>
          <cell r="H2046" t="str">
            <v>NEGRO</v>
          </cell>
          <cell r="I2046" t="str">
            <v>U</v>
          </cell>
          <cell r="J2046" t="str">
            <v>H</v>
          </cell>
        </row>
        <row r="2047">
          <cell r="B2047" t="str">
            <v>MC020541623</v>
          </cell>
          <cell r="C2047" t="str">
            <v>MARRO CHICA</v>
          </cell>
          <cell r="D2047" t="str">
            <v>PORTALLAVES</v>
          </cell>
          <cell r="E2047" t="str">
            <v>PORTALLAVES COLT</v>
          </cell>
          <cell r="F2047" t="str">
            <v>FIORENTINO</v>
          </cell>
          <cell r="G2047">
            <v>0</v>
          </cell>
          <cell r="H2047" t="str">
            <v>CEDRO</v>
          </cell>
          <cell r="I2047" t="str">
            <v>U</v>
          </cell>
          <cell r="J2047" t="str">
            <v>H</v>
          </cell>
        </row>
        <row r="2048">
          <cell r="B2048" t="str">
            <v>MC020542325</v>
          </cell>
          <cell r="C2048" t="str">
            <v>MARRO CHICA</v>
          </cell>
          <cell r="D2048" t="str">
            <v>PORTALLAVES</v>
          </cell>
          <cell r="E2048" t="str">
            <v>PORTALLAVES COLT</v>
          </cell>
          <cell r="F2048" t="str">
            <v>PONT</v>
          </cell>
          <cell r="G2048">
            <v>0</v>
          </cell>
          <cell r="H2048" t="str">
            <v>WISKY</v>
          </cell>
          <cell r="I2048" t="str">
            <v>U</v>
          </cell>
          <cell r="J2048" t="str">
            <v>H</v>
          </cell>
        </row>
        <row r="2049">
          <cell r="B2049" t="str">
            <v>MC020640301</v>
          </cell>
          <cell r="C2049" t="str">
            <v>MARRO CHICA</v>
          </cell>
          <cell r="D2049" t="str">
            <v>PORTALLAVES</v>
          </cell>
          <cell r="E2049" t="str">
            <v>PORTALLAVES RONAN</v>
          </cell>
          <cell r="F2049" t="str">
            <v>BRIDGE</v>
          </cell>
          <cell r="G2049">
            <v>0</v>
          </cell>
          <cell r="H2049" t="str">
            <v>NEGRO</v>
          </cell>
          <cell r="I2049" t="str">
            <v>U</v>
          </cell>
          <cell r="J2049" t="str">
            <v>H</v>
          </cell>
        </row>
        <row r="2050">
          <cell r="B2050" t="str">
            <v>MC020640304</v>
          </cell>
          <cell r="C2050" t="str">
            <v>MARRO CHICA</v>
          </cell>
          <cell r="D2050" t="str">
            <v>PORTALLAVES</v>
          </cell>
          <cell r="E2050" t="str">
            <v>PORTALLAVES RONAN</v>
          </cell>
          <cell r="F2050" t="str">
            <v>BRIDGE</v>
          </cell>
          <cell r="G2050">
            <v>0</v>
          </cell>
          <cell r="H2050" t="str">
            <v>TABACO</v>
          </cell>
          <cell r="I2050" t="str">
            <v>U</v>
          </cell>
          <cell r="J2050" t="str">
            <v>H</v>
          </cell>
        </row>
        <row r="2051">
          <cell r="B2051" t="str">
            <v>MC020641623</v>
          </cell>
          <cell r="C2051" t="str">
            <v>MARRO CHICA</v>
          </cell>
          <cell r="D2051" t="str">
            <v>PORTALLAVES</v>
          </cell>
          <cell r="E2051" t="str">
            <v>PORTALLAVES RONAN</v>
          </cell>
          <cell r="F2051" t="str">
            <v>FIORENTINO</v>
          </cell>
          <cell r="G2051">
            <v>0</v>
          </cell>
          <cell r="H2051" t="str">
            <v>CEDRO</v>
          </cell>
          <cell r="I2051" t="str">
            <v>U</v>
          </cell>
          <cell r="J2051" t="str">
            <v>H</v>
          </cell>
        </row>
        <row r="2052">
          <cell r="B2052" t="str">
            <v>MC020642301</v>
          </cell>
          <cell r="C2052" t="str">
            <v>MARRO CHICA</v>
          </cell>
          <cell r="D2052" t="str">
            <v>PORTALLAVES</v>
          </cell>
          <cell r="E2052" t="str">
            <v>PORTALLAVES RONAN</v>
          </cell>
          <cell r="F2052" t="str">
            <v>PONT</v>
          </cell>
          <cell r="G2052">
            <v>0</v>
          </cell>
          <cell r="H2052" t="str">
            <v>NEGRO</v>
          </cell>
          <cell r="I2052" t="str">
            <v>U</v>
          </cell>
          <cell r="J2052" t="str">
            <v>H</v>
          </cell>
        </row>
        <row r="2053">
          <cell r="B2053" t="str">
            <v>MC020642325</v>
          </cell>
          <cell r="C2053" t="str">
            <v>MARRO CHICA</v>
          </cell>
          <cell r="D2053" t="str">
            <v>PORTALLAVES</v>
          </cell>
          <cell r="E2053" t="str">
            <v>PORTALLAVES RONAN</v>
          </cell>
          <cell r="F2053" t="str">
            <v>PONT</v>
          </cell>
          <cell r="G2053">
            <v>0</v>
          </cell>
          <cell r="H2053" t="str">
            <v>WISKY</v>
          </cell>
          <cell r="I2053" t="str">
            <v>U</v>
          </cell>
          <cell r="J2053" t="str">
            <v>H</v>
          </cell>
        </row>
        <row r="2054">
          <cell r="B2054" t="str">
            <v>MC020140201</v>
          </cell>
          <cell r="C2054" t="str">
            <v>MARRO CHICA</v>
          </cell>
          <cell r="D2054" t="str">
            <v>PORTAPASAPORTE</v>
          </cell>
          <cell r="E2054" t="str">
            <v>PORTAPASAPORTE CHESTER</v>
          </cell>
          <cell r="F2054" t="str">
            <v>TAMPONATO</v>
          </cell>
          <cell r="G2054">
            <v>0</v>
          </cell>
          <cell r="H2054" t="str">
            <v>NEGRO</v>
          </cell>
          <cell r="I2054" t="str">
            <v>U</v>
          </cell>
          <cell r="J2054" t="str">
            <v>U</v>
          </cell>
        </row>
        <row r="2055">
          <cell r="B2055" t="str">
            <v>MC020140202</v>
          </cell>
          <cell r="C2055" t="str">
            <v>MARRO CHICA</v>
          </cell>
          <cell r="D2055" t="str">
            <v>PORTAPASAPORTE</v>
          </cell>
          <cell r="E2055" t="str">
            <v>PORTAPASAPORTE CHESTER</v>
          </cell>
          <cell r="F2055" t="str">
            <v>TAMPONATO</v>
          </cell>
          <cell r="G2055">
            <v>0</v>
          </cell>
          <cell r="H2055" t="str">
            <v>SUELA</v>
          </cell>
          <cell r="I2055" t="str">
            <v>U</v>
          </cell>
          <cell r="J2055" t="str">
            <v>U</v>
          </cell>
        </row>
        <row r="2056">
          <cell r="B2056" t="str">
            <v>MC020140203</v>
          </cell>
          <cell r="C2056" t="str">
            <v>MARRO CHICA</v>
          </cell>
          <cell r="D2056" t="str">
            <v>PORTAPASAPORTE</v>
          </cell>
          <cell r="E2056" t="str">
            <v>PORTAPASAPORTE CHESTER</v>
          </cell>
          <cell r="F2056" t="str">
            <v>TAMPONATO</v>
          </cell>
          <cell r="G2056">
            <v>0</v>
          </cell>
          <cell r="H2056" t="str">
            <v>CARAMELO</v>
          </cell>
          <cell r="I2056" t="str">
            <v>U</v>
          </cell>
          <cell r="J2056" t="str">
            <v>U</v>
          </cell>
        </row>
        <row r="2057">
          <cell r="B2057" t="str">
            <v>MC020140205</v>
          </cell>
          <cell r="C2057" t="str">
            <v>MARRO CHICA</v>
          </cell>
          <cell r="D2057" t="str">
            <v>PORTAPASAPORTE</v>
          </cell>
          <cell r="E2057" t="str">
            <v>PORTAPASAPORTE CHESTER</v>
          </cell>
          <cell r="F2057" t="str">
            <v>TAMPONATO</v>
          </cell>
          <cell r="G2057">
            <v>0</v>
          </cell>
          <cell r="H2057" t="str">
            <v>LONDON</v>
          </cell>
          <cell r="I2057" t="str">
            <v>U</v>
          </cell>
          <cell r="J2057" t="str">
            <v>U</v>
          </cell>
        </row>
        <row r="2058">
          <cell r="B2058" t="str">
            <v>MC020140301</v>
          </cell>
          <cell r="C2058" t="str">
            <v>MARRO CHICA</v>
          </cell>
          <cell r="D2058" t="str">
            <v>PORTAPASAPORTE</v>
          </cell>
          <cell r="E2058" t="str">
            <v>PORTAPASAPORTE CHESTER</v>
          </cell>
          <cell r="F2058" t="str">
            <v>BRIDGE</v>
          </cell>
          <cell r="G2058">
            <v>0</v>
          </cell>
          <cell r="H2058" t="str">
            <v>NEGRO</v>
          </cell>
          <cell r="I2058" t="str">
            <v>U</v>
          </cell>
          <cell r="J2058" t="str">
            <v>U</v>
          </cell>
        </row>
        <row r="2059">
          <cell r="B2059" t="str">
            <v>MC020140303</v>
          </cell>
          <cell r="C2059" t="str">
            <v>MARRO CHICA</v>
          </cell>
          <cell r="D2059" t="str">
            <v>PORTAPASAPORTE</v>
          </cell>
          <cell r="E2059" t="str">
            <v>PORTAPASAPORTE CHESTER</v>
          </cell>
          <cell r="F2059" t="str">
            <v>BRIDGE</v>
          </cell>
          <cell r="G2059">
            <v>0</v>
          </cell>
          <cell r="H2059" t="str">
            <v>CARAMELO</v>
          </cell>
          <cell r="I2059" t="str">
            <v>U</v>
          </cell>
          <cell r="J2059" t="str">
            <v>U</v>
          </cell>
        </row>
        <row r="2060">
          <cell r="B2060" t="str">
            <v>MC020140304</v>
          </cell>
          <cell r="C2060" t="str">
            <v>MARRO CHICA</v>
          </cell>
          <cell r="D2060" t="str">
            <v>PORTAPASAPORTE</v>
          </cell>
          <cell r="E2060" t="str">
            <v>PORTAPASAPORTE CHESTER</v>
          </cell>
          <cell r="F2060" t="str">
            <v>BRIDGE</v>
          </cell>
          <cell r="G2060">
            <v>0</v>
          </cell>
          <cell r="H2060" t="str">
            <v>TABACO</v>
          </cell>
          <cell r="I2060" t="str">
            <v>U</v>
          </cell>
          <cell r="J2060" t="str">
            <v>U</v>
          </cell>
        </row>
        <row r="2061">
          <cell r="B2061" t="str">
            <v>MC020140307</v>
          </cell>
          <cell r="C2061" t="str">
            <v>MARRO CHICA</v>
          </cell>
          <cell r="D2061" t="str">
            <v>PORTAPASAPORTE</v>
          </cell>
          <cell r="E2061" t="str">
            <v>PORTAPASAPORTE CHESTER</v>
          </cell>
          <cell r="F2061" t="str">
            <v>BRIDGE</v>
          </cell>
          <cell r="G2061">
            <v>0</v>
          </cell>
          <cell r="H2061" t="str">
            <v>ROJO</v>
          </cell>
          <cell r="I2061" t="str">
            <v>U</v>
          </cell>
          <cell r="J2061" t="str">
            <v>U</v>
          </cell>
        </row>
        <row r="2062">
          <cell r="B2062" t="str">
            <v>MC020140309</v>
          </cell>
          <cell r="C2062" t="str">
            <v>MARRO CHICA</v>
          </cell>
          <cell r="D2062" t="str">
            <v>PORTAPASAPORTE</v>
          </cell>
          <cell r="E2062" t="str">
            <v>PORTAPASAPORTE CHESTER</v>
          </cell>
          <cell r="F2062" t="str">
            <v>BRIDGE</v>
          </cell>
          <cell r="G2062">
            <v>0</v>
          </cell>
          <cell r="H2062" t="str">
            <v>AZUL</v>
          </cell>
          <cell r="I2062" t="str">
            <v>U</v>
          </cell>
          <cell r="J2062" t="str">
            <v>U</v>
          </cell>
        </row>
        <row r="2063">
          <cell r="B2063" t="str">
            <v>MC020140310</v>
          </cell>
          <cell r="C2063" t="str">
            <v>MARRO CHICA</v>
          </cell>
          <cell r="D2063" t="str">
            <v>PORTAPASAPORTE</v>
          </cell>
          <cell r="E2063" t="str">
            <v>PORTAPASAPORTE CHESTER</v>
          </cell>
          <cell r="F2063" t="str">
            <v>BRIDGE</v>
          </cell>
          <cell r="G2063">
            <v>0</v>
          </cell>
          <cell r="H2063" t="str">
            <v>VERDE</v>
          </cell>
          <cell r="I2063" t="str">
            <v>U</v>
          </cell>
          <cell r="J2063" t="str">
            <v>U</v>
          </cell>
        </row>
        <row r="2064">
          <cell r="B2064" t="str">
            <v>MC020140315</v>
          </cell>
          <cell r="C2064" t="str">
            <v>MARRO CHICA</v>
          </cell>
          <cell r="D2064" t="str">
            <v>PORTAPASAPORTE</v>
          </cell>
          <cell r="E2064" t="str">
            <v>PORTAPASAPORTE CHESTER</v>
          </cell>
          <cell r="F2064" t="str">
            <v>BRIDGE</v>
          </cell>
          <cell r="G2064">
            <v>0</v>
          </cell>
          <cell r="H2064" t="str">
            <v>MALBEC</v>
          </cell>
          <cell r="I2064" t="str">
            <v>U</v>
          </cell>
          <cell r="J2064" t="str">
            <v>U</v>
          </cell>
        </row>
        <row r="2065">
          <cell r="B2065" t="str">
            <v>MC020140701</v>
          </cell>
          <cell r="C2065" t="str">
            <v>MARRO CHICA</v>
          </cell>
          <cell r="D2065" t="str">
            <v>PORTAPASAPORTE</v>
          </cell>
          <cell r="E2065" t="str">
            <v>PORTAPASAPORTE CHESTER</v>
          </cell>
          <cell r="F2065" t="str">
            <v>IGUANA</v>
          </cell>
          <cell r="G2065">
            <v>0</v>
          </cell>
          <cell r="H2065" t="str">
            <v>NEGRO</v>
          </cell>
          <cell r="I2065" t="str">
            <v>U</v>
          </cell>
          <cell r="J2065" t="str">
            <v>U</v>
          </cell>
        </row>
        <row r="2066">
          <cell r="B2066" t="str">
            <v>MC020140703</v>
          </cell>
          <cell r="C2066" t="str">
            <v>MARRO CHICA</v>
          </cell>
          <cell r="D2066" t="str">
            <v>PORTAPASAPORTE</v>
          </cell>
          <cell r="E2066" t="str">
            <v>PORTAPASAPORTE CHESTER</v>
          </cell>
          <cell r="F2066" t="str">
            <v>IGUANA</v>
          </cell>
          <cell r="G2066">
            <v>0</v>
          </cell>
          <cell r="H2066" t="str">
            <v>CARAMELO</v>
          </cell>
          <cell r="I2066" t="str">
            <v>U</v>
          </cell>
          <cell r="J2066" t="str">
            <v>U</v>
          </cell>
        </row>
        <row r="2067">
          <cell r="B2067" t="str">
            <v>MC020140705</v>
          </cell>
          <cell r="C2067" t="str">
            <v>MARRO CHICA</v>
          </cell>
          <cell r="D2067" t="str">
            <v>PORTAPASAPORTE</v>
          </cell>
          <cell r="E2067" t="str">
            <v>PORTAPASAPORTE CHESTER</v>
          </cell>
          <cell r="F2067" t="str">
            <v>IGUANA</v>
          </cell>
          <cell r="G2067">
            <v>0</v>
          </cell>
          <cell r="H2067" t="str">
            <v>LONDON</v>
          </cell>
          <cell r="I2067" t="str">
            <v>U</v>
          </cell>
          <cell r="J2067" t="str">
            <v>U</v>
          </cell>
        </row>
        <row r="2068">
          <cell r="B2068" t="str">
            <v>MC020140707</v>
          </cell>
          <cell r="C2068" t="str">
            <v>MARRO CHICA</v>
          </cell>
          <cell r="D2068" t="str">
            <v>PORTAPASAPORTE</v>
          </cell>
          <cell r="E2068" t="str">
            <v>PORTAPASAPORTE CHESTER</v>
          </cell>
          <cell r="F2068" t="str">
            <v>IGUANA</v>
          </cell>
          <cell r="G2068">
            <v>0</v>
          </cell>
          <cell r="H2068" t="str">
            <v>ROJO</v>
          </cell>
          <cell r="I2068" t="str">
            <v>U</v>
          </cell>
          <cell r="J2068" t="str">
            <v>U</v>
          </cell>
        </row>
        <row r="2069">
          <cell r="B2069" t="str">
            <v>MC020140709</v>
          </cell>
          <cell r="C2069" t="str">
            <v>MARRO CHICA</v>
          </cell>
          <cell r="D2069" t="str">
            <v>PORTAPASAPORTE</v>
          </cell>
          <cell r="E2069" t="str">
            <v>PORTAPASAPORTE CHESTER</v>
          </cell>
          <cell r="F2069" t="str">
            <v>IGUANA</v>
          </cell>
          <cell r="G2069">
            <v>0</v>
          </cell>
          <cell r="H2069" t="str">
            <v>AZUL</v>
          </cell>
          <cell r="I2069" t="str">
            <v>U</v>
          </cell>
          <cell r="J2069" t="str">
            <v>U</v>
          </cell>
        </row>
        <row r="2070">
          <cell r="B2070" t="str">
            <v>MC020140710</v>
          </cell>
          <cell r="C2070" t="str">
            <v>MARRO CHICA</v>
          </cell>
          <cell r="D2070" t="str">
            <v>PORTAPASAPORTE</v>
          </cell>
          <cell r="E2070" t="str">
            <v>PORTAPASAPORTE CHESTER</v>
          </cell>
          <cell r="F2070" t="str">
            <v>IGUANA</v>
          </cell>
          <cell r="G2070">
            <v>0</v>
          </cell>
          <cell r="H2070" t="str">
            <v>VERDE</v>
          </cell>
          <cell r="I2070" t="str">
            <v>U</v>
          </cell>
          <cell r="J2070" t="str">
            <v>U</v>
          </cell>
        </row>
        <row r="2071">
          <cell r="B2071" t="str">
            <v>MC020140752</v>
          </cell>
          <cell r="C2071" t="str">
            <v>MARRO CHICA</v>
          </cell>
          <cell r="D2071" t="str">
            <v>PORTAPASAPORTE</v>
          </cell>
          <cell r="E2071" t="str">
            <v>PORTAPASAPORTE CHESTER</v>
          </cell>
          <cell r="F2071" t="str">
            <v>IGUANA</v>
          </cell>
          <cell r="G2071">
            <v>0</v>
          </cell>
          <cell r="H2071" t="str">
            <v>CHOCOLATE</v>
          </cell>
          <cell r="I2071" t="str">
            <v>U</v>
          </cell>
          <cell r="J2071" t="str">
            <v>U</v>
          </cell>
        </row>
        <row r="2072">
          <cell r="B2072" t="str">
            <v>MC020141001</v>
          </cell>
          <cell r="C2072" t="str">
            <v>MARRO CHICA</v>
          </cell>
          <cell r="D2072" t="str">
            <v>PORTAPASAPORTE</v>
          </cell>
          <cell r="E2072" t="str">
            <v>PORTAPASAPORTE CHESTER</v>
          </cell>
          <cell r="F2072" t="str">
            <v>CROCO</v>
          </cell>
          <cell r="G2072">
            <v>0</v>
          </cell>
          <cell r="H2072" t="str">
            <v>NEGRO/ROJO</v>
          </cell>
          <cell r="I2072" t="str">
            <v>U</v>
          </cell>
          <cell r="J2072" t="str">
            <v>U</v>
          </cell>
        </row>
        <row r="2073">
          <cell r="B2073" t="str">
            <v>MC020141019</v>
          </cell>
          <cell r="C2073" t="str">
            <v>MARRO CHICA</v>
          </cell>
          <cell r="D2073" t="str">
            <v>PORTAPASAPORTE</v>
          </cell>
          <cell r="E2073" t="str">
            <v>PORTAPASAPORTE CHESTER</v>
          </cell>
          <cell r="F2073" t="str">
            <v>CROCO</v>
          </cell>
          <cell r="G2073">
            <v>0</v>
          </cell>
          <cell r="H2073" t="str">
            <v>CANELA/ARMY</v>
          </cell>
          <cell r="I2073" t="str">
            <v>U</v>
          </cell>
          <cell r="J2073" t="str">
            <v>U</v>
          </cell>
        </row>
        <row r="2074">
          <cell r="B2074" t="str">
            <v>MC020141623</v>
          </cell>
          <cell r="C2074" t="str">
            <v>MARRO CHICA</v>
          </cell>
          <cell r="D2074" t="str">
            <v>PORTAPASAPORTE</v>
          </cell>
          <cell r="E2074" t="str">
            <v>PORTAPASAPORTE CHESTER</v>
          </cell>
          <cell r="F2074" t="str">
            <v>FIORENTINO</v>
          </cell>
          <cell r="G2074">
            <v>0</v>
          </cell>
          <cell r="H2074" t="str">
            <v>CEDRO</v>
          </cell>
          <cell r="I2074" t="str">
            <v>U</v>
          </cell>
          <cell r="J2074" t="str">
            <v>U</v>
          </cell>
        </row>
        <row r="2075">
          <cell r="B2075" t="str">
            <v>MC020141904</v>
          </cell>
          <cell r="C2075" t="str">
            <v>MARRO CHICA</v>
          </cell>
          <cell r="D2075" t="str">
            <v>PORTAPASAPORTE</v>
          </cell>
          <cell r="E2075" t="str">
            <v>PORTAPASAPORTE CHESTER</v>
          </cell>
          <cell r="F2075" t="str">
            <v>MODENA</v>
          </cell>
          <cell r="G2075">
            <v>0</v>
          </cell>
          <cell r="H2075" t="str">
            <v>TABACO</v>
          </cell>
          <cell r="I2075" t="str">
            <v>U</v>
          </cell>
          <cell r="J2075" t="str">
            <v>U</v>
          </cell>
        </row>
        <row r="2076">
          <cell r="B2076" t="str">
            <v>MC020143344</v>
          </cell>
          <cell r="C2076" t="str">
            <v>MARRO CHICA</v>
          </cell>
          <cell r="D2076" t="str">
            <v>PORTAPASAPORTE</v>
          </cell>
          <cell r="E2076" t="str">
            <v>PORTAPASAPORTE CHESTER</v>
          </cell>
          <cell r="F2076" t="str">
            <v>CRASH</v>
          </cell>
          <cell r="G2076">
            <v>0</v>
          </cell>
          <cell r="H2076" t="str">
            <v>BLACK</v>
          </cell>
          <cell r="I2076" t="str">
            <v>U</v>
          </cell>
          <cell r="J2076" t="str">
            <v>U</v>
          </cell>
        </row>
        <row r="2077">
          <cell r="B2077" t="str">
            <v>MC020143345</v>
          </cell>
          <cell r="C2077" t="str">
            <v>MARRO CHICA</v>
          </cell>
          <cell r="D2077" t="str">
            <v>PORTAPASAPORTE</v>
          </cell>
          <cell r="E2077" t="str">
            <v>PORTAPASAPORTE CHESTER</v>
          </cell>
          <cell r="F2077" t="str">
            <v>CRASH</v>
          </cell>
          <cell r="G2077">
            <v>0</v>
          </cell>
          <cell r="H2077" t="str">
            <v>MALBORO</v>
          </cell>
          <cell r="I2077" t="str">
            <v>U</v>
          </cell>
          <cell r="J2077" t="str">
            <v>U</v>
          </cell>
        </row>
        <row r="2078">
          <cell r="B2078" t="str">
            <v>MC020180101</v>
          </cell>
          <cell r="C2078" t="str">
            <v>MARRO CHICA</v>
          </cell>
          <cell r="D2078" t="str">
            <v>PORTAPASAPORTE</v>
          </cell>
          <cell r="E2078" t="str">
            <v>PORTAPASAPORTE KANTU</v>
          </cell>
          <cell r="F2078" t="str">
            <v>NAPADO</v>
          </cell>
          <cell r="G2078">
            <v>0</v>
          </cell>
          <cell r="H2078" t="str">
            <v>NEGRO</v>
          </cell>
          <cell r="I2078" t="str">
            <v>U</v>
          </cell>
          <cell r="J2078" t="str">
            <v>U</v>
          </cell>
        </row>
        <row r="2079">
          <cell r="B2079" t="str">
            <v>MC020120103</v>
          </cell>
          <cell r="C2079" t="str">
            <v>MARRO CHICA</v>
          </cell>
          <cell r="D2079" t="str">
            <v>PORTAPASAPORTE</v>
          </cell>
          <cell r="E2079" t="str">
            <v>PORTAPASAPORTE RON</v>
          </cell>
          <cell r="F2079" t="str">
            <v>NAPADO</v>
          </cell>
          <cell r="G2079">
            <v>0</v>
          </cell>
          <cell r="H2079" t="str">
            <v>CARAMELO</v>
          </cell>
          <cell r="I2079" t="str">
            <v>U</v>
          </cell>
          <cell r="J2079" t="str">
            <v>U</v>
          </cell>
        </row>
        <row r="2080">
          <cell r="B2080" t="str">
            <v>MC020120202</v>
          </cell>
          <cell r="C2080" t="str">
            <v>MARRO CHICA</v>
          </cell>
          <cell r="D2080" t="str">
            <v>PORTAPASAPORTE</v>
          </cell>
          <cell r="E2080" t="str">
            <v>PORTAPASAPORTE RON</v>
          </cell>
          <cell r="F2080" t="str">
            <v>TAMPONATO</v>
          </cell>
          <cell r="G2080">
            <v>0</v>
          </cell>
          <cell r="H2080" t="str">
            <v>SUELA</v>
          </cell>
          <cell r="I2080" t="str">
            <v>U</v>
          </cell>
          <cell r="J2080" t="str">
            <v>U</v>
          </cell>
        </row>
        <row r="2081">
          <cell r="B2081" t="str">
            <v>MC020120203</v>
          </cell>
          <cell r="C2081" t="str">
            <v>MARRO CHICA</v>
          </cell>
          <cell r="D2081" t="str">
            <v>PORTAPASAPORTE</v>
          </cell>
          <cell r="E2081" t="str">
            <v>PORTAPASAPORTE RON</v>
          </cell>
          <cell r="F2081" t="str">
            <v>TAMPONATO</v>
          </cell>
          <cell r="G2081">
            <v>0</v>
          </cell>
          <cell r="H2081" t="str">
            <v>CARAMELO</v>
          </cell>
          <cell r="I2081" t="str">
            <v>U</v>
          </cell>
          <cell r="J2081" t="str">
            <v>U</v>
          </cell>
        </row>
        <row r="2082">
          <cell r="B2082" t="str">
            <v>MC020120301</v>
          </cell>
          <cell r="C2082" t="str">
            <v>MARRO CHICA</v>
          </cell>
          <cell r="D2082" t="str">
            <v>PORTAPASAPORTE</v>
          </cell>
          <cell r="E2082" t="str">
            <v>PORTAPASAPORTE RON</v>
          </cell>
          <cell r="F2082" t="str">
            <v>BRIDGE</v>
          </cell>
          <cell r="G2082">
            <v>0</v>
          </cell>
          <cell r="H2082" t="str">
            <v>NEGRO</v>
          </cell>
          <cell r="I2082" t="str">
            <v>U</v>
          </cell>
          <cell r="J2082" t="str">
            <v>U</v>
          </cell>
        </row>
        <row r="2083">
          <cell r="B2083" t="str">
            <v>MC020120302</v>
          </cell>
          <cell r="C2083" t="str">
            <v>MARRO CHICA</v>
          </cell>
          <cell r="D2083" t="str">
            <v>PORTAPASAPORTE</v>
          </cell>
          <cell r="E2083" t="str">
            <v>PORTAPASAPORTE RON</v>
          </cell>
          <cell r="F2083" t="str">
            <v>BRIDGE</v>
          </cell>
          <cell r="G2083">
            <v>0</v>
          </cell>
          <cell r="H2083" t="str">
            <v>SUELA</v>
          </cell>
          <cell r="I2083" t="str">
            <v>U</v>
          </cell>
          <cell r="J2083" t="str">
            <v>U</v>
          </cell>
        </row>
        <row r="2084">
          <cell r="B2084" t="str">
            <v>MC020120303</v>
          </cell>
          <cell r="C2084" t="str">
            <v>MARRO CHICA</v>
          </cell>
          <cell r="D2084" t="str">
            <v>PORTAPASAPORTE</v>
          </cell>
          <cell r="E2084" t="str">
            <v>PORTAPASAPORTE RON</v>
          </cell>
          <cell r="F2084" t="str">
            <v>BRIDGE</v>
          </cell>
          <cell r="G2084">
            <v>0</v>
          </cell>
          <cell r="H2084" t="str">
            <v>CARAMELO</v>
          </cell>
          <cell r="I2084" t="str">
            <v>U</v>
          </cell>
          <cell r="J2084" t="str">
            <v>U</v>
          </cell>
        </row>
        <row r="2085">
          <cell r="B2085" t="str">
            <v>MC020120304</v>
          </cell>
          <cell r="C2085" t="str">
            <v>MARRO CHICA</v>
          </cell>
          <cell r="D2085" t="str">
            <v>PORTAPASAPORTE</v>
          </cell>
          <cell r="E2085" t="str">
            <v>PORTAPASAPORTE RON</v>
          </cell>
          <cell r="F2085" t="str">
            <v>BRIDGE</v>
          </cell>
          <cell r="G2085">
            <v>0</v>
          </cell>
          <cell r="H2085" t="str">
            <v>TABACO</v>
          </cell>
          <cell r="I2085" t="str">
            <v>U</v>
          </cell>
          <cell r="J2085" t="str">
            <v>U</v>
          </cell>
        </row>
        <row r="2086">
          <cell r="B2086" t="str">
            <v>MC020120307</v>
          </cell>
          <cell r="C2086" t="str">
            <v>MARRO CHICA</v>
          </cell>
          <cell r="D2086" t="str">
            <v>PORTAPASAPORTE</v>
          </cell>
          <cell r="E2086" t="str">
            <v>PORTAPASAPORTE RON</v>
          </cell>
          <cell r="F2086" t="str">
            <v>BRIDGE</v>
          </cell>
          <cell r="G2086">
            <v>0</v>
          </cell>
          <cell r="H2086" t="str">
            <v>ROJO</v>
          </cell>
          <cell r="I2086" t="str">
            <v>U</v>
          </cell>
          <cell r="J2086" t="str">
            <v>U</v>
          </cell>
        </row>
        <row r="2087">
          <cell r="B2087" t="str">
            <v>MC020120309</v>
          </cell>
          <cell r="C2087" t="str">
            <v>MARRO CHICA</v>
          </cell>
          <cell r="D2087" t="str">
            <v>PORTAPASAPORTE</v>
          </cell>
          <cell r="E2087" t="str">
            <v>PORTAPASAPORTE RON</v>
          </cell>
          <cell r="F2087" t="str">
            <v>BRIDGE</v>
          </cell>
          <cell r="G2087">
            <v>0</v>
          </cell>
          <cell r="H2087" t="str">
            <v>AZUL</v>
          </cell>
          <cell r="I2087" t="str">
            <v>U</v>
          </cell>
          <cell r="J2087" t="str">
            <v>U</v>
          </cell>
        </row>
        <row r="2088">
          <cell r="B2088" t="str">
            <v>MC020120310</v>
          </cell>
          <cell r="C2088" t="str">
            <v>MARRO CHICA</v>
          </cell>
          <cell r="D2088" t="str">
            <v>PORTAPASAPORTE</v>
          </cell>
          <cell r="E2088" t="str">
            <v>PORTAPASAPORTE RON</v>
          </cell>
          <cell r="F2088" t="str">
            <v>BRIDGE</v>
          </cell>
          <cell r="G2088">
            <v>0</v>
          </cell>
          <cell r="H2088" t="str">
            <v>VERDE</v>
          </cell>
          <cell r="I2088" t="str">
            <v>U</v>
          </cell>
          <cell r="J2088" t="str">
            <v>U</v>
          </cell>
        </row>
        <row r="2089">
          <cell r="B2089" t="str">
            <v>MC020120401</v>
          </cell>
          <cell r="C2089" t="str">
            <v>MARRO CHICA</v>
          </cell>
          <cell r="D2089" t="str">
            <v>PORTAPASAPORTE</v>
          </cell>
          <cell r="E2089" t="str">
            <v>PORTAPASAPORTE RON</v>
          </cell>
          <cell r="F2089" t="str">
            <v>VAQUETA</v>
          </cell>
          <cell r="G2089">
            <v>0</v>
          </cell>
          <cell r="H2089" t="str">
            <v>NEGRO</v>
          </cell>
          <cell r="I2089" t="str">
            <v>U</v>
          </cell>
          <cell r="J2089" t="str">
            <v>U</v>
          </cell>
        </row>
        <row r="2090">
          <cell r="B2090" t="str">
            <v>MC020120403</v>
          </cell>
          <cell r="C2090" t="str">
            <v>MARRO CHICA</v>
          </cell>
          <cell r="D2090" t="str">
            <v>PORTAPASAPORTE</v>
          </cell>
          <cell r="E2090" t="str">
            <v>PORTAPASAPORTE RON</v>
          </cell>
          <cell r="F2090" t="str">
            <v>VAQUETA</v>
          </cell>
          <cell r="G2090">
            <v>0</v>
          </cell>
          <cell r="H2090" t="str">
            <v>CARAMELO</v>
          </cell>
          <cell r="I2090" t="str">
            <v>U</v>
          </cell>
          <cell r="J2090" t="str">
            <v>U</v>
          </cell>
        </row>
        <row r="2091">
          <cell r="B2091" t="str">
            <v>MC020120405</v>
          </cell>
          <cell r="C2091" t="str">
            <v>MARRO CHICA</v>
          </cell>
          <cell r="D2091" t="str">
            <v>PORTAPASAPORTE</v>
          </cell>
          <cell r="E2091" t="str">
            <v>PORTAPASAPORTE RON</v>
          </cell>
          <cell r="F2091" t="str">
            <v>VAQUETA</v>
          </cell>
          <cell r="G2091">
            <v>0</v>
          </cell>
          <cell r="H2091" t="str">
            <v>LONDON</v>
          </cell>
          <cell r="I2091" t="str">
            <v>U</v>
          </cell>
          <cell r="J2091" t="str">
            <v>U</v>
          </cell>
        </row>
        <row r="2092">
          <cell r="B2092" t="str">
            <v>MC020120701</v>
          </cell>
          <cell r="C2092" t="str">
            <v>MARRO CHICA</v>
          </cell>
          <cell r="D2092" t="str">
            <v>PORTAPASAPORTE</v>
          </cell>
          <cell r="E2092" t="str">
            <v>PORTAPASAPORTE RON</v>
          </cell>
          <cell r="F2092" t="str">
            <v>IGUANA</v>
          </cell>
          <cell r="G2092">
            <v>0</v>
          </cell>
          <cell r="H2092" t="str">
            <v>NEGRO</v>
          </cell>
          <cell r="I2092" t="str">
            <v>U</v>
          </cell>
          <cell r="J2092" t="str">
            <v>U</v>
          </cell>
        </row>
        <row r="2093">
          <cell r="B2093" t="str">
            <v>MC020120703</v>
          </cell>
          <cell r="C2093" t="str">
            <v>MARRO CHICA</v>
          </cell>
          <cell r="D2093" t="str">
            <v>PORTAPASAPORTE</v>
          </cell>
          <cell r="E2093" t="str">
            <v>PORTAPASAPORTE RON</v>
          </cell>
          <cell r="F2093" t="str">
            <v>IGUANA</v>
          </cell>
          <cell r="G2093">
            <v>0</v>
          </cell>
          <cell r="H2093" t="str">
            <v>CARAMELO</v>
          </cell>
          <cell r="I2093" t="str">
            <v>U</v>
          </cell>
          <cell r="J2093" t="str">
            <v>U</v>
          </cell>
        </row>
        <row r="2094">
          <cell r="B2094" t="str">
            <v>MC020120705</v>
          </cell>
          <cell r="C2094" t="str">
            <v>MARRO CHICA</v>
          </cell>
          <cell r="D2094" t="str">
            <v>PORTAPASAPORTE</v>
          </cell>
          <cell r="E2094" t="str">
            <v>PORTAPASAPORTE RON</v>
          </cell>
          <cell r="F2094" t="str">
            <v>IGUANA</v>
          </cell>
          <cell r="G2094">
            <v>0</v>
          </cell>
          <cell r="H2094" t="str">
            <v>LONDON</v>
          </cell>
          <cell r="I2094" t="str">
            <v>U</v>
          </cell>
          <cell r="J2094" t="str">
            <v>U</v>
          </cell>
        </row>
        <row r="2095">
          <cell r="B2095" t="str">
            <v>MC020120707</v>
          </cell>
          <cell r="C2095" t="str">
            <v>MARRO CHICA</v>
          </cell>
          <cell r="D2095" t="str">
            <v>PORTAPASAPORTE</v>
          </cell>
          <cell r="E2095" t="str">
            <v>PORTAPASAPORTE RON</v>
          </cell>
          <cell r="F2095" t="str">
            <v>IGUANA</v>
          </cell>
          <cell r="G2095">
            <v>0</v>
          </cell>
          <cell r="H2095" t="str">
            <v>ROJO</v>
          </cell>
          <cell r="I2095" t="str">
            <v>U</v>
          </cell>
          <cell r="J2095" t="str">
            <v>U</v>
          </cell>
        </row>
        <row r="2096">
          <cell r="B2096" t="str">
            <v>MC020120709</v>
          </cell>
          <cell r="C2096" t="str">
            <v>MARRO CHICA</v>
          </cell>
          <cell r="D2096" t="str">
            <v>PORTAPASAPORTE</v>
          </cell>
          <cell r="E2096" t="str">
            <v>PORTAPASAPORTE RON</v>
          </cell>
          <cell r="F2096" t="str">
            <v>IGUANA</v>
          </cell>
          <cell r="G2096">
            <v>0</v>
          </cell>
          <cell r="H2096" t="str">
            <v>AZUL</v>
          </cell>
          <cell r="I2096" t="str">
            <v>U</v>
          </cell>
          <cell r="J2096" t="str">
            <v>U</v>
          </cell>
        </row>
        <row r="2097">
          <cell r="B2097" t="str">
            <v>MC020120710</v>
          </cell>
          <cell r="C2097" t="str">
            <v>MARRO CHICA</v>
          </cell>
          <cell r="D2097" t="str">
            <v>PORTAPASAPORTE</v>
          </cell>
          <cell r="E2097" t="str">
            <v>PORTAPASAPORTE RON</v>
          </cell>
          <cell r="F2097" t="str">
            <v>IGUANA</v>
          </cell>
          <cell r="G2097">
            <v>0</v>
          </cell>
          <cell r="H2097" t="str">
            <v>VERDE</v>
          </cell>
          <cell r="I2097" t="str">
            <v>U</v>
          </cell>
          <cell r="J2097" t="str">
            <v>U</v>
          </cell>
        </row>
        <row r="2098">
          <cell r="B2098" t="str">
            <v>MC020130201</v>
          </cell>
          <cell r="C2098" t="str">
            <v>MARRO CHICA</v>
          </cell>
          <cell r="D2098" t="str">
            <v>PORTAPASAPORTE</v>
          </cell>
          <cell r="E2098" t="str">
            <v>PORTAPASAPORTE SAM</v>
          </cell>
          <cell r="F2098" t="str">
            <v>TAMPONATO</v>
          </cell>
          <cell r="G2098">
            <v>0</v>
          </cell>
          <cell r="H2098" t="str">
            <v>NEGRO</v>
          </cell>
          <cell r="I2098" t="str">
            <v>U</v>
          </cell>
          <cell r="J2098" t="str">
            <v>U</v>
          </cell>
        </row>
        <row r="2099">
          <cell r="B2099" t="str">
            <v>MC020130202</v>
          </cell>
          <cell r="C2099" t="str">
            <v>MARRO CHICA</v>
          </cell>
          <cell r="D2099" t="str">
            <v>PORTAPASAPORTE</v>
          </cell>
          <cell r="E2099" t="str">
            <v>PORTAPASAPORTE SAM</v>
          </cell>
          <cell r="F2099" t="str">
            <v>TAMPONATO</v>
          </cell>
          <cell r="G2099">
            <v>0</v>
          </cell>
          <cell r="H2099" t="str">
            <v>SUELA</v>
          </cell>
          <cell r="I2099" t="str">
            <v>U</v>
          </cell>
          <cell r="J2099" t="str">
            <v>U</v>
          </cell>
        </row>
        <row r="2100">
          <cell r="B2100" t="str">
            <v>MC020130203</v>
          </cell>
          <cell r="C2100" t="str">
            <v>MARRO CHICA</v>
          </cell>
          <cell r="D2100" t="str">
            <v>PORTAPASAPORTE</v>
          </cell>
          <cell r="E2100" t="str">
            <v>PORTAPASAPORTE SAM</v>
          </cell>
          <cell r="F2100" t="str">
            <v>TAMPONATO</v>
          </cell>
          <cell r="G2100">
            <v>0</v>
          </cell>
          <cell r="H2100" t="str">
            <v>CARAMELO</v>
          </cell>
          <cell r="I2100" t="str">
            <v>U</v>
          </cell>
          <cell r="J2100" t="str">
            <v>U</v>
          </cell>
        </row>
        <row r="2101">
          <cell r="B2101" t="str">
            <v>MC020130205</v>
          </cell>
          <cell r="C2101" t="str">
            <v>MARRO CHICA</v>
          </cell>
          <cell r="D2101" t="str">
            <v>PORTAPASAPORTE</v>
          </cell>
          <cell r="E2101" t="str">
            <v>PORTAPASAPORTE SAM</v>
          </cell>
          <cell r="F2101" t="str">
            <v>TAMPONATO</v>
          </cell>
          <cell r="G2101">
            <v>0</v>
          </cell>
          <cell r="H2101" t="str">
            <v>LONDON</v>
          </cell>
          <cell r="I2101" t="str">
            <v>U</v>
          </cell>
          <cell r="J2101" t="str">
            <v>U</v>
          </cell>
        </row>
        <row r="2102">
          <cell r="B2102" t="str">
            <v>MC020130301</v>
          </cell>
          <cell r="C2102" t="str">
            <v>MARRO CHICA</v>
          </cell>
          <cell r="D2102" t="str">
            <v>PORTAPASAPORTE</v>
          </cell>
          <cell r="E2102" t="str">
            <v>PORTAPASAPORTE SAM</v>
          </cell>
          <cell r="F2102" t="str">
            <v>BRIDGE</v>
          </cell>
          <cell r="G2102">
            <v>0</v>
          </cell>
          <cell r="H2102" t="str">
            <v>NEGRO</v>
          </cell>
          <cell r="I2102" t="str">
            <v>U</v>
          </cell>
          <cell r="J2102" t="str">
            <v>U</v>
          </cell>
        </row>
        <row r="2103">
          <cell r="B2103" t="str">
            <v>MC020130303</v>
          </cell>
          <cell r="C2103" t="str">
            <v>MARRO CHICA</v>
          </cell>
          <cell r="D2103" t="str">
            <v>PORTAPASAPORTE</v>
          </cell>
          <cell r="E2103" t="str">
            <v>PORTAPASAPORTE SAM</v>
          </cell>
          <cell r="F2103" t="str">
            <v>BRIDGE</v>
          </cell>
          <cell r="G2103">
            <v>0</v>
          </cell>
          <cell r="H2103" t="str">
            <v>CARAMELO</v>
          </cell>
          <cell r="I2103" t="str">
            <v>U</v>
          </cell>
          <cell r="J2103" t="str">
            <v>U</v>
          </cell>
        </row>
        <row r="2104">
          <cell r="B2104" t="str">
            <v>MC020130304</v>
          </cell>
          <cell r="C2104" t="str">
            <v>MARRO CHICA</v>
          </cell>
          <cell r="D2104" t="str">
            <v>PORTAPASAPORTE</v>
          </cell>
          <cell r="E2104" t="str">
            <v>PORTAPASAPORTE SAM</v>
          </cell>
          <cell r="F2104" t="str">
            <v>BRIDGE</v>
          </cell>
          <cell r="G2104">
            <v>0</v>
          </cell>
          <cell r="H2104" t="str">
            <v>TABACO</v>
          </cell>
          <cell r="I2104" t="str">
            <v>U</v>
          </cell>
          <cell r="J2104" t="str">
            <v>U</v>
          </cell>
        </row>
        <row r="2105">
          <cell r="B2105" t="str">
            <v>MC020130307</v>
          </cell>
          <cell r="C2105" t="str">
            <v>MARRO CHICA</v>
          </cell>
          <cell r="D2105" t="str">
            <v>PORTAPASAPORTE</v>
          </cell>
          <cell r="E2105" t="str">
            <v>PORTAPASAPORTE SAM</v>
          </cell>
          <cell r="F2105" t="str">
            <v>BRIDGE</v>
          </cell>
          <cell r="G2105">
            <v>0</v>
          </cell>
          <cell r="H2105" t="str">
            <v>ROJO</v>
          </cell>
          <cell r="I2105" t="str">
            <v>U</v>
          </cell>
          <cell r="J2105" t="str">
            <v>U</v>
          </cell>
        </row>
        <row r="2106">
          <cell r="B2106" t="str">
            <v>MC020130309</v>
          </cell>
          <cell r="C2106" t="str">
            <v>MARRO CHICA</v>
          </cell>
          <cell r="D2106" t="str">
            <v>PORTAPASAPORTE</v>
          </cell>
          <cell r="E2106" t="str">
            <v>PORTAPASAPORTE SAM</v>
          </cell>
          <cell r="F2106" t="str">
            <v>BRIDGE</v>
          </cell>
          <cell r="G2106">
            <v>0</v>
          </cell>
          <cell r="H2106" t="str">
            <v>AZUL</v>
          </cell>
          <cell r="I2106" t="str">
            <v>U</v>
          </cell>
          <cell r="J2106" t="str">
            <v>U</v>
          </cell>
        </row>
        <row r="2107">
          <cell r="B2107" t="str">
            <v>MC020130310</v>
          </cell>
          <cell r="C2107" t="str">
            <v>MARRO CHICA</v>
          </cell>
          <cell r="D2107" t="str">
            <v>PORTAPASAPORTE</v>
          </cell>
          <cell r="E2107" t="str">
            <v>PORTAPASAPORTE SAM</v>
          </cell>
          <cell r="F2107" t="str">
            <v>BRIDGE</v>
          </cell>
          <cell r="G2107">
            <v>0</v>
          </cell>
          <cell r="H2107" t="str">
            <v>VERDE</v>
          </cell>
          <cell r="I2107" t="str">
            <v>U</v>
          </cell>
          <cell r="J2107" t="str">
            <v>U</v>
          </cell>
        </row>
        <row r="2108">
          <cell r="B2108" t="str">
            <v>MC020410101</v>
          </cell>
          <cell r="C2108" t="str">
            <v>MARRO CHICA</v>
          </cell>
          <cell r="D2108" t="str">
            <v>PORTAPASAPORTE</v>
          </cell>
          <cell r="E2108" t="str">
            <v>PORTAPASAPORTE WARA FULL BLACK</v>
          </cell>
          <cell r="F2108" t="str">
            <v>NAPADO</v>
          </cell>
          <cell r="G2108">
            <v>0</v>
          </cell>
          <cell r="H2108" t="str">
            <v>NEGRO</v>
          </cell>
          <cell r="I2108" t="str">
            <v>U</v>
          </cell>
          <cell r="J2108" t="str">
            <v>U</v>
          </cell>
        </row>
        <row r="2109">
          <cell r="B2109" t="str">
            <v>MC020410103</v>
          </cell>
          <cell r="C2109" t="str">
            <v>MARRO CHICA</v>
          </cell>
          <cell r="D2109" t="str">
            <v>PORTAPASAPORTE</v>
          </cell>
          <cell r="E2109" t="str">
            <v>PORTAPASAPORTE WARA</v>
          </cell>
          <cell r="F2109" t="str">
            <v>NAPADO</v>
          </cell>
          <cell r="G2109">
            <v>0</v>
          </cell>
          <cell r="H2109" t="str">
            <v>CARAMELO</v>
          </cell>
          <cell r="I2109" t="str">
            <v>U</v>
          </cell>
          <cell r="J2109" t="str">
            <v>U</v>
          </cell>
        </row>
        <row r="2110">
          <cell r="B2110" t="str">
            <v>MC020410107</v>
          </cell>
          <cell r="C2110" t="str">
            <v>MARRO CHICA</v>
          </cell>
          <cell r="D2110" t="str">
            <v>PORTAPASAPORTE</v>
          </cell>
          <cell r="E2110" t="str">
            <v>PORTAPASAPORTE WARA</v>
          </cell>
          <cell r="F2110" t="str">
            <v>NAPADO</v>
          </cell>
          <cell r="G2110">
            <v>0</v>
          </cell>
          <cell r="H2110" t="str">
            <v>ROJO</v>
          </cell>
          <cell r="I2110" t="str">
            <v>U</v>
          </cell>
          <cell r="J2110" t="str">
            <v>U</v>
          </cell>
        </row>
        <row r="2111">
          <cell r="B2111" t="str">
            <v>MC020410109</v>
          </cell>
          <cell r="C2111" t="str">
            <v>MARRO CHICA</v>
          </cell>
          <cell r="D2111" t="str">
            <v>PORTAPASAPORTE</v>
          </cell>
          <cell r="E2111" t="str">
            <v>PORTAPASAPORTE WARA</v>
          </cell>
          <cell r="F2111" t="str">
            <v>NAPADO</v>
          </cell>
          <cell r="G2111">
            <v>0</v>
          </cell>
          <cell r="H2111" t="str">
            <v>AZUL</v>
          </cell>
          <cell r="I2111" t="str">
            <v>U</v>
          </cell>
          <cell r="J2111" t="str">
            <v>U</v>
          </cell>
        </row>
        <row r="2112">
          <cell r="B2112" t="str">
            <v>MC020410110</v>
          </cell>
          <cell r="C2112" t="str">
            <v>MARRO CHICA</v>
          </cell>
          <cell r="D2112" t="str">
            <v>PORTAPASAPORTE</v>
          </cell>
          <cell r="E2112" t="str">
            <v>PORTAPASAPORTE WARA</v>
          </cell>
          <cell r="F2112" t="str">
            <v>NAPADO</v>
          </cell>
          <cell r="G2112">
            <v>0</v>
          </cell>
          <cell r="H2112" t="str">
            <v>VERDE</v>
          </cell>
          <cell r="I2112" t="str">
            <v>U</v>
          </cell>
          <cell r="J2112" t="str">
            <v>U</v>
          </cell>
        </row>
        <row r="2113">
          <cell r="B2113" t="str">
            <v>MC020410701</v>
          </cell>
          <cell r="C2113" t="str">
            <v>MARRO CHICA</v>
          </cell>
          <cell r="D2113" t="str">
            <v>PORTAPASAPORTE</v>
          </cell>
          <cell r="E2113" t="str">
            <v>PORTAPASAPORTE WARA</v>
          </cell>
          <cell r="F2113" t="str">
            <v xml:space="preserve">IGUANA </v>
          </cell>
          <cell r="G2113">
            <v>0</v>
          </cell>
          <cell r="H2113" t="str">
            <v>NEGRO</v>
          </cell>
          <cell r="I2113" t="str">
            <v>U</v>
          </cell>
          <cell r="J2113" t="str">
            <v>U</v>
          </cell>
        </row>
        <row r="2114">
          <cell r="B2114" t="str">
            <v>MC020410703</v>
          </cell>
          <cell r="C2114" t="str">
            <v>MARRO CHICA</v>
          </cell>
          <cell r="D2114" t="str">
            <v>PORTAPASAPORTE</v>
          </cell>
          <cell r="E2114" t="str">
            <v>PORTAPASAPORTE WARA</v>
          </cell>
          <cell r="F2114" t="str">
            <v xml:space="preserve">IGUANA </v>
          </cell>
          <cell r="G2114">
            <v>0</v>
          </cell>
          <cell r="H2114" t="str">
            <v>CARAMELO</v>
          </cell>
          <cell r="I2114" t="str">
            <v>U</v>
          </cell>
          <cell r="J2114" t="str">
            <v>U</v>
          </cell>
        </row>
        <row r="2115">
          <cell r="B2115" t="str">
            <v>MC020410707</v>
          </cell>
          <cell r="C2115" t="str">
            <v>MARRO CHICA</v>
          </cell>
          <cell r="D2115" t="str">
            <v>PORTAPASAPORTE</v>
          </cell>
          <cell r="E2115" t="str">
            <v>PORTAPASAPORTE WARA</v>
          </cell>
          <cell r="F2115" t="str">
            <v xml:space="preserve">IGUANA </v>
          </cell>
          <cell r="G2115">
            <v>0</v>
          </cell>
          <cell r="H2115" t="str">
            <v>ROJO</v>
          </cell>
          <cell r="I2115" t="str">
            <v>U</v>
          </cell>
          <cell r="J2115" t="str">
            <v>U</v>
          </cell>
        </row>
        <row r="2116">
          <cell r="B2116" t="str">
            <v>OT020030304</v>
          </cell>
          <cell r="C2116" t="str">
            <v>DECO</v>
          </cell>
          <cell r="D2116" t="str">
            <v>POSAVASO</v>
          </cell>
          <cell r="E2116" t="str">
            <v>POSAVASO SIMPLE X4</v>
          </cell>
          <cell r="F2116" t="str">
            <v>BRIDGE</v>
          </cell>
          <cell r="G2116">
            <v>0</v>
          </cell>
          <cell r="H2116" t="str">
            <v>TABACO</v>
          </cell>
          <cell r="I2116" t="str">
            <v>U</v>
          </cell>
          <cell r="J2116">
            <v>0</v>
          </cell>
        </row>
        <row r="2117">
          <cell r="B2117" t="str">
            <v>OT020030307</v>
          </cell>
          <cell r="C2117" t="str">
            <v>DECO</v>
          </cell>
          <cell r="D2117" t="str">
            <v>POSAVASO</v>
          </cell>
          <cell r="E2117" t="str">
            <v>POSAVASO SIMPLE X4</v>
          </cell>
          <cell r="F2117" t="str">
            <v>BRIDGE</v>
          </cell>
          <cell r="G2117">
            <v>0</v>
          </cell>
          <cell r="H2117" t="str">
            <v>ROJO</v>
          </cell>
          <cell r="I2117" t="str">
            <v>U</v>
          </cell>
          <cell r="J2117">
            <v>0</v>
          </cell>
        </row>
        <row r="2118">
          <cell r="B2118" t="str">
            <v>POSA1</v>
          </cell>
          <cell r="C2118" t="str">
            <v>DECO</v>
          </cell>
          <cell r="D2118" t="str">
            <v>POSAVASO</v>
          </cell>
          <cell r="E2118" t="str">
            <v>POSAVASO SIMPLE X4</v>
          </cell>
          <cell r="F2118" t="str">
            <v>TAMPONATO</v>
          </cell>
          <cell r="G2118">
            <v>0</v>
          </cell>
          <cell r="H2118" t="str">
            <v>NEGRO</v>
          </cell>
          <cell r="I2118" t="str">
            <v>U</v>
          </cell>
          <cell r="J2118">
            <v>0</v>
          </cell>
        </row>
        <row r="2119">
          <cell r="B2119" t="str">
            <v>POSA2</v>
          </cell>
          <cell r="C2119" t="str">
            <v>DECO</v>
          </cell>
          <cell r="D2119" t="str">
            <v>POSAVASO</v>
          </cell>
          <cell r="E2119" t="str">
            <v>POSAVASO SIMPLE X4</v>
          </cell>
          <cell r="F2119" t="str">
            <v>TAMPONATO</v>
          </cell>
          <cell r="G2119">
            <v>0</v>
          </cell>
          <cell r="H2119" t="str">
            <v>SUELA</v>
          </cell>
          <cell r="I2119" t="str">
            <v>U</v>
          </cell>
          <cell r="J2119">
            <v>0</v>
          </cell>
        </row>
        <row r="2120">
          <cell r="B2120" t="str">
            <v>POSA3</v>
          </cell>
          <cell r="C2120" t="str">
            <v>DECO</v>
          </cell>
          <cell r="D2120" t="str">
            <v>POSAVASO</v>
          </cell>
          <cell r="E2120" t="str">
            <v>POSAVASO SIMPLE X4</v>
          </cell>
          <cell r="F2120" t="str">
            <v>TAMPONATO</v>
          </cell>
          <cell r="G2120">
            <v>0</v>
          </cell>
          <cell r="H2120" t="str">
            <v>ROJO</v>
          </cell>
          <cell r="I2120" t="str">
            <v>U</v>
          </cell>
          <cell r="J2120">
            <v>0</v>
          </cell>
        </row>
        <row r="2121">
          <cell r="B2121" t="str">
            <v>OUT39990</v>
          </cell>
          <cell r="C2121" t="str">
            <v>OUTLET</v>
          </cell>
          <cell r="D2121" t="str">
            <v>OUTLET</v>
          </cell>
          <cell r="E2121" t="str">
            <v>PRODUCTO OTULET 39990</v>
          </cell>
          <cell r="F2121" t="str">
            <v>VARIOS</v>
          </cell>
          <cell r="G2121">
            <v>0</v>
          </cell>
          <cell r="H2121" t="str">
            <v>VARIOS</v>
          </cell>
          <cell r="I2121" t="str">
            <v>U</v>
          </cell>
          <cell r="J2121">
            <v>0</v>
          </cell>
        </row>
        <row r="2122">
          <cell r="B2122" t="str">
            <v>OUT10990</v>
          </cell>
          <cell r="C2122" t="str">
            <v>OUTLET</v>
          </cell>
          <cell r="D2122" t="str">
            <v>OUTLET</v>
          </cell>
          <cell r="E2122" t="str">
            <v>PRODUCTO OUTLET 10990</v>
          </cell>
          <cell r="F2122" t="str">
            <v>VARIOS</v>
          </cell>
          <cell r="G2122">
            <v>0</v>
          </cell>
          <cell r="H2122" t="str">
            <v>VARIOS</v>
          </cell>
          <cell r="I2122" t="str">
            <v>U</v>
          </cell>
          <cell r="J2122">
            <v>0</v>
          </cell>
        </row>
        <row r="2123">
          <cell r="B2123" t="str">
            <v>OUT11990</v>
          </cell>
          <cell r="C2123" t="str">
            <v>OUTLET</v>
          </cell>
          <cell r="D2123" t="str">
            <v>OUTLET</v>
          </cell>
          <cell r="E2123" t="str">
            <v>PRODUCTO OUTLET 11990</v>
          </cell>
          <cell r="F2123" t="str">
            <v>VARIOS</v>
          </cell>
          <cell r="G2123">
            <v>0</v>
          </cell>
          <cell r="H2123" t="str">
            <v>VARIOS</v>
          </cell>
          <cell r="I2123" t="str">
            <v>U</v>
          </cell>
          <cell r="J2123">
            <v>0</v>
          </cell>
        </row>
        <row r="2124">
          <cell r="B2124" t="str">
            <v>OUT12990</v>
          </cell>
          <cell r="C2124" t="str">
            <v>OUTLET</v>
          </cell>
          <cell r="D2124" t="str">
            <v>OUTLET</v>
          </cell>
          <cell r="E2124" t="str">
            <v>PRODUCTO OUTLET 12990</v>
          </cell>
          <cell r="F2124" t="str">
            <v>VARIOS</v>
          </cell>
          <cell r="G2124">
            <v>0</v>
          </cell>
          <cell r="H2124" t="str">
            <v>VARIOS</v>
          </cell>
          <cell r="I2124" t="str">
            <v>U</v>
          </cell>
          <cell r="J2124">
            <v>0</v>
          </cell>
        </row>
        <row r="2125">
          <cell r="B2125" t="str">
            <v>OUT14490</v>
          </cell>
          <cell r="C2125" t="str">
            <v>OUTLET</v>
          </cell>
          <cell r="D2125" t="str">
            <v>OUTLET</v>
          </cell>
          <cell r="E2125" t="str">
            <v>PRODUCTO OUTLET 14490</v>
          </cell>
          <cell r="F2125" t="str">
            <v>VARIOS</v>
          </cell>
          <cell r="G2125">
            <v>0</v>
          </cell>
          <cell r="H2125" t="str">
            <v>VARIOS</v>
          </cell>
          <cell r="I2125" t="str">
            <v>U</v>
          </cell>
          <cell r="J2125">
            <v>0</v>
          </cell>
        </row>
        <row r="2126">
          <cell r="B2126" t="str">
            <v>OUT1490</v>
          </cell>
          <cell r="C2126" t="str">
            <v>OUTLET</v>
          </cell>
          <cell r="D2126" t="str">
            <v>OUTLET</v>
          </cell>
          <cell r="E2126" t="str">
            <v>PRODUCTO OUTLET 1490</v>
          </cell>
          <cell r="F2126" t="str">
            <v>VARIOS</v>
          </cell>
          <cell r="G2126">
            <v>0</v>
          </cell>
          <cell r="H2126" t="str">
            <v>VARIOS</v>
          </cell>
          <cell r="I2126" t="str">
            <v>U</v>
          </cell>
          <cell r="J2126">
            <v>0</v>
          </cell>
        </row>
        <row r="2127">
          <cell r="B2127" t="str">
            <v>OUT14990</v>
          </cell>
          <cell r="C2127" t="str">
            <v>OUTLET</v>
          </cell>
          <cell r="D2127" t="str">
            <v>OUTLET</v>
          </cell>
          <cell r="E2127" t="str">
            <v>PRODUCTO OUTLET 14990</v>
          </cell>
          <cell r="F2127" t="str">
            <v>VARIOS</v>
          </cell>
          <cell r="G2127">
            <v>0</v>
          </cell>
          <cell r="H2127" t="str">
            <v>VARIOS</v>
          </cell>
          <cell r="I2127" t="str">
            <v>U</v>
          </cell>
          <cell r="J2127">
            <v>0</v>
          </cell>
        </row>
        <row r="2128">
          <cell r="B2128" t="str">
            <v>OUT16990</v>
          </cell>
          <cell r="C2128" t="str">
            <v>OUTLET</v>
          </cell>
          <cell r="D2128" t="str">
            <v>OUTLET</v>
          </cell>
          <cell r="E2128" t="str">
            <v>PRODUCTO OUTLET 16990</v>
          </cell>
          <cell r="F2128" t="str">
            <v>VARIOS</v>
          </cell>
          <cell r="G2128">
            <v>0</v>
          </cell>
          <cell r="H2128" t="str">
            <v>VARIOS</v>
          </cell>
          <cell r="I2128" t="str">
            <v>U</v>
          </cell>
          <cell r="J2128">
            <v>0</v>
          </cell>
        </row>
        <row r="2129">
          <cell r="B2129" t="str">
            <v>OUT1990</v>
          </cell>
          <cell r="C2129" t="str">
            <v>OUTLET</v>
          </cell>
          <cell r="D2129" t="str">
            <v>OUTLET</v>
          </cell>
          <cell r="E2129" t="str">
            <v>PRODUCTO OUTLET 1990</v>
          </cell>
          <cell r="F2129" t="str">
            <v>VARIOS</v>
          </cell>
          <cell r="G2129">
            <v>0</v>
          </cell>
          <cell r="H2129" t="str">
            <v>VARIOS</v>
          </cell>
          <cell r="I2129" t="str">
            <v>U</v>
          </cell>
          <cell r="J2129">
            <v>0</v>
          </cell>
        </row>
        <row r="2130">
          <cell r="B2130" t="str">
            <v>OUT19990</v>
          </cell>
          <cell r="C2130" t="str">
            <v>OUTLET</v>
          </cell>
          <cell r="D2130" t="str">
            <v>OUTLET</v>
          </cell>
          <cell r="E2130" t="str">
            <v>PRODUCTO OUTLET 19990</v>
          </cell>
          <cell r="F2130" t="str">
            <v>VARIOS</v>
          </cell>
          <cell r="G2130">
            <v>0</v>
          </cell>
          <cell r="H2130" t="str">
            <v>VARIOS</v>
          </cell>
          <cell r="I2130" t="str">
            <v>U</v>
          </cell>
          <cell r="J2130">
            <v>0</v>
          </cell>
        </row>
        <row r="2131">
          <cell r="B2131" t="str">
            <v>OUT20990</v>
          </cell>
          <cell r="C2131" t="str">
            <v>OUTLET</v>
          </cell>
          <cell r="D2131" t="str">
            <v>OUTLET</v>
          </cell>
          <cell r="E2131" t="str">
            <v>PRODUCTO OUTLET 20990</v>
          </cell>
          <cell r="F2131" t="str">
            <v>VARIOS</v>
          </cell>
          <cell r="G2131">
            <v>0</v>
          </cell>
          <cell r="H2131" t="str">
            <v>VARIOS</v>
          </cell>
          <cell r="I2131" t="str">
            <v>U</v>
          </cell>
          <cell r="J2131">
            <v>0</v>
          </cell>
        </row>
        <row r="2132">
          <cell r="B2132" t="str">
            <v>OUT2490</v>
          </cell>
          <cell r="C2132" t="str">
            <v>OUTLET</v>
          </cell>
          <cell r="D2132" t="str">
            <v>OUTLET</v>
          </cell>
          <cell r="E2132" t="str">
            <v>PRODUCTO OUTLET 2490</v>
          </cell>
          <cell r="F2132" t="str">
            <v>VARIOS</v>
          </cell>
          <cell r="G2132">
            <v>0</v>
          </cell>
          <cell r="H2132" t="str">
            <v>VARIOS</v>
          </cell>
          <cell r="I2132" t="str">
            <v>U</v>
          </cell>
          <cell r="J2132">
            <v>0</v>
          </cell>
        </row>
        <row r="2133">
          <cell r="B2133" t="str">
            <v>OUT25990</v>
          </cell>
          <cell r="C2133" t="str">
            <v>OUTLET</v>
          </cell>
          <cell r="D2133" t="str">
            <v>OUTLET</v>
          </cell>
          <cell r="E2133" t="str">
            <v>PRODUCTO OUTLET 25990</v>
          </cell>
          <cell r="F2133" t="str">
            <v>VARIOS</v>
          </cell>
          <cell r="G2133">
            <v>0</v>
          </cell>
          <cell r="H2133" t="str">
            <v>VARIOS</v>
          </cell>
          <cell r="I2133" t="str">
            <v>U</v>
          </cell>
          <cell r="J2133">
            <v>0</v>
          </cell>
        </row>
        <row r="2134">
          <cell r="B2134" t="str">
            <v>OUT2990</v>
          </cell>
          <cell r="C2134" t="str">
            <v>OUTLET</v>
          </cell>
          <cell r="D2134" t="str">
            <v>OUTLET</v>
          </cell>
          <cell r="E2134" t="str">
            <v>PRODUCTO OUTLET 2990</v>
          </cell>
          <cell r="F2134" t="str">
            <v>VARIOS</v>
          </cell>
          <cell r="G2134">
            <v>0</v>
          </cell>
          <cell r="H2134" t="str">
            <v>VARIOS</v>
          </cell>
          <cell r="I2134" t="str">
            <v>U</v>
          </cell>
          <cell r="J2134">
            <v>0</v>
          </cell>
        </row>
        <row r="2135">
          <cell r="B2135" t="str">
            <v>OUT29990</v>
          </cell>
          <cell r="C2135" t="str">
            <v>OUTLET</v>
          </cell>
          <cell r="D2135" t="str">
            <v>OUTLET</v>
          </cell>
          <cell r="E2135" t="str">
            <v>PRODUCTO OUTLET 29990</v>
          </cell>
          <cell r="F2135" t="str">
            <v>VARIOS</v>
          </cell>
          <cell r="G2135">
            <v>0</v>
          </cell>
          <cell r="H2135" t="str">
            <v>VARIOS</v>
          </cell>
          <cell r="I2135" t="str">
            <v>U</v>
          </cell>
          <cell r="J2135">
            <v>0</v>
          </cell>
        </row>
        <row r="2136">
          <cell r="B2136" t="str">
            <v>OUT34990</v>
          </cell>
          <cell r="C2136" t="str">
            <v>OUTLET</v>
          </cell>
          <cell r="D2136" t="str">
            <v>OUTLET</v>
          </cell>
          <cell r="E2136" t="str">
            <v>PRODUCTO OUTLET 34990</v>
          </cell>
          <cell r="F2136" t="str">
            <v>VARIOS</v>
          </cell>
          <cell r="G2136">
            <v>0</v>
          </cell>
          <cell r="H2136" t="str">
            <v>VARIOS</v>
          </cell>
          <cell r="I2136" t="str">
            <v>U</v>
          </cell>
          <cell r="J2136">
            <v>0</v>
          </cell>
        </row>
        <row r="2137">
          <cell r="B2137" t="str">
            <v>OUT3990</v>
          </cell>
          <cell r="C2137" t="str">
            <v>OUTLET</v>
          </cell>
          <cell r="D2137" t="str">
            <v>OUTLET</v>
          </cell>
          <cell r="E2137" t="str">
            <v>PRODUCTO OUTLET 3990</v>
          </cell>
          <cell r="F2137" t="str">
            <v>VARIOS</v>
          </cell>
          <cell r="G2137">
            <v>0</v>
          </cell>
          <cell r="H2137" t="str">
            <v>VARIOS</v>
          </cell>
          <cell r="I2137" t="str">
            <v>U</v>
          </cell>
          <cell r="J2137">
            <v>0</v>
          </cell>
        </row>
        <row r="2138">
          <cell r="B2138" t="str">
            <v>OUT40990</v>
          </cell>
          <cell r="C2138" t="str">
            <v>OUTLET</v>
          </cell>
          <cell r="D2138" t="str">
            <v>OUTLET</v>
          </cell>
          <cell r="E2138" t="str">
            <v>PRODUCTO OUTLET 40990</v>
          </cell>
          <cell r="F2138" t="str">
            <v>VARIOS</v>
          </cell>
          <cell r="G2138">
            <v>0</v>
          </cell>
          <cell r="H2138" t="str">
            <v>VARIOS</v>
          </cell>
          <cell r="I2138" t="str">
            <v>U</v>
          </cell>
          <cell r="J2138">
            <v>0</v>
          </cell>
        </row>
        <row r="2139">
          <cell r="B2139" t="str">
            <v>OUT4490</v>
          </cell>
          <cell r="C2139" t="str">
            <v>OUTLET</v>
          </cell>
          <cell r="D2139" t="str">
            <v>OUTLET</v>
          </cell>
          <cell r="E2139" t="str">
            <v>PRODUCTO OUTLET 4490</v>
          </cell>
          <cell r="F2139" t="str">
            <v>VARIOS</v>
          </cell>
          <cell r="G2139">
            <v>0</v>
          </cell>
          <cell r="H2139" t="str">
            <v>VARIOS</v>
          </cell>
          <cell r="I2139" t="str">
            <v>U</v>
          </cell>
          <cell r="J2139">
            <v>0</v>
          </cell>
        </row>
        <row r="2140">
          <cell r="B2140" t="str">
            <v>OUT490</v>
          </cell>
          <cell r="C2140" t="str">
            <v>OUTLET</v>
          </cell>
          <cell r="D2140" t="str">
            <v>OUTLET</v>
          </cell>
          <cell r="E2140" t="str">
            <v>PRODUCTO OUTLET 490</v>
          </cell>
          <cell r="F2140" t="str">
            <v>VARIOS</v>
          </cell>
          <cell r="G2140">
            <v>0</v>
          </cell>
          <cell r="H2140" t="str">
            <v>VARIOS</v>
          </cell>
          <cell r="I2140" t="str">
            <v>U</v>
          </cell>
          <cell r="J2140">
            <v>0</v>
          </cell>
        </row>
        <row r="2141">
          <cell r="B2141" t="str">
            <v>OUT4990</v>
          </cell>
          <cell r="C2141" t="str">
            <v>OUTLET</v>
          </cell>
          <cell r="D2141" t="str">
            <v>OUTLET</v>
          </cell>
          <cell r="E2141" t="str">
            <v>PRODUCTO OUTLET 4990</v>
          </cell>
          <cell r="F2141" t="str">
            <v>VARIOS</v>
          </cell>
          <cell r="G2141">
            <v>0</v>
          </cell>
          <cell r="H2141" t="str">
            <v>VARIOS</v>
          </cell>
          <cell r="I2141" t="str">
            <v>U</v>
          </cell>
          <cell r="J2141">
            <v>0</v>
          </cell>
        </row>
        <row r="2142">
          <cell r="B2142" t="str">
            <v>OUT5990</v>
          </cell>
          <cell r="C2142" t="str">
            <v>OUTLET</v>
          </cell>
          <cell r="D2142" t="str">
            <v>OUTLET</v>
          </cell>
          <cell r="E2142" t="str">
            <v>PRODUCTO OUTLET 5990</v>
          </cell>
          <cell r="F2142" t="str">
            <v>VARIOS</v>
          </cell>
          <cell r="G2142">
            <v>0</v>
          </cell>
          <cell r="H2142" t="str">
            <v>VARIOS</v>
          </cell>
          <cell r="I2142" t="str">
            <v>U</v>
          </cell>
          <cell r="J2142">
            <v>0</v>
          </cell>
        </row>
        <row r="2143">
          <cell r="B2143" t="str">
            <v>OUT690</v>
          </cell>
          <cell r="C2143" t="str">
            <v>OUTLET</v>
          </cell>
          <cell r="D2143" t="str">
            <v>OUTLET</v>
          </cell>
          <cell r="E2143" t="str">
            <v>PRODUCTO OUTLET 690</v>
          </cell>
          <cell r="F2143" t="str">
            <v>VARIOS</v>
          </cell>
          <cell r="G2143">
            <v>0</v>
          </cell>
          <cell r="H2143" t="str">
            <v>VARIOS</v>
          </cell>
          <cell r="I2143" t="str">
            <v>U</v>
          </cell>
          <cell r="J2143">
            <v>0</v>
          </cell>
        </row>
        <row r="2144">
          <cell r="B2144" t="str">
            <v>OUT6990</v>
          </cell>
          <cell r="C2144" t="str">
            <v>OUTLET</v>
          </cell>
          <cell r="D2144" t="str">
            <v>OUTLET</v>
          </cell>
          <cell r="E2144" t="str">
            <v>PRODUCTO OUTLET 6990</v>
          </cell>
          <cell r="F2144" t="str">
            <v>VARIOS</v>
          </cell>
          <cell r="G2144">
            <v>0</v>
          </cell>
          <cell r="H2144" t="str">
            <v>VARIOS</v>
          </cell>
          <cell r="I2144" t="str">
            <v>U</v>
          </cell>
          <cell r="J2144">
            <v>0</v>
          </cell>
        </row>
        <row r="2145">
          <cell r="B2145" t="str">
            <v>OUT7490</v>
          </cell>
          <cell r="C2145" t="str">
            <v>OUTLET</v>
          </cell>
          <cell r="D2145" t="str">
            <v>OUTLET</v>
          </cell>
          <cell r="E2145" t="str">
            <v>PRODUCTO OUTLET 7490</v>
          </cell>
          <cell r="F2145" t="str">
            <v>VARIOS</v>
          </cell>
          <cell r="G2145">
            <v>0</v>
          </cell>
          <cell r="H2145" t="str">
            <v>VARIOS</v>
          </cell>
          <cell r="I2145" t="str">
            <v>U</v>
          </cell>
          <cell r="J2145">
            <v>0</v>
          </cell>
        </row>
        <row r="2146">
          <cell r="B2146" t="str">
            <v>OUT990</v>
          </cell>
          <cell r="C2146" t="str">
            <v>OUTLET</v>
          </cell>
          <cell r="D2146" t="str">
            <v>OUTLET</v>
          </cell>
          <cell r="E2146" t="str">
            <v>PRODUCTO OUTLET 990</v>
          </cell>
          <cell r="F2146" t="str">
            <v>VARIOS</v>
          </cell>
          <cell r="G2146">
            <v>0</v>
          </cell>
          <cell r="H2146" t="str">
            <v>VARIOS</v>
          </cell>
          <cell r="I2146" t="str">
            <v>U</v>
          </cell>
          <cell r="J2146">
            <v>0</v>
          </cell>
        </row>
        <row r="2147">
          <cell r="B2147" t="str">
            <v>OUT9990</v>
          </cell>
          <cell r="C2147" t="str">
            <v>OUTLET</v>
          </cell>
          <cell r="D2147" t="str">
            <v>OUTLET</v>
          </cell>
          <cell r="E2147" t="str">
            <v>PRODUCTO OUTLET 9990</v>
          </cell>
          <cell r="F2147" t="str">
            <v>VARIOS</v>
          </cell>
          <cell r="G2147">
            <v>0</v>
          </cell>
          <cell r="H2147" t="str">
            <v>VARIOS</v>
          </cell>
          <cell r="I2147" t="str">
            <v>U</v>
          </cell>
          <cell r="J2147">
            <v>0</v>
          </cell>
        </row>
        <row r="2148">
          <cell r="B2148" t="str">
            <v>OT050370301-L</v>
          </cell>
          <cell r="C2148" t="str">
            <v>ACCESORIOS</v>
          </cell>
          <cell r="D2148" t="str">
            <v>PULSERA</v>
          </cell>
          <cell r="E2148" t="str">
            <v>PULSERA DOT</v>
          </cell>
          <cell r="F2148" t="str">
            <v>BRIDGE</v>
          </cell>
          <cell r="G2148">
            <v>0</v>
          </cell>
          <cell r="H2148" t="str">
            <v>NEGRO</v>
          </cell>
          <cell r="I2148" t="str">
            <v>L</v>
          </cell>
          <cell r="J2148">
            <v>0</v>
          </cell>
        </row>
        <row r="2149">
          <cell r="B2149" t="str">
            <v>OT050370301-M</v>
          </cell>
          <cell r="C2149" t="str">
            <v>ACCESORIOS</v>
          </cell>
          <cell r="D2149" t="str">
            <v>PULSERA</v>
          </cell>
          <cell r="E2149" t="str">
            <v>PULSERA DOT</v>
          </cell>
          <cell r="F2149" t="str">
            <v>BRIDGE</v>
          </cell>
          <cell r="G2149">
            <v>0</v>
          </cell>
          <cell r="H2149" t="str">
            <v>NEGRO</v>
          </cell>
          <cell r="I2149" t="str">
            <v>M</v>
          </cell>
          <cell r="J2149">
            <v>0</v>
          </cell>
        </row>
        <row r="2150">
          <cell r="B2150" t="str">
            <v>OT050370301-S</v>
          </cell>
          <cell r="C2150" t="str">
            <v>ACCESORIOS</v>
          </cell>
          <cell r="D2150" t="str">
            <v>PULSERA</v>
          </cell>
          <cell r="E2150" t="str">
            <v>PULSERA DOT</v>
          </cell>
          <cell r="F2150" t="str">
            <v>BRIDGE</v>
          </cell>
          <cell r="G2150">
            <v>0</v>
          </cell>
          <cell r="H2150" t="str">
            <v>NEGRO</v>
          </cell>
          <cell r="I2150" t="str">
            <v>S</v>
          </cell>
          <cell r="J2150">
            <v>0</v>
          </cell>
        </row>
        <row r="2151">
          <cell r="B2151" t="str">
            <v>OT050370303-L</v>
          </cell>
          <cell r="C2151" t="str">
            <v>ACCESORIOS</v>
          </cell>
          <cell r="D2151" t="str">
            <v>PULSERA</v>
          </cell>
          <cell r="E2151" t="str">
            <v>PULSERA DOT</v>
          </cell>
          <cell r="F2151" t="str">
            <v>BRIDGE</v>
          </cell>
          <cell r="G2151">
            <v>0</v>
          </cell>
          <cell r="H2151" t="str">
            <v>CARAMELO</v>
          </cell>
          <cell r="I2151" t="str">
            <v>L</v>
          </cell>
          <cell r="J2151">
            <v>0</v>
          </cell>
        </row>
        <row r="2152">
          <cell r="B2152" t="str">
            <v>OT050370303-M</v>
          </cell>
          <cell r="C2152" t="str">
            <v>ACCESORIOS</v>
          </cell>
          <cell r="D2152" t="str">
            <v>PULSERA</v>
          </cell>
          <cell r="E2152" t="str">
            <v>PULSERA DOT</v>
          </cell>
          <cell r="F2152" t="str">
            <v>BRIDGE</v>
          </cell>
          <cell r="G2152">
            <v>0</v>
          </cell>
          <cell r="H2152" t="str">
            <v>CARAMELO</v>
          </cell>
          <cell r="I2152" t="str">
            <v>M</v>
          </cell>
          <cell r="J2152">
            <v>0</v>
          </cell>
        </row>
        <row r="2153">
          <cell r="B2153" t="str">
            <v>OT050370303-S</v>
          </cell>
          <cell r="C2153" t="str">
            <v>ACCESORIOS</v>
          </cell>
          <cell r="D2153" t="str">
            <v>PULSERA</v>
          </cell>
          <cell r="E2153" t="str">
            <v>PULSERA DOT</v>
          </cell>
          <cell r="F2153" t="str">
            <v>BRIDGE</v>
          </cell>
          <cell r="G2153">
            <v>0</v>
          </cell>
          <cell r="H2153" t="str">
            <v>CARAMELO</v>
          </cell>
          <cell r="I2153" t="str">
            <v>S</v>
          </cell>
          <cell r="J2153">
            <v>0</v>
          </cell>
        </row>
        <row r="2154">
          <cell r="B2154" t="str">
            <v>OT050370304-L</v>
          </cell>
          <cell r="C2154" t="str">
            <v>ACCESORIOS</v>
          </cell>
          <cell r="D2154" t="str">
            <v>PULSERA</v>
          </cell>
          <cell r="E2154" t="str">
            <v>PULSERA DOT</v>
          </cell>
          <cell r="F2154" t="str">
            <v>BRIDGE</v>
          </cell>
          <cell r="G2154">
            <v>0</v>
          </cell>
          <cell r="H2154" t="str">
            <v>TABACO</v>
          </cell>
          <cell r="I2154" t="str">
            <v>L</v>
          </cell>
          <cell r="J2154">
            <v>0</v>
          </cell>
        </row>
        <row r="2155">
          <cell r="B2155" t="str">
            <v>OT050370304-M</v>
          </cell>
          <cell r="C2155" t="str">
            <v>ACCESORIOS</v>
          </cell>
          <cell r="D2155" t="str">
            <v>PULSERA</v>
          </cell>
          <cell r="E2155" t="str">
            <v>PULSERA DOT</v>
          </cell>
          <cell r="F2155" t="str">
            <v>BRIDGE</v>
          </cell>
          <cell r="G2155">
            <v>0</v>
          </cell>
          <cell r="H2155" t="str">
            <v>TABACO</v>
          </cell>
          <cell r="I2155" t="str">
            <v>M</v>
          </cell>
          <cell r="J2155">
            <v>0</v>
          </cell>
        </row>
        <row r="2156">
          <cell r="B2156" t="str">
            <v>OT050370304-S</v>
          </cell>
          <cell r="C2156" t="str">
            <v>ACCESORIOS</v>
          </cell>
          <cell r="D2156" t="str">
            <v>PULSERA</v>
          </cell>
          <cell r="E2156" t="str">
            <v>PULSERA DOT</v>
          </cell>
          <cell r="F2156" t="str">
            <v>BRIDGE</v>
          </cell>
          <cell r="G2156">
            <v>0</v>
          </cell>
          <cell r="H2156" t="str">
            <v>TABACO</v>
          </cell>
          <cell r="I2156" t="str">
            <v>S</v>
          </cell>
          <cell r="J2156">
            <v>0</v>
          </cell>
        </row>
        <row r="2157">
          <cell r="B2157" t="str">
            <v>OT050350301-L</v>
          </cell>
          <cell r="C2157" t="str">
            <v>ACCESORIOS</v>
          </cell>
          <cell r="D2157" t="str">
            <v>PULSERA</v>
          </cell>
          <cell r="E2157" t="str">
            <v>PULSERA ESPIGA</v>
          </cell>
          <cell r="F2157" t="str">
            <v>BRIDGE</v>
          </cell>
          <cell r="G2157">
            <v>0</v>
          </cell>
          <cell r="H2157" t="str">
            <v>NEGRO</v>
          </cell>
          <cell r="I2157" t="str">
            <v>L</v>
          </cell>
          <cell r="J2157">
            <v>0</v>
          </cell>
        </row>
        <row r="2158">
          <cell r="B2158" t="str">
            <v>OT050350301-M</v>
          </cell>
          <cell r="C2158" t="str">
            <v>ACCESORIOS</v>
          </cell>
          <cell r="D2158" t="str">
            <v>PULSERA</v>
          </cell>
          <cell r="E2158" t="str">
            <v>PULSERA ESPIGA</v>
          </cell>
          <cell r="F2158" t="str">
            <v>BRIDGE</v>
          </cell>
          <cell r="G2158">
            <v>0</v>
          </cell>
          <cell r="H2158" t="str">
            <v>NEGRO</v>
          </cell>
          <cell r="I2158" t="str">
            <v>M</v>
          </cell>
          <cell r="J2158">
            <v>0</v>
          </cell>
        </row>
        <row r="2159">
          <cell r="B2159" t="str">
            <v>OT050350303-L</v>
          </cell>
          <cell r="C2159" t="str">
            <v>ACCESORIOS</v>
          </cell>
          <cell r="D2159" t="str">
            <v>PULSERA</v>
          </cell>
          <cell r="E2159" t="str">
            <v>PULSERA ESPIGA</v>
          </cell>
          <cell r="F2159" t="str">
            <v>BRIDGE</v>
          </cell>
          <cell r="G2159">
            <v>0</v>
          </cell>
          <cell r="H2159" t="str">
            <v>CARAMELO</v>
          </cell>
          <cell r="I2159" t="str">
            <v>L</v>
          </cell>
          <cell r="J2159">
            <v>0</v>
          </cell>
        </row>
        <row r="2160">
          <cell r="B2160" t="str">
            <v>OT050350303-M</v>
          </cell>
          <cell r="C2160" t="str">
            <v>ACCESORIOS</v>
          </cell>
          <cell r="D2160" t="str">
            <v>PULSERA</v>
          </cell>
          <cell r="E2160" t="str">
            <v>PULSERA ESPIGA</v>
          </cell>
          <cell r="F2160" t="str">
            <v>BRIDGE</v>
          </cell>
          <cell r="G2160">
            <v>0</v>
          </cell>
          <cell r="H2160" t="str">
            <v>CARAMELO</v>
          </cell>
          <cell r="I2160" t="str">
            <v>M</v>
          </cell>
          <cell r="J2160">
            <v>0</v>
          </cell>
        </row>
        <row r="2161">
          <cell r="B2161" t="str">
            <v>OT050350304-L</v>
          </cell>
          <cell r="C2161" t="str">
            <v>ACCESORIOS</v>
          </cell>
          <cell r="D2161" t="str">
            <v>PULSERA</v>
          </cell>
          <cell r="E2161" t="str">
            <v>PULSERA ESPIGA</v>
          </cell>
          <cell r="F2161" t="str">
            <v>BRIDGE</v>
          </cell>
          <cell r="G2161">
            <v>0</v>
          </cell>
          <cell r="H2161" t="str">
            <v>TABACO</v>
          </cell>
          <cell r="I2161" t="str">
            <v>L</v>
          </cell>
          <cell r="J2161">
            <v>0</v>
          </cell>
        </row>
        <row r="2162">
          <cell r="B2162" t="str">
            <v>OT050350304-M</v>
          </cell>
          <cell r="C2162" t="str">
            <v>ACCESORIOS</v>
          </cell>
          <cell r="D2162" t="str">
            <v>PULSERA</v>
          </cell>
          <cell r="E2162" t="str">
            <v>PULSERA ESPIGA</v>
          </cell>
          <cell r="F2162" t="str">
            <v>BRIDGE</v>
          </cell>
          <cell r="G2162">
            <v>0</v>
          </cell>
          <cell r="H2162" t="str">
            <v>TABACO</v>
          </cell>
          <cell r="I2162" t="str">
            <v>M</v>
          </cell>
          <cell r="J2162">
            <v>0</v>
          </cell>
        </row>
        <row r="2163">
          <cell r="B2163" t="str">
            <v>OT050360301-L</v>
          </cell>
          <cell r="C2163" t="str">
            <v>ACCESORIOS</v>
          </cell>
          <cell r="D2163" t="str">
            <v>PULSERA</v>
          </cell>
          <cell r="E2163" t="str">
            <v>PULSERA RIO</v>
          </cell>
          <cell r="F2163" t="str">
            <v xml:space="preserve">BRIDGE </v>
          </cell>
          <cell r="G2163">
            <v>0</v>
          </cell>
          <cell r="H2163" t="str">
            <v>NEGRO</v>
          </cell>
          <cell r="I2163" t="str">
            <v>L</v>
          </cell>
          <cell r="J2163">
            <v>0</v>
          </cell>
        </row>
        <row r="2164">
          <cell r="B2164" t="str">
            <v>OT050360301-M</v>
          </cell>
          <cell r="C2164" t="str">
            <v>ACCESORIOS</v>
          </cell>
          <cell r="D2164" t="str">
            <v>PULSERA</v>
          </cell>
          <cell r="E2164" t="str">
            <v>PULSERA RIO</v>
          </cell>
          <cell r="F2164" t="str">
            <v xml:space="preserve">BRIDGE </v>
          </cell>
          <cell r="G2164">
            <v>0</v>
          </cell>
          <cell r="H2164" t="str">
            <v>NEGRO</v>
          </cell>
          <cell r="I2164" t="str">
            <v>M</v>
          </cell>
          <cell r="J2164">
            <v>0</v>
          </cell>
        </row>
        <row r="2165">
          <cell r="B2165" t="str">
            <v>OT050360301-S</v>
          </cell>
          <cell r="C2165" t="str">
            <v>ACCESORIOS</v>
          </cell>
          <cell r="D2165" t="str">
            <v>PULSERA</v>
          </cell>
          <cell r="E2165" t="str">
            <v>PULSERA RIO</v>
          </cell>
          <cell r="F2165" t="str">
            <v xml:space="preserve">BRIDGE </v>
          </cell>
          <cell r="G2165">
            <v>0</v>
          </cell>
          <cell r="H2165" t="str">
            <v>NEGRO</v>
          </cell>
          <cell r="I2165" t="str">
            <v>S</v>
          </cell>
          <cell r="J2165">
            <v>0</v>
          </cell>
        </row>
        <row r="2166">
          <cell r="B2166" t="str">
            <v>OT050360303-L</v>
          </cell>
          <cell r="C2166" t="str">
            <v>ACCESORIOS</v>
          </cell>
          <cell r="D2166" t="str">
            <v>PULSERA</v>
          </cell>
          <cell r="E2166" t="str">
            <v>PULSERA RIO</v>
          </cell>
          <cell r="F2166" t="str">
            <v xml:space="preserve">BRIDGE </v>
          </cell>
          <cell r="G2166">
            <v>0</v>
          </cell>
          <cell r="H2166" t="str">
            <v>CARAMELO</v>
          </cell>
          <cell r="I2166" t="str">
            <v>L</v>
          </cell>
          <cell r="J2166">
            <v>0</v>
          </cell>
        </row>
        <row r="2167">
          <cell r="B2167" t="str">
            <v>OT050360303-M</v>
          </cell>
          <cell r="C2167" t="str">
            <v>ACCESORIOS</v>
          </cell>
          <cell r="D2167" t="str">
            <v>PULSERA</v>
          </cell>
          <cell r="E2167" t="str">
            <v>PULSERA RIO</v>
          </cell>
          <cell r="F2167" t="str">
            <v xml:space="preserve">BRIDGE </v>
          </cell>
          <cell r="G2167">
            <v>0</v>
          </cell>
          <cell r="H2167" t="str">
            <v>CARAMELO</v>
          </cell>
          <cell r="I2167" t="str">
            <v>M</v>
          </cell>
          <cell r="J2167">
            <v>0</v>
          </cell>
        </row>
        <row r="2168">
          <cell r="B2168" t="str">
            <v>OT050360303-S</v>
          </cell>
          <cell r="C2168" t="str">
            <v>ACCESORIOS</v>
          </cell>
          <cell r="D2168" t="str">
            <v>PULSERA</v>
          </cell>
          <cell r="E2168" t="str">
            <v>PULSERA RIO</v>
          </cell>
          <cell r="F2168" t="str">
            <v xml:space="preserve">BRIDGE </v>
          </cell>
          <cell r="G2168">
            <v>0</v>
          </cell>
          <cell r="H2168" t="str">
            <v>CARAMELO</v>
          </cell>
          <cell r="I2168" t="str">
            <v>S</v>
          </cell>
          <cell r="J2168">
            <v>0</v>
          </cell>
        </row>
        <row r="2169">
          <cell r="B2169" t="str">
            <v>OT050360304-L</v>
          </cell>
          <cell r="C2169" t="str">
            <v>ACCESORIOS</v>
          </cell>
          <cell r="D2169" t="str">
            <v>PULSERA</v>
          </cell>
          <cell r="E2169" t="str">
            <v>PULSERA RIO</v>
          </cell>
          <cell r="F2169" t="str">
            <v xml:space="preserve">BRIDGE </v>
          </cell>
          <cell r="G2169">
            <v>0</v>
          </cell>
          <cell r="H2169" t="str">
            <v>TABACO</v>
          </cell>
          <cell r="I2169" t="str">
            <v>L</v>
          </cell>
          <cell r="J2169">
            <v>0</v>
          </cell>
        </row>
        <row r="2170">
          <cell r="B2170" t="str">
            <v>OT050360304-M</v>
          </cell>
          <cell r="C2170" t="str">
            <v>ACCESORIOS</v>
          </cell>
          <cell r="D2170" t="str">
            <v>PULSERA</v>
          </cell>
          <cell r="E2170" t="str">
            <v>PULSERA RIO</v>
          </cell>
          <cell r="F2170" t="str">
            <v xml:space="preserve">BRIDGE </v>
          </cell>
          <cell r="G2170">
            <v>0</v>
          </cell>
          <cell r="H2170" t="str">
            <v>TABACO</v>
          </cell>
          <cell r="I2170" t="str">
            <v>M</v>
          </cell>
          <cell r="J2170">
            <v>0</v>
          </cell>
        </row>
        <row r="2171">
          <cell r="B2171" t="str">
            <v>OT050360304-S</v>
          </cell>
          <cell r="C2171" t="str">
            <v>ACCESORIOS</v>
          </cell>
          <cell r="D2171" t="str">
            <v>PULSERA</v>
          </cell>
          <cell r="E2171" t="str">
            <v>PULSERA RIO</v>
          </cell>
          <cell r="F2171" t="str">
            <v xml:space="preserve">BRIDGE </v>
          </cell>
          <cell r="G2171">
            <v>0</v>
          </cell>
          <cell r="H2171" t="str">
            <v>TABACO</v>
          </cell>
          <cell r="I2171" t="str">
            <v>S</v>
          </cell>
          <cell r="J2171">
            <v>0</v>
          </cell>
        </row>
        <row r="2172">
          <cell r="B2172" t="str">
            <v>OT050360307-L</v>
          </cell>
          <cell r="C2172" t="str">
            <v>ACCESORIOS</v>
          </cell>
          <cell r="D2172" t="str">
            <v>PULSERA</v>
          </cell>
          <cell r="E2172" t="str">
            <v>PULSERA RIO</v>
          </cell>
          <cell r="F2172" t="str">
            <v xml:space="preserve">BRIDGE </v>
          </cell>
          <cell r="G2172">
            <v>0</v>
          </cell>
          <cell r="H2172" t="str">
            <v>ROJO</v>
          </cell>
          <cell r="I2172" t="str">
            <v>L</v>
          </cell>
          <cell r="J2172">
            <v>0</v>
          </cell>
        </row>
        <row r="2173">
          <cell r="B2173" t="str">
            <v>OT050360307-M</v>
          </cell>
          <cell r="C2173" t="str">
            <v>ACCESORIOS</v>
          </cell>
          <cell r="D2173" t="str">
            <v>PULSERA</v>
          </cell>
          <cell r="E2173" t="str">
            <v>PULSERA RIO</v>
          </cell>
          <cell r="F2173" t="str">
            <v xml:space="preserve">BRIDGE </v>
          </cell>
          <cell r="G2173">
            <v>0</v>
          </cell>
          <cell r="H2173" t="str">
            <v>ROJO</v>
          </cell>
          <cell r="I2173" t="str">
            <v>M</v>
          </cell>
          <cell r="J2173">
            <v>0</v>
          </cell>
        </row>
        <row r="2174">
          <cell r="B2174" t="str">
            <v>OT050360307-S</v>
          </cell>
          <cell r="C2174" t="str">
            <v>ACCESORIOS</v>
          </cell>
          <cell r="D2174" t="str">
            <v>PULSERA</v>
          </cell>
          <cell r="E2174" t="str">
            <v>PULSERA RIO</v>
          </cell>
          <cell r="F2174" t="str">
            <v xml:space="preserve">BRIDGE </v>
          </cell>
          <cell r="G2174">
            <v>0</v>
          </cell>
          <cell r="H2174" t="str">
            <v>ROJO</v>
          </cell>
          <cell r="I2174" t="str">
            <v>S</v>
          </cell>
          <cell r="J2174">
            <v>0</v>
          </cell>
        </row>
        <row r="2175">
          <cell r="B2175" t="str">
            <v>OT050380301-L</v>
          </cell>
          <cell r="C2175" t="str">
            <v>ACCESORIOS</v>
          </cell>
          <cell r="D2175" t="str">
            <v>PULSERA</v>
          </cell>
          <cell r="E2175" t="str">
            <v>PULSERA ROMA</v>
          </cell>
          <cell r="F2175" t="str">
            <v>BRIDGE</v>
          </cell>
          <cell r="G2175">
            <v>0</v>
          </cell>
          <cell r="H2175" t="str">
            <v>NEGRO</v>
          </cell>
          <cell r="I2175" t="str">
            <v>L</v>
          </cell>
          <cell r="J2175">
            <v>0</v>
          </cell>
        </row>
        <row r="2176">
          <cell r="B2176" t="str">
            <v>OT050380301-M</v>
          </cell>
          <cell r="C2176" t="str">
            <v>ACCESORIOS</v>
          </cell>
          <cell r="D2176" t="str">
            <v>PULSERA</v>
          </cell>
          <cell r="E2176" t="str">
            <v>PULSERA ROMA</v>
          </cell>
          <cell r="F2176" t="str">
            <v>BRIDGE</v>
          </cell>
          <cell r="G2176">
            <v>0</v>
          </cell>
          <cell r="H2176" t="str">
            <v>NEGRO</v>
          </cell>
          <cell r="I2176" t="str">
            <v>M</v>
          </cell>
          <cell r="J2176">
            <v>0</v>
          </cell>
        </row>
        <row r="2177">
          <cell r="B2177" t="str">
            <v>OT050380301-S</v>
          </cell>
          <cell r="C2177" t="str">
            <v>ACCESORIOS</v>
          </cell>
          <cell r="D2177" t="str">
            <v>PULSERA</v>
          </cell>
          <cell r="E2177" t="str">
            <v>PULSERA ROMA</v>
          </cell>
          <cell r="F2177" t="str">
            <v>BRIDGE</v>
          </cell>
          <cell r="G2177">
            <v>0</v>
          </cell>
          <cell r="H2177" t="str">
            <v>NEGRO</v>
          </cell>
          <cell r="I2177" t="str">
            <v>S</v>
          </cell>
          <cell r="J2177">
            <v>0</v>
          </cell>
        </row>
        <row r="2178">
          <cell r="B2178" t="str">
            <v>OT050380303-L</v>
          </cell>
          <cell r="C2178" t="str">
            <v>ACCESORIOS</v>
          </cell>
          <cell r="D2178" t="str">
            <v>PULSERA</v>
          </cell>
          <cell r="E2178" t="str">
            <v>PULSERA ROMA</v>
          </cell>
          <cell r="F2178" t="str">
            <v>BRIDGE</v>
          </cell>
          <cell r="G2178">
            <v>0</v>
          </cell>
          <cell r="H2178" t="str">
            <v>CARAMELO</v>
          </cell>
          <cell r="I2178" t="str">
            <v>L</v>
          </cell>
          <cell r="J2178">
            <v>0</v>
          </cell>
        </row>
        <row r="2179">
          <cell r="B2179" t="str">
            <v>OT050380303-M</v>
          </cell>
          <cell r="C2179" t="str">
            <v>ACCESORIOS</v>
          </cell>
          <cell r="D2179" t="str">
            <v>PULSERA</v>
          </cell>
          <cell r="E2179" t="str">
            <v>PULSERA ROMA</v>
          </cell>
          <cell r="F2179" t="str">
            <v>BRIDGE</v>
          </cell>
          <cell r="G2179">
            <v>0</v>
          </cell>
          <cell r="H2179" t="str">
            <v>CARAMELO</v>
          </cell>
          <cell r="I2179" t="str">
            <v>M</v>
          </cell>
          <cell r="J2179">
            <v>0</v>
          </cell>
        </row>
        <row r="2180">
          <cell r="B2180" t="str">
            <v>OT050380303-S</v>
          </cell>
          <cell r="C2180" t="str">
            <v>ACCESORIOS</v>
          </cell>
          <cell r="D2180" t="str">
            <v>PULSERA</v>
          </cell>
          <cell r="E2180" t="str">
            <v>PULSERA ROMA</v>
          </cell>
          <cell r="F2180" t="str">
            <v>BRIDGE</v>
          </cell>
          <cell r="G2180">
            <v>0</v>
          </cell>
          <cell r="H2180" t="str">
            <v>CARAMELO</v>
          </cell>
          <cell r="I2180" t="str">
            <v>S</v>
          </cell>
          <cell r="J2180">
            <v>0</v>
          </cell>
        </row>
        <row r="2181">
          <cell r="B2181" t="str">
            <v>OT050380304-L</v>
          </cell>
          <cell r="C2181" t="str">
            <v>ACCESORIOS</v>
          </cell>
          <cell r="D2181" t="str">
            <v>PULSERA</v>
          </cell>
          <cell r="E2181" t="str">
            <v>PULSERA ROMA</v>
          </cell>
          <cell r="F2181" t="str">
            <v>BRIDGE</v>
          </cell>
          <cell r="G2181">
            <v>0</v>
          </cell>
          <cell r="H2181" t="str">
            <v>TABACO</v>
          </cell>
          <cell r="I2181" t="str">
            <v>L</v>
          </cell>
          <cell r="J2181">
            <v>0</v>
          </cell>
        </row>
        <row r="2182">
          <cell r="B2182" t="str">
            <v>OT050380304-M</v>
          </cell>
          <cell r="C2182" t="str">
            <v>ACCESORIOS</v>
          </cell>
          <cell r="D2182" t="str">
            <v>PULSERA</v>
          </cell>
          <cell r="E2182" t="str">
            <v>PULSERA ROMA</v>
          </cell>
          <cell r="F2182" t="str">
            <v>BRIDGE</v>
          </cell>
          <cell r="G2182">
            <v>0</v>
          </cell>
          <cell r="H2182" t="str">
            <v>TABACO</v>
          </cell>
          <cell r="I2182" t="str">
            <v>M</v>
          </cell>
          <cell r="J2182">
            <v>0</v>
          </cell>
        </row>
        <row r="2183">
          <cell r="B2183" t="str">
            <v>OT050380304-S</v>
          </cell>
          <cell r="C2183" t="str">
            <v>ACCESORIOS</v>
          </cell>
          <cell r="D2183" t="str">
            <v>PULSERA</v>
          </cell>
          <cell r="E2183" t="str">
            <v>PULSERA ROMA</v>
          </cell>
          <cell r="F2183" t="str">
            <v>BRIDGE</v>
          </cell>
          <cell r="G2183">
            <v>0</v>
          </cell>
          <cell r="H2183" t="str">
            <v>TABACO</v>
          </cell>
          <cell r="I2183" t="str">
            <v>S</v>
          </cell>
          <cell r="J2183">
            <v>0</v>
          </cell>
        </row>
        <row r="2184">
          <cell r="B2184" t="str">
            <v>OT010390101-L</v>
          </cell>
          <cell r="C2184" t="str">
            <v>ACCESORIOS</v>
          </cell>
          <cell r="D2184" t="str">
            <v>PULSERA</v>
          </cell>
          <cell r="E2184" t="str">
            <v>PULSERA TRENZADA</v>
          </cell>
          <cell r="F2184" t="str">
            <v>NAPADO</v>
          </cell>
          <cell r="G2184">
            <v>0</v>
          </cell>
          <cell r="H2184" t="str">
            <v>NEGRO</v>
          </cell>
          <cell r="I2184" t="str">
            <v>L</v>
          </cell>
          <cell r="J2184">
            <v>0</v>
          </cell>
        </row>
        <row r="2185">
          <cell r="B2185" t="str">
            <v>OT010390101-M</v>
          </cell>
          <cell r="C2185" t="str">
            <v>ACCESORIOS</v>
          </cell>
          <cell r="D2185" t="str">
            <v>PULSERA</v>
          </cell>
          <cell r="E2185" t="str">
            <v>PULSERA TRENZADA</v>
          </cell>
          <cell r="F2185" t="str">
            <v>NAPADO</v>
          </cell>
          <cell r="G2185">
            <v>0</v>
          </cell>
          <cell r="H2185" t="str">
            <v>NEGRO</v>
          </cell>
          <cell r="I2185" t="str">
            <v>M</v>
          </cell>
          <cell r="J2185">
            <v>0</v>
          </cell>
        </row>
        <row r="2186">
          <cell r="B2186" t="str">
            <v>OT010390101-S</v>
          </cell>
          <cell r="C2186" t="str">
            <v>ACCESORIOS</v>
          </cell>
          <cell r="D2186" t="str">
            <v>PULSERA</v>
          </cell>
          <cell r="E2186" t="str">
            <v>PULSERA TRENZADA</v>
          </cell>
          <cell r="F2186" t="str">
            <v>NAPADO</v>
          </cell>
          <cell r="G2186">
            <v>0</v>
          </cell>
          <cell r="H2186" t="str">
            <v>NEGRO</v>
          </cell>
          <cell r="I2186" t="str">
            <v>S</v>
          </cell>
          <cell r="J2186">
            <v>0</v>
          </cell>
        </row>
        <row r="2187">
          <cell r="B2187" t="str">
            <v>OT010390102-L</v>
          </cell>
          <cell r="C2187" t="str">
            <v>ACCESORIOS</v>
          </cell>
          <cell r="D2187" t="str">
            <v>PULSERA</v>
          </cell>
          <cell r="E2187" t="str">
            <v>PULSERA TRENZADA</v>
          </cell>
          <cell r="F2187" t="str">
            <v>NAPADO</v>
          </cell>
          <cell r="G2187">
            <v>0</v>
          </cell>
          <cell r="H2187" t="str">
            <v>SUELA</v>
          </cell>
          <cell r="I2187" t="str">
            <v>L</v>
          </cell>
          <cell r="J2187">
            <v>0</v>
          </cell>
        </row>
        <row r="2188">
          <cell r="B2188" t="str">
            <v>OT010390102-M</v>
          </cell>
          <cell r="C2188" t="str">
            <v>ACCESORIOS</v>
          </cell>
          <cell r="D2188" t="str">
            <v>PULSERA</v>
          </cell>
          <cell r="E2188" t="str">
            <v>PULSERA TRENZADA</v>
          </cell>
          <cell r="F2188" t="str">
            <v>NAPADO</v>
          </cell>
          <cell r="G2188">
            <v>0</v>
          </cell>
          <cell r="H2188" t="str">
            <v>SUELA</v>
          </cell>
          <cell r="I2188" t="str">
            <v>M</v>
          </cell>
          <cell r="J2188">
            <v>0</v>
          </cell>
        </row>
        <row r="2189">
          <cell r="B2189" t="str">
            <v>OT010390102-S</v>
          </cell>
          <cell r="C2189" t="str">
            <v>ACCESORIOS</v>
          </cell>
          <cell r="D2189" t="str">
            <v>PULSERA</v>
          </cell>
          <cell r="E2189" t="str">
            <v>PULSERA TRENZADA</v>
          </cell>
          <cell r="F2189" t="str">
            <v>NAPADO</v>
          </cell>
          <cell r="G2189">
            <v>0</v>
          </cell>
          <cell r="H2189" t="str">
            <v>SUELA</v>
          </cell>
          <cell r="I2189" t="str">
            <v>S</v>
          </cell>
          <cell r="J2189">
            <v>0</v>
          </cell>
        </row>
        <row r="2190">
          <cell r="B2190" t="str">
            <v>OT010390103-L</v>
          </cell>
          <cell r="C2190" t="str">
            <v>ACCESORIOS</v>
          </cell>
          <cell r="D2190" t="str">
            <v>PULSERA</v>
          </cell>
          <cell r="E2190" t="str">
            <v>PULSERA TRENZADA</v>
          </cell>
          <cell r="F2190" t="str">
            <v>NAPADO</v>
          </cell>
          <cell r="G2190">
            <v>0</v>
          </cell>
          <cell r="H2190" t="str">
            <v>CARAMELO</v>
          </cell>
          <cell r="I2190" t="str">
            <v>L</v>
          </cell>
          <cell r="J2190">
            <v>0</v>
          </cell>
        </row>
        <row r="2191">
          <cell r="B2191" t="str">
            <v>OT010390103-M</v>
          </cell>
          <cell r="C2191" t="str">
            <v>ACCESORIOS</v>
          </cell>
          <cell r="D2191" t="str">
            <v>PULSERA</v>
          </cell>
          <cell r="E2191" t="str">
            <v>PULSERA TRENZADA</v>
          </cell>
          <cell r="F2191" t="str">
            <v>NAPADO</v>
          </cell>
          <cell r="G2191">
            <v>0</v>
          </cell>
          <cell r="H2191" t="str">
            <v>CARAMELO</v>
          </cell>
          <cell r="I2191" t="str">
            <v>M</v>
          </cell>
          <cell r="J2191">
            <v>0</v>
          </cell>
        </row>
        <row r="2192">
          <cell r="B2192" t="str">
            <v>OT010390103-S</v>
          </cell>
          <cell r="C2192" t="str">
            <v>ACCESORIOS</v>
          </cell>
          <cell r="D2192" t="str">
            <v>PULSERA</v>
          </cell>
          <cell r="E2192" t="str">
            <v>PULSERA TRENZADA</v>
          </cell>
          <cell r="F2192" t="str">
            <v>NAPADO</v>
          </cell>
          <cell r="G2192">
            <v>0</v>
          </cell>
          <cell r="H2192" t="str">
            <v>CARAMELO</v>
          </cell>
          <cell r="I2192" t="str">
            <v>S</v>
          </cell>
          <cell r="J2192">
            <v>0</v>
          </cell>
        </row>
        <row r="2193">
          <cell r="B2193" t="str">
            <v>TX250314000-L</v>
          </cell>
          <cell r="C2193" t="str">
            <v>TEXTIL</v>
          </cell>
          <cell r="D2193" t="str">
            <v>REMERA</v>
          </cell>
          <cell r="E2193" t="str">
            <v>REMERA AMADEO CUELLO REDONDO</v>
          </cell>
          <cell r="F2193" t="str">
            <v>ALGODON PIMA</v>
          </cell>
          <cell r="H2193" t="str">
            <v>BLANCO</v>
          </cell>
          <cell r="I2193" t="str">
            <v>L</v>
          </cell>
          <cell r="J2193" t="str">
            <v>H</v>
          </cell>
        </row>
        <row r="2194">
          <cell r="B2194" t="str">
            <v>TX250314000-M</v>
          </cell>
          <cell r="C2194" t="str">
            <v>TEXTIL</v>
          </cell>
          <cell r="D2194" t="str">
            <v>REMERA</v>
          </cell>
          <cell r="E2194" t="str">
            <v>REMERA AMADEO CUELLO REDONDO</v>
          </cell>
          <cell r="F2194" t="str">
            <v>ALGODON PIMA</v>
          </cell>
          <cell r="H2194" t="str">
            <v>BLANCO</v>
          </cell>
          <cell r="I2194" t="str">
            <v>M</v>
          </cell>
          <cell r="J2194" t="str">
            <v>H</v>
          </cell>
        </row>
        <row r="2195">
          <cell r="B2195" t="str">
            <v>TX250314000-S</v>
          </cell>
          <cell r="C2195" t="str">
            <v>TEXTIL</v>
          </cell>
          <cell r="D2195" t="str">
            <v>REMERA</v>
          </cell>
          <cell r="E2195" t="str">
            <v>REMERA AMADEO CUELLO REDONDO</v>
          </cell>
          <cell r="F2195" t="str">
            <v>ALGODON PIMA</v>
          </cell>
          <cell r="H2195" t="str">
            <v>BLANCO</v>
          </cell>
          <cell r="I2195" t="str">
            <v>S</v>
          </cell>
          <cell r="J2195" t="str">
            <v>H</v>
          </cell>
        </row>
        <row r="2196">
          <cell r="B2196" t="str">
            <v>TX250314000-XL</v>
          </cell>
          <cell r="C2196" t="str">
            <v>TEXTIL</v>
          </cell>
          <cell r="D2196" t="str">
            <v>REMERA</v>
          </cell>
          <cell r="E2196" t="str">
            <v>REMERA AMADEO CUELLO REDONDO</v>
          </cell>
          <cell r="F2196" t="str">
            <v>ALGODON PIMA</v>
          </cell>
          <cell r="H2196" t="str">
            <v>BLANCO</v>
          </cell>
          <cell r="I2196" t="str">
            <v>XL</v>
          </cell>
          <cell r="J2196" t="str">
            <v>H</v>
          </cell>
        </row>
        <row r="2197">
          <cell r="B2197" t="str">
            <v>TX250314000-XXL</v>
          </cell>
          <cell r="C2197" t="str">
            <v>TEXTIL</v>
          </cell>
          <cell r="D2197" t="str">
            <v>REMERA</v>
          </cell>
          <cell r="E2197" t="str">
            <v>REMERA AMADEO CUELLO REDONDO</v>
          </cell>
          <cell r="F2197" t="str">
            <v>ALGODON PIMA</v>
          </cell>
          <cell r="H2197" t="str">
            <v>BLANCO</v>
          </cell>
          <cell r="I2197" t="str">
            <v>XXL</v>
          </cell>
          <cell r="J2197" t="str">
            <v>H</v>
          </cell>
        </row>
        <row r="2198">
          <cell r="B2198" t="str">
            <v>TX250314001-L</v>
          </cell>
          <cell r="C2198" t="str">
            <v>TEXTIL</v>
          </cell>
          <cell r="D2198" t="str">
            <v>REMERA</v>
          </cell>
          <cell r="E2198" t="str">
            <v>REMERA AMADEO CUELLO REDONDO</v>
          </cell>
          <cell r="F2198" t="str">
            <v>ALGODON PIMA</v>
          </cell>
          <cell r="H2198" t="str">
            <v>NEGRO</v>
          </cell>
          <cell r="I2198" t="str">
            <v>L</v>
          </cell>
          <cell r="J2198" t="str">
            <v>H</v>
          </cell>
        </row>
        <row r="2199">
          <cell r="B2199" t="str">
            <v>TX250314001-M</v>
          </cell>
          <cell r="C2199" t="str">
            <v>TEXTIL</v>
          </cell>
          <cell r="D2199" t="str">
            <v>REMERA</v>
          </cell>
          <cell r="E2199" t="str">
            <v>REMERA AMADEO CUELLO REDONDO</v>
          </cell>
          <cell r="F2199" t="str">
            <v>ALGODON PIMA</v>
          </cell>
          <cell r="H2199" t="str">
            <v>NEGRO</v>
          </cell>
          <cell r="I2199" t="str">
            <v>M</v>
          </cell>
          <cell r="J2199" t="str">
            <v>H</v>
          </cell>
        </row>
        <row r="2200">
          <cell r="B2200" t="str">
            <v>TX250314001-S</v>
          </cell>
          <cell r="C2200" t="str">
            <v>TEXTIL</v>
          </cell>
          <cell r="D2200" t="str">
            <v>REMERA</v>
          </cell>
          <cell r="E2200" t="str">
            <v>REMERA AMADEO CUELLO REDONDO</v>
          </cell>
          <cell r="F2200" t="str">
            <v>ALGODON PIMA</v>
          </cell>
          <cell r="H2200" t="str">
            <v>NEGRO</v>
          </cell>
          <cell r="I2200" t="str">
            <v>S</v>
          </cell>
          <cell r="J2200" t="str">
            <v>H</v>
          </cell>
        </row>
        <row r="2201">
          <cell r="B2201" t="str">
            <v>TX250314001-XL</v>
          </cell>
          <cell r="C2201" t="str">
            <v>TEXTIL</v>
          </cell>
          <cell r="D2201" t="str">
            <v>REMERA</v>
          </cell>
          <cell r="E2201" t="str">
            <v>REMERA AMADEO CUELLO REDONDO</v>
          </cell>
          <cell r="F2201" t="str">
            <v>ALGODON PIMA</v>
          </cell>
          <cell r="H2201" t="str">
            <v>NEGRO</v>
          </cell>
          <cell r="I2201" t="str">
            <v>XL</v>
          </cell>
          <cell r="J2201" t="str">
            <v>H</v>
          </cell>
        </row>
        <row r="2202">
          <cell r="B2202" t="str">
            <v>TX250314001-XXL</v>
          </cell>
          <cell r="C2202" t="str">
            <v>TEXTIL</v>
          </cell>
          <cell r="D2202" t="str">
            <v>REMERA</v>
          </cell>
          <cell r="E2202" t="str">
            <v>REMERA AMADEO CUELLO REDONDO</v>
          </cell>
          <cell r="F2202" t="str">
            <v>ALGODON PIMA</v>
          </cell>
          <cell r="H2202" t="str">
            <v>NEGRO</v>
          </cell>
          <cell r="I2202" t="str">
            <v>XXL</v>
          </cell>
          <cell r="J2202" t="str">
            <v>H</v>
          </cell>
        </row>
        <row r="2203">
          <cell r="B2203" t="str">
            <v>TX250314049-L</v>
          </cell>
          <cell r="C2203" t="str">
            <v>TEXTIL</v>
          </cell>
          <cell r="D2203" t="str">
            <v>REMERA</v>
          </cell>
          <cell r="E2203" t="str">
            <v>REMERA AMADEO CUELLO REDONDO</v>
          </cell>
          <cell r="F2203" t="str">
            <v>ALGODON PIMA</v>
          </cell>
          <cell r="H2203" t="str">
            <v>CHARCOAL</v>
          </cell>
          <cell r="I2203" t="str">
            <v>L</v>
          </cell>
          <cell r="J2203" t="str">
            <v>H</v>
          </cell>
        </row>
        <row r="2204">
          <cell r="B2204" t="str">
            <v>TX250314049-M</v>
          </cell>
          <cell r="C2204" t="str">
            <v>TEXTIL</v>
          </cell>
          <cell r="D2204" t="str">
            <v>REMERA</v>
          </cell>
          <cell r="E2204" t="str">
            <v>REMERA AMADEO CUELLO REDONDO</v>
          </cell>
          <cell r="F2204" t="str">
            <v>ALGODON PIMA</v>
          </cell>
          <cell r="H2204" t="str">
            <v>CHARCOAL</v>
          </cell>
          <cell r="I2204" t="str">
            <v>M</v>
          </cell>
          <cell r="J2204" t="str">
            <v>H</v>
          </cell>
        </row>
        <row r="2205">
          <cell r="B2205" t="str">
            <v>TX250314049-S</v>
          </cell>
          <cell r="C2205" t="str">
            <v>TEXTIL</v>
          </cell>
          <cell r="D2205" t="str">
            <v>REMERA</v>
          </cell>
          <cell r="E2205" t="str">
            <v>REMERA AMADEO CUELLO REDONDO</v>
          </cell>
          <cell r="F2205" t="str">
            <v>ALGODON PIMA</v>
          </cell>
          <cell r="H2205" t="str">
            <v>CHARCOAL</v>
          </cell>
          <cell r="I2205" t="str">
            <v>S</v>
          </cell>
          <cell r="J2205" t="str">
            <v>H</v>
          </cell>
        </row>
        <row r="2206">
          <cell r="B2206" t="str">
            <v>TX250314049-XL</v>
          </cell>
          <cell r="C2206" t="str">
            <v>TEXTIL</v>
          </cell>
          <cell r="D2206" t="str">
            <v>REMERA</v>
          </cell>
          <cell r="E2206" t="str">
            <v>REMERA AMADEO CUELLO REDONDO</v>
          </cell>
          <cell r="F2206" t="str">
            <v>ALGODON PIMA</v>
          </cell>
          <cell r="H2206" t="str">
            <v>CHARCOAL</v>
          </cell>
          <cell r="I2206" t="str">
            <v>XL</v>
          </cell>
          <cell r="J2206" t="str">
            <v>H</v>
          </cell>
        </row>
        <row r="2207">
          <cell r="B2207" t="str">
            <v>TX250314049-XXL</v>
          </cell>
          <cell r="C2207" t="str">
            <v>TEXTIL</v>
          </cell>
          <cell r="D2207" t="str">
            <v>REMERA</v>
          </cell>
          <cell r="E2207" t="str">
            <v>REMERA AMADEO CUELLO REDONDO</v>
          </cell>
          <cell r="F2207" t="str">
            <v>ALGODON PIMA</v>
          </cell>
          <cell r="H2207" t="str">
            <v>CHARCOAL</v>
          </cell>
          <cell r="I2207" t="str">
            <v>XXL</v>
          </cell>
          <cell r="J2207" t="str">
            <v>H</v>
          </cell>
        </row>
        <row r="2208">
          <cell r="B2208" t="str">
            <v>TX250334000-L</v>
          </cell>
          <cell r="C2208" t="str">
            <v>TEXTIL</v>
          </cell>
          <cell r="D2208" t="str">
            <v>REMERA</v>
          </cell>
          <cell r="E2208" t="str">
            <v>REMERA DANA CUELLO REDONDO</v>
          </cell>
          <cell r="F2208" t="str">
            <v>ALGODON PIMA</v>
          </cell>
          <cell r="H2208" t="str">
            <v>BLANCO</v>
          </cell>
          <cell r="I2208" t="str">
            <v>L</v>
          </cell>
          <cell r="J2208" t="str">
            <v>M</v>
          </cell>
        </row>
        <row r="2209">
          <cell r="B2209" t="str">
            <v>TX250334000-M</v>
          </cell>
          <cell r="C2209" t="str">
            <v>TEXTIL</v>
          </cell>
          <cell r="D2209" t="str">
            <v>REMERA</v>
          </cell>
          <cell r="E2209" t="str">
            <v>REMERA DANA CUELLO REDONDO</v>
          </cell>
          <cell r="F2209" t="str">
            <v>ALGODON PIMA</v>
          </cell>
          <cell r="H2209" t="str">
            <v>BLANCO</v>
          </cell>
          <cell r="I2209" t="str">
            <v>M</v>
          </cell>
          <cell r="J2209" t="str">
            <v>M</v>
          </cell>
        </row>
        <row r="2210">
          <cell r="B2210" t="str">
            <v>TX250334000-S</v>
          </cell>
          <cell r="C2210" t="str">
            <v>TEXTIL</v>
          </cell>
          <cell r="D2210" t="str">
            <v>REMERA</v>
          </cell>
          <cell r="E2210" t="str">
            <v>REMERA DANA CUELLO REDONDO</v>
          </cell>
          <cell r="F2210" t="str">
            <v>ALGODON PIMA</v>
          </cell>
          <cell r="H2210" t="str">
            <v>BLANCO</v>
          </cell>
          <cell r="I2210" t="str">
            <v>S</v>
          </cell>
          <cell r="J2210" t="str">
            <v>M</v>
          </cell>
        </row>
        <row r="2211">
          <cell r="B2211" t="str">
            <v>TX250334000-XL</v>
          </cell>
          <cell r="C2211" t="str">
            <v>TEXTIL</v>
          </cell>
          <cell r="D2211" t="str">
            <v>REMERA</v>
          </cell>
          <cell r="E2211" t="str">
            <v>REMERA DANA CUELLO REDONDO</v>
          </cell>
          <cell r="F2211" t="str">
            <v>ALGODON PIMA</v>
          </cell>
          <cell r="H2211" t="str">
            <v>BLANCO</v>
          </cell>
          <cell r="I2211" t="str">
            <v>XL</v>
          </cell>
          <cell r="J2211" t="str">
            <v>M</v>
          </cell>
        </row>
        <row r="2212">
          <cell r="B2212" t="str">
            <v>TX250334000-XS</v>
          </cell>
          <cell r="C2212" t="str">
            <v>TEXTIL</v>
          </cell>
          <cell r="D2212" t="str">
            <v>REMERA</v>
          </cell>
          <cell r="E2212" t="str">
            <v>REMERA DANA CUELLO REDONDO</v>
          </cell>
          <cell r="F2212" t="str">
            <v>ALGODON PIMA</v>
          </cell>
          <cell r="H2212" t="str">
            <v>BLANCO</v>
          </cell>
          <cell r="I2212" t="str">
            <v>XS</v>
          </cell>
          <cell r="J2212" t="str">
            <v>M</v>
          </cell>
        </row>
        <row r="2213">
          <cell r="B2213" t="str">
            <v>TX250334001-L</v>
          </cell>
          <cell r="C2213" t="str">
            <v>TEXTIL</v>
          </cell>
          <cell r="D2213" t="str">
            <v>REMERA</v>
          </cell>
          <cell r="E2213" t="str">
            <v>REMERA DANA CUELLO REDONDO</v>
          </cell>
          <cell r="F2213" t="str">
            <v>ALGODON PIMA</v>
          </cell>
          <cell r="H2213" t="str">
            <v>NEGRO</v>
          </cell>
          <cell r="I2213" t="str">
            <v>L</v>
          </cell>
          <cell r="J2213" t="str">
            <v>M</v>
          </cell>
        </row>
        <row r="2214">
          <cell r="B2214" t="str">
            <v>TX250334001-M</v>
          </cell>
          <cell r="C2214" t="str">
            <v>TEXTIL</v>
          </cell>
          <cell r="D2214" t="str">
            <v>REMERA</v>
          </cell>
          <cell r="E2214" t="str">
            <v>REMERA DANA CUELLO REDONDO</v>
          </cell>
          <cell r="F2214" t="str">
            <v>ALGODON PIMA</v>
          </cell>
          <cell r="H2214" t="str">
            <v>NEGRO</v>
          </cell>
          <cell r="I2214" t="str">
            <v>M</v>
          </cell>
          <cell r="J2214" t="str">
            <v>M</v>
          </cell>
        </row>
        <row r="2215">
          <cell r="B2215" t="str">
            <v>TX250334001-S</v>
          </cell>
          <cell r="C2215" t="str">
            <v>TEXTIL</v>
          </cell>
          <cell r="D2215" t="str">
            <v>REMERA</v>
          </cell>
          <cell r="E2215" t="str">
            <v>REMERA DANA CUELLO REDONDO</v>
          </cell>
          <cell r="F2215" t="str">
            <v>ALGODON PIMA</v>
          </cell>
          <cell r="H2215" t="str">
            <v>NEGRO</v>
          </cell>
          <cell r="I2215" t="str">
            <v>S</v>
          </cell>
          <cell r="J2215" t="str">
            <v>M</v>
          </cell>
        </row>
        <row r="2216">
          <cell r="B2216" t="str">
            <v>TX250334001-XL</v>
          </cell>
          <cell r="C2216" t="str">
            <v>TEXTIL</v>
          </cell>
          <cell r="D2216" t="str">
            <v>REMERA</v>
          </cell>
          <cell r="E2216" t="str">
            <v>REMERA DANA CUELLO REDONDO</v>
          </cell>
          <cell r="F2216" t="str">
            <v>ALGODON PIMA</v>
          </cell>
          <cell r="H2216" t="str">
            <v>NEGRO</v>
          </cell>
          <cell r="I2216" t="str">
            <v>XL</v>
          </cell>
          <cell r="J2216" t="str">
            <v>M</v>
          </cell>
        </row>
        <row r="2217">
          <cell r="B2217" t="str">
            <v>TX250334001-XS</v>
          </cell>
          <cell r="C2217" t="str">
            <v>TEXTIL</v>
          </cell>
          <cell r="D2217" t="str">
            <v>REMERA</v>
          </cell>
          <cell r="E2217" t="str">
            <v>REMERA DANA CUELLO REDONDO</v>
          </cell>
          <cell r="F2217" t="str">
            <v>ALGODON PIMA</v>
          </cell>
          <cell r="H2217" t="str">
            <v>NEGRO</v>
          </cell>
          <cell r="I2217" t="str">
            <v>XS</v>
          </cell>
          <cell r="J2217" t="str">
            <v>M</v>
          </cell>
        </row>
        <row r="2218">
          <cell r="B2218" t="str">
            <v>TX250334049-L</v>
          </cell>
          <cell r="C2218" t="str">
            <v>TEXTIL</v>
          </cell>
          <cell r="D2218" t="str">
            <v>REMERA</v>
          </cell>
          <cell r="E2218" t="str">
            <v>REMERA DANA CUELLO REDONDO</v>
          </cell>
          <cell r="F2218" t="str">
            <v>ALGODON PIMA</v>
          </cell>
          <cell r="H2218" t="str">
            <v>CHARCOAL</v>
          </cell>
          <cell r="I2218" t="str">
            <v>L</v>
          </cell>
          <cell r="J2218" t="str">
            <v>M</v>
          </cell>
        </row>
        <row r="2219">
          <cell r="B2219" t="str">
            <v>TX250334049-M</v>
          </cell>
          <cell r="C2219" t="str">
            <v>TEXTIL</v>
          </cell>
          <cell r="D2219" t="str">
            <v>REMERA</v>
          </cell>
          <cell r="E2219" t="str">
            <v>REMERA DANA CUELLO REDONDO</v>
          </cell>
          <cell r="F2219" t="str">
            <v>ALGODON PIMA</v>
          </cell>
          <cell r="H2219" t="str">
            <v>CHARCOAL</v>
          </cell>
          <cell r="I2219" t="str">
            <v>M</v>
          </cell>
          <cell r="J2219" t="str">
            <v>M</v>
          </cell>
        </row>
        <row r="2220">
          <cell r="B2220" t="str">
            <v>TX250334049-S</v>
          </cell>
          <cell r="C2220" t="str">
            <v>TEXTIL</v>
          </cell>
          <cell r="D2220" t="str">
            <v>REMERA</v>
          </cell>
          <cell r="E2220" t="str">
            <v>REMERA DANA CUELLO REDONDO</v>
          </cell>
          <cell r="F2220" t="str">
            <v>ALGODON PIMA</v>
          </cell>
          <cell r="H2220" t="str">
            <v>CHARCOAL</v>
          </cell>
          <cell r="I2220" t="str">
            <v>S</v>
          </cell>
          <cell r="J2220" t="str">
            <v>M</v>
          </cell>
        </row>
        <row r="2221">
          <cell r="B2221" t="str">
            <v>TX250334049-XL</v>
          </cell>
          <cell r="C2221" t="str">
            <v>TEXTIL</v>
          </cell>
          <cell r="D2221" t="str">
            <v>REMERA</v>
          </cell>
          <cell r="E2221" t="str">
            <v>REMERA DANA CUELLO REDONDO</v>
          </cell>
          <cell r="F2221" t="str">
            <v>ALGODON PIMA</v>
          </cell>
          <cell r="H2221" t="str">
            <v>CHARCOAL</v>
          </cell>
          <cell r="I2221" t="str">
            <v>XL</v>
          </cell>
          <cell r="J2221" t="str">
            <v>M</v>
          </cell>
        </row>
        <row r="2222">
          <cell r="B2222" t="str">
            <v>TX250334049-XS</v>
          </cell>
          <cell r="C2222" t="str">
            <v>TEXTIL</v>
          </cell>
          <cell r="D2222" t="str">
            <v>REMERA</v>
          </cell>
          <cell r="E2222" t="str">
            <v>REMERA DANA CUELLO REDONDO</v>
          </cell>
          <cell r="F2222" t="str">
            <v>ALGODON PIMA</v>
          </cell>
          <cell r="H2222" t="str">
            <v>CHARCOAL</v>
          </cell>
          <cell r="I2222" t="str">
            <v>XS</v>
          </cell>
          <cell r="J2222" t="str">
            <v>M</v>
          </cell>
        </row>
        <row r="2223">
          <cell r="B2223" t="str">
            <v>TX250334066-L</v>
          </cell>
          <cell r="C2223" t="str">
            <v>TEXTIL</v>
          </cell>
          <cell r="D2223" t="str">
            <v>REMERA</v>
          </cell>
          <cell r="E2223" t="str">
            <v>REMERA DANA CUELLO REDONDO</v>
          </cell>
          <cell r="F2223" t="str">
            <v>ALGODON PIMA</v>
          </cell>
          <cell r="H2223" t="str">
            <v>HUESO</v>
          </cell>
          <cell r="I2223" t="str">
            <v>L</v>
          </cell>
          <cell r="J2223" t="str">
            <v>M</v>
          </cell>
        </row>
        <row r="2224">
          <cell r="B2224" t="str">
            <v>TX250334066-M</v>
          </cell>
          <cell r="C2224" t="str">
            <v>TEXTIL</v>
          </cell>
          <cell r="D2224" t="str">
            <v>REMERA</v>
          </cell>
          <cell r="E2224" t="str">
            <v>REMERA DANA CUELLO REDONDO</v>
          </cell>
          <cell r="F2224" t="str">
            <v>ALGODON PIMA</v>
          </cell>
          <cell r="H2224" t="str">
            <v>HUESO</v>
          </cell>
          <cell r="I2224" t="str">
            <v>M</v>
          </cell>
          <cell r="J2224" t="str">
            <v>M</v>
          </cell>
        </row>
        <row r="2225">
          <cell r="B2225" t="str">
            <v>TX250334066-S</v>
          </cell>
          <cell r="C2225" t="str">
            <v>TEXTIL</v>
          </cell>
          <cell r="D2225" t="str">
            <v>REMERA</v>
          </cell>
          <cell r="E2225" t="str">
            <v>REMERA DANA CUELLO REDONDO</v>
          </cell>
          <cell r="F2225" t="str">
            <v>ALGODON PIMA</v>
          </cell>
          <cell r="H2225" t="str">
            <v>HUESO</v>
          </cell>
          <cell r="I2225" t="str">
            <v>S</v>
          </cell>
          <cell r="J2225" t="str">
            <v>M</v>
          </cell>
        </row>
        <row r="2226">
          <cell r="B2226" t="str">
            <v>TX250334066-XL</v>
          </cell>
          <cell r="C2226" t="str">
            <v>TEXTIL</v>
          </cell>
          <cell r="D2226" t="str">
            <v>REMERA</v>
          </cell>
          <cell r="E2226" t="str">
            <v>REMERA DANA CUELLO REDONDO</v>
          </cell>
          <cell r="F2226" t="str">
            <v>ALGODON PIMA</v>
          </cell>
          <cell r="H2226" t="str">
            <v>HUESO</v>
          </cell>
          <cell r="I2226" t="str">
            <v>XL</v>
          </cell>
          <cell r="J2226" t="str">
            <v>M</v>
          </cell>
        </row>
        <row r="2227">
          <cell r="B2227" t="str">
            <v>TX250334066-XS</v>
          </cell>
          <cell r="C2227" t="str">
            <v>TEXTIL</v>
          </cell>
          <cell r="D2227" t="str">
            <v>REMERA</v>
          </cell>
          <cell r="E2227" t="str">
            <v>REMERA DANA CUELLO REDONDO</v>
          </cell>
          <cell r="F2227" t="str">
            <v>ALGODON PIMA</v>
          </cell>
          <cell r="H2227" t="str">
            <v>HUESO</v>
          </cell>
          <cell r="I2227" t="str">
            <v>XS</v>
          </cell>
          <cell r="J2227" t="str">
            <v>M</v>
          </cell>
        </row>
        <row r="2228">
          <cell r="B2228" t="str">
            <v>TX250324000-L</v>
          </cell>
          <cell r="C2228" t="str">
            <v>TEXTIL</v>
          </cell>
          <cell r="D2228" t="str">
            <v>REMERA</v>
          </cell>
          <cell r="E2228" t="str">
            <v>REMERA NOA CUELLO U</v>
          </cell>
          <cell r="F2228" t="str">
            <v>ALGODON PIMA</v>
          </cell>
          <cell r="H2228" t="str">
            <v>BLANCO</v>
          </cell>
          <cell r="I2228" t="str">
            <v>L</v>
          </cell>
          <cell r="J2228" t="str">
            <v>M</v>
          </cell>
        </row>
        <row r="2229">
          <cell r="B2229" t="str">
            <v>TX250324000-M</v>
          </cell>
          <cell r="C2229" t="str">
            <v>TEXTIL</v>
          </cell>
          <cell r="D2229" t="str">
            <v>REMERA</v>
          </cell>
          <cell r="E2229" t="str">
            <v>REMERA NOA CUELLO U</v>
          </cell>
          <cell r="F2229" t="str">
            <v>ALGODON PIMA</v>
          </cell>
          <cell r="H2229" t="str">
            <v>BLANCO</v>
          </cell>
          <cell r="I2229" t="str">
            <v>M</v>
          </cell>
          <cell r="J2229" t="str">
            <v>M</v>
          </cell>
        </row>
        <row r="2230">
          <cell r="B2230" t="str">
            <v>TX250324000-S</v>
          </cell>
          <cell r="C2230" t="str">
            <v>TEXTIL</v>
          </cell>
          <cell r="D2230" t="str">
            <v>REMERA</v>
          </cell>
          <cell r="E2230" t="str">
            <v>REMERA NOA CUELLO U</v>
          </cell>
          <cell r="F2230" t="str">
            <v>ALGODON PIMA</v>
          </cell>
          <cell r="H2230" t="str">
            <v>BLANCO</v>
          </cell>
          <cell r="I2230" t="str">
            <v>S</v>
          </cell>
          <cell r="J2230" t="str">
            <v>M</v>
          </cell>
        </row>
        <row r="2231">
          <cell r="B2231" t="str">
            <v>TX250324000-XL</v>
          </cell>
          <cell r="C2231" t="str">
            <v>TEXTIL</v>
          </cell>
          <cell r="D2231" t="str">
            <v>REMERA</v>
          </cell>
          <cell r="E2231" t="str">
            <v>REMERA NOA CUELLO U</v>
          </cell>
          <cell r="F2231" t="str">
            <v>ALGODON PIMA</v>
          </cell>
          <cell r="H2231" t="str">
            <v>BLANCO</v>
          </cell>
          <cell r="I2231" t="str">
            <v>XL</v>
          </cell>
          <cell r="J2231" t="str">
            <v>M</v>
          </cell>
        </row>
        <row r="2232">
          <cell r="B2232" t="str">
            <v>TX250324000-XS</v>
          </cell>
          <cell r="C2232" t="str">
            <v>TEXTIL</v>
          </cell>
          <cell r="D2232" t="str">
            <v>REMERA</v>
          </cell>
          <cell r="E2232" t="str">
            <v>REMERA NOA CUELLO U</v>
          </cell>
          <cell r="F2232" t="str">
            <v>ALGODON PIMA</v>
          </cell>
          <cell r="H2232" t="str">
            <v>BLANCO</v>
          </cell>
          <cell r="I2232" t="str">
            <v>XXL</v>
          </cell>
          <cell r="J2232" t="str">
            <v>M</v>
          </cell>
        </row>
        <row r="2233">
          <cell r="B2233" t="str">
            <v>TX250324001-L</v>
          </cell>
          <cell r="C2233" t="str">
            <v>TEXTIL</v>
          </cell>
          <cell r="D2233" t="str">
            <v>REMERA</v>
          </cell>
          <cell r="E2233" t="str">
            <v>REMERA NOA CUELLO U</v>
          </cell>
          <cell r="F2233" t="str">
            <v>ALGODON PIMA</v>
          </cell>
          <cell r="H2233" t="str">
            <v>NEGRO</v>
          </cell>
          <cell r="I2233" t="str">
            <v>L</v>
          </cell>
          <cell r="J2233" t="str">
            <v>M</v>
          </cell>
        </row>
        <row r="2234">
          <cell r="B2234" t="str">
            <v>TX250324001-M</v>
          </cell>
          <cell r="C2234" t="str">
            <v>TEXTIL</v>
          </cell>
          <cell r="D2234" t="str">
            <v>REMERA</v>
          </cell>
          <cell r="E2234" t="str">
            <v>REMERA NOA CUELLO U</v>
          </cell>
          <cell r="F2234" t="str">
            <v>ALGODON PIMA</v>
          </cell>
          <cell r="H2234" t="str">
            <v>NEGRO</v>
          </cell>
          <cell r="I2234" t="str">
            <v>M</v>
          </cell>
          <cell r="J2234" t="str">
            <v>M</v>
          </cell>
        </row>
        <row r="2235">
          <cell r="B2235" t="str">
            <v>TX250324001-S</v>
          </cell>
          <cell r="C2235" t="str">
            <v>TEXTIL</v>
          </cell>
          <cell r="D2235" t="str">
            <v>REMERA</v>
          </cell>
          <cell r="E2235" t="str">
            <v>REMERA NOA CUELLO U</v>
          </cell>
          <cell r="F2235" t="str">
            <v>ALGODON PIMA</v>
          </cell>
          <cell r="H2235" t="str">
            <v>NEGRO</v>
          </cell>
          <cell r="I2235" t="str">
            <v>S</v>
          </cell>
          <cell r="J2235" t="str">
            <v>M</v>
          </cell>
        </row>
        <row r="2236">
          <cell r="B2236" t="str">
            <v>TX250324001-XL</v>
          </cell>
          <cell r="C2236" t="str">
            <v>TEXTIL</v>
          </cell>
          <cell r="D2236" t="str">
            <v>REMERA</v>
          </cell>
          <cell r="E2236" t="str">
            <v>REMERA NOA CUELLO U</v>
          </cell>
          <cell r="F2236" t="str">
            <v>ALGODON PIMA</v>
          </cell>
          <cell r="H2236" t="str">
            <v>NEGRO</v>
          </cell>
          <cell r="I2236" t="str">
            <v>XL</v>
          </cell>
          <cell r="J2236" t="str">
            <v>M</v>
          </cell>
        </row>
        <row r="2237">
          <cell r="B2237" t="str">
            <v>TX250324001-XS</v>
          </cell>
          <cell r="C2237" t="str">
            <v>TEXTIL</v>
          </cell>
          <cell r="D2237" t="str">
            <v>REMERA</v>
          </cell>
          <cell r="E2237" t="str">
            <v>REMERA NOA CUELLO U</v>
          </cell>
          <cell r="F2237" t="str">
            <v>ALGODON PIMA</v>
          </cell>
          <cell r="H2237" t="str">
            <v>NEGRO</v>
          </cell>
          <cell r="I2237" t="str">
            <v>XS</v>
          </cell>
          <cell r="J2237" t="str">
            <v>M</v>
          </cell>
        </row>
        <row r="2238">
          <cell r="B2238" t="str">
            <v>MG010350201</v>
          </cell>
          <cell r="C2238" t="str">
            <v>MARRO GRANDE</v>
          </cell>
          <cell r="D2238" t="str">
            <v>RIÑONERA</v>
          </cell>
          <cell r="E2238" t="str">
            <v>RIÑONERA BOLSILLOS</v>
          </cell>
          <cell r="F2238" t="str">
            <v>TAMPONATO</v>
          </cell>
          <cell r="G2238">
            <v>0</v>
          </cell>
          <cell r="H2238" t="str">
            <v>NEGRO</v>
          </cell>
          <cell r="I2238" t="str">
            <v>U</v>
          </cell>
          <cell r="J2238" t="str">
            <v>M</v>
          </cell>
        </row>
        <row r="2239">
          <cell r="B2239" t="str">
            <v>MG010350202</v>
          </cell>
          <cell r="C2239" t="str">
            <v>MARRO GRANDE</v>
          </cell>
          <cell r="D2239" t="str">
            <v>RIÑONERA</v>
          </cell>
          <cell r="E2239" t="str">
            <v>RIÑONERA BOLSILLOS</v>
          </cell>
          <cell r="F2239" t="str">
            <v>TAMPONATO</v>
          </cell>
          <cell r="G2239">
            <v>0</v>
          </cell>
          <cell r="H2239" t="str">
            <v>SUELA</v>
          </cell>
          <cell r="I2239" t="str">
            <v>U</v>
          </cell>
          <cell r="J2239" t="str">
            <v>M</v>
          </cell>
        </row>
        <row r="2240">
          <cell r="B2240" t="str">
            <v>MG010350301</v>
          </cell>
          <cell r="C2240" t="str">
            <v>MARRO GRANDE</v>
          </cell>
          <cell r="D2240" t="str">
            <v>RIÑONERA</v>
          </cell>
          <cell r="E2240" t="str">
            <v>RIÑONERA BOLSILLOS</v>
          </cell>
          <cell r="F2240" t="str">
            <v>BRIDGE</v>
          </cell>
          <cell r="G2240">
            <v>0</v>
          </cell>
          <cell r="H2240" t="str">
            <v>NEGRO</v>
          </cell>
          <cell r="I2240" t="str">
            <v>U</v>
          </cell>
          <cell r="J2240" t="str">
            <v>M</v>
          </cell>
        </row>
        <row r="2241">
          <cell r="B2241" t="str">
            <v>MG010350304</v>
          </cell>
          <cell r="C2241" t="str">
            <v>MARRO GRANDE</v>
          </cell>
          <cell r="D2241" t="str">
            <v>RIÑONERA</v>
          </cell>
          <cell r="E2241" t="str">
            <v>RIÑONERA BOLSILLOS</v>
          </cell>
          <cell r="F2241" t="str">
            <v>BRIDGE</v>
          </cell>
          <cell r="G2241">
            <v>0</v>
          </cell>
          <cell r="H2241" t="str">
            <v>TABACO</v>
          </cell>
          <cell r="I2241" t="str">
            <v>U</v>
          </cell>
          <cell r="J2241" t="str">
            <v>M</v>
          </cell>
        </row>
        <row r="2242">
          <cell r="B2242" t="str">
            <v>MG011010301-L</v>
          </cell>
          <cell r="C2242" t="str">
            <v>MARRO GRANDE</v>
          </cell>
          <cell r="D2242" t="str">
            <v>RIÑONERA</v>
          </cell>
          <cell r="E2242" t="str">
            <v>RIÑONERA CRUZ L</v>
          </cell>
          <cell r="F2242" t="str">
            <v>BRIDGE</v>
          </cell>
          <cell r="G2242">
            <v>0</v>
          </cell>
          <cell r="H2242" t="str">
            <v>NEGRO</v>
          </cell>
          <cell r="I2242" t="str">
            <v>U</v>
          </cell>
          <cell r="J2242" t="str">
            <v>U</v>
          </cell>
        </row>
        <row r="2243">
          <cell r="B2243" t="str">
            <v>MG011010303-L</v>
          </cell>
          <cell r="C2243" t="str">
            <v>MARRO GRANDE</v>
          </cell>
          <cell r="D2243" t="str">
            <v>RIÑONERA</v>
          </cell>
          <cell r="E2243" t="str">
            <v>RIÑONERA CRUZ L</v>
          </cell>
          <cell r="F2243" t="str">
            <v>BRIDGE</v>
          </cell>
          <cell r="G2243">
            <v>0</v>
          </cell>
          <cell r="H2243" t="str">
            <v>CARAMELO</v>
          </cell>
          <cell r="I2243" t="str">
            <v>U</v>
          </cell>
          <cell r="J2243" t="str">
            <v>U</v>
          </cell>
        </row>
        <row r="2244">
          <cell r="B2244" t="str">
            <v>MG011010304-L</v>
          </cell>
          <cell r="C2244" t="str">
            <v>MARRO GRANDE</v>
          </cell>
          <cell r="D2244" t="str">
            <v>RIÑONERA</v>
          </cell>
          <cell r="E2244" t="str">
            <v>RIÑONERA CRUZ L</v>
          </cell>
          <cell r="F2244" t="str">
            <v>BRIDGE</v>
          </cell>
          <cell r="G2244">
            <v>0</v>
          </cell>
          <cell r="H2244" t="str">
            <v>TABACO</v>
          </cell>
          <cell r="I2244" t="str">
            <v>U</v>
          </cell>
          <cell r="J2244" t="str">
            <v>U</v>
          </cell>
        </row>
        <row r="2245">
          <cell r="B2245" t="str">
            <v>MG011010352-L</v>
          </cell>
          <cell r="C2245" t="str">
            <v>MARRO GRANDE</v>
          </cell>
          <cell r="D2245" t="str">
            <v>RIÑONERA</v>
          </cell>
          <cell r="E2245" t="str">
            <v>RIÑONERA CRUZ L</v>
          </cell>
          <cell r="F2245" t="str">
            <v>BRIDGE</v>
          </cell>
          <cell r="G2245">
            <v>0</v>
          </cell>
          <cell r="H2245" t="str">
            <v>CHOCOLATE</v>
          </cell>
          <cell r="I2245" t="str">
            <v>U</v>
          </cell>
          <cell r="J2245" t="str">
            <v>U</v>
          </cell>
        </row>
        <row r="2246">
          <cell r="B2246" t="str">
            <v>MG011011623-L</v>
          </cell>
          <cell r="C2246" t="str">
            <v>MARRO GRANDE</v>
          </cell>
          <cell r="D2246" t="str">
            <v>RIÑONERA</v>
          </cell>
          <cell r="E2246" t="str">
            <v>RIÑONERA CRUZ L</v>
          </cell>
          <cell r="F2246" t="str">
            <v>FIORENTINO</v>
          </cell>
          <cell r="G2246">
            <v>0</v>
          </cell>
          <cell r="H2246" t="str">
            <v>CEDRO</v>
          </cell>
          <cell r="I2246" t="str">
            <v>U</v>
          </cell>
          <cell r="J2246" t="str">
            <v>U</v>
          </cell>
        </row>
        <row r="2247">
          <cell r="B2247" t="str">
            <v>MG010400101-S</v>
          </cell>
          <cell r="C2247" t="str">
            <v>MARRO GRANDE</v>
          </cell>
          <cell r="D2247" t="str">
            <v>RIÑONERA</v>
          </cell>
          <cell r="E2247" t="str">
            <v>RIÑONERA CRUZ S</v>
          </cell>
          <cell r="F2247" t="str">
            <v>NAPADO</v>
          </cell>
          <cell r="G2247">
            <v>0</v>
          </cell>
          <cell r="H2247" t="str">
            <v>NEGRO</v>
          </cell>
          <cell r="I2247" t="str">
            <v>U</v>
          </cell>
          <cell r="J2247" t="str">
            <v>U</v>
          </cell>
        </row>
        <row r="2248">
          <cell r="B2248" t="str">
            <v>MG010400103-S</v>
          </cell>
          <cell r="C2248" t="str">
            <v>MARRO GRANDE</v>
          </cell>
          <cell r="D2248" t="str">
            <v>RIÑONERA</v>
          </cell>
          <cell r="E2248" t="str">
            <v>RIÑONERA CRUZ S</v>
          </cell>
          <cell r="F2248" t="str">
            <v>NAPADO</v>
          </cell>
          <cell r="G2248">
            <v>0</v>
          </cell>
          <cell r="H2248" t="str">
            <v>CARAMELO</v>
          </cell>
          <cell r="I2248" t="str">
            <v>U</v>
          </cell>
          <cell r="J2248" t="str">
            <v>U</v>
          </cell>
        </row>
        <row r="2249">
          <cell r="B2249" t="str">
            <v>MG010400301-S</v>
          </cell>
          <cell r="C2249" t="str">
            <v>MARRO GRANDE</v>
          </cell>
          <cell r="D2249" t="str">
            <v>RIÑONERA</v>
          </cell>
          <cell r="E2249" t="str">
            <v>RIÑONERA CRUZ S</v>
          </cell>
          <cell r="F2249" t="str">
            <v>BRIDGE</v>
          </cell>
          <cell r="G2249">
            <v>0</v>
          </cell>
          <cell r="H2249" t="str">
            <v>NEGRO</v>
          </cell>
          <cell r="I2249" t="str">
            <v>U</v>
          </cell>
          <cell r="J2249" t="str">
            <v>U</v>
          </cell>
        </row>
        <row r="2250">
          <cell r="B2250" t="str">
            <v>MG010400302-S</v>
          </cell>
          <cell r="C2250" t="str">
            <v>MARRO GRANDE</v>
          </cell>
          <cell r="D2250" t="str">
            <v>RIÑONERA</v>
          </cell>
          <cell r="E2250" t="str">
            <v>RIÑONERA CRUZ S</v>
          </cell>
          <cell r="F2250" t="str">
            <v>BRIDGE</v>
          </cell>
          <cell r="G2250">
            <v>0</v>
          </cell>
          <cell r="H2250" t="str">
            <v>SUELA</v>
          </cell>
          <cell r="I2250" t="str">
            <v>U</v>
          </cell>
          <cell r="J2250" t="str">
            <v>U</v>
          </cell>
        </row>
        <row r="2251">
          <cell r="B2251" t="str">
            <v>MG010400303-S</v>
          </cell>
          <cell r="C2251" t="str">
            <v>MARRO GRANDE</v>
          </cell>
          <cell r="D2251" t="str">
            <v>RIÑONERA</v>
          </cell>
          <cell r="E2251" t="str">
            <v>RIÑONERA CRUZ S</v>
          </cell>
          <cell r="F2251" t="str">
            <v>BRIDGE</v>
          </cell>
          <cell r="G2251">
            <v>0</v>
          </cell>
          <cell r="H2251" t="str">
            <v>CARAMELO</v>
          </cell>
          <cell r="I2251" t="str">
            <v>U</v>
          </cell>
          <cell r="J2251" t="str">
            <v>U</v>
          </cell>
        </row>
        <row r="2252">
          <cell r="B2252" t="str">
            <v>MG010400304-S</v>
          </cell>
          <cell r="C2252" t="str">
            <v>MARRO GRANDE</v>
          </cell>
          <cell r="D2252" t="str">
            <v>RIÑONERA</v>
          </cell>
          <cell r="E2252" t="str">
            <v>RIÑONERA CRUZ S</v>
          </cell>
          <cell r="F2252" t="str">
            <v>BRIDGE</v>
          </cell>
          <cell r="G2252">
            <v>0</v>
          </cell>
          <cell r="H2252" t="str">
            <v>TABACO</v>
          </cell>
          <cell r="I2252" t="str">
            <v>U</v>
          </cell>
          <cell r="J2252" t="str">
            <v>U</v>
          </cell>
        </row>
        <row r="2253">
          <cell r="B2253" t="str">
            <v>MG010400305-S</v>
          </cell>
          <cell r="C2253" t="str">
            <v>MARRO GRANDE</v>
          </cell>
          <cell r="D2253" t="str">
            <v>RIÑONERA</v>
          </cell>
          <cell r="E2253" t="str">
            <v>RIÑONERA CRUZ S</v>
          </cell>
          <cell r="F2253" t="str">
            <v>BRIDGE</v>
          </cell>
          <cell r="G2253">
            <v>0</v>
          </cell>
          <cell r="H2253" t="str">
            <v>LONDON</v>
          </cell>
          <cell r="I2253" t="str">
            <v>U</v>
          </cell>
          <cell r="J2253" t="str">
            <v>U</v>
          </cell>
        </row>
        <row r="2254">
          <cell r="B2254" t="str">
            <v>MG010400307-S</v>
          </cell>
          <cell r="C2254" t="str">
            <v>MARRO GRANDE</v>
          </cell>
          <cell r="D2254" t="str">
            <v>RIÑONERA</v>
          </cell>
          <cell r="E2254" t="str">
            <v>RIÑONERA CRUZ S</v>
          </cell>
          <cell r="F2254" t="str">
            <v>BRIDGE</v>
          </cell>
          <cell r="G2254">
            <v>0</v>
          </cell>
          <cell r="H2254" t="str">
            <v>ROJO</v>
          </cell>
          <cell r="I2254" t="str">
            <v>U</v>
          </cell>
          <cell r="J2254" t="str">
            <v>U</v>
          </cell>
        </row>
        <row r="2255">
          <cell r="B2255" t="str">
            <v>MG010400311-S</v>
          </cell>
          <cell r="C2255" t="str">
            <v>MARRO GRANDE</v>
          </cell>
          <cell r="D2255" t="str">
            <v>RIÑONERA</v>
          </cell>
          <cell r="E2255" t="str">
            <v>RIÑONERA CRUZ S</v>
          </cell>
          <cell r="F2255" t="str">
            <v>BRIDGE</v>
          </cell>
          <cell r="G2255">
            <v>0</v>
          </cell>
          <cell r="H2255" t="str">
            <v>CAMEL</v>
          </cell>
          <cell r="I2255" t="str">
            <v>U</v>
          </cell>
          <cell r="J2255" t="str">
            <v>U</v>
          </cell>
        </row>
        <row r="2256">
          <cell r="B2256" t="str">
            <v>MG010400352-S</v>
          </cell>
          <cell r="C2256" t="str">
            <v>MARRO GRANDE</v>
          </cell>
          <cell r="D2256" t="str">
            <v>RIÑONERA</v>
          </cell>
          <cell r="E2256" t="str">
            <v>RIÑONERA CRUZ S</v>
          </cell>
          <cell r="F2256" t="str">
            <v>BRIDGE</v>
          </cell>
          <cell r="G2256">
            <v>0</v>
          </cell>
          <cell r="H2256" t="str">
            <v>CHOCOLATE</v>
          </cell>
          <cell r="I2256" t="str">
            <v>U</v>
          </cell>
          <cell r="J2256" t="str">
            <v>U</v>
          </cell>
        </row>
        <row r="2257">
          <cell r="B2257" t="str">
            <v>MG010401623-S</v>
          </cell>
          <cell r="C2257" t="str">
            <v>MARRO GRANDE</v>
          </cell>
          <cell r="D2257" t="str">
            <v>RIÑONERA</v>
          </cell>
          <cell r="E2257" t="str">
            <v>RIÑONERA CRUZ S</v>
          </cell>
          <cell r="F2257" t="str">
            <v>FIORENTINO</v>
          </cell>
          <cell r="G2257">
            <v>0</v>
          </cell>
          <cell r="H2257" t="str">
            <v>CEDRO</v>
          </cell>
          <cell r="I2257" t="str">
            <v>U</v>
          </cell>
          <cell r="J2257" t="str">
            <v>U</v>
          </cell>
        </row>
        <row r="2258">
          <cell r="B2258" t="str">
            <v>MG010590101</v>
          </cell>
          <cell r="C2258" t="str">
            <v>MARRO GRANDE</v>
          </cell>
          <cell r="D2258" t="str">
            <v>RIÑONERA</v>
          </cell>
          <cell r="E2258" t="str">
            <v>RIÑONERA EVAN CH</v>
          </cell>
          <cell r="F2258" t="str">
            <v>NAPADO</v>
          </cell>
          <cell r="G2258">
            <v>0</v>
          </cell>
          <cell r="H2258" t="str">
            <v>NEGRO</v>
          </cell>
          <cell r="I2258" t="str">
            <v>U</v>
          </cell>
          <cell r="J2258" t="str">
            <v>H</v>
          </cell>
        </row>
        <row r="2259">
          <cell r="B2259" t="str">
            <v>MG010590202</v>
          </cell>
          <cell r="C2259" t="str">
            <v>MARRO GRANDE</v>
          </cell>
          <cell r="D2259" t="str">
            <v>RIÑONERA</v>
          </cell>
          <cell r="E2259" t="str">
            <v>RIÑONERA EVAN CH</v>
          </cell>
          <cell r="F2259" t="str">
            <v>TAMPONATO</v>
          </cell>
          <cell r="G2259">
            <v>0</v>
          </cell>
          <cell r="H2259" t="str">
            <v>SUELA</v>
          </cell>
          <cell r="I2259" t="str">
            <v>U</v>
          </cell>
          <cell r="J2259" t="str">
            <v>H</v>
          </cell>
        </row>
        <row r="2260">
          <cell r="B2260" t="str">
            <v>MG010590301</v>
          </cell>
          <cell r="C2260" t="str">
            <v>MARRO GRANDE</v>
          </cell>
          <cell r="D2260" t="str">
            <v>RIÑONERA</v>
          </cell>
          <cell r="E2260" t="str">
            <v>RIÑONERA EVAN CH</v>
          </cell>
          <cell r="F2260" t="str">
            <v>BRIDGE</v>
          </cell>
          <cell r="G2260">
            <v>0</v>
          </cell>
          <cell r="H2260" t="str">
            <v>NEGRO</v>
          </cell>
          <cell r="I2260" t="str">
            <v>U</v>
          </cell>
          <cell r="J2260" t="str">
            <v>H</v>
          </cell>
        </row>
        <row r="2261">
          <cell r="B2261" t="str">
            <v>MG010590303</v>
          </cell>
          <cell r="C2261" t="str">
            <v>MARRO GRANDE</v>
          </cell>
          <cell r="D2261" t="str">
            <v>RIÑONERA</v>
          </cell>
          <cell r="E2261" t="str">
            <v>RIÑONERA EVAN CH</v>
          </cell>
          <cell r="F2261" t="str">
            <v>BRIDGE</v>
          </cell>
          <cell r="G2261">
            <v>0</v>
          </cell>
          <cell r="H2261" t="str">
            <v>CARAMELO</v>
          </cell>
          <cell r="I2261" t="str">
            <v>U</v>
          </cell>
          <cell r="J2261" t="str">
            <v>H</v>
          </cell>
        </row>
        <row r="2262">
          <cell r="B2262" t="str">
            <v>MG010590304</v>
          </cell>
          <cell r="C2262" t="str">
            <v>MARRO GRANDE</v>
          </cell>
          <cell r="D2262" t="str">
            <v>RIÑONERA</v>
          </cell>
          <cell r="E2262" t="str">
            <v>RIÑONERA EVAN CH</v>
          </cell>
          <cell r="F2262" t="str">
            <v>BRIDGE</v>
          </cell>
          <cell r="G2262">
            <v>0</v>
          </cell>
          <cell r="H2262" t="str">
            <v>TABACO</v>
          </cell>
          <cell r="I2262" t="str">
            <v>U</v>
          </cell>
          <cell r="J2262" t="str">
            <v>H</v>
          </cell>
        </row>
        <row r="2263">
          <cell r="B2263" t="str">
            <v>MG010590312</v>
          </cell>
          <cell r="C2263" t="str">
            <v>MARRO GRANDE</v>
          </cell>
          <cell r="D2263" t="str">
            <v>RIÑONERA</v>
          </cell>
          <cell r="E2263" t="str">
            <v>RIÑONERA EVAN CH</v>
          </cell>
          <cell r="F2263" t="str">
            <v>BRIDGE</v>
          </cell>
          <cell r="G2263">
            <v>0</v>
          </cell>
          <cell r="H2263" t="str">
            <v>GRIS</v>
          </cell>
          <cell r="I2263" t="str">
            <v>U</v>
          </cell>
          <cell r="J2263" t="str">
            <v>H</v>
          </cell>
        </row>
        <row r="2264">
          <cell r="B2264" t="str">
            <v>MG010590352</v>
          </cell>
          <cell r="C2264" t="str">
            <v>MARRO GRANDE</v>
          </cell>
          <cell r="D2264" t="str">
            <v>RIÑONERA</v>
          </cell>
          <cell r="E2264" t="str">
            <v>RIÑONERA EVAN CH</v>
          </cell>
          <cell r="F2264" t="str">
            <v>BRIDGE</v>
          </cell>
          <cell r="G2264">
            <v>0</v>
          </cell>
          <cell r="H2264" t="str">
            <v>CHOCOLATE</v>
          </cell>
          <cell r="I2264" t="str">
            <v>U</v>
          </cell>
          <cell r="J2264" t="str">
            <v>H</v>
          </cell>
        </row>
        <row r="2265">
          <cell r="B2265" t="str">
            <v>MG010340301</v>
          </cell>
          <cell r="C2265" t="str">
            <v>MARRO GRANDE</v>
          </cell>
          <cell r="D2265" t="str">
            <v>RIÑONERA</v>
          </cell>
          <cell r="E2265" t="str">
            <v>RIÑONERA EVAN CH FULL BLACK</v>
          </cell>
          <cell r="F2265" t="str">
            <v>BRIDGE</v>
          </cell>
          <cell r="G2265">
            <v>0</v>
          </cell>
          <cell r="H2265" t="str">
            <v>NEGRO</v>
          </cell>
          <cell r="I2265" t="str">
            <v>U</v>
          </cell>
          <cell r="J2265" t="str">
            <v>H</v>
          </cell>
        </row>
        <row r="2266">
          <cell r="B2266" t="str">
            <v>MG010530101</v>
          </cell>
          <cell r="C2266" t="str">
            <v>MARRO GRANDE</v>
          </cell>
          <cell r="D2266" t="str">
            <v>RIÑONERA</v>
          </cell>
          <cell r="E2266" t="str">
            <v>RIÑONERA EVAN GD</v>
          </cell>
          <cell r="F2266" t="str">
            <v>NAPADO</v>
          </cell>
          <cell r="G2266">
            <v>0</v>
          </cell>
          <cell r="H2266" t="str">
            <v>NEGRO</v>
          </cell>
          <cell r="I2266" t="str">
            <v>U</v>
          </cell>
          <cell r="J2266" t="str">
            <v>H</v>
          </cell>
        </row>
        <row r="2267">
          <cell r="B2267" t="str">
            <v>MG010530202</v>
          </cell>
          <cell r="C2267" t="str">
            <v>MARRO GRANDE</v>
          </cell>
          <cell r="D2267" t="str">
            <v>RIÑONERA</v>
          </cell>
          <cell r="E2267" t="str">
            <v>RIÑONERA EVAN GD</v>
          </cell>
          <cell r="F2267" t="str">
            <v>TAMPONATO</v>
          </cell>
          <cell r="G2267">
            <v>0</v>
          </cell>
          <cell r="H2267" t="str">
            <v>SUELA</v>
          </cell>
          <cell r="I2267" t="str">
            <v>U</v>
          </cell>
          <cell r="J2267" t="str">
            <v>H</v>
          </cell>
        </row>
        <row r="2268">
          <cell r="B2268" t="str">
            <v>MG010530301</v>
          </cell>
          <cell r="C2268" t="str">
            <v>MARRO GRANDE</v>
          </cell>
          <cell r="D2268" t="str">
            <v>RIÑONERA</v>
          </cell>
          <cell r="E2268" t="str">
            <v>RIÑONERA EVAN GD</v>
          </cell>
          <cell r="F2268" t="str">
            <v>BRIDGE</v>
          </cell>
          <cell r="G2268">
            <v>0</v>
          </cell>
          <cell r="H2268" t="str">
            <v>NEGRO</v>
          </cell>
          <cell r="I2268" t="str">
            <v>U</v>
          </cell>
          <cell r="J2268" t="str">
            <v>H</v>
          </cell>
        </row>
        <row r="2269">
          <cell r="B2269" t="str">
            <v>MG010530303</v>
          </cell>
          <cell r="C2269" t="str">
            <v>MARRO GRANDE</v>
          </cell>
          <cell r="D2269" t="str">
            <v>RIÑONERA</v>
          </cell>
          <cell r="E2269" t="str">
            <v>RIÑONERA EVAN GD</v>
          </cell>
          <cell r="F2269" t="str">
            <v>BRIDGE</v>
          </cell>
          <cell r="G2269">
            <v>0</v>
          </cell>
          <cell r="H2269" t="str">
            <v>CARAMELO</v>
          </cell>
          <cell r="I2269" t="str">
            <v>U</v>
          </cell>
          <cell r="J2269" t="str">
            <v>H</v>
          </cell>
        </row>
        <row r="2270">
          <cell r="B2270" t="str">
            <v>MG010530304</v>
          </cell>
          <cell r="C2270" t="str">
            <v>MARRO GRANDE</v>
          </cell>
          <cell r="D2270" t="str">
            <v>RIÑONERA</v>
          </cell>
          <cell r="E2270" t="str">
            <v>RIÑONERA EVAN GD</v>
          </cell>
          <cell r="F2270" t="str">
            <v>BRIDGE</v>
          </cell>
          <cell r="G2270">
            <v>0</v>
          </cell>
          <cell r="H2270" t="str">
            <v>TABACO</v>
          </cell>
          <cell r="I2270" t="str">
            <v>U</v>
          </cell>
          <cell r="J2270" t="str">
            <v>H</v>
          </cell>
        </row>
        <row r="2271">
          <cell r="B2271" t="str">
            <v>MG010530312</v>
          </cell>
          <cell r="C2271" t="str">
            <v>MARRO GRANDE</v>
          </cell>
          <cell r="D2271" t="str">
            <v>RIÑONERA</v>
          </cell>
          <cell r="E2271" t="str">
            <v>RIÑONERA EVAN GD</v>
          </cell>
          <cell r="F2271" t="str">
            <v>BRIDGE</v>
          </cell>
          <cell r="G2271">
            <v>0</v>
          </cell>
          <cell r="H2271" t="str">
            <v>GRIS</v>
          </cell>
          <cell r="I2271" t="str">
            <v>U</v>
          </cell>
          <cell r="J2271" t="str">
            <v>H</v>
          </cell>
        </row>
        <row r="2272">
          <cell r="B2272" t="str">
            <v>MG010530352</v>
          </cell>
          <cell r="C2272" t="str">
            <v>MARRO GRANDE</v>
          </cell>
          <cell r="D2272" t="str">
            <v>RIÑONERA</v>
          </cell>
          <cell r="E2272" t="str">
            <v>RIÑONERA EVAN GD</v>
          </cell>
          <cell r="F2272" t="str">
            <v>BRIDGE</v>
          </cell>
          <cell r="G2272">
            <v>0</v>
          </cell>
          <cell r="H2272" t="str">
            <v>CHOCOLATE</v>
          </cell>
          <cell r="I2272" t="str">
            <v>U</v>
          </cell>
          <cell r="J2272" t="str">
            <v>H</v>
          </cell>
        </row>
        <row r="2273">
          <cell r="B2273" t="str">
            <v>MG010230301</v>
          </cell>
          <cell r="C2273" t="str">
            <v>MARRO GRANDE</v>
          </cell>
          <cell r="D2273" t="str">
            <v>RIÑONERA</v>
          </cell>
          <cell r="E2273" t="str">
            <v>RIÑONERA EVAN GDE FULL BLACK</v>
          </cell>
          <cell r="F2273" t="str">
            <v>BRIDGE</v>
          </cell>
          <cell r="G2273">
            <v>0</v>
          </cell>
          <cell r="H2273" t="str">
            <v>NEGRO</v>
          </cell>
          <cell r="I2273" t="str">
            <v>U</v>
          </cell>
          <cell r="J2273" t="str">
            <v>H</v>
          </cell>
        </row>
        <row r="2274">
          <cell r="B2274" t="str">
            <v>MG010390402</v>
          </cell>
          <cell r="C2274" t="str">
            <v>MARRO GRANDE</v>
          </cell>
          <cell r="D2274" t="str">
            <v>RIÑONERA</v>
          </cell>
          <cell r="E2274" t="str">
            <v>RIÑONERA PARIS</v>
          </cell>
          <cell r="F2274" t="str">
            <v>VAQUETA</v>
          </cell>
          <cell r="G2274">
            <v>0</v>
          </cell>
          <cell r="H2274" t="str">
            <v>SUELA/NEGRO</v>
          </cell>
          <cell r="I2274" t="str">
            <v>U</v>
          </cell>
          <cell r="J2274" t="str">
            <v>M</v>
          </cell>
        </row>
        <row r="2275">
          <cell r="B2275" t="str">
            <v>MG010390402-S</v>
          </cell>
          <cell r="C2275" t="str">
            <v>MARRO GRANDE</v>
          </cell>
          <cell r="D2275" t="str">
            <v>RIÑONERA</v>
          </cell>
          <cell r="E2275" t="str">
            <v>RIÑONERA PARIS</v>
          </cell>
          <cell r="F2275" t="str">
            <v>VAQUETA</v>
          </cell>
          <cell r="G2275">
            <v>0</v>
          </cell>
          <cell r="H2275" t="str">
            <v>SUELA/SUELA</v>
          </cell>
          <cell r="I2275" t="str">
            <v>U</v>
          </cell>
          <cell r="J2275" t="str">
            <v>M</v>
          </cell>
        </row>
        <row r="2276">
          <cell r="B2276" t="str">
            <v>MG010390405</v>
          </cell>
          <cell r="C2276" t="str">
            <v>MARRO GRANDE</v>
          </cell>
          <cell r="D2276" t="str">
            <v>RIÑONERA</v>
          </cell>
          <cell r="E2276" t="str">
            <v>RIÑONERA PARIS</v>
          </cell>
          <cell r="F2276" t="str">
            <v>VAQUETA</v>
          </cell>
          <cell r="G2276">
            <v>0</v>
          </cell>
          <cell r="H2276" t="str">
            <v>LONDON</v>
          </cell>
          <cell r="I2276" t="str">
            <v>U</v>
          </cell>
          <cell r="J2276" t="str">
            <v>M</v>
          </cell>
        </row>
        <row r="2277">
          <cell r="B2277" t="str">
            <v>MG010380301</v>
          </cell>
          <cell r="C2277" t="str">
            <v>MARRO GRANDE</v>
          </cell>
          <cell r="D2277" t="str">
            <v>RIÑONERA</v>
          </cell>
          <cell r="E2277" t="str">
            <v>RIÑONERA ROMA</v>
          </cell>
          <cell r="F2277" t="str">
            <v>BRIDGE</v>
          </cell>
          <cell r="G2277">
            <v>0</v>
          </cell>
          <cell r="H2277" t="str">
            <v>NEGRO</v>
          </cell>
          <cell r="I2277" t="str">
            <v>U</v>
          </cell>
          <cell r="J2277" t="str">
            <v>M</v>
          </cell>
        </row>
        <row r="2278">
          <cell r="B2278" t="str">
            <v>MG010380303</v>
          </cell>
          <cell r="C2278" t="str">
            <v>MARRO GRANDE</v>
          </cell>
          <cell r="D2278" t="str">
            <v>RIÑONERA</v>
          </cell>
          <cell r="E2278" t="str">
            <v>RIÑONERA ROMA</v>
          </cell>
          <cell r="F2278" t="str">
            <v>BRIDGE</v>
          </cell>
          <cell r="G2278">
            <v>0</v>
          </cell>
          <cell r="H2278" t="str">
            <v>CARAMELO</v>
          </cell>
          <cell r="I2278" t="str">
            <v>U</v>
          </cell>
          <cell r="J2278" t="str">
            <v>M</v>
          </cell>
        </row>
        <row r="2279">
          <cell r="B2279" t="str">
            <v>MG010380311</v>
          </cell>
          <cell r="C2279" t="str">
            <v>MARRO GRANDE</v>
          </cell>
          <cell r="D2279" t="str">
            <v>RIÑONERA</v>
          </cell>
          <cell r="E2279" t="str">
            <v>RIÑONERA ROMA</v>
          </cell>
          <cell r="F2279" t="str">
            <v>BRIDGE</v>
          </cell>
          <cell r="G2279">
            <v>0</v>
          </cell>
          <cell r="H2279" t="str">
            <v>CAMEL</v>
          </cell>
          <cell r="I2279" t="str">
            <v>U</v>
          </cell>
          <cell r="J2279" t="str">
            <v>M</v>
          </cell>
        </row>
        <row r="2280">
          <cell r="B2280" t="str">
            <v>CA140070002-36</v>
          </cell>
          <cell r="C2280" t="str">
            <v>CALZADO</v>
          </cell>
          <cell r="D2280" t="str">
            <v>SANDALIA</v>
          </cell>
          <cell r="E2280" t="str">
            <v xml:space="preserve">SANDALIA MAR </v>
          </cell>
          <cell r="F2280" t="str">
            <v>CUERO</v>
          </cell>
          <cell r="G2280">
            <v>0</v>
          </cell>
          <cell r="H2280" t="str">
            <v>SUELA</v>
          </cell>
          <cell r="I2280">
            <v>36</v>
          </cell>
          <cell r="J2280">
            <v>0</v>
          </cell>
        </row>
        <row r="2281">
          <cell r="B2281" t="str">
            <v>CA140070002-37</v>
          </cell>
          <cell r="C2281" t="str">
            <v>CALZADO</v>
          </cell>
          <cell r="D2281" t="str">
            <v>SANDALIA</v>
          </cell>
          <cell r="E2281" t="str">
            <v xml:space="preserve">SANDALIA MAR </v>
          </cell>
          <cell r="F2281" t="str">
            <v>CUERO</v>
          </cell>
          <cell r="G2281">
            <v>0</v>
          </cell>
          <cell r="H2281" t="str">
            <v>SUELA</v>
          </cell>
          <cell r="I2281">
            <v>37</v>
          </cell>
          <cell r="J2281">
            <v>0</v>
          </cell>
        </row>
        <row r="2282">
          <cell r="B2282" t="str">
            <v>CA140070002-38</v>
          </cell>
          <cell r="C2282" t="str">
            <v>CALZADO</v>
          </cell>
          <cell r="D2282" t="str">
            <v>SANDALIA</v>
          </cell>
          <cell r="E2282" t="str">
            <v xml:space="preserve">SANDALIA MAR </v>
          </cell>
          <cell r="F2282" t="str">
            <v>CUERO</v>
          </cell>
          <cell r="G2282">
            <v>0</v>
          </cell>
          <cell r="H2282" t="str">
            <v>SUELA</v>
          </cell>
          <cell r="I2282">
            <v>38</v>
          </cell>
          <cell r="J2282">
            <v>0</v>
          </cell>
        </row>
        <row r="2283">
          <cell r="B2283" t="str">
            <v>CA140070002-39</v>
          </cell>
          <cell r="C2283" t="str">
            <v>CALZADO</v>
          </cell>
          <cell r="D2283" t="str">
            <v>SANDALIA</v>
          </cell>
          <cell r="E2283" t="str">
            <v xml:space="preserve">SANDALIA MAR </v>
          </cell>
          <cell r="F2283" t="str">
            <v>CUERO</v>
          </cell>
          <cell r="G2283">
            <v>0</v>
          </cell>
          <cell r="H2283" t="str">
            <v>SUELA</v>
          </cell>
          <cell r="I2283">
            <v>39</v>
          </cell>
          <cell r="J2283">
            <v>0</v>
          </cell>
        </row>
        <row r="2284">
          <cell r="B2284" t="str">
            <v>CA140070002-40</v>
          </cell>
          <cell r="C2284" t="str">
            <v>CALZADO</v>
          </cell>
          <cell r="D2284" t="str">
            <v>SANDALIA</v>
          </cell>
          <cell r="E2284" t="str">
            <v xml:space="preserve">SANDALIA MAR </v>
          </cell>
          <cell r="F2284" t="str">
            <v>CUERO</v>
          </cell>
          <cell r="G2284">
            <v>0</v>
          </cell>
          <cell r="H2284" t="str">
            <v>SUELA</v>
          </cell>
          <cell r="I2284">
            <v>40</v>
          </cell>
          <cell r="J2284">
            <v>0</v>
          </cell>
        </row>
        <row r="2285">
          <cell r="B2285" t="str">
            <v>CA140070002-41</v>
          </cell>
          <cell r="C2285" t="str">
            <v>CALZADO</v>
          </cell>
          <cell r="D2285" t="str">
            <v>SANDALIA</v>
          </cell>
          <cell r="E2285" t="str">
            <v xml:space="preserve">SANDALIA MAR </v>
          </cell>
          <cell r="F2285" t="str">
            <v>CUERO</v>
          </cell>
          <cell r="G2285">
            <v>0</v>
          </cell>
          <cell r="H2285" t="str">
            <v>SUELA</v>
          </cell>
          <cell r="I2285">
            <v>41</v>
          </cell>
          <cell r="J2285">
            <v>0</v>
          </cell>
        </row>
        <row r="2286">
          <cell r="B2286" t="str">
            <v>CA140080001-36</v>
          </cell>
          <cell r="C2286" t="str">
            <v>CALZADO</v>
          </cell>
          <cell r="D2286" t="str">
            <v>SANDALIA</v>
          </cell>
          <cell r="E2286" t="str">
            <v>SANDALIA SOFIA</v>
          </cell>
          <cell r="F2286" t="str">
            <v>CUERO</v>
          </cell>
          <cell r="G2286">
            <v>0</v>
          </cell>
          <cell r="H2286" t="str">
            <v>NEGRO</v>
          </cell>
          <cell r="I2286">
            <v>36</v>
          </cell>
          <cell r="J2286">
            <v>0</v>
          </cell>
        </row>
        <row r="2287">
          <cell r="B2287" t="str">
            <v>CA140080001-37</v>
          </cell>
          <cell r="C2287" t="str">
            <v>CALZADO</v>
          </cell>
          <cell r="D2287" t="str">
            <v>SANDALIA</v>
          </cell>
          <cell r="E2287" t="str">
            <v>SANDALIA SOFIA</v>
          </cell>
          <cell r="F2287" t="str">
            <v>CUERO</v>
          </cell>
          <cell r="G2287">
            <v>0</v>
          </cell>
          <cell r="H2287" t="str">
            <v>NEGRO</v>
          </cell>
          <cell r="I2287">
            <v>37</v>
          </cell>
          <cell r="J2287">
            <v>0</v>
          </cell>
        </row>
        <row r="2288">
          <cell r="B2288" t="str">
            <v>CA140080001-38</v>
          </cell>
          <cell r="C2288" t="str">
            <v>CALZADO</v>
          </cell>
          <cell r="D2288" t="str">
            <v>SANDALIA</v>
          </cell>
          <cell r="E2288" t="str">
            <v>SANDALIA SOFIA</v>
          </cell>
          <cell r="F2288" t="str">
            <v>CUERO</v>
          </cell>
          <cell r="G2288">
            <v>0</v>
          </cell>
          <cell r="H2288" t="str">
            <v>NEGRO</v>
          </cell>
          <cell r="I2288">
            <v>38</v>
          </cell>
          <cell r="J2288">
            <v>0</v>
          </cell>
        </row>
        <row r="2289">
          <cell r="B2289" t="str">
            <v>CA140080001-39</v>
          </cell>
          <cell r="C2289" t="str">
            <v>CALZADO</v>
          </cell>
          <cell r="D2289" t="str">
            <v>SANDALIA</v>
          </cell>
          <cell r="E2289" t="str">
            <v>SANDALIA SOFIA</v>
          </cell>
          <cell r="F2289" t="str">
            <v>CUERO</v>
          </cell>
          <cell r="G2289">
            <v>0</v>
          </cell>
          <cell r="H2289" t="str">
            <v>NEGRO</v>
          </cell>
          <cell r="I2289">
            <v>39</v>
          </cell>
          <cell r="J2289">
            <v>0</v>
          </cell>
        </row>
        <row r="2290">
          <cell r="B2290" t="str">
            <v>CA140080001-40</v>
          </cell>
          <cell r="C2290" t="str">
            <v>CALZADO</v>
          </cell>
          <cell r="D2290" t="str">
            <v>SANDALIA</v>
          </cell>
          <cell r="E2290" t="str">
            <v>SANDALIA SOFIA</v>
          </cell>
          <cell r="F2290" t="str">
            <v>CUERO</v>
          </cell>
          <cell r="G2290">
            <v>0</v>
          </cell>
          <cell r="H2290" t="str">
            <v>NEGRO</v>
          </cell>
          <cell r="I2290">
            <v>40</v>
          </cell>
          <cell r="J2290">
            <v>0</v>
          </cell>
        </row>
        <row r="2291">
          <cell r="B2291" t="str">
            <v>CA140080001-41</v>
          </cell>
          <cell r="C2291" t="str">
            <v>CALZADO</v>
          </cell>
          <cell r="D2291" t="str">
            <v>SANDALIA</v>
          </cell>
          <cell r="E2291" t="str">
            <v>SANDALIA SOFIA</v>
          </cell>
          <cell r="F2291" t="str">
            <v>CUERO</v>
          </cell>
          <cell r="G2291">
            <v>0</v>
          </cell>
          <cell r="H2291" t="str">
            <v>NEGRO</v>
          </cell>
          <cell r="I2291">
            <v>41</v>
          </cell>
          <cell r="J2291">
            <v>0</v>
          </cell>
        </row>
        <row r="2292">
          <cell r="B2292" t="str">
            <v>OT020450402</v>
          </cell>
          <cell r="C2292" t="str">
            <v>ACCESORIOS</v>
          </cell>
          <cell r="D2292" t="str">
            <v>SEÑALADOR</v>
          </cell>
          <cell r="E2292" t="str">
            <v>SEÑALADOR</v>
          </cell>
          <cell r="F2292" t="str">
            <v>VAQUETA</v>
          </cell>
          <cell r="G2292">
            <v>0</v>
          </cell>
          <cell r="H2292" t="str">
            <v>SUELA</v>
          </cell>
          <cell r="I2292" t="str">
            <v>U</v>
          </cell>
          <cell r="J2292">
            <v>0</v>
          </cell>
        </row>
        <row r="2293">
          <cell r="B2293" t="str">
            <v>OT020450408</v>
          </cell>
          <cell r="C2293" t="str">
            <v>ACCESORIOS</v>
          </cell>
          <cell r="D2293" t="str">
            <v>SEÑALADOR</v>
          </cell>
          <cell r="E2293" t="str">
            <v>SEÑALADOR</v>
          </cell>
          <cell r="F2293" t="str">
            <v>VAQUETA</v>
          </cell>
          <cell r="G2293">
            <v>0</v>
          </cell>
          <cell r="H2293" t="str">
            <v>NATURAL</v>
          </cell>
          <cell r="I2293" t="str">
            <v>U</v>
          </cell>
          <cell r="J2293">
            <v>0</v>
          </cell>
        </row>
        <row r="2294">
          <cell r="B2294" t="str">
            <v>OT020450428</v>
          </cell>
          <cell r="C2294" t="str">
            <v>ACCESORIOS</v>
          </cell>
          <cell r="D2294" t="str">
            <v>SEÑALADOR</v>
          </cell>
          <cell r="E2294" t="str">
            <v>SEÑALADOR</v>
          </cell>
          <cell r="F2294" t="str">
            <v>VAQUETA</v>
          </cell>
          <cell r="G2294">
            <v>0</v>
          </cell>
          <cell r="H2294" t="str">
            <v>VISON</v>
          </cell>
          <cell r="I2294" t="str">
            <v>U</v>
          </cell>
          <cell r="J2294">
            <v>0</v>
          </cell>
        </row>
        <row r="2295">
          <cell r="B2295" t="str">
            <v>OT020450452</v>
          </cell>
          <cell r="C2295" t="str">
            <v>ACCESORIOS</v>
          </cell>
          <cell r="D2295" t="str">
            <v>SEÑALADOR</v>
          </cell>
          <cell r="E2295" t="str">
            <v>SEÑALADOR</v>
          </cell>
          <cell r="F2295" t="str">
            <v>VAQUETA</v>
          </cell>
          <cell r="G2295">
            <v>0</v>
          </cell>
          <cell r="H2295" t="str">
            <v>CHOCOLATE</v>
          </cell>
          <cell r="I2295" t="str">
            <v>U</v>
          </cell>
          <cell r="J2295">
            <v>0</v>
          </cell>
        </row>
        <row r="2296">
          <cell r="B2296" t="str">
            <v>MC020820101</v>
          </cell>
          <cell r="C2296" t="str">
            <v>DECO</v>
          </cell>
          <cell r="D2296" t="str">
            <v>POSAVASO</v>
          </cell>
          <cell r="E2296" t="str">
            <v>SET POSAVASOS CIRCULAR X4</v>
          </cell>
          <cell r="F2296" t="str">
            <v>NAPADO</v>
          </cell>
          <cell r="G2296">
            <v>0</v>
          </cell>
          <cell r="H2296" t="str">
            <v>NEGRO</v>
          </cell>
          <cell r="I2296" t="str">
            <v>U</v>
          </cell>
          <cell r="J2296" t="str">
            <v>U</v>
          </cell>
        </row>
        <row r="2297">
          <cell r="B2297" t="str">
            <v>MC020820102</v>
          </cell>
          <cell r="C2297" t="str">
            <v>DECO</v>
          </cell>
          <cell r="D2297" t="str">
            <v>POSAVASO</v>
          </cell>
          <cell r="E2297" t="str">
            <v>SET POSAVASOS CIRCULAR X4</v>
          </cell>
          <cell r="F2297" t="str">
            <v>NAPADO</v>
          </cell>
          <cell r="G2297">
            <v>0</v>
          </cell>
          <cell r="H2297" t="str">
            <v>SUELA</v>
          </cell>
          <cell r="I2297" t="str">
            <v>U</v>
          </cell>
          <cell r="J2297" t="str">
            <v>U</v>
          </cell>
        </row>
        <row r="2298">
          <cell r="B2298" t="str">
            <v>MC020820103</v>
          </cell>
          <cell r="C2298" t="str">
            <v>DECO</v>
          </cell>
          <cell r="D2298" t="str">
            <v>POSAVASO</v>
          </cell>
          <cell r="E2298" t="str">
            <v>SET POSAVASOS CIRCULAR X4</v>
          </cell>
          <cell r="F2298" t="str">
            <v>NAPADO</v>
          </cell>
          <cell r="G2298">
            <v>0</v>
          </cell>
          <cell r="H2298" t="str">
            <v>CARAMELO</v>
          </cell>
          <cell r="I2298" t="str">
            <v>U</v>
          </cell>
          <cell r="J2298" t="str">
            <v>U</v>
          </cell>
        </row>
        <row r="2299">
          <cell r="B2299" t="str">
            <v>MC020820104</v>
          </cell>
          <cell r="C2299" t="str">
            <v>DECO</v>
          </cell>
          <cell r="D2299" t="str">
            <v>POSAVASO</v>
          </cell>
          <cell r="E2299" t="str">
            <v>SET POSAVASOS CIRCULAR X4</v>
          </cell>
          <cell r="F2299" t="str">
            <v>NAPADO</v>
          </cell>
          <cell r="G2299">
            <v>0</v>
          </cell>
          <cell r="H2299" t="str">
            <v>TABACO</v>
          </cell>
          <cell r="I2299" t="str">
            <v>U</v>
          </cell>
          <cell r="J2299" t="str">
            <v>U</v>
          </cell>
        </row>
        <row r="2300">
          <cell r="B2300" t="str">
            <v>MC020820115</v>
          </cell>
          <cell r="C2300" t="str">
            <v>DECO</v>
          </cell>
          <cell r="D2300" t="str">
            <v>POSAVASO</v>
          </cell>
          <cell r="E2300" t="str">
            <v>SET POSAVASOS CIRCULAR X4</v>
          </cell>
          <cell r="F2300" t="str">
            <v>NAPADO</v>
          </cell>
          <cell r="G2300">
            <v>0</v>
          </cell>
          <cell r="H2300" t="str">
            <v>MALBEC</v>
          </cell>
          <cell r="I2300" t="str">
            <v>U</v>
          </cell>
          <cell r="J2300" t="str">
            <v>U</v>
          </cell>
        </row>
        <row r="2301">
          <cell r="B2301" t="str">
            <v>MC020820301</v>
          </cell>
          <cell r="C2301" t="str">
            <v>DECO</v>
          </cell>
          <cell r="D2301" t="str">
            <v>POSAVASO</v>
          </cell>
          <cell r="E2301" t="str">
            <v>SET POSAVASOS CIRCULAR X4</v>
          </cell>
          <cell r="F2301" t="str">
            <v>BRIDGE</v>
          </cell>
          <cell r="G2301">
            <v>0</v>
          </cell>
          <cell r="H2301" t="str">
            <v>NEGRO</v>
          </cell>
          <cell r="I2301" t="str">
            <v>U</v>
          </cell>
          <cell r="J2301" t="str">
            <v>U</v>
          </cell>
        </row>
        <row r="2302">
          <cell r="B2302" t="str">
            <v>MC020820304</v>
          </cell>
          <cell r="C2302" t="str">
            <v>DECO</v>
          </cell>
          <cell r="D2302" t="str">
            <v>POSAVASO</v>
          </cell>
          <cell r="E2302" t="str">
            <v>SET POSAVASOS CIRCULAR X4</v>
          </cell>
          <cell r="F2302" t="str">
            <v>BRIDGE</v>
          </cell>
          <cell r="G2302">
            <v>0</v>
          </cell>
          <cell r="H2302" t="str">
            <v>TABACO</v>
          </cell>
          <cell r="I2302" t="str">
            <v>U</v>
          </cell>
          <cell r="J2302" t="str">
            <v>U</v>
          </cell>
        </row>
        <row r="2303">
          <cell r="B2303" t="str">
            <v>MC020820307</v>
          </cell>
          <cell r="C2303" t="str">
            <v>DECO</v>
          </cell>
          <cell r="D2303" t="str">
            <v>POSAVASO</v>
          </cell>
          <cell r="E2303" t="str">
            <v>SET POSAVASOS CIRCULAR X4</v>
          </cell>
          <cell r="F2303" t="str">
            <v>BRIDGE</v>
          </cell>
          <cell r="G2303">
            <v>0</v>
          </cell>
          <cell r="H2303" t="str">
            <v>ROJO</v>
          </cell>
          <cell r="I2303" t="str">
            <v>U</v>
          </cell>
          <cell r="J2303" t="str">
            <v>U</v>
          </cell>
        </row>
        <row r="2304">
          <cell r="B2304" t="str">
            <v>MC020810101</v>
          </cell>
          <cell r="C2304" t="str">
            <v>DECO</v>
          </cell>
          <cell r="D2304" t="str">
            <v>POSAVASO</v>
          </cell>
          <cell r="E2304" t="str">
            <v>SET POSAVASOS CUADRADO X4</v>
          </cell>
          <cell r="F2304" t="str">
            <v>NAPADO</v>
          </cell>
          <cell r="G2304">
            <v>0</v>
          </cell>
          <cell r="H2304" t="str">
            <v>NEGRO</v>
          </cell>
          <cell r="I2304" t="str">
            <v>U</v>
          </cell>
          <cell r="J2304" t="str">
            <v>U</v>
          </cell>
        </row>
        <row r="2305">
          <cell r="B2305" t="str">
            <v>MC020810102</v>
          </cell>
          <cell r="C2305" t="str">
            <v>DECO</v>
          </cell>
          <cell r="D2305" t="str">
            <v>POSAVASO</v>
          </cell>
          <cell r="E2305" t="str">
            <v>SET POSAVASOS CUADRADO X4</v>
          </cell>
          <cell r="F2305" t="str">
            <v>NAPADO</v>
          </cell>
          <cell r="G2305">
            <v>0</v>
          </cell>
          <cell r="H2305" t="str">
            <v>SUELA</v>
          </cell>
          <cell r="I2305" t="str">
            <v>U</v>
          </cell>
          <cell r="J2305" t="str">
            <v>U</v>
          </cell>
        </row>
        <row r="2306">
          <cell r="B2306" t="str">
            <v>MC020810103</v>
          </cell>
          <cell r="C2306" t="str">
            <v>DECO</v>
          </cell>
          <cell r="D2306" t="str">
            <v>POSAVASO</v>
          </cell>
          <cell r="E2306" t="str">
            <v>SET POSAVASOS CUADRADO X4</v>
          </cell>
          <cell r="F2306" t="str">
            <v>NAPADO</v>
          </cell>
          <cell r="G2306">
            <v>0</v>
          </cell>
          <cell r="H2306" t="str">
            <v>CARAMELO</v>
          </cell>
          <cell r="I2306" t="str">
            <v>U</v>
          </cell>
          <cell r="J2306" t="str">
            <v>U</v>
          </cell>
        </row>
        <row r="2307">
          <cell r="B2307" t="str">
            <v>MC020810104</v>
          </cell>
          <cell r="C2307" t="str">
            <v>DECO</v>
          </cell>
          <cell r="D2307" t="str">
            <v>POSAVASO</v>
          </cell>
          <cell r="E2307" t="str">
            <v>SET POSAVASOS CUADRADO X4</v>
          </cell>
          <cell r="F2307" t="str">
            <v>NAPADO</v>
          </cell>
          <cell r="G2307">
            <v>0</v>
          </cell>
          <cell r="H2307" t="str">
            <v>TABACO</v>
          </cell>
          <cell r="I2307" t="str">
            <v>U</v>
          </cell>
          <cell r="J2307" t="str">
            <v>U</v>
          </cell>
        </row>
        <row r="2308">
          <cell r="B2308" t="str">
            <v>MC020810301</v>
          </cell>
          <cell r="C2308" t="str">
            <v>DECO</v>
          </cell>
          <cell r="D2308" t="str">
            <v>POSAVASO</v>
          </cell>
          <cell r="E2308" t="str">
            <v>SET POSAVASOS CUADRADO X4</v>
          </cell>
          <cell r="F2308" t="str">
            <v>BRIDGE</v>
          </cell>
          <cell r="G2308">
            <v>0</v>
          </cell>
          <cell r="H2308" t="str">
            <v>NEGRO</v>
          </cell>
          <cell r="I2308" t="str">
            <v>U</v>
          </cell>
          <cell r="J2308" t="str">
            <v>U</v>
          </cell>
        </row>
        <row r="2309">
          <cell r="B2309" t="str">
            <v>MC020810304</v>
          </cell>
          <cell r="C2309" t="str">
            <v>DECO</v>
          </cell>
          <cell r="D2309" t="str">
            <v>POSAVASO</v>
          </cell>
          <cell r="E2309" t="str">
            <v>SET POSAVASOS CUADRADO X4</v>
          </cell>
          <cell r="F2309" t="str">
            <v>BRIDGE</v>
          </cell>
          <cell r="G2309">
            <v>0</v>
          </cell>
          <cell r="H2309" t="str">
            <v>TABACO</v>
          </cell>
          <cell r="I2309" t="str">
            <v>U</v>
          </cell>
          <cell r="J2309" t="str">
            <v>U</v>
          </cell>
        </row>
        <row r="2310">
          <cell r="B2310" t="str">
            <v>MC020810307</v>
          </cell>
          <cell r="C2310" t="str">
            <v>DECO</v>
          </cell>
          <cell r="D2310" t="str">
            <v>POSAVASO</v>
          </cell>
          <cell r="E2310" t="str">
            <v>SET POSAVASOS CUADRADO X4</v>
          </cell>
          <cell r="F2310" t="str">
            <v>BRIDGE</v>
          </cell>
          <cell r="G2310">
            <v>0</v>
          </cell>
          <cell r="H2310" t="str">
            <v>ROJO</v>
          </cell>
          <cell r="I2310" t="str">
            <v>U</v>
          </cell>
          <cell r="J2310" t="str">
            <v>U</v>
          </cell>
        </row>
        <row r="2311">
          <cell r="B2311" t="str">
            <v>OT020030102</v>
          </cell>
          <cell r="C2311" t="str">
            <v>DECO</v>
          </cell>
          <cell r="D2311" t="str">
            <v>POSAVASO</v>
          </cell>
          <cell r="E2311" t="str">
            <v>SET POSAVASOS CUADRADO X4</v>
          </cell>
          <cell r="F2311" t="str">
            <v>NAPADO</v>
          </cell>
          <cell r="G2311">
            <v>0</v>
          </cell>
          <cell r="H2311" t="str">
            <v>SUELA</v>
          </cell>
          <cell r="I2311" t="str">
            <v>U</v>
          </cell>
          <cell r="J2311" t="str">
            <v>U</v>
          </cell>
        </row>
        <row r="2312">
          <cell r="B2312" t="str">
            <v>MG010800101</v>
          </cell>
          <cell r="C2312" t="str">
            <v>MARRO GRANDE</v>
          </cell>
          <cell r="D2312" t="str">
            <v>SOBRE</v>
          </cell>
          <cell r="E2312" t="str">
            <v>SOBRE GEMINI</v>
          </cell>
          <cell r="F2312" t="str">
            <v>NAPADO</v>
          </cell>
          <cell r="G2312">
            <v>0</v>
          </cell>
          <cell r="H2312" t="str">
            <v>NEGRO</v>
          </cell>
          <cell r="I2312" t="str">
            <v>U</v>
          </cell>
          <cell r="J2312" t="str">
            <v>M</v>
          </cell>
        </row>
        <row r="2313">
          <cell r="B2313" t="str">
            <v>MG010800102</v>
          </cell>
          <cell r="C2313" t="str">
            <v>MARRO GRANDE</v>
          </cell>
          <cell r="D2313" t="str">
            <v>SOBRE</v>
          </cell>
          <cell r="E2313" t="str">
            <v>SOBRE GEMINI</v>
          </cell>
          <cell r="F2313" t="str">
            <v>NAPADO</v>
          </cell>
          <cell r="G2313">
            <v>0</v>
          </cell>
          <cell r="H2313" t="str">
            <v>SUELA</v>
          </cell>
          <cell r="I2313" t="str">
            <v>U</v>
          </cell>
          <cell r="J2313" t="str">
            <v>M</v>
          </cell>
        </row>
        <row r="2314">
          <cell r="B2314" t="str">
            <v>MG010800103</v>
          </cell>
          <cell r="C2314" t="str">
            <v>MARRO GRANDE</v>
          </cell>
          <cell r="D2314" t="str">
            <v>SOBRE</v>
          </cell>
          <cell r="E2314" t="str">
            <v>SOBRE GEMINI</v>
          </cell>
          <cell r="F2314" t="str">
            <v>NAPADO</v>
          </cell>
          <cell r="G2314">
            <v>0</v>
          </cell>
          <cell r="H2314" t="str">
            <v>CARAMELO</v>
          </cell>
          <cell r="I2314" t="str">
            <v>U</v>
          </cell>
          <cell r="J2314" t="str">
            <v>M</v>
          </cell>
        </row>
        <row r="2315">
          <cell r="B2315" t="str">
            <v>MG010800107</v>
          </cell>
          <cell r="C2315" t="str">
            <v>MARRO GRANDE</v>
          </cell>
          <cell r="D2315" t="str">
            <v>SOBRE</v>
          </cell>
          <cell r="E2315" t="str">
            <v>SOBRE GEMINI</v>
          </cell>
          <cell r="F2315" t="str">
            <v>NAPADO</v>
          </cell>
          <cell r="G2315">
            <v>0</v>
          </cell>
          <cell r="H2315" t="str">
            <v>ROJO</v>
          </cell>
          <cell r="I2315" t="str">
            <v>U</v>
          </cell>
          <cell r="J2315" t="str">
            <v>M</v>
          </cell>
        </row>
        <row r="2316">
          <cell r="B2316" t="str">
            <v>MG010800109</v>
          </cell>
          <cell r="C2316" t="str">
            <v>MARRO GRANDE</v>
          </cell>
          <cell r="D2316" t="str">
            <v>SOBRE</v>
          </cell>
          <cell r="E2316" t="str">
            <v>SOBRE GEMINI</v>
          </cell>
          <cell r="F2316" t="str">
            <v>NAPADO</v>
          </cell>
          <cell r="G2316">
            <v>0</v>
          </cell>
          <cell r="H2316" t="str">
            <v>AZUL</v>
          </cell>
          <cell r="I2316" t="str">
            <v>U</v>
          </cell>
          <cell r="J2316" t="str">
            <v>M</v>
          </cell>
        </row>
        <row r="2317">
          <cell r="B2317" t="str">
            <v>MG010800110</v>
          </cell>
          <cell r="C2317" t="str">
            <v>MARRO GRANDE</v>
          </cell>
          <cell r="D2317" t="str">
            <v>SOBRE</v>
          </cell>
          <cell r="E2317" t="str">
            <v>SOBRE GEMINI</v>
          </cell>
          <cell r="F2317" t="str">
            <v>NAPADO</v>
          </cell>
          <cell r="G2317">
            <v>0</v>
          </cell>
          <cell r="H2317" t="str">
            <v>VERDE</v>
          </cell>
          <cell r="I2317" t="str">
            <v>U</v>
          </cell>
          <cell r="J2317" t="str">
            <v>M</v>
          </cell>
        </row>
        <row r="2318">
          <cell r="B2318" t="str">
            <v>MG010800115</v>
          </cell>
          <cell r="C2318" t="str">
            <v>MARRO GRANDE</v>
          </cell>
          <cell r="D2318" t="str">
            <v>SOBRE</v>
          </cell>
          <cell r="E2318" t="str">
            <v>SOBRE GEMINI</v>
          </cell>
          <cell r="F2318" t="str">
            <v>NAPADO</v>
          </cell>
          <cell r="G2318">
            <v>0</v>
          </cell>
          <cell r="H2318" t="str">
            <v>MALBEC</v>
          </cell>
          <cell r="I2318" t="str">
            <v>U</v>
          </cell>
          <cell r="J2318" t="str">
            <v>M</v>
          </cell>
        </row>
        <row r="2319">
          <cell r="B2319" t="str">
            <v>MG010801201</v>
          </cell>
          <cell r="C2319" t="str">
            <v>MARRO GRANDE</v>
          </cell>
          <cell r="D2319" t="str">
            <v>SOBRE</v>
          </cell>
          <cell r="E2319" t="str">
            <v>SOBRE GEMINI</v>
          </cell>
          <cell r="F2319" t="str">
            <v>DUNA</v>
          </cell>
          <cell r="G2319">
            <v>0</v>
          </cell>
          <cell r="H2319" t="str">
            <v>NEGRO</v>
          </cell>
          <cell r="I2319" t="str">
            <v>U</v>
          </cell>
          <cell r="J2319" t="str">
            <v>M</v>
          </cell>
        </row>
        <row r="2320">
          <cell r="B2320" t="str">
            <v>MG020830301</v>
          </cell>
          <cell r="C2320" t="str">
            <v>MARRO GRANDE</v>
          </cell>
          <cell r="D2320" t="str">
            <v>SOBRE</v>
          </cell>
          <cell r="E2320" t="str">
            <v>SOBRE OMEGA</v>
          </cell>
          <cell r="F2320" t="str">
            <v>BRIDGE</v>
          </cell>
          <cell r="G2320">
            <v>0</v>
          </cell>
          <cell r="H2320" t="str">
            <v>NEGRO</v>
          </cell>
          <cell r="I2320" t="str">
            <v>U</v>
          </cell>
          <cell r="J2320" t="str">
            <v>M</v>
          </cell>
        </row>
        <row r="2321">
          <cell r="B2321" t="str">
            <v>MG020830303</v>
          </cell>
          <cell r="C2321" t="str">
            <v>MARRO GRANDE</v>
          </cell>
          <cell r="D2321" t="str">
            <v>SOBRE</v>
          </cell>
          <cell r="E2321" t="str">
            <v>SOBRE OMEGA</v>
          </cell>
          <cell r="F2321" t="str">
            <v>BRIDGE</v>
          </cell>
          <cell r="G2321">
            <v>0</v>
          </cell>
          <cell r="H2321" t="str">
            <v>CARAMELO</v>
          </cell>
          <cell r="I2321" t="str">
            <v>U</v>
          </cell>
          <cell r="J2321" t="str">
            <v>M</v>
          </cell>
        </row>
        <row r="2322">
          <cell r="B2322" t="str">
            <v>MG020830307</v>
          </cell>
          <cell r="C2322" t="str">
            <v>MARRO GRANDE</v>
          </cell>
          <cell r="D2322" t="str">
            <v>SOBRE</v>
          </cell>
          <cell r="E2322" t="str">
            <v>SOBRE OMEGA</v>
          </cell>
          <cell r="F2322" t="str">
            <v>BRIDGE</v>
          </cell>
          <cell r="G2322">
            <v>0</v>
          </cell>
          <cell r="H2322" t="str">
            <v>ROJO</v>
          </cell>
          <cell r="I2322" t="str">
            <v>U</v>
          </cell>
          <cell r="J2322" t="str">
            <v>M</v>
          </cell>
        </row>
        <row r="2323">
          <cell r="B2323" t="str">
            <v>MG020830310</v>
          </cell>
          <cell r="C2323" t="str">
            <v>MARRO GRANDE</v>
          </cell>
          <cell r="D2323" t="str">
            <v>SOBRE</v>
          </cell>
          <cell r="E2323" t="str">
            <v>SOBRE OMEGA</v>
          </cell>
          <cell r="F2323" t="str">
            <v>BRIDGE</v>
          </cell>
          <cell r="G2323">
            <v>0</v>
          </cell>
          <cell r="H2323" t="str">
            <v>VERDE</v>
          </cell>
          <cell r="I2323" t="str">
            <v>U</v>
          </cell>
          <cell r="J2323" t="str">
            <v>M</v>
          </cell>
        </row>
        <row r="2324">
          <cell r="B2324" t="str">
            <v>MG020830311</v>
          </cell>
          <cell r="C2324" t="str">
            <v>MARRO GRANDE</v>
          </cell>
          <cell r="D2324" t="str">
            <v>SOBRE</v>
          </cell>
          <cell r="E2324" t="str">
            <v>SOBRE OMEGA</v>
          </cell>
          <cell r="F2324" t="str">
            <v>BRIDGE</v>
          </cell>
          <cell r="G2324">
            <v>0</v>
          </cell>
          <cell r="H2324" t="str">
            <v>CAMEL</v>
          </cell>
          <cell r="I2324" t="str">
            <v>U</v>
          </cell>
          <cell r="J2324" t="str">
            <v>M</v>
          </cell>
        </row>
        <row r="2325">
          <cell r="B2325" t="str">
            <v>MG020830315</v>
          </cell>
          <cell r="C2325" t="str">
            <v>MARRO GRANDE</v>
          </cell>
          <cell r="D2325" t="str">
            <v>SOBRE</v>
          </cell>
          <cell r="E2325" t="str">
            <v>SOBRE OMEGA</v>
          </cell>
          <cell r="F2325" t="str">
            <v>BRIDGE</v>
          </cell>
          <cell r="G2325">
            <v>0</v>
          </cell>
          <cell r="H2325" t="str">
            <v>MALBEC</v>
          </cell>
          <cell r="I2325" t="str">
            <v>U</v>
          </cell>
          <cell r="J2325" t="str">
            <v>M</v>
          </cell>
        </row>
        <row r="2326">
          <cell r="B2326" t="str">
            <v>MG020830509</v>
          </cell>
          <cell r="C2326" t="str">
            <v>MARRO GRANDE</v>
          </cell>
          <cell r="D2326" t="str">
            <v>SOBRE</v>
          </cell>
          <cell r="E2326" t="str">
            <v>SOBRE OMEGA</v>
          </cell>
          <cell r="F2326" t="str">
            <v>GAMUZA</v>
          </cell>
          <cell r="G2326">
            <v>0</v>
          </cell>
          <cell r="H2326" t="str">
            <v>AZUL</v>
          </cell>
          <cell r="I2326" t="str">
            <v>U</v>
          </cell>
          <cell r="J2326" t="str">
            <v>M</v>
          </cell>
        </row>
        <row r="2327">
          <cell r="B2327" t="str">
            <v>MG020830516</v>
          </cell>
          <cell r="C2327" t="str">
            <v>MARRO GRANDE</v>
          </cell>
          <cell r="D2327" t="str">
            <v>SOBRE</v>
          </cell>
          <cell r="E2327" t="str">
            <v>SOBRE OMEGA</v>
          </cell>
          <cell r="F2327" t="str">
            <v>GAMUZA</v>
          </cell>
          <cell r="G2327">
            <v>0</v>
          </cell>
          <cell r="H2327" t="str">
            <v>OLIVE</v>
          </cell>
          <cell r="I2327" t="str">
            <v>U</v>
          </cell>
          <cell r="J2327" t="str">
            <v>M</v>
          </cell>
        </row>
        <row r="2328">
          <cell r="B2328" t="str">
            <v>MG020830518</v>
          </cell>
          <cell r="C2328" t="str">
            <v>MARRO GRANDE</v>
          </cell>
          <cell r="D2328" t="str">
            <v>SOBRE</v>
          </cell>
          <cell r="E2328" t="str">
            <v>SOBRE OMEGA</v>
          </cell>
          <cell r="F2328" t="str">
            <v>GAMUZA</v>
          </cell>
          <cell r="G2328">
            <v>0</v>
          </cell>
          <cell r="H2328" t="str">
            <v>MARSALA</v>
          </cell>
          <cell r="I2328" t="str">
            <v>U</v>
          </cell>
          <cell r="J2328" t="str">
            <v>M</v>
          </cell>
        </row>
        <row r="2329">
          <cell r="B2329" t="str">
            <v>MG020830522</v>
          </cell>
          <cell r="C2329" t="str">
            <v>MARRO GRANDE</v>
          </cell>
          <cell r="D2329" t="str">
            <v>SOBRE</v>
          </cell>
          <cell r="E2329" t="str">
            <v>SOBRE OMEGA</v>
          </cell>
          <cell r="F2329" t="str">
            <v>GAMUZA</v>
          </cell>
          <cell r="G2329">
            <v>0</v>
          </cell>
          <cell r="H2329" t="str">
            <v>GRIS OSCURO</v>
          </cell>
          <cell r="I2329" t="str">
            <v>U</v>
          </cell>
          <cell r="J2329" t="str">
            <v>M</v>
          </cell>
        </row>
        <row r="2330">
          <cell r="B2330" t="str">
            <v>MG020830550</v>
          </cell>
          <cell r="C2330" t="str">
            <v>MARRO GRANDE</v>
          </cell>
          <cell r="D2330" t="str">
            <v>SOBRE</v>
          </cell>
          <cell r="E2330" t="str">
            <v>SOBRE OMEGA</v>
          </cell>
          <cell r="F2330" t="str">
            <v>GAMUZA</v>
          </cell>
          <cell r="G2330">
            <v>0</v>
          </cell>
          <cell r="H2330" t="str">
            <v>VESUBIO</v>
          </cell>
          <cell r="I2330" t="str">
            <v>U</v>
          </cell>
          <cell r="J2330" t="str">
            <v>M</v>
          </cell>
        </row>
        <row r="2331">
          <cell r="B2331" t="str">
            <v>MG020830555</v>
          </cell>
          <cell r="C2331" t="str">
            <v>MARRO GRANDE</v>
          </cell>
          <cell r="D2331" t="str">
            <v>SOBRE</v>
          </cell>
          <cell r="E2331" t="str">
            <v>SOBRE OMEGA</v>
          </cell>
          <cell r="F2331" t="str">
            <v>GAMUZA</v>
          </cell>
          <cell r="G2331">
            <v>0</v>
          </cell>
          <cell r="H2331" t="str">
            <v>AVELLANA</v>
          </cell>
          <cell r="I2331" t="str">
            <v>U</v>
          </cell>
          <cell r="J2331" t="str">
            <v>M</v>
          </cell>
        </row>
        <row r="2332">
          <cell r="B2332" t="str">
            <v>MG020830556</v>
          </cell>
          <cell r="C2332" t="str">
            <v>MARRO GRANDE</v>
          </cell>
          <cell r="D2332" t="str">
            <v>SOBRE</v>
          </cell>
          <cell r="E2332" t="str">
            <v>SOBRE OMEGA</v>
          </cell>
          <cell r="F2332" t="str">
            <v>GAMUZA</v>
          </cell>
          <cell r="G2332">
            <v>0</v>
          </cell>
          <cell r="H2332" t="str">
            <v>OXIDO</v>
          </cell>
          <cell r="I2332" t="str">
            <v>U</v>
          </cell>
          <cell r="J2332" t="str">
            <v>M</v>
          </cell>
        </row>
        <row r="2333">
          <cell r="B2333" t="str">
            <v>MG020830559</v>
          </cell>
          <cell r="C2333" t="str">
            <v>MARRO GRANDE</v>
          </cell>
          <cell r="D2333" t="str">
            <v>SOBRE</v>
          </cell>
          <cell r="E2333" t="str">
            <v>SOBRE OMEGA</v>
          </cell>
          <cell r="F2333" t="str">
            <v>GAMUZA</v>
          </cell>
          <cell r="G2333">
            <v>0</v>
          </cell>
          <cell r="H2333" t="str">
            <v>BRICK</v>
          </cell>
          <cell r="I2333" t="str">
            <v>U</v>
          </cell>
          <cell r="J2333" t="str">
            <v>M</v>
          </cell>
        </row>
        <row r="2334">
          <cell r="B2334" t="str">
            <v>MG020831001</v>
          </cell>
          <cell r="C2334" t="str">
            <v>MARRO GRANDE</v>
          </cell>
          <cell r="D2334" t="str">
            <v>SOBRE</v>
          </cell>
          <cell r="E2334" t="str">
            <v>SOBRE OMEGA</v>
          </cell>
          <cell r="F2334" t="str">
            <v>CROCO</v>
          </cell>
          <cell r="G2334">
            <v>0</v>
          </cell>
          <cell r="H2334" t="str">
            <v>NEGRO</v>
          </cell>
          <cell r="I2334" t="str">
            <v>U</v>
          </cell>
          <cell r="J2334" t="str">
            <v>M</v>
          </cell>
        </row>
        <row r="2335">
          <cell r="B2335" t="str">
            <v>MG020831019</v>
          </cell>
          <cell r="C2335" t="str">
            <v>MARRO GRANDE</v>
          </cell>
          <cell r="D2335" t="str">
            <v>SOBRE</v>
          </cell>
          <cell r="E2335" t="str">
            <v>SOBRE OMEGA</v>
          </cell>
          <cell r="F2335" t="str">
            <v>CROCO</v>
          </cell>
          <cell r="G2335">
            <v>0</v>
          </cell>
          <cell r="H2335" t="str">
            <v>CANELA</v>
          </cell>
          <cell r="I2335" t="str">
            <v>U</v>
          </cell>
          <cell r="J2335" t="str">
            <v>M</v>
          </cell>
        </row>
        <row r="2336">
          <cell r="B2336" t="str">
            <v>OUT001</v>
          </cell>
          <cell r="C2336" t="str">
            <v>OUTLET</v>
          </cell>
          <cell r="D2336" t="str">
            <v>OUTLET</v>
          </cell>
          <cell r="E2336" t="str">
            <v>SOBRE OUTLET</v>
          </cell>
          <cell r="F2336" t="str">
            <v>VARIOS</v>
          </cell>
          <cell r="G2336">
            <v>0</v>
          </cell>
          <cell r="H2336" t="str">
            <v>VARIOS</v>
          </cell>
          <cell r="I2336" t="str">
            <v>U</v>
          </cell>
          <cell r="J2336">
            <v>0</v>
          </cell>
        </row>
        <row r="2337">
          <cell r="B2337" t="str">
            <v>MC020020823</v>
          </cell>
          <cell r="C2337" t="str">
            <v>MARRO CHICA</v>
          </cell>
          <cell r="D2337" t="str">
            <v>SOBRE</v>
          </cell>
          <cell r="E2337" t="str">
            <v>SOBRE PAMPA CHICO</v>
          </cell>
          <cell r="F2337" t="str">
            <v>JACQUARD</v>
          </cell>
          <cell r="G2337">
            <v>0</v>
          </cell>
          <cell r="H2337" t="str">
            <v>TJ004</v>
          </cell>
          <cell r="I2337" t="str">
            <v>U</v>
          </cell>
          <cell r="J2337">
            <v>0</v>
          </cell>
        </row>
        <row r="2338">
          <cell r="B2338" t="str">
            <v>MC020020831</v>
          </cell>
          <cell r="C2338" t="str">
            <v>MARRO CHICA</v>
          </cell>
          <cell r="D2338" t="str">
            <v>SOBRE</v>
          </cell>
          <cell r="E2338" t="str">
            <v>SOBRE PAMPA CHICO</v>
          </cell>
          <cell r="F2338" t="str">
            <v>JACQUARD</v>
          </cell>
          <cell r="G2338">
            <v>0</v>
          </cell>
          <cell r="H2338" t="str">
            <v>TJ012</v>
          </cell>
          <cell r="I2338" t="str">
            <v>U</v>
          </cell>
          <cell r="J2338">
            <v>0</v>
          </cell>
        </row>
        <row r="2339">
          <cell r="B2339" t="str">
            <v>MC020250101</v>
          </cell>
          <cell r="C2339" t="str">
            <v>MARRO CHICA</v>
          </cell>
          <cell r="D2339" t="str">
            <v>SOBRE</v>
          </cell>
          <cell r="E2339" t="str">
            <v>SOBRE PAMPA CHICO</v>
          </cell>
          <cell r="F2339" t="str">
            <v>NAPADO</v>
          </cell>
          <cell r="G2339">
            <v>0</v>
          </cell>
          <cell r="H2339" t="str">
            <v>NEGRO</v>
          </cell>
          <cell r="I2339" t="str">
            <v>U</v>
          </cell>
          <cell r="J2339">
            <v>0</v>
          </cell>
        </row>
        <row r="2340">
          <cell r="B2340" t="str">
            <v>MC020250102</v>
          </cell>
          <cell r="C2340" t="str">
            <v>MARRO CHICA</v>
          </cell>
          <cell r="D2340" t="str">
            <v>SOBRE</v>
          </cell>
          <cell r="E2340" t="str">
            <v>SOBRE PAMPA CHICO</v>
          </cell>
          <cell r="F2340" t="str">
            <v>NAPADO</v>
          </cell>
          <cell r="G2340">
            <v>0</v>
          </cell>
          <cell r="H2340" t="str">
            <v>SUELA</v>
          </cell>
          <cell r="I2340" t="str">
            <v>U</v>
          </cell>
          <cell r="J2340">
            <v>0</v>
          </cell>
        </row>
        <row r="2341">
          <cell r="B2341" t="str">
            <v>MC020250103</v>
          </cell>
          <cell r="C2341" t="str">
            <v>MARRO CHICA</v>
          </cell>
          <cell r="D2341" t="str">
            <v>SOBRE</v>
          </cell>
          <cell r="E2341" t="str">
            <v>SOBRE PAMPA CHICO</v>
          </cell>
          <cell r="F2341" t="str">
            <v>NAPADO</v>
          </cell>
          <cell r="G2341">
            <v>0</v>
          </cell>
          <cell r="H2341" t="str">
            <v>CARAMELO</v>
          </cell>
          <cell r="I2341" t="str">
            <v>U</v>
          </cell>
          <cell r="J2341">
            <v>0</v>
          </cell>
        </row>
        <row r="2342">
          <cell r="B2342" t="str">
            <v>MC020250301</v>
          </cell>
          <cell r="C2342" t="str">
            <v>MARRO CHICA</v>
          </cell>
          <cell r="D2342" t="str">
            <v>SOBRE</v>
          </cell>
          <cell r="E2342" t="str">
            <v>SOBRE PAMPA CHICO</v>
          </cell>
          <cell r="F2342" t="str">
            <v>BRIDGE</v>
          </cell>
          <cell r="G2342">
            <v>0</v>
          </cell>
          <cell r="H2342" t="str">
            <v>NEGRO</v>
          </cell>
          <cell r="I2342" t="str">
            <v>U</v>
          </cell>
          <cell r="J2342">
            <v>0</v>
          </cell>
        </row>
        <row r="2343">
          <cell r="B2343" t="str">
            <v>MC020250303</v>
          </cell>
          <cell r="C2343" t="str">
            <v>MARRO CHICA</v>
          </cell>
          <cell r="D2343" t="str">
            <v>SOBRE</v>
          </cell>
          <cell r="E2343" t="str">
            <v>SOBRE PAMPA CHICO</v>
          </cell>
          <cell r="F2343" t="str">
            <v>BRIDGE</v>
          </cell>
          <cell r="G2343">
            <v>0</v>
          </cell>
          <cell r="H2343" t="str">
            <v>CARAMELO</v>
          </cell>
          <cell r="I2343" t="str">
            <v>U</v>
          </cell>
          <cell r="J2343">
            <v>0</v>
          </cell>
        </row>
        <row r="2344">
          <cell r="B2344" t="str">
            <v>MC020250304</v>
          </cell>
          <cell r="C2344" t="str">
            <v>MARRO CHICA</v>
          </cell>
          <cell r="D2344" t="str">
            <v>SOBRE</v>
          </cell>
          <cell r="E2344" t="str">
            <v>SOBRE PAMPA CHICO</v>
          </cell>
          <cell r="F2344" t="str">
            <v>BRIDGE</v>
          </cell>
          <cell r="G2344">
            <v>0</v>
          </cell>
          <cell r="H2344" t="str">
            <v>TABACO</v>
          </cell>
          <cell r="I2344" t="str">
            <v>U</v>
          </cell>
          <cell r="J2344">
            <v>0</v>
          </cell>
        </row>
        <row r="2345">
          <cell r="B2345" t="str">
            <v>MC020250307</v>
          </cell>
          <cell r="C2345" t="str">
            <v>MARRO CHICA</v>
          </cell>
          <cell r="D2345" t="str">
            <v>SOBRE</v>
          </cell>
          <cell r="E2345" t="str">
            <v>SOBRE PAMPA CHICO</v>
          </cell>
          <cell r="F2345" t="str">
            <v>BRIDGE</v>
          </cell>
          <cell r="G2345">
            <v>0</v>
          </cell>
          <cell r="H2345" t="str">
            <v>ROJO</v>
          </cell>
          <cell r="I2345" t="str">
            <v>U</v>
          </cell>
          <cell r="J2345">
            <v>0</v>
          </cell>
        </row>
        <row r="2346">
          <cell r="B2346" t="str">
            <v>MC020250309</v>
          </cell>
          <cell r="C2346" t="str">
            <v>MARRO CHICA</v>
          </cell>
          <cell r="D2346" t="str">
            <v>SOBRE</v>
          </cell>
          <cell r="E2346" t="str">
            <v>SOBRE PAMPA CHICO</v>
          </cell>
          <cell r="F2346" t="str">
            <v>BRIDGE</v>
          </cell>
          <cell r="G2346">
            <v>0</v>
          </cell>
          <cell r="H2346" t="str">
            <v>AZUL</v>
          </cell>
          <cell r="I2346" t="str">
            <v>U</v>
          </cell>
          <cell r="J2346">
            <v>0</v>
          </cell>
        </row>
        <row r="2347">
          <cell r="B2347" t="str">
            <v>MC020030101</v>
          </cell>
          <cell r="C2347" t="str">
            <v>MARRO CHICA</v>
          </cell>
          <cell r="D2347" t="str">
            <v>SOBRE</v>
          </cell>
          <cell r="E2347" t="str">
            <v>SOBRE PAMPA GRANDE</v>
          </cell>
          <cell r="F2347" t="str">
            <v>NAPADO</v>
          </cell>
          <cell r="G2347">
            <v>0</v>
          </cell>
          <cell r="H2347" t="str">
            <v>NEGRO</v>
          </cell>
          <cell r="I2347" t="str">
            <v>U</v>
          </cell>
          <cell r="J2347">
            <v>0</v>
          </cell>
        </row>
        <row r="2348">
          <cell r="B2348" t="str">
            <v>MC020030102</v>
          </cell>
          <cell r="C2348" t="str">
            <v>MARRO CHICA</v>
          </cell>
          <cell r="D2348" t="str">
            <v>SOBRE</v>
          </cell>
          <cell r="E2348" t="str">
            <v>SOBRE PAMPA GRANDE</v>
          </cell>
          <cell r="F2348" t="str">
            <v>NAPADO</v>
          </cell>
          <cell r="G2348">
            <v>0</v>
          </cell>
          <cell r="H2348" t="str">
            <v>SUELA</v>
          </cell>
          <cell r="I2348" t="str">
            <v>U</v>
          </cell>
          <cell r="J2348">
            <v>0</v>
          </cell>
        </row>
        <row r="2349">
          <cell r="B2349" t="str">
            <v>MC020030823</v>
          </cell>
          <cell r="C2349" t="str">
            <v>MARRO CHICA</v>
          </cell>
          <cell r="D2349" t="str">
            <v>SOBRE</v>
          </cell>
          <cell r="E2349" t="str">
            <v>SOBRE PAMPA GRANDE</v>
          </cell>
          <cell r="F2349" t="str">
            <v>JACQUARD</v>
          </cell>
          <cell r="G2349">
            <v>0</v>
          </cell>
          <cell r="H2349" t="str">
            <v>TJ004</v>
          </cell>
          <cell r="I2349" t="str">
            <v>U</v>
          </cell>
          <cell r="J2349">
            <v>0</v>
          </cell>
        </row>
        <row r="2350">
          <cell r="B2350" t="str">
            <v>MC020030831</v>
          </cell>
          <cell r="C2350" t="str">
            <v>MARRO CHICA</v>
          </cell>
          <cell r="D2350" t="str">
            <v>SOBRE</v>
          </cell>
          <cell r="E2350" t="str">
            <v>SOBRE PAMPA GRANDE</v>
          </cell>
          <cell r="F2350" t="str">
            <v>JACQUARD</v>
          </cell>
          <cell r="G2350">
            <v>0</v>
          </cell>
          <cell r="H2350" t="str">
            <v>TJ012</v>
          </cell>
          <cell r="I2350" t="str">
            <v>U</v>
          </cell>
          <cell r="J2350">
            <v>0</v>
          </cell>
        </row>
        <row r="2351">
          <cell r="B2351" t="str">
            <v>OT130320008-L</v>
          </cell>
          <cell r="C2351" t="str">
            <v>ACCESORIOS</v>
          </cell>
          <cell r="D2351" t="str">
            <v>SOMBRERO</v>
          </cell>
          <cell r="E2351" t="str">
            <v xml:space="preserve">SOMBRERO ALGODON </v>
          </cell>
          <cell r="F2351" t="str">
            <v>ALGODON</v>
          </cell>
          <cell r="G2351">
            <v>0</v>
          </cell>
          <cell r="H2351" t="str">
            <v>NATURAL/NEGRO</v>
          </cell>
          <cell r="I2351" t="str">
            <v>L</v>
          </cell>
          <cell r="J2351" t="str">
            <v>U</v>
          </cell>
        </row>
        <row r="2352">
          <cell r="B2352" t="str">
            <v>OT130320008-M</v>
          </cell>
          <cell r="C2352" t="str">
            <v>ACCESORIOS</v>
          </cell>
          <cell r="D2352" t="str">
            <v>SOMBRERO</v>
          </cell>
          <cell r="E2352" t="str">
            <v xml:space="preserve">SOMBRERO ALGODON </v>
          </cell>
          <cell r="F2352" t="str">
            <v>ALGODON</v>
          </cell>
          <cell r="G2352">
            <v>0</v>
          </cell>
          <cell r="H2352" t="str">
            <v>NATURAL/NEGRO</v>
          </cell>
          <cell r="I2352" t="str">
            <v>M</v>
          </cell>
          <cell r="J2352" t="str">
            <v>U</v>
          </cell>
        </row>
        <row r="2353">
          <cell r="B2353" t="str">
            <v>OT130320008-S</v>
          </cell>
          <cell r="C2353" t="str">
            <v>ACCESORIOS</v>
          </cell>
          <cell r="D2353" t="str">
            <v>SOMBRERO</v>
          </cell>
          <cell r="E2353" t="str">
            <v xml:space="preserve">SOMBRERO ALGODON </v>
          </cell>
          <cell r="F2353" t="str">
            <v>ALGODON</v>
          </cell>
          <cell r="G2353">
            <v>0</v>
          </cell>
          <cell r="H2353" t="str">
            <v>NATURAL/NEGRO</v>
          </cell>
          <cell r="I2353" t="str">
            <v>S</v>
          </cell>
          <cell r="J2353" t="str">
            <v>U</v>
          </cell>
        </row>
        <row r="2354">
          <cell r="B2354" t="str">
            <v>OT130320008-XL</v>
          </cell>
          <cell r="C2354" t="str">
            <v>ACCESORIOS</v>
          </cell>
          <cell r="D2354" t="str">
            <v>SOMBRERO</v>
          </cell>
          <cell r="E2354" t="str">
            <v xml:space="preserve">SOMBRERO ALGODON </v>
          </cell>
          <cell r="F2354" t="str">
            <v>ALGODON</v>
          </cell>
          <cell r="G2354">
            <v>0</v>
          </cell>
          <cell r="H2354" t="str">
            <v>NATURAL/NEGRO</v>
          </cell>
          <cell r="I2354" t="str">
            <v>XL</v>
          </cell>
          <cell r="J2354" t="str">
            <v>U</v>
          </cell>
        </row>
        <row r="2355">
          <cell r="B2355" t="str">
            <v>OT130320008-XS</v>
          </cell>
          <cell r="C2355" t="str">
            <v>ACCESORIOS</v>
          </cell>
          <cell r="D2355" t="str">
            <v>SOMBRERO</v>
          </cell>
          <cell r="E2355" t="str">
            <v xml:space="preserve">SOMBRERO ALGODON </v>
          </cell>
          <cell r="F2355" t="str">
            <v>ALGODON</v>
          </cell>
          <cell r="G2355">
            <v>0</v>
          </cell>
          <cell r="H2355" t="str">
            <v>NATURAL/NEGRO</v>
          </cell>
          <cell r="I2355" t="str">
            <v>XS</v>
          </cell>
          <cell r="J2355" t="str">
            <v>U</v>
          </cell>
        </row>
        <row r="2356">
          <cell r="B2356" t="str">
            <v>OT130320008-XXL</v>
          </cell>
          <cell r="C2356" t="str">
            <v>ACCESORIOS</v>
          </cell>
          <cell r="D2356" t="str">
            <v>SOMBRERO</v>
          </cell>
          <cell r="E2356" t="str">
            <v xml:space="preserve">SOMBRERO ALGODON </v>
          </cell>
          <cell r="F2356" t="str">
            <v>ALGODON</v>
          </cell>
          <cell r="G2356">
            <v>0</v>
          </cell>
          <cell r="H2356" t="str">
            <v>NATURAL/NEGRO</v>
          </cell>
          <cell r="I2356" t="str">
            <v>XXL</v>
          </cell>
          <cell r="J2356" t="str">
            <v>U</v>
          </cell>
        </row>
        <row r="2357">
          <cell r="B2357" t="str">
            <v>OT130320021-52-L</v>
          </cell>
          <cell r="C2357" t="str">
            <v>ACCESORIOS</v>
          </cell>
          <cell r="D2357" t="str">
            <v>SOMBRERO</v>
          </cell>
          <cell r="E2357" t="str">
            <v xml:space="preserve">SOMBRERO ALGODON </v>
          </cell>
          <cell r="F2357" t="str">
            <v>ALGODON</v>
          </cell>
          <cell r="G2357">
            <v>0</v>
          </cell>
          <cell r="H2357" t="str">
            <v>TOSTADO/CHOCOLATE</v>
          </cell>
          <cell r="I2357" t="str">
            <v>L</v>
          </cell>
          <cell r="J2357" t="str">
            <v>U</v>
          </cell>
        </row>
        <row r="2358">
          <cell r="B2358" t="str">
            <v>OT130320021-52-M</v>
          </cell>
          <cell r="C2358" t="str">
            <v>ACCESORIOS</v>
          </cell>
          <cell r="D2358" t="str">
            <v>SOMBRERO</v>
          </cell>
          <cell r="E2358" t="str">
            <v xml:space="preserve">SOMBRERO ALGODON </v>
          </cell>
          <cell r="F2358" t="str">
            <v>ALGODON</v>
          </cell>
          <cell r="G2358">
            <v>0</v>
          </cell>
          <cell r="H2358" t="str">
            <v>TOSTADO/CHOCOLATE</v>
          </cell>
          <cell r="I2358" t="str">
            <v>M</v>
          </cell>
          <cell r="J2358" t="str">
            <v>U</v>
          </cell>
        </row>
        <row r="2359">
          <cell r="B2359" t="str">
            <v>OT130320021-52-S</v>
          </cell>
          <cell r="C2359" t="str">
            <v>ACCESORIOS</v>
          </cell>
          <cell r="D2359" t="str">
            <v>SOMBRERO</v>
          </cell>
          <cell r="E2359" t="str">
            <v xml:space="preserve">SOMBRERO ALGODON </v>
          </cell>
          <cell r="F2359" t="str">
            <v>ALGODON</v>
          </cell>
          <cell r="G2359">
            <v>0</v>
          </cell>
          <cell r="H2359" t="str">
            <v>TOSTADO/CHOCOLATE</v>
          </cell>
          <cell r="I2359" t="str">
            <v>S</v>
          </cell>
          <cell r="J2359" t="str">
            <v>U</v>
          </cell>
        </row>
        <row r="2360">
          <cell r="B2360" t="str">
            <v>OT130320021-52-XL</v>
          </cell>
          <cell r="C2360" t="str">
            <v>ACCESORIOS</v>
          </cell>
          <cell r="D2360" t="str">
            <v>SOMBRERO</v>
          </cell>
          <cell r="E2360" t="str">
            <v xml:space="preserve">SOMBRERO ALGODON </v>
          </cell>
          <cell r="F2360" t="str">
            <v>ALGODON</v>
          </cell>
          <cell r="G2360">
            <v>0</v>
          </cell>
          <cell r="H2360" t="str">
            <v>TOSTADO/CHOCOLATE</v>
          </cell>
          <cell r="I2360" t="str">
            <v>XL</v>
          </cell>
          <cell r="J2360" t="str">
            <v>U</v>
          </cell>
        </row>
        <row r="2361">
          <cell r="B2361" t="str">
            <v>OT130320021-52-XS</v>
          </cell>
          <cell r="C2361" t="str">
            <v>ACCESORIOS</v>
          </cell>
          <cell r="D2361" t="str">
            <v>SOMBRERO</v>
          </cell>
          <cell r="E2361" t="str">
            <v xml:space="preserve">SOMBRERO ALGODON </v>
          </cell>
          <cell r="F2361" t="str">
            <v>ALGODON</v>
          </cell>
          <cell r="G2361">
            <v>0</v>
          </cell>
          <cell r="H2361" t="str">
            <v>TOSTADO/CHOCOLATE</v>
          </cell>
          <cell r="I2361" t="str">
            <v>XS</v>
          </cell>
          <cell r="J2361" t="str">
            <v>U</v>
          </cell>
        </row>
        <row r="2362">
          <cell r="B2362" t="str">
            <v>OT130320021-52-XXL</v>
          </cell>
          <cell r="C2362" t="str">
            <v>ACCESORIOS</v>
          </cell>
          <cell r="D2362" t="str">
            <v>SOMBRERO</v>
          </cell>
          <cell r="E2362" t="str">
            <v xml:space="preserve">SOMBRERO ALGODON </v>
          </cell>
          <cell r="F2362" t="str">
            <v>ALGODON</v>
          </cell>
          <cell r="G2362">
            <v>0</v>
          </cell>
          <cell r="H2362" t="str">
            <v>TOSTADO/CHOCOLATE</v>
          </cell>
          <cell r="I2362" t="str">
            <v>XXL</v>
          </cell>
          <cell r="J2362" t="str">
            <v>U</v>
          </cell>
        </row>
        <row r="2363">
          <cell r="B2363" t="str">
            <v>OT130320021-L</v>
          </cell>
          <cell r="C2363" t="str">
            <v>ACCESORIOS</v>
          </cell>
          <cell r="D2363" t="str">
            <v>SOMBRERO</v>
          </cell>
          <cell r="E2363" t="str">
            <v xml:space="preserve">SOMBRERO ALGODON </v>
          </cell>
          <cell r="F2363" t="str">
            <v>ALGODON</v>
          </cell>
          <cell r="G2363">
            <v>0</v>
          </cell>
          <cell r="H2363" t="str">
            <v>TOSTADO/NEGRO</v>
          </cell>
          <cell r="I2363" t="str">
            <v>L</v>
          </cell>
          <cell r="J2363" t="str">
            <v>U</v>
          </cell>
        </row>
        <row r="2364">
          <cell r="B2364" t="str">
            <v>OT130320021-M</v>
          </cell>
          <cell r="C2364" t="str">
            <v>ACCESORIOS</v>
          </cell>
          <cell r="D2364" t="str">
            <v>SOMBRERO</v>
          </cell>
          <cell r="E2364" t="str">
            <v xml:space="preserve">SOMBRERO ALGODON </v>
          </cell>
          <cell r="F2364" t="str">
            <v>ALGODON</v>
          </cell>
          <cell r="G2364">
            <v>0</v>
          </cell>
          <cell r="H2364" t="str">
            <v>TOSTADO/NEGRO</v>
          </cell>
          <cell r="I2364" t="str">
            <v>M</v>
          </cell>
          <cell r="J2364" t="str">
            <v>U</v>
          </cell>
        </row>
        <row r="2365">
          <cell r="B2365" t="str">
            <v>OT130320021-S</v>
          </cell>
          <cell r="C2365" t="str">
            <v>ACCESORIOS</v>
          </cell>
          <cell r="D2365" t="str">
            <v>SOMBRERO</v>
          </cell>
          <cell r="E2365" t="str">
            <v xml:space="preserve">SOMBRERO ALGODON </v>
          </cell>
          <cell r="F2365" t="str">
            <v>ALGODON</v>
          </cell>
          <cell r="G2365">
            <v>0</v>
          </cell>
          <cell r="H2365" t="str">
            <v>TOSTADO/NEGRO</v>
          </cell>
          <cell r="I2365" t="str">
            <v>S</v>
          </cell>
          <cell r="J2365" t="str">
            <v>U</v>
          </cell>
        </row>
        <row r="2366">
          <cell r="B2366" t="str">
            <v>OT130320021-XL</v>
          </cell>
          <cell r="C2366" t="str">
            <v>ACCESORIOS</v>
          </cell>
          <cell r="D2366" t="str">
            <v>SOMBRERO</v>
          </cell>
          <cell r="E2366" t="str">
            <v xml:space="preserve">SOMBRERO ALGODON </v>
          </cell>
          <cell r="F2366" t="str">
            <v>ALGODON</v>
          </cell>
          <cell r="G2366">
            <v>0</v>
          </cell>
          <cell r="H2366" t="str">
            <v>TOSTADO/NEGRO</v>
          </cell>
          <cell r="I2366" t="str">
            <v>XL</v>
          </cell>
          <cell r="J2366" t="str">
            <v>U</v>
          </cell>
        </row>
        <row r="2367">
          <cell r="B2367" t="str">
            <v>OT130320021-XS</v>
          </cell>
          <cell r="C2367" t="str">
            <v>ACCESORIOS</v>
          </cell>
          <cell r="D2367" t="str">
            <v>SOMBRERO</v>
          </cell>
          <cell r="E2367" t="str">
            <v xml:space="preserve">SOMBRERO ALGODON </v>
          </cell>
          <cell r="F2367" t="str">
            <v>ALGODON</v>
          </cell>
          <cell r="G2367">
            <v>0</v>
          </cell>
          <cell r="H2367" t="str">
            <v>TOSTADO/NEGRO</v>
          </cell>
          <cell r="I2367" t="str">
            <v>XS</v>
          </cell>
          <cell r="J2367" t="str">
            <v>U</v>
          </cell>
        </row>
        <row r="2368">
          <cell r="B2368" t="str">
            <v>OT130320021-XXL</v>
          </cell>
          <cell r="C2368" t="str">
            <v>ACCESORIOS</v>
          </cell>
          <cell r="D2368" t="str">
            <v>SOMBRERO</v>
          </cell>
          <cell r="E2368" t="str">
            <v xml:space="preserve">SOMBRERO ALGODON </v>
          </cell>
          <cell r="F2368" t="str">
            <v>ALGODON</v>
          </cell>
          <cell r="G2368">
            <v>0</v>
          </cell>
          <cell r="H2368" t="str">
            <v>TOSTADO/NEGRO</v>
          </cell>
          <cell r="I2368" t="str">
            <v>XXL</v>
          </cell>
          <cell r="J2368" t="str">
            <v>U</v>
          </cell>
        </row>
        <row r="2369">
          <cell r="B2369" t="str">
            <v>OT130492501-L</v>
          </cell>
          <cell r="C2369" t="str">
            <v>ACCESORIOS</v>
          </cell>
          <cell r="D2369" t="str">
            <v>SOMBRERO</v>
          </cell>
          <cell r="E2369" t="str">
            <v>SOMBRERO FABIO</v>
          </cell>
          <cell r="F2369" t="str">
            <v>CUERO ENGRASADO</v>
          </cell>
          <cell r="G2369">
            <v>0</v>
          </cell>
          <cell r="H2369" t="str">
            <v>NEGRO</v>
          </cell>
          <cell r="I2369" t="str">
            <v>L</v>
          </cell>
          <cell r="J2369" t="str">
            <v>U</v>
          </cell>
        </row>
        <row r="2370">
          <cell r="B2370" t="str">
            <v>OT130492501-M</v>
          </cell>
          <cell r="C2370" t="str">
            <v>ACCESORIOS</v>
          </cell>
          <cell r="D2370" t="str">
            <v>SOMBRERO</v>
          </cell>
          <cell r="E2370" t="str">
            <v>SOMBRERO FABIO</v>
          </cell>
          <cell r="F2370" t="str">
            <v>CUERO ENGRASADO</v>
          </cell>
          <cell r="G2370">
            <v>0</v>
          </cell>
          <cell r="H2370" t="str">
            <v>NEGRO</v>
          </cell>
          <cell r="I2370" t="str">
            <v>M</v>
          </cell>
          <cell r="J2370" t="str">
            <v>U</v>
          </cell>
        </row>
        <row r="2371">
          <cell r="B2371" t="str">
            <v>OT130492501-S</v>
          </cell>
          <cell r="C2371" t="str">
            <v>ACCESORIOS</v>
          </cell>
          <cell r="D2371" t="str">
            <v>SOMBRERO</v>
          </cell>
          <cell r="E2371" t="str">
            <v>SOMBRERO FABIO</v>
          </cell>
          <cell r="F2371" t="str">
            <v>CUERO ENGRASADO</v>
          </cell>
          <cell r="G2371">
            <v>0</v>
          </cell>
          <cell r="H2371" t="str">
            <v>NEGRO</v>
          </cell>
          <cell r="I2371" t="str">
            <v>S</v>
          </cell>
          <cell r="J2371" t="str">
            <v>U</v>
          </cell>
        </row>
        <row r="2372">
          <cell r="B2372" t="str">
            <v>OT130492501-XL</v>
          </cell>
          <cell r="C2372" t="str">
            <v>ACCESORIOS</v>
          </cell>
          <cell r="D2372" t="str">
            <v>SOMBRERO</v>
          </cell>
          <cell r="E2372" t="str">
            <v>SOMBRERO FABIO</v>
          </cell>
          <cell r="F2372" t="str">
            <v>CUERO ENGRASADO</v>
          </cell>
          <cell r="G2372">
            <v>0</v>
          </cell>
          <cell r="H2372" t="str">
            <v>NEGRO</v>
          </cell>
          <cell r="I2372" t="str">
            <v>XL</v>
          </cell>
          <cell r="J2372" t="str">
            <v>U</v>
          </cell>
        </row>
        <row r="2373">
          <cell r="B2373" t="str">
            <v>OT130492501-XXL</v>
          </cell>
          <cell r="C2373" t="str">
            <v>ACCESORIOS</v>
          </cell>
          <cell r="D2373" t="str">
            <v>SOMBRERO</v>
          </cell>
          <cell r="E2373" t="str">
            <v>SOMBRERO FABIO</v>
          </cell>
          <cell r="F2373" t="str">
            <v>CUERO ENGRASADO</v>
          </cell>
          <cell r="G2373">
            <v>0</v>
          </cell>
          <cell r="H2373" t="str">
            <v>NEGRO</v>
          </cell>
          <cell r="I2373" t="str">
            <v>XXL</v>
          </cell>
          <cell r="J2373" t="str">
            <v>U</v>
          </cell>
        </row>
        <row r="2374">
          <cell r="B2374" t="str">
            <v>OT130330008-1-L</v>
          </cell>
          <cell r="C2374" t="str">
            <v>ACCESORIOS</v>
          </cell>
          <cell r="D2374" t="str">
            <v>SOMBRERO</v>
          </cell>
          <cell r="E2374" t="str">
            <v>SOMBRERO RAFIA</v>
          </cell>
          <cell r="F2374" t="str">
            <v xml:space="preserve">RAFIA </v>
          </cell>
          <cell r="G2374">
            <v>0</v>
          </cell>
          <cell r="H2374" t="str">
            <v>NATURAL/NEGRO</v>
          </cell>
          <cell r="I2374" t="str">
            <v>L</v>
          </cell>
          <cell r="J2374" t="str">
            <v>U</v>
          </cell>
        </row>
        <row r="2375">
          <cell r="B2375" t="str">
            <v>OT130330008-1-M</v>
          </cell>
          <cell r="C2375" t="str">
            <v>ACCESORIOS</v>
          </cell>
          <cell r="D2375" t="str">
            <v>SOMBRERO</v>
          </cell>
          <cell r="E2375" t="str">
            <v>SOMBRERO RAFIA</v>
          </cell>
          <cell r="F2375" t="str">
            <v xml:space="preserve">RAFIA </v>
          </cell>
          <cell r="G2375">
            <v>0</v>
          </cell>
          <cell r="H2375" t="str">
            <v>NATURAL/NEGRO</v>
          </cell>
          <cell r="I2375" t="str">
            <v>M</v>
          </cell>
          <cell r="J2375" t="str">
            <v>U</v>
          </cell>
        </row>
        <row r="2376">
          <cell r="B2376" t="str">
            <v>OT130330008-1-S</v>
          </cell>
          <cell r="C2376" t="str">
            <v>ACCESORIOS</v>
          </cell>
          <cell r="D2376" t="str">
            <v>SOMBRERO</v>
          </cell>
          <cell r="E2376" t="str">
            <v>SOMBRERO RAFIA</v>
          </cell>
          <cell r="F2376" t="str">
            <v xml:space="preserve">RAFIA </v>
          </cell>
          <cell r="G2376">
            <v>0</v>
          </cell>
          <cell r="H2376" t="str">
            <v>NATURAL/NEGRO</v>
          </cell>
          <cell r="I2376" t="str">
            <v>S</v>
          </cell>
          <cell r="J2376" t="str">
            <v>U</v>
          </cell>
        </row>
        <row r="2377">
          <cell r="B2377" t="str">
            <v>OT130330008-1-XL</v>
          </cell>
          <cell r="C2377" t="str">
            <v>ACCESORIOS</v>
          </cell>
          <cell r="D2377" t="str">
            <v>SOMBRERO</v>
          </cell>
          <cell r="E2377" t="str">
            <v>SOMBRERO RAFIA</v>
          </cell>
          <cell r="F2377" t="str">
            <v xml:space="preserve">RAFIA </v>
          </cell>
          <cell r="G2377">
            <v>0</v>
          </cell>
          <cell r="H2377" t="str">
            <v>NATURAL/NEGRO</v>
          </cell>
          <cell r="I2377" t="str">
            <v>XL</v>
          </cell>
          <cell r="J2377" t="str">
            <v>U</v>
          </cell>
        </row>
        <row r="2378">
          <cell r="B2378" t="str">
            <v>OT130330008-1-XS</v>
          </cell>
          <cell r="C2378" t="str">
            <v>ACCESORIOS</v>
          </cell>
          <cell r="D2378" t="str">
            <v>SOMBRERO</v>
          </cell>
          <cell r="E2378" t="str">
            <v>SOMBRERO RAFIA</v>
          </cell>
          <cell r="F2378" t="str">
            <v xml:space="preserve">RAFIA </v>
          </cell>
          <cell r="G2378">
            <v>0</v>
          </cell>
          <cell r="H2378" t="str">
            <v>NATURAL/NEGRO</v>
          </cell>
          <cell r="I2378" t="str">
            <v>XS</v>
          </cell>
          <cell r="J2378" t="str">
            <v>U</v>
          </cell>
        </row>
        <row r="2379">
          <cell r="B2379" t="str">
            <v>OT130330008-1-XXL</v>
          </cell>
          <cell r="C2379" t="str">
            <v>ACCESORIOS</v>
          </cell>
          <cell r="D2379" t="str">
            <v>SOMBRERO</v>
          </cell>
          <cell r="E2379" t="str">
            <v>SOMBRERO RAFIA</v>
          </cell>
          <cell r="F2379" t="str">
            <v xml:space="preserve">RAFIA </v>
          </cell>
          <cell r="G2379">
            <v>0</v>
          </cell>
          <cell r="H2379" t="str">
            <v>NATURAL/NEGRO</v>
          </cell>
          <cell r="I2379" t="str">
            <v>XXL</v>
          </cell>
          <cell r="J2379" t="str">
            <v>U</v>
          </cell>
        </row>
        <row r="2380">
          <cell r="B2380" t="str">
            <v>OT130330008-L</v>
          </cell>
          <cell r="C2380" t="str">
            <v>ACCESORIOS</v>
          </cell>
          <cell r="D2380" t="str">
            <v>SOMBRERO</v>
          </cell>
          <cell r="E2380" t="str">
            <v>SOMBRERO RAFIA</v>
          </cell>
          <cell r="F2380" t="str">
            <v xml:space="preserve">RAFIA </v>
          </cell>
          <cell r="G2380">
            <v>0</v>
          </cell>
          <cell r="H2380" t="str">
            <v>NATURAL/AZUL</v>
          </cell>
          <cell r="I2380" t="str">
            <v>L</v>
          </cell>
          <cell r="J2380" t="str">
            <v>U</v>
          </cell>
        </row>
        <row r="2381">
          <cell r="B2381" t="str">
            <v>OT130330008-M</v>
          </cell>
          <cell r="C2381" t="str">
            <v>ACCESORIOS</v>
          </cell>
          <cell r="D2381" t="str">
            <v>SOMBRERO</v>
          </cell>
          <cell r="E2381" t="str">
            <v>SOMBRERO RAFIA</v>
          </cell>
          <cell r="F2381" t="str">
            <v xml:space="preserve">RAFIA </v>
          </cell>
          <cell r="G2381">
            <v>0</v>
          </cell>
          <cell r="H2381" t="str">
            <v>NATURAL/AZUL</v>
          </cell>
          <cell r="I2381" t="str">
            <v>M</v>
          </cell>
          <cell r="J2381" t="str">
            <v>U</v>
          </cell>
        </row>
        <row r="2382">
          <cell r="B2382" t="str">
            <v>OT130330008-S</v>
          </cell>
          <cell r="C2382" t="str">
            <v>ACCESORIOS</v>
          </cell>
          <cell r="D2382" t="str">
            <v>SOMBRERO</v>
          </cell>
          <cell r="E2382" t="str">
            <v>SOMBRERO RAFIA</v>
          </cell>
          <cell r="F2382" t="str">
            <v xml:space="preserve">RAFIA </v>
          </cell>
          <cell r="G2382">
            <v>0</v>
          </cell>
          <cell r="H2382" t="str">
            <v>NATURAL/AZUL</v>
          </cell>
          <cell r="I2382" t="str">
            <v>S</v>
          </cell>
          <cell r="J2382" t="str">
            <v>U</v>
          </cell>
        </row>
        <row r="2383">
          <cell r="B2383" t="str">
            <v>OT130330008-XL</v>
          </cell>
          <cell r="C2383" t="str">
            <v>ACCESORIOS</v>
          </cell>
          <cell r="D2383" t="str">
            <v>SOMBRERO</v>
          </cell>
          <cell r="E2383" t="str">
            <v>SOMBRERO RAFIA</v>
          </cell>
          <cell r="F2383" t="str">
            <v xml:space="preserve">RAFIA </v>
          </cell>
          <cell r="G2383">
            <v>0</v>
          </cell>
          <cell r="H2383" t="str">
            <v>NATURAL/AZUL</v>
          </cell>
          <cell r="I2383" t="str">
            <v>XL</v>
          </cell>
          <cell r="J2383" t="str">
            <v>U</v>
          </cell>
        </row>
        <row r="2384">
          <cell r="B2384" t="str">
            <v>OT130330008-XS</v>
          </cell>
          <cell r="C2384" t="str">
            <v>ACCESORIOS</v>
          </cell>
          <cell r="D2384" t="str">
            <v>SOMBRERO</v>
          </cell>
          <cell r="E2384" t="str">
            <v>SOMBRERO RAFIA</v>
          </cell>
          <cell r="F2384" t="str">
            <v xml:space="preserve">RAFIA </v>
          </cell>
          <cell r="G2384">
            <v>0</v>
          </cell>
          <cell r="H2384" t="str">
            <v>NATURAL/AZUL</v>
          </cell>
          <cell r="I2384" t="str">
            <v>XS</v>
          </cell>
          <cell r="J2384" t="str">
            <v>U</v>
          </cell>
        </row>
        <row r="2385">
          <cell r="B2385" t="str">
            <v>OT130330008-XXL</v>
          </cell>
          <cell r="C2385" t="str">
            <v>ACCESORIOS</v>
          </cell>
          <cell r="D2385" t="str">
            <v>SOMBRERO</v>
          </cell>
          <cell r="E2385" t="str">
            <v>SOMBRERO RAFIA</v>
          </cell>
          <cell r="F2385" t="str">
            <v xml:space="preserve">RAFIA </v>
          </cell>
          <cell r="G2385">
            <v>0</v>
          </cell>
          <cell r="H2385" t="str">
            <v>NATURAL/AZUL</v>
          </cell>
          <cell r="I2385" t="str">
            <v>XXL</v>
          </cell>
          <cell r="J2385" t="str">
            <v>U</v>
          </cell>
        </row>
        <row r="2386">
          <cell r="B2386" t="str">
            <v>OT130330021-1-L</v>
          </cell>
          <cell r="C2386" t="str">
            <v>ACCESORIOS</v>
          </cell>
          <cell r="D2386" t="str">
            <v>SOMBRERO</v>
          </cell>
          <cell r="E2386" t="str">
            <v>SOMBRERO RAFIA</v>
          </cell>
          <cell r="F2386" t="str">
            <v xml:space="preserve">RAFIA </v>
          </cell>
          <cell r="G2386">
            <v>0</v>
          </cell>
          <cell r="H2386" t="str">
            <v>TOSTADO/NEGRO</v>
          </cell>
          <cell r="I2386" t="str">
            <v>L</v>
          </cell>
          <cell r="J2386" t="str">
            <v>U</v>
          </cell>
        </row>
        <row r="2387">
          <cell r="B2387" t="str">
            <v>OT130330021-1-M</v>
          </cell>
          <cell r="C2387" t="str">
            <v>ACCESORIOS</v>
          </cell>
          <cell r="D2387" t="str">
            <v>SOMBRERO</v>
          </cell>
          <cell r="E2387" t="str">
            <v>SOMBRERO RAFIA</v>
          </cell>
          <cell r="F2387" t="str">
            <v xml:space="preserve">RAFIA </v>
          </cell>
          <cell r="G2387">
            <v>0</v>
          </cell>
          <cell r="H2387" t="str">
            <v>TOSTADO/NEGRO</v>
          </cell>
          <cell r="I2387" t="str">
            <v>M</v>
          </cell>
          <cell r="J2387" t="str">
            <v>U</v>
          </cell>
        </row>
        <row r="2388">
          <cell r="B2388" t="str">
            <v>OT130330021-1-S</v>
          </cell>
          <cell r="C2388" t="str">
            <v>ACCESORIOS</v>
          </cell>
          <cell r="D2388" t="str">
            <v>SOMBRERO</v>
          </cell>
          <cell r="E2388" t="str">
            <v>SOMBRERO RAFIA</v>
          </cell>
          <cell r="F2388" t="str">
            <v xml:space="preserve">RAFIA </v>
          </cell>
          <cell r="G2388">
            <v>0</v>
          </cell>
          <cell r="H2388" t="str">
            <v>TOSTADO/NEGRO</v>
          </cell>
          <cell r="I2388" t="str">
            <v>S</v>
          </cell>
          <cell r="J2388" t="str">
            <v>U</v>
          </cell>
        </row>
        <row r="2389">
          <cell r="B2389" t="str">
            <v>OT130330021-1-XL</v>
          </cell>
          <cell r="C2389" t="str">
            <v>ACCESORIOS</v>
          </cell>
          <cell r="D2389" t="str">
            <v>SOMBRERO</v>
          </cell>
          <cell r="E2389" t="str">
            <v>SOMBRERO RAFIA</v>
          </cell>
          <cell r="F2389" t="str">
            <v xml:space="preserve">RAFIA </v>
          </cell>
          <cell r="G2389">
            <v>0</v>
          </cell>
          <cell r="H2389" t="str">
            <v>TOSTADO/NEGRO</v>
          </cell>
          <cell r="I2389" t="str">
            <v>XL</v>
          </cell>
          <cell r="J2389" t="str">
            <v>U</v>
          </cell>
        </row>
        <row r="2390">
          <cell r="B2390" t="str">
            <v>OT130330021-1-XS</v>
          </cell>
          <cell r="C2390" t="str">
            <v>ACCESORIOS</v>
          </cell>
          <cell r="D2390" t="str">
            <v>SOMBRERO</v>
          </cell>
          <cell r="E2390" t="str">
            <v>SOMBRERO RAFIA</v>
          </cell>
          <cell r="F2390" t="str">
            <v xml:space="preserve">RAFIA </v>
          </cell>
          <cell r="G2390">
            <v>0</v>
          </cell>
          <cell r="H2390" t="str">
            <v>TOSTADO/NEGRO</v>
          </cell>
          <cell r="I2390" t="str">
            <v>XS</v>
          </cell>
          <cell r="J2390" t="str">
            <v>U</v>
          </cell>
        </row>
        <row r="2391">
          <cell r="B2391" t="str">
            <v>OT130330021-1-XXL</v>
          </cell>
          <cell r="C2391" t="str">
            <v>ACCESORIOS</v>
          </cell>
          <cell r="D2391" t="str">
            <v>SOMBRERO</v>
          </cell>
          <cell r="E2391" t="str">
            <v>SOMBRERO RAFIA</v>
          </cell>
          <cell r="F2391" t="str">
            <v xml:space="preserve">RAFIA </v>
          </cell>
          <cell r="G2391">
            <v>0</v>
          </cell>
          <cell r="H2391" t="str">
            <v>TOSTADO/NEGRO</v>
          </cell>
          <cell r="I2391" t="str">
            <v>XXL</v>
          </cell>
          <cell r="J2391" t="str">
            <v>U</v>
          </cell>
        </row>
        <row r="2392">
          <cell r="B2392" t="str">
            <v>OT130330021-52-L</v>
          </cell>
          <cell r="C2392" t="str">
            <v>ACCESORIOS</v>
          </cell>
          <cell r="D2392" t="str">
            <v>SOMBRERO</v>
          </cell>
          <cell r="E2392" t="str">
            <v>SOMBRERO RAFIA</v>
          </cell>
          <cell r="F2392" t="str">
            <v xml:space="preserve">RAFIA </v>
          </cell>
          <cell r="G2392">
            <v>0</v>
          </cell>
          <cell r="H2392" t="str">
            <v>TOSTADO/CHOCOLATE</v>
          </cell>
          <cell r="I2392" t="str">
            <v>L</v>
          </cell>
          <cell r="J2392" t="str">
            <v>U</v>
          </cell>
        </row>
        <row r="2393">
          <cell r="B2393" t="str">
            <v>OT130330021-52-M</v>
          </cell>
          <cell r="C2393" t="str">
            <v>ACCESORIOS</v>
          </cell>
          <cell r="D2393" t="str">
            <v>SOMBRERO</v>
          </cell>
          <cell r="E2393" t="str">
            <v>SOMBRERO RAFIA</v>
          </cell>
          <cell r="F2393" t="str">
            <v xml:space="preserve">RAFIA </v>
          </cell>
          <cell r="G2393">
            <v>0</v>
          </cell>
          <cell r="H2393" t="str">
            <v>TOSTADO/CHOCOLATE</v>
          </cell>
          <cell r="I2393" t="str">
            <v>M</v>
          </cell>
          <cell r="J2393" t="str">
            <v>U</v>
          </cell>
        </row>
        <row r="2394">
          <cell r="B2394" t="str">
            <v>OT130330021-52-S</v>
          </cell>
          <cell r="C2394" t="str">
            <v>ACCESORIOS</v>
          </cell>
          <cell r="D2394" t="str">
            <v>SOMBRERO</v>
          </cell>
          <cell r="E2394" t="str">
            <v>SOMBRERO RAFIA</v>
          </cell>
          <cell r="F2394" t="str">
            <v xml:space="preserve">RAFIA </v>
          </cell>
          <cell r="G2394">
            <v>0</v>
          </cell>
          <cell r="H2394" t="str">
            <v>TOSTADO/CHOCOLATE</v>
          </cell>
          <cell r="I2394" t="str">
            <v>S</v>
          </cell>
          <cell r="J2394" t="str">
            <v>U</v>
          </cell>
        </row>
        <row r="2395">
          <cell r="B2395" t="str">
            <v>OT130330021-52-XL</v>
          </cell>
          <cell r="C2395" t="str">
            <v>ACCESORIOS</v>
          </cell>
          <cell r="D2395" t="str">
            <v>SOMBRERO</v>
          </cell>
          <cell r="E2395" t="str">
            <v>SOMBRERO RAFIA</v>
          </cell>
          <cell r="F2395" t="str">
            <v xml:space="preserve">RAFIA </v>
          </cell>
          <cell r="G2395">
            <v>0</v>
          </cell>
          <cell r="H2395" t="str">
            <v>TOSTADO/CHOCOLATE</v>
          </cell>
          <cell r="I2395" t="str">
            <v>XL</v>
          </cell>
          <cell r="J2395" t="str">
            <v>U</v>
          </cell>
        </row>
        <row r="2396">
          <cell r="B2396" t="str">
            <v>OT130330021-52-XS</v>
          </cell>
          <cell r="C2396" t="str">
            <v>ACCESORIOS</v>
          </cell>
          <cell r="D2396" t="str">
            <v>SOMBRERO</v>
          </cell>
          <cell r="E2396" t="str">
            <v>SOMBRERO RAFIA</v>
          </cell>
          <cell r="F2396" t="str">
            <v xml:space="preserve">RAFIA </v>
          </cell>
          <cell r="G2396">
            <v>0</v>
          </cell>
          <cell r="H2396" t="str">
            <v>TOSTADO/CHOCOLATE</v>
          </cell>
          <cell r="I2396" t="str">
            <v>XS</v>
          </cell>
          <cell r="J2396" t="str">
            <v>U</v>
          </cell>
        </row>
        <row r="2397">
          <cell r="B2397" t="str">
            <v>OT130330021-52-XXL</v>
          </cell>
          <cell r="C2397" t="str">
            <v>ACCESORIOS</v>
          </cell>
          <cell r="D2397" t="str">
            <v>SOMBRERO</v>
          </cell>
          <cell r="E2397" t="str">
            <v>SOMBRERO RAFIA</v>
          </cell>
          <cell r="F2397" t="str">
            <v xml:space="preserve">RAFIA </v>
          </cell>
          <cell r="G2397">
            <v>0</v>
          </cell>
          <cell r="H2397" t="str">
            <v>TOSTADO/CHOCOLATE</v>
          </cell>
          <cell r="I2397" t="str">
            <v>XXL</v>
          </cell>
          <cell r="J2397" t="str">
            <v>U</v>
          </cell>
        </row>
        <row r="2398">
          <cell r="B2398" t="str">
            <v>OT130330021-L</v>
          </cell>
          <cell r="C2398" t="str">
            <v>ACCESORIOS</v>
          </cell>
          <cell r="D2398" t="str">
            <v>SOMBRERO</v>
          </cell>
          <cell r="E2398" t="str">
            <v>SOMBRERO RAFIA</v>
          </cell>
          <cell r="F2398" t="str">
            <v xml:space="preserve">RAFIA </v>
          </cell>
          <cell r="G2398">
            <v>0</v>
          </cell>
          <cell r="H2398" t="str">
            <v>TOSTADO/BLANCO</v>
          </cell>
          <cell r="I2398" t="str">
            <v>L</v>
          </cell>
          <cell r="J2398" t="str">
            <v>U</v>
          </cell>
        </row>
        <row r="2399">
          <cell r="B2399" t="str">
            <v>OT130330021-M</v>
          </cell>
          <cell r="C2399" t="str">
            <v>ACCESORIOS</v>
          </cell>
          <cell r="D2399" t="str">
            <v>SOMBRERO</v>
          </cell>
          <cell r="E2399" t="str">
            <v>SOMBRERO RAFIA</v>
          </cell>
          <cell r="F2399" t="str">
            <v xml:space="preserve">RAFIA </v>
          </cell>
          <cell r="G2399">
            <v>0</v>
          </cell>
          <cell r="H2399" t="str">
            <v>TOSTADO/BLANCO</v>
          </cell>
          <cell r="I2399" t="str">
            <v>M</v>
          </cell>
          <cell r="J2399" t="str">
            <v>U</v>
          </cell>
        </row>
        <row r="2400">
          <cell r="B2400" t="str">
            <v>OT130330021-S</v>
          </cell>
          <cell r="C2400" t="str">
            <v>ACCESORIOS</v>
          </cell>
          <cell r="D2400" t="str">
            <v>SOMBRERO</v>
          </cell>
          <cell r="E2400" t="str">
            <v>SOMBRERO RAFIA</v>
          </cell>
          <cell r="F2400" t="str">
            <v xml:space="preserve">RAFIA </v>
          </cell>
          <cell r="G2400">
            <v>0</v>
          </cell>
          <cell r="H2400" t="str">
            <v>TOSTADO/BLANCO</v>
          </cell>
          <cell r="I2400" t="str">
            <v>S</v>
          </cell>
          <cell r="J2400" t="str">
            <v>U</v>
          </cell>
        </row>
        <row r="2401">
          <cell r="B2401" t="str">
            <v>OT130330021-XL</v>
          </cell>
          <cell r="C2401" t="str">
            <v>ACCESORIOS</v>
          </cell>
          <cell r="D2401" t="str">
            <v>SOMBRERO</v>
          </cell>
          <cell r="E2401" t="str">
            <v>SOMBRERO RAFIA</v>
          </cell>
          <cell r="F2401" t="str">
            <v xml:space="preserve">RAFIA </v>
          </cell>
          <cell r="G2401">
            <v>0</v>
          </cell>
          <cell r="H2401" t="str">
            <v>TOSTADO/BLANCO</v>
          </cell>
          <cell r="I2401" t="str">
            <v>XL</v>
          </cell>
          <cell r="J2401" t="str">
            <v>U</v>
          </cell>
        </row>
        <row r="2402">
          <cell r="B2402" t="str">
            <v>OT130330021-XS</v>
          </cell>
          <cell r="C2402" t="str">
            <v>ACCESORIOS</v>
          </cell>
          <cell r="D2402" t="str">
            <v>SOMBRERO</v>
          </cell>
          <cell r="E2402" t="str">
            <v>SOMBRERO RAFIA</v>
          </cell>
          <cell r="F2402" t="str">
            <v xml:space="preserve">RAFIA </v>
          </cell>
          <cell r="G2402">
            <v>0</v>
          </cell>
          <cell r="H2402" t="str">
            <v>TOSTADO/BLANCO</v>
          </cell>
          <cell r="I2402" t="str">
            <v>XS</v>
          </cell>
          <cell r="J2402" t="str">
            <v>U</v>
          </cell>
        </row>
        <row r="2403">
          <cell r="B2403" t="str">
            <v>OT130330021-XXL</v>
          </cell>
          <cell r="C2403" t="str">
            <v>ACCESORIOS</v>
          </cell>
          <cell r="D2403" t="str">
            <v>SOMBRERO</v>
          </cell>
          <cell r="E2403" t="str">
            <v>SOMBRERO RAFIA</v>
          </cell>
          <cell r="F2403" t="str">
            <v xml:space="preserve">RAFIA </v>
          </cell>
          <cell r="G2403">
            <v>0</v>
          </cell>
          <cell r="H2403" t="str">
            <v>TOSTADO/BLANCO</v>
          </cell>
          <cell r="I2403" t="str">
            <v>XXL</v>
          </cell>
          <cell r="J2403" t="str">
            <v>U</v>
          </cell>
        </row>
        <row r="2404">
          <cell r="B2404" t="str">
            <v>OT090210303-L</v>
          </cell>
          <cell r="C2404" t="str">
            <v>ACCESORIOS</v>
          </cell>
          <cell r="D2404" t="str">
            <v>SOMBRERO</v>
          </cell>
          <cell r="E2404" t="str">
            <v>SOMBRERO TRENZA</v>
          </cell>
          <cell r="F2404" t="str">
            <v>BRIDGE</v>
          </cell>
          <cell r="G2404">
            <v>0</v>
          </cell>
          <cell r="H2404" t="str">
            <v>CARAMELO</v>
          </cell>
          <cell r="I2404" t="str">
            <v>L</v>
          </cell>
          <cell r="J2404" t="str">
            <v>U</v>
          </cell>
        </row>
        <row r="2405">
          <cell r="B2405" t="str">
            <v>OT090210303-M</v>
          </cell>
          <cell r="C2405" t="str">
            <v>ACCESORIOS</v>
          </cell>
          <cell r="D2405" t="str">
            <v>SOMBRERO</v>
          </cell>
          <cell r="E2405" t="str">
            <v>SOMBRERO TRENZA</v>
          </cell>
          <cell r="F2405" t="str">
            <v>BRIDGE</v>
          </cell>
          <cell r="G2405">
            <v>0</v>
          </cell>
          <cell r="H2405" t="str">
            <v>CARAMELO</v>
          </cell>
          <cell r="I2405" t="str">
            <v>M</v>
          </cell>
          <cell r="J2405" t="str">
            <v>U</v>
          </cell>
        </row>
        <row r="2406">
          <cell r="B2406" t="str">
            <v>OT090210303-S</v>
          </cell>
          <cell r="C2406" t="str">
            <v>ACCESORIOS</v>
          </cell>
          <cell r="D2406" t="str">
            <v>SOMBRERO</v>
          </cell>
          <cell r="E2406" t="str">
            <v>SOMBRERO TRENZA</v>
          </cell>
          <cell r="F2406" t="str">
            <v>BRIDGE</v>
          </cell>
          <cell r="G2406">
            <v>0</v>
          </cell>
          <cell r="H2406" t="str">
            <v>CARAMELO</v>
          </cell>
          <cell r="I2406" t="str">
            <v>S</v>
          </cell>
          <cell r="J2406" t="str">
            <v>U</v>
          </cell>
        </row>
        <row r="2407">
          <cell r="B2407" t="str">
            <v>OT090210303-XL</v>
          </cell>
          <cell r="C2407" t="str">
            <v>ACCESORIOS</v>
          </cell>
          <cell r="D2407" t="str">
            <v>SOMBRERO</v>
          </cell>
          <cell r="E2407" t="str">
            <v>SOMBRERO TRENZA</v>
          </cell>
          <cell r="F2407" t="str">
            <v>BRIDGE</v>
          </cell>
          <cell r="G2407">
            <v>0</v>
          </cell>
          <cell r="H2407" t="str">
            <v>CARAMELO</v>
          </cell>
          <cell r="I2407" t="str">
            <v>XL</v>
          </cell>
          <cell r="J2407" t="str">
            <v>U</v>
          </cell>
        </row>
        <row r="2408">
          <cell r="B2408" t="str">
            <v>OT090210303-XXL</v>
          </cell>
          <cell r="C2408" t="str">
            <v>ACCESORIOS</v>
          </cell>
          <cell r="D2408" t="str">
            <v>SOMBRERO</v>
          </cell>
          <cell r="E2408" t="str">
            <v>SOMBRERO TRENZA</v>
          </cell>
          <cell r="F2408" t="str">
            <v>BRIDGE</v>
          </cell>
          <cell r="G2408">
            <v>0</v>
          </cell>
          <cell r="H2408" t="str">
            <v>CARAMELO</v>
          </cell>
          <cell r="I2408" t="str">
            <v>XXL</v>
          </cell>
          <cell r="J2408" t="str">
            <v>U</v>
          </cell>
        </row>
        <row r="2409">
          <cell r="B2409" t="str">
            <v>OT090210352-L</v>
          </cell>
          <cell r="C2409" t="str">
            <v>ACCESORIOS</v>
          </cell>
          <cell r="D2409" t="str">
            <v>SOMBRERO</v>
          </cell>
          <cell r="E2409" t="str">
            <v>SOMBRERO TRENZA</v>
          </cell>
          <cell r="F2409" t="str">
            <v>BRIDGE</v>
          </cell>
          <cell r="G2409">
            <v>0</v>
          </cell>
          <cell r="H2409" t="str">
            <v>CHOCOLATE</v>
          </cell>
          <cell r="I2409" t="str">
            <v>L</v>
          </cell>
          <cell r="J2409" t="str">
            <v>U</v>
          </cell>
        </row>
        <row r="2410">
          <cell r="B2410" t="str">
            <v>OT090210352-M</v>
          </cell>
          <cell r="C2410" t="str">
            <v>ACCESORIOS</v>
          </cell>
          <cell r="D2410" t="str">
            <v>SOMBRERO</v>
          </cell>
          <cell r="E2410" t="str">
            <v>SOMBRERO TRENZA</v>
          </cell>
          <cell r="F2410" t="str">
            <v>BRIDGE</v>
          </cell>
          <cell r="G2410">
            <v>0</v>
          </cell>
          <cell r="H2410" t="str">
            <v>CHOCOLATE</v>
          </cell>
          <cell r="I2410" t="str">
            <v>M</v>
          </cell>
          <cell r="J2410" t="str">
            <v>U</v>
          </cell>
        </row>
        <row r="2411">
          <cell r="B2411" t="str">
            <v>OT090210352-S</v>
          </cell>
          <cell r="C2411" t="str">
            <v>ACCESORIOS</v>
          </cell>
          <cell r="D2411" t="str">
            <v>SOMBRERO</v>
          </cell>
          <cell r="E2411" t="str">
            <v>SOMBRERO TRENZA</v>
          </cell>
          <cell r="F2411" t="str">
            <v>BRIDGE</v>
          </cell>
          <cell r="G2411">
            <v>0</v>
          </cell>
          <cell r="H2411" t="str">
            <v>CHOCOLATE</v>
          </cell>
          <cell r="I2411" t="str">
            <v>S</v>
          </cell>
          <cell r="J2411" t="str">
            <v>U</v>
          </cell>
        </row>
        <row r="2412">
          <cell r="B2412" t="str">
            <v>OT090210352-XL</v>
          </cell>
          <cell r="C2412" t="str">
            <v>ACCESORIOS</v>
          </cell>
          <cell r="D2412" t="str">
            <v>SOMBRERO</v>
          </cell>
          <cell r="E2412" t="str">
            <v>SOMBRERO TRENZA</v>
          </cell>
          <cell r="F2412" t="str">
            <v>BRIDGE</v>
          </cell>
          <cell r="G2412">
            <v>0</v>
          </cell>
          <cell r="H2412" t="str">
            <v>CHOCOLATE</v>
          </cell>
          <cell r="I2412" t="str">
            <v>XL</v>
          </cell>
          <cell r="J2412" t="str">
            <v>U</v>
          </cell>
        </row>
        <row r="2413">
          <cell r="B2413" t="str">
            <v>OT090210352-XXL</v>
          </cell>
          <cell r="C2413" t="str">
            <v>ACCESORIOS</v>
          </cell>
          <cell r="D2413" t="str">
            <v>SOMBRERO</v>
          </cell>
          <cell r="E2413" t="str">
            <v>SOMBRERO TRENZA</v>
          </cell>
          <cell r="F2413" t="str">
            <v>BRIDGE</v>
          </cell>
          <cell r="G2413">
            <v>0</v>
          </cell>
          <cell r="H2413" t="str">
            <v>CHOCOLATE</v>
          </cell>
          <cell r="I2413" t="str">
            <v>XXL</v>
          </cell>
          <cell r="J2413" t="str">
            <v>U</v>
          </cell>
        </row>
        <row r="2414">
          <cell r="B2414" t="str">
            <v>TX220253611-L</v>
          </cell>
          <cell r="C2414" t="str">
            <v>TEXTIL</v>
          </cell>
          <cell r="D2414" t="str">
            <v>SWEATER</v>
          </cell>
          <cell r="E2414" t="str">
            <v>SWEATER 1/2 CIERRE</v>
          </cell>
          <cell r="F2414" t="str">
            <v>ALGODON/LANA</v>
          </cell>
          <cell r="G2414">
            <v>0</v>
          </cell>
          <cell r="H2414" t="str">
            <v>BEIGE</v>
          </cell>
          <cell r="I2414" t="str">
            <v>L</v>
          </cell>
          <cell r="J2414" t="str">
            <v>U</v>
          </cell>
        </row>
        <row r="2415">
          <cell r="B2415" t="str">
            <v>TX220253611-M</v>
          </cell>
          <cell r="C2415" t="str">
            <v>TEXTIL</v>
          </cell>
          <cell r="D2415" t="str">
            <v>SWEATER</v>
          </cell>
          <cell r="E2415" t="str">
            <v>SWEATER 1/2 CIERRE</v>
          </cell>
          <cell r="F2415" t="str">
            <v>ALGODON/LANA</v>
          </cell>
          <cell r="G2415">
            <v>0</v>
          </cell>
          <cell r="H2415" t="str">
            <v>BEIGE</v>
          </cell>
          <cell r="I2415" t="str">
            <v>M</v>
          </cell>
          <cell r="J2415" t="str">
            <v>U</v>
          </cell>
        </row>
        <row r="2416">
          <cell r="B2416" t="str">
            <v>TX220253611-XL</v>
          </cell>
          <cell r="C2416" t="str">
            <v>TEXTIL</v>
          </cell>
          <cell r="D2416" t="str">
            <v>SWEATER</v>
          </cell>
          <cell r="E2416" t="str">
            <v>SWEATER 1/2 CIERRE</v>
          </cell>
          <cell r="F2416" t="str">
            <v>ALGODON/LANA</v>
          </cell>
          <cell r="G2416">
            <v>0</v>
          </cell>
          <cell r="H2416" t="str">
            <v>BEIGE</v>
          </cell>
          <cell r="I2416" t="str">
            <v>XL</v>
          </cell>
          <cell r="J2416" t="str">
            <v>U</v>
          </cell>
        </row>
        <row r="2417">
          <cell r="B2417" t="str">
            <v>TX220253611-XXL</v>
          </cell>
          <cell r="C2417" t="str">
            <v>TEXTIL</v>
          </cell>
          <cell r="D2417" t="str">
            <v>SWEATER</v>
          </cell>
          <cell r="E2417" t="str">
            <v>SWEATER 1/2 CIERRE</v>
          </cell>
          <cell r="F2417" t="str">
            <v>ALGODON/LANA</v>
          </cell>
          <cell r="G2417">
            <v>0</v>
          </cell>
          <cell r="H2417" t="str">
            <v>BEIGE</v>
          </cell>
          <cell r="I2417" t="str">
            <v>XXL</v>
          </cell>
          <cell r="J2417" t="str">
            <v>U</v>
          </cell>
        </row>
        <row r="2418">
          <cell r="B2418" t="str">
            <v>TX220253652-L</v>
          </cell>
          <cell r="C2418" t="str">
            <v>TEXTIL</v>
          </cell>
          <cell r="D2418" t="str">
            <v>SWEATER</v>
          </cell>
          <cell r="E2418" t="str">
            <v>SWEATER 1/2 CIERRE</v>
          </cell>
          <cell r="F2418" t="str">
            <v>ALGODON/LANA</v>
          </cell>
          <cell r="G2418">
            <v>0</v>
          </cell>
          <cell r="H2418" t="str">
            <v>CHOCOLATE</v>
          </cell>
          <cell r="I2418" t="str">
            <v>L</v>
          </cell>
          <cell r="J2418" t="str">
            <v>U</v>
          </cell>
        </row>
        <row r="2419">
          <cell r="B2419" t="str">
            <v>TX220253652-M</v>
          </cell>
          <cell r="C2419" t="str">
            <v>TEXTIL</v>
          </cell>
          <cell r="D2419" t="str">
            <v>SWEATER</v>
          </cell>
          <cell r="E2419" t="str">
            <v>SWEATER 1/2 CIERRE</v>
          </cell>
          <cell r="F2419" t="str">
            <v>ALGODON/LANA</v>
          </cell>
          <cell r="G2419">
            <v>0</v>
          </cell>
          <cell r="H2419" t="str">
            <v>CHOCOLATE</v>
          </cell>
          <cell r="I2419" t="str">
            <v>M</v>
          </cell>
          <cell r="J2419" t="str">
            <v>U</v>
          </cell>
        </row>
        <row r="2420">
          <cell r="B2420" t="str">
            <v>TX220253652-XL</v>
          </cell>
          <cell r="C2420" t="str">
            <v>TEXTIL</v>
          </cell>
          <cell r="D2420" t="str">
            <v>SWEATER</v>
          </cell>
          <cell r="E2420" t="str">
            <v>SWEATER 1/2 CIERRE</v>
          </cell>
          <cell r="F2420" t="str">
            <v>ALGODON/LANA</v>
          </cell>
          <cell r="G2420">
            <v>0</v>
          </cell>
          <cell r="H2420" t="str">
            <v>CHOCOLATE</v>
          </cell>
          <cell r="I2420" t="str">
            <v>XL</v>
          </cell>
          <cell r="J2420" t="str">
            <v>U</v>
          </cell>
        </row>
        <row r="2421">
          <cell r="B2421" t="str">
            <v>TX220253652-XXL</v>
          </cell>
          <cell r="C2421" t="str">
            <v>TEXTIL</v>
          </cell>
          <cell r="D2421" t="str">
            <v>SWEATER</v>
          </cell>
          <cell r="E2421" t="str">
            <v>SWEATER 1/2 CIERRE</v>
          </cell>
          <cell r="F2421" t="str">
            <v>ALGODON/LANA</v>
          </cell>
          <cell r="G2421">
            <v>0</v>
          </cell>
          <cell r="H2421" t="str">
            <v>CHOCOLATE</v>
          </cell>
          <cell r="I2421" t="str">
            <v>XXL</v>
          </cell>
          <cell r="J2421" t="str">
            <v>U</v>
          </cell>
        </row>
        <row r="2422">
          <cell r="B2422" t="str">
            <v>MC020530401</v>
          </cell>
          <cell r="C2422" t="str">
            <v>MARRO CHICA</v>
          </cell>
          <cell r="D2422" t="str">
            <v>TAG</v>
          </cell>
          <cell r="E2422" t="str">
            <v>TAG AMAYA</v>
          </cell>
          <cell r="F2422" t="str">
            <v>VAQUETA</v>
          </cell>
          <cell r="G2422">
            <v>0</v>
          </cell>
          <cell r="H2422" t="str">
            <v>NEGRO</v>
          </cell>
          <cell r="I2422" t="str">
            <v>U</v>
          </cell>
          <cell r="J2422" t="str">
            <v>U</v>
          </cell>
        </row>
        <row r="2423">
          <cell r="B2423" t="str">
            <v>MC020530408</v>
          </cell>
          <cell r="C2423" t="str">
            <v>MARRO CHICA</v>
          </cell>
          <cell r="D2423" t="str">
            <v>TAG</v>
          </cell>
          <cell r="E2423" t="str">
            <v>TAG AMAYA</v>
          </cell>
          <cell r="F2423" t="str">
            <v>VAQUETA</v>
          </cell>
          <cell r="G2423">
            <v>0</v>
          </cell>
          <cell r="H2423" t="str">
            <v>NATURAL</v>
          </cell>
          <cell r="I2423" t="str">
            <v>U</v>
          </cell>
          <cell r="J2423" t="str">
            <v>U</v>
          </cell>
        </row>
        <row r="2424">
          <cell r="B2424" t="str">
            <v>MC020530452</v>
          </cell>
          <cell r="C2424" t="str">
            <v>MARRO CHICA</v>
          </cell>
          <cell r="D2424" t="str">
            <v>TAG</v>
          </cell>
          <cell r="E2424" t="str">
            <v>TAG AMAYA</v>
          </cell>
          <cell r="F2424" t="str">
            <v>VAQUETA</v>
          </cell>
          <cell r="G2424">
            <v>0</v>
          </cell>
          <cell r="H2424" t="str">
            <v>CHOCOLATE</v>
          </cell>
          <cell r="I2424" t="str">
            <v>U</v>
          </cell>
          <cell r="J2424" t="str">
            <v>U</v>
          </cell>
        </row>
        <row r="2425">
          <cell r="B2425" t="str">
            <v>MC020532002</v>
          </cell>
          <cell r="C2425" t="str">
            <v>MARRO CHICA</v>
          </cell>
          <cell r="D2425" t="str">
            <v>TAG</v>
          </cell>
          <cell r="E2425" t="str">
            <v>TAG AMAYA</v>
          </cell>
          <cell r="F2425" t="str">
            <v>VAQUETA</v>
          </cell>
          <cell r="G2425">
            <v>0</v>
          </cell>
          <cell r="H2425" t="str">
            <v>SUELA</v>
          </cell>
          <cell r="I2425" t="str">
            <v>U</v>
          </cell>
          <cell r="J2425" t="str">
            <v>U</v>
          </cell>
        </row>
        <row r="2426">
          <cell r="B2426" t="str">
            <v>MC020532028</v>
          </cell>
          <cell r="C2426" t="str">
            <v>MARRO CHICA</v>
          </cell>
          <cell r="D2426" t="str">
            <v>TAG</v>
          </cell>
          <cell r="E2426" t="str">
            <v>TAG AMAYA</v>
          </cell>
          <cell r="F2426" t="str">
            <v>VAQUETA</v>
          </cell>
          <cell r="G2426">
            <v>0</v>
          </cell>
          <cell r="H2426" t="str">
            <v>VISON</v>
          </cell>
          <cell r="I2426" t="str">
            <v>U</v>
          </cell>
          <cell r="J2426" t="str">
            <v>U</v>
          </cell>
        </row>
        <row r="2427">
          <cell r="B2427" t="str">
            <v>MC020522001</v>
          </cell>
          <cell r="C2427" t="str">
            <v>MARRO CHICA</v>
          </cell>
          <cell r="D2427" t="str">
            <v>TAG</v>
          </cell>
          <cell r="E2427" t="str">
            <v>TAG INICIALES</v>
          </cell>
          <cell r="F2427" t="str">
            <v>VAQUETA</v>
          </cell>
          <cell r="G2427">
            <v>0</v>
          </cell>
          <cell r="H2427" t="str">
            <v>NEGRO</v>
          </cell>
          <cell r="I2427" t="str">
            <v>U</v>
          </cell>
          <cell r="J2427" t="str">
            <v>U</v>
          </cell>
        </row>
        <row r="2428">
          <cell r="B2428" t="str">
            <v>MC020522002</v>
          </cell>
          <cell r="C2428" t="str">
            <v>MARRO CHICA</v>
          </cell>
          <cell r="D2428" t="str">
            <v>TAG</v>
          </cell>
          <cell r="E2428" t="str">
            <v>TAG INICIALES</v>
          </cell>
          <cell r="F2428" t="str">
            <v>VAQUETA</v>
          </cell>
          <cell r="G2428">
            <v>0</v>
          </cell>
          <cell r="H2428" t="str">
            <v>SUELA</v>
          </cell>
          <cell r="I2428" t="str">
            <v>U</v>
          </cell>
          <cell r="J2428" t="str">
            <v>U</v>
          </cell>
        </row>
        <row r="2429">
          <cell r="B2429" t="str">
            <v>MC020522008</v>
          </cell>
          <cell r="C2429" t="str">
            <v>MARRO CHICA</v>
          </cell>
          <cell r="D2429" t="str">
            <v>TAG</v>
          </cell>
          <cell r="E2429" t="str">
            <v>TAG INICIALES</v>
          </cell>
          <cell r="F2429" t="str">
            <v>VAQUETA</v>
          </cell>
          <cell r="G2429">
            <v>0</v>
          </cell>
          <cell r="H2429" t="str">
            <v>NATURAL</v>
          </cell>
          <cell r="I2429" t="str">
            <v>U</v>
          </cell>
          <cell r="J2429" t="str">
            <v>U</v>
          </cell>
        </row>
        <row r="2430">
          <cell r="B2430" t="str">
            <v>MC020522013</v>
          </cell>
          <cell r="C2430" t="str">
            <v>MARRO CHICA</v>
          </cell>
          <cell r="D2430" t="str">
            <v>TAG</v>
          </cell>
          <cell r="E2430" t="str">
            <v>TAG INICIALES</v>
          </cell>
          <cell r="F2430" t="str">
            <v>VAQUETA</v>
          </cell>
          <cell r="G2430">
            <v>0</v>
          </cell>
          <cell r="H2430" t="str">
            <v xml:space="preserve">DULCE DE LECHE </v>
          </cell>
          <cell r="I2430" t="str">
            <v>U</v>
          </cell>
          <cell r="J2430" t="str">
            <v>U</v>
          </cell>
        </row>
        <row r="2431">
          <cell r="B2431" t="str">
            <v>MC020522028</v>
          </cell>
          <cell r="C2431" t="str">
            <v>MARRO CHICA</v>
          </cell>
          <cell r="D2431" t="str">
            <v>TAG</v>
          </cell>
          <cell r="E2431" t="str">
            <v>TAG INICIALES</v>
          </cell>
          <cell r="F2431" t="str">
            <v>VAQUETA</v>
          </cell>
          <cell r="G2431">
            <v>0</v>
          </cell>
          <cell r="H2431" t="str">
            <v>VISON</v>
          </cell>
          <cell r="I2431" t="str">
            <v>U</v>
          </cell>
          <cell r="J2431" t="str">
            <v>U</v>
          </cell>
        </row>
        <row r="2432">
          <cell r="B2432" t="str">
            <v>MC020522052</v>
          </cell>
          <cell r="C2432" t="str">
            <v>MARRO CHICA</v>
          </cell>
          <cell r="D2432" t="str">
            <v>TAG</v>
          </cell>
          <cell r="E2432" t="str">
            <v>TAG INICIALES</v>
          </cell>
          <cell r="F2432" t="str">
            <v>VAQUETA</v>
          </cell>
          <cell r="G2432">
            <v>0</v>
          </cell>
          <cell r="H2432" t="str">
            <v>CHOCOLATE</v>
          </cell>
          <cell r="I2432" t="str">
            <v>U</v>
          </cell>
          <cell r="J2432" t="str">
            <v>U</v>
          </cell>
        </row>
        <row r="2433">
          <cell r="B2433" t="str">
            <v>MC020510301</v>
          </cell>
          <cell r="C2433" t="str">
            <v>MARRO CHICA</v>
          </cell>
          <cell r="D2433" t="str">
            <v>TAG</v>
          </cell>
          <cell r="E2433" t="str">
            <v>TAG SIMPLE</v>
          </cell>
          <cell r="F2433" t="str">
            <v>BRIDGE</v>
          </cell>
          <cell r="G2433">
            <v>0</v>
          </cell>
          <cell r="H2433" t="str">
            <v>NEGRO</v>
          </cell>
          <cell r="I2433" t="str">
            <v>U</v>
          </cell>
          <cell r="J2433" t="str">
            <v>U</v>
          </cell>
        </row>
        <row r="2434">
          <cell r="B2434" t="str">
            <v>MC020510303</v>
          </cell>
          <cell r="C2434" t="str">
            <v>MARRO CHICA</v>
          </cell>
          <cell r="D2434" t="str">
            <v>TAG</v>
          </cell>
          <cell r="E2434" t="str">
            <v>TAG SIMPLE</v>
          </cell>
          <cell r="F2434" t="str">
            <v>BRIDGE</v>
          </cell>
          <cell r="G2434">
            <v>0</v>
          </cell>
          <cell r="H2434" t="str">
            <v>CARAMELO</v>
          </cell>
          <cell r="I2434" t="str">
            <v>U</v>
          </cell>
          <cell r="J2434" t="str">
            <v>U</v>
          </cell>
        </row>
        <row r="2435">
          <cell r="B2435" t="str">
            <v>MC020510304</v>
          </cell>
          <cell r="C2435" t="str">
            <v>MARRO CHICA</v>
          </cell>
          <cell r="D2435" t="str">
            <v>TAG</v>
          </cell>
          <cell r="E2435" t="str">
            <v>TAG SIMPLE</v>
          </cell>
          <cell r="F2435" t="str">
            <v>BRIDGE</v>
          </cell>
          <cell r="G2435">
            <v>0</v>
          </cell>
          <cell r="H2435" t="str">
            <v>TABACO</v>
          </cell>
          <cell r="I2435" t="str">
            <v>U</v>
          </cell>
          <cell r="J2435" t="str">
            <v>U</v>
          </cell>
        </row>
        <row r="2436">
          <cell r="B2436" t="str">
            <v>MC020510307</v>
          </cell>
          <cell r="C2436" t="str">
            <v>MARRO CHICA</v>
          </cell>
          <cell r="D2436" t="str">
            <v>TAG</v>
          </cell>
          <cell r="E2436" t="str">
            <v>TAG SIMPLE</v>
          </cell>
          <cell r="F2436" t="str">
            <v>BRIDGE</v>
          </cell>
          <cell r="G2436">
            <v>0</v>
          </cell>
          <cell r="H2436" t="str">
            <v>ROJO</v>
          </cell>
          <cell r="I2436" t="str">
            <v>U</v>
          </cell>
          <cell r="J2436" t="str">
            <v>U</v>
          </cell>
        </row>
        <row r="2437">
          <cell r="B2437" t="str">
            <v>MC020510309</v>
          </cell>
          <cell r="C2437" t="str">
            <v>MARRO CHICA</v>
          </cell>
          <cell r="D2437" t="str">
            <v>TAG</v>
          </cell>
          <cell r="E2437" t="str">
            <v>TAG SIMPLE</v>
          </cell>
          <cell r="F2437" t="str">
            <v>BRIDGE</v>
          </cell>
          <cell r="G2437">
            <v>0</v>
          </cell>
          <cell r="H2437" t="str">
            <v>AZUL</v>
          </cell>
          <cell r="I2437" t="str">
            <v>U</v>
          </cell>
          <cell r="J2437" t="str">
            <v>U</v>
          </cell>
        </row>
        <row r="2438">
          <cell r="B2438" t="str">
            <v>MC020510310</v>
          </cell>
          <cell r="C2438" t="str">
            <v>MARRO CHICA</v>
          </cell>
          <cell r="D2438" t="str">
            <v>TAG</v>
          </cell>
          <cell r="E2438" t="str">
            <v>TAG SIMPLE</v>
          </cell>
          <cell r="F2438" t="str">
            <v>BRIDGE</v>
          </cell>
          <cell r="G2438">
            <v>0</v>
          </cell>
          <cell r="H2438" t="str">
            <v>VERDE</v>
          </cell>
          <cell r="I2438" t="str">
            <v>U</v>
          </cell>
          <cell r="J2438" t="str">
            <v>U</v>
          </cell>
        </row>
        <row r="2439">
          <cell r="B2439" t="str">
            <v>TP010010101</v>
          </cell>
          <cell r="C2439" t="str">
            <v>ACCESORIOS</v>
          </cell>
          <cell r="D2439" t="str">
            <v>TAPABOCA</v>
          </cell>
          <cell r="E2439" t="str">
            <v>TAPABOCA BROCHES</v>
          </cell>
          <cell r="F2439" t="str">
            <v>NAPADO/TELA</v>
          </cell>
          <cell r="G2439">
            <v>0</v>
          </cell>
          <cell r="H2439" t="str">
            <v>NEGRO/NEGRO</v>
          </cell>
          <cell r="I2439" t="str">
            <v>U</v>
          </cell>
          <cell r="J2439" t="str">
            <v>U</v>
          </cell>
        </row>
        <row r="2440">
          <cell r="B2440" t="str">
            <v>TP010010102</v>
          </cell>
          <cell r="C2440" t="str">
            <v>ACCESORIOS</v>
          </cell>
          <cell r="D2440" t="str">
            <v>TAPABOCA</v>
          </cell>
          <cell r="E2440" t="str">
            <v>TAPABOCA BROCHES</v>
          </cell>
          <cell r="F2440" t="str">
            <v>NAPADO/TELA</v>
          </cell>
          <cell r="G2440">
            <v>0</v>
          </cell>
          <cell r="H2440" t="str">
            <v>SUELA/MARRON</v>
          </cell>
          <cell r="I2440" t="str">
            <v>U</v>
          </cell>
          <cell r="J2440" t="str">
            <v>U</v>
          </cell>
        </row>
        <row r="2441">
          <cell r="B2441" t="str">
            <v>TP010030101</v>
          </cell>
          <cell r="C2441" t="str">
            <v>ACCESORIOS</v>
          </cell>
          <cell r="D2441" t="str">
            <v>TAPABOCA</v>
          </cell>
          <cell r="E2441" t="str">
            <v>TAPABOCA COMBINADO</v>
          </cell>
          <cell r="F2441" t="str">
            <v>NAPADO</v>
          </cell>
          <cell r="G2441">
            <v>0</v>
          </cell>
          <cell r="H2441" t="str">
            <v>NEGRO</v>
          </cell>
          <cell r="I2441" t="str">
            <v>U</v>
          </cell>
          <cell r="J2441" t="str">
            <v>U</v>
          </cell>
        </row>
        <row r="2442">
          <cell r="B2442" t="str">
            <v>TP010030102</v>
          </cell>
          <cell r="C2442" t="str">
            <v>ACCESORIOS</v>
          </cell>
          <cell r="D2442" t="str">
            <v>TAPABOCA</v>
          </cell>
          <cell r="E2442" t="str">
            <v>TAPABOCA COMBINADO</v>
          </cell>
          <cell r="F2442" t="str">
            <v>NAPADO</v>
          </cell>
          <cell r="G2442">
            <v>0</v>
          </cell>
          <cell r="H2442" t="str">
            <v>NEGRO/SUELA</v>
          </cell>
          <cell r="I2442" t="str">
            <v>U</v>
          </cell>
          <cell r="J2442" t="str">
            <v>U</v>
          </cell>
        </row>
        <row r="2443">
          <cell r="B2443" t="str">
            <v>TP010020101</v>
          </cell>
          <cell r="C2443" t="str">
            <v>ACCESORIOS</v>
          </cell>
          <cell r="D2443" t="str">
            <v>TAPABOCA</v>
          </cell>
          <cell r="E2443" t="str">
            <v>TAPABOCA SIMPLE</v>
          </cell>
          <cell r="F2443" t="str">
            <v>NAPADO</v>
          </cell>
          <cell r="G2443">
            <v>0</v>
          </cell>
          <cell r="H2443" t="str">
            <v>NEGRO</v>
          </cell>
          <cell r="I2443" t="str">
            <v>U</v>
          </cell>
          <cell r="J2443" t="str">
            <v>U</v>
          </cell>
        </row>
        <row r="2444">
          <cell r="B2444" t="str">
            <v>TP010020102</v>
          </cell>
          <cell r="C2444" t="str">
            <v>ACCESORIOS</v>
          </cell>
          <cell r="D2444" t="str">
            <v>TAPABOCA</v>
          </cell>
          <cell r="E2444" t="str">
            <v>TAPABOCA SIMPLE</v>
          </cell>
          <cell r="F2444" t="str">
            <v>NAPADO</v>
          </cell>
          <cell r="G2444">
            <v>0</v>
          </cell>
          <cell r="H2444" t="str">
            <v>SUELA</v>
          </cell>
          <cell r="I2444" t="str">
            <v>U</v>
          </cell>
          <cell r="J2444" t="str">
            <v>U</v>
          </cell>
        </row>
        <row r="2445">
          <cell r="B2445" t="str">
            <v>TP010020109</v>
          </cell>
          <cell r="C2445" t="str">
            <v>ACCESORIOS</v>
          </cell>
          <cell r="D2445" t="str">
            <v>TAPABOCA</v>
          </cell>
          <cell r="E2445" t="str">
            <v>TAPABOCA SIMPLE</v>
          </cell>
          <cell r="F2445" t="str">
            <v>NAPADO</v>
          </cell>
          <cell r="G2445">
            <v>0</v>
          </cell>
          <cell r="H2445" t="str">
            <v>AZUL</v>
          </cell>
          <cell r="I2445" t="str">
            <v>U</v>
          </cell>
          <cell r="J2445" t="str">
            <v>U</v>
          </cell>
        </row>
        <row r="2446">
          <cell r="B2446" t="str">
            <v>TP010040304-T1</v>
          </cell>
          <cell r="C2446" t="str">
            <v>ACCESORIOS</v>
          </cell>
          <cell r="D2446" t="str">
            <v>TAPABOCA</v>
          </cell>
          <cell r="E2446" t="str">
            <v>TAPABOCA TIENTOS</v>
          </cell>
          <cell r="F2446" t="str">
            <v>BRIDGE/TELA</v>
          </cell>
          <cell r="G2446">
            <v>0</v>
          </cell>
          <cell r="H2446" t="str">
            <v>TAUPE/TABACO T1</v>
          </cell>
          <cell r="I2446">
            <v>1</v>
          </cell>
          <cell r="J2446" t="str">
            <v>U</v>
          </cell>
        </row>
        <row r="2447">
          <cell r="B2447" t="str">
            <v>TP010040304-T2</v>
          </cell>
          <cell r="C2447" t="str">
            <v>ACCESORIOS</v>
          </cell>
          <cell r="D2447" t="str">
            <v>TAPABOCA</v>
          </cell>
          <cell r="E2447" t="str">
            <v>TAPABOCA TIENTOS</v>
          </cell>
          <cell r="F2447" t="str">
            <v>BRIDGE/TELA</v>
          </cell>
          <cell r="G2447">
            <v>0</v>
          </cell>
          <cell r="H2447" t="str">
            <v>TAUPE/TABACO T2</v>
          </cell>
          <cell r="I2447">
            <v>2</v>
          </cell>
          <cell r="J2447" t="str">
            <v>U</v>
          </cell>
        </row>
        <row r="2448">
          <cell r="B2448" t="str">
            <v>TP010040309-T1</v>
          </cell>
          <cell r="C2448" t="str">
            <v>ACCESORIOS</v>
          </cell>
          <cell r="D2448" t="str">
            <v>TAPABOCA</v>
          </cell>
          <cell r="E2448" t="str">
            <v>TAPABOCA TIENTOS</v>
          </cell>
          <cell r="F2448" t="str">
            <v>BRIDGE/TELA</v>
          </cell>
          <cell r="G2448">
            <v>0</v>
          </cell>
          <cell r="H2448" t="str">
            <v>AZUL/NEGRO T1</v>
          </cell>
          <cell r="I2448">
            <v>1</v>
          </cell>
          <cell r="J2448" t="str">
            <v>U</v>
          </cell>
        </row>
        <row r="2449">
          <cell r="B2449" t="str">
            <v>TP010040309-T2</v>
          </cell>
          <cell r="C2449" t="str">
            <v>ACCESORIOS</v>
          </cell>
          <cell r="D2449" t="str">
            <v>TAPABOCA</v>
          </cell>
          <cell r="E2449" t="str">
            <v>TAPABOCA TIENTOS</v>
          </cell>
          <cell r="F2449" t="str">
            <v>BRIDGE/TELA</v>
          </cell>
          <cell r="G2449">
            <v>0</v>
          </cell>
          <cell r="H2449" t="str">
            <v>AZUL/NEGRO T2</v>
          </cell>
          <cell r="I2449">
            <v>2</v>
          </cell>
          <cell r="J2449" t="str">
            <v>U</v>
          </cell>
        </row>
        <row r="2450">
          <cell r="B2450" t="str">
            <v>TP010040310-T1</v>
          </cell>
          <cell r="C2450" t="str">
            <v>ACCESORIOS</v>
          </cell>
          <cell r="D2450" t="str">
            <v>TAPABOCA</v>
          </cell>
          <cell r="E2450" t="str">
            <v>TAPABOCA TIENTOS</v>
          </cell>
          <cell r="F2450" t="str">
            <v>BRIDGE/TELA</v>
          </cell>
          <cell r="G2450">
            <v>0</v>
          </cell>
          <cell r="H2450" t="str">
            <v>VERDE/NEGRO T1</v>
          </cell>
          <cell r="I2450">
            <v>1</v>
          </cell>
          <cell r="J2450" t="str">
            <v>U</v>
          </cell>
        </row>
        <row r="2451">
          <cell r="B2451" t="str">
            <v>TP010040310-T2</v>
          </cell>
          <cell r="C2451" t="str">
            <v>ACCESORIOS</v>
          </cell>
          <cell r="D2451" t="str">
            <v>TAPABOCA</v>
          </cell>
          <cell r="E2451" t="str">
            <v>TAPABOCA TIENTOS</v>
          </cell>
          <cell r="F2451" t="str">
            <v>BRIDGE/TELA</v>
          </cell>
          <cell r="G2451">
            <v>0</v>
          </cell>
          <cell r="H2451" t="str">
            <v>VERDE/NEGRO T2</v>
          </cell>
          <cell r="I2451">
            <v>2</v>
          </cell>
          <cell r="J2451" t="str">
            <v>U</v>
          </cell>
        </row>
        <row r="2452">
          <cell r="B2452" t="str">
            <v>MC020100202</v>
          </cell>
          <cell r="C2452" t="str">
            <v>MARRO CHICA</v>
          </cell>
          <cell r="D2452" t="str">
            <v>TARJETERO</v>
          </cell>
          <cell r="E2452" t="str">
            <v>TARJETERO ARIES</v>
          </cell>
          <cell r="F2452" t="str">
            <v>TAMPONATO</v>
          </cell>
          <cell r="G2452">
            <v>0</v>
          </cell>
          <cell r="H2452" t="str">
            <v>SUELA</v>
          </cell>
          <cell r="I2452" t="str">
            <v>U</v>
          </cell>
          <cell r="J2452" t="str">
            <v>U</v>
          </cell>
        </row>
        <row r="2453">
          <cell r="B2453" t="str">
            <v>MC020100301</v>
          </cell>
          <cell r="C2453" t="str">
            <v>MARRO CHICA</v>
          </cell>
          <cell r="D2453" t="str">
            <v>TARJETERO</v>
          </cell>
          <cell r="E2453" t="str">
            <v>TARJETERO ARIES</v>
          </cell>
          <cell r="F2453" t="str">
            <v>BRIDGE</v>
          </cell>
          <cell r="G2453">
            <v>0</v>
          </cell>
          <cell r="H2453" t="str">
            <v>NEGRO</v>
          </cell>
          <cell r="I2453" t="str">
            <v>U</v>
          </cell>
          <cell r="J2453" t="str">
            <v>U</v>
          </cell>
        </row>
        <row r="2454">
          <cell r="B2454" t="str">
            <v>MC020100302</v>
          </cell>
          <cell r="C2454" t="str">
            <v>MARRO CHICA</v>
          </cell>
          <cell r="D2454" t="str">
            <v>TARJETERO</v>
          </cell>
          <cell r="E2454" t="str">
            <v>TARJETERO ARIES</v>
          </cell>
          <cell r="F2454" t="str">
            <v>BRIDGE NAPO</v>
          </cell>
          <cell r="G2454">
            <v>0</v>
          </cell>
          <cell r="H2454" t="str">
            <v>SUELA</v>
          </cell>
          <cell r="I2454" t="str">
            <v>U</v>
          </cell>
          <cell r="J2454" t="str">
            <v>U</v>
          </cell>
        </row>
        <row r="2455">
          <cell r="B2455" t="str">
            <v>MC020100303</v>
          </cell>
          <cell r="C2455" t="str">
            <v>MARRO CHICA</v>
          </cell>
          <cell r="D2455" t="str">
            <v>TARJETERO</v>
          </cell>
          <cell r="E2455" t="str">
            <v>TARJETERO ARIES</v>
          </cell>
          <cell r="F2455" t="str">
            <v>BRIDGE</v>
          </cell>
          <cell r="G2455">
            <v>0</v>
          </cell>
          <cell r="H2455" t="str">
            <v>CARAMELO</v>
          </cell>
          <cell r="I2455" t="str">
            <v>U</v>
          </cell>
          <cell r="J2455" t="str">
            <v>U</v>
          </cell>
        </row>
        <row r="2456">
          <cell r="B2456" t="str">
            <v>MC020100304</v>
          </cell>
          <cell r="C2456" t="str">
            <v>MARRO CHICA</v>
          </cell>
          <cell r="D2456" t="str">
            <v>TARJETERO</v>
          </cell>
          <cell r="E2456" t="str">
            <v>TARJETERO ARIES</v>
          </cell>
          <cell r="F2456" t="str">
            <v>BRIDGE</v>
          </cell>
          <cell r="G2456">
            <v>0</v>
          </cell>
          <cell r="H2456" t="str">
            <v>TABACO</v>
          </cell>
          <cell r="I2456" t="str">
            <v>U</v>
          </cell>
          <cell r="J2456" t="str">
            <v>U</v>
          </cell>
        </row>
        <row r="2457">
          <cell r="B2457" t="str">
            <v>MC020100307</v>
          </cell>
          <cell r="C2457" t="str">
            <v>MARRO CHICA</v>
          </cell>
          <cell r="D2457" t="str">
            <v>TARJETERO</v>
          </cell>
          <cell r="E2457" t="str">
            <v>TARJETERO ARIES</v>
          </cell>
          <cell r="F2457" t="str">
            <v>BRIDGE</v>
          </cell>
          <cell r="G2457">
            <v>0</v>
          </cell>
          <cell r="H2457" t="str">
            <v>ROJO</v>
          </cell>
          <cell r="I2457" t="str">
            <v>U</v>
          </cell>
          <cell r="J2457" t="str">
            <v>U</v>
          </cell>
        </row>
        <row r="2458">
          <cell r="B2458" t="str">
            <v>MC020100309</v>
          </cell>
          <cell r="C2458" t="str">
            <v>MARRO CHICA</v>
          </cell>
          <cell r="D2458" t="str">
            <v>TARJETERO</v>
          </cell>
          <cell r="E2458" t="str">
            <v>TARJETERO ARIES</v>
          </cell>
          <cell r="F2458" t="str">
            <v>BRIDGE</v>
          </cell>
          <cell r="G2458">
            <v>0</v>
          </cell>
          <cell r="H2458" t="str">
            <v>AZUL</v>
          </cell>
          <cell r="I2458" t="str">
            <v>U</v>
          </cell>
          <cell r="J2458" t="str">
            <v>U</v>
          </cell>
        </row>
        <row r="2459">
          <cell r="B2459" t="str">
            <v>MC020100310</v>
          </cell>
          <cell r="C2459" t="str">
            <v>MARRO CHICA</v>
          </cell>
          <cell r="D2459" t="str">
            <v>TARJETERO</v>
          </cell>
          <cell r="E2459" t="str">
            <v>TARJETERO ARIES</v>
          </cell>
          <cell r="F2459" t="str">
            <v>BRIDGE</v>
          </cell>
          <cell r="G2459">
            <v>0</v>
          </cell>
          <cell r="H2459" t="str">
            <v>VERDE</v>
          </cell>
          <cell r="I2459" t="str">
            <v>U</v>
          </cell>
          <cell r="J2459" t="str">
            <v>U</v>
          </cell>
        </row>
        <row r="2460">
          <cell r="B2460" t="str">
            <v>MC020100315</v>
          </cell>
          <cell r="C2460" t="str">
            <v>MARRO CHICA</v>
          </cell>
          <cell r="D2460" t="str">
            <v>TARJETERO</v>
          </cell>
          <cell r="E2460" t="str">
            <v>TARJETERO ARIES</v>
          </cell>
          <cell r="F2460" t="str">
            <v>BRIDGE</v>
          </cell>
          <cell r="G2460">
            <v>0</v>
          </cell>
          <cell r="H2460" t="str">
            <v>MALBEC</v>
          </cell>
          <cell r="I2460" t="str">
            <v>U</v>
          </cell>
          <cell r="J2460" t="str">
            <v>U</v>
          </cell>
        </row>
        <row r="2461">
          <cell r="B2461" t="str">
            <v>MC020100402</v>
          </cell>
          <cell r="C2461" t="str">
            <v>MARRO CHICA</v>
          </cell>
          <cell r="D2461" t="str">
            <v>TARJETERO</v>
          </cell>
          <cell r="E2461" t="str">
            <v>TARJETERO ARIES</v>
          </cell>
          <cell r="F2461" t="str">
            <v>VAQUETA</v>
          </cell>
          <cell r="G2461">
            <v>0</v>
          </cell>
          <cell r="H2461" t="str">
            <v>SUELA</v>
          </cell>
          <cell r="I2461" t="str">
            <v>U</v>
          </cell>
          <cell r="J2461" t="str">
            <v>U</v>
          </cell>
        </row>
        <row r="2462">
          <cell r="B2462" t="str">
            <v>MC020100405</v>
          </cell>
          <cell r="C2462" t="str">
            <v>MARRO CHICA</v>
          </cell>
          <cell r="D2462" t="str">
            <v>TARJETERO</v>
          </cell>
          <cell r="E2462" t="str">
            <v>TARJETERO ARIES</v>
          </cell>
          <cell r="F2462" t="str">
            <v>VAQUETA</v>
          </cell>
          <cell r="G2462">
            <v>0</v>
          </cell>
          <cell r="H2462" t="str">
            <v>LONDON</v>
          </cell>
          <cell r="I2462" t="str">
            <v>U</v>
          </cell>
          <cell r="J2462" t="str">
            <v>U</v>
          </cell>
        </row>
        <row r="2463">
          <cell r="B2463" t="str">
            <v>MC020101623</v>
          </cell>
          <cell r="C2463" t="str">
            <v>MARRO CHICA</v>
          </cell>
          <cell r="D2463" t="str">
            <v>TARJETERO</v>
          </cell>
          <cell r="E2463" t="str">
            <v>TARJETERO ARIES</v>
          </cell>
          <cell r="F2463" t="str">
            <v>FIORENTINO</v>
          </cell>
          <cell r="G2463">
            <v>0</v>
          </cell>
          <cell r="H2463" t="str">
            <v>CEDRO</v>
          </cell>
          <cell r="I2463" t="str">
            <v>U</v>
          </cell>
          <cell r="J2463" t="str">
            <v>U</v>
          </cell>
        </row>
        <row r="2464">
          <cell r="B2464" t="str">
            <v>MC020101904</v>
          </cell>
          <cell r="C2464" t="str">
            <v>MARRO CHICA</v>
          </cell>
          <cell r="D2464" t="str">
            <v>TARJETERO</v>
          </cell>
          <cell r="E2464" t="str">
            <v>TARJETERO ARIES</v>
          </cell>
          <cell r="F2464" t="str">
            <v>MODENA</v>
          </cell>
          <cell r="G2464">
            <v>0</v>
          </cell>
          <cell r="H2464" t="str">
            <v>TABACO</v>
          </cell>
          <cell r="I2464" t="str">
            <v>U</v>
          </cell>
          <cell r="J2464" t="str">
            <v>U</v>
          </cell>
        </row>
        <row r="2465">
          <cell r="B2465" t="str">
            <v>MC020103241</v>
          </cell>
          <cell r="C2465" t="str">
            <v>MARRO CHICA</v>
          </cell>
          <cell r="D2465" t="str">
            <v>TARJETERO</v>
          </cell>
          <cell r="E2465" t="str">
            <v>TARJETERO ARIES</v>
          </cell>
          <cell r="F2465" t="str">
            <v>VINTAGE</v>
          </cell>
          <cell r="G2465">
            <v>0</v>
          </cell>
          <cell r="H2465" t="str">
            <v>LIGHT</v>
          </cell>
          <cell r="I2465" t="str">
            <v>U</v>
          </cell>
          <cell r="J2465" t="str">
            <v>U</v>
          </cell>
        </row>
        <row r="2466">
          <cell r="B2466" t="str">
            <v>MC020103242</v>
          </cell>
          <cell r="C2466" t="str">
            <v>MARRO CHICA</v>
          </cell>
          <cell r="D2466" t="str">
            <v>TARJETERO</v>
          </cell>
          <cell r="E2466" t="str">
            <v>TARJETERO ARIES</v>
          </cell>
          <cell r="F2466" t="str">
            <v>VINTAGE</v>
          </cell>
          <cell r="G2466">
            <v>0</v>
          </cell>
          <cell r="H2466" t="str">
            <v>MEDIO</v>
          </cell>
          <cell r="I2466" t="str">
            <v>U</v>
          </cell>
          <cell r="J2466" t="str">
            <v>U</v>
          </cell>
        </row>
        <row r="2467">
          <cell r="B2467" t="str">
            <v>MC020103243</v>
          </cell>
          <cell r="C2467" t="str">
            <v>MARRO CHICA</v>
          </cell>
          <cell r="D2467" t="str">
            <v>TARJETERO</v>
          </cell>
          <cell r="E2467" t="str">
            <v>TARJETERO ARIES</v>
          </cell>
          <cell r="F2467" t="str">
            <v>VINTAGE</v>
          </cell>
          <cell r="G2467">
            <v>0</v>
          </cell>
          <cell r="H2467" t="str">
            <v>DARK</v>
          </cell>
          <cell r="I2467" t="str">
            <v>U</v>
          </cell>
          <cell r="J2467" t="str">
            <v>U</v>
          </cell>
        </row>
        <row r="2468">
          <cell r="B2468" t="str">
            <v>MC020260101</v>
          </cell>
          <cell r="C2468" t="str">
            <v>MARRO CHICA</v>
          </cell>
          <cell r="D2468" t="str">
            <v>TARJETERO</v>
          </cell>
          <cell r="E2468" t="str">
            <v>TARJETERO BILL</v>
          </cell>
          <cell r="F2468" t="str">
            <v>NAPADO</v>
          </cell>
          <cell r="G2468">
            <v>0</v>
          </cell>
          <cell r="H2468" t="str">
            <v>NEGRO</v>
          </cell>
          <cell r="I2468" t="str">
            <v>U</v>
          </cell>
          <cell r="J2468" t="str">
            <v>U</v>
          </cell>
        </row>
        <row r="2469">
          <cell r="B2469" t="str">
            <v>MC020260102</v>
          </cell>
          <cell r="C2469" t="str">
            <v>MARRO CHICA</v>
          </cell>
          <cell r="D2469" t="str">
            <v>TARJETERO</v>
          </cell>
          <cell r="E2469" t="str">
            <v>TARJETERO BILL</v>
          </cell>
          <cell r="F2469" t="str">
            <v>NAPADO</v>
          </cell>
          <cell r="G2469">
            <v>0</v>
          </cell>
          <cell r="H2469" t="str">
            <v>SUELA</v>
          </cell>
          <cell r="I2469" t="str">
            <v>U</v>
          </cell>
          <cell r="J2469" t="str">
            <v>U</v>
          </cell>
        </row>
        <row r="2470">
          <cell r="B2470" t="str">
            <v>MC020260103</v>
          </cell>
          <cell r="C2470" t="str">
            <v>MARRO CHICA</v>
          </cell>
          <cell r="D2470" t="str">
            <v>TARJETERO</v>
          </cell>
          <cell r="E2470" t="str">
            <v>TARJETERO BILL</v>
          </cell>
          <cell r="F2470" t="str">
            <v>NAPADO</v>
          </cell>
          <cell r="G2470">
            <v>0</v>
          </cell>
          <cell r="H2470" t="str">
            <v>CARAMELO</v>
          </cell>
          <cell r="I2470" t="str">
            <v>U</v>
          </cell>
          <cell r="J2470" t="str">
            <v>U</v>
          </cell>
        </row>
        <row r="2471">
          <cell r="B2471" t="str">
            <v>MC020260107</v>
          </cell>
          <cell r="C2471" t="str">
            <v>MARRO CHICA</v>
          </cell>
          <cell r="D2471" t="str">
            <v>TARJETERO</v>
          </cell>
          <cell r="E2471" t="str">
            <v>TARJETERO BILL</v>
          </cell>
          <cell r="F2471" t="str">
            <v>NAPADO</v>
          </cell>
          <cell r="G2471">
            <v>0</v>
          </cell>
          <cell r="H2471" t="str">
            <v>ROJO</v>
          </cell>
          <cell r="I2471" t="str">
            <v>U</v>
          </cell>
          <cell r="J2471" t="str">
            <v>U</v>
          </cell>
        </row>
        <row r="2472">
          <cell r="B2472" t="str">
            <v>MC020260109</v>
          </cell>
          <cell r="C2472" t="str">
            <v>MARRO CHICA</v>
          </cell>
          <cell r="D2472" t="str">
            <v>TARJETERO</v>
          </cell>
          <cell r="E2472" t="str">
            <v>TARJETERO BILL</v>
          </cell>
          <cell r="F2472" t="str">
            <v>NAPADO</v>
          </cell>
          <cell r="G2472">
            <v>0</v>
          </cell>
          <cell r="H2472" t="str">
            <v>AZUL</v>
          </cell>
          <cell r="I2472" t="str">
            <v>U</v>
          </cell>
          <cell r="J2472" t="str">
            <v>U</v>
          </cell>
        </row>
        <row r="2473">
          <cell r="B2473" t="str">
            <v>MC020260110</v>
          </cell>
          <cell r="C2473" t="str">
            <v>MARRO CHICA</v>
          </cell>
          <cell r="D2473" t="str">
            <v>TARJETERO</v>
          </cell>
          <cell r="E2473" t="str">
            <v>TARJETERO BILL</v>
          </cell>
          <cell r="F2473" t="str">
            <v>NAPADO</v>
          </cell>
          <cell r="G2473">
            <v>0</v>
          </cell>
          <cell r="H2473" t="str">
            <v>VERDE</v>
          </cell>
          <cell r="I2473" t="str">
            <v>U</v>
          </cell>
          <cell r="J2473" t="str">
            <v>U</v>
          </cell>
        </row>
        <row r="2474">
          <cell r="B2474" t="str">
            <v>MC020260301</v>
          </cell>
          <cell r="C2474" t="str">
            <v>MARRO CHICA</v>
          </cell>
          <cell r="D2474" t="str">
            <v>TARJETERO</v>
          </cell>
          <cell r="E2474" t="str">
            <v>TARJETERO BILL</v>
          </cell>
          <cell r="F2474" t="str">
            <v>BRIDGE</v>
          </cell>
          <cell r="G2474">
            <v>0</v>
          </cell>
          <cell r="H2474" t="str">
            <v>NEGRO</v>
          </cell>
          <cell r="I2474" t="str">
            <v>U</v>
          </cell>
          <cell r="J2474" t="str">
            <v>U</v>
          </cell>
        </row>
        <row r="2475">
          <cell r="B2475" t="str">
            <v>MC020260302</v>
          </cell>
          <cell r="C2475" t="str">
            <v>MARRO CHICA</v>
          </cell>
          <cell r="D2475" t="str">
            <v>TARJETERO</v>
          </cell>
          <cell r="E2475" t="str">
            <v>TARJETERO BILL</v>
          </cell>
          <cell r="F2475" t="str">
            <v>BRIDGE NAPO</v>
          </cell>
          <cell r="G2475">
            <v>0</v>
          </cell>
          <cell r="H2475" t="str">
            <v>SUELA</v>
          </cell>
          <cell r="I2475" t="str">
            <v>U</v>
          </cell>
          <cell r="J2475" t="str">
            <v>U</v>
          </cell>
        </row>
        <row r="2476">
          <cell r="B2476" t="str">
            <v>MC020260303</v>
          </cell>
          <cell r="C2476" t="str">
            <v>MARRO CHICA</v>
          </cell>
          <cell r="D2476" t="str">
            <v>TARJETERO</v>
          </cell>
          <cell r="E2476" t="str">
            <v>TARJETERO BILL</v>
          </cell>
          <cell r="F2476" t="str">
            <v>BRIDGE</v>
          </cell>
          <cell r="G2476">
            <v>0</v>
          </cell>
          <cell r="H2476" t="str">
            <v>CARAMELO</v>
          </cell>
          <cell r="I2476" t="str">
            <v>U</v>
          </cell>
          <cell r="J2476" t="str">
            <v>U</v>
          </cell>
        </row>
        <row r="2477">
          <cell r="B2477" t="str">
            <v>MC020260304</v>
          </cell>
          <cell r="C2477" t="str">
            <v>MARRO CHICA</v>
          </cell>
          <cell r="D2477" t="str">
            <v>TARJETERO</v>
          </cell>
          <cell r="E2477" t="str">
            <v>TARJETERO BILL</v>
          </cell>
          <cell r="F2477" t="str">
            <v>BRIDGE</v>
          </cell>
          <cell r="G2477">
            <v>0</v>
          </cell>
          <cell r="H2477" t="str">
            <v>TABACO</v>
          </cell>
          <cell r="I2477" t="str">
            <v>U</v>
          </cell>
          <cell r="J2477" t="str">
            <v>U</v>
          </cell>
        </row>
        <row r="2478">
          <cell r="B2478" t="str">
            <v>MC020260307</v>
          </cell>
          <cell r="C2478" t="str">
            <v>MARRO CHICA</v>
          </cell>
          <cell r="D2478" t="str">
            <v>TARJETERO</v>
          </cell>
          <cell r="E2478" t="str">
            <v>TARJETERO BILL</v>
          </cell>
          <cell r="F2478" t="str">
            <v>BRIDGE</v>
          </cell>
          <cell r="G2478">
            <v>0</v>
          </cell>
          <cell r="H2478" t="str">
            <v>ROJO</v>
          </cell>
          <cell r="I2478" t="str">
            <v>U</v>
          </cell>
          <cell r="J2478" t="str">
            <v>U</v>
          </cell>
        </row>
        <row r="2479">
          <cell r="B2479" t="str">
            <v>MC020260309</v>
          </cell>
          <cell r="C2479" t="str">
            <v>MARRO CHICA</v>
          </cell>
          <cell r="D2479" t="str">
            <v>TARJETERO</v>
          </cell>
          <cell r="E2479" t="str">
            <v>TARJETERO BILL</v>
          </cell>
          <cell r="F2479" t="str">
            <v>BRIDGE</v>
          </cell>
          <cell r="G2479">
            <v>0</v>
          </cell>
          <cell r="H2479" t="str">
            <v>AZUL</v>
          </cell>
          <cell r="I2479" t="str">
            <v>U</v>
          </cell>
          <cell r="J2479" t="str">
            <v>U</v>
          </cell>
        </row>
        <row r="2480">
          <cell r="B2480" t="str">
            <v>MC020260310</v>
          </cell>
          <cell r="C2480" t="str">
            <v>MARRO CHICA</v>
          </cell>
          <cell r="D2480" t="str">
            <v>TARJETERO</v>
          </cell>
          <cell r="E2480" t="str">
            <v>TARJETERO BILL</v>
          </cell>
          <cell r="F2480" t="str">
            <v>BRIDGE</v>
          </cell>
          <cell r="G2480">
            <v>0</v>
          </cell>
          <cell r="H2480" t="str">
            <v>VERDE</v>
          </cell>
          <cell r="I2480" t="str">
            <v>U</v>
          </cell>
          <cell r="J2480" t="str">
            <v>U</v>
          </cell>
        </row>
        <row r="2481">
          <cell r="B2481" t="str">
            <v>MC020260701</v>
          </cell>
          <cell r="C2481" t="str">
            <v>MARRO CHICA</v>
          </cell>
          <cell r="D2481" t="str">
            <v>TARJETERO</v>
          </cell>
          <cell r="E2481" t="str">
            <v>TARJETERO BILL</v>
          </cell>
          <cell r="F2481" t="str">
            <v>IGUANA</v>
          </cell>
          <cell r="G2481">
            <v>0</v>
          </cell>
          <cell r="H2481" t="str">
            <v>NEGRO</v>
          </cell>
          <cell r="I2481" t="str">
            <v>U</v>
          </cell>
          <cell r="J2481" t="str">
            <v>U</v>
          </cell>
        </row>
        <row r="2482">
          <cell r="B2482" t="str">
            <v>MC020260703</v>
          </cell>
          <cell r="C2482" t="str">
            <v>MARRO CHICA</v>
          </cell>
          <cell r="D2482" t="str">
            <v>TARJETERO</v>
          </cell>
          <cell r="E2482" t="str">
            <v>TARJETERO BILL</v>
          </cell>
          <cell r="F2482" t="str">
            <v>IGUANA</v>
          </cell>
          <cell r="G2482">
            <v>0</v>
          </cell>
          <cell r="H2482" t="str">
            <v>CARAMELO</v>
          </cell>
          <cell r="I2482" t="str">
            <v>U</v>
          </cell>
          <cell r="J2482" t="str">
            <v>U</v>
          </cell>
        </row>
        <row r="2483">
          <cell r="B2483" t="str">
            <v>MC020260705</v>
          </cell>
          <cell r="C2483" t="str">
            <v>MARRO CHICA</v>
          </cell>
          <cell r="D2483" t="str">
            <v>TARJETERO</v>
          </cell>
          <cell r="E2483" t="str">
            <v>TARJETERO BILL</v>
          </cell>
          <cell r="F2483" t="str">
            <v>IGUANA</v>
          </cell>
          <cell r="G2483">
            <v>0</v>
          </cell>
          <cell r="H2483" t="str">
            <v>LONDON</v>
          </cell>
          <cell r="I2483" t="str">
            <v>U</v>
          </cell>
          <cell r="J2483" t="str">
            <v>U</v>
          </cell>
        </row>
        <row r="2484">
          <cell r="B2484" t="str">
            <v>MC020260707</v>
          </cell>
          <cell r="C2484" t="str">
            <v>MARRO CHICA</v>
          </cell>
          <cell r="D2484" t="str">
            <v>TARJETERO</v>
          </cell>
          <cell r="E2484" t="str">
            <v>TARJETERO BILL</v>
          </cell>
          <cell r="F2484" t="str">
            <v>IGUANA</v>
          </cell>
          <cell r="G2484">
            <v>0</v>
          </cell>
          <cell r="H2484" t="str">
            <v>ROJO</v>
          </cell>
          <cell r="I2484" t="str">
            <v>U</v>
          </cell>
          <cell r="J2484" t="str">
            <v>U</v>
          </cell>
        </row>
        <row r="2485">
          <cell r="B2485" t="str">
            <v>MC020260709</v>
          </cell>
          <cell r="C2485" t="str">
            <v>MARRO CHICA</v>
          </cell>
          <cell r="D2485" t="str">
            <v>TARJETERO</v>
          </cell>
          <cell r="E2485" t="str">
            <v>TARJETERO BILL</v>
          </cell>
          <cell r="F2485" t="str">
            <v>IGUANA</v>
          </cell>
          <cell r="G2485">
            <v>0</v>
          </cell>
          <cell r="H2485" t="str">
            <v>AZUL</v>
          </cell>
          <cell r="I2485" t="str">
            <v>U</v>
          </cell>
          <cell r="J2485" t="str">
            <v>U</v>
          </cell>
        </row>
        <row r="2486">
          <cell r="B2486" t="str">
            <v>MC020260710</v>
          </cell>
          <cell r="C2486" t="str">
            <v>MARRO CHICA</v>
          </cell>
          <cell r="D2486" t="str">
            <v>TARJETERO</v>
          </cell>
          <cell r="E2486" t="str">
            <v>TARJETERO BILL</v>
          </cell>
          <cell r="F2486" t="str">
            <v>IGUANA</v>
          </cell>
          <cell r="G2486">
            <v>0</v>
          </cell>
          <cell r="H2486" t="str">
            <v>VERDE</v>
          </cell>
          <cell r="I2486" t="str">
            <v>U</v>
          </cell>
          <cell r="J2486" t="str">
            <v>U</v>
          </cell>
        </row>
        <row r="2487">
          <cell r="B2487" t="str">
            <v>MC020260752</v>
          </cell>
          <cell r="C2487" t="str">
            <v>MARRO CHICA</v>
          </cell>
          <cell r="D2487" t="str">
            <v>TARJETERO</v>
          </cell>
          <cell r="E2487" t="str">
            <v>TARJETERO BILL</v>
          </cell>
          <cell r="F2487" t="str">
            <v>IGUANA</v>
          </cell>
          <cell r="G2487">
            <v>0</v>
          </cell>
          <cell r="H2487" t="str">
            <v>CHOCOLATE</v>
          </cell>
          <cell r="I2487" t="str">
            <v>U</v>
          </cell>
          <cell r="J2487" t="str">
            <v>U</v>
          </cell>
        </row>
        <row r="2488">
          <cell r="B2488" t="str">
            <v>MC020261201</v>
          </cell>
          <cell r="C2488" t="str">
            <v>MARRO CHICA</v>
          </cell>
          <cell r="D2488" t="str">
            <v>TARJETERO</v>
          </cell>
          <cell r="E2488" t="str">
            <v>TARJETERO BILL</v>
          </cell>
          <cell r="F2488" t="str">
            <v>DUNA</v>
          </cell>
          <cell r="G2488">
            <v>0</v>
          </cell>
          <cell r="H2488" t="str">
            <v>NEGRO</v>
          </cell>
          <cell r="I2488" t="str">
            <v>U</v>
          </cell>
          <cell r="J2488" t="str">
            <v>U</v>
          </cell>
        </row>
        <row r="2489">
          <cell r="B2489" t="str">
            <v>MC020080102</v>
          </cell>
          <cell r="C2489" t="str">
            <v>MARRO CHICA</v>
          </cell>
          <cell r="D2489" t="str">
            <v>TARJETERO</v>
          </cell>
          <cell r="E2489" t="str">
            <v>TARJETERO BLACK</v>
          </cell>
          <cell r="F2489" t="str">
            <v>NAPADO</v>
          </cell>
          <cell r="G2489">
            <v>0</v>
          </cell>
          <cell r="H2489" t="str">
            <v>SUELA</v>
          </cell>
          <cell r="I2489" t="str">
            <v>U</v>
          </cell>
          <cell r="J2489">
            <v>0</v>
          </cell>
        </row>
        <row r="2490">
          <cell r="B2490" t="str">
            <v>MC020080202</v>
          </cell>
          <cell r="C2490" t="str">
            <v>MARRO CHICA</v>
          </cell>
          <cell r="D2490" t="str">
            <v>TARJETERO</v>
          </cell>
          <cell r="E2490" t="str">
            <v>TARJETERO BLACK</v>
          </cell>
          <cell r="F2490" t="str">
            <v>TAMPONATO</v>
          </cell>
          <cell r="G2490">
            <v>0</v>
          </cell>
          <cell r="H2490" t="str">
            <v>SUELA</v>
          </cell>
          <cell r="I2490" t="str">
            <v>U</v>
          </cell>
          <cell r="J2490">
            <v>0</v>
          </cell>
        </row>
        <row r="2491">
          <cell r="B2491" t="str">
            <v>MC020080203</v>
          </cell>
          <cell r="C2491" t="str">
            <v>MARRO CHICA</v>
          </cell>
          <cell r="D2491" t="str">
            <v>TARJETERO</v>
          </cell>
          <cell r="E2491" t="str">
            <v>TARJETERO BLACK</v>
          </cell>
          <cell r="F2491" t="str">
            <v>TAMPONATO</v>
          </cell>
          <cell r="G2491">
            <v>0</v>
          </cell>
          <cell r="H2491" t="str">
            <v>CARAMELO</v>
          </cell>
          <cell r="I2491" t="str">
            <v>U</v>
          </cell>
          <cell r="J2491">
            <v>0</v>
          </cell>
        </row>
        <row r="2492">
          <cell r="B2492" t="str">
            <v>MC020080205</v>
          </cell>
          <cell r="C2492" t="str">
            <v>MARRO CHICA</v>
          </cell>
          <cell r="D2492" t="str">
            <v>TARJETERO</v>
          </cell>
          <cell r="E2492" t="str">
            <v>TARJETERO BLACK</v>
          </cell>
          <cell r="F2492" t="str">
            <v>TAMPONATO</v>
          </cell>
          <cell r="G2492">
            <v>0</v>
          </cell>
          <cell r="H2492" t="str">
            <v>LONDON</v>
          </cell>
          <cell r="I2492" t="str">
            <v>U</v>
          </cell>
          <cell r="J2492">
            <v>0</v>
          </cell>
        </row>
        <row r="2493">
          <cell r="B2493" t="str">
            <v>MC020080301</v>
          </cell>
          <cell r="C2493" t="str">
            <v>MARRO CHICA</v>
          </cell>
          <cell r="D2493" t="str">
            <v>TARJETERO</v>
          </cell>
          <cell r="E2493" t="str">
            <v>TARJETERO BLACK</v>
          </cell>
          <cell r="F2493" t="str">
            <v>BRIDGE</v>
          </cell>
          <cell r="G2493">
            <v>0</v>
          </cell>
          <cell r="H2493" t="str">
            <v>NEGRO</v>
          </cell>
          <cell r="I2493" t="str">
            <v>U</v>
          </cell>
          <cell r="J2493">
            <v>0</v>
          </cell>
        </row>
        <row r="2494">
          <cell r="B2494" t="str">
            <v>MC020080302</v>
          </cell>
          <cell r="C2494" t="str">
            <v>MARRO CHICA</v>
          </cell>
          <cell r="D2494" t="str">
            <v>TARJETERO</v>
          </cell>
          <cell r="E2494" t="str">
            <v>TARJETERO BLACK</v>
          </cell>
          <cell r="F2494" t="str">
            <v>BRIDGE NAPO</v>
          </cell>
          <cell r="G2494">
            <v>0</v>
          </cell>
          <cell r="H2494" t="str">
            <v>SUELA</v>
          </cell>
          <cell r="I2494" t="str">
            <v>U</v>
          </cell>
          <cell r="J2494">
            <v>0</v>
          </cell>
        </row>
        <row r="2495">
          <cell r="B2495" t="str">
            <v>MC020080303</v>
          </cell>
          <cell r="C2495" t="str">
            <v>MARRO CHICA</v>
          </cell>
          <cell r="D2495" t="str">
            <v>TARJETERO</v>
          </cell>
          <cell r="E2495" t="str">
            <v>TARJETERO BLACK</v>
          </cell>
          <cell r="F2495" t="str">
            <v>BRIDGE</v>
          </cell>
          <cell r="G2495">
            <v>0</v>
          </cell>
          <cell r="H2495" t="str">
            <v>CARAMELO</v>
          </cell>
          <cell r="I2495" t="str">
            <v>U</v>
          </cell>
          <cell r="J2495">
            <v>0</v>
          </cell>
        </row>
        <row r="2496">
          <cell r="B2496" t="str">
            <v>MC020080304</v>
          </cell>
          <cell r="C2496" t="str">
            <v>MARRO CHICA</v>
          </cell>
          <cell r="D2496" t="str">
            <v>TARJETERO</v>
          </cell>
          <cell r="E2496" t="str">
            <v>TARJETERO BLACK</v>
          </cell>
          <cell r="F2496" t="str">
            <v>BRIDGE</v>
          </cell>
          <cell r="G2496">
            <v>0</v>
          </cell>
          <cell r="H2496" t="str">
            <v>TABACO</v>
          </cell>
          <cell r="I2496" t="str">
            <v>U</v>
          </cell>
          <cell r="J2496">
            <v>0</v>
          </cell>
        </row>
        <row r="2497">
          <cell r="B2497" t="str">
            <v>MC020080307</v>
          </cell>
          <cell r="C2497" t="str">
            <v>MARRO CHICA</v>
          </cell>
          <cell r="D2497" t="str">
            <v>TARJETERO</v>
          </cell>
          <cell r="E2497" t="str">
            <v>TARJETERO BLACK</v>
          </cell>
          <cell r="F2497" t="str">
            <v>BRIDGE</v>
          </cell>
          <cell r="G2497">
            <v>0</v>
          </cell>
          <cell r="H2497" t="str">
            <v>ROJO</v>
          </cell>
          <cell r="I2497" t="str">
            <v>U</v>
          </cell>
          <cell r="J2497">
            <v>0</v>
          </cell>
        </row>
        <row r="2498">
          <cell r="B2498" t="str">
            <v>MC020080309</v>
          </cell>
          <cell r="C2498" t="str">
            <v>MARRO CHICA</v>
          </cell>
          <cell r="D2498" t="str">
            <v>TARJETERO</v>
          </cell>
          <cell r="E2498" t="str">
            <v>TARJETERO BLACK</v>
          </cell>
          <cell r="F2498" t="str">
            <v>BRIDGE</v>
          </cell>
          <cell r="G2498">
            <v>0</v>
          </cell>
          <cell r="H2498" t="str">
            <v>AZUL</v>
          </cell>
          <cell r="I2498" t="str">
            <v>U</v>
          </cell>
          <cell r="J2498">
            <v>0</v>
          </cell>
        </row>
        <row r="2499">
          <cell r="B2499" t="str">
            <v>MC020080401</v>
          </cell>
          <cell r="C2499" t="str">
            <v>MARRO CHICA</v>
          </cell>
          <cell r="D2499" t="str">
            <v>TARJETERO</v>
          </cell>
          <cell r="E2499" t="str">
            <v>TARJETERO BLACK</v>
          </cell>
          <cell r="F2499" t="str">
            <v>VAQUETA</v>
          </cell>
          <cell r="G2499">
            <v>0</v>
          </cell>
          <cell r="H2499" t="str">
            <v>NEGRO</v>
          </cell>
          <cell r="I2499" t="str">
            <v>U</v>
          </cell>
          <cell r="J2499">
            <v>0</v>
          </cell>
        </row>
        <row r="2500">
          <cell r="B2500" t="str">
            <v>MC020080402</v>
          </cell>
          <cell r="C2500" t="str">
            <v>MARRO CHICA</v>
          </cell>
          <cell r="D2500" t="str">
            <v>TARJETERO</v>
          </cell>
          <cell r="E2500" t="str">
            <v>TARJETERO BLACK</v>
          </cell>
          <cell r="F2500" t="str">
            <v>VAQUETA</v>
          </cell>
          <cell r="G2500">
            <v>0</v>
          </cell>
          <cell r="H2500" t="str">
            <v>SUELA</v>
          </cell>
          <cell r="I2500" t="str">
            <v>U</v>
          </cell>
          <cell r="J2500">
            <v>0</v>
          </cell>
        </row>
        <row r="2501">
          <cell r="B2501" t="str">
            <v>MC020080405</v>
          </cell>
          <cell r="C2501" t="str">
            <v>MARRO CHICA</v>
          </cell>
          <cell r="D2501" t="str">
            <v>TARJETERO</v>
          </cell>
          <cell r="E2501" t="str">
            <v>TARJETERO BLACK</v>
          </cell>
          <cell r="F2501" t="str">
            <v>VAQUETA</v>
          </cell>
          <cell r="G2501">
            <v>0</v>
          </cell>
          <cell r="H2501" t="str">
            <v>LONDON</v>
          </cell>
          <cell r="I2501" t="str">
            <v>U</v>
          </cell>
          <cell r="J2501">
            <v>0</v>
          </cell>
        </row>
        <row r="2502">
          <cell r="B2502" t="str">
            <v>MC020080703</v>
          </cell>
          <cell r="C2502" t="str">
            <v>MARRO CHICA</v>
          </cell>
          <cell r="D2502" t="str">
            <v>TARJETERO</v>
          </cell>
          <cell r="E2502" t="str">
            <v>TARJETERO BLACK</v>
          </cell>
          <cell r="F2502" t="str">
            <v>IGUANA</v>
          </cell>
          <cell r="G2502">
            <v>0</v>
          </cell>
          <cell r="H2502" t="str">
            <v>CARAMELO</v>
          </cell>
          <cell r="I2502" t="str">
            <v>U</v>
          </cell>
          <cell r="J2502">
            <v>0</v>
          </cell>
        </row>
        <row r="2503">
          <cell r="B2503" t="str">
            <v>MC020310301</v>
          </cell>
          <cell r="C2503" t="str">
            <v>MARRO CHICA</v>
          </cell>
          <cell r="D2503" t="str">
            <v>TARJETERO</v>
          </cell>
          <cell r="E2503" t="str">
            <v>TARJETERO CHICAGO</v>
          </cell>
          <cell r="F2503" t="str">
            <v>BRIDGE</v>
          </cell>
          <cell r="G2503">
            <v>0</v>
          </cell>
          <cell r="H2503" t="str">
            <v>NEGRO</v>
          </cell>
          <cell r="I2503" t="str">
            <v>U</v>
          </cell>
          <cell r="J2503">
            <v>0</v>
          </cell>
        </row>
        <row r="2504">
          <cell r="B2504" t="str">
            <v>MC020310303</v>
          </cell>
          <cell r="C2504" t="str">
            <v>MARRO CHICA</v>
          </cell>
          <cell r="D2504" t="str">
            <v>TARJETERO</v>
          </cell>
          <cell r="E2504" t="str">
            <v>TARJETERO CHICAGO</v>
          </cell>
          <cell r="F2504" t="str">
            <v>BRIDGE</v>
          </cell>
          <cell r="G2504">
            <v>0</v>
          </cell>
          <cell r="H2504" t="str">
            <v>CARAMELO</v>
          </cell>
          <cell r="I2504" t="str">
            <v>U</v>
          </cell>
          <cell r="J2504">
            <v>0</v>
          </cell>
        </row>
        <row r="2505">
          <cell r="B2505" t="str">
            <v>MC020310304</v>
          </cell>
          <cell r="C2505" t="str">
            <v>MARRO CHICA</v>
          </cell>
          <cell r="D2505" t="str">
            <v>TARJETERO</v>
          </cell>
          <cell r="E2505" t="str">
            <v>TARJETERO CHICAGO</v>
          </cell>
          <cell r="F2505" t="str">
            <v>BRIDGE</v>
          </cell>
          <cell r="G2505">
            <v>0</v>
          </cell>
          <cell r="H2505" t="str">
            <v>TABACO</v>
          </cell>
          <cell r="I2505" t="str">
            <v>U</v>
          </cell>
          <cell r="J2505">
            <v>0</v>
          </cell>
        </row>
        <row r="2506">
          <cell r="B2506" t="str">
            <v>MC020310307</v>
          </cell>
          <cell r="C2506" t="str">
            <v>MARRO CHICA</v>
          </cell>
          <cell r="D2506" t="str">
            <v>TARJETERO</v>
          </cell>
          <cell r="E2506" t="str">
            <v>TARJETERO CHICAGO</v>
          </cell>
          <cell r="F2506" t="str">
            <v>BRIDGE</v>
          </cell>
          <cell r="G2506">
            <v>0</v>
          </cell>
          <cell r="H2506" t="str">
            <v>ROJO</v>
          </cell>
          <cell r="I2506" t="str">
            <v>U</v>
          </cell>
          <cell r="J2506">
            <v>0</v>
          </cell>
        </row>
        <row r="2507">
          <cell r="B2507" t="str">
            <v>MC020310309</v>
          </cell>
          <cell r="C2507" t="str">
            <v>MARRO CHICA</v>
          </cell>
          <cell r="D2507" t="str">
            <v>TARJETERO</v>
          </cell>
          <cell r="E2507" t="str">
            <v>TARJETERO CHICAGO</v>
          </cell>
          <cell r="F2507" t="str">
            <v>BRIDGE</v>
          </cell>
          <cell r="G2507">
            <v>0</v>
          </cell>
          <cell r="H2507" t="str">
            <v>AZUL</v>
          </cell>
          <cell r="I2507" t="str">
            <v>U</v>
          </cell>
          <cell r="J2507">
            <v>0</v>
          </cell>
        </row>
        <row r="2508">
          <cell r="B2508" t="str">
            <v>MC020150101</v>
          </cell>
          <cell r="C2508" t="str">
            <v>MARRO CHICA</v>
          </cell>
          <cell r="D2508" t="str">
            <v>TARJETERO</v>
          </cell>
          <cell r="E2508" t="str">
            <v>TARJETERO HARRY</v>
          </cell>
          <cell r="F2508" t="str">
            <v>NAPADO</v>
          </cell>
          <cell r="G2508">
            <v>0</v>
          </cell>
          <cell r="H2508" t="str">
            <v>NEGRO</v>
          </cell>
          <cell r="I2508" t="str">
            <v>U</v>
          </cell>
          <cell r="J2508" t="str">
            <v>U</v>
          </cell>
        </row>
        <row r="2509">
          <cell r="B2509" t="str">
            <v>MC020150102</v>
          </cell>
          <cell r="C2509" t="str">
            <v>MARRO CHICA</v>
          </cell>
          <cell r="D2509" t="str">
            <v>TARJETERO</v>
          </cell>
          <cell r="E2509" t="str">
            <v>TARJETERO HARRY</v>
          </cell>
          <cell r="F2509" t="str">
            <v>NAPADO</v>
          </cell>
          <cell r="G2509">
            <v>0</v>
          </cell>
          <cell r="H2509" t="str">
            <v>SUELA</v>
          </cell>
          <cell r="I2509" t="str">
            <v>U</v>
          </cell>
          <cell r="J2509" t="str">
            <v>U</v>
          </cell>
        </row>
        <row r="2510">
          <cell r="B2510" t="str">
            <v>MC020150103</v>
          </cell>
          <cell r="C2510" t="str">
            <v>MARRO CHICA</v>
          </cell>
          <cell r="D2510" t="str">
            <v>TARJETERO</v>
          </cell>
          <cell r="E2510" t="str">
            <v>TARJETERO HARRY</v>
          </cell>
          <cell r="F2510" t="str">
            <v>NAPADO</v>
          </cell>
          <cell r="G2510">
            <v>0</v>
          </cell>
          <cell r="H2510" t="str">
            <v>CARAMELO</v>
          </cell>
          <cell r="I2510" t="str">
            <v>U</v>
          </cell>
          <cell r="J2510" t="str">
            <v>U</v>
          </cell>
        </row>
        <row r="2511">
          <cell r="B2511" t="str">
            <v>MC020150107</v>
          </cell>
          <cell r="C2511" t="str">
            <v>MARRO CHICA</v>
          </cell>
          <cell r="D2511" t="str">
            <v>TARJETERO</v>
          </cell>
          <cell r="E2511" t="str">
            <v>TARJETERO HARRY</v>
          </cell>
          <cell r="F2511" t="str">
            <v>NAPADO</v>
          </cell>
          <cell r="G2511">
            <v>0</v>
          </cell>
          <cell r="H2511" t="str">
            <v>ROJO</v>
          </cell>
          <cell r="I2511" t="str">
            <v>U</v>
          </cell>
          <cell r="J2511" t="str">
            <v>U</v>
          </cell>
        </row>
        <row r="2512">
          <cell r="B2512" t="str">
            <v>MC020150109</v>
          </cell>
          <cell r="C2512" t="str">
            <v>MARRO CHICA</v>
          </cell>
          <cell r="D2512" t="str">
            <v>TARJETERO</v>
          </cell>
          <cell r="E2512" t="str">
            <v>TARJETERO HARRY</v>
          </cell>
          <cell r="F2512" t="str">
            <v>NAPADO</v>
          </cell>
          <cell r="G2512">
            <v>0</v>
          </cell>
          <cell r="H2512" t="str">
            <v>AZUL</v>
          </cell>
          <cell r="I2512" t="str">
            <v>U</v>
          </cell>
          <cell r="J2512" t="str">
            <v>U</v>
          </cell>
        </row>
        <row r="2513">
          <cell r="B2513" t="str">
            <v>MC020150110</v>
          </cell>
          <cell r="C2513" t="str">
            <v>MARRO CHICA</v>
          </cell>
          <cell r="D2513" t="str">
            <v>TARJETERO</v>
          </cell>
          <cell r="E2513" t="str">
            <v>TARJETERO HARRY</v>
          </cell>
          <cell r="F2513" t="str">
            <v>NAPADO</v>
          </cell>
          <cell r="G2513">
            <v>0</v>
          </cell>
          <cell r="H2513" t="str">
            <v>VERDE</v>
          </cell>
          <cell r="I2513" t="str">
            <v>U</v>
          </cell>
          <cell r="J2513" t="str">
            <v>U</v>
          </cell>
        </row>
        <row r="2514">
          <cell r="B2514" t="str">
            <v>MC020150203</v>
          </cell>
          <cell r="C2514" t="str">
            <v>MARRO CHICA</v>
          </cell>
          <cell r="D2514" t="str">
            <v>TARJETERO</v>
          </cell>
          <cell r="E2514" t="str">
            <v>TARJETERO HARRY</v>
          </cell>
          <cell r="F2514" t="str">
            <v>TAMPONATO</v>
          </cell>
          <cell r="G2514">
            <v>0</v>
          </cell>
          <cell r="H2514" t="str">
            <v>CARAMELO</v>
          </cell>
          <cell r="I2514" t="str">
            <v>U</v>
          </cell>
          <cell r="J2514" t="str">
            <v>U</v>
          </cell>
        </row>
        <row r="2515">
          <cell r="B2515" t="str">
            <v>MC020150301</v>
          </cell>
          <cell r="C2515" t="str">
            <v>MARRO CHICA</v>
          </cell>
          <cell r="D2515" t="str">
            <v>TARJETERO</v>
          </cell>
          <cell r="E2515" t="str">
            <v>TARJETERO HARRY</v>
          </cell>
          <cell r="F2515" t="str">
            <v>BRIDGE</v>
          </cell>
          <cell r="G2515">
            <v>0</v>
          </cell>
          <cell r="H2515" t="str">
            <v>NEGRO</v>
          </cell>
          <cell r="I2515" t="str">
            <v>U</v>
          </cell>
          <cell r="J2515" t="str">
            <v>U</v>
          </cell>
        </row>
        <row r="2516">
          <cell r="B2516" t="str">
            <v>MC020150303</v>
          </cell>
          <cell r="C2516" t="str">
            <v>MARRO CHICA</v>
          </cell>
          <cell r="D2516" t="str">
            <v>TARJETERO</v>
          </cell>
          <cell r="E2516" t="str">
            <v>TARJETERO HARRY</v>
          </cell>
          <cell r="F2516" t="str">
            <v>BRIDGE</v>
          </cell>
          <cell r="G2516">
            <v>0</v>
          </cell>
          <cell r="H2516" t="str">
            <v>CARAMELO</v>
          </cell>
          <cell r="I2516" t="str">
            <v>U</v>
          </cell>
          <cell r="J2516" t="str">
            <v>U</v>
          </cell>
        </row>
        <row r="2517">
          <cell r="B2517" t="str">
            <v>MC020150304</v>
          </cell>
          <cell r="C2517" t="str">
            <v>MARRO CHICA</v>
          </cell>
          <cell r="D2517" t="str">
            <v>TARJETERO</v>
          </cell>
          <cell r="E2517" t="str">
            <v>TARJETERO HARRY</v>
          </cell>
          <cell r="F2517" t="str">
            <v>BRIDGE</v>
          </cell>
          <cell r="G2517">
            <v>0</v>
          </cell>
          <cell r="H2517" t="str">
            <v>TABACO</v>
          </cell>
          <cell r="I2517" t="str">
            <v>U</v>
          </cell>
          <cell r="J2517" t="str">
            <v>U</v>
          </cell>
        </row>
        <row r="2518">
          <cell r="B2518" t="str">
            <v>MC020150307</v>
          </cell>
          <cell r="C2518" t="str">
            <v>MARRO CHICA</v>
          </cell>
          <cell r="D2518" t="str">
            <v>TARJETERO</v>
          </cell>
          <cell r="E2518" t="str">
            <v>TARJETERO HARRY</v>
          </cell>
          <cell r="F2518" t="str">
            <v>BRIDGE</v>
          </cell>
          <cell r="G2518">
            <v>0</v>
          </cell>
          <cell r="H2518" t="str">
            <v>ROJO</v>
          </cell>
          <cell r="I2518" t="str">
            <v>U</v>
          </cell>
          <cell r="J2518" t="str">
            <v>U</v>
          </cell>
        </row>
        <row r="2519">
          <cell r="B2519" t="str">
            <v>MC020150309</v>
          </cell>
          <cell r="C2519" t="str">
            <v>MARRO CHICA</v>
          </cell>
          <cell r="D2519" t="str">
            <v>TARJETERO</v>
          </cell>
          <cell r="E2519" t="str">
            <v>TARJETERO HARRY</v>
          </cell>
          <cell r="F2519" t="str">
            <v>BRIDGE</v>
          </cell>
          <cell r="G2519">
            <v>0</v>
          </cell>
          <cell r="H2519" t="str">
            <v>AZUL</v>
          </cell>
          <cell r="I2519" t="str">
            <v>U</v>
          </cell>
          <cell r="J2519" t="str">
            <v>U</v>
          </cell>
        </row>
        <row r="2520">
          <cell r="B2520" t="str">
            <v>MC020150310</v>
          </cell>
          <cell r="C2520" t="str">
            <v>MARRO CHICA</v>
          </cell>
          <cell r="D2520" t="str">
            <v>TARJETERO</v>
          </cell>
          <cell r="E2520" t="str">
            <v>TARJETERO HARRY</v>
          </cell>
          <cell r="F2520" t="str">
            <v>BRIDGE</v>
          </cell>
          <cell r="G2520">
            <v>0</v>
          </cell>
          <cell r="H2520" t="str">
            <v>VERDE</v>
          </cell>
          <cell r="I2520" t="str">
            <v>U</v>
          </cell>
          <cell r="J2520" t="str">
            <v>U</v>
          </cell>
        </row>
        <row r="2521">
          <cell r="B2521" t="str">
            <v>MC020150315</v>
          </cell>
          <cell r="C2521" t="str">
            <v>MARRO CHICA</v>
          </cell>
          <cell r="D2521" t="str">
            <v>TARJETERO</v>
          </cell>
          <cell r="E2521" t="str">
            <v>TARJETERO HARRY</v>
          </cell>
          <cell r="F2521" t="str">
            <v>BRIDGE</v>
          </cell>
          <cell r="G2521">
            <v>0</v>
          </cell>
          <cell r="H2521" t="str">
            <v>MALBEC</v>
          </cell>
          <cell r="I2521" t="str">
            <v>U</v>
          </cell>
          <cell r="J2521" t="str">
            <v>U</v>
          </cell>
        </row>
        <row r="2522">
          <cell r="B2522" t="str">
            <v>MC020151623</v>
          </cell>
          <cell r="C2522" t="str">
            <v>MARRO CHICA</v>
          </cell>
          <cell r="D2522" t="str">
            <v>TARJETERO</v>
          </cell>
          <cell r="E2522" t="str">
            <v>TARJETERO HARRY</v>
          </cell>
          <cell r="F2522" t="str">
            <v>FIORENTINO</v>
          </cell>
          <cell r="G2522">
            <v>0</v>
          </cell>
          <cell r="H2522" t="str">
            <v>CEDRO</v>
          </cell>
          <cell r="I2522" t="str">
            <v>U</v>
          </cell>
          <cell r="J2522" t="str">
            <v>U</v>
          </cell>
        </row>
        <row r="2523">
          <cell r="B2523" t="str">
            <v>MC020350101</v>
          </cell>
          <cell r="C2523" t="str">
            <v>MARRO CHICA</v>
          </cell>
          <cell r="D2523" t="str">
            <v>TARJETERO</v>
          </cell>
          <cell r="E2523" t="str">
            <v>TARJETERO JESS</v>
          </cell>
          <cell r="F2523" t="str">
            <v>NAPADO</v>
          </cell>
          <cell r="G2523">
            <v>0</v>
          </cell>
          <cell r="H2523" t="str">
            <v>NEGRO</v>
          </cell>
          <cell r="I2523" t="str">
            <v>U</v>
          </cell>
          <cell r="J2523" t="str">
            <v>U</v>
          </cell>
        </row>
        <row r="2524">
          <cell r="B2524" t="str">
            <v>MC020350102</v>
          </cell>
          <cell r="C2524" t="str">
            <v>MARRO CHICA</v>
          </cell>
          <cell r="D2524" t="str">
            <v>TARJETERO</v>
          </cell>
          <cell r="E2524" t="str">
            <v>TARJETERO JESS</v>
          </cell>
          <cell r="F2524" t="str">
            <v>NAPADO</v>
          </cell>
          <cell r="G2524">
            <v>0</v>
          </cell>
          <cell r="H2524" t="str">
            <v>SUELA</v>
          </cell>
          <cell r="I2524" t="str">
            <v>U</v>
          </cell>
          <cell r="J2524" t="str">
            <v>U</v>
          </cell>
        </row>
        <row r="2525">
          <cell r="B2525" t="str">
            <v>MC020350103</v>
          </cell>
          <cell r="C2525" t="str">
            <v>MARRO CHICA</v>
          </cell>
          <cell r="D2525" t="str">
            <v>TARJETERO</v>
          </cell>
          <cell r="E2525" t="str">
            <v>TARJETERO JESS</v>
          </cell>
          <cell r="F2525" t="str">
            <v>NAPADO</v>
          </cell>
          <cell r="G2525">
            <v>0</v>
          </cell>
          <cell r="H2525" t="str">
            <v>CARAMELO</v>
          </cell>
          <cell r="I2525" t="str">
            <v>U</v>
          </cell>
          <cell r="J2525" t="str">
            <v>U</v>
          </cell>
        </row>
        <row r="2526">
          <cell r="B2526" t="str">
            <v>MC020350105</v>
          </cell>
          <cell r="C2526" t="str">
            <v>MARRO CHICA</v>
          </cell>
          <cell r="D2526" t="str">
            <v>TARJETERO</v>
          </cell>
          <cell r="E2526" t="str">
            <v>TARJETERO JESS</v>
          </cell>
          <cell r="F2526" t="str">
            <v>NAPADO</v>
          </cell>
          <cell r="G2526">
            <v>0</v>
          </cell>
          <cell r="H2526" t="str">
            <v>LONDON</v>
          </cell>
          <cell r="I2526" t="str">
            <v>U</v>
          </cell>
          <cell r="J2526" t="str">
            <v>U</v>
          </cell>
        </row>
        <row r="2527">
          <cell r="B2527" t="str">
            <v>MC020350107</v>
          </cell>
          <cell r="C2527" t="str">
            <v>MARRO CHICA</v>
          </cell>
          <cell r="D2527" t="str">
            <v>TARJETERO</v>
          </cell>
          <cell r="E2527" t="str">
            <v>TARJETERO JESS</v>
          </cell>
          <cell r="F2527" t="str">
            <v>NAPADO</v>
          </cell>
          <cell r="G2527">
            <v>0</v>
          </cell>
          <cell r="H2527" t="str">
            <v>ROJO</v>
          </cell>
          <cell r="I2527" t="str">
            <v>U</v>
          </cell>
          <cell r="J2527" t="str">
            <v>U</v>
          </cell>
        </row>
        <row r="2528">
          <cell r="B2528" t="str">
            <v>MC020350109</v>
          </cell>
          <cell r="C2528" t="str">
            <v>MARRO CHICA</v>
          </cell>
          <cell r="D2528" t="str">
            <v>TARJETERO</v>
          </cell>
          <cell r="E2528" t="str">
            <v>TARJETERO JESS</v>
          </cell>
          <cell r="F2528" t="str">
            <v>NAPADO</v>
          </cell>
          <cell r="G2528">
            <v>0</v>
          </cell>
          <cell r="H2528" t="str">
            <v>AZUL</v>
          </cell>
          <cell r="I2528" t="str">
            <v>U</v>
          </cell>
          <cell r="J2528" t="str">
            <v>U</v>
          </cell>
        </row>
        <row r="2529">
          <cell r="B2529" t="str">
            <v>MC020350110</v>
          </cell>
          <cell r="C2529" t="str">
            <v>MARRO CHICA</v>
          </cell>
          <cell r="D2529" t="str">
            <v>TARJETERO</v>
          </cell>
          <cell r="E2529" t="str">
            <v>TARJETERO JESS</v>
          </cell>
          <cell r="F2529" t="str">
            <v>NAPADO</v>
          </cell>
          <cell r="G2529">
            <v>0</v>
          </cell>
          <cell r="H2529" t="str">
            <v>VERDE</v>
          </cell>
          <cell r="I2529" t="str">
            <v>U</v>
          </cell>
          <cell r="J2529" t="str">
            <v>U</v>
          </cell>
        </row>
        <row r="2530">
          <cell r="B2530" t="str">
            <v>MC020190101</v>
          </cell>
          <cell r="C2530" t="str">
            <v>MARRO CHICA</v>
          </cell>
          <cell r="D2530" t="str">
            <v>TARJETERO</v>
          </cell>
          <cell r="E2530" t="str">
            <v>TARJETERO JUAN</v>
          </cell>
          <cell r="F2530" t="str">
            <v>NAPADO</v>
          </cell>
          <cell r="G2530">
            <v>0</v>
          </cell>
          <cell r="H2530" t="str">
            <v>NEGRO</v>
          </cell>
          <cell r="I2530" t="str">
            <v>U</v>
          </cell>
          <cell r="J2530" t="str">
            <v>U</v>
          </cell>
        </row>
        <row r="2531">
          <cell r="B2531" t="str">
            <v>MC020190102</v>
          </cell>
          <cell r="C2531" t="str">
            <v>MARRO CHICA</v>
          </cell>
          <cell r="D2531" t="str">
            <v>TARJETERO</v>
          </cell>
          <cell r="E2531" t="str">
            <v>TARJETERO JUAN</v>
          </cell>
          <cell r="F2531" t="str">
            <v>NAPADO</v>
          </cell>
          <cell r="G2531">
            <v>0</v>
          </cell>
          <cell r="H2531" t="str">
            <v>SUELA</v>
          </cell>
          <cell r="I2531" t="str">
            <v>U</v>
          </cell>
          <cell r="J2531" t="str">
            <v>U</v>
          </cell>
        </row>
        <row r="2532">
          <cell r="B2532" t="str">
            <v>MC020190103</v>
          </cell>
          <cell r="C2532" t="str">
            <v>MARRO CHICA</v>
          </cell>
          <cell r="D2532" t="str">
            <v>TARJETERO</v>
          </cell>
          <cell r="E2532" t="str">
            <v>TARJETERO JUAN</v>
          </cell>
          <cell r="F2532" t="str">
            <v>NAPADO</v>
          </cell>
          <cell r="G2532">
            <v>0</v>
          </cell>
          <cell r="H2532" t="str">
            <v>CARAMELO</v>
          </cell>
          <cell r="I2532" t="str">
            <v>U</v>
          </cell>
          <cell r="J2532" t="str">
            <v>U</v>
          </cell>
        </row>
        <row r="2533">
          <cell r="B2533" t="str">
            <v>MC020190104</v>
          </cell>
          <cell r="C2533" t="str">
            <v>MARRO CHICA</v>
          </cell>
          <cell r="D2533" t="str">
            <v>TARJETERO</v>
          </cell>
          <cell r="E2533" t="str">
            <v>TARJETERO JUAN</v>
          </cell>
          <cell r="F2533" t="str">
            <v>NAPADO</v>
          </cell>
          <cell r="G2533">
            <v>0</v>
          </cell>
          <cell r="H2533" t="str">
            <v>TABACO</v>
          </cell>
          <cell r="I2533" t="str">
            <v>U</v>
          </cell>
          <cell r="J2533" t="str">
            <v>U</v>
          </cell>
        </row>
        <row r="2534">
          <cell r="B2534" t="str">
            <v>MC020190107</v>
          </cell>
          <cell r="C2534" t="str">
            <v>MARRO CHICA</v>
          </cell>
          <cell r="D2534" t="str">
            <v>TARJETERO</v>
          </cell>
          <cell r="E2534" t="str">
            <v>TARJETERO JUAN</v>
          </cell>
          <cell r="F2534" t="str">
            <v>NAPADO</v>
          </cell>
          <cell r="G2534">
            <v>0</v>
          </cell>
          <cell r="H2534" t="str">
            <v>ROJO</v>
          </cell>
          <cell r="I2534" t="str">
            <v>U</v>
          </cell>
          <cell r="J2534" t="str">
            <v>U</v>
          </cell>
        </row>
        <row r="2535">
          <cell r="B2535" t="str">
            <v>MC020190109</v>
          </cell>
          <cell r="C2535" t="str">
            <v>MARRO CHICA</v>
          </cell>
          <cell r="D2535" t="str">
            <v>TARJETERO</v>
          </cell>
          <cell r="E2535" t="str">
            <v>TARJETERO JUAN</v>
          </cell>
          <cell r="F2535" t="str">
            <v>NAPADO</v>
          </cell>
          <cell r="G2535">
            <v>0</v>
          </cell>
          <cell r="H2535" t="str">
            <v>AZUL</v>
          </cell>
          <cell r="I2535" t="str">
            <v>U</v>
          </cell>
          <cell r="J2535" t="str">
            <v>U</v>
          </cell>
        </row>
        <row r="2536">
          <cell r="B2536" t="str">
            <v>MC020190110</v>
          </cell>
          <cell r="C2536" t="str">
            <v>MARRO CHICA</v>
          </cell>
          <cell r="D2536" t="str">
            <v>TARJETERO</v>
          </cell>
          <cell r="E2536" t="str">
            <v>TARJETERO JUAN</v>
          </cell>
          <cell r="F2536" t="str">
            <v>NAPADO</v>
          </cell>
          <cell r="G2536">
            <v>0</v>
          </cell>
          <cell r="H2536" t="str">
            <v>VERDE</v>
          </cell>
          <cell r="I2536" t="str">
            <v>U</v>
          </cell>
          <cell r="J2536" t="str">
            <v>U</v>
          </cell>
        </row>
        <row r="2537">
          <cell r="B2537" t="str">
            <v>MC020190115</v>
          </cell>
          <cell r="C2537" t="str">
            <v>MARRO CHICA</v>
          </cell>
          <cell r="D2537" t="str">
            <v>TARJETERO</v>
          </cell>
          <cell r="E2537" t="str">
            <v>TARJETERO JUAN</v>
          </cell>
          <cell r="F2537" t="str">
            <v>NAPADO</v>
          </cell>
          <cell r="G2537">
            <v>0</v>
          </cell>
          <cell r="H2537" t="str">
            <v>MALBEC</v>
          </cell>
          <cell r="I2537" t="str">
            <v>U</v>
          </cell>
          <cell r="J2537" t="str">
            <v>U</v>
          </cell>
        </row>
        <row r="2538">
          <cell r="B2538" t="str">
            <v>MC020190301</v>
          </cell>
          <cell r="C2538" t="str">
            <v>MARRO CHICA</v>
          </cell>
          <cell r="D2538" t="str">
            <v>TARJETERO</v>
          </cell>
          <cell r="E2538" t="str">
            <v>TARJETERO JUAN</v>
          </cell>
          <cell r="F2538" t="str">
            <v>BRIDGE</v>
          </cell>
          <cell r="G2538">
            <v>0</v>
          </cell>
          <cell r="H2538" t="str">
            <v>NEGRO</v>
          </cell>
          <cell r="I2538" t="str">
            <v>U</v>
          </cell>
          <cell r="J2538" t="str">
            <v>U</v>
          </cell>
        </row>
        <row r="2539">
          <cell r="B2539" t="str">
            <v>MC020190302</v>
          </cell>
          <cell r="C2539" t="str">
            <v>MARRO CHICA</v>
          </cell>
          <cell r="D2539" t="str">
            <v>TARJETERO</v>
          </cell>
          <cell r="E2539" t="str">
            <v>TARJETERO JUAN</v>
          </cell>
          <cell r="F2539" t="str">
            <v>BRIDGE NAPO</v>
          </cell>
          <cell r="G2539">
            <v>0</v>
          </cell>
          <cell r="H2539" t="str">
            <v>SUELA</v>
          </cell>
          <cell r="I2539" t="str">
            <v>U</v>
          </cell>
          <cell r="J2539" t="str">
            <v>U</v>
          </cell>
        </row>
        <row r="2540">
          <cell r="B2540" t="str">
            <v>MC020190303</v>
          </cell>
          <cell r="C2540" t="str">
            <v>MARRO CHICA</v>
          </cell>
          <cell r="D2540" t="str">
            <v>TARJETERO</v>
          </cell>
          <cell r="E2540" t="str">
            <v>TARJETERO JUAN</v>
          </cell>
          <cell r="F2540" t="str">
            <v>BRIDGE</v>
          </cell>
          <cell r="G2540">
            <v>0</v>
          </cell>
          <cell r="H2540" t="str">
            <v>CARAMELO</v>
          </cell>
          <cell r="I2540" t="str">
            <v>U</v>
          </cell>
          <cell r="J2540" t="str">
            <v>U</v>
          </cell>
        </row>
        <row r="2541">
          <cell r="B2541" t="str">
            <v>MC020190304</v>
          </cell>
          <cell r="C2541" t="str">
            <v>MARRO CHICA</v>
          </cell>
          <cell r="D2541" t="str">
            <v>TARJETERO</v>
          </cell>
          <cell r="E2541" t="str">
            <v>TARJETERO JUAN</v>
          </cell>
          <cell r="F2541" t="str">
            <v>BRIDGE</v>
          </cell>
          <cell r="G2541">
            <v>0</v>
          </cell>
          <cell r="H2541" t="str">
            <v>TABACO</v>
          </cell>
          <cell r="I2541" t="str">
            <v>U</v>
          </cell>
          <cell r="J2541" t="str">
            <v>U</v>
          </cell>
        </row>
        <row r="2542">
          <cell r="B2542" t="str">
            <v>MC020190307</v>
          </cell>
          <cell r="C2542" t="str">
            <v>MARRO CHICA</v>
          </cell>
          <cell r="D2542" t="str">
            <v>TARJETERO</v>
          </cell>
          <cell r="E2542" t="str">
            <v>TARJETERO JUAN</v>
          </cell>
          <cell r="F2542" t="str">
            <v>BRIDGE</v>
          </cell>
          <cell r="G2542">
            <v>0</v>
          </cell>
          <cell r="H2542" t="str">
            <v>ROJO</v>
          </cell>
          <cell r="I2542" t="str">
            <v>U</v>
          </cell>
          <cell r="J2542" t="str">
            <v>U</v>
          </cell>
        </row>
        <row r="2543">
          <cell r="B2543" t="str">
            <v>MC020190309</v>
          </cell>
          <cell r="C2543" t="str">
            <v>MARRO CHICA</v>
          </cell>
          <cell r="D2543" t="str">
            <v>TARJETERO</v>
          </cell>
          <cell r="E2543" t="str">
            <v>TARJETERO JUAN</v>
          </cell>
          <cell r="F2543" t="str">
            <v>BRIDGE</v>
          </cell>
          <cell r="G2543">
            <v>0</v>
          </cell>
          <cell r="H2543" t="str">
            <v>AZUL</v>
          </cell>
          <cell r="I2543" t="str">
            <v>U</v>
          </cell>
          <cell r="J2543" t="str">
            <v>U</v>
          </cell>
        </row>
        <row r="2544">
          <cell r="B2544" t="str">
            <v>MC020190310</v>
          </cell>
          <cell r="C2544" t="str">
            <v>MARRO CHICA</v>
          </cell>
          <cell r="D2544" t="str">
            <v>TARJETERO</v>
          </cell>
          <cell r="E2544" t="str">
            <v>TARJETERO JUAN</v>
          </cell>
          <cell r="F2544" t="str">
            <v>BRIDGE</v>
          </cell>
          <cell r="G2544">
            <v>0</v>
          </cell>
          <cell r="H2544" t="str">
            <v>VERDE</v>
          </cell>
          <cell r="I2544" t="str">
            <v>U</v>
          </cell>
          <cell r="J2544" t="str">
            <v>U</v>
          </cell>
        </row>
        <row r="2545">
          <cell r="B2545" t="str">
            <v>MC020190315</v>
          </cell>
          <cell r="C2545" t="str">
            <v>MARRO CHICA</v>
          </cell>
          <cell r="D2545" t="str">
            <v>TARJETERO</v>
          </cell>
          <cell r="E2545" t="str">
            <v>TARJETERO JUAN</v>
          </cell>
          <cell r="F2545" t="str">
            <v>BRIDGE</v>
          </cell>
          <cell r="G2545">
            <v>0</v>
          </cell>
          <cell r="H2545" t="str">
            <v>MALBEC</v>
          </cell>
          <cell r="I2545" t="str">
            <v>U</v>
          </cell>
          <cell r="J2545" t="str">
            <v>U</v>
          </cell>
        </row>
        <row r="2546">
          <cell r="B2546" t="str">
            <v>MC020191623</v>
          </cell>
          <cell r="C2546" t="str">
            <v>MARRO CHICA</v>
          </cell>
          <cell r="D2546" t="str">
            <v>TARJETERO</v>
          </cell>
          <cell r="E2546" t="str">
            <v>TARJETERO JUAN</v>
          </cell>
          <cell r="F2546" t="str">
            <v>FIORENTINO</v>
          </cell>
          <cell r="G2546">
            <v>0</v>
          </cell>
          <cell r="H2546" t="str">
            <v>CEDRO</v>
          </cell>
          <cell r="I2546" t="str">
            <v>U</v>
          </cell>
          <cell r="J2546" t="str">
            <v>U</v>
          </cell>
        </row>
        <row r="2547">
          <cell r="B2547" t="str">
            <v>MC020191904</v>
          </cell>
          <cell r="C2547" t="str">
            <v>MARRO CHICA</v>
          </cell>
          <cell r="D2547" t="str">
            <v>TARJETERO</v>
          </cell>
          <cell r="E2547" t="str">
            <v>TARJETERO JUAN</v>
          </cell>
          <cell r="F2547" t="str">
            <v>MODENA</v>
          </cell>
          <cell r="G2547">
            <v>0</v>
          </cell>
          <cell r="H2547" t="str">
            <v>TABACO</v>
          </cell>
          <cell r="I2547" t="str">
            <v>U</v>
          </cell>
          <cell r="J2547" t="str">
            <v>U</v>
          </cell>
        </row>
        <row r="2548">
          <cell r="B2548" t="str">
            <v>MC020280101</v>
          </cell>
          <cell r="C2548" t="str">
            <v>MARRO CHICA</v>
          </cell>
          <cell r="D2548" t="str">
            <v>BILLETERA</v>
          </cell>
          <cell r="E2548" t="str">
            <v>TARJETERO KENNY</v>
          </cell>
          <cell r="F2548" t="str">
            <v>NAPADO</v>
          </cell>
          <cell r="G2548">
            <v>0</v>
          </cell>
          <cell r="H2548" t="str">
            <v>NEGRO</v>
          </cell>
          <cell r="I2548" t="str">
            <v>U</v>
          </cell>
          <cell r="J2548" t="str">
            <v>U</v>
          </cell>
        </row>
        <row r="2549">
          <cell r="B2549" t="str">
            <v>MC020280102</v>
          </cell>
          <cell r="C2549" t="str">
            <v>MARRO CHICA</v>
          </cell>
          <cell r="D2549" t="str">
            <v>BILLETERA</v>
          </cell>
          <cell r="E2549" t="str">
            <v>TARJETERO KENNY</v>
          </cell>
          <cell r="F2549" t="str">
            <v>NAPADO</v>
          </cell>
          <cell r="G2549">
            <v>0</v>
          </cell>
          <cell r="H2549" t="str">
            <v>SUELA</v>
          </cell>
          <cell r="I2549" t="str">
            <v>U</v>
          </cell>
          <cell r="J2549" t="str">
            <v>U</v>
          </cell>
        </row>
        <row r="2550">
          <cell r="B2550" t="str">
            <v>MC020280103</v>
          </cell>
          <cell r="C2550" t="str">
            <v>MARRO CHICA</v>
          </cell>
          <cell r="D2550" t="str">
            <v>BILLETERA</v>
          </cell>
          <cell r="E2550" t="str">
            <v>TARJETERO KENNY</v>
          </cell>
          <cell r="F2550" t="str">
            <v>NAPADO</v>
          </cell>
          <cell r="G2550">
            <v>0</v>
          </cell>
          <cell r="H2550" t="str">
            <v>CARAMELO</v>
          </cell>
          <cell r="I2550" t="str">
            <v>U</v>
          </cell>
          <cell r="J2550" t="str">
            <v>U</v>
          </cell>
        </row>
        <row r="2551">
          <cell r="B2551" t="str">
            <v>MC020280107</v>
          </cell>
          <cell r="C2551" t="str">
            <v>MARRO CHICA</v>
          </cell>
          <cell r="D2551" t="str">
            <v>BILLETERA</v>
          </cell>
          <cell r="E2551" t="str">
            <v>TARJETERO KENNY</v>
          </cell>
          <cell r="F2551" t="str">
            <v>NAPADO</v>
          </cell>
          <cell r="G2551">
            <v>0</v>
          </cell>
          <cell r="H2551" t="str">
            <v>ROJO</v>
          </cell>
          <cell r="I2551" t="str">
            <v>U</v>
          </cell>
          <cell r="J2551" t="str">
            <v>U</v>
          </cell>
        </row>
        <row r="2552">
          <cell r="B2552" t="str">
            <v>MC020280109</v>
          </cell>
          <cell r="C2552" t="str">
            <v>MARRO CHICA</v>
          </cell>
          <cell r="D2552" t="str">
            <v>BILLETERA</v>
          </cell>
          <cell r="E2552" t="str">
            <v>TARJETERO KENNY</v>
          </cell>
          <cell r="F2552" t="str">
            <v>NAPADO</v>
          </cell>
          <cell r="G2552">
            <v>0</v>
          </cell>
          <cell r="H2552" t="str">
            <v>AZUL</v>
          </cell>
          <cell r="I2552" t="str">
            <v>U</v>
          </cell>
          <cell r="J2552" t="str">
            <v>U</v>
          </cell>
        </row>
        <row r="2553">
          <cell r="B2553" t="str">
            <v>MC020280110</v>
          </cell>
          <cell r="C2553" t="str">
            <v>MARRO CHICA</v>
          </cell>
          <cell r="D2553" t="str">
            <v>BILLETERA</v>
          </cell>
          <cell r="E2553" t="str">
            <v>TARJETERO KENNY</v>
          </cell>
          <cell r="F2553" t="str">
            <v>NAPADO</v>
          </cell>
          <cell r="G2553">
            <v>0</v>
          </cell>
          <cell r="H2553" t="str">
            <v>VERDE</v>
          </cell>
          <cell r="I2553" t="str">
            <v>U</v>
          </cell>
          <cell r="J2553" t="str">
            <v>U</v>
          </cell>
        </row>
        <row r="2554">
          <cell r="B2554" t="str">
            <v>MC020280301</v>
          </cell>
          <cell r="C2554" t="str">
            <v>MARRO CHICA</v>
          </cell>
          <cell r="D2554" t="str">
            <v>BILLETERA</v>
          </cell>
          <cell r="E2554" t="str">
            <v>TARJETERO KENNY</v>
          </cell>
          <cell r="F2554" t="str">
            <v>BRIDGE</v>
          </cell>
          <cell r="G2554">
            <v>0</v>
          </cell>
          <cell r="H2554" t="str">
            <v>NEGRO</v>
          </cell>
          <cell r="I2554" t="str">
            <v>U</v>
          </cell>
          <cell r="J2554" t="str">
            <v>U</v>
          </cell>
        </row>
        <row r="2555">
          <cell r="B2555" t="str">
            <v>MC020280303</v>
          </cell>
          <cell r="C2555" t="str">
            <v>MARRO CHICA</v>
          </cell>
          <cell r="D2555" t="str">
            <v>BILLETERA</v>
          </cell>
          <cell r="E2555" t="str">
            <v>TARJETERO KENNY</v>
          </cell>
          <cell r="F2555" t="str">
            <v>BRIDGE</v>
          </cell>
          <cell r="G2555">
            <v>0</v>
          </cell>
          <cell r="H2555" t="str">
            <v>CARAMELO</v>
          </cell>
          <cell r="I2555" t="str">
            <v>U</v>
          </cell>
          <cell r="J2555" t="str">
            <v>U</v>
          </cell>
        </row>
        <row r="2556">
          <cell r="B2556" t="str">
            <v>MC020280304</v>
          </cell>
          <cell r="C2556" t="str">
            <v>MARRO CHICA</v>
          </cell>
          <cell r="D2556" t="str">
            <v>BILLETERA</v>
          </cell>
          <cell r="E2556" t="str">
            <v>TARJETERO KENNY</v>
          </cell>
          <cell r="F2556" t="str">
            <v>BRIDGE</v>
          </cell>
          <cell r="G2556">
            <v>0</v>
          </cell>
          <cell r="H2556" t="str">
            <v>TABACO</v>
          </cell>
          <cell r="I2556" t="str">
            <v>U</v>
          </cell>
          <cell r="J2556" t="str">
            <v>U</v>
          </cell>
        </row>
        <row r="2557">
          <cell r="B2557" t="str">
            <v>MC020280307</v>
          </cell>
          <cell r="C2557" t="str">
            <v>MARRO CHICA</v>
          </cell>
          <cell r="D2557" t="str">
            <v>BILLETERA</v>
          </cell>
          <cell r="E2557" t="str">
            <v>TARJETERO KENNY</v>
          </cell>
          <cell r="F2557" t="str">
            <v>BRIDGE</v>
          </cell>
          <cell r="G2557">
            <v>0</v>
          </cell>
          <cell r="H2557" t="str">
            <v>ROJO</v>
          </cell>
          <cell r="I2557" t="str">
            <v>U</v>
          </cell>
          <cell r="J2557" t="str">
            <v>U</v>
          </cell>
        </row>
        <row r="2558">
          <cell r="B2558" t="str">
            <v>MC020280309</v>
          </cell>
          <cell r="C2558" t="str">
            <v>MARRO CHICA</v>
          </cell>
          <cell r="D2558" t="str">
            <v>BILLETERA</v>
          </cell>
          <cell r="E2558" t="str">
            <v>TARJETERO KENNY</v>
          </cell>
          <cell r="F2558" t="str">
            <v>BRIDGE</v>
          </cell>
          <cell r="G2558">
            <v>0</v>
          </cell>
          <cell r="H2558" t="str">
            <v>AZUL</v>
          </cell>
          <cell r="I2558" t="str">
            <v>U</v>
          </cell>
          <cell r="J2558" t="str">
            <v>U</v>
          </cell>
        </row>
        <row r="2559">
          <cell r="B2559" t="str">
            <v>MC020280310</v>
          </cell>
          <cell r="C2559" t="str">
            <v>MARRO CHICA</v>
          </cell>
          <cell r="D2559" t="str">
            <v>BILLETERA</v>
          </cell>
          <cell r="E2559" t="str">
            <v>TARJETERO KENNY</v>
          </cell>
          <cell r="F2559" t="str">
            <v>BRIDGE</v>
          </cell>
          <cell r="G2559">
            <v>0</v>
          </cell>
          <cell r="H2559" t="str">
            <v>VERDE</v>
          </cell>
          <cell r="I2559" t="str">
            <v>U</v>
          </cell>
          <cell r="J2559" t="str">
            <v>U</v>
          </cell>
        </row>
        <row r="2560">
          <cell r="B2560" t="str">
            <v>MC020280315</v>
          </cell>
          <cell r="C2560" t="str">
            <v>MARRO CHICA</v>
          </cell>
          <cell r="D2560" t="str">
            <v>BILLETERA</v>
          </cell>
          <cell r="E2560" t="str">
            <v>TARJETERO KENNY</v>
          </cell>
          <cell r="F2560" t="str">
            <v>BRIDGE</v>
          </cell>
          <cell r="G2560">
            <v>0</v>
          </cell>
          <cell r="H2560" t="str">
            <v>MALBEC</v>
          </cell>
          <cell r="I2560" t="str">
            <v>U</v>
          </cell>
          <cell r="J2560" t="str">
            <v>U</v>
          </cell>
        </row>
        <row r="2561">
          <cell r="B2561" t="str">
            <v>MC020070201</v>
          </cell>
          <cell r="C2561" t="str">
            <v>MARRO CHICA</v>
          </cell>
          <cell r="D2561" t="str">
            <v>TARJETERO</v>
          </cell>
          <cell r="E2561" t="str">
            <v>TARJETERO LEO</v>
          </cell>
          <cell r="F2561" t="str">
            <v>TAMPONATO</v>
          </cell>
          <cell r="G2561">
            <v>0</v>
          </cell>
          <cell r="H2561" t="str">
            <v>NEGRO</v>
          </cell>
          <cell r="I2561" t="str">
            <v>U</v>
          </cell>
          <cell r="J2561" t="str">
            <v>U</v>
          </cell>
        </row>
        <row r="2562">
          <cell r="B2562" t="str">
            <v>MC020070202</v>
          </cell>
          <cell r="C2562" t="str">
            <v>MARRO CHICA</v>
          </cell>
          <cell r="D2562" t="str">
            <v>TARJETERO</v>
          </cell>
          <cell r="E2562" t="str">
            <v>TARJETERO LEO</v>
          </cell>
          <cell r="F2562" t="str">
            <v>TAMPONATO</v>
          </cell>
          <cell r="G2562">
            <v>0</v>
          </cell>
          <cell r="H2562" t="str">
            <v>SUELA</v>
          </cell>
          <cell r="I2562" t="str">
            <v>U</v>
          </cell>
          <cell r="J2562" t="str">
            <v>U</v>
          </cell>
        </row>
        <row r="2563">
          <cell r="B2563" t="str">
            <v>MC020070301</v>
          </cell>
          <cell r="C2563" t="str">
            <v>MARRO CHICA</v>
          </cell>
          <cell r="D2563" t="str">
            <v>TARJETERO</v>
          </cell>
          <cell r="E2563" t="str">
            <v>TARJETERO LEO</v>
          </cell>
          <cell r="F2563" t="str">
            <v>BRIDGE</v>
          </cell>
          <cell r="G2563">
            <v>0</v>
          </cell>
          <cell r="H2563" t="str">
            <v>NEGRO</v>
          </cell>
          <cell r="I2563" t="str">
            <v>U</v>
          </cell>
          <cell r="J2563" t="str">
            <v>U</v>
          </cell>
        </row>
        <row r="2564">
          <cell r="B2564" t="str">
            <v>MC020070303</v>
          </cell>
          <cell r="C2564" t="str">
            <v>MARRO CHICA</v>
          </cell>
          <cell r="D2564" t="str">
            <v>TARJETERO</v>
          </cell>
          <cell r="E2564" t="str">
            <v>TARJETERO LEO</v>
          </cell>
          <cell r="F2564" t="str">
            <v>BRIDGE</v>
          </cell>
          <cell r="G2564">
            <v>0</v>
          </cell>
          <cell r="H2564" t="str">
            <v>CARAMELO</v>
          </cell>
          <cell r="I2564" t="str">
            <v>U</v>
          </cell>
          <cell r="J2564" t="str">
            <v>U</v>
          </cell>
        </row>
        <row r="2565">
          <cell r="B2565" t="str">
            <v>MC020070304</v>
          </cell>
          <cell r="C2565" t="str">
            <v>MARRO CHICA</v>
          </cell>
          <cell r="D2565" t="str">
            <v>TARJETERO</v>
          </cell>
          <cell r="E2565" t="str">
            <v>TARJETERO LEO</v>
          </cell>
          <cell r="F2565" t="str">
            <v>BRIDGE</v>
          </cell>
          <cell r="G2565">
            <v>0</v>
          </cell>
          <cell r="H2565" t="str">
            <v>TABACO</v>
          </cell>
          <cell r="I2565" t="str">
            <v>U</v>
          </cell>
          <cell r="J2565" t="str">
            <v>U</v>
          </cell>
        </row>
        <row r="2566">
          <cell r="B2566" t="str">
            <v>MC020070305</v>
          </cell>
          <cell r="C2566" t="str">
            <v>MARRO CHICA</v>
          </cell>
          <cell r="D2566" t="str">
            <v>TARJETERO</v>
          </cell>
          <cell r="E2566" t="str">
            <v>TARJETERO LEO</v>
          </cell>
          <cell r="F2566" t="str">
            <v>BRIDGE</v>
          </cell>
          <cell r="G2566">
            <v>0</v>
          </cell>
          <cell r="H2566" t="str">
            <v>LONDON</v>
          </cell>
          <cell r="I2566" t="str">
            <v>U</v>
          </cell>
          <cell r="J2566" t="str">
            <v>U</v>
          </cell>
        </row>
        <row r="2567">
          <cell r="B2567" t="str">
            <v>MC020070307</v>
          </cell>
          <cell r="C2567" t="str">
            <v>MARRO CHICA</v>
          </cell>
          <cell r="D2567" t="str">
            <v>TARJETERO</v>
          </cell>
          <cell r="E2567" t="str">
            <v>TARJETERO LEO</v>
          </cell>
          <cell r="F2567" t="str">
            <v>BRIDGE</v>
          </cell>
          <cell r="G2567">
            <v>0</v>
          </cell>
          <cell r="H2567" t="str">
            <v>ROJO</v>
          </cell>
          <cell r="I2567" t="str">
            <v>U</v>
          </cell>
          <cell r="J2567" t="str">
            <v>U</v>
          </cell>
        </row>
        <row r="2568">
          <cell r="B2568" t="str">
            <v>MC020070309</v>
          </cell>
          <cell r="C2568" t="str">
            <v>MARRO CHICA</v>
          </cell>
          <cell r="D2568" t="str">
            <v>TARJETERO</v>
          </cell>
          <cell r="E2568" t="str">
            <v>TARJETERO LEO</v>
          </cell>
          <cell r="F2568" t="str">
            <v>BRIDGE</v>
          </cell>
          <cell r="G2568">
            <v>0</v>
          </cell>
          <cell r="H2568" t="str">
            <v>AZUL</v>
          </cell>
          <cell r="I2568" t="str">
            <v>U</v>
          </cell>
          <cell r="J2568" t="str">
            <v>U</v>
          </cell>
        </row>
        <row r="2569">
          <cell r="B2569" t="str">
            <v>MC020070310</v>
          </cell>
          <cell r="C2569" t="str">
            <v>MARRO CHICA</v>
          </cell>
          <cell r="D2569" t="str">
            <v>TARJETERO</v>
          </cell>
          <cell r="E2569" t="str">
            <v>TARJETERO LEO</v>
          </cell>
          <cell r="F2569" t="str">
            <v>BRIDGE</v>
          </cell>
          <cell r="G2569">
            <v>0</v>
          </cell>
          <cell r="H2569" t="str">
            <v>VERDE</v>
          </cell>
          <cell r="I2569" t="str">
            <v>U</v>
          </cell>
          <cell r="J2569" t="str">
            <v>U</v>
          </cell>
        </row>
        <row r="2570">
          <cell r="B2570" t="str">
            <v>MC020070402</v>
          </cell>
          <cell r="C2570" t="str">
            <v>MARRO CHICA</v>
          </cell>
          <cell r="D2570" t="str">
            <v>TARJETERO</v>
          </cell>
          <cell r="E2570" t="str">
            <v>TARJETERO LEO</v>
          </cell>
          <cell r="F2570" t="str">
            <v>VAQUETA</v>
          </cell>
          <cell r="G2570">
            <v>0</v>
          </cell>
          <cell r="H2570" t="str">
            <v>SUELA</v>
          </cell>
          <cell r="I2570" t="str">
            <v>U</v>
          </cell>
          <cell r="J2570" t="str">
            <v>U</v>
          </cell>
        </row>
        <row r="2571">
          <cell r="B2571" t="str">
            <v>MC020070405</v>
          </cell>
          <cell r="C2571" t="str">
            <v>MARRO CHICA</v>
          </cell>
          <cell r="D2571" t="str">
            <v>TARJETERO</v>
          </cell>
          <cell r="E2571" t="str">
            <v>TARJETERO LEO</v>
          </cell>
          <cell r="F2571" t="str">
            <v>VAQUETA</v>
          </cell>
          <cell r="G2571">
            <v>0</v>
          </cell>
          <cell r="H2571" t="str">
            <v>LONDON</v>
          </cell>
          <cell r="I2571" t="str">
            <v>U</v>
          </cell>
          <cell r="J2571" t="str">
            <v>U</v>
          </cell>
        </row>
        <row r="2572">
          <cell r="B2572" t="str">
            <v>MC150610304</v>
          </cell>
          <cell r="C2572" t="str">
            <v>MARRO CHICA</v>
          </cell>
          <cell r="D2572" t="str">
            <v>TARJETERO</v>
          </cell>
          <cell r="E2572" t="str">
            <v>TARJETERO MILTON</v>
          </cell>
          <cell r="F2572" t="str">
            <v>BRIDGE</v>
          </cell>
          <cell r="G2572">
            <v>0</v>
          </cell>
          <cell r="H2572" t="str">
            <v>TABACO</v>
          </cell>
          <cell r="I2572" t="str">
            <v>U</v>
          </cell>
          <cell r="J2572" t="str">
            <v>U</v>
          </cell>
        </row>
        <row r="2573">
          <cell r="B2573" t="str">
            <v>MC150611623</v>
          </cell>
          <cell r="C2573" t="str">
            <v>MARRO CHICA</v>
          </cell>
          <cell r="D2573" t="str">
            <v>TARJETERO</v>
          </cell>
          <cell r="E2573" t="str">
            <v>TARJETERO MILTON</v>
          </cell>
          <cell r="F2573" t="str">
            <v>FIORENTINO</v>
          </cell>
          <cell r="G2573">
            <v>0</v>
          </cell>
          <cell r="H2573" t="str">
            <v>CEDRO</v>
          </cell>
          <cell r="I2573" t="str">
            <v>U</v>
          </cell>
          <cell r="J2573" t="str">
            <v>U</v>
          </cell>
        </row>
        <row r="2574">
          <cell r="B2574" t="str">
            <v>MC020770102</v>
          </cell>
          <cell r="C2574" t="str">
            <v>MARRO CHICA</v>
          </cell>
          <cell r="D2574" t="str">
            <v>TARJETERO</v>
          </cell>
          <cell r="E2574" t="str">
            <v>TARJETERO MULTI</v>
          </cell>
          <cell r="F2574" t="str">
            <v>NAPADO</v>
          </cell>
          <cell r="G2574">
            <v>0</v>
          </cell>
          <cell r="H2574" t="str">
            <v>SUELA</v>
          </cell>
          <cell r="I2574" t="str">
            <v>U</v>
          </cell>
          <cell r="J2574" t="str">
            <v>U</v>
          </cell>
        </row>
        <row r="2575">
          <cell r="B2575" t="str">
            <v>MC020770103</v>
          </cell>
          <cell r="C2575" t="str">
            <v>MARRO CHICA</v>
          </cell>
          <cell r="D2575" t="str">
            <v>TARJETERO</v>
          </cell>
          <cell r="E2575" t="str">
            <v>TARJETERO MULTI</v>
          </cell>
          <cell r="F2575" t="str">
            <v>NAPADO</v>
          </cell>
          <cell r="G2575">
            <v>0</v>
          </cell>
          <cell r="H2575" t="str">
            <v>CARAMELO</v>
          </cell>
          <cell r="I2575" t="str">
            <v>U</v>
          </cell>
          <cell r="J2575" t="str">
            <v>U</v>
          </cell>
        </row>
        <row r="2576">
          <cell r="B2576" t="str">
            <v>MC020770107</v>
          </cell>
          <cell r="C2576" t="str">
            <v>MARRO CHICA</v>
          </cell>
          <cell r="D2576" t="str">
            <v>TARJETERO</v>
          </cell>
          <cell r="E2576" t="str">
            <v>TARJETERO MULTI</v>
          </cell>
          <cell r="F2576" t="str">
            <v>NAPADO</v>
          </cell>
          <cell r="G2576">
            <v>0</v>
          </cell>
          <cell r="H2576" t="str">
            <v>ROJO</v>
          </cell>
          <cell r="I2576" t="str">
            <v>U</v>
          </cell>
          <cell r="J2576" t="str">
            <v>U</v>
          </cell>
        </row>
        <row r="2577">
          <cell r="B2577" t="str">
            <v>MC020770115</v>
          </cell>
          <cell r="C2577" t="str">
            <v>MARRO CHICA</v>
          </cell>
          <cell r="D2577" t="str">
            <v>TARJETERO</v>
          </cell>
          <cell r="E2577" t="str">
            <v>TARJETERO MULTI</v>
          </cell>
          <cell r="F2577" t="str">
            <v>NAPADO</v>
          </cell>
          <cell r="G2577">
            <v>0</v>
          </cell>
          <cell r="H2577" t="str">
            <v>MALBEC</v>
          </cell>
          <cell r="I2577" t="str">
            <v>U</v>
          </cell>
          <cell r="J2577" t="str">
            <v>U</v>
          </cell>
        </row>
        <row r="2578">
          <cell r="B2578" t="str">
            <v>MC020770701</v>
          </cell>
          <cell r="C2578" t="str">
            <v>MARRO CHICA</v>
          </cell>
          <cell r="D2578" t="str">
            <v>TARJETERO</v>
          </cell>
          <cell r="E2578" t="str">
            <v>TARJETERO MULTI</v>
          </cell>
          <cell r="F2578" t="str">
            <v>IGUANA</v>
          </cell>
          <cell r="G2578">
            <v>0</v>
          </cell>
          <cell r="H2578" t="str">
            <v>NEGRO</v>
          </cell>
          <cell r="I2578" t="str">
            <v>U</v>
          </cell>
          <cell r="J2578" t="str">
            <v>U</v>
          </cell>
        </row>
        <row r="2579">
          <cell r="B2579" t="str">
            <v>MC020770703</v>
          </cell>
          <cell r="C2579" t="str">
            <v>MARRO CHICA</v>
          </cell>
          <cell r="D2579" t="str">
            <v>TARJETERO</v>
          </cell>
          <cell r="E2579" t="str">
            <v>TARJETERO MULTI</v>
          </cell>
          <cell r="F2579" t="str">
            <v>IGUANA</v>
          </cell>
          <cell r="G2579">
            <v>0</v>
          </cell>
          <cell r="H2579" t="str">
            <v>CARAMELO</v>
          </cell>
          <cell r="I2579" t="str">
            <v>U</v>
          </cell>
          <cell r="J2579" t="str">
            <v>U</v>
          </cell>
        </row>
        <row r="2580">
          <cell r="B2580" t="str">
            <v>MC020770707</v>
          </cell>
          <cell r="C2580" t="str">
            <v>MARRO CHICA</v>
          </cell>
          <cell r="D2580" t="str">
            <v>TARJETERO</v>
          </cell>
          <cell r="E2580" t="str">
            <v>TARJETERO MULTI</v>
          </cell>
          <cell r="F2580" t="str">
            <v>IGUANA</v>
          </cell>
          <cell r="G2580">
            <v>0</v>
          </cell>
          <cell r="H2580" t="str">
            <v>ROJO</v>
          </cell>
          <cell r="I2580" t="str">
            <v>U</v>
          </cell>
          <cell r="J2580" t="str">
            <v>U</v>
          </cell>
        </row>
        <row r="2581">
          <cell r="B2581" t="str">
            <v>MC020771201</v>
          </cell>
          <cell r="C2581" t="str">
            <v>MARRO CHICA</v>
          </cell>
          <cell r="D2581" t="str">
            <v>TARJETERO</v>
          </cell>
          <cell r="E2581" t="str">
            <v>TARJETERO MULTI</v>
          </cell>
          <cell r="F2581" t="str">
            <v>DUNA</v>
          </cell>
          <cell r="G2581">
            <v>0</v>
          </cell>
          <cell r="H2581" t="str">
            <v>NEGRO</v>
          </cell>
          <cell r="I2581" t="str">
            <v>U</v>
          </cell>
          <cell r="J2581" t="str">
            <v>U</v>
          </cell>
        </row>
        <row r="2582">
          <cell r="B2582" t="str">
            <v>MC020710101</v>
          </cell>
          <cell r="C2582" t="str">
            <v>MARRO CHICA</v>
          </cell>
          <cell r="D2582" t="str">
            <v>TARJETERO</v>
          </cell>
          <cell r="E2582" t="str">
            <v>TARJETERO NEW KENNY</v>
          </cell>
          <cell r="F2582" t="str">
            <v>NAPADO</v>
          </cell>
          <cell r="G2582">
            <v>0</v>
          </cell>
          <cell r="H2582" t="str">
            <v>NEGRO</v>
          </cell>
          <cell r="I2582" t="str">
            <v>U</v>
          </cell>
          <cell r="J2582" t="str">
            <v>U</v>
          </cell>
        </row>
        <row r="2583">
          <cell r="B2583" t="str">
            <v>MC020710103</v>
          </cell>
          <cell r="C2583" t="str">
            <v>MARRO CHICA</v>
          </cell>
          <cell r="D2583" t="str">
            <v>TARJETERO</v>
          </cell>
          <cell r="E2583" t="str">
            <v>TARJETERO NEW KENNY</v>
          </cell>
          <cell r="F2583" t="str">
            <v>NAPADO</v>
          </cell>
          <cell r="G2583">
            <v>0</v>
          </cell>
          <cell r="H2583" t="str">
            <v>CARAMELO</v>
          </cell>
          <cell r="I2583" t="str">
            <v>U</v>
          </cell>
          <cell r="J2583" t="str">
            <v>U</v>
          </cell>
        </row>
        <row r="2584">
          <cell r="B2584" t="str">
            <v>MC020710107</v>
          </cell>
          <cell r="C2584" t="str">
            <v>MARRO CHICA</v>
          </cell>
          <cell r="D2584" t="str">
            <v>TARJETERO</v>
          </cell>
          <cell r="E2584" t="str">
            <v>TARJETERO NEW KENNY</v>
          </cell>
          <cell r="F2584" t="str">
            <v>NAPADO</v>
          </cell>
          <cell r="G2584">
            <v>0</v>
          </cell>
          <cell r="H2584" t="str">
            <v>ROJO</v>
          </cell>
          <cell r="I2584" t="str">
            <v>U</v>
          </cell>
          <cell r="J2584" t="str">
            <v>U</v>
          </cell>
        </row>
        <row r="2585">
          <cell r="B2585" t="str">
            <v>MC020710301</v>
          </cell>
          <cell r="C2585" t="str">
            <v>MARRO CHICA</v>
          </cell>
          <cell r="D2585" t="str">
            <v>TARJETERO</v>
          </cell>
          <cell r="E2585" t="str">
            <v>TARJETERO NEW KENNY</v>
          </cell>
          <cell r="F2585" t="str">
            <v>BRIDGE</v>
          </cell>
          <cell r="G2585">
            <v>0</v>
          </cell>
          <cell r="H2585" t="str">
            <v>NEGRO</v>
          </cell>
          <cell r="I2585" t="str">
            <v>U</v>
          </cell>
          <cell r="J2585" t="str">
            <v>U</v>
          </cell>
        </row>
        <row r="2586">
          <cell r="B2586" t="str">
            <v>MC020710303</v>
          </cell>
          <cell r="C2586" t="str">
            <v>MARRO CHICA</v>
          </cell>
          <cell r="D2586" t="str">
            <v>TARJETERO</v>
          </cell>
          <cell r="E2586" t="str">
            <v>TARJETERO NEW KENNY</v>
          </cell>
          <cell r="F2586" t="str">
            <v>BRIDGE</v>
          </cell>
          <cell r="G2586">
            <v>0</v>
          </cell>
          <cell r="H2586" t="str">
            <v>CARAMELO</v>
          </cell>
          <cell r="I2586" t="str">
            <v>U</v>
          </cell>
          <cell r="J2586" t="str">
            <v>U</v>
          </cell>
        </row>
        <row r="2587">
          <cell r="B2587" t="str">
            <v>MC020710304</v>
          </cell>
          <cell r="C2587" t="str">
            <v>MARRO CHICA</v>
          </cell>
          <cell r="D2587" t="str">
            <v>TARJETERO</v>
          </cell>
          <cell r="E2587" t="str">
            <v>TARJETERO NEW KENNY</v>
          </cell>
          <cell r="F2587" t="str">
            <v>BRIDGE</v>
          </cell>
          <cell r="G2587">
            <v>0</v>
          </cell>
          <cell r="H2587" t="str">
            <v>TABACO</v>
          </cell>
          <cell r="I2587" t="str">
            <v>U</v>
          </cell>
          <cell r="J2587" t="str">
            <v>U</v>
          </cell>
        </row>
        <row r="2588">
          <cell r="B2588" t="str">
            <v>MC020710307</v>
          </cell>
          <cell r="C2588" t="str">
            <v>MARRO CHICA</v>
          </cell>
          <cell r="D2588" t="str">
            <v>TARJETERO</v>
          </cell>
          <cell r="E2588" t="str">
            <v>TARJETERO NEW KENNY</v>
          </cell>
          <cell r="F2588" t="str">
            <v>BRIDGE</v>
          </cell>
          <cell r="G2588">
            <v>0</v>
          </cell>
          <cell r="H2588" t="str">
            <v>ROJO</v>
          </cell>
          <cell r="I2588" t="str">
            <v>U</v>
          </cell>
          <cell r="J2588" t="str">
            <v>U</v>
          </cell>
        </row>
        <row r="2589">
          <cell r="B2589" t="str">
            <v>MC020710315</v>
          </cell>
          <cell r="C2589" t="str">
            <v>MARRO CHICA</v>
          </cell>
          <cell r="D2589" t="str">
            <v>TARJETERO</v>
          </cell>
          <cell r="E2589" t="str">
            <v>TARJETERO NEW KENNY</v>
          </cell>
          <cell r="F2589" t="str">
            <v>BRIDGE</v>
          </cell>
          <cell r="G2589">
            <v>0</v>
          </cell>
          <cell r="H2589" t="str">
            <v>MALBEC</v>
          </cell>
          <cell r="I2589" t="str">
            <v>U</v>
          </cell>
          <cell r="J2589" t="str">
            <v>U</v>
          </cell>
        </row>
        <row r="2590">
          <cell r="B2590" t="str">
            <v>MC020040101</v>
          </cell>
          <cell r="C2590" t="str">
            <v>MARRO CHICA</v>
          </cell>
          <cell r="D2590" t="str">
            <v>TARJETERO</v>
          </cell>
          <cell r="E2590" t="str">
            <v>TARJETERO OMA</v>
          </cell>
          <cell r="F2590" t="str">
            <v>NAPADO</v>
          </cell>
          <cell r="G2590">
            <v>0</v>
          </cell>
          <cell r="H2590" t="str">
            <v>NEGRO</v>
          </cell>
          <cell r="I2590" t="str">
            <v>U</v>
          </cell>
          <cell r="J2590" t="str">
            <v>U</v>
          </cell>
        </row>
        <row r="2591">
          <cell r="B2591" t="str">
            <v>MC020040301</v>
          </cell>
          <cell r="C2591" t="str">
            <v>MARRO CHICA</v>
          </cell>
          <cell r="D2591" t="str">
            <v>TARJETERO</v>
          </cell>
          <cell r="E2591" t="str">
            <v>TARJETERO OMA</v>
          </cell>
          <cell r="F2591" t="str">
            <v>BRIDGE</v>
          </cell>
          <cell r="G2591">
            <v>0</v>
          </cell>
          <cell r="H2591" t="str">
            <v>NEGRO</v>
          </cell>
          <cell r="I2591" t="str">
            <v>U</v>
          </cell>
          <cell r="J2591" t="str">
            <v>U</v>
          </cell>
        </row>
        <row r="2592">
          <cell r="B2592" t="str">
            <v>MC020040303</v>
          </cell>
          <cell r="C2592" t="str">
            <v>MARRO CHICA</v>
          </cell>
          <cell r="D2592" t="str">
            <v>TARJETERO</v>
          </cell>
          <cell r="E2592" t="str">
            <v>TARJETERO OMA</v>
          </cell>
          <cell r="F2592" t="str">
            <v>BRIDGE</v>
          </cell>
          <cell r="G2592">
            <v>0</v>
          </cell>
          <cell r="H2592" t="str">
            <v>CARAMELO</v>
          </cell>
          <cell r="I2592" t="str">
            <v>U</v>
          </cell>
          <cell r="J2592" t="str">
            <v>U</v>
          </cell>
        </row>
        <row r="2593">
          <cell r="B2593" t="str">
            <v>MC020040304</v>
          </cell>
          <cell r="C2593" t="str">
            <v>MARRO CHICA</v>
          </cell>
          <cell r="D2593" t="str">
            <v>TARJETERO</v>
          </cell>
          <cell r="E2593" t="str">
            <v>TARJETERO OMA</v>
          </cell>
          <cell r="F2593" t="str">
            <v>BRIDGE</v>
          </cell>
          <cell r="G2593">
            <v>0</v>
          </cell>
          <cell r="H2593" t="str">
            <v>TABACO</v>
          </cell>
          <cell r="I2593" t="str">
            <v>U</v>
          </cell>
          <cell r="J2593" t="str">
            <v>U</v>
          </cell>
        </row>
        <row r="2594">
          <cell r="B2594" t="str">
            <v>MC020040307</v>
          </cell>
          <cell r="C2594" t="str">
            <v>MARRO CHICA</v>
          </cell>
          <cell r="D2594" t="str">
            <v>TARJETERO</v>
          </cell>
          <cell r="E2594" t="str">
            <v>TARJETERO OMA</v>
          </cell>
          <cell r="F2594" t="str">
            <v>BRIDGE</v>
          </cell>
          <cell r="G2594">
            <v>0</v>
          </cell>
          <cell r="H2594" t="str">
            <v>ROJO</v>
          </cell>
          <cell r="I2594" t="str">
            <v>U</v>
          </cell>
          <cell r="J2594" t="str">
            <v>U</v>
          </cell>
        </row>
        <row r="2595">
          <cell r="B2595" t="str">
            <v>MC020040309</v>
          </cell>
          <cell r="C2595" t="str">
            <v>MARRO CHICA</v>
          </cell>
          <cell r="D2595" t="str">
            <v>TARJETERO</v>
          </cell>
          <cell r="E2595" t="str">
            <v>TARJETERO OMA</v>
          </cell>
          <cell r="F2595" t="str">
            <v>BRIDGE</v>
          </cell>
          <cell r="G2595">
            <v>0</v>
          </cell>
          <cell r="H2595" t="str">
            <v>AZUL</v>
          </cell>
          <cell r="I2595" t="str">
            <v>U</v>
          </cell>
          <cell r="J2595" t="str">
            <v>U</v>
          </cell>
        </row>
        <row r="2596">
          <cell r="B2596" t="str">
            <v>MC020040310</v>
          </cell>
          <cell r="C2596" t="str">
            <v>MARRO CHICA</v>
          </cell>
          <cell r="D2596" t="str">
            <v>TARJETERO</v>
          </cell>
          <cell r="E2596" t="str">
            <v>TARJETERO OMA</v>
          </cell>
          <cell r="F2596" t="str">
            <v>BRIDGE</v>
          </cell>
          <cell r="G2596">
            <v>0</v>
          </cell>
          <cell r="H2596" t="str">
            <v>VERDE</v>
          </cell>
          <cell r="I2596" t="str">
            <v>U</v>
          </cell>
          <cell r="J2596" t="str">
            <v>U</v>
          </cell>
        </row>
        <row r="2597">
          <cell r="B2597" t="str">
            <v>MC020040312</v>
          </cell>
          <cell r="C2597" t="str">
            <v>MARRO CHICA</v>
          </cell>
          <cell r="D2597" t="str">
            <v>TARJETERO</v>
          </cell>
          <cell r="E2597" t="str">
            <v>TARJETERO OMA</v>
          </cell>
          <cell r="F2597" t="str">
            <v>BRIDGE</v>
          </cell>
          <cell r="G2597">
            <v>0</v>
          </cell>
          <cell r="H2597" t="str">
            <v>GRIS</v>
          </cell>
          <cell r="I2597" t="str">
            <v>U</v>
          </cell>
          <cell r="J2597" t="str">
            <v>U</v>
          </cell>
        </row>
        <row r="2598">
          <cell r="B2598" t="str">
            <v>MC020040401</v>
          </cell>
          <cell r="C2598" t="str">
            <v>MARRO CHICA</v>
          </cell>
          <cell r="D2598" t="str">
            <v>TARJETERO</v>
          </cell>
          <cell r="E2598" t="str">
            <v>TARJETERO OMA</v>
          </cell>
          <cell r="F2598" t="str">
            <v>VAQUETA</v>
          </cell>
          <cell r="G2598">
            <v>0</v>
          </cell>
          <cell r="H2598" t="str">
            <v>NEGRO</v>
          </cell>
          <cell r="I2598" t="str">
            <v>U</v>
          </cell>
          <cell r="J2598" t="str">
            <v>U</v>
          </cell>
        </row>
        <row r="2599">
          <cell r="B2599" t="str">
            <v>MC020040402</v>
          </cell>
          <cell r="C2599" t="str">
            <v>MARRO CHICA</v>
          </cell>
          <cell r="D2599" t="str">
            <v>TARJETERO</v>
          </cell>
          <cell r="E2599" t="str">
            <v>TARJETERO OMA</v>
          </cell>
          <cell r="F2599" t="str">
            <v>VAQUETA</v>
          </cell>
          <cell r="G2599">
            <v>0</v>
          </cell>
          <cell r="H2599" t="str">
            <v>SUELA</v>
          </cell>
          <cell r="I2599" t="str">
            <v>U</v>
          </cell>
          <cell r="J2599" t="str">
            <v>U</v>
          </cell>
        </row>
        <row r="2600">
          <cell r="B2600" t="str">
            <v>MC020040405</v>
          </cell>
          <cell r="C2600" t="str">
            <v>MARRO CHICA</v>
          </cell>
          <cell r="D2600" t="str">
            <v>TARJETERO</v>
          </cell>
          <cell r="E2600" t="str">
            <v>TARJETERO OMA</v>
          </cell>
          <cell r="F2600" t="str">
            <v>VAQUETA</v>
          </cell>
          <cell r="G2600">
            <v>0</v>
          </cell>
          <cell r="H2600" t="str">
            <v>LONDON</v>
          </cell>
          <cell r="I2600" t="str">
            <v>U</v>
          </cell>
          <cell r="J2600" t="str">
            <v>U</v>
          </cell>
        </row>
        <row r="2601">
          <cell r="B2601" t="str">
            <v>MC020040703</v>
          </cell>
          <cell r="C2601" t="str">
            <v>MARRO CHICA</v>
          </cell>
          <cell r="D2601" t="str">
            <v>TARJETERO</v>
          </cell>
          <cell r="E2601" t="str">
            <v>TARJETERO OMA</v>
          </cell>
          <cell r="F2601" t="str">
            <v>IGUANA</v>
          </cell>
          <cell r="G2601">
            <v>0</v>
          </cell>
          <cell r="H2601" t="str">
            <v>CARAMELO</v>
          </cell>
          <cell r="I2601" t="str">
            <v>U</v>
          </cell>
          <cell r="J2601" t="str">
            <v>U</v>
          </cell>
        </row>
        <row r="2602">
          <cell r="B2602" t="str">
            <v>MC020500301</v>
          </cell>
          <cell r="C2602" t="str">
            <v>MARRO CHICA</v>
          </cell>
          <cell r="D2602" t="str">
            <v>MONEDERO</v>
          </cell>
          <cell r="E2602" t="str">
            <v>TARJETERO PISCIS</v>
          </cell>
          <cell r="F2602" t="str">
            <v>BRIDGE</v>
          </cell>
          <cell r="G2602">
            <v>0</v>
          </cell>
          <cell r="H2602" t="str">
            <v>NEGRO</v>
          </cell>
          <cell r="I2602" t="str">
            <v>U</v>
          </cell>
          <cell r="J2602" t="str">
            <v>U</v>
          </cell>
        </row>
        <row r="2603">
          <cell r="B2603" t="str">
            <v>MC020500302</v>
          </cell>
          <cell r="C2603" t="str">
            <v>MARRO CHICA</v>
          </cell>
          <cell r="D2603" t="str">
            <v>MONEDERO</v>
          </cell>
          <cell r="E2603" t="str">
            <v>TARJETERO PISCIS</v>
          </cell>
          <cell r="F2603" t="str">
            <v>BRIDGE NAPO</v>
          </cell>
          <cell r="G2603">
            <v>0</v>
          </cell>
          <cell r="H2603" t="str">
            <v>SUELA</v>
          </cell>
          <cell r="I2603" t="str">
            <v>U</v>
          </cell>
          <cell r="J2603" t="str">
            <v>U</v>
          </cell>
        </row>
        <row r="2604">
          <cell r="B2604" t="str">
            <v>MC020500303</v>
          </cell>
          <cell r="C2604" t="str">
            <v>MARRO CHICA</v>
          </cell>
          <cell r="D2604" t="str">
            <v>MONEDERO</v>
          </cell>
          <cell r="E2604" t="str">
            <v>TARJETERO PISCIS</v>
          </cell>
          <cell r="F2604" t="str">
            <v>BRIDGE</v>
          </cell>
          <cell r="G2604">
            <v>0</v>
          </cell>
          <cell r="H2604" t="str">
            <v>CARAMELO</v>
          </cell>
          <cell r="I2604" t="str">
            <v>U</v>
          </cell>
          <cell r="J2604" t="str">
            <v>U</v>
          </cell>
        </row>
        <row r="2605">
          <cell r="B2605" t="str">
            <v>MC020500307</v>
          </cell>
          <cell r="C2605" t="str">
            <v>MARRO CHICA</v>
          </cell>
          <cell r="D2605" t="str">
            <v>MONEDERO</v>
          </cell>
          <cell r="E2605" t="str">
            <v>TARJETERO PISCIS</v>
          </cell>
          <cell r="F2605" t="str">
            <v>BRIDGE</v>
          </cell>
          <cell r="G2605">
            <v>0</v>
          </cell>
          <cell r="H2605" t="str">
            <v>ROJO</v>
          </cell>
          <cell r="I2605" t="str">
            <v>U</v>
          </cell>
          <cell r="J2605" t="str">
            <v>U</v>
          </cell>
        </row>
        <row r="2606">
          <cell r="B2606" t="str">
            <v>MC020500304</v>
          </cell>
          <cell r="C2606" t="str">
            <v>MARRO CHICA</v>
          </cell>
          <cell r="D2606" t="str">
            <v>MONEDERO</v>
          </cell>
          <cell r="E2606" t="str">
            <v>TARJETERO PISCIS</v>
          </cell>
          <cell r="F2606" t="str">
            <v>BRIDGE</v>
          </cell>
          <cell r="G2606">
            <v>0</v>
          </cell>
          <cell r="H2606" t="str">
            <v>TABACO</v>
          </cell>
          <cell r="I2606" t="str">
            <v>U</v>
          </cell>
          <cell r="J2606" t="str">
            <v>U</v>
          </cell>
        </row>
        <row r="2607">
          <cell r="B2607" t="str">
            <v>MC020500309</v>
          </cell>
          <cell r="C2607" t="str">
            <v>MARRO CHICA</v>
          </cell>
          <cell r="D2607" t="str">
            <v>MONEDERO</v>
          </cell>
          <cell r="E2607" t="str">
            <v>TARJETERO PISCIS</v>
          </cell>
          <cell r="F2607" t="str">
            <v>BRIDGE</v>
          </cell>
          <cell r="G2607">
            <v>0</v>
          </cell>
          <cell r="H2607" t="str">
            <v>AZUL</v>
          </cell>
          <cell r="I2607" t="str">
            <v>U</v>
          </cell>
          <cell r="J2607" t="str">
            <v>U</v>
          </cell>
        </row>
        <row r="2608">
          <cell r="B2608" t="str">
            <v>MC020500310</v>
          </cell>
          <cell r="C2608" t="str">
            <v>MARRO CHICA</v>
          </cell>
          <cell r="D2608" t="str">
            <v>MONEDERO</v>
          </cell>
          <cell r="E2608" t="str">
            <v>TARJETERO PISCIS</v>
          </cell>
          <cell r="F2608" t="str">
            <v>BRIDGE</v>
          </cell>
          <cell r="G2608">
            <v>0</v>
          </cell>
          <cell r="H2608" t="str">
            <v>VERDE</v>
          </cell>
          <cell r="I2608" t="str">
            <v>U</v>
          </cell>
          <cell r="J2608" t="str">
            <v>U</v>
          </cell>
        </row>
        <row r="2609">
          <cell r="B2609" t="str">
            <v>MC020501623</v>
          </cell>
          <cell r="C2609" t="str">
            <v>MARRO CHICA</v>
          </cell>
          <cell r="D2609" t="str">
            <v>MONEDERO</v>
          </cell>
          <cell r="E2609" t="str">
            <v>TARJETERO PISCIS</v>
          </cell>
          <cell r="F2609" t="str">
            <v>FIORENTINO</v>
          </cell>
          <cell r="G2609">
            <v>0</v>
          </cell>
          <cell r="H2609" t="str">
            <v>CEDRO</v>
          </cell>
          <cell r="I2609" t="str">
            <v>U</v>
          </cell>
          <cell r="J2609" t="str">
            <v>U</v>
          </cell>
        </row>
        <row r="2610">
          <cell r="B2610" t="str">
            <v>MC020500312</v>
          </cell>
          <cell r="C2610" t="str">
            <v>MARRO CHICA</v>
          </cell>
          <cell r="D2610" t="str">
            <v>MONEDERO</v>
          </cell>
          <cell r="E2610" t="str">
            <v>TARJETERO PISCIS</v>
          </cell>
          <cell r="F2610" t="str">
            <v>BRIDGE</v>
          </cell>
          <cell r="G2610">
            <v>0</v>
          </cell>
          <cell r="H2610" t="str">
            <v>GRIS</v>
          </cell>
          <cell r="I2610" t="str">
            <v>U</v>
          </cell>
          <cell r="J2610" t="str">
            <v>U</v>
          </cell>
        </row>
        <row r="2611">
          <cell r="B2611" t="str">
            <v>MC020060101</v>
          </cell>
          <cell r="C2611" t="str">
            <v>MARRO CHICA</v>
          </cell>
          <cell r="D2611" t="str">
            <v>TARJETERO</v>
          </cell>
          <cell r="E2611" t="str">
            <v>TARJETERO ROMA</v>
          </cell>
          <cell r="F2611" t="str">
            <v>NAPADO</v>
          </cell>
          <cell r="G2611">
            <v>0</v>
          </cell>
          <cell r="H2611" t="str">
            <v>NEGRO</v>
          </cell>
          <cell r="I2611" t="str">
            <v>U</v>
          </cell>
          <cell r="J2611" t="str">
            <v>U</v>
          </cell>
        </row>
        <row r="2612">
          <cell r="B2612" t="str">
            <v>MC020060102</v>
          </cell>
          <cell r="C2612" t="str">
            <v>MARRO CHICA</v>
          </cell>
          <cell r="D2612" t="str">
            <v>TARJETERO</v>
          </cell>
          <cell r="E2612" t="str">
            <v>TARJETERO ROMA</v>
          </cell>
          <cell r="F2612" t="str">
            <v>NAPADO</v>
          </cell>
          <cell r="G2612">
            <v>0</v>
          </cell>
          <cell r="H2612" t="str">
            <v>SUELA</v>
          </cell>
          <cell r="I2612" t="str">
            <v>U</v>
          </cell>
          <cell r="J2612" t="str">
            <v>U</v>
          </cell>
        </row>
        <row r="2613">
          <cell r="B2613" t="str">
            <v>MC020060107</v>
          </cell>
          <cell r="C2613" t="str">
            <v>MARRO CHICA</v>
          </cell>
          <cell r="D2613" t="str">
            <v>TARJETERO</v>
          </cell>
          <cell r="E2613" t="str">
            <v>TARJETERO ROMA</v>
          </cell>
          <cell r="F2613" t="str">
            <v>NAPADO</v>
          </cell>
          <cell r="G2613">
            <v>0</v>
          </cell>
          <cell r="H2613" t="str">
            <v>ROJO</v>
          </cell>
          <cell r="I2613" t="str">
            <v>U</v>
          </cell>
          <cell r="J2613" t="str">
            <v>U</v>
          </cell>
        </row>
        <row r="2614">
          <cell r="B2614" t="str">
            <v>MC020060115</v>
          </cell>
          <cell r="C2614" t="str">
            <v>MARRO CHICA</v>
          </cell>
          <cell r="D2614" t="str">
            <v>TARJETERO</v>
          </cell>
          <cell r="E2614" t="str">
            <v>TARJETERO ROMA</v>
          </cell>
          <cell r="F2614" t="str">
            <v>NAPADO</v>
          </cell>
          <cell r="G2614">
            <v>0</v>
          </cell>
          <cell r="H2614" t="str">
            <v>MALBEC</v>
          </cell>
          <cell r="I2614" t="str">
            <v>U</v>
          </cell>
          <cell r="J2614" t="str">
            <v>U</v>
          </cell>
        </row>
        <row r="2615">
          <cell r="B2615" t="str">
            <v>MC020060201</v>
          </cell>
          <cell r="C2615" t="str">
            <v>MARRO CHICA</v>
          </cell>
          <cell r="D2615" t="str">
            <v>TARJETERO</v>
          </cell>
          <cell r="E2615" t="str">
            <v>TARJETERO ROMA</v>
          </cell>
          <cell r="F2615" t="str">
            <v>TAMPONATO</v>
          </cell>
          <cell r="G2615">
            <v>0</v>
          </cell>
          <cell r="H2615" t="str">
            <v>NEGRO</v>
          </cell>
          <cell r="I2615" t="str">
            <v>U</v>
          </cell>
          <cell r="J2615" t="str">
            <v>U</v>
          </cell>
        </row>
        <row r="2616">
          <cell r="B2616" t="str">
            <v>MC020060202</v>
          </cell>
          <cell r="C2616" t="str">
            <v>MARRO CHICA</v>
          </cell>
          <cell r="D2616" t="str">
            <v>TARJETERO</v>
          </cell>
          <cell r="E2616" t="str">
            <v>TARJETERO ROMA</v>
          </cell>
          <cell r="F2616" t="str">
            <v>TAMPONATO</v>
          </cell>
          <cell r="G2616">
            <v>0</v>
          </cell>
          <cell r="H2616" t="str">
            <v>SUELA</v>
          </cell>
          <cell r="I2616" t="str">
            <v>U</v>
          </cell>
          <cell r="J2616" t="str">
            <v>U</v>
          </cell>
        </row>
        <row r="2617">
          <cell r="B2617" t="str">
            <v>MC020060301</v>
          </cell>
          <cell r="C2617" t="str">
            <v>MARRO CHICA</v>
          </cell>
          <cell r="D2617" t="str">
            <v>TARJETERO</v>
          </cell>
          <cell r="E2617" t="str">
            <v>TARJETERO ROMA</v>
          </cell>
          <cell r="F2617" t="str">
            <v>BRIDGE</v>
          </cell>
          <cell r="G2617">
            <v>0</v>
          </cell>
          <cell r="H2617" t="str">
            <v>NEGRO</v>
          </cell>
          <cell r="I2617" t="str">
            <v>U</v>
          </cell>
          <cell r="J2617" t="str">
            <v>U</v>
          </cell>
        </row>
        <row r="2618">
          <cell r="B2618" t="str">
            <v>MC020060303</v>
          </cell>
          <cell r="C2618" t="str">
            <v>MARRO CHICA</v>
          </cell>
          <cell r="D2618" t="str">
            <v>TARJETERO</v>
          </cell>
          <cell r="E2618" t="str">
            <v>TARJETERO ROMA</v>
          </cell>
          <cell r="F2618" t="str">
            <v>BRIDGE</v>
          </cell>
          <cell r="G2618">
            <v>0</v>
          </cell>
          <cell r="H2618" t="str">
            <v>CARAMELO</v>
          </cell>
          <cell r="I2618" t="str">
            <v>U</v>
          </cell>
          <cell r="J2618" t="str">
            <v>U</v>
          </cell>
        </row>
        <row r="2619">
          <cell r="B2619" t="str">
            <v>MC020060304</v>
          </cell>
          <cell r="C2619" t="str">
            <v>MARRO CHICA</v>
          </cell>
          <cell r="D2619" t="str">
            <v>TARJETERO</v>
          </cell>
          <cell r="E2619" t="str">
            <v>TARJETERO ROMA</v>
          </cell>
          <cell r="F2619" t="str">
            <v>BRIDGE</v>
          </cell>
          <cell r="G2619">
            <v>0</v>
          </cell>
          <cell r="H2619" t="str">
            <v>TABACO</v>
          </cell>
          <cell r="I2619" t="str">
            <v>U</v>
          </cell>
          <cell r="J2619" t="str">
            <v>U</v>
          </cell>
        </row>
        <row r="2620">
          <cell r="B2620" t="str">
            <v>MC020060352</v>
          </cell>
          <cell r="C2620" t="str">
            <v>MARRO CHICA</v>
          </cell>
          <cell r="D2620" t="str">
            <v>TARJETERO</v>
          </cell>
          <cell r="E2620" t="str">
            <v>TARJETERO ROMA</v>
          </cell>
          <cell r="F2620" t="str">
            <v>BRIDGE</v>
          </cell>
          <cell r="G2620">
            <v>0</v>
          </cell>
          <cell r="H2620" t="str">
            <v>CHOCOLATE</v>
          </cell>
          <cell r="I2620" t="str">
            <v>U</v>
          </cell>
          <cell r="J2620" t="str">
            <v>U</v>
          </cell>
        </row>
        <row r="2621">
          <cell r="B2621" t="str">
            <v>MC020060401</v>
          </cell>
          <cell r="C2621" t="str">
            <v>MARRO CHICA</v>
          </cell>
          <cell r="D2621" t="str">
            <v>TARJETERO</v>
          </cell>
          <cell r="E2621" t="str">
            <v>TARJETERO ROMA</v>
          </cell>
          <cell r="F2621" t="str">
            <v>VAQUETA</v>
          </cell>
          <cell r="G2621">
            <v>0</v>
          </cell>
          <cell r="H2621" t="str">
            <v>NEGRO</v>
          </cell>
          <cell r="I2621" t="str">
            <v>U</v>
          </cell>
          <cell r="J2621" t="str">
            <v>U</v>
          </cell>
        </row>
        <row r="2622">
          <cell r="B2622" t="str">
            <v>MC020060402</v>
          </cell>
          <cell r="C2622" t="str">
            <v>MARRO CHICA</v>
          </cell>
          <cell r="D2622" t="str">
            <v>TARJETERO</v>
          </cell>
          <cell r="E2622" t="str">
            <v>TARJETERO ROMA</v>
          </cell>
          <cell r="F2622" t="str">
            <v>VAQUETA</v>
          </cell>
          <cell r="G2622">
            <v>0</v>
          </cell>
          <cell r="H2622" t="str">
            <v>SUELA</v>
          </cell>
          <cell r="I2622" t="str">
            <v>U</v>
          </cell>
          <cell r="J2622" t="str">
            <v>U</v>
          </cell>
        </row>
        <row r="2623">
          <cell r="B2623" t="str">
            <v>MC020060405</v>
          </cell>
          <cell r="C2623" t="str">
            <v>MARRO CHICA</v>
          </cell>
          <cell r="D2623" t="str">
            <v>TARJETERO</v>
          </cell>
          <cell r="E2623" t="str">
            <v>TARJETERO ROMA</v>
          </cell>
          <cell r="F2623" t="str">
            <v>VAQUETA</v>
          </cell>
          <cell r="G2623">
            <v>0</v>
          </cell>
          <cell r="H2623" t="str">
            <v>LONDON</v>
          </cell>
          <cell r="I2623" t="str">
            <v>U</v>
          </cell>
          <cell r="J2623" t="str">
            <v>U</v>
          </cell>
        </row>
        <row r="2624">
          <cell r="B2624" t="str">
            <v>MC020061201</v>
          </cell>
          <cell r="C2624" t="str">
            <v>MARRO CHICA</v>
          </cell>
          <cell r="D2624" t="str">
            <v>TARJETERO</v>
          </cell>
          <cell r="E2624" t="str">
            <v>TARJETERO ROMA</v>
          </cell>
          <cell r="F2624" t="str">
            <v>DUNA</v>
          </cell>
          <cell r="G2624">
            <v>0</v>
          </cell>
          <cell r="H2624" t="str">
            <v>NEGRO</v>
          </cell>
          <cell r="I2624" t="str">
            <v>U</v>
          </cell>
          <cell r="J2624" t="str">
            <v>U</v>
          </cell>
        </row>
        <row r="2625">
          <cell r="B2625" t="str">
            <v>MC020270109</v>
          </cell>
          <cell r="C2625" t="str">
            <v>MARRO CHICA</v>
          </cell>
          <cell r="D2625" t="str">
            <v>TARJETERO</v>
          </cell>
          <cell r="E2625" t="str">
            <v>TARJETERO RUBI</v>
          </cell>
          <cell r="F2625" t="str">
            <v>NAPADO</v>
          </cell>
          <cell r="G2625">
            <v>0</v>
          </cell>
          <cell r="H2625" t="str">
            <v>AZUL</v>
          </cell>
          <cell r="I2625" t="str">
            <v>U</v>
          </cell>
          <cell r="J2625" t="str">
            <v>M</v>
          </cell>
        </row>
        <row r="2626">
          <cell r="B2626" t="str">
            <v>MC020270301</v>
          </cell>
          <cell r="C2626" t="str">
            <v>MARRO CHICA</v>
          </cell>
          <cell r="D2626" t="str">
            <v>TARJETERO</v>
          </cell>
          <cell r="E2626" t="str">
            <v>TARJETERO RUBI</v>
          </cell>
          <cell r="F2626" t="str">
            <v>BRIDGE</v>
          </cell>
          <cell r="G2626">
            <v>0</v>
          </cell>
          <cell r="H2626" t="str">
            <v>NEGRO</v>
          </cell>
          <cell r="I2626" t="str">
            <v>U</v>
          </cell>
          <cell r="J2626" t="str">
            <v>M</v>
          </cell>
        </row>
        <row r="2627">
          <cell r="B2627" t="str">
            <v>MC020270303</v>
          </cell>
          <cell r="C2627" t="str">
            <v>MARRO CHICA</v>
          </cell>
          <cell r="D2627" t="str">
            <v>TARJETERO</v>
          </cell>
          <cell r="E2627" t="str">
            <v>TARJETERO RUBI</v>
          </cell>
          <cell r="F2627" t="str">
            <v>BRIDGE</v>
          </cell>
          <cell r="G2627">
            <v>0</v>
          </cell>
          <cell r="H2627" t="str">
            <v>CARAMELO</v>
          </cell>
          <cell r="I2627" t="str">
            <v>U</v>
          </cell>
          <cell r="J2627" t="str">
            <v>M</v>
          </cell>
        </row>
        <row r="2628">
          <cell r="B2628" t="str">
            <v>MC020270304</v>
          </cell>
          <cell r="C2628" t="str">
            <v>MARRO CHICA</v>
          </cell>
          <cell r="D2628" t="str">
            <v>TARJETERO</v>
          </cell>
          <cell r="E2628" t="str">
            <v>TARJETERO RUBI</v>
          </cell>
          <cell r="F2628" t="str">
            <v>BRIDGE</v>
          </cell>
          <cell r="G2628">
            <v>0</v>
          </cell>
          <cell r="H2628" t="str">
            <v>TABACO</v>
          </cell>
          <cell r="I2628" t="str">
            <v>U</v>
          </cell>
          <cell r="J2628" t="str">
            <v>M</v>
          </cell>
        </row>
        <row r="2629">
          <cell r="B2629" t="str">
            <v>MC020270307</v>
          </cell>
          <cell r="C2629" t="str">
            <v>MARRO CHICA</v>
          </cell>
          <cell r="D2629" t="str">
            <v>TARJETERO</v>
          </cell>
          <cell r="E2629" t="str">
            <v>TARJETERO RUBI</v>
          </cell>
          <cell r="F2629" t="str">
            <v>BRIDGE</v>
          </cell>
          <cell r="G2629">
            <v>0</v>
          </cell>
          <cell r="H2629" t="str">
            <v>ROJO</v>
          </cell>
          <cell r="I2629" t="str">
            <v>U</v>
          </cell>
          <cell r="J2629" t="str">
            <v>M</v>
          </cell>
        </row>
        <row r="2630">
          <cell r="B2630" t="str">
            <v>MC020270309</v>
          </cell>
          <cell r="C2630" t="str">
            <v>MARRO CHICA</v>
          </cell>
          <cell r="D2630" t="str">
            <v>TARJETERO</v>
          </cell>
          <cell r="E2630" t="str">
            <v>TARJETERO RUBI</v>
          </cell>
          <cell r="F2630" t="str">
            <v>BRIDGE</v>
          </cell>
          <cell r="G2630">
            <v>0</v>
          </cell>
          <cell r="H2630" t="str">
            <v>AZUL</v>
          </cell>
          <cell r="I2630" t="str">
            <v>U</v>
          </cell>
          <cell r="J2630" t="str">
            <v>M</v>
          </cell>
        </row>
        <row r="2631">
          <cell r="B2631" t="str">
            <v>MC020270310</v>
          </cell>
          <cell r="C2631" t="str">
            <v>MARRO CHICA</v>
          </cell>
          <cell r="D2631" t="str">
            <v>TARJETERO</v>
          </cell>
          <cell r="E2631" t="str">
            <v>TARJETERO RUBI</v>
          </cell>
          <cell r="F2631" t="str">
            <v>BRIDGE</v>
          </cell>
          <cell r="G2631">
            <v>0</v>
          </cell>
          <cell r="H2631" t="str">
            <v>VERDE</v>
          </cell>
          <cell r="I2631" t="str">
            <v>U</v>
          </cell>
          <cell r="J2631" t="str">
            <v>M</v>
          </cell>
        </row>
        <row r="2632">
          <cell r="B2632" t="str">
            <v>MC020270315</v>
          </cell>
          <cell r="C2632" t="str">
            <v>MARRO CHICA</v>
          </cell>
          <cell r="D2632" t="str">
            <v>TARJETERO</v>
          </cell>
          <cell r="E2632" t="str">
            <v>TARJETERO RUBI</v>
          </cell>
          <cell r="F2632" t="str">
            <v>BRIDGE</v>
          </cell>
          <cell r="G2632">
            <v>0</v>
          </cell>
          <cell r="H2632" t="str">
            <v>MALBEC</v>
          </cell>
          <cell r="I2632" t="str">
            <v>U</v>
          </cell>
          <cell r="J2632" t="str">
            <v>M</v>
          </cell>
        </row>
        <row r="2633">
          <cell r="B2633" t="str">
            <v>MC020270402</v>
          </cell>
          <cell r="C2633" t="str">
            <v>MARRO CHICA</v>
          </cell>
          <cell r="D2633" t="str">
            <v>TARJETERO</v>
          </cell>
          <cell r="E2633" t="str">
            <v>TARJETERO RUBI</v>
          </cell>
          <cell r="F2633" t="str">
            <v>VAQUETA</v>
          </cell>
          <cell r="G2633">
            <v>0</v>
          </cell>
          <cell r="H2633" t="str">
            <v>SUELA</v>
          </cell>
          <cell r="I2633" t="str">
            <v>U</v>
          </cell>
          <cell r="J2633" t="str">
            <v>M</v>
          </cell>
        </row>
        <row r="2634">
          <cell r="B2634" t="str">
            <v>MC020270405</v>
          </cell>
          <cell r="C2634" t="str">
            <v>MARRO CHICA</v>
          </cell>
          <cell r="D2634" t="str">
            <v>TARJETERO</v>
          </cell>
          <cell r="E2634" t="str">
            <v>TARJETERO RUBI</v>
          </cell>
          <cell r="F2634" t="str">
            <v>VAQUETA</v>
          </cell>
          <cell r="G2634">
            <v>0</v>
          </cell>
          <cell r="H2634" t="str">
            <v>LONDON</v>
          </cell>
          <cell r="I2634" t="str">
            <v>U</v>
          </cell>
          <cell r="J2634" t="str">
            <v>M</v>
          </cell>
        </row>
        <row r="2635">
          <cell r="B2635" t="str">
            <v>MC020270701</v>
          </cell>
          <cell r="C2635" t="str">
            <v>MARRO CHICA</v>
          </cell>
          <cell r="D2635" t="str">
            <v>TARJETERO</v>
          </cell>
          <cell r="E2635" t="str">
            <v>TARJETERO RUBI</v>
          </cell>
          <cell r="F2635" t="str">
            <v>IGUANA</v>
          </cell>
          <cell r="G2635">
            <v>0</v>
          </cell>
          <cell r="H2635" t="str">
            <v>NEGRO</v>
          </cell>
          <cell r="I2635" t="str">
            <v>U</v>
          </cell>
          <cell r="J2635" t="str">
            <v>M</v>
          </cell>
        </row>
        <row r="2636">
          <cell r="B2636" t="str">
            <v>MC020270703</v>
          </cell>
          <cell r="C2636" t="str">
            <v>MARRO CHICA</v>
          </cell>
          <cell r="D2636" t="str">
            <v>TARJETERO</v>
          </cell>
          <cell r="E2636" t="str">
            <v>TARJETERO RUBI</v>
          </cell>
          <cell r="F2636" t="str">
            <v>IGUANA</v>
          </cell>
          <cell r="G2636">
            <v>0</v>
          </cell>
          <cell r="H2636" t="str">
            <v>CARAMELO</v>
          </cell>
          <cell r="I2636" t="str">
            <v>U</v>
          </cell>
          <cell r="J2636" t="str">
            <v>M</v>
          </cell>
        </row>
        <row r="2637">
          <cell r="B2637" t="str">
            <v>MC020270705</v>
          </cell>
          <cell r="C2637" t="str">
            <v>MARRO CHICA</v>
          </cell>
          <cell r="D2637" t="str">
            <v>TARJETERO</v>
          </cell>
          <cell r="E2637" t="str">
            <v>TARJETERO RUBI</v>
          </cell>
          <cell r="F2637" t="str">
            <v>IGUANA</v>
          </cell>
          <cell r="G2637">
            <v>0</v>
          </cell>
          <cell r="H2637" t="str">
            <v>LONDON</v>
          </cell>
          <cell r="I2637" t="str">
            <v>U</v>
          </cell>
          <cell r="J2637" t="str">
            <v>M</v>
          </cell>
        </row>
        <row r="2638">
          <cell r="B2638" t="str">
            <v>MC020270707</v>
          </cell>
          <cell r="C2638" t="str">
            <v>MARRO CHICA</v>
          </cell>
          <cell r="D2638" t="str">
            <v>TARJETERO</v>
          </cell>
          <cell r="E2638" t="str">
            <v>TARJETERO RUBI</v>
          </cell>
          <cell r="F2638" t="str">
            <v>IGUANA</v>
          </cell>
          <cell r="G2638">
            <v>0</v>
          </cell>
          <cell r="H2638" t="str">
            <v>ROJO</v>
          </cell>
          <cell r="I2638" t="str">
            <v>U</v>
          </cell>
          <cell r="J2638" t="str">
            <v>M</v>
          </cell>
        </row>
        <row r="2639">
          <cell r="B2639" t="str">
            <v>MC020270709</v>
          </cell>
          <cell r="C2639" t="str">
            <v>MARRO CHICA</v>
          </cell>
          <cell r="D2639" t="str">
            <v>TARJETERO</v>
          </cell>
          <cell r="E2639" t="str">
            <v>TARJETERO RUBI</v>
          </cell>
          <cell r="F2639" t="str">
            <v>IGUANA</v>
          </cell>
          <cell r="G2639">
            <v>0</v>
          </cell>
          <cell r="H2639" t="str">
            <v>AZUL</v>
          </cell>
          <cell r="I2639" t="str">
            <v>U</v>
          </cell>
          <cell r="J2639" t="str">
            <v>M</v>
          </cell>
        </row>
        <row r="2640">
          <cell r="B2640" t="str">
            <v>MC020270710</v>
          </cell>
          <cell r="C2640" t="str">
            <v>MARRO CHICA</v>
          </cell>
          <cell r="D2640" t="str">
            <v>TARJETERO</v>
          </cell>
          <cell r="E2640" t="str">
            <v>TARJETERO RUBI</v>
          </cell>
          <cell r="F2640" t="str">
            <v>IGUANA</v>
          </cell>
          <cell r="G2640">
            <v>0</v>
          </cell>
          <cell r="H2640" t="str">
            <v>VERDE</v>
          </cell>
          <cell r="I2640" t="str">
            <v>U</v>
          </cell>
          <cell r="J2640" t="str">
            <v>M</v>
          </cell>
        </row>
        <row r="2641">
          <cell r="B2641" t="str">
            <v>MC020271201</v>
          </cell>
          <cell r="C2641" t="str">
            <v>MARRO CHICA</v>
          </cell>
          <cell r="D2641" t="str">
            <v>TARJETERO</v>
          </cell>
          <cell r="E2641" t="str">
            <v>TARJETERO RUBI</v>
          </cell>
          <cell r="F2641" t="str">
            <v>DUNA</v>
          </cell>
          <cell r="G2641">
            <v>0</v>
          </cell>
          <cell r="H2641" t="str">
            <v>NEGRO</v>
          </cell>
          <cell r="I2641" t="str">
            <v>U</v>
          </cell>
          <cell r="J2641" t="str">
            <v>M</v>
          </cell>
        </row>
        <row r="2642">
          <cell r="B2642" t="str">
            <v>MC020271623</v>
          </cell>
          <cell r="C2642" t="str">
            <v>MARRO CHICA</v>
          </cell>
          <cell r="D2642" t="str">
            <v>TARJETERO</v>
          </cell>
          <cell r="E2642" t="str">
            <v>TARJETERO RUBI</v>
          </cell>
          <cell r="F2642" t="str">
            <v>FIORENTINO</v>
          </cell>
          <cell r="G2642">
            <v>0</v>
          </cell>
          <cell r="H2642" t="str">
            <v>CEDRO</v>
          </cell>
          <cell r="I2642" t="str">
            <v>U</v>
          </cell>
          <cell r="J2642" t="str">
            <v>M</v>
          </cell>
        </row>
        <row r="2643">
          <cell r="B2643" t="str">
            <v>MC020271904</v>
          </cell>
          <cell r="C2643" t="str">
            <v>MARRO CHICA</v>
          </cell>
          <cell r="D2643" t="str">
            <v>TARJETERO</v>
          </cell>
          <cell r="E2643" t="str">
            <v>TARJETERO RUBI</v>
          </cell>
          <cell r="F2643" t="str">
            <v>MODENA</v>
          </cell>
          <cell r="G2643">
            <v>0</v>
          </cell>
          <cell r="H2643" t="str">
            <v>TABACO</v>
          </cell>
          <cell r="I2643" t="str">
            <v>U</v>
          </cell>
          <cell r="J2643" t="str">
            <v>M</v>
          </cell>
        </row>
        <row r="2644">
          <cell r="B2644" t="str">
            <v>MC020380301</v>
          </cell>
          <cell r="C2644" t="str">
            <v>MARRO CHICA</v>
          </cell>
          <cell r="D2644" t="str">
            <v>TARJETERO</v>
          </cell>
          <cell r="E2644" t="str">
            <v>TARJETERO VINCENT</v>
          </cell>
          <cell r="F2644" t="str">
            <v>BRIDGE</v>
          </cell>
          <cell r="G2644">
            <v>0</v>
          </cell>
          <cell r="H2644" t="str">
            <v>NEGRO</v>
          </cell>
          <cell r="I2644" t="str">
            <v>U</v>
          </cell>
          <cell r="J2644" t="str">
            <v>M</v>
          </cell>
        </row>
        <row r="2645">
          <cell r="B2645" t="str">
            <v>MC020380303</v>
          </cell>
          <cell r="C2645" t="str">
            <v>MARRO CHICA</v>
          </cell>
          <cell r="D2645" t="str">
            <v>TARJETERO</v>
          </cell>
          <cell r="E2645" t="str">
            <v>TARJETERO VINCENT</v>
          </cell>
          <cell r="F2645" t="str">
            <v>BRIDGE</v>
          </cell>
          <cell r="G2645">
            <v>0</v>
          </cell>
          <cell r="H2645" t="str">
            <v>CARAMELO</v>
          </cell>
          <cell r="I2645" t="str">
            <v>U</v>
          </cell>
          <cell r="J2645" t="str">
            <v>M</v>
          </cell>
        </row>
        <row r="2646">
          <cell r="B2646" t="str">
            <v>MC020380307</v>
          </cell>
          <cell r="C2646" t="str">
            <v>MARRO CHICA</v>
          </cell>
          <cell r="D2646" t="str">
            <v>TARJETERO</v>
          </cell>
          <cell r="E2646" t="str">
            <v>TARJETERO VINCENT</v>
          </cell>
          <cell r="F2646" t="str">
            <v>BRIDGE</v>
          </cell>
          <cell r="G2646">
            <v>0</v>
          </cell>
          <cell r="H2646" t="str">
            <v>ROJO</v>
          </cell>
          <cell r="I2646" t="str">
            <v>U</v>
          </cell>
          <cell r="J2646" t="str">
            <v>M</v>
          </cell>
        </row>
        <row r="2647">
          <cell r="B2647" t="str">
            <v>MC020380309</v>
          </cell>
          <cell r="C2647" t="str">
            <v>MARRO CHICA</v>
          </cell>
          <cell r="D2647" t="str">
            <v>TARJETERO</v>
          </cell>
          <cell r="E2647" t="str">
            <v>TARJETERO VINCENT</v>
          </cell>
          <cell r="F2647" t="str">
            <v>BRIDGE</v>
          </cell>
          <cell r="G2647">
            <v>0</v>
          </cell>
          <cell r="H2647" t="str">
            <v>AZUL</v>
          </cell>
          <cell r="I2647" t="str">
            <v>U</v>
          </cell>
          <cell r="J2647" t="str">
            <v>M</v>
          </cell>
        </row>
        <row r="2648">
          <cell r="B2648" t="str">
            <v>MC020380310</v>
          </cell>
          <cell r="C2648" t="str">
            <v>MARRO CHICA</v>
          </cell>
          <cell r="D2648" t="str">
            <v>TARJETERO</v>
          </cell>
          <cell r="E2648" t="str">
            <v>TARJETERO VINCENT</v>
          </cell>
          <cell r="F2648" t="str">
            <v>BRIDGE</v>
          </cell>
          <cell r="G2648">
            <v>0</v>
          </cell>
          <cell r="H2648" t="str">
            <v>VERDE</v>
          </cell>
          <cell r="I2648" t="str">
            <v>U</v>
          </cell>
          <cell r="J2648" t="str">
            <v>M</v>
          </cell>
        </row>
        <row r="2649">
          <cell r="B2649" t="str">
            <v>MC020380352</v>
          </cell>
          <cell r="C2649" t="str">
            <v>MARRO CHICA</v>
          </cell>
          <cell r="D2649" t="str">
            <v>TARJETERO</v>
          </cell>
          <cell r="E2649" t="str">
            <v>TARJETERO VINCENT</v>
          </cell>
          <cell r="F2649" t="str">
            <v>BRIDGE</v>
          </cell>
          <cell r="G2649">
            <v>0</v>
          </cell>
          <cell r="H2649" t="str">
            <v>CHOCOLATE</v>
          </cell>
          <cell r="I2649" t="str">
            <v>U</v>
          </cell>
          <cell r="J2649" t="str">
            <v>M</v>
          </cell>
        </row>
        <row r="2650">
          <cell r="B2650" t="str">
            <v>MC020380402</v>
          </cell>
          <cell r="C2650" t="str">
            <v>MARRO CHICA</v>
          </cell>
          <cell r="D2650" t="str">
            <v>TARJETERO</v>
          </cell>
          <cell r="E2650" t="str">
            <v>TARJETERO VINCENT</v>
          </cell>
          <cell r="F2650" t="str">
            <v>VAQUETA</v>
          </cell>
          <cell r="G2650">
            <v>0</v>
          </cell>
          <cell r="H2650" t="str">
            <v>SUELA</v>
          </cell>
          <cell r="I2650" t="str">
            <v>U</v>
          </cell>
          <cell r="J2650" t="str">
            <v>M</v>
          </cell>
        </row>
        <row r="2651">
          <cell r="B2651" t="str">
            <v>MC020380405</v>
          </cell>
          <cell r="C2651" t="str">
            <v>MARRO CHICA</v>
          </cell>
          <cell r="D2651" t="str">
            <v>TARJETERO</v>
          </cell>
          <cell r="E2651" t="str">
            <v>TARJETERO VINCENT</v>
          </cell>
          <cell r="F2651" t="str">
            <v>VAQUETA</v>
          </cell>
          <cell r="G2651">
            <v>0</v>
          </cell>
          <cell r="H2651" t="str">
            <v>LONDON</v>
          </cell>
          <cell r="I2651" t="str">
            <v>U</v>
          </cell>
          <cell r="J2651" t="str">
            <v>M</v>
          </cell>
        </row>
        <row r="2652">
          <cell r="B2652" t="str">
            <v>MC020380304</v>
          </cell>
          <cell r="C2652" t="str">
            <v>MARRO CHICA</v>
          </cell>
          <cell r="D2652" t="str">
            <v>TARJETERO</v>
          </cell>
          <cell r="E2652" t="str">
            <v xml:space="preserve">TARJETERO VINCENT </v>
          </cell>
          <cell r="F2652" t="str">
            <v>BRIDGE</v>
          </cell>
          <cell r="G2652">
            <v>0</v>
          </cell>
          <cell r="H2652" t="str">
            <v>TABACO</v>
          </cell>
          <cell r="I2652" t="str">
            <v>U</v>
          </cell>
          <cell r="J2652" t="str">
            <v>M</v>
          </cell>
        </row>
        <row r="2653">
          <cell r="B2653" t="str">
            <v>MG211083139</v>
          </cell>
          <cell r="C2653" t="str">
            <v>MARRO GRANDE</v>
          </cell>
          <cell r="D2653" t="str">
            <v>CARTERA</v>
          </cell>
          <cell r="E2653" t="str">
            <v>TOTE DELIA</v>
          </cell>
          <cell r="F2653" t="str">
            <v>PELO</v>
          </cell>
          <cell r="G2653">
            <v>0</v>
          </cell>
          <cell r="H2653" t="str">
            <v>HEREFORD</v>
          </cell>
          <cell r="I2653" t="str">
            <v>U</v>
          </cell>
          <cell r="J2653" t="str">
            <v>M</v>
          </cell>
        </row>
        <row r="2654">
          <cell r="B2654" t="str">
            <v>MG211083140</v>
          </cell>
          <cell r="C2654" t="str">
            <v>MARRO GRANDE</v>
          </cell>
          <cell r="D2654" t="str">
            <v xml:space="preserve">CARTERA </v>
          </cell>
          <cell r="E2654" t="str">
            <v>TOTE DELIA</v>
          </cell>
          <cell r="F2654" t="str">
            <v>PELO</v>
          </cell>
          <cell r="G2654">
            <v>0</v>
          </cell>
          <cell r="H2654" t="str">
            <v>HOLANDO</v>
          </cell>
          <cell r="I2654" t="str">
            <v>U</v>
          </cell>
          <cell r="J2654" t="str">
            <v>M</v>
          </cell>
        </row>
        <row r="2655">
          <cell r="B2655" t="str">
            <v>OT120460000</v>
          </cell>
          <cell r="C2655" t="str">
            <v>OTROS</v>
          </cell>
          <cell r="D2655" t="str">
            <v>OTROS</v>
          </cell>
          <cell r="E2655" t="str">
            <v>TOTE LUCERO GRANDE</v>
          </cell>
          <cell r="F2655" t="str">
            <v>LIENZO</v>
          </cell>
          <cell r="G2655">
            <v>0</v>
          </cell>
          <cell r="H2655" t="str">
            <v>CRUDO</v>
          </cell>
          <cell r="I2655" t="str">
            <v>U</v>
          </cell>
          <cell r="J2655" t="str">
            <v>U</v>
          </cell>
        </row>
        <row r="2656">
          <cell r="B2656" t="str">
            <v>OT120470000</v>
          </cell>
          <cell r="C2656" t="str">
            <v>OTROS</v>
          </cell>
          <cell r="D2656" t="str">
            <v>OTROS</v>
          </cell>
          <cell r="E2656" t="str">
            <v>TOTE LUCERO MEDIANO</v>
          </cell>
          <cell r="F2656" t="str">
            <v>LIENZO</v>
          </cell>
          <cell r="G2656">
            <v>0</v>
          </cell>
          <cell r="H2656" t="str">
            <v>CRUDO</v>
          </cell>
          <cell r="I2656" t="str">
            <v>U</v>
          </cell>
          <cell r="J2656" t="str">
            <v>U</v>
          </cell>
        </row>
        <row r="2657">
          <cell r="B2657" t="str">
            <v>CA170120001-39</v>
          </cell>
          <cell r="C2657" t="str">
            <v>CALZADO</v>
          </cell>
          <cell r="D2657" t="str">
            <v>ZAPATILLA</v>
          </cell>
          <cell r="E2657" t="str">
            <v>ZAPATILLA MATEO</v>
          </cell>
          <cell r="F2657" t="str">
            <v>CUERO</v>
          </cell>
          <cell r="G2657">
            <v>0</v>
          </cell>
          <cell r="H2657" t="str">
            <v>NEGRO</v>
          </cell>
          <cell r="I2657">
            <v>39</v>
          </cell>
          <cell r="J2657" t="str">
            <v>H</v>
          </cell>
        </row>
        <row r="2658">
          <cell r="B2658" t="str">
            <v>CA170120001-40</v>
          </cell>
          <cell r="C2658" t="str">
            <v>CALZADO</v>
          </cell>
          <cell r="D2658" t="str">
            <v>ZAPATILLA</v>
          </cell>
          <cell r="E2658" t="str">
            <v>ZAPATILLA MATEO</v>
          </cell>
          <cell r="F2658" t="str">
            <v>CUERO</v>
          </cell>
          <cell r="G2658">
            <v>0</v>
          </cell>
          <cell r="H2658" t="str">
            <v>NEGRO</v>
          </cell>
          <cell r="I2658">
            <v>40</v>
          </cell>
          <cell r="J2658" t="str">
            <v>H</v>
          </cell>
        </row>
        <row r="2659">
          <cell r="B2659" t="str">
            <v>CA170120001-41</v>
          </cell>
          <cell r="C2659" t="str">
            <v>CALZADO</v>
          </cell>
          <cell r="D2659" t="str">
            <v>ZAPATILLA</v>
          </cell>
          <cell r="E2659" t="str">
            <v>ZAPATILLA MATEO</v>
          </cell>
          <cell r="F2659" t="str">
            <v>CUERO</v>
          </cell>
          <cell r="G2659">
            <v>0</v>
          </cell>
          <cell r="H2659" t="str">
            <v>NEGRO</v>
          </cell>
          <cell r="I2659">
            <v>41</v>
          </cell>
          <cell r="J2659" t="str">
            <v>H</v>
          </cell>
        </row>
        <row r="2660">
          <cell r="B2660" t="str">
            <v>CA170120001-42</v>
          </cell>
          <cell r="C2660" t="str">
            <v>CALZADO</v>
          </cell>
          <cell r="D2660" t="str">
            <v>ZAPATILLA</v>
          </cell>
          <cell r="E2660" t="str">
            <v>ZAPATILLA MATEO</v>
          </cell>
          <cell r="F2660" t="str">
            <v>CUERO</v>
          </cell>
          <cell r="G2660">
            <v>0</v>
          </cell>
          <cell r="H2660" t="str">
            <v>NEGRO</v>
          </cell>
          <cell r="I2660">
            <v>42</v>
          </cell>
          <cell r="J2660" t="str">
            <v>H</v>
          </cell>
        </row>
        <row r="2661">
          <cell r="B2661" t="str">
            <v>CA170120001-43</v>
          </cell>
          <cell r="C2661" t="str">
            <v>CALZADO</v>
          </cell>
          <cell r="D2661" t="str">
            <v>ZAPATILLA</v>
          </cell>
          <cell r="E2661" t="str">
            <v>ZAPATILLA MATEO</v>
          </cell>
          <cell r="F2661" t="str">
            <v>CUERO</v>
          </cell>
          <cell r="G2661">
            <v>0</v>
          </cell>
          <cell r="H2661" t="str">
            <v>NEGRO</v>
          </cell>
          <cell r="I2661">
            <v>43</v>
          </cell>
          <cell r="J2661" t="str">
            <v>H</v>
          </cell>
        </row>
        <row r="2662">
          <cell r="B2662" t="str">
            <v>CA170120001-44</v>
          </cell>
          <cell r="C2662" t="str">
            <v>CALZADO</v>
          </cell>
          <cell r="D2662" t="str">
            <v>ZAPATILLA</v>
          </cell>
          <cell r="E2662" t="str">
            <v>ZAPATILLA MATEO</v>
          </cell>
          <cell r="F2662" t="str">
            <v>CUERO</v>
          </cell>
          <cell r="G2662">
            <v>0</v>
          </cell>
          <cell r="H2662" t="str">
            <v>NEGRO</v>
          </cell>
          <cell r="I2662">
            <v>44</v>
          </cell>
          <cell r="J2662" t="str">
            <v>H</v>
          </cell>
        </row>
        <row r="2663">
          <cell r="B2663" t="str">
            <v>CA170120001-45</v>
          </cell>
          <cell r="C2663" t="str">
            <v>CALZADO</v>
          </cell>
          <cell r="D2663" t="str">
            <v>ZAPATILLA</v>
          </cell>
          <cell r="E2663" t="str">
            <v>ZAPATILLA MATEO</v>
          </cell>
          <cell r="F2663" t="str">
            <v>CUERO</v>
          </cell>
          <cell r="G2663">
            <v>0</v>
          </cell>
          <cell r="H2663" t="str">
            <v>NEGRO</v>
          </cell>
          <cell r="I2663">
            <v>45</v>
          </cell>
          <cell r="J2663" t="str">
            <v>H</v>
          </cell>
        </row>
        <row r="2664">
          <cell r="B2664" t="str">
            <v>CA170120004-39</v>
          </cell>
          <cell r="C2664" t="str">
            <v>CALZADO</v>
          </cell>
          <cell r="D2664" t="str">
            <v>ZAPATILLA</v>
          </cell>
          <cell r="E2664" t="str">
            <v>ZAPATILLA MATEO</v>
          </cell>
          <cell r="F2664" t="str">
            <v>CUERO</v>
          </cell>
          <cell r="G2664">
            <v>0</v>
          </cell>
          <cell r="H2664" t="str">
            <v>TABACO</v>
          </cell>
          <cell r="I2664">
            <v>39</v>
          </cell>
          <cell r="J2664" t="str">
            <v>H</v>
          </cell>
        </row>
        <row r="2665">
          <cell r="B2665" t="str">
            <v>CA170120004-40</v>
          </cell>
          <cell r="C2665" t="str">
            <v>CALZADO</v>
          </cell>
          <cell r="D2665" t="str">
            <v>ZAPATILLA</v>
          </cell>
          <cell r="E2665" t="str">
            <v>ZAPATILLA MATEO</v>
          </cell>
          <cell r="F2665" t="str">
            <v>CUERO</v>
          </cell>
          <cell r="G2665">
            <v>0</v>
          </cell>
          <cell r="H2665" t="str">
            <v>TABACO</v>
          </cell>
          <cell r="I2665">
            <v>40</v>
          </cell>
          <cell r="J2665" t="str">
            <v>H</v>
          </cell>
        </row>
        <row r="2666">
          <cell r="B2666" t="str">
            <v>CA170120004-41</v>
          </cell>
          <cell r="C2666" t="str">
            <v>CALZADO</v>
          </cell>
          <cell r="D2666" t="str">
            <v>ZAPATILLA</v>
          </cell>
          <cell r="E2666" t="str">
            <v>ZAPATILLA MATEO</v>
          </cell>
          <cell r="F2666" t="str">
            <v>CUERO</v>
          </cell>
          <cell r="G2666">
            <v>0</v>
          </cell>
          <cell r="H2666" t="str">
            <v>TABACO</v>
          </cell>
          <cell r="I2666">
            <v>41</v>
          </cell>
          <cell r="J2666" t="str">
            <v>H</v>
          </cell>
        </row>
        <row r="2667">
          <cell r="B2667" t="str">
            <v>CA170120004-42</v>
          </cell>
          <cell r="C2667" t="str">
            <v>CALZADO</v>
          </cell>
          <cell r="D2667" t="str">
            <v>ZAPATILLA</v>
          </cell>
          <cell r="E2667" t="str">
            <v>ZAPATILLA MATEO</v>
          </cell>
          <cell r="F2667" t="str">
            <v>CUERO</v>
          </cell>
          <cell r="G2667">
            <v>0</v>
          </cell>
          <cell r="H2667" t="str">
            <v>TABACO</v>
          </cell>
          <cell r="I2667">
            <v>42</v>
          </cell>
          <cell r="J2667" t="str">
            <v>H</v>
          </cell>
        </row>
        <row r="2668">
          <cell r="B2668" t="str">
            <v>CA170120004-43</v>
          </cell>
          <cell r="C2668" t="str">
            <v>CALZADO</v>
          </cell>
          <cell r="D2668" t="str">
            <v>ZAPATILLA</v>
          </cell>
          <cell r="E2668" t="str">
            <v>ZAPATILLA MATEO</v>
          </cell>
          <cell r="F2668" t="str">
            <v>CUERO</v>
          </cell>
          <cell r="G2668">
            <v>0</v>
          </cell>
          <cell r="H2668" t="str">
            <v>TABACO</v>
          </cell>
          <cell r="I2668">
            <v>43</v>
          </cell>
          <cell r="J2668" t="str">
            <v>H</v>
          </cell>
        </row>
        <row r="2669">
          <cell r="B2669" t="str">
            <v>CA170120004-44</v>
          </cell>
          <cell r="C2669" t="str">
            <v>CALZADO</v>
          </cell>
          <cell r="D2669" t="str">
            <v>ZAPATILLA</v>
          </cell>
          <cell r="E2669" t="str">
            <v>ZAPATILLA MATEO</v>
          </cell>
          <cell r="F2669" t="str">
            <v>CUERO</v>
          </cell>
          <cell r="G2669">
            <v>0</v>
          </cell>
          <cell r="H2669" t="str">
            <v>TABACO</v>
          </cell>
          <cell r="I2669">
            <v>44</v>
          </cell>
          <cell r="J2669" t="str">
            <v>H</v>
          </cell>
        </row>
        <row r="2670">
          <cell r="B2670" t="str">
            <v>CA170120004-45</v>
          </cell>
          <cell r="C2670" t="str">
            <v>CALZADO</v>
          </cell>
          <cell r="D2670" t="str">
            <v>ZAPATILLA</v>
          </cell>
          <cell r="E2670" t="str">
            <v>ZAPATILLA MATEO</v>
          </cell>
          <cell r="F2670" t="str">
            <v>CUERO</v>
          </cell>
          <cell r="G2670">
            <v>0</v>
          </cell>
          <cell r="H2670" t="str">
            <v>TABACO</v>
          </cell>
          <cell r="I2670">
            <v>45</v>
          </cell>
          <cell r="J2670" t="str">
            <v>H</v>
          </cell>
        </row>
        <row r="2671">
          <cell r="B2671" t="str">
            <v>CA170120009-39</v>
          </cell>
          <cell r="C2671" t="str">
            <v>CALZADO</v>
          </cell>
          <cell r="D2671" t="str">
            <v>ZAPATILLA</v>
          </cell>
          <cell r="E2671" t="str">
            <v>ZAPATILLA MATEO</v>
          </cell>
          <cell r="F2671" t="str">
            <v>CUERO</v>
          </cell>
          <cell r="G2671">
            <v>0</v>
          </cell>
          <cell r="H2671" t="str">
            <v>AZUL</v>
          </cell>
          <cell r="I2671">
            <v>39</v>
          </cell>
          <cell r="J2671" t="str">
            <v>H</v>
          </cell>
        </row>
        <row r="2672">
          <cell r="B2672" t="str">
            <v>CA170120009-40</v>
          </cell>
          <cell r="C2672" t="str">
            <v>CALZADO</v>
          </cell>
          <cell r="D2672" t="str">
            <v>ZAPATILLA</v>
          </cell>
          <cell r="E2672" t="str">
            <v>ZAPATILLA MATEO</v>
          </cell>
          <cell r="F2672" t="str">
            <v>CUERO</v>
          </cell>
          <cell r="G2672">
            <v>0</v>
          </cell>
          <cell r="H2672" t="str">
            <v>AZUL</v>
          </cell>
          <cell r="I2672">
            <v>40</v>
          </cell>
          <cell r="J2672" t="str">
            <v>H</v>
          </cell>
        </row>
        <row r="2673">
          <cell r="B2673" t="str">
            <v>CA170120009-41</v>
          </cell>
          <cell r="C2673" t="str">
            <v>CALZADO</v>
          </cell>
          <cell r="D2673" t="str">
            <v>ZAPATILLA</v>
          </cell>
          <cell r="E2673" t="str">
            <v>ZAPATILLA MATEO</v>
          </cell>
          <cell r="F2673" t="str">
            <v>CUERO</v>
          </cell>
          <cell r="G2673">
            <v>0</v>
          </cell>
          <cell r="H2673" t="str">
            <v>AZUL</v>
          </cell>
          <cell r="I2673">
            <v>41</v>
          </cell>
          <cell r="J2673" t="str">
            <v>H</v>
          </cell>
        </row>
        <row r="2674">
          <cell r="B2674" t="str">
            <v>CA170120009-42</v>
          </cell>
          <cell r="C2674" t="str">
            <v>CALZADO</v>
          </cell>
          <cell r="D2674" t="str">
            <v>ZAPATILLA</v>
          </cell>
          <cell r="E2674" t="str">
            <v>ZAPATILLA MATEO</v>
          </cell>
          <cell r="F2674" t="str">
            <v>CUERO</v>
          </cell>
          <cell r="G2674">
            <v>0</v>
          </cell>
          <cell r="H2674" t="str">
            <v>AZUL</v>
          </cell>
          <cell r="I2674">
            <v>42</v>
          </cell>
          <cell r="J2674" t="str">
            <v>H</v>
          </cell>
        </row>
        <row r="2675">
          <cell r="B2675" t="str">
            <v>CA170120009-43</v>
          </cell>
          <cell r="C2675" t="str">
            <v>CALZADO</v>
          </cell>
          <cell r="D2675" t="str">
            <v>ZAPATILLA</v>
          </cell>
          <cell r="E2675" t="str">
            <v>ZAPATILLA MATEO</v>
          </cell>
          <cell r="F2675" t="str">
            <v>CUERO</v>
          </cell>
          <cell r="G2675">
            <v>0</v>
          </cell>
          <cell r="H2675" t="str">
            <v>AZUL</v>
          </cell>
          <cell r="I2675">
            <v>43</v>
          </cell>
          <cell r="J2675" t="str">
            <v>H</v>
          </cell>
        </row>
        <row r="2676">
          <cell r="B2676" t="str">
            <v>CA170120009-44</v>
          </cell>
          <cell r="C2676" t="str">
            <v>CALZADO</v>
          </cell>
          <cell r="D2676" t="str">
            <v>ZAPATILLA</v>
          </cell>
          <cell r="E2676" t="str">
            <v>ZAPATILLA MATEO</v>
          </cell>
          <cell r="F2676" t="str">
            <v>CUERO</v>
          </cell>
          <cell r="G2676">
            <v>0</v>
          </cell>
          <cell r="H2676" t="str">
            <v>AZUL</v>
          </cell>
          <cell r="I2676">
            <v>44</v>
          </cell>
          <cell r="J2676" t="str">
            <v>H</v>
          </cell>
        </row>
        <row r="2677">
          <cell r="B2677" t="str">
            <v>CA170120009-45</v>
          </cell>
          <cell r="C2677" t="str">
            <v>CALZADO</v>
          </cell>
          <cell r="D2677" t="str">
            <v>ZAPATILLA</v>
          </cell>
          <cell r="E2677" t="str">
            <v>ZAPATILLA MATEO</v>
          </cell>
          <cell r="F2677" t="str">
            <v>CUERO</v>
          </cell>
          <cell r="G2677">
            <v>0</v>
          </cell>
          <cell r="H2677" t="str">
            <v>AZUL</v>
          </cell>
          <cell r="I2677">
            <v>45</v>
          </cell>
          <cell r="J2677" t="str">
            <v>H</v>
          </cell>
        </row>
        <row r="2678">
          <cell r="B2678" t="str">
            <v>CA170120010-39</v>
          </cell>
          <cell r="C2678" t="str">
            <v>CALZADO</v>
          </cell>
          <cell r="D2678" t="str">
            <v>ZAPATILLA</v>
          </cell>
          <cell r="E2678" t="str">
            <v>ZAPATILLA MATEO</v>
          </cell>
          <cell r="F2678" t="str">
            <v>CUERO</v>
          </cell>
          <cell r="G2678">
            <v>0</v>
          </cell>
          <cell r="H2678" t="str">
            <v>VERDE</v>
          </cell>
          <cell r="I2678">
            <v>39</v>
          </cell>
          <cell r="J2678" t="str">
            <v>H</v>
          </cell>
        </row>
        <row r="2679">
          <cell r="B2679" t="str">
            <v>CA170120010-40</v>
          </cell>
          <cell r="C2679" t="str">
            <v>CALZADO</v>
          </cell>
          <cell r="D2679" t="str">
            <v>ZAPATILLA</v>
          </cell>
          <cell r="E2679" t="str">
            <v>ZAPATILLA MATEO</v>
          </cell>
          <cell r="F2679" t="str">
            <v>CUERO</v>
          </cell>
          <cell r="G2679">
            <v>0</v>
          </cell>
          <cell r="H2679" t="str">
            <v>VERDE</v>
          </cell>
          <cell r="I2679">
            <v>40</v>
          </cell>
          <cell r="J2679" t="str">
            <v>H</v>
          </cell>
        </row>
        <row r="2680">
          <cell r="B2680" t="str">
            <v>CA170120010-41</v>
          </cell>
          <cell r="C2680" t="str">
            <v>CALZADO</v>
          </cell>
          <cell r="D2680" t="str">
            <v>ZAPATILLA</v>
          </cell>
          <cell r="E2680" t="str">
            <v>ZAPATILLA MATEO</v>
          </cell>
          <cell r="F2680" t="str">
            <v>CUERO</v>
          </cell>
          <cell r="G2680">
            <v>0</v>
          </cell>
          <cell r="H2680" t="str">
            <v>VERDE</v>
          </cell>
          <cell r="I2680">
            <v>41</v>
          </cell>
          <cell r="J2680" t="str">
            <v>H</v>
          </cell>
        </row>
        <row r="2681">
          <cell r="B2681" t="str">
            <v>CA170120010-42</v>
          </cell>
          <cell r="C2681" t="str">
            <v>CALZADO</v>
          </cell>
          <cell r="D2681" t="str">
            <v>ZAPATILLA</v>
          </cell>
          <cell r="E2681" t="str">
            <v>ZAPATILLA MATEO</v>
          </cell>
          <cell r="F2681" t="str">
            <v>CUERO</v>
          </cell>
          <cell r="G2681">
            <v>0</v>
          </cell>
          <cell r="H2681" t="str">
            <v>VERDE</v>
          </cell>
          <cell r="I2681">
            <v>42</v>
          </cell>
          <cell r="J2681" t="str">
            <v>H</v>
          </cell>
        </row>
        <row r="2682">
          <cell r="B2682" t="str">
            <v>CA170120010-43</v>
          </cell>
          <cell r="C2682" t="str">
            <v>CALZADO</v>
          </cell>
          <cell r="D2682" t="str">
            <v>ZAPATILLA</v>
          </cell>
          <cell r="E2682" t="str">
            <v>ZAPATILLA MATEO</v>
          </cell>
          <cell r="F2682" t="str">
            <v>CUERO</v>
          </cell>
          <cell r="G2682">
            <v>0</v>
          </cell>
          <cell r="H2682" t="str">
            <v>VERDE</v>
          </cell>
          <cell r="I2682">
            <v>43</v>
          </cell>
          <cell r="J2682" t="str">
            <v>H</v>
          </cell>
        </row>
        <row r="2683">
          <cell r="B2683" t="str">
            <v>CA170120010-44</v>
          </cell>
          <cell r="C2683" t="str">
            <v>CALZADO</v>
          </cell>
          <cell r="D2683" t="str">
            <v>ZAPATILLA</v>
          </cell>
          <cell r="E2683" t="str">
            <v>ZAPATILLA MATEO</v>
          </cell>
          <cell r="F2683" t="str">
            <v>CUERO</v>
          </cell>
          <cell r="G2683">
            <v>0</v>
          </cell>
          <cell r="H2683" t="str">
            <v>VERDE</v>
          </cell>
          <cell r="I2683">
            <v>44</v>
          </cell>
          <cell r="J2683" t="str">
            <v>H</v>
          </cell>
        </row>
        <row r="2684">
          <cell r="B2684" t="str">
            <v>CA170120010-45</v>
          </cell>
          <cell r="C2684" t="str">
            <v>CALZADO</v>
          </cell>
          <cell r="D2684" t="str">
            <v>ZAPATILLA</v>
          </cell>
          <cell r="E2684" t="str">
            <v>ZAPATILLA MATEO</v>
          </cell>
          <cell r="F2684" t="str">
            <v>CUERO</v>
          </cell>
          <cell r="G2684">
            <v>0</v>
          </cell>
          <cell r="H2684" t="str">
            <v>VERDE</v>
          </cell>
          <cell r="I2684">
            <v>45</v>
          </cell>
          <cell r="J2684" t="str">
            <v>H</v>
          </cell>
        </row>
        <row r="2685">
          <cell r="B2685" t="str">
            <v>CA170120024-39</v>
          </cell>
          <cell r="C2685" t="str">
            <v>CALZADO</v>
          </cell>
          <cell r="D2685" t="str">
            <v>ZAPATILLA</v>
          </cell>
          <cell r="E2685" t="str">
            <v>ZAPATILLA MATEO</v>
          </cell>
          <cell r="F2685" t="str">
            <v>CUERO</v>
          </cell>
          <cell r="G2685">
            <v>0</v>
          </cell>
          <cell r="H2685" t="str">
            <v>BLANCO</v>
          </cell>
          <cell r="I2685">
            <v>39</v>
          </cell>
          <cell r="J2685" t="str">
            <v>H</v>
          </cell>
        </row>
        <row r="2686">
          <cell r="B2686" t="str">
            <v>CA170120024-40</v>
          </cell>
          <cell r="C2686" t="str">
            <v>CALZADO</v>
          </cell>
          <cell r="D2686" t="str">
            <v>ZAPATILLA</v>
          </cell>
          <cell r="E2686" t="str">
            <v>ZAPATILLA MATEO</v>
          </cell>
          <cell r="F2686" t="str">
            <v>CUERO</v>
          </cell>
          <cell r="G2686">
            <v>0</v>
          </cell>
          <cell r="H2686" t="str">
            <v>BLANCO</v>
          </cell>
          <cell r="I2686">
            <v>40</v>
          </cell>
          <cell r="J2686" t="str">
            <v>H</v>
          </cell>
        </row>
        <row r="2687">
          <cell r="B2687" t="str">
            <v>CA170120024-41</v>
          </cell>
          <cell r="C2687" t="str">
            <v>CALZADO</v>
          </cell>
          <cell r="D2687" t="str">
            <v>ZAPATILLA</v>
          </cell>
          <cell r="E2687" t="str">
            <v>ZAPATILLA MATEO</v>
          </cell>
          <cell r="F2687" t="str">
            <v>CUERO</v>
          </cell>
          <cell r="G2687">
            <v>0</v>
          </cell>
          <cell r="H2687" t="str">
            <v>BLANCO</v>
          </cell>
          <cell r="I2687">
            <v>41</v>
          </cell>
          <cell r="J2687" t="str">
            <v>H</v>
          </cell>
        </row>
        <row r="2688">
          <cell r="B2688" t="str">
            <v>CA170120024-42</v>
          </cell>
          <cell r="C2688" t="str">
            <v>CALZADO</v>
          </cell>
          <cell r="D2688" t="str">
            <v>ZAPATILLA</v>
          </cell>
          <cell r="E2688" t="str">
            <v>ZAPATILLA MATEO</v>
          </cell>
          <cell r="F2688" t="str">
            <v>CUERO</v>
          </cell>
          <cell r="G2688">
            <v>0</v>
          </cell>
          <cell r="H2688" t="str">
            <v>BLANCO</v>
          </cell>
          <cell r="I2688">
            <v>42</v>
          </cell>
          <cell r="J2688" t="str">
            <v>H</v>
          </cell>
        </row>
        <row r="2689">
          <cell r="B2689" t="str">
            <v>CA170120024-43</v>
          </cell>
          <cell r="C2689" t="str">
            <v>CALZADO</v>
          </cell>
          <cell r="D2689" t="str">
            <v>ZAPATILLA</v>
          </cell>
          <cell r="E2689" t="str">
            <v>ZAPATILLA MATEO</v>
          </cell>
          <cell r="F2689" t="str">
            <v>CUERO</v>
          </cell>
          <cell r="G2689">
            <v>0</v>
          </cell>
          <cell r="H2689" t="str">
            <v>BLANCO</v>
          </cell>
          <cell r="I2689">
            <v>43</v>
          </cell>
          <cell r="J2689" t="str">
            <v>H</v>
          </cell>
        </row>
        <row r="2690">
          <cell r="B2690" t="str">
            <v>CA170120024-44</v>
          </cell>
          <cell r="C2690" t="str">
            <v>CALZADO</v>
          </cell>
          <cell r="D2690" t="str">
            <v>ZAPATILLA</v>
          </cell>
          <cell r="E2690" t="str">
            <v>ZAPATILLA MATEO</v>
          </cell>
          <cell r="F2690" t="str">
            <v>CUERO</v>
          </cell>
          <cell r="G2690">
            <v>0</v>
          </cell>
          <cell r="H2690" t="str">
            <v>BLANCO</v>
          </cell>
          <cell r="I2690">
            <v>44</v>
          </cell>
          <cell r="J2690" t="str">
            <v>H</v>
          </cell>
        </row>
        <row r="2691">
          <cell r="B2691" t="str">
            <v>CA170120024-45</v>
          </cell>
          <cell r="C2691" t="str">
            <v>CALZADO</v>
          </cell>
          <cell r="D2691" t="str">
            <v>ZAPATILLA</v>
          </cell>
          <cell r="E2691" t="str">
            <v>ZAPATILLA MATEO</v>
          </cell>
          <cell r="F2691" t="str">
            <v>CUERO</v>
          </cell>
          <cell r="G2691">
            <v>0</v>
          </cell>
          <cell r="H2691" t="str">
            <v>BLANCO</v>
          </cell>
          <cell r="I2691">
            <v>45</v>
          </cell>
          <cell r="J2691" t="str">
            <v>H</v>
          </cell>
        </row>
        <row r="2692">
          <cell r="B2692" t="str">
            <v>CA170120032-39</v>
          </cell>
          <cell r="C2692" t="str">
            <v>CALZADO</v>
          </cell>
          <cell r="D2692" t="str">
            <v>ZAPATILLA</v>
          </cell>
          <cell r="E2692" t="str">
            <v>ZAPATILLA MATEO</v>
          </cell>
          <cell r="F2692" t="str">
            <v>CUERO</v>
          </cell>
          <cell r="G2692">
            <v>0</v>
          </cell>
          <cell r="H2692" t="str">
            <v>BORGOÑA</v>
          </cell>
          <cell r="I2692">
            <v>39</v>
          </cell>
          <cell r="J2692" t="str">
            <v>H</v>
          </cell>
        </row>
        <row r="2693">
          <cell r="B2693" t="str">
            <v>CA170120032-40</v>
          </cell>
          <cell r="C2693" t="str">
            <v>CALZADO</v>
          </cell>
          <cell r="D2693" t="str">
            <v>ZAPATILLA</v>
          </cell>
          <cell r="E2693" t="str">
            <v>ZAPATILLA MATEO</v>
          </cell>
          <cell r="F2693" t="str">
            <v>CUERO</v>
          </cell>
          <cell r="G2693">
            <v>0</v>
          </cell>
          <cell r="H2693" t="str">
            <v>BORGOÑA</v>
          </cell>
          <cell r="I2693">
            <v>40</v>
          </cell>
          <cell r="J2693" t="str">
            <v>H</v>
          </cell>
        </row>
        <row r="2694">
          <cell r="B2694" t="str">
            <v>CA170120032-41</v>
          </cell>
          <cell r="C2694" t="str">
            <v>CALZADO</v>
          </cell>
          <cell r="D2694" t="str">
            <v>ZAPATILLA</v>
          </cell>
          <cell r="E2694" t="str">
            <v>ZAPATILLA MATEO</v>
          </cell>
          <cell r="F2694" t="str">
            <v>CUERO</v>
          </cell>
          <cell r="G2694">
            <v>0</v>
          </cell>
          <cell r="H2694" t="str">
            <v>BORGOÑA</v>
          </cell>
          <cell r="I2694">
            <v>41</v>
          </cell>
          <cell r="J2694" t="str">
            <v>H</v>
          </cell>
        </row>
        <row r="2695">
          <cell r="B2695" t="str">
            <v>CA170120032-42</v>
          </cell>
          <cell r="C2695" t="str">
            <v>CALZADO</v>
          </cell>
          <cell r="D2695" t="str">
            <v>ZAPATILLA</v>
          </cell>
          <cell r="E2695" t="str">
            <v>ZAPATILLA MATEO</v>
          </cell>
          <cell r="F2695" t="str">
            <v>CUERO</v>
          </cell>
          <cell r="G2695">
            <v>0</v>
          </cell>
          <cell r="H2695" t="str">
            <v>BORGOÑA</v>
          </cell>
          <cell r="I2695">
            <v>42</v>
          </cell>
          <cell r="J2695" t="str">
            <v>H</v>
          </cell>
        </row>
        <row r="2696">
          <cell r="B2696" t="str">
            <v>CA170120032-43</v>
          </cell>
          <cell r="C2696" t="str">
            <v>CALZADO</v>
          </cell>
          <cell r="D2696" t="str">
            <v>ZAPATILLA</v>
          </cell>
          <cell r="E2696" t="str">
            <v>ZAPATILLA MATEO</v>
          </cell>
          <cell r="F2696" t="str">
            <v>CUERO</v>
          </cell>
          <cell r="G2696">
            <v>0</v>
          </cell>
          <cell r="H2696" t="str">
            <v>BORGOÑA</v>
          </cell>
          <cell r="I2696">
            <v>43</v>
          </cell>
          <cell r="J2696" t="str">
            <v>H</v>
          </cell>
        </row>
        <row r="2697">
          <cell r="B2697" t="str">
            <v>CA170120032-44</v>
          </cell>
          <cell r="C2697" t="str">
            <v>CALZADO</v>
          </cell>
          <cell r="D2697" t="str">
            <v>ZAPATILLA</v>
          </cell>
          <cell r="E2697" t="str">
            <v>ZAPATILLA MATEO</v>
          </cell>
          <cell r="F2697" t="str">
            <v>CUERO</v>
          </cell>
          <cell r="G2697">
            <v>0</v>
          </cell>
          <cell r="H2697" t="str">
            <v>BORGOÑA</v>
          </cell>
          <cell r="I2697">
            <v>44</v>
          </cell>
          <cell r="J2697" t="str">
            <v>H</v>
          </cell>
        </row>
        <row r="2698">
          <cell r="B2698" t="str">
            <v>CA170120032-45</v>
          </cell>
          <cell r="C2698" t="str">
            <v>CALZADO</v>
          </cell>
          <cell r="D2698" t="str">
            <v>ZAPATILLA</v>
          </cell>
          <cell r="E2698" t="str">
            <v>ZAPATILLA MATEO</v>
          </cell>
          <cell r="F2698" t="str">
            <v>CUERO</v>
          </cell>
          <cell r="G2698">
            <v>0</v>
          </cell>
          <cell r="H2698" t="str">
            <v>BORGOÑA</v>
          </cell>
          <cell r="I2698">
            <v>45</v>
          </cell>
          <cell r="J2698" t="str">
            <v>H</v>
          </cell>
        </row>
        <row r="2699">
          <cell r="B2699" t="str">
            <v>CA060010301-39</v>
          </cell>
          <cell r="C2699" t="str">
            <v>CALZADO</v>
          </cell>
          <cell r="D2699" t="str">
            <v>ZAPATILLA</v>
          </cell>
          <cell r="E2699" t="str">
            <v>ZAPATILLA URBANA</v>
          </cell>
          <cell r="F2699" t="str">
            <v>CUERO</v>
          </cell>
          <cell r="G2699">
            <v>0</v>
          </cell>
          <cell r="H2699" t="str">
            <v>NEGRO</v>
          </cell>
          <cell r="I2699">
            <v>39</v>
          </cell>
          <cell r="J2699" t="str">
            <v>H</v>
          </cell>
        </row>
        <row r="2700">
          <cell r="B2700" t="str">
            <v>CA060010301-40</v>
          </cell>
          <cell r="C2700" t="str">
            <v>CALZADO</v>
          </cell>
          <cell r="D2700" t="str">
            <v>ZAPATILLA</v>
          </cell>
          <cell r="E2700" t="str">
            <v>ZAPATILLA URBANA</v>
          </cell>
          <cell r="F2700" t="str">
            <v>CUERO</v>
          </cell>
          <cell r="G2700">
            <v>0</v>
          </cell>
          <cell r="H2700" t="str">
            <v>NEGRO</v>
          </cell>
          <cell r="I2700">
            <v>40</v>
          </cell>
          <cell r="J2700" t="str">
            <v>H</v>
          </cell>
        </row>
        <row r="2701">
          <cell r="B2701" t="str">
            <v>CA060010301-41</v>
          </cell>
          <cell r="C2701" t="str">
            <v>CALZADO</v>
          </cell>
          <cell r="D2701" t="str">
            <v>ZAPATILLA</v>
          </cell>
          <cell r="E2701" t="str">
            <v>ZAPATILLA URBANA</v>
          </cell>
          <cell r="F2701" t="str">
            <v>CUERO</v>
          </cell>
          <cell r="G2701">
            <v>0</v>
          </cell>
          <cell r="H2701" t="str">
            <v>NEGRO</v>
          </cell>
          <cell r="I2701">
            <v>41</v>
          </cell>
          <cell r="J2701" t="str">
            <v>H</v>
          </cell>
        </row>
        <row r="2702">
          <cell r="B2702" t="str">
            <v>CA060010301-42</v>
          </cell>
          <cell r="C2702" t="str">
            <v>CALZADO</v>
          </cell>
          <cell r="D2702" t="str">
            <v>ZAPATILLA</v>
          </cell>
          <cell r="E2702" t="str">
            <v>ZAPATILLA URBANA</v>
          </cell>
          <cell r="F2702" t="str">
            <v>CUERO</v>
          </cell>
          <cell r="G2702">
            <v>0</v>
          </cell>
          <cell r="H2702" t="str">
            <v>NEGRO</v>
          </cell>
          <cell r="I2702">
            <v>42</v>
          </cell>
          <cell r="J2702" t="str">
            <v>H</v>
          </cell>
        </row>
        <row r="2703">
          <cell r="B2703" t="str">
            <v>CA060010301-43</v>
          </cell>
          <cell r="C2703" t="str">
            <v>CALZADO</v>
          </cell>
          <cell r="D2703" t="str">
            <v>ZAPATILLA</v>
          </cell>
          <cell r="E2703" t="str">
            <v>ZAPATILLA URBANA</v>
          </cell>
          <cell r="F2703" t="str">
            <v>CUERO</v>
          </cell>
          <cell r="G2703">
            <v>0</v>
          </cell>
          <cell r="H2703" t="str">
            <v>NEGRO</v>
          </cell>
          <cell r="I2703">
            <v>43</v>
          </cell>
          <cell r="J2703" t="str">
            <v>H</v>
          </cell>
        </row>
        <row r="2704">
          <cell r="B2704" t="str">
            <v>CA060010301-44</v>
          </cell>
          <cell r="C2704" t="str">
            <v>CALZADO</v>
          </cell>
          <cell r="D2704" t="str">
            <v>ZAPATILLA</v>
          </cell>
          <cell r="E2704" t="str">
            <v>ZAPATILLA URBANA</v>
          </cell>
          <cell r="F2704" t="str">
            <v>CUERO</v>
          </cell>
          <cell r="G2704">
            <v>0</v>
          </cell>
          <cell r="H2704" t="str">
            <v>NEGRO</v>
          </cell>
          <cell r="I2704">
            <v>44</v>
          </cell>
          <cell r="J2704" t="str">
            <v>H</v>
          </cell>
        </row>
        <row r="2705">
          <cell r="B2705" t="str">
            <v>CA060010301-45</v>
          </cell>
          <cell r="C2705" t="str">
            <v>CALZADO</v>
          </cell>
          <cell r="D2705" t="str">
            <v>ZAPATILLA</v>
          </cell>
          <cell r="E2705" t="str">
            <v>ZAPATILLA URBANA</v>
          </cell>
          <cell r="F2705" t="str">
            <v>CUERO</v>
          </cell>
          <cell r="G2705">
            <v>0</v>
          </cell>
          <cell r="H2705" t="str">
            <v>NEGRO</v>
          </cell>
          <cell r="I2705">
            <v>45</v>
          </cell>
          <cell r="J2705" t="str">
            <v>H</v>
          </cell>
        </row>
        <row r="2706">
          <cell r="B2706" t="str">
            <v>CA060010302-39</v>
          </cell>
          <cell r="C2706" t="str">
            <v>CALZADO</v>
          </cell>
          <cell r="D2706" t="str">
            <v>ZAPATILLA</v>
          </cell>
          <cell r="E2706" t="str">
            <v>ZAPATILLA URBANA</v>
          </cell>
          <cell r="F2706" t="str">
            <v>CUERO</v>
          </cell>
          <cell r="G2706">
            <v>0</v>
          </cell>
          <cell r="H2706" t="str">
            <v>SUELA</v>
          </cell>
          <cell r="I2706">
            <v>39</v>
          </cell>
          <cell r="J2706" t="str">
            <v>H</v>
          </cell>
        </row>
        <row r="2707">
          <cell r="B2707" t="str">
            <v>CA060010302-40</v>
          </cell>
          <cell r="C2707" t="str">
            <v>CALZADO</v>
          </cell>
          <cell r="D2707" t="str">
            <v>ZAPATILLA</v>
          </cell>
          <cell r="E2707" t="str">
            <v>ZAPATILLA URBANA</v>
          </cell>
          <cell r="F2707" t="str">
            <v>CUERO</v>
          </cell>
          <cell r="G2707">
            <v>0</v>
          </cell>
          <cell r="H2707" t="str">
            <v>SUELA</v>
          </cell>
          <cell r="I2707">
            <v>40</v>
          </cell>
          <cell r="J2707" t="str">
            <v>H</v>
          </cell>
        </row>
        <row r="2708">
          <cell r="B2708" t="str">
            <v>CA060010302-41</v>
          </cell>
          <cell r="C2708" t="str">
            <v>CALZADO</v>
          </cell>
          <cell r="D2708" t="str">
            <v>ZAPATILLA</v>
          </cell>
          <cell r="E2708" t="str">
            <v>ZAPATILLA URBANA</v>
          </cell>
          <cell r="F2708" t="str">
            <v>CUERO</v>
          </cell>
          <cell r="G2708">
            <v>0</v>
          </cell>
          <cell r="H2708" t="str">
            <v>SUELA</v>
          </cell>
          <cell r="I2708">
            <v>41</v>
          </cell>
          <cell r="J2708" t="str">
            <v>H</v>
          </cell>
        </row>
        <row r="2709">
          <cell r="B2709" t="str">
            <v>CA060010302-42</v>
          </cell>
          <cell r="C2709" t="str">
            <v>CALZADO</v>
          </cell>
          <cell r="D2709" t="str">
            <v>ZAPATILLA</v>
          </cell>
          <cell r="E2709" t="str">
            <v>ZAPATILLA URBANA</v>
          </cell>
          <cell r="F2709" t="str">
            <v>CUERO</v>
          </cell>
          <cell r="G2709">
            <v>0</v>
          </cell>
          <cell r="H2709" t="str">
            <v>SUELA</v>
          </cell>
          <cell r="I2709">
            <v>42</v>
          </cell>
          <cell r="J2709" t="str">
            <v>H</v>
          </cell>
        </row>
        <row r="2710">
          <cell r="B2710" t="str">
            <v>CA060010302-43</v>
          </cell>
          <cell r="C2710" t="str">
            <v>CALZADO</v>
          </cell>
          <cell r="D2710" t="str">
            <v>ZAPATILLA</v>
          </cell>
          <cell r="E2710" t="str">
            <v>ZAPATILLA URBANA</v>
          </cell>
          <cell r="F2710" t="str">
            <v>CUERO</v>
          </cell>
          <cell r="G2710">
            <v>0</v>
          </cell>
          <cell r="H2710" t="str">
            <v>SUELA</v>
          </cell>
          <cell r="I2710">
            <v>43</v>
          </cell>
          <cell r="J2710" t="str">
            <v>H</v>
          </cell>
        </row>
        <row r="2711">
          <cell r="B2711" t="str">
            <v>CA060010302-44</v>
          </cell>
          <cell r="C2711" t="str">
            <v>CALZADO</v>
          </cell>
          <cell r="D2711" t="str">
            <v>ZAPATILLA</v>
          </cell>
          <cell r="E2711" t="str">
            <v>ZAPATILLA URBANA</v>
          </cell>
          <cell r="F2711" t="str">
            <v>CUERO</v>
          </cell>
          <cell r="G2711">
            <v>0</v>
          </cell>
          <cell r="H2711" t="str">
            <v>SUELA</v>
          </cell>
          <cell r="I2711">
            <v>44</v>
          </cell>
          <cell r="J2711" t="str">
            <v>H</v>
          </cell>
        </row>
        <row r="2712">
          <cell r="B2712" t="str">
            <v>CA060010302-45</v>
          </cell>
          <cell r="C2712" t="str">
            <v>CALZADO</v>
          </cell>
          <cell r="D2712" t="str">
            <v>ZAPATILLA</v>
          </cell>
          <cell r="E2712" t="str">
            <v>ZAPATILLA URBANA</v>
          </cell>
          <cell r="F2712" t="str">
            <v>CUERO</v>
          </cell>
          <cell r="G2712">
            <v>0</v>
          </cell>
          <cell r="H2712" t="str">
            <v>SUELA</v>
          </cell>
          <cell r="I2712">
            <v>45</v>
          </cell>
          <cell r="J2712" t="str">
            <v>H</v>
          </cell>
        </row>
        <row r="2713">
          <cell r="B2713" t="str">
            <v>CA060010304-39</v>
          </cell>
          <cell r="C2713" t="str">
            <v>CALZADO</v>
          </cell>
          <cell r="D2713" t="str">
            <v>ZAPATILLA</v>
          </cell>
          <cell r="E2713" t="str">
            <v>ZAPATILLA URBANA</v>
          </cell>
          <cell r="F2713" t="str">
            <v>CUERO</v>
          </cell>
          <cell r="G2713">
            <v>0</v>
          </cell>
          <cell r="H2713" t="str">
            <v>TABACO</v>
          </cell>
          <cell r="I2713">
            <v>39</v>
          </cell>
          <cell r="J2713" t="str">
            <v>H</v>
          </cell>
        </row>
        <row r="2714">
          <cell r="B2714" t="str">
            <v>CA060010304-40</v>
          </cell>
          <cell r="C2714" t="str">
            <v>CALZADO</v>
          </cell>
          <cell r="D2714" t="str">
            <v>ZAPATILLA</v>
          </cell>
          <cell r="E2714" t="str">
            <v>ZAPATILLA URBANA</v>
          </cell>
          <cell r="F2714" t="str">
            <v>CUERO</v>
          </cell>
          <cell r="G2714">
            <v>0</v>
          </cell>
          <cell r="H2714" t="str">
            <v>TABACO</v>
          </cell>
          <cell r="I2714">
            <v>40</v>
          </cell>
          <cell r="J2714" t="str">
            <v>H</v>
          </cell>
        </row>
        <row r="2715">
          <cell r="B2715" t="str">
            <v>CA060010304-41</v>
          </cell>
          <cell r="C2715" t="str">
            <v>CALZADO</v>
          </cell>
          <cell r="D2715" t="str">
            <v>ZAPATILLA</v>
          </cell>
          <cell r="E2715" t="str">
            <v>ZAPATILLA URBANA</v>
          </cell>
          <cell r="F2715" t="str">
            <v>CUERO</v>
          </cell>
          <cell r="G2715">
            <v>0</v>
          </cell>
          <cell r="H2715" t="str">
            <v>TABACO</v>
          </cell>
          <cell r="I2715">
            <v>41</v>
          </cell>
          <cell r="J2715" t="str">
            <v>H</v>
          </cell>
        </row>
        <row r="2716">
          <cell r="B2716" t="str">
            <v>CA060010304-42</v>
          </cell>
          <cell r="C2716" t="str">
            <v>CALZADO</v>
          </cell>
          <cell r="D2716" t="str">
            <v>ZAPATILLA</v>
          </cell>
          <cell r="E2716" t="str">
            <v>ZAPATILLA URBANA</v>
          </cell>
          <cell r="F2716" t="str">
            <v>CUERO</v>
          </cell>
          <cell r="G2716">
            <v>0</v>
          </cell>
          <cell r="H2716" t="str">
            <v>TABACO</v>
          </cell>
          <cell r="I2716">
            <v>42</v>
          </cell>
          <cell r="J2716" t="str">
            <v>H</v>
          </cell>
        </row>
        <row r="2717">
          <cell r="B2717" t="str">
            <v>CA060010304-43</v>
          </cell>
          <cell r="C2717" t="str">
            <v>CALZADO</v>
          </cell>
          <cell r="D2717" t="str">
            <v>ZAPATILLA</v>
          </cell>
          <cell r="E2717" t="str">
            <v>ZAPATILLA URBANA</v>
          </cell>
          <cell r="F2717" t="str">
            <v>CUERO</v>
          </cell>
          <cell r="G2717">
            <v>0</v>
          </cell>
          <cell r="H2717" t="str">
            <v>TABACO</v>
          </cell>
          <cell r="I2717">
            <v>43</v>
          </cell>
          <cell r="J2717" t="str">
            <v>H</v>
          </cell>
        </row>
        <row r="2718">
          <cell r="B2718" t="str">
            <v>CA060010304-44</v>
          </cell>
          <cell r="C2718" t="str">
            <v>CALZADO</v>
          </cell>
          <cell r="D2718" t="str">
            <v>ZAPATILLA</v>
          </cell>
          <cell r="E2718" t="str">
            <v>ZAPATILLA URBANA</v>
          </cell>
          <cell r="F2718" t="str">
            <v>CUERO</v>
          </cell>
          <cell r="G2718">
            <v>0</v>
          </cell>
          <cell r="H2718" t="str">
            <v>TABACO</v>
          </cell>
          <cell r="I2718">
            <v>44</v>
          </cell>
          <cell r="J2718" t="str">
            <v>H</v>
          </cell>
        </row>
        <row r="2719">
          <cell r="B2719" t="str">
            <v>CA060010304-45</v>
          </cell>
          <cell r="C2719" t="str">
            <v>CALZADO</v>
          </cell>
          <cell r="D2719" t="str">
            <v>ZAPATILLA</v>
          </cell>
          <cell r="E2719" t="str">
            <v>ZAPATILLA URBANA</v>
          </cell>
          <cell r="F2719" t="str">
            <v>CUERO</v>
          </cell>
          <cell r="G2719">
            <v>0</v>
          </cell>
          <cell r="H2719" t="str">
            <v>TABACO</v>
          </cell>
          <cell r="I2719">
            <v>45</v>
          </cell>
          <cell r="J2719" t="str">
            <v>H</v>
          </cell>
        </row>
        <row r="2720">
          <cell r="B2720" t="str">
            <v>CA060010332-39</v>
          </cell>
          <cell r="C2720" t="str">
            <v>CALZADO</v>
          </cell>
          <cell r="D2720" t="str">
            <v>ZAPATILLA</v>
          </cell>
          <cell r="E2720" t="str">
            <v>ZAPATILLA URBANA</v>
          </cell>
          <cell r="F2720" t="str">
            <v>CUERO</v>
          </cell>
          <cell r="G2720">
            <v>0</v>
          </cell>
          <cell r="H2720" t="str">
            <v>BORGOÑA</v>
          </cell>
          <cell r="I2720">
            <v>39</v>
          </cell>
          <cell r="J2720" t="str">
            <v>H</v>
          </cell>
        </row>
        <row r="2721">
          <cell r="B2721" t="str">
            <v>CA060010332-40</v>
          </cell>
          <cell r="C2721" t="str">
            <v>CALZADO</v>
          </cell>
          <cell r="D2721" t="str">
            <v>ZAPATILLA</v>
          </cell>
          <cell r="E2721" t="str">
            <v>ZAPATILLA URBANA</v>
          </cell>
          <cell r="F2721" t="str">
            <v>CUERO</v>
          </cell>
          <cell r="G2721">
            <v>0</v>
          </cell>
          <cell r="H2721" t="str">
            <v>BORGOÑA</v>
          </cell>
          <cell r="I2721">
            <v>40</v>
          </cell>
          <cell r="J2721" t="str">
            <v>H</v>
          </cell>
        </row>
        <row r="2722">
          <cell r="B2722" t="str">
            <v>CA060010332-41</v>
          </cell>
          <cell r="C2722" t="str">
            <v>CALZADO</v>
          </cell>
          <cell r="D2722" t="str">
            <v>ZAPATILLA</v>
          </cell>
          <cell r="E2722" t="str">
            <v>ZAPATILLA URBANA</v>
          </cell>
          <cell r="F2722" t="str">
            <v>CUERO</v>
          </cell>
          <cell r="G2722">
            <v>0</v>
          </cell>
          <cell r="H2722" t="str">
            <v>BORGOÑA</v>
          </cell>
          <cell r="I2722">
            <v>41</v>
          </cell>
          <cell r="J2722" t="str">
            <v>H</v>
          </cell>
        </row>
        <row r="2723">
          <cell r="B2723" t="str">
            <v>CA060010332-42</v>
          </cell>
          <cell r="C2723" t="str">
            <v>CALZADO</v>
          </cell>
          <cell r="D2723" t="str">
            <v>ZAPATILLA</v>
          </cell>
          <cell r="E2723" t="str">
            <v>ZAPATILLA URBANA</v>
          </cell>
          <cell r="F2723" t="str">
            <v>CUERO</v>
          </cell>
          <cell r="G2723">
            <v>0</v>
          </cell>
          <cell r="H2723" t="str">
            <v>BORGOÑA</v>
          </cell>
          <cell r="I2723">
            <v>42</v>
          </cell>
          <cell r="J2723" t="str">
            <v>H</v>
          </cell>
        </row>
        <row r="2724">
          <cell r="B2724" t="str">
            <v>CA060010332-43</v>
          </cell>
          <cell r="C2724" t="str">
            <v>CALZADO</v>
          </cell>
          <cell r="D2724" t="str">
            <v>ZAPATILLA</v>
          </cell>
          <cell r="E2724" t="str">
            <v>ZAPATILLA URBANA</v>
          </cell>
          <cell r="F2724" t="str">
            <v>CUERO</v>
          </cell>
          <cell r="G2724">
            <v>0</v>
          </cell>
          <cell r="H2724" t="str">
            <v>BORGOÑA</v>
          </cell>
          <cell r="I2724">
            <v>43</v>
          </cell>
          <cell r="J2724" t="str">
            <v>H</v>
          </cell>
        </row>
        <row r="2725">
          <cell r="B2725" t="str">
            <v>CA060010332-44</v>
          </cell>
          <cell r="C2725" t="str">
            <v>CALZADO</v>
          </cell>
          <cell r="D2725" t="str">
            <v>ZAPATILLA</v>
          </cell>
          <cell r="E2725" t="str">
            <v>ZAPATILLA URBANA</v>
          </cell>
          <cell r="F2725" t="str">
            <v>CUERO</v>
          </cell>
          <cell r="G2725">
            <v>0</v>
          </cell>
          <cell r="H2725" t="str">
            <v>BORGOÑA</v>
          </cell>
          <cell r="I2725">
            <v>44</v>
          </cell>
          <cell r="J2725" t="str">
            <v>H</v>
          </cell>
        </row>
        <row r="2726">
          <cell r="B2726" t="str">
            <v>CA060010332-45</v>
          </cell>
          <cell r="C2726" t="str">
            <v>CALZADO</v>
          </cell>
          <cell r="D2726" t="str">
            <v>ZAPATILLA</v>
          </cell>
          <cell r="E2726" t="str">
            <v>ZAPATILLA URBANA</v>
          </cell>
          <cell r="F2726" t="str">
            <v>CUERO</v>
          </cell>
          <cell r="G2726">
            <v>0</v>
          </cell>
          <cell r="H2726" t="str">
            <v>BORGOÑA</v>
          </cell>
          <cell r="I2726">
            <v>45</v>
          </cell>
          <cell r="J2726" t="str">
            <v>H</v>
          </cell>
        </row>
        <row r="2727">
          <cell r="B2727" t="str">
            <v>CA060020101-39</v>
          </cell>
          <cell r="C2727" t="str">
            <v>CALZADO</v>
          </cell>
          <cell r="D2727" t="str">
            <v>ZAPATO</v>
          </cell>
          <cell r="E2727" t="str">
            <v>ZAPATO CLASSIC</v>
          </cell>
          <cell r="F2727" t="str">
            <v>NAPADO</v>
          </cell>
          <cell r="G2727">
            <v>0</v>
          </cell>
          <cell r="H2727" t="str">
            <v>NEGRO</v>
          </cell>
          <cell r="I2727">
            <v>39</v>
          </cell>
          <cell r="J2727" t="str">
            <v>H</v>
          </cell>
        </row>
        <row r="2728">
          <cell r="B2728" t="str">
            <v>CA060020101-40</v>
          </cell>
          <cell r="C2728" t="str">
            <v>CALZADO</v>
          </cell>
          <cell r="D2728" t="str">
            <v>ZAPATO</v>
          </cell>
          <cell r="E2728" t="str">
            <v>ZAPATO CLASSIC</v>
          </cell>
          <cell r="F2728" t="str">
            <v>NAPADO</v>
          </cell>
          <cell r="G2728">
            <v>0</v>
          </cell>
          <cell r="H2728" t="str">
            <v>NEGRO</v>
          </cell>
          <cell r="I2728">
            <v>40</v>
          </cell>
          <cell r="J2728" t="str">
            <v>H</v>
          </cell>
        </row>
        <row r="2729">
          <cell r="B2729" t="str">
            <v>CA060020101-41</v>
          </cell>
          <cell r="C2729" t="str">
            <v>CALZADO</v>
          </cell>
          <cell r="D2729" t="str">
            <v>ZAPATO</v>
          </cell>
          <cell r="E2729" t="str">
            <v>ZAPATO CLASSIC</v>
          </cell>
          <cell r="F2729" t="str">
            <v>NAPADO</v>
          </cell>
          <cell r="G2729">
            <v>0</v>
          </cell>
          <cell r="H2729" t="str">
            <v>NEGRO</v>
          </cell>
          <cell r="I2729">
            <v>41</v>
          </cell>
          <cell r="J2729" t="str">
            <v>H</v>
          </cell>
        </row>
        <row r="2730">
          <cell r="B2730" t="str">
            <v>CA060020101-42</v>
          </cell>
          <cell r="C2730" t="str">
            <v>CALZADO</v>
          </cell>
          <cell r="D2730" t="str">
            <v>ZAPATO</v>
          </cell>
          <cell r="E2730" t="str">
            <v>ZAPATO CLASSIC</v>
          </cell>
          <cell r="F2730" t="str">
            <v>NAPADO</v>
          </cell>
          <cell r="G2730">
            <v>0</v>
          </cell>
          <cell r="H2730" t="str">
            <v>NEGRO</v>
          </cell>
          <cell r="I2730">
            <v>42</v>
          </cell>
          <cell r="J2730" t="str">
            <v>H</v>
          </cell>
        </row>
        <row r="2731">
          <cell r="B2731" t="str">
            <v>CA060020101-43</v>
          </cell>
          <cell r="C2731" t="str">
            <v>CALZADO</v>
          </cell>
          <cell r="D2731" t="str">
            <v>ZAPATO</v>
          </cell>
          <cell r="E2731" t="str">
            <v>ZAPATO CLASSIC</v>
          </cell>
          <cell r="F2731" t="str">
            <v>NAPADO</v>
          </cell>
          <cell r="G2731">
            <v>0</v>
          </cell>
          <cell r="H2731" t="str">
            <v>NEGRO</v>
          </cell>
          <cell r="I2731">
            <v>43</v>
          </cell>
          <cell r="J2731" t="str">
            <v>H</v>
          </cell>
        </row>
        <row r="2732">
          <cell r="B2732" t="str">
            <v>CA060020101-44</v>
          </cell>
          <cell r="C2732" t="str">
            <v>CALZADO</v>
          </cell>
          <cell r="D2732" t="str">
            <v>ZAPATO</v>
          </cell>
          <cell r="E2732" t="str">
            <v>ZAPATO CLASSIC</v>
          </cell>
          <cell r="F2732" t="str">
            <v>NAPADO</v>
          </cell>
          <cell r="G2732">
            <v>0</v>
          </cell>
          <cell r="H2732" t="str">
            <v>NEGRO</v>
          </cell>
          <cell r="I2732">
            <v>44</v>
          </cell>
          <cell r="J2732" t="str">
            <v>H</v>
          </cell>
        </row>
        <row r="2733">
          <cell r="B2733" t="str">
            <v>CA060020101-45</v>
          </cell>
          <cell r="C2733" t="str">
            <v>CALZADO</v>
          </cell>
          <cell r="D2733" t="str">
            <v>ZAPATO</v>
          </cell>
          <cell r="E2733" t="str">
            <v>ZAPATO CLASSIC</v>
          </cell>
          <cell r="F2733" t="str">
            <v>NAPADO</v>
          </cell>
          <cell r="G2733">
            <v>0</v>
          </cell>
          <cell r="H2733" t="str">
            <v>NEGRO</v>
          </cell>
          <cell r="I2733">
            <v>45</v>
          </cell>
          <cell r="J2733" t="str">
            <v>H</v>
          </cell>
        </row>
        <row r="2734">
          <cell r="B2734" t="str">
            <v>CA060020102-39</v>
          </cell>
          <cell r="C2734" t="str">
            <v>CALZADO</v>
          </cell>
          <cell r="D2734" t="str">
            <v>ZAPATO</v>
          </cell>
          <cell r="E2734" t="str">
            <v>ZAPATO CLASSIC</v>
          </cell>
          <cell r="F2734" t="str">
            <v>NAPADO</v>
          </cell>
          <cell r="G2734">
            <v>0</v>
          </cell>
          <cell r="H2734" t="str">
            <v>SUELA</v>
          </cell>
          <cell r="I2734">
            <v>39</v>
          </cell>
          <cell r="J2734" t="str">
            <v>H</v>
          </cell>
        </row>
        <row r="2735">
          <cell r="B2735" t="str">
            <v>CA060020102-40</v>
          </cell>
          <cell r="C2735" t="str">
            <v>CALZADO</v>
          </cell>
          <cell r="D2735" t="str">
            <v>ZAPATO</v>
          </cell>
          <cell r="E2735" t="str">
            <v>ZAPATO CLASSIC</v>
          </cell>
          <cell r="F2735" t="str">
            <v>NAPADO</v>
          </cell>
          <cell r="G2735">
            <v>0</v>
          </cell>
          <cell r="H2735" t="str">
            <v>SUELA</v>
          </cell>
          <cell r="I2735">
            <v>40</v>
          </cell>
          <cell r="J2735" t="str">
            <v>H</v>
          </cell>
        </row>
        <row r="2736">
          <cell r="B2736" t="str">
            <v>CA060020102-41</v>
          </cell>
          <cell r="C2736" t="str">
            <v>CALZADO</v>
          </cell>
          <cell r="D2736" t="str">
            <v>ZAPATO</v>
          </cell>
          <cell r="E2736" t="str">
            <v>ZAPATO CLASSIC</v>
          </cell>
          <cell r="F2736" t="str">
            <v>NAPADO</v>
          </cell>
          <cell r="G2736">
            <v>0</v>
          </cell>
          <cell r="H2736" t="str">
            <v>SUELA</v>
          </cell>
          <cell r="I2736">
            <v>41</v>
          </cell>
          <cell r="J2736" t="str">
            <v>H</v>
          </cell>
        </row>
        <row r="2737">
          <cell r="B2737" t="str">
            <v>CA060020102-42</v>
          </cell>
          <cell r="C2737" t="str">
            <v>CALZADO</v>
          </cell>
          <cell r="D2737" t="str">
            <v>ZAPATO</v>
          </cell>
          <cell r="E2737" t="str">
            <v>ZAPATO CLASSIC</v>
          </cell>
          <cell r="F2737" t="str">
            <v>NAPADO</v>
          </cell>
          <cell r="G2737">
            <v>0</v>
          </cell>
          <cell r="H2737" t="str">
            <v>SUELA</v>
          </cell>
          <cell r="I2737">
            <v>42</v>
          </cell>
          <cell r="J2737" t="str">
            <v>H</v>
          </cell>
        </row>
        <row r="2738">
          <cell r="B2738" t="str">
            <v>CA060020102-43</v>
          </cell>
          <cell r="C2738" t="str">
            <v>CALZADO</v>
          </cell>
          <cell r="D2738" t="str">
            <v>ZAPATO</v>
          </cell>
          <cell r="E2738" t="str">
            <v>ZAPATO CLASSIC</v>
          </cell>
          <cell r="F2738" t="str">
            <v>NAPADO</v>
          </cell>
          <cell r="G2738">
            <v>0</v>
          </cell>
          <cell r="H2738" t="str">
            <v>SUELA</v>
          </cell>
          <cell r="I2738">
            <v>43</v>
          </cell>
          <cell r="J2738" t="str">
            <v>H</v>
          </cell>
        </row>
        <row r="2739">
          <cell r="B2739" t="str">
            <v>CA060020102-44</v>
          </cell>
          <cell r="C2739" t="str">
            <v>CALZADO</v>
          </cell>
          <cell r="D2739" t="str">
            <v>ZAPATO</v>
          </cell>
          <cell r="E2739" t="str">
            <v>ZAPATO CLASSIC</v>
          </cell>
          <cell r="F2739" t="str">
            <v>NAPADO</v>
          </cell>
          <cell r="G2739">
            <v>0</v>
          </cell>
          <cell r="H2739" t="str">
            <v>SUELA</v>
          </cell>
          <cell r="I2739">
            <v>44</v>
          </cell>
          <cell r="J2739" t="str">
            <v>H</v>
          </cell>
        </row>
        <row r="2740">
          <cell r="B2740" t="str">
            <v>CA060020102-45</v>
          </cell>
          <cell r="C2740" t="str">
            <v>CALZADO</v>
          </cell>
          <cell r="D2740" t="str">
            <v>ZAPATO</v>
          </cell>
          <cell r="E2740" t="str">
            <v>ZAPATO CLASSIC</v>
          </cell>
          <cell r="F2740" t="str">
            <v>NAPADO</v>
          </cell>
          <cell r="G2740">
            <v>0</v>
          </cell>
          <cell r="H2740" t="str">
            <v>SUELA</v>
          </cell>
          <cell r="I2740">
            <v>45</v>
          </cell>
          <cell r="J2740" t="str">
            <v>H</v>
          </cell>
        </row>
        <row r="2741">
          <cell r="B2741" t="str">
            <v>CA060020301-39</v>
          </cell>
          <cell r="C2741" t="str">
            <v>CALZADO</v>
          </cell>
          <cell r="D2741" t="str">
            <v>ZAPATO</v>
          </cell>
          <cell r="E2741" t="str">
            <v>ZAPATO CLASSIC</v>
          </cell>
          <cell r="F2741" t="str">
            <v>BRIDGE</v>
          </cell>
          <cell r="G2741">
            <v>0</v>
          </cell>
          <cell r="H2741" t="str">
            <v>NEGRO</v>
          </cell>
          <cell r="I2741">
            <v>39</v>
          </cell>
          <cell r="J2741" t="str">
            <v>H</v>
          </cell>
        </row>
        <row r="2742">
          <cell r="B2742" t="str">
            <v>CA060020301-40</v>
          </cell>
          <cell r="C2742" t="str">
            <v>CALZADO</v>
          </cell>
          <cell r="D2742" t="str">
            <v>ZAPATO</v>
          </cell>
          <cell r="E2742" t="str">
            <v>ZAPATO CLASSIC</v>
          </cell>
          <cell r="F2742" t="str">
            <v>BRIDGE</v>
          </cell>
          <cell r="G2742">
            <v>0</v>
          </cell>
          <cell r="H2742" t="str">
            <v>NEGRO</v>
          </cell>
          <cell r="I2742">
            <v>40</v>
          </cell>
          <cell r="J2742" t="str">
            <v>H</v>
          </cell>
        </row>
        <row r="2743">
          <cell r="B2743" t="str">
            <v>CA060020301-41</v>
          </cell>
          <cell r="C2743" t="str">
            <v>CALZADO</v>
          </cell>
          <cell r="D2743" t="str">
            <v>ZAPATO</v>
          </cell>
          <cell r="E2743" t="str">
            <v>ZAPATO CLASSIC</v>
          </cell>
          <cell r="F2743" t="str">
            <v>BRIDGE</v>
          </cell>
          <cell r="G2743">
            <v>0</v>
          </cell>
          <cell r="H2743" t="str">
            <v>NEGRO</v>
          </cell>
          <cell r="I2743">
            <v>41</v>
          </cell>
          <cell r="J2743" t="str">
            <v>H</v>
          </cell>
        </row>
        <row r="2744">
          <cell r="B2744" t="str">
            <v>CA060020301-42</v>
          </cell>
          <cell r="C2744" t="str">
            <v>CALZADO</v>
          </cell>
          <cell r="D2744" t="str">
            <v>ZAPATO</v>
          </cell>
          <cell r="E2744" t="str">
            <v>ZAPATO CLASSIC</v>
          </cell>
          <cell r="F2744" t="str">
            <v>BRIDGE</v>
          </cell>
          <cell r="G2744">
            <v>0</v>
          </cell>
          <cell r="H2744" t="str">
            <v>NEGRO</v>
          </cell>
          <cell r="I2744">
            <v>42</v>
          </cell>
          <cell r="J2744" t="str">
            <v>H</v>
          </cell>
        </row>
        <row r="2745">
          <cell r="B2745" t="str">
            <v>CA060020301-43</v>
          </cell>
          <cell r="C2745" t="str">
            <v>CALZADO</v>
          </cell>
          <cell r="D2745" t="str">
            <v>ZAPATO</v>
          </cell>
          <cell r="E2745" t="str">
            <v>ZAPATO CLASSIC</v>
          </cell>
          <cell r="F2745" t="str">
            <v>BRIDGE</v>
          </cell>
          <cell r="G2745">
            <v>0</v>
          </cell>
          <cell r="H2745" t="str">
            <v>NEGRO</v>
          </cell>
          <cell r="I2745">
            <v>43</v>
          </cell>
          <cell r="J2745" t="str">
            <v>H</v>
          </cell>
        </row>
        <row r="2746">
          <cell r="B2746" t="str">
            <v>CA060020301-44</v>
          </cell>
          <cell r="C2746" t="str">
            <v>CALZADO</v>
          </cell>
          <cell r="D2746" t="str">
            <v>ZAPATO</v>
          </cell>
          <cell r="E2746" t="str">
            <v>ZAPATO CLASSIC</v>
          </cell>
          <cell r="F2746" t="str">
            <v>BRIDGE</v>
          </cell>
          <cell r="G2746">
            <v>0</v>
          </cell>
          <cell r="H2746" t="str">
            <v>NEGRO</v>
          </cell>
          <cell r="I2746">
            <v>44</v>
          </cell>
          <cell r="J2746" t="str">
            <v>H</v>
          </cell>
        </row>
        <row r="2747">
          <cell r="B2747" t="str">
            <v>CA060020301-45</v>
          </cell>
          <cell r="C2747" t="str">
            <v>CALZADO</v>
          </cell>
          <cell r="D2747" t="str">
            <v>ZAPATO</v>
          </cell>
          <cell r="E2747" t="str">
            <v>ZAPATO CLASSIC</v>
          </cell>
          <cell r="F2747" t="str">
            <v>BRIDGE</v>
          </cell>
          <cell r="G2747">
            <v>0</v>
          </cell>
          <cell r="H2747" t="str">
            <v>NEGRO</v>
          </cell>
          <cell r="I2747">
            <v>45</v>
          </cell>
          <cell r="J2747" t="str">
            <v>H</v>
          </cell>
        </row>
        <row r="2748">
          <cell r="B2748" t="str">
            <v>CA060020304-39</v>
          </cell>
          <cell r="C2748" t="str">
            <v>CALZADO</v>
          </cell>
          <cell r="D2748" t="str">
            <v>ZAPATO</v>
          </cell>
          <cell r="E2748" t="str">
            <v>ZAPATO CLASSIC</v>
          </cell>
          <cell r="F2748" t="str">
            <v>BRIDGE</v>
          </cell>
          <cell r="G2748">
            <v>0</v>
          </cell>
          <cell r="H2748" t="str">
            <v>TABACO</v>
          </cell>
          <cell r="I2748">
            <v>39</v>
          </cell>
          <cell r="J2748" t="str">
            <v>H</v>
          </cell>
        </row>
        <row r="2749">
          <cell r="B2749" t="str">
            <v>CA060020304-40</v>
          </cell>
          <cell r="C2749" t="str">
            <v>CALZADO</v>
          </cell>
          <cell r="D2749" t="str">
            <v>ZAPATO</v>
          </cell>
          <cell r="E2749" t="str">
            <v>ZAPATO CLASSIC</v>
          </cell>
          <cell r="F2749" t="str">
            <v>BRIDGE</v>
          </cell>
          <cell r="G2749">
            <v>0</v>
          </cell>
          <cell r="H2749" t="str">
            <v>TABACO</v>
          </cell>
          <cell r="I2749">
            <v>40</v>
          </cell>
          <cell r="J2749" t="str">
            <v>H</v>
          </cell>
        </row>
        <row r="2750">
          <cell r="B2750" t="str">
            <v>CA060020304-41</v>
          </cell>
          <cell r="C2750" t="str">
            <v>CALZADO</v>
          </cell>
          <cell r="D2750" t="str">
            <v>ZAPATO</v>
          </cell>
          <cell r="E2750" t="str">
            <v>ZAPATO CLASSIC</v>
          </cell>
          <cell r="F2750" t="str">
            <v>BRIDGE</v>
          </cell>
          <cell r="G2750">
            <v>0</v>
          </cell>
          <cell r="H2750" t="str">
            <v>TABACO</v>
          </cell>
          <cell r="I2750">
            <v>41</v>
          </cell>
          <cell r="J2750" t="str">
            <v>H</v>
          </cell>
        </row>
        <row r="2751">
          <cell r="B2751" t="str">
            <v>CA060020304-42</v>
          </cell>
          <cell r="C2751" t="str">
            <v>CALZADO</v>
          </cell>
          <cell r="D2751" t="str">
            <v>ZAPATO</v>
          </cell>
          <cell r="E2751" t="str">
            <v>ZAPATO CLASSIC</v>
          </cell>
          <cell r="F2751" t="str">
            <v>BRIDGE</v>
          </cell>
          <cell r="G2751">
            <v>0</v>
          </cell>
          <cell r="H2751" t="str">
            <v>TABACO</v>
          </cell>
          <cell r="I2751">
            <v>42</v>
          </cell>
          <cell r="J2751" t="str">
            <v>H</v>
          </cell>
        </row>
        <row r="2752">
          <cell r="B2752" t="str">
            <v>CA060020304-43</v>
          </cell>
          <cell r="C2752" t="str">
            <v>CALZADO</v>
          </cell>
          <cell r="D2752" t="str">
            <v>ZAPATO</v>
          </cell>
          <cell r="E2752" t="str">
            <v>ZAPATO CLASSIC</v>
          </cell>
          <cell r="F2752" t="str">
            <v>BRIDGE</v>
          </cell>
          <cell r="G2752">
            <v>0</v>
          </cell>
          <cell r="H2752" t="str">
            <v>TABACO</v>
          </cell>
          <cell r="I2752">
            <v>43</v>
          </cell>
          <cell r="J2752" t="str">
            <v>H</v>
          </cell>
        </row>
        <row r="2753">
          <cell r="B2753" t="str">
            <v>CA060020304-44</v>
          </cell>
          <cell r="C2753" t="str">
            <v>CALZADO</v>
          </cell>
          <cell r="D2753" t="str">
            <v>ZAPATO</v>
          </cell>
          <cell r="E2753" t="str">
            <v>ZAPATO CLASSIC</v>
          </cell>
          <cell r="F2753" t="str">
            <v>BRIDGE</v>
          </cell>
          <cell r="G2753">
            <v>0</v>
          </cell>
          <cell r="H2753" t="str">
            <v>TABACO</v>
          </cell>
          <cell r="I2753">
            <v>44</v>
          </cell>
          <cell r="J2753" t="str">
            <v>H</v>
          </cell>
        </row>
        <row r="2754">
          <cell r="B2754" t="str">
            <v>CA060020304-45</v>
          </cell>
          <cell r="C2754" t="str">
            <v>CALZADO</v>
          </cell>
          <cell r="D2754" t="str">
            <v>ZAPATO</v>
          </cell>
          <cell r="E2754" t="str">
            <v>ZAPATO CLASSIC</v>
          </cell>
          <cell r="F2754" t="str">
            <v>BRIDGE</v>
          </cell>
          <cell r="G2754">
            <v>0</v>
          </cell>
          <cell r="H2754" t="str">
            <v>TABACO</v>
          </cell>
          <cell r="I2754">
            <v>45</v>
          </cell>
          <cell r="J2754" t="str">
            <v>H</v>
          </cell>
        </row>
        <row r="2755">
          <cell r="B2755" t="str">
            <v>CA070030103-39</v>
          </cell>
          <cell r="C2755" t="str">
            <v>CALZADO</v>
          </cell>
          <cell r="D2755" t="str">
            <v>ZAPATO</v>
          </cell>
          <cell r="E2755" t="str">
            <v>ZAPATO NAUTICO C ACORDONADO</v>
          </cell>
          <cell r="F2755" t="str">
            <v>CUERO</v>
          </cell>
          <cell r="G2755">
            <v>0</v>
          </cell>
          <cell r="H2755" t="str">
            <v>CARAMELO</v>
          </cell>
          <cell r="I2755">
            <v>39</v>
          </cell>
          <cell r="J2755" t="str">
            <v>H</v>
          </cell>
        </row>
        <row r="2756">
          <cell r="B2756" t="str">
            <v>CA070030103-40</v>
          </cell>
          <cell r="C2756" t="str">
            <v>CALZADO</v>
          </cell>
          <cell r="D2756" t="str">
            <v>ZAPATO</v>
          </cell>
          <cell r="E2756" t="str">
            <v>ZAPATO NAUTICO C ACORDONADO</v>
          </cell>
          <cell r="F2756" t="str">
            <v>CUERO</v>
          </cell>
          <cell r="G2756">
            <v>0</v>
          </cell>
          <cell r="H2756" t="str">
            <v>CARAMELO</v>
          </cell>
          <cell r="I2756">
            <v>40</v>
          </cell>
          <cell r="J2756" t="str">
            <v>H</v>
          </cell>
        </row>
        <row r="2757">
          <cell r="B2757" t="str">
            <v>CA070030103-41</v>
          </cell>
          <cell r="C2757" t="str">
            <v>CALZADO</v>
          </cell>
          <cell r="D2757" t="str">
            <v>ZAPATO</v>
          </cell>
          <cell r="E2757" t="str">
            <v>ZAPATO NAUTICO C ACORDONADO</v>
          </cell>
          <cell r="F2757" t="str">
            <v>CUERO</v>
          </cell>
          <cell r="G2757">
            <v>0</v>
          </cell>
          <cell r="H2757" t="str">
            <v>CARAMELO</v>
          </cell>
          <cell r="I2757">
            <v>41</v>
          </cell>
          <cell r="J2757" t="str">
            <v>H</v>
          </cell>
        </row>
        <row r="2758">
          <cell r="B2758" t="str">
            <v>CA070030103-42</v>
          </cell>
          <cell r="C2758" t="str">
            <v>CALZADO</v>
          </cell>
          <cell r="D2758" t="str">
            <v>ZAPATO</v>
          </cell>
          <cell r="E2758" t="str">
            <v>ZAPATO NAUTICO C ACORDONADO</v>
          </cell>
          <cell r="F2758" t="str">
            <v>CUERO</v>
          </cell>
          <cell r="G2758">
            <v>0</v>
          </cell>
          <cell r="H2758" t="str">
            <v>CARAMELO</v>
          </cell>
          <cell r="I2758">
            <v>42</v>
          </cell>
          <cell r="J2758" t="str">
            <v>H</v>
          </cell>
        </row>
        <row r="2759">
          <cell r="B2759" t="str">
            <v>CA070030103-43</v>
          </cell>
          <cell r="C2759" t="str">
            <v>CALZADO</v>
          </cell>
          <cell r="D2759" t="str">
            <v>ZAPATO</v>
          </cell>
          <cell r="E2759" t="str">
            <v>ZAPATO NAUTICO C ACORDONADO</v>
          </cell>
          <cell r="F2759" t="str">
            <v>CUERO</v>
          </cell>
          <cell r="G2759">
            <v>0</v>
          </cell>
          <cell r="H2759" t="str">
            <v>CARAMELO</v>
          </cell>
          <cell r="I2759">
            <v>43</v>
          </cell>
          <cell r="J2759" t="str">
            <v>H</v>
          </cell>
        </row>
        <row r="2760">
          <cell r="B2760" t="str">
            <v>CA070030103-44</v>
          </cell>
          <cell r="C2760" t="str">
            <v>CALZADO</v>
          </cell>
          <cell r="D2760" t="str">
            <v>ZAPATO</v>
          </cell>
          <cell r="E2760" t="str">
            <v>ZAPATO NAUTICO C ACORDONADO</v>
          </cell>
          <cell r="F2760" t="str">
            <v>CUERO</v>
          </cell>
          <cell r="G2760">
            <v>0</v>
          </cell>
          <cell r="H2760" t="str">
            <v>CARAMELO</v>
          </cell>
          <cell r="I2760">
            <v>44</v>
          </cell>
          <cell r="J2760" t="str">
            <v>H</v>
          </cell>
        </row>
        <row r="2761">
          <cell r="B2761" t="str">
            <v>CA070030103-45</v>
          </cell>
          <cell r="C2761" t="str">
            <v>CALZADO</v>
          </cell>
          <cell r="D2761" t="str">
            <v>ZAPATO</v>
          </cell>
          <cell r="E2761" t="str">
            <v>ZAPATO NAUTICO C ACORDONADO</v>
          </cell>
          <cell r="F2761" t="str">
            <v>CUERO</v>
          </cell>
          <cell r="G2761">
            <v>0</v>
          </cell>
          <cell r="H2761" t="str">
            <v>CARAMELO</v>
          </cell>
          <cell r="I2761">
            <v>45</v>
          </cell>
          <cell r="J2761" t="str">
            <v>H</v>
          </cell>
        </row>
        <row r="2762">
          <cell r="B2762" t="str">
            <v>CA070030104-39</v>
          </cell>
          <cell r="C2762" t="str">
            <v>CALZADO</v>
          </cell>
          <cell r="D2762" t="str">
            <v>ZAPATO</v>
          </cell>
          <cell r="E2762" t="str">
            <v>ZAPATO NAUTICO C ACORDONADO</v>
          </cell>
          <cell r="F2762" t="str">
            <v>CUERO</v>
          </cell>
          <cell r="G2762">
            <v>0</v>
          </cell>
          <cell r="H2762" t="str">
            <v>TABACO</v>
          </cell>
          <cell r="I2762">
            <v>39</v>
          </cell>
          <cell r="J2762" t="str">
            <v>H</v>
          </cell>
        </row>
        <row r="2763">
          <cell r="B2763" t="str">
            <v>CA070030104-40</v>
          </cell>
          <cell r="C2763" t="str">
            <v>CALZADO</v>
          </cell>
          <cell r="D2763" t="str">
            <v>ZAPATO</v>
          </cell>
          <cell r="E2763" t="str">
            <v>ZAPATO NAUTICO C ACORDONADO</v>
          </cell>
          <cell r="F2763" t="str">
            <v>CUERO</v>
          </cell>
          <cell r="G2763">
            <v>0</v>
          </cell>
          <cell r="H2763" t="str">
            <v>TABACO</v>
          </cell>
          <cell r="I2763">
            <v>40</v>
          </cell>
          <cell r="J2763" t="str">
            <v>H</v>
          </cell>
        </row>
        <row r="2764">
          <cell r="B2764" t="str">
            <v>CA070030104-41</v>
          </cell>
          <cell r="C2764" t="str">
            <v>CALZADO</v>
          </cell>
          <cell r="D2764" t="str">
            <v>ZAPATO</v>
          </cell>
          <cell r="E2764" t="str">
            <v>ZAPATO NAUTICO C ACORDONADO</v>
          </cell>
          <cell r="F2764" t="str">
            <v>CUERO</v>
          </cell>
          <cell r="G2764">
            <v>0</v>
          </cell>
          <cell r="H2764" t="str">
            <v>TABACO</v>
          </cell>
          <cell r="I2764">
            <v>41</v>
          </cell>
          <cell r="J2764" t="str">
            <v>H</v>
          </cell>
        </row>
        <row r="2765">
          <cell r="B2765" t="str">
            <v>CA070030104-42</v>
          </cell>
          <cell r="C2765" t="str">
            <v>CALZADO</v>
          </cell>
          <cell r="D2765" t="str">
            <v>ZAPATO</v>
          </cell>
          <cell r="E2765" t="str">
            <v>ZAPATO NAUTICO C ACORDONADO</v>
          </cell>
          <cell r="F2765" t="str">
            <v>CUERO</v>
          </cell>
          <cell r="G2765">
            <v>0</v>
          </cell>
          <cell r="H2765" t="str">
            <v>TABACO</v>
          </cell>
          <cell r="I2765">
            <v>42</v>
          </cell>
          <cell r="J2765" t="str">
            <v>H</v>
          </cell>
        </row>
        <row r="2766">
          <cell r="B2766" t="str">
            <v>CA070030104-43</v>
          </cell>
          <cell r="C2766" t="str">
            <v>CALZADO</v>
          </cell>
          <cell r="D2766" t="str">
            <v>ZAPATO</v>
          </cell>
          <cell r="E2766" t="str">
            <v>ZAPATO NAUTICO C ACORDONADO</v>
          </cell>
          <cell r="F2766" t="str">
            <v>CUERO</v>
          </cell>
          <cell r="G2766">
            <v>0</v>
          </cell>
          <cell r="H2766" t="str">
            <v>TABACO</v>
          </cell>
          <cell r="I2766">
            <v>43</v>
          </cell>
          <cell r="J2766" t="str">
            <v>H</v>
          </cell>
        </row>
        <row r="2767">
          <cell r="B2767" t="str">
            <v>CA070030104-44</v>
          </cell>
          <cell r="C2767" t="str">
            <v>CALZADO</v>
          </cell>
          <cell r="D2767" t="str">
            <v>ZAPATO</v>
          </cell>
          <cell r="E2767" t="str">
            <v>ZAPATO NAUTICO C ACORDONADO</v>
          </cell>
          <cell r="F2767" t="str">
            <v>CUERO</v>
          </cell>
          <cell r="G2767">
            <v>0</v>
          </cell>
          <cell r="H2767" t="str">
            <v>TABACO</v>
          </cell>
          <cell r="I2767">
            <v>44</v>
          </cell>
          <cell r="J2767" t="str">
            <v>H</v>
          </cell>
        </row>
        <row r="2768">
          <cell r="B2768" t="str">
            <v>CA070030104-45</v>
          </cell>
          <cell r="C2768" t="str">
            <v>CALZADO</v>
          </cell>
          <cell r="D2768" t="str">
            <v>ZAPATO</v>
          </cell>
          <cell r="E2768" t="str">
            <v>ZAPATO NAUTICO C ACORDONADO</v>
          </cell>
          <cell r="F2768" t="str">
            <v>CUERO</v>
          </cell>
          <cell r="G2768">
            <v>0</v>
          </cell>
          <cell r="H2768" t="str">
            <v>TABACO</v>
          </cell>
          <cell r="I2768">
            <v>45</v>
          </cell>
          <cell r="J2768" t="str">
            <v>H</v>
          </cell>
        </row>
        <row r="2769">
          <cell r="B2769" t="str">
            <v>CA070030104-46</v>
          </cell>
          <cell r="C2769" t="str">
            <v>CALZADO</v>
          </cell>
          <cell r="D2769" t="str">
            <v>ZAPATO</v>
          </cell>
          <cell r="E2769" t="str">
            <v>ZAPATO NAUTICO C ACORDONADO</v>
          </cell>
          <cell r="F2769" t="str">
            <v>CUERO</v>
          </cell>
          <cell r="G2769">
            <v>0</v>
          </cell>
          <cell r="H2769" t="str">
            <v>TABACO</v>
          </cell>
          <cell r="I2769">
            <v>46</v>
          </cell>
          <cell r="J2769" t="str">
            <v>H</v>
          </cell>
        </row>
        <row r="2770">
          <cell r="B2770" t="str">
            <v>CA070030109-38</v>
          </cell>
          <cell r="C2770" t="str">
            <v>CALZADO</v>
          </cell>
          <cell r="D2770" t="str">
            <v>ZAPATO</v>
          </cell>
          <cell r="E2770" t="str">
            <v>ZAPATO NAUTICO C ACORDONADO</v>
          </cell>
          <cell r="F2770" t="str">
            <v>CUERO</v>
          </cell>
          <cell r="G2770">
            <v>0</v>
          </cell>
          <cell r="H2770" t="str">
            <v>AZUL/BLANCO</v>
          </cell>
          <cell r="I2770">
            <v>38</v>
          </cell>
          <cell r="J2770" t="str">
            <v>H</v>
          </cell>
        </row>
        <row r="2771">
          <cell r="B2771" t="str">
            <v>CA070030109-39</v>
          </cell>
          <cell r="C2771" t="str">
            <v>CALZADO</v>
          </cell>
          <cell r="D2771" t="str">
            <v>ZAPATO</v>
          </cell>
          <cell r="E2771" t="str">
            <v>ZAPATO NAUTICO C ACORDONADO</v>
          </cell>
          <cell r="F2771" t="str">
            <v>CUERO</v>
          </cell>
          <cell r="G2771">
            <v>0</v>
          </cell>
          <cell r="H2771" t="str">
            <v>AZUL/BLANCO</v>
          </cell>
          <cell r="I2771">
            <v>39</v>
          </cell>
          <cell r="J2771" t="str">
            <v>H</v>
          </cell>
        </row>
        <row r="2772">
          <cell r="B2772" t="str">
            <v>CA070030109-40</v>
          </cell>
          <cell r="C2772" t="str">
            <v>CALZADO</v>
          </cell>
          <cell r="D2772" t="str">
            <v>ZAPATO</v>
          </cell>
          <cell r="E2772" t="str">
            <v>ZAPATO NAUTICO C ACORDONADO</v>
          </cell>
          <cell r="F2772" t="str">
            <v>CUERO</v>
          </cell>
          <cell r="G2772">
            <v>0</v>
          </cell>
          <cell r="H2772" t="str">
            <v>AZUL/BLANCO</v>
          </cell>
          <cell r="I2772">
            <v>40</v>
          </cell>
          <cell r="J2772" t="str">
            <v>H</v>
          </cell>
        </row>
        <row r="2773">
          <cell r="B2773" t="str">
            <v>CA070030109-41</v>
          </cell>
          <cell r="C2773" t="str">
            <v>CALZADO</v>
          </cell>
          <cell r="D2773" t="str">
            <v>ZAPATO</v>
          </cell>
          <cell r="E2773" t="str">
            <v>ZAPATO NAUTICO C ACORDONADO</v>
          </cell>
          <cell r="F2773" t="str">
            <v>CUERO</v>
          </cell>
          <cell r="G2773">
            <v>0</v>
          </cell>
          <cell r="H2773" t="str">
            <v>AZUL/BLANCO</v>
          </cell>
          <cell r="I2773">
            <v>41</v>
          </cell>
          <cell r="J2773" t="str">
            <v>H</v>
          </cell>
        </row>
        <row r="2774">
          <cell r="B2774" t="str">
            <v>CA070030109-42</v>
          </cell>
          <cell r="C2774" t="str">
            <v>CALZADO</v>
          </cell>
          <cell r="D2774" t="str">
            <v>ZAPATO</v>
          </cell>
          <cell r="E2774" t="str">
            <v>ZAPATO NAUTICO C ACORDONADO</v>
          </cell>
          <cell r="F2774" t="str">
            <v>CUERO</v>
          </cell>
          <cell r="G2774">
            <v>0</v>
          </cell>
          <cell r="H2774" t="str">
            <v>AZUL/BLANCO</v>
          </cell>
          <cell r="I2774">
            <v>42</v>
          </cell>
          <cell r="J2774" t="str">
            <v>H</v>
          </cell>
        </row>
        <row r="2775">
          <cell r="B2775" t="str">
            <v>CA070030109-43</v>
          </cell>
          <cell r="C2775" t="str">
            <v>CALZADO</v>
          </cell>
          <cell r="D2775" t="str">
            <v>ZAPATO</v>
          </cell>
          <cell r="E2775" t="str">
            <v>ZAPATO NAUTICO C ACORDONADO</v>
          </cell>
          <cell r="F2775" t="str">
            <v>CUERO</v>
          </cell>
          <cell r="G2775">
            <v>0</v>
          </cell>
          <cell r="H2775" t="str">
            <v>AZUL/BLANCO</v>
          </cell>
          <cell r="I2775">
            <v>43</v>
          </cell>
          <cell r="J2775" t="str">
            <v>H</v>
          </cell>
        </row>
        <row r="2776">
          <cell r="B2776" t="str">
            <v>CA070030109-44</v>
          </cell>
          <cell r="C2776" t="str">
            <v>CALZADO</v>
          </cell>
          <cell r="D2776" t="str">
            <v>ZAPATO</v>
          </cell>
          <cell r="E2776" t="str">
            <v>ZAPATO NAUTICO C ACORDONADO</v>
          </cell>
          <cell r="F2776" t="str">
            <v>CUERO</v>
          </cell>
          <cell r="G2776">
            <v>0</v>
          </cell>
          <cell r="H2776" t="str">
            <v>AZUL/BLANCO</v>
          </cell>
          <cell r="I2776">
            <v>44</v>
          </cell>
          <cell r="J2776" t="str">
            <v>H</v>
          </cell>
        </row>
        <row r="2777">
          <cell r="B2777" t="str">
            <v>CA070030109-45</v>
          </cell>
          <cell r="C2777" t="str">
            <v>CALZADO</v>
          </cell>
          <cell r="D2777" t="str">
            <v>ZAPATO</v>
          </cell>
          <cell r="E2777" t="str">
            <v>ZAPATO NAUTICO C ACORDONADO</v>
          </cell>
          <cell r="F2777" t="str">
            <v>CUERO</v>
          </cell>
          <cell r="G2777">
            <v>0</v>
          </cell>
          <cell r="H2777" t="str">
            <v>AZUL/BLANCO</v>
          </cell>
          <cell r="I2777">
            <v>45</v>
          </cell>
          <cell r="J2777" t="str">
            <v>H</v>
          </cell>
        </row>
        <row r="2778">
          <cell r="B2778" t="str">
            <v>CA070030109-46</v>
          </cell>
          <cell r="C2778" t="str">
            <v>CALZADO</v>
          </cell>
          <cell r="D2778" t="str">
            <v>ZAPATO</v>
          </cell>
          <cell r="E2778" t="str">
            <v>ZAPATO NAUTICO C ACORDONADO</v>
          </cell>
          <cell r="F2778" t="str">
            <v>CUERO</v>
          </cell>
          <cell r="G2778">
            <v>0</v>
          </cell>
          <cell r="H2778" t="str">
            <v>AZUL/BLANCO</v>
          </cell>
          <cell r="I2778">
            <v>46</v>
          </cell>
          <cell r="J2778" t="str">
            <v>H</v>
          </cell>
        </row>
        <row r="2779">
          <cell r="B2779" t="str">
            <v>CA080040009-38</v>
          </cell>
          <cell r="C2779" t="str">
            <v>CALZADO</v>
          </cell>
          <cell r="D2779" t="str">
            <v>ZAPATO</v>
          </cell>
          <cell r="E2779" t="str">
            <v>ZAPATO NAUTICO V</v>
          </cell>
          <cell r="F2779" t="str">
            <v>CUERO</v>
          </cell>
          <cell r="G2779">
            <v>0</v>
          </cell>
          <cell r="H2779" t="str">
            <v>AZUL/BLANCO</v>
          </cell>
          <cell r="I2779">
            <v>38</v>
          </cell>
          <cell r="J2779" t="str">
            <v>H</v>
          </cell>
        </row>
        <row r="2780">
          <cell r="B2780" t="str">
            <v>CA080040009-39</v>
          </cell>
          <cell r="C2780" t="str">
            <v>CALZADO</v>
          </cell>
          <cell r="D2780" t="str">
            <v>ZAPATO</v>
          </cell>
          <cell r="E2780" t="str">
            <v>ZAPATO NAUTICO V</v>
          </cell>
          <cell r="F2780" t="str">
            <v>CUERO</v>
          </cell>
          <cell r="G2780">
            <v>0</v>
          </cell>
          <cell r="H2780" t="str">
            <v>AZUL/BLANCO</v>
          </cell>
          <cell r="I2780">
            <v>39</v>
          </cell>
          <cell r="J2780" t="str">
            <v>H</v>
          </cell>
        </row>
        <row r="2781">
          <cell r="B2781" t="str">
            <v>CA080040009-40</v>
          </cell>
          <cell r="C2781" t="str">
            <v>CALZADO</v>
          </cell>
          <cell r="D2781" t="str">
            <v>ZAPATO</v>
          </cell>
          <cell r="E2781" t="str">
            <v>ZAPATO NAUTICO V</v>
          </cell>
          <cell r="F2781" t="str">
            <v>CUERO</v>
          </cell>
          <cell r="G2781">
            <v>0</v>
          </cell>
          <cell r="H2781" t="str">
            <v>AZUL/BLANCO</v>
          </cell>
          <cell r="I2781">
            <v>40</v>
          </cell>
          <cell r="J2781" t="str">
            <v>H</v>
          </cell>
        </row>
        <row r="2782">
          <cell r="B2782" t="str">
            <v>CA080040009-41</v>
          </cell>
          <cell r="C2782" t="str">
            <v>CALZADO</v>
          </cell>
          <cell r="D2782" t="str">
            <v>ZAPATO</v>
          </cell>
          <cell r="E2782" t="str">
            <v>ZAPATO NAUTICO V</v>
          </cell>
          <cell r="F2782" t="str">
            <v>CUERO</v>
          </cell>
          <cell r="G2782">
            <v>0</v>
          </cell>
          <cell r="H2782" t="str">
            <v>AZUL/BLANCO</v>
          </cell>
          <cell r="I2782">
            <v>41</v>
          </cell>
          <cell r="J2782" t="str">
            <v>H</v>
          </cell>
        </row>
        <row r="2783">
          <cell r="B2783" t="str">
            <v>CA080040009-42</v>
          </cell>
          <cell r="C2783" t="str">
            <v>CALZADO</v>
          </cell>
          <cell r="D2783" t="str">
            <v>ZAPATO</v>
          </cell>
          <cell r="E2783" t="str">
            <v>ZAPATO NAUTICO V</v>
          </cell>
          <cell r="F2783" t="str">
            <v>CUERO</v>
          </cell>
          <cell r="G2783">
            <v>0</v>
          </cell>
          <cell r="H2783" t="str">
            <v>AZUL/BLANCO</v>
          </cell>
          <cell r="I2783">
            <v>42</v>
          </cell>
          <cell r="J2783" t="str">
            <v>H</v>
          </cell>
        </row>
        <row r="2784">
          <cell r="B2784" t="str">
            <v>CA080040009-43</v>
          </cell>
          <cell r="C2784" t="str">
            <v>CALZADO</v>
          </cell>
          <cell r="D2784" t="str">
            <v>ZAPATO</v>
          </cell>
          <cell r="E2784" t="str">
            <v>ZAPATO NAUTICO V</v>
          </cell>
          <cell r="F2784" t="str">
            <v>CUERO</v>
          </cell>
          <cell r="G2784">
            <v>0</v>
          </cell>
          <cell r="H2784" t="str">
            <v>AZUL/BLANCO</v>
          </cell>
          <cell r="I2784">
            <v>43</v>
          </cell>
          <cell r="J2784" t="str">
            <v>H</v>
          </cell>
        </row>
        <row r="2785">
          <cell r="B2785" t="str">
            <v>CA080040009-44</v>
          </cell>
          <cell r="C2785" t="str">
            <v>CALZADO</v>
          </cell>
          <cell r="D2785" t="str">
            <v>ZAPATO</v>
          </cell>
          <cell r="E2785" t="str">
            <v>ZAPATO NAUTICO V</v>
          </cell>
          <cell r="F2785" t="str">
            <v>CUERO</v>
          </cell>
          <cell r="G2785">
            <v>0</v>
          </cell>
          <cell r="H2785" t="str">
            <v>AZUL/BLANCO</v>
          </cell>
          <cell r="I2785">
            <v>44</v>
          </cell>
          <cell r="J2785" t="str">
            <v>H</v>
          </cell>
        </row>
        <row r="2786">
          <cell r="B2786" t="str">
            <v>CA080040009-45</v>
          </cell>
          <cell r="C2786" t="str">
            <v>CALZADO</v>
          </cell>
          <cell r="D2786" t="str">
            <v>ZAPATO</v>
          </cell>
          <cell r="E2786" t="str">
            <v>ZAPATO NAUTICO V</v>
          </cell>
          <cell r="F2786" t="str">
            <v>CUERO</v>
          </cell>
          <cell r="G2786">
            <v>0</v>
          </cell>
          <cell r="H2786" t="str">
            <v>AZUL/BLANCO</v>
          </cell>
          <cell r="I2786">
            <v>45</v>
          </cell>
          <cell r="J2786" t="str">
            <v>H</v>
          </cell>
        </row>
        <row r="2787">
          <cell r="B2787" t="str">
            <v>CA080040001-37</v>
          </cell>
          <cell r="C2787" t="str">
            <v>CALZADO</v>
          </cell>
          <cell r="D2787" t="str">
            <v>ZAPATO</v>
          </cell>
          <cell r="E2787" t="str">
            <v>ZAPATO NAUTICO V ACORDONADO</v>
          </cell>
          <cell r="F2787" t="str">
            <v>CUERO</v>
          </cell>
          <cell r="G2787">
            <v>0</v>
          </cell>
          <cell r="H2787" t="str">
            <v>NEGRO/NEGRO</v>
          </cell>
          <cell r="I2787">
            <v>37</v>
          </cell>
          <cell r="J2787">
            <v>0</v>
          </cell>
        </row>
        <row r="2788">
          <cell r="B2788" t="str">
            <v>CA080040001-38</v>
          </cell>
          <cell r="C2788" t="str">
            <v>CALZADO</v>
          </cell>
          <cell r="D2788" t="str">
            <v>ZAPATO</v>
          </cell>
          <cell r="E2788" t="str">
            <v>ZAPATO NAUTICO V ACORDONADO</v>
          </cell>
          <cell r="F2788" t="str">
            <v>CUERO</v>
          </cell>
          <cell r="G2788">
            <v>0</v>
          </cell>
          <cell r="H2788" t="str">
            <v>NEGRO/NEGRO</v>
          </cell>
          <cell r="I2788">
            <v>38</v>
          </cell>
          <cell r="J2788">
            <v>0</v>
          </cell>
        </row>
        <row r="2789">
          <cell r="B2789" t="str">
            <v>CA080040001-39</v>
          </cell>
          <cell r="C2789" t="str">
            <v>CALZADO</v>
          </cell>
          <cell r="D2789" t="str">
            <v>ZAPATO</v>
          </cell>
          <cell r="E2789" t="str">
            <v>ZAPATO NAUTICO V ACORDONADO</v>
          </cell>
          <cell r="F2789" t="str">
            <v>CUERO</v>
          </cell>
          <cell r="G2789">
            <v>0</v>
          </cell>
          <cell r="H2789" t="str">
            <v>NEGRO/NEGRO</v>
          </cell>
          <cell r="I2789">
            <v>39</v>
          </cell>
          <cell r="J2789">
            <v>0</v>
          </cell>
        </row>
        <row r="2790">
          <cell r="B2790" t="str">
            <v>CA080040001-40</v>
          </cell>
          <cell r="C2790" t="str">
            <v>CALZADO</v>
          </cell>
          <cell r="D2790" t="str">
            <v>ZAPATO</v>
          </cell>
          <cell r="E2790" t="str">
            <v>ZAPATO NAUTICO V ACORDONADO</v>
          </cell>
          <cell r="F2790" t="str">
            <v>CUERO</v>
          </cell>
          <cell r="G2790">
            <v>0</v>
          </cell>
          <cell r="H2790" t="str">
            <v>NEGRO/NEGRO</v>
          </cell>
          <cell r="I2790">
            <v>40</v>
          </cell>
          <cell r="J2790">
            <v>0</v>
          </cell>
        </row>
        <row r="2791">
          <cell r="B2791" t="str">
            <v>CA080040001-41</v>
          </cell>
          <cell r="C2791" t="str">
            <v>CALZADO</v>
          </cell>
          <cell r="D2791" t="str">
            <v>ZAPATO</v>
          </cell>
          <cell r="E2791" t="str">
            <v>ZAPATO NAUTICO V ACORDONADO</v>
          </cell>
          <cell r="F2791" t="str">
            <v>CUERO</v>
          </cell>
          <cell r="G2791">
            <v>0</v>
          </cell>
          <cell r="H2791" t="str">
            <v>NEGRO/NEGRO</v>
          </cell>
          <cell r="I2791">
            <v>41</v>
          </cell>
          <cell r="J2791">
            <v>0</v>
          </cell>
        </row>
        <row r="2792">
          <cell r="B2792" t="str">
            <v>CA080040001-42</v>
          </cell>
          <cell r="C2792" t="str">
            <v>CALZADO</v>
          </cell>
          <cell r="D2792" t="str">
            <v>ZAPATO</v>
          </cell>
          <cell r="E2792" t="str">
            <v>ZAPATO NAUTICO V ACORDONADO</v>
          </cell>
          <cell r="F2792" t="str">
            <v>CUERO</v>
          </cell>
          <cell r="G2792">
            <v>0</v>
          </cell>
          <cell r="H2792" t="str">
            <v>NEGRO/NEGRO</v>
          </cell>
          <cell r="I2792">
            <v>42</v>
          </cell>
          <cell r="J2792">
            <v>0</v>
          </cell>
        </row>
        <row r="2793">
          <cell r="B2793" t="str">
            <v>CA080040001-43</v>
          </cell>
          <cell r="C2793" t="str">
            <v>CALZADO</v>
          </cell>
          <cell r="D2793" t="str">
            <v>ZAPATO</v>
          </cell>
          <cell r="E2793" t="str">
            <v>ZAPATO NAUTICO V ACORDONADO</v>
          </cell>
          <cell r="F2793" t="str">
            <v>CUERO</v>
          </cell>
          <cell r="G2793">
            <v>0</v>
          </cell>
          <cell r="H2793" t="str">
            <v>NEGRO/NEGRO</v>
          </cell>
          <cell r="I2793">
            <v>43</v>
          </cell>
          <cell r="J2793">
            <v>0</v>
          </cell>
        </row>
        <row r="2794">
          <cell r="B2794" t="str">
            <v>CA080040001-44</v>
          </cell>
          <cell r="C2794" t="str">
            <v>CALZADO</v>
          </cell>
          <cell r="D2794" t="str">
            <v>ZAPATO</v>
          </cell>
          <cell r="E2794" t="str">
            <v>ZAPATO NAUTICO V ACORDONADO</v>
          </cell>
          <cell r="F2794" t="str">
            <v>CUERO</v>
          </cell>
          <cell r="G2794">
            <v>0</v>
          </cell>
          <cell r="H2794" t="str">
            <v>NEGRO/NEGRO</v>
          </cell>
          <cell r="I2794">
            <v>44</v>
          </cell>
          <cell r="J2794">
            <v>0</v>
          </cell>
        </row>
        <row r="2795">
          <cell r="B2795" t="str">
            <v>CA080040001-45</v>
          </cell>
          <cell r="C2795" t="str">
            <v>CALZADO</v>
          </cell>
          <cell r="D2795" t="str">
            <v>ZAPATO</v>
          </cell>
          <cell r="E2795" t="str">
            <v>ZAPATO NAUTICO V ACORDONADO</v>
          </cell>
          <cell r="F2795" t="str">
            <v>CUERO</v>
          </cell>
          <cell r="G2795">
            <v>0</v>
          </cell>
          <cell r="H2795" t="str">
            <v>NEGRO/NEGRO</v>
          </cell>
          <cell r="I2795">
            <v>45</v>
          </cell>
          <cell r="J2795">
            <v>0</v>
          </cell>
        </row>
        <row r="2796">
          <cell r="B2796" t="str">
            <v>CA080040004-37</v>
          </cell>
          <cell r="C2796" t="str">
            <v>CALZADO</v>
          </cell>
          <cell r="D2796" t="str">
            <v>ZAPATO</v>
          </cell>
          <cell r="E2796" t="str">
            <v>ZAPATO NAUTICO V ACORDONADO</v>
          </cell>
          <cell r="F2796" t="str">
            <v>CUERO</v>
          </cell>
          <cell r="G2796">
            <v>0</v>
          </cell>
          <cell r="H2796" t="str">
            <v>TABACO/MARRON</v>
          </cell>
          <cell r="I2796">
            <v>37</v>
          </cell>
          <cell r="J2796">
            <v>0</v>
          </cell>
        </row>
        <row r="2797">
          <cell r="B2797" t="str">
            <v>CA080040004-38</v>
          </cell>
          <cell r="C2797" t="str">
            <v>CALZADO</v>
          </cell>
          <cell r="D2797" t="str">
            <v>ZAPATO</v>
          </cell>
          <cell r="E2797" t="str">
            <v>ZAPATO NAUTICO V ACORDONADO</v>
          </cell>
          <cell r="F2797" t="str">
            <v>CUERO</v>
          </cell>
          <cell r="G2797">
            <v>0</v>
          </cell>
          <cell r="H2797" t="str">
            <v>TABACO/MARRON</v>
          </cell>
          <cell r="I2797">
            <v>38</v>
          </cell>
          <cell r="J2797">
            <v>0</v>
          </cell>
        </row>
        <row r="2798">
          <cell r="B2798" t="str">
            <v>CA080040004-39</v>
          </cell>
          <cell r="C2798" t="str">
            <v>CALZADO</v>
          </cell>
          <cell r="D2798" t="str">
            <v>ZAPATO</v>
          </cell>
          <cell r="E2798" t="str">
            <v>ZAPATO NAUTICO V ACORDONADO</v>
          </cell>
          <cell r="F2798" t="str">
            <v>CUERO</v>
          </cell>
          <cell r="G2798">
            <v>0</v>
          </cell>
          <cell r="H2798" t="str">
            <v>TABACO/MARRON</v>
          </cell>
          <cell r="I2798">
            <v>39</v>
          </cell>
          <cell r="J2798">
            <v>0</v>
          </cell>
        </row>
        <row r="2799">
          <cell r="B2799" t="str">
            <v>CA080040004-40</v>
          </cell>
          <cell r="C2799" t="str">
            <v>CALZADO</v>
          </cell>
          <cell r="D2799" t="str">
            <v>ZAPATO</v>
          </cell>
          <cell r="E2799" t="str">
            <v>ZAPATO NAUTICO V ACORDONADO</v>
          </cell>
          <cell r="F2799" t="str">
            <v>CUERO</v>
          </cell>
          <cell r="G2799">
            <v>0</v>
          </cell>
          <cell r="H2799" t="str">
            <v>TABACO/MARRON</v>
          </cell>
          <cell r="I2799">
            <v>40</v>
          </cell>
          <cell r="J2799">
            <v>0</v>
          </cell>
        </row>
        <row r="2800">
          <cell r="B2800" t="str">
            <v>CA080040004-41</v>
          </cell>
          <cell r="C2800" t="str">
            <v>CALZADO</v>
          </cell>
          <cell r="D2800" t="str">
            <v>ZAPATO</v>
          </cell>
          <cell r="E2800" t="str">
            <v>ZAPATO NAUTICO V ACORDONADO</v>
          </cell>
          <cell r="F2800" t="str">
            <v>CUERO</v>
          </cell>
          <cell r="G2800">
            <v>0</v>
          </cell>
          <cell r="H2800" t="str">
            <v>TABACO/MARRON</v>
          </cell>
          <cell r="I2800">
            <v>41</v>
          </cell>
          <cell r="J2800">
            <v>0</v>
          </cell>
        </row>
        <row r="2801">
          <cell r="B2801" t="str">
            <v>CA080040004-42</v>
          </cell>
          <cell r="C2801" t="str">
            <v>CALZADO</v>
          </cell>
          <cell r="D2801" t="str">
            <v>ZAPATO</v>
          </cell>
          <cell r="E2801" t="str">
            <v>ZAPATO NAUTICO V ACORDONADO</v>
          </cell>
          <cell r="F2801" t="str">
            <v>CUERO</v>
          </cell>
          <cell r="G2801">
            <v>0</v>
          </cell>
          <cell r="H2801" t="str">
            <v>TABACO/MARRON</v>
          </cell>
          <cell r="I2801">
            <v>42</v>
          </cell>
          <cell r="J2801">
            <v>0</v>
          </cell>
        </row>
        <row r="2802">
          <cell r="B2802" t="str">
            <v>CA080040004-43</v>
          </cell>
          <cell r="C2802" t="str">
            <v>CALZADO</v>
          </cell>
          <cell r="D2802" t="str">
            <v>ZAPATO</v>
          </cell>
          <cell r="E2802" t="str">
            <v>ZAPATO NAUTICO V ACORDONADO</v>
          </cell>
          <cell r="F2802" t="str">
            <v>CUERO</v>
          </cell>
          <cell r="G2802">
            <v>0</v>
          </cell>
          <cell r="H2802" t="str">
            <v>TABACO/MARRON</v>
          </cell>
          <cell r="I2802">
            <v>43</v>
          </cell>
          <cell r="J2802">
            <v>0</v>
          </cell>
        </row>
        <row r="2803">
          <cell r="B2803" t="str">
            <v>CA080040004-44</v>
          </cell>
          <cell r="C2803" t="str">
            <v>CALZADO</v>
          </cell>
          <cell r="D2803" t="str">
            <v>ZAPATO</v>
          </cell>
          <cell r="E2803" t="str">
            <v>ZAPATO NAUTICO V ACORDONADO</v>
          </cell>
          <cell r="F2803" t="str">
            <v>CUERO</v>
          </cell>
          <cell r="G2803">
            <v>0</v>
          </cell>
          <cell r="H2803" t="str">
            <v>TABACO/MARRON</v>
          </cell>
          <cell r="I2803">
            <v>44</v>
          </cell>
          <cell r="J2803">
            <v>0</v>
          </cell>
        </row>
        <row r="2804">
          <cell r="B2804" t="str">
            <v>CA080040004-45</v>
          </cell>
          <cell r="C2804" t="str">
            <v>CALZADO</v>
          </cell>
          <cell r="D2804" t="str">
            <v>ZAPATO</v>
          </cell>
          <cell r="E2804" t="str">
            <v>ZAPATO NAUTICO V ACORDONADO</v>
          </cell>
          <cell r="F2804" t="str">
            <v>CUERO</v>
          </cell>
          <cell r="G2804">
            <v>0</v>
          </cell>
          <cell r="H2804" t="str">
            <v>TABACO/MARRON</v>
          </cell>
          <cell r="I2804">
            <v>45</v>
          </cell>
          <cell r="J2804">
            <v>0</v>
          </cell>
        </row>
        <row r="2805">
          <cell r="B2805" t="str">
            <v>CA080050001-37</v>
          </cell>
          <cell r="C2805" t="str">
            <v>CALZADO</v>
          </cell>
          <cell r="D2805" t="str">
            <v>ZAPATO</v>
          </cell>
          <cell r="E2805" t="str">
            <v>ZAPATO NAUTICO V ACORDONADO</v>
          </cell>
          <cell r="F2805" t="str">
            <v>CUERO</v>
          </cell>
          <cell r="G2805">
            <v>0</v>
          </cell>
          <cell r="H2805" t="str">
            <v>NEGRO/NEGRO</v>
          </cell>
          <cell r="I2805">
            <v>37</v>
          </cell>
          <cell r="J2805">
            <v>0</v>
          </cell>
        </row>
        <row r="2806">
          <cell r="B2806" t="str">
            <v>CA080050001-38</v>
          </cell>
          <cell r="C2806" t="str">
            <v>CALZADO</v>
          </cell>
          <cell r="D2806" t="str">
            <v>ZAPATO</v>
          </cell>
          <cell r="E2806" t="str">
            <v>ZAPATO NAUTICO V ACORDONADO</v>
          </cell>
          <cell r="F2806" t="str">
            <v>CUERO</v>
          </cell>
          <cell r="G2806">
            <v>0</v>
          </cell>
          <cell r="H2806" t="str">
            <v>NEGRO/NEGRO</v>
          </cell>
          <cell r="I2806">
            <v>38</v>
          </cell>
          <cell r="J2806">
            <v>0</v>
          </cell>
        </row>
        <row r="2807">
          <cell r="B2807" t="str">
            <v>CA080050001-39</v>
          </cell>
          <cell r="C2807" t="str">
            <v>CALZADO</v>
          </cell>
          <cell r="D2807" t="str">
            <v>ZAPATO</v>
          </cell>
          <cell r="E2807" t="str">
            <v>ZAPATO NAUTICO V ACORDONADO</v>
          </cell>
          <cell r="F2807" t="str">
            <v>CUERO</v>
          </cell>
          <cell r="G2807">
            <v>0</v>
          </cell>
          <cell r="H2807" t="str">
            <v>NEGRO/NEGRO</v>
          </cell>
          <cell r="I2807">
            <v>39</v>
          </cell>
          <cell r="J2807">
            <v>0</v>
          </cell>
        </row>
        <row r="2808">
          <cell r="B2808" t="str">
            <v>CA080050001-40</v>
          </cell>
          <cell r="C2808" t="str">
            <v>CALZADO</v>
          </cell>
          <cell r="D2808" t="str">
            <v>ZAPATO</v>
          </cell>
          <cell r="E2808" t="str">
            <v>ZAPATO NAUTICO V ACORDONADO</v>
          </cell>
          <cell r="F2808" t="str">
            <v>CUERO</v>
          </cell>
          <cell r="G2808">
            <v>0</v>
          </cell>
          <cell r="H2808" t="str">
            <v>NEGRO/NEGRO</v>
          </cell>
          <cell r="I2808">
            <v>40</v>
          </cell>
          <cell r="J2808">
            <v>0</v>
          </cell>
        </row>
        <row r="2809">
          <cell r="B2809" t="str">
            <v>CA080050001-41</v>
          </cell>
          <cell r="C2809" t="str">
            <v>CALZADO</v>
          </cell>
          <cell r="D2809" t="str">
            <v>ZAPATO</v>
          </cell>
          <cell r="E2809" t="str">
            <v>ZAPATO NAUTICO V ACORDONADO</v>
          </cell>
          <cell r="F2809" t="str">
            <v>CUERO</v>
          </cell>
          <cell r="G2809">
            <v>0</v>
          </cell>
          <cell r="H2809" t="str">
            <v>NEGRO/NEGRO</v>
          </cell>
          <cell r="I2809">
            <v>41</v>
          </cell>
          <cell r="J2809">
            <v>0</v>
          </cell>
        </row>
        <row r="2810">
          <cell r="B2810" t="str">
            <v>CA080050001-42</v>
          </cell>
          <cell r="C2810" t="str">
            <v>CALZADO</v>
          </cell>
          <cell r="D2810" t="str">
            <v>ZAPATO</v>
          </cell>
          <cell r="E2810" t="str">
            <v>ZAPATO NAUTICO V ACORDONADO</v>
          </cell>
          <cell r="F2810" t="str">
            <v>CUERO</v>
          </cell>
          <cell r="G2810">
            <v>0</v>
          </cell>
          <cell r="H2810" t="str">
            <v>NEGRO/NEGRO</v>
          </cell>
          <cell r="I2810">
            <v>42</v>
          </cell>
          <cell r="J2810">
            <v>0</v>
          </cell>
        </row>
        <row r="2811">
          <cell r="B2811" t="str">
            <v>CA080050001-43</v>
          </cell>
          <cell r="C2811" t="str">
            <v>CALZADO</v>
          </cell>
          <cell r="D2811" t="str">
            <v>ZAPATO</v>
          </cell>
          <cell r="E2811" t="str">
            <v>ZAPATO NAUTICO V ACORDONADO</v>
          </cell>
          <cell r="F2811" t="str">
            <v>CUERO</v>
          </cell>
          <cell r="G2811">
            <v>0</v>
          </cell>
          <cell r="H2811" t="str">
            <v>NEGRO/NEGRO</v>
          </cell>
          <cell r="I2811">
            <v>43</v>
          </cell>
          <cell r="J2811">
            <v>0</v>
          </cell>
        </row>
        <row r="2812">
          <cell r="B2812" t="str">
            <v>CA080050001-44</v>
          </cell>
          <cell r="C2812" t="str">
            <v>CALZADO</v>
          </cell>
          <cell r="D2812" t="str">
            <v>ZAPATO</v>
          </cell>
          <cell r="E2812" t="str">
            <v>ZAPATO NAUTICO V ACORDONADO</v>
          </cell>
          <cell r="F2812" t="str">
            <v>CUERO</v>
          </cell>
          <cell r="G2812">
            <v>0</v>
          </cell>
          <cell r="H2812" t="str">
            <v>NEGRO/NEGRO</v>
          </cell>
          <cell r="I2812">
            <v>44</v>
          </cell>
          <cell r="J2812">
            <v>0</v>
          </cell>
        </row>
        <row r="2813">
          <cell r="B2813" t="str">
            <v>CA080050001-45</v>
          </cell>
          <cell r="C2813" t="str">
            <v>CALZADO</v>
          </cell>
          <cell r="D2813" t="str">
            <v>ZAPATO</v>
          </cell>
          <cell r="E2813" t="str">
            <v>ZAPATO NAUTICO V ACORDONADO</v>
          </cell>
          <cell r="F2813" t="str">
            <v>CUERO</v>
          </cell>
          <cell r="G2813">
            <v>0</v>
          </cell>
          <cell r="H2813" t="str">
            <v>NEGRO/NEGRO</v>
          </cell>
          <cell r="I2813">
            <v>45</v>
          </cell>
          <cell r="J2813">
            <v>0</v>
          </cell>
        </row>
        <row r="2814">
          <cell r="B2814" t="str">
            <v>CA080050003-38</v>
          </cell>
          <cell r="C2814" t="str">
            <v>CALZADO</v>
          </cell>
          <cell r="D2814" t="str">
            <v>ZAPATO</v>
          </cell>
          <cell r="E2814" t="str">
            <v>ZAPATO NAUTICO V ACORDONADO</v>
          </cell>
          <cell r="F2814" t="str">
            <v>CUERO</v>
          </cell>
          <cell r="G2814">
            <v>0</v>
          </cell>
          <cell r="H2814" t="str">
            <v>CARAMELO/CARAMELO</v>
          </cell>
          <cell r="I2814">
            <v>38</v>
          </cell>
          <cell r="J2814" t="str">
            <v>H</v>
          </cell>
        </row>
        <row r="2815">
          <cell r="B2815" t="str">
            <v>CA080050003-39</v>
          </cell>
          <cell r="C2815" t="str">
            <v>CALZADO</v>
          </cell>
          <cell r="D2815" t="str">
            <v>ZAPATO</v>
          </cell>
          <cell r="E2815" t="str">
            <v>ZAPATO NAUTICO V ACORDONADO</v>
          </cell>
          <cell r="F2815" t="str">
            <v>CUERO</v>
          </cell>
          <cell r="G2815">
            <v>0</v>
          </cell>
          <cell r="H2815" t="str">
            <v>CARAMELO/CARAMELO</v>
          </cell>
          <cell r="I2815">
            <v>39</v>
          </cell>
          <cell r="J2815" t="str">
            <v>H</v>
          </cell>
        </row>
        <row r="2816">
          <cell r="B2816" t="str">
            <v>CA080050003-40</v>
          </cell>
          <cell r="C2816" t="str">
            <v>CALZADO</v>
          </cell>
          <cell r="D2816" t="str">
            <v>ZAPATO</v>
          </cell>
          <cell r="E2816" t="str">
            <v>ZAPATO NAUTICO V ACORDONADO</v>
          </cell>
          <cell r="F2816" t="str">
            <v>CUERO</v>
          </cell>
          <cell r="G2816">
            <v>0</v>
          </cell>
          <cell r="H2816" t="str">
            <v>CARAMELO/CARAMELO</v>
          </cell>
          <cell r="I2816">
            <v>40</v>
          </cell>
          <cell r="J2816" t="str">
            <v>H</v>
          </cell>
        </row>
        <row r="2817">
          <cell r="B2817" t="str">
            <v>CA080050003-41</v>
          </cell>
          <cell r="C2817" t="str">
            <v>CALZADO</v>
          </cell>
          <cell r="D2817" t="str">
            <v>ZAPATO</v>
          </cell>
          <cell r="E2817" t="str">
            <v>ZAPATO NAUTICO V ACORDONADO</v>
          </cell>
          <cell r="F2817" t="str">
            <v>CUERO</v>
          </cell>
          <cell r="G2817">
            <v>0</v>
          </cell>
          <cell r="H2817" t="str">
            <v>CARAMELO/CARAMELO</v>
          </cell>
          <cell r="I2817">
            <v>41</v>
          </cell>
          <cell r="J2817" t="str">
            <v>H</v>
          </cell>
        </row>
        <row r="2818">
          <cell r="B2818" t="str">
            <v>CA080050003-42</v>
          </cell>
          <cell r="C2818" t="str">
            <v>CALZADO</v>
          </cell>
          <cell r="D2818" t="str">
            <v>ZAPATO</v>
          </cell>
          <cell r="E2818" t="str">
            <v>ZAPATO NAUTICO V ACORDONADO</v>
          </cell>
          <cell r="F2818" t="str">
            <v>CUERO</v>
          </cell>
          <cell r="G2818">
            <v>0</v>
          </cell>
          <cell r="H2818" t="str">
            <v>CARAMELO/CARAMELO</v>
          </cell>
          <cell r="I2818">
            <v>42</v>
          </cell>
          <cell r="J2818" t="str">
            <v>H</v>
          </cell>
        </row>
        <row r="2819">
          <cell r="B2819" t="str">
            <v>CA080050003-43</v>
          </cell>
          <cell r="C2819" t="str">
            <v>CALZADO</v>
          </cell>
          <cell r="D2819" t="str">
            <v>ZAPATO</v>
          </cell>
          <cell r="E2819" t="str">
            <v>ZAPATO NAUTICO V ACORDONADO</v>
          </cell>
          <cell r="F2819" t="str">
            <v>CUERO</v>
          </cell>
          <cell r="G2819">
            <v>0</v>
          </cell>
          <cell r="H2819" t="str">
            <v>CARAMELO/CARAMELO</v>
          </cell>
          <cell r="I2819">
            <v>43</v>
          </cell>
          <cell r="J2819" t="str">
            <v>H</v>
          </cell>
        </row>
        <row r="2820">
          <cell r="B2820" t="str">
            <v>CA080050003-44</v>
          </cell>
          <cell r="C2820" t="str">
            <v>CALZADO</v>
          </cell>
          <cell r="D2820" t="str">
            <v>ZAPATO</v>
          </cell>
          <cell r="E2820" t="str">
            <v>ZAPATO NAUTICO V ACORDONADO</v>
          </cell>
          <cell r="F2820" t="str">
            <v>CUERO</v>
          </cell>
          <cell r="G2820">
            <v>0</v>
          </cell>
          <cell r="H2820" t="str">
            <v>CARAMELO/CARAMELO</v>
          </cell>
          <cell r="I2820">
            <v>44</v>
          </cell>
          <cell r="J2820" t="str">
            <v>H</v>
          </cell>
        </row>
        <row r="2821">
          <cell r="B2821" t="str">
            <v>CA080050003-45</v>
          </cell>
          <cell r="C2821" t="str">
            <v>CALZADO</v>
          </cell>
          <cell r="D2821" t="str">
            <v>ZAPATO</v>
          </cell>
          <cell r="E2821" t="str">
            <v>ZAPATO NAUTICO V ACORDONADO</v>
          </cell>
          <cell r="F2821" t="str">
            <v>CUERO</v>
          </cell>
          <cell r="G2821">
            <v>0</v>
          </cell>
          <cell r="H2821" t="str">
            <v>CARAMELO/CARAMELO</v>
          </cell>
          <cell r="I2821">
            <v>45</v>
          </cell>
          <cell r="J2821" t="str">
            <v>H</v>
          </cell>
        </row>
        <row r="2822">
          <cell r="B2822" t="str">
            <v>CA080050004-37</v>
          </cell>
          <cell r="C2822" t="str">
            <v>CALZADO</v>
          </cell>
          <cell r="D2822" t="str">
            <v>ZAPATO</v>
          </cell>
          <cell r="E2822" t="str">
            <v>ZAPATO NAUTICO V ACORDONADO</v>
          </cell>
          <cell r="F2822" t="str">
            <v>CUERO</v>
          </cell>
          <cell r="G2822">
            <v>0</v>
          </cell>
          <cell r="H2822" t="str">
            <v>TABACO/MARRON</v>
          </cell>
          <cell r="I2822">
            <v>37</v>
          </cell>
          <cell r="J2822">
            <v>0</v>
          </cell>
        </row>
        <row r="2823">
          <cell r="B2823" t="str">
            <v>CA080050004-38</v>
          </cell>
          <cell r="C2823" t="str">
            <v>CALZADO</v>
          </cell>
          <cell r="D2823" t="str">
            <v>ZAPATO</v>
          </cell>
          <cell r="E2823" t="str">
            <v>ZAPATO NAUTICO V ACORDONADO</v>
          </cell>
          <cell r="F2823" t="str">
            <v>CUERO</v>
          </cell>
          <cell r="G2823">
            <v>0</v>
          </cell>
          <cell r="H2823" t="str">
            <v>TABACO/MARRON</v>
          </cell>
          <cell r="I2823">
            <v>38</v>
          </cell>
          <cell r="J2823">
            <v>0</v>
          </cell>
        </row>
        <row r="2824">
          <cell r="B2824" t="str">
            <v>CA080050004-39</v>
          </cell>
          <cell r="C2824" t="str">
            <v>CALZADO</v>
          </cell>
          <cell r="D2824" t="str">
            <v>ZAPATO</v>
          </cell>
          <cell r="E2824" t="str">
            <v>ZAPATO NAUTICO V ACORDONADO</v>
          </cell>
          <cell r="F2824" t="str">
            <v>CUERO</v>
          </cell>
          <cell r="G2824">
            <v>0</v>
          </cell>
          <cell r="H2824" t="str">
            <v>TABACO/MARRON</v>
          </cell>
          <cell r="I2824">
            <v>39</v>
          </cell>
          <cell r="J2824">
            <v>0</v>
          </cell>
        </row>
        <row r="2825">
          <cell r="B2825" t="str">
            <v>CA080050004-40</v>
          </cell>
          <cell r="C2825" t="str">
            <v>CALZADO</v>
          </cell>
          <cell r="D2825" t="str">
            <v>ZAPATO</v>
          </cell>
          <cell r="E2825" t="str">
            <v>ZAPATO NAUTICO V ACORDONADO</v>
          </cell>
          <cell r="F2825" t="str">
            <v>CUERO</v>
          </cell>
          <cell r="G2825">
            <v>0</v>
          </cell>
          <cell r="H2825" t="str">
            <v>TABACO/MARRON</v>
          </cell>
          <cell r="I2825">
            <v>40</v>
          </cell>
          <cell r="J2825">
            <v>0</v>
          </cell>
        </row>
        <row r="2826">
          <cell r="B2826" t="str">
            <v>CA080050004-41</v>
          </cell>
          <cell r="C2826" t="str">
            <v>CALZADO</v>
          </cell>
          <cell r="D2826" t="str">
            <v>ZAPATO</v>
          </cell>
          <cell r="E2826" t="str">
            <v>ZAPATO NAUTICO V ACORDONADO</v>
          </cell>
          <cell r="F2826" t="str">
            <v>CUERO</v>
          </cell>
          <cell r="G2826">
            <v>0</v>
          </cell>
          <cell r="H2826" t="str">
            <v>TABACO/MARRON</v>
          </cell>
          <cell r="I2826">
            <v>41</v>
          </cell>
          <cell r="J2826">
            <v>0</v>
          </cell>
        </row>
        <row r="2827">
          <cell r="B2827" t="str">
            <v>CA080050004-42</v>
          </cell>
          <cell r="C2827" t="str">
            <v>CALZADO</v>
          </cell>
          <cell r="D2827" t="str">
            <v>ZAPATO</v>
          </cell>
          <cell r="E2827" t="str">
            <v>ZAPATO NAUTICO V ACORDONADO</v>
          </cell>
          <cell r="F2827" t="str">
            <v>CUERO</v>
          </cell>
          <cell r="G2827">
            <v>0</v>
          </cell>
          <cell r="H2827" t="str">
            <v>TABACO/MARRON</v>
          </cell>
          <cell r="I2827">
            <v>42</v>
          </cell>
          <cell r="J2827">
            <v>0</v>
          </cell>
        </row>
        <row r="2828">
          <cell r="B2828" t="str">
            <v>CA080050004-43</v>
          </cell>
          <cell r="C2828" t="str">
            <v>CALZADO</v>
          </cell>
          <cell r="D2828" t="str">
            <v>ZAPATO</v>
          </cell>
          <cell r="E2828" t="str">
            <v>ZAPATO NAUTICO V ACORDONADO</v>
          </cell>
          <cell r="F2828" t="str">
            <v>CUERO</v>
          </cell>
          <cell r="G2828">
            <v>0</v>
          </cell>
          <cell r="H2828" t="str">
            <v>TABACO/MARRON</v>
          </cell>
          <cell r="I2828">
            <v>43</v>
          </cell>
          <cell r="J2828">
            <v>0</v>
          </cell>
        </row>
        <row r="2829">
          <cell r="B2829" t="str">
            <v>CA080050004-44</v>
          </cell>
          <cell r="C2829" t="str">
            <v>CALZADO</v>
          </cell>
          <cell r="D2829" t="str">
            <v>ZAPATO</v>
          </cell>
          <cell r="E2829" t="str">
            <v>ZAPATO NAUTICO V ACORDONADO</v>
          </cell>
          <cell r="F2829" t="str">
            <v>CUERO</v>
          </cell>
          <cell r="G2829">
            <v>0</v>
          </cell>
          <cell r="H2829" t="str">
            <v>TABACO/MARRON</v>
          </cell>
          <cell r="I2829">
            <v>44</v>
          </cell>
          <cell r="J2829">
            <v>0</v>
          </cell>
        </row>
        <row r="2830">
          <cell r="B2830" t="str">
            <v>CA080050004-45</v>
          </cell>
          <cell r="C2830" t="str">
            <v>CALZADO</v>
          </cell>
          <cell r="D2830" t="str">
            <v>ZAPATO</v>
          </cell>
          <cell r="E2830" t="str">
            <v>ZAPATO NAUTICO V ACORDONADO</v>
          </cell>
          <cell r="F2830" t="str">
            <v>CUERO</v>
          </cell>
          <cell r="G2830">
            <v>0</v>
          </cell>
          <cell r="H2830" t="str">
            <v>TABACO/MARRON</v>
          </cell>
          <cell r="I2830">
            <v>45</v>
          </cell>
          <cell r="J2830">
            <v>0</v>
          </cell>
        </row>
        <row r="2831">
          <cell r="B2831" t="str">
            <v>CA080050009-37</v>
          </cell>
          <cell r="C2831" t="str">
            <v>CALZADO</v>
          </cell>
          <cell r="D2831" t="str">
            <v>ZAPATO</v>
          </cell>
          <cell r="E2831" t="str">
            <v>ZAPATO NAUTICO V ACORDONADO</v>
          </cell>
          <cell r="F2831" t="str">
            <v>CUERO</v>
          </cell>
          <cell r="G2831">
            <v>0</v>
          </cell>
          <cell r="H2831" t="str">
            <v>AZUL/BLANCO</v>
          </cell>
          <cell r="I2831">
            <v>37</v>
          </cell>
          <cell r="J2831" t="str">
            <v>H</v>
          </cell>
        </row>
        <row r="2832">
          <cell r="B2832" t="str">
            <v>CA080050009-38</v>
          </cell>
          <cell r="C2832" t="str">
            <v>CALZADO</v>
          </cell>
          <cell r="D2832" t="str">
            <v>ZAPATO</v>
          </cell>
          <cell r="E2832" t="str">
            <v>ZAPATO NAUTICO V ACORDONADO</v>
          </cell>
          <cell r="F2832" t="str">
            <v>CUERO</v>
          </cell>
          <cell r="G2832">
            <v>0</v>
          </cell>
          <cell r="H2832" t="str">
            <v>AZUL/BLANCO</v>
          </cell>
          <cell r="I2832">
            <v>38</v>
          </cell>
          <cell r="J2832" t="str">
            <v>H</v>
          </cell>
        </row>
        <row r="2833">
          <cell r="B2833" t="str">
            <v>CA080050009-39</v>
          </cell>
          <cell r="C2833" t="str">
            <v>CALZADO</v>
          </cell>
          <cell r="D2833" t="str">
            <v>ZAPATO</v>
          </cell>
          <cell r="E2833" t="str">
            <v>ZAPATO NAUTICO V ACORDONADO</v>
          </cell>
          <cell r="F2833" t="str">
            <v>CUERO</v>
          </cell>
          <cell r="G2833">
            <v>0</v>
          </cell>
          <cell r="H2833" t="str">
            <v>AZUL/BLANCO</v>
          </cell>
          <cell r="I2833">
            <v>39</v>
          </cell>
          <cell r="J2833" t="str">
            <v>H</v>
          </cell>
        </row>
        <row r="2834">
          <cell r="B2834" t="str">
            <v>CA080050009-40</v>
          </cell>
          <cell r="C2834" t="str">
            <v>CALZADO</v>
          </cell>
          <cell r="D2834" t="str">
            <v>ZAPATO</v>
          </cell>
          <cell r="E2834" t="str">
            <v>ZAPATO NAUTICO V ACORDONADO</v>
          </cell>
          <cell r="F2834" t="str">
            <v>CUERO</v>
          </cell>
          <cell r="G2834">
            <v>0</v>
          </cell>
          <cell r="H2834" t="str">
            <v>AZUL/BLANCO</v>
          </cell>
          <cell r="I2834">
            <v>40</v>
          </cell>
          <cell r="J2834" t="str">
            <v>H</v>
          </cell>
        </row>
        <row r="2835">
          <cell r="B2835" t="str">
            <v>CA080050009-41</v>
          </cell>
          <cell r="C2835" t="str">
            <v>CALZADO</v>
          </cell>
          <cell r="D2835" t="str">
            <v>ZAPATO</v>
          </cell>
          <cell r="E2835" t="str">
            <v>ZAPATO NAUTICO V ACORDONADO</v>
          </cell>
          <cell r="F2835" t="str">
            <v>CUERO</v>
          </cell>
          <cell r="G2835">
            <v>0</v>
          </cell>
          <cell r="H2835" t="str">
            <v>AZUL/BLANCO</v>
          </cell>
          <cell r="I2835">
            <v>41</v>
          </cell>
          <cell r="J2835" t="str">
            <v>H</v>
          </cell>
        </row>
        <row r="2836">
          <cell r="B2836" t="str">
            <v>CA080050009-42</v>
          </cell>
          <cell r="C2836" t="str">
            <v>CALZADO</v>
          </cell>
          <cell r="D2836" t="str">
            <v>ZAPATO</v>
          </cell>
          <cell r="E2836" t="str">
            <v>ZAPATO NAUTICO V ACORDONADO</v>
          </cell>
          <cell r="F2836" t="str">
            <v>CUERO</v>
          </cell>
          <cell r="G2836">
            <v>0</v>
          </cell>
          <cell r="H2836" t="str">
            <v>AZUL/BLANCO</v>
          </cell>
          <cell r="I2836">
            <v>42</v>
          </cell>
          <cell r="J2836" t="str">
            <v>H</v>
          </cell>
        </row>
        <row r="2837">
          <cell r="B2837" t="str">
            <v>CA080050009-43</v>
          </cell>
          <cell r="C2837" t="str">
            <v>CALZADO</v>
          </cell>
          <cell r="D2837" t="str">
            <v>ZAPATO</v>
          </cell>
          <cell r="E2837" t="str">
            <v>ZAPATO NAUTICO V ACORDONADO</v>
          </cell>
          <cell r="F2837" t="str">
            <v>CUERO</v>
          </cell>
          <cell r="G2837">
            <v>0</v>
          </cell>
          <cell r="H2837" t="str">
            <v>AZUL/BLANCO</v>
          </cell>
          <cell r="I2837">
            <v>43</v>
          </cell>
          <cell r="J2837" t="str">
            <v>H</v>
          </cell>
        </row>
        <row r="2838">
          <cell r="B2838" t="str">
            <v>CA080050009-44</v>
          </cell>
          <cell r="C2838" t="str">
            <v>CALZADO</v>
          </cell>
          <cell r="D2838" t="str">
            <v>ZAPATO</v>
          </cell>
          <cell r="E2838" t="str">
            <v>ZAPATO NAUTICO V ACORDONADO</v>
          </cell>
          <cell r="F2838" t="str">
            <v>CUERO</v>
          </cell>
          <cell r="G2838">
            <v>0</v>
          </cell>
          <cell r="H2838" t="str">
            <v>AZUL/BLANCO</v>
          </cell>
          <cell r="I2838">
            <v>44</v>
          </cell>
          <cell r="J2838" t="str">
            <v>H</v>
          </cell>
        </row>
        <row r="2839">
          <cell r="B2839" t="str">
            <v>CA080050009-45</v>
          </cell>
          <cell r="C2839" t="str">
            <v>CALZADO</v>
          </cell>
          <cell r="D2839" t="str">
            <v>ZAPATO</v>
          </cell>
          <cell r="E2839" t="str">
            <v>ZAPATO NAUTICO V ACORDONADO</v>
          </cell>
          <cell r="F2839" t="str">
            <v>CUERO</v>
          </cell>
          <cell r="G2839">
            <v>0</v>
          </cell>
          <cell r="H2839" t="str">
            <v>AZUL/BLANCO</v>
          </cell>
          <cell r="I2839">
            <v>45</v>
          </cell>
          <cell r="J2839" t="str">
            <v>H</v>
          </cell>
        </row>
        <row r="2840">
          <cell r="B2840" t="str">
            <v>MG011061601</v>
          </cell>
          <cell r="C2840" t="str">
            <v>MARRO GRANDE</v>
          </cell>
          <cell r="D2840" t="str">
            <v>BANDOLERA</v>
          </cell>
          <cell r="E2840" t="str">
            <v>BANDOLERA CARLA</v>
          </cell>
          <cell r="F2840" t="str">
            <v>FIORENTINO</v>
          </cell>
          <cell r="G2840">
            <v>0</v>
          </cell>
          <cell r="H2840" t="str">
            <v>NEGRO</v>
          </cell>
          <cell r="I2840" t="str">
            <v>U</v>
          </cell>
          <cell r="J2840" t="str">
            <v>M</v>
          </cell>
        </row>
        <row r="2841">
          <cell r="B2841" t="str">
            <v>MG011090102</v>
          </cell>
          <cell r="C2841" t="str">
            <v>MARRO GRANDE</v>
          </cell>
          <cell r="D2841" t="str">
            <v>BANDOLERA</v>
          </cell>
          <cell r="E2841" t="str">
            <v>BANDOLERA NEW VICENTA</v>
          </cell>
          <cell r="F2841" t="str">
            <v>NAPADO</v>
          </cell>
          <cell r="G2841">
            <v>0</v>
          </cell>
          <cell r="H2841" t="str">
            <v>SUELA</v>
          </cell>
          <cell r="I2841" t="str">
            <v>U</v>
          </cell>
          <cell r="J2841" t="str">
            <v>M</v>
          </cell>
        </row>
        <row r="2842">
          <cell r="B2842" t="str">
            <v>MC020011201</v>
          </cell>
          <cell r="C2842" t="str">
            <v>MARRO CHICA</v>
          </cell>
          <cell r="D2842" t="str">
            <v>NECESSAIRE</v>
          </cell>
          <cell r="E2842" t="str">
            <v>NECESSAIRE TOM</v>
          </cell>
          <cell r="F2842" t="str">
            <v>DUNA</v>
          </cell>
          <cell r="G2842">
            <v>0</v>
          </cell>
          <cell r="H2842" t="str">
            <v>NEGRO</v>
          </cell>
          <cell r="I2842" t="str">
            <v>U</v>
          </cell>
          <cell r="J2842" t="str">
            <v>U</v>
          </cell>
        </row>
        <row r="2843">
          <cell r="B2843" t="str">
            <v>TX270343700</v>
          </cell>
          <cell r="C2843" t="str">
            <v>TEXTIL</v>
          </cell>
          <cell r="D2843" t="str">
            <v>MEDIAS</v>
          </cell>
          <cell r="E2843" t="str">
            <v>MEDIA HOMBRE MEDIA CAÑA</v>
          </cell>
          <cell r="F2843" t="str">
            <v>ALGODON</v>
          </cell>
          <cell r="G2843">
            <v>0</v>
          </cell>
          <cell r="H2843" t="str">
            <v>BLANCO</v>
          </cell>
          <cell r="I2843" t="str">
            <v>U</v>
          </cell>
          <cell r="J2843" t="str">
            <v>H</v>
          </cell>
        </row>
        <row r="2844">
          <cell r="B2844" t="str">
            <v>TX270343701</v>
          </cell>
          <cell r="C2844" t="str">
            <v>TEXTIL</v>
          </cell>
          <cell r="D2844" t="str">
            <v>MEDIAS</v>
          </cell>
          <cell r="E2844" t="str">
            <v>MEDIA HOMBRE MEDIA CAÑA</v>
          </cell>
          <cell r="F2844" t="str">
            <v>ALGODON</v>
          </cell>
          <cell r="G2844">
            <v>0</v>
          </cell>
          <cell r="H2844" t="str">
            <v>NEGRO</v>
          </cell>
          <cell r="I2844" t="str">
            <v>U</v>
          </cell>
          <cell r="J2844" t="str">
            <v>H</v>
          </cell>
        </row>
        <row r="2845">
          <cell r="B2845" t="str">
            <v>TX270343712</v>
          </cell>
          <cell r="C2845" t="str">
            <v>TEXTIL</v>
          </cell>
          <cell r="D2845" t="str">
            <v>MEDIAS</v>
          </cell>
          <cell r="E2845" t="str">
            <v>MEDIA HOMBRE MEDIA CAÑA</v>
          </cell>
          <cell r="F2845" t="str">
            <v>ALGODON</v>
          </cell>
          <cell r="G2845">
            <v>0</v>
          </cell>
          <cell r="H2845" t="str">
            <v>GRIS</v>
          </cell>
          <cell r="I2845" t="str">
            <v>U</v>
          </cell>
          <cell r="J2845" t="str">
            <v>H</v>
          </cell>
        </row>
        <row r="2846">
          <cell r="B2846" t="str">
            <v>TX270343728</v>
          </cell>
          <cell r="C2846" t="str">
            <v>TEXTIL</v>
          </cell>
          <cell r="D2846" t="str">
            <v>MEDIAS</v>
          </cell>
          <cell r="E2846" t="str">
            <v>MEDIA HOMBRE MEDIA CAÑA</v>
          </cell>
          <cell r="F2846" t="str">
            <v>ALGODON</v>
          </cell>
          <cell r="G2846">
            <v>0</v>
          </cell>
          <cell r="H2846" t="str">
            <v>VISON</v>
          </cell>
          <cell r="I2846" t="str">
            <v>U</v>
          </cell>
          <cell r="J2846" t="str">
            <v>H</v>
          </cell>
        </row>
        <row r="2847">
          <cell r="B2847" t="str">
            <v>TX270343711</v>
          </cell>
          <cell r="C2847" t="str">
            <v>TEXTIL</v>
          </cell>
          <cell r="D2847" t="str">
            <v>MEDIAS</v>
          </cell>
          <cell r="E2847" t="str">
            <v>MEDIA HOMBRE MEDIA CAÑA</v>
          </cell>
          <cell r="F2847" t="str">
            <v>ALGODON</v>
          </cell>
          <cell r="G2847">
            <v>0</v>
          </cell>
          <cell r="H2847" t="str">
            <v>BEIGE</v>
          </cell>
          <cell r="I2847" t="str">
            <v>U</v>
          </cell>
          <cell r="J2847" t="str">
            <v>H</v>
          </cell>
        </row>
        <row r="2848">
          <cell r="B2848" t="str">
            <v>TX240353711-42</v>
          </cell>
          <cell r="C2848" t="str">
            <v>TEXTIL</v>
          </cell>
          <cell r="D2848" t="str">
            <v>CAMISA</v>
          </cell>
          <cell r="E2848" t="str">
            <v>CAMISA ALGODON</v>
          </cell>
          <cell r="F2848" t="str">
            <v>ALGODON</v>
          </cell>
          <cell r="G2848">
            <v>0</v>
          </cell>
          <cell r="H2848" t="str">
            <v>BEIGE</v>
          </cell>
          <cell r="I2848">
            <v>42</v>
          </cell>
          <cell r="J2848" t="str">
            <v>H</v>
          </cell>
        </row>
        <row r="2849">
          <cell r="B2849" t="str">
            <v>TX240363709-46</v>
          </cell>
          <cell r="C2849" t="str">
            <v>TEXTIL</v>
          </cell>
          <cell r="D2849" t="str">
            <v>CAMISA</v>
          </cell>
          <cell r="E2849" t="str">
            <v>CAMISA ALGODON</v>
          </cell>
          <cell r="F2849" t="str">
            <v>ALGODON</v>
          </cell>
          <cell r="G2849">
            <v>0</v>
          </cell>
          <cell r="H2849" t="str">
            <v>CELESTE</v>
          </cell>
          <cell r="I2849">
            <v>46</v>
          </cell>
          <cell r="J2849" t="str">
            <v>H</v>
          </cell>
        </row>
        <row r="2850">
          <cell r="B2850" t="str">
            <v>MG011090115</v>
          </cell>
          <cell r="C2850" t="str">
            <v>MARRO GRANDE</v>
          </cell>
          <cell r="D2850" t="str">
            <v>BANDOLERA</v>
          </cell>
          <cell r="E2850" t="str">
            <v>BANDOLERA NEW VICENTA</v>
          </cell>
          <cell r="F2850" t="str">
            <v>NAPADO</v>
          </cell>
          <cell r="G2850">
            <v>0</v>
          </cell>
          <cell r="H2850" t="str">
            <v>MALBEC</v>
          </cell>
          <cell r="I2850" t="str">
            <v>U</v>
          </cell>
          <cell r="J2850" t="str">
            <v>M</v>
          </cell>
        </row>
        <row r="2851">
          <cell r="B2851" t="str">
            <v>MG010830115</v>
          </cell>
          <cell r="C2851" t="str">
            <v>MARRO GRANDE</v>
          </cell>
          <cell r="D2851" t="str">
            <v>CARTERA</v>
          </cell>
          <cell r="E2851" t="str">
            <v>CARTERA LISBOA</v>
          </cell>
          <cell r="F2851" t="str">
            <v>NAPADO</v>
          </cell>
          <cell r="G2851">
            <v>0</v>
          </cell>
          <cell r="H2851" t="str">
            <v>MALBEC</v>
          </cell>
          <cell r="I2851" t="str">
            <v>U</v>
          </cell>
          <cell r="J2851" t="str">
            <v>M</v>
          </cell>
        </row>
        <row r="2852">
          <cell r="B2852" t="str">
            <v>TX280373700</v>
          </cell>
          <cell r="C2852" t="str">
            <v>TEXTIL</v>
          </cell>
          <cell r="D2852" t="str">
            <v>MEDIAS</v>
          </cell>
          <cell r="E2852" t="str">
            <v>MEDIA HOMBRE MEDIA CAÑA CORTA</v>
          </cell>
          <cell r="F2852" t="str">
            <v>ALGODON</v>
          </cell>
          <cell r="G2852">
            <v>0</v>
          </cell>
          <cell r="H2852" t="str">
            <v>BLANCO</v>
          </cell>
          <cell r="I2852" t="str">
            <v>U</v>
          </cell>
          <cell r="J2852" t="str">
            <v>H</v>
          </cell>
        </row>
        <row r="2853">
          <cell r="B2853" t="str">
            <v>TX280373701</v>
          </cell>
          <cell r="C2853" t="str">
            <v>TEXTIL</v>
          </cell>
          <cell r="D2853" t="str">
            <v>MEDIAS</v>
          </cell>
          <cell r="E2853" t="str">
            <v>MEDIA HOMBRE MEDIA CAÑA CORTA</v>
          </cell>
          <cell r="F2853" t="str">
            <v>ALGODON</v>
          </cell>
          <cell r="G2853">
            <v>0</v>
          </cell>
          <cell r="H2853" t="str">
            <v>NEGRO</v>
          </cell>
          <cell r="I2853" t="str">
            <v>U</v>
          </cell>
          <cell r="J2853" t="str">
            <v>H</v>
          </cell>
        </row>
        <row r="2854">
          <cell r="B2854" t="str">
            <v>TX280373737</v>
          </cell>
          <cell r="C2854" t="str">
            <v>TEXTIL</v>
          </cell>
          <cell r="D2854" t="str">
            <v>MEDIAS</v>
          </cell>
          <cell r="E2854" t="str">
            <v>MEDIA HOMBRE MEDIA CAÑA CORTA</v>
          </cell>
          <cell r="F2854" t="str">
            <v>ALGODON</v>
          </cell>
          <cell r="G2854">
            <v>0</v>
          </cell>
          <cell r="H2854" t="str">
            <v>AZUL MARINO</v>
          </cell>
          <cell r="I2854" t="str">
            <v>U</v>
          </cell>
          <cell r="J2854" t="str">
            <v>H</v>
          </cell>
        </row>
        <row r="2855">
          <cell r="B2855" t="str">
            <v>TX280373767</v>
          </cell>
          <cell r="C2855" t="str">
            <v>TEXTIL</v>
          </cell>
          <cell r="D2855" t="str">
            <v>MEDIAS</v>
          </cell>
          <cell r="E2855" t="str">
            <v>MEDIA HOMBRE MEDIA CAÑA CORTA</v>
          </cell>
          <cell r="F2855" t="str">
            <v>ALGODON</v>
          </cell>
          <cell r="G2855">
            <v>0</v>
          </cell>
          <cell r="H2855" t="str">
            <v>GRIS MELANGE 75</v>
          </cell>
          <cell r="I2855" t="str">
            <v>U</v>
          </cell>
          <cell r="J2855" t="str">
            <v>H</v>
          </cell>
        </row>
        <row r="2856">
          <cell r="B2856" t="str">
            <v>TX280373768</v>
          </cell>
          <cell r="C2856" t="str">
            <v>TEXTIL</v>
          </cell>
          <cell r="D2856" t="str">
            <v>MEDIAS</v>
          </cell>
          <cell r="E2856" t="str">
            <v>MEDIA HOMBRE MEDIA CAÑA CORTA</v>
          </cell>
          <cell r="F2856" t="str">
            <v>ALGODON</v>
          </cell>
          <cell r="G2856">
            <v>0</v>
          </cell>
          <cell r="H2856" t="str">
            <v>MELANGE 25</v>
          </cell>
          <cell r="I2856" t="str">
            <v>U</v>
          </cell>
          <cell r="J2856" t="str">
            <v>H</v>
          </cell>
        </row>
        <row r="2857">
          <cell r="B2857" t="str">
            <v>MC020371201</v>
          </cell>
          <cell r="C2857" t="str">
            <v>MARRO CHICA</v>
          </cell>
          <cell r="D2857" t="str">
            <v>BILLETERA</v>
          </cell>
          <cell r="E2857" t="str">
            <v>BILLETERA FICHERO</v>
          </cell>
          <cell r="F2857" t="str">
            <v>DUNA</v>
          </cell>
          <cell r="G2857">
            <v>0</v>
          </cell>
          <cell r="H2857" t="str">
            <v>NEGRO</v>
          </cell>
          <cell r="I2857" t="str">
            <v>U</v>
          </cell>
          <cell r="J2857" t="str">
            <v>M</v>
          </cell>
        </row>
        <row r="2858">
          <cell r="B2858" t="str">
            <v>OT020570103</v>
          </cell>
          <cell r="C2858" t="str">
            <v>ACCESORIOS</v>
          </cell>
          <cell r="D2858" t="str">
            <v>LLAVERO</v>
          </cell>
          <cell r="E2858" t="str">
            <v>LLAVERO MIRLO</v>
          </cell>
          <cell r="F2858" t="str">
            <v>NAPADO</v>
          </cell>
          <cell r="G2858">
            <v>0</v>
          </cell>
          <cell r="H2858" t="str">
            <v>CARAMELO</v>
          </cell>
          <cell r="I2858" t="str">
            <v>U</v>
          </cell>
          <cell r="J2858" t="str">
            <v>U</v>
          </cell>
        </row>
        <row r="2859">
          <cell r="B2859" t="str">
            <v>OT020570110</v>
          </cell>
          <cell r="C2859" t="str">
            <v>ACCESORIOS</v>
          </cell>
          <cell r="D2859" t="str">
            <v>LLAVERO</v>
          </cell>
          <cell r="E2859" t="str">
            <v>LLAVERO MIRLO</v>
          </cell>
          <cell r="F2859" t="str">
            <v>NAPADO</v>
          </cell>
          <cell r="G2859">
            <v>0</v>
          </cell>
          <cell r="H2859" t="str">
            <v>VERDE</v>
          </cell>
          <cell r="I2859" t="str">
            <v>U</v>
          </cell>
          <cell r="J2859" t="str">
            <v>U</v>
          </cell>
        </row>
        <row r="2860">
          <cell r="B2860" t="str">
            <v>OT020570102</v>
          </cell>
          <cell r="C2860" t="str">
            <v>ACCESORIOS</v>
          </cell>
          <cell r="D2860" t="str">
            <v>LLAVERO</v>
          </cell>
          <cell r="E2860" t="str">
            <v>LLAVERO MIRLO</v>
          </cell>
          <cell r="F2860" t="str">
            <v>NAPADO</v>
          </cell>
          <cell r="G2860">
            <v>0</v>
          </cell>
          <cell r="H2860" t="str">
            <v>SUELA</v>
          </cell>
          <cell r="I2860" t="str">
            <v>U</v>
          </cell>
          <cell r="J2860" t="str">
            <v>U</v>
          </cell>
        </row>
        <row r="2861">
          <cell r="B2861" t="str">
            <v>OT020570107</v>
          </cell>
          <cell r="C2861" t="str">
            <v>ACCESORIOS</v>
          </cell>
          <cell r="D2861" t="str">
            <v>LLAVERO</v>
          </cell>
          <cell r="E2861" t="str">
            <v>LLAVERO MIRLO</v>
          </cell>
          <cell r="F2861" t="str">
            <v>NAPADO</v>
          </cell>
          <cell r="G2861">
            <v>0</v>
          </cell>
          <cell r="H2861" t="str">
            <v>ROJO</v>
          </cell>
          <cell r="I2861" t="str">
            <v>U</v>
          </cell>
          <cell r="J2861" t="str">
            <v>U</v>
          </cell>
        </row>
        <row r="2862">
          <cell r="B2862" t="str">
            <v>OT020570101</v>
          </cell>
          <cell r="C2862" t="str">
            <v>ACCESORIOS</v>
          </cell>
          <cell r="D2862" t="str">
            <v>LLAVERO</v>
          </cell>
          <cell r="E2862" t="str">
            <v>LLAVERO MIRLO</v>
          </cell>
          <cell r="F2862" t="str">
            <v>NAPADO</v>
          </cell>
          <cell r="G2862">
            <v>0</v>
          </cell>
          <cell r="H2862" t="str">
            <v>NEGRO</v>
          </cell>
          <cell r="I2862" t="str">
            <v>U</v>
          </cell>
          <cell r="J2862" t="str">
            <v>U</v>
          </cell>
        </row>
        <row r="2863">
          <cell r="B2863" t="str">
            <v>OT020570109</v>
          </cell>
          <cell r="C2863" t="str">
            <v>ACCESORIOS</v>
          </cell>
          <cell r="D2863" t="str">
            <v>LLAVERO</v>
          </cell>
          <cell r="E2863" t="str">
            <v>LLAVERO MIRLO</v>
          </cell>
          <cell r="F2863" t="str">
            <v>NAPADO</v>
          </cell>
          <cell r="G2863">
            <v>0</v>
          </cell>
          <cell r="H2863" t="str">
            <v>AZUL</v>
          </cell>
          <cell r="I2863" t="str">
            <v>U</v>
          </cell>
          <cell r="J2863" t="str">
            <v>U</v>
          </cell>
        </row>
        <row r="2864">
          <cell r="B2864" t="str">
            <v>OT020580310-110</v>
          </cell>
          <cell r="C2864" t="str">
            <v>ACCESORIOS</v>
          </cell>
          <cell r="D2864" t="str">
            <v>CINTO</v>
          </cell>
          <cell r="E2864" t="str">
            <v>CINTO TOKIO</v>
          </cell>
          <cell r="F2864" t="str">
            <v>ALGODON</v>
          </cell>
          <cell r="G2864">
            <v>0</v>
          </cell>
          <cell r="H2864" t="str">
            <v>CARAMELO/VERDE</v>
          </cell>
          <cell r="I2864">
            <v>110</v>
          </cell>
          <cell r="J2864" t="str">
            <v>M</v>
          </cell>
        </row>
        <row r="2865">
          <cell r="B2865" t="str">
            <v>OT020580310-130</v>
          </cell>
          <cell r="C2865" t="str">
            <v>ACCESORIOS</v>
          </cell>
          <cell r="D2865" t="str">
            <v>CINTO</v>
          </cell>
          <cell r="E2865" t="str">
            <v>CINTO TOKIO</v>
          </cell>
          <cell r="F2865" t="str">
            <v>ALGODON</v>
          </cell>
          <cell r="G2865">
            <v>0</v>
          </cell>
          <cell r="H2865" t="str">
            <v>CARAMELO/VERDE</v>
          </cell>
          <cell r="I2865">
            <v>130</v>
          </cell>
          <cell r="J2865" t="str">
            <v>M</v>
          </cell>
        </row>
        <row r="2866">
          <cell r="B2866" t="str">
            <v>MG010713111</v>
          </cell>
          <cell r="C2866" t="str">
            <v>MARRO GRANDE</v>
          </cell>
          <cell r="D2866" t="str">
            <v>CARTERA</v>
          </cell>
          <cell r="E2866" t="str">
            <v xml:space="preserve">CARTERA AMARILLA SET SOBRE </v>
          </cell>
          <cell r="F2866" t="str">
            <v>PELO</v>
          </cell>
          <cell r="G2866">
            <v>0</v>
          </cell>
          <cell r="H2866" t="str">
            <v>BEIGE</v>
          </cell>
          <cell r="I2866" t="str">
            <v>U</v>
          </cell>
          <cell r="J2866" t="str">
            <v>M</v>
          </cell>
        </row>
        <row r="2867">
          <cell r="B2867" t="str">
            <v>MG010103163-4</v>
          </cell>
          <cell r="C2867" t="str">
            <v>MARRO GRANDE</v>
          </cell>
          <cell r="D2867" t="str">
            <v>BOLSO</v>
          </cell>
          <cell r="E2867" t="str">
            <v>BOLSO TUBO GRANDE</v>
          </cell>
          <cell r="F2867" t="str">
            <v>PELO/BR</v>
          </cell>
          <cell r="G2867">
            <v>0</v>
          </cell>
          <cell r="H2867" t="str">
            <v>MARRON/TABACO</v>
          </cell>
          <cell r="I2867" t="str">
            <v>U</v>
          </cell>
          <cell r="J2867" t="str">
            <v>U</v>
          </cell>
        </row>
        <row r="2868">
          <cell r="B2868" t="str">
            <v>MC020123347</v>
          </cell>
          <cell r="C2868" t="str">
            <v>MARRO CHICA</v>
          </cell>
          <cell r="D2868" t="str">
            <v>PORTAPASAPORTE</v>
          </cell>
          <cell r="E2868" t="str">
            <v>PORTAPASAPORTE RON</v>
          </cell>
          <cell r="F2868" t="str">
            <v>CRASH</v>
          </cell>
          <cell r="G2868">
            <v>0</v>
          </cell>
          <cell r="H2868" t="str">
            <v>DARK BLUE</v>
          </cell>
          <cell r="I2868" t="str">
            <v>U</v>
          </cell>
          <cell r="J2868" t="str">
            <v>U</v>
          </cell>
        </row>
        <row r="2869">
          <cell r="B2869" t="str">
            <v>MC020440152</v>
          </cell>
          <cell r="C2869" t="str">
            <v>MARRO CHICA</v>
          </cell>
          <cell r="D2869" t="str">
            <v>BILLETERA</v>
          </cell>
          <cell r="E2869" t="str">
            <v>BILLETERA LIAM</v>
          </cell>
          <cell r="F2869" t="str">
            <v>NAPADO</v>
          </cell>
          <cell r="G2869">
            <v>0</v>
          </cell>
          <cell r="H2869" t="str">
            <v>CHOCOLATE</v>
          </cell>
          <cell r="I2869" t="str">
            <v>U</v>
          </cell>
          <cell r="J2869" t="str">
            <v>H</v>
          </cell>
        </row>
        <row r="2870">
          <cell r="B2870" t="str">
            <v>MC020441201</v>
          </cell>
          <cell r="C2870" t="str">
            <v>MARRO CHICA</v>
          </cell>
          <cell r="D2870" t="str">
            <v>BILLETERA</v>
          </cell>
          <cell r="E2870" t="str">
            <v>BILLETERA LIAM</v>
          </cell>
          <cell r="F2870" t="str">
            <v>DUNA</v>
          </cell>
          <cell r="G2870">
            <v>0</v>
          </cell>
          <cell r="H2870" t="str">
            <v>NEGRO</v>
          </cell>
          <cell r="I2870" t="str">
            <v>U</v>
          </cell>
          <cell r="J2870" t="str">
            <v>H</v>
          </cell>
        </row>
        <row r="2871">
          <cell r="B2871" t="str">
            <v>OT260593812-S</v>
          </cell>
          <cell r="C2871" t="str">
            <v>ACCESORIOS</v>
          </cell>
          <cell r="D2871" t="str">
            <v>SOMBRERO</v>
          </cell>
          <cell r="E2871" t="str">
            <v>BOINA CLYDE</v>
          </cell>
          <cell r="F2871" t="str">
            <v>LANA/POLYESTER</v>
          </cell>
          <cell r="G2871">
            <v>0</v>
          </cell>
          <cell r="H2871" t="str">
            <v>GRIS</v>
          </cell>
          <cell r="I2871" t="str">
            <v>S</v>
          </cell>
          <cell r="J2871" t="str">
            <v>H</v>
          </cell>
        </row>
        <row r="2872">
          <cell r="B2872" t="str">
            <v>OT260593812-M</v>
          </cell>
          <cell r="C2872" t="str">
            <v>ACCESORIOS</v>
          </cell>
          <cell r="D2872" t="str">
            <v>SOMBRERO</v>
          </cell>
          <cell r="E2872" t="str">
            <v>BOINA CLYDE</v>
          </cell>
          <cell r="F2872" t="str">
            <v>LANA/POLYESTER</v>
          </cell>
          <cell r="G2872">
            <v>0</v>
          </cell>
          <cell r="H2872" t="str">
            <v>GRIS</v>
          </cell>
          <cell r="I2872" t="str">
            <v>M</v>
          </cell>
          <cell r="J2872" t="str">
            <v>H</v>
          </cell>
        </row>
        <row r="2873">
          <cell r="B2873" t="str">
            <v>OT260593812-L</v>
          </cell>
          <cell r="C2873" t="str">
            <v>ACCESORIOS</v>
          </cell>
          <cell r="D2873" t="str">
            <v>SOMBRERO</v>
          </cell>
          <cell r="E2873" t="str">
            <v>BOINA CLYDE</v>
          </cell>
          <cell r="F2873" t="str">
            <v>LANA/POLYESTER</v>
          </cell>
          <cell r="G2873">
            <v>0</v>
          </cell>
          <cell r="H2873" t="str">
            <v>GRIS</v>
          </cell>
          <cell r="I2873" t="str">
            <v>L</v>
          </cell>
          <cell r="J2873" t="str">
            <v>H</v>
          </cell>
        </row>
        <row r="2874">
          <cell r="B2874" t="str">
            <v>OT260593811-S</v>
          </cell>
          <cell r="C2874" t="str">
            <v>ACCESORIOS</v>
          </cell>
          <cell r="D2874" t="str">
            <v>SOMBRERO</v>
          </cell>
          <cell r="E2874" t="str">
            <v>BOINA CLYDE</v>
          </cell>
          <cell r="F2874" t="str">
            <v>LANA/POLYESTER</v>
          </cell>
          <cell r="G2874">
            <v>0</v>
          </cell>
          <cell r="H2874" t="str">
            <v>BEIGE</v>
          </cell>
          <cell r="I2874" t="str">
            <v>S</v>
          </cell>
          <cell r="J2874" t="str">
            <v>H</v>
          </cell>
        </row>
        <row r="2875">
          <cell r="B2875" t="str">
            <v>OT260593811-M</v>
          </cell>
          <cell r="C2875" t="str">
            <v>ACCESORIOS</v>
          </cell>
          <cell r="D2875" t="str">
            <v>SOMBRERO</v>
          </cell>
          <cell r="E2875" t="str">
            <v>BOINA CLYDE</v>
          </cell>
          <cell r="F2875" t="str">
            <v>LANA/POLYESTER</v>
          </cell>
          <cell r="G2875">
            <v>0</v>
          </cell>
          <cell r="H2875" t="str">
            <v>BEIGE</v>
          </cell>
          <cell r="I2875" t="str">
            <v>M</v>
          </cell>
          <cell r="J2875" t="str">
            <v>H</v>
          </cell>
        </row>
        <row r="2876">
          <cell r="B2876" t="str">
            <v>OT260593811-L</v>
          </cell>
          <cell r="C2876" t="str">
            <v>ACCESORIOS</v>
          </cell>
          <cell r="D2876" t="str">
            <v>SOMBRERO</v>
          </cell>
          <cell r="E2876" t="str">
            <v>BOINA CLYDE</v>
          </cell>
          <cell r="F2876" t="str">
            <v>LANA/POLYESTER</v>
          </cell>
          <cell r="G2876">
            <v>0</v>
          </cell>
          <cell r="H2876" t="str">
            <v>BEIGE</v>
          </cell>
          <cell r="I2876" t="str">
            <v>L</v>
          </cell>
          <cell r="J2876" t="str">
            <v>H</v>
          </cell>
        </row>
        <row r="2877">
          <cell r="B2877" t="str">
            <v>OT260593858-S</v>
          </cell>
          <cell r="C2877" t="str">
            <v>ACCESORIOS</v>
          </cell>
          <cell r="D2877" t="str">
            <v>SOMBRERO</v>
          </cell>
          <cell r="E2877" t="str">
            <v>BOINA CLYDE</v>
          </cell>
          <cell r="F2877" t="str">
            <v>LANA/POLYESTER</v>
          </cell>
          <cell r="G2877">
            <v>0</v>
          </cell>
          <cell r="H2877" t="str">
            <v>CAFE</v>
          </cell>
          <cell r="I2877" t="str">
            <v>S</v>
          </cell>
          <cell r="J2877" t="str">
            <v>H</v>
          </cell>
        </row>
        <row r="2878">
          <cell r="B2878" t="str">
            <v>OT260593858-M</v>
          </cell>
          <cell r="C2878" t="str">
            <v>ACCESORIOS</v>
          </cell>
          <cell r="D2878" t="str">
            <v>SOMBRERO</v>
          </cell>
          <cell r="E2878" t="str">
            <v>BOINA CLYDE</v>
          </cell>
          <cell r="F2878" t="str">
            <v>LANA/POLYESTER</v>
          </cell>
          <cell r="G2878">
            <v>0</v>
          </cell>
          <cell r="H2878" t="str">
            <v>CAFE</v>
          </cell>
          <cell r="I2878" t="str">
            <v>M</v>
          </cell>
          <cell r="J2878" t="str">
            <v>H</v>
          </cell>
        </row>
        <row r="2879">
          <cell r="B2879" t="str">
            <v>OT260593858-L</v>
          </cell>
          <cell r="C2879" t="str">
            <v>ACCESORIOS</v>
          </cell>
          <cell r="D2879" t="str">
            <v>SOMBRERO</v>
          </cell>
          <cell r="E2879" t="str">
            <v>BOINA CLYDE</v>
          </cell>
          <cell r="F2879" t="str">
            <v>LANA/POLYESTER</v>
          </cell>
          <cell r="G2879">
            <v>0</v>
          </cell>
          <cell r="H2879" t="str">
            <v>CAFE</v>
          </cell>
          <cell r="I2879" t="str">
            <v>L</v>
          </cell>
          <cell r="J2879" t="str">
            <v>H</v>
          </cell>
        </row>
        <row r="2880">
          <cell r="B2880" t="str">
            <v>OT260603822-M</v>
          </cell>
          <cell r="C2880" t="str">
            <v>ACCESORIOS</v>
          </cell>
          <cell r="D2880" t="str">
            <v>GORRO</v>
          </cell>
          <cell r="E2880" t="str">
            <v>GORRO FRED</v>
          </cell>
          <cell r="F2880" t="str">
            <v>LANA/POLYESTER</v>
          </cell>
          <cell r="G2880">
            <v>0</v>
          </cell>
          <cell r="H2880" t="str">
            <v>GRIS OSCURO</v>
          </cell>
          <cell r="I2880" t="str">
            <v>M</v>
          </cell>
          <cell r="J2880" t="str">
            <v>H</v>
          </cell>
        </row>
        <row r="2881">
          <cell r="B2881" t="str">
            <v>OT260603822-L</v>
          </cell>
          <cell r="C2881" t="str">
            <v>ACCESORIOS</v>
          </cell>
          <cell r="D2881" t="str">
            <v>GORRO</v>
          </cell>
          <cell r="E2881" t="str">
            <v>GORRO FRED</v>
          </cell>
          <cell r="F2881" t="str">
            <v>LANA/POLYESTER</v>
          </cell>
          <cell r="G2881">
            <v>0</v>
          </cell>
          <cell r="H2881" t="str">
            <v>GRIS OSCURO</v>
          </cell>
          <cell r="I2881" t="str">
            <v>L</v>
          </cell>
          <cell r="J2881" t="str">
            <v>H</v>
          </cell>
        </row>
        <row r="2882">
          <cell r="B2882" t="str">
            <v>OT260603828-M</v>
          </cell>
          <cell r="C2882" t="str">
            <v>ACCESORIOS</v>
          </cell>
          <cell r="D2882" t="str">
            <v>GORRO</v>
          </cell>
          <cell r="E2882" t="str">
            <v>GORRO FRED</v>
          </cell>
          <cell r="F2882" t="str">
            <v>LANA/POLYESTER</v>
          </cell>
          <cell r="G2882">
            <v>0</v>
          </cell>
          <cell r="H2882" t="str">
            <v>VISON</v>
          </cell>
          <cell r="I2882" t="str">
            <v>M</v>
          </cell>
          <cell r="J2882" t="str">
            <v>H</v>
          </cell>
        </row>
        <row r="2883">
          <cell r="B2883" t="str">
            <v>OT260603828-L</v>
          </cell>
          <cell r="C2883" t="str">
            <v>ACCESORIOS</v>
          </cell>
          <cell r="D2883" t="str">
            <v>GORRO</v>
          </cell>
          <cell r="E2883" t="str">
            <v>GORRO FRED</v>
          </cell>
          <cell r="F2883" t="str">
            <v>LANA/POLYESTER</v>
          </cell>
          <cell r="G2883">
            <v>0</v>
          </cell>
          <cell r="H2883" t="str">
            <v>VISON</v>
          </cell>
          <cell r="I2883" t="str">
            <v>L</v>
          </cell>
          <cell r="J2883" t="str">
            <v>H</v>
          </cell>
        </row>
        <row r="2884">
          <cell r="B2884" t="str">
            <v>OT260613811-M</v>
          </cell>
          <cell r="C2884" t="str">
            <v>ACCESORIOS</v>
          </cell>
          <cell r="D2884" t="str">
            <v>GORRO</v>
          </cell>
          <cell r="E2884" t="str">
            <v>GORRO SEA</v>
          </cell>
          <cell r="F2884" t="str">
            <v>LANA/POLYESTER</v>
          </cell>
          <cell r="G2884">
            <v>0</v>
          </cell>
          <cell r="H2884" t="str">
            <v>BEIGE</v>
          </cell>
          <cell r="I2884" t="str">
            <v>M</v>
          </cell>
          <cell r="J2884" t="str">
            <v>H</v>
          </cell>
        </row>
        <row r="2885">
          <cell r="B2885" t="str">
            <v>OT260613811-L</v>
          </cell>
          <cell r="C2885" t="str">
            <v>ACCESORIOS</v>
          </cell>
          <cell r="D2885" t="str">
            <v>GORRO</v>
          </cell>
          <cell r="E2885" t="str">
            <v>GORRO SEA</v>
          </cell>
          <cell r="F2885" t="str">
            <v>LANA/POLYESTER</v>
          </cell>
          <cell r="G2885">
            <v>0</v>
          </cell>
          <cell r="H2885" t="str">
            <v>BEIGE</v>
          </cell>
          <cell r="I2885" t="str">
            <v>L</v>
          </cell>
          <cell r="J2885" t="str">
            <v>H</v>
          </cell>
        </row>
        <row r="2886">
          <cell r="B2886" t="str">
            <v>OT260613822-M</v>
          </cell>
          <cell r="C2886" t="str">
            <v>ACCESORIOS</v>
          </cell>
          <cell r="D2886" t="str">
            <v>GORRO</v>
          </cell>
          <cell r="E2886" t="str">
            <v>GORRO SEA</v>
          </cell>
          <cell r="F2886" t="str">
            <v>LANA/POLYESTER</v>
          </cell>
          <cell r="G2886">
            <v>0</v>
          </cell>
          <cell r="H2886" t="str">
            <v>GRIS OSCURO</v>
          </cell>
          <cell r="I2886" t="str">
            <v>M</v>
          </cell>
          <cell r="J2886" t="str">
            <v>H</v>
          </cell>
        </row>
        <row r="2887">
          <cell r="B2887" t="str">
            <v>OT260613822-L</v>
          </cell>
          <cell r="C2887" t="str">
            <v>ACCESORIOS</v>
          </cell>
          <cell r="D2887" t="str">
            <v>GORRO</v>
          </cell>
          <cell r="E2887" t="str">
            <v>GORRO SEA</v>
          </cell>
          <cell r="F2887" t="str">
            <v>LANA/POLYESTER</v>
          </cell>
          <cell r="G2887">
            <v>0</v>
          </cell>
          <cell r="H2887" t="str">
            <v>GRIS OSCURO</v>
          </cell>
          <cell r="I2887" t="str">
            <v>L</v>
          </cell>
          <cell r="J2887" t="str">
            <v>H</v>
          </cell>
        </row>
        <row r="2888">
          <cell r="B2888" t="str">
            <v>OT260624211</v>
          </cell>
          <cell r="C2888" t="str">
            <v>ACCESORIOS</v>
          </cell>
          <cell r="D2888" t="str">
            <v>SOMBRERO</v>
          </cell>
          <cell r="E2888" t="str">
            <v>SOMBRERO LOLI</v>
          </cell>
          <cell r="F2888" t="str">
            <v>RAFIA</v>
          </cell>
          <cell r="H2888" t="str">
            <v>BEIGE</v>
          </cell>
          <cell r="I2888" t="str">
            <v>U</v>
          </cell>
          <cell r="J2888">
            <v>0</v>
          </cell>
        </row>
        <row r="2889">
          <cell r="B2889" t="str">
            <v>OT260634208</v>
          </cell>
          <cell r="C2889" t="str">
            <v>ACCESORIOS</v>
          </cell>
          <cell r="D2889" t="str">
            <v>SOMBRERO</v>
          </cell>
          <cell r="E2889" t="str">
            <v>SOMBRERO YULA</v>
          </cell>
          <cell r="F2889" t="str">
            <v>RAFIA</v>
          </cell>
          <cell r="H2889" t="str">
            <v>NATURAL</v>
          </cell>
          <cell r="I2889" t="str">
            <v>U</v>
          </cell>
          <cell r="J2889">
            <v>0</v>
          </cell>
        </row>
        <row r="2890">
          <cell r="B2890" t="str">
            <v>OT260644311-52</v>
          </cell>
          <cell r="C2890" t="str">
            <v>ACCESORIOS</v>
          </cell>
          <cell r="D2890" t="str">
            <v>SOMBRERO</v>
          </cell>
          <cell r="E2890" t="str">
            <v>SOMBRERO HENY</v>
          </cell>
          <cell r="F2890" t="str">
            <v>PAPEL</v>
          </cell>
          <cell r="H2890" t="str">
            <v>BEIGE/CHOCOLATE</v>
          </cell>
          <cell r="I2890" t="str">
            <v>U</v>
          </cell>
          <cell r="J2890">
            <v>0</v>
          </cell>
        </row>
        <row r="2891">
          <cell r="B2891" t="str">
            <v>OT260654221</v>
          </cell>
          <cell r="C2891" t="str">
            <v>ACCESORIOS</v>
          </cell>
          <cell r="D2891" t="str">
            <v>SOMBRERO</v>
          </cell>
          <cell r="E2891" t="str">
            <v>SOMBRERO GIA</v>
          </cell>
          <cell r="F2891" t="str">
            <v>RAFIA</v>
          </cell>
          <cell r="H2891" t="str">
            <v>TOSTADO</v>
          </cell>
          <cell r="I2891" t="str">
            <v>U</v>
          </cell>
          <cell r="J2891">
            <v>0</v>
          </cell>
        </row>
        <row r="2892">
          <cell r="B2892" t="str">
            <v>OT260664308</v>
          </cell>
          <cell r="C2892" t="str">
            <v>ACCESORIOS</v>
          </cell>
          <cell r="D2892" t="str">
            <v>SOMBRERO</v>
          </cell>
          <cell r="E2892" t="str">
            <v>SOMBRERO NINI</v>
          </cell>
          <cell r="F2892" t="str">
            <v>PAPEL</v>
          </cell>
          <cell r="H2892" t="str">
            <v>NATURAL</v>
          </cell>
          <cell r="I2892" t="str">
            <v>U</v>
          </cell>
          <cell r="J2892">
            <v>0</v>
          </cell>
        </row>
        <row r="2893">
          <cell r="B2893" t="str">
            <v>MC020293347</v>
          </cell>
          <cell r="C2893" t="str">
            <v>MARRO CHICA</v>
          </cell>
          <cell r="D2893" t="str">
            <v>MONEDERO</v>
          </cell>
          <cell r="E2893" t="str">
            <v>MONEDERO GRACE</v>
          </cell>
          <cell r="F2893" t="str">
            <v>CRASH</v>
          </cell>
          <cell r="G2893">
            <v>0</v>
          </cell>
          <cell r="H2893" t="str">
            <v>BLUE DARK</v>
          </cell>
          <cell r="I2893" t="str">
            <v>U</v>
          </cell>
          <cell r="J2893" t="str">
            <v>U</v>
          </cell>
        </row>
        <row r="2894">
          <cell r="B2894" t="str">
            <v>OT260674208</v>
          </cell>
          <cell r="C2894" t="str">
            <v>ACCESORIOS</v>
          </cell>
          <cell r="D2894" t="str">
            <v>SOMBRERO</v>
          </cell>
          <cell r="E2894" t="str">
            <v>SOMBRERO FELA</v>
          </cell>
          <cell r="F2894" t="str">
            <v>RAFIA</v>
          </cell>
          <cell r="G2894">
            <v>0</v>
          </cell>
          <cell r="H2894" t="str">
            <v>NATURAL</v>
          </cell>
          <cell r="I2894" t="str">
            <v>U</v>
          </cell>
          <cell r="J2894">
            <v>0</v>
          </cell>
        </row>
        <row r="2895">
          <cell r="B2895" t="str">
            <v>MG011090107</v>
          </cell>
          <cell r="C2895" t="str">
            <v>MARRO GRANDE</v>
          </cell>
          <cell r="D2895" t="str">
            <v>BANDOLERA</v>
          </cell>
          <cell r="E2895" t="str">
            <v>BANDOLERA NEW VICENTA</v>
          </cell>
          <cell r="F2895" t="str">
            <v>NAPADO</v>
          </cell>
          <cell r="G2895">
            <v>0</v>
          </cell>
          <cell r="H2895" t="str">
            <v>ROJO</v>
          </cell>
          <cell r="I2895" t="str">
            <v>U</v>
          </cell>
          <cell r="J2895" t="str">
            <v>M</v>
          </cell>
        </row>
        <row r="2896">
          <cell r="B2896" t="str">
            <v>MG010711210</v>
          </cell>
          <cell r="C2896" t="str">
            <v>MARRO GRANDE</v>
          </cell>
          <cell r="D2896" t="str">
            <v>CARTERA</v>
          </cell>
          <cell r="E2896" t="str">
            <v>CARTERA AMARILLA SET SOBRE</v>
          </cell>
          <cell r="F2896" t="str">
            <v>MODENA</v>
          </cell>
          <cell r="G2896">
            <v>0</v>
          </cell>
          <cell r="H2896" t="str">
            <v>VERDE</v>
          </cell>
          <cell r="I2896" t="str">
            <v>U</v>
          </cell>
          <cell r="J2896" t="str">
            <v>M</v>
          </cell>
        </row>
        <row r="2897">
          <cell r="B2897" t="str">
            <v>MG010861210</v>
          </cell>
          <cell r="C2897" t="str">
            <v>MARRO GRANDE</v>
          </cell>
          <cell r="D2897" t="str">
            <v>CARTERA</v>
          </cell>
          <cell r="E2897" t="str">
            <v>CARTERA LONDRES</v>
          </cell>
          <cell r="F2897" t="str">
            <v>MODENA</v>
          </cell>
          <cell r="G2897">
            <v>0</v>
          </cell>
          <cell r="H2897" t="str">
            <v>VERDE</v>
          </cell>
          <cell r="I2897" t="str">
            <v>U</v>
          </cell>
          <cell r="J2897" t="str">
            <v>M</v>
          </cell>
        </row>
        <row r="2898">
          <cell r="B2898" t="str">
            <v>MG010930352</v>
          </cell>
          <cell r="C2898" t="str">
            <v>MARRO GRANDE</v>
          </cell>
          <cell r="D2898" t="str">
            <v>CARTERA</v>
          </cell>
          <cell r="E2898" t="str">
            <v>CARTERA APHOLO C/CIERRE</v>
          </cell>
          <cell r="F2898" t="str">
            <v>BRIDGE</v>
          </cell>
          <cell r="G2898">
            <v>0</v>
          </cell>
          <cell r="H2898" t="str">
            <v>CHOCOLATE</v>
          </cell>
          <cell r="I2898" t="str">
            <v>U</v>
          </cell>
          <cell r="J2898" t="str">
            <v>M</v>
          </cell>
        </row>
        <row r="2899">
          <cell r="B2899" t="str">
            <v>OT020680302-16</v>
          </cell>
          <cell r="C2899" t="str">
            <v>ACCESORIOS</v>
          </cell>
          <cell r="D2899" t="str">
            <v>LLAVERO</v>
          </cell>
          <cell r="E2899" t="str">
            <v>LLAVERO ABC (LETRA B)</v>
          </cell>
          <cell r="F2899" t="str">
            <v>BRIDGE/GAMUZA</v>
          </cell>
          <cell r="G2899">
            <v>0</v>
          </cell>
          <cell r="H2899" t="str">
            <v>SUELA/OLIVE</v>
          </cell>
          <cell r="I2899" t="str">
            <v>U</v>
          </cell>
          <cell r="J2899" t="str">
            <v>U</v>
          </cell>
        </row>
        <row r="2900">
          <cell r="B2900" t="str">
            <v>OT020680303-56</v>
          </cell>
          <cell r="C2900" t="str">
            <v>ACCESORIOS</v>
          </cell>
          <cell r="D2900" t="str">
            <v>LLAVERO</v>
          </cell>
          <cell r="E2900" t="str">
            <v>LLAVERO ABC (LETRA B)</v>
          </cell>
          <cell r="F2900" t="str">
            <v>BRIDGE/GAMUZA</v>
          </cell>
          <cell r="G2900">
            <v>0</v>
          </cell>
          <cell r="H2900" t="str">
            <v>CARAMELO/OXIDO</v>
          </cell>
          <cell r="I2900" t="str">
            <v>U</v>
          </cell>
          <cell r="J2900" t="str">
            <v>U</v>
          </cell>
        </row>
        <row r="2901">
          <cell r="B2901" t="str">
            <v>OT020690303-56</v>
          </cell>
          <cell r="C2901" t="str">
            <v>ACCESORIOS</v>
          </cell>
          <cell r="D2901" t="str">
            <v>LLAVERO</v>
          </cell>
          <cell r="E2901" t="str">
            <v>LLAVERO ABC (LETRA G)</v>
          </cell>
          <cell r="F2901" t="str">
            <v>BRIDGE/GAMUZA</v>
          </cell>
          <cell r="G2901">
            <v>0</v>
          </cell>
          <cell r="H2901" t="str">
            <v>CARAMELO/OXIDO</v>
          </cell>
          <cell r="I2901" t="str">
            <v>U</v>
          </cell>
          <cell r="J2901" t="str">
            <v>U</v>
          </cell>
        </row>
        <row r="2902">
          <cell r="B2902" t="str">
            <v>OT020700315-09</v>
          </cell>
          <cell r="C2902" t="str">
            <v>ACCESORIOS</v>
          </cell>
          <cell r="D2902" t="str">
            <v>LLAVERO</v>
          </cell>
          <cell r="E2902" t="str">
            <v>LLAVERO ABC (LETRA P)</v>
          </cell>
          <cell r="F2902" t="str">
            <v>BRIDGE/GAMUZA</v>
          </cell>
          <cell r="G2902">
            <v>0</v>
          </cell>
          <cell r="H2902" t="str">
            <v>MALBEC/AZUL</v>
          </cell>
          <cell r="I2902" t="str">
            <v>U</v>
          </cell>
          <cell r="J2902" t="str">
            <v>U</v>
          </cell>
        </row>
        <row r="2903">
          <cell r="B2903" t="str">
            <v>OT020710301-56</v>
          </cell>
          <cell r="C2903" t="str">
            <v>ACCESORIOS</v>
          </cell>
          <cell r="D2903" t="str">
            <v>LLAVERO</v>
          </cell>
          <cell r="E2903" t="str">
            <v>LLAVERO ABC (LETRA M)</v>
          </cell>
          <cell r="F2903" t="str">
            <v>BRIDGE/GAMUZA</v>
          </cell>
          <cell r="G2903">
            <v>0</v>
          </cell>
          <cell r="H2903" t="str">
            <v>NEGRO/OXIDO</v>
          </cell>
          <cell r="I2903" t="str">
            <v>U</v>
          </cell>
          <cell r="J2903" t="str">
            <v>U</v>
          </cell>
        </row>
        <row r="2904">
          <cell r="B2904" t="str">
            <v>OT020710315-09</v>
          </cell>
          <cell r="C2904" t="str">
            <v>ACCESORIOS</v>
          </cell>
          <cell r="D2904" t="str">
            <v>LLAVERO</v>
          </cell>
          <cell r="E2904" t="str">
            <v>LLAVERO ABC (LETRA M)</v>
          </cell>
          <cell r="F2904" t="str">
            <v>BRIDGE/GAMUZA</v>
          </cell>
          <cell r="G2904">
            <v>0</v>
          </cell>
          <cell r="H2904" t="str">
            <v>MALBEC/AZUL</v>
          </cell>
          <cell r="I2904" t="str">
            <v>U</v>
          </cell>
          <cell r="J2904" t="str">
            <v>U</v>
          </cell>
        </row>
        <row r="2905">
          <cell r="B2905" t="str">
            <v>OT020720303-56</v>
          </cell>
          <cell r="C2905" t="str">
            <v>ACCESORIOS</v>
          </cell>
          <cell r="D2905" t="str">
            <v>LLAVERO</v>
          </cell>
          <cell r="E2905" t="str">
            <v>LLAVERO ABC (LETRA R)</v>
          </cell>
          <cell r="F2905" t="str">
            <v>BRIDGE/GAMUZA</v>
          </cell>
          <cell r="G2905">
            <v>0</v>
          </cell>
          <cell r="H2905" t="str">
            <v>CARAMELO/OXIDO</v>
          </cell>
          <cell r="I2905" t="str">
            <v>U</v>
          </cell>
          <cell r="J2905" t="str">
            <v>U</v>
          </cell>
        </row>
        <row r="2906">
          <cell r="B2906" t="str">
            <v>OT020880315-09</v>
          </cell>
          <cell r="C2906" t="str">
            <v>ACCESORIOS</v>
          </cell>
          <cell r="D2906" t="str">
            <v>LLAVERO</v>
          </cell>
          <cell r="E2906" t="str">
            <v>LLAVERO ABC (LETRA V)</v>
          </cell>
          <cell r="F2906" t="str">
            <v>BRIDGE/GAMUZA</v>
          </cell>
          <cell r="G2906">
            <v>0</v>
          </cell>
          <cell r="H2906" t="str">
            <v>MALBEC/AZUL</v>
          </cell>
          <cell r="I2906" t="str">
            <v>U</v>
          </cell>
          <cell r="J2906" t="str">
            <v>U</v>
          </cell>
        </row>
        <row r="2907">
          <cell r="B2907" t="str">
            <v>MC020151210</v>
          </cell>
          <cell r="C2907" t="str">
            <v>MARRO CHICA</v>
          </cell>
          <cell r="D2907" t="str">
            <v>TARJETERO</v>
          </cell>
          <cell r="E2907" t="str">
            <v>TARJETERO HARRY</v>
          </cell>
          <cell r="F2907" t="str">
            <v>MODENA</v>
          </cell>
          <cell r="G2907">
            <v>0</v>
          </cell>
          <cell r="H2907" t="str">
            <v>VERDE</v>
          </cell>
          <cell r="I2907" t="str">
            <v>U</v>
          </cell>
          <cell r="J2907" t="str">
            <v>U</v>
          </cell>
        </row>
        <row r="2908">
          <cell r="B2908" t="str">
            <v>MC020760315</v>
          </cell>
          <cell r="C2908" t="str">
            <v>MARRO CHICA</v>
          </cell>
          <cell r="D2908" t="str">
            <v>DECO</v>
          </cell>
          <cell r="E2908" t="str">
            <v>FUNDA CUADERNO A6</v>
          </cell>
          <cell r="F2908" t="str">
            <v>BRIDGE</v>
          </cell>
          <cell r="G2908">
            <v>0</v>
          </cell>
          <cell r="H2908" t="str">
            <v>MALBEC</v>
          </cell>
          <cell r="I2908" t="str">
            <v>U</v>
          </cell>
          <cell r="J2908" t="str">
            <v>U</v>
          </cell>
        </row>
        <row r="2909">
          <cell r="B2909" t="str">
            <v>TX290383700-S</v>
          </cell>
          <cell r="C2909" t="str">
            <v>TEXTIL</v>
          </cell>
          <cell r="D2909" t="str">
            <v>CAMISA</v>
          </cell>
          <cell r="E2909" t="str">
            <v>CAMISA RENZO</v>
          </cell>
          <cell r="F2909" t="str">
            <v>ALGODON</v>
          </cell>
          <cell r="G2909">
            <v>0</v>
          </cell>
          <cell r="H2909" t="str">
            <v>BLANCO</v>
          </cell>
          <cell r="I2909" t="str">
            <v>S</v>
          </cell>
          <cell r="J2909" t="str">
            <v>H</v>
          </cell>
        </row>
        <row r="2910">
          <cell r="B2910" t="str">
            <v>TX290383700-M</v>
          </cell>
          <cell r="C2910" t="str">
            <v>TEXTIL</v>
          </cell>
          <cell r="D2910" t="str">
            <v>CAMISA</v>
          </cell>
          <cell r="E2910" t="str">
            <v>CAMISA RENZO</v>
          </cell>
          <cell r="F2910" t="str">
            <v>ALGODON</v>
          </cell>
          <cell r="G2910">
            <v>0</v>
          </cell>
          <cell r="H2910" t="str">
            <v>BLANCO</v>
          </cell>
          <cell r="I2910" t="str">
            <v>M</v>
          </cell>
          <cell r="J2910" t="str">
            <v>H</v>
          </cell>
        </row>
        <row r="2911">
          <cell r="B2911" t="str">
            <v>TX290383700-L</v>
          </cell>
          <cell r="C2911" t="str">
            <v>TEXTIL</v>
          </cell>
          <cell r="D2911" t="str">
            <v>CAMISA</v>
          </cell>
          <cell r="E2911" t="str">
            <v>CAMISA RENZO</v>
          </cell>
          <cell r="F2911" t="str">
            <v>ALGODON</v>
          </cell>
          <cell r="G2911">
            <v>0</v>
          </cell>
          <cell r="H2911" t="str">
            <v>BLANCO</v>
          </cell>
          <cell r="I2911" t="str">
            <v>L</v>
          </cell>
          <cell r="J2911" t="str">
            <v>H</v>
          </cell>
        </row>
        <row r="2912">
          <cell r="B2912" t="str">
            <v>TX290383700-XL</v>
          </cell>
          <cell r="C2912" t="str">
            <v>TEXTIL</v>
          </cell>
          <cell r="D2912" t="str">
            <v>CAMISA</v>
          </cell>
          <cell r="E2912" t="str">
            <v>CAMISA RENZO</v>
          </cell>
          <cell r="F2912" t="str">
            <v>ALGODON</v>
          </cell>
          <cell r="G2912">
            <v>0</v>
          </cell>
          <cell r="H2912" t="str">
            <v>BLANCO</v>
          </cell>
          <cell r="I2912" t="str">
            <v>XL</v>
          </cell>
          <cell r="J2912" t="str">
            <v>H</v>
          </cell>
        </row>
        <row r="2913">
          <cell r="B2913" t="str">
            <v>TX290383700-XXL</v>
          </cell>
          <cell r="C2913" t="str">
            <v>TEXTIL</v>
          </cell>
          <cell r="D2913" t="str">
            <v>CAMISA</v>
          </cell>
          <cell r="E2913" t="str">
            <v>CAMISA RENZO</v>
          </cell>
          <cell r="F2913" t="str">
            <v>ALGODON</v>
          </cell>
          <cell r="G2913">
            <v>0</v>
          </cell>
          <cell r="H2913" t="str">
            <v>BLANCO</v>
          </cell>
          <cell r="I2913" t="str">
            <v>XXL</v>
          </cell>
          <cell r="J2913" t="str">
            <v>H</v>
          </cell>
        </row>
        <row r="2914">
          <cell r="B2914" t="str">
            <v>TX300393700</v>
          </cell>
          <cell r="C2914" t="str">
            <v>TEXTIL</v>
          </cell>
          <cell r="D2914" t="str">
            <v>CHALINA</v>
          </cell>
          <cell r="E2914" t="str">
            <v>CHALINA EXEDRA</v>
          </cell>
          <cell r="F2914" t="str">
            <v>ALGODON</v>
          </cell>
          <cell r="G2914">
            <v>0</v>
          </cell>
          <cell r="H2914" t="str">
            <v>OFF WHITE</v>
          </cell>
          <cell r="I2914" t="str">
            <v>U</v>
          </cell>
          <cell r="J2914" t="str">
            <v>M</v>
          </cell>
        </row>
        <row r="2915">
          <cell r="B2915" t="str">
            <v>TX300393711</v>
          </cell>
          <cell r="C2915" t="str">
            <v>TEXTIL</v>
          </cell>
          <cell r="D2915" t="str">
            <v>CHALINA</v>
          </cell>
          <cell r="E2915" t="str">
            <v>CHALINA EXEDRA</v>
          </cell>
          <cell r="F2915" t="str">
            <v>ALGODON</v>
          </cell>
          <cell r="G2915">
            <v>0</v>
          </cell>
          <cell r="H2915" t="str">
            <v>BEIGE</v>
          </cell>
          <cell r="I2915" t="str">
            <v>U</v>
          </cell>
          <cell r="J2915" t="str">
            <v>M</v>
          </cell>
        </row>
        <row r="2916">
          <cell r="B2916" t="str">
            <v>TX300393712</v>
          </cell>
          <cell r="C2916" t="str">
            <v>TEXTIL</v>
          </cell>
          <cell r="D2916" t="str">
            <v>CHALINA</v>
          </cell>
          <cell r="E2916" t="str">
            <v>CHALINA EXEDRA</v>
          </cell>
          <cell r="F2916" t="str">
            <v>ALGODON</v>
          </cell>
          <cell r="G2916">
            <v>0</v>
          </cell>
          <cell r="H2916" t="str">
            <v>GRIS</v>
          </cell>
          <cell r="I2916" t="str">
            <v>U</v>
          </cell>
          <cell r="J2916" t="str">
            <v>M</v>
          </cell>
        </row>
        <row r="2917">
          <cell r="B2917" t="str">
            <v>TX300393769</v>
          </cell>
          <cell r="C2917" t="str">
            <v>TEXTIL</v>
          </cell>
          <cell r="D2917" t="str">
            <v>CHALINA</v>
          </cell>
          <cell r="E2917" t="str">
            <v>CHALINA EXEDRA</v>
          </cell>
          <cell r="F2917" t="str">
            <v>ALGODON</v>
          </cell>
          <cell r="G2917">
            <v>0</v>
          </cell>
          <cell r="H2917" t="str">
            <v>CELESTE 537</v>
          </cell>
          <cell r="I2917" t="str">
            <v>U</v>
          </cell>
          <cell r="J2917" t="str">
            <v>M</v>
          </cell>
        </row>
        <row r="2918">
          <cell r="B2918" t="str">
            <v>TX300393764</v>
          </cell>
          <cell r="C2918" t="str">
            <v>TEXTIL</v>
          </cell>
          <cell r="D2918" t="str">
            <v>CHALINA</v>
          </cell>
          <cell r="E2918" t="str">
            <v>CHALINA EXEDRA</v>
          </cell>
          <cell r="F2918" t="str">
            <v>ALGODON</v>
          </cell>
          <cell r="G2918">
            <v>0</v>
          </cell>
          <cell r="H2918" t="str">
            <v>ROSA 5035</v>
          </cell>
          <cell r="I2918" t="str">
            <v>U</v>
          </cell>
          <cell r="J2918" t="str">
            <v>M</v>
          </cell>
        </row>
        <row r="2919">
          <cell r="B2919" t="str">
            <v>TX300393701</v>
          </cell>
          <cell r="C2919" t="str">
            <v>TEXTIL</v>
          </cell>
          <cell r="D2919" t="str">
            <v>CHALINA</v>
          </cell>
          <cell r="E2919" t="str">
            <v>CHALINA EXEDRA</v>
          </cell>
          <cell r="F2919" t="str">
            <v>ALGODON</v>
          </cell>
          <cell r="G2919">
            <v>0</v>
          </cell>
          <cell r="H2919" t="str">
            <v>NEGRO</v>
          </cell>
          <cell r="I2919" t="str">
            <v>U</v>
          </cell>
          <cell r="J2919" t="str">
            <v>M</v>
          </cell>
        </row>
        <row r="2920">
          <cell r="B2920" t="str">
            <v>MC020291210</v>
          </cell>
          <cell r="C2920" t="str">
            <v>MARRO CHICA</v>
          </cell>
          <cell r="D2920" t="str">
            <v>MONEDERO</v>
          </cell>
          <cell r="E2920" t="str">
            <v>MONEDERO GRACE</v>
          </cell>
          <cell r="F2920" t="str">
            <v>MODENA</v>
          </cell>
          <cell r="G2920">
            <v>0</v>
          </cell>
          <cell r="H2920" t="str">
            <v>VERDE</v>
          </cell>
          <cell r="I2920" t="str">
            <v>U</v>
          </cell>
          <cell r="J2920" t="str">
            <v>U</v>
          </cell>
        </row>
        <row r="2921">
          <cell r="B2921" t="str">
            <v>OT020750352-04</v>
          </cell>
          <cell r="C2921" t="str">
            <v>ACCESORIOS</v>
          </cell>
          <cell r="D2921" t="str">
            <v>LLAVERO</v>
          </cell>
          <cell r="E2921" t="str">
            <v>LLAVERO ABC (LETRA S)</v>
          </cell>
          <cell r="F2921" t="str">
            <v>BRIDGE/GAMUZA</v>
          </cell>
          <cell r="G2921">
            <v>0</v>
          </cell>
          <cell r="H2921" t="str">
            <v>CHOCOLATE/TABACO</v>
          </cell>
          <cell r="I2921" t="str">
            <v>U</v>
          </cell>
          <cell r="J2921" t="str">
            <v>U</v>
          </cell>
        </row>
        <row r="2922">
          <cell r="B2922" t="str">
            <v>TX310400001</v>
          </cell>
          <cell r="C2922" t="str">
            <v>ACCESORIOS</v>
          </cell>
          <cell r="D2922" t="str">
            <v>GORRO</v>
          </cell>
          <cell r="E2922" t="str">
            <v>GORRO FLORA</v>
          </cell>
          <cell r="F2922" t="str">
            <v>ALGODON</v>
          </cell>
          <cell r="G2922">
            <v>0</v>
          </cell>
          <cell r="H2922" t="str">
            <v>NEGRO</v>
          </cell>
          <cell r="I2922" t="str">
            <v>U</v>
          </cell>
          <cell r="J2922" t="str">
            <v>M</v>
          </cell>
        </row>
        <row r="2923">
          <cell r="B2923" t="str">
            <v>TX310400036</v>
          </cell>
          <cell r="C2923" t="str">
            <v>ACCESORIOS</v>
          </cell>
          <cell r="D2923" t="str">
            <v>GORRO</v>
          </cell>
          <cell r="E2923" t="str">
            <v>GORRO FLORA</v>
          </cell>
          <cell r="F2923" t="str">
            <v>ALGODON</v>
          </cell>
          <cell r="G2923">
            <v>0</v>
          </cell>
          <cell r="H2923" t="str">
            <v>CRUDO</v>
          </cell>
          <cell r="I2923" t="str">
            <v>U</v>
          </cell>
          <cell r="J2923" t="str">
            <v>M</v>
          </cell>
        </row>
        <row r="2924">
          <cell r="B2924" t="str">
            <v>TX310410001</v>
          </cell>
          <cell r="C2924" t="str">
            <v>ACCESORIOS</v>
          </cell>
          <cell r="D2924" t="str">
            <v>GORRO</v>
          </cell>
          <cell r="E2924" t="str">
            <v>PILUSO DORA</v>
          </cell>
          <cell r="F2924" t="str">
            <v>ALGODON</v>
          </cell>
          <cell r="G2924">
            <v>0</v>
          </cell>
          <cell r="H2924" t="str">
            <v>NEGRO</v>
          </cell>
          <cell r="I2924" t="str">
            <v>U</v>
          </cell>
          <cell r="J2924" t="str">
            <v>M</v>
          </cell>
        </row>
        <row r="2925">
          <cell r="B2925" t="str">
            <v>TX310410036</v>
          </cell>
          <cell r="C2925" t="str">
            <v>ACCESORIOS</v>
          </cell>
          <cell r="D2925" t="str">
            <v>GORRO</v>
          </cell>
          <cell r="E2925" t="str">
            <v>PILUSO DORA</v>
          </cell>
          <cell r="F2925" t="str">
            <v>ALGODON</v>
          </cell>
          <cell r="G2925">
            <v>0</v>
          </cell>
          <cell r="H2925" t="str">
            <v>CRUDO</v>
          </cell>
          <cell r="I2925" t="str">
            <v>U</v>
          </cell>
          <cell r="J2925" t="str">
            <v>M</v>
          </cell>
        </row>
        <row r="2926">
          <cell r="B2926" t="str">
            <v>TX310410052</v>
          </cell>
          <cell r="C2926" t="str">
            <v>ACCESORIOS</v>
          </cell>
          <cell r="D2926" t="str">
            <v>GORRO</v>
          </cell>
          <cell r="E2926" t="str">
            <v>PILUSO DORA</v>
          </cell>
          <cell r="F2926" t="str">
            <v>ALGODON</v>
          </cell>
          <cell r="G2926">
            <v>0</v>
          </cell>
          <cell r="H2926" t="str">
            <v>CHOCOLATE</v>
          </cell>
          <cell r="I2926" t="str">
            <v>U</v>
          </cell>
          <cell r="J2926" t="str">
            <v>M</v>
          </cell>
        </row>
        <row r="2927">
          <cell r="B2927" t="str">
            <v>TX310410011</v>
          </cell>
          <cell r="C2927" t="str">
            <v>ACCESORIOS</v>
          </cell>
          <cell r="D2927" t="str">
            <v>GORRO</v>
          </cell>
          <cell r="E2927" t="str">
            <v>PILUSO DORA</v>
          </cell>
          <cell r="F2927" t="str">
            <v>ALGODON</v>
          </cell>
          <cell r="G2927">
            <v>0</v>
          </cell>
          <cell r="H2927" t="str">
            <v>BEIGE</v>
          </cell>
          <cell r="I2927" t="str">
            <v>U</v>
          </cell>
          <cell r="J2927" t="str">
            <v>M</v>
          </cell>
        </row>
        <row r="2928">
          <cell r="B2928" t="str">
            <v>MC020101210</v>
          </cell>
          <cell r="C2928" t="str">
            <v>MARRO CHICA</v>
          </cell>
          <cell r="D2928" t="str">
            <v>TARJETERO</v>
          </cell>
          <cell r="E2928" t="str">
            <v>TARJETERO ARIES</v>
          </cell>
          <cell r="F2928" t="str">
            <v>MODENA</v>
          </cell>
          <cell r="G2928">
            <v>0</v>
          </cell>
          <cell r="H2928" t="str">
            <v>VERDE</v>
          </cell>
          <cell r="I2928" t="str">
            <v>U</v>
          </cell>
          <cell r="J2928" t="str">
            <v>U</v>
          </cell>
        </row>
        <row r="2929">
          <cell r="B2929" t="str">
            <v>OT010400107</v>
          </cell>
          <cell r="C2929" t="str">
            <v>DECO</v>
          </cell>
          <cell r="D2929" t="str">
            <v>MOUSEPAD</v>
          </cell>
          <cell r="E2929" t="str">
            <v>MOUSEPAD</v>
          </cell>
          <cell r="F2929" t="str">
            <v>NAPADO</v>
          </cell>
          <cell r="G2929">
            <v>0</v>
          </cell>
          <cell r="H2929" t="str">
            <v>ROJO</v>
          </cell>
          <cell r="I2929" t="str">
            <v>U</v>
          </cell>
          <cell r="J2929" t="str">
            <v>U</v>
          </cell>
        </row>
        <row r="2930">
          <cell r="B2930" t="str">
            <v>MC020271910</v>
          </cell>
          <cell r="C2930" t="str">
            <v>MARRO CHICA</v>
          </cell>
          <cell r="D2930" t="str">
            <v>TARJETERO</v>
          </cell>
          <cell r="E2930" t="str">
            <v>TARJETERO RUBI</v>
          </cell>
          <cell r="F2930" t="str">
            <v>MODENA</v>
          </cell>
          <cell r="G2930">
            <v>0</v>
          </cell>
          <cell r="H2930" t="str">
            <v>VERDE</v>
          </cell>
          <cell r="I2930" t="str">
            <v>U</v>
          </cell>
          <cell r="J2930" t="str">
            <v>M</v>
          </cell>
        </row>
        <row r="2931">
          <cell r="B2931" t="str">
            <v>MC020271909</v>
          </cell>
          <cell r="C2931" t="str">
            <v>MARRO CHICA</v>
          </cell>
          <cell r="D2931" t="str">
            <v>TARJETERO</v>
          </cell>
          <cell r="E2931" t="str">
            <v>TARJETERO RUBI</v>
          </cell>
          <cell r="F2931" t="str">
            <v>MODENA</v>
          </cell>
          <cell r="G2931">
            <v>0</v>
          </cell>
          <cell r="H2931" t="str">
            <v>AZUL</v>
          </cell>
          <cell r="I2931" t="str">
            <v>U</v>
          </cell>
          <cell r="J2931" t="str">
            <v>M</v>
          </cell>
        </row>
        <row r="2932">
          <cell r="B2932" t="str">
            <v>MC020121910</v>
          </cell>
          <cell r="C2932" t="str">
            <v>MARRO CHICA</v>
          </cell>
          <cell r="D2932" t="str">
            <v xml:space="preserve">PORTAPASAPORTE </v>
          </cell>
          <cell r="E2932" t="str">
            <v>PORTAPASAPORTE RON</v>
          </cell>
          <cell r="F2932" t="str">
            <v>MODENA</v>
          </cell>
          <cell r="G2932">
            <v>0</v>
          </cell>
          <cell r="H2932" t="str">
            <v>VERDE</v>
          </cell>
          <cell r="I2932" t="str">
            <v>U</v>
          </cell>
          <cell r="J2932" t="str">
            <v>U</v>
          </cell>
        </row>
        <row r="2933">
          <cell r="B2933" t="str">
            <v>MC020121909</v>
          </cell>
          <cell r="C2933" t="str">
            <v>MARRO CHICA</v>
          </cell>
          <cell r="D2933" t="str">
            <v>PORTAPASAPORTE</v>
          </cell>
          <cell r="E2933" t="str">
            <v>PORTAPASAPORTE RON</v>
          </cell>
          <cell r="F2933" t="str">
            <v>MODENA</v>
          </cell>
          <cell r="G2933">
            <v>0</v>
          </cell>
          <cell r="H2933" t="str">
            <v>AZUL</v>
          </cell>
          <cell r="I2933" t="str">
            <v>U</v>
          </cell>
          <cell r="J2933" t="str">
            <v>U</v>
          </cell>
        </row>
        <row r="2934">
          <cell r="B2934" t="str">
            <v>MC020141910</v>
          </cell>
          <cell r="C2934" t="str">
            <v>MARRO CHICA</v>
          </cell>
          <cell r="D2934" t="str">
            <v>PORTAPASAPORTE</v>
          </cell>
          <cell r="E2934" t="str">
            <v>PORTAPASAPORTE CHESTER</v>
          </cell>
          <cell r="F2934" t="str">
            <v>MODENA</v>
          </cell>
          <cell r="G2934">
            <v>0</v>
          </cell>
          <cell r="H2934" t="str">
            <v>VERDE</v>
          </cell>
          <cell r="I2934" t="str">
            <v>U</v>
          </cell>
          <cell r="J2934" t="str">
            <v>U</v>
          </cell>
        </row>
        <row r="2935">
          <cell r="B2935" t="str">
            <v>OT020530303</v>
          </cell>
          <cell r="C2935" t="str">
            <v>DECO</v>
          </cell>
          <cell r="D2935" t="str">
            <v>INDIVIDUAL</v>
          </cell>
          <cell r="E2935" t="str">
            <v>INDIVIDUAL RECTO</v>
          </cell>
          <cell r="F2935" t="str">
            <v>BRIDGE</v>
          </cell>
          <cell r="G2935">
            <v>0</v>
          </cell>
          <cell r="H2935" t="str">
            <v>CARAMELO</v>
          </cell>
          <cell r="I2935" t="str">
            <v>U</v>
          </cell>
          <cell r="J2935" t="str">
            <v>U</v>
          </cell>
        </row>
        <row r="2936">
          <cell r="B2936" t="str">
            <v>MC020211910</v>
          </cell>
          <cell r="C2936" t="str">
            <v>MARRO CHICA</v>
          </cell>
          <cell r="D2936" t="str">
            <v>BILLETERA</v>
          </cell>
          <cell r="E2936" t="str">
            <v>BILLETERA OSADIA</v>
          </cell>
          <cell r="F2936" t="str">
            <v>MODENA</v>
          </cell>
          <cell r="G2936">
            <v>0</v>
          </cell>
          <cell r="H2936" t="str">
            <v>VERDE</v>
          </cell>
          <cell r="I2936" t="str">
            <v>U</v>
          </cell>
          <cell r="J2936" t="str">
            <v>M</v>
          </cell>
        </row>
        <row r="2937">
          <cell r="B2937" t="str">
            <v>MC020261910</v>
          </cell>
          <cell r="C2937" t="str">
            <v>MARRO CHICA</v>
          </cell>
          <cell r="D2937" t="str">
            <v>TARJETERO</v>
          </cell>
          <cell r="E2937" t="str">
            <v>TARJETERO BILL</v>
          </cell>
          <cell r="F2937" t="str">
            <v>MODENA</v>
          </cell>
          <cell r="G2937">
            <v>0</v>
          </cell>
          <cell r="H2937" t="str">
            <v>VERDE</v>
          </cell>
          <cell r="I2937" t="str">
            <v>U</v>
          </cell>
          <cell r="J2937" t="str">
            <v>U</v>
          </cell>
        </row>
        <row r="2938">
          <cell r="B2938" t="str">
            <v>MC020401910</v>
          </cell>
          <cell r="C2938" t="str">
            <v>MARRO CHICA</v>
          </cell>
          <cell r="D2938" t="str">
            <v>BILLETERA</v>
          </cell>
          <cell r="E2938" t="str">
            <v>BILLETERA COPAHUE</v>
          </cell>
          <cell r="F2938" t="str">
            <v>MODENA</v>
          </cell>
          <cell r="G2938">
            <v>0</v>
          </cell>
          <cell r="H2938" t="str">
            <v>VERDE</v>
          </cell>
          <cell r="I2938" t="str">
            <v>U</v>
          </cell>
          <cell r="J2938" t="str">
            <v>M</v>
          </cell>
        </row>
        <row r="2939">
          <cell r="B2939" t="str">
            <v>OT020730301-56</v>
          </cell>
          <cell r="C2939" t="str">
            <v>ACCESORIOS</v>
          </cell>
          <cell r="D2939" t="str">
            <v>LLAVERO</v>
          </cell>
          <cell r="E2939" t="str">
            <v>LLAVERO ABC (LETRA F)</v>
          </cell>
          <cell r="F2939" t="str">
            <v>BRIDGE/GAMUZA</v>
          </cell>
          <cell r="G2939">
            <v>0</v>
          </cell>
          <cell r="H2939" t="str">
            <v>NEGRO/OXIDO</v>
          </cell>
          <cell r="I2939" t="str">
            <v>U</v>
          </cell>
          <cell r="J2939" t="str">
            <v>U</v>
          </cell>
        </row>
        <row r="2940">
          <cell r="B2940" t="str">
            <v>OT020750315-09</v>
          </cell>
          <cell r="C2940" t="str">
            <v>ACCESORIOS</v>
          </cell>
          <cell r="D2940" t="str">
            <v>LLAVERO</v>
          </cell>
          <cell r="E2940" t="str">
            <v>LLAVERO ABC (LETRA S)</v>
          </cell>
          <cell r="F2940" t="str">
            <v>BRIDGE/GAMUZA</v>
          </cell>
          <cell r="G2940">
            <v>0</v>
          </cell>
          <cell r="H2940" t="str">
            <v>MALBEC/AZUL</v>
          </cell>
          <cell r="I2940" t="str">
            <v>U</v>
          </cell>
          <cell r="J2940" t="str">
            <v>U</v>
          </cell>
        </row>
        <row r="2941">
          <cell r="B2941" t="str">
            <v>OT020740315-09</v>
          </cell>
          <cell r="C2941" t="str">
            <v>ACCESORIOS</v>
          </cell>
          <cell r="D2941" t="str">
            <v>LLAVERO</v>
          </cell>
          <cell r="E2941" t="str">
            <v>LLAVERO ABC (LETRA A)</v>
          </cell>
          <cell r="F2941" t="str">
            <v>BRIDGE/GAMUZA</v>
          </cell>
          <cell r="G2941">
            <v>0</v>
          </cell>
          <cell r="H2941" t="str">
            <v>MALBEC/AZUL</v>
          </cell>
          <cell r="I2941" t="str">
            <v>U</v>
          </cell>
          <cell r="J2941" t="str">
            <v>U</v>
          </cell>
        </row>
        <row r="2942">
          <cell r="B2942" t="str">
            <v>MG010601910</v>
          </cell>
          <cell r="C2942" t="str">
            <v>MARRO GRANDE</v>
          </cell>
          <cell r="D2942" t="str">
            <v>BANDOLERA</v>
          </cell>
          <cell r="E2942" t="str">
            <v>CARTERA YARA</v>
          </cell>
          <cell r="F2942" t="str">
            <v>MODENA</v>
          </cell>
          <cell r="G2942">
            <v>0</v>
          </cell>
          <cell r="H2942" t="str">
            <v>VERDE</v>
          </cell>
          <cell r="I2942" t="str">
            <v>U</v>
          </cell>
          <cell r="J2942" t="str">
            <v>M</v>
          </cell>
        </row>
        <row r="2943">
          <cell r="B2943" t="str">
            <v>TX280420001-07</v>
          </cell>
          <cell r="C2943" t="str">
            <v>ACCESORIOS</v>
          </cell>
          <cell r="D2943" t="str">
            <v>MEDIAS</v>
          </cell>
          <cell r="E2943" t="str">
            <v>MEDIA HOMBRE MEDIA CAÑA FANTASIA</v>
          </cell>
          <cell r="F2943" t="str">
            <v>ROMBO</v>
          </cell>
          <cell r="H2943" t="str">
            <v>NEGRO/ROJO</v>
          </cell>
          <cell r="I2943" t="str">
            <v>U</v>
          </cell>
          <cell r="J2943" t="str">
            <v>H</v>
          </cell>
        </row>
        <row r="2944">
          <cell r="B2944" t="str">
            <v>TX280430036-69</v>
          </cell>
          <cell r="C2944" t="str">
            <v>TEXTIL</v>
          </cell>
          <cell r="D2944" t="str">
            <v>MEDIAS</v>
          </cell>
          <cell r="E2944" t="str">
            <v>MEDIA HOMBRE MEDIA CAÑA FANTASIA</v>
          </cell>
          <cell r="F2944" t="str">
            <v>ROMBO</v>
          </cell>
          <cell r="H2944" t="str">
            <v>CRUDO/CELESTE</v>
          </cell>
          <cell r="I2944" t="str">
            <v>U</v>
          </cell>
          <cell r="J2944" t="str">
            <v>H</v>
          </cell>
        </row>
        <row r="2945">
          <cell r="B2945" t="str">
            <v>TX280440001-67</v>
          </cell>
          <cell r="C2945" t="str">
            <v>TEXTIL</v>
          </cell>
          <cell r="D2945" t="str">
            <v>MEDIAS</v>
          </cell>
          <cell r="E2945" t="str">
            <v>MEDIA HOMBRE MEDIA CAÑA FANTASIA</v>
          </cell>
          <cell r="F2945" t="str">
            <v>MULTIRAYAS</v>
          </cell>
          <cell r="H2945" t="str">
            <v>NEGRO/GRIS MELANGE</v>
          </cell>
          <cell r="I2945" t="str">
            <v>U</v>
          </cell>
          <cell r="J2945" t="str">
            <v>H</v>
          </cell>
        </row>
        <row r="2946">
          <cell r="B2946" t="str">
            <v>TX280450022-68</v>
          </cell>
          <cell r="C2946" t="str">
            <v>TEXTIL</v>
          </cell>
          <cell r="D2946" t="str">
            <v>MEDIAS</v>
          </cell>
          <cell r="E2946" t="str">
            <v>MEDIA HOMBRE MEDIA CAÑA FANTASIA</v>
          </cell>
          <cell r="F2946" t="str">
            <v>MULTIRAYAS</v>
          </cell>
          <cell r="H2946" t="str">
            <v>GRIS OSCURO/GRIS CLARO</v>
          </cell>
          <cell r="I2946" t="str">
            <v>U</v>
          </cell>
          <cell r="J2946" t="str">
            <v>H</v>
          </cell>
        </row>
        <row r="2947">
          <cell r="B2947" t="str">
            <v>TX280460022-68</v>
          </cell>
          <cell r="C2947" t="str">
            <v>TEXTIL</v>
          </cell>
          <cell r="D2947" t="str">
            <v>MEDIAS</v>
          </cell>
          <cell r="E2947" t="str">
            <v>MEDIA HOMBRE MEDIA CAÑA FANTASIA</v>
          </cell>
          <cell r="F2947" t="str">
            <v>ROMBO CHICO</v>
          </cell>
          <cell r="H2947" t="str">
            <v>GRIS OSCURO/ CLARO</v>
          </cell>
          <cell r="I2947" t="str">
            <v>U</v>
          </cell>
          <cell r="J2947" t="str">
            <v>H</v>
          </cell>
        </row>
        <row r="2948">
          <cell r="B2948" t="str">
            <v>TX280470068-22</v>
          </cell>
          <cell r="C2948" t="str">
            <v>TEXTIL</v>
          </cell>
          <cell r="D2948" t="str">
            <v>MEDIAS</v>
          </cell>
          <cell r="E2948" t="str">
            <v>MEDIA HOMBRE MEDIA CAÑA FANTASIA</v>
          </cell>
          <cell r="F2948" t="str">
            <v>ROMBO CHICO</v>
          </cell>
          <cell r="H2948" t="str">
            <v>GRIS CLARO / OSCURO</v>
          </cell>
          <cell r="I2948" t="str">
            <v>U</v>
          </cell>
          <cell r="J2948" t="str">
            <v>H</v>
          </cell>
        </row>
        <row r="2949">
          <cell r="B2949" t="str">
            <v>MG010851910</v>
          </cell>
          <cell r="C2949" t="str">
            <v>MARRO GRANDE</v>
          </cell>
          <cell r="D2949" t="str">
            <v>CARTERA</v>
          </cell>
          <cell r="E2949" t="str">
            <v>CARTERA CHALTEN</v>
          </cell>
          <cell r="F2949" t="str">
            <v>MODENA</v>
          </cell>
          <cell r="G2949">
            <v>0</v>
          </cell>
          <cell r="H2949" t="str">
            <v>VERDE</v>
          </cell>
          <cell r="I2949" t="str">
            <v>U</v>
          </cell>
          <cell r="J2949" t="str">
            <v>M</v>
          </cell>
        </row>
        <row r="2950">
          <cell r="B2950" t="str">
            <v>MG010851909</v>
          </cell>
          <cell r="C2950" t="str">
            <v>MARRO GRANDE</v>
          </cell>
          <cell r="D2950" t="str">
            <v>CARTERA</v>
          </cell>
          <cell r="E2950" t="str">
            <v>CARTERA CHALTEN</v>
          </cell>
          <cell r="F2950" t="str">
            <v>MODENA</v>
          </cell>
          <cell r="G2950">
            <v>0</v>
          </cell>
          <cell r="H2950" t="str">
            <v>AZUL</v>
          </cell>
          <cell r="I2950" t="str">
            <v>U</v>
          </cell>
          <cell r="J2950" t="str">
            <v>M</v>
          </cell>
        </row>
        <row r="2951">
          <cell r="B2951" t="str">
            <v>MG010103163-52</v>
          </cell>
          <cell r="C2951" t="str">
            <v>MARRO GRANDE</v>
          </cell>
          <cell r="D2951" t="str">
            <v>BOLSO</v>
          </cell>
          <cell r="E2951" t="str">
            <v>BOLSO TUBO GRANDE</v>
          </cell>
          <cell r="F2951" t="str">
            <v>PELO/BR</v>
          </cell>
          <cell r="G2951">
            <v>0</v>
          </cell>
          <cell r="H2951" t="str">
            <v>MARRON/CHOCOLATE</v>
          </cell>
          <cell r="I2951" t="str">
            <v>U</v>
          </cell>
          <cell r="J2951" t="str">
            <v>U</v>
          </cell>
        </row>
        <row r="2952">
          <cell r="B2952" t="str">
            <v>MG010103148-52</v>
          </cell>
          <cell r="C2952" t="str">
            <v>MARRO GRANDE</v>
          </cell>
          <cell r="D2952" t="str">
            <v>BOLSO</v>
          </cell>
          <cell r="E2952" t="str">
            <v>BOLSO TUBO GRANDE</v>
          </cell>
          <cell r="F2952" t="str">
            <v>PELO/BR</v>
          </cell>
          <cell r="G2952">
            <v>0</v>
          </cell>
          <cell r="H2952" t="str">
            <v>MARRON ROJIZO/CHOCOLATE</v>
          </cell>
          <cell r="I2952" t="str">
            <v>U</v>
          </cell>
          <cell r="J2952" t="str">
            <v>U</v>
          </cell>
        </row>
        <row r="2953">
          <cell r="B2953" t="str">
            <v>MG010731909</v>
          </cell>
          <cell r="C2953" t="str">
            <v>MARRO GRANDE</v>
          </cell>
          <cell r="D2953" t="str">
            <v>CARTERA</v>
          </cell>
          <cell r="E2953" t="str">
            <v>CARTERA MINI APHOLO SET SOBRE</v>
          </cell>
          <cell r="F2953" t="str">
            <v>MODENA</v>
          </cell>
          <cell r="G2953">
            <v>0</v>
          </cell>
          <cell r="H2953" t="str">
            <v>AZUL</v>
          </cell>
          <cell r="I2953" t="str">
            <v>U</v>
          </cell>
          <cell r="J2953" t="str">
            <v>M</v>
          </cell>
        </row>
        <row r="2954">
          <cell r="B2954" t="str">
            <v>MG010731910</v>
          </cell>
          <cell r="C2954" t="str">
            <v>MARRO GRANDE</v>
          </cell>
          <cell r="D2954" t="str">
            <v>CARTERA</v>
          </cell>
          <cell r="E2954" t="str">
            <v>CARTERA MINI APHOLO SET SOBRE</v>
          </cell>
          <cell r="F2954" t="str">
            <v>MODENA</v>
          </cell>
          <cell r="G2954">
            <v>0</v>
          </cell>
          <cell r="H2954" t="str">
            <v>VERDE</v>
          </cell>
          <cell r="I2954" t="str">
            <v>U</v>
          </cell>
          <cell r="J2954" t="str">
            <v>M</v>
          </cell>
        </row>
        <row r="2955">
          <cell r="B2955" t="str">
            <v>OT320760301</v>
          </cell>
          <cell r="C2955" t="str">
            <v>TRAVEL</v>
          </cell>
          <cell r="D2955" t="str">
            <v>VALIJA</v>
          </cell>
          <cell r="E2955" t="str">
            <v>CARRY ON JAMES</v>
          </cell>
          <cell r="F2955" t="str">
            <v>BRIDGE</v>
          </cell>
          <cell r="G2955">
            <v>0</v>
          </cell>
          <cell r="H2955" t="str">
            <v>NEGRO</v>
          </cell>
          <cell r="I2955" t="str">
            <v>U</v>
          </cell>
          <cell r="J2955" t="str">
            <v>U</v>
          </cell>
        </row>
        <row r="2956">
          <cell r="B2956" t="str">
            <v>OT320760304</v>
          </cell>
          <cell r="C2956" t="str">
            <v>TRAVEL</v>
          </cell>
          <cell r="D2956" t="str">
            <v>VALIJA</v>
          </cell>
          <cell r="E2956" t="str">
            <v>CARRY ON JAMES</v>
          </cell>
          <cell r="F2956" t="str">
            <v>BRIDGE</v>
          </cell>
          <cell r="G2956">
            <v>0</v>
          </cell>
          <cell r="H2956" t="str">
            <v>TABACO</v>
          </cell>
          <cell r="I2956" t="str">
            <v>U</v>
          </cell>
          <cell r="J2956" t="str">
            <v>U</v>
          </cell>
        </row>
        <row r="2957">
          <cell r="B2957" t="str">
            <v>OT320770101</v>
          </cell>
          <cell r="C2957" t="str">
            <v>TRAVEL</v>
          </cell>
          <cell r="D2957" t="str">
            <v>PORTATRAJE</v>
          </cell>
          <cell r="E2957" t="str">
            <v xml:space="preserve"> PORTATRAJE FRANK</v>
          </cell>
          <cell r="F2957" t="str">
            <v>NAPADO</v>
          </cell>
          <cell r="G2957">
            <v>0</v>
          </cell>
          <cell r="H2957" t="str">
            <v>NEGRO</v>
          </cell>
          <cell r="I2957" t="str">
            <v>U</v>
          </cell>
          <cell r="J2957" t="str">
            <v>H</v>
          </cell>
        </row>
        <row r="2958">
          <cell r="B2958" t="str">
            <v>OT320770104</v>
          </cell>
          <cell r="C2958" t="str">
            <v>TRAVEL</v>
          </cell>
          <cell r="D2958" t="str">
            <v>PORTATRAJE</v>
          </cell>
          <cell r="E2958" t="str">
            <v xml:space="preserve"> PORTATRAJE FRANK</v>
          </cell>
          <cell r="F2958" t="str">
            <v>NAPADO</v>
          </cell>
          <cell r="G2958">
            <v>0</v>
          </cell>
          <cell r="H2958" t="str">
            <v>TABACO</v>
          </cell>
          <cell r="I2958" t="str">
            <v>U</v>
          </cell>
          <cell r="J2958" t="str">
            <v>H</v>
          </cell>
        </row>
        <row r="2959">
          <cell r="B2959" t="str">
            <v>OT320780301</v>
          </cell>
          <cell r="C2959" t="str">
            <v>TRAVEL</v>
          </cell>
          <cell r="D2959" t="str">
            <v>VALIJA</v>
          </cell>
          <cell r="E2959" t="str">
            <v>CARRY ON FRED</v>
          </cell>
          <cell r="F2959" t="str">
            <v xml:space="preserve">BRIDGE </v>
          </cell>
          <cell r="G2959">
            <v>0</v>
          </cell>
          <cell r="H2959" t="str">
            <v>NEGRO</v>
          </cell>
          <cell r="I2959" t="str">
            <v>U</v>
          </cell>
          <cell r="J2959" t="str">
            <v>U</v>
          </cell>
        </row>
        <row r="2960">
          <cell r="B2960" t="str">
            <v>OT320780304</v>
          </cell>
          <cell r="C2960" t="str">
            <v>TRAVEL</v>
          </cell>
          <cell r="D2960" t="str">
            <v>VALIJA</v>
          </cell>
          <cell r="E2960" t="str">
            <v>CARRY ON FRED</v>
          </cell>
          <cell r="F2960" t="str">
            <v xml:space="preserve">BRIDGE </v>
          </cell>
          <cell r="G2960">
            <v>0</v>
          </cell>
          <cell r="H2960" t="str">
            <v>TABACO</v>
          </cell>
          <cell r="I2960" t="str">
            <v>U</v>
          </cell>
          <cell r="J2960" t="str">
            <v>U</v>
          </cell>
        </row>
        <row r="2961">
          <cell r="B2961" t="str">
            <v>MG020570102</v>
          </cell>
          <cell r="C2961" t="str">
            <v>MARRO GRANDE</v>
          </cell>
          <cell r="D2961" t="str">
            <v>BANDOLERA</v>
          </cell>
          <cell r="E2961" t="str">
            <v>BANDOLERA LENA</v>
          </cell>
          <cell r="F2961" t="str">
            <v>NAPADO</v>
          </cell>
          <cell r="G2961">
            <v>0</v>
          </cell>
          <cell r="H2961" t="str">
            <v>SUELA</v>
          </cell>
          <cell r="I2961" t="str">
            <v>U</v>
          </cell>
          <cell r="J2961" t="str">
            <v>M</v>
          </cell>
        </row>
        <row r="2962">
          <cell r="B2962" t="str">
            <v>MC020191909</v>
          </cell>
          <cell r="C2962" t="str">
            <v>MARRO CHICA</v>
          </cell>
          <cell r="D2962" t="str">
            <v>TARJETERO</v>
          </cell>
          <cell r="E2962" t="str">
            <v>TARJETERO JUAN</v>
          </cell>
          <cell r="F2962" t="str">
            <v>MODENA</v>
          </cell>
          <cell r="G2962">
            <v>0</v>
          </cell>
          <cell r="H2962" t="str">
            <v>AZUL</v>
          </cell>
          <cell r="I2962" t="str">
            <v>U</v>
          </cell>
          <cell r="J2962" t="str">
            <v>U</v>
          </cell>
        </row>
        <row r="2963">
          <cell r="B2963" t="str">
            <v>MC020141909</v>
          </cell>
          <cell r="C2963" t="str">
            <v>MARRO CHICA</v>
          </cell>
          <cell r="D2963" t="str">
            <v>PORTAPASAPORTE</v>
          </cell>
          <cell r="E2963" t="str">
            <v>PORTAPASAPORTE CHESTER</v>
          </cell>
          <cell r="F2963" t="str">
            <v>MODENA</v>
          </cell>
          <cell r="G2963">
            <v>0</v>
          </cell>
          <cell r="H2963" t="str">
            <v>AZUL</v>
          </cell>
          <cell r="I2963" t="str">
            <v>U</v>
          </cell>
          <cell r="J2963" t="str">
            <v>U</v>
          </cell>
        </row>
        <row r="2964">
          <cell r="B2964" t="str">
            <v>MG011090307</v>
          </cell>
          <cell r="C2964" t="str">
            <v>MARRO GRANDE</v>
          </cell>
          <cell r="D2964" t="str">
            <v>BANDOLERA</v>
          </cell>
          <cell r="E2964" t="str">
            <v>BANDOLERA NEW VICENTA</v>
          </cell>
          <cell r="F2964" t="str">
            <v>BRIDGE</v>
          </cell>
          <cell r="G2964">
            <v>0</v>
          </cell>
          <cell r="H2964" t="str">
            <v>ROJO</v>
          </cell>
          <cell r="I2964" t="str">
            <v>U</v>
          </cell>
          <cell r="J2964" t="str">
            <v>M</v>
          </cell>
        </row>
        <row r="2965">
          <cell r="B2965" t="str">
            <v>OT010790408</v>
          </cell>
          <cell r="C2965" t="str">
            <v>ACCESORIOS</v>
          </cell>
          <cell r="D2965" t="str">
            <v>PORTAVINO</v>
          </cell>
          <cell r="E2965" t="str">
            <v>PORTAVINO CAFAYATE</v>
          </cell>
          <cell r="F2965" t="str">
            <v>VAQUETA</v>
          </cell>
          <cell r="G2965">
            <v>0</v>
          </cell>
          <cell r="H2965" t="str">
            <v>NATURAL</v>
          </cell>
          <cell r="I2965" t="str">
            <v>U</v>
          </cell>
          <cell r="J2965" t="str">
            <v>U</v>
          </cell>
        </row>
        <row r="2966">
          <cell r="B2966" t="str">
            <v>OT010790402</v>
          </cell>
          <cell r="C2966" t="str">
            <v>ACCESORIOS</v>
          </cell>
          <cell r="D2966" t="str">
            <v>PORTAVINO</v>
          </cell>
          <cell r="E2966" t="str">
            <v>PORTAVINO CAFAYATE</v>
          </cell>
          <cell r="F2966" t="str">
            <v>VAQUETA</v>
          </cell>
          <cell r="G2966">
            <v>0</v>
          </cell>
          <cell r="H2966" t="str">
            <v>SUELA</v>
          </cell>
          <cell r="I2966" t="str">
            <v>U</v>
          </cell>
          <cell r="J2966" t="str">
            <v>U</v>
          </cell>
        </row>
        <row r="2967">
          <cell r="B2967" t="str">
            <v>OT020800408</v>
          </cell>
          <cell r="C2967" t="str">
            <v>ACCESORIOS</v>
          </cell>
          <cell r="D2967" t="str">
            <v>PORTAVINO</v>
          </cell>
          <cell r="E2967" t="str">
            <v>PORTAVINO RIOJA</v>
          </cell>
          <cell r="F2967" t="str">
            <v>VAQUETA</v>
          </cell>
          <cell r="G2967">
            <v>0</v>
          </cell>
          <cell r="H2967" t="str">
            <v>NATURAL</v>
          </cell>
          <cell r="I2967" t="str">
            <v>U</v>
          </cell>
          <cell r="J2967" t="str">
            <v>U</v>
          </cell>
        </row>
        <row r="2968">
          <cell r="B2968" t="str">
            <v>OT020800402</v>
          </cell>
          <cell r="C2968" t="str">
            <v>ACCESORIOS</v>
          </cell>
          <cell r="D2968" t="str">
            <v>PORTAVINO</v>
          </cell>
          <cell r="E2968" t="str">
            <v>PORTAVINO RIOJA</v>
          </cell>
          <cell r="F2968" t="str">
            <v>VAQUETA</v>
          </cell>
          <cell r="G2968">
            <v>0</v>
          </cell>
          <cell r="H2968" t="str">
            <v>SUELA</v>
          </cell>
          <cell r="I2968" t="str">
            <v>U</v>
          </cell>
          <cell r="J2968" t="str">
            <v>U</v>
          </cell>
        </row>
        <row r="2969">
          <cell r="B2969" t="str">
            <v>MG010660101</v>
          </cell>
          <cell r="C2969" t="str">
            <v>MARRO GRANDE</v>
          </cell>
          <cell r="D2969" t="str">
            <v>TOTE</v>
          </cell>
          <cell r="E2969" t="str">
            <v>TOTE IRUYA</v>
          </cell>
          <cell r="F2969" t="str">
            <v>NAPADO</v>
          </cell>
          <cell r="G2969">
            <v>0</v>
          </cell>
          <cell r="H2969" t="str">
            <v>NEGRO</v>
          </cell>
          <cell r="I2969" t="str">
            <v>U</v>
          </cell>
          <cell r="J2969" t="str">
            <v>M</v>
          </cell>
        </row>
        <row r="2970">
          <cell r="B2970" t="str">
            <v>MG010660102</v>
          </cell>
          <cell r="C2970" t="str">
            <v>MARRO GRANDE</v>
          </cell>
          <cell r="D2970" t="str">
            <v>TOTE</v>
          </cell>
          <cell r="E2970" t="str">
            <v>TOTE IRUYA</v>
          </cell>
          <cell r="F2970" t="str">
            <v>NAPADO</v>
          </cell>
          <cell r="G2970">
            <v>0</v>
          </cell>
          <cell r="H2970" t="str">
            <v>SUELA</v>
          </cell>
          <cell r="I2970" t="str">
            <v>U</v>
          </cell>
          <cell r="J2970" t="str">
            <v>M</v>
          </cell>
        </row>
        <row r="2971">
          <cell r="B2971" t="str">
            <v>MG010660103</v>
          </cell>
          <cell r="C2971" t="str">
            <v>MARRO GRANDE</v>
          </cell>
          <cell r="D2971" t="str">
            <v>TOTE</v>
          </cell>
          <cell r="E2971" t="str">
            <v>TOTE IRUYA</v>
          </cell>
          <cell r="F2971" t="str">
            <v>NAPADO</v>
          </cell>
          <cell r="G2971">
            <v>0</v>
          </cell>
          <cell r="H2971" t="str">
            <v>CARAMELO</v>
          </cell>
          <cell r="I2971" t="str">
            <v>U</v>
          </cell>
          <cell r="J2971" t="str">
            <v>M</v>
          </cell>
        </row>
        <row r="2972">
          <cell r="B2972" t="str">
            <v>MG010660115</v>
          </cell>
          <cell r="C2972" t="str">
            <v>MARRO GRANDE</v>
          </cell>
          <cell r="D2972" t="str">
            <v>TOTE</v>
          </cell>
          <cell r="E2972" t="str">
            <v>TOTE IRUYA</v>
          </cell>
          <cell r="F2972" t="str">
            <v>NAPADO</v>
          </cell>
          <cell r="G2972">
            <v>0</v>
          </cell>
          <cell r="H2972" t="str">
            <v>MALBEC</v>
          </cell>
          <cell r="I2972" t="str">
            <v>U</v>
          </cell>
          <cell r="J2972" t="str">
            <v>M</v>
          </cell>
        </row>
        <row r="2973">
          <cell r="B2973" t="str">
            <v>MG321360301</v>
          </cell>
          <cell r="C2973" t="str">
            <v>MARRO GRANDE</v>
          </cell>
          <cell r="D2973" t="str">
            <v>DECO</v>
          </cell>
          <cell r="E2973" t="str">
            <v>MATERA RENÉ FULL BLACK</v>
          </cell>
          <cell r="F2973" t="str">
            <v>BRIDGE</v>
          </cell>
          <cell r="G2973">
            <v>0</v>
          </cell>
          <cell r="H2973" t="str">
            <v>NEGRO</v>
          </cell>
          <cell r="I2973" t="str">
            <v>U</v>
          </cell>
          <cell r="J2973" t="str">
            <v>U</v>
          </cell>
        </row>
        <row r="2974">
          <cell r="B2974" t="str">
            <v>MG321220301</v>
          </cell>
          <cell r="C2974" t="str">
            <v>MARRO GRANDE</v>
          </cell>
          <cell r="D2974" t="str">
            <v>MOCHILA</v>
          </cell>
          <cell r="E2974" t="str">
            <v>MOCHILA IKER</v>
          </cell>
          <cell r="F2974" t="str">
            <v>BRIDGE</v>
          </cell>
          <cell r="G2974">
            <v>0</v>
          </cell>
          <cell r="H2974" t="str">
            <v>NEGRO</v>
          </cell>
          <cell r="I2974" t="str">
            <v>U</v>
          </cell>
          <cell r="J2974" t="str">
            <v>H</v>
          </cell>
        </row>
        <row r="2975">
          <cell r="B2975" t="str">
            <v>MG321220304</v>
          </cell>
          <cell r="C2975" t="str">
            <v>MARRO GRANDE</v>
          </cell>
          <cell r="D2975" t="str">
            <v>MOCHILA</v>
          </cell>
          <cell r="E2975" t="str">
            <v>MOCHILA IKER</v>
          </cell>
          <cell r="F2975" t="str">
            <v>BRIDGE</v>
          </cell>
          <cell r="G2975">
            <v>0</v>
          </cell>
          <cell r="H2975" t="str">
            <v>TABACO</v>
          </cell>
          <cell r="I2975" t="str">
            <v>U</v>
          </cell>
          <cell r="J2975" t="str">
            <v>H</v>
          </cell>
        </row>
        <row r="2976">
          <cell r="B2976" t="str">
            <v>MG321230301</v>
          </cell>
          <cell r="C2976" t="str">
            <v>MARRO GRANDE</v>
          </cell>
          <cell r="D2976" t="str">
            <v>PORTAFOLIO</v>
          </cell>
          <cell r="E2976" t="str">
            <v>PORTAFOLIO BIEL</v>
          </cell>
          <cell r="F2976" t="str">
            <v>BRIDGE</v>
          </cell>
          <cell r="G2976">
            <v>0</v>
          </cell>
          <cell r="H2976" t="str">
            <v>NEGRO</v>
          </cell>
          <cell r="I2976" t="str">
            <v>U</v>
          </cell>
          <cell r="J2976" t="str">
            <v>H</v>
          </cell>
        </row>
        <row r="2977">
          <cell r="B2977" t="str">
            <v>MG321230304</v>
          </cell>
          <cell r="C2977" t="str">
            <v>MARRO GRANDE</v>
          </cell>
          <cell r="D2977" t="str">
            <v>PORTAFOLIO</v>
          </cell>
          <cell r="E2977" t="str">
            <v>PORTAFOLIO BIEL</v>
          </cell>
          <cell r="F2977" t="str">
            <v>BRIDGE</v>
          </cell>
          <cell r="G2977">
            <v>0</v>
          </cell>
          <cell r="H2977" t="str">
            <v>TABACO</v>
          </cell>
          <cell r="I2977" t="str">
            <v>U</v>
          </cell>
          <cell r="J2977" t="str">
            <v>H</v>
          </cell>
        </row>
        <row r="2978">
          <cell r="B2978" t="str">
            <v>MC320840307</v>
          </cell>
          <cell r="C2978" t="str">
            <v>MARRO CHICA</v>
          </cell>
          <cell r="D2978" t="str">
            <v>NECESSAIRE</v>
          </cell>
          <cell r="E2978" t="str">
            <v>NECESSAIRE GAEL</v>
          </cell>
          <cell r="F2978" t="str">
            <v>BRIDGE</v>
          </cell>
          <cell r="G2978">
            <v>0</v>
          </cell>
          <cell r="H2978" t="str">
            <v>ROJO</v>
          </cell>
          <cell r="I2978" t="str">
            <v>U</v>
          </cell>
          <cell r="J2978" t="str">
            <v>M</v>
          </cell>
        </row>
        <row r="2979">
          <cell r="B2979" t="str">
            <v>MC320840304</v>
          </cell>
          <cell r="C2979" t="str">
            <v>MARRO CHICA</v>
          </cell>
          <cell r="D2979" t="str">
            <v>NECESSAIRE</v>
          </cell>
          <cell r="E2979" t="str">
            <v>NECESSAIRE GAEL</v>
          </cell>
          <cell r="F2979" t="str">
            <v>BRIDGE</v>
          </cell>
          <cell r="G2979">
            <v>0</v>
          </cell>
          <cell r="H2979" t="str">
            <v>TABACO</v>
          </cell>
          <cell r="I2979" t="str">
            <v>U</v>
          </cell>
          <cell r="J2979" t="str">
            <v>M</v>
          </cell>
        </row>
        <row r="2980">
          <cell r="B2980" t="str">
            <v>MC020101909</v>
          </cell>
          <cell r="C2980" t="str">
            <v>MARRO CHICA</v>
          </cell>
          <cell r="D2980" t="str">
            <v>TARJETERO</v>
          </cell>
          <cell r="E2980" t="str">
            <v>TARJETERO ARIES</v>
          </cell>
          <cell r="F2980" t="str">
            <v>MODENA</v>
          </cell>
          <cell r="G2980">
            <v>0</v>
          </cell>
          <cell r="H2980" t="str">
            <v>AZUL</v>
          </cell>
          <cell r="I2980" t="str">
            <v>U</v>
          </cell>
          <cell r="J2980" t="str">
            <v>U</v>
          </cell>
        </row>
        <row r="2981">
          <cell r="B2981" t="str">
            <v>MC020291909</v>
          </cell>
          <cell r="C2981" t="str">
            <v>MARRO CHICA</v>
          </cell>
          <cell r="D2981" t="str">
            <v>MONEDERO</v>
          </cell>
          <cell r="E2981" t="str">
            <v>MONEDERO GRACE</v>
          </cell>
          <cell r="F2981" t="str">
            <v>MODENA</v>
          </cell>
          <cell r="G2981">
            <v>0</v>
          </cell>
          <cell r="H2981" t="str">
            <v>AZUL</v>
          </cell>
          <cell r="I2981" t="str">
            <v>U</v>
          </cell>
          <cell r="J2981" t="str">
            <v>U</v>
          </cell>
        </row>
        <row r="2982">
          <cell r="B2982" t="str">
            <v>MC020171909</v>
          </cell>
          <cell r="C2982" t="str">
            <v>MARRO CHICA</v>
          </cell>
          <cell r="D2982" t="str">
            <v>PORTALENTES</v>
          </cell>
          <cell r="E2982" t="str">
            <v>PORTALENTES LUZ</v>
          </cell>
          <cell r="F2982" t="str">
            <v>MODENA</v>
          </cell>
          <cell r="G2982">
            <v>0</v>
          </cell>
          <cell r="H2982" t="str">
            <v>AZUL</v>
          </cell>
          <cell r="I2982" t="str">
            <v>U</v>
          </cell>
          <cell r="J2982" t="str">
            <v>U</v>
          </cell>
        </row>
        <row r="2983">
          <cell r="B2983" t="str">
            <v>OT020820303</v>
          </cell>
          <cell r="C2983" t="str">
            <v>MARRO CHICA</v>
          </cell>
          <cell r="D2983" t="str">
            <v>DECO</v>
          </cell>
          <cell r="E2983" t="str">
            <v>PAD GRANDE</v>
          </cell>
          <cell r="F2983" t="str">
            <v>BRIDGE</v>
          </cell>
          <cell r="G2983">
            <v>0</v>
          </cell>
          <cell r="H2983" t="str">
            <v>CARAMELO</v>
          </cell>
          <cell r="I2983" t="str">
            <v>U</v>
          </cell>
          <cell r="J2983" t="str">
            <v>U</v>
          </cell>
        </row>
        <row r="2984">
          <cell r="B2984" t="str">
            <v>MC020701910</v>
          </cell>
          <cell r="C2984" t="str">
            <v>MARRO CHICA</v>
          </cell>
          <cell r="D2984" t="str">
            <v xml:space="preserve">BILLETERA </v>
          </cell>
          <cell r="E2984" t="str">
            <v>BILLETERA ADAM</v>
          </cell>
          <cell r="F2984" t="str">
            <v>MODENA</v>
          </cell>
          <cell r="G2984">
            <v>0</v>
          </cell>
          <cell r="H2984" t="str">
            <v>VERDE</v>
          </cell>
          <cell r="I2984" t="str">
            <v>U</v>
          </cell>
          <cell r="J2984" t="str">
            <v>H</v>
          </cell>
        </row>
        <row r="2985">
          <cell r="B2985" t="str">
            <v>MC020361910</v>
          </cell>
          <cell r="C2985" t="str">
            <v>MARRO CHICA</v>
          </cell>
          <cell r="D2985" t="str">
            <v>CARTUCHERA</v>
          </cell>
          <cell r="E2985" t="str">
            <v>CARTUCHERA MONT</v>
          </cell>
          <cell r="F2985" t="str">
            <v>MODENA</v>
          </cell>
          <cell r="G2985">
            <v>0</v>
          </cell>
          <cell r="H2985" t="str">
            <v>VERDE</v>
          </cell>
          <cell r="I2985" t="str">
            <v>U</v>
          </cell>
          <cell r="J2985" t="str">
            <v>U</v>
          </cell>
        </row>
        <row r="2986">
          <cell r="B2986" t="str">
            <v>MC020361909</v>
          </cell>
          <cell r="C2986" t="str">
            <v>MARRO CHICA</v>
          </cell>
          <cell r="D2986" t="str">
            <v>CARTUCHERA</v>
          </cell>
          <cell r="E2986" t="str">
            <v>CARTUCHERA MONT</v>
          </cell>
          <cell r="F2986" t="str">
            <v>MODENA</v>
          </cell>
          <cell r="G2986">
            <v>0</v>
          </cell>
          <cell r="H2986" t="str">
            <v>AZUL</v>
          </cell>
          <cell r="I2986" t="str">
            <v>U</v>
          </cell>
          <cell r="J2986" t="str">
            <v>U</v>
          </cell>
        </row>
        <row r="2987">
          <cell r="B2987" t="str">
            <v>MG011240516-4</v>
          </cell>
          <cell r="C2987" t="str">
            <v>MARRO GRANDE</v>
          </cell>
          <cell r="D2987" t="str">
            <v>CARTERA</v>
          </cell>
          <cell r="E2987" t="str">
            <v>CARTERA HARPER</v>
          </cell>
          <cell r="F2987" t="str">
            <v>GAMUZA</v>
          </cell>
          <cell r="G2987">
            <v>0</v>
          </cell>
          <cell r="H2987" t="str">
            <v>OLIVE/TABACO</v>
          </cell>
          <cell r="I2987" t="str">
            <v>U</v>
          </cell>
          <cell r="J2987" t="str">
            <v>M</v>
          </cell>
        </row>
        <row r="2988">
          <cell r="B2988" t="str">
            <v>MG011240550-4</v>
          </cell>
          <cell r="C2988" t="str">
            <v>MARRO GRANDE</v>
          </cell>
          <cell r="D2988" t="str">
            <v>CARTERA</v>
          </cell>
          <cell r="E2988" t="str">
            <v>CARTERA HARPER</v>
          </cell>
          <cell r="F2988" t="str">
            <v>GAMUZA</v>
          </cell>
          <cell r="G2988">
            <v>0</v>
          </cell>
          <cell r="H2988" t="str">
            <v>VESUBIO/TABACO</v>
          </cell>
          <cell r="I2988" t="str">
            <v>U</v>
          </cell>
          <cell r="J2988" t="str">
            <v>M</v>
          </cell>
        </row>
        <row r="2989">
          <cell r="B2989" t="str">
            <v>MG011240509-4</v>
          </cell>
          <cell r="C2989" t="str">
            <v>MARRO GRANDE</v>
          </cell>
          <cell r="D2989" t="str">
            <v>CARTERA</v>
          </cell>
          <cell r="E2989" t="str">
            <v>CARTERA HARPER</v>
          </cell>
          <cell r="F2989" t="str">
            <v>GAMUZA</v>
          </cell>
          <cell r="G2989">
            <v>0</v>
          </cell>
          <cell r="H2989" t="str">
            <v>AZUL/TABACO</v>
          </cell>
          <cell r="I2989" t="str">
            <v>U</v>
          </cell>
          <cell r="J2989" t="str">
            <v>M</v>
          </cell>
        </row>
        <row r="2990">
          <cell r="B2990" t="str">
            <v>MC020110302</v>
          </cell>
          <cell r="C2990" t="str">
            <v>MARRO CHICA</v>
          </cell>
          <cell r="D2990" t="str">
            <v>PORTALENTES</v>
          </cell>
          <cell r="E2990" t="str">
            <v>PORTALENTES ORION</v>
          </cell>
          <cell r="F2990" t="str">
            <v>BRIDGE</v>
          </cell>
          <cell r="G2990">
            <v>0</v>
          </cell>
          <cell r="H2990" t="str">
            <v>SUELA</v>
          </cell>
          <cell r="I2990" t="str">
            <v>U</v>
          </cell>
          <cell r="J2990" t="str">
            <v>U</v>
          </cell>
        </row>
        <row r="2991">
          <cell r="B2991" t="str">
            <v>MC020850701</v>
          </cell>
          <cell r="C2991" t="str">
            <v>ACCESORIOS</v>
          </cell>
          <cell r="D2991" t="str">
            <v>ESPEJO</v>
          </cell>
          <cell r="E2991" t="str">
            <v>ESPEJO RECTANGULAR</v>
          </cell>
          <cell r="F2991" t="str">
            <v>IGUANA</v>
          </cell>
          <cell r="G2991">
            <v>0</v>
          </cell>
          <cell r="H2991" t="str">
            <v>NEGRO</v>
          </cell>
          <cell r="I2991" t="str">
            <v>U</v>
          </cell>
          <cell r="J2991" t="str">
            <v>M</v>
          </cell>
        </row>
        <row r="2992">
          <cell r="B2992" t="str">
            <v>MC020850707</v>
          </cell>
          <cell r="C2992" t="str">
            <v>ACCESORIOS</v>
          </cell>
          <cell r="D2992" t="str">
            <v>ESPEJO</v>
          </cell>
          <cell r="E2992" t="str">
            <v>ESPEJO RECTANGULAR</v>
          </cell>
          <cell r="F2992" t="str">
            <v>IGUANA</v>
          </cell>
          <cell r="G2992">
            <v>0</v>
          </cell>
          <cell r="H2992" t="str">
            <v>ROJO</v>
          </cell>
          <cell r="I2992" t="str">
            <v>U</v>
          </cell>
          <cell r="J2992" t="str">
            <v>M</v>
          </cell>
        </row>
        <row r="2993">
          <cell r="B2993" t="str">
            <v>MC020850703</v>
          </cell>
          <cell r="C2993" t="str">
            <v>ACCESORIOS</v>
          </cell>
          <cell r="D2993" t="str">
            <v>ESPEJO</v>
          </cell>
          <cell r="E2993" t="str">
            <v>ESPEJO RECTANGULAR</v>
          </cell>
          <cell r="F2993" t="str">
            <v>IGUANA</v>
          </cell>
          <cell r="G2993">
            <v>0</v>
          </cell>
          <cell r="H2993" t="str">
            <v>CARAMELO</v>
          </cell>
          <cell r="I2993" t="str">
            <v>U</v>
          </cell>
          <cell r="J2993" t="str">
            <v>M</v>
          </cell>
        </row>
        <row r="2994">
          <cell r="B2994" t="str">
            <v>MC0205221623</v>
          </cell>
          <cell r="C2994" t="str">
            <v>MARRO CHICA</v>
          </cell>
          <cell r="D2994" t="str">
            <v>TAG</v>
          </cell>
          <cell r="E2994" t="str">
            <v>TAG INICIALES</v>
          </cell>
          <cell r="F2994" t="str">
            <v>FIORENTINO</v>
          </cell>
          <cell r="G2994">
            <v>0</v>
          </cell>
          <cell r="H2994" t="str">
            <v>CEDRO</v>
          </cell>
          <cell r="I2994" t="str">
            <v>U</v>
          </cell>
          <cell r="J2994" t="str">
            <v>U</v>
          </cell>
        </row>
        <row r="2995">
          <cell r="B2995" t="str">
            <v>MC020363242</v>
          </cell>
          <cell r="C2995" t="str">
            <v>MARRO CHICA</v>
          </cell>
          <cell r="D2995" t="str">
            <v>CARTUCHERA</v>
          </cell>
          <cell r="E2995" t="str">
            <v>CARTUCHERA MONT</v>
          </cell>
          <cell r="F2995" t="str">
            <v>VINTAGE</v>
          </cell>
          <cell r="G2995">
            <v>0</v>
          </cell>
          <cell r="H2995" t="str">
            <v>MEDIO</v>
          </cell>
          <cell r="I2995" t="str">
            <v>U</v>
          </cell>
          <cell r="J2995" t="str">
            <v>U</v>
          </cell>
        </row>
        <row r="2996">
          <cell r="B2996" t="str">
            <v>MC020261909</v>
          </cell>
          <cell r="C2996" t="str">
            <v>MARRO CHICA</v>
          </cell>
          <cell r="D2996" t="str">
            <v>TARJETERO</v>
          </cell>
          <cell r="E2996" t="str">
            <v>TARJETERO BILL</v>
          </cell>
          <cell r="F2996" t="str">
            <v>MODENA</v>
          </cell>
          <cell r="G2996">
            <v>0</v>
          </cell>
          <cell r="H2996" t="str">
            <v>AZUL</v>
          </cell>
          <cell r="I2996" t="str">
            <v>U</v>
          </cell>
          <cell r="J2996" t="str">
            <v>U</v>
          </cell>
        </row>
        <row r="2997">
          <cell r="B2997" t="str">
            <v>MG010261909</v>
          </cell>
          <cell r="C2997" t="str">
            <v>MARRO GRANDE</v>
          </cell>
          <cell r="D2997" t="str">
            <v>NECESSAIRE</v>
          </cell>
          <cell r="E2997" t="str">
            <v>NECESSAIRE MINI MARCOS</v>
          </cell>
          <cell r="F2997" t="str">
            <v>MODENA</v>
          </cell>
          <cell r="G2997">
            <v>0</v>
          </cell>
          <cell r="H2997" t="str">
            <v>AZUL</v>
          </cell>
          <cell r="I2997" t="str">
            <v>U</v>
          </cell>
          <cell r="J2997" t="str">
            <v>U</v>
          </cell>
        </row>
        <row r="2998">
          <cell r="B2998" t="str">
            <v>MG010261910</v>
          </cell>
          <cell r="C2998" t="str">
            <v>MARRO GRANDE</v>
          </cell>
          <cell r="D2998" t="str">
            <v>NECESSAIRE</v>
          </cell>
          <cell r="E2998" t="str">
            <v>NECESSAIRE MINI MARCOS</v>
          </cell>
          <cell r="F2998" t="str">
            <v>MODENA</v>
          </cell>
          <cell r="G2998">
            <v>0</v>
          </cell>
          <cell r="H2998" t="str">
            <v>VERDE</v>
          </cell>
          <cell r="I2998" t="str">
            <v>U</v>
          </cell>
          <cell r="J2998" t="str">
            <v>U</v>
          </cell>
        </row>
        <row r="2999">
          <cell r="B2999" t="str">
            <v>MG010663111</v>
          </cell>
          <cell r="C2999" t="str">
            <v>MARRO GRANDE</v>
          </cell>
          <cell r="D2999" t="str">
            <v>TOTE</v>
          </cell>
          <cell r="E2999" t="str">
            <v>TOTE IRUYA</v>
          </cell>
          <cell r="F2999" t="str">
            <v>PELO</v>
          </cell>
          <cell r="G2999">
            <v>0</v>
          </cell>
          <cell r="H2999" t="str">
            <v>BEIGE</v>
          </cell>
          <cell r="I2999" t="str">
            <v>U</v>
          </cell>
          <cell r="J2999" t="str">
            <v>M</v>
          </cell>
        </row>
        <row r="3000">
          <cell r="B3000" t="str">
            <v>MG010663140</v>
          </cell>
          <cell r="C3000" t="str">
            <v>MARRO GRANDE</v>
          </cell>
          <cell r="D3000" t="str">
            <v>TOTE</v>
          </cell>
          <cell r="E3000" t="str">
            <v>TOTE IRUYA</v>
          </cell>
          <cell r="F3000" t="str">
            <v>PELO</v>
          </cell>
          <cell r="G3000">
            <v>0</v>
          </cell>
          <cell r="H3000" t="str">
            <v>HOLANDO</v>
          </cell>
          <cell r="I3000" t="str">
            <v>U</v>
          </cell>
          <cell r="J3000" t="str">
            <v>M</v>
          </cell>
        </row>
        <row r="3001">
          <cell r="B3001" t="str">
            <v>MG010711909</v>
          </cell>
          <cell r="C3001" t="str">
            <v>MARRO GRANDE</v>
          </cell>
          <cell r="D3001" t="str">
            <v>CARTERA</v>
          </cell>
          <cell r="E3001" t="str">
            <v>CARTERA AMARILLA SET SOBRE</v>
          </cell>
          <cell r="F3001" t="str">
            <v>MODENA</v>
          </cell>
          <cell r="G3001">
            <v>0</v>
          </cell>
          <cell r="H3001" t="str">
            <v>AZUL</v>
          </cell>
          <cell r="I3001" t="str">
            <v>U</v>
          </cell>
          <cell r="J3001" t="str">
            <v>M</v>
          </cell>
        </row>
        <row r="3002">
          <cell r="B3002" t="str">
            <v>MG010100352</v>
          </cell>
          <cell r="C3002" t="str">
            <v>MARRO GRANDE</v>
          </cell>
          <cell r="D3002" t="str">
            <v>BOLSO</v>
          </cell>
          <cell r="E3002" t="str">
            <v>BOLSO TUBO GRANDE</v>
          </cell>
          <cell r="F3002" t="str">
            <v xml:space="preserve">BRIDGE </v>
          </cell>
          <cell r="G3002">
            <v>0</v>
          </cell>
          <cell r="H3002" t="str">
            <v>CHOCOLATE</v>
          </cell>
          <cell r="I3002" t="str">
            <v>U</v>
          </cell>
          <cell r="J3002" t="str">
            <v>U</v>
          </cell>
        </row>
        <row r="3003">
          <cell r="B3003" t="str">
            <v>MG321250301</v>
          </cell>
          <cell r="C3003" t="str">
            <v>MARRO GRANDE</v>
          </cell>
          <cell r="D3003" t="str">
            <v>BOLSO</v>
          </cell>
          <cell r="E3003" t="str">
            <v>BOLSO ENRICO</v>
          </cell>
          <cell r="F3003" t="str">
            <v>BRIDGE</v>
          </cell>
          <cell r="G3003">
            <v>0</v>
          </cell>
          <cell r="H3003" t="str">
            <v>NEGRO</v>
          </cell>
          <cell r="I3003" t="str">
            <v>U</v>
          </cell>
          <cell r="J3003" t="str">
            <v>U</v>
          </cell>
        </row>
        <row r="3004">
          <cell r="B3004" t="str">
            <v>MG321250304</v>
          </cell>
          <cell r="C3004" t="str">
            <v>MARRO GRANDE</v>
          </cell>
          <cell r="D3004" t="str">
            <v>BOLSO</v>
          </cell>
          <cell r="E3004" t="str">
            <v>BOLSO ENRICO</v>
          </cell>
          <cell r="F3004" t="str">
            <v>BRIDGE</v>
          </cell>
          <cell r="H3004" t="str">
            <v>TABACO</v>
          </cell>
          <cell r="I3004" t="str">
            <v>U</v>
          </cell>
          <cell r="J3004" t="str">
            <v>U</v>
          </cell>
        </row>
        <row r="3005">
          <cell r="B3005" t="str">
            <v>MG321260301</v>
          </cell>
          <cell r="C3005" t="str">
            <v>MARRO GRANDE</v>
          </cell>
          <cell r="D3005" t="str">
            <v>MOCHILA</v>
          </cell>
          <cell r="E3005" t="str">
            <v>MOCHILA SIMON FULL BLACK</v>
          </cell>
          <cell r="F3005" t="str">
            <v>BRIDGE</v>
          </cell>
          <cell r="H3005" t="str">
            <v>NEGRO</v>
          </cell>
          <cell r="I3005" t="str">
            <v>U</v>
          </cell>
          <cell r="J3005" t="str">
            <v>H</v>
          </cell>
        </row>
        <row r="3006">
          <cell r="B3006" t="str">
            <v>MG321270301</v>
          </cell>
          <cell r="C3006" t="str">
            <v>MARRO GRANDE</v>
          </cell>
          <cell r="D3006" t="str">
            <v>PORTAFOLIO</v>
          </cell>
          <cell r="E3006" t="str">
            <v>MALETIN BORIS</v>
          </cell>
          <cell r="F3006" t="str">
            <v>BRIDGE</v>
          </cell>
          <cell r="H3006" t="str">
            <v>NEGRO</v>
          </cell>
          <cell r="I3006" t="str">
            <v>U</v>
          </cell>
          <cell r="J3006" t="str">
            <v>H</v>
          </cell>
        </row>
        <row r="3007">
          <cell r="B3007" t="str">
            <v>MG321270304</v>
          </cell>
          <cell r="C3007" t="str">
            <v>MARRO GRANDE</v>
          </cell>
          <cell r="D3007" t="str">
            <v>PORTAFOLIO</v>
          </cell>
          <cell r="E3007" t="str">
            <v>MALETIN BORIS</v>
          </cell>
          <cell r="F3007" t="str">
            <v>BRIDGE</v>
          </cell>
          <cell r="G3007">
            <v>0</v>
          </cell>
          <cell r="H3007" t="str">
            <v>TABACO</v>
          </cell>
          <cell r="I3007" t="str">
            <v>U</v>
          </cell>
          <cell r="J3007" t="str">
            <v>H</v>
          </cell>
        </row>
        <row r="3008">
          <cell r="B3008" t="str">
            <v>OT020690301-56</v>
          </cell>
          <cell r="C3008" t="str">
            <v>ACCESORIOS</v>
          </cell>
          <cell r="D3008" t="str">
            <v>LLAVERO</v>
          </cell>
          <cell r="E3008" t="str">
            <v>LLAVERO ABC (LETRA G)</v>
          </cell>
          <cell r="F3008" t="str">
            <v>BRIDGE/GAMUZA</v>
          </cell>
          <cell r="G3008">
            <v>0</v>
          </cell>
          <cell r="H3008" t="str">
            <v>NEGRO/OXIDO</v>
          </cell>
          <cell r="I3008" t="str">
            <v>U</v>
          </cell>
          <cell r="J3008" t="str">
            <v>U</v>
          </cell>
        </row>
        <row r="3009">
          <cell r="B3009" t="str">
            <v>OT020680315-09</v>
          </cell>
          <cell r="C3009" t="str">
            <v>ACCESORIOS</v>
          </cell>
          <cell r="D3009" t="str">
            <v>LLAVERO</v>
          </cell>
          <cell r="E3009" t="str">
            <v>LLAVERO ABC (LETRA B)</v>
          </cell>
          <cell r="F3009" t="str">
            <v>BRIDGE/GAMUZA</v>
          </cell>
          <cell r="G3009">
            <v>0</v>
          </cell>
          <cell r="H3009" t="str">
            <v>MALBEC/AZUL</v>
          </cell>
          <cell r="I3009" t="str">
            <v>U</v>
          </cell>
          <cell r="J3009" t="str">
            <v>U</v>
          </cell>
        </row>
        <row r="3010">
          <cell r="B3010" t="str">
            <v>OT020830301-56</v>
          </cell>
          <cell r="C3010" t="str">
            <v>ACCESORIOS</v>
          </cell>
          <cell r="D3010" t="str">
            <v>LLAVERO</v>
          </cell>
          <cell r="E3010" t="str">
            <v>LLAVERO ABC (LETRA C)</v>
          </cell>
          <cell r="F3010" t="str">
            <v>BRIDGE/GAMUZA</v>
          </cell>
          <cell r="G3010">
            <v>0</v>
          </cell>
          <cell r="H3010" t="str">
            <v>NEGRO/OXIDO</v>
          </cell>
          <cell r="I3010" t="str">
            <v>U</v>
          </cell>
          <cell r="J3010" t="str">
            <v>U</v>
          </cell>
        </row>
        <row r="3011">
          <cell r="B3011" t="str">
            <v>OT020830302-16</v>
          </cell>
          <cell r="C3011" t="str">
            <v>ACCESORIOS</v>
          </cell>
          <cell r="D3011" t="str">
            <v>LLAVERO</v>
          </cell>
          <cell r="E3011" t="str">
            <v>LLAVERO ABC (LETRA C)</v>
          </cell>
          <cell r="F3011" t="str">
            <v>BRIDGE/GAMUZA</v>
          </cell>
          <cell r="G3011">
            <v>0</v>
          </cell>
          <cell r="H3011" t="str">
            <v>SUELA/OLIVE</v>
          </cell>
          <cell r="I3011" t="str">
            <v>U</v>
          </cell>
          <cell r="J3011" t="str">
            <v>U</v>
          </cell>
        </row>
        <row r="3012">
          <cell r="B3012" t="str">
            <v>OT020830315-09</v>
          </cell>
          <cell r="C3012" t="str">
            <v>ACCESORIOS</v>
          </cell>
          <cell r="D3012" t="str">
            <v>LLAVERO</v>
          </cell>
          <cell r="E3012" t="str">
            <v>LLAVERO ABC (LETRA C)</v>
          </cell>
          <cell r="F3012" t="str">
            <v>BRIDGE/GAMUZA</v>
          </cell>
          <cell r="G3012">
            <v>0</v>
          </cell>
          <cell r="H3012" t="str">
            <v>MALBEC/AZUL</v>
          </cell>
          <cell r="I3012" t="str">
            <v>U</v>
          </cell>
          <cell r="J3012" t="str">
            <v>U</v>
          </cell>
        </row>
        <row r="3013">
          <cell r="B3013" t="str">
            <v>OT020830303-56</v>
          </cell>
          <cell r="C3013" t="str">
            <v>ACCESORIOS</v>
          </cell>
          <cell r="D3013" t="str">
            <v>LLAVERO</v>
          </cell>
          <cell r="E3013" t="str">
            <v>LLAVERO ABC (LETRA C)</v>
          </cell>
          <cell r="F3013" t="str">
            <v>BRIDGE/GAMUZA</v>
          </cell>
          <cell r="G3013">
            <v>0</v>
          </cell>
          <cell r="H3013" t="str">
            <v>CARAMELO/OXIDO</v>
          </cell>
          <cell r="I3013" t="str">
            <v>U</v>
          </cell>
          <cell r="J3013" t="str">
            <v>U</v>
          </cell>
        </row>
        <row r="3014">
          <cell r="B3014" t="str">
            <v>OT020840301-56</v>
          </cell>
          <cell r="C3014" t="str">
            <v>ACCESORIOS</v>
          </cell>
          <cell r="D3014" t="str">
            <v>LLAVERO</v>
          </cell>
          <cell r="E3014" t="str">
            <v>LLAVERO ABC (LETRA D)</v>
          </cell>
          <cell r="F3014" t="str">
            <v>BRIDGE/GAMUZA</v>
          </cell>
          <cell r="G3014">
            <v>0</v>
          </cell>
          <cell r="H3014" t="str">
            <v>NEGRO/OXIDO</v>
          </cell>
          <cell r="I3014" t="str">
            <v>U</v>
          </cell>
          <cell r="J3014" t="str">
            <v>U</v>
          </cell>
        </row>
        <row r="3015">
          <cell r="B3015" t="str">
            <v>OT020840302-16</v>
          </cell>
          <cell r="C3015" t="str">
            <v>ACCESORIOS</v>
          </cell>
          <cell r="D3015" t="str">
            <v>LLAVERO</v>
          </cell>
          <cell r="E3015" t="str">
            <v>LLAVERO ABC (LETRA D)</v>
          </cell>
          <cell r="F3015" t="str">
            <v>BRIDGE/GAMUZA</v>
          </cell>
          <cell r="G3015">
            <v>0</v>
          </cell>
          <cell r="H3015" t="str">
            <v>SUELA/OLIVE</v>
          </cell>
          <cell r="I3015" t="str">
            <v>U</v>
          </cell>
          <cell r="J3015" t="str">
            <v>U</v>
          </cell>
        </row>
        <row r="3016">
          <cell r="B3016" t="str">
            <v>OT020840315-09</v>
          </cell>
          <cell r="C3016" t="str">
            <v>ACCESORIOS</v>
          </cell>
          <cell r="D3016" t="str">
            <v>LLAVERO</v>
          </cell>
          <cell r="E3016" t="str">
            <v>LLAVERO ABC (LETRA D)</v>
          </cell>
          <cell r="F3016" t="str">
            <v>BRIDGE/GAMUZA</v>
          </cell>
          <cell r="G3016">
            <v>0</v>
          </cell>
          <cell r="H3016" t="str">
            <v>MALBEC/AZUL</v>
          </cell>
          <cell r="I3016" t="str">
            <v>U</v>
          </cell>
          <cell r="J3016" t="str">
            <v>U</v>
          </cell>
        </row>
        <row r="3017">
          <cell r="B3017" t="str">
            <v>OT020840303-56</v>
          </cell>
          <cell r="C3017" t="str">
            <v>ACCESORIOS</v>
          </cell>
          <cell r="D3017" t="str">
            <v>LLAVERO</v>
          </cell>
          <cell r="E3017" t="str">
            <v>LLAVERO ABC (LETRA D)</v>
          </cell>
          <cell r="F3017" t="str">
            <v>BRIDGE/GAMUZA</v>
          </cell>
          <cell r="G3017">
            <v>0</v>
          </cell>
          <cell r="H3017" t="str">
            <v>CARAMELO/OXIDO</v>
          </cell>
          <cell r="I3017" t="str">
            <v>U</v>
          </cell>
          <cell r="J3017" t="str">
            <v>U</v>
          </cell>
        </row>
        <row r="3018">
          <cell r="B3018" t="str">
            <v>OT020690315-09</v>
          </cell>
          <cell r="C3018" t="str">
            <v>ACCESORIOS</v>
          </cell>
          <cell r="D3018" t="str">
            <v>LLAVERO</v>
          </cell>
          <cell r="E3018" t="str">
            <v>LLAVERO ABC (LETRA G)</v>
          </cell>
          <cell r="F3018" t="str">
            <v>BRIDGE/GAMUZA</v>
          </cell>
          <cell r="G3018">
            <v>0</v>
          </cell>
          <cell r="H3018" t="str">
            <v>MALBEC/AZUL</v>
          </cell>
          <cell r="I3018" t="str">
            <v>U</v>
          </cell>
          <cell r="J3018" t="str">
            <v>U</v>
          </cell>
        </row>
        <row r="3019">
          <cell r="B3019" t="str">
            <v>OT020690302-16</v>
          </cell>
          <cell r="C3019" t="str">
            <v>ACCESORIOS</v>
          </cell>
          <cell r="D3019" t="str">
            <v>LLAVERO</v>
          </cell>
          <cell r="E3019" t="str">
            <v>LLAVERO ABC (LETRA G)</v>
          </cell>
          <cell r="F3019" t="str">
            <v>BRIDGE/GAMUZA</v>
          </cell>
          <cell r="G3019">
            <v>0</v>
          </cell>
          <cell r="H3019" t="str">
            <v>SUELA/OLIVE</v>
          </cell>
          <cell r="I3019" t="str">
            <v>U</v>
          </cell>
          <cell r="J3019" t="str">
            <v>U</v>
          </cell>
        </row>
        <row r="3020">
          <cell r="B3020" t="str">
            <v>OT020850315-09</v>
          </cell>
          <cell r="C3020" t="str">
            <v>ACCESORIOS</v>
          </cell>
          <cell r="D3020" t="str">
            <v>LLAVERO</v>
          </cell>
          <cell r="E3020" t="str">
            <v>LLAVERO ABC (LETRA J)</v>
          </cell>
          <cell r="F3020" t="str">
            <v>BRIDGE/GAMUZA</v>
          </cell>
          <cell r="G3020">
            <v>0</v>
          </cell>
          <cell r="H3020" t="str">
            <v>MALBEC/AZUL</v>
          </cell>
          <cell r="I3020" t="str">
            <v>U</v>
          </cell>
          <cell r="J3020" t="str">
            <v>U</v>
          </cell>
        </row>
        <row r="3021">
          <cell r="B3021" t="str">
            <v>OT020860303-56</v>
          </cell>
          <cell r="C3021" t="str">
            <v>ACCESORIOS</v>
          </cell>
          <cell r="D3021" t="str">
            <v>LLAVERO</v>
          </cell>
          <cell r="E3021" t="str">
            <v>LLAVERO ABC (LETRA N)</v>
          </cell>
          <cell r="F3021" t="str">
            <v>BRIDGE/GAMUZA</v>
          </cell>
          <cell r="G3021">
            <v>0</v>
          </cell>
          <cell r="H3021" t="str">
            <v>CARAMELO/OXIDO</v>
          </cell>
          <cell r="I3021" t="str">
            <v>U</v>
          </cell>
          <cell r="J3021" t="str">
            <v>U</v>
          </cell>
        </row>
        <row r="3022">
          <cell r="B3022" t="str">
            <v>OT020870301-56</v>
          </cell>
          <cell r="C3022" t="str">
            <v>ACCESORIOS</v>
          </cell>
          <cell r="D3022" t="str">
            <v>LLAVERO</v>
          </cell>
          <cell r="E3022" t="str">
            <v>LLAVERO ABC (LETRA L)</v>
          </cell>
          <cell r="F3022" t="str">
            <v>BRIDGE/GAMUZA</v>
          </cell>
          <cell r="G3022">
            <v>0</v>
          </cell>
          <cell r="H3022" t="str">
            <v>NEGRO/OXIDO</v>
          </cell>
          <cell r="I3022" t="str">
            <v>U</v>
          </cell>
          <cell r="J3022" t="str">
            <v>U</v>
          </cell>
        </row>
        <row r="3023">
          <cell r="B3023" t="str">
            <v>OT020870302-16</v>
          </cell>
          <cell r="C3023" t="str">
            <v>ACCESORIOS</v>
          </cell>
          <cell r="D3023" t="str">
            <v>LLAVERO</v>
          </cell>
          <cell r="E3023" t="str">
            <v>LLAVERO ABC (LETRA L)</v>
          </cell>
          <cell r="F3023" t="str">
            <v>BRIDGE/GAMUZA</v>
          </cell>
          <cell r="G3023">
            <v>0</v>
          </cell>
          <cell r="H3023" t="str">
            <v>SUELA/OLIVE</v>
          </cell>
          <cell r="I3023" t="str">
            <v>U</v>
          </cell>
          <cell r="J3023" t="str">
            <v>U</v>
          </cell>
        </row>
        <row r="3024">
          <cell r="B3024" t="str">
            <v>OT020700301-56</v>
          </cell>
          <cell r="C3024" t="str">
            <v>ACCESORIOS</v>
          </cell>
          <cell r="D3024" t="str">
            <v>LLAVERO</v>
          </cell>
          <cell r="E3024" t="str">
            <v>LLAVERO ABC (LETRA P)</v>
          </cell>
          <cell r="F3024" t="str">
            <v>BRIDGE/GAMUZA</v>
          </cell>
          <cell r="G3024">
            <v>0</v>
          </cell>
          <cell r="H3024" t="str">
            <v>NEGRO/OXIDO</v>
          </cell>
          <cell r="I3024" t="str">
            <v>U</v>
          </cell>
          <cell r="J3024" t="str">
            <v>U</v>
          </cell>
        </row>
        <row r="3025">
          <cell r="B3025" t="str">
            <v>OT020700303-56</v>
          </cell>
          <cell r="C3025" t="str">
            <v>ACCESORIOS</v>
          </cell>
          <cell r="D3025" t="str">
            <v>LLAVERO</v>
          </cell>
          <cell r="E3025" t="str">
            <v>LLAVERO ABC (LETRA P)</v>
          </cell>
          <cell r="F3025" t="str">
            <v>BRIDGE/GAMUZA</v>
          </cell>
          <cell r="G3025">
            <v>0</v>
          </cell>
          <cell r="H3025" t="str">
            <v>CARAMELO/OXIDO</v>
          </cell>
          <cell r="I3025" t="str">
            <v>U</v>
          </cell>
          <cell r="J3025" t="str">
            <v>U</v>
          </cell>
        </row>
        <row r="3026">
          <cell r="B3026" t="str">
            <v>OT020710302-16</v>
          </cell>
          <cell r="C3026" t="str">
            <v>ACCESORIOS</v>
          </cell>
          <cell r="D3026" t="str">
            <v>LLAVERO</v>
          </cell>
          <cell r="E3026" t="str">
            <v>LLAVERO ABC (LETRA M)</v>
          </cell>
          <cell r="F3026" t="str">
            <v>BRIDGE/GAMUZA</v>
          </cell>
          <cell r="G3026">
            <v>0</v>
          </cell>
          <cell r="H3026" t="str">
            <v>SUELA/OLIVE</v>
          </cell>
          <cell r="I3026" t="str">
            <v>U</v>
          </cell>
          <cell r="J3026" t="str">
            <v>U</v>
          </cell>
        </row>
        <row r="3027">
          <cell r="B3027" t="str">
            <v>OT020720301-56</v>
          </cell>
          <cell r="C3027" t="str">
            <v>ACCESORIOS</v>
          </cell>
          <cell r="D3027" t="str">
            <v>LLAVERO</v>
          </cell>
          <cell r="E3027" t="str">
            <v>LLAVERO ABC (LETRA R)</v>
          </cell>
          <cell r="F3027" t="str">
            <v>BRIDGE/GAMUZA</v>
          </cell>
          <cell r="G3027">
            <v>0</v>
          </cell>
          <cell r="H3027" t="str">
            <v>NEGRO/OXIDO</v>
          </cell>
          <cell r="I3027" t="str">
            <v>U</v>
          </cell>
          <cell r="J3027" t="str">
            <v>U</v>
          </cell>
        </row>
        <row r="3028">
          <cell r="B3028" t="str">
            <v>OT020720302-16</v>
          </cell>
          <cell r="C3028" t="str">
            <v>ACCESORIOS</v>
          </cell>
          <cell r="D3028" t="str">
            <v>LLAVERO</v>
          </cell>
          <cell r="E3028" t="str">
            <v>LLAVERO ABC (LETRA R)</v>
          </cell>
          <cell r="F3028" t="str">
            <v>BRIDGE/GAMUZA</v>
          </cell>
          <cell r="G3028">
            <v>0</v>
          </cell>
          <cell r="H3028" t="str">
            <v>SUELA/OLIVE</v>
          </cell>
          <cell r="I3028" t="str">
            <v>U</v>
          </cell>
          <cell r="J3028" t="str">
            <v>U</v>
          </cell>
        </row>
        <row r="3029">
          <cell r="B3029" t="str">
            <v>OT020750301-56</v>
          </cell>
          <cell r="C3029" t="str">
            <v>ACCESORIOS</v>
          </cell>
          <cell r="D3029" t="str">
            <v>LLAVERO</v>
          </cell>
          <cell r="E3029" t="str">
            <v>LLAVERO ABC (LETRA S)</v>
          </cell>
          <cell r="F3029" t="str">
            <v>BRIDGE/GAMUZA</v>
          </cell>
          <cell r="G3029">
            <v>0</v>
          </cell>
          <cell r="H3029" t="str">
            <v>NEGRO/OXIDO</v>
          </cell>
          <cell r="I3029" t="str">
            <v>U</v>
          </cell>
          <cell r="J3029" t="str">
            <v>U</v>
          </cell>
        </row>
        <row r="3030">
          <cell r="B3030" t="str">
            <v>OT020880301-56</v>
          </cell>
          <cell r="C3030" t="str">
            <v>ACCESORIOS</v>
          </cell>
          <cell r="D3030" t="str">
            <v>LLAVERO</v>
          </cell>
          <cell r="E3030" t="str">
            <v>LLAVERO ABC (LETRA V)</v>
          </cell>
          <cell r="F3030" t="str">
            <v>BRIDGE/GAMUZA</v>
          </cell>
          <cell r="G3030">
            <v>0</v>
          </cell>
          <cell r="H3030" t="str">
            <v>NEGRO/OXIDO</v>
          </cell>
          <cell r="I3030" t="str">
            <v>U</v>
          </cell>
          <cell r="J3030" t="str">
            <v>U</v>
          </cell>
        </row>
        <row r="3031">
          <cell r="B3031" t="str">
            <v>OT020880303-56</v>
          </cell>
          <cell r="C3031" t="str">
            <v>ACCESORIOS</v>
          </cell>
          <cell r="D3031" t="str">
            <v>LLAVERO</v>
          </cell>
          <cell r="E3031" t="str">
            <v>LLAVERO ABC (LETRA V)</v>
          </cell>
          <cell r="F3031" t="str">
            <v>BRIDGE/GAMUZA</v>
          </cell>
          <cell r="G3031">
            <v>0</v>
          </cell>
          <cell r="H3031" t="str">
            <v>CARAMELO/OXIDO</v>
          </cell>
          <cell r="I3031" t="str">
            <v>U</v>
          </cell>
          <cell r="J3031" t="str">
            <v>U</v>
          </cell>
        </row>
        <row r="3032">
          <cell r="B3032" t="str">
            <v>MC020211909</v>
          </cell>
          <cell r="C3032" t="str">
            <v>MARRO CHICA</v>
          </cell>
          <cell r="D3032" t="str">
            <v xml:space="preserve">BILLETERA </v>
          </cell>
          <cell r="E3032" t="str">
            <v>BILLETERA OSADIA</v>
          </cell>
          <cell r="F3032" t="str">
            <v>MODENA</v>
          </cell>
          <cell r="G3032">
            <v>0</v>
          </cell>
          <cell r="H3032" t="str">
            <v>AZUL</v>
          </cell>
          <cell r="I3032" t="str">
            <v>U</v>
          </cell>
          <cell r="J3032" t="str">
            <v>M</v>
          </cell>
        </row>
        <row r="3033">
          <cell r="B3033" t="str">
            <v>CA010160103-36</v>
          </cell>
          <cell r="C3033" t="str">
            <v>CALZADO</v>
          </cell>
          <cell r="D3033" t="str">
            <v>SANDALIA</v>
          </cell>
          <cell r="E3033" t="str">
            <v>SANDALIA LOLA</v>
          </cell>
          <cell r="F3033" t="str">
            <v>NAPADO</v>
          </cell>
          <cell r="G3033">
            <v>0</v>
          </cell>
          <cell r="H3033" t="str">
            <v>CARAMELO</v>
          </cell>
          <cell r="I3033">
            <v>36</v>
          </cell>
          <cell r="J3033" t="str">
            <v>M</v>
          </cell>
        </row>
        <row r="3034">
          <cell r="B3034" t="str">
            <v>CA010160103-37</v>
          </cell>
          <cell r="C3034" t="str">
            <v>CALZADO</v>
          </cell>
          <cell r="D3034" t="str">
            <v>SANDALIA</v>
          </cell>
          <cell r="E3034" t="str">
            <v>SANDALIA LOLA</v>
          </cell>
          <cell r="F3034" t="str">
            <v>NAPADO</v>
          </cell>
          <cell r="G3034">
            <v>0</v>
          </cell>
          <cell r="H3034" t="str">
            <v>CARAMELO</v>
          </cell>
          <cell r="I3034">
            <v>37</v>
          </cell>
          <cell r="J3034" t="str">
            <v>M</v>
          </cell>
        </row>
        <row r="3035">
          <cell r="B3035" t="str">
            <v>CA010160103-38</v>
          </cell>
          <cell r="C3035" t="str">
            <v>CALZADO</v>
          </cell>
          <cell r="D3035" t="str">
            <v>SANDALIA</v>
          </cell>
          <cell r="E3035" t="str">
            <v>SANDALIA LOLA</v>
          </cell>
          <cell r="F3035" t="str">
            <v>NAPADO</v>
          </cell>
          <cell r="G3035">
            <v>0</v>
          </cell>
          <cell r="H3035" t="str">
            <v>CARAMELO</v>
          </cell>
          <cell r="I3035">
            <v>38</v>
          </cell>
          <cell r="J3035" t="str">
            <v>M</v>
          </cell>
        </row>
        <row r="3036">
          <cell r="B3036" t="str">
            <v>CA010160103-39</v>
          </cell>
          <cell r="C3036" t="str">
            <v>CALZADO</v>
          </cell>
          <cell r="D3036" t="str">
            <v>SANDALIA</v>
          </cell>
          <cell r="E3036" t="str">
            <v>SANDALIA LOLA</v>
          </cell>
          <cell r="F3036" t="str">
            <v>NAPADO</v>
          </cell>
          <cell r="G3036">
            <v>0</v>
          </cell>
          <cell r="H3036" t="str">
            <v>CARAMELO</v>
          </cell>
          <cell r="I3036">
            <v>39</v>
          </cell>
          <cell r="J3036" t="str">
            <v>M</v>
          </cell>
        </row>
        <row r="3037">
          <cell r="B3037" t="str">
            <v>CA010160103-40</v>
          </cell>
          <cell r="C3037" t="str">
            <v>CALZADO</v>
          </cell>
          <cell r="D3037" t="str">
            <v>SANDALIA</v>
          </cell>
          <cell r="E3037" t="str">
            <v>SANDALIA LOLA</v>
          </cell>
          <cell r="F3037" t="str">
            <v>NAPADO</v>
          </cell>
          <cell r="G3037">
            <v>0</v>
          </cell>
          <cell r="H3037" t="str">
            <v>CARAMELO</v>
          </cell>
          <cell r="I3037">
            <v>40</v>
          </cell>
          <cell r="J3037" t="str">
            <v>M</v>
          </cell>
        </row>
        <row r="3038">
          <cell r="B3038" t="str">
            <v>CA010160101-36</v>
          </cell>
          <cell r="C3038" t="str">
            <v>CALZADO</v>
          </cell>
          <cell r="D3038" t="str">
            <v>SANDALIA</v>
          </cell>
          <cell r="E3038" t="str">
            <v>SANDALIA LOLA</v>
          </cell>
          <cell r="F3038" t="str">
            <v>NAPADO</v>
          </cell>
          <cell r="G3038">
            <v>0</v>
          </cell>
          <cell r="H3038" t="str">
            <v>NEGRO</v>
          </cell>
          <cell r="I3038">
            <v>36</v>
          </cell>
          <cell r="J3038" t="str">
            <v>M</v>
          </cell>
        </row>
        <row r="3039">
          <cell r="B3039" t="str">
            <v>CA010160101-37</v>
          </cell>
          <cell r="C3039" t="str">
            <v>CALZADO</v>
          </cell>
          <cell r="D3039" t="str">
            <v>SANDALIA</v>
          </cell>
          <cell r="E3039" t="str">
            <v>SANDALIA LOLA</v>
          </cell>
          <cell r="F3039" t="str">
            <v>NAPADO</v>
          </cell>
          <cell r="G3039">
            <v>0</v>
          </cell>
          <cell r="H3039" t="str">
            <v>NEGRO</v>
          </cell>
          <cell r="I3039">
            <v>37</v>
          </cell>
          <cell r="J3039" t="str">
            <v>M</v>
          </cell>
        </row>
        <row r="3040">
          <cell r="B3040" t="str">
            <v>CA010160101-38</v>
          </cell>
          <cell r="C3040" t="str">
            <v>CALZADO</v>
          </cell>
          <cell r="D3040" t="str">
            <v>SANDALIA</v>
          </cell>
          <cell r="E3040" t="str">
            <v>SANDALIA LOLA</v>
          </cell>
          <cell r="F3040" t="str">
            <v>NAPADO</v>
          </cell>
          <cell r="G3040">
            <v>0</v>
          </cell>
          <cell r="H3040" t="str">
            <v>NEGRO</v>
          </cell>
          <cell r="I3040">
            <v>38</v>
          </cell>
          <cell r="J3040" t="str">
            <v>M</v>
          </cell>
        </row>
        <row r="3041">
          <cell r="B3041" t="str">
            <v>CA010160101-39</v>
          </cell>
          <cell r="C3041" t="str">
            <v>CALZADO</v>
          </cell>
          <cell r="D3041" t="str">
            <v>SANDALIA</v>
          </cell>
          <cell r="E3041" t="str">
            <v>SANDALIA LOLA</v>
          </cell>
          <cell r="F3041" t="str">
            <v>NAPADO</v>
          </cell>
          <cell r="G3041">
            <v>0</v>
          </cell>
          <cell r="H3041" t="str">
            <v>NEGRO</v>
          </cell>
          <cell r="I3041">
            <v>39</v>
          </cell>
          <cell r="J3041" t="str">
            <v>M</v>
          </cell>
        </row>
        <row r="3042">
          <cell r="B3042" t="str">
            <v>CA010160101-40</v>
          </cell>
          <cell r="C3042" t="str">
            <v>CALZADO</v>
          </cell>
          <cell r="D3042" t="str">
            <v>SANDALIA</v>
          </cell>
          <cell r="E3042" t="str">
            <v>SANDALIA LOLA</v>
          </cell>
          <cell r="F3042" t="str">
            <v>NAPADO</v>
          </cell>
          <cell r="G3042">
            <v>0</v>
          </cell>
          <cell r="H3042" t="str">
            <v>NEGRO</v>
          </cell>
          <cell r="I3042">
            <v>40</v>
          </cell>
          <cell r="J3042" t="str">
            <v>M</v>
          </cell>
        </row>
        <row r="3043">
          <cell r="B3043" t="str">
            <v>CA010170101-36</v>
          </cell>
          <cell r="C3043" t="str">
            <v>CALZADO</v>
          </cell>
          <cell r="D3043" t="str">
            <v>SANDALIA</v>
          </cell>
          <cell r="E3043" t="str">
            <v>SANDALIA LOLA C/TACO</v>
          </cell>
          <cell r="F3043" t="str">
            <v>NAPADO</v>
          </cell>
          <cell r="G3043">
            <v>0</v>
          </cell>
          <cell r="H3043" t="str">
            <v>NEGRO</v>
          </cell>
          <cell r="I3043">
            <v>36</v>
          </cell>
          <cell r="J3043" t="str">
            <v>M</v>
          </cell>
        </row>
        <row r="3044">
          <cell r="B3044" t="str">
            <v>CA010170101-37</v>
          </cell>
          <cell r="C3044" t="str">
            <v>CALZADO</v>
          </cell>
          <cell r="D3044" t="str">
            <v>SANDALIA</v>
          </cell>
          <cell r="E3044" t="str">
            <v>SANDALIA LOLA C/TACO</v>
          </cell>
          <cell r="F3044" t="str">
            <v>NAPADO</v>
          </cell>
          <cell r="G3044">
            <v>0</v>
          </cell>
          <cell r="H3044" t="str">
            <v>NEGRO</v>
          </cell>
          <cell r="I3044">
            <v>37</v>
          </cell>
          <cell r="J3044" t="str">
            <v>M</v>
          </cell>
        </row>
        <row r="3045">
          <cell r="B3045" t="str">
            <v>CA010170101-38</v>
          </cell>
          <cell r="C3045" t="str">
            <v>CALZADO</v>
          </cell>
          <cell r="D3045" t="str">
            <v>SANDALIA</v>
          </cell>
          <cell r="E3045" t="str">
            <v>SANDALIA LOLA C/TACO</v>
          </cell>
          <cell r="F3045" t="str">
            <v>NAPADO</v>
          </cell>
          <cell r="G3045">
            <v>0</v>
          </cell>
          <cell r="H3045" t="str">
            <v>NEGRO</v>
          </cell>
          <cell r="I3045">
            <v>38</v>
          </cell>
          <cell r="J3045" t="str">
            <v>M</v>
          </cell>
        </row>
        <row r="3046">
          <cell r="B3046" t="str">
            <v>CA010170101-39</v>
          </cell>
          <cell r="C3046" t="str">
            <v>CALZADO</v>
          </cell>
          <cell r="D3046" t="str">
            <v>SANDALIA</v>
          </cell>
          <cell r="E3046" t="str">
            <v>SANDALIA LOLA C/TACO</v>
          </cell>
          <cell r="F3046" t="str">
            <v>NAPADO</v>
          </cell>
          <cell r="G3046">
            <v>0</v>
          </cell>
          <cell r="H3046" t="str">
            <v>NEGRO</v>
          </cell>
          <cell r="I3046">
            <v>39</v>
          </cell>
          <cell r="J3046" t="str">
            <v>M</v>
          </cell>
        </row>
        <row r="3047">
          <cell r="B3047" t="str">
            <v>CA010170101-40</v>
          </cell>
          <cell r="C3047" t="str">
            <v>CALZADO</v>
          </cell>
          <cell r="D3047" t="str">
            <v>SANDALIA</v>
          </cell>
          <cell r="E3047" t="str">
            <v>SANDALIA LOLA C/TACO</v>
          </cell>
          <cell r="F3047" t="str">
            <v>NAPADO</v>
          </cell>
          <cell r="G3047">
            <v>0</v>
          </cell>
          <cell r="H3047" t="str">
            <v>NEGRO</v>
          </cell>
          <cell r="I3047">
            <v>40</v>
          </cell>
          <cell r="J3047" t="str">
            <v>M</v>
          </cell>
        </row>
        <row r="3048">
          <cell r="B3048" t="str">
            <v>CA010170103-36</v>
          </cell>
          <cell r="C3048" t="str">
            <v>CALZADO</v>
          </cell>
          <cell r="D3048" t="str">
            <v>SANDALIA</v>
          </cell>
          <cell r="E3048" t="str">
            <v>SANDALIA LOLA C/TACO</v>
          </cell>
          <cell r="F3048" t="str">
            <v>NAPADO</v>
          </cell>
          <cell r="G3048">
            <v>0</v>
          </cell>
          <cell r="H3048" t="str">
            <v>CARAMELO</v>
          </cell>
          <cell r="I3048">
            <v>36</v>
          </cell>
          <cell r="J3048" t="str">
            <v>M</v>
          </cell>
        </row>
        <row r="3049">
          <cell r="B3049" t="str">
            <v>CA010170103-37</v>
          </cell>
          <cell r="C3049" t="str">
            <v>CALZADO</v>
          </cell>
          <cell r="D3049" t="str">
            <v>SANDALIA</v>
          </cell>
          <cell r="E3049" t="str">
            <v>SANDALIA LOLA C/TACO</v>
          </cell>
          <cell r="F3049" t="str">
            <v>NAPADO</v>
          </cell>
          <cell r="G3049">
            <v>0</v>
          </cell>
          <cell r="H3049" t="str">
            <v>CARAMELO</v>
          </cell>
          <cell r="I3049">
            <v>37</v>
          </cell>
          <cell r="J3049" t="str">
            <v>M</v>
          </cell>
        </row>
        <row r="3050">
          <cell r="B3050" t="str">
            <v>CA010170103-38</v>
          </cell>
          <cell r="C3050" t="str">
            <v>CALZADO</v>
          </cell>
          <cell r="D3050" t="str">
            <v>SANDALIA</v>
          </cell>
          <cell r="E3050" t="str">
            <v>SANDALIA LOLA C/TACO</v>
          </cell>
          <cell r="F3050" t="str">
            <v>NAPADO</v>
          </cell>
          <cell r="G3050">
            <v>0</v>
          </cell>
          <cell r="H3050" t="str">
            <v>CARAMELO</v>
          </cell>
          <cell r="I3050">
            <v>38</v>
          </cell>
          <cell r="J3050" t="str">
            <v>M</v>
          </cell>
        </row>
        <row r="3051">
          <cell r="B3051" t="str">
            <v>CA010170103-39</v>
          </cell>
          <cell r="C3051" t="str">
            <v>CALZADO</v>
          </cell>
          <cell r="D3051" t="str">
            <v>SANDALIA</v>
          </cell>
          <cell r="E3051" t="str">
            <v>SANDALIA LOLA C/TACO</v>
          </cell>
          <cell r="F3051" t="str">
            <v>NAPADO</v>
          </cell>
          <cell r="G3051">
            <v>0</v>
          </cell>
          <cell r="H3051" t="str">
            <v>CARAMELO</v>
          </cell>
          <cell r="I3051">
            <v>39</v>
          </cell>
          <cell r="J3051" t="str">
            <v>M</v>
          </cell>
        </row>
        <row r="3052">
          <cell r="B3052" t="str">
            <v>CA010170103-40</v>
          </cell>
          <cell r="C3052" t="str">
            <v>CALZADO</v>
          </cell>
          <cell r="D3052" t="str">
            <v>SANDALIA</v>
          </cell>
          <cell r="E3052" t="str">
            <v>SANDALIA LOLA C/TACO</v>
          </cell>
          <cell r="F3052" t="str">
            <v>NAPADO</v>
          </cell>
          <cell r="G3052">
            <v>0</v>
          </cell>
          <cell r="H3052" t="str">
            <v>CARAMELO</v>
          </cell>
          <cell r="I3052">
            <v>40</v>
          </cell>
          <cell r="J3052" t="str">
            <v>M</v>
          </cell>
        </row>
        <row r="3053">
          <cell r="B3053" t="str">
            <v>MC020620305</v>
          </cell>
          <cell r="C3053" t="str">
            <v>MARRO CHICA</v>
          </cell>
          <cell r="D3053" t="str">
            <v>PORTALENTES</v>
          </cell>
          <cell r="E3053" t="str">
            <v>PORTALENTES MANU</v>
          </cell>
          <cell r="F3053" t="str">
            <v>BRIDGE</v>
          </cell>
          <cell r="G3053">
            <v>0</v>
          </cell>
          <cell r="H3053" t="str">
            <v>LONDON</v>
          </cell>
          <cell r="I3053" t="str">
            <v>U</v>
          </cell>
          <cell r="J3053" t="str">
            <v>U</v>
          </cell>
        </row>
        <row r="3054">
          <cell r="B3054" t="str">
            <v>OT020870315-09</v>
          </cell>
          <cell r="C3054" t="str">
            <v>ACCESORIOS</v>
          </cell>
          <cell r="D3054" t="str">
            <v>LLAVERO</v>
          </cell>
          <cell r="E3054" t="str">
            <v>LLAVERO ABC (LETRA L)</v>
          </cell>
          <cell r="F3054" t="str">
            <v>BRIDGE/GAMUZA</v>
          </cell>
          <cell r="G3054">
            <v>0</v>
          </cell>
          <cell r="H3054" t="str">
            <v>MALBEC/AZUL</v>
          </cell>
          <cell r="I3054" t="str">
            <v>U</v>
          </cell>
          <cell r="J3054" t="str">
            <v>U</v>
          </cell>
        </row>
        <row r="3055">
          <cell r="B3055" t="str">
            <v>OT020870303-56</v>
          </cell>
          <cell r="C3055" t="str">
            <v>ACCESORIOS</v>
          </cell>
          <cell r="D3055" t="str">
            <v>LLAVERO</v>
          </cell>
          <cell r="E3055" t="str">
            <v>LLAVERO ABC (LETRA L)</v>
          </cell>
          <cell r="F3055" t="str">
            <v>BRIDGE/GAMUZA</v>
          </cell>
          <cell r="G3055">
            <v>0</v>
          </cell>
          <cell r="H3055" t="str">
            <v>CARAMELO/OXIDO</v>
          </cell>
          <cell r="I3055" t="str">
            <v>U</v>
          </cell>
          <cell r="J3055" t="str">
            <v>U</v>
          </cell>
        </row>
        <row r="3056">
          <cell r="B3056" t="str">
            <v>OT020730302-16</v>
          </cell>
          <cell r="C3056" t="str">
            <v>ACCESORIOS</v>
          </cell>
          <cell r="D3056" t="str">
            <v>LLAVERO</v>
          </cell>
          <cell r="E3056" t="str">
            <v>LLAVERO ABC (LETRA F)</v>
          </cell>
          <cell r="F3056" t="str">
            <v>BRIDGE/GAMUZA</v>
          </cell>
          <cell r="G3056">
            <v>0</v>
          </cell>
          <cell r="H3056" t="str">
            <v>SUELA/OLIVE</v>
          </cell>
          <cell r="I3056" t="str">
            <v>U</v>
          </cell>
          <cell r="J3056" t="str">
            <v>U</v>
          </cell>
        </row>
        <row r="3057">
          <cell r="B3057" t="str">
            <v>OT020730315-09</v>
          </cell>
          <cell r="C3057" t="str">
            <v>ACCESORIOS</v>
          </cell>
          <cell r="D3057" t="str">
            <v>LLAVERO</v>
          </cell>
          <cell r="E3057" t="str">
            <v>LLAVERO ABC (LETRA F)</v>
          </cell>
          <cell r="F3057" t="str">
            <v>BRIDGE/GAMUZA</v>
          </cell>
          <cell r="G3057">
            <v>0</v>
          </cell>
          <cell r="H3057" t="str">
            <v>MALBEC/AZUL</v>
          </cell>
          <cell r="I3057" t="str">
            <v>U</v>
          </cell>
          <cell r="J3057" t="str">
            <v>U</v>
          </cell>
        </row>
        <row r="3058">
          <cell r="B3058" t="str">
            <v>OT020730303-56</v>
          </cell>
          <cell r="C3058" t="str">
            <v>ACCESORIOS</v>
          </cell>
          <cell r="D3058" t="str">
            <v>LLAVERO</v>
          </cell>
          <cell r="E3058" t="str">
            <v>LLAVERO ABC (LETRA F)</v>
          </cell>
          <cell r="F3058" t="str">
            <v>BRIDGE/GAMUZA</v>
          </cell>
          <cell r="G3058">
            <v>0</v>
          </cell>
          <cell r="H3058" t="str">
            <v>CARAMELO/OXIDO</v>
          </cell>
          <cell r="I3058" t="str">
            <v>U</v>
          </cell>
          <cell r="J3058" t="str">
            <v>U</v>
          </cell>
        </row>
        <row r="3059">
          <cell r="B3059" t="str">
            <v>OT020880302-16</v>
          </cell>
          <cell r="C3059" t="str">
            <v>ACCESORIOS</v>
          </cell>
          <cell r="D3059" t="str">
            <v>LLAVERO</v>
          </cell>
          <cell r="E3059" t="str">
            <v>LLAVERO ABC (LETRA V)</v>
          </cell>
          <cell r="F3059" t="str">
            <v>BRIDGE/GAMUZA</v>
          </cell>
          <cell r="G3059">
            <v>0</v>
          </cell>
          <cell r="H3059" t="str">
            <v>SUELA/OLIVE</v>
          </cell>
          <cell r="I3059" t="str">
            <v>U</v>
          </cell>
          <cell r="J3059" t="str">
            <v>U</v>
          </cell>
        </row>
        <row r="3060">
          <cell r="B3060" t="str">
            <v>TX250314010-S</v>
          </cell>
          <cell r="C3060" t="str">
            <v>TEXTIL</v>
          </cell>
          <cell r="D3060" t="str">
            <v>REMERA</v>
          </cell>
          <cell r="E3060" t="str">
            <v>REMERA AMADEO CUELLO REDONDO</v>
          </cell>
          <cell r="F3060" t="str">
            <v>ALGODON PIMA</v>
          </cell>
          <cell r="G3060">
            <v>0</v>
          </cell>
          <cell r="H3060" t="str">
            <v>VERDE</v>
          </cell>
          <cell r="I3060" t="str">
            <v>S</v>
          </cell>
          <cell r="J3060" t="str">
            <v>H</v>
          </cell>
        </row>
        <row r="3061">
          <cell r="B3061" t="str">
            <v>TX250314010-M</v>
          </cell>
          <cell r="C3061" t="str">
            <v>TEXTIL</v>
          </cell>
          <cell r="D3061" t="str">
            <v>REMERA</v>
          </cell>
          <cell r="E3061" t="str">
            <v>REMERA AMADEO CUELLO REDONDO</v>
          </cell>
          <cell r="F3061" t="str">
            <v>ALGODON PIMA</v>
          </cell>
          <cell r="G3061">
            <v>0</v>
          </cell>
          <cell r="H3061" t="str">
            <v>VERDE</v>
          </cell>
          <cell r="I3061" t="str">
            <v>M</v>
          </cell>
          <cell r="J3061" t="str">
            <v>H</v>
          </cell>
        </row>
        <row r="3062">
          <cell r="B3062" t="str">
            <v>TX250314010-L</v>
          </cell>
          <cell r="C3062" t="str">
            <v>TEXTIL</v>
          </cell>
          <cell r="D3062" t="str">
            <v>REMERA</v>
          </cell>
          <cell r="E3062" t="str">
            <v>REMERA AMADEO CUELLO REDONDO</v>
          </cell>
          <cell r="F3062" t="str">
            <v>ALGODON PIMA</v>
          </cell>
          <cell r="G3062">
            <v>0</v>
          </cell>
          <cell r="H3062" t="str">
            <v>VERDE</v>
          </cell>
          <cell r="I3062" t="str">
            <v>L</v>
          </cell>
          <cell r="J3062" t="str">
            <v>H</v>
          </cell>
        </row>
        <row r="3063">
          <cell r="B3063" t="str">
            <v>TX250314010-XL</v>
          </cell>
          <cell r="C3063" t="str">
            <v>TEXTIL</v>
          </cell>
          <cell r="D3063" t="str">
            <v>REMERA</v>
          </cell>
          <cell r="E3063" t="str">
            <v>REMERA AMADEO CUELLO REDONDO</v>
          </cell>
          <cell r="F3063" t="str">
            <v>ALGODON PIMA</v>
          </cell>
          <cell r="G3063">
            <v>0</v>
          </cell>
          <cell r="H3063" t="str">
            <v>VERDE</v>
          </cell>
          <cell r="I3063" t="str">
            <v>XL</v>
          </cell>
          <cell r="J3063" t="str">
            <v>H</v>
          </cell>
        </row>
        <row r="3064">
          <cell r="B3064" t="str">
            <v>TX250314010-XXL</v>
          </cell>
          <cell r="C3064" t="str">
            <v>TEXTIL</v>
          </cell>
          <cell r="D3064" t="str">
            <v>REMERA</v>
          </cell>
          <cell r="E3064" t="str">
            <v>REMERA AMADEO CUELLO REDONDO</v>
          </cell>
          <cell r="F3064" t="str">
            <v>ALGODON PIMA</v>
          </cell>
          <cell r="G3064">
            <v>0</v>
          </cell>
          <cell r="H3064" t="str">
            <v>VERDE</v>
          </cell>
          <cell r="I3064" t="str">
            <v>XXL</v>
          </cell>
          <cell r="J3064" t="str">
            <v>H</v>
          </cell>
        </row>
        <row r="3065">
          <cell r="B3065" t="str">
            <v>OT020850301-56</v>
          </cell>
          <cell r="C3065" t="str">
            <v>ACCESORIOS</v>
          </cell>
          <cell r="D3065" t="str">
            <v>LLAVERO</v>
          </cell>
          <cell r="E3065" t="str">
            <v>LLAVERO ABC (LETRA J)</v>
          </cell>
          <cell r="F3065" t="str">
            <v>BRIDGE/GAMUZA</v>
          </cell>
          <cell r="G3065">
            <v>0</v>
          </cell>
          <cell r="H3065" t="str">
            <v>NEGRO/OXIDO</v>
          </cell>
          <cell r="I3065" t="str">
            <v>U</v>
          </cell>
          <cell r="J3065" t="str">
            <v>U</v>
          </cell>
        </row>
        <row r="3066">
          <cell r="B3066" t="str">
            <v>OT020850302-16</v>
          </cell>
          <cell r="C3066" t="str">
            <v>ACCESORIOS</v>
          </cell>
          <cell r="D3066" t="str">
            <v>LLAVERO</v>
          </cell>
          <cell r="E3066" t="str">
            <v>LLAVERO ABC (LETRA J)</v>
          </cell>
          <cell r="F3066" t="str">
            <v>BRIDGE/GAMUZA</v>
          </cell>
          <cell r="G3066">
            <v>0</v>
          </cell>
          <cell r="H3066" t="str">
            <v>SUELA/OLIVE</v>
          </cell>
          <cell r="I3066" t="str">
            <v>U</v>
          </cell>
          <cell r="J3066" t="str">
            <v>U</v>
          </cell>
        </row>
        <row r="3067">
          <cell r="B3067" t="str">
            <v>OT020850303-56</v>
          </cell>
          <cell r="C3067" t="str">
            <v>ACCESORIOS</v>
          </cell>
          <cell r="D3067" t="str">
            <v>LLAVERO</v>
          </cell>
          <cell r="E3067" t="str">
            <v>LLAVERO ABC (LETRA J)</v>
          </cell>
          <cell r="F3067" t="str">
            <v>BRIDGE/GAMUZA</v>
          </cell>
          <cell r="G3067">
            <v>0</v>
          </cell>
          <cell r="H3067" t="str">
            <v>CARAMELO/OXIDO</v>
          </cell>
          <cell r="I3067" t="str">
            <v>U</v>
          </cell>
          <cell r="J3067" t="str">
            <v>U</v>
          </cell>
        </row>
        <row r="3068">
          <cell r="B3068" t="str">
            <v>OT020860315-09</v>
          </cell>
          <cell r="C3068" t="str">
            <v>ACCESORIOS</v>
          </cell>
          <cell r="D3068" t="str">
            <v>LLAVERO</v>
          </cell>
          <cell r="E3068" t="str">
            <v>LLAVERO ABC (LETRA N)</v>
          </cell>
          <cell r="F3068" t="str">
            <v>BRIDGE/GAMUZA</v>
          </cell>
          <cell r="G3068">
            <v>0</v>
          </cell>
          <cell r="H3068" t="str">
            <v>MALBEC/AZUL</v>
          </cell>
          <cell r="I3068" t="str">
            <v>U</v>
          </cell>
          <cell r="J3068" t="str">
            <v>U</v>
          </cell>
        </row>
        <row r="3069">
          <cell r="B3069" t="str">
            <v>OT020860301-56</v>
          </cell>
          <cell r="C3069" t="str">
            <v>ACCESORIOS</v>
          </cell>
          <cell r="D3069" t="str">
            <v>LLAVERO</v>
          </cell>
          <cell r="E3069" t="str">
            <v>LLAVERO ABC (LETRA N)</v>
          </cell>
          <cell r="F3069" t="str">
            <v>BRIDGE/GAMUZA</v>
          </cell>
          <cell r="G3069">
            <v>0</v>
          </cell>
          <cell r="H3069" t="str">
            <v>NEGRO/OXIDO</v>
          </cell>
          <cell r="I3069" t="str">
            <v>U</v>
          </cell>
          <cell r="J3069" t="str">
            <v>U</v>
          </cell>
        </row>
        <row r="3070">
          <cell r="B3070" t="str">
            <v>OT020860302-16</v>
          </cell>
          <cell r="C3070" t="str">
            <v>ACCESORIOS</v>
          </cell>
          <cell r="D3070" t="str">
            <v>LLAVERO</v>
          </cell>
          <cell r="E3070" t="str">
            <v>LLAVERO ABC (LETRA N)</v>
          </cell>
          <cell r="F3070" t="str">
            <v>BRIDGE/GAMUZA</v>
          </cell>
          <cell r="G3070">
            <v>0</v>
          </cell>
          <cell r="H3070" t="str">
            <v>SUELA/OLIVE</v>
          </cell>
          <cell r="I3070" t="str">
            <v>U</v>
          </cell>
          <cell r="J3070" t="str">
            <v>U</v>
          </cell>
        </row>
        <row r="3071">
          <cell r="B3071" t="str">
            <v>OT020890301-56</v>
          </cell>
          <cell r="C3071" t="str">
            <v>ACCESORIOS</v>
          </cell>
          <cell r="D3071" t="str">
            <v>LLAVERO</v>
          </cell>
          <cell r="E3071" t="str">
            <v>LLAVERO ABC (LETRA Y)</v>
          </cell>
          <cell r="F3071" t="str">
            <v>BRIDGE/GAMUZA</v>
          </cell>
          <cell r="G3071">
            <v>0</v>
          </cell>
          <cell r="H3071" t="str">
            <v>NEGRO/OXIDO</v>
          </cell>
          <cell r="I3071" t="str">
            <v>U</v>
          </cell>
          <cell r="J3071" t="str">
            <v>U</v>
          </cell>
        </row>
        <row r="3072">
          <cell r="B3072" t="str">
            <v>OT020890302-16</v>
          </cell>
          <cell r="C3072" t="str">
            <v>ACCESORIOS</v>
          </cell>
          <cell r="D3072" t="str">
            <v>LLAVERO</v>
          </cell>
          <cell r="E3072" t="str">
            <v>LLAVERO ABC (LETRA Y)</v>
          </cell>
          <cell r="F3072" t="str">
            <v>BRIDGE/GAMUZA</v>
          </cell>
          <cell r="G3072">
            <v>0</v>
          </cell>
          <cell r="H3072" t="str">
            <v>SUELA/OLIVE</v>
          </cell>
          <cell r="I3072" t="str">
            <v>U</v>
          </cell>
          <cell r="J3072" t="str">
            <v>U</v>
          </cell>
        </row>
        <row r="3073">
          <cell r="B3073" t="str">
            <v>OT020710303-56</v>
          </cell>
          <cell r="C3073" t="str">
            <v>ACCESORIOS</v>
          </cell>
          <cell r="D3073" t="str">
            <v>LLAVERO</v>
          </cell>
          <cell r="E3073" t="str">
            <v>LLAVERO ABC (LETRA M)</v>
          </cell>
          <cell r="F3073" t="str">
            <v>BRIDGE/GAMUZA</v>
          </cell>
          <cell r="G3073">
            <v>0</v>
          </cell>
          <cell r="H3073" t="str">
            <v>CARAMELO/OXIDO</v>
          </cell>
          <cell r="I3073" t="str">
            <v>U</v>
          </cell>
          <cell r="J3073" t="str">
            <v>U</v>
          </cell>
        </row>
        <row r="3074">
          <cell r="B3074" t="str">
            <v>MG331280301</v>
          </cell>
          <cell r="C3074" t="str">
            <v>MARRO GRANDE</v>
          </cell>
          <cell r="D3074" t="str">
            <v>DECO</v>
          </cell>
          <cell r="E3074" t="str">
            <v>MATERA OLI</v>
          </cell>
          <cell r="F3074" t="str">
            <v>BRIDGE</v>
          </cell>
          <cell r="G3074">
            <v>0</v>
          </cell>
          <cell r="H3074" t="str">
            <v>NEGRO</v>
          </cell>
          <cell r="I3074" t="str">
            <v>U</v>
          </cell>
          <cell r="J3074" t="str">
            <v>U</v>
          </cell>
        </row>
        <row r="3075">
          <cell r="B3075" t="str">
            <v>MG331280315</v>
          </cell>
          <cell r="C3075" t="str">
            <v>MARRO GRANDE</v>
          </cell>
          <cell r="D3075" t="str">
            <v>DECO</v>
          </cell>
          <cell r="E3075" t="str">
            <v>MATERA OLI</v>
          </cell>
          <cell r="F3075" t="str">
            <v>BRIDGE</v>
          </cell>
          <cell r="G3075">
            <v>0</v>
          </cell>
          <cell r="H3075" t="str">
            <v>MALBEC</v>
          </cell>
          <cell r="I3075" t="str">
            <v>U</v>
          </cell>
          <cell r="J3075" t="str">
            <v>U</v>
          </cell>
        </row>
        <row r="3076">
          <cell r="B3076" t="str">
            <v>MG331280352</v>
          </cell>
          <cell r="C3076" t="str">
            <v>MARRO GRANDE</v>
          </cell>
          <cell r="D3076" t="str">
            <v>DECO</v>
          </cell>
          <cell r="E3076" t="str">
            <v>MATERA OLI</v>
          </cell>
          <cell r="F3076" t="str">
            <v>BRIDGE</v>
          </cell>
          <cell r="G3076">
            <v>0</v>
          </cell>
          <cell r="H3076" t="str">
            <v>CHOCOLATE</v>
          </cell>
          <cell r="I3076" t="str">
            <v>U</v>
          </cell>
          <cell r="J3076" t="str">
            <v>U</v>
          </cell>
        </row>
        <row r="3077">
          <cell r="B3077" t="str">
            <v>MG331280304</v>
          </cell>
          <cell r="C3077" t="str">
            <v>MARRO GRANDE</v>
          </cell>
          <cell r="D3077" t="str">
            <v>DECO</v>
          </cell>
          <cell r="E3077" t="str">
            <v>MATERA OLI</v>
          </cell>
          <cell r="F3077" t="str">
            <v>BRIDGE</v>
          </cell>
          <cell r="G3077">
            <v>0</v>
          </cell>
          <cell r="H3077" t="str">
            <v>TABACO</v>
          </cell>
          <cell r="I3077" t="str">
            <v>U</v>
          </cell>
          <cell r="J3077" t="str">
            <v>U</v>
          </cell>
        </row>
        <row r="3078">
          <cell r="B3078" t="str">
            <v>MG331283163-04</v>
          </cell>
          <cell r="C3078" t="str">
            <v>MARRO GRANDE</v>
          </cell>
          <cell r="D3078" t="str">
            <v>DECO</v>
          </cell>
          <cell r="E3078" t="str">
            <v>MATERA OLI</v>
          </cell>
          <cell r="F3078" t="str">
            <v>PELO</v>
          </cell>
          <cell r="G3078">
            <v>0</v>
          </cell>
          <cell r="H3078" t="str">
            <v>MARRON/TABACO</v>
          </cell>
          <cell r="I3078" t="str">
            <v>U</v>
          </cell>
          <cell r="J3078" t="str">
            <v>U</v>
          </cell>
        </row>
        <row r="3079">
          <cell r="B3079" t="str">
            <v>MC020171910</v>
          </cell>
          <cell r="C3079" t="str">
            <v>MARRO CHICA</v>
          </cell>
          <cell r="D3079" t="str">
            <v>PORTALENTES</v>
          </cell>
          <cell r="E3079" t="str">
            <v>PORTALENTES LUZ</v>
          </cell>
          <cell r="F3079" t="str">
            <v>MODENA</v>
          </cell>
          <cell r="G3079">
            <v>0</v>
          </cell>
          <cell r="H3079" t="str">
            <v>VERDE</v>
          </cell>
          <cell r="I3079" t="str">
            <v>U</v>
          </cell>
          <cell r="J3079" t="str">
            <v>U</v>
          </cell>
        </row>
        <row r="3080">
          <cell r="B3080" t="str">
            <v>OT010900303</v>
          </cell>
          <cell r="C3080" t="str">
            <v>ACCESORIOS</v>
          </cell>
          <cell r="D3080" t="str">
            <v>PORTAVINO</v>
          </cell>
          <cell r="E3080" t="str">
            <v>PORTAVINO TANDIL</v>
          </cell>
          <cell r="F3080" t="str">
            <v>BRIDGE</v>
          </cell>
          <cell r="G3080">
            <v>0</v>
          </cell>
          <cell r="H3080" t="str">
            <v>CARAMELO</v>
          </cell>
          <cell r="I3080" t="str">
            <v>U</v>
          </cell>
          <cell r="J3080" t="str">
            <v>U</v>
          </cell>
        </row>
        <row r="3081">
          <cell r="B3081" t="str">
            <v>OT010900304</v>
          </cell>
          <cell r="C3081" t="str">
            <v>ACCESORIOS</v>
          </cell>
          <cell r="D3081" t="str">
            <v>PORTAVINO</v>
          </cell>
          <cell r="E3081" t="str">
            <v>PORTAVINO TANDIL</v>
          </cell>
          <cell r="F3081" t="str">
            <v>BRIDGE</v>
          </cell>
          <cell r="G3081">
            <v>0</v>
          </cell>
          <cell r="H3081" t="str">
            <v>TABACO</v>
          </cell>
          <cell r="I3081" t="str">
            <v>U</v>
          </cell>
          <cell r="J3081" t="str">
            <v>U</v>
          </cell>
        </row>
        <row r="3082">
          <cell r="B3082" t="str">
            <v>OT010900301</v>
          </cell>
          <cell r="C3082" t="str">
            <v>ACCESORIOS</v>
          </cell>
          <cell r="D3082" t="str">
            <v>PORTAVINO</v>
          </cell>
          <cell r="E3082" t="str">
            <v>PORTAVINO TANDIL</v>
          </cell>
          <cell r="F3082" t="str">
            <v>BRIDGE</v>
          </cell>
          <cell r="G3082">
            <v>0</v>
          </cell>
          <cell r="H3082" t="str">
            <v>NEGRO</v>
          </cell>
          <cell r="I3082" t="str">
            <v>U</v>
          </cell>
          <cell r="J3082" t="str">
            <v>U</v>
          </cell>
        </row>
        <row r="3083">
          <cell r="B3083" t="str">
            <v>MG010811910</v>
          </cell>
          <cell r="C3083" t="str">
            <v>MARRO GRANDE</v>
          </cell>
          <cell r="D3083" t="str">
            <v>BANDOLERA</v>
          </cell>
          <cell r="E3083" t="str">
            <v>BANDOLERA SAGITTA</v>
          </cell>
          <cell r="F3083" t="str">
            <v>MODENA</v>
          </cell>
          <cell r="G3083">
            <v>0</v>
          </cell>
          <cell r="H3083" t="str">
            <v>VERDE</v>
          </cell>
          <cell r="I3083" t="str">
            <v>U</v>
          </cell>
          <cell r="J3083" t="str">
            <v>M</v>
          </cell>
        </row>
        <row r="3084">
          <cell r="B3084" t="str">
            <v>MG010663139</v>
          </cell>
          <cell r="C3084" t="str">
            <v>MARRO GRANDE</v>
          </cell>
          <cell r="D3084" t="str">
            <v>TOTE</v>
          </cell>
          <cell r="E3084" t="str">
            <v>TOTE IRUYA</v>
          </cell>
          <cell r="F3084" t="str">
            <v>PELO</v>
          </cell>
          <cell r="G3084">
            <v>0</v>
          </cell>
          <cell r="H3084" t="str">
            <v>HEREFORD</v>
          </cell>
          <cell r="I3084" t="str">
            <v>U</v>
          </cell>
          <cell r="J3084" t="str">
            <v>M</v>
          </cell>
        </row>
        <row r="3085">
          <cell r="B3085" t="str">
            <v>MC020431910</v>
          </cell>
          <cell r="C3085" t="str">
            <v>MARRO CHICA</v>
          </cell>
          <cell r="D3085" t="str">
            <v xml:space="preserve">BILLETERA </v>
          </cell>
          <cell r="E3085" t="str">
            <v>BILLETERA MILO SIMPLE</v>
          </cell>
          <cell r="F3085" t="str">
            <v>MODENA</v>
          </cell>
          <cell r="G3085">
            <v>0</v>
          </cell>
          <cell r="H3085" t="str">
            <v>VERDE</v>
          </cell>
          <cell r="I3085" t="str">
            <v>U</v>
          </cell>
          <cell r="J3085" t="str">
            <v>H</v>
          </cell>
        </row>
        <row r="3086">
          <cell r="B3086" t="str">
            <v>OT020910301-56</v>
          </cell>
          <cell r="C3086" t="str">
            <v>ACCESORIOS</v>
          </cell>
          <cell r="D3086" t="str">
            <v>LLAVERO</v>
          </cell>
          <cell r="E3086" t="str">
            <v>LLAVERO ABC (LETRA K)</v>
          </cell>
          <cell r="F3086" t="str">
            <v>BRIDGE/GAMUZA</v>
          </cell>
          <cell r="G3086">
            <v>0</v>
          </cell>
          <cell r="H3086" t="str">
            <v>NEGRO/OXIDO</v>
          </cell>
          <cell r="I3086" t="str">
            <v>U</v>
          </cell>
          <cell r="J3086" t="str">
            <v>U</v>
          </cell>
        </row>
        <row r="3087">
          <cell r="B3087" t="str">
            <v>OT020910315-09</v>
          </cell>
          <cell r="C3087" t="str">
            <v>ACCESORIOS</v>
          </cell>
          <cell r="D3087" t="str">
            <v>LLAVERO</v>
          </cell>
          <cell r="E3087" t="str">
            <v>LLAVERO ABC (LETRA K)</v>
          </cell>
          <cell r="F3087" t="str">
            <v>BRIDGE/GAMUZA</v>
          </cell>
          <cell r="G3087">
            <v>0</v>
          </cell>
          <cell r="H3087" t="str">
            <v>MALBEC/AZUL</v>
          </cell>
          <cell r="I3087" t="str">
            <v>U</v>
          </cell>
          <cell r="J3087" t="str">
            <v>U</v>
          </cell>
        </row>
        <row r="3088">
          <cell r="B3088" t="str">
            <v>OT020890315-09</v>
          </cell>
          <cell r="C3088" t="str">
            <v>ACCESORIOS</v>
          </cell>
          <cell r="D3088" t="str">
            <v>LLAVERO</v>
          </cell>
          <cell r="E3088" t="str">
            <v>LLAVERO ABC (LETRA Y)</v>
          </cell>
          <cell r="F3088" t="str">
            <v>BRIDGE/GAMUZA</v>
          </cell>
          <cell r="G3088">
            <v>0</v>
          </cell>
          <cell r="H3088" t="str">
            <v>MALBEC/AZUL</v>
          </cell>
          <cell r="I3088" t="str">
            <v>U</v>
          </cell>
          <cell r="J3088" t="str">
            <v>U</v>
          </cell>
        </row>
        <row r="3089">
          <cell r="B3089" t="str">
            <v>OT020890303-56</v>
          </cell>
          <cell r="C3089" t="str">
            <v>ACCESORIOS</v>
          </cell>
          <cell r="D3089" t="str">
            <v>LLAVERO</v>
          </cell>
          <cell r="E3089" t="str">
            <v>LLAVERO ABC (LETRA Y)</v>
          </cell>
          <cell r="F3089" t="str">
            <v>BRIDGE/GAMUZA</v>
          </cell>
          <cell r="G3089">
            <v>0</v>
          </cell>
          <cell r="H3089" t="str">
            <v>CARAMELO/OXIDO</v>
          </cell>
          <cell r="I3089" t="str">
            <v>U</v>
          </cell>
          <cell r="J3089" t="str">
            <v>U</v>
          </cell>
        </row>
        <row r="3090">
          <cell r="B3090" t="str">
            <v>OT020920301</v>
          </cell>
          <cell r="C3090" t="str">
            <v>ACCESORIOS</v>
          </cell>
          <cell r="D3090" t="str">
            <v>PORTAVINO</v>
          </cell>
          <cell r="E3090" t="str">
            <v>PORTAVINO UCO</v>
          </cell>
          <cell r="F3090" t="str">
            <v>BRIDGE</v>
          </cell>
          <cell r="G3090">
            <v>0</v>
          </cell>
          <cell r="H3090" t="str">
            <v>NEGRO</v>
          </cell>
          <cell r="I3090" t="str">
            <v>U</v>
          </cell>
          <cell r="J3090" t="str">
            <v>U</v>
          </cell>
        </row>
        <row r="3091">
          <cell r="B3091" t="str">
            <v>OT020920304</v>
          </cell>
          <cell r="C3091" t="str">
            <v>ACCESORIOS</v>
          </cell>
          <cell r="D3091" t="str">
            <v>PORTAVINO</v>
          </cell>
          <cell r="E3091" t="str">
            <v>PORTAVINO UCO</v>
          </cell>
          <cell r="F3091" t="str">
            <v>BRIDGE</v>
          </cell>
          <cell r="G3091">
            <v>0</v>
          </cell>
          <cell r="H3091" t="str">
            <v>TABACO</v>
          </cell>
          <cell r="I3091" t="str">
            <v>U</v>
          </cell>
          <cell r="J3091" t="str">
            <v>U</v>
          </cell>
        </row>
        <row r="3092">
          <cell r="B3092" t="str">
            <v>OT020920303</v>
          </cell>
          <cell r="C3092" t="str">
            <v>ACCESORIOS</v>
          </cell>
          <cell r="D3092" t="str">
            <v>PORTAVINO</v>
          </cell>
          <cell r="E3092" t="str">
            <v>PORTAVINO UCO</v>
          </cell>
          <cell r="F3092" t="str">
            <v>BRIDGE</v>
          </cell>
          <cell r="G3092">
            <v>0</v>
          </cell>
          <cell r="H3092" t="str">
            <v>CARAMELO</v>
          </cell>
          <cell r="I3092" t="str">
            <v>U</v>
          </cell>
          <cell r="J3092" t="str">
            <v>U</v>
          </cell>
        </row>
        <row r="3093">
          <cell r="B3093" t="str">
            <v>MG010103140-1</v>
          </cell>
          <cell r="C3093" t="str">
            <v>MARRO GRANDE</v>
          </cell>
          <cell r="D3093" t="str">
            <v>BOLSO</v>
          </cell>
          <cell r="E3093" t="str">
            <v>BOLSO TUBO GRANDE</v>
          </cell>
          <cell r="F3093" t="str">
            <v>PELO/BR</v>
          </cell>
          <cell r="G3093">
            <v>0</v>
          </cell>
          <cell r="H3093" t="str">
            <v>HOLANDO/NEGRO</v>
          </cell>
          <cell r="I3093" t="str">
            <v>U</v>
          </cell>
          <cell r="J3093" t="str">
            <v>U</v>
          </cell>
        </row>
        <row r="3094">
          <cell r="B3094" t="str">
            <v>MG010103139-4</v>
          </cell>
          <cell r="C3094" t="str">
            <v>MARRO GRANDE</v>
          </cell>
          <cell r="D3094" t="str">
            <v>BOLSO</v>
          </cell>
          <cell r="E3094" t="str">
            <v>BOLSO TUBO GRANDE</v>
          </cell>
          <cell r="F3094" t="str">
            <v>PELO/BR</v>
          </cell>
          <cell r="G3094">
            <v>0</v>
          </cell>
          <cell r="H3094" t="str">
            <v>HEREFORD/TABACO</v>
          </cell>
          <cell r="I3094" t="str">
            <v>U</v>
          </cell>
          <cell r="J3094" t="str">
            <v>U</v>
          </cell>
        </row>
        <row r="3095">
          <cell r="B3095" t="str">
            <v>OT020910302-16</v>
          </cell>
          <cell r="C3095" t="str">
            <v>ACCESORIOS</v>
          </cell>
          <cell r="D3095" t="str">
            <v>LLAVERO</v>
          </cell>
          <cell r="E3095" t="str">
            <v>LLAVERO ABC (LETRA K)</v>
          </cell>
          <cell r="F3095" t="str">
            <v>BRIDGE/GAMUZA</v>
          </cell>
          <cell r="G3095">
            <v>0</v>
          </cell>
          <cell r="H3095" t="str">
            <v>SUELA/OLIVE</v>
          </cell>
          <cell r="I3095" t="str">
            <v>U</v>
          </cell>
          <cell r="J3095" t="str">
            <v>U</v>
          </cell>
        </row>
        <row r="3096">
          <cell r="B3096" t="str">
            <v>OT020740301-56</v>
          </cell>
          <cell r="C3096" t="str">
            <v>ACCESORIOS</v>
          </cell>
          <cell r="D3096" t="str">
            <v>LLAVERO</v>
          </cell>
          <cell r="E3096" t="str">
            <v>LLAVERO ABC (LETRA A)</v>
          </cell>
          <cell r="F3096" t="str">
            <v>BRIDGE/GAMUZA</v>
          </cell>
          <cell r="G3096">
            <v>0</v>
          </cell>
          <cell r="H3096" t="str">
            <v>OXIDO/NEGRO</v>
          </cell>
          <cell r="I3096" t="str">
            <v>U</v>
          </cell>
          <cell r="J3096" t="str">
            <v>U</v>
          </cell>
        </row>
        <row r="3097">
          <cell r="B3097" t="str">
            <v>OT020740302-16</v>
          </cell>
          <cell r="C3097" t="str">
            <v>ACCESORIOS</v>
          </cell>
          <cell r="D3097" t="str">
            <v>LLAVERO</v>
          </cell>
          <cell r="E3097" t="str">
            <v>LLAVERO ABC (LETRA A)</v>
          </cell>
          <cell r="F3097" t="str">
            <v>BRIDGE/GAMUZA</v>
          </cell>
          <cell r="G3097">
            <v>0</v>
          </cell>
          <cell r="H3097" t="str">
            <v>SUELA/OLIVE</v>
          </cell>
          <cell r="I3097" t="str">
            <v>U</v>
          </cell>
          <cell r="J3097" t="str">
            <v>U</v>
          </cell>
        </row>
        <row r="3098">
          <cell r="B3098" t="str">
            <v>OT020740303-56</v>
          </cell>
          <cell r="C3098" t="str">
            <v>ACCESORIOS</v>
          </cell>
          <cell r="D3098" t="str">
            <v>LLAVERO</v>
          </cell>
          <cell r="E3098" t="str">
            <v>LLAVERO ABC (LETRA A)</v>
          </cell>
          <cell r="F3098" t="str">
            <v>BRIDGE/GAMUZA</v>
          </cell>
          <cell r="G3098">
            <v>0</v>
          </cell>
          <cell r="H3098" t="str">
            <v>CARAMELO/OXIDO</v>
          </cell>
          <cell r="I3098" t="str">
            <v>U</v>
          </cell>
          <cell r="J3098" t="str">
            <v>U</v>
          </cell>
        </row>
        <row r="3099">
          <cell r="B3099" t="str">
            <v>MG010821909</v>
          </cell>
          <cell r="C3099" t="str">
            <v>MARRO GRANDE</v>
          </cell>
          <cell r="D3099" t="str">
            <v>BANDOLERA</v>
          </cell>
          <cell r="E3099" t="str">
            <v>BANDOLERA CASIOPEA</v>
          </cell>
          <cell r="F3099" t="str">
            <v>MODENA</v>
          </cell>
          <cell r="G3099">
            <v>0</v>
          </cell>
          <cell r="H3099" t="str">
            <v>AZUL</v>
          </cell>
          <cell r="I3099" t="str">
            <v>U</v>
          </cell>
          <cell r="J3099" t="str">
            <v>M</v>
          </cell>
        </row>
        <row r="3100">
          <cell r="B3100" t="str">
            <v>OT020930509-4</v>
          </cell>
          <cell r="C3100" t="str">
            <v>ACCESORIOS</v>
          </cell>
          <cell r="D3100" t="str">
            <v>PORTAVINO</v>
          </cell>
          <cell r="E3100" t="str">
            <v>PORTAVINO TUNUYAN</v>
          </cell>
          <cell r="F3100" t="str">
            <v>GAMUZA/BRIDGE</v>
          </cell>
          <cell r="G3100">
            <v>0</v>
          </cell>
          <cell r="H3100" t="str">
            <v>AZUL/TABACO</v>
          </cell>
          <cell r="I3100" t="str">
            <v>U</v>
          </cell>
          <cell r="J3100" t="str">
            <v>U</v>
          </cell>
        </row>
        <row r="3101">
          <cell r="B3101" t="str">
            <v>OT020930516-4</v>
          </cell>
          <cell r="C3101" t="str">
            <v>ACCESORIOS</v>
          </cell>
          <cell r="D3101" t="str">
            <v>PORTAVINO</v>
          </cell>
          <cell r="E3101" t="str">
            <v>PORTAVINO TUNUYAN</v>
          </cell>
          <cell r="F3101" t="str">
            <v>GAMUZA/BRIDGE</v>
          </cell>
          <cell r="G3101">
            <v>0</v>
          </cell>
          <cell r="H3101" t="str">
            <v>OLIVE/TABACO</v>
          </cell>
          <cell r="I3101" t="str">
            <v>U</v>
          </cell>
          <cell r="J3101" t="str">
            <v>U</v>
          </cell>
        </row>
        <row r="3102">
          <cell r="B3102" t="str">
            <v>OT020930550-4</v>
          </cell>
          <cell r="C3102" t="str">
            <v>ACCESORIOS</v>
          </cell>
          <cell r="D3102" t="str">
            <v>PORTAVINO</v>
          </cell>
          <cell r="E3102" t="str">
            <v>PORTAVINO TUNUYAN</v>
          </cell>
          <cell r="F3102" t="str">
            <v>GAMUZA/BRIDGE</v>
          </cell>
          <cell r="G3102">
            <v>0</v>
          </cell>
          <cell r="H3102" t="str">
            <v>VESUBIO/TABACO</v>
          </cell>
          <cell r="I3102" t="str">
            <v>U</v>
          </cell>
          <cell r="J3102" t="str">
            <v>U</v>
          </cell>
        </row>
        <row r="3103">
          <cell r="B3103" t="str">
            <v>OT020910303-56</v>
          </cell>
          <cell r="C3103" t="str">
            <v>ACCESORIOS</v>
          </cell>
          <cell r="D3103" t="str">
            <v>LLAVERO</v>
          </cell>
          <cell r="E3103" t="str">
            <v>LLAVERO ABC (LETRA K)</v>
          </cell>
          <cell r="F3103" t="str">
            <v>BRIDGE/GAMUZA</v>
          </cell>
          <cell r="G3103">
            <v>0</v>
          </cell>
          <cell r="H3103" t="str">
            <v>CARAMELO/OXIDO</v>
          </cell>
          <cell r="I3103" t="str">
            <v>U</v>
          </cell>
          <cell r="J3103" t="str">
            <v>U</v>
          </cell>
        </row>
        <row r="3104">
          <cell r="B3104" t="str">
            <v>OT020940402</v>
          </cell>
          <cell r="C3104" t="str">
            <v>ACCESORIOS</v>
          </cell>
          <cell r="D3104" t="str">
            <v>LLAVERO</v>
          </cell>
          <cell r="E3104" t="str">
            <v>LLAVERO CALADO INICIALES (LETRA N)</v>
          </cell>
          <cell r="F3104" t="str">
            <v>VAQ</v>
          </cell>
          <cell r="H3104" t="str">
            <v>SUELA</v>
          </cell>
          <cell r="I3104" t="str">
            <v>U</v>
          </cell>
          <cell r="J3104" t="str">
            <v>U</v>
          </cell>
        </row>
        <row r="3105">
          <cell r="B3105" t="str">
            <v>OT020950402-52</v>
          </cell>
          <cell r="C3105" t="str">
            <v>ACCESORIOS</v>
          </cell>
          <cell r="D3105" t="str">
            <v>LLAVERO</v>
          </cell>
          <cell r="E3105" t="str">
            <v>LLAVERO CALADO ZODIACO (ACUARIO)</v>
          </cell>
          <cell r="F3105" t="str">
            <v>VAQ</v>
          </cell>
          <cell r="H3105" t="str">
            <v>SUELA/CHOCOLATE</v>
          </cell>
          <cell r="I3105" t="str">
            <v>U</v>
          </cell>
          <cell r="J3105" t="str">
            <v>U</v>
          </cell>
        </row>
        <row r="3106">
          <cell r="B3106" t="str">
            <v>OT020960402-07</v>
          </cell>
          <cell r="C3106" t="str">
            <v>ACCESORIOS</v>
          </cell>
          <cell r="D3106" t="str">
            <v>LLAVERO</v>
          </cell>
          <cell r="E3106" t="str">
            <v>LLAVERO CALADO ZODIACO (LEO)</v>
          </cell>
          <cell r="F3106" t="str">
            <v>VAQ</v>
          </cell>
          <cell r="H3106" t="str">
            <v>SUELA/ROJO</v>
          </cell>
          <cell r="I3106" t="str">
            <v>U</v>
          </cell>
          <cell r="J3106" t="str">
            <v>U</v>
          </cell>
        </row>
        <row r="3107">
          <cell r="B3107" t="str">
            <v>OT020970402-52</v>
          </cell>
          <cell r="C3107" t="str">
            <v>ACCESORIOS</v>
          </cell>
          <cell r="D3107" t="str">
            <v>LLAVERO</v>
          </cell>
          <cell r="E3107" t="str">
            <v>LLAVERO CALADO ZODIACO (VIRGO)</v>
          </cell>
          <cell r="F3107" t="str">
            <v>VAQ</v>
          </cell>
          <cell r="H3107" t="str">
            <v>SUELA/CHOCOLATE</v>
          </cell>
          <cell r="I3107" t="str">
            <v>U</v>
          </cell>
          <cell r="J3107" t="str">
            <v>U</v>
          </cell>
        </row>
        <row r="3108">
          <cell r="B3108" t="str">
            <v>OT020980402-12</v>
          </cell>
          <cell r="C3108" t="str">
            <v>ACCESORIOS</v>
          </cell>
          <cell r="D3108" t="str">
            <v>LLAVERO</v>
          </cell>
          <cell r="E3108" t="str">
            <v>LLAVERO CALADO ZODIACO (ARIES)</v>
          </cell>
          <cell r="F3108" t="str">
            <v>VAQ</v>
          </cell>
          <cell r="H3108" t="str">
            <v>SUELA/GRIS</v>
          </cell>
          <cell r="I3108" t="str">
            <v>U</v>
          </cell>
          <cell r="J3108" t="str">
            <v>U</v>
          </cell>
        </row>
        <row r="3109">
          <cell r="B3109" t="str">
            <v>OT020990402-10</v>
          </cell>
          <cell r="C3109" t="str">
            <v>ACCESORIOS</v>
          </cell>
          <cell r="D3109" t="str">
            <v>LLAVERO</v>
          </cell>
          <cell r="E3109" t="str">
            <v>LLAVERO CALADO ZODIACO (SAGITARIO)</v>
          </cell>
          <cell r="F3109" t="str">
            <v>VAQ</v>
          </cell>
          <cell r="H3109" t="str">
            <v>SUELA/VERDE</v>
          </cell>
          <cell r="I3109" t="str">
            <v>U</v>
          </cell>
          <cell r="J3109" t="str">
            <v>U</v>
          </cell>
        </row>
        <row r="3110">
          <cell r="B3110" t="str">
            <v>OT021000402-52</v>
          </cell>
          <cell r="C3110" t="str">
            <v>ACCESORIOS</v>
          </cell>
          <cell r="D3110" t="str">
            <v>LLAVERO</v>
          </cell>
          <cell r="E3110" t="str">
            <v>LLAVERO CALADO ZODIACO (TAURO)</v>
          </cell>
          <cell r="F3110" t="str">
            <v>VAQ</v>
          </cell>
          <cell r="H3110" t="str">
            <v>SUELA/CHOCOLATE</v>
          </cell>
          <cell r="I3110" t="str">
            <v>U</v>
          </cell>
          <cell r="J3110" t="str">
            <v>U</v>
          </cell>
        </row>
        <row r="3111">
          <cell r="B3111" t="str">
            <v>OT021010402-52</v>
          </cell>
          <cell r="C3111" t="str">
            <v>ACCESORIOS</v>
          </cell>
          <cell r="D3111" t="str">
            <v>LLAVERO</v>
          </cell>
          <cell r="E3111" t="str">
            <v>LLAVERO CALADO ZODIACO (CANCER)</v>
          </cell>
          <cell r="F3111" t="str">
            <v>VAQ</v>
          </cell>
          <cell r="H3111" t="str">
            <v>SUELA/CHOCOLATE</v>
          </cell>
          <cell r="I3111" t="str">
            <v>U</v>
          </cell>
          <cell r="J3111" t="str">
            <v>U</v>
          </cell>
        </row>
        <row r="3112">
          <cell r="B3112" t="str">
            <v>OT021020408-07</v>
          </cell>
          <cell r="C3112" t="str">
            <v>ACCESORIOS</v>
          </cell>
          <cell r="D3112" t="str">
            <v>LLAVERO</v>
          </cell>
          <cell r="E3112" t="str">
            <v>LLAVERO CALADO ZODIACO (PISCIS)</v>
          </cell>
          <cell r="F3112" t="str">
            <v>VAQ</v>
          </cell>
          <cell r="H3112" t="str">
            <v>NATURAL/ROJO</v>
          </cell>
          <cell r="I3112" t="str">
            <v>U</v>
          </cell>
          <cell r="J3112" t="str">
            <v>U</v>
          </cell>
        </row>
        <row r="3113">
          <cell r="B3113" t="str">
            <v>OT021030408-04</v>
          </cell>
          <cell r="C3113" t="str">
            <v>ACCESORIOS</v>
          </cell>
          <cell r="D3113" t="str">
            <v>LLAVERO</v>
          </cell>
          <cell r="E3113" t="str">
            <v>LLAVERO CALADO ZODIACO (GEMINIS)</v>
          </cell>
          <cell r="F3113" t="str">
            <v>VAQ</v>
          </cell>
          <cell r="H3113" t="str">
            <v>NATURAL/TABACO</v>
          </cell>
          <cell r="I3113" t="str">
            <v>U</v>
          </cell>
          <cell r="J3113" t="str">
            <v>U</v>
          </cell>
        </row>
        <row r="3114">
          <cell r="B3114" t="str">
            <v>OT021040402-10</v>
          </cell>
          <cell r="C3114" t="str">
            <v>ACCESORIOS</v>
          </cell>
          <cell r="D3114" t="str">
            <v>LLAVERO</v>
          </cell>
          <cell r="E3114" t="str">
            <v>LLAVERO CALADO ZODIACO (ESCORPIO)</v>
          </cell>
          <cell r="F3114" t="str">
            <v>VAQ</v>
          </cell>
          <cell r="H3114" t="str">
            <v>SUELA/VERDE</v>
          </cell>
          <cell r="I3114" t="str">
            <v>U</v>
          </cell>
          <cell r="J3114" t="str">
            <v>U</v>
          </cell>
        </row>
        <row r="3115">
          <cell r="B3115" t="str">
            <v>OT021050402-10</v>
          </cell>
          <cell r="C3115" t="str">
            <v>ACCESORIOS</v>
          </cell>
          <cell r="D3115" t="str">
            <v>LLAVERO</v>
          </cell>
          <cell r="E3115" t="str">
            <v>LLAVERO CALADO ZODIACO (CAPRICORNIO)</v>
          </cell>
          <cell r="F3115" t="str">
            <v>VAQ</v>
          </cell>
          <cell r="H3115" t="str">
            <v>SUELA/VERDE</v>
          </cell>
          <cell r="I3115" t="str">
            <v>U</v>
          </cell>
          <cell r="J3115" t="str">
            <v>U</v>
          </cell>
        </row>
        <row r="3116">
          <cell r="B3116" t="str">
            <v>OT021060402</v>
          </cell>
          <cell r="C3116" t="str">
            <v>ACCESORIOS</v>
          </cell>
          <cell r="D3116" t="str">
            <v>LLAVERO</v>
          </cell>
          <cell r="E3116" t="str">
            <v>LLAVERO CALADO FRASES (AQUI)</v>
          </cell>
          <cell r="F3116" t="str">
            <v>VAQUETA</v>
          </cell>
          <cell r="H3116" t="str">
            <v>SUELA</v>
          </cell>
          <cell r="I3116" t="str">
            <v>U</v>
          </cell>
          <cell r="J3116" t="str">
            <v>U</v>
          </cell>
        </row>
        <row r="3117">
          <cell r="B3117" t="str">
            <v>OT021070402</v>
          </cell>
          <cell r="C3117" t="str">
            <v>ACCESORIOS</v>
          </cell>
          <cell r="D3117" t="str">
            <v>LLAVERO</v>
          </cell>
          <cell r="E3117" t="str">
            <v>LLAVERO CALADO FRASES (PADRE)</v>
          </cell>
          <cell r="F3117" t="str">
            <v>VAQUETA</v>
          </cell>
          <cell r="H3117" t="str">
            <v>SUELA</v>
          </cell>
          <cell r="I3117" t="str">
            <v>U</v>
          </cell>
          <cell r="J3117" t="str">
            <v>U</v>
          </cell>
        </row>
        <row r="3118">
          <cell r="B3118" t="str">
            <v>OT021080402</v>
          </cell>
          <cell r="C3118" t="str">
            <v>ACCESORIOS</v>
          </cell>
          <cell r="D3118" t="str">
            <v>LLAVERO</v>
          </cell>
          <cell r="E3118" t="str">
            <v>LLAVERO CALADO FRASES (PASARA)</v>
          </cell>
          <cell r="F3118" t="str">
            <v>VAQUETA</v>
          </cell>
          <cell r="H3118" t="str">
            <v>SUELA</v>
          </cell>
          <cell r="I3118" t="str">
            <v>U</v>
          </cell>
          <cell r="J3118" t="str">
            <v>U</v>
          </cell>
        </row>
        <row r="3119">
          <cell r="B3119" t="str">
            <v>OT021090408-52</v>
          </cell>
          <cell r="C3119" t="str">
            <v>ACCESORIOS</v>
          </cell>
          <cell r="D3119" t="str">
            <v>LLAVERO</v>
          </cell>
          <cell r="E3119" t="str">
            <v>TAG CALADO ZODIACO (LIBRA)</v>
          </cell>
          <cell r="F3119" t="str">
            <v>VAQ</v>
          </cell>
          <cell r="H3119" t="str">
            <v>NATURAL/CHOCOLATE</v>
          </cell>
          <cell r="I3119" t="str">
            <v>U</v>
          </cell>
          <cell r="J3119" t="str">
            <v>U</v>
          </cell>
        </row>
        <row r="3120">
          <cell r="B3120" t="str">
            <v>OT021100408-07</v>
          </cell>
          <cell r="C3120" t="str">
            <v>ACCESORIOS</v>
          </cell>
          <cell r="D3120" t="str">
            <v>LLAVERO</v>
          </cell>
          <cell r="E3120" t="str">
            <v>TAG CALADO INICIAL (LETRA V)</v>
          </cell>
          <cell r="F3120" t="str">
            <v>VAQ</v>
          </cell>
          <cell r="H3120" t="str">
            <v>NATURAL/ROJO</v>
          </cell>
          <cell r="I3120" t="str">
            <v>U</v>
          </cell>
          <cell r="J3120" t="str">
            <v>U</v>
          </cell>
        </row>
        <row r="3121">
          <cell r="B3121" t="str">
            <v>OT021110408-09</v>
          </cell>
          <cell r="C3121" t="str">
            <v>ACCESORIOS</v>
          </cell>
          <cell r="D3121" t="str">
            <v>LLAVERO</v>
          </cell>
          <cell r="E3121" t="str">
            <v>TAG CALADO INICIAL (LETRA F)</v>
          </cell>
          <cell r="F3121" t="str">
            <v>VAQ</v>
          </cell>
          <cell r="H3121" t="str">
            <v>NATURAL/AZUL</v>
          </cell>
          <cell r="I3121" t="str">
            <v>U</v>
          </cell>
          <cell r="J3121" t="str">
            <v>U</v>
          </cell>
        </row>
        <row r="3122">
          <cell r="B3122" t="str">
            <v>OT021120402-09</v>
          </cell>
          <cell r="C3122" t="str">
            <v>ACCESORIOS</v>
          </cell>
          <cell r="D3122" t="str">
            <v>LLAVERO</v>
          </cell>
          <cell r="E3122" t="str">
            <v>TAG CALADO INICIAL (LETRA L)</v>
          </cell>
          <cell r="F3122" t="str">
            <v>VAQ</v>
          </cell>
          <cell r="H3122" t="str">
            <v>SUELA/AZUL</v>
          </cell>
          <cell r="I3122" t="str">
            <v>U</v>
          </cell>
          <cell r="J3122" t="str">
            <v>U</v>
          </cell>
        </row>
        <row r="3123">
          <cell r="B3123" t="str">
            <v>OT021130402-52</v>
          </cell>
          <cell r="C3123" t="str">
            <v>ACCESORIOS</v>
          </cell>
          <cell r="D3123" t="str">
            <v>LLAVERO</v>
          </cell>
          <cell r="E3123" t="str">
            <v>TAG CALADO INICIAL (LETRA G)</v>
          </cell>
          <cell r="F3123" t="str">
            <v>VAQ</v>
          </cell>
          <cell r="H3123" t="str">
            <v>SUELA/CHOCOLATE</v>
          </cell>
          <cell r="I3123" t="str">
            <v>U</v>
          </cell>
          <cell r="J3123" t="str">
            <v>U</v>
          </cell>
        </row>
        <row r="3124">
          <cell r="B3124" t="str">
            <v>OT021140402-52</v>
          </cell>
          <cell r="C3124" t="str">
            <v>ACCESORIOS</v>
          </cell>
          <cell r="D3124" t="str">
            <v>LLAVERO</v>
          </cell>
          <cell r="E3124" t="str">
            <v>TAG CALADO INICIAL (LETRA J)</v>
          </cell>
          <cell r="F3124" t="str">
            <v>VAQ</v>
          </cell>
          <cell r="H3124" t="str">
            <v>SUELA/CHOCOLATE</v>
          </cell>
          <cell r="I3124" t="str">
            <v>U</v>
          </cell>
          <cell r="J3124" t="str">
            <v>U</v>
          </cell>
        </row>
        <row r="3125">
          <cell r="B3125" t="str">
            <v>OT021150402-10</v>
          </cell>
          <cell r="C3125" t="str">
            <v>ACCESORIOS</v>
          </cell>
          <cell r="D3125" t="str">
            <v>LLAVERO</v>
          </cell>
          <cell r="E3125" t="str">
            <v>TAG CALADO INICIAL (LETRA M)</v>
          </cell>
          <cell r="F3125" t="str">
            <v>VAQ</v>
          </cell>
          <cell r="H3125" t="str">
            <v>SUELA/VERDE</v>
          </cell>
          <cell r="I3125" t="str">
            <v>U</v>
          </cell>
          <cell r="J3125" t="str">
            <v>U</v>
          </cell>
        </row>
        <row r="3126">
          <cell r="B3126" t="str">
            <v>OT021160402-15</v>
          </cell>
          <cell r="C3126" t="str">
            <v>ACCESORIOS</v>
          </cell>
          <cell r="D3126" t="str">
            <v>LLAVERO</v>
          </cell>
          <cell r="E3126" t="str">
            <v>TAG CALADO INICIAL (LETRA C)</v>
          </cell>
          <cell r="F3126" t="str">
            <v>VAQ</v>
          </cell>
          <cell r="H3126" t="str">
            <v>SUELA/MALBEC</v>
          </cell>
          <cell r="I3126" t="str">
            <v>U</v>
          </cell>
          <cell r="J3126" t="str">
            <v>U</v>
          </cell>
        </row>
        <row r="3127">
          <cell r="B3127" t="str">
            <v>OT021170402-15</v>
          </cell>
          <cell r="C3127" t="str">
            <v>ACCESORIOS</v>
          </cell>
          <cell r="D3127" t="str">
            <v>LLAVERO</v>
          </cell>
          <cell r="E3127" t="str">
            <v>TAG CALADO INICIAL (LETRA S)</v>
          </cell>
          <cell r="F3127" t="str">
            <v>VAQ</v>
          </cell>
          <cell r="H3127" t="str">
            <v>SUELA/MALBEC</v>
          </cell>
          <cell r="I3127" t="str">
            <v>U</v>
          </cell>
          <cell r="J3127" t="str">
            <v>U</v>
          </cell>
        </row>
        <row r="3128">
          <cell r="B3128" t="str">
            <v>MC020861909</v>
          </cell>
          <cell r="C3128" t="str">
            <v>MARRO CHICA</v>
          </cell>
          <cell r="D3128" t="str">
            <v>PORTALENTES</v>
          </cell>
          <cell r="E3128" t="str">
            <v>PORTALENTES LUZ BIFAZ</v>
          </cell>
          <cell r="F3128" t="str">
            <v>MODENA</v>
          </cell>
          <cell r="G3128">
            <v>0</v>
          </cell>
          <cell r="H3128" t="str">
            <v>AZUL/SUELA</v>
          </cell>
          <cell r="I3128" t="str">
            <v>U</v>
          </cell>
          <cell r="J3128" t="str">
            <v>U</v>
          </cell>
        </row>
        <row r="3129">
          <cell r="B3129" t="str">
            <v>MC020861910</v>
          </cell>
          <cell r="C3129" t="str">
            <v>MARRO CHICA</v>
          </cell>
          <cell r="D3129" t="str">
            <v>PORTALENTES</v>
          </cell>
          <cell r="E3129" t="str">
            <v>PORTALENTES LUZ BIFAZ</v>
          </cell>
          <cell r="F3129" t="str">
            <v>MODENA</v>
          </cell>
          <cell r="G3129">
            <v>0</v>
          </cell>
          <cell r="H3129" t="str">
            <v>VERDE/SUELA</v>
          </cell>
          <cell r="I3129" t="str">
            <v>U</v>
          </cell>
          <cell r="J3129" t="str">
            <v>U</v>
          </cell>
        </row>
        <row r="3130">
          <cell r="B3130" t="str">
            <v>MC020191910</v>
          </cell>
          <cell r="C3130" t="str">
            <v>MARRO CHICA</v>
          </cell>
          <cell r="D3130" t="str">
            <v>TARJETERO</v>
          </cell>
          <cell r="E3130" t="str">
            <v>TARJETERO JUAN</v>
          </cell>
          <cell r="F3130" t="str">
            <v>MODENA</v>
          </cell>
          <cell r="G3130">
            <v>0</v>
          </cell>
          <cell r="H3130" t="str">
            <v>VERDE</v>
          </cell>
          <cell r="I3130" t="str">
            <v>U</v>
          </cell>
          <cell r="J3130" t="str">
            <v>U</v>
          </cell>
        </row>
        <row r="3131">
          <cell r="B3131" t="str">
            <v>OT021180000</v>
          </cell>
          <cell r="C3131" t="str">
            <v>OTROS</v>
          </cell>
          <cell r="D3131" t="str">
            <v>REGALO</v>
          </cell>
          <cell r="E3131" t="str">
            <v>BOLSA PARA NECESSAIRE</v>
          </cell>
          <cell r="F3131" t="str">
            <v>LIENZO</v>
          </cell>
          <cell r="G3131">
            <v>0</v>
          </cell>
          <cell r="H3131" t="str">
            <v>CRUDO</v>
          </cell>
          <cell r="I3131" t="str">
            <v>U</v>
          </cell>
          <cell r="J3131" t="str">
            <v>U</v>
          </cell>
        </row>
        <row r="3132">
          <cell r="B3132" t="str">
            <v>OT010900315</v>
          </cell>
          <cell r="C3132" t="str">
            <v>ACCESORIOS</v>
          </cell>
          <cell r="D3132" t="str">
            <v>PORTAVINO</v>
          </cell>
          <cell r="E3132" t="str">
            <v>PORTAVINO TANDIL</v>
          </cell>
          <cell r="F3132" t="str">
            <v>BRIDGE</v>
          </cell>
          <cell r="G3132">
            <v>0</v>
          </cell>
          <cell r="H3132" t="str">
            <v>MALBEC</v>
          </cell>
          <cell r="I3132" t="str">
            <v>U</v>
          </cell>
          <cell r="J3132" t="str">
            <v>U</v>
          </cell>
        </row>
        <row r="3133">
          <cell r="B3133" t="str">
            <v>MC020810315</v>
          </cell>
          <cell r="C3133" t="str">
            <v>DECO</v>
          </cell>
          <cell r="D3133" t="str">
            <v>POSAVASO</v>
          </cell>
          <cell r="E3133" t="str">
            <v>SET POSAVASOS CUADRADO X4</v>
          </cell>
          <cell r="F3133" t="str">
            <v>BRIDGE</v>
          </cell>
          <cell r="G3133">
            <v>0</v>
          </cell>
          <cell r="H3133" t="str">
            <v>MALBEC</v>
          </cell>
          <cell r="I3133" t="str">
            <v>U</v>
          </cell>
          <cell r="J3133" t="str">
            <v>U</v>
          </cell>
        </row>
        <row r="3134">
          <cell r="B3134" t="str">
            <v>MC020810352</v>
          </cell>
          <cell r="C3134" t="str">
            <v>DECO</v>
          </cell>
          <cell r="D3134" t="str">
            <v>POSAVASO</v>
          </cell>
          <cell r="E3134" t="str">
            <v>SET POSAVASOS CUADRADO X4</v>
          </cell>
          <cell r="F3134" t="str">
            <v>BRIDGE</v>
          </cell>
          <cell r="G3134">
            <v>0</v>
          </cell>
          <cell r="H3134" t="str">
            <v>CHOCOLATE</v>
          </cell>
          <cell r="I3134" t="str">
            <v>U</v>
          </cell>
          <cell r="J3134" t="str">
            <v>U</v>
          </cell>
        </row>
        <row r="3135">
          <cell r="B3135" t="str">
            <v>MC020820352</v>
          </cell>
          <cell r="C3135" t="str">
            <v>DECO</v>
          </cell>
          <cell r="D3135" t="str">
            <v>POSAVASO</v>
          </cell>
          <cell r="E3135" t="str">
            <v>SET POSAVASOS CIRCULAR X4</v>
          </cell>
          <cell r="F3135" t="str">
            <v>BRIDGE</v>
          </cell>
          <cell r="G3135">
            <v>0</v>
          </cell>
          <cell r="H3135" t="str">
            <v>CHOCOLATE</v>
          </cell>
          <cell r="I3135" t="str">
            <v>U</v>
          </cell>
          <cell r="J3135" t="str">
            <v>U</v>
          </cell>
        </row>
        <row r="3136">
          <cell r="B3136" t="str">
            <v>MC020820315</v>
          </cell>
          <cell r="C3136" t="str">
            <v>DECO</v>
          </cell>
          <cell r="D3136" t="str">
            <v>POSAVASO</v>
          </cell>
          <cell r="E3136" t="str">
            <v>SET POSAVASOS CIRCULAR X4</v>
          </cell>
          <cell r="F3136" t="str">
            <v>BRIDGE</v>
          </cell>
          <cell r="G3136">
            <v>0</v>
          </cell>
          <cell r="H3136" t="str">
            <v>MALBEC</v>
          </cell>
          <cell r="I3136" t="str">
            <v>U</v>
          </cell>
          <cell r="J3136" t="str">
            <v>U</v>
          </cell>
        </row>
        <row r="3137">
          <cell r="B3137" t="str">
            <v>OT021190302-16</v>
          </cell>
          <cell r="C3137" t="str">
            <v>ACCESORIOS</v>
          </cell>
          <cell r="D3137" t="str">
            <v>LLAVERO</v>
          </cell>
          <cell r="E3137" t="str">
            <v>LLAVERO ABC (LETRA E)</v>
          </cell>
          <cell r="F3137" t="str">
            <v>BRIDGE/GAMUZA</v>
          </cell>
          <cell r="H3137" t="str">
            <v>SUELA/OLIVE</v>
          </cell>
          <cell r="I3137" t="str">
            <v>U</v>
          </cell>
          <cell r="J3137" t="str">
            <v>U</v>
          </cell>
        </row>
        <row r="3138">
          <cell r="B3138" t="str">
            <v>OT021200301-56</v>
          </cell>
          <cell r="C3138" t="str">
            <v>ACCESORIOS</v>
          </cell>
          <cell r="D3138" t="str">
            <v>LLAVERO</v>
          </cell>
          <cell r="E3138" t="str">
            <v>LLAVERO ABC (LETRA T)</v>
          </cell>
          <cell r="F3138" t="str">
            <v>BRIDGE/GAMUZA</v>
          </cell>
          <cell r="H3138" t="str">
            <v>NEGRO/OXIDO</v>
          </cell>
          <cell r="I3138" t="str">
            <v>U</v>
          </cell>
          <cell r="J3138" t="str">
            <v>U</v>
          </cell>
        </row>
        <row r="3139">
          <cell r="B3139" t="str">
            <v>OT021210302-16</v>
          </cell>
          <cell r="C3139" t="str">
            <v>ACCESORIOS</v>
          </cell>
          <cell r="D3139" t="str">
            <v>LLAVERO</v>
          </cell>
          <cell r="E3139" t="str">
            <v>LLAVERO ABC (LETRA H)</v>
          </cell>
          <cell r="F3139" t="str">
            <v>BRIDGE/GAMUZA</v>
          </cell>
          <cell r="H3139" t="str">
            <v>SUELA/OLIVE</v>
          </cell>
          <cell r="I3139" t="str">
            <v>U</v>
          </cell>
          <cell r="J3139" t="str">
            <v>U</v>
          </cell>
        </row>
        <row r="3140">
          <cell r="B3140" t="str">
            <v>MG311293701</v>
          </cell>
          <cell r="C3140" t="str">
            <v>MARRO GRANDE</v>
          </cell>
          <cell r="D3140" t="str">
            <v>TOTE</v>
          </cell>
          <cell r="E3140" t="str">
            <v>TOTE MARGARITA GRANDE</v>
          </cell>
          <cell r="F3140" t="str">
            <v>ALGODON 100%</v>
          </cell>
          <cell r="H3140" t="str">
            <v>NEGRO</v>
          </cell>
          <cell r="I3140" t="str">
            <v>U</v>
          </cell>
          <cell r="J3140" t="str">
            <v>M</v>
          </cell>
        </row>
        <row r="3141">
          <cell r="B3141" t="str">
            <v>MG311293711</v>
          </cell>
          <cell r="C3141" t="str">
            <v>MARRO GRANDE</v>
          </cell>
          <cell r="D3141" t="str">
            <v>TOTE</v>
          </cell>
          <cell r="E3141" t="str">
            <v>TOTE MARGARITA GRANDE</v>
          </cell>
          <cell r="F3141" t="str">
            <v>ALGODON 100%</v>
          </cell>
          <cell r="G3141">
            <v>0</v>
          </cell>
          <cell r="H3141" t="str">
            <v>BEIGE</v>
          </cell>
          <cell r="I3141" t="str">
            <v>U</v>
          </cell>
          <cell r="J3141" t="str">
            <v>M</v>
          </cell>
        </row>
        <row r="3142">
          <cell r="B3142" t="str">
            <v>MG311293724</v>
          </cell>
          <cell r="C3142" t="str">
            <v>MARRO GRANDE</v>
          </cell>
          <cell r="D3142" t="str">
            <v>TOTE</v>
          </cell>
          <cell r="E3142" t="str">
            <v>TOTE MARGARITA GRANDE</v>
          </cell>
          <cell r="F3142" t="str">
            <v>ALGODON 100%</v>
          </cell>
          <cell r="G3142">
            <v>0</v>
          </cell>
          <cell r="H3142" t="str">
            <v>BLANCO</v>
          </cell>
          <cell r="I3142" t="str">
            <v>U</v>
          </cell>
          <cell r="J3142" t="str">
            <v>M</v>
          </cell>
        </row>
        <row r="3143">
          <cell r="B3143" t="str">
            <v>MG311303701</v>
          </cell>
          <cell r="C3143" t="str">
            <v>MARRO GRANDE</v>
          </cell>
          <cell r="D3143" t="str">
            <v>TOTE</v>
          </cell>
          <cell r="E3143" t="str">
            <v>TOTE MARGARITA CHICA</v>
          </cell>
          <cell r="F3143" t="str">
            <v>ALGODON 100%</v>
          </cell>
          <cell r="H3143" t="str">
            <v>NEGRO</v>
          </cell>
          <cell r="I3143" t="str">
            <v>U</v>
          </cell>
          <cell r="J3143" t="str">
            <v>M</v>
          </cell>
        </row>
        <row r="3144">
          <cell r="B3144" t="str">
            <v>MG311303711</v>
          </cell>
          <cell r="C3144" t="str">
            <v>MARRO GRANDE</v>
          </cell>
          <cell r="D3144" t="str">
            <v>TOTE</v>
          </cell>
          <cell r="E3144" t="str">
            <v>TOTE MARGARITA CHICA</v>
          </cell>
          <cell r="F3144" t="str">
            <v>ALGODON 100%</v>
          </cell>
          <cell r="G3144">
            <v>0</v>
          </cell>
          <cell r="H3144" t="str">
            <v>BEIGE</v>
          </cell>
          <cell r="I3144" t="str">
            <v>U</v>
          </cell>
          <cell r="J3144" t="str">
            <v>M</v>
          </cell>
        </row>
        <row r="3145">
          <cell r="B3145" t="str">
            <v>MG311303724</v>
          </cell>
          <cell r="C3145" t="str">
            <v>MARRO GRANDE</v>
          </cell>
          <cell r="D3145" t="str">
            <v>TOTE</v>
          </cell>
          <cell r="E3145" t="str">
            <v>TOTE MARGARITA CHICA</v>
          </cell>
          <cell r="F3145" t="str">
            <v>ALGODON 100%</v>
          </cell>
          <cell r="G3145">
            <v>0</v>
          </cell>
          <cell r="H3145" t="str">
            <v>BLANCO</v>
          </cell>
          <cell r="I3145" t="str">
            <v>U</v>
          </cell>
          <cell r="J3145" t="str">
            <v>M</v>
          </cell>
        </row>
        <row r="3146">
          <cell r="B3146" t="str">
            <v>OT020920315</v>
          </cell>
          <cell r="C3146" t="str">
            <v>ACCESORIOS</v>
          </cell>
          <cell r="D3146" t="str">
            <v>PORTAVINO</v>
          </cell>
          <cell r="E3146" t="str">
            <v>PORTAVINO UCO</v>
          </cell>
          <cell r="F3146" t="str">
            <v>BRIDGE</v>
          </cell>
          <cell r="G3146">
            <v>0</v>
          </cell>
          <cell r="H3146" t="str">
            <v>MALBEC</v>
          </cell>
          <cell r="I3146" t="str">
            <v>U</v>
          </cell>
          <cell r="J3146" t="str">
            <v>U</v>
          </cell>
        </row>
        <row r="3147">
          <cell r="B3147" t="str">
            <v>MC020871901</v>
          </cell>
          <cell r="C3147" t="str">
            <v>MARRO CHICA</v>
          </cell>
          <cell r="D3147" t="str">
            <v>TARJETERO</v>
          </cell>
          <cell r="E3147" t="str">
            <v>TARJETERO ARIES BIFAZ</v>
          </cell>
          <cell r="F3147" t="str">
            <v>MODENA</v>
          </cell>
          <cell r="G3147">
            <v>0</v>
          </cell>
          <cell r="H3147" t="str">
            <v>NEGRO/SUELA</v>
          </cell>
          <cell r="I3147" t="str">
            <v>U</v>
          </cell>
          <cell r="J3147" t="str">
            <v>U</v>
          </cell>
        </row>
        <row r="3148">
          <cell r="B3148" t="str">
            <v>MC020871909</v>
          </cell>
          <cell r="C3148" t="str">
            <v>MARRO CHICA</v>
          </cell>
          <cell r="D3148" t="str">
            <v>TARJETERO</v>
          </cell>
          <cell r="E3148" t="str">
            <v>TARJETERO ARIES BIFAZ</v>
          </cell>
          <cell r="F3148" t="str">
            <v>MODENA</v>
          </cell>
          <cell r="G3148">
            <v>0</v>
          </cell>
          <cell r="H3148" t="str">
            <v>AZUL/SUELA</v>
          </cell>
          <cell r="I3148" t="str">
            <v>U</v>
          </cell>
          <cell r="J3148" t="str">
            <v>U</v>
          </cell>
        </row>
        <row r="3149">
          <cell r="B3149" t="str">
            <v>MC020871910</v>
          </cell>
          <cell r="C3149" t="str">
            <v>MARRO CHICA</v>
          </cell>
          <cell r="D3149" t="str">
            <v>TARJETERO</v>
          </cell>
          <cell r="E3149" t="str">
            <v>TARJETERO ARIES BIFAZ</v>
          </cell>
          <cell r="F3149" t="str">
            <v>MODENA</v>
          </cell>
          <cell r="G3149">
            <v>0</v>
          </cell>
          <cell r="H3149" t="str">
            <v>VERDE/SUELA</v>
          </cell>
          <cell r="I3149" t="str">
            <v>U</v>
          </cell>
          <cell r="J3149" t="str">
            <v>U</v>
          </cell>
        </row>
        <row r="3150">
          <cell r="B3150" t="str">
            <v>MC020881901</v>
          </cell>
          <cell r="C3150" t="str">
            <v>MARRO CHICA</v>
          </cell>
          <cell r="D3150" t="str">
            <v>PORTAPASAPORTE</v>
          </cell>
          <cell r="E3150" t="str">
            <v>PORTAPASAPORTE CHESTER BIFAZ</v>
          </cell>
          <cell r="F3150" t="str">
            <v>MODENA</v>
          </cell>
          <cell r="G3150">
            <v>0</v>
          </cell>
          <cell r="H3150" t="str">
            <v>NEGRO/SUELA</v>
          </cell>
          <cell r="I3150" t="str">
            <v>U</v>
          </cell>
          <cell r="J3150" t="str">
            <v>U</v>
          </cell>
        </row>
        <row r="3151">
          <cell r="B3151" t="str">
            <v>MC020881909</v>
          </cell>
          <cell r="C3151" t="str">
            <v>MARRO CHICA</v>
          </cell>
          <cell r="D3151" t="str">
            <v>PORTAPASAPORTE</v>
          </cell>
          <cell r="E3151" t="str">
            <v>PORTAPASAPORTE CHESTER BIFAZ</v>
          </cell>
          <cell r="F3151" t="str">
            <v>MODENA</v>
          </cell>
          <cell r="G3151">
            <v>0</v>
          </cell>
          <cell r="H3151" t="str">
            <v>AZUL/SUELA</v>
          </cell>
          <cell r="I3151" t="str">
            <v>U</v>
          </cell>
          <cell r="J3151" t="str">
            <v>U</v>
          </cell>
        </row>
        <row r="3152">
          <cell r="B3152" t="str">
            <v>MC020881910</v>
          </cell>
          <cell r="C3152" t="str">
            <v>MARRO CHICA</v>
          </cell>
          <cell r="D3152" t="str">
            <v>PORTAPASAPORTE</v>
          </cell>
          <cell r="E3152" t="str">
            <v>PORTAPASAPORTE CHESTER BIFAZ</v>
          </cell>
          <cell r="F3152" t="str">
            <v>MODENA</v>
          </cell>
          <cell r="G3152">
            <v>0</v>
          </cell>
          <cell r="H3152" t="str">
            <v>VERDE/SUELA</v>
          </cell>
          <cell r="I3152" t="str">
            <v>U</v>
          </cell>
          <cell r="J3152" t="str">
            <v>U</v>
          </cell>
        </row>
        <row r="3153">
          <cell r="B3153" t="str">
            <v>OT021220408-09</v>
          </cell>
          <cell r="C3153" t="str">
            <v>ACCESORIOS</v>
          </cell>
          <cell r="D3153" t="str">
            <v>LLAVERO</v>
          </cell>
          <cell r="E3153" t="str">
            <v>TAG CALADO INICIAL (LETRA A)</v>
          </cell>
          <cell r="F3153" t="str">
            <v>VAQUETA</v>
          </cell>
          <cell r="H3153" t="str">
            <v>NATURAL/AZUL</v>
          </cell>
          <cell r="I3153" t="str">
            <v>U</v>
          </cell>
          <cell r="J3153" t="str">
            <v>U</v>
          </cell>
        </row>
        <row r="3154">
          <cell r="B3154" t="str">
            <v>OT021230402-55</v>
          </cell>
          <cell r="C3154" t="str">
            <v>ACCESORIOS</v>
          </cell>
          <cell r="D3154" t="str">
            <v>LLAVERO</v>
          </cell>
          <cell r="E3154" t="str">
            <v>TAG CALADO INICIAL (LETRA D)</v>
          </cell>
          <cell r="F3154" t="str">
            <v>VAQUETA</v>
          </cell>
          <cell r="H3154" t="str">
            <v>SUELA/AVELLANA</v>
          </cell>
          <cell r="I3154" t="str">
            <v>U</v>
          </cell>
          <cell r="J3154" t="str">
            <v>U</v>
          </cell>
        </row>
        <row r="3155">
          <cell r="B3155" t="str">
            <v>OT021240402-10</v>
          </cell>
          <cell r="C3155" t="str">
            <v>ACCESORIOS</v>
          </cell>
          <cell r="D3155" t="str">
            <v>LLAVERO</v>
          </cell>
          <cell r="E3155" t="str">
            <v>TAG CALADO INICIAL (LETRA R)</v>
          </cell>
          <cell r="F3155" t="str">
            <v>VAQUETA</v>
          </cell>
          <cell r="H3155" t="str">
            <v>SUELA/VERDE</v>
          </cell>
          <cell r="I3155" t="str">
            <v>U</v>
          </cell>
          <cell r="J3155" t="str">
            <v>U</v>
          </cell>
        </row>
        <row r="3156">
          <cell r="B3156" t="str">
            <v>OT021250402-09</v>
          </cell>
          <cell r="C3156" t="str">
            <v>ACCESORIOS</v>
          </cell>
          <cell r="D3156" t="str">
            <v>LLAVERO</v>
          </cell>
          <cell r="E3156" t="str">
            <v>TAG CALADO INICIAL (LETRA P)</v>
          </cell>
          <cell r="F3156" t="str">
            <v>VAQUETA</v>
          </cell>
          <cell r="H3156" t="str">
            <v>SUELA/AZUL</v>
          </cell>
          <cell r="I3156" t="str">
            <v>U</v>
          </cell>
          <cell r="J3156" t="str">
            <v>U</v>
          </cell>
        </row>
        <row r="3157">
          <cell r="B3157" t="str">
            <v>MG011311901</v>
          </cell>
          <cell r="C3157" t="str">
            <v>MARRO GRANDE</v>
          </cell>
          <cell r="D3157" t="str">
            <v>CARTERA</v>
          </cell>
          <cell r="E3157" t="str">
            <v>CARTERA AMARILLA SET SOBRE BIFAZ</v>
          </cell>
          <cell r="F3157" t="str">
            <v>MODENA</v>
          </cell>
          <cell r="G3157">
            <v>0</v>
          </cell>
          <cell r="H3157" t="str">
            <v>NEGRO/SUELA</v>
          </cell>
          <cell r="I3157" t="str">
            <v>U</v>
          </cell>
          <cell r="J3157" t="str">
            <v>M</v>
          </cell>
        </row>
        <row r="3158">
          <cell r="B3158" t="str">
            <v>MG011311910</v>
          </cell>
          <cell r="C3158" t="str">
            <v>MARRO GRANDE</v>
          </cell>
          <cell r="D3158" t="str">
            <v>CARTERA</v>
          </cell>
          <cell r="E3158" t="str">
            <v>CARTERA AMARILLA SET SOBRE BIFAZ</v>
          </cell>
          <cell r="F3158" t="str">
            <v>MODENA</v>
          </cell>
          <cell r="G3158">
            <v>0</v>
          </cell>
          <cell r="H3158" t="str">
            <v>VERDE/SUELA</v>
          </cell>
          <cell r="I3158" t="str">
            <v>U</v>
          </cell>
          <cell r="J3158" t="str">
            <v>M</v>
          </cell>
        </row>
        <row r="3159">
          <cell r="B3159" t="str">
            <v>MG011311909</v>
          </cell>
          <cell r="C3159" t="str">
            <v>MARRO GRANDE</v>
          </cell>
          <cell r="D3159" t="str">
            <v>CARTERA</v>
          </cell>
          <cell r="E3159" t="str">
            <v>CARTERA AMARILLA SET SOBRE BIFAZ</v>
          </cell>
          <cell r="F3159" t="str">
            <v>MODENA</v>
          </cell>
          <cell r="G3159">
            <v>0</v>
          </cell>
          <cell r="H3159" t="str">
            <v>AZUL/SUELA</v>
          </cell>
          <cell r="I3159" t="str">
            <v>U</v>
          </cell>
          <cell r="J3159" t="str">
            <v>M</v>
          </cell>
        </row>
        <row r="3160">
          <cell r="B3160" t="str">
            <v>OT020923140</v>
          </cell>
          <cell r="C3160" t="str">
            <v>ACCESORIOS</v>
          </cell>
          <cell r="D3160" t="str">
            <v>PORTAVINO</v>
          </cell>
          <cell r="E3160" t="str">
            <v>PORTAVINO UCO</v>
          </cell>
          <cell r="F3160" t="str">
            <v>PELO</v>
          </cell>
          <cell r="G3160">
            <v>0</v>
          </cell>
          <cell r="H3160" t="str">
            <v>HOLANDO</v>
          </cell>
          <cell r="I3160" t="str">
            <v>U</v>
          </cell>
          <cell r="J3160" t="str">
            <v>U</v>
          </cell>
        </row>
        <row r="3161">
          <cell r="B3161" t="str">
            <v>OT020923139</v>
          </cell>
          <cell r="C3161" t="str">
            <v>ACCESORIOS</v>
          </cell>
          <cell r="D3161" t="str">
            <v>PORTAVINO</v>
          </cell>
          <cell r="E3161" t="str">
            <v>PORTAVINO UCO</v>
          </cell>
          <cell r="F3161" t="str">
            <v>PELO</v>
          </cell>
          <cell r="G3161">
            <v>0</v>
          </cell>
          <cell r="H3161" t="str">
            <v>HEREFORD</v>
          </cell>
          <cell r="I3161" t="str">
            <v>U</v>
          </cell>
          <cell r="J3161" t="str">
            <v>U</v>
          </cell>
        </row>
        <row r="3162">
          <cell r="B3162" t="str">
            <v>OT020923148</v>
          </cell>
          <cell r="C3162" t="str">
            <v>ACCESORIOS</v>
          </cell>
          <cell r="D3162" t="str">
            <v>PORTAVINO</v>
          </cell>
          <cell r="E3162" t="str">
            <v>PORTAVINO UCO</v>
          </cell>
          <cell r="F3162" t="str">
            <v>PELO</v>
          </cell>
          <cell r="G3162">
            <v>0</v>
          </cell>
          <cell r="H3162" t="str">
            <v>MARRON ROJIZO</v>
          </cell>
          <cell r="I3162" t="str">
            <v>U</v>
          </cell>
          <cell r="J3162" t="str">
            <v>U</v>
          </cell>
        </row>
        <row r="3163">
          <cell r="B3163" t="str">
            <v>OT010903140</v>
          </cell>
          <cell r="C3163" t="str">
            <v>ACCESORIOS</v>
          </cell>
          <cell r="D3163" t="str">
            <v>PORTAVINO</v>
          </cell>
          <cell r="E3163" t="str">
            <v>PORTAVINO TANDIL</v>
          </cell>
          <cell r="F3163" t="str">
            <v>PELO</v>
          </cell>
          <cell r="G3163">
            <v>0</v>
          </cell>
          <cell r="H3163" t="str">
            <v>HOLANDO</v>
          </cell>
          <cell r="I3163" t="str">
            <v>U</v>
          </cell>
          <cell r="J3163" t="str">
            <v>U</v>
          </cell>
        </row>
        <row r="3164">
          <cell r="B3164" t="str">
            <v>OT010903139</v>
          </cell>
          <cell r="C3164" t="str">
            <v>ACCESORIOS</v>
          </cell>
          <cell r="D3164" t="str">
            <v>PORTAVINO</v>
          </cell>
          <cell r="E3164" t="str">
            <v>PORTAVINO TANDIL</v>
          </cell>
          <cell r="F3164" t="str">
            <v>PELO</v>
          </cell>
          <cell r="G3164">
            <v>0</v>
          </cell>
          <cell r="H3164" t="str">
            <v>HEREFORD</v>
          </cell>
          <cell r="I3164" t="str">
            <v>U</v>
          </cell>
          <cell r="J3164" t="str">
            <v>U</v>
          </cell>
        </row>
        <row r="3165">
          <cell r="B3165" t="str">
            <v>OT010903148</v>
          </cell>
          <cell r="C3165" t="str">
            <v>ACCESORIOS</v>
          </cell>
          <cell r="D3165" t="str">
            <v>PORTAVINO</v>
          </cell>
          <cell r="E3165" t="str">
            <v>PORTAVINO TANDIL</v>
          </cell>
          <cell r="F3165" t="str">
            <v>PELO</v>
          </cell>
          <cell r="G3165">
            <v>0</v>
          </cell>
          <cell r="H3165" t="str">
            <v>ROJIZO</v>
          </cell>
          <cell r="I3165" t="str">
            <v>U</v>
          </cell>
          <cell r="J3165" t="str">
            <v>U</v>
          </cell>
        </row>
        <row r="3166">
          <cell r="B3166" t="str">
            <v>OT021260000</v>
          </cell>
          <cell r="C3166" t="str">
            <v>OTROS</v>
          </cell>
          <cell r="D3166" t="str">
            <v>OTROS</v>
          </cell>
          <cell r="E3166" t="str">
            <v>BOLSAS CALZADO</v>
          </cell>
          <cell r="F3166" t="str">
            <v>LIENZO</v>
          </cell>
          <cell r="G3166">
            <v>0</v>
          </cell>
          <cell r="H3166" t="str">
            <v>CRUDO</v>
          </cell>
          <cell r="I3166" t="str">
            <v>U</v>
          </cell>
          <cell r="J3166" t="str">
            <v>U</v>
          </cell>
        </row>
        <row r="3167">
          <cell r="B3167" t="str">
            <v>MC020823140</v>
          </cell>
          <cell r="C3167" t="str">
            <v>DECO</v>
          </cell>
          <cell r="D3167" t="str">
            <v>POSAVASO</v>
          </cell>
          <cell r="E3167" t="str">
            <v>SET POSAVASOS CIRCULAR X4</v>
          </cell>
          <cell r="F3167" t="str">
            <v>PELO</v>
          </cell>
          <cell r="G3167">
            <v>0</v>
          </cell>
          <cell r="H3167" t="str">
            <v>HOLANDO</v>
          </cell>
          <cell r="I3167" t="str">
            <v>U</v>
          </cell>
          <cell r="J3167" t="str">
            <v>U</v>
          </cell>
        </row>
        <row r="3168">
          <cell r="B3168" t="str">
            <v>MC020823139</v>
          </cell>
          <cell r="C3168" t="str">
            <v>DECO</v>
          </cell>
          <cell r="D3168" t="str">
            <v>POSAVASO</v>
          </cell>
          <cell r="E3168" t="str">
            <v>SET POSAVASOS CIRCULAR X4</v>
          </cell>
          <cell r="F3168" t="str">
            <v>PELO</v>
          </cell>
          <cell r="G3168">
            <v>0</v>
          </cell>
          <cell r="H3168" t="str">
            <v>HEREFORD</v>
          </cell>
          <cell r="I3168" t="str">
            <v>U</v>
          </cell>
          <cell r="J3168" t="str">
            <v>U</v>
          </cell>
        </row>
        <row r="3169">
          <cell r="B3169" t="str">
            <v>MC020823148</v>
          </cell>
          <cell r="C3169" t="str">
            <v>DECO</v>
          </cell>
          <cell r="D3169" t="str">
            <v>POSAVASO</v>
          </cell>
          <cell r="E3169" t="str">
            <v>SET POSAVASOS CIRCULAR X4</v>
          </cell>
          <cell r="F3169" t="str">
            <v>PELO</v>
          </cell>
          <cell r="G3169">
            <v>0</v>
          </cell>
          <cell r="H3169" t="str">
            <v>MARRON ROJIZO</v>
          </cell>
          <cell r="I3169" t="str">
            <v>U</v>
          </cell>
          <cell r="J3169" t="str">
            <v>U</v>
          </cell>
        </row>
        <row r="3170">
          <cell r="B3170" t="str">
            <v>MC020823111</v>
          </cell>
          <cell r="C3170" t="str">
            <v>DECO</v>
          </cell>
          <cell r="D3170" t="str">
            <v>POSAVASO</v>
          </cell>
          <cell r="E3170" t="str">
            <v>SET POSAVASOS CIRCULAR X4</v>
          </cell>
          <cell r="F3170" t="str">
            <v>PELO</v>
          </cell>
          <cell r="G3170">
            <v>0</v>
          </cell>
          <cell r="H3170" t="str">
            <v>BEIGE</v>
          </cell>
          <cell r="I3170" t="str">
            <v>U</v>
          </cell>
          <cell r="J3170" t="str">
            <v>U</v>
          </cell>
        </row>
        <row r="3171">
          <cell r="B3171" t="str">
            <v>MC020813140</v>
          </cell>
          <cell r="C3171" t="str">
            <v>DECO</v>
          </cell>
          <cell r="D3171" t="str">
            <v>POSAVASO</v>
          </cell>
          <cell r="E3171" t="str">
            <v>SET POSAVASOS CUADRADO X4</v>
          </cell>
          <cell r="F3171" t="str">
            <v>PELO</v>
          </cell>
          <cell r="G3171">
            <v>0</v>
          </cell>
          <cell r="H3171" t="str">
            <v>HOLANDO</v>
          </cell>
          <cell r="I3171" t="str">
            <v>U</v>
          </cell>
          <cell r="J3171" t="str">
            <v>U</v>
          </cell>
        </row>
        <row r="3172">
          <cell r="B3172" t="str">
            <v>MC020813139</v>
          </cell>
          <cell r="C3172" t="str">
            <v>DECO</v>
          </cell>
          <cell r="D3172" t="str">
            <v>POSAVASO</v>
          </cell>
          <cell r="E3172" t="str">
            <v>SET POSAVASOS CUADRADO X4</v>
          </cell>
          <cell r="F3172" t="str">
            <v>PELO</v>
          </cell>
          <cell r="G3172">
            <v>0</v>
          </cell>
          <cell r="H3172" t="str">
            <v>HEREFORD</v>
          </cell>
          <cell r="I3172" t="str">
            <v>U</v>
          </cell>
          <cell r="J3172" t="str">
            <v>U</v>
          </cell>
        </row>
        <row r="3173">
          <cell r="B3173" t="str">
            <v>MC020813148</v>
          </cell>
          <cell r="C3173" t="str">
            <v>DECO</v>
          </cell>
          <cell r="D3173" t="str">
            <v>POSAVASO</v>
          </cell>
          <cell r="E3173" t="str">
            <v>SET POSAVASOS CUADRADO X4</v>
          </cell>
          <cell r="F3173" t="str">
            <v>PELO</v>
          </cell>
          <cell r="G3173">
            <v>0</v>
          </cell>
          <cell r="H3173" t="str">
            <v>MARRON ROJIZO</v>
          </cell>
          <cell r="I3173" t="str">
            <v>U</v>
          </cell>
          <cell r="J3173" t="str">
            <v>U</v>
          </cell>
        </row>
        <row r="3174">
          <cell r="B3174" t="str">
            <v>MC020813111</v>
          </cell>
          <cell r="C3174" t="str">
            <v>DECO</v>
          </cell>
          <cell r="D3174" t="str">
            <v>POSAVASO</v>
          </cell>
          <cell r="E3174" t="str">
            <v>SET POSAVASOS CUADRADO X4</v>
          </cell>
          <cell r="F3174" t="str">
            <v>PELO</v>
          </cell>
          <cell r="G3174">
            <v>0</v>
          </cell>
          <cell r="H3174" t="str">
            <v>BEIGE</v>
          </cell>
          <cell r="I3174" t="str">
            <v>U</v>
          </cell>
          <cell r="J3174" t="str">
            <v>U</v>
          </cell>
        </row>
        <row r="3175">
          <cell r="B3175" t="str">
            <v>MG011321201</v>
          </cell>
          <cell r="C3175" t="str">
            <v>MARRO GRANDE</v>
          </cell>
          <cell r="D3175" t="str">
            <v>TOTE</v>
          </cell>
          <cell r="E3175" t="str">
            <v>TOTE CACHI</v>
          </cell>
          <cell r="F3175" t="str">
            <v>DUNA</v>
          </cell>
          <cell r="G3175">
            <v>0</v>
          </cell>
          <cell r="H3175" t="str">
            <v>NEGRO</v>
          </cell>
          <cell r="I3175" t="str">
            <v>U</v>
          </cell>
          <cell r="J3175" t="str">
            <v>M</v>
          </cell>
        </row>
        <row r="3176">
          <cell r="B3176" t="str">
            <v>MG011320102</v>
          </cell>
          <cell r="C3176" t="str">
            <v>MARRO GRANDE</v>
          </cell>
          <cell r="D3176" t="str">
            <v>TOTE</v>
          </cell>
          <cell r="E3176" t="str">
            <v>TOTE CACHI</v>
          </cell>
          <cell r="F3176" t="str">
            <v>NAPADO</v>
          </cell>
          <cell r="G3176">
            <v>0</v>
          </cell>
          <cell r="H3176" t="str">
            <v>SUELA</v>
          </cell>
          <cell r="I3176" t="str">
            <v>U</v>
          </cell>
          <cell r="J3176" t="str">
            <v>M</v>
          </cell>
        </row>
        <row r="3177">
          <cell r="B3177" t="str">
            <v>MG011320115</v>
          </cell>
          <cell r="C3177" t="str">
            <v>MARRO GRANDE</v>
          </cell>
          <cell r="D3177" t="str">
            <v>TOTE</v>
          </cell>
          <cell r="E3177" t="str">
            <v>TOTE CACHI</v>
          </cell>
          <cell r="F3177" t="str">
            <v>NAPADO</v>
          </cell>
          <cell r="G3177">
            <v>0</v>
          </cell>
          <cell r="H3177" t="str">
            <v>MALBEC</v>
          </cell>
          <cell r="I3177" t="str">
            <v>U</v>
          </cell>
          <cell r="J3177" t="str">
            <v>M</v>
          </cell>
        </row>
        <row r="3178">
          <cell r="B3178" t="str">
            <v>MG011320103</v>
          </cell>
          <cell r="C3178" t="str">
            <v>MARRO GRANDE</v>
          </cell>
          <cell r="D3178" t="str">
            <v>TOTE</v>
          </cell>
          <cell r="E3178" t="str">
            <v>TOTE CACHI</v>
          </cell>
          <cell r="F3178" t="str">
            <v>NAPADO</v>
          </cell>
          <cell r="G3178">
            <v>0</v>
          </cell>
          <cell r="H3178" t="str">
            <v>CARAMELO</v>
          </cell>
          <cell r="I3178" t="str">
            <v>U</v>
          </cell>
          <cell r="J3178" t="str">
            <v>M</v>
          </cell>
        </row>
        <row r="3179">
          <cell r="B3179" t="str">
            <v>MG011320558</v>
          </cell>
          <cell r="C3179" t="str">
            <v>MARRO GRANDE</v>
          </cell>
          <cell r="D3179" t="str">
            <v>TOTE</v>
          </cell>
          <cell r="E3179" t="str">
            <v>TOTE CACHI</v>
          </cell>
          <cell r="F3179" t="str">
            <v>GAMUZA</v>
          </cell>
          <cell r="G3179">
            <v>0</v>
          </cell>
          <cell r="H3179" t="str">
            <v>CAFE</v>
          </cell>
          <cell r="I3179" t="str">
            <v>U</v>
          </cell>
          <cell r="J3179" t="str">
            <v>M</v>
          </cell>
        </row>
        <row r="3180">
          <cell r="B3180" t="str">
            <v>MG011320516</v>
          </cell>
          <cell r="C3180" t="str">
            <v>MARRO GRANDE</v>
          </cell>
          <cell r="D3180" t="str">
            <v>TOTE</v>
          </cell>
          <cell r="E3180" t="str">
            <v>TOTE CACHI</v>
          </cell>
          <cell r="F3180" t="str">
            <v>GAMUZA</v>
          </cell>
          <cell r="G3180">
            <v>0</v>
          </cell>
          <cell r="H3180" t="str">
            <v>OLIVE</v>
          </cell>
          <cell r="I3180" t="str">
            <v>U</v>
          </cell>
          <cell r="J3180" t="str">
            <v>M</v>
          </cell>
        </row>
        <row r="3181">
          <cell r="B3181" t="str">
            <v>MC020751909</v>
          </cell>
          <cell r="C3181" t="str">
            <v>MARRO CHICA</v>
          </cell>
          <cell r="D3181" t="str">
            <v>NECESSAIRE</v>
          </cell>
          <cell r="E3181" t="str">
            <v>PORTA HIGIENE</v>
          </cell>
          <cell r="F3181" t="str">
            <v>MODENA</v>
          </cell>
          <cell r="G3181">
            <v>0</v>
          </cell>
          <cell r="H3181" t="str">
            <v>AZUL</v>
          </cell>
          <cell r="I3181" t="str">
            <v>U</v>
          </cell>
          <cell r="J3181" t="str">
            <v>U</v>
          </cell>
        </row>
        <row r="3182">
          <cell r="B3182" t="str">
            <v>MC020751910</v>
          </cell>
          <cell r="C3182" t="str">
            <v>MARRO CHICA</v>
          </cell>
          <cell r="D3182" t="str">
            <v>NECESSAIRE</v>
          </cell>
          <cell r="E3182" t="str">
            <v>PORTA HIGIENE</v>
          </cell>
          <cell r="F3182" t="str">
            <v>MODENA</v>
          </cell>
          <cell r="G3182">
            <v>0</v>
          </cell>
          <cell r="H3182" t="str">
            <v>VERDE</v>
          </cell>
          <cell r="I3182" t="str">
            <v>U</v>
          </cell>
          <cell r="J3182" t="str">
            <v>U</v>
          </cell>
        </row>
        <row r="3183">
          <cell r="B3183" t="str">
            <v>MG011063140</v>
          </cell>
          <cell r="C3183" t="str">
            <v>MARRO GRANDE</v>
          </cell>
          <cell r="D3183" t="str">
            <v>BANDOLERA</v>
          </cell>
          <cell r="E3183" t="str">
            <v>BANDOLERA CARLA</v>
          </cell>
          <cell r="F3183" t="str">
            <v>PELO</v>
          </cell>
          <cell r="G3183">
            <v>0</v>
          </cell>
          <cell r="H3183" t="str">
            <v>HOLANDO</v>
          </cell>
          <cell r="I3183" t="str">
            <v>U</v>
          </cell>
          <cell r="J3183" t="str">
            <v>M</v>
          </cell>
        </row>
        <row r="3184">
          <cell r="B3184" t="str">
            <v>MG011063139</v>
          </cell>
          <cell r="C3184" t="str">
            <v>MARRO GRANDE</v>
          </cell>
          <cell r="D3184" t="str">
            <v>BANDOLERA</v>
          </cell>
          <cell r="E3184" t="str">
            <v>BANDOLERA CARLA</v>
          </cell>
          <cell r="F3184" t="str">
            <v>PELO</v>
          </cell>
          <cell r="G3184">
            <v>0</v>
          </cell>
          <cell r="H3184" t="str">
            <v>HEREFORD</v>
          </cell>
          <cell r="I3184" t="str">
            <v>U</v>
          </cell>
          <cell r="J3184" t="str">
            <v>M</v>
          </cell>
        </row>
        <row r="3185">
          <cell r="B3185" t="str">
            <v>MC020173140</v>
          </cell>
          <cell r="C3185" t="str">
            <v>MARRO CHICA</v>
          </cell>
          <cell r="D3185" t="str">
            <v>PORTALENTES</v>
          </cell>
          <cell r="E3185" t="str">
            <v>PORTALENTES LUZ</v>
          </cell>
          <cell r="F3185" t="str">
            <v>PELO</v>
          </cell>
          <cell r="G3185">
            <v>0</v>
          </cell>
          <cell r="H3185" t="str">
            <v>HOLANDO</v>
          </cell>
          <cell r="I3185" t="str">
            <v>U</v>
          </cell>
          <cell r="J3185" t="str">
            <v>U</v>
          </cell>
        </row>
        <row r="3186">
          <cell r="B3186" t="str">
            <v>MC020173139</v>
          </cell>
          <cell r="C3186" t="str">
            <v>MARRO CHICA</v>
          </cell>
          <cell r="D3186" t="str">
            <v>PORTALENTES</v>
          </cell>
          <cell r="E3186" t="str">
            <v>PORTALENTES LUZ</v>
          </cell>
          <cell r="F3186" t="str">
            <v>PELO</v>
          </cell>
          <cell r="G3186">
            <v>0</v>
          </cell>
          <cell r="H3186" t="str">
            <v>HEREFORD</v>
          </cell>
          <cell r="I3186" t="str">
            <v>U</v>
          </cell>
          <cell r="J3186" t="str">
            <v>U</v>
          </cell>
        </row>
        <row r="3187">
          <cell r="B3187" t="str">
            <v>OT020830303-16</v>
          </cell>
          <cell r="C3187" t="str">
            <v>ACCESORIOS</v>
          </cell>
          <cell r="D3187" t="str">
            <v>LLAVERO</v>
          </cell>
          <cell r="E3187" t="str">
            <v>LLAVERO ABC (LETRA C)</v>
          </cell>
          <cell r="F3187" t="str">
            <v>BRIDGE/GAMUZA</v>
          </cell>
          <cell r="G3187">
            <v>0</v>
          </cell>
          <cell r="H3187" t="str">
            <v>CARAMELO/OLIVE</v>
          </cell>
          <cell r="I3187" t="str">
            <v>U</v>
          </cell>
          <cell r="J3187" t="str">
            <v>U</v>
          </cell>
        </row>
        <row r="3188">
          <cell r="B3188" t="str">
            <v>MG011333140</v>
          </cell>
          <cell r="C3188" t="str">
            <v>MARRO GRANDE</v>
          </cell>
          <cell r="D3188" t="str">
            <v>CARTERA</v>
          </cell>
          <cell r="E3188" t="str">
            <v>CARTERA INÉS</v>
          </cell>
          <cell r="F3188" t="str">
            <v>PELO</v>
          </cell>
          <cell r="G3188">
            <v>0</v>
          </cell>
          <cell r="H3188" t="str">
            <v>HOLANDO</v>
          </cell>
          <cell r="I3188" t="str">
            <v>U</v>
          </cell>
          <cell r="J3188" t="str">
            <v>M</v>
          </cell>
        </row>
        <row r="3189">
          <cell r="B3189" t="str">
            <v>MG011333139</v>
          </cell>
          <cell r="C3189" t="str">
            <v>MARRO GRANDE</v>
          </cell>
          <cell r="D3189" t="str">
            <v>CARTERA</v>
          </cell>
          <cell r="E3189" t="str">
            <v>CARTERA INÉS</v>
          </cell>
          <cell r="F3189" t="str">
            <v>PELO</v>
          </cell>
          <cell r="G3189">
            <v>0</v>
          </cell>
          <cell r="H3189" t="str">
            <v>HEREFORD</v>
          </cell>
          <cell r="I3189" t="str">
            <v>U</v>
          </cell>
          <cell r="J3189" t="str">
            <v>M</v>
          </cell>
        </row>
        <row r="3190">
          <cell r="B3190" t="str">
            <v>MG011343140</v>
          </cell>
          <cell r="C3190" t="str">
            <v>MARRO GRANDE</v>
          </cell>
          <cell r="D3190" t="str">
            <v>BANDOLERA</v>
          </cell>
          <cell r="E3190" t="str">
            <v>BANDOLERA MATILDA</v>
          </cell>
          <cell r="F3190" t="str">
            <v>PELO</v>
          </cell>
          <cell r="G3190">
            <v>0</v>
          </cell>
          <cell r="H3190" t="str">
            <v>HOLANDO</v>
          </cell>
          <cell r="I3190" t="str">
            <v>U</v>
          </cell>
          <cell r="J3190" t="str">
            <v>M</v>
          </cell>
        </row>
        <row r="3191">
          <cell r="B3191" t="str">
            <v>MG011343139</v>
          </cell>
          <cell r="C3191" t="str">
            <v>MARRO GRANDE</v>
          </cell>
          <cell r="D3191" t="str">
            <v>BANDOLERA</v>
          </cell>
          <cell r="E3191" t="str">
            <v xml:space="preserve">BANDOLERA MATILDA </v>
          </cell>
          <cell r="F3191" t="str">
            <v>PELO</v>
          </cell>
          <cell r="G3191">
            <v>0</v>
          </cell>
          <cell r="H3191" t="str">
            <v>HEREFORD</v>
          </cell>
          <cell r="I3191" t="str">
            <v>U</v>
          </cell>
          <cell r="J3191" t="str">
            <v>M</v>
          </cell>
        </row>
        <row r="3192">
          <cell r="B3192" t="str">
            <v>MG011350304</v>
          </cell>
          <cell r="C3192" t="str">
            <v>MARRO GRANDE</v>
          </cell>
          <cell r="D3192" t="str">
            <v>BOLSO</v>
          </cell>
          <cell r="E3192" t="str">
            <v>BOLSO ROQUE</v>
          </cell>
          <cell r="F3192" t="str">
            <v>BRIDGE</v>
          </cell>
          <cell r="G3192" t="str">
            <v>BRIDGE</v>
          </cell>
          <cell r="H3192" t="str">
            <v>TABACO</v>
          </cell>
          <cell r="I3192" t="str">
            <v>U</v>
          </cell>
          <cell r="J3192" t="str">
            <v>H</v>
          </cell>
        </row>
        <row r="3193">
          <cell r="B3193" t="str">
            <v>MG011350301</v>
          </cell>
          <cell r="C3193" t="str">
            <v>MARRO GRANDE</v>
          </cell>
          <cell r="D3193" t="str">
            <v>BOLSO</v>
          </cell>
          <cell r="E3193" t="str">
            <v>BOLSO ROQUE</v>
          </cell>
          <cell r="F3193" t="str">
            <v>BRIDGE</v>
          </cell>
          <cell r="G3193" t="str">
            <v>BRIDGE</v>
          </cell>
          <cell r="H3193" t="str">
            <v>NEGRO</v>
          </cell>
          <cell r="I3193" t="str">
            <v>U</v>
          </cell>
          <cell r="J3193" t="str">
            <v>H</v>
          </cell>
        </row>
        <row r="3194">
          <cell r="B3194" t="str">
            <v>OT020080004</v>
          </cell>
          <cell r="C3194" t="str">
            <v>ACCESORIOS</v>
          </cell>
          <cell r="D3194" t="str">
            <v>LLAVERO</v>
          </cell>
          <cell r="E3194" t="str">
            <v>LLAVERO COMBINADO</v>
          </cell>
          <cell r="F3194" t="str">
            <v>BRIDGE</v>
          </cell>
          <cell r="G3194">
            <v>0</v>
          </cell>
          <cell r="H3194" t="str">
            <v>TABACO</v>
          </cell>
          <cell r="I3194" t="str">
            <v>U</v>
          </cell>
          <cell r="J3194" t="str">
            <v>U</v>
          </cell>
        </row>
        <row r="3195">
          <cell r="B3195" t="str">
            <v>OT020080003</v>
          </cell>
          <cell r="C3195" t="str">
            <v>ACCESORIOS</v>
          </cell>
          <cell r="D3195" t="str">
            <v>LLAVERO</v>
          </cell>
          <cell r="E3195" t="str">
            <v>LLAVERO COMBINADO</v>
          </cell>
          <cell r="F3195" t="str">
            <v>BRIDGE</v>
          </cell>
          <cell r="G3195">
            <v>0</v>
          </cell>
          <cell r="H3195" t="str">
            <v>CARAMELO</v>
          </cell>
          <cell r="I3195" t="str">
            <v>U</v>
          </cell>
          <cell r="J3195" t="str">
            <v>U</v>
          </cell>
        </row>
        <row r="3196">
          <cell r="B3196" t="str">
            <v>MG011130101</v>
          </cell>
          <cell r="C3196" t="str">
            <v>MARRO GRANDE</v>
          </cell>
          <cell r="D3196" t="str">
            <v>CARTERA</v>
          </cell>
          <cell r="E3196" t="str">
            <v>CARTERA EMILIA</v>
          </cell>
          <cell r="F3196" t="str">
            <v>NAPADO</v>
          </cell>
          <cell r="G3196">
            <v>0</v>
          </cell>
          <cell r="H3196" t="str">
            <v>NEGRO</v>
          </cell>
          <cell r="I3196" t="str">
            <v>U</v>
          </cell>
          <cell r="J3196" t="str">
            <v>M</v>
          </cell>
        </row>
        <row r="3197">
          <cell r="B3197" t="str">
            <v>MG011323140</v>
          </cell>
          <cell r="C3197" t="str">
            <v>MARRO GRANDE</v>
          </cell>
          <cell r="D3197" t="str">
            <v>TOTE</v>
          </cell>
          <cell r="E3197" t="str">
            <v>TOTE CACHI</v>
          </cell>
          <cell r="F3197" t="str">
            <v>PELO</v>
          </cell>
          <cell r="G3197">
            <v>0</v>
          </cell>
          <cell r="H3197" t="str">
            <v>HOLANDO</v>
          </cell>
          <cell r="I3197" t="str">
            <v>U</v>
          </cell>
          <cell r="J3197" t="str">
            <v>M</v>
          </cell>
        </row>
        <row r="3198">
          <cell r="B3198" t="str">
            <v>MG011323139</v>
          </cell>
          <cell r="C3198" t="str">
            <v>MARRO GRANDE</v>
          </cell>
          <cell r="D3198" t="str">
            <v>TOTE</v>
          </cell>
          <cell r="E3198" t="str">
            <v>TOTE CACHI</v>
          </cell>
          <cell r="F3198" t="str">
            <v>PELO</v>
          </cell>
          <cell r="G3198">
            <v>0</v>
          </cell>
          <cell r="H3198" t="str">
            <v>HEREFORD</v>
          </cell>
          <cell r="I3198" t="str">
            <v>U</v>
          </cell>
          <cell r="J3198" t="str">
            <v>M</v>
          </cell>
        </row>
        <row r="3199">
          <cell r="B3199" t="str">
            <v>OT021283140</v>
          </cell>
          <cell r="C3199" t="str">
            <v>DECO</v>
          </cell>
          <cell r="D3199" t="str">
            <v>BANDEJA</v>
          </cell>
          <cell r="E3199" t="str">
            <v>BANDEJA CHICA</v>
          </cell>
          <cell r="F3199" t="str">
            <v>PELO</v>
          </cell>
          <cell r="G3199">
            <v>0</v>
          </cell>
          <cell r="H3199" t="str">
            <v>HOLANDO</v>
          </cell>
          <cell r="I3199" t="str">
            <v>U</v>
          </cell>
          <cell r="J3199" t="str">
            <v>U</v>
          </cell>
        </row>
        <row r="3200">
          <cell r="B3200" t="str">
            <v>OT021283139</v>
          </cell>
          <cell r="C3200" t="str">
            <v>DECO</v>
          </cell>
          <cell r="D3200" t="str">
            <v>BANDEJA</v>
          </cell>
          <cell r="E3200" t="str">
            <v>BANDEJA CHICA</v>
          </cell>
          <cell r="F3200" t="str">
            <v>PELO</v>
          </cell>
          <cell r="G3200">
            <v>0</v>
          </cell>
          <cell r="H3200" t="str">
            <v>HEREFORD</v>
          </cell>
          <cell r="I3200" t="str">
            <v>U</v>
          </cell>
          <cell r="J3200" t="str">
            <v>U</v>
          </cell>
        </row>
        <row r="3201">
          <cell r="B3201" t="str">
            <v>MG011330301</v>
          </cell>
          <cell r="C3201" t="str">
            <v>MARRO GRANDE</v>
          </cell>
          <cell r="D3201" t="str">
            <v>CARTERA</v>
          </cell>
          <cell r="E3201" t="str">
            <v>CARTERA INÉS</v>
          </cell>
          <cell r="F3201" t="str">
            <v>BRIDGE</v>
          </cell>
          <cell r="G3201">
            <v>0</v>
          </cell>
          <cell r="H3201" t="str">
            <v>NEGRO</v>
          </cell>
          <cell r="I3201" t="str">
            <v>U</v>
          </cell>
          <cell r="J3201" t="str">
            <v>M</v>
          </cell>
        </row>
        <row r="3202">
          <cell r="B3202" t="str">
            <v>MG011330303</v>
          </cell>
          <cell r="C3202" t="str">
            <v>MARRO GRANDE</v>
          </cell>
          <cell r="D3202" t="str">
            <v>CARTERA</v>
          </cell>
          <cell r="E3202" t="str">
            <v>CARTERA INÉS</v>
          </cell>
          <cell r="F3202" t="str">
            <v>BRIDGE</v>
          </cell>
          <cell r="G3202">
            <v>0</v>
          </cell>
          <cell r="H3202" t="str">
            <v>CARAMELO</v>
          </cell>
          <cell r="I3202" t="str">
            <v>U</v>
          </cell>
          <cell r="J3202" t="str">
            <v>M</v>
          </cell>
        </row>
        <row r="3203">
          <cell r="B3203" t="str">
            <v>MG011330315</v>
          </cell>
          <cell r="C3203" t="str">
            <v>MARRO GRANDE</v>
          </cell>
          <cell r="D3203" t="str">
            <v>CARTERA</v>
          </cell>
          <cell r="E3203" t="str">
            <v>CARTERA INÉS</v>
          </cell>
          <cell r="F3203" t="str">
            <v>BRIDGE</v>
          </cell>
          <cell r="G3203">
            <v>0</v>
          </cell>
          <cell r="H3203" t="str">
            <v>MALBEC</v>
          </cell>
          <cell r="I3203" t="str">
            <v>U</v>
          </cell>
          <cell r="J3203" t="str">
            <v>M</v>
          </cell>
        </row>
        <row r="3204">
          <cell r="B3204" t="str">
            <v>OT021293148-S-M</v>
          </cell>
          <cell r="C3204" t="str">
            <v>CINTURON</v>
          </cell>
          <cell r="D3204" t="str">
            <v>CINTURON</v>
          </cell>
          <cell r="E3204" t="str">
            <v>CINTURON RUS</v>
          </cell>
          <cell r="F3204" t="str">
            <v>PELO</v>
          </cell>
          <cell r="G3204">
            <v>0</v>
          </cell>
          <cell r="H3204" t="str">
            <v>MARRON ROJIZO</v>
          </cell>
          <cell r="I3204" t="str">
            <v>S-M</v>
          </cell>
          <cell r="J3204">
            <v>0</v>
          </cell>
        </row>
        <row r="3205">
          <cell r="B3205" t="str">
            <v>OT021293148-M-L</v>
          </cell>
          <cell r="C3205" t="str">
            <v>CINTURON</v>
          </cell>
          <cell r="D3205" t="str">
            <v>CINTURON</v>
          </cell>
          <cell r="E3205" t="str">
            <v>CINTURON RUS</v>
          </cell>
          <cell r="F3205" t="str">
            <v>PELO</v>
          </cell>
          <cell r="G3205">
            <v>0</v>
          </cell>
          <cell r="H3205" t="str">
            <v>MARRON ROJIZO</v>
          </cell>
          <cell r="I3205" t="str">
            <v>M-L</v>
          </cell>
          <cell r="J3205">
            <v>0</v>
          </cell>
        </row>
        <row r="3206">
          <cell r="B3206" t="str">
            <v>OT021293111-S-M</v>
          </cell>
          <cell r="C3206" t="str">
            <v>CINTURON</v>
          </cell>
          <cell r="D3206" t="str">
            <v>CINTURON</v>
          </cell>
          <cell r="E3206" t="str">
            <v>CINTURON RUS</v>
          </cell>
          <cell r="F3206" t="str">
            <v>PELO</v>
          </cell>
          <cell r="G3206">
            <v>0</v>
          </cell>
          <cell r="H3206" t="str">
            <v>BEIGE</v>
          </cell>
          <cell r="I3206" t="str">
            <v>S-M</v>
          </cell>
          <cell r="J3206">
            <v>0</v>
          </cell>
        </row>
        <row r="3207">
          <cell r="B3207" t="str">
            <v>OT021293111-M-L</v>
          </cell>
          <cell r="C3207" t="str">
            <v>CINTURON</v>
          </cell>
          <cell r="D3207" t="str">
            <v>CINTURON</v>
          </cell>
          <cell r="E3207" t="str">
            <v>CINTURON RUS</v>
          </cell>
          <cell r="F3207" t="str">
            <v>PELO</v>
          </cell>
          <cell r="G3207">
            <v>0</v>
          </cell>
          <cell r="H3207" t="str">
            <v>BEIGE</v>
          </cell>
          <cell r="I3207" t="str">
            <v>M-L</v>
          </cell>
          <cell r="J3207">
            <v>0</v>
          </cell>
        </row>
        <row r="3208">
          <cell r="B3208" t="str">
            <v>MC020790303</v>
          </cell>
          <cell r="C3208" t="str">
            <v>MARRO CHICA</v>
          </cell>
          <cell r="D3208" t="str">
            <v>MONEDERO</v>
          </cell>
          <cell r="E3208" t="str">
            <v>MONEDERO LUISA</v>
          </cell>
          <cell r="F3208" t="str">
            <v>BRIDGE</v>
          </cell>
          <cell r="G3208">
            <v>0</v>
          </cell>
          <cell r="H3208" t="str">
            <v>CARAMELO</v>
          </cell>
          <cell r="I3208" t="str">
            <v>U</v>
          </cell>
          <cell r="J3208" t="str">
            <v>M</v>
          </cell>
        </row>
        <row r="3209">
          <cell r="B3209" t="str">
            <v>OT021300101</v>
          </cell>
          <cell r="C3209" t="str">
            <v>CINTURON</v>
          </cell>
          <cell r="D3209" t="str">
            <v>CINTURON</v>
          </cell>
          <cell r="E3209" t="str">
            <v>CINTURON PAO</v>
          </cell>
          <cell r="F3209" t="str">
            <v>CUERO</v>
          </cell>
          <cell r="G3209" t="str">
            <v>NEGRO</v>
          </cell>
          <cell r="H3209" t="str">
            <v>NEGRO</v>
          </cell>
          <cell r="I3209" t="str">
            <v>U</v>
          </cell>
          <cell r="J3209">
            <v>0</v>
          </cell>
        </row>
        <row r="3210">
          <cell r="B3210" t="str">
            <v>OT021310101</v>
          </cell>
          <cell r="C3210" t="str">
            <v>CINTURON</v>
          </cell>
          <cell r="D3210" t="str">
            <v>CINTURON</v>
          </cell>
          <cell r="E3210" t="str">
            <v>CINTURON PAO COMBINADO</v>
          </cell>
          <cell r="F3210" t="str">
            <v>CUERO/ALGODON</v>
          </cell>
          <cell r="G3210" t="str">
            <v>NEGRO</v>
          </cell>
          <cell r="H3210" t="str">
            <v>NEGRO</v>
          </cell>
          <cell r="I3210" t="str">
            <v>U</v>
          </cell>
          <cell r="J3210">
            <v>0</v>
          </cell>
        </row>
        <row r="3211">
          <cell r="B3211" t="str">
            <v>OT021300102</v>
          </cell>
          <cell r="C3211" t="str">
            <v>CINTURON</v>
          </cell>
          <cell r="D3211" t="str">
            <v>CINTURON</v>
          </cell>
          <cell r="E3211" t="str">
            <v>CINTURON PAO</v>
          </cell>
          <cell r="F3211" t="str">
            <v>CUERO</v>
          </cell>
          <cell r="G3211" t="str">
            <v>NEGRO</v>
          </cell>
          <cell r="H3211" t="str">
            <v>SUELA</v>
          </cell>
          <cell r="I3211" t="str">
            <v>U</v>
          </cell>
          <cell r="J3211">
            <v>0</v>
          </cell>
        </row>
        <row r="3212">
          <cell r="B3212" t="str">
            <v>OT021310102</v>
          </cell>
          <cell r="C3212" t="str">
            <v>CINTURON</v>
          </cell>
          <cell r="D3212" t="str">
            <v>CINTURON</v>
          </cell>
          <cell r="E3212" t="str">
            <v>CINTURON PAO COMBINADO</v>
          </cell>
          <cell r="F3212" t="str">
            <v>CUERO/ALGODON</v>
          </cell>
          <cell r="G3212" t="str">
            <v>NEGRO</v>
          </cell>
          <cell r="H3212" t="str">
            <v>SUELA</v>
          </cell>
          <cell r="I3212" t="str">
            <v>U</v>
          </cell>
          <cell r="J3212">
            <v>0</v>
          </cell>
        </row>
        <row r="3213">
          <cell r="B3213" t="str">
            <v>TX190192911</v>
          </cell>
          <cell r="C3213" t="str">
            <v>ACCESORIOS</v>
          </cell>
          <cell r="D3213" t="str">
            <v>GORRO</v>
          </cell>
          <cell r="E3213" t="str">
            <v>GORRO VEGA</v>
          </cell>
          <cell r="F3213" t="str">
            <v>LANA ALPACA</v>
          </cell>
          <cell r="G3213">
            <v>0</v>
          </cell>
          <cell r="H3213" t="str">
            <v>BEIGE</v>
          </cell>
          <cell r="I3213" t="str">
            <v>U</v>
          </cell>
          <cell r="J3213" t="str">
            <v>H</v>
          </cell>
        </row>
        <row r="3214">
          <cell r="B3214" t="str">
            <v>TX190192917</v>
          </cell>
          <cell r="C3214" t="str">
            <v>ACCESORIOS</v>
          </cell>
          <cell r="D3214" t="str">
            <v>GORRO</v>
          </cell>
          <cell r="E3214" t="str">
            <v>GORRO VEGA</v>
          </cell>
          <cell r="F3214" t="str">
            <v>LANA ALPACA</v>
          </cell>
          <cell r="G3214">
            <v>0</v>
          </cell>
          <cell r="H3214" t="str">
            <v>GRIS CLARO</v>
          </cell>
          <cell r="I3214" t="str">
            <v>U</v>
          </cell>
          <cell r="J3214" t="str">
            <v>H</v>
          </cell>
        </row>
        <row r="3215">
          <cell r="B3215" t="str">
            <v>TX190192952</v>
          </cell>
          <cell r="C3215" t="str">
            <v>ACCESORIOS</v>
          </cell>
          <cell r="D3215" t="str">
            <v>GORRO</v>
          </cell>
          <cell r="E3215" t="str">
            <v>GORRO VEGA</v>
          </cell>
          <cell r="F3215" t="str">
            <v>LANA ALPACA</v>
          </cell>
          <cell r="G3215">
            <v>0</v>
          </cell>
          <cell r="H3215" t="str">
            <v>CHOCOLATE</v>
          </cell>
          <cell r="I3215" t="str">
            <v>U</v>
          </cell>
          <cell r="J3215" t="str">
            <v>H</v>
          </cell>
        </row>
        <row r="3216">
          <cell r="B3216" t="str">
            <v>TX190222801</v>
          </cell>
          <cell r="C3216" t="str">
            <v>TEXTIL</v>
          </cell>
          <cell r="D3216" t="str">
            <v>GUANTES</v>
          </cell>
          <cell r="E3216" t="str">
            <v>GUANTE RIGEL</v>
          </cell>
          <cell r="F3216" t="str">
            <v>LANA LLAMA</v>
          </cell>
          <cell r="G3216">
            <v>0</v>
          </cell>
          <cell r="H3216" t="str">
            <v>NEGRO</v>
          </cell>
          <cell r="I3216" t="str">
            <v>U</v>
          </cell>
          <cell r="J3216" t="str">
            <v>U</v>
          </cell>
        </row>
        <row r="3217">
          <cell r="B3217" t="str">
            <v>TX190482836</v>
          </cell>
          <cell r="C3217" t="str">
            <v>TEXTIL</v>
          </cell>
          <cell r="D3217" t="str">
            <v>GUANTES</v>
          </cell>
          <cell r="E3217" t="str">
            <v>GUANTE DAMA</v>
          </cell>
          <cell r="F3217" t="str">
            <v>LANA LLAMA</v>
          </cell>
          <cell r="G3217">
            <v>0</v>
          </cell>
          <cell r="H3217" t="str">
            <v>CRUDO</v>
          </cell>
          <cell r="I3217" t="str">
            <v>U</v>
          </cell>
          <cell r="J3217" t="str">
            <v>M</v>
          </cell>
        </row>
        <row r="3218">
          <cell r="B3218" t="str">
            <v>TX190482801</v>
          </cell>
          <cell r="C3218" t="str">
            <v>TEXTIL</v>
          </cell>
          <cell r="D3218" t="str">
            <v>GUANTES</v>
          </cell>
          <cell r="E3218" t="str">
            <v>GUANTE DAMA</v>
          </cell>
          <cell r="F3218" t="str">
            <v>LANA LLAMA</v>
          </cell>
          <cell r="G3218">
            <v>0</v>
          </cell>
          <cell r="H3218" t="str">
            <v>NEGRO</v>
          </cell>
          <cell r="I3218" t="str">
            <v>U</v>
          </cell>
          <cell r="J3218" t="str">
            <v>M</v>
          </cell>
        </row>
        <row r="3219">
          <cell r="B3219" t="str">
            <v>TX190482828</v>
          </cell>
          <cell r="C3219" t="str">
            <v>TEXTIL</v>
          </cell>
          <cell r="D3219" t="str">
            <v>GUANTES</v>
          </cell>
          <cell r="E3219" t="str">
            <v>GUANTE DAMA</v>
          </cell>
          <cell r="F3219" t="str">
            <v>LANA LLAMA</v>
          </cell>
          <cell r="G3219">
            <v>0</v>
          </cell>
          <cell r="H3219" t="str">
            <v xml:space="preserve"> VISON</v>
          </cell>
          <cell r="I3219" t="str">
            <v>U</v>
          </cell>
          <cell r="J3219" t="str">
            <v>M</v>
          </cell>
        </row>
        <row r="3220">
          <cell r="B3220" t="str">
            <v>TX190492801-T1</v>
          </cell>
          <cell r="C3220" t="str">
            <v>TEXTIL</v>
          </cell>
          <cell r="D3220" t="str">
            <v>GUANTES</v>
          </cell>
          <cell r="E3220" t="str">
            <v>GUANTE HOMBRE</v>
          </cell>
          <cell r="F3220" t="str">
            <v>LANA LLAMA</v>
          </cell>
          <cell r="G3220">
            <v>0</v>
          </cell>
          <cell r="H3220" t="str">
            <v>NEGRO</v>
          </cell>
          <cell r="I3220" t="str">
            <v>TALLE 1</v>
          </cell>
          <cell r="J3220" t="str">
            <v>H</v>
          </cell>
        </row>
        <row r="3221">
          <cell r="B3221" t="str">
            <v>TX190492828-T1</v>
          </cell>
          <cell r="C3221" t="str">
            <v>TEXTIL</v>
          </cell>
          <cell r="D3221" t="str">
            <v>GUANTES</v>
          </cell>
          <cell r="E3221" t="str">
            <v>GUANTE HOMBRE</v>
          </cell>
          <cell r="F3221" t="str">
            <v>LANA LLAMA</v>
          </cell>
          <cell r="G3221">
            <v>0</v>
          </cell>
          <cell r="H3221" t="str">
            <v>VISON</v>
          </cell>
          <cell r="I3221" t="str">
            <v>TALLE1</v>
          </cell>
          <cell r="J3221" t="str">
            <v>H</v>
          </cell>
        </row>
        <row r="3222">
          <cell r="B3222" t="str">
            <v>TX190492801-T2</v>
          </cell>
          <cell r="C3222" t="str">
            <v>TEXTIL</v>
          </cell>
          <cell r="D3222" t="str">
            <v>GUANTES</v>
          </cell>
          <cell r="E3222" t="str">
            <v>GUANTE HOMBRE</v>
          </cell>
          <cell r="F3222" t="str">
            <v>LANA LLAMA</v>
          </cell>
          <cell r="G3222">
            <v>0</v>
          </cell>
          <cell r="H3222" t="str">
            <v>NEGRO</v>
          </cell>
          <cell r="I3222" t="str">
            <v>TALLE 2</v>
          </cell>
          <cell r="J3222" t="str">
            <v>H</v>
          </cell>
        </row>
        <row r="3223">
          <cell r="B3223" t="str">
            <v>TX190492828-T2</v>
          </cell>
          <cell r="C3223" t="str">
            <v>TEXTIL</v>
          </cell>
          <cell r="D3223" t="str">
            <v>GUANTES</v>
          </cell>
          <cell r="E3223" t="str">
            <v>GUANTE HOMBRE</v>
          </cell>
          <cell r="F3223" t="str">
            <v>LANA LLAMA</v>
          </cell>
          <cell r="G3223">
            <v>0</v>
          </cell>
          <cell r="H3223" t="str">
            <v>VISON</v>
          </cell>
          <cell r="I3223" t="str">
            <v>TALLE 2</v>
          </cell>
          <cell r="J3223" t="str">
            <v>H</v>
          </cell>
        </row>
        <row r="3224">
          <cell r="B3224" t="str">
            <v>MC020893139</v>
          </cell>
          <cell r="C3224" t="str">
            <v>MARRO CHICA</v>
          </cell>
          <cell r="D3224" t="str">
            <v>SOBRE</v>
          </cell>
          <cell r="E3224" t="str">
            <v>SOBRE MAJA</v>
          </cell>
          <cell r="F3224" t="str">
            <v>PELO</v>
          </cell>
          <cell r="G3224">
            <v>0</v>
          </cell>
          <cell r="H3224" t="str">
            <v>HEREFORD</v>
          </cell>
          <cell r="I3224" t="str">
            <v>U</v>
          </cell>
          <cell r="J3224" t="str">
            <v>M</v>
          </cell>
        </row>
        <row r="3225">
          <cell r="B3225" t="str">
            <v>MC020893140</v>
          </cell>
          <cell r="C3225" t="str">
            <v>MARRO CHICA</v>
          </cell>
          <cell r="D3225" t="str">
            <v>SOBRE</v>
          </cell>
          <cell r="E3225" t="str">
            <v>SOBRE MAJA</v>
          </cell>
          <cell r="F3225" t="str">
            <v>PELO</v>
          </cell>
          <cell r="G3225">
            <v>0</v>
          </cell>
          <cell r="H3225" t="str">
            <v>HOLANDO</v>
          </cell>
          <cell r="I3225" t="str">
            <v>U</v>
          </cell>
          <cell r="J3225" t="str">
            <v>M</v>
          </cell>
        </row>
        <row r="3226">
          <cell r="B3226" t="str">
            <v>MG011370516</v>
          </cell>
          <cell r="C3226" t="str">
            <v>MARRO GRANDE</v>
          </cell>
          <cell r="D3226" t="str">
            <v>CARTERA</v>
          </cell>
          <cell r="E3226" t="str">
            <v>CARTERA KALI</v>
          </cell>
          <cell r="F3226" t="str">
            <v>GAMUZA</v>
          </cell>
          <cell r="G3226">
            <v>0</v>
          </cell>
          <cell r="H3226" t="str">
            <v>OLIVE</v>
          </cell>
          <cell r="I3226" t="str">
            <v>U</v>
          </cell>
          <cell r="J3226" t="str">
            <v>M</v>
          </cell>
        </row>
        <row r="3227">
          <cell r="B3227" t="str">
            <v>MG011370504</v>
          </cell>
          <cell r="C3227" t="str">
            <v>MARRO GRANDE</v>
          </cell>
          <cell r="D3227" t="str">
            <v>CARTERA</v>
          </cell>
          <cell r="E3227" t="str">
            <v>CARTERA KALI</v>
          </cell>
          <cell r="F3227" t="str">
            <v>GAMUZA</v>
          </cell>
          <cell r="G3227">
            <v>0</v>
          </cell>
          <cell r="H3227" t="str">
            <v>TABACO</v>
          </cell>
          <cell r="I3227" t="str">
            <v>U</v>
          </cell>
          <cell r="J3227" t="str">
            <v>M</v>
          </cell>
        </row>
        <row r="3228">
          <cell r="B3228" t="str">
            <v>MG011380301</v>
          </cell>
          <cell r="C3228" t="str">
            <v>MARRO GRANDE</v>
          </cell>
          <cell r="D3228" t="str">
            <v>MOCHILA</v>
          </cell>
          <cell r="E3228" t="str">
            <v xml:space="preserve">MOCHILA MULITA </v>
          </cell>
          <cell r="F3228" t="str">
            <v>BRIDGE</v>
          </cell>
          <cell r="G3228">
            <v>0</v>
          </cell>
          <cell r="H3228" t="str">
            <v>NEGRO</v>
          </cell>
          <cell r="I3228" t="str">
            <v>U</v>
          </cell>
          <cell r="J3228" t="str">
            <v>U</v>
          </cell>
        </row>
        <row r="3229">
          <cell r="B3229" t="str">
            <v>MG011380352</v>
          </cell>
          <cell r="C3229" t="str">
            <v>MARRO GRANDE</v>
          </cell>
          <cell r="D3229" t="str">
            <v>MOCHILA</v>
          </cell>
          <cell r="E3229" t="str">
            <v xml:space="preserve">MOCHILA MULITA </v>
          </cell>
          <cell r="F3229" t="str">
            <v>BRIDGE</v>
          </cell>
          <cell r="G3229">
            <v>0</v>
          </cell>
          <cell r="H3229" t="str">
            <v>CHOCOLATE</v>
          </cell>
          <cell r="I3229" t="str">
            <v>U</v>
          </cell>
          <cell r="J3229" t="str">
            <v>U</v>
          </cell>
        </row>
        <row r="3230">
          <cell r="B3230" t="str">
            <v>MG011380303</v>
          </cell>
          <cell r="C3230" t="str">
            <v>MARRO GRANDE</v>
          </cell>
          <cell r="D3230" t="str">
            <v>MOCHILA</v>
          </cell>
          <cell r="E3230" t="str">
            <v xml:space="preserve">MOCHILA MULITA </v>
          </cell>
          <cell r="F3230" t="str">
            <v>BRIDGE</v>
          </cell>
          <cell r="G3230">
            <v>0</v>
          </cell>
          <cell r="H3230" t="str">
            <v>CARAMELO</v>
          </cell>
          <cell r="I3230" t="str">
            <v>U</v>
          </cell>
          <cell r="J3230" t="str">
            <v>U</v>
          </cell>
        </row>
        <row r="3231">
          <cell r="B3231" t="str">
            <v>OT310810304</v>
          </cell>
          <cell r="C3231" t="str">
            <v>DECO</v>
          </cell>
          <cell r="D3231" t="str">
            <v>DECO</v>
          </cell>
          <cell r="E3231" t="str">
            <v>DELANTAL DENO</v>
          </cell>
          <cell r="F3231" t="str">
            <v>CUERO</v>
          </cell>
          <cell r="G3231">
            <v>0</v>
          </cell>
          <cell r="H3231" t="str">
            <v>TABACO</v>
          </cell>
          <cell r="I3231" t="str">
            <v>U</v>
          </cell>
          <cell r="J3231" t="str">
            <v>U</v>
          </cell>
        </row>
        <row r="3232">
          <cell r="B3232" t="str">
            <v>MG321390301</v>
          </cell>
          <cell r="C3232" t="str">
            <v>MARRO GRANDE</v>
          </cell>
          <cell r="D3232" t="str">
            <v>MOCHILA</v>
          </cell>
          <cell r="E3232" t="str">
            <v>MOCHILA CASPIO FULL BLACK</v>
          </cell>
          <cell r="F3232" t="str">
            <v>BRIDGE</v>
          </cell>
          <cell r="G3232">
            <v>0</v>
          </cell>
          <cell r="H3232" t="str">
            <v>NEGRO</v>
          </cell>
          <cell r="I3232" t="str">
            <v>U</v>
          </cell>
          <cell r="J3232" t="str">
            <v>U</v>
          </cell>
        </row>
        <row r="3233">
          <cell r="B3233" t="str">
            <v>MG011400101</v>
          </cell>
          <cell r="C3233" t="str">
            <v>MARRO GRANDE</v>
          </cell>
          <cell r="D3233" t="str">
            <v>TOTE</v>
          </cell>
          <cell r="E3233" t="str">
            <v>TOTE TILCARA</v>
          </cell>
          <cell r="F3233" t="str">
            <v>NAPADO</v>
          </cell>
          <cell r="G3233">
            <v>0</v>
          </cell>
          <cell r="H3233" t="str">
            <v>NEGRO</v>
          </cell>
          <cell r="I3233" t="str">
            <v>U</v>
          </cell>
          <cell r="J3233" t="str">
            <v>M</v>
          </cell>
        </row>
        <row r="3234">
          <cell r="B3234" t="str">
            <v>MG011400105</v>
          </cell>
          <cell r="C3234" t="str">
            <v>MARRO GRANDE</v>
          </cell>
          <cell r="D3234" t="str">
            <v>TOTE</v>
          </cell>
          <cell r="E3234" t="str">
            <v>TOTE TILCARA</v>
          </cell>
          <cell r="F3234" t="str">
            <v>NAPADO</v>
          </cell>
          <cell r="G3234">
            <v>0</v>
          </cell>
          <cell r="H3234" t="str">
            <v>LONDON</v>
          </cell>
          <cell r="I3234" t="str">
            <v>U</v>
          </cell>
          <cell r="J3234" t="str">
            <v>M</v>
          </cell>
        </row>
        <row r="3235">
          <cell r="B3235" t="str">
            <v>MG011410516</v>
          </cell>
          <cell r="C3235" t="str">
            <v>MARRO GRANDE</v>
          </cell>
          <cell r="D3235" t="str">
            <v>CARTERA</v>
          </cell>
          <cell r="E3235" t="str">
            <v>CARTERA VERA</v>
          </cell>
          <cell r="F3235" t="str">
            <v>GAMUZA</v>
          </cell>
          <cell r="G3235">
            <v>0</v>
          </cell>
          <cell r="H3235" t="str">
            <v>OLIVE</v>
          </cell>
          <cell r="I3235" t="str">
            <v>U</v>
          </cell>
          <cell r="J3235" t="str">
            <v>M</v>
          </cell>
        </row>
        <row r="3236">
          <cell r="B3236" t="str">
            <v>MG011410504</v>
          </cell>
          <cell r="C3236" t="str">
            <v>MARRO GRANDE</v>
          </cell>
          <cell r="D3236" t="str">
            <v>CARTERA</v>
          </cell>
          <cell r="E3236" t="str">
            <v>CARTERA VERA</v>
          </cell>
          <cell r="F3236" t="str">
            <v>GAMUZA</v>
          </cell>
          <cell r="G3236">
            <v>0</v>
          </cell>
          <cell r="H3236" t="str">
            <v>TABACO</v>
          </cell>
          <cell r="I3236" t="str">
            <v>U</v>
          </cell>
          <cell r="J3236" t="str">
            <v>M</v>
          </cell>
        </row>
        <row r="3237">
          <cell r="B3237" t="str">
            <v>MG011410522</v>
          </cell>
          <cell r="C3237" t="str">
            <v>MARRO GRANDE</v>
          </cell>
          <cell r="D3237" t="str">
            <v>CARTERA</v>
          </cell>
          <cell r="E3237" t="str">
            <v>CARTERA VERA</v>
          </cell>
          <cell r="F3237" t="str">
            <v>GAMUZA</v>
          </cell>
          <cell r="G3237">
            <v>0</v>
          </cell>
          <cell r="H3237" t="str">
            <v>GRIS OSCURO</v>
          </cell>
          <cell r="I3237" t="str">
            <v>U</v>
          </cell>
          <cell r="J3237" t="str">
            <v>M</v>
          </cell>
        </row>
        <row r="3238">
          <cell r="B3238" t="str">
            <v>MG321420352</v>
          </cell>
          <cell r="C3238" t="str">
            <v>MARRO GRANDE</v>
          </cell>
          <cell r="D3238" t="str">
            <v>MOCHILA</v>
          </cell>
          <cell r="E3238" t="str">
            <v>MOCHILA FRANCIS</v>
          </cell>
          <cell r="F3238" t="str">
            <v>BRIDGE</v>
          </cell>
          <cell r="G3238">
            <v>0</v>
          </cell>
          <cell r="H3238" t="str">
            <v>CHOCOLATE</v>
          </cell>
          <cell r="I3238" t="str">
            <v>U</v>
          </cell>
          <cell r="J3238" t="str">
            <v>U</v>
          </cell>
        </row>
        <row r="3239">
          <cell r="B3239" t="str">
            <v>MG321420301</v>
          </cell>
          <cell r="C3239" t="str">
            <v>MARRO GRANDE</v>
          </cell>
          <cell r="D3239" t="str">
            <v>MOCHILA</v>
          </cell>
          <cell r="E3239" t="str">
            <v>MOCHILA FRANCIS</v>
          </cell>
          <cell r="F3239" t="str">
            <v>BRIDGE</v>
          </cell>
          <cell r="G3239">
            <v>0</v>
          </cell>
          <cell r="H3239" t="str">
            <v>NEGRO</v>
          </cell>
          <cell r="I3239" t="str">
            <v>U</v>
          </cell>
          <cell r="J3239" t="str">
            <v>U</v>
          </cell>
        </row>
        <row r="3240">
          <cell r="B3240" t="str">
            <v>MC020900101</v>
          </cell>
          <cell r="C3240" t="str">
            <v>MARRO CHICA</v>
          </cell>
          <cell r="D3240" t="str">
            <v>PORTAPASAPORTE</v>
          </cell>
          <cell r="E3240" t="str">
            <v>PORTAPASAPORTE WARA</v>
          </cell>
          <cell r="F3240" t="str">
            <v>NAPADO</v>
          </cell>
          <cell r="G3240">
            <v>0</v>
          </cell>
          <cell r="H3240" t="str">
            <v>NEGRO</v>
          </cell>
          <cell r="I3240" t="str">
            <v>U</v>
          </cell>
          <cell r="J3240" t="str">
            <v>U</v>
          </cell>
        </row>
        <row r="3241">
          <cell r="B3241" t="str">
            <v>OT021323139</v>
          </cell>
          <cell r="C3241" t="str">
            <v>DECO</v>
          </cell>
          <cell r="D3241" t="str">
            <v>POSAVASO</v>
          </cell>
          <cell r="E3241" t="str">
            <v>POSAVASO MAEL</v>
          </cell>
          <cell r="F3241" t="str">
            <v>PELO</v>
          </cell>
          <cell r="G3241">
            <v>0</v>
          </cell>
          <cell r="H3241" t="str">
            <v>HEREFORD</v>
          </cell>
          <cell r="I3241" t="str">
            <v>U</v>
          </cell>
          <cell r="J3241" t="str">
            <v>U</v>
          </cell>
        </row>
        <row r="3242">
          <cell r="B3242" t="str">
            <v>OT021323140</v>
          </cell>
          <cell r="C3242" t="str">
            <v>DECO</v>
          </cell>
          <cell r="D3242" t="str">
            <v>POSAVASO</v>
          </cell>
          <cell r="E3242" t="str">
            <v>POSAVASO MAEL</v>
          </cell>
          <cell r="F3242" t="str">
            <v>PELO</v>
          </cell>
          <cell r="G3242">
            <v>0</v>
          </cell>
          <cell r="H3242" t="str">
            <v>HOLANDO</v>
          </cell>
          <cell r="I3242" t="str">
            <v>U</v>
          </cell>
          <cell r="J3242" t="str">
            <v>U</v>
          </cell>
        </row>
        <row r="3243">
          <cell r="B3243" t="str">
            <v>OT021333140</v>
          </cell>
          <cell r="C3243" t="str">
            <v>DECO</v>
          </cell>
          <cell r="D3243" t="str">
            <v>INDIVIDUAL</v>
          </cell>
          <cell r="E3243" t="str">
            <v>INDIVIDUAL MAEL</v>
          </cell>
          <cell r="F3243" t="str">
            <v>PELO</v>
          </cell>
          <cell r="G3243">
            <v>0</v>
          </cell>
          <cell r="H3243" t="str">
            <v>HOLANDO</v>
          </cell>
          <cell r="I3243" t="str">
            <v>U</v>
          </cell>
          <cell r="J3243" t="str">
            <v>U</v>
          </cell>
        </row>
        <row r="3244">
          <cell r="B3244" t="str">
            <v>OT021333139</v>
          </cell>
          <cell r="C3244" t="str">
            <v>DECO</v>
          </cell>
          <cell r="D3244" t="str">
            <v>INDIVIDUAL</v>
          </cell>
          <cell r="E3244" t="str">
            <v>INDIVIDUAL MAEL</v>
          </cell>
          <cell r="F3244" t="str">
            <v>PELO</v>
          </cell>
          <cell r="G3244">
            <v>0</v>
          </cell>
          <cell r="H3244" t="str">
            <v>HEREFORD</v>
          </cell>
          <cell r="I3244" t="str">
            <v>U</v>
          </cell>
          <cell r="J3244" t="str">
            <v>U</v>
          </cell>
        </row>
        <row r="3245">
          <cell r="B3245" t="str">
            <v>TX190172858</v>
          </cell>
          <cell r="C3245" t="str">
            <v>ACCESORIOS</v>
          </cell>
          <cell r="D3245" t="str">
            <v>BUFANDA</v>
          </cell>
          <cell r="E3245" t="str">
            <v>BUFANDA CAPELLA</v>
          </cell>
          <cell r="F3245" t="str">
            <v>LANA LLAMA</v>
          </cell>
          <cell r="G3245">
            <v>0</v>
          </cell>
          <cell r="H3245" t="str">
            <v>CAFE</v>
          </cell>
          <cell r="I3245" t="str">
            <v>U</v>
          </cell>
          <cell r="J3245" t="str">
            <v>U</v>
          </cell>
        </row>
        <row r="3246">
          <cell r="B3246" t="str">
            <v>TX190212917</v>
          </cell>
          <cell r="C3246" t="str">
            <v>ACCESORIOS</v>
          </cell>
          <cell r="D3246" t="str">
            <v>BUFANDA</v>
          </cell>
          <cell r="E3246" t="str">
            <v>BUFANDA ACRUX</v>
          </cell>
          <cell r="F3246" t="str">
            <v>LANA ALPACA</v>
          </cell>
          <cell r="G3246">
            <v>0</v>
          </cell>
          <cell r="H3246" t="str">
            <v>GRIS CLARO</v>
          </cell>
          <cell r="I3246" t="str">
            <v>U</v>
          </cell>
          <cell r="J3246" t="str">
            <v>U</v>
          </cell>
        </row>
        <row r="3247">
          <cell r="B3247" t="str">
            <v>MG011123139</v>
          </cell>
          <cell r="C3247" t="str">
            <v>MARRO GRANDE</v>
          </cell>
          <cell r="D3247" t="str">
            <v>CARTERA</v>
          </cell>
          <cell r="E3247" t="str">
            <v>CARTERA MINI EMMA</v>
          </cell>
          <cell r="F3247" t="str">
            <v>PELO</v>
          </cell>
          <cell r="G3247">
            <v>0</v>
          </cell>
          <cell r="H3247" t="str">
            <v>HEREFORD</v>
          </cell>
          <cell r="I3247" t="str">
            <v>U</v>
          </cell>
          <cell r="J3247" t="str">
            <v>M</v>
          </cell>
        </row>
        <row r="3248">
          <cell r="B3248" t="str">
            <v>MG011123140</v>
          </cell>
          <cell r="C3248" t="str">
            <v>MARRO GRANDE</v>
          </cell>
          <cell r="D3248" t="str">
            <v>CARTERA</v>
          </cell>
          <cell r="E3248" t="str">
            <v>CARTERA MINI EMMA</v>
          </cell>
          <cell r="F3248" t="str">
            <v>PELO</v>
          </cell>
          <cell r="G3248">
            <v>0</v>
          </cell>
          <cell r="H3248" t="str">
            <v>HOLANDO</v>
          </cell>
          <cell r="I3248" t="str">
            <v>U</v>
          </cell>
          <cell r="J3248" t="str">
            <v>M</v>
          </cell>
        </row>
        <row r="3249">
          <cell r="B3249" t="str">
            <v>MG011243470</v>
          </cell>
          <cell r="C3249" t="str">
            <v>MARRO GRANDE</v>
          </cell>
          <cell r="D3249" t="str">
            <v>CARTERA</v>
          </cell>
          <cell r="E3249" t="str">
            <v>CARTERA HARPER</v>
          </cell>
          <cell r="F3249" t="str">
            <v>GAMUZA</v>
          </cell>
          <cell r="G3249">
            <v>0</v>
          </cell>
          <cell r="H3249" t="str">
            <v>VERDE MILITAR</v>
          </cell>
          <cell r="I3249" t="str">
            <v>M</v>
          </cell>
          <cell r="J3249" t="str">
            <v>M</v>
          </cell>
        </row>
        <row r="3250">
          <cell r="B3250" t="str">
            <v>OT021340504-S-M</v>
          </cell>
          <cell r="C3250" t="str">
            <v>CINTURON</v>
          </cell>
          <cell r="D3250" t="str">
            <v>CINTURON</v>
          </cell>
          <cell r="E3250" t="str">
            <v>CINTURON FLORA 2</v>
          </cell>
          <cell r="F3250" t="str">
            <v>GAMUZA</v>
          </cell>
          <cell r="G3250">
            <v>0</v>
          </cell>
          <cell r="H3250" t="str">
            <v>TABACO</v>
          </cell>
          <cell r="I3250" t="str">
            <v>S-M</v>
          </cell>
          <cell r="J3250" t="str">
            <v>M</v>
          </cell>
        </row>
        <row r="3251">
          <cell r="B3251" t="str">
            <v>OT021340570-S-M</v>
          </cell>
          <cell r="C3251" t="str">
            <v>CINTURON</v>
          </cell>
          <cell r="D3251" t="str">
            <v>CINTURON</v>
          </cell>
          <cell r="E3251" t="str">
            <v>CINTURON FLORA 2</v>
          </cell>
          <cell r="F3251" t="str">
            <v>GAMUZA</v>
          </cell>
          <cell r="G3251">
            <v>0</v>
          </cell>
          <cell r="H3251" t="str">
            <v>VERDE MILITAR</v>
          </cell>
          <cell r="I3251" t="str">
            <v>S-M</v>
          </cell>
          <cell r="J3251" t="str">
            <v>M</v>
          </cell>
        </row>
        <row r="3252">
          <cell r="B3252" t="str">
            <v>OT021340552-S-M</v>
          </cell>
          <cell r="C3252" t="str">
            <v>CINTURON</v>
          </cell>
          <cell r="D3252" t="str">
            <v>CINTURON</v>
          </cell>
          <cell r="E3252" t="str">
            <v>CINTURON FLORA 2</v>
          </cell>
          <cell r="F3252" t="str">
            <v>GAMUZA</v>
          </cell>
          <cell r="G3252">
            <v>0</v>
          </cell>
          <cell r="H3252" t="str">
            <v>CHOCOLATE</v>
          </cell>
          <cell r="I3252" t="str">
            <v>S-M</v>
          </cell>
          <cell r="J3252" t="str">
            <v>M</v>
          </cell>
        </row>
        <row r="3253">
          <cell r="B3253" t="str">
            <v>OT021340522-S-M</v>
          </cell>
          <cell r="C3253" t="str">
            <v>CINTURON</v>
          </cell>
          <cell r="D3253" t="str">
            <v>CINTURON</v>
          </cell>
          <cell r="E3253" t="str">
            <v>CINTURON FLORA 2</v>
          </cell>
          <cell r="F3253" t="str">
            <v>GAMUZA</v>
          </cell>
          <cell r="G3253">
            <v>0</v>
          </cell>
          <cell r="H3253" t="str">
            <v>GRIS OSCURO</v>
          </cell>
          <cell r="I3253" t="str">
            <v>S-M</v>
          </cell>
          <cell r="J3253" t="str">
            <v>M</v>
          </cell>
        </row>
        <row r="3254">
          <cell r="B3254" t="str">
            <v>OT021340518-S-M</v>
          </cell>
          <cell r="C3254" t="str">
            <v>CINTURON</v>
          </cell>
          <cell r="D3254" t="str">
            <v>CINTURON</v>
          </cell>
          <cell r="E3254" t="str">
            <v>CINTURON FLORA 2</v>
          </cell>
          <cell r="F3254" t="str">
            <v>GAMUZA</v>
          </cell>
          <cell r="G3254">
            <v>0</v>
          </cell>
          <cell r="H3254" t="str">
            <v>MARSALA</v>
          </cell>
          <cell r="I3254" t="str">
            <v>S-M</v>
          </cell>
          <cell r="J3254" t="str">
            <v>M</v>
          </cell>
        </row>
        <row r="3255">
          <cell r="B3255" t="str">
            <v>OT021340504-M-L</v>
          </cell>
          <cell r="C3255" t="str">
            <v>CINTURON</v>
          </cell>
          <cell r="D3255" t="str">
            <v>CINTURON</v>
          </cell>
          <cell r="E3255" t="str">
            <v>CINTURON FLORA 2</v>
          </cell>
          <cell r="F3255" t="str">
            <v>GAMUZA</v>
          </cell>
          <cell r="G3255">
            <v>0</v>
          </cell>
          <cell r="H3255" t="str">
            <v>TABACO</v>
          </cell>
          <cell r="I3255" t="str">
            <v>M-L</v>
          </cell>
          <cell r="J3255" t="str">
            <v>M</v>
          </cell>
        </row>
        <row r="3256">
          <cell r="B3256" t="str">
            <v>OT021340570-M-L</v>
          </cell>
          <cell r="C3256" t="str">
            <v>CINTURON</v>
          </cell>
          <cell r="D3256" t="str">
            <v>CINTURON</v>
          </cell>
          <cell r="E3256" t="str">
            <v>CINTURON FLORA 2</v>
          </cell>
          <cell r="F3256" t="str">
            <v>GAMUZA</v>
          </cell>
          <cell r="G3256">
            <v>0</v>
          </cell>
          <cell r="H3256" t="str">
            <v>VERDE MILITAR</v>
          </cell>
          <cell r="I3256" t="str">
            <v>M-L</v>
          </cell>
          <cell r="J3256" t="str">
            <v>M</v>
          </cell>
        </row>
        <row r="3257">
          <cell r="B3257" t="str">
            <v>OT021340552-M-L</v>
          </cell>
          <cell r="C3257" t="str">
            <v>CINTURON</v>
          </cell>
          <cell r="D3257" t="str">
            <v>CINTURON</v>
          </cell>
          <cell r="E3257" t="str">
            <v>CINTURON FLORA 2</v>
          </cell>
          <cell r="F3257" t="str">
            <v>GAMUZA</v>
          </cell>
          <cell r="G3257">
            <v>0</v>
          </cell>
          <cell r="H3257" t="str">
            <v>CHOCOLATE</v>
          </cell>
          <cell r="I3257" t="str">
            <v>M-L</v>
          </cell>
          <cell r="J3257" t="str">
            <v>M</v>
          </cell>
        </row>
        <row r="3258">
          <cell r="B3258" t="str">
            <v>OT021340522-M-L</v>
          </cell>
          <cell r="C3258" t="str">
            <v>CINTURON</v>
          </cell>
          <cell r="D3258" t="str">
            <v>CINTURON</v>
          </cell>
          <cell r="E3258" t="str">
            <v>CINTURON FLORA 2</v>
          </cell>
          <cell r="F3258" t="str">
            <v>GAMUZA</v>
          </cell>
          <cell r="G3258">
            <v>0</v>
          </cell>
          <cell r="H3258" t="str">
            <v>GRIS OSCURO</v>
          </cell>
          <cell r="I3258" t="str">
            <v>M-L</v>
          </cell>
          <cell r="J3258" t="str">
            <v>M</v>
          </cell>
        </row>
        <row r="3259">
          <cell r="B3259" t="str">
            <v>OT021340518-M-L</v>
          </cell>
          <cell r="C3259" t="str">
            <v>CINTURON</v>
          </cell>
          <cell r="D3259" t="str">
            <v>CINTURON</v>
          </cell>
          <cell r="E3259" t="str">
            <v>CINTURON FLORA 2</v>
          </cell>
          <cell r="F3259" t="str">
            <v>GAMUZA</v>
          </cell>
          <cell r="G3259">
            <v>0</v>
          </cell>
          <cell r="H3259" t="str">
            <v>MARSALA</v>
          </cell>
          <cell r="I3259" t="str">
            <v>M-L</v>
          </cell>
          <cell r="J3259" t="str">
            <v>M</v>
          </cell>
        </row>
        <row r="3260">
          <cell r="B3260" t="str">
            <v>OT021350504-S-M</v>
          </cell>
          <cell r="C3260" t="str">
            <v>CINTURON</v>
          </cell>
          <cell r="D3260" t="str">
            <v>CINTURON</v>
          </cell>
          <cell r="E3260" t="str">
            <v>CINTURON FLORA 1</v>
          </cell>
          <cell r="F3260" t="str">
            <v>GAMUZA</v>
          </cell>
          <cell r="G3260">
            <v>0</v>
          </cell>
          <cell r="H3260" t="str">
            <v>TABACO</v>
          </cell>
          <cell r="I3260" t="str">
            <v>S-M</v>
          </cell>
          <cell r="J3260" t="str">
            <v>M</v>
          </cell>
        </row>
        <row r="3261">
          <cell r="B3261" t="str">
            <v>OT021350570-S-M</v>
          </cell>
          <cell r="C3261" t="str">
            <v>CINTURON</v>
          </cell>
          <cell r="D3261" t="str">
            <v>CINTURON</v>
          </cell>
          <cell r="E3261" t="str">
            <v>CINTURON FLORA 1</v>
          </cell>
          <cell r="F3261" t="str">
            <v>GAMUZA</v>
          </cell>
          <cell r="G3261">
            <v>0</v>
          </cell>
          <cell r="H3261" t="str">
            <v>VERDE MILITAR</v>
          </cell>
          <cell r="I3261" t="str">
            <v>S-M</v>
          </cell>
          <cell r="J3261" t="str">
            <v>M</v>
          </cell>
        </row>
        <row r="3262">
          <cell r="B3262" t="str">
            <v>OT021350552-S-M</v>
          </cell>
          <cell r="C3262" t="str">
            <v>CINTURON</v>
          </cell>
          <cell r="D3262" t="str">
            <v>CINTURON</v>
          </cell>
          <cell r="E3262" t="str">
            <v>CINTURON FLORA 1</v>
          </cell>
          <cell r="F3262" t="str">
            <v>GAMUZA</v>
          </cell>
          <cell r="G3262">
            <v>0</v>
          </cell>
          <cell r="H3262" t="str">
            <v>CHOCOLATE</v>
          </cell>
          <cell r="I3262" t="str">
            <v>S-M</v>
          </cell>
          <cell r="J3262" t="str">
            <v>M</v>
          </cell>
        </row>
        <row r="3263">
          <cell r="B3263" t="str">
            <v>OT021350522-S-M</v>
          </cell>
          <cell r="C3263" t="str">
            <v>CINTURON</v>
          </cell>
          <cell r="D3263" t="str">
            <v>CINTURON</v>
          </cell>
          <cell r="E3263" t="str">
            <v>CINTURON FLORA 1</v>
          </cell>
          <cell r="F3263" t="str">
            <v>GAMUZA</v>
          </cell>
          <cell r="G3263">
            <v>0</v>
          </cell>
          <cell r="H3263" t="str">
            <v>GRIS OSCURO</v>
          </cell>
          <cell r="I3263" t="str">
            <v>S-M</v>
          </cell>
          <cell r="J3263" t="str">
            <v>M</v>
          </cell>
        </row>
        <row r="3264">
          <cell r="B3264" t="str">
            <v>OT021350518-S-M</v>
          </cell>
          <cell r="C3264" t="str">
            <v>CINTURON</v>
          </cell>
          <cell r="D3264" t="str">
            <v>CINTURON</v>
          </cell>
          <cell r="E3264" t="str">
            <v>CINTURON FLORA 1</v>
          </cell>
          <cell r="F3264" t="str">
            <v>GAMUZA</v>
          </cell>
          <cell r="G3264">
            <v>0</v>
          </cell>
          <cell r="H3264" t="str">
            <v>MARSALA</v>
          </cell>
          <cell r="I3264" t="str">
            <v>S-M</v>
          </cell>
          <cell r="J3264" t="str">
            <v>M</v>
          </cell>
        </row>
        <row r="3265">
          <cell r="B3265" t="str">
            <v>OT021350504-M-L</v>
          </cell>
          <cell r="C3265" t="str">
            <v>CINTURON</v>
          </cell>
          <cell r="D3265" t="str">
            <v>CINTURON</v>
          </cell>
          <cell r="E3265" t="str">
            <v>CINTURON FLORA 1</v>
          </cell>
          <cell r="F3265" t="str">
            <v>GAMUZA</v>
          </cell>
          <cell r="G3265">
            <v>0</v>
          </cell>
          <cell r="H3265" t="str">
            <v>TABACO</v>
          </cell>
          <cell r="I3265" t="str">
            <v>M-L</v>
          </cell>
          <cell r="J3265" t="str">
            <v>M</v>
          </cell>
        </row>
        <row r="3266">
          <cell r="B3266" t="str">
            <v>OT021350570-M-L</v>
          </cell>
          <cell r="C3266" t="str">
            <v>CINTURON</v>
          </cell>
          <cell r="D3266" t="str">
            <v>CINTURON</v>
          </cell>
          <cell r="E3266" t="str">
            <v>CINTURON FLORA 1</v>
          </cell>
          <cell r="F3266" t="str">
            <v>GAMUZA</v>
          </cell>
          <cell r="G3266">
            <v>0</v>
          </cell>
          <cell r="H3266" t="str">
            <v>VERDE MILITAR</v>
          </cell>
          <cell r="I3266" t="str">
            <v>M-L</v>
          </cell>
          <cell r="J3266" t="str">
            <v>M</v>
          </cell>
        </row>
        <row r="3267">
          <cell r="B3267" t="str">
            <v>OT021350552-M-L</v>
          </cell>
          <cell r="C3267" t="str">
            <v>CINTURON</v>
          </cell>
          <cell r="D3267" t="str">
            <v>CINTURON</v>
          </cell>
          <cell r="E3267" t="str">
            <v>CINTURON FLORA 1</v>
          </cell>
          <cell r="F3267" t="str">
            <v>GAMUZA</v>
          </cell>
          <cell r="G3267">
            <v>0</v>
          </cell>
          <cell r="H3267" t="str">
            <v>CHOCOLATE</v>
          </cell>
          <cell r="I3267" t="str">
            <v>M-L</v>
          </cell>
          <cell r="J3267" t="str">
            <v>M</v>
          </cell>
        </row>
        <row r="3268">
          <cell r="B3268" t="str">
            <v>OT021350522-M-L</v>
          </cell>
          <cell r="C3268" t="str">
            <v>CINTURON</v>
          </cell>
          <cell r="D3268" t="str">
            <v>CINTURON</v>
          </cell>
          <cell r="E3268" t="str">
            <v>CINTURON FLORA 1</v>
          </cell>
          <cell r="F3268" t="str">
            <v>GAMUZA</v>
          </cell>
          <cell r="G3268">
            <v>0</v>
          </cell>
          <cell r="H3268" t="str">
            <v>GRIS OSCURO</v>
          </cell>
          <cell r="I3268" t="str">
            <v>M-L</v>
          </cell>
          <cell r="J3268" t="str">
            <v>M</v>
          </cell>
        </row>
        <row r="3269">
          <cell r="B3269" t="str">
            <v>OT021350518-M-L</v>
          </cell>
          <cell r="C3269" t="str">
            <v>CINTURON</v>
          </cell>
          <cell r="D3269" t="str">
            <v>CINTURON</v>
          </cell>
          <cell r="E3269" t="str">
            <v>CINTURON FLORA 1</v>
          </cell>
          <cell r="F3269" t="str">
            <v>GAMUZA</v>
          </cell>
          <cell r="G3269">
            <v>0</v>
          </cell>
          <cell r="H3269" t="str">
            <v>MARSALA</v>
          </cell>
          <cell r="I3269" t="str">
            <v>M-L</v>
          </cell>
          <cell r="J3269" t="str">
            <v>M</v>
          </cell>
        </row>
        <row r="3270">
          <cell r="B3270" t="str">
            <v>TX190162858</v>
          </cell>
          <cell r="C3270" t="str">
            <v>ACCESORIOS</v>
          </cell>
          <cell r="D3270" t="str">
            <v>GORRO</v>
          </cell>
          <cell r="E3270" t="str">
            <v>GORRO SIRIUS</v>
          </cell>
          <cell r="F3270" t="str">
            <v>LANA LLAMA</v>
          </cell>
          <cell r="G3270">
            <v>0</v>
          </cell>
          <cell r="H3270" t="str">
            <v>CAFÉ</v>
          </cell>
          <cell r="I3270" t="str">
            <v>U</v>
          </cell>
          <cell r="J3270" t="str">
            <v>H</v>
          </cell>
        </row>
        <row r="3271">
          <cell r="B3271" t="str">
            <v>MG011414458</v>
          </cell>
          <cell r="C3271" t="str">
            <v>MARRO GRANDE</v>
          </cell>
          <cell r="D3271" t="str">
            <v>CARTERA</v>
          </cell>
          <cell r="E3271" t="str">
            <v>CARTERA VERA</v>
          </cell>
          <cell r="F3271" t="str">
            <v>NOBUCK</v>
          </cell>
          <cell r="G3271">
            <v>0</v>
          </cell>
          <cell r="H3271" t="str">
            <v>CAFE</v>
          </cell>
          <cell r="I3271">
            <v>0</v>
          </cell>
          <cell r="J3271">
            <v>0</v>
          </cell>
        </row>
        <row r="3272">
          <cell r="B3272" t="str">
            <v>MG011414456</v>
          </cell>
          <cell r="C3272" t="str">
            <v>MARRO GRANDE</v>
          </cell>
          <cell r="D3272" t="str">
            <v>CARTERA</v>
          </cell>
          <cell r="E3272" t="str">
            <v>CARTERA VERA</v>
          </cell>
          <cell r="F3272" t="str">
            <v>NOBUCK</v>
          </cell>
          <cell r="G3272">
            <v>0</v>
          </cell>
          <cell r="H3272" t="str">
            <v>OXIDO</v>
          </cell>
          <cell r="I3272">
            <v>0</v>
          </cell>
          <cell r="J3272">
            <v>0</v>
          </cell>
        </row>
        <row r="3273">
          <cell r="B3273" t="str">
            <v>OT021363139</v>
          </cell>
          <cell r="C3273" t="str">
            <v>ACCESORIOS</v>
          </cell>
          <cell r="D3273" t="str">
            <v>GORRO</v>
          </cell>
          <cell r="E3273" t="str">
            <v>PILUSO HILDA</v>
          </cell>
          <cell r="F3273" t="str">
            <v>PELO</v>
          </cell>
          <cell r="G3273">
            <v>0</v>
          </cell>
          <cell r="H3273" t="str">
            <v>HEREFORD</v>
          </cell>
          <cell r="I3273">
            <v>0</v>
          </cell>
          <cell r="J3273">
            <v>0</v>
          </cell>
        </row>
        <row r="3274">
          <cell r="B3274" t="str">
            <v>OT021363140</v>
          </cell>
          <cell r="C3274" t="str">
            <v>ACCESORIOS</v>
          </cell>
          <cell r="D3274" t="str">
            <v>GORRO</v>
          </cell>
          <cell r="E3274" t="str">
            <v>PILUSO HILDA</v>
          </cell>
          <cell r="F3274" t="str">
            <v>PELO</v>
          </cell>
          <cell r="G3274">
            <v>0</v>
          </cell>
          <cell r="H3274" t="str">
            <v>HOLANDO</v>
          </cell>
          <cell r="I3274">
            <v>0</v>
          </cell>
          <cell r="J327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H2100"/>
  <sheetViews>
    <sheetView tabSelected="1" zoomScaleNormal="100" workbookViewId="0">
      <selection activeCell="O143" sqref="O143"/>
    </sheetView>
  </sheetViews>
  <sheetFormatPr baseColWidth="10" defaultColWidth="12.6640625" defaultRowHeight="11.4"/>
  <cols>
    <col min="1" max="1" width="17" style="8" bestFit="1" customWidth="1"/>
    <col min="2" max="2" width="19.33203125" style="8" bestFit="1" customWidth="1"/>
    <col min="3" max="3" width="14.109375" style="8" bestFit="1" customWidth="1"/>
    <col min="4" max="5" width="16.5546875" style="8" customWidth="1"/>
    <col min="6" max="6" width="5.5546875" style="8" customWidth="1"/>
    <col min="7" max="9" width="8.109375" style="8" customWidth="1"/>
    <col min="10" max="10" width="44.33203125" style="8" bestFit="1" customWidth="1"/>
    <col min="11" max="11" width="44.33203125" style="8" customWidth="1"/>
    <col min="12" max="13" width="17.6640625" style="8" customWidth="1"/>
    <col min="14" max="14" width="25.109375" style="8" customWidth="1"/>
    <col min="15" max="15" width="15" style="8" customWidth="1"/>
    <col min="16" max="16" width="9.21875" style="18" customWidth="1"/>
    <col min="17" max="17" width="10.77734375" style="8" bestFit="1" customWidth="1"/>
    <col min="18" max="18" width="7.6640625" style="8" bestFit="1" customWidth="1"/>
    <col min="19" max="19" width="6.5546875" style="8" bestFit="1" customWidth="1"/>
    <col min="20" max="20" width="9.33203125" style="8" bestFit="1" customWidth="1"/>
    <col min="21" max="21" width="3.77734375" style="8" bestFit="1" customWidth="1"/>
    <col min="22" max="22" width="3.33203125" style="8" bestFit="1" customWidth="1"/>
    <col min="23" max="23" width="3.6640625" style="8" bestFit="1" customWidth="1"/>
    <col min="24" max="24" width="3.33203125" style="8" bestFit="1" customWidth="1"/>
    <col min="25" max="25" width="3.77734375" style="8" bestFit="1" customWidth="1"/>
    <col min="26" max="26" width="3.21875" style="8" bestFit="1" customWidth="1"/>
    <col min="27" max="27" width="8.88671875" style="8" bestFit="1" customWidth="1"/>
    <col min="28" max="28" width="15.21875" style="8" bestFit="1" customWidth="1"/>
    <col min="29" max="29" width="7.21875" style="8" bestFit="1" customWidth="1"/>
    <col min="30" max="30" width="11.6640625" style="8" bestFit="1" customWidth="1"/>
    <col min="31" max="31" width="6.5546875" style="11" bestFit="1" customWidth="1"/>
    <col min="32" max="32" width="13.6640625" style="11" bestFit="1" customWidth="1"/>
    <col min="33" max="33" width="15.109375" style="12" bestFit="1" customWidth="1"/>
    <col min="34" max="34" width="12.6640625" style="8" bestFit="1" customWidth="1"/>
    <col min="35" max="16384" width="12.6640625" style="8"/>
  </cols>
  <sheetData>
    <row r="1" spans="1:34" s="7" customFormat="1" ht="11.4" customHeight="1">
      <c r="A1" s="1" t="s">
        <v>0</v>
      </c>
      <c r="B1" s="15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2866</v>
      </c>
      <c r="H1" s="1" t="s">
        <v>2865</v>
      </c>
      <c r="I1" s="1" t="s">
        <v>2864</v>
      </c>
      <c r="J1" s="1" t="s">
        <v>5</v>
      </c>
      <c r="K1" s="1" t="s">
        <v>2886</v>
      </c>
      <c r="L1" s="1" t="s">
        <v>6</v>
      </c>
      <c r="M1" s="1" t="s">
        <v>2867</v>
      </c>
      <c r="N1" s="1" t="s">
        <v>7</v>
      </c>
      <c r="O1" s="1" t="s">
        <v>2871</v>
      </c>
      <c r="P1" s="21" t="s">
        <v>2872</v>
      </c>
      <c r="Q1" s="1" t="s">
        <v>8</v>
      </c>
      <c r="R1" s="2" t="s">
        <v>9</v>
      </c>
      <c r="S1" s="2" t="s">
        <v>10</v>
      </c>
      <c r="T1" s="3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4" t="s">
        <v>22</v>
      </c>
      <c r="AF1" s="5" t="s">
        <v>23</v>
      </c>
      <c r="AG1" s="6" t="s">
        <v>24</v>
      </c>
      <c r="AH1" s="2" t="s">
        <v>25</v>
      </c>
    </row>
    <row r="2" spans="1:34">
      <c r="A2" s="8" t="s">
        <v>26</v>
      </c>
      <c r="B2" s="16" t="s">
        <v>2859</v>
      </c>
      <c r="C2" s="8" t="s">
        <v>27</v>
      </c>
      <c r="D2" s="8" t="s">
        <v>28</v>
      </c>
      <c r="E2" s="8" t="str">
        <f>TRIM(N2)</f>
        <v>HOLANDO</v>
      </c>
      <c r="G2" s="8" t="s">
        <v>2861</v>
      </c>
      <c r="H2" s="8" t="str">
        <f>VLOOKUP(A2,[1]BBDD!$B$1:$J$3274,9,FALSE)</f>
        <v>U</v>
      </c>
      <c r="I2" s="8" t="s">
        <v>2861</v>
      </c>
      <c r="J2" s="8" t="s">
        <v>29</v>
      </c>
      <c r="L2" s="8" t="s">
        <v>30</v>
      </c>
      <c r="N2" s="8" t="s">
        <v>31</v>
      </c>
      <c r="O2" s="8" t="s">
        <v>31</v>
      </c>
      <c r="Q2" s="8" t="s">
        <v>32</v>
      </c>
      <c r="R2" s="8">
        <v>0</v>
      </c>
      <c r="S2" s="8">
        <v>4</v>
      </c>
      <c r="T2" s="8">
        <f>SUM(R2:S2)</f>
        <v>4</v>
      </c>
      <c r="U2" s="8">
        <v>0</v>
      </c>
      <c r="V2" s="8">
        <v>0</v>
      </c>
      <c r="W2" s="8">
        <v>0</v>
      </c>
      <c r="X2" s="8">
        <v>0</v>
      </c>
      <c r="Y2" s="8">
        <v>1</v>
      </c>
      <c r="Z2" s="8">
        <v>1</v>
      </c>
      <c r="AA2" s="8">
        <v>47</v>
      </c>
      <c r="AB2" s="9">
        <f>SUM(U2:Z2)/AA2*30</f>
        <v>1.2765957446808511</v>
      </c>
      <c r="AC2" s="10">
        <f>IFERROR(T2/AB2,"sin venta")</f>
        <v>3.1333333333333333</v>
      </c>
      <c r="AD2" s="8" t="s">
        <v>33</v>
      </c>
      <c r="AE2" s="11">
        <v>29990</v>
      </c>
      <c r="AF2" s="11">
        <f>IFERROR(AE2*T2,0)</f>
        <v>119960</v>
      </c>
      <c r="AG2" s="12" t="s">
        <v>34</v>
      </c>
      <c r="AH2" s="8" t="s">
        <v>35</v>
      </c>
    </row>
    <row r="3" spans="1:34">
      <c r="A3" s="8" t="s">
        <v>36</v>
      </c>
      <c r="B3" s="16" t="s">
        <v>2859</v>
      </c>
      <c r="C3" s="8" t="s">
        <v>27</v>
      </c>
      <c r="D3" s="8" t="s">
        <v>28</v>
      </c>
      <c r="E3" s="8" t="str">
        <f t="shared" ref="E3:E66" si="0">TRIM(N3)</f>
        <v>HEREFORD</v>
      </c>
      <c r="G3" s="8" t="s">
        <v>2861</v>
      </c>
      <c r="H3" s="8" t="str">
        <f>VLOOKUP(A3,[1]BBDD!$B$1:$J$3274,9,FALSE)</f>
        <v>U</v>
      </c>
      <c r="I3" s="8" t="s">
        <v>2861</v>
      </c>
      <c r="J3" s="8" t="s">
        <v>29</v>
      </c>
      <c r="L3" s="8" t="s">
        <v>30</v>
      </c>
      <c r="N3" s="8" t="s">
        <v>37</v>
      </c>
      <c r="O3" s="8" t="s">
        <v>37</v>
      </c>
      <c r="Q3" s="8" t="s">
        <v>32</v>
      </c>
      <c r="R3" s="8">
        <v>0</v>
      </c>
      <c r="S3" s="8">
        <v>2</v>
      </c>
      <c r="T3" s="8">
        <f t="shared" ref="T3:T66" si="1">SUM(R3:S3)</f>
        <v>2</v>
      </c>
      <c r="U3" s="8">
        <v>0</v>
      </c>
      <c r="V3" s="8">
        <v>0</v>
      </c>
      <c r="W3" s="8">
        <v>0</v>
      </c>
      <c r="X3" s="8">
        <v>0</v>
      </c>
      <c r="Y3" s="8">
        <v>2</v>
      </c>
      <c r="Z3" s="8">
        <v>2</v>
      </c>
      <c r="AA3" s="8">
        <v>47</v>
      </c>
      <c r="AB3" s="9">
        <f t="shared" ref="AB3:AB66" si="2">SUM(U3:Z3)/AA3*30</f>
        <v>2.5531914893617023</v>
      </c>
      <c r="AC3" s="10">
        <f t="shared" ref="AC3:AC66" si="3">IFERROR(T3/AB3,"sin venta")</f>
        <v>0.78333333333333333</v>
      </c>
      <c r="AD3" s="8" t="s">
        <v>33</v>
      </c>
      <c r="AE3" s="11">
        <v>29990</v>
      </c>
      <c r="AF3" s="11">
        <f t="shared" ref="AF3:AF66" si="4">IFERROR(AE3*T3,0)</f>
        <v>59980</v>
      </c>
      <c r="AG3" s="12" t="s">
        <v>34</v>
      </c>
      <c r="AH3" s="8" t="s">
        <v>35</v>
      </c>
    </row>
    <row r="4" spans="1:34">
      <c r="A4" s="8" t="s">
        <v>38</v>
      </c>
      <c r="B4" s="16" t="s">
        <v>39</v>
      </c>
      <c r="C4" s="8" t="s">
        <v>40</v>
      </c>
      <c r="D4" s="8" t="s">
        <v>41</v>
      </c>
      <c r="E4" s="8" t="str">
        <f t="shared" si="0"/>
        <v>NEGRO</v>
      </c>
      <c r="G4" s="8" t="s">
        <v>2862</v>
      </c>
      <c r="H4" s="8">
        <f>VLOOKUP(A4,[1]BBDD!$B$1:$J$3274,9,FALSE)</f>
        <v>0</v>
      </c>
      <c r="I4" s="8" t="s">
        <v>2862</v>
      </c>
      <c r="J4" s="8" t="s">
        <v>42</v>
      </c>
      <c r="L4" s="8" t="s">
        <v>43</v>
      </c>
      <c r="N4" s="8" t="s">
        <v>44</v>
      </c>
      <c r="O4" s="8" t="s">
        <v>44</v>
      </c>
      <c r="Q4" s="8" t="s">
        <v>45</v>
      </c>
      <c r="R4" s="8">
        <v>0</v>
      </c>
      <c r="S4" s="8">
        <v>3</v>
      </c>
      <c r="T4" s="8">
        <f t="shared" si="1"/>
        <v>3</v>
      </c>
      <c r="U4" s="8">
        <v>1</v>
      </c>
      <c r="V4" s="8">
        <v>2</v>
      </c>
      <c r="W4" s="8">
        <v>2</v>
      </c>
      <c r="X4" s="8">
        <v>0</v>
      </c>
      <c r="Y4" s="8">
        <v>0</v>
      </c>
      <c r="Z4" s="8">
        <v>0</v>
      </c>
      <c r="AA4" s="8">
        <v>180</v>
      </c>
      <c r="AB4" s="9">
        <f t="shared" si="2"/>
        <v>0.83333333333333326</v>
      </c>
      <c r="AC4" s="10">
        <f t="shared" si="3"/>
        <v>3.6000000000000005</v>
      </c>
      <c r="AD4" s="8" t="s">
        <v>46</v>
      </c>
      <c r="AE4" s="11">
        <v>99990</v>
      </c>
      <c r="AF4" s="11">
        <f t="shared" si="4"/>
        <v>299970</v>
      </c>
      <c r="AG4" s="12" t="s">
        <v>34</v>
      </c>
      <c r="AH4" s="8" t="s">
        <v>35</v>
      </c>
    </row>
    <row r="5" spans="1:34">
      <c r="A5" s="8" t="s">
        <v>47</v>
      </c>
      <c r="B5" s="16" t="s">
        <v>39</v>
      </c>
      <c r="C5" s="8" t="s">
        <v>40</v>
      </c>
      <c r="D5" s="8" t="s">
        <v>41</v>
      </c>
      <c r="E5" s="8" t="str">
        <f t="shared" si="0"/>
        <v>ARMY</v>
      </c>
      <c r="G5" s="8" t="s">
        <v>2862</v>
      </c>
      <c r="H5" s="8">
        <f>VLOOKUP(A5,[1]BBDD!$B$1:$J$3274,9,FALSE)</f>
        <v>0</v>
      </c>
      <c r="I5" s="8" t="s">
        <v>2862</v>
      </c>
      <c r="J5" s="8" t="s">
        <v>42</v>
      </c>
      <c r="L5" s="8" t="s">
        <v>48</v>
      </c>
      <c r="N5" s="8" t="s">
        <v>49</v>
      </c>
      <c r="O5" s="8" t="s">
        <v>49</v>
      </c>
      <c r="Q5" s="8" t="s">
        <v>45</v>
      </c>
      <c r="R5" s="8">
        <v>0</v>
      </c>
      <c r="S5" s="8">
        <v>2</v>
      </c>
      <c r="T5" s="8">
        <f t="shared" si="1"/>
        <v>2</v>
      </c>
      <c r="U5" s="8">
        <v>1</v>
      </c>
      <c r="V5" s="8">
        <v>0</v>
      </c>
      <c r="W5" s="8">
        <v>0</v>
      </c>
      <c r="X5" s="8">
        <v>2</v>
      </c>
      <c r="Y5" s="8">
        <v>1</v>
      </c>
      <c r="Z5" s="8">
        <v>1</v>
      </c>
      <c r="AA5" s="8">
        <v>180</v>
      </c>
      <c r="AB5" s="9">
        <f t="shared" si="2"/>
        <v>0.83333333333333326</v>
      </c>
      <c r="AC5" s="10">
        <f t="shared" si="3"/>
        <v>2.4000000000000004</v>
      </c>
      <c r="AD5" s="8" t="s">
        <v>46</v>
      </c>
      <c r="AE5" s="11">
        <v>99990</v>
      </c>
      <c r="AF5" s="11">
        <f t="shared" si="4"/>
        <v>199980</v>
      </c>
      <c r="AG5" s="12" t="s">
        <v>34</v>
      </c>
      <c r="AH5" s="8" t="s">
        <v>35</v>
      </c>
    </row>
    <row r="6" spans="1:34">
      <c r="A6" s="8" t="s">
        <v>50</v>
      </c>
      <c r="B6" s="16" t="s">
        <v>39</v>
      </c>
      <c r="C6" s="8" t="s">
        <v>40</v>
      </c>
      <c r="D6" s="8" t="s">
        <v>41</v>
      </c>
      <c r="E6" s="8" t="str">
        <f t="shared" si="0"/>
        <v>NEGRO</v>
      </c>
      <c r="G6" s="8" t="s">
        <v>2862</v>
      </c>
      <c r="H6" s="8">
        <f>VLOOKUP(A6,[1]BBDD!$B$1:$J$3274,9,FALSE)</f>
        <v>0</v>
      </c>
      <c r="I6" s="8" t="s">
        <v>2862</v>
      </c>
      <c r="J6" s="8" t="s">
        <v>42</v>
      </c>
      <c r="L6" s="8" t="s">
        <v>48</v>
      </c>
      <c r="N6" s="8" t="s">
        <v>44</v>
      </c>
      <c r="O6" s="8" t="s">
        <v>44</v>
      </c>
      <c r="Q6" s="8" t="s">
        <v>45</v>
      </c>
      <c r="R6" s="8">
        <v>3</v>
      </c>
      <c r="S6" s="8">
        <v>6</v>
      </c>
      <c r="T6" s="8">
        <f t="shared" si="1"/>
        <v>9</v>
      </c>
      <c r="U6" s="8">
        <v>0</v>
      </c>
      <c r="V6" s="8">
        <v>0</v>
      </c>
      <c r="W6" s="8">
        <v>1</v>
      </c>
      <c r="X6" s="8">
        <v>2</v>
      </c>
      <c r="Y6" s="8">
        <v>1</v>
      </c>
      <c r="Z6" s="8">
        <v>2</v>
      </c>
      <c r="AA6" s="8">
        <v>180</v>
      </c>
      <c r="AB6" s="9">
        <f t="shared" si="2"/>
        <v>1</v>
      </c>
      <c r="AC6" s="10">
        <f t="shared" si="3"/>
        <v>9</v>
      </c>
      <c r="AD6" s="8" t="s">
        <v>46</v>
      </c>
      <c r="AE6" s="11">
        <v>99990</v>
      </c>
      <c r="AF6" s="11">
        <f t="shared" si="4"/>
        <v>899910</v>
      </c>
      <c r="AG6" s="12" t="s">
        <v>51</v>
      </c>
      <c r="AH6" s="8" t="s">
        <v>35</v>
      </c>
    </row>
    <row r="7" spans="1:34">
      <c r="A7" s="8" t="s">
        <v>52</v>
      </c>
      <c r="B7" s="16" t="s">
        <v>39</v>
      </c>
      <c r="C7" s="8" t="s">
        <v>40</v>
      </c>
      <c r="D7" s="8" t="s">
        <v>41</v>
      </c>
      <c r="E7" s="8" t="str">
        <f t="shared" si="0"/>
        <v>NEGRO</v>
      </c>
      <c r="G7" s="8" t="s">
        <v>2862</v>
      </c>
      <c r="H7" s="8">
        <f>VLOOKUP(A7,[1]BBDD!$B$1:$J$3274,9,FALSE)</f>
        <v>0</v>
      </c>
      <c r="I7" s="8" t="s">
        <v>2862</v>
      </c>
      <c r="J7" s="8" t="s">
        <v>42</v>
      </c>
      <c r="L7" s="8" t="s">
        <v>53</v>
      </c>
      <c r="N7" s="8" t="s">
        <v>44</v>
      </c>
      <c r="O7" s="8" t="s">
        <v>44</v>
      </c>
      <c r="Q7" s="8" t="s">
        <v>45</v>
      </c>
      <c r="R7" s="8">
        <v>0</v>
      </c>
      <c r="S7" s="8">
        <v>3</v>
      </c>
      <c r="T7" s="8">
        <f t="shared" si="1"/>
        <v>3</v>
      </c>
      <c r="U7" s="8">
        <v>0</v>
      </c>
      <c r="V7" s="8">
        <v>0</v>
      </c>
      <c r="W7" s="8">
        <v>1</v>
      </c>
      <c r="X7" s="8">
        <v>1</v>
      </c>
      <c r="Y7" s="8">
        <v>1</v>
      </c>
      <c r="Z7" s="8">
        <v>0</v>
      </c>
      <c r="AA7" s="8">
        <v>180</v>
      </c>
      <c r="AB7" s="9">
        <f t="shared" si="2"/>
        <v>0.5</v>
      </c>
      <c r="AC7" s="10">
        <f t="shared" si="3"/>
        <v>6</v>
      </c>
      <c r="AD7" s="8" t="s">
        <v>46</v>
      </c>
      <c r="AE7" s="11">
        <v>99990</v>
      </c>
      <c r="AF7" s="11">
        <f t="shared" si="4"/>
        <v>299970</v>
      </c>
      <c r="AG7" s="12" t="s">
        <v>34</v>
      </c>
      <c r="AH7" s="8" t="s">
        <v>35</v>
      </c>
    </row>
    <row r="8" spans="1:34">
      <c r="A8" s="8" t="s">
        <v>54</v>
      </c>
      <c r="B8" s="16" t="s">
        <v>39</v>
      </c>
      <c r="C8" s="8" t="s">
        <v>40</v>
      </c>
      <c r="D8" s="8" t="s">
        <v>41</v>
      </c>
      <c r="E8" s="8" t="str">
        <f t="shared" si="0"/>
        <v>PIEDRA</v>
      </c>
      <c r="G8" s="8" t="s">
        <v>2862</v>
      </c>
      <c r="H8" s="8">
        <f>VLOOKUP(A8,[1]BBDD!$B$1:$J$3274,9,FALSE)</f>
        <v>0</v>
      </c>
      <c r="I8" s="8" t="s">
        <v>2862</v>
      </c>
      <c r="J8" s="8" t="s">
        <v>42</v>
      </c>
      <c r="L8" s="8" t="s">
        <v>55</v>
      </c>
      <c r="N8" s="8" t="s">
        <v>56</v>
      </c>
      <c r="O8" s="8" t="s">
        <v>56</v>
      </c>
      <c r="Q8" s="8" t="s">
        <v>45</v>
      </c>
      <c r="R8" s="8">
        <v>0</v>
      </c>
      <c r="S8" s="8">
        <v>2</v>
      </c>
      <c r="T8" s="8">
        <f t="shared" si="1"/>
        <v>2</v>
      </c>
      <c r="U8" s="8">
        <v>0</v>
      </c>
      <c r="V8" s="8">
        <v>0</v>
      </c>
      <c r="W8" s="8">
        <v>0</v>
      </c>
      <c r="X8" s="8">
        <v>1</v>
      </c>
      <c r="Y8" s="8">
        <v>0</v>
      </c>
      <c r="Z8" s="8">
        <v>0</v>
      </c>
      <c r="AA8" s="8">
        <v>180</v>
      </c>
      <c r="AB8" s="9">
        <f t="shared" si="2"/>
        <v>0.16666666666666669</v>
      </c>
      <c r="AC8" s="10">
        <f t="shared" si="3"/>
        <v>11.999999999999998</v>
      </c>
      <c r="AD8" s="8" t="s">
        <v>46</v>
      </c>
      <c r="AE8" s="11">
        <v>99990</v>
      </c>
      <c r="AF8" s="11">
        <f t="shared" si="4"/>
        <v>199980</v>
      </c>
      <c r="AG8" s="12" t="s">
        <v>51</v>
      </c>
      <c r="AH8" s="8" t="s">
        <v>35</v>
      </c>
    </row>
    <row r="9" spans="1:34">
      <c r="A9" s="8" t="s">
        <v>57</v>
      </c>
      <c r="B9" s="16" t="s">
        <v>39</v>
      </c>
      <c r="C9" s="8" t="s">
        <v>40</v>
      </c>
      <c r="D9" s="8" t="s">
        <v>41</v>
      </c>
      <c r="E9" s="8" t="str">
        <f t="shared" si="0"/>
        <v>VISON</v>
      </c>
      <c r="G9" s="8" t="s">
        <v>2862</v>
      </c>
      <c r="H9" s="8">
        <f>VLOOKUP(A9,[1]BBDD!$B$1:$J$3274,9,FALSE)</f>
        <v>0</v>
      </c>
      <c r="I9" s="8" t="s">
        <v>2862</v>
      </c>
      <c r="J9" s="8" t="s">
        <v>42</v>
      </c>
      <c r="L9" s="8" t="s">
        <v>55</v>
      </c>
      <c r="N9" s="8" t="s">
        <v>58</v>
      </c>
      <c r="O9" s="8" t="s">
        <v>58</v>
      </c>
      <c r="Q9" s="8" t="s">
        <v>45</v>
      </c>
      <c r="R9" s="8">
        <v>0</v>
      </c>
      <c r="S9" s="8">
        <v>4</v>
      </c>
      <c r="T9" s="8">
        <f t="shared" si="1"/>
        <v>4</v>
      </c>
      <c r="U9" s="8">
        <v>0</v>
      </c>
      <c r="V9" s="8">
        <v>0</v>
      </c>
      <c r="W9" s="8">
        <v>0</v>
      </c>
      <c r="X9" s="8">
        <v>4</v>
      </c>
      <c r="Y9" s="8">
        <v>1</v>
      </c>
      <c r="Z9" s="8">
        <v>0</v>
      </c>
      <c r="AA9" s="8">
        <v>180</v>
      </c>
      <c r="AB9" s="9">
        <f t="shared" si="2"/>
        <v>0.83333333333333326</v>
      </c>
      <c r="AC9" s="10">
        <f t="shared" si="3"/>
        <v>4.8000000000000007</v>
      </c>
      <c r="AD9" s="8" t="s">
        <v>46</v>
      </c>
      <c r="AE9" s="11">
        <v>99990</v>
      </c>
      <c r="AF9" s="11">
        <f t="shared" si="4"/>
        <v>399960</v>
      </c>
      <c r="AG9" s="12" t="s">
        <v>34</v>
      </c>
      <c r="AH9" s="8" t="s">
        <v>35</v>
      </c>
    </row>
    <row r="10" spans="1:34">
      <c r="A10" s="8" t="s">
        <v>59</v>
      </c>
      <c r="B10" s="16" t="s">
        <v>2860</v>
      </c>
      <c r="C10" s="8" t="s">
        <v>40</v>
      </c>
      <c r="D10" s="8" t="s">
        <v>41</v>
      </c>
      <c r="E10" s="8" t="str">
        <f t="shared" si="0"/>
        <v>CARAMELO</v>
      </c>
      <c r="G10" s="8" t="s">
        <v>2862</v>
      </c>
      <c r="H10" s="8" t="str">
        <f>VLOOKUP(A10,[1]BBDD!$B$1:$J$3274,9,FALSE)</f>
        <v>M</v>
      </c>
      <c r="I10" s="8" t="s">
        <v>2862</v>
      </c>
      <c r="J10" s="8" t="s">
        <v>60</v>
      </c>
      <c r="L10" s="8" t="s">
        <v>61</v>
      </c>
      <c r="N10" s="8" t="s">
        <v>62</v>
      </c>
      <c r="O10" s="8" t="s">
        <v>62</v>
      </c>
      <c r="Q10" s="8" t="s">
        <v>32</v>
      </c>
      <c r="R10" s="8">
        <v>0</v>
      </c>
      <c r="S10" s="8">
        <v>4</v>
      </c>
      <c r="T10" s="8">
        <f t="shared" si="1"/>
        <v>4</v>
      </c>
      <c r="U10" s="8">
        <v>0</v>
      </c>
      <c r="V10" s="8">
        <v>3</v>
      </c>
      <c r="W10" s="8">
        <v>1</v>
      </c>
      <c r="X10" s="8">
        <v>0</v>
      </c>
      <c r="Y10" s="8">
        <v>1</v>
      </c>
      <c r="Z10" s="8">
        <v>0</v>
      </c>
      <c r="AA10" s="8">
        <v>180</v>
      </c>
      <c r="AB10" s="9">
        <f t="shared" si="2"/>
        <v>0.83333333333333326</v>
      </c>
      <c r="AC10" s="10">
        <f t="shared" si="3"/>
        <v>4.8000000000000007</v>
      </c>
      <c r="AD10" s="8" t="s">
        <v>33</v>
      </c>
      <c r="AE10" s="11">
        <v>134990</v>
      </c>
      <c r="AF10" s="11">
        <f t="shared" si="4"/>
        <v>539960</v>
      </c>
      <c r="AG10" s="12" t="s">
        <v>34</v>
      </c>
      <c r="AH10" s="8" t="s">
        <v>35</v>
      </c>
    </row>
    <row r="11" spans="1:34">
      <c r="A11" s="8" t="s">
        <v>63</v>
      </c>
      <c r="B11" s="16" t="s">
        <v>2860</v>
      </c>
      <c r="C11" s="8" t="s">
        <v>40</v>
      </c>
      <c r="D11" s="8" t="s">
        <v>41</v>
      </c>
      <c r="E11" s="8" t="str">
        <f t="shared" si="0"/>
        <v>NEGRO</v>
      </c>
      <c r="G11" s="8" t="s">
        <v>2862</v>
      </c>
      <c r="H11" s="8" t="str">
        <f>VLOOKUP(A11,[1]BBDD!$B$1:$J$3274,9,FALSE)</f>
        <v>M</v>
      </c>
      <c r="I11" s="8" t="s">
        <v>2862</v>
      </c>
      <c r="J11" s="8" t="s">
        <v>60</v>
      </c>
      <c r="L11" s="8" t="s">
        <v>61</v>
      </c>
      <c r="N11" s="8" t="s">
        <v>44</v>
      </c>
      <c r="O11" s="8" t="s">
        <v>44</v>
      </c>
      <c r="Q11" s="8" t="s">
        <v>32</v>
      </c>
      <c r="R11" s="8">
        <v>3</v>
      </c>
      <c r="S11" s="8">
        <v>9</v>
      </c>
      <c r="T11" s="8">
        <f t="shared" si="1"/>
        <v>12</v>
      </c>
      <c r="U11" s="8">
        <v>1</v>
      </c>
      <c r="V11" s="8">
        <v>0</v>
      </c>
      <c r="W11" s="8">
        <v>3</v>
      </c>
      <c r="X11" s="8">
        <v>0</v>
      </c>
      <c r="Y11" s="8">
        <v>1</v>
      </c>
      <c r="Z11" s="8">
        <v>0</v>
      </c>
      <c r="AA11" s="8">
        <v>180</v>
      </c>
      <c r="AB11" s="9">
        <f t="shared" si="2"/>
        <v>0.83333333333333326</v>
      </c>
      <c r="AC11" s="10">
        <f t="shared" si="3"/>
        <v>14.400000000000002</v>
      </c>
      <c r="AD11" s="8" t="s">
        <v>33</v>
      </c>
      <c r="AE11" s="11">
        <v>134990</v>
      </c>
      <c r="AF11" s="11">
        <f t="shared" si="4"/>
        <v>1619880</v>
      </c>
      <c r="AG11" s="12" t="s">
        <v>64</v>
      </c>
      <c r="AH11" s="8" t="s">
        <v>65</v>
      </c>
    </row>
    <row r="12" spans="1:34">
      <c r="A12" s="8" t="s">
        <v>66</v>
      </c>
      <c r="B12" s="16" t="s">
        <v>2860</v>
      </c>
      <c r="C12" s="8" t="s">
        <v>40</v>
      </c>
      <c r="D12" s="8" t="s">
        <v>41</v>
      </c>
      <c r="E12" s="8" t="str">
        <f t="shared" si="0"/>
        <v>TABACO</v>
      </c>
      <c r="G12" s="8" t="s">
        <v>2862</v>
      </c>
      <c r="H12" s="8" t="str">
        <f>VLOOKUP(A12,[1]BBDD!$B$1:$J$3274,9,FALSE)</f>
        <v>M</v>
      </c>
      <c r="I12" s="8" t="s">
        <v>2862</v>
      </c>
      <c r="J12" s="8" t="s">
        <v>60</v>
      </c>
      <c r="L12" s="8" t="s">
        <v>61</v>
      </c>
      <c r="N12" s="8" t="s">
        <v>67</v>
      </c>
      <c r="O12" s="8" t="s">
        <v>67</v>
      </c>
      <c r="Q12" s="8" t="s">
        <v>32</v>
      </c>
      <c r="R12" s="8">
        <v>0</v>
      </c>
      <c r="S12" s="8">
        <v>2</v>
      </c>
      <c r="T12" s="8">
        <f t="shared" si="1"/>
        <v>2</v>
      </c>
      <c r="U12" s="8">
        <v>0</v>
      </c>
      <c r="V12" s="8">
        <v>0</v>
      </c>
      <c r="W12" s="8">
        <v>0</v>
      </c>
      <c r="X12" s="8">
        <v>2</v>
      </c>
      <c r="Y12" s="8">
        <v>1</v>
      </c>
      <c r="Z12" s="8">
        <v>0</v>
      </c>
      <c r="AA12" s="8">
        <v>180</v>
      </c>
      <c r="AB12" s="9">
        <f t="shared" si="2"/>
        <v>0.5</v>
      </c>
      <c r="AC12" s="10">
        <f t="shared" si="3"/>
        <v>4</v>
      </c>
      <c r="AD12" s="8" t="s">
        <v>33</v>
      </c>
      <c r="AE12" s="11">
        <v>134990</v>
      </c>
      <c r="AF12" s="11">
        <f t="shared" si="4"/>
        <v>269980</v>
      </c>
      <c r="AG12" s="12" t="s">
        <v>34</v>
      </c>
      <c r="AH12" s="8" t="s">
        <v>35</v>
      </c>
    </row>
    <row r="13" spans="1:34">
      <c r="A13" s="8" t="s">
        <v>68</v>
      </c>
      <c r="B13" s="16" t="s">
        <v>2860</v>
      </c>
      <c r="C13" s="8" t="s">
        <v>40</v>
      </c>
      <c r="D13" s="8" t="s">
        <v>41</v>
      </c>
      <c r="E13" s="8" t="str">
        <f t="shared" si="0"/>
        <v>MALBEC</v>
      </c>
      <c r="G13" s="8" t="s">
        <v>2862</v>
      </c>
      <c r="H13" s="8" t="str">
        <f>VLOOKUP(A13,[1]BBDD!$B$1:$J$3274,9,FALSE)</f>
        <v>M</v>
      </c>
      <c r="I13" s="8" t="s">
        <v>2862</v>
      </c>
      <c r="J13" s="8" t="s">
        <v>60</v>
      </c>
      <c r="L13" s="8" t="s">
        <v>61</v>
      </c>
      <c r="N13" s="8" t="s">
        <v>69</v>
      </c>
      <c r="O13" s="8" t="s">
        <v>69</v>
      </c>
      <c r="Q13" s="8" t="s">
        <v>32</v>
      </c>
      <c r="R13" s="8">
        <v>0</v>
      </c>
      <c r="S13" s="8">
        <v>3</v>
      </c>
      <c r="T13" s="8">
        <f t="shared" si="1"/>
        <v>3</v>
      </c>
      <c r="U13" s="8">
        <v>0</v>
      </c>
      <c r="V13" s="8">
        <v>0</v>
      </c>
      <c r="W13" s="8">
        <v>0</v>
      </c>
      <c r="X13" s="8">
        <v>1</v>
      </c>
      <c r="Y13" s="8">
        <v>0</v>
      </c>
      <c r="Z13" s="8">
        <v>0</v>
      </c>
      <c r="AA13" s="8">
        <v>180</v>
      </c>
      <c r="AB13" s="9">
        <f t="shared" si="2"/>
        <v>0.16666666666666669</v>
      </c>
      <c r="AC13" s="10">
        <f t="shared" si="3"/>
        <v>17.999999999999996</v>
      </c>
      <c r="AD13" s="8" t="s">
        <v>33</v>
      </c>
      <c r="AE13" s="11">
        <v>134990</v>
      </c>
      <c r="AF13" s="11">
        <f t="shared" si="4"/>
        <v>404970</v>
      </c>
      <c r="AG13" s="12" t="s">
        <v>64</v>
      </c>
      <c r="AH13" s="8" t="s">
        <v>35</v>
      </c>
    </row>
    <row r="14" spans="1:34">
      <c r="A14" s="8" t="s">
        <v>70</v>
      </c>
      <c r="B14" s="16" t="s">
        <v>2860</v>
      </c>
      <c r="C14" s="8" t="s">
        <v>40</v>
      </c>
      <c r="D14" s="8" t="s">
        <v>41</v>
      </c>
      <c r="E14" s="8" t="str">
        <f t="shared" si="0"/>
        <v>AVELLANA</v>
      </c>
      <c r="G14" s="8" t="s">
        <v>2862</v>
      </c>
      <c r="H14" s="8" t="str">
        <f>VLOOKUP(A14,[1]BBDD!$B$1:$J$3274,9,FALSE)</f>
        <v>M</v>
      </c>
      <c r="I14" s="8" t="s">
        <v>2862</v>
      </c>
      <c r="J14" s="8" t="s">
        <v>60</v>
      </c>
      <c r="L14" s="8" t="s">
        <v>71</v>
      </c>
      <c r="N14" s="8" t="s">
        <v>72</v>
      </c>
      <c r="O14" s="8" t="s">
        <v>72</v>
      </c>
      <c r="Q14" s="8" t="s">
        <v>32</v>
      </c>
      <c r="R14" s="8">
        <v>17</v>
      </c>
      <c r="S14" s="8">
        <v>11</v>
      </c>
      <c r="T14" s="8">
        <f t="shared" si="1"/>
        <v>28</v>
      </c>
      <c r="U14" s="8">
        <v>2</v>
      </c>
      <c r="V14" s="8">
        <v>1</v>
      </c>
      <c r="W14" s="8">
        <v>0</v>
      </c>
      <c r="X14" s="8">
        <v>0</v>
      </c>
      <c r="Y14" s="8">
        <v>0</v>
      </c>
      <c r="Z14" s="8">
        <v>0</v>
      </c>
      <c r="AA14" s="8">
        <v>180</v>
      </c>
      <c r="AB14" s="9">
        <f t="shared" si="2"/>
        <v>0.5</v>
      </c>
      <c r="AC14" s="10">
        <f t="shared" si="3"/>
        <v>56</v>
      </c>
      <c r="AD14" s="8" t="s">
        <v>33</v>
      </c>
      <c r="AE14" s="11">
        <v>134990</v>
      </c>
      <c r="AF14" s="11">
        <f t="shared" si="4"/>
        <v>3779720</v>
      </c>
      <c r="AG14" s="12" t="s">
        <v>73</v>
      </c>
      <c r="AH14" s="8" t="s">
        <v>74</v>
      </c>
    </row>
    <row r="15" spans="1:34">
      <c r="A15" s="8" t="s">
        <v>75</v>
      </c>
      <c r="B15" s="16" t="s">
        <v>2860</v>
      </c>
      <c r="C15" s="8" t="s">
        <v>40</v>
      </c>
      <c r="D15" s="8" t="s">
        <v>41</v>
      </c>
      <c r="E15" s="8" t="str">
        <f t="shared" si="0"/>
        <v>CAFE</v>
      </c>
      <c r="G15" s="8" t="s">
        <v>2862</v>
      </c>
      <c r="H15" s="8" t="str">
        <f>VLOOKUP(A15,[1]BBDD!$B$1:$J$3274,9,FALSE)</f>
        <v>M</v>
      </c>
      <c r="I15" s="8" t="s">
        <v>2862</v>
      </c>
      <c r="J15" s="8" t="s">
        <v>60</v>
      </c>
      <c r="L15" s="8" t="s">
        <v>71</v>
      </c>
      <c r="N15" s="8" t="s">
        <v>76</v>
      </c>
      <c r="O15" s="8" t="s">
        <v>76</v>
      </c>
      <c r="Q15" s="8" t="s">
        <v>32</v>
      </c>
      <c r="R15" s="8">
        <v>17</v>
      </c>
      <c r="S15" s="8">
        <v>10</v>
      </c>
      <c r="T15" s="8">
        <f t="shared" si="1"/>
        <v>27</v>
      </c>
      <c r="U15" s="8">
        <v>0</v>
      </c>
      <c r="V15" s="8">
        <v>1</v>
      </c>
      <c r="W15" s="8">
        <v>1</v>
      </c>
      <c r="X15" s="8">
        <v>2</v>
      </c>
      <c r="Y15" s="8">
        <v>0</v>
      </c>
      <c r="Z15" s="8">
        <v>1</v>
      </c>
      <c r="AA15" s="8">
        <v>180</v>
      </c>
      <c r="AB15" s="9">
        <f t="shared" si="2"/>
        <v>0.83333333333333326</v>
      </c>
      <c r="AC15" s="10">
        <f t="shared" si="3"/>
        <v>32.400000000000006</v>
      </c>
      <c r="AD15" s="8" t="s">
        <v>33</v>
      </c>
      <c r="AE15" s="11">
        <v>134990</v>
      </c>
      <c r="AF15" s="11">
        <f t="shared" si="4"/>
        <v>3644730</v>
      </c>
      <c r="AG15" s="12" t="s">
        <v>73</v>
      </c>
      <c r="AH15" s="8" t="s">
        <v>74</v>
      </c>
    </row>
    <row r="16" spans="1:34">
      <c r="A16" s="8" t="s">
        <v>77</v>
      </c>
      <c r="B16" s="16" t="s">
        <v>2860</v>
      </c>
      <c r="C16" s="8" t="s">
        <v>40</v>
      </c>
      <c r="D16" s="8" t="s">
        <v>41</v>
      </c>
      <c r="E16" s="8" t="str">
        <f t="shared" si="0"/>
        <v>OXIDO</v>
      </c>
      <c r="G16" s="8" t="s">
        <v>2862</v>
      </c>
      <c r="H16" s="8" t="str">
        <f>VLOOKUP(A16,[1]BBDD!$B$1:$J$3274,9,FALSE)</f>
        <v>M</v>
      </c>
      <c r="I16" s="8" t="s">
        <v>2862</v>
      </c>
      <c r="J16" s="8" t="s">
        <v>60</v>
      </c>
      <c r="L16" s="8" t="s">
        <v>71</v>
      </c>
      <c r="N16" s="8" t="s">
        <v>78</v>
      </c>
      <c r="O16" s="8" t="s">
        <v>78</v>
      </c>
      <c r="Q16" s="8" t="s">
        <v>32</v>
      </c>
      <c r="R16" s="8">
        <v>17</v>
      </c>
      <c r="S16" s="8">
        <v>12</v>
      </c>
      <c r="T16" s="8">
        <f t="shared" si="1"/>
        <v>29</v>
      </c>
      <c r="U16" s="8">
        <v>0</v>
      </c>
      <c r="V16" s="8">
        <v>0</v>
      </c>
      <c r="W16" s="8">
        <v>1</v>
      </c>
      <c r="X16" s="8">
        <v>1</v>
      </c>
      <c r="Y16" s="8">
        <v>0</v>
      </c>
      <c r="Z16" s="8">
        <v>0</v>
      </c>
      <c r="AA16" s="8">
        <v>180</v>
      </c>
      <c r="AB16" s="9">
        <f t="shared" si="2"/>
        <v>0.33333333333333337</v>
      </c>
      <c r="AC16" s="10">
        <f t="shared" si="3"/>
        <v>86.999999999999986</v>
      </c>
      <c r="AD16" s="8" t="s">
        <v>33</v>
      </c>
      <c r="AE16" s="11">
        <v>134990</v>
      </c>
      <c r="AF16" s="11">
        <f t="shared" si="4"/>
        <v>3914710</v>
      </c>
      <c r="AG16" s="12" t="s">
        <v>73</v>
      </c>
      <c r="AH16" s="8" t="s">
        <v>74</v>
      </c>
    </row>
    <row r="17" spans="1:34">
      <c r="A17" s="8" t="s">
        <v>79</v>
      </c>
      <c r="B17" s="16" t="s">
        <v>2860</v>
      </c>
      <c r="C17" s="8" t="s">
        <v>40</v>
      </c>
      <c r="D17" s="8" t="s">
        <v>41</v>
      </c>
      <c r="E17" s="8" t="str">
        <f t="shared" si="0"/>
        <v>VESUBIO</v>
      </c>
      <c r="G17" s="8" t="s">
        <v>2862</v>
      </c>
      <c r="H17" s="8" t="str">
        <f>VLOOKUP(A17,[1]BBDD!$B$1:$J$3274,9,FALSE)</f>
        <v>M</v>
      </c>
      <c r="I17" s="8" t="s">
        <v>2862</v>
      </c>
      <c r="J17" s="8" t="s">
        <v>60</v>
      </c>
      <c r="L17" s="8" t="s">
        <v>71</v>
      </c>
      <c r="N17" s="8" t="s">
        <v>80</v>
      </c>
      <c r="O17" s="8" t="s">
        <v>80</v>
      </c>
      <c r="Q17" s="8" t="s">
        <v>32</v>
      </c>
      <c r="R17" s="8">
        <v>16</v>
      </c>
      <c r="S17" s="8">
        <v>10</v>
      </c>
      <c r="T17" s="8">
        <f t="shared" si="1"/>
        <v>26</v>
      </c>
      <c r="U17" s="8">
        <v>1</v>
      </c>
      <c r="V17" s="8">
        <v>2</v>
      </c>
      <c r="W17" s="8">
        <v>1</v>
      </c>
      <c r="X17" s="8">
        <v>0</v>
      </c>
      <c r="Y17" s="8">
        <v>0</v>
      </c>
      <c r="Z17" s="8">
        <v>0</v>
      </c>
      <c r="AA17" s="8">
        <v>180</v>
      </c>
      <c r="AB17" s="9">
        <f t="shared" si="2"/>
        <v>0.66666666666666674</v>
      </c>
      <c r="AC17" s="10">
        <f t="shared" si="3"/>
        <v>38.999999999999993</v>
      </c>
      <c r="AD17" s="8" t="s">
        <v>33</v>
      </c>
      <c r="AE17" s="11">
        <v>134990</v>
      </c>
      <c r="AF17" s="11">
        <f t="shared" si="4"/>
        <v>3509740</v>
      </c>
      <c r="AG17" s="12" t="s">
        <v>73</v>
      </c>
      <c r="AH17" s="8" t="s">
        <v>74</v>
      </c>
    </row>
    <row r="18" spans="1:34">
      <c r="A18" s="8" t="s">
        <v>81</v>
      </c>
      <c r="B18" s="16" t="s">
        <v>2860</v>
      </c>
      <c r="C18" s="8" t="s">
        <v>40</v>
      </c>
      <c r="D18" s="8" t="s">
        <v>41</v>
      </c>
      <c r="E18" s="8" t="str">
        <f t="shared" si="0"/>
        <v>AZUL</v>
      </c>
      <c r="G18" s="8" t="s">
        <v>2862</v>
      </c>
      <c r="H18" s="8" t="str">
        <f>VLOOKUP(A18,[1]BBDD!$B$1:$J$3274,9,FALSE)</f>
        <v>M</v>
      </c>
      <c r="I18" s="8" t="s">
        <v>2862</v>
      </c>
      <c r="J18" s="8" t="s">
        <v>60</v>
      </c>
      <c r="L18" s="8" t="s">
        <v>82</v>
      </c>
      <c r="N18" s="8" t="s">
        <v>83</v>
      </c>
      <c r="O18" s="8" t="s">
        <v>83</v>
      </c>
      <c r="Q18" s="8" t="s">
        <v>32</v>
      </c>
      <c r="R18" s="8">
        <v>1</v>
      </c>
      <c r="S18" s="8">
        <v>8</v>
      </c>
      <c r="T18" s="8">
        <f t="shared" si="1"/>
        <v>9</v>
      </c>
      <c r="U18" s="8">
        <v>0</v>
      </c>
      <c r="V18" s="8">
        <v>0</v>
      </c>
      <c r="W18" s="8">
        <v>0</v>
      </c>
      <c r="X18" s="8">
        <v>1</v>
      </c>
      <c r="Y18" s="8">
        <v>2</v>
      </c>
      <c r="Z18" s="8">
        <v>1</v>
      </c>
      <c r="AA18" s="8">
        <v>180</v>
      </c>
      <c r="AB18" s="9">
        <f t="shared" si="2"/>
        <v>0.66666666666666674</v>
      </c>
      <c r="AC18" s="10">
        <f t="shared" si="3"/>
        <v>13.499999999999998</v>
      </c>
      <c r="AD18" s="8" t="s">
        <v>33</v>
      </c>
      <c r="AE18" s="11">
        <v>134990</v>
      </c>
      <c r="AF18" s="11">
        <f t="shared" si="4"/>
        <v>1214910</v>
      </c>
      <c r="AG18" s="12" t="s">
        <v>64</v>
      </c>
      <c r="AH18" s="8" t="s">
        <v>35</v>
      </c>
    </row>
    <row r="19" spans="1:34">
      <c r="A19" s="8" t="s">
        <v>84</v>
      </c>
      <c r="B19" s="16" t="s">
        <v>2860</v>
      </c>
      <c r="C19" s="8" t="s">
        <v>40</v>
      </c>
      <c r="D19" s="8" t="s">
        <v>41</v>
      </c>
      <c r="E19" s="8" t="str">
        <f t="shared" si="0"/>
        <v>CARAMELO</v>
      </c>
      <c r="G19" s="8" t="s">
        <v>2862</v>
      </c>
      <c r="H19" s="8" t="str">
        <f>VLOOKUP(A19,[1]BBDD!$B$1:$J$3274,9,FALSE)</f>
        <v>M</v>
      </c>
      <c r="I19" s="8" t="s">
        <v>2862</v>
      </c>
      <c r="J19" s="8" t="s">
        <v>60</v>
      </c>
      <c r="L19" s="8" t="s">
        <v>82</v>
      </c>
      <c r="N19" s="8" t="s">
        <v>62</v>
      </c>
      <c r="O19" s="8" t="s">
        <v>62</v>
      </c>
      <c r="Q19" s="8" t="s">
        <v>32</v>
      </c>
      <c r="R19" s="8">
        <v>14</v>
      </c>
      <c r="S19" s="8">
        <v>8</v>
      </c>
      <c r="T19" s="8">
        <f t="shared" si="1"/>
        <v>22</v>
      </c>
      <c r="U19" s="8">
        <v>0</v>
      </c>
      <c r="V19" s="8">
        <v>0</v>
      </c>
      <c r="W19" s="8">
        <v>0</v>
      </c>
      <c r="X19" s="8">
        <v>1</v>
      </c>
      <c r="Y19" s="8">
        <v>0</v>
      </c>
      <c r="Z19" s="8">
        <v>0</v>
      </c>
      <c r="AA19" s="8">
        <v>180</v>
      </c>
      <c r="AB19" s="9">
        <f t="shared" si="2"/>
        <v>0.16666666666666669</v>
      </c>
      <c r="AC19" s="10">
        <f t="shared" si="3"/>
        <v>131.99999999999997</v>
      </c>
      <c r="AD19" s="8" t="s">
        <v>33</v>
      </c>
      <c r="AE19" s="11">
        <v>134990</v>
      </c>
      <c r="AF19" s="11">
        <f t="shared" si="4"/>
        <v>2969780</v>
      </c>
      <c r="AG19" s="12" t="s">
        <v>73</v>
      </c>
      <c r="AH19" s="8" t="s">
        <v>74</v>
      </c>
    </row>
    <row r="20" spans="1:34">
      <c r="A20" s="8" t="s">
        <v>85</v>
      </c>
      <c r="B20" s="16" t="s">
        <v>2860</v>
      </c>
      <c r="C20" s="8" t="s">
        <v>40</v>
      </c>
      <c r="D20" s="8" t="s">
        <v>41</v>
      </c>
      <c r="E20" s="8" t="str">
        <f t="shared" si="0"/>
        <v>MALBEC</v>
      </c>
      <c r="G20" s="8" t="s">
        <v>2862</v>
      </c>
      <c r="H20" s="8" t="str">
        <f>VLOOKUP(A20,[1]BBDD!$B$1:$J$3274,9,FALSE)</f>
        <v>M</v>
      </c>
      <c r="I20" s="8" t="s">
        <v>2862</v>
      </c>
      <c r="J20" s="8" t="s">
        <v>60</v>
      </c>
      <c r="L20" s="8" t="s">
        <v>82</v>
      </c>
      <c r="N20" s="8" t="s">
        <v>69</v>
      </c>
      <c r="O20" s="8" t="s">
        <v>69</v>
      </c>
      <c r="Q20" s="8" t="s">
        <v>32</v>
      </c>
      <c r="R20" s="8">
        <v>2</v>
      </c>
      <c r="S20" s="8">
        <v>6</v>
      </c>
      <c r="T20" s="8">
        <f t="shared" si="1"/>
        <v>8</v>
      </c>
      <c r="U20" s="8">
        <v>3</v>
      </c>
      <c r="V20" s="8">
        <v>0</v>
      </c>
      <c r="W20" s="8">
        <v>2</v>
      </c>
      <c r="X20" s="8">
        <v>1</v>
      </c>
      <c r="Y20" s="8">
        <v>1</v>
      </c>
      <c r="Z20" s="8">
        <v>0</v>
      </c>
      <c r="AA20" s="8">
        <v>180</v>
      </c>
      <c r="AB20" s="9">
        <f t="shared" si="2"/>
        <v>1.1666666666666667</v>
      </c>
      <c r="AC20" s="10">
        <f t="shared" si="3"/>
        <v>6.8571428571428568</v>
      </c>
      <c r="AD20" s="8" t="s">
        <v>33</v>
      </c>
      <c r="AE20" s="11">
        <v>134990</v>
      </c>
      <c r="AF20" s="11">
        <f t="shared" si="4"/>
        <v>1079920</v>
      </c>
      <c r="AG20" s="12" t="s">
        <v>51</v>
      </c>
      <c r="AH20" s="8" t="s">
        <v>35</v>
      </c>
    </row>
    <row r="21" spans="1:34">
      <c r="A21" s="8" t="s">
        <v>86</v>
      </c>
      <c r="B21" s="16" t="s">
        <v>2860</v>
      </c>
      <c r="C21" s="8" t="s">
        <v>40</v>
      </c>
      <c r="D21" s="8" t="s">
        <v>41</v>
      </c>
      <c r="E21" s="8" t="str">
        <f t="shared" si="0"/>
        <v>NEGRO</v>
      </c>
      <c r="G21" s="8" t="s">
        <v>2862</v>
      </c>
      <c r="H21" s="8" t="str">
        <f>VLOOKUP(A21,[1]BBDD!$B$1:$J$3274,9,FALSE)</f>
        <v>M</v>
      </c>
      <c r="I21" s="8" t="s">
        <v>2862</v>
      </c>
      <c r="J21" s="8" t="s">
        <v>60</v>
      </c>
      <c r="L21" s="8" t="s">
        <v>82</v>
      </c>
      <c r="N21" s="8" t="s">
        <v>44</v>
      </c>
      <c r="O21" s="8" t="s">
        <v>44</v>
      </c>
      <c r="Q21" s="8" t="s">
        <v>32</v>
      </c>
      <c r="R21" s="8">
        <v>14</v>
      </c>
      <c r="S21" s="8">
        <v>6</v>
      </c>
      <c r="T21" s="8">
        <f t="shared" si="1"/>
        <v>20</v>
      </c>
      <c r="U21" s="8">
        <v>1</v>
      </c>
      <c r="V21" s="8">
        <v>2</v>
      </c>
      <c r="W21" s="8">
        <v>2</v>
      </c>
      <c r="X21" s="8">
        <v>1</v>
      </c>
      <c r="Y21" s="8">
        <v>0</v>
      </c>
      <c r="Z21" s="8">
        <v>1</v>
      </c>
      <c r="AA21" s="8">
        <v>180</v>
      </c>
      <c r="AB21" s="9">
        <f t="shared" si="2"/>
        <v>1.1666666666666667</v>
      </c>
      <c r="AC21" s="10">
        <f t="shared" si="3"/>
        <v>17.142857142857142</v>
      </c>
      <c r="AD21" s="8" t="s">
        <v>33</v>
      </c>
      <c r="AE21" s="11">
        <v>134990</v>
      </c>
      <c r="AF21" s="11">
        <f t="shared" si="4"/>
        <v>2699800</v>
      </c>
      <c r="AG21" s="12" t="s">
        <v>64</v>
      </c>
      <c r="AH21" s="8" t="s">
        <v>65</v>
      </c>
    </row>
    <row r="22" spans="1:34">
      <c r="A22" s="8" t="s">
        <v>87</v>
      </c>
      <c r="B22" s="16" t="s">
        <v>2860</v>
      </c>
      <c r="C22" s="8" t="s">
        <v>40</v>
      </c>
      <c r="D22" s="8" t="s">
        <v>41</v>
      </c>
      <c r="E22" s="8" t="str">
        <f t="shared" si="0"/>
        <v>ROJO</v>
      </c>
      <c r="G22" s="8" t="s">
        <v>2862</v>
      </c>
      <c r="H22" s="8" t="str">
        <f>VLOOKUP(A22,[1]BBDD!$B$1:$J$3274,9,FALSE)</f>
        <v>M</v>
      </c>
      <c r="I22" s="8" t="s">
        <v>2862</v>
      </c>
      <c r="J22" s="8" t="s">
        <v>60</v>
      </c>
      <c r="L22" s="8" t="s">
        <v>82</v>
      </c>
      <c r="N22" s="8" t="s">
        <v>88</v>
      </c>
      <c r="O22" s="8" t="s">
        <v>88</v>
      </c>
      <c r="Q22" s="8" t="s">
        <v>32</v>
      </c>
      <c r="R22" s="8">
        <v>19</v>
      </c>
      <c r="S22" s="8">
        <v>9</v>
      </c>
      <c r="T22" s="8">
        <f t="shared" si="1"/>
        <v>28</v>
      </c>
      <c r="U22" s="8">
        <v>2</v>
      </c>
      <c r="V22" s="8">
        <v>0</v>
      </c>
      <c r="W22" s="8">
        <v>1</v>
      </c>
      <c r="X22" s="8">
        <v>0</v>
      </c>
      <c r="Y22" s="8">
        <v>0</v>
      </c>
      <c r="Z22" s="8">
        <v>0</v>
      </c>
      <c r="AA22" s="8">
        <v>180</v>
      </c>
      <c r="AB22" s="9">
        <f t="shared" si="2"/>
        <v>0.5</v>
      </c>
      <c r="AC22" s="10">
        <f t="shared" si="3"/>
        <v>56</v>
      </c>
      <c r="AD22" s="8" t="s">
        <v>33</v>
      </c>
      <c r="AE22" s="11">
        <v>134990</v>
      </c>
      <c r="AF22" s="11">
        <f t="shared" si="4"/>
        <v>3779720</v>
      </c>
      <c r="AG22" s="12" t="s">
        <v>73</v>
      </c>
      <c r="AH22" s="8" t="s">
        <v>74</v>
      </c>
    </row>
    <row r="23" spans="1:34">
      <c r="A23" s="8" t="s">
        <v>89</v>
      </c>
      <c r="B23" s="16" t="s">
        <v>2860</v>
      </c>
      <c r="C23" s="8" t="s">
        <v>40</v>
      </c>
      <c r="D23" s="8" t="s">
        <v>41</v>
      </c>
      <c r="E23" s="8" t="str">
        <f t="shared" si="0"/>
        <v>SUELA</v>
      </c>
      <c r="G23" s="8" t="s">
        <v>2862</v>
      </c>
      <c r="H23" s="8" t="str">
        <f>VLOOKUP(A23,[1]BBDD!$B$1:$J$3274,9,FALSE)</f>
        <v>M</v>
      </c>
      <c r="I23" s="8" t="s">
        <v>2862</v>
      </c>
      <c r="J23" s="8" t="s">
        <v>60</v>
      </c>
      <c r="L23" s="8" t="s">
        <v>82</v>
      </c>
      <c r="N23" s="8" t="s">
        <v>90</v>
      </c>
      <c r="O23" s="8" t="s">
        <v>90</v>
      </c>
      <c r="Q23" s="8" t="s">
        <v>32</v>
      </c>
      <c r="R23" s="8">
        <v>0</v>
      </c>
      <c r="S23" s="8">
        <v>2</v>
      </c>
      <c r="T23" s="8">
        <f t="shared" si="1"/>
        <v>2</v>
      </c>
      <c r="U23" s="8">
        <v>1</v>
      </c>
      <c r="V23" s="8">
        <v>1</v>
      </c>
      <c r="W23" s="8">
        <v>1</v>
      </c>
      <c r="X23" s="8">
        <v>2</v>
      </c>
      <c r="Y23" s="8">
        <v>1</v>
      </c>
      <c r="Z23" s="8">
        <v>2</v>
      </c>
      <c r="AA23" s="8">
        <v>180</v>
      </c>
      <c r="AB23" s="9">
        <f t="shared" si="2"/>
        <v>1.3333333333333335</v>
      </c>
      <c r="AC23" s="10">
        <f t="shared" si="3"/>
        <v>1.4999999999999998</v>
      </c>
      <c r="AD23" s="8" t="s">
        <v>33</v>
      </c>
      <c r="AE23" s="11">
        <v>134990</v>
      </c>
      <c r="AF23" s="11">
        <f t="shared" si="4"/>
        <v>269980</v>
      </c>
      <c r="AG23" s="12" t="s">
        <v>34</v>
      </c>
      <c r="AH23" s="8" t="s">
        <v>35</v>
      </c>
    </row>
    <row r="24" spans="1:34">
      <c r="A24" s="8" t="s">
        <v>91</v>
      </c>
      <c r="B24" s="16" t="s">
        <v>2860</v>
      </c>
      <c r="C24" s="8" t="s">
        <v>40</v>
      </c>
      <c r="D24" s="8" t="s">
        <v>41</v>
      </c>
      <c r="E24" s="8" t="str">
        <f t="shared" si="0"/>
        <v>VERDE</v>
      </c>
      <c r="G24" s="8" t="s">
        <v>2862</v>
      </c>
      <c r="H24" s="8" t="str">
        <f>VLOOKUP(A24,[1]BBDD!$B$1:$J$3274,9,FALSE)</f>
        <v>M</v>
      </c>
      <c r="I24" s="8" t="s">
        <v>2862</v>
      </c>
      <c r="J24" s="8" t="s">
        <v>60</v>
      </c>
      <c r="L24" s="8" t="s">
        <v>82</v>
      </c>
      <c r="N24" s="8" t="s">
        <v>92</v>
      </c>
      <c r="O24" s="8" t="s">
        <v>92</v>
      </c>
      <c r="Q24" s="8" t="s">
        <v>32</v>
      </c>
      <c r="R24" s="8">
        <v>0</v>
      </c>
      <c r="S24" s="8">
        <v>0</v>
      </c>
      <c r="T24" s="8">
        <f t="shared" si="1"/>
        <v>0</v>
      </c>
      <c r="U24" s="8">
        <v>0</v>
      </c>
      <c r="V24" s="8">
        <v>0</v>
      </c>
      <c r="W24" s="8">
        <v>1</v>
      </c>
      <c r="X24" s="8">
        <v>0</v>
      </c>
      <c r="Y24" s="8">
        <v>0</v>
      </c>
      <c r="Z24" s="8">
        <v>0</v>
      </c>
      <c r="AA24" s="8">
        <v>180</v>
      </c>
      <c r="AB24" s="9">
        <f t="shared" si="2"/>
        <v>0.16666666666666669</v>
      </c>
      <c r="AC24" s="10">
        <f t="shared" si="3"/>
        <v>0</v>
      </c>
      <c r="AD24" s="8" t="s">
        <v>33</v>
      </c>
      <c r="AE24" s="11">
        <v>134990</v>
      </c>
      <c r="AF24" s="11">
        <f t="shared" si="4"/>
        <v>0</v>
      </c>
      <c r="AG24" s="12" t="s">
        <v>34</v>
      </c>
      <c r="AH24" s="8" t="s">
        <v>35</v>
      </c>
    </row>
    <row r="25" spans="1:34">
      <c r="A25" s="8" t="s">
        <v>93</v>
      </c>
      <c r="B25" s="16" t="s">
        <v>39</v>
      </c>
      <c r="C25" s="8" t="s">
        <v>40</v>
      </c>
      <c r="D25" s="8" t="s">
        <v>41</v>
      </c>
      <c r="E25" s="8" t="str">
        <f t="shared" si="0"/>
        <v>COTTON</v>
      </c>
      <c r="G25" s="8" t="s">
        <v>2862</v>
      </c>
      <c r="H25" s="8" t="str">
        <f>VLOOKUP(A25,[1]BBDD!$B$1:$J$3274,9,FALSE)</f>
        <v>M</v>
      </c>
      <c r="I25" s="8" t="s">
        <v>2862</v>
      </c>
      <c r="J25" s="8" t="s">
        <v>94</v>
      </c>
      <c r="L25" s="8" t="s">
        <v>43</v>
      </c>
      <c r="N25" s="8" t="s">
        <v>95</v>
      </c>
      <c r="O25" s="8" t="s">
        <v>95</v>
      </c>
      <c r="Q25" s="8" t="s">
        <v>45</v>
      </c>
      <c r="R25" s="8">
        <v>2</v>
      </c>
      <c r="S25" s="8">
        <v>4</v>
      </c>
      <c r="T25" s="8">
        <f t="shared" si="1"/>
        <v>6</v>
      </c>
      <c r="U25" s="8">
        <v>1</v>
      </c>
      <c r="V25" s="8">
        <v>1</v>
      </c>
      <c r="W25" s="8">
        <v>0</v>
      </c>
      <c r="X25" s="8">
        <v>0</v>
      </c>
      <c r="Y25" s="8">
        <v>0</v>
      </c>
      <c r="Z25" s="8">
        <v>0</v>
      </c>
      <c r="AA25" s="8">
        <v>180</v>
      </c>
      <c r="AB25" s="9">
        <f t="shared" si="2"/>
        <v>0.33333333333333337</v>
      </c>
      <c r="AC25" s="10">
        <f t="shared" si="3"/>
        <v>17.999999999999996</v>
      </c>
      <c r="AD25" s="8" t="s">
        <v>46</v>
      </c>
      <c r="AE25" s="11">
        <v>89990</v>
      </c>
      <c r="AF25" s="11">
        <f t="shared" si="4"/>
        <v>539940</v>
      </c>
      <c r="AG25" s="12" t="s">
        <v>64</v>
      </c>
      <c r="AH25" s="8" t="s">
        <v>35</v>
      </c>
    </row>
    <row r="26" spans="1:34">
      <c r="A26" s="8" t="s">
        <v>96</v>
      </c>
      <c r="B26" s="16" t="s">
        <v>39</v>
      </c>
      <c r="C26" s="8" t="s">
        <v>40</v>
      </c>
      <c r="D26" s="8" t="s">
        <v>41</v>
      </c>
      <c r="E26" s="8" t="str">
        <f t="shared" si="0"/>
        <v>NEGRO</v>
      </c>
      <c r="G26" s="8" t="s">
        <v>2862</v>
      </c>
      <c r="H26" s="8" t="str">
        <f>VLOOKUP(A26,[1]BBDD!$B$1:$J$3274,9,FALSE)</f>
        <v>M</v>
      </c>
      <c r="I26" s="8" t="s">
        <v>2862</v>
      </c>
      <c r="J26" s="8" t="s">
        <v>94</v>
      </c>
      <c r="L26" s="8" t="s">
        <v>53</v>
      </c>
      <c r="N26" s="8" t="s">
        <v>44</v>
      </c>
      <c r="O26" s="8" t="s">
        <v>44</v>
      </c>
      <c r="Q26" s="8" t="s">
        <v>45</v>
      </c>
      <c r="R26" s="8">
        <v>1</v>
      </c>
      <c r="S26" s="8">
        <v>4</v>
      </c>
      <c r="T26" s="8">
        <f t="shared" si="1"/>
        <v>5</v>
      </c>
      <c r="U26" s="8">
        <v>0</v>
      </c>
      <c r="V26" s="8">
        <v>2</v>
      </c>
      <c r="W26" s="8">
        <v>1</v>
      </c>
      <c r="X26" s="8">
        <v>0</v>
      </c>
      <c r="Y26" s="8">
        <v>1</v>
      </c>
      <c r="Z26" s="8">
        <v>1</v>
      </c>
      <c r="AA26" s="8">
        <v>180</v>
      </c>
      <c r="AB26" s="9">
        <f t="shared" si="2"/>
        <v>0.83333333333333326</v>
      </c>
      <c r="AC26" s="10">
        <f t="shared" si="3"/>
        <v>6.0000000000000009</v>
      </c>
      <c r="AD26" s="8" t="s">
        <v>46</v>
      </c>
      <c r="AE26" s="11">
        <v>89990</v>
      </c>
      <c r="AF26" s="11">
        <f t="shared" si="4"/>
        <v>449950</v>
      </c>
      <c r="AG26" s="12" t="s">
        <v>34</v>
      </c>
      <c r="AH26" s="8" t="s">
        <v>35</v>
      </c>
    </row>
    <row r="27" spans="1:34">
      <c r="A27" s="8" t="s">
        <v>97</v>
      </c>
      <c r="B27" s="16" t="s">
        <v>39</v>
      </c>
      <c r="C27" s="8" t="s">
        <v>40</v>
      </c>
      <c r="D27" s="8" t="s">
        <v>41</v>
      </c>
      <c r="E27" s="8" t="str">
        <f t="shared" si="0"/>
        <v>PIEDRA</v>
      </c>
      <c r="G27" s="8" t="s">
        <v>2862</v>
      </c>
      <c r="H27" s="8" t="str">
        <f>VLOOKUP(A27,[1]BBDD!$B$1:$J$3274,9,FALSE)</f>
        <v>M</v>
      </c>
      <c r="I27" s="8" t="s">
        <v>2862</v>
      </c>
      <c r="J27" s="8" t="s">
        <v>94</v>
      </c>
      <c r="L27" s="8" t="s">
        <v>55</v>
      </c>
      <c r="N27" s="8" t="s">
        <v>56</v>
      </c>
      <c r="O27" s="8" t="s">
        <v>56</v>
      </c>
      <c r="Q27" s="8" t="s">
        <v>45</v>
      </c>
      <c r="R27" s="8">
        <v>0</v>
      </c>
      <c r="S27" s="8">
        <v>5</v>
      </c>
      <c r="T27" s="8">
        <f t="shared" si="1"/>
        <v>5</v>
      </c>
      <c r="U27" s="8">
        <v>0</v>
      </c>
      <c r="V27" s="8">
        <v>2</v>
      </c>
      <c r="W27" s="8">
        <v>0</v>
      </c>
      <c r="X27" s="8">
        <v>2</v>
      </c>
      <c r="Y27" s="8">
        <v>1</v>
      </c>
      <c r="Z27" s="8">
        <v>1</v>
      </c>
      <c r="AA27" s="8">
        <v>180</v>
      </c>
      <c r="AB27" s="9">
        <f t="shared" si="2"/>
        <v>1</v>
      </c>
      <c r="AC27" s="10">
        <f t="shared" si="3"/>
        <v>5</v>
      </c>
      <c r="AD27" s="8" t="s">
        <v>46</v>
      </c>
      <c r="AE27" s="11">
        <v>89990</v>
      </c>
      <c r="AF27" s="11">
        <f t="shared" si="4"/>
        <v>449950</v>
      </c>
      <c r="AG27" s="12" t="s">
        <v>34</v>
      </c>
      <c r="AH27" s="8" t="s">
        <v>35</v>
      </c>
    </row>
    <row r="28" spans="1:34">
      <c r="A28" s="8" t="s">
        <v>98</v>
      </c>
      <c r="B28" s="16" t="s">
        <v>39</v>
      </c>
      <c r="C28" s="8" t="s">
        <v>40</v>
      </c>
      <c r="D28" s="8" t="s">
        <v>41</v>
      </c>
      <c r="E28" s="8" t="str">
        <f t="shared" si="0"/>
        <v>VISON</v>
      </c>
      <c r="G28" s="8" t="s">
        <v>2862</v>
      </c>
      <c r="H28" s="8" t="str">
        <f>VLOOKUP(A28,[1]BBDD!$B$1:$J$3274,9,FALSE)</f>
        <v>M</v>
      </c>
      <c r="I28" s="8" t="s">
        <v>2862</v>
      </c>
      <c r="J28" s="8" t="s">
        <v>94</v>
      </c>
      <c r="L28" s="8" t="s">
        <v>55</v>
      </c>
      <c r="N28" s="8" t="s">
        <v>58</v>
      </c>
      <c r="O28" s="8" t="s">
        <v>58</v>
      </c>
      <c r="Q28" s="8" t="s">
        <v>45</v>
      </c>
      <c r="R28" s="8">
        <v>0</v>
      </c>
      <c r="S28" s="8">
        <v>2</v>
      </c>
      <c r="T28" s="8">
        <f t="shared" si="1"/>
        <v>2</v>
      </c>
      <c r="U28" s="8">
        <v>0</v>
      </c>
      <c r="V28" s="8">
        <v>2</v>
      </c>
      <c r="W28" s="8">
        <v>0</v>
      </c>
      <c r="X28" s="8">
        <v>1</v>
      </c>
      <c r="Y28" s="8">
        <v>0</v>
      </c>
      <c r="Z28" s="8">
        <v>0</v>
      </c>
      <c r="AA28" s="8">
        <v>180</v>
      </c>
      <c r="AB28" s="9">
        <f t="shared" si="2"/>
        <v>0.5</v>
      </c>
      <c r="AC28" s="10">
        <f t="shared" si="3"/>
        <v>4</v>
      </c>
      <c r="AD28" s="8" t="s">
        <v>46</v>
      </c>
      <c r="AE28" s="11">
        <v>89990</v>
      </c>
      <c r="AF28" s="11">
        <f t="shared" si="4"/>
        <v>179980</v>
      </c>
      <c r="AG28" s="12" t="s">
        <v>34</v>
      </c>
      <c r="AH28" s="8" t="s">
        <v>35</v>
      </c>
    </row>
    <row r="29" spans="1:34">
      <c r="A29" s="8" t="s">
        <v>99</v>
      </c>
      <c r="B29" s="16" t="s">
        <v>39</v>
      </c>
      <c r="C29" s="8" t="s">
        <v>40</v>
      </c>
      <c r="D29" s="8" t="s">
        <v>41</v>
      </c>
      <c r="E29" s="8" t="str">
        <f t="shared" si="0"/>
        <v>MANGO</v>
      </c>
      <c r="G29" s="8" t="s">
        <v>2862</v>
      </c>
      <c r="H29" s="8" t="str">
        <f>VLOOKUP(A29,[1]BBDD!$B$1:$J$3274,9,FALSE)</f>
        <v>M</v>
      </c>
      <c r="I29" s="8" t="s">
        <v>2862</v>
      </c>
      <c r="J29" s="8" t="s">
        <v>94</v>
      </c>
      <c r="L29" s="8" t="s">
        <v>100</v>
      </c>
      <c r="N29" s="8" t="s">
        <v>101</v>
      </c>
      <c r="O29" s="8" t="s">
        <v>101</v>
      </c>
      <c r="Q29" s="8" t="s">
        <v>45</v>
      </c>
      <c r="R29" s="8">
        <v>14</v>
      </c>
      <c r="S29" s="8">
        <v>4</v>
      </c>
      <c r="T29" s="8">
        <f t="shared" si="1"/>
        <v>18</v>
      </c>
      <c r="U29" s="8">
        <v>0</v>
      </c>
      <c r="V29" s="8">
        <v>1</v>
      </c>
      <c r="W29" s="8">
        <v>2</v>
      </c>
      <c r="X29" s="8">
        <v>2</v>
      </c>
      <c r="Y29" s="8">
        <v>0</v>
      </c>
      <c r="Z29" s="8">
        <v>2</v>
      </c>
      <c r="AA29" s="8">
        <v>180</v>
      </c>
      <c r="AB29" s="9">
        <f t="shared" si="2"/>
        <v>1.1666666666666667</v>
      </c>
      <c r="AC29" s="10">
        <f t="shared" si="3"/>
        <v>15.428571428571427</v>
      </c>
      <c r="AD29" s="8" t="s">
        <v>46</v>
      </c>
      <c r="AE29" s="11">
        <v>89990</v>
      </c>
      <c r="AF29" s="11">
        <f t="shared" si="4"/>
        <v>1619820</v>
      </c>
      <c r="AG29" s="12" t="s">
        <v>64</v>
      </c>
      <c r="AH29" s="8" t="s">
        <v>65</v>
      </c>
    </row>
    <row r="30" spans="1:34">
      <c r="A30" s="8" t="s">
        <v>102</v>
      </c>
      <c r="B30" s="16" t="s">
        <v>39</v>
      </c>
      <c r="C30" s="8" t="s">
        <v>40</v>
      </c>
      <c r="D30" s="8" t="s">
        <v>41</v>
      </c>
      <c r="E30" s="8" t="str">
        <f t="shared" si="0"/>
        <v>NEGRO</v>
      </c>
      <c r="G30" s="8" t="s">
        <v>2862</v>
      </c>
      <c r="H30" s="8" t="str">
        <f>VLOOKUP(A30,[1]BBDD!$B$1:$J$3274,9,FALSE)</f>
        <v>M</v>
      </c>
      <c r="I30" s="8" t="s">
        <v>2862</v>
      </c>
      <c r="J30" s="8" t="s">
        <v>94</v>
      </c>
      <c r="L30" s="8" t="s">
        <v>100</v>
      </c>
      <c r="N30" s="8" t="s">
        <v>44</v>
      </c>
      <c r="O30" s="8" t="s">
        <v>44</v>
      </c>
      <c r="Q30" s="8" t="s">
        <v>45</v>
      </c>
      <c r="R30" s="8">
        <v>21</v>
      </c>
      <c r="S30" s="8">
        <v>5</v>
      </c>
      <c r="T30" s="8">
        <f t="shared" si="1"/>
        <v>26</v>
      </c>
      <c r="U30" s="8">
        <v>1</v>
      </c>
      <c r="V30" s="8">
        <v>2</v>
      </c>
      <c r="W30" s="8">
        <v>2</v>
      </c>
      <c r="X30" s="8">
        <v>1</v>
      </c>
      <c r="Y30" s="8">
        <v>0</v>
      </c>
      <c r="Z30" s="8">
        <v>1</v>
      </c>
      <c r="AA30" s="8">
        <v>180</v>
      </c>
      <c r="AB30" s="9">
        <f t="shared" si="2"/>
        <v>1.1666666666666667</v>
      </c>
      <c r="AC30" s="10">
        <f t="shared" si="3"/>
        <v>22.285714285714285</v>
      </c>
      <c r="AD30" s="8" t="s">
        <v>46</v>
      </c>
      <c r="AE30" s="11">
        <v>89990</v>
      </c>
      <c r="AF30" s="11">
        <f t="shared" si="4"/>
        <v>2339740</v>
      </c>
      <c r="AG30" s="12" t="s">
        <v>64</v>
      </c>
      <c r="AH30" s="8" t="s">
        <v>74</v>
      </c>
    </row>
    <row r="31" spans="1:34">
      <c r="A31" s="8" t="s">
        <v>103</v>
      </c>
      <c r="B31" s="16" t="s">
        <v>2860</v>
      </c>
      <c r="C31" s="8" t="s">
        <v>40</v>
      </c>
      <c r="D31" s="8" t="s">
        <v>41</v>
      </c>
      <c r="E31" s="8" t="str">
        <f t="shared" si="0"/>
        <v>CARAMELO</v>
      </c>
      <c r="G31" s="8" t="s">
        <v>2862</v>
      </c>
      <c r="H31" s="8" t="str">
        <f>VLOOKUP(A31,[1]BBDD!$B$1:$J$3274,9,FALSE)</f>
        <v>M</v>
      </c>
      <c r="I31" s="8" t="s">
        <v>2862</v>
      </c>
      <c r="J31" s="8" t="s">
        <v>104</v>
      </c>
      <c r="L31" s="8" t="s">
        <v>61</v>
      </c>
      <c r="N31" s="8" t="s">
        <v>62</v>
      </c>
      <c r="O31" s="8" t="s">
        <v>62</v>
      </c>
      <c r="Q31" s="8" t="s">
        <v>32</v>
      </c>
      <c r="R31" s="8">
        <v>3</v>
      </c>
      <c r="S31" s="8">
        <v>7</v>
      </c>
      <c r="T31" s="8">
        <f t="shared" si="1"/>
        <v>10</v>
      </c>
      <c r="U31" s="8">
        <v>1</v>
      </c>
      <c r="V31" s="8">
        <v>1</v>
      </c>
      <c r="W31" s="8">
        <v>4</v>
      </c>
      <c r="X31" s="8">
        <v>2</v>
      </c>
      <c r="Y31" s="8">
        <v>1</v>
      </c>
      <c r="Z31" s="8">
        <v>1</v>
      </c>
      <c r="AA31" s="8">
        <v>180</v>
      </c>
      <c r="AB31" s="9">
        <f t="shared" si="2"/>
        <v>1.6666666666666665</v>
      </c>
      <c r="AC31" s="10">
        <f t="shared" si="3"/>
        <v>6.0000000000000009</v>
      </c>
      <c r="AD31" s="8" t="s">
        <v>33</v>
      </c>
      <c r="AE31" s="11">
        <v>69990</v>
      </c>
      <c r="AF31" s="11">
        <f t="shared" si="4"/>
        <v>699900</v>
      </c>
      <c r="AG31" s="12" t="s">
        <v>34</v>
      </c>
      <c r="AH31" s="8" t="s">
        <v>35</v>
      </c>
    </row>
    <row r="32" spans="1:34">
      <c r="A32" s="8" t="s">
        <v>105</v>
      </c>
      <c r="B32" s="16" t="s">
        <v>2860</v>
      </c>
      <c r="C32" s="8" t="s">
        <v>40</v>
      </c>
      <c r="D32" s="8" t="s">
        <v>41</v>
      </c>
      <c r="E32" s="8" t="str">
        <f t="shared" si="0"/>
        <v>MALBEC</v>
      </c>
      <c r="G32" s="8" t="s">
        <v>2862</v>
      </c>
      <c r="H32" s="8" t="str">
        <f>VLOOKUP(A32,[1]BBDD!$B$1:$J$3274,9,FALSE)</f>
        <v>M</v>
      </c>
      <c r="I32" s="8" t="s">
        <v>2862</v>
      </c>
      <c r="J32" s="8" t="s">
        <v>104</v>
      </c>
      <c r="L32" s="8" t="s">
        <v>61</v>
      </c>
      <c r="N32" s="8" t="s">
        <v>69</v>
      </c>
      <c r="O32" s="8" t="s">
        <v>69</v>
      </c>
      <c r="Q32" s="8" t="s">
        <v>32</v>
      </c>
      <c r="R32" s="8">
        <v>1</v>
      </c>
      <c r="S32" s="8">
        <v>5</v>
      </c>
      <c r="T32" s="8">
        <f t="shared" si="1"/>
        <v>6</v>
      </c>
      <c r="U32" s="8">
        <v>0</v>
      </c>
      <c r="V32" s="8">
        <v>1</v>
      </c>
      <c r="W32" s="8">
        <v>0</v>
      </c>
      <c r="X32" s="8">
        <v>2</v>
      </c>
      <c r="Y32" s="8">
        <v>1</v>
      </c>
      <c r="Z32" s="8">
        <v>3</v>
      </c>
      <c r="AA32" s="8">
        <v>180</v>
      </c>
      <c r="AB32" s="9">
        <f t="shared" si="2"/>
        <v>1.1666666666666667</v>
      </c>
      <c r="AC32" s="10">
        <f t="shared" si="3"/>
        <v>5.1428571428571423</v>
      </c>
      <c r="AD32" s="8" t="s">
        <v>33</v>
      </c>
      <c r="AE32" s="11">
        <v>69990</v>
      </c>
      <c r="AF32" s="11">
        <f t="shared" si="4"/>
        <v>419940</v>
      </c>
      <c r="AG32" s="12" t="s">
        <v>34</v>
      </c>
      <c r="AH32" s="8" t="s">
        <v>35</v>
      </c>
    </row>
    <row r="33" spans="1:34">
      <c r="A33" s="8" t="s">
        <v>106</v>
      </c>
      <c r="B33" s="16" t="s">
        <v>2860</v>
      </c>
      <c r="C33" s="8" t="s">
        <v>40</v>
      </c>
      <c r="D33" s="8" t="s">
        <v>41</v>
      </c>
      <c r="E33" s="8" t="str">
        <f t="shared" si="0"/>
        <v>NEGRO</v>
      </c>
      <c r="G33" s="8" t="s">
        <v>2862</v>
      </c>
      <c r="H33" s="8" t="str">
        <f>VLOOKUP(A33,[1]BBDD!$B$1:$J$3274,9,FALSE)</f>
        <v>M</v>
      </c>
      <c r="I33" s="8" t="s">
        <v>2862</v>
      </c>
      <c r="J33" s="8" t="s">
        <v>104</v>
      </c>
      <c r="L33" s="8" t="s">
        <v>61</v>
      </c>
      <c r="N33" s="8" t="s">
        <v>44</v>
      </c>
      <c r="O33" s="8" t="s">
        <v>44</v>
      </c>
      <c r="Q33" s="8" t="s">
        <v>32</v>
      </c>
      <c r="R33" s="8">
        <v>0</v>
      </c>
      <c r="S33" s="8">
        <v>6</v>
      </c>
      <c r="T33" s="8">
        <f t="shared" si="1"/>
        <v>6</v>
      </c>
      <c r="U33" s="8">
        <v>1</v>
      </c>
      <c r="V33" s="8">
        <v>0</v>
      </c>
      <c r="W33" s="8">
        <v>4</v>
      </c>
      <c r="X33" s="8">
        <v>0</v>
      </c>
      <c r="Y33" s="8">
        <v>2</v>
      </c>
      <c r="Z33" s="8">
        <v>2</v>
      </c>
      <c r="AA33" s="8">
        <v>180</v>
      </c>
      <c r="AB33" s="9">
        <f t="shared" si="2"/>
        <v>1.5</v>
      </c>
      <c r="AC33" s="10">
        <f t="shared" si="3"/>
        <v>4</v>
      </c>
      <c r="AD33" s="8" t="s">
        <v>33</v>
      </c>
      <c r="AE33" s="11">
        <v>69990</v>
      </c>
      <c r="AF33" s="11">
        <f t="shared" si="4"/>
        <v>419940</v>
      </c>
      <c r="AG33" s="12" t="s">
        <v>34</v>
      </c>
      <c r="AH33" s="8" t="s">
        <v>35</v>
      </c>
    </row>
    <row r="34" spans="1:34">
      <c r="A34" s="8" t="s">
        <v>107</v>
      </c>
      <c r="B34" s="16" t="s">
        <v>2860</v>
      </c>
      <c r="C34" s="8" t="s">
        <v>40</v>
      </c>
      <c r="D34" s="8" t="s">
        <v>41</v>
      </c>
      <c r="E34" s="8" t="str">
        <f t="shared" si="0"/>
        <v>LONDON</v>
      </c>
      <c r="G34" s="8" t="s">
        <v>2862</v>
      </c>
      <c r="H34" s="8" t="str">
        <f>VLOOKUP(A34,[1]BBDD!$B$1:$J$3274,9,FALSE)</f>
        <v>M</v>
      </c>
      <c r="I34" s="8" t="s">
        <v>2862</v>
      </c>
      <c r="J34" s="8" t="s">
        <v>104</v>
      </c>
      <c r="L34" s="8" t="s">
        <v>61</v>
      </c>
      <c r="N34" s="8" t="s">
        <v>108</v>
      </c>
      <c r="O34" s="8" t="s">
        <v>108</v>
      </c>
      <c r="Q34" s="8" t="s">
        <v>45</v>
      </c>
      <c r="R34" s="8">
        <v>0</v>
      </c>
      <c r="S34" s="8">
        <v>1</v>
      </c>
      <c r="T34" s="8">
        <f t="shared" si="1"/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180</v>
      </c>
      <c r="AB34" s="9">
        <f t="shared" si="2"/>
        <v>0</v>
      </c>
      <c r="AC34" s="10" t="str">
        <f t="shared" si="3"/>
        <v>sin venta</v>
      </c>
      <c r="AD34" s="8" t="s">
        <v>109</v>
      </c>
      <c r="AE34" s="11">
        <v>69990</v>
      </c>
      <c r="AF34" s="11">
        <f t="shared" si="4"/>
        <v>69990</v>
      </c>
      <c r="AG34" s="12" t="s">
        <v>73</v>
      </c>
      <c r="AH34" s="8" t="s">
        <v>35</v>
      </c>
    </row>
    <row r="35" spans="1:34">
      <c r="A35" s="8" t="s">
        <v>110</v>
      </c>
      <c r="B35" s="16" t="s">
        <v>2860</v>
      </c>
      <c r="C35" s="8" t="s">
        <v>40</v>
      </c>
      <c r="D35" s="8" t="s">
        <v>41</v>
      </c>
      <c r="E35" s="8" t="str">
        <f t="shared" si="0"/>
        <v>ROJO</v>
      </c>
      <c r="G35" s="8" t="s">
        <v>2862</v>
      </c>
      <c r="H35" s="8" t="str">
        <f>VLOOKUP(A35,[1]BBDD!$B$1:$J$3274,9,FALSE)</f>
        <v>M</v>
      </c>
      <c r="I35" s="8" t="s">
        <v>2862</v>
      </c>
      <c r="J35" s="8" t="s">
        <v>104</v>
      </c>
      <c r="L35" s="8" t="s">
        <v>61</v>
      </c>
      <c r="N35" s="8" t="s">
        <v>88</v>
      </c>
      <c r="O35" s="8" t="s">
        <v>88</v>
      </c>
      <c r="Q35" s="8" t="s">
        <v>45</v>
      </c>
      <c r="R35" s="8">
        <v>0</v>
      </c>
      <c r="S35" s="8">
        <v>4</v>
      </c>
      <c r="T35" s="8">
        <f t="shared" si="1"/>
        <v>4</v>
      </c>
      <c r="U35" s="8">
        <v>1</v>
      </c>
      <c r="V35" s="8">
        <v>4</v>
      </c>
      <c r="W35" s="8">
        <v>4</v>
      </c>
      <c r="X35" s="8">
        <v>2</v>
      </c>
      <c r="Y35" s="8">
        <v>0</v>
      </c>
      <c r="Z35" s="8">
        <v>0</v>
      </c>
      <c r="AA35" s="8">
        <v>180</v>
      </c>
      <c r="AB35" s="9">
        <f t="shared" si="2"/>
        <v>1.8333333333333333</v>
      </c>
      <c r="AC35" s="10">
        <f t="shared" si="3"/>
        <v>2.1818181818181821</v>
      </c>
      <c r="AD35" s="8" t="s">
        <v>109</v>
      </c>
      <c r="AE35" s="11">
        <v>69990</v>
      </c>
      <c r="AF35" s="11">
        <f t="shared" si="4"/>
        <v>279960</v>
      </c>
      <c r="AG35" s="12" t="s">
        <v>34</v>
      </c>
      <c r="AH35" s="8" t="s">
        <v>35</v>
      </c>
    </row>
    <row r="36" spans="1:34">
      <c r="A36" s="8" t="s">
        <v>111</v>
      </c>
      <c r="B36" s="16" t="s">
        <v>2860</v>
      </c>
      <c r="C36" s="8" t="s">
        <v>40</v>
      </c>
      <c r="D36" s="8" t="s">
        <v>41</v>
      </c>
      <c r="E36" s="8" t="str">
        <f t="shared" si="0"/>
        <v>CEDRO</v>
      </c>
      <c r="G36" s="8" t="s">
        <v>2862</v>
      </c>
      <c r="H36" s="8" t="str">
        <f>VLOOKUP(A36,[1]BBDD!$B$1:$J$3274,9,FALSE)</f>
        <v>M</v>
      </c>
      <c r="I36" s="8" t="s">
        <v>2862</v>
      </c>
      <c r="J36" s="8" t="s">
        <v>104</v>
      </c>
      <c r="L36" s="8" t="s">
        <v>112</v>
      </c>
      <c r="N36" s="8" t="s">
        <v>113</v>
      </c>
      <c r="O36" s="8" t="s">
        <v>113</v>
      </c>
      <c r="Q36" s="8" t="s">
        <v>32</v>
      </c>
      <c r="R36" s="8">
        <v>0</v>
      </c>
      <c r="S36" s="8">
        <v>1</v>
      </c>
      <c r="T36" s="8">
        <f t="shared" si="1"/>
        <v>1</v>
      </c>
      <c r="U36" s="8">
        <v>1</v>
      </c>
      <c r="V36" s="8">
        <v>3</v>
      </c>
      <c r="W36" s="8">
        <v>5</v>
      </c>
      <c r="X36" s="8">
        <v>1</v>
      </c>
      <c r="Y36" s="8">
        <v>1</v>
      </c>
      <c r="Z36" s="8">
        <v>0</v>
      </c>
      <c r="AA36" s="8">
        <v>180</v>
      </c>
      <c r="AB36" s="9">
        <f t="shared" si="2"/>
        <v>1.8333333333333333</v>
      </c>
      <c r="AC36" s="10">
        <f t="shared" si="3"/>
        <v>0.54545454545454553</v>
      </c>
      <c r="AD36" s="8" t="s">
        <v>33</v>
      </c>
      <c r="AE36" s="11">
        <v>69990</v>
      </c>
      <c r="AF36" s="11">
        <f t="shared" si="4"/>
        <v>69990</v>
      </c>
      <c r="AG36" s="12" t="s">
        <v>34</v>
      </c>
      <c r="AH36" s="8" t="s">
        <v>35</v>
      </c>
    </row>
    <row r="37" spans="1:34">
      <c r="A37" s="8" t="s">
        <v>114</v>
      </c>
      <c r="B37" s="16" t="s">
        <v>2860</v>
      </c>
      <c r="C37" s="8" t="s">
        <v>40</v>
      </c>
      <c r="D37" s="8" t="s">
        <v>41</v>
      </c>
      <c r="E37" s="8" t="str">
        <f t="shared" si="0"/>
        <v>NEGRO</v>
      </c>
      <c r="G37" s="8" t="s">
        <v>2862</v>
      </c>
      <c r="H37" s="8" t="str">
        <f>VLOOKUP(A37,[1]BBDD!$B$1:$J$3274,9,FALSE)</f>
        <v>M</v>
      </c>
      <c r="I37" s="8" t="s">
        <v>2862</v>
      </c>
      <c r="J37" s="8" t="s">
        <v>104</v>
      </c>
      <c r="L37" s="8" t="s">
        <v>112</v>
      </c>
      <c r="N37" s="8" t="s">
        <v>44</v>
      </c>
      <c r="O37" s="8" t="s">
        <v>44</v>
      </c>
      <c r="Q37" s="8" t="s">
        <v>45</v>
      </c>
      <c r="R37" s="8">
        <v>2</v>
      </c>
      <c r="S37" s="8">
        <v>7</v>
      </c>
      <c r="T37" s="8">
        <f t="shared" si="1"/>
        <v>9</v>
      </c>
      <c r="U37" s="8">
        <v>0</v>
      </c>
      <c r="V37" s="8">
        <v>2</v>
      </c>
      <c r="W37" s="8">
        <v>3</v>
      </c>
      <c r="X37" s="8">
        <v>1</v>
      </c>
      <c r="Y37" s="8">
        <v>1</v>
      </c>
      <c r="Z37" s="8">
        <v>3</v>
      </c>
      <c r="AA37" s="8">
        <v>180</v>
      </c>
      <c r="AB37" s="9">
        <f t="shared" si="2"/>
        <v>1.6666666666666665</v>
      </c>
      <c r="AC37" s="10">
        <f t="shared" si="3"/>
        <v>5.4</v>
      </c>
      <c r="AD37" s="8" t="s">
        <v>109</v>
      </c>
      <c r="AE37" s="11">
        <v>69990</v>
      </c>
      <c r="AF37" s="11">
        <f t="shared" si="4"/>
        <v>629910</v>
      </c>
      <c r="AG37" s="12" t="s">
        <v>34</v>
      </c>
      <c r="AH37" s="8" t="s">
        <v>35</v>
      </c>
    </row>
    <row r="38" spans="1:34">
      <c r="A38" s="8" t="s">
        <v>115</v>
      </c>
      <c r="B38" s="16" t="s">
        <v>2860</v>
      </c>
      <c r="C38" s="8" t="s">
        <v>40</v>
      </c>
      <c r="D38" s="8" t="s">
        <v>41</v>
      </c>
      <c r="E38" s="8" t="str">
        <f t="shared" si="0"/>
        <v>HOLANDO</v>
      </c>
      <c r="G38" s="8" t="s">
        <v>2862</v>
      </c>
      <c r="H38" s="8" t="str">
        <f>VLOOKUP(A38,[1]BBDD!$B$1:$J$3274,9,FALSE)</f>
        <v>M</v>
      </c>
      <c r="I38" s="8" t="s">
        <v>2862</v>
      </c>
      <c r="J38" s="8" t="s">
        <v>104</v>
      </c>
      <c r="L38" s="8" t="s">
        <v>30</v>
      </c>
      <c r="N38" s="8" t="s">
        <v>31</v>
      </c>
      <c r="O38" s="8" t="s">
        <v>31</v>
      </c>
      <c r="Q38" s="8" t="s">
        <v>32</v>
      </c>
      <c r="R38" s="8">
        <v>0</v>
      </c>
      <c r="S38" s="8">
        <v>6</v>
      </c>
      <c r="T38" s="8">
        <f t="shared" si="1"/>
        <v>6</v>
      </c>
      <c r="U38" s="8">
        <v>0</v>
      </c>
      <c r="V38" s="8">
        <v>0</v>
      </c>
      <c r="W38" s="8">
        <v>0</v>
      </c>
      <c r="X38" s="8">
        <v>0</v>
      </c>
      <c r="Y38" s="8">
        <v>4</v>
      </c>
      <c r="Z38" s="8">
        <v>2</v>
      </c>
      <c r="AA38" s="8">
        <v>180</v>
      </c>
      <c r="AB38" s="9">
        <f t="shared" si="2"/>
        <v>1</v>
      </c>
      <c r="AC38" s="10">
        <f t="shared" si="3"/>
        <v>6</v>
      </c>
      <c r="AD38" s="8" t="s">
        <v>33</v>
      </c>
      <c r="AE38" s="11">
        <v>69990</v>
      </c>
      <c r="AF38" s="11">
        <f t="shared" si="4"/>
        <v>419940</v>
      </c>
      <c r="AG38" s="12" t="s">
        <v>34</v>
      </c>
      <c r="AH38" s="8" t="s">
        <v>35</v>
      </c>
    </row>
    <row r="39" spans="1:34">
      <c r="A39" s="8" t="s">
        <v>116</v>
      </c>
      <c r="B39" s="16" t="s">
        <v>2860</v>
      </c>
      <c r="C39" s="8" t="s">
        <v>40</v>
      </c>
      <c r="D39" s="8" t="s">
        <v>41</v>
      </c>
      <c r="E39" s="8" t="str">
        <f t="shared" si="0"/>
        <v>HEREFORD</v>
      </c>
      <c r="G39" s="8" t="s">
        <v>2862</v>
      </c>
      <c r="H39" s="8" t="str">
        <f>VLOOKUP(A39,[1]BBDD!$B$1:$J$3274,9,FALSE)</f>
        <v>M</v>
      </c>
      <c r="I39" s="8" t="s">
        <v>2862</v>
      </c>
      <c r="J39" s="8" t="s">
        <v>104</v>
      </c>
      <c r="L39" s="8" t="s">
        <v>30</v>
      </c>
      <c r="N39" s="8" t="s">
        <v>37</v>
      </c>
      <c r="O39" s="8" t="s">
        <v>37</v>
      </c>
      <c r="Q39" s="8" t="s">
        <v>32</v>
      </c>
      <c r="R39" s="8">
        <v>0</v>
      </c>
      <c r="S39" s="8">
        <v>5</v>
      </c>
      <c r="T39" s="8">
        <f t="shared" si="1"/>
        <v>5</v>
      </c>
      <c r="U39" s="8">
        <v>0</v>
      </c>
      <c r="V39" s="8">
        <v>0</v>
      </c>
      <c r="W39" s="8">
        <v>0</v>
      </c>
      <c r="X39" s="8">
        <v>0</v>
      </c>
      <c r="Y39" s="8">
        <v>2</v>
      </c>
      <c r="Z39" s="8">
        <v>3</v>
      </c>
      <c r="AA39" s="8">
        <v>180</v>
      </c>
      <c r="AB39" s="9">
        <f t="shared" si="2"/>
        <v>0.83333333333333326</v>
      </c>
      <c r="AC39" s="10">
        <f t="shared" si="3"/>
        <v>6.0000000000000009</v>
      </c>
      <c r="AD39" s="8" t="s">
        <v>33</v>
      </c>
      <c r="AE39" s="11">
        <v>69990</v>
      </c>
      <c r="AF39" s="11">
        <f t="shared" si="4"/>
        <v>349950</v>
      </c>
      <c r="AG39" s="12" t="s">
        <v>34</v>
      </c>
      <c r="AH39" s="8" t="s">
        <v>35</v>
      </c>
    </row>
    <row r="40" spans="1:34">
      <c r="A40" s="8" t="s">
        <v>117</v>
      </c>
      <c r="B40" s="16" t="s">
        <v>2860</v>
      </c>
      <c r="C40" s="8" t="s">
        <v>40</v>
      </c>
      <c r="D40" s="8" t="s">
        <v>41</v>
      </c>
      <c r="E40" s="8" t="str">
        <f t="shared" si="0"/>
        <v>AZUL</v>
      </c>
      <c r="G40" s="8" t="s">
        <v>2862</v>
      </c>
      <c r="H40" s="8" t="str">
        <f>VLOOKUP(A40,[1]BBDD!$B$1:$J$3274,9,FALSE)</f>
        <v>M</v>
      </c>
      <c r="I40" s="8" t="s">
        <v>2862</v>
      </c>
      <c r="J40" s="8" t="s">
        <v>118</v>
      </c>
      <c r="L40" s="8" t="s">
        <v>119</v>
      </c>
      <c r="N40" s="8" t="s">
        <v>83</v>
      </c>
      <c r="O40" s="8" t="s">
        <v>83</v>
      </c>
      <c r="Q40" s="8" t="s">
        <v>32</v>
      </c>
      <c r="R40" s="8">
        <v>0</v>
      </c>
      <c r="S40" s="8">
        <v>3</v>
      </c>
      <c r="T40" s="8">
        <f t="shared" si="1"/>
        <v>3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180</v>
      </c>
      <c r="AB40" s="9">
        <f t="shared" si="2"/>
        <v>0</v>
      </c>
      <c r="AC40" s="10" t="str">
        <f t="shared" si="3"/>
        <v>sin venta</v>
      </c>
      <c r="AD40" s="8" t="s">
        <v>33</v>
      </c>
      <c r="AE40" s="11">
        <v>124990</v>
      </c>
      <c r="AF40" s="11">
        <f t="shared" si="4"/>
        <v>374970</v>
      </c>
      <c r="AG40" s="12" t="s">
        <v>73</v>
      </c>
      <c r="AH40" s="8" t="s">
        <v>35</v>
      </c>
    </row>
    <row r="41" spans="1:34">
      <c r="A41" s="8" t="s">
        <v>120</v>
      </c>
      <c r="B41" s="16" t="s">
        <v>2860</v>
      </c>
      <c r="C41" s="8" t="s">
        <v>40</v>
      </c>
      <c r="D41" s="8" t="s">
        <v>41</v>
      </c>
      <c r="E41" s="8" t="str">
        <f t="shared" si="0"/>
        <v>CARAMELO</v>
      </c>
      <c r="G41" s="8" t="s">
        <v>2862</v>
      </c>
      <c r="H41" s="8" t="str">
        <f>VLOOKUP(A41,[1]BBDD!$B$1:$J$3274,9,FALSE)</f>
        <v>M</v>
      </c>
      <c r="I41" s="8" t="s">
        <v>2862</v>
      </c>
      <c r="J41" s="8" t="s">
        <v>118</v>
      </c>
      <c r="L41" s="8" t="s">
        <v>82</v>
      </c>
      <c r="N41" s="8" t="s">
        <v>62</v>
      </c>
      <c r="O41" s="8" t="s">
        <v>62</v>
      </c>
      <c r="Q41" s="8" t="s">
        <v>32</v>
      </c>
      <c r="R41" s="8">
        <v>5</v>
      </c>
      <c r="S41" s="8">
        <v>10</v>
      </c>
      <c r="T41" s="8">
        <f t="shared" si="1"/>
        <v>15</v>
      </c>
      <c r="U41" s="8">
        <v>2</v>
      </c>
      <c r="V41" s="8">
        <v>1</v>
      </c>
      <c r="W41" s="8">
        <v>0</v>
      </c>
      <c r="X41" s="8">
        <v>0</v>
      </c>
      <c r="Y41" s="8">
        <v>0</v>
      </c>
      <c r="Z41" s="8">
        <v>0</v>
      </c>
      <c r="AA41" s="8">
        <v>180</v>
      </c>
      <c r="AB41" s="9">
        <f t="shared" si="2"/>
        <v>0.5</v>
      </c>
      <c r="AC41" s="10">
        <f t="shared" si="3"/>
        <v>30</v>
      </c>
      <c r="AD41" s="8" t="s">
        <v>33</v>
      </c>
      <c r="AE41" s="11">
        <v>124990</v>
      </c>
      <c r="AF41" s="11">
        <f t="shared" si="4"/>
        <v>1874850</v>
      </c>
      <c r="AG41" s="12" t="s">
        <v>73</v>
      </c>
      <c r="AH41" s="8" t="s">
        <v>65</v>
      </c>
    </row>
    <row r="42" spans="1:34">
      <c r="A42" s="8" t="s">
        <v>121</v>
      </c>
      <c r="B42" s="16" t="s">
        <v>2860</v>
      </c>
      <c r="C42" s="8" t="s">
        <v>40</v>
      </c>
      <c r="D42" s="8" t="s">
        <v>41</v>
      </c>
      <c r="E42" s="8" t="str">
        <f t="shared" si="0"/>
        <v>NEGRO</v>
      </c>
      <c r="G42" s="8" t="s">
        <v>2862</v>
      </c>
      <c r="H42" s="8" t="str">
        <f>VLOOKUP(A42,[1]BBDD!$B$1:$J$3274,9,FALSE)</f>
        <v>M</v>
      </c>
      <c r="I42" s="8" t="s">
        <v>2862</v>
      </c>
      <c r="J42" s="8" t="s">
        <v>118</v>
      </c>
      <c r="L42" s="8" t="s">
        <v>82</v>
      </c>
      <c r="N42" s="8" t="s">
        <v>44</v>
      </c>
      <c r="O42" s="8" t="s">
        <v>44</v>
      </c>
      <c r="Q42" s="8" t="s">
        <v>32</v>
      </c>
      <c r="R42" s="8">
        <v>2</v>
      </c>
      <c r="S42" s="8">
        <v>8</v>
      </c>
      <c r="T42" s="8">
        <f t="shared" si="1"/>
        <v>10</v>
      </c>
      <c r="U42" s="8">
        <v>3</v>
      </c>
      <c r="V42" s="8">
        <v>1</v>
      </c>
      <c r="W42" s="8">
        <v>3</v>
      </c>
      <c r="X42" s="8">
        <v>1</v>
      </c>
      <c r="Y42" s="8">
        <v>1</v>
      </c>
      <c r="Z42" s="8">
        <v>0</v>
      </c>
      <c r="AA42" s="8">
        <v>180</v>
      </c>
      <c r="AB42" s="9">
        <f t="shared" si="2"/>
        <v>1.5</v>
      </c>
      <c r="AC42" s="10">
        <f t="shared" si="3"/>
        <v>6.666666666666667</v>
      </c>
      <c r="AD42" s="8" t="s">
        <v>33</v>
      </c>
      <c r="AE42" s="11">
        <v>124990</v>
      </c>
      <c r="AF42" s="11">
        <f t="shared" si="4"/>
        <v>1249900</v>
      </c>
      <c r="AG42" s="12" t="s">
        <v>51</v>
      </c>
      <c r="AH42" s="8" t="s">
        <v>35</v>
      </c>
    </row>
    <row r="43" spans="1:34">
      <c r="A43" s="8" t="s">
        <v>122</v>
      </c>
      <c r="B43" s="16" t="s">
        <v>2860</v>
      </c>
      <c r="C43" s="8" t="s">
        <v>40</v>
      </c>
      <c r="D43" s="8" t="s">
        <v>41</v>
      </c>
      <c r="E43" s="8" t="str">
        <f t="shared" si="0"/>
        <v>ROJO</v>
      </c>
      <c r="G43" s="8" t="s">
        <v>2862</v>
      </c>
      <c r="H43" s="8" t="str">
        <f>VLOOKUP(A43,[1]BBDD!$B$1:$J$3274,9,FALSE)</f>
        <v>M</v>
      </c>
      <c r="I43" s="8" t="s">
        <v>2862</v>
      </c>
      <c r="J43" s="8" t="s">
        <v>118</v>
      </c>
      <c r="L43" s="8" t="s">
        <v>82</v>
      </c>
      <c r="N43" s="8" t="s">
        <v>88</v>
      </c>
      <c r="O43" s="8" t="s">
        <v>88</v>
      </c>
      <c r="Q43" s="8" t="s">
        <v>32</v>
      </c>
      <c r="R43" s="8">
        <v>1</v>
      </c>
      <c r="S43" s="8">
        <v>4</v>
      </c>
      <c r="T43" s="8">
        <f t="shared" si="1"/>
        <v>5</v>
      </c>
      <c r="U43" s="8">
        <v>4</v>
      </c>
      <c r="V43" s="8">
        <v>1</v>
      </c>
      <c r="W43" s="8">
        <v>4</v>
      </c>
      <c r="X43" s="8">
        <v>1</v>
      </c>
      <c r="Y43" s="8">
        <v>2</v>
      </c>
      <c r="Z43" s="8">
        <v>1</v>
      </c>
      <c r="AA43" s="8">
        <v>180</v>
      </c>
      <c r="AB43" s="9">
        <f t="shared" si="2"/>
        <v>2.1666666666666665</v>
      </c>
      <c r="AC43" s="10">
        <f t="shared" si="3"/>
        <v>2.3076923076923079</v>
      </c>
      <c r="AD43" s="8" t="s">
        <v>33</v>
      </c>
      <c r="AE43" s="11">
        <v>124990</v>
      </c>
      <c r="AF43" s="11">
        <f t="shared" si="4"/>
        <v>624950</v>
      </c>
      <c r="AG43" s="12" t="s">
        <v>34</v>
      </c>
      <c r="AH43" s="8" t="s">
        <v>35</v>
      </c>
    </row>
    <row r="44" spans="1:34">
      <c r="A44" s="8" t="s">
        <v>123</v>
      </c>
      <c r="B44" s="16" t="s">
        <v>2860</v>
      </c>
      <c r="C44" s="8" t="s">
        <v>40</v>
      </c>
      <c r="D44" s="8" t="s">
        <v>41</v>
      </c>
      <c r="E44" s="8" t="str">
        <f t="shared" si="0"/>
        <v>SUELA</v>
      </c>
      <c r="G44" s="8" t="s">
        <v>2862</v>
      </c>
      <c r="H44" s="8" t="str">
        <f>VLOOKUP(A44,[1]BBDD!$B$1:$J$3274,9,FALSE)</f>
        <v>M</v>
      </c>
      <c r="I44" s="8" t="s">
        <v>2862</v>
      </c>
      <c r="J44" s="8" t="s">
        <v>118</v>
      </c>
      <c r="L44" s="8" t="s">
        <v>82</v>
      </c>
      <c r="N44" s="8" t="s">
        <v>90</v>
      </c>
      <c r="O44" s="8" t="s">
        <v>90</v>
      </c>
      <c r="Q44" s="8" t="s">
        <v>32</v>
      </c>
      <c r="R44" s="8">
        <v>2</v>
      </c>
      <c r="S44" s="8">
        <v>5</v>
      </c>
      <c r="T44" s="8">
        <f t="shared" si="1"/>
        <v>7</v>
      </c>
      <c r="U44" s="8">
        <v>1</v>
      </c>
      <c r="V44" s="8">
        <v>1</v>
      </c>
      <c r="W44" s="8">
        <v>0</v>
      </c>
      <c r="X44" s="8">
        <v>3</v>
      </c>
      <c r="Y44" s="8">
        <v>1</v>
      </c>
      <c r="Z44" s="8">
        <v>0</v>
      </c>
      <c r="AA44" s="8">
        <v>180</v>
      </c>
      <c r="AB44" s="9">
        <f t="shared" si="2"/>
        <v>1</v>
      </c>
      <c r="AC44" s="10">
        <f t="shared" si="3"/>
        <v>7</v>
      </c>
      <c r="AD44" s="8" t="s">
        <v>33</v>
      </c>
      <c r="AE44" s="11">
        <v>124990</v>
      </c>
      <c r="AF44" s="11">
        <f t="shared" si="4"/>
        <v>874930</v>
      </c>
      <c r="AG44" s="12" t="s">
        <v>51</v>
      </c>
      <c r="AH44" s="8" t="s">
        <v>35</v>
      </c>
    </row>
    <row r="45" spans="1:34">
      <c r="A45" s="8" t="s">
        <v>124</v>
      </c>
      <c r="B45" s="16" t="s">
        <v>2860</v>
      </c>
      <c r="C45" s="8" t="s">
        <v>40</v>
      </c>
      <c r="D45" s="8" t="s">
        <v>41</v>
      </c>
      <c r="E45" s="8" t="str">
        <f t="shared" si="0"/>
        <v>AZUL</v>
      </c>
      <c r="G45" s="8" t="s">
        <v>2862</v>
      </c>
      <c r="H45" s="8" t="str">
        <f>VLOOKUP(A45,[1]BBDD!$B$1:$J$3274,9,FALSE)</f>
        <v>M</v>
      </c>
      <c r="I45" s="8" t="s">
        <v>2862</v>
      </c>
      <c r="J45" s="8" t="s">
        <v>118</v>
      </c>
      <c r="L45" s="8" t="s">
        <v>82</v>
      </c>
      <c r="N45" s="8" t="s">
        <v>83</v>
      </c>
      <c r="O45" s="8" t="s">
        <v>83</v>
      </c>
      <c r="Q45" s="8" t="s">
        <v>45</v>
      </c>
      <c r="R45" s="8">
        <v>0</v>
      </c>
      <c r="S45" s="8">
        <v>1</v>
      </c>
      <c r="T45" s="8">
        <f t="shared" si="1"/>
        <v>1</v>
      </c>
      <c r="U45" s="8">
        <v>2</v>
      </c>
      <c r="V45" s="8">
        <v>0</v>
      </c>
      <c r="W45" s="8">
        <v>4</v>
      </c>
      <c r="X45" s="8">
        <v>0</v>
      </c>
      <c r="Y45" s="8">
        <v>0</v>
      </c>
      <c r="Z45" s="8">
        <v>0</v>
      </c>
      <c r="AA45" s="8">
        <v>180</v>
      </c>
      <c r="AB45" s="9">
        <f t="shared" si="2"/>
        <v>1</v>
      </c>
      <c r="AC45" s="10">
        <f t="shared" si="3"/>
        <v>1</v>
      </c>
      <c r="AD45" s="8" t="s">
        <v>109</v>
      </c>
      <c r="AE45" s="11">
        <v>124990</v>
      </c>
      <c r="AF45" s="11">
        <f t="shared" si="4"/>
        <v>124990</v>
      </c>
      <c r="AG45" s="12" t="s">
        <v>34</v>
      </c>
      <c r="AH45" s="8" t="s">
        <v>35</v>
      </c>
    </row>
    <row r="46" spans="1:34">
      <c r="A46" s="8" t="s">
        <v>125</v>
      </c>
      <c r="B46" s="16" t="s">
        <v>2860</v>
      </c>
      <c r="C46" s="8" t="s">
        <v>40</v>
      </c>
      <c r="D46" s="8" t="s">
        <v>41</v>
      </c>
      <c r="E46" s="8" t="str">
        <f t="shared" si="0"/>
        <v>CARAMELO</v>
      </c>
      <c r="G46" s="8" t="s">
        <v>2862</v>
      </c>
      <c r="H46" s="8" t="str">
        <f>VLOOKUP(A46,[1]BBDD!$B$1:$J$3274,9,FALSE)</f>
        <v>M</v>
      </c>
      <c r="I46" s="8" t="s">
        <v>2862</v>
      </c>
      <c r="J46" s="8" t="s">
        <v>126</v>
      </c>
      <c r="L46" s="8" t="s">
        <v>82</v>
      </c>
      <c r="N46" s="8" t="s">
        <v>62</v>
      </c>
      <c r="O46" s="8" t="s">
        <v>62</v>
      </c>
      <c r="Q46" s="8" t="s">
        <v>32</v>
      </c>
      <c r="R46" s="8">
        <v>4</v>
      </c>
      <c r="S46" s="8">
        <v>5</v>
      </c>
      <c r="T46" s="8">
        <f t="shared" si="1"/>
        <v>9</v>
      </c>
      <c r="U46" s="8">
        <v>3</v>
      </c>
      <c r="V46" s="8">
        <v>2</v>
      </c>
      <c r="W46" s="8">
        <v>4</v>
      </c>
      <c r="X46" s="8">
        <v>2</v>
      </c>
      <c r="Y46" s="8">
        <v>0</v>
      </c>
      <c r="Z46" s="8">
        <v>1</v>
      </c>
      <c r="AA46" s="8">
        <v>180</v>
      </c>
      <c r="AB46" s="9">
        <f t="shared" si="2"/>
        <v>2</v>
      </c>
      <c r="AC46" s="10">
        <f t="shared" si="3"/>
        <v>4.5</v>
      </c>
      <c r="AD46" s="8" t="s">
        <v>33</v>
      </c>
      <c r="AE46" s="11">
        <v>189990</v>
      </c>
      <c r="AF46" s="11">
        <f t="shared" si="4"/>
        <v>1709910</v>
      </c>
      <c r="AG46" s="12" t="s">
        <v>34</v>
      </c>
      <c r="AH46" s="8" t="s">
        <v>35</v>
      </c>
    </row>
    <row r="47" spans="1:34">
      <c r="A47" s="8" t="s">
        <v>127</v>
      </c>
      <c r="B47" s="16" t="s">
        <v>2860</v>
      </c>
      <c r="C47" s="8" t="s">
        <v>40</v>
      </c>
      <c r="D47" s="8" t="s">
        <v>41</v>
      </c>
      <c r="E47" s="8" t="str">
        <f t="shared" si="0"/>
        <v>MALBEC</v>
      </c>
      <c r="G47" s="8" t="s">
        <v>2862</v>
      </c>
      <c r="H47" s="8" t="str">
        <f>VLOOKUP(A47,[1]BBDD!$B$1:$J$3274,9,FALSE)</f>
        <v>M</v>
      </c>
      <c r="I47" s="8" t="s">
        <v>2862</v>
      </c>
      <c r="J47" s="8" t="s">
        <v>126</v>
      </c>
      <c r="L47" s="8" t="s">
        <v>82</v>
      </c>
      <c r="N47" s="8" t="s">
        <v>69</v>
      </c>
      <c r="O47" s="8" t="s">
        <v>69</v>
      </c>
      <c r="Q47" s="8" t="s">
        <v>32</v>
      </c>
      <c r="R47" s="8">
        <v>2</v>
      </c>
      <c r="S47" s="8">
        <v>5</v>
      </c>
      <c r="T47" s="8">
        <f t="shared" si="1"/>
        <v>7</v>
      </c>
      <c r="U47" s="8">
        <v>1</v>
      </c>
      <c r="V47" s="8">
        <v>0</v>
      </c>
      <c r="W47" s="8">
        <v>1</v>
      </c>
      <c r="X47" s="8">
        <v>3</v>
      </c>
      <c r="Y47" s="8">
        <v>2</v>
      </c>
      <c r="Z47" s="8">
        <v>1</v>
      </c>
      <c r="AA47" s="8">
        <v>180</v>
      </c>
      <c r="AB47" s="9">
        <f t="shared" si="2"/>
        <v>1.3333333333333335</v>
      </c>
      <c r="AC47" s="10">
        <f t="shared" si="3"/>
        <v>5.2499999999999991</v>
      </c>
      <c r="AD47" s="8" t="s">
        <v>33</v>
      </c>
      <c r="AE47" s="11">
        <v>189990</v>
      </c>
      <c r="AF47" s="11">
        <f t="shared" si="4"/>
        <v>1329930</v>
      </c>
      <c r="AG47" s="12" t="s">
        <v>34</v>
      </c>
      <c r="AH47" s="8" t="s">
        <v>35</v>
      </c>
    </row>
    <row r="48" spans="1:34">
      <c r="A48" s="8" t="s">
        <v>128</v>
      </c>
      <c r="B48" s="16" t="s">
        <v>2860</v>
      </c>
      <c r="C48" s="8" t="s">
        <v>40</v>
      </c>
      <c r="D48" s="8" t="s">
        <v>41</v>
      </c>
      <c r="E48" s="8" t="str">
        <f t="shared" si="0"/>
        <v>NEGRO</v>
      </c>
      <c r="G48" s="8" t="s">
        <v>2862</v>
      </c>
      <c r="H48" s="8" t="str">
        <f>VLOOKUP(A48,[1]BBDD!$B$1:$J$3274,9,FALSE)</f>
        <v>M</v>
      </c>
      <c r="I48" s="8" t="s">
        <v>2862</v>
      </c>
      <c r="J48" s="8" t="s">
        <v>126</v>
      </c>
      <c r="L48" s="8" t="s">
        <v>82</v>
      </c>
      <c r="N48" s="8" t="s">
        <v>44</v>
      </c>
      <c r="O48" s="8" t="s">
        <v>44</v>
      </c>
      <c r="Q48" s="8" t="s">
        <v>32</v>
      </c>
      <c r="R48" s="8">
        <v>9</v>
      </c>
      <c r="S48" s="8">
        <v>8</v>
      </c>
      <c r="T48" s="8">
        <f t="shared" si="1"/>
        <v>17</v>
      </c>
      <c r="U48" s="8">
        <v>2</v>
      </c>
      <c r="V48" s="8">
        <v>0</v>
      </c>
      <c r="W48" s="8">
        <v>2</v>
      </c>
      <c r="X48" s="8">
        <v>2</v>
      </c>
      <c r="Y48" s="8">
        <v>0</v>
      </c>
      <c r="Z48" s="8">
        <v>0</v>
      </c>
      <c r="AA48" s="8">
        <v>180</v>
      </c>
      <c r="AB48" s="9">
        <f t="shared" si="2"/>
        <v>1</v>
      </c>
      <c r="AC48" s="10">
        <f t="shared" si="3"/>
        <v>17</v>
      </c>
      <c r="AD48" s="8" t="s">
        <v>33</v>
      </c>
      <c r="AE48" s="11">
        <v>189990</v>
      </c>
      <c r="AF48" s="11">
        <f t="shared" si="4"/>
        <v>3229830</v>
      </c>
      <c r="AG48" s="12" t="s">
        <v>64</v>
      </c>
      <c r="AH48" s="8" t="s">
        <v>65</v>
      </c>
    </row>
    <row r="49" spans="1:34">
      <c r="A49" s="8" t="s">
        <v>129</v>
      </c>
      <c r="B49" s="16" t="s">
        <v>2860</v>
      </c>
      <c r="C49" s="8" t="s">
        <v>40</v>
      </c>
      <c r="D49" s="8" t="s">
        <v>41</v>
      </c>
      <c r="E49" s="8" t="str">
        <f t="shared" si="0"/>
        <v>VERDE</v>
      </c>
      <c r="G49" s="8" t="s">
        <v>2862</v>
      </c>
      <c r="H49" s="8" t="str">
        <f>VLOOKUP(A49,[1]BBDD!$B$1:$J$3274,9,FALSE)</f>
        <v>M</v>
      </c>
      <c r="I49" s="8" t="s">
        <v>2862</v>
      </c>
      <c r="J49" s="8" t="s">
        <v>126</v>
      </c>
      <c r="L49" s="8" t="s">
        <v>82</v>
      </c>
      <c r="N49" s="8" t="s">
        <v>92</v>
      </c>
      <c r="O49" s="8" t="s">
        <v>92</v>
      </c>
      <c r="Q49" s="8" t="s">
        <v>32</v>
      </c>
      <c r="R49" s="8">
        <v>1</v>
      </c>
      <c r="S49" s="8">
        <v>3</v>
      </c>
      <c r="T49" s="8">
        <f t="shared" si="1"/>
        <v>4</v>
      </c>
      <c r="U49" s="8">
        <v>2</v>
      </c>
      <c r="V49" s="8">
        <v>0</v>
      </c>
      <c r="W49" s="8">
        <v>0</v>
      </c>
      <c r="X49" s="8">
        <v>0</v>
      </c>
      <c r="Y49" s="8">
        <v>3</v>
      </c>
      <c r="Z49" s="8">
        <v>1</v>
      </c>
      <c r="AA49" s="8">
        <v>180</v>
      </c>
      <c r="AB49" s="9">
        <f t="shared" si="2"/>
        <v>1</v>
      </c>
      <c r="AC49" s="10">
        <f t="shared" si="3"/>
        <v>4</v>
      </c>
      <c r="AD49" s="8" t="s">
        <v>33</v>
      </c>
      <c r="AE49" s="11">
        <v>189990</v>
      </c>
      <c r="AF49" s="11">
        <f t="shared" si="4"/>
        <v>759960</v>
      </c>
      <c r="AG49" s="12" t="s">
        <v>34</v>
      </c>
      <c r="AH49" s="8" t="s">
        <v>35</v>
      </c>
    </row>
    <row r="50" spans="1:34">
      <c r="A50" s="8" t="s">
        <v>130</v>
      </c>
      <c r="B50" s="16" t="s">
        <v>2860</v>
      </c>
      <c r="C50" s="8" t="s">
        <v>40</v>
      </c>
      <c r="D50" s="8" t="s">
        <v>41</v>
      </c>
      <c r="E50" s="8" t="str">
        <f t="shared" si="0"/>
        <v>AZUL</v>
      </c>
      <c r="G50" s="8" t="s">
        <v>2862</v>
      </c>
      <c r="H50" s="8" t="str">
        <f>VLOOKUP(A50,[1]BBDD!$B$1:$J$3274,9,FALSE)</f>
        <v>M</v>
      </c>
      <c r="I50" s="8" t="s">
        <v>2862</v>
      </c>
      <c r="J50" s="8" t="s">
        <v>126</v>
      </c>
      <c r="L50" s="8" t="s">
        <v>82</v>
      </c>
      <c r="N50" s="8" t="s">
        <v>83</v>
      </c>
      <c r="O50" s="8" t="s">
        <v>83</v>
      </c>
      <c r="Q50" s="8" t="s">
        <v>45</v>
      </c>
      <c r="R50" s="8">
        <v>4</v>
      </c>
      <c r="S50" s="8">
        <v>7</v>
      </c>
      <c r="T50" s="8">
        <f t="shared" si="1"/>
        <v>11</v>
      </c>
      <c r="U50" s="8">
        <v>0</v>
      </c>
      <c r="V50" s="8">
        <v>1</v>
      </c>
      <c r="W50" s="8">
        <v>0</v>
      </c>
      <c r="X50" s="8">
        <v>2</v>
      </c>
      <c r="Y50" s="8">
        <v>1</v>
      </c>
      <c r="Z50" s="8">
        <v>0</v>
      </c>
      <c r="AA50" s="8">
        <v>180</v>
      </c>
      <c r="AB50" s="9">
        <f t="shared" si="2"/>
        <v>0.66666666666666674</v>
      </c>
      <c r="AC50" s="10">
        <f t="shared" si="3"/>
        <v>16.499999999999996</v>
      </c>
      <c r="AD50" s="8" t="s">
        <v>109</v>
      </c>
      <c r="AE50" s="11">
        <v>189990</v>
      </c>
      <c r="AF50" s="11">
        <f t="shared" si="4"/>
        <v>2089890</v>
      </c>
      <c r="AG50" s="12" t="s">
        <v>64</v>
      </c>
      <c r="AH50" s="8" t="s">
        <v>65</v>
      </c>
    </row>
    <row r="51" spans="1:34">
      <c r="A51" s="8" t="s">
        <v>131</v>
      </c>
      <c r="B51" s="16" t="s">
        <v>2860</v>
      </c>
      <c r="C51" s="8" t="s">
        <v>40</v>
      </c>
      <c r="D51" s="8" t="s">
        <v>41</v>
      </c>
      <c r="E51" s="8" t="str">
        <f t="shared" si="0"/>
        <v>ROJO</v>
      </c>
      <c r="G51" s="8" t="s">
        <v>2862</v>
      </c>
      <c r="H51" s="8" t="str">
        <f>VLOOKUP(A51,[1]BBDD!$B$1:$J$3274,9,FALSE)</f>
        <v>M</v>
      </c>
      <c r="I51" s="8" t="s">
        <v>2862</v>
      </c>
      <c r="J51" s="8" t="s">
        <v>126</v>
      </c>
      <c r="L51" s="8" t="s">
        <v>82</v>
      </c>
      <c r="N51" s="8" t="s">
        <v>88</v>
      </c>
      <c r="O51" s="8" t="s">
        <v>88</v>
      </c>
      <c r="Q51" s="8" t="s">
        <v>45</v>
      </c>
      <c r="R51" s="8">
        <v>19</v>
      </c>
      <c r="S51" s="8">
        <v>5</v>
      </c>
      <c r="T51" s="8">
        <f t="shared" si="1"/>
        <v>24</v>
      </c>
      <c r="U51" s="8">
        <v>0</v>
      </c>
      <c r="V51" s="8">
        <v>1</v>
      </c>
      <c r="W51" s="8">
        <v>1</v>
      </c>
      <c r="X51" s="8">
        <v>0</v>
      </c>
      <c r="Y51" s="8">
        <v>0</v>
      </c>
      <c r="Z51" s="8">
        <v>0</v>
      </c>
      <c r="AA51" s="8">
        <v>180</v>
      </c>
      <c r="AB51" s="9">
        <f t="shared" si="2"/>
        <v>0.33333333333333337</v>
      </c>
      <c r="AC51" s="10">
        <f t="shared" si="3"/>
        <v>71.999999999999986</v>
      </c>
      <c r="AD51" s="8" t="s">
        <v>109</v>
      </c>
      <c r="AE51" s="11">
        <v>189990</v>
      </c>
      <c r="AF51" s="11">
        <f t="shared" si="4"/>
        <v>4559760</v>
      </c>
      <c r="AG51" s="12" t="s">
        <v>73</v>
      </c>
      <c r="AH51" s="8" t="s">
        <v>74</v>
      </c>
    </row>
    <row r="52" spans="1:34">
      <c r="A52" s="8" t="s">
        <v>132</v>
      </c>
      <c r="B52" s="16" t="s">
        <v>2860</v>
      </c>
      <c r="C52" s="8" t="s">
        <v>40</v>
      </c>
      <c r="D52" s="8" t="s">
        <v>41</v>
      </c>
      <c r="E52" s="8" t="str">
        <f t="shared" si="0"/>
        <v>SUELA</v>
      </c>
      <c r="G52" s="8" t="s">
        <v>2862</v>
      </c>
      <c r="H52" s="8" t="str">
        <f>VLOOKUP(A52,[1]BBDD!$B$1:$J$3274,9,FALSE)</f>
        <v>M</v>
      </c>
      <c r="I52" s="8" t="s">
        <v>2862</v>
      </c>
      <c r="J52" s="8" t="s">
        <v>126</v>
      </c>
      <c r="L52" s="8" t="s">
        <v>82</v>
      </c>
      <c r="N52" s="8" t="s">
        <v>90</v>
      </c>
      <c r="O52" s="8" t="s">
        <v>90</v>
      </c>
      <c r="Q52" s="8" t="s">
        <v>45</v>
      </c>
      <c r="R52" s="8">
        <v>1</v>
      </c>
      <c r="S52" s="8">
        <v>4</v>
      </c>
      <c r="T52" s="8">
        <f t="shared" si="1"/>
        <v>5</v>
      </c>
      <c r="U52" s="8">
        <v>1</v>
      </c>
      <c r="V52" s="8">
        <v>0</v>
      </c>
      <c r="W52" s="8">
        <v>0</v>
      </c>
      <c r="X52" s="8">
        <v>3</v>
      </c>
      <c r="Y52" s="8">
        <v>1</v>
      </c>
      <c r="Z52" s="8">
        <v>4</v>
      </c>
      <c r="AA52" s="8">
        <v>180</v>
      </c>
      <c r="AB52" s="9">
        <f t="shared" si="2"/>
        <v>1.5</v>
      </c>
      <c r="AC52" s="10">
        <f t="shared" si="3"/>
        <v>3.3333333333333335</v>
      </c>
      <c r="AD52" s="8" t="s">
        <v>109</v>
      </c>
      <c r="AE52" s="11">
        <v>189990</v>
      </c>
      <c r="AF52" s="11">
        <f t="shared" si="4"/>
        <v>949950</v>
      </c>
      <c r="AG52" s="12" t="s">
        <v>34</v>
      </c>
      <c r="AH52" s="8" t="s">
        <v>35</v>
      </c>
    </row>
    <row r="53" spans="1:34">
      <c r="A53" s="8" t="s">
        <v>133</v>
      </c>
      <c r="B53" s="16" t="s">
        <v>2860</v>
      </c>
      <c r="C53" s="8" t="s">
        <v>40</v>
      </c>
      <c r="D53" s="8" t="s">
        <v>41</v>
      </c>
      <c r="E53" s="8" t="str">
        <f t="shared" si="0"/>
        <v>HOLANDO</v>
      </c>
      <c r="G53" s="8" t="s">
        <v>2862</v>
      </c>
      <c r="H53" s="8" t="str">
        <f>VLOOKUP(A53,[1]BBDD!$B$1:$J$3274,9,FALSE)</f>
        <v>M</v>
      </c>
      <c r="I53" s="8" t="s">
        <v>2862</v>
      </c>
      <c r="J53" s="8" t="s">
        <v>134</v>
      </c>
      <c r="L53" s="8" t="s">
        <v>30</v>
      </c>
      <c r="N53" s="8" t="s">
        <v>31</v>
      </c>
      <c r="O53" s="8" t="s">
        <v>31</v>
      </c>
      <c r="Q53" s="8" t="s">
        <v>32</v>
      </c>
      <c r="R53" s="8">
        <v>0</v>
      </c>
      <c r="S53" s="8">
        <v>6</v>
      </c>
      <c r="T53" s="8">
        <f t="shared" si="1"/>
        <v>6</v>
      </c>
      <c r="U53" s="8">
        <v>0</v>
      </c>
      <c r="V53" s="8">
        <v>0</v>
      </c>
      <c r="W53" s="8">
        <v>0</v>
      </c>
      <c r="X53" s="8">
        <v>0</v>
      </c>
      <c r="Y53" s="8">
        <v>2</v>
      </c>
      <c r="Z53" s="8">
        <v>4</v>
      </c>
      <c r="AA53" s="8">
        <v>50</v>
      </c>
      <c r="AB53" s="9">
        <f t="shared" si="2"/>
        <v>3.5999999999999996</v>
      </c>
      <c r="AC53" s="10">
        <f t="shared" si="3"/>
        <v>1.6666666666666667</v>
      </c>
      <c r="AD53" s="8" t="s">
        <v>33</v>
      </c>
      <c r="AE53" s="11">
        <v>89990</v>
      </c>
      <c r="AF53" s="11">
        <f t="shared" si="4"/>
        <v>539940</v>
      </c>
      <c r="AG53" s="12" t="s">
        <v>34</v>
      </c>
      <c r="AH53" s="8" t="s">
        <v>35</v>
      </c>
    </row>
    <row r="54" spans="1:34">
      <c r="A54" s="8" t="s">
        <v>135</v>
      </c>
      <c r="B54" s="16" t="s">
        <v>2860</v>
      </c>
      <c r="C54" s="8" t="s">
        <v>40</v>
      </c>
      <c r="D54" s="8" t="s">
        <v>41</v>
      </c>
      <c r="E54" s="8" t="str">
        <f t="shared" si="0"/>
        <v>HEREFORD</v>
      </c>
      <c r="G54" s="8" t="s">
        <v>2862</v>
      </c>
      <c r="H54" s="8" t="str">
        <f>VLOOKUP(A54,[1]BBDD!$B$1:$J$3274,9,FALSE)</f>
        <v>M</v>
      </c>
      <c r="I54" s="8" t="s">
        <v>2862</v>
      </c>
      <c r="J54" s="8" t="s">
        <v>134</v>
      </c>
      <c r="L54" s="8" t="s">
        <v>30</v>
      </c>
      <c r="N54" s="8" t="s">
        <v>37</v>
      </c>
      <c r="O54" s="8" t="s">
        <v>37</v>
      </c>
      <c r="Q54" s="8" t="s">
        <v>32</v>
      </c>
      <c r="R54" s="8">
        <v>0</v>
      </c>
      <c r="S54" s="8">
        <v>7</v>
      </c>
      <c r="T54" s="8">
        <f t="shared" si="1"/>
        <v>7</v>
      </c>
      <c r="U54" s="8">
        <v>0</v>
      </c>
      <c r="V54" s="8">
        <v>0</v>
      </c>
      <c r="W54" s="8">
        <v>0</v>
      </c>
      <c r="X54" s="8">
        <v>0</v>
      </c>
      <c r="Y54" s="8">
        <v>3</v>
      </c>
      <c r="Z54" s="8">
        <v>2</v>
      </c>
      <c r="AA54" s="8">
        <v>50</v>
      </c>
      <c r="AB54" s="9">
        <f t="shared" si="2"/>
        <v>3</v>
      </c>
      <c r="AC54" s="10">
        <f t="shared" si="3"/>
        <v>2.3333333333333335</v>
      </c>
      <c r="AD54" s="8" t="s">
        <v>33</v>
      </c>
      <c r="AE54" s="11">
        <v>89990</v>
      </c>
      <c r="AF54" s="11">
        <f t="shared" si="4"/>
        <v>629930</v>
      </c>
      <c r="AG54" s="12" t="s">
        <v>34</v>
      </c>
      <c r="AH54" s="8" t="s">
        <v>35</v>
      </c>
    </row>
    <row r="55" spans="1:34">
      <c r="A55" s="8" t="s">
        <v>136</v>
      </c>
      <c r="B55" s="16" t="s">
        <v>39</v>
      </c>
      <c r="C55" s="8" t="s">
        <v>40</v>
      </c>
      <c r="D55" s="8" t="s">
        <v>41</v>
      </c>
      <c r="E55" s="8" t="str">
        <f t="shared" si="0"/>
        <v>COTTON</v>
      </c>
      <c r="G55" s="8" t="s">
        <v>2862</v>
      </c>
      <c r="H55" s="8" t="str">
        <f>VLOOKUP(A55,[1]BBDD!$B$1:$J$3274,9,FALSE)</f>
        <v>M</v>
      </c>
      <c r="I55" s="8" t="s">
        <v>2862</v>
      </c>
      <c r="J55" s="8" t="s">
        <v>137</v>
      </c>
      <c r="L55" s="8" t="s">
        <v>43</v>
      </c>
      <c r="N55" s="8" t="s">
        <v>95</v>
      </c>
      <c r="O55" s="8" t="s">
        <v>95</v>
      </c>
      <c r="Q55" s="8" t="s">
        <v>45</v>
      </c>
      <c r="R55" s="8">
        <v>4</v>
      </c>
      <c r="S55" s="8">
        <v>6</v>
      </c>
      <c r="T55" s="8">
        <f t="shared" si="1"/>
        <v>10</v>
      </c>
      <c r="U55" s="8">
        <v>0</v>
      </c>
      <c r="V55" s="8">
        <v>1</v>
      </c>
      <c r="W55" s="8">
        <v>2</v>
      </c>
      <c r="X55" s="8">
        <v>0</v>
      </c>
      <c r="Y55" s="8">
        <v>0</v>
      </c>
      <c r="Z55" s="8">
        <v>0</v>
      </c>
      <c r="AA55" s="8">
        <v>180</v>
      </c>
      <c r="AB55" s="9">
        <f t="shared" si="2"/>
        <v>0.5</v>
      </c>
      <c r="AC55" s="10">
        <f t="shared" si="3"/>
        <v>20</v>
      </c>
      <c r="AD55" s="8" t="s">
        <v>109</v>
      </c>
      <c r="AE55" s="11">
        <v>95990</v>
      </c>
      <c r="AF55" s="11">
        <f t="shared" si="4"/>
        <v>959900</v>
      </c>
      <c r="AG55" s="12" t="s">
        <v>64</v>
      </c>
      <c r="AH55" s="8" t="s">
        <v>35</v>
      </c>
    </row>
    <row r="56" spans="1:34">
      <c r="A56" s="8" t="s">
        <v>138</v>
      </c>
      <c r="B56" s="16" t="s">
        <v>39</v>
      </c>
      <c r="C56" s="8" t="s">
        <v>40</v>
      </c>
      <c r="D56" s="8" t="s">
        <v>41</v>
      </c>
      <c r="E56" s="8" t="str">
        <f t="shared" si="0"/>
        <v>NEGRO</v>
      </c>
      <c r="G56" s="8" t="s">
        <v>2862</v>
      </c>
      <c r="H56" s="8" t="str">
        <f>VLOOKUP(A56,[1]BBDD!$B$1:$J$3274,9,FALSE)</f>
        <v>M</v>
      </c>
      <c r="I56" s="8" t="s">
        <v>2862</v>
      </c>
      <c r="J56" s="8" t="s">
        <v>137</v>
      </c>
      <c r="L56" s="8" t="s">
        <v>53</v>
      </c>
      <c r="N56" s="8" t="s">
        <v>44</v>
      </c>
      <c r="O56" s="8" t="s">
        <v>44</v>
      </c>
      <c r="Q56" s="8" t="s">
        <v>45</v>
      </c>
      <c r="R56" s="8">
        <v>12</v>
      </c>
      <c r="S56" s="8">
        <v>8</v>
      </c>
      <c r="T56" s="8">
        <f t="shared" si="1"/>
        <v>20</v>
      </c>
      <c r="U56" s="8">
        <v>1</v>
      </c>
      <c r="V56" s="8">
        <v>0</v>
      </c>
      <c r="W56" s="8">
        <v>1</v>
      </c>
      <c r="X56" s="8">
        <v>1</v>
      </c>
      <c r="Y56" s="8">
        <v>0</v>
      </c>
      <c r="Z56" s="8">
        <v>0</v>
      </c>
      <c r="AA56" s="8">
        <v>180</v>
      </c>
      <c r="AB56" s="9">
        <f t="shared" si="2"/>
        <v>0.5</v>
      </c>
      <c r="AC56" s="10">
        <f t="shared" si="3"/>
        <v>40</v>
      </c>
      <c r="AD56" s="8" t="s">
        <v>109</v>
      </c>
      <c r="AE56" s="11">
        <v>95990</v>
      </c>
      <c r="AF56" s="11">
        <f t="shared" si="4"/>
        <v>1919800</v>
      </c>
      <c r="AG56" s="12" t="s">
        <v>73</v>
      </c>
      <c r="AH56" s="8" t="s">
        <v>65</v>
      </c>
    </row>
    <row r="57" spans="1:34">
      <c r="A57" s="8" t="s">
        <v>139</v>
      </c>
      <c r="B57" s="16" t="s">
        <v>39</v>
      </c>
      <c r="C57" s="8" t="s">
        <v>40</v>
      </c>
      <c r="D57" s="8" t="s">
        <v>41</v>
      </c>
      <c r="E57" s="8" t="str">
        <f t="shared" si="0"/>
        <v>NUDE</v>
      </c>
      <c r="G57" s="8" t="s">
        <v>2862</v>
      </c>
      <c r="H57" s="8" t="str">
        <f>VLOOKUP(A57,[1]BBDD!$B$1:$J$3274,9,FALSE)</f>
        <v>M</v>
      </c>
      <c r="I57" s="8" t="s">
        <v>2862</v>
      </c>
      <c r="J57" s="8" t="s">
        <v>137</v>
      </c>
      <c r="L57" s="8" t="s">
        <v>55</v>
      </c>
      <c r="N57" s="8" t="s">
        <v>140</v>
      </c>
      <c r="O57" s="8" t="s">
        <v>140</v>
      </c>
      <c r="Q57" s="8" t="s">
        <v>45</v>
      </c>
      <c r="R57" s="8">
        <v>0</v>
      </c>
      <c r="S57" s="8">
        <v>1</v>
      </c>
      <c r="T57" s="8">
        <f t="shared" si="1"/>
        <v>1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180</v>
      </c>
      <c r="AB57" s="9">
        <f t="shared" si="2"/>
        <v>0</v>
      </c>
      <c r="AC57" s="10" t="str">
        <f t="shared" si="3"/>
        <v>sin venta</v>
      </c>
      <c r="AD57" s="8" t="s">
        <v>109</v>
      </c>
      <c r="AE57" s="11">
        <v>95990</v>
      </c>
      <c r="AF57" s="11">
        <f t="shared" si="4"/>
        <v>95990</v>
      </c>
      <c r="AG57" s="12" t="s">
        <v>73</v>
      </c>
      <c r="AH57" s="8" t="s">
        <v>35</v>
      </c>
    </row>
    <row r="58" spans="1:34">
      <c r="A58" s="8" t="s">
        <v>141</v>
      </c>
      <c r="B58" s="16" t="s">
        <v>39</v>
      </c>
      <c r="C58" s="8" t="s">
        <v>40</v>
      </c>
      <c r="D58" s="8" t="s">
        <v>41</v>
      </c>
      <c r="E58" s="8" t="str">
        <f t="shared" si="0"/>
        <v>PIEDRA</v>
      </c>
      <c r="G58" s="8" t="s">
        <v>2862</v>
      </c>
      <c r="H58" s="8" t="str">
        <f>VLOOKUP(A58,[1]BBDD!$B$1:$J$3274,9,FALSE)</f>
        <v>M</v>
      </c>
      <c r="I58" s="8" t="s">
        <v>2862</v>
      </c>
      <c r="J58" s="8" t="s">
        <v>137</v>
      </c>
      <c r="L58" s="8" t="s">
        <v>55</v>
      </c>
      <c r="N58" s="8" t="s">
        <v>56</v>
      </c>
      <c r="O58" s="8" t="s">
        <v>56</v>
      </c>
      <c r="Q58" s="8" t="s">
        <v>45</v>
      </c>
      <c r="R58" s="8">
        <v>0</v>
      </c>
      <c r="S58" s="8">
        <v>1</v>
      </c>
      <c r="T58" s="8">
        <f t="shared" si="1"/>
        <v>1</v>
      </c>
      <c r="U58" s="8">
        <v>0</v>
      </c>
      <c r="V58" s="8">
        <v>1</v>
      </c>
      <c r="W58" s="8">
        <v>1</v>
      </c>
      <c r="X58" s="8">
        <v>1</v>
      </c>
      <c r="Y58" s="8">
        <v>0</v>
      </c>
      <c r="Z58" s="8">
        <v>0</v>
      </c>
      <c r="AA58" s="8">
        <v>180</v>
      </c>
      <c r="AB58" s="9">
        <f t="shared" si="2"/>
        <v>0.5</v>
      </c>
      <c r="AC58" s="10">
        <f t="shared" si="3"/>
        <v>2</v>
      </c>
      <c r="AD58" s="8" t="s">
        <v>109</v>
      </c>
      <c r="AE58" s="11">
        <v>95990</v>
      </c>
      <c r="AF58" s="11">
        <f t="shared" si="4"/>
        <v>95990</v>
      </c>
      <c r="AG58" s="12" t="s">
        <v>34</v>
      </c>
      <c r="AH58" s="8" t="s">
        <v>35</v>
      </c>
    </row>
    <row r="59" spans="1:34">
      <c r="A59" s="8" t="s">
        <v>142</v>
      </c>
      <c r="B59" s="16" t="s">
        <v>2860</v>
      </c>
      <c r="C59" s="8" t="s">
        <v>40</v>
      </c>
      <c r="D59" s="8" t="s">
        <v>41</v>
      </c>
      <c r="E59" s="8" t="str">
        <f t="shared" si="0"/>
        <v>AZUL</v>
      </c>
      <c r="G59" s="8" t="s">
        <v>2862</v>
      </c>
      <c r="H59" s="8" t="str">
        <f>VLOOKUP(A59,[1]BBDD!$B$1:$J$3274,9,FALSE)</f>
        <v>M</v>
      </c>
      <c r="I59" s="8" t="s">
        <v>2862</v>
      </c>
      <c r="J59" s="8" t="s">
        <v>143</v>
      </c>
      <c r="L59" s="8" t="s">
        <v>82</v>
      </c>
      <c r="N59" s="8" t="s">
        <v>83</v>
      </c>
      <c r="O59" s="8" t="s">
        <v>83</v>
      </c>
      <c r="Q59" s="8" t="s">
        <v>45</v>
      </c>
      <c r="R59" s="8">
        <v>1</v>
      </c>
      <c r="S59" s="8">
        <v>6</v>
      </c>
      <c r="T59" s="8">
        <f t="shared" si="1"/>
        <v>7</v>
      </c>
      <c r="U59" s="8">
        <v>1</v>
      </c>
      <c r="V59" s="8">
        <v>1</v>
      </c>
      <c r="W59" s="8">
        <v>0</v>
      </c>
      <c r="X59" s="8">
        <v>0</v>
      </c>
      <c r="Y59" s="8">
        <v>0</v>
      </c>
      <c r="Z59" s="8">
        <v>0</v>
      </c>
      <c r="AA59" s="8">
        <v>180</v>
      </c>
      <c r="AB59" s="9">
        <f t="shared" si="2"/>
        <v>0.33333333333333337</v>
      </c>
      <c r="AC59" s="10">
        <f t="shared" si="3"/>
        <v>20.999999999999996</v>
      </c>
      <c r="AD59" s="8" t="s">
        <v>109</v>
      </c>
      <c r="AE59" s="11">
        <v>109990</v>
      </c>
      <c r="AF59" s="11">
        <f t="shared" si="4"/>
        <v>769930</v>
      </c>
      <c r="AG59" s="12" t="s">
        <v>64</v>
      </c>
      <c r="AH59" s="8" t="s">
        <v>35</v>
      </c>
    </row>
    <row r="60" spans="1:34">
      <c r="A60" s="8" t="s">
        <v>144</v>
      </c>
      <c r="B60" s="16" t="s">
        <v>2860</v>
      </c>
      <c r="C60" s="8" t="s">
        <v>40</v>
      </c>
      <c r="D60" s="8" t="s">
        <v>41</v>
      </c>
      <c r="E60" s="8" t="str">
        <f t="shared" si="0"/>
        <v>CARAMELO</v>
      </c>
      <c r="G60" s="8" t="s">
        <v>2862</v>
      </c>
      <c r="H60" s="8" t="str">
        <f>VLOOKUP(A60,[1]BBDD!$B$1:$J$3274,9,FALSE)</f>
        <v>M</v>
      </c>
      <c r="I60" s="8" t="s">
        <v>2862</v>
      </c>
      <c r="J60" s="8" t="s">
        <v>143</v>
      </c>
      <c r="L60" s="8" t="s">
        <v>82</v>
      </c>
      <c r="N60" s="8" t="s">
        <v>62</v>
      </c>
      <c r="O60" s="8" t="s">
        <v>62</v>
      </c>
      <c r="Q60" s="8" t="s">
        <v>45</v>
      </c>
      <c r="R60" s="8">
        <v>6</v>
      </c>
      <c r="S60" s="8">
        <v>7</v>
      </c>
      <c r="T60" s="8">
        <f t="shared" si="1"/>
        <v>13</v>
      </c>
      <c r="U60" s="8">
        <v>1</v>
      </c>
      <c r="V60" s="8">
        <v>0</v>
      </c>
      <c r="W60" s="8">
        <v>0</v>
      </c>
      <c r="X60" s="8">
        <v>0</v>
      </c>
      <c r="Y60" s="8">
        <v>1</v>
      </c>
      <c r="Z60" s="8">
        <v>0</v>
      </c>
      <c r="AA60" s="8">
        <v>180</v>
      </c>
      <c r="AB60" s="9">
        <f t="shared" si="2"/>
        <v>0.33333333333333337</v>
      </c>
      <c r="AC60" s="10">
        <f t="shared" si="3"/>
        <v>38.999999999999993</v>
      </c>
      <c r="AD60" s="8" t="s">
        <v>109</v>
      </c>
      <c r="AE60" s="11">
        <v>109990</v>
      </c>
      <c r="AF60" s="11">
        <f t="shared" si="4"/>
        <v>1429870</v>
      </c>
      <c r="AG60" s="12" t="s">
        <v>73</v>
      </c>
      <c r="AH60" s="8" t="s">
        <v>65</v>
      </c>
    </row>
    <row r="61" spans="1:34">
      <c r="A61" s="8" t="s">
        <v>145</v>
      </c>
      <c r="B61" s="16" t="s">
        <v>2860</v>
      </c>
      <c r="C61" s="8" t="s">
        <v>40</v>
      </c>
      <c r="D61" s="8" t="s">
        <v>41</v>
      </c>
      <c r="E61" s="8" t="str">
        <f t="shared" si="0"/>
        <v>NEGRO</v>
      </c>
      <c r="G61" s="8" t="s">
        <v>2862</v>
      </c>
      <c r="H61" s="8" t="str">
        <f>VLOOKUP(A61,[1]BBDD!$B$1:$J$3274,9,FALSE)</f>
        <v>M</v>
      </c>
      <c r="I61" s="8" t="s">
        <v>2862</v>
      </c>
      <c r="J61" s="8" t="s">
        <v>143</v>
      </c>
      <c r="L61" s="8" t="s">
        <v>82</v>
      </c>
      <c r="N61" s="8" t="s">
        <v>44</v>
      </c>
      <c r="O61" s="8" t="s">
        <v>44</v>
      </c>
      <c r="Q61" s="8" t="s">
        <v>45</v>
      </c>
      <c r="R61" s="8">
        <v>8</v>
      </c>
      <c r="S61" s="8">
        <v>8</v>
      </c>
      <c r="T61" s="8">
        <f t="shared" si="1"/>
        <v>16</v>
      </c>
      <c r="U61" s="8">
        <v>0</v>
      </c>
      <c r="V61" s="8">
        <v>0</v>
      </c>
      <c r="W61" s="8">
        <v>0</v>
      </c>
      <c r="X61" s="8">
        <v>0</v>
      </c>
      <c r="Y61" s="8">
        <v>2</v>
      </c>
      <c r="Z61" s="8">
        <v>1</v>
      </c>
      <c r="AA61" s="8">
        <v>180</v>
      </c>
      <c r="AB61" s="9">
        <f t="shared" si="2"/>
        <v>0.5</v>
      </c>
      <c r="AC61" s="10">
        <f t="shared" si="3"/>
        <v>32</v>
      </c>
      <c r="AD61" s="8" t="s">
        <v>109</v>
      </c>
      <c r="AE61" s="11">
        <v>109990</v>
      </c>
      <c r="AF61" s="11">
        <f t="shared" si="4"/>
        <v>1759840</v>
      </c>
      <c r="AG61" s="12" t="s">
        <v>73</v>
      </c>
      <c r="AH61" s="8" t="s">
        <v>65</v>
      </c>
    </row>
    <row r="62" spans="1:34">
      <c r="A62" s="8" t="s">
        <v>146</v>
      </c>
      <c r="B62" s="16" t="s">
        <v>2860</v>
      </c>
      <c r="C62" s="8" t="s">
        <v>40</v>
      </c>
      <c r="D62" s="8" t="s">
        <v>41</v>
      </c>
      <c r="E62" s="8" t="str">
        <f t="shared" si="0"/>
        <v>ROJO</v>
      </c>
      <c r="G62" s="8" t="s">
        <v>2862</v>
      </c>
      <c r="H62" s="8" t="str">
        <f>VLOOKUP(A62,[1]BBDD!$B$1:$J$3274,9,FALSE)</f>
        <v>M</v>
      </c>
      <c r="I62" s="8" t="s">
        <v>2862</v>
      </c>
      <c r="J62" s="8" t="s">
        <v>143</v>
      </c>
      <c r="L62" s="8" t="s">
        <v>82</v>
      </c>
      <c r="N62" s="8" t="s">
        <v>88</v>
      </c>
      <c r="O62" s="8" t="s">
        <v>88</v>
      </c>
      <c r="Q62" s="8" t="s">
        <v>45</v>
      </c>
      <c r="R62" s="8">
        <v>7</v>
      </c>
      <c r="S62" s="8">
        <v>6</v>
      </c>
      <c r="T62" s="8">
        <f t="shared" si="1"/>
        <v>13</v>
      </c>
      <c r="U62" s="8">
        <v>0</v>
      </c>
      <c r="V62" s="8">
        <v>0</v>
      </c>
      <c r="W62" s="8">
        <v>1</v>
      </c>
      <c r="X62" s="8">
        <v>0</v>
      </c>
      <c r="Y62" s="8">
        <v>0</v>
      </c>
      <c r="Z62" s="8">
        <v>1</v>
      </c>
      <c r="AA62" s="8">
        <v>180</v>
      </c>
      <c r="AB62" s="9">
        <f t="shared" si="2"/>
        <v>0.33333333333333337</v>
      </c>
      <c r="AC62" s="10">
        <f t="shared" si="3"/>
        <v>38.999999999999993</v>
      </c>
      <c r="AD62" s="8" t="s">
        <v>109</v>
      </c>
      <c r="AE62" s="11">
        <v>109990</v>
      </c>
      <c r="AF62" s="11">
        <f t="shared" si="4"/>
        <v>1429870</v>
      </c>
      <c r="AG62" s="12" t="s">
        <v>73</v>
      </c>
      <c r="AH62" s="8" t="s">
        <v>65</v>
      </c>
    </row>
    <row r="63" spans="1:34">
      <c r="A63" s="8" t="s">
        <v>147</v>
      </c>
      <c r="B63" s="16" t="s">
        <v>2860</v>
      </c>
      <c r="C63" s="8" t="s">
        <v>40</v>
      </c>
      <c r="D63" s="8" t="s">
        <v>41</v>
      </c>
      <c r="E63" s="8" t="str">
        <f t="shared" si="0"/>
        <v>SUELA</v>
      </c>
      <c r="G63" s="8" t="s">
        <v>2862</v>
      </c>
      <c r="H63" s="8" t="str">
        <f>VLOOKUP(A63,[1]BBDD!$B$1:$J$3274,9,FALSE)</f>
        <v>M</v>
      </c>
      <c r="I63" s="8" t="s">
        <v>2862</v>
      </c>
      <c r="J63" s="8" t="s">
        <v>143</v>
      </c>
      <c r="L63" s="8" t="s">
        <v>82</v>
      </c>
      <c r="N63" s="8" t="s">
        <v>90</v>
      </c>
      <c r="O63" s="8" t="s">
        <v>90</v>
      </c>
      <c r="Q63" s="8" t="s">
        <v>45</v>
      </c>
      <c r="R63" s="8">
        <v>2</v>
      </c>
      <c r="S63" s="8">
        <v>6</v>
      </c>
      <c r="T63" s="8">
        <f t="shared" si="1"/>
        <v>8</v>
      </c>
      <c r="U63" s="8">
        <v>1</v>
      </c>
      <c r="V63" s="8">
        <v>0</v>
      </c>
      <c r="W63" s="8">
        <v>0</v>
      </c>
      <c r="X63" s="8">
        <v>1</v>
      </c>
      <c r="Y63" s="8">
        <v>0</v>
      </c>
      <c r="Z63" s="8">
        <v>0</v>
      </c>
      <c r="AA63" s="8">
        <v>180</v>
      </c>
      <c r="AB63" s="9">
        <f t="shared" si="2"/>
        <v>0.33333333333333337</v>
      </c>
      <c r="AC63" s="10">
        <f t="shared" si="3"/>
        <v>23.999999999999996</v>
      </c>
      <c r="AD63" s="8" t="s">
        <v>109</v>
      </c>
      <c r="AE63" s="11">
        <v>109990</v>
      </c>
      <c r="AF63" s="11">
        <f t="shared" si="4"/>
        <v>879920</v>
      </c>
      <c r="AG63" s="12" t="s">
        <v>64</v>
      </c>
      <c r="AH63" s="8" t="s">
        <v>35</v>
      </c>
    </row>
    <row r="64" spans="1:34">
      <c r="A64" s="8" t="s">
        <v>148</v>
      </c>
      <c r="B64" s="16" t="s">
        <v>2860</v>
      </c>
      <c r="C64" s="8" t="s">
        <v>40</v>
      </c>
      <c r="D64" s="8" t="s">
        <v>41</v>
      </c>
      <c r="E64" s="8" t="str">
        <f t="shared" si="0"/>
        <v>VERDE</v>
      </c>
      <c r="G64" s="8" t="s">
        <v>2862</v>
      </c>
      <c r="H64" s="8" t="str">
        <f>VLOOKUP(A64,[1]BBDD!$B$1:$J$3274,9,FALSE)</f>
        <v>M</v>
      </c>
      <c r="I64" s="8" t="s">
        <v>2862</v>
      </c>
      <c r="J64" s="8" t="s">
        <v>143</v>
      </c>
      <c r="L64" s="8" t="s">
        <v>82</v>
      </c>
      <c r="N64" s="8" t="s">
        <v>92</v>
      </c>
      <c r="O64" s="8" t="s">
        <v>92</v>
      </c>
      <c r="Q64" s="8" t="s">
        <v>45</v>
      </c>
      <c r="R64" s="8">
        <v>2</v>
      </c>
      <c r="S64" s="8">
        <v>8</v>
      </c>
      <c r="T64" s="8">
        <f t="shared" si="1"/>
        <v>10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180</v>
      </c>
      <c r="AB64" s="9">
        <f t="shared" si="2"/>
        <v>0</v>
      </c>
      <c r="AC64" s="10" t="str">
        <f t="shared" si="3"/>
        <v>sin venta</v>
      </c>
      <c r="AD64" s="8" t="s">
        <v>109</v>
      </c>
      <c r="AE64" s="11">
        <v>109990</v>
      </c>
      <c r="AF64" s="11">
        <f t="shared" si="4"/>
        <v>1099900</v>
      </c>
      <c r="AG64" s="12" t="s">
        <v>73</v>
      </c>
      <c r="AH64" s="8" t="s">
        <v>35</v>
      </c>
    </row>
    <row r="65" spans="1:34">
      <c r="A65" s="8" t="s">
        <v>149</v>
      </c>
      <c r="B65" s="16" t="s">
        <v>2860</v>
      </c>
      <c r="C65" s="8" t="s">
        <v>40</v>
      </c>
      <c r="D65" s="8" t="s">
        <v>41</v>
      </c>
      <c r="E65" s="8" t="str">
        <f t="shared" si="0"/>
        <v>NEGRO</v>
      </c>
      <c r="G65" s="8" t="s">
        <v>2862</v>
      </c>
      <c r="H65" s="8" t="str">
        <f>VLOOKUP(A65,[1]BBDD!$B$1:$J$3274,9,FALSE)</f>
        <v>M</v>
      </c>
      <c r="I65" s="8" t="s">
        <v>2862</v>
      </c>
      <c r="J65" s="8" t="s">
        <v>150</v>
      </c>
      <c r="L65" s="8" t="s">
        <v>61</v>
      </c>
      <c r="N65" s="8" t="s">
        <v>44</v>
      </c>
      <c r="O65" s="8" t="s">
        <v>44</v>
      </c>
      <c r="Q65" s="8" t="s">
        <v>32</v>
      </c>
      <c r="R65" s="8">
        <v>10</v>
      </c>
      <c r="S65" s="8">
        <v>6</v>
      </c>
      <c r="T65" s="8">
        <f t="shared" si="1"/>
        <v>16</v>
      </c>
      <c r="U65" s="8">
        <v>3</v>
      </c>
      <c r="V65" s="8">
        <v>0</v>
      </c>
      <c r="W65" s="8">
        <v>0</v>
      </c>
      <c r="X65" s="8">
        <v>0</v>
      </c>
      <c r="Y65" s="8">
        <v>1</v>
      </c>
      <c r="Z65" s="8">
        <v>0</v>
      </c>
      <c r="AA65" s="8">
        <v>180</v>
      </c>
      <c r="AB65" s="9">
        <f t="shared" si="2"/>
        <v>0.66666666666666674</v>
      </c>
      <c r="AC65" s="10">
        <f t="shared" si="3"/>
        <v>23.999999999999996</v>
      </c>
      <c r="AD65" s="8" t="s">
        <v>33</v>
      </c>
      <c r="AE65" s="11">
        <v>89990</v>
      </c>
      <c r="AF65" s="11">
        <f t="shared" si="4"/>
        <v>1439840</v>
      </c>
      <c r="AG65" s="12" t="s">
        <v>64</v>
      </c>
      <c r="AH65" s="8" t="s">
        <v>65</v>
      </c>
    </row>
    <row r="66" spans="1:34">
      <c r="A66" s="8" t="s">
        <v>151</v>
      </c>
      <c r="B66" s="16" t="s">
        <v>2860</v>
      </c>
      <c r="C66" s="8" t="s">
        <v>40</v>
      </c>
      <c r="D66" s="8" t="s">
        <v>41</v>
      </c>
      <c r="E66" s="8" t="str">
        <f t="shared" si="0"/>
        <v>TABACO</v>
      </c>
      <c r="G66" s="8" t="s">
        <v>2862</v>
      </c>
      <c r="H66" s="8" t="str">
        <f>VLOOKUP(A66,[1]BBDD!$B$1:$J$3274,9,FALSE)</f>
        <v>M</v>
      </c>
      <c r="I66" s="8" t="s">
        <v>2862</v>
      </c>
      <c r="J66" s="8" t="s">
        <v>150</v>
      </c>
      <c r="L66" s="8" t="s">
        <v>61</v>
      </c>
      <c r="N66" s="8" t="s">
        <v>67</v>
      </c>
      <c r="O66" s="8" t="s">
        <v>67</v>
      </c>
      <c r="Q66" s="8" t="s">
        <v>32</v>
      </c>
      <c r="R66" s="8">
        <v>0</v>
      </c>
      <c r="S66" s="8">
        <v>5</v>
      </c>
      <c r="T66" s="8">
        <f t="shared" si="1"/>
        <v>5</v>
      </c>
      <c r="U66" s="8">
        <v>2</v>
      </c>
      <c r="V66" s="8">
        <v>0</v>
      </c>
      <c r="W66" s="8">
        <v>1</v>
      </c>
      <c r="X66" s="8">
        <v>1</v>
      </c>
      <c r="Y66" s="8">
        <v>0</v>
      </c>
      <c r="Z66" s="8">
        <v>0</v>
      </c>
      <c r="AA66" s="8">
        <v>180</v>
      </c>
      <c r="AB66" s="9">
        <f t="shared" si="2"/>
        <v>0.66666666666666674</v>
      </c>
      <c r="AC66" s="10">
        <f t="shared" si="3"/>
        <v>7.4999999999999991</v>
      </c>
      <c r="AD66" s="8" t="s">
        <v>33</v>
      </c>
      <c r="AE66" s="11">
        <v>89990</v>
      </c>
      <c r="AF66" s="11">
        <f t="shared" si="4"/>
        <v>449950</v>
      </c>
      <c r="AG66" s="12" t="s">
        <v>51</v>
      </c>
      <c r="AH66" s="8" t="s">
        <v>35</v>
      </c>
    </row>
    <row r="67" spans="1:34">
      <c r="A67" s="8" t="s">
        <v>152</v>
      </c>
      <c r="B67" s="16" t="s">
        <v>2860</v>
      </c>
      <c r="C67" s="8" t="s">
        <v>40</v>
      </c>
      <c r="D67" s="8" t="s">
        <v>41</v>
      </c>
      <c r="E67" s="8" t="str">
        <f t="shared" ref="E67:E130" si="5">TRIM(N67)</f>
        <v>AZUL</v>
      </c>
      <c r="G67" s="8" t="s">
        <v>2862</v>
      </c>
      <c r="H67" s="8" t="str">
        <f>VLOOKUP(A67,[1]BBDD!$B$1:$J$3274,9,FALSE)</f>
        <v>M</v>
      </c>
      <c r="I67" s="8" t="s">
        <v>2862</v>
      </c>
      <c r="J67" s="8" t="s">
        <v>150</v>
      </c>
      <c r="L67" s="8" t="s">
        <v>61</v>
      </c>
      <c r="N67" s="8" t="s">
        <v>83</v>
      </c>
      <c r="O67" s="8" t="s">
        <v>83</v>
      </c>
      <c r="Q67" s="8" t="s">
        <v>45</v>
      </c>
      <c r="R67" s="8">
        <v>0</v>
      </c>
      <c r="S67" s="8">
        <v>1</v>
      </c>
      <c r="T67" s="8">
        <f t="shared" ref="T67:T130" si="6">SUM(R67:S67)</f>
        <v>1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180</v>
      </c>
      <c r="AB67" s="9">
        <f t="shared" ref="AB67:AB130" si="7">SUM(U67:Z67)/AA67*30</f>
        <v>0.16666666666666669</v>
      </c>
      <c r="AC67" s="10">
        <f t="shared" ref="AC67:AC130" si="8">IFERROR(T67/AB67,"sin venta")</f>
        <v>5.9999999999999991</v>
      </c>
      <c r="AD67" s="8" t="s">
        <v>109</v>
      </c>
      <c r="AE67" s="11">
        <v>89990</v>
      </c>
      <c r="AF67" s="11">
        <f t="shared" ref="AF67:AF130" si="9">IFERROR(AE67*T67,0)</f>
        <v>89990</v>
      </c>
      <c r="AG67" s="12" t="s">
        <v>34</v>
      </c>
      <c r="AH67" s="8" t="s">
        <v>35</v>
      </c>
    </row>
    <row r="68" spans="1:34">
      <c r="A68" s="8" t="s">
        <v>153</v>
      </c>
      <c r="B68" s="16" t="s">
        <v>2860</v>
      </c>
      <c r="C68" s="8" t="s">
        <v>40</v>
      </c>
      <c r="D68" s="8" t="s">
        <v>41</v>
      </c>
      <c r="E68" s="8" t="str">
        <f t="shared" si="5"/>
        <v>CARAMELO</v>
      </c>
      <c r="G68" s="8" t="s">
        <v>2862</v>
      </c>
      <c r="H68" s="8" t="str">
        <f>VLOOKUP(A68,[1]BBDD!$B$1:$J$3274,9,FALSE)</f>
        <v>M</v>
      </c>
      <c r="I68" s="8" t="s">
        <v>2862</v>
      </c>
      <c r="J68" s="8" t="s">
        <v>150</v>
      </c>
      <c r="L68" s="8" t="s">
        <v>61</v>
      </c>
      <c r="N68" s="8" t="s">
        <v>62</v>
      </c>
      <c r="O68" s="8" t="s">
        <v>62</v>
      </c>
      <c r="Q68" s="8" t="s">
        <v>45</v>
      </c>
      <c r="R68" s="8">
        <v>5</v>
      </c>
      <c r="S68" s="8">
        <v>7</v>
      </c>
      <c r="T68" s="8">
        <f t="shared" si="6"/>
        <v>12</v>
      </c>
      <c r="U68" s="8">
        <v>2</v>
      </c>
      <c r="V68" s="8">
        <v>0</v>
      </c>
      <c r="W68" s="8">
        <v>1</v>
      </c>
      <c r="X68" s="8">
        <v>1</v>
      </c>
      <c r="Y68" s="8">
        <v>1</v>
      </c>
      <c r="Z68" s="8">
        <v>0</v>
      </c>
      <c r="AA68" s="8">
        <v>180</v>
      </c>
      <c r="AB68" s="9">
        <f t="shared" si="7"/>
        <v>0.83333333333333326</v>
      </c>
      <c r="AC68" s="10">
        <f t="shared" si="8"/>
        <v>14.400000000000002</v>
      </c>
      <c r="AD68" s="8" t="s">
        <v>109</v>
      </c>
      <c r="AE68" s="11">
        <v>89990</v>
      </c>
      <c r="AF68" s="11">
        <f t="shared" si="9"/>
        <v>1079880</v>
      </c>
      <c r="AG68" s="12" t="s">
        <v>64</v>
      </c>
      <c r="AH68" s="8" t="s">
        <v>65</v>
      </c>
    </row>
    <row r="69" spans="1:34">
      <c r="A69" s="8" t="s">
        <v>154</v>
      </c>
      <c r="B69" s="16" t="s">
        <v>2860</v>
      </c>
      <c r="C69" s="8" t="s">
        <v>40</v>
      </c>
      <c r="D69" s="8" t="s">
        <v>41</v>
      </c>
      <c r="E69" s="8" t="str">
        <f t="shared" si="5"/>
        <v>ROJO</v>
      </c>
      <c r="G69" s="8" t="s">
        <v>2862</v>
      </c>
      <c r="H69" s="8" t="str">
        <f>VLOOKUP(A69,[1]BBDD!$B$1:$J$3274,9,FALSE)</f>
        <v>M</v>
      </c>
      <c r="I69" s="8" t="s">
        <v>2862</v>
      </c>
      <c r="J69" s="8" t="s">
        <v>150</v>
      </c>
      <c r="L69" s="8" t="s">
        <v>61</v>
      </c>
      <c r="N69" s="8" t="s">
        <v>88</v>
      </c>
      <c r="O69" s="8" t="s">
        <v>88</v>
      </c>
      <c r="Q69" s="8" t="s">
        <v>45</v>
      </c>
      <c r="R69" s="8">
        <v>0</v>
      </c>
      <c r="S69" s="8">
        <v>2</v>
      </c>
      <c r="T69" s="8">
        <f t="shared" si="6"/>
        <v>2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180</v>
      </c>
      <c r="AB69" s="9">
        <f t="shared" si="7"/>
        <v>0</v>
      </c>
      <c r="AC69" s="10" t="str">
        <f t="shared" si="8"/>
        <v>sin venta</v>
      </c>
      <c r="AD69" s="8" t="s">
        <v>109</v>
      </c>
      <c r="AE69" s="11">
        <v>89990</v>
      </c>
      <c r="AF69" s="11">
        <f t="shared" si="9"/>
        <v>179980</v>
      </c>
      <c r="AG69" s="12" t="s">
        <v>73</v>
      </c>
      <c r="AH69" s="8" t="s">
        <v>35</v>
      </c>
    </row>
    <row r="70" spans="1:34">
      <c r="A70" s="8" t="s">
        <v>155</v>
      </c>
      <c r="B70" s="16" t="s">
        <v>2860</v>
      </c>
      <c r="C70" s="8" t="s">
        <v>40</v>
      </c>
      <c r="D70" s="8" t="s">
        <v>41</v>
      </c>
      <c r="E70" s="8" t="str">
        <f t="shared" si="5"/>
        <v>AZUL</v>
      </c>
      <c r="G70" s="8" t="s">
        <v>2862</v>
      </c>
      <c r="H70" s="8" t="str">
        <f>VLOOKUP(A70,[1]BBDD!$B$1:$J$3274,9,FALSE)</f>
        <v>M</v>
      </c>
      <c r="I70" s="8" t="s">
        <v>2862</v>
      </c>
      <c r="J70" s="8" t="s">
        <v>150</v>
      </c>
      <c r="L70" s="8" t="s">
        <v>71</v>
      </c>
      <c r="N70" s="8" t="s">
        <v>83</v>
      </c>
      <c r="O70" s="8" t="s">
        <v>83</v>
      </c>
      <c r="Q70" s="8" t="s">
        <v>32</v>
      </c>
      <c r="R70" s="8">
        <v>1</v>
      </c>
      <c r="S70" s="8">
        <v>8</v>
      </c>
      <c r="T70" s="8">
        <f t="shared" si="6"/>
        <v>9</v>
      </c>
      <c r="U70" s="8">
        <v>1</v>
      </c>
      <c r="V70" s="8">
        <v>0</v>
      </c>
      <c r="W70" s="8">
        <v>0</v>
      </c>
      <c r="X70" s="8">
        <v>1</v>
      </c>
      <c r="Y70" s="8">
        <v>0</v>
      </c>
      <c r="Z70" s="8">
        <v>1</v>
      </c>
      <c r="AA70" s="8">
        <v>180</v>
      </c>
      <c r="AB70" s="9">
        <f t="shared" si="7"/>
        <v>0.5</v>
      </c>
      <c r="AC70" s="10">
        <f t="shared" si="8"/>
        <v>18</v>
      </c>
      <c r="AD70" s="8" t="s">
        <v>33</v>
      </c>
      <c r="AE70" s="11">
        <v>89990</v>
      </c>
      <c r="AF70" s="11">
        <f t="shared" si="9"/>
        <v>809910</v>
      </c>
      <c r="AG70" s="12" t="s">
        <v>64</v>
      </c>
      <c r="AH70" s="8" t="s">
        <v>35</v>
      </c>
    </row>
    <row r="71" spans="1:34">
      <c r="A71" s="8" t="s">
        <v>156</v>
      </c>
      <c r="B71" s="16" t="s">
        <v>2860</v>
      </c>
      <c r="C71" s="8" t="s">
        <v>40</v>
      </c>
      <c r="D71" s="8" t="s">
        <v>41</v>
      </c>
      <c r="E71" s="8" t="str">
        <f t="shared" si="5"/>
        <v>GRIS MEDIO</v>
      </c>
      <c r="G71" s="8" t="s">
        <v>2862</v>
      </c>
      <c r="H71" s="8" t="str">
        <f>VLOOKUP(A71,[1]BBDD!$B$1:$J$3274,9,FALSE)</f>
        <v>M</v>
      </c>
      <c r="I71" s="8" t="s">
        <v>2862</v>
      </c>
      <c r="J71" s="8" t="s">
        <v>150</v>
      </c>
      <c r="L71" s="8" t="s">
        <v>71</v>
      </c>
      <c r="N71" s="8" t="s">
        <v>157</v>
      </c>
      <c r="O71" s="8" t="s">
        <v>157</v>
      </c>
      <c r="Q71" s="8" t="s">
        <v>32</v>
      </c>
      <c r="R71" s="8">
        <v>0</v>
      </c>
      <c r="S71" s="8">
        <v>7</v>
      </c>
      <c r="T71" s="8">
        <f t="shared" si="6"/>
        <v>7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180</v>
      </c>
      <c r="AB71" s="9">
        <f t="shared" si="7"/>
        <v>0</v>
      </c>
      <c r="AC71" s="10" t="str">
        <f t="shared" si="8"/>
        <v>sin venta</v>
      </c>
      <c r="AD71" s="8" t="s">
        <v>33</v>
      </c>
      <c r="AE71" s="11">
        <v>89990</v>
      </c>
      <c r="AF71" s="11">
        <f t="shared" si="9"/>
        <v>629930</v>
      </c>
      <c r="AG71" s="12" t="s">
        <v>73</v>
      </c>
      <c r="AH71" s="8" t="s">
        <v>35</v>
      </c>
    </row>
    <row r="72" spans="1:34">
      <c r="A72" s="8" t="s">
        <v>158</v>
      </c>
      <c r="B72" s="16" t="s">
        <v>2860</v>
      </c>
      <c r="C72" s="8" t="s">
        <v>40</v>
      </c>
      <c r="D72" s="8" t="s">
        <v>41</v>
      </c>
      <c r="E72" s="8" t="str">
        <f t="shared" si="5"/>
        <v>OLIVE</v>
      </c>
      <c r="G72" s="8" t="s">
        <v>2862</v>
      </c>
      <c r="H72" s="8" t="str">
        <f>VLOOKUP(A72,[1]BBDD!$B$1:$J$3274,9,FALSE)</f>
        <v>M</v>
      </c>
      <c r="I72" s="8" t="s">
        <v>2862</v>
      </c>
      <c r="J72" s="8" t="s">
        <v>150</v>
      </c>
      <c r="L72" s="8" t="s">
        <v>71</v>
      </c>
      <c r="N72" s="8" t="s">
        <v>159</v>
      </c>
      <c r="O72" s="8" t="s">
        <v>159</v>
      </c>
      <c r="Q72" s="8" t="s">
        <v>32</v>
      </c>
      <c r="R72" s="8">
        <v>0</v>
      </c>
      <c r="S72" s="8">
        <v>4</v>
      </c>
      <c r="T72" s="8">
        <f t="shared" si="6"/>
        <v>4</v>
      </c>
      <c r="U72" s="8">
        <v>1</v>
      </c>
      <c r="V72" s="8">
        <v>0</v>
      </c>
      <c r="W72" s="8">
        <v>3</v>
      </c>
      <c r="X72" s="8">
        <v>0</v>
      </c>
      <c r="Y72" s="8">
        <v>0</v>
      </c>
      <c r="Z72" s="8">
        <v>1</v>
      </c>
      <c r="AA72" s="8">
        <v>180</v>
      </c>
      <c r="AB72" s="9">
        <f t="shared" si="7"/>
        <v>0.83333333333333326</v>
      </c>
      <c r="AC72" s="10">
        <f t="shared" si="8"/>
        <v>4.8000000000000007</v>
      </c>
      <c r="AD72" s="8" t="s">
        <v>33</v>
      </c>
      <c r="AE72" s="11">
        <v>89990</v>
      </c>
      <c r="AF72" s="11">
        <f t="shared" si="9"/>
        <v>359960</v>
      </c>
      <c r="AG72" s="12" t="s">
        <v>34</v>
      </c>
      <c r="AH72" s="8" t="s">
        <v>35</v>
      </c>
    </row>
    <row r="73" spans="1:34">
      <c r="A73" s="8" t="s">
        <v>160</v>
      </c>
      <c r="B73" s="16" t="s">
        <v>2860</v>
      </c>
      <c r="C73" s="8" t="s">
        <v>40</v>
      </c>
      <c r="D73" s="8" t="s">
        <v>41</v>
      </c>
      <c r="E73" s="8" t="str">
        <f t="shared" si="5"/>
        <v>VESUBIO/TABACO</v>
      </c>
      <c r="G73" s="8" t="s">
        <v>2862</v>
      </c>
      <c r="H73" s="8" t="str">
        <f>VLOOKUP(A73,[1]BBDD!$B$1:$J$3274,9,FALSE)</f>
        <v>M</v>
      </c>
      <c r="I73" s="8" t="s">
        <v>2862</v>
      </c>
      <c r="J73" s="8" t="s">
        <v>150</v>
      </c>
      <c r="L73" s="8" t="s">
        <v>71</v>
      </c>
      <c r="N73" s="8" t="s">
        <v>161</v>
      </c>
      <c r="O73" s="8" t="s">
        <v>161</v>
      </c>
      <c r="Q73" s="8" t="s">
        <v>32</v>
      </c>
      <c r="R73" s="8">
        <v>8</v>
      </c>
      <c r="S73" s="8">
        <v>7</v>
      </c>
      <c r="T73" s="8">
        <f t="shared" si="6"/>
        <v>15</v>
      </c>
      <c r="U73" s="8">
        <v>0</v>
      </c>
      <c r="V73" s="8">
        <v>0</v>
      </c>
      <c r="W73" s="8">
        <v>2</v>
      </c>
      <c r="X73" s="8">
        <v>0</v>
      </c>
      <c r="Y73" s="8">
        <v>0</v>
      </c>
      <c r="Z73" s="8">
        <v>2</v>
      </c>
      <c r="AA73" s="8">
        <v>180</v>
      </c>
      <c r="AB73" s="9">
        <f t="shared" si="7"/>
        <v>0.66666666666666674</v>
      </c>
      <c r="AC73" s="10">
        <f t="shared" si="8"/>
        <v>22.499999999999996</v>
      </c>
      <c r="AD73" s="8" t="s">
        <v>33</v>
      </c>
      <c r="AE73" s="11">
        <v>89990</v>
      </c>
      <c r="AF73" s="11">
        <f t="shared" si="9"/>
        <v>1349850</v>
      </c>
      <c r="AG73" s="12" t="s">
        <v>64</v>
      </c>
      <c r="AH73" s="8" t="s">
        <v>65</v>
      </c>
    </row>
    <row r="74" spans="1:34">
      <c r="A74" s="8" t="s">
        <v>162</v>
      </c>
      <c r="B74" s="16" t="s">
        <v>2860</v>
      </c>
      <c r="C74" s="8" t="s">
        <v>40</v>
      </c>
      <c r="D74" s="8" t="s">
        <v>41</v>
      </c>
      <c r="E74" s="8" t="str">
        <f t="shared" si="5"/>
        <v>AVELLANA/NEGRO</v>
      </c>
      <c r="G74" s="8" t="s">
        <v>2862</v>
      </c>
      <c r="H74" s="8" t="str">
        <f>VLOOKUP(A74,[1]BBDD!$B$1:$J$3274,9,FALSE)</f>
        <v>M</v>
      </c>
      <c r="I74" s="8" t="s">
        <v>2862</v>
      </c>
      <c r="J74" s="8" t="s">
        <v>150</v>
      </c>
      <c r="L74" s="8" t="s">
        <v>71</v>
      </c>
      <c r="N74" s="8" t="s">
        <v>163</v>
      </c>
      <c r="O74" s="8" t="s">
        <v>163</v>
      </c>
      <c r="Q74" s="8" t="s">
        <v>45</v>
      </c>
      <c r="R74" s="8">
        <v>0</v>
      </c>
      <c r="S74" s="8">
        <v>6</v>
      </c>
      <c r="T74" s="8">
        <f t="shared" si="6"/>
        <v>6</v>
      </c>
      <c r="U74" s="8">
        <v>0</v>
      </c>
      <c r="V74" s="8">
        <v>0</v>
      </c>
      <c r="W74" s="8">
        <v>0</v>
      </c>
      <c r="X74" s="8">
        <v>1</v>
      </c>
      <c r="Y74" s="8">
        <v>0</v>
      </c>
      <c r="Z74" s="8">
        <v>0</v>
      </c>
      <c r="AA74" s="8">
        <v>180</v>
      </c>
      <c r="AB74" s="9">
        <f t="shared" si="7"/>
        <v>0.16666666666666669</v>
      </c>
      <c r="AC74" s="10">
        <f t="shared" si="8"/>
        <v>35.999999999999993</v>
      </c>
      <c r="AD74" s="8" t="s">
        <v>109</v>
      </c>
      <c r="AE74" s="11">
        <v>89990</v>
      </c>
      <c r="AF74" s="11">
        <f t="shared" si="9"/>
        <v>539940</v>
      </c>
      <c r="AG74" s="12" t="s">
        <v>73</v>
      </c>
      <c r="AH74" s="8" t="s">
        <v>35</v>
      </c>
    </row>
    <row r="75" spans="1:34">
      <c r="A75" s="8" t="s">
        <v>164</v>
      </c>
      <c r="B75" s="16" t="s">
        <v>2860</v>
      </c>
      <c r="C75" s="8" t="s">
        <v>40</v>
      </c>
      <c r="D75" s="8" t="s">
        <v>41</v>
      </c>
      <c r="E75" s="8" t="str">
        <f t="shared" si="5"/>
        <v>AVELLANA/TABACO</v>
      </c>
      <c r="G75" s="8" t="s">
        <v>2862</v>
      </c>
      <c r="H75" s="8" t="str">
        <f>VLOOKUP(A75,[1]BBDD!$B$1:$J$3274,9,FALSE)</f>
        <v>M</v>
      </c>
      <c r="I75" s="8" t="s">
        <v>2862</v>
      </c>
      <c r="J75" s="8" t="s">
        <v>150</v>
      </c>
      <c r="L75" s="8" t="s">
        <v>71</v>
      </c>
      <c r="N75" s="8" t="s">
        <v>165</v>
      </c>
      <c r="O75" s="8" t="s">
        <v>165</v>
      </c>
      <c r="Q75" s="8" t="s">
        <v>45</v>
      </c>
      <c r="R75" s="8">
        <v>21</v>
      </c>
      <c r="S75" s="8">
        <v>9</v>
      </c>
      <c r="T75" s="8">
        <f t="shared" si="6"/>
        <v>30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180</v>
      </c>
      <c r="AB75" s="9">
        <f t="shared" si="7"/>
        <v>0</v>
      </c>
      <c r="AC75" s="10" t="str">
        <f t="shared" si="8"/>
        <v>sin venta</v>
      </c>
      <c r="AD75" s="8" t="s">
        <v>109</v>
      </c>
      <c r="AE75" s="11">
        <v>89990</v>
      </c>
      <c r="AF75" s="11">
        <f t="shared" si="9"/>
        <v>2699700</v>
      </c>
      <c r="AG75" s="12" t="s">
        <v>73</v>
      </c>
      <c r="AH75" s="8" t="s">
        <v>74</v>
      </c>
    </row>
    <row r="76" spans="1:34">
      <c r="A76" s="8" t="s">
        <v>166</v>
      </c>
      <c r="B76" s="16" t="s">
        <v>2860</v>
      </c>
      <c r="C76" s="8" t="s">
        <v>40</v>
      </c>
      <c r="D76" s="8" t="s">
        <v>41</v>
      </c>
      <c r="E76" s="8" t="str">
        <f t="shared" si="5"/>
        <v>OXIDO/TABACO</v>
      </c>
      <c r="G76" s="8" t="s">
        <v>2862</v>
      </c>
      <c r="H76" s="8" t="str">
        <f>VLOOKUP(A76,[1]BBDD!$B$1:$J$3274,9,FALSE)</f>
        <v>M</v>
      </c>
      <c r="I76" s="8" t="s">
        <v>2862</v>
      </c>
      <c r="J76" s="8" t="s">
        <v>150</v>
      </c>
      <c r="L76" s="8" t="s">
        <v>71</v>
      </c>
      <c r="N76" s="8" t="s">
        <v>167</v>
      </c>
      <c r="O76" s="8" t="s">
        <v>167</v>
      </c>
      <c r="Q76" s="8" t="s">
        <v>45</v>
      </c>
      <c r="R76" s="8">
        <v>0</v>
      </c>
      <c r="S76" s="8">
        <v>4</v>
      </c>
      <c r="T76" s="8">
        <f t="shared" si="6"/>
        <v>4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180</v>
      </c>
      <c r="AB76" s="9">
        <f t="shared" si="7"/>
        <v>0</v>
      </c>
      <c r="AC76" s="10" t="str">
        <f t="shared" si="8"/>
        <v>sin venta</v>
      </c>
      <c r="AD76" s="8" t="s">
        <v>109</v>
      </c>
      <c r="AE76" s="11">
        <v>89990</v>
      </c>
      <c r="AF76" s="11">
        <f t="shared" si="9"/>
        <v>359960</v>
      </c>
      <c r="AG76" s="12" t="s">
        <v>73</v>
      </c>
      <c r="AH76" s="8" t="s">
        <v>35</v>
      </c>
    </row>
    <row r="77" spans="1:34">
      <c r="A77" s="8" t="s">
        <v>168</v>
      </c>
      <c r="B77" s="16" t="s">
        <v>2860</v>
      </c>
      <c r="C77" s="8" t="s">
        <v>40</v>
      </c>
      <c r="D77" s="8" t="s">
        <v>41</v>
      </c>
      <c r="E77" s="8" t="str">
        <f t="shared" si="5"/>
        <v>CARAMELO</v>
      </c>
      <c r="G77" s="8" t="s">
        <v>2862</v>
      </c>
      <c r="H77" s="8" t="str">
        <f>VLOOKUP(A77,[1]BBDD!$B$1:$J$3274,9,FALSE)</f>
        <v>M</v>
      </c>
      <c r="I77" s="8" t="s">
        <v>2862</v>
      </c>
      <c r="J77" s="8" t="s">
        <v>150</v>
      </c>
      <c r="L77" s="8" t="s">
        <v>82</v>
      </c>
      <c r="N77" s="8" t="s">
        <v>62</v>
      </c>
      <c r="O77" s="8" t="s">
        <v>62</v>
      </c>
      <c r="Q77" s="8" t="s">
        <v>32</v>
      </c>
      <c r="R77" s="8">
        <v>3</v>
      </c>
      <c r="S77" s="8">
        <v>5</v>
      </c>
      <c r="T77" s="8">
        <f t="shared" si="6"/>
        <v>8</v>
      </c>
      <c r="U77" s="8">
        <v>1</v>
      </c>
      <c r="V77" s="8">
        <v>0</v>
      </c>
      <c r="W77" s="8">
        <v>1</v>
      </c>
      <c r="X77" s="8">
        <v>0</v>
      </c>
      <c r="Y77" s="8">
        <v>0</v>
      </c>
      <c r="Z77" s="8">
        <v>0</v>
      </c>
      <c r="AA77" s="8">
        <v>180</v>
      </c>
      <c r="AB77" s="9">
        <f t="shared" si="7"/>
        <v>0.33333333333333337</v>
      </c>
      <c r="AC77" s="10">
        <f t="shared" si="8"/>
        <v>23.999999999999996</v>
      </c>
      <c r="AD77" s="8" t="s">
        <v>33</v>
      </c>
      <c r="AE77" s="11">
        <v>89990</v>
      </c>
      <c r="AF77" s="11">
        <f t="shared" si="9"/>
        <v>719920</v>
      </c>
      <c r="AG77" s="12" t="s">
        <v>64</v>
      </c>
      <c r="AH77" s="8" t="s">
        <v>35</v>
      </c>
    </row>
    <row r="78" spans="1:34">
      <c r="A78" s="8" t="s">
        <v>169</v>
      </c>
      <c r="B78" s="16" t="s">
        <v>2860</v>
      </c>
      <c r="C78" s="8" t="s">
        <v>40</v>
      </c>
      <c r="D78" s="8" t="s">
        <v>41</v>
      </c>
      <c r="E78" s="8" t="str">
        <f t="shared" si="5"/>
        <v>MALBEC</v>
      </c>
      <c r="G78" s="8" t="s">
        <v>2862</v>
      </c>
      <c r="H78" s="8" t="str">
        <f>VLOOKUP(A78,[1]BBDD!$B$1:$J$3274,9,FALSE)</f>
        <v>M</v>
      </c>
      <c r="I78" s="8" t="s">
        <v>2862</v>
      </c>
      <c r="J78" s="8" t="s">
        <v>150</v>
      </c>
      <c r="L78" s="8" t="s">
        <v>82</v>
      </c>
      <c r="N78" s="8" t="s">
        <v>69</v>
      </c>
      <c r="O78" s="8" t="s">
        <v>69</v>
      </c>
      <c r="Q78" s="8" t="s">
        <v>32</v>
      </c>
      <c r="R78" s="8">
        <v>0</v>
      </c>
      <c r="S78" s="8">
        <v>2</v>
      </c>
      <c r="T78" s="8">
        <f t="shared" si="6"/>
        <v>2</v>
      </c>
      <c r="U78" s="8">
        <v>1</v>
      </c>
      <c r="V78" s="8">
        <v>0</v>
      </c>
      <c r="W78" s="8">
        <v>0</v>
      </c>
      <c r="X78" s="8">
        <v>2</v>
      </c>
      <c r="Y78" s="8">
        <v>0</v>
      </c>
      <c r="Z78" s="8">
        <v>1</v>
      </c>
      <c r="AA78" s="8">
        <v>180</v>
      </c>
      <c r="AB78" s="9">
        <f t="shared" si="7"/>
        <v>0.66666666666666674</v>
      </c>
      <c r="AC78" s="10">
        <f t="shared" si="8"/>
        <v>2.9999999999999996</v>
      </c>
      <c r="AD78" s="8" t="s">
        <v>33</v>
      </c>
      <c r="AE78" s="11">
        <v>89990</v>
      </c>
      <c r="AF78" s="11">
        <f t="shared" si="9"/>
        <v>179980</v>
      </c>
      <c r="AG78" s="12" t="s">
        <v>34</v>
      </c>
      <c r="AH78" s="8" t="s">
        <v>35</v>
      </c>
    </row>
    <row r="79" spans="1:34">
      <c r="A79" s="8" t="s">
        <v>170</v>
      </c>
      <c r="B79" s="16" t="s">
        <v>2860</v>
      </c>
      <c r="C79" s="8" t="s">
        <v>40</v>
      </c>
      <c r="D79" s="8" t="s">
        <v>41</v>
      </c>
      <c r="E79" s="8" t="str">
        <f t="shared" si="5"/>
        <v>NEGRO</v>
      </c>
      <c r="G79" s="8" t="s">
        <v>2862</v>
      </c>
      <c r="H79" s="8" t="str">
        <f>VLOOKUP(A79,[1]BBDD!$B$1:$J$3274,9,FALSE)</f>
        <v>M</v>
      </c>
      <c r="I79" s="8" t="s">
        <v>2862</v>
      </c>
      <c r="J79" s="8" t="s">
        <v>150</v>
      </c>
      <c r="L79" s="8" t="s">
        <v>82</v>
      </c>
      <c r="N79" s="8" t="s">
        <v>44</v>
      </c>
      <c r="O79" s="8" t="s">
        <v>44</v>
      </c>
      <c r="Q79" s="8" t="s">
        <v>32</v>
      </c>
      <c r="R79" s="8">
        <v>0</v>
      </c>
      <c r="S79" s="8">
        <v>3</v>
      </c>
      <c r="T79" s="8">
        <f t="shared" si="6"/>
        <v>3</v>
      </c>
      <c r="U79" s="8">
        <v>0</v>
      </c>
      <c r="V79" s="8">
        <v>0</v>
      </c>
      <c r="W79" s="8">
        <v>0</v>
      </c>
      <c r="X79" s="8">
        <v>1</v>
      </c>
      <c r="Y79" s="8">
        <v>0</v>
      </c>
      <c r="Z79" s="8">
        <v>2</v>
      </c>
      <c r="AA79" s="8">
        <v>180</v>
      </c>
      <c r="AB79" s="9">
        <f t="shared" si="7"/>
        <v>0.5</v>
      </c>
      <c r="AC79" s="10">
        <f t="shared" si="8"/>
        <v>6</v>
      </c>
      <c r="AD79" s="8" t="s">
        <v>33</v>
      </c>
      <c r="AE79" s="11">
        <v>89990</v>
      </c>
      <c r="AF79" s="11">
        <f t="shared" si="9"/>
        <v>269970</v>
      </c>
      <c r="AG79" s="12" t="s">
        <v>34</v>
      </c>
      <c r="AH79" s="8" t="s">
        <v>35</v>
      </c>
    </row>
    <row r="80" spans="1:34">
      <c r="A80" s="8" t="s">
        <v>171</v>
      </c>
      <c r="B80" s="16" t="s">
        <v>2860</v>
      </c>
      <c r="C80" s="8" t="s">
        <v>40</v>
      </c>
      <c r="D80" s="8" t="s">
        <v>41</v>
      </c>
      <c r="E80" s="8" t="str">
        <f t="shared" si="5"/>
        <v>ROJO</v>
      </c>
      <c r="G80" s="8" t="s">
        <v>2862</v>
      </c>
      <c r="H80" s="8" t="str">
        <f>VLOOKUP(A80,[1]BBDD!$B$1:$J$3274,9,FALSE)</f>
        <v>M</v>
      </c>
      <c r="I80" s="8" t="s">
        <v>2862</v>
      </c>
      <c r="J80" s="8" t="s">
        <v>150</v>
      </c>
      <c r="L80" s="8" t="s">
        <v>82</v>
      </c>
      <c r="N80" s="8" t="s">
        <v>88</v>
      </c>
      <c r="O80" s="8" t="s">
        <v>88</v>
      </c>
      <c r="Q80" s="8" t="s">
        <v>32</v>
      </c>
      <c r="R80" s="8">
        <v>6</v>
      </c>
      <c r="S80" s="8">
        <v>8</v>
      </c>
      <c r="T80" s="8">
        <f t="shared" si="6"/>
        <v>14</v>
      </c>
      <c r="U80" s="8">
        <v>1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180</v>
      </c>
      <c r="AB80" s="9">
        <f t="shared" si="7"/>
        <v>0.16666666666666669</v>
      </c>
      <c r="AC80" s="10">
        <f t="shared" si="8"/>
        <v>83.999999999999986</v>
      </c>
      <c r="AD80" s="8" t="s">
        <v>33</v>
      </c>
      <c r="AE80" s="11">
        <v>89990</v>
      </c>
      <c r="AF80" s="11">
        <f t="shared" si="9"/>
        <v>1259860</v>
      </c>
      <c r="AG80" s="12" t="s">
        <v>73</v>
      </c>
      <c r="AH80" s="8" t="s">
        <v>65</v>
      </c>
    </row>
    <row r="81" spans="1:34">
      <c r="A81" s="8" t="s">
        <v>172</v>
      </c>
      <c r="B81" s="16" t="s">
        <v>2860</v>
      </c>
      <c r="C81" s="8" t="s">
        <v>40</v>
      </c>
      <c r="D81" s="8" t="s">
        <v>41</v>
      </c>
      <c r="E81" s="8" t="str">
        <f t="shared" si="5"/>
        <v>AZUL</v>
      </c>
      <c r="G81" s="8" t="s">
        <v>2862</v>
      </c>
      <c r="H81" s="8" t="str">
        <f>VLOOKUP(A81,[1]BBDD!$B$1:$J$3274,9,FALSE)</f>
        <v>M</v>
      </c>
      <c r="I81" s="8" t="s">
        <v>2862</v>
      </c>
      <c r="J81" s="8" t="s">
        <v>150</v>
      </c>
      <c r="L81" s="8" t="s">
        <v>82</v>
      </c>
      <c r="N81" s="8" t="s">
        <v>83</v>
      </c>
      <c r="O81" s="8" t="s">
        <v>83</v>
      </c>
      <c r="Q81" s="8" t="s">
        <v>45</v>
      </c>
      <c r="R81" s="8">
        <v>2</v>
      </c>
      <c r="S81" s="8">
        <v>4</v>
      </c>
      <c r="T81" s="8">
        <f t="shared" si="6"/>
        <v>6</v>
      </c>
      <c r="U81" s="8">
        <v>0</v>
      </c>
      <c r="V81" s="8">
        <v>1</v>
      </c>
      <c r="W81" s="8">
        <v>0</v>
      </c>
      <c r="X81" s="8">
        <v>0</v>
      </c>
      <c r="Y81" s="8">
        <v>0</v>
      </c>
      <c r="Z81" s="8">
        <v>1</v>
      </c>
      <c r="AA81" s="8">
        <v>180</v>
      </c>
      <c r="AB81" s="9">
        <f t="shared" si="7"/>
        <v>0.33333333333333337</v>
      </c>
      <c r="AC81" s="10">
        <f t="shared" si="8"/>
        <v>17.999999999999996</v>
      </c>
      <c r="AD81" s="8" t="s">
        <v>109</v>
      </c>
      <c r="AE81" s="11">
        <v>89990</v>
      </c>
      <c r="AF81" s="11">
        <f t="shared" si="9"/>
        <v>539940</v>
      </c>
      <c r="AG81" s="12" t="s">
        <v>64</v>
      </c>
      <c r="AH81" s="8" t="s">
        <v>35</v>
      </c>
    </row>
    <row r="82" spans="1:34">
      <c r="A82" s="8" t="s">
        <v>173</v>
      </c>
      <c r="B82" s="16" t="s">
        <v>2860</v>
      </c>
      <c r="C82" s="8" t="s">
        <v>40</v>
      </c>
      <c r="D82" s="8" t="s">
        <v>41</v>
      </c>
      <c r="E82" s="8" t="str">
        <f t="shared" si="5"/>
        <v>SUELA</v>
      </c>
      <c r="G82" s="8" t="s">
        <v>2862</v>
      </c>
      <c r="H82" s="8" t="str">
        <f>VLOOKUP(A82,[1]BBDD!$B$1:$J$3274,9,FALSE)</f>
        <v>M</v>
      </c>
      <c r="I82" s="8" t="s">
        <v>2862</v>
      </c>
      <c r="J82" s="8" t="s">
        <v>150</v>
      </c>
      <c r="L82" s="8" t="s">
        <v>82</v>
      </c>
      <c r="N82" s="8" t="s">
        <v>90</v>
      </c>
      <c r="O82" s="8" t="s">
        <v>90</v>
      </c>
      <c r="Q82" s="8" t="s">
        <v>45</v>
      </c>
      <c r="R82" s="8">
        <v>4</v>
      </c>
      <c r="S82" s="8">
        <v>5</v>
      </c>
      <c r="T82" s="8">
        <f t="shared" si="6"/>
        <v>9</v>
      </c>
      <c r="U82" s="8">
        <v>0</v>
      </c>
      <c r="V82" s="8">
        <v>0</v>
      </c>
      <c r="W82" s="8">
        <v>0</v>
      </c>
      <c r="X82" s="8">
        <v>1</v>
      </c>
      <c r="Y82" s="8">
        <v>0</v>
      </c>
      <c r="Z82" s="8">
        <v>0</v>
      </c>
      <c r="AA82" s="8">
        <v>180</v>
      </c>
      <c r="AB82" s="9">
        <f t="shared" si="7"/>
        <v>0.16666666666666669</v>
      </c>
      <c r="AC82" s="10">
        <f t="shared" si="8"/>
        <v>53.999999999999993</v>
      </c>
      <c r="AD82" s="8" t="s">
        <v>109</v>
      </c>
      <c r="AE82" s="11">
        <v>89990</v>
      </c>
      <c r="AF82" s="11">
        <f t="shared" si="9"/>
        <v>809910</v>
      </c>
      <c r="AG82" s="12" t="s">
        <v>73</v>
      </c>
      <c r="AH82" s="8" t="s">
        <v>35</v>
      </c>
    </row>
    <row r="83" spans="1:34">
      <c r="A83" s="8" t="s">
        <v>174</v>
      </c>
      <c r="B83" s="16" t="s">
        <v>2860</v>
      </c>
      <c r="C83" s="8" t="s">
        <v>40</v>
      </c>
      <c r="D83" s="8" t="s">
        <v>41</v>
      </c>
      <c r="E83" s="8" t="str">
        <f t="shared" si="5"/>
        <v>VERDE</v>
      </c>
      <c r="G83" s="8" t="s">
        <v>2862</v>
      </c>
      <c r="H83" s="8" t="str">
        <f>VLOOKUP(A83,[1]BBDD!$B$1:$J$3274,9,FALSE)</f>
        <v>M</v>
      </c>
      <c r="I83" s="8" t="s">
        <v>2862</v>
      </c>
      <c r="J83" s="8" t="s">
        <v>150</v>
      </c>
      <c r="L83" s="8" t="s">
        <v>82</v>
      </c>
      <c r="N83" s="8" t="s">
        <v>92</v>
      </c>
      <c r="O83" s="8" t="s">
        <v>92</v>
      </c>
      <c r="Q83" s="8" t="s">
        <v>45</v>
      </c>
      <c r="R83" s="8">
        <v>1</v>
      </c>
      <c r="S83" s="8">
        <v>4</v>
      </c>
      <c r="T83" s="8">
        <f t="shared" si="6"/>
        <v>5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1</v>
      </c>
      <c r="AA83" s="8">
        <v>180</v>
      </c>
      <c r="AB83" s="9">
        <f t="shared" si="7"/>
        <v>0.16666666666666669</v>
      </c>
      <c r="AC83" s="10">
        <f t="shared" si="8"/>
        <v>29.999999999999996</v>
      </c>
      <c r="AD83" s="8" t="s">
        <v>109</v>
      </c>
      <c r="AE83" s="11">
        <v>89990</v>
      </c>
      <c r="AF83" s="11">
        <f t="shared" si="9"/>
        <v>449950</v>
      </c>
      <c r="AG83" s="12" t="s">
        <v>73</v>
      </c>
      <c r="AH83" s="8" t="s">
        <v>35</v>
      </c>
    </row>
    <row r="84" spans="1:34">
      <c r="A84" s="8" t="s">
        <v>175</v>
      </c>
      <c r="B84" s="16" t="s">
        <v>2860</v>
      </c>
      <c r="C84" s="8" t="s">
        <v>40</v>
      </c>
      <c r="D84" s="8" t="s">
        <v>41</v>
      </c>
      <c r="E84" s="8" t="str">
        <f t="shared" si="5"/>
        <v>ROJO</v>
      </c>
      <c r="G84" s="8" t="s">
        <v>2862</v>
      </c>
      <c r="H84" s="8" t="str">
        <f>VLOOKUP(A84,[1]BBDD!$B$1:$J$3274,9,FALSE)</f>
        <v>M</v>
      </c>
      <c r="I84" s="8" t="s">
        <v>2862</v>
      </c>
      <c r="J84" s="8" t="s">
        <v>176</v>
      </c>
      <c r="L84" s="8" t="s">
        <v>61</v>
      </c>
      <c r="N84" s="8" t="s">
        <v>88</v>
      </c>
      <c r="O84" s="8" t="s">
        <v>88</v>
      </c>
      <c r="Q84" s="8" t="s">
        <v>45</v>
      </c>
      <c r="R84" s="8">
        <v>0</v>
      </c>
      <c r="S84" s="8">
        <v>3</v>
      </c>
      <c r="T84" s="8">
        <f t="shared" si="6"/>
        <v>3</v>
      </c>
      <c r="U84" s="8">
        <v>0</v>
      </c>
      <c r="V84" s="8">
        <v>0</v>
      </c>
      <c r="W84" s="8">
        <v>1</v>
      </c>
      <c r="X84" s="8">
        <v>0</v>
      </c>
      <c r="Y84" s="8">
        <v>1</v>
      </c>
      <c r="Z84" s="8">
        <v>0</v>
      </c>
      <c r="AA84" s="8">
        <v>180</v>
      </c>
      <c r="AB84" s="9">
        <f t="shared" si="7"/>
        <v>0.33333333333333337</v>
      </c>
      <c r="AC84" s="10">
        <f t="shared" si="8"/>
        <v>8.9999999999999982</v>
      </c>
      <c r="AD84" s="8" t="s">
        <v>109</v>
      </c>
      <c r="AE84" s="11">
        <v>89990</v>
      </c>
      <c r="AF84" s="11">
        <f t="shared" si="9"/>
        <v>269970</v>
      </c>
      <c r="AG84" s="12" t="s">
        <v>51</v>
      </c>
      <c r="AH84" s="8" t="s">
        <v>35</v>
      </c>
    </row>
    <row r="85" spans="1:34">
      <c r="A85" s="8" t="s">
        <v>177</v>
      </c>
      <c r="B85" s="16" t="s">
        <v>2860</v>
      </c>
      <c r="C85" s="8" t="s">
        <v>40</v>
      </c>
      <c r="D85" s="8" t="s">
        <v>41</v>
      </c>
      <c r="E85" s="8" t="str">
        <f t="shared" si="5"/>
        <v>AZUL</v>
      </c>
      <c r="G85" s="8" t="s">
        <v>2862</v>
      </c>
      <c r="H85" s="8" t="str">
        <f>VLOOKUP(A85,[1]BBDD!$B$1:$J$3274,9,FALSE)</f>
        <v>M</v>
      </c>
      <c r="I85" s="8" t="s">
        <v>2862</v>
      </c>
      <c r="J85" s="8" t="s">
        <v>176</v>
      </c>
      <c r="L85" s="8" t="s">
        <v>178</v>
      </c>
      <c r="N85" s="8" t="s">
        <v>83</v>
      </c>
      <c r="O85" s="8" t="s">
        <v>83</v>
      </c>
      <c r="Q85" s="8" t="s">
        <v>45</v>
      </c>
      <c r="R85" s="8">
        <v>12</v>
      </c>
      <c r="S85" s="8">
        <v>8</v>
      </c>
      <c r="T85" s="8">
        <f t="shared" si="6"/>
        <v>20</v>
      </c>
      <c r="U85" s="8">
        <v>0</v>
      </c>
      <c r="V85" s="8">
        <v>1</v>
      </c>
      <c r="W85" s="8">
        <v>0</v>
      </c>
      <c r="X85" s="8">
        <v>0</v>
      </c>
      <c r="Y85" s="8">
        <v>0</v>
      </c>
      <c r="Z85" s="8">
        <v>0</v>
      </c>
      <c r="AA85" s="8">
        <v>180</v>
      </c>
      <c r="AB85" s="9">
        <f t="shared" si="7"/>
        <v>0.16666666666666669</v>
      </c>
      <c r="AC85" s="10">
        <f t="shared" si="8"/>
        <v>119.99999999999999</v>
      </c>
      <c r="AD85" s="8" t="s">
        <v>109</v>
      </c>
      <c r="AE85" s="11">
        <v>89990</v>
      </c>
      <c r="AF85" s="11">
        <f t="shared" si="9"/>
        <v>1799800</v>
      </c>
      <c r="AG85" s="12" t="s">
        <v>73</v>
      </c>
      <c r="AH85" s="8" t="s">
        <v>65</v>
      </c>
    </row>
    <row r="86" spans="1:34">
      <c r="A86" s="8" t="s">
        <v>179</v>
      </c>
      <c r="B86" s="16" t="s">
        <v>2860</v>
      </c>
      <c r="C86" s="8" t="s">
        <v>40</v>
      </c>
      <c r="D86" s="8" t="s">
        <v>41</v>
      </c>
      <c r="E86" s="8" t="str">
        <f t="shared" si="5"/>
        <v>ROSA</v>
      </c>
      <c r="G86" s="8" t="s">
        <v>2862</v>
      </c>
      <c r="H86" s="8" t="str">
        <f>VLOOKUP(A86,[1]BBDD!$B$1:$J$3274,9,FALSE)</f>
        <v>M</v>
      </c>
      <c r="I86" s="8" t="s">
        <v>2862</v>
      </c>
      <c r="J86" s="8" t="s">
        <v>176</v>
      </c>
      <c r="L86" s="8" t="s">
        <v>178</v>
      </c>
      <c r="N86" s="8" t="s">
        <v>180</v>
      </c>
      <c r="O86" s="8" t="s">
        <v>180</v>
      </c>
      <c r="Q86" s="8" t="s">
        <v>45</v>
      </c>
      <c r="R86" s="8">
        <v>0</v>
      </c>
      <c r="S86" s="8">
        <v>4</v>
      </c>
      <c r="T86" s="8">
        <f t="shared" si="6"/>
        <v>4</v>
      </c>
      <c r="U86" s="8">
        <v>2</v>
      </c>
      <c r="V86" s="8">
        <v>1</v>
      </c>
      <c r="W86" s="8">
        <v>1</v>
      </c>
      <c r="X86" s="8">
        <v>0</v>
      </c>
      <c r="Y86" s="8">
        <v>1</v>
      </c>
      <c r="Z86" s="8">
        <v>0</v>
      </c>
      <c r="AA86" s="8">
        <v>180</v>
      </c>
      <c r="AB86" s="9">
        <f t="shared" si="7"/>
        <v>0.83333333333333326</v>
      </c>
      <c r="AC86" s="10">
        <f t="shared" si="8"/>
        <v>4.8000000000000007</v>
      </c>
      <c r="AD86" s="8" t="s">
        <v>109</v>
      </c>
      <c r="AE86" s="11">
        <v>89990</v>
      </c>
      <c r="AF86" s="11">
        <f t="shared" si="9"/>
        <v>359960</v>
      </c>
      <c r="AG86" s="12" t="s">
        <v>34</v>
      </c>
      <c r="AH86" s="8" t="s">
        <v>35</v>
      </c>
    </row>
    <row r="87" spans="1:34">
      <c r="A87" s="8" t="s">
        <v>181</v>
      </c>
      <c r="B87" s="16" t="s">
        <v>2860</v>
      </c>
      <c r="C87" s="8" t="s">
        <v>40</v>
      </c>
      <c r="D87" s="8" t="s">
        <v>41</v>
      </c>
      <c r="E87" s="8" t="str">
        <f t="shared" si="5"/>
        <v>VESUBIO/TABACO</v>
      </c>
      <c r="G87" s="8" t="s">
        <v>2862</v>
      </c>
      <c r="H87" s="8" t="str">
        <f>VLOOKUP(A87,[1]BBDD!$B$1:$J$3274,9,FALSE)</f>
        <v>M</v>
      </c>
      <c r="I87" s="8" t="s">
        <v>2862</v>
      </c>
      <c r="J87" s="8" t="s">
        <v>176</v>
      </c>
      <c r="L87" s="8" t="s">
        <v>71</v>
      </c>
      <c r="N87" s="8" t="s">
        <v>161</v>
      </c>
      <c r="O87" s="8" t="s">
        <v>161</v>
      </c>
      <c r="Q87" s="8" t="s">
        <v>32</v>
      </c>
      <c r="R87" s="8">
        <v>1</v>
      </c>
      <c r="S87" s="8">
        <v>7</v>
      </c>
      <c r="T87" s="8">
        <f t="shared" si="6"/>
        <v>8</v>
      </c>
      <c r="U87" s="8">
        <v>1</v>
      </c>
      <c r="V87" s="8">
        <v>1</v>
      </c>
      <c r="W87" s="8">
        <v>3</v>
      </c>
      <c r="X87" s="8">
        <v>1</v>
      </c>
      <c r="Y87" s="8">
        <v>0</v>
      </c>
      <c r="Z87" s="8">
        <v>1</v>
      </c>
      <c r="AA87" s="8">
        <v>180</v>
      </c>
      <c r="AB87" s="9">
        <f t="shared" si="7"/>
        <v>1.1666666666666667</v>
      </c>
      <c r="AC87" s="10">
        <f t="shared" si="8"/>
        <v>6.8571428571428568</v>
      </c>
      <c r="AD87" s="8" t="s">
        <v>33</v>
      </c>
      <c r="AE87" s="11">
        <v>89990</v>
      </c>
      <c r="AF87" s="11">
        <f t="shared" si="9"/>
        <v>719920</v>
      </c>
      <c r="AG87" s="12" t="s">
        <v>51</v>
      </c>
      <c r="AH87" s="8" t="s">
        <v>35</v>
      </c>
    </row>
    <row r="88" spans="1:34">
      <c r="A88" s="8" t="s">
        <v>182</v>
      </c>
      <c r="B88" s="16" t="s">
        <v>2860</v>
      </c>
      <c r="C88" s="8" t="s">
        <v>40</v>
      </c>
      <c r="D88" s="8" t="s">
        <v>41</v>
      </c>
      <c r="E88" s="8" t="str">
        <f t="shared" si="5"/>
        <v>CARAMELO</v>
      </c>
      <c r="G88" s="8" t="s">
        <v>2862</v>
      </c>
      <c r="H88" s="8" t="str">
        <f>VLOOKUP(A88,[1]BBDD!$B$1:$J$3274,9,FALSE)</f>
        <v>M</v>
      </c>
      <c r="I88" s="8" t="s">
        <v>2862</v>
      </c>
      <c r="J88" s="8" t="s">
        <v>176</v>
      </c>
      <c r="L88" s="8" t="s">
        <v>82</v>
      </c>
      <c r="N88" s="8" t="s">
        <v>62</v>
      </c>
      <c r="O88" s="8" t="s">
        <v>62</v>
      </c>
      <c r="Q88" s="8" t="s">
        <v>32</v>
      </c>
      <c r="R88" s="8">
        <v>0</v>
      </c>
      <c r="S88" s="8">
        <v>5</v>
      </c>
      <c r="T88" s="8">
        <f t="shared" si="6"/>
        <v>5</v>
      </c>
      <c r="U88" s="8">
        <v>3</v>
      </c>
      <c r="V88" s="8">
        <v>3</v>
      </c>
      <c r="W88" s="8">
        <v>0</v>
      </c>
      <c r="X88" s="8">
        <v>1</v>
      </c>
      <c r="Y88" s="8">
        <v>1</v>
      </c>
      <c r="Z88" s="8">
        <v>1</v>
      </c>
      <c r="AA88" s="8">
        <v>180</v>
      </c>
      <c r="AB88" s="9">
        <f t="shared" si="7"/>
        <v>1.5</v>
      </c>
      <c r="AC88" s="10">
        <f t="shared" si="8"/>
        <v>3.3333333333333335</v>
      </c>
      <c r="AD88" s="8" t="s">
        <v>33</v>
      </c>
      <c r="AE88" s="11">
        <v>89990</v>
      </c>
      <c r="AF88" s="11">
        <f t="shared" si="9"/>
        <v>449950</v>
      </c>
      <c r="AG88" s="12" t="s">
        <v>34</v>
      </c>
      <c r="AH88" s="8" t="s">
        <v>35</v>
      </c>
    </row>
    <row r="89" spans="1:34">
      <c r="A89" s="8" t="s">
        <v>183</v>
      </c>
      <c r="B89" s="16" t="s">
        <v>2860</v>
      </c>
      <c r="C89" s="8" t="s">
        <v>40</v>
      </c>
      <c r="D89" s="8" t="s">
        <v>41</v>
      </c>
      <c r="E89" s="8" t="str">
        <f t="shared" si="5"/>
        <v>NEGRO</v>
      </c>
      <c r="G89" s="8" t="s">
        <v>2862</v>
      </c>
      <c r="H89" s="8" t="str">
        <f>VLOOKUP(A89,[1]BBDD!$B$1:$J$3274,9,FALSE)</f>
        <v>M</v>
      </c>
      <c r="I89" s="8" t="s">
        <v>2862</v>
      </c>
      <c r="J89" s="8" t="s">
        <v>176</v>
      </c>
      <c r="L89" s="8" t="s">
        <v>82</v>
      </c>
      <c r="N89" s="8" t="s">
        <v>44</v>
      </c>
      <c r="O89" s="8" t="s">
        <v>44</v>
      </c>
      <c r="Q89" s="8" t="s">
        <v>32</v>
      </c>
      <c r="R89" s="8">
        <v>7</v>
      </c>
      <c r="S89" s="8">
        <v>8</v>
      </c>
      <c r="T89" s="8">
        <f t="shared" si="6"/>
        <v>15</v>
      </c>
      <c r="U89" s="8">
        <v>3</v>
      </c>
      <c r="V89" s="8">
        <v>0</v>
      </c>
      <c r="W89" s="8">
        <v>2</v>
      </c>
      <c r="X89" s="8">
        <v>2</v>
      </c>
      <c r="Y89" s="8">
        <v>0</v>
      </c>
      <c r="Z89" s="8">
        <v>0</v>
      </c>
      <c r="AA89" s="8">
        <v>180</v>
      </c>
      <c r="AB89" s="9">
        <f t="shared" si="7"/>
        <v>1.1666666666666667</v>
      </c>
      <c r="AC89" s="10">
        <f t="shared" si="8"/>
        <v>12.857142857142856</v>
      </c>
      <c r="AD89" s="8" t="s">
        <v>33</v>
      </c>
      <c r="AE89" s="11">
        <v>89990</v>
      </c>
      <c r="AF89" s="11">
        <f t="shared" si="9"/>
        <v>1349850</v>
      </c>
      <c r="AG89" s="12" t="s">
        <v>64</v>
      </c>
      <c r="AH89" s="8" t="s">
        <v>65</v>
      </c>
    </row>
    <row r="90" spans="1:34">
      <c r="A90" s="8" t="s">
        <v>184</v>
      </c>
      <c r="B90" s="16" t="s">
        <v>2860</v>
      </c>
      <c r="C90" s="8" t="s">
        <v>40</v>
      </c>
      <c r="D90" s="8" t="s">
        <v>41</v>
      </c>
      <c r="E90" s="8" t="str">
        <f t="shared" si="5"/>
        <v>ROJO</v>
      </c>
      <c r="G90" s="8" t="s">
        <v>2862</v>
      </c>
      <c r="H90" s="8" t="str">
        <f>VLOOKUP(A90,[1]BBDD!$B$1:$J$3274,9,FALSE)</f>
        <v>M</v>
      </c>
      <c r="I90" s="8" t="s">
        <v>2862</v>
      </c>
      <c r="J90" s="8" t="s">
        <v>176</v>
      </c>
      <c r="L90" s="8" t="s">
        <v>82</v>
      </c>
      <c r="N90" s="8" t="s">
        <v>88</v>
      </c>
      <c r="O90" s="8" t="s">
        <v>88</v>
      </c>
      <c r="Q90" s="8" t="s">
        <v>32</v>
      </c>
      <c r="R90" s="8">
        <v>9</v>
      </c>
      <c r="S90" s="8">
        <v>7</v>
      </c>
      <c r="T90" s="8">
        <f t="shared" si="6"/>
        <v>16</v>
      </c>
      <c r="U90" s="8">
        <v>3</v>
      </c>
      <c r="V90" s="8">
        <v>2</v>
      </c>
      <c r="W90" s="8">
        <v>1</v>
      </c>
      <c r="X90" s="8">
        <v>0</v>
      </c>
      <c r="Y90" s="8">
        <v>0</v>
      </c>
      <c r="Z90" s="8">
        <v>0</v>
      </c>
      <c r="AA90" s="8">
        <v>180</v>
      </c>
      <c r="AB90" s="9">
        <f t="shared" si="7"/>
        <v>1</v>
      </c>
      <c r="AC90" s="10">
        <f t="shared" si="8"/>
        <v>16</v>
      </c>
      <c r="AD90" s="8" t="s">
        <v>33</v>
      </c>
      <c r="AE90" s="11">
        <v>89990</v>
      </c>
      <c r="AF90" s="11">
        <f t="shared" si="9"/>
        <v>1439840</v>
      </c>
      <c r="AG90" s="12" t="s">
        <v>64</v>
      </c>
      <c r="AH90" s="8" t="s">
        <v>65</v>
      </c>
    </row>
    <row r="91" spans="1:34">
      <c r="A91" s="8" t="s">
        <v>185</v>
      </c>
      <c r="B91" s="16" t="s">
        <v>2860</v>
      </c>
      <c r="C91" s="8" t="s">
        <v>40</v>
      </c>
      <c r="D91" s="8" t="s">
        <v>41</v>
      </c>
      <c r="E91" s="8" t="str">
        <f t="shared" si="5"/>
        <v>SUELA</v>
      </c>
      <c r="G91" s="8" t="s">
        <v>2862</v>
      </c>
      <c r="H91" s="8" t="str">
        <f>VLOOKUP(A91,[1]BBDD!$B$1:$J$3274,9,FALSE)</f>
        <v>M</v>
      </c>
      <c r="I91" s="8" t="s">
        <v>2862</v>
      </c>
      <c r="J91" s="8" t="s">
        <v>176</v>
      </c>
      <c r="L91" s="8" t="s">
        <v>82</v>
      </c>
      <c r="N91" s="8" t="s">
        <v>90</v>
      </c>
      <c r="O91" s="8" t="s">
        <v>90</v>
      </c>
      <c r="Q91" s="8" t="s">
        <v>32</v>
      </c>
      <c r="R91" s="8">
        <v>6</v>
      </c>
      <c r="S91" s="8">
        <v>7</v>
      </c>
      <c r="T91" s="8">
        <f t="shared" si="6"/>
        <v>13</v>
      </c>
      <c r="U91" s="8">
        <v>2</v>
      </c>
      <c r="V91" s="8">
        <v>1</v>
      </c>
      <c r="W91" s="8">
        <v>3</v>
      </c>
      <c r="X91" s="8">
        <v>0</v>
      </c>
      <c r="Y91" s="8">
        <v>1</v>
      </c>
      <c r="Z91" s="8">
        <v>0</v>
      </c>
      <c r="AA91" s="8">
        <v>180</v>
      </c>
      <c r="AB91" s="9">
        <f t="shared" si="7"/>
        <v>1.1666666666666667</v>
      </c>
      <c r="AC91" s="10">
        <f t="shared" si="8"/>
        <v>11.142857142857142</v>
      </c>
      <c r="AD91" s="8" t="s">
        <v>33</v>
      </c>
      <c r="AE91" s="11">
        <v>89990</v>
      </c>
      <c r="AF91" s="11">
        <f t="shared" si="9"/>
        <v>1169870</v>
      </c>
      <c r="AG91" s="12" t="s">
        <v>51</v>
      </c>
      <c r="AH91" s="8" t="s">
        <v>65</v>
      </c>
    </row>
    <row r="92" spans="1:34">
      <c r="A92" s="8" t="s">
        <v>186</v>
      </c>
      <c r="B92" s="16" t="s">
        <v>2860</v>
      </c>
      <c r="C92" s="8" t="s">
        <v>40</v>
      </c>
      <c r="D92" s="8" t="s">
        <v>41</v>
      </c>
      <c r="E92" s="8" t="str">
        <f t="shared" si="5"/>
        <v>MALBEC</v>
      </c>
      <c r="G92" s="8" t="s">
        <v>2862</v>
      </c>
      <c r="H92" s="8" t="str">
        <f>VLOOKUP(A92,[1]BBDD!$B$1:$J$3274,9,FALSE)</f>
        <v>M</v>
      </c>
      <c r="I92" s="8" t="s">
        <v>2862</v>
      </c>
      <c r="J92" s="8" t="s">
        <v>176</v>
      </c>
      <c r="L92" s="8" t="s">
        <v>187</v>
      </c>
      <c r="N92" s="8" t="s">
        <v>69</v>
      </c>
      <c r="O92" s="8" t="s">
        <v>69</v>
      </c>
      <c r="Q92" s="8" t="s">
        <v>32</v>
      </c>
      <c r="R92" s="8">
        <v>10</v>
      </c>
      <c r="S92" s="8">
        <v>7</v>
      </c>
      <c r="T92" s="8">
        <f t="shared" si="6"/>
        <v>17</v>
      </c>
      <c r="U92" s="8">
        <v>4</v>
      </c>
      <c r="V92" s="8">
        <v>1</v>
      </c>
      <c r="W92" s="8">
        <v>0</v>
      </c>
      <c r="X92" s="8">
        <v>0</v>
      </c>
      <c r="Y92" s="8">
        <v>0</v>
      </c>
      <c r="Z92" s="8">
        <v>0</v>
      </c>
      <c r="AA92" s="8">
        <v>180</v>
      </c>
      <c r="AB92" s="9">
        <f t="shared" si="7"/>
        <v>0.83333333333333326</v>
      </c>
      <c r="AC92" s="10">
        <f t="shared" si="8"/>
        <v>20.400000000000002</v>
      </c>
      <c r="AD92" s="8" t="s">
        <v>33</v>
      </c>
      <c r="AE92" s="11">
        <v>89990</v>
      </c>
      <c r="AF92" s="11">
        <f t="shared" si="9"/>
        <v>1529830</v>
      </c>
      <c r="AG92" s="12" t="s">
        <v>64</v>
      </c>
      <c r="AH92" s="8" t="s">
        <v>65</v>
      </c>
    </row>
    <row r="93" spans="1:34">
      <c r="A93" s="8" t="s">
        <v>188</v>
      </c>
      <c r="B93" s="16" t="s">
        <v>2860</v>
      </c>
      <c r="C93" s="8" t="s">
        <v>40</v>
      </c>
      <c r="D93" s="8" t="s">
        <v>41</v>
      </c>
      <c r="E93" s="8" t="str">
        <f t="shared" si="5"/>
        <v>MEDIO</v>
      </c>
      <c r="G93" s="8" t="s">
        <v>2862</v>
      </c>
      <c r="H93" s="8" t="str">
        <f>VLOOKUP(A93,[1]BBDD!$B$1:$J$3274,9,FALSE)</f>
        <v>M</v>
      </c>
      <c r="I93" s="8" t="s">
        <v>2862</v>
      </c>
      <c r="J93" s="8" t="s">
        <v>176</v>
      </c>
      <c r="L93" s="8" t="s">
        <v>189</v>
      </c>
      <c r="N93" s="8" t="s">
        <v>190</v>
      </c>
      <c r="O93" s="8" t="s">
        <v>190</v>
      </c>
      <c r="Q93" s="8" t="s">
        <v>45</v>
      </c>
      <c r="R93" s="8">
        <v>0</v>
      </c>
      <c r="S93" s="8">
        <v>2</v>
      </c>
      <c r="T93" s="8">
        <f t="shared" si="6"/>
        <v>2</v>
      </c>
      <c r="U93" s="8">
        <v>1</v>
      </c>
      <c r="V93" s="8">
        <v>4</v>
      </c>
      <c r="W93" s="8">
        <v>2</v>
      </c>
      <c r="X93" s="8">
        <v>1</v>
      </c>
      <c r="Y93" s="8">
        <v>1</v>
      </c>
      <c r="Z93" s="8">
        <v>0</v>
      </c>
      <c r="AA93" s="8">
        <v>180</v>
      </c>
      <c r="AB93" s="9">
        <f t="shared" si="7"/>
        <v>1.5</v>
      </c>
      <c r="AC93" s="10">
        <f t="shared" si="8"/>
        <v>1.3333333333333333</v>
      </c>
      <c r="AD93" s="8" t="s">
        <v>109</v>
      </c>
      <c r="AE93" s="11">
        <v>89990</v>
      </c>
      <c r="AF93" s="11">
        <f t="shared" si="9"/>
        <v>179980</v>
      </c>
      <c r="AG93" s="12" t="s">
        <v>34</v>
      </c>
      <c r="AH93" s="8" t="s">
        <v>35</v>
      </c>
    </row>
    <row r="94" spans="1:34">
      <c r="A94" s="8" t="s">
        <v>191</v>
      </c>
      <c r="B94" s="16" t="s">
        <v>39</v>
      </c>
      <c r="C94" s="8" t="s">
        <v>40</v>
      </c>
      <c r="D94" s="8" t="s">
        <v>41</v>
      </c>
      <c r="E94" s="8" t="str">
        <f t="shared" si="5"/>
        <v>COTTON</v>
      </c>
      <c r="G94" s="8" t="s">
        <v>2862</v>
      </c>
      <c r="H94" s="8" t="str">
        <f>VLOOKUP(A94,[1]BBDD!$B$1:$J$3274,9,FALSE)</f>
        <v>M</v>
      </c>
      <c r="I94" s="8" t="s">
        <v>2862</v>
      </c>
      <c r="J94" s="8" t="s">
        <v>192</v>
      </c>
      <c r="L94" s="8" t="s">
        <v>43</v>
      </c>
      <c r="N94" s="8" t="s">
        <v>95</v>
      </c>
      <c r="O94" s="8" t="s">
        <v>95</v>
      </c>
      <c r="Q94" s="8" t="s">
        <v>45</v>
      </c>
      <c r="R94" s="8">
        <v>0</v>
      </c>
      <c r="S94" s="8">
        <v>2</v>
      </c>
      <c r="T94" s="8">
        <f t="shared" si="6"/>
        <v>2</v>
      </c>
      <c r="U94" s="8">
        <v>1</v>
      </c>
      <c r="V94" s="8">
        <v>1</v>
      </c>
      <c r="W94" s="8">
        <v>0</v>
      </c>
      <c r="X94" s="8">
        <v>1</v>
      </c>
      <c r="Y94" s="8">
        <v>0</v>
      </c>
      <c r="Z94" s="8">
        <v>1</v>
      </c>
      <c r="AA94" s="8">
        <v>180</v>
      </c>
      <c r="AB94" s="9">
        <f t="shared" si="7"/>
        <v>0.66666666666666674</v>
      </c>
      <c r="AC94" s="10">
        <f t="shared" si="8"/>
        <v>2.9999999999999996</v>
      </c>
      <c r="AD94" s="8" t="s">
        <v>46</v>
      </c>
      <c r="AE94" s="11">
        <v>89990</v>
      </c>
      <c r="AF94" s="11">
        <f t="shared" si="9"/>
        <v>179980</v>
      </c>
      <c r="AG94" s="12" t="s">
        <v>34</v>
      </c>
      <c r="AH94" s="8" t="s">
        <v>35</v>
      </c>
    </row>
    <row r="95" spans="1:34">
      <c r="A95" s="8" t="s">
        <v>193</v>
      </c>
      <c r="B95" s="16" t="s">
        <v>39</v>
      </c>
      <c r="C95" s="8" t="s">
        <v>40</v>
      </c>
      <c r="D95" s="8" t="s">
        <v>41</v>
      </c>
      <c r="E95" s="8" t="str">
        <f t="shared" si="5"/>
        <v>CUOIO</v>
      </c>
      <c r="G95" s="8" t="s">
        <v>2862</v>
      </c>
      <c r="H95" s="8" t="str">
        <f>VLOOKUP(A95,[1]BBDD!$B$1:$J$3274,9,FALSE)</f>
        <v>M</v>
      </c>
      <c r="I95" s="8" t="s">
        <v>2862</v>
      </c>
      <c r="J95" s="8" t="s">
        <v>192</v>
      </c>
      <c r="L95" s="8" t="s">
        <v>48</v>
      </c>
      <c r="N95" s="8" t="s">
        <v>194</v>
      </c>
      <c r="O95" s="8" t="s">
        <v>194</v>
      </c>
      <c r="Q95" s="8" t="s">
        <v>45</v>
      </c>
      <c r="R95" s="8">
        <v>1</v>
      </c>
      <c r="S95" s="8">
        <v>3</v>
      </c>
      <c r="T95" s="8">
        <f t="shared" si="6"/>
        <v>4</v>
      </c>
      <c r="U95" s="8">
        <v>0</v>
      </c>
      <c r="V95" s="8">
        <v>0</v>
      </c>
      <c r="W95" s="8">
        <v>0</v>
      </c>
      <c r="X95" s="8">
        <v>1</v>
      </c>
      <c r="Y95" s="8">
        <v>0</v>
      </c>
      <c r="Z95" s="8">
        <v>0</v>
      </c>
      <c r="AA95" s="8">
        <v>180</v>
      </c>
      <c r="AB95" s="9">
        <f t="shared" si="7"/>
        <v>0.16666666666666669</v>
      </c>
      <c r="AC95" s="10">
        <f t="shared" si="8"/>
        <v>23.999999999999996</v>
      </c>
      <c r="AD95" s="8" t="s">
        <v>46</v>
      </c>
      <c r="AE95" s="11">
        <v>89990</v>
      </c>
      <c r="AF95" s="11">
        <f t="shared" si="9"/>
        <v>359960</v>
      </c>
      <c r="AG95" s="12" t="s">
        <v>64</v>
      </c>
      <c r="AH95" s="8" t="s">
        <v>35</v>
      </c>
    </row>
    <row r="96" spans="1:34">
      <c r="A96" s="8" t="s">
        <v>195</v>
      </c>
      <c r="B96" s="16" t="s">
        <v>39</v>
      </c>
      <c r="C96" s="8" t="s">
        <v>40</v>
      </c>
      <c r="D96" s="8" t="s">
        <v>41</v>
      </c>
      <c r="E96" s="8" t="str">
        <f t="shared" si="5"/>
        <v>NEGRO</v>
      </c>
      <c r="G96" s="8" t="s">
        <v>2862</v>
      </c>
      <c r="H96" s="8" t="str">
        <f>VLOOKUP(A96,[1]BBDD!$B$1:$J$3274,9,FALSE)</f>
        <v>M</v>
      </c>
      <c r="I96" s="8" t="s">
        <v>2862</v>
      </c>
      <c r="J96" s="8" t="s">
        <v>192</v>
      </c>
      <c r="L96" s="8" t="s">
        <v>48</v>
      </c>
      <c r="N96" s="8" t="s">
        <v>44</v>
      </c>
      <c r="O96" s="8" t="s">
        <v>44</v>
      </c>
      <c r="Q96" s="8" t="s">
        <v>45</v>
      </c>
      <c r="R96" s="8">
        <v>1</v>
      </c>
      <c r="S96" s="8">
        <v>4</v>
      </c>
      <c r="T96" s="8">
        <f t="shared" si="6"/>
        <v>5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180</v>
      </c>
      <c r="AB96" s="9">
        <f t="shared" si="7"/>
        <v>0</v>
      </c>
      <c r="AC96" s="10" t="str">
        <f t="shared" si="8"/>
        <v>sin venta</v>
      </c>
      <c r="AD96" s="8" t="s">
        <v>46</v>
      </c>
      <c r="AE96" s="11">
        <v>89990</v>
      </c>
      <c r="AF96" s="11">
        <f t="shared" si="9"/>
        <v>449950</v>
      </c>
      <c r="AG96" s="12" t="s">
        <v>73</v>
      </c>
      <c r="AH96" s="8" t="s">
        <v>35</v>
      </c>
    </row>
    <row r="97" spans="1:34">
      <c r="A97" s="8" t="s">
        <v>196</v>
      </c>
      <c r="B97" s="16" t="s">
        <v>39</v>
      </c>
      <c r="C97" s="8" t="s">
        <v>40</v>
      </c>
      <c r="D97" s="8" t="s">
        <v>41</v>
      </c>
      <c r="E97" s="8" t="str">
        <f t="shared" si="5"/>
        <v>CLAY</v>
      </c>
      <c r="G97" s="8" t="s">
        <v>2862</v>
      </c>
      <c r="H97" s="8" t="str">
        <f>VLOOKUP(A97,[1]BBDD!$B$1:$J$3274,9,FALSE)</f>
        <v>M</v>
      </c>
      <c r="I97" s="8" t="s">
        <v>2862</v>
      </c>
      <c r="J97" s="8" t="s">
        <v>192</v>
      </c>
      <c r="L97" s="8" t="s">
        <v>197</v>
      </c>
      <c r="N97" s="8" t="s">
        <v>198</v>
      </c>
      <c r="O97" s="8" t="s">
        <v>198</v>
      </c>
      <c r="Q97" s="8" t="s">
        <v>45</v>
      </c>
      <c r="R97" s="8">
        <v>14</v>
      </c>
      <c r="S97" s="8">
        <v>3</v>
      </c>
      <c r="T97" s="8">
        <f t="shared" si="6"/>
        <v>17</v>
      </c>
      <c r="U97" s="8">
        <v>0</v>
      </c>
      <c r="V97" s="8">
        <v>0</v>
      </c>
      <c r="W97" s="8">
        <v>1</v>
      </c>
      <c r="X97" s="8">
        <v>0</v>
      </c>
      <c r="Y97" s="8">
        <v>0</v>
      </c>
      <c r="Z97" s="8">
        <v>0</v>
      </c>
      <c r="AA97" s="8">
        <v>180</v>
      </c>
      <c r="AB97" s="9">
        <f t="shared" si="7"/>
        <v>0.16666666666666669</v>
      </c>
      <c r="AC97" s="10">
        <f t="shared" si="8"/>
        <v>101.99999999999999</v>
      </c>
      <c r="AD97" s="8" t="s">
        <v>46</v>
      </c>
      <c r="AE97" s="11">
        <v>89990</v>
      </c>
      <c r="AF97" s="11">
        <f t="shared" si="9"/>
        <v>1529830</v>
      </c>
      <c r="AG97" s="12" t="s">
        <v>73</v>
      </c>
      <c r="AH97" s="8" t="s">
        <v>65</v>
      </c>
    </row>
    <row r="98" spans="1:34">
      <c r="A98" s="8" t="s">
        <v>199</v>
      </c>
      <c r="B98" s="16" t="s">
        <v>39</v>
      </c>
      <c r="C98" s="8" t="s">
        <v>40</v>
      </c>
      <c r="D98" s="8" t="s">
        <v>41</v>
      </c>
      <c r="E98" s="8" t="str">
        <f t="shared" si="5"/>
        <v>HAVANA</v>
      </c>
      <c r="G98" s="8" t="s">
        <v>2862</v>
      </c>
      <c r="H98" s="8" t="str">
        <f>VLOOKUP(A98,[1]BBDD!$B$1:$J$3274,9,FALSE)</f>
        <v>M</v>
      </c>
      <c r="I98" s="8" t="s">
        <v>2862</v>
      </c>
      <c r="J98" s="8" t="s">
        <v>192</v>
      </c>
      <c r="L98" s="8" t="s">
        <v>197</v>
      </c>
      <c r="N98" s="8" t="s">
        <v>200</v>
      </c>
      <c r="O98" s="8" t="s">
        <v>200</v>
      </c>
      <c r="Q98" s="8" t="s">
        <v>45</v>
      </c>
      <c r="R98" s="8">
        <v>21</v>
      </c>
      <c r="S98" s="8">
        <v>5</v>
      </c>
      <c r="T98" s="8">
        <f t="shared" si="6"/>
        <v>26</v>
      </c>
      <c r="U98" s="8">
        <v>0</v>
      </c>
      <c r="V98" s="8">
        <v>0</v>
      </c>
      <c r="W98" s="8">
        <v>1</v>
      </c>
      <c r="X98" s="8">
        <v>0</v>
      </c>
      <c r="Y98" s="8">
        <v>0</v>
      </c>
      <c r="Z98" s="8">
        <v>2</v>
      </c>
      <c r="AA98" s="8">
        <v>180</v>
      </c>
      <c r="AB98" s="9">
        <f t="shared" si="7"/>
        <v>0.5</v>
      </c>
      <c r="AC98" s="10">
        <f t="shared" si="8"/>
        <v>52</v>
      </c>
      <c r="AD98" s="8" t="s">
        <v>46</v>
      </c>
      <c r="AE98" s="11">
        <v>89990</v>
      </c>
      <c r="AF98" s="11">
        <f t="shared" si="9"/>
        <v>2339740</v>
      </c>
      <c r="AG98" s="12" t="s">
        <v>73</v>
      </c>
      <c r="AH98" s="8" t="s">
        <v>74</v>
      </c>
    </row>
    <row r="99" spans="1:34">
      <c r="A99" s="8" t="s">
        <v>201</v>
      </c>
      <c r="B99" s="16" t="s">
        <v>39</v>
      </c>
      <c r="C99" s="8" t="s">
        <v>40</v>
      </c>
      <c r="D99" s="8" t="s">
        <v>41</v>
      </c>
      <c r="E99" s="8" t="str">
        <f t="shared" si="5"/>
        <v>NEGRO</v>
      </c>
      <c r="G99" s="8" t="s">
        <v>2862</v>
      </c>
      <c r="H99" s="8" t="str">
        <f>VLOOKUP(A99,[1]BBDD!$B$1:$J$3274,9,FALSE)</f>
        <v>M</v>
      </c>
      <c r="I99" s="8" t="s">
        <v>2862</v>
      </c>
      <c r="J99" s="8" t="s">
        <v>192</v>
      </c>
      <c r="L99" s="8" t="s">
        <v>197</v>
      </c>
      <c r="N99" s="8" t="s">
        <v>44</v>
      </c>
      <c r="O99" s="8" t="s">
        <v>44</v>
      </c>
      <c r="Q99" s="8" t="s">
        <v>45</v>
      </c>
      <c r="R99" s="8">
        <v>6</v>
      </c>
      <c r="S99" s="8">
        <v>5</v>
      </c>
      <c r="T99" s="8">
        <f t="shared" si="6"/>
        <v>11</v>
      </c>
      <c r="U99" s="8">
        <v>0</v>
      </c>
      <c r="V99" s="8">
        <v>0</v>
      </c>
      <c r="W99" s="8">
        <v>1</v>
      </c>
      <c r="X99" s="8">
        <v>0</v>
      </c>
      <c r="Y99" s="8">
        <v>2</v>
      </c>
      <c r="Z99" s="8">
        <v>0</v>
      </c>
      <c r="AA99" s="8">
        <v>180</v>
      </c>
      <c r="AB99" s="9">
        <f t="shared" si="7"/>
        <v>0.5</v>
      </c>
      <c r="AC99" s="10">
        <f t="shared" si="8"/>
        <v>22</v>
      </c>
      <c r="AD99" s="8" t="s">
        <v>46</v>
      </c>
      <c r="AE99" s="11">
        <v>89990</v>
      </c>
      <c r="AF99" s="11">
        <f t="shared" si="9"/>
        <v>989890</v>
      </c>
      <c r="AG99" s="12" t="s">
        <v>64</v>
      </c>
      <c r="AH99" s="8" t="s">
        <v>65</v>
      </c>
    </row>
    <row r="100" spans="1:34">
      <c r="A100" s="8" t="s">
        <v>202</v>
      </c>
      <c r="B100" s="16" t="s">
        <v>39</v>
      </c>
      <c r="C100" s="8" t="s">
        <v>40</v>
      </c>
      <c r="D100" s="8" t="s">
        <v>41</v>
      </c>
      <c r="E100" s="8" t="str">
        <f t="shared" si="5"/>
        <v>NEGRO</v>
      </c>
      <c r="G100" s="8" t="s">
        <v>2862</v>
      </c>
      <c r="H100" s="8" t="str">
        <f>VLOOKUP(A100,[1]BBDD!$B$1:$J$3274,9,FALSE)</f>
        <v>M</v>
      </c>
      <c r="I100" s="8" t="s">
        <v>2862</v>
      </c>
      <c r="J100" s="8" t="s">
        <v>192</v>
      </c>
      <c r="L100" s="8" t="s">
        <v>53</v>
      </c>
      <c r="N100" s="8" t="s">
        <v>44</v>
      </c>
      <c r="O100" s="8" t="s">
        <v>44</v>
      </c>
      <c r="Q100" s="8" t="s">
        <v>45</v>
      </c>
      <c r="R100" s="8">
        <v>0</v>
      </c>
      <c r="S100" s="8">
        <v>6</v>
      </c>
      <c r="T100" s="8">
        <f t="shared" si="6"/>
        <v>6</v>
      </c>
      <c r="U100" s="8">
        <v>1</v>
      </c>
      <c r="V100" s="8">
        <v>0</v>
      </c>
      <c r="W100" s="8">
        <v>0</v>
      </c>
      <c r="X100" s="8">
        <v>1</v>
      </c>
      <c r="Y100" s="8">
        <v>1</v>
      </c>
      <c r="Z100" s="8">
        <v>2</v>
      </c>
      <c r="AA100" s="8">
        <v>180</v>
      </c>
      <c r="AB100" s="9">
        <f t="shared" si="7"/>
        <v>0.83333333333333326</v>
      </c>
      <c r="AC100" s="10">
        <f t="shared" si="8"/>
        <v>7.2000000000000011</v>
      </c>
      <c r="AD100" s="8" t="s">
        <v>46</v>
      </c>
      <c r="AE100" s="11">
        <v>89990</v>
      </c>
      <c r="AF100" s="11">
        <f t="shared" si="9"/>
        <v>539940</v>
      </c>
      <c r="AG100" s="12" t="s">
        <v>51</v>
      </c>
      <c r="AH100" s="8" t="s">
        <v>35</v>
      </c>
    </row>
    <row r="101" spans="1:34">
      <c r="A101" s="8" t="s">
        <v>203</v>
      </c>
      <c r="B101" s="16" t="s">
        <v>39</v>
      </c>
      <c r="C101" s="8" t="s">
        <v>40</v>
      </c>
      <c r="D101" s="8" t="s">
        <v>41</v>
      </c>
      <c r="E101" s="8" t="str">
        <f t="shared" si="5"/>
        <v>DARK OLIVE</v>
      </c>
      <c r="G101" s="8" t="s">
        <v>2862</v>
      </c>
      <c r="H101" s="8" t="str">
        <f>VLOOKUP(A101,[1]BBDD!$B$1:$J$3274,9,FALSE)</f>
        <v>M</v>
      </c>
      <c r="I101" s="8" t="s">
        <v>2862</v>
      </c>
      <c r="J101" s="8" t="s">
        <v>192</v>
      </c>
      <c r="L101" s="8" t="s">
        <v>55</v>
      </c>
      <c r="N101" s="8" t="s">
        <v>204</v>
      </c>
      <c r="O101" s="8" t="s">
        <v>204</v>
      </c>
      <c r="Q101" s="8" t="s">
        <v>45</v>
      </c>
      <c r="R101" s="8">
        <v>1</v>
      </c>
      <c r="S101" s="8">
        <v>3</v>
      </c>
      <c r="T101" s="8">
        <f t="shared" si="6"/>
        <v>4</v>
      </c>
      <c r="U101" s="8">
        <v>1</v>
      </c>
      <c r="V101" s="8">
        <v>0</v>
      </c>
      <c r="W101" s="8">
        <v>1</v>
      </c>
      <c r="X101" s="8">
        <v>1</v>
      </c>
      <c r="Y101" s="8">
        <v>0</v>
      </c>
      <c r="Z101" s="8">
        <v>0</v>
      </c>
      <c r="AA101" s="8">
        <v>180</v>
      </c>
      <c r="AB101" s="9">
        <f t="shared" si="7"/>
        <v>0.5</v>
      </c>
      <c r="AC101" s="10">
        <f t="shared" si="8"/>
        <v>8</v>
      </c>
      <c r="AD101" s="8" t="s">
        <v>46</v>
      </c>
      <c r="AE101" s="11">
        <v>89990</v>
      </c>
      <c r="AF101" s="11">
        <f t="shared" si="9"/>
        <v>359960</v>
      </c>
      <c r="AG101" s="12" t="s">
        <v>51</v>
      </c>
      <c r="AH101" s="8" t="s">
        <v>35</v>
      </c>
    </row>
    <row r="102" spans="1:34">
      <c r="A102" s="8" t="s">
        <v>205</v>
      </c>
      <c r="B102" s="16" t="s">
        <v>39</v>
      </c>
      <c r="C102" s="8" t="s">
        <v>40</v>
      </c>
      <c r="D102" s="8" t="s">
        <v>41</v>
      </c>
      <c r="E102" s="8" t="str">
        <f t="shared" si="5"/>
        <v>PIEDRA</v>
      </c>
      <c r="G102" s="8" t="s">
        <v>2862</v>
      </c>
      <c r="H102" s="8" t="str">
        <f>VLOOKUP(A102,[1]BBDD!$B$1:$J$3274,9,FALSE)</f>
        <v>M</v>
      </c>
      <c r="I102" s="8" t="s">
        <v>2862</v>
      </c>
      <c r="J102" s="8" t="s">
        <v>192</v>
      </c>
      <c r="L102" s="8" t="s">
        <v>55</v>
      </c>
      <c r="N102" s="8" t="s">
        <v>56</v>
      </c>
      <c r="O102" s="8" t="s">
        <v>56</v>
      </c>
      <c r="Q102" s="8" t="s">
        <v>45</v>
      </c>
      <c r="R102" s="8">
        <v>0</v>
      </c>
      <c r="S102" s="8">
        <v>3</v>
      </c>
      <c r="T102" s="8">
        <f t="shared" si="6"/>
        <v>3</v>
      </c>
      <c r="U102" s="8">
        <v>0</v>
      </c>
      <c r="V102" s="8">
        <v>1</v>
      </c>
      <c r="W102" s="8">
        <v>0</v>
      </c>
      <c r="X102" s="8">
        <v>1</v>
      </c>
      <c r="Y102" s="8">
        <v>1</v>
      </c>
      <c r="Z102" s="8">
        <v>0</v>
      </c>
      <c r="AA102" s="8">
        <v>180</v>
      </c>
      <c r="AB102" s="9">
        <f t="shared" si="7"/>
        <v>0.5</v>
      </c>
      <c r="AC102" s="10">
        <f t="shared" si="8"/>
        <v>6</v>
      </c>
      <c r="AD102" s="8" t="s">
        <v>46</v>
      </c>
      <c r="AE102" s="11">
        <v>89990</v>
      </c>
      <c r="AF102" s="11">
        <f t="shared" si="9"/>
        <v>269970</v>
      </c>
      <c r="AG102" s="12" t="s">
        <v>34</v>
      </c>
      <c r="AH102" s="8" t="s">
        <v>35</v>
      </c>
    </row>
    <row r="103" spans="1:34">
      <c r="A103" s="8" t="s">
        <v>206</v>
      </c>
      <c r="B103" s="16" t="s">
        <v>39</v>
      </c>
      <c r="C103" s="8" t="s">
        <v>40</v>
      </c>
      <c r="D103" s="8" t="s">
        <v>41</v>
      </c>
      <c r="E103" s="8" t="str">
        <f t="shared" si="5"/>
        <v>VISON</v>
      </c>
      <c r="G103" s="8" t="s">
        <v>2862</v>
      </c>
      <c r="H103" s="8" t="str">
        <f>VLOOKUP(A103,[1]BBDD!$B$1:$J$3274,9,FALSE)</f>
        <v>M</v>
      </c>
      <c r="I103" s="8" t="s">
        <v>2862</v>
      </c>
      <c r="J103" s="8" t="s">
        <v>192</v>
      </c>
      <c r="L103" s="8" t="s">
        <v>55</v>
      </c>
      <c r="N103" s="8" t="s">
        <v>58</v>
      </c>
      <c r="O103" s="8" t="s">
        <v>58</v>
      </c>
      <c r="Q103" s="8" t="s">
        <v>45</v>
      </c>
      <c r="R103" s="8">
        <v>0</v>
      </c>
      <c r="S103" s="8">
        <v>5</v>
      </c>
      <c r="T103" s="8">
        <f t="shared" si="6"/>
        <v>5</v>
      </c>
      <c r="U103" s="8">
        <v>0</v>
      </c>
      <c r="V103" s="8">
        <v>0</v>
      </c>
      <c r="W103" s="8">
        <v>1</v>
      </c>
      <c r="X103" s="8">
        <v>1</v>
      </c>
      <c r="Y103" s="8">
        <v>1</v>
      </c>
      <c r="Z103" s="8">
        <v>1</v>
      </c>
      <c r="AA103" s="8">
        <v>180</v>
      </c>
      <c r="AB103" s="9">
        <f t="shared" si="7"/>
        <v>0.66666666666666674</v>
      </c>
      <c r="AC103" s="10">
        <f t="shared" si="8"/>
        <v>7.4999999999999991</v>
      </c>
      <c r="AD103" s="8" t="s">
        <v>46</v>
      </c>
      <c r="AE103" s="11">
        <v>89990</v>
      </c>
      <c r="AF103" s="11">
        <f t="shared" si="9"/>
        <v>449950</v>
      </c>
      <c r="AG103" s="12" t="s">
        <v>51</v>
      </c>
      <c r="AH103" s="8" t="s">
        <v>35</v>
      </c>
    </row>
    <row r="104" spans="1:34">
      <c r="A104" s="8" t="s">
        <v>207</v>
      </c>
      <c r="B104" s="16" t="s">
        <v>39</v>
      </c>
      <c r="C104" s="8" t="s">
        <v>40</v>
      </c>
      <c r="D104" s="8" t="s">
        <v>41</v>
      </c>
      <c r="E104" s="8" t="str">
        <f t="shared" si="5"/>
        <v>CLAY</v>
      </c>
      <c r="G104" s="8" t="s">
        <v>2862</v>
      </c>
      <c r="H104" s="8" t="str">
        <f>VLOOKUP(A104,[1]BBDD!$B$1:$J$3274,9,FALSE)</f>
        <v>M</v>
      </c>
      <c r="I104" s="8" t="s">
        <v>2862</v>
      </c>
      <c r="J104" s="8" t="s">
        <v>192</v>
      </c>
      <c r="L104" s="8" t="s">
        <v>100</v>
      </c>
      <c r="N104" s="8" t="s">
        <v>198</v>
      </c>
      <c r="O104" s="8" t="s">
        <v>198</v>
      </c>
      <c r="Q104" s="8" t="s">
        <v>45</v>
      </c>
      <c r="R104" s="8">
        <v>23</v>
      </c>
      <c r="S104" s="8">
        <v>4</v>
      </c>
      <c r="T104" s="8">
        <f t="shared" si="6"/>
        <v>27</v>
      </c>
      <c r="U104" s="8">
        <v>2</v>
      </c>
      <c r="V104" s="8">
        <v>0</v>
      </c>
      <c r="W104" s="8">
        <v>0</v>
      </c>
      <c r="X104" s="8">
        <v>1</v>
      </c>
      <c r="Y104" s="8">
        <v>0</v>
      </c>
      <c r="Z104" s="8">
        <v>0</v>
      </c>
      <c r="AA104" s="8">
        <v>180</v>
      </c>
      <c r="AB104" s="9">
        <f t="shared" si="7"/>
        <v>0.5</v>
      </c>
      <c r="AC104" s="10">
        <f t="shared" si="8"/>
        <v>54</v>
      </c>
      <c r="AD104" s="8" t="s">
        <v>46</v>
      </c>
      <c r="AE104" s="11">
        <v>89990</v>
      </c>
      <c r="AF104" s="11">
        <f t="shared" si="9"/>
        <v>2429730</v>
      </c>
      <c r="AG104" s="12" t="s">
        <v>73</v>
      </c>
      <c r="AH104" s="8" t="s">
        <v>74</v>
      </c>
    </row>
    <row r="105" spans="1:34">
      <c r="A105" s="8" t="s">
        <v>208</v>
      </c>
      <c r="B105" s="16" t="s">
        <v>39</v>
      </c>
      <c r="C105" s="8" t="s">
        <v>40</v>
      </c>
      <c r="D105" s="8" t="s">
        <v>41</v>
      </c>
      <c r="E105" s="8" t="str">
        <f t="shared" si="5"/>
        <v>HAVANA</v>
      </c>
      <c r="G105" s="8" t="s">
        <v>2862</v>
      </c>
      <c r="H105" s="8" t="str">
        <f>VLOOKUP(A105,[1]BBDD!$B$1:$J$3274,9,FALSE)</f>
        <v>M</v>
      </c>
      <c r="I105" s="8" t="s">
        <v>2862</v>
      </c>
      <c r="J105" s="8" t="s">
        <v>192</v>
      </c>
      <c r="L105" s="8" t="s">
        <v>100</v>
      </c>
      <c r="N105" s="8" t="s">
        <v>200</v>
      </c>
      <c r="O105" s="8" t="s">
        <v>200</v>
      </c>
      <c r="Q105" s="8" t="s">
        <v>45</v>
      </c>
      <c r="R105" s="8">
        <v>18</v>
      </c>
      <c r="S105" s="8">
        <v>6</v>
      </c>
      <c r="T105" s="8">
        <f t="shared" si="6"/>
        <v>24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1</v>
      </c>
      <c r="AA105" s="8">
        <v>180</v>
      </c>
      <c r="AB105" s="9">
        <f t="shared" si="7"/>
        <v>0.16666666666666669</v>
      </c>
      <c r="AC105" s="10">
        <f t="shared" si="8"/>
        <v>143.99999999999997</v>
      </c>
      <c r="AD105" s="8" t="s">
        <v>46</v>
      </c>
      <c r="AE105" s="11">
        <v>89990</v>
      </c>
      <c r="AF105" s="11">
        <f t="shared" si="9"/>
        <v>2159760</v>
      </c>
      <c r="AG105" s="12" t="s">
        <v>73</v>
      </c>
      <c r="AH105" s="8" t="s">
        <v>74</v>
      </c>
    </row>
    <row r="106" spans="1:34">
      <c r="A106" s="8" t="s">
        <v>209</v>
      </c>
      <c r="B106" s="16" t="s">
        <v>2860</v>
      </c>
      <c r="C106" s="8" t="s">
        <v>40</v>
      </c>
      <c r="D106" s="8" t="s">
        <v>41</v>
      </c>
      <c r="E106" s="8" t="str">
        <f t="shared" si="5"/>
        <v>NEGRO</v>
      </c>
      <c r="G106" s="8" t="s">
        <v>2862</v>
      </c>
      <c r="H106" s="8" t="str">
        <f>VLOOKUP(A106,[1]BBDD!$B$1:$J$3274,9,FALSE)</f>
        <v>M</v>
      </c>
      <c r="I106" s="8" t="s">
        <v>2862</v>
      </c>
      <c r="J106" s="8" t="s">
        <v>210</v>
      </c>
      <c r="L106" s="8" t="s">
        <v>211</v>
      </c>
      <c r="N106" s="8" t="s">
        <v>44</v>
      </c>
      <c r="O106" s="8" t="s">
        <v>44</v>
      </c>
      <c r="Q106" s="8" t="s">
        <v>45</v>
      </c>
      <c r="R106" s="8">
        <v>5</v>
      </c>
      <c r="S106" s="8">
        <v>10</v>
      </c>
      <c r="T106" s="8">
        <f t="shared" si="6"/>
        <v>15</v>
      </c>
      <c r="U106" s="8">
        <v>0</v>
      </c>
      <c r="V106" s="8">
        <v>1</v>
      </c>
      <c r="W106" s="8">
        <v>0</v>
      </c>
      <c r="X106" s="8">
        <v>0</v>
      </c>
      <c r="Y106" s="8">
        <v>0</v>
      </c>
      <c r="Z106" s="8">
        <v>0</v>
      </c>
      <c r="AA106" s="8">
        <v>180</v>
      </c>
      <c r="AB106" s="9">
        <f t="shared" si="7"/>
        <v>0.16666666666666669</v>
      </c>
      <c r="AC106" s="10">
        <f t="shared" si="8"/>
        <v>89.999999999999986</v>
      </c>
      <c r="AD106" s="8" t="s">
        <v>109</v>
      </c>
      <c r="AE106" s="11">
        <v>139990</v>
      </c>
      <c r="AF106" s="11">
        <f t="shared" si="9"/>
        <v>2099850</v>
      </c>
      <c r="AG106" s="12" t="s">
        <v>73</v>
      </c>
      <c r="AH106" s="8" t="s">
        <v>65</v>
      </c>
    </row>
    <row r="107" spans="1:34">
      <c r="A107" s="8" t="s">
        <v>212</v>
      </c>
      <c r="B107" s="16" t="s">
        <v>2860</v>
      </c>
      <c r="C107" s="8" t="s">
        <v>40</v>
      </c>
      <c r="D107" s="8" t="s">
        <v>41</v>
      </c>
      <c r="E107" s="8" t="str">
        <f t="shared" si="5"/>
        <v>CARAMELO</v>
      </c>
      <c r="G107" s="8" t="s">
        <v>2862</v>
      </c>
      <c r="H107" s="8" t="str">
        <f>VLOOKUP(A107,[1]BBDD!$B$1:$J$3274,9,FALSE)</f>
        <v>M</v>
      </c>
      <c r="I107" s="8" t="s">
        <v>2862</v>
      </c>
      <c r="J107" s="8" t="s">
        <v>210</v>
      </c>
      <c r="L107" s="8" t="s">
        <v>82</v>
      </c>
      <c r="N107" s="8" t="s">
        <v>62</v>
      </c>
      <c r="O107" s="8" t="s">
        <v>62</v>
      </c>
      <c r="Q107" s="8" t="s">
        <v>45</v>
      </c>
      <c r="R107" s="8">
        <v>1</v>
      </c>
      <c r="S107" s="8">
        <v>6</v>
      </c>
      <c r="T107" s="8">
        <f t="shared" si="6"/>
        <v>7</v>
      </c>
      <c r="U107" s="8">
        <v>1</v>
      </c>
      <c r="V107" s="8">
        <v>0</v>
      </c>
      <c r="W107" s="8">
        <v>1</v>
      </c>
      <c r="X107" s="8">
        <v>0</v>
      </c>
      <c r="Y107" s="8">
        <v>0</v>
      </c>
      <c r="Z107" s="8">
        <v>0</v>
      </c>
      <c r="AA107" s="8">
        <v>180</v>
      </c>
      <c r="AB107" s="9">
        <f t="shared" si="7"/>
        <v>0.33333333333333337</v>
      </c>
      <c r="AC107" s="10">
        <f t="shared" si="8"/>
        <v>20.999999999999996</v>
      </c>
      <c r="AD107" s="8" t="s">
        <v>109</v>
      </c>
      <c r="AE107" s="11">
        <v>139990</v>
      </c>
      <c r="AF107" s="11">
        <f t="shared" si="9"/>
        <v>979930</v>
      </c>
      <c r="AG107" s="12" t="s">
        <v>64</v>
      </c>
      <c r="AH107" s="8" t="s">
        <v>35</v>
      </c>
    </row>
    <row r="108" spans="1:34">
      <c r="A108" s="8" t="s">
        <v>213</v>
      </c>
      <c r="B108" s="16" t="s">
        <v>2860</v>
      </c>
      <c r="C108" s="8" t="s">
        <v>40</v>
      </c>
      <c r="D108" s="8" t="s">
        <v>41</v>
      </c>
      <c r="E108" s="8" t="str">
        <f t="shared" si="5"/>
        <v>ROJO</v>
      </c>
      <c r="G108" s="8" t="s">
        <v>2862</v>
      </c>
      <c r="H108" s="8" t="str">
        <f>VLOOKUP(A108,[1]BBDD!$B$1:$J$3274,9,FALSE)</f>
        <v>M</v>
      </c>
      <c r="I108" s="8" t="s">
        <v>2862</v>
      </c>
      <c r="J108" s="8" t="s">
        <v>210</v>
      </c>
      <c r="L108" s="8" t="s">
        <v>82</v>
      </c>
      <c r="N108" s="8" t="s">
        <v>88</v>
      </c>
      <c r="O108" s="8" t="s">
        <v>88</v>
      </c>
      <c r="Q108" s="8" t="s">
        <v>45</v>
      </c>
      <c r="R108" s="8">
        <v>0</v>
      </c>
      <c r="S108" s="8">
        <v>2</v>
      </c>
      <c r="T108" s="8">
        <f t="shared" si="6"/>
        <v>2</v>
      </c>
      <c r="U108" s="8">
        <v>0</v>
      </c>
      <c r="V108" s="8">
        <v>1</v>
      </c>
      <c r="W108" s="8">
        <v>1</v>
      </c>
      <c r="X108" s="8">
        <v>2</v>
      </c>
      <c r="Y108" s="8">
        <v>1</v>
      </c>
      <c r="Z108" s="8">
        <v>0</v>
      </c>
      <c r="AA108" s="8">
        <v>180</v>
      </c>
      <c r="AB108" s="9">
        <f t="shared" si="7"/>
        <v>0.83333333333333326</v>
      </c>
      <c r="AC108" s="10">
        <f t="shared" si="8"/>
        <v>2.4000000000000004</v>
      </c>
      <c r="AD108" s="8" t="s">
        <v>109</v>
      </c>
      <c r="AE108" s="11">
        <v>139990</v>
      </c>
      <c r="AF108" s="11">
        <f t="shared" si="9"/>
        <v>279980</v>
      </c>
      <c r="AG108" s="12" t="s">
        <v>34</v>
      </c>
      <c r="AH108" s="8" t="s">
        <v>35</v>
      </c>
    </row>
    <row r="109" spans="1:34">
      <c r="A109" s="8" t="s">
        <v>214</v>
      </c>
      <c r="B109" s="16" t="s">
        <v>2860</v>
      </c>
      <c r="C109" s="8" t="s">
        <v>40</v>
      </c>
      <c r="D109" s="8" t="s">
        <v>41</v>
      </c>
      <c r="E109" s="8" t="str">
        <f t="shared" si="5"/>
        <v>SUELA</v>
      </c>
      <c r="G109" s="8" t="s">
        <v>2862</v>
      </c>
      <c r="H109" s="8" t="str">
        <f>VLOOKUP(A109,[1]BBDD!$B$1:$J$3274,9,FALSE)</f>
        <v>M</v>
      </c>
      <c r="I109" s="8" t="s">
        <v>2862</v>
      </c>
      <c r="J109" s="8" t="s">
        <v>210</v>
      </c>
      <c r="L109" s="8" t="s">
        <v>82</v>
      </c>
      <c r="N109" s="8" t="s">
        <v>90</v>
      </c>
      <c r="O109" s="8" t="s">
        <v>90</v>
      </c>
      <c r="Q109" s="8" t="s">
        <v>45</v>
      </c>
      <c r="R109" s="8">
        <v>0</v>
      </c>
      <c r="S109" s="8">
        <v>3</v>
      </c>
      <c r="T109" s="8">
        <f t="shared" si="6"/>
        <v>3</v>
      </c>
      <c r="U109" s="8">
        <v>0</v>
      </c>
      <c r="V109" s="8">
        <v>1</v>
      </c>
      <c r="W109" s="8">
        <v>0</v>
      </c>
      <c r="X109" s="8">
        <v>0</v>
      </c>
      <c r="Y109" s="8">
        <v>0</v>
      </c>
      <c r="Z109" s="8">
        <v>0</v>
      </c>
      <c r="AA109" s="8">
        <v>180</v>
      </c>
      <c r="AB109" s="9">
        <f t="shared" si="7"/>
        <v>0.16666666666666669</v>
      </c>
      <c r="AC109" s="10">
        <f t="shared" si="8"/>
        <v>17.999999999999996</v>
      </c>
      <c r="AD109" s="8" t="s">
        <v>109</v>
      </c>
      <c r="AE109" s="11">
        <v>139990</v>
      </c>
      <c r="AF109" s="11">
        <f t="shared" si="9"/>
        <v>419970</v>
      </c>
      <c r="AG109" s="12" t="s">
        <v>64</v>
      </c>
      <c r="AH109" s="8" t="s">
        <v>35</v>
      </c>
    </row>
    <row r="110" spans="1:34">
      <c r="A110" s="8" t="s">
        <v>215</v>
      </c>
      <c r="B110" s="16" t="s">
        <v>2860</v>
      </c>
      <c r="C110" s="8" t="s">
        <v>40</v>
      </c>
      <c r="D110" s="8" t="s">
        <v>41</v>
      </c>
      <c r="E110" s="8" t="str">
        <f t="shared" si="5"/>
        <v>VERDE</v>
      </c>
      <c r="G110" s="8" t="s">
        <v>2862</v>
      </c>
      <c r="H110" s="8" t="str">
        <f>VLOOKUP(A110,[1]BBDD!$B$1:$J$3274,9,FALSE)</f>
        <v>M</v>
      </c>
      <c r="I110" s="8" t="s">
        <v>2862</v>
      </c>
      <c r="J110" s="8" t="s">
        <v>216</v>
      </c>
      <c r="L110" s="8" t="s">
        <v>119</v>
      </c>
      <c r="N110" s="8" t="s">
        <v>92</v>
      </c>
      <c r="O110" s="8" t="s">
        <v>92</v>
      </c>
      <c r="Q110" s="8" t="s">
        <v>32</v>
      </c>
      <c r="R110" s="8">
        <v>0</v>
      </c>
      <c r="S110" s="8">
        <v>5</v>
      </c>
      <c r="T110" s="8">
        <f t="shared" si="6"/>
        <v>5</v>
      </c>
      <c r="U110" s="8">
        <v>0</v>
      </c>
      <c r="V110" s="8">
        <v>0</v>
      </c>
      <c r="W110" s="8">
        <v>0</v>
      </c>
      <c r="X110" s="8">
        <v>0</v>
      </c>
      <c r="Y110" s="8">
        <v>1</v>
      </c>
      <c r="Z110" s="8">
        <v>0</v>
      </c>
      <c r="AA110" s="8">
        <v>180</v>
      </c>
      <c r="AB110" s="9">
        <f t="shared" si="7"/>
        <v>0.16666666666666669</v>
      </c>
      <c r="AC110" s="10">
        <f t="shared" si="8"/>
        <v>29.999999999999996</v>
      </c>
      <c r="AD110" s="8" t="s">
        <v>33</v>
      </c>
      <c r="AE110" s="11">
        <v>112990</v>
      </c>
      <c r="AF110" s="11">
        <f t="shared" si="9"/>
        <v>564950</v>
      </c>
      <c r="AG110" s="12" t="s">
        <v>73</v>
      </c>
      <c r="AH110" s="8" t="s">
        <v>35</v>
      </c>
    </row>
    <row r="111" spans="1:34">
      <c r="A111" s="8" t="s">
        <v>217</v>
      </c>
      <c r="B111" s="16" t="s">
        <v>2860</v>
      </c>
      <c r="C111" s="8" t="s">
        <v>40</v>
      </c>
      <c r="D111" s="8" t="s">
        <v>41</v>
      </c>
      <c r="E111" s="8" t="str">
        <f t="shared" si="5"/>
        <v>CARAMELO</v>
      </c>
      <c r="G111" s="8" t="s">
        <v>2862</v>
      </c>
      <c r="H111" s="8" t="str">
        <f>VLOOKUP(A111,[1]BBDD!$B$1:$J$3274,9,FALSE)</f>
        <v>M</v>
      </c>
      <c r="I111" s="8" t="s">
        <v>2862</v>
      </c>
      <c r="J111" s="8" t="s">
        <v>216</v>
      </c>
      <c r="L111" s="8" t="s">
        <v>82</v>
      </c>
      <c r="N111" s="8" t="s">
        <v>62</v>
      </c>
      <c r="O111" s="8" t="s">
        <v>62</v>
      </c>
      <c r="Q111" s="8" t="s">
        <v>32</v>
      </c>
      <c r="R111" s="8">
        <v>0</v>
      </c>
      <c r="S111" s="8">
        <v>4</v>
      </c>
      <c r="T111" s="8">
        <f t="shared" si="6"/>
        <v>4</v>
      </c>
      <c r="U111" s="8">
        <v>2</v>
      </c>
      <c r="V111" s="8">
        <v>1</v>
      </c>
      <c r="W111" s="8">
        <v>2</v>
      </c>
      <c r="X111" s="8">
        <v>1</v>
      </c>
      <c r="Y111" s="8">
        <v>1</v>
      </c>
      <c r="Z111" s="8">
        <v>1</v>
      </c>
      <c r="AA111" s="8">
        <v>180</v>
      </c>
      <c r="AB111" s="9">
        <f t="shared" si="7"/>
        <v>1.3333333333333335</v>
      </c>
      <c r="AC111" s="10">
        <f t="shared" si="8"/>
        <v>2.9999999999999996</v>
      </c>
      <c r="AD111" s="8" t="s">
        <v>33</v>
      </c>
      <c r="AE111" s="11">
        <v>112990</v>
      </c>
      <c r="AF111" s="11">
        <f t="shared" si="9"/>
        <v>451960</v>
      </c>
      <c r="AG111" s="12" t="s">
        <v>34</v>
      </c>
      <c r="AH111" s="8" t="s">
        <v>35</v>
      </c>
    </row>
    <row r="112" spans="1:34">
      <c r="A112" s="8" t="s">
        <v>218</v>
      </c>
      <c r="B112" s="16" t="s">
        <v>2860</v>
      </c>
      <c r="C112" s="8" t="s">
        <v>40</v>
      </c>
      <c r="D112" s="8" t="s">
        <v>41</v>
      </c>
      <c r="E112" s="8" t="str">
        <f t="shared" si="5"/>
        <v>NEGRO</v>
      </c>
      <c r="G112" s="8" t="s">
        <v>2862</v>
      </c>
      <c r="H112" s="8" t="str">
        <f>VLOOKUP(A112,[1]BBDD!$B$1:$J$3274,9,FALSE)</f>
        <v>M</v>
      </c>
      <c r="I112" s="8" t="s">
        <v>2862</v>
      </c>
      <c r="J112" s="8" t="s">
        <v>216</v>
      </c>
      <c r="L112" s="8" t="s">
        <v>82</v>
      </c>
      <c r="N112" s="8" t="s">
        <v>44</v>
      </c>
      <c r="O112" s="8" t="s">
        <v>44</v>
      </c>
      <c r="Q112" s="8" t="s">
        <v>32</v>
      </c>
      <c r="R112" s="8">
        <v>10</v>
      </c>
      <c r="S112" s="8">
        <v>8</v>
      </c>
      <c r="T112" s="8">
        <f t="shared" si="6"/>
        <v>18</v>
      </c>
      <c r="U112" s="8">
        <v>3</v>
      </c>
      <c r="V112" s="8">
        <v>0</v>
      </c>
      <c r="W112" s="8">
        <v>0</v>
      </c>
      <c r="X112" s="8">
        <v>3</v>
      </c>
      <c r="Y112" s="8">
        <v>2</v>
      </c>
      <c r="Z112" s="8">
        <v>2</v>
      </c>
      <c r="AA112" s="8">
        <v>180</v>
      </c>
      <c r="AB112" s="9">
        <f t="shared" si="7"/>
        <v>1.6666666666666665</v>
      </c>
      <c r="AC112" s="10">
        <f t="shared" si="8"/>
        <v>10.8</v>
      </c>
      <c r="AD112" s="8" t="s">
        <v>33</v>
      </c>
      <c r="AE112" s="11">
        <v>112990</v>
      </c>
      <c r="AF112" s="11">
        <f t="shared" si="9"/>
        <v>2033820</v>
      </c>
      <c r="AG112" s="12" t="s">
        <v>51</v>
      </c>
      <c r="AH112" s="8" t="s">
        <v>65</v>
      </c>
    </row>
    <row r="113" spans="1:34">
      <c r="A113" s="8" t="s">
        <v>219</v>
      </c>
      <c r="B113" s="16" t="s">
        <v>2860</v>
      </c>
      <c r="C113" s="8" t="s">
        <v>40</v>
      </c>
      <c r="D113" s="8" t="s">
        <v>41</v>
      </c>
      <c r="E113" s="8" t="str">
        <f t="shared" si="5"/>
        <v>ROJO</v>
      </c>
      <c r="G113" s="8" t="s">
        <v>2862</v>
      </c>
      <c r="H113" s="8" t="str">
        <f>VLOOKUP(A113,[1]BBDD!$B$1:$J$3274,9,FALSE)</f>
        <v>M</v>
      </c>
      <c r="I113" s="8" t="s">
        <v>2862</v>
      </c>
      <c r="J113" s="8" t="s">
        <v>216</v>
      </c>
      <c r="L113" s="8" t="s">
        <v>82</v>
      </c>
      <c r="N113" s="8" t="s">
        <v>88</v>
      </c>
      <c r="O113" s="8" t="s">
        <v>88</v>
      </c>
      <c r="Q113" s="8" t="s">
        <v>32</v>
      </c>
      <c r="R113" s="8">
        <v>5</v>
      </c>
      <c r="S113" s="8">
        <v>8</v>
      </c>
      <c r="T113" s="8">
        <f t="shared" si="6"/>
        <v>13</v>
      </c>
      <c r="U113" s="8">
        <v>0</v>
      </c>
      <c r="V113" s="8">
        <v>0</v>
      </c>
      <c r="W113" s="8">
        <v>1</v>
      </c>
      <c r="X113" s="8">
        <v>1</v>
      </c>
      <c r="Y113" s="8">
        <v>0</v>
      </c>
      <c r="Z113" s="8">
        <v>0</v>
      </c>
      <c r="AA113" s="8">
        <v>180</v>
      </c>
      <c r="AB113" s="9">
        <f t="shared" si="7"/>
        <v>0.33333333333333337</v>
      </c>
      <c r="AC113" s="10">
        <f t="shared" si="8"/>
        <v>38.999999999999993</v>
      </c>
      <c r="AD113" s="8" t="s">
        <v>33</v>
      </c>
      <c r="AE113" s="11">
        <v>112990</v>
      </c>
      <c r="AF113" s="11">
        <f t="shared" si="9"/>
        <v>1468870</v>
      </c>
      <c r="AG113" s="12" t="s">
        <v>73</v>
      </c>
      <c r="AH113" s="8" t="s">
        <v>65</v>
      </c>
    </row>
    <row r="114" spans="1:34">
      <c r="A114" s="8" t="s">
        <v>220</v>
      </c>
      <c r="B114" s="16" t="s">
        <v>2860</v>
      </c>
      <c r="C114" s="8" t="s">
        <v>40</v>
      </c>
      <c r="D114" s="8" t="s">
        <v>41</v>
      </c>
      <c r="E114" s="8" t="str">
        <f t="shared" si="5"/>
        <v>SUELA</v>
      </c>
      <c r="G114" s="8" t="s">
        <v>2862</v>
      </c>
      <c r="H114" s="8" t="str">
        <f>VLOOKUP(A114,[1]BBDD!$B$1:$J$3274,9,FALSE)</f>
        <v>M</v>
      </c>
      <c r="I114" s="8" t="s">
        <v>2862</v>
      </c>
      <c r="J114" s="8" t="s">
        <v>216</v>
      </c>
      <c r="L114" s="8" t="s">
        <v>82</v>
      </c>
      <c r="N114" s="8" t="s">
        <v>90</v>
      </c>
      <c r="O114" s="8" t="s">
        <v>90</v>
      </c>
      <c r="Q114" s="8" t="s">
        <v>32</v>
      </c>
      <c r="R114" s="8">
        <v>0</v>
      </c>
      <c r="S114" s="8">
        <v>7</v>
      </c>
      <c r="T114" s="8">
        <f t="shared" si="6"/>
        <v>7</v>
      </c>
      <c r="U114" s="8">
        <v>3</v>
      </c>
      <c r="V114" s="8">
        <v>0</v>
      </c>
      <c r="W114" s="8">
        <v>4</v>
      </c>
      <c r="X114" s="8">
        <v>1</v>
      </c>
      <c r="Y114" s="8">
        <v>0</v>
      </c>
      <c r="Z114" s="8">
        <v>4</v>
      </c>
      <c r="AA114" s="8">
        <v>180</v>
      </c>
      <c r="AB114" s="9">
        <f t="shared" si="7"/>
        <v>2</v>
      </c>
      <c r="AC114" s="10">
        <f t="shared" si="8"/>
        <v>3.5</v>
      </c>
      <c r="AD114" s="8" t="s">
        <v>33</v>
      </c>
      <c r="AE114" s="11">
        <v>112990</v>
      </c>
      <c r="AF114" s="11">
        <f t="shared" si="9"/>
        <v>790930</v>
      </c>
      <c r="AG114" s="12" t="s">
        <v>34</v>
      </c>
      <c r="AH114" s="8" t="s">
        <v>35</v>
      </c>
    </row>
    <row r="115" spans="1:34">
      <c r="A115" s="8" t="s">
        <v>221</v>
      </c>
      <c r="B115" s="16" t="s">
        <v>2860</v>
      </c>
      <c r="C115" s="8" t="s">
        <v>40</v>
      </c>
      <c r="D115" s="8" t="s">
        <v>41</v>
      </c>
      <c r="E115" s="8" t="str">
        <f t="shared" si="5"/>
        <v>AZUL</v>
      </c>
      <c r="G115" s="8" t="s">
        <v>2862</v>
      </c>
      <c r="H115" s="8" t="str">
        <f>VLOOKUP(A115,[1]BBDD!$B$1:$J$3274,9,FALSE)</f>
        <v>M</v>
      </c>
      <c r="I115" s="8" t="s">
        <v>2862</v>
      </c>
      <c r="J115" s="8" t="s">
        <v>216</v>
      </c>
      <c r="L115" s="8" t="s">
        <v>82</v>
      </c>
      <c r="N115" s="8" t="s">
        <v>83</v>
      </c>
      <c r="O115" s="8" t="s">
        <v>83</v>
      </c>
      <c r="Q115" s="8" t="s">
        <v>45</v>
      </c>
      <c r="R115" s="8">
        <v>5</v>
      </c>
      <c r="S115" s="8">
        <v>5</v>
      </c>
      <c r="T115" s="8">
        <f t="shared" si="6"/>
        <v>10</v>
      </c>
      <c r="U115" s="8">
        <v>0</v>
      </c>
      <c r="V115" s="8">
        <v>1</v>
      </c>
      <c r="W115" s="8">
        <v>3</v>
      </c>
      <c r="X115" s="8">
        <v>0</v>
      </c>
      <c r="Y115" s="8">
        <v>0</v>
      </c>
      <c r="Z115" s="8">
        <v>0</v>
      </c>
      <c r="AA115" s="8">
        <v>180</v>
      </c>
      <c r="AB115" s="9">
        <f t="shared" si="7"/>
        <v>0.66666666666666674</v>
      </c>
      <c r="AC115" s="10">
        <f t="shared" si="8"/>
        <v>14.999999999999998</v>
      </c>
      <c r="AD115" s="8" t="s">
        <v>109</v>
      </c>
      <c r="AE115" s="11">
        <v>112990</v>
      </c>
      <c r="AF115" s="11">
        <f t="shared" si="9"/>
        <v>1129900</v>
      </c>
      <c r="AG115" s="12" t="s">
        <v>64</v>
      </c>
      <c r="AH115" s="8" t="s">
        <v>35</v>
      </c>
    </row>
    <row r="116" spans="1:34">
      <c r="A116" s="8" t="s">
        <v>222</v>
      </c>
      <c r="B116" s="16" t="s">
        <v>2860</v>
      </c>
      <c r="C116" s="8" t="s">
        <v>40</v>
      </c>
      <c r="D116" s="8" t="s">
        <v>41</v>
      </c>
      <c r="E116" s="8" t="str">
        <f t="shared" si="5"/>
        <v>VERDE</v>
      </c>
      <c r="G116" s="8" t="s">
        <v>2862</v>
      </c>
      <c r="H116" s="8" t="str">
        <f>VLOOKUP(A116,[1]BBDD!$B$1:$J$3274,9,FALSE)</f>
        <v>M</v>
      </c>
      <c r="I116" s="8" t="s">
        <v>2862</v>
      </c>
      <c r="J116" s="8" t="s">
        <v>216</v>
      </c>
      <c r="L116" s="8" t="s">
        <v>82</v>
      </c>
      <c r="N116" s="8" t="s">
        <v>92</v>
      </c>
      <c r="O116" s="8" t="s">
        <v>92</v>
      </c>
      <c r="Q116" s="8" t="s">
        <v>45</v>
      </c>
      <c r="R116" s="8">
        <v>0</v>
      </c>
      <c r="S116" s="8">
        <v>1</v>
      </c>
      <c r="T116" s="8">
        <f t="shared" si="6"/>
        <v>1</v>
      </c>
      <c r="U116" s="8">
        <v>0</v>
      </c>
      <c r="V116" s="8">
        <v>1</v>
      </c>
      <c r="W116" s="8">
        <v>0</v>
      </c>
      <c r="X116" s="8">
        <v>0</v>
      </c>
      <c r="Y116" s="8">
        <v>0</v>
      </c>
      <c r="Z116" s="8">
        <v>0</v>
      </c>
      <c r="AA116" s="8">
        <v>180</v>
      </c>
      <c r="AB116" s="9">
        <f t="shared" si="7"/>
        <v>0.16666666666666669</v>
      </c>
      <c r="AC116" s="10">
        <f t="shared" si="8"/>
        <v>5.9999999999999991</v>
      </c>
      <c r="AD116" s="8" t="s">
        <v>109</v>
      </c>
      <c r="AE116" s="11">
        <v>112990</v>
      </c>
      <c r="AF116" s="11">
        <f t="shared" si="9"/>
        <v>112990</v>
      </c>
      <c r="AG116" s="12" t="s">
        <v>34</v>
      </c>
      <c r="AH116" s="8" t="s">
        <v>35</v>
      </c>
    </row>
    <row r="117" spans="1:34">
      <c r="A117" s="8" t="s">
        <v>223</v>
      </c>
      <c r="B117" s="16" t="s">
        <v>2860</v>
      </c>
      <c r="C117" s="8" t="s">
        <v>40</v>
      </c>
      <c r="D117" s="8" t="s">
        <v>41</v>
      </c>
      <c r="E117" s="8" t="str">
        <f t="shared" si="5"/>
        <v>CARAMELO</v>
      </c>
      <c r="G117" s="8" t="s">
        <v>2862</v>
      </c>
      <c r="H117" s="8" t="str">
        <f>VLOOKUP(A117,[1]BBDD!$B$1:$J$3274,9,FALSE)</f>
        <v>M</v>
      </c>
      <c r="I117" s="8" t="s">
        <v>2862</v>
      </c>
      <c r="J117" s="8" t="s">
        <v>224</v>
      </c>
      <c r="L117" s="8" t="s">
        <v>61</v>
      </c>
      <c r="N117" s="8" t="s">
        <v>62</v>
      </c>
      <c r="O117" s="8" t="s">
        <v>62</v>
      </c>
      <c r="Q117" s="8" t="s">
        <v>32</v>
      </c>
      <c r="R117" s="8">
        <v>5</v>
      </c>
      <c r="S117" s="8">
        <v>8</v>
      </c>
      <c r="T117" s="8">
        <f t="shared" si="6"/>
        <v>13</v>
      </c>
      <c r="U117" s="8">
        <v>0</v>
      </c>
      <c r="V117" s="8">
        <v>0</v>
      </c>
      <c r="W117" s="8">
        <v>0</v>
      </c>
      <c r="X117" s="8">
        <v>1</v>
      </c>
      <c r="Y117" s="8">
        <v>1</v>
      </c>
      <c r="Z117" s="8">
        <v>0</v>
      </c>
      <c r="AA117" s="8">
        <v>180</v>
      </c>
      <c r="AB117" s="9">
        <f t="shared" si="7"/>
        <v>0.33333333333333337</v>
      </c>
      <c r="AC117" s="10">
        <f t="shared" si="8"/>
        <v>38.999999999999993</v>
      </c>
      <c r="AD117" s="8" t="s">
        <v>33</v>
      </c>
      <c r="AE117" s="11">
        <v>94990</v>
      </c>
      <c r="AF117" s="11">
        <f t="shared" si="9"/>
        <v>1234870</v>
      </c>
      <c r="AG117" s="12" t="s">
        <v>73</v>
      </c>
      <c r="AH117" s="8" t="s">
        <v>65</v>
      </c>
    </row>
    <row r="118" spans="1:34">
      <c r="A118" s="8" t="s">
        <v>225</v>
      </c>
      <c r="B118" s="16" t="s">
        <v>2860</v>
      </c>
      <c r="C118" s="8" t="s">
        <v>40</v>
      </c>
      <c r="D118" s="8" t="s">
        <v>41</v>
      </c>
      <c r="E118" s="8" t="str">
        <f t="shared" si="5"/>
        <v>MALBEC</v>
      </c>
      <c r="G118" s="8" t="s">
        <v>2862</v>
      </c>
      <c r="H118" s="8" t="str">
        <f>VLOOKUP(A118,[1]BBDD!$B$1:$J$3274,9,FALSE)</f>
        <v>M</v>
      </c>
      <c r="I118" s="8" t="s">
        <v>2862</v>
      </c>
      <c r="J118" s="8" t="s">
        <v>224</v>
      </c>
      <c r="L118" s="8" t="s">
        <v>61</v>
      </c>
      <c r="N118" s="8" t="s">
        <v>69</v>
      </c>
      <c r="O118" s="8" t="s">
        <v>69</v>
      </c>
      <c r="Q118" s="8" t="s">
        <v>32</v>
      </c>
      <c r="R118" s="8">
        <v>0</v>
      </c>
      <c r="S118" s="8">
        <v>7</v>
      </c>
      <c r="T118" s="8">
        <f t="shared" si="6"/>
        <v>7</v>
      </c>
      <c r="U118" s="8">
        <v>3</v>
      </c>
      <c r="V118" s="8">
        <v>0</v>
      </c>
      <c r="W118" s="8">
        <v>1</v>
      </c>
      <c r="X118" s="8">
        <v>0</v>
      </c>
      <c r="Y118" s="8">
        <v>0</v>
      </c>
      <c r="Z118" s="8">
        <v>0</v>
      </c>
      <c r="AA118" s="8">
        <v>180</v>
      </c>
      <c r="AB118" s="9">
        <f t="shared" si="7"/>
        <v>0.66666666666666674</v>
      </c>
      <c r="AC118" s="10">
        <f t="shared" si="8"/>
        <v>10.499999999999998</v>
      </c>
      <c r="AD118" s="8" t="s">
        <v>33</v>
      </c>
      <c r="AE118" s="11">
        <v>94990</v>
      </c>
      <c r="AF118" s="11">
        <f t="shared" si="9"/>
        <v>664930</v>
      </c>
      <c r="AG118" s="12" t="s">
        <v>51</v>
      </c>
      <c r="AH118" s="8" t="s">
        <v>35</v>
      </c>
    </row>
    <row r="119" spans="1:34">
      <c r="A119" s="8" t="s">
        <v>226</v>
      </c>
      <c r="B119" s="16" t="s">
        <v>2860</v>
      </c>
      <c r="C119" s="8" t="s">
        <v>40</v>
      </c>
      <c r="D119" s="8" t="s">
        <v>41</v>
      </c>
      <c r="E119" s="8" t="str">
        <f t="shared" si="5"/>
        <v>NEGRO</v>
      </c>
      <c r="G119" s="8" t="s">
        <v>2862</v>
      </c>
      <c r="H119" s="8" t="str">
        <f>VLOOKUP(A119,[1]BBDD!$B$1:$J$3274,9,FALSE)</f>
        <v>M</v>
      </c>
      <c r="I119" s="8" t="s">
        <v>2862</v>
      </c>
      <c r="J119" s="8" t="s">
        <v>224</v>
      </c>
      <c r="L119" s="8" t="s">
        <v>61</v>
      </c>
      <c r="N119" s="8" t="s">
        <v>44</v>
      </c>
      <c r="O119" s="8" t="s">
        <v>44</v>
      </c>
      <c r="Q119" s="8" t="s">
        <v>32</v>
      </c>
      <c r="R119" s="8">
        <v>1</v>
      </c>
      <c r="S119" s="8">
        <v>4</v>
      </c>
      <c r="T119" s="8">
        <f t="shared" si="6"/>
        <v>5</v>
      </c>
      <c r="U119" s="8">
        <v>0</v>
      </c>
      <c r="V119" s="8">
        <v>0</v>
      </c>
      <c r="W119" s="8">
        <v>2</v>
      </c>
      <c r="X119" s="8">
        <v>0</v>
      </c>
      <c r="Y119" s="8">
        <v>0</v>
      </c>
      <c r="Z119" s="8">
        <v>0</v>
      </c>
      <c r="AA119" s="8">
        <v>180</v>
      </c>
      <c r="AB119" s="9">
        <f t="shared" si="7"/>
        <v>0.33333333333333337</v>
      </c>
      <c r="AC119" s="10">
        <f t="shared" si="8"/>
        <v>14.999999999999998</v>
      </c>
      <c r="AD119" s="8" t="s">
        <v>33</v>
      </c>
      <c r="AE119" s="11">
        <v>94990</v>
      </c>
      <c r="AF119" s="11">
        <f t="shared" si="9"/>
        <v>474950</v>
      </c>
      <c r="AG119" s="12" t="s">
        <v>64</v>
      </c>
      <c r="AH119" s="8" t="s">
        <v>35</v>
      </c>
    </row>
    <row r="120" spans="1:34">
      <c r="A120" s="8" t="s">
        <v>227</v>
      </c>
      <c r="B120" s="16" t="s">
        <v>2860</v>
      </c>
      <c r="C120" s="8" t="s">
        <v>40</v>
      </c>
      <c r="D120" s="8" t="s">
        <v>41</v>
      </c>
      <c r="E120" s="8" t="str">
        <f t="shared" si="5"/>
        <v>ROJO</v>
      </c>
      <c r="G120" s="8" t="s">
        <v>2862</v>
      </c>
      <c r="H120" s="8" t="str">
        <f>VLOOKUP(A120,[1]BBDD!$B$1:$J$3274,9,FALSE)</f>
        <v>M</v>
      </c>
      <c r="I120" s="8" t="s">
        <v>2862</v>
      </c>
      <c r="J120" s="8" t="s">
        <v>224</v>
      </c>
      <c r="L120" s="8" t="s">
        <v>61</v>
      </c>
      <c r="N120" s="8" t="s">
        <v>88</v>
      </c>
      <c r="O120" s="8" t="s">
        <v>88</v>
      </c>
      <c r="Q120" s="8" t="s">
        <v>32</v>
      </c>
      <c r="R120" s="8">
        <v>0</v>
      </c>
      <c r="S120" s="8">
        <v>8</v>
      </c>
      <c r="T120" s="8">
        <f t="shared" si="6"/>
        <v>8</v>
      </c>
      <c r="U120" s="8">
        <v>0</v>
      </c>
      <c r="V120" s="8">
        <v>2</v>
      </c>
      <c r="W120" s="8">
        <v>2</v>
      </c>
      <c r="X120" s="8">
        <v>1</v>
      </c>
      <c r="Y120" s="8">
        <v>0</v>
      </c>
      <c r="Z120" s="8">
        <v>0</v>
      </c>
      <c r="AA120" s="8">
        <v>180</v>
      </c>
      <c r="AB120" s="9">
        <f t="shared" si="7"/>
        <v>0.83333333333333326</v>
      </c>
      <c r="AC120" s="10">
        <f t="shared" si="8"/>
        <v>9.6000000000000014</v>
      </c>
      <c r="AD120" s="8" t="s">
        <v>33</v>
      </c>
      <c r="AE120" s="11">
        <v>94990</v>
      </c>
      <c r="AF120" s="11">
        <f t="shared" si="9"/>
        <v>759920</v>
      </c>
      <c r="AG120" s="12" t="s">
        <v>51</v>
      </c>
      <c r="AH120" s="8" t="s">
        <v>35</v>
      </c>
    </row>
    <row r="121" spans="1:34">
      <c r="A121" s="8" t="s">
        <v>228</v>
      </c>
      <c r="B121" s="16" t="s">
        <v>2860</v>
      </c>
      <c r="C121" s="8" t="s">
        <v>40</v>
      </c>
      <c r="D121" s="8" t="s">
        <v>41</v>
      </c>
      <c r="E121" s="8" t="str">
        <f t="shared" si="5"/>
        <v>AZUL</v>
      </c>
      <c r="G121" s="8" t="s">
        <v>2862</v>
      </c>
      <c r="H121" s="8" t="str">
        <f>VLOOKUP(A121,[1]BBDD!$B$1:$J$3274,9,FALSE)</f>
        <v>M</v>
      </c>
      <c r="I121" s="8" t="s">
        <v>2862</v>
      </c>
      <c r="J121" s="8" t="s">
        <v>224</v>
      </c>
      <c r="L121" s="8" t="s">
        <v>71</v>
      </c>
      <c r="N121" s="8" t="s">
        <v>83</v>
      </c>
      <c r="O121" s="8" t="s">
        <v>83</v>
      </c>
      <c r="Q121" s="8" t="s">
        <v>32</v>
      </c>
      <c r="R121" s="8">
        <v>0</v>
      </c>
      <c r="S121" s="8">
        <v>6</v>
      </c>
      <c r="T121" s="8">
        <f t="shared" si="6"/>
        <v>6</v>
      </c>
      <c r="U121" s="8">
        <v>1</v>
      </c>
      <c r="V121" s="8">
        <v>1</v>
      </c>
      <c r="W121" s="8">
        <v>0</v>
      </c>
      <c r="X121" s="8">
        <v>0</v>
      </c>
      <c r="Y121" s="8">
        <v>0</v>
      </c>
      <c r="Z121" s="8">
        <v>0</v>
      </c>
      <c r="AA121" s="8">
        <v>180</v>
      </c>
      <c r="AB121" s="9">
        <f t="shared" si="7"/>
        <v>0.33333333333333337</v>
      </c>
      <c r="AC121" s="10">
        <f t="shared" si="8"/>
        <v>17.999999999999996</v>
      </c>
      <c r="AD121" s="8" t="s">
        <v>33</v>
      </c>
      <c r="AE121" s="11">
        <v>94990</v>
      </c>
      <c r="AF121" s="11">
        <f t="shared" si="9"/>
        <v>569940</v>
      </c>
      <c r="AG121" s="12" t="s">
        <v>64</v>
      </c>
      <c r="AH121" s="8" t="s">
        <v>35</v>
      </c>
    </row>
    <row r="122" spans="1:34">
      <c r="A122" s="8" t="s">
        <v>229</v>
      </c>
      <c r="B122" s="16" t="s">
        <v>2860</v>
      </c>
      <c r="C122" s="8" t="s">
        <v>40</v>
      </c>
      <c r="D122" s="8" t="s">
        <v>41</v>
      </c>
      <c r="E122" s="8" t="str">
        <f t="shared" si="5"/>
        <v>CAFE</v>
      </c>
      <c r="G122" s="8" t="s">
        <v>2862</v>
      </c>
      <c r="H122" s="8" t="str">
        <f>VLOOKUP(A122,[1]BBDD!$B$1:$J$3274,9,FALSE)</f>
        <v>M</v>
      </c>
      <c r="I122" s="8" t="s">
        <v>2862</v>
      </c>
      <c r="J122" s="8" t="s">
        <v>224</v>
      </c>
      <c r="L122" s="8" t="s">
        <v>71</v>
      </c>
      <c r="N122" s="8" t="s">
        <v>76</v>
      </c>
      <c r="O122" s="8" t="s">
        <v>76</v>
      </c>
      <c r="Q122" s="8" t="s">
        <v>32</v>
      </c>
      <c r="R122" s="8">
        <v>0</v>
      </c>
      <c r="S122" s="8">
        <v>6</v>
      </c>
      <c r="T122" s="8">
        <f t="shared" si="6"/>
        <v>6</v>
      </c>
      <c r="U122" s="8">
        <v>0</v>
      </c>
      <c r="V122" s="8">
        <v>2</v>
      </c>
      <c r="W122" s="8">
        <v>1</v>
      </c>
      <c r="X122" s="8">
        <v>0</v>
      </c>
      <c r="Y122" s="8">
        <v>0</v>
      </c>
      <c r="Z122" s="8">
        <v>0</v>
      </c>
      <c r="AA122" s="8">
        <v>180</v>
      </c>
      <c r="AB122" s="9">
        <f t="shared" si="7"/>
        <v>0.5</v>
      </c>
      <c r="AC122" s="10">
        <f t="shared" si="8"/>
        <v>12</v>
      </c>
      <c r="AD122" s="8" t="s">
        <v>33</v>
      </c>
      <c r="AE122" s="11">
        <v>94990</v>
      </c>
      <c r="AF122" s="11">
        <f t="shared" si="9"/>
        <v>569940</v>
      </c>
      <c r="AG122" s="12" t="s">
        <v>51</v>
      </c>
      <c r="AH122" s="8" t="s">
        <v>35</v>
      </c>
    </row>
    <row r="123" spans="1:34">
      <c r="A123" s="8" t="s">
        <v>230</v>
      </c>
      <c r="B123" s="16" t="s">
        <v>2860</v>
      </c>
      <c r="C123" s="8" t="s">
        <v>40</v>
      </c>
      <c r="D123" s="8" t="s">
        <v>41</v>
      </c>
      <c r="E123" s="8" t="str">
        <f t="shared" si="5"/>
        <v>OLIVE</v>
      </c>
      <c r="G123" s="8" t="s">
        <v>2862</v>
      </c>
      <c r="H123" s="8" t="str">
        <f>VLOOKUP(A123,[1]BBDD!$B$1:$J$3274,9,FALSE)</f>
        <v>M</v>
      </c>
      <c r="I123" s="8" t="s">
        <v>2862</v>
      </c>
      <c r="J123" s="8" t="s">
        <v>224</v>
      </c>
      <c r="L123" s="8" t="s">
        <v>71</v>
      </c>
      <c r="N123" s="8" t="s">
        <v>159</v>
      </c>
      <c r="O123" s="8" t="s">
        <v>159</v>
      </c>
      <c r="Q123" s="8" t="s">
        <v>32</v>
      </c>
      <c r="R123" s="8">
        <v>0</v>
      </c>
      <c r="S123" s="8">
        <v>3</v>
      </c>
      <c r="T123" s="8">
        <f t="shared" si="6"/>
        <v>3</v>
      </c>
      <c r="U123" s="8">
        <v>2</v>
      </c>
      <c r="V123" s="8">
        <v>1</v>
      </c>
      <c r="W123" s="8">
        <v>6</v>
      </c>
      <c r="X123" s="8">
        <v>1</v>
      </c>
      <c r="Y123" s="8">
        <v>0</v>
      </c>
      <c r="Z123" s="8">
        <v>1</v>
      </c>
      <c r="AA123" s="8">
        <v>180</v>
      </c>
      <c r="AB123" s="9">
        <f t="shared" si="7"/>
        <v>1.8333333333333333</v>
      </c>
      <c r="AC123" s="10">
        <f t="shared" si="8"/>
        <v>1.6363636363636365</v>
      </c>
      <c r="AD123" s="8" t="s">
        <v>33</v>
      </c>
      <c r="AE123" s="11">
        <v>94990</v>
      </c>
      <c r="AF123" s="11">
        <f t="shared" si="9"/>
        <v>284970</v>
      </c>
      <c r="AG123" s="12" t="s">
        <v>34</v>
      </c>
      <c r="AH123" s="8" t="s">
        <v>35</v>
      </c>
    </row>
    <row r="124" spans="1:34">
      <c r="A124" s="8" t="s">
        <v>231</v>
      </c>
      <c r="B124" s="16" t="s">
        <v>2860</v>
      </c>
      <c r="C124" s="8" t="s">
        <v>40</v>
      </c>
      <c r="D124" s="8" t="s">
        <v>41</v>
      </c>
      <c r="E124" s="8" t="str">
        <f t="shared" si="5"/>
        <v>OXIDO</v>
      </c>
      <c r="G124" s="8" t="s">
        <v>2862</v>
      </c>
      <c r="H124" s="8" t="str">
        <f>VLOOKUP(A124,[1]BBDD!$B$1:$J$3274,9,FALSE)</f>
        <v>M</v>
      </c>
      <c r="I124" s="8" t="s">
        <v>2862</v>
      </c>
      <c r="J124" s="8" t="s">
        <v>224</v>
      </c>
      <c r="L124" s="8" t="s">
        <v>71</v>
      </c>
      <c r="N124" s="8" t="s">
        <v>78</v>
      </c>
      <c r="O124" s="8" t="s">
        <v>78</v>
      </c>
      <c r="Q124" s="8" t="s">
        <v>32</v>
      </c>
      <c r="R124" s="8">
        <v>0</v>
      </c>
      <c r="S124" s="8">
        <v>3</v>
      </c>
      <c r="T124" s="8">
        <f t="shared" si="6"/>
        <v>3</v>
      </c>
      <c r="U124" s="8">
        <v>0</v>
      </c>
      <c r="V124" s="8">
        <v>0</v>
      </c>
      <c r="W124" s="8">
        <v>0</v>
      </c>
      <c r="X124" s="8">
        <v>2</v>
      </c>
      <c r="Y124" s="8">
        <v>0</v>
      </c>
      <c r="Z124" s="8">
        <v>0</v>
      </c>
      <c r="AA124" s="8">
        <v>180</v>
      </c>
      <c r="AB124" s="9">
        <f t="shared" si="7"/>
        <v>0.33333333333333337</v>
      </c>
      <c r="AC124" s="10">
        <f t="shared" si="8"/>
        <v>8.9999999999999982</v>
      </c>
      <c r="AD124" s="8" t="s">
        <v>33</v>
      </c>
      <c r="AE124" s="11">
        <v>94990</v>
      </c>
      <c r="AF124" s="11">
        <f t="shared" si="9"/>
        <v>284970</v>
      </c>
      <c r="AG124" s="12" t="s">
        <v>51</v>
      </c>
      <c r="AH124" s="8" t="s">
        <v>35</v>
      </c>
    </row>
    <row r="125" spans="1:34">
      <c r="A125" s="8" t="s">
        <v>232</v>
      </c>
      <c r="B125" s="16" t="s">
        <v>2860</v>
      </c>
      <c r="C125" s="8" t="s">
        <v>40</v>
      </c>
      <c r="D125" s="8" t="s">
        <v>41</v>
      </c>
      <c r="E125" s="8" t="str">
        <f t="shared" si="5"/>
        <v>AVELLANA</v>
      </c>
      <c r="G125" s="8" t="s">
        <v>2862</v>
      </c>
      <c r="H125" s="8" t="str">
        <f>VLOOKUP(A125,[1]BBDD!$B$1:$J$3274,9,FALSE)</f>
        <v>M</v>
      </c>
      <c r="I125" s="8" t="s">
        <v>2862</v>
      </c>
      <c r="J125" s="8" t="s">
        <v>224</v>
      </c>
      <c r="L125" s="8" t="s">
        <v>71</v>
      </c>
      <c r="N125" s="8" t="s">
        <v>72</v>
      </c>
      <c r="O125" s="8" t="s">
        <v>72</v>
      </c>
      <c r="Q125" s="8" t="s">
        <v>45</v>
      </c>
      <c r="R125" s="8">
        <v>0</v>
      </c>
      <c r="S125" s="8">
        <v>5</v>
      </c>
      <c r="T125" s="8">
        <f t="shared" si="6"/>
        <v>5</v>
      </c>
      <c r="U125" s="8">
        <v>1</v>
      </c>
      <c r="V125" s="8">
        <v>0</v>
      </c>
      <c r="W125" s="8">
        <v>1</v>
      </c>
      <c r="X125" s="8">
        <v>0</v>
      </c>
      <c r="Y125" s="8">
        <v>0</v>
      </c>
      <c r="Z125" s="8">
        <v>0</v>
      </c>
      <c r="AA125" s="8">
        <v>180</v>
      </c>
      <c r="AB125" s="9">
        <f t="shared" si="7"/>
        <v>0.33333333333333337</v>
      </c>
      <c r="AC125" s="10">
        <f t="shared" si="8"/>
        <v>14.999999999999998</v>
      </c>
      <c r="AD125" s="8" t="s">
        <v>109</v>
      </c>
      <c r="AE125" s="11">
        <v>94990</v>
      </c>
      <c r="AF125" s="11">
        <f t="shared" si="9"/>
        <v>474950</v>
      </c>
      <c r="AG125" s="12" t="s">
        <v>64</v>
      </c>
      <c r="AH125" s="8" t="s">
        <v>35</v>
      </c>
    </row>
    <row r="126" spans="1:34">
      <c r="A126" s="8" t="s">
        <v>233</v>
      </c>
      <c r="B126" s="16" t="s">
        <v>2860</v>
      </c>
      <c r="C126" s="8" t="s">
        <v>40</v>
      </c>
      <c r="D126" s="8" t="s">
        <v>41</v>
      </c>
      <c r="E126" s="8" t="str">
        <f t="shared" si="5"/>
        <v>GRIS MEDIO</v>
      </c>
      <c r="G126" s="8" t="s">
        <v>2862</v>
      </c>
      <c r="H126" s="8" t="str">
        <f>VLOOKUP(A126,[1]BBDD!$B$1:$J$3274,9,FALSE)</f>
        <v>M</v>
      </c>
      <c r="I126" s="8" t="s">
        <v>2862</v>
      </c>
      <c r="J126" s="8" t="s">
        <v>224</v>
      </c>
      <c r="L126" s="8" t="s">
        <v>71</v>
      </c>
      <c r="N126" s="8" t="s">
        <v>157</v>
      </c>
      <c r="O126" s="8" t="s">
        <v>157</v>
      </c>
      <c r="Q126" s="8" t="s">
        <v>45</v>
      </c>
      <c r="R126" s="8">
        <v>3</v>
      </c>
      <c r="S126" s="8">
        <v>12</v>
      </c>
      <c r="T126" s="8">
        <f t="shared" si="6"/>
        <v>15</v>
      </c>
      <c r="U126" s="8">
        <v>0</v>
      </c>
      <c r="V126" s="8">
        <v>0</v>
      </c>
      <c r="W126" s="8">
        <v>0</v>
      </c>
      <c r="X126" s="8">
        <v>0</v>
      </c>
      <c r="Y126" s="8">
        <v>1</v>
      </c>
      <c r="Z126" s="8">
        <v>0</v>
      </c>
      <c r="AA126" s="8">
        <v>180</v>
      </c>
      <c r="AB126" s="9">
        <f t="shared" si="7"/>
        <v>0.16666666666666669</v>
      </c>
      <c r="AC126" s="10">
        <f t="shared" si="8"/>
        <v>89.999999999999986</v>
      </c>
      <c r="AD126" s="8" t="s">
        <v>109</v>
      </c>
      <c r="AE126" s="11">
        <v>94990</v>
      </c>
      <c r="AF126" s="11">
        <f t="shared" si="9"/>
        <v>1424850</v>
      </c>
      <c r="AG126" s="12" t="s">
        <v>73</v>
      </c>
      <c r="AH126" s="8" t="s">
        <v>65</v>
      </c>
    </row>
    <row r="127" spans="1:34">
      <c r="A127" s="8" t="s">
        <v>234</v>
      </c>
      <c r="B127" s="16" t="s">
        <v>2860</v>
      </c>
      <c r="C127" s="8" t="s">
        <v>40</v>
      </c>
      <c r="D127" s="8" t="s">
        <v>41</v>
      </c>
      <c r="E127" s="8" t="str">
        <f t="shared" si="5"/>
        <v>GRIS OSCURO</v>
      </c>
      <c r="G127" s="8" t="s">
        <v>2862</v>
      </c>
      <c r="H127" s="8" t="str">
        <f>VLOOKUP(A127,[1]BBDD!$B$1:$J$3274,9,FALSE)</f>
        <v>M</v>
      </c>
      <c r="I127" s="8" t="s">
        <v>2862</v>
      </c>
      <c r="J127" s="8" t="s">
        <v>224</v>
      </c>
      <c r="L127" s="8" t="s">
        <v>71</v>
      </c>
      <c r="N127" s="8" t="s">
        <v>235</v>
      </c>
      <c r="O127" s="8" t="s">
        <v>235</v>
      </c>
      <c r="Q127" s="8" t="s">
        <v>45</v>
      </c>
      <c r="R127" s="8">
        <v>2</v>
      </c>
      <c r="S127" s="8">
        <v>10</v>
      </c>
      <c r="T127" s="8">
        <f t="shared" si="6"/>
        <v>12</v>
      </c>
      <c r="U127" s="8">
        <v>0</v>
      </c>
      <c r="V127" s="8">
        <v>2</v>
      </c>
      <c r="W127" s="8">
        <v>0</v>
      </c>
      <c r="X127" s="8">
        <v>0</v>
      </c>
      <c r="Y127" s="8">
        <v>2</v>
      </c>
      <c r="Z127" s="8">
        <v>0</v>
      </c>
      <c r="AA127" s="8">
        <v>180</v>
      </c>
      <c r="AB127" s="9">
        <f t="shared" si="7"/>
        <v>0.66666666666666674</v>
      </c>
      <c r="AC127" s="10">
        <f t="shared" si="8"/>
        <v>17.999999999999996</v>
      </c>
      <c r="AD127" s="8" t="s">
        <v>109</v>
      </c>
      <c r="AE127" s="11">
        <v>94990</v>
      </c>
      <c r="AF127" s="11">
        <f t="shared" si="9"/>
        <v>1139880</v>
      </c>
      <c r="AG127" s="12" t="s">
        <v>64</v>
      </c>
      <c r="AH127" s="8" t="s">
        <v>65</v>
      </c>
    </row>
    <row r="128" spans="1:34">
      <c r="A128" s="8" t="s">
        <v>236</v>
      </c>
      <c r="B128" s="16" t="s">
        <v>2860</v>
      </c>
      <c r="C128" s="8" t="s">
        <v>40</v>
      </c>
      <c r="D128" s="8" t="s">
        <v>41</v>
      </c>
      <c r="E128" s="8" t="str">
        <f t="shared" si="5"/>
        <v>VESUBIO</v>
      </c>
      <c r="G128" s="8" t="s">
        <v>2862</v>
      </c>
      <c r="H128" s="8" t="str">
        <f>VLOOKUP(A128,[1]BBDD!$B$1:$J$3274,9,FALSE)</f>
        <v>M</v>
      </c>
      <c r="I128" s="8" t="s">
        <v>2862</v>
      </c>
      <c r="J128" s="8" t="s">
        <v>224</v>
      </c>
      <c r="L128" s="8" t="s">
        <v>71</v>
      </c>
      <c r="N128" s="8" t="s">
        <v>80</v>
      </c>
      <c r="O128" s="8" t="s">
        <v>80</v>
      </c>
      <c r="Q128" s="8" t="s">
        <v>45</v>
      </c>
      <c r="R128" s="8">
        <v>5</v>
      </c>
      <c r="S128" s="8">
        <v>8</v>
      </c>
      <c r="T128" s="8">
        <f t="shared" si="6"/>
        <v>13</v>
      </c>
      <c r="U128" s="8">
        <v>2</v>
      </c>
      <c r="V128" s="8">
        <v>1</v>
      </c>
      <c r="W128" s="8">
        <v>1</v>
      </c>
      <c r="X128" s="8">
        <v>0</v>
      </c>
      <c r="Y128" s="8">
        <v>0</v>
      </c>
      <c r="Z128" s="8">
        <v>4</v>
      </c>
      <c r="AA128" s="8">
        <v>180</v>
      </c>
      <c r="AB128" s="9">
        <f t="shared" si="7"/>
        <v>1.3333333333333335</v>
      </c>
      <c r="AC128" s="10">
        <f t="shared" si="8"/>
        <v>9.7499999999999982</v>
      </c>
      <c r="AD128" s="8" t="s">
        <v>109</v>
      </c>
      <c r="AE128" s="11">
        <v>94990</v>
      </c>
      <c r="AF128" s="11">
        <f t="shared" si="9"/>
        <v>1234870</v>
      </c>
      <c r="AG128" s="12" t="s">
        <v>51</v>
      </c>
      <c r="AH128" s="8" t="s">
        <v>65</v>
      </c>
    </row>
    <row r="129" spans="1:34">
      <c r="A129" s="8" t="s">
        <v>237</v>
      </c>
      <c r="B129" s="16" t="s">
        <v>2860</v>
      </c>
      <c r="C129" s="8" t="s">
        <v>40</v>
      </c>
      <c r="D129" s="8" t="s">
        <v>41</v>
      </c>
      <c r="E129" s="8" t="str">
        <f t="shared" si="5"/>
        <v>CARAMELO</v>
      </c>
      <c r="G129" s="8" t="s">
        <v>2862</v>
      </c>
      <c r="H129" s="8" t="str">
        <f>VLOOKUP(A129,[1]BBDD!$B$1:$J$3274,9,FALSE)</f>
        <v>M</v>
      </c>
      <c r="I129" s="8" t="s">
        <v>2862</v>
      </c>
      <c r="J129" s="8" t="s">
        <v>224</v>
      </c>
      <c r="L129" s="8" t="s">
        <v>238</v>
      </c>
      <c r="N129" s="8" t="s">
        <v>62</v>
      </c>
      <c r="O129" s="8" t="s">
        <v>62</v>
      </c>
      <c r="Q129" s="8" t="s">
        <v>32</v>
      </c>
      <c r="R129" s="8">
        <v>7</v>
      </c>
      <c r="S129" s="8">
        <v>7</v>
      </c>
      <c r="T129" s="8">
        <f t="shared" si="6"/>
        <v>14</v>
      </c>
      <c r="U129" s="8">
        <v>1</v>
      </c>
      <c r="V129" s="8">
        <v>1</v>
      </c>
      <c r="W129" s="8">
        <v>4</v>
      </c>
      <c r="X129" s="8">
        <v>0</v>
      </c>
      <c r="Y129" s="8">
        <v>1</v>
      </c>
      <c r="Z129" s="8">
        <v>1</v>
      </c>
      <c r="AA129" s="8">
        <v>180</v>
      </c>
      <c r="AB129" s="9">
        <f t="shared" si="7"/>
        <v>1.3333333333333335</v>
      </c>
      <c r="AC129" s="10">
        <f t="shared" si="8"/>
        <v>10.499999999999998</v>
      </c>
      <c r="AD129" s="8" t="s">
        <v>33</v>
      </c>
      <c r="AE129" s="11">
        <v>94990</v>
      </c>
      <c r="AF129" s="11">
        <f t="shared" si="9"/>
        <v>1329860</v>
      </c>
      <c r="AG129" s="12" t="s">
        <v>51</v>
      </c>
      <c r="AH129" s="8" t="s">
        <v>65</v>
      </c>
    </row>
    <row r="130" spans="1:34">
      <c r="A130" s="8" t="s">
        <v>239</v>
      </c>
      <c r="B130" s="16" t="s">
        <v>2860</v>
      </c>
      <c r="C130" s="8" t="s">
        <v>40</v>
      </c>
      <c r="D130" s="8" t="s">
        <v>41</v>
      </c>
      <c r="E130" s="8" t="str">
        <f t="shared" si="5"/>
        <v>NEGRO</v>
      </c>
      <c r="G130" s="8" t="s">
        <v>2862</v>
      </c>
      <c r="H130" s="8" t="str">
        <f>VLOOKUP(A130,[1]BBDD!$B$1:$J$3274,9,FALSE)</f>
        <v>M</v>
      </c>
      <c r="I130" s="8" t="s">
        <v>2862</v>
      </c>
      <c r="J130" s="8" t="s">
        <v>224</v>
      </c>
      <c r="L130" s="8" t="s">
        <v>238</v>
      </c>
      <c r="N130" s="8" t="s">
        <v>44</v>
      </c>
      <c r="O130" s="8" t="s">
        <v>44</v>
      </c>
      <c r="Q130" s="8" t="s">
        <v>32</v>
      </c>
      <c r="R130" s="8">
        <v>8</v>
      </c>
      <c r="S130" s="8">
        <v>10</v>
      </c>
      <c r="T130" s="8">
        <f t="shared" si="6"/>
        <v>18</v>
      </c>
      <c r="U130" s="8">
        <v>0</v>
      </c>
      <c r="V130" s="8">
        <v>1</v>
      </c>
      <c r="W130" s="8">
        <v>2</v>
      </c>
      <c r="X130" s="8">
        <v>0</v>
      </c>
      <c r="Y130" s="8">
        <v>0</v>
      </c>
      <c r="Z130" s="8">
        <v>0</v>
      </c>
      <c r="AA130" s="8">
        <v>180</v>
      </c>
      <c r="AB130" s="9">
        <f t="shared" si="7"/>
        <v>0.5</v>
      </c>
      <c r="AC130" s="10">
        <f t="shared" si="8"/>
        <v>36</v>
      </c>
      <c r="AD130" s="8" t="s">
        <v>33</v>
      </c>
      <c r="AE130" s="11">
        <v>94990</v>
      </c>
      <c r="AF130" s="11">
        <f t="shared" si="9"/>
        <v>1709820</v>
      </c>
      <c r="AG130" s="12" t="s">
        <v>73</v>
      </c>
      <c r="AH130" s="8" t="s">
        <v>65</v>
      </c>
    </row>
    <row r="131" spans="1:34">
      <c r="A131" s="8" t="s">
        <v>240</v>
      </c>
      <c r="B131" s="16" t="s">
        <v>2860</v>
      </c>
      <c r="C131" s="8" t="s">
        <v>40</v>
      </c>
      <c r="D131" s="8" t="s">
        <v>41</v>
      </c>
      <c r="E131" s="8" t="str">
        <f t="shared" ref="E131:E194" si="10">TRIM(N131)</f>
        <v>AZUL</v>
      </c>
      <c r="G131" s="8" t="s">
        <v>2862</v>
      </c>
      <c r="H131" s="8" t="str">
        <f>VLOOKUP(A131,[1]BBDD!$B$1:$J$3274,9,FALSE)</f>
        <v>M</v>
      </c>
      <c r="I131" s="8" t="s">
        <v>2862</v>
      </c>
      <c r="J131" s="8" t="s">
        <v>224</v>
      </c>
      <c r="L131" s="8" t="s">
        <v>82</v>
      </c>
      <c r="N131" s="8" t="s">
        <v>83</v>
      </c>
      <c r="O131" s="8" t="s">
        <v>83</v>
      </c>
      <c r="Q131" s="8" t="s">
        <v>32</v>
      </c>
      <c r="R131" s="8">
        <v>0</v>
      </c>
      <c r="S131" s="8">
        <v>4</v>
      </c>
      <c r="T131" s="8">
        <f t="shared" ref="T131:T182" si="11">SUM(R131:S131)</f>
        <v>4</v>
      </c>
      <c r="U131" s="8">
        <v>1</v>
      </c>
      <c r="V131" s="8">
        <v>2</v>
      </c>
      <c r="W131" s="8">
        <v>0</v>
      </c>
      <c r="X131" s="8">
        <v>0</v>
      </c>
      <c r="Y131" s="8">
        <v>0</v>
      </c>
      <c r="Z131" s="8">
        <v>0</v>
      </c>
      <c r="AA131" s="8">
        <v>180</v>
      </c>
      <c r="AB131" s="9">
        <f t="shared" ref="AB131:AB182" si="12">SUM(U131:Z131)/AA131*30</f>
        <v>0.5</v>
      </c>
      <c r="AC131" s="10">
        <f t="shared" ref="AC131:AC194" si="13">IFERROR(T131/AB131,"sin venta")</f>
        <v>8</v>
      </c>
      <c r="AD131" s="8" t="s">
        <v>33</v>
      </c>
      <c r="AE131" s="11">
        <v>94990</v>
      </c>
      <c r="AF131" s="11">
        <f t="shared" ref="AF131:AF194" si="14">IFERROR(AE131*T131,0)</f>
        <v>379960</v>
      </c>
      <c r="AG131" s="12" t="s">
        <v>51</v>
      </c>
      <c r="AH131" s="8" t="s">
        <v>35</v>
      </c>
    </row>
    <row r="132" spans="1:34">
      <c r="A132" s="8" t="s">
        <v>241</v>
      </c>
      <c r="B132" s="16" t="s">
        <v>2860</v>
      </c>
      <c r="C132" s="8" t="s">
        <v>40</v>
      </c>
      <c r="D132" s="8" t="s">
        <v>41</v>
      </c>
      <c r="E132" s="8" t="str">
        <f t="shared" si="10"/>
        <v>NEGRO</v>
      </c>
      <c r="G132" s="8" t="s">
        <v>2862</v>
      </c>
      <c r="H132" s="8" t="str">
        <f>VLOOKUP(A132,[1]BBDD!$B$1:$J$3274,9,FALSE)</f>
        <v>M</v>
      </c>
      <c r="I132" s="8" t="s">
        <v>2862</v>
      </c>
      <c r="J132" s="8" t="s">
        <v>224</v>
      </c>
      <c r="L132" s="8" t="s">
        <v>82</v>
      </c>
      <c r="N132" s="8" t="s">
        <v>44</v>
      </c>
      <c r="O132" s="8" t="s">
        <v>44</v>
      </c>
      <c r="Q132" s="8" t="s">
        <v>32</v>
      </c>
      <c r="R132" s="8">
        <v>1</v>
      </c>
      <c r="S132" s="8">
        <v>7</v>
      </c>
      <c r="T132" s="8">
        <f t="shared" si="11"/>
        <v>8</v>
      </c>
      <c r="U132" s="8">
        <v>2</v>
      </c>
      <c r="V132" s="8">
        <v>1</v>
      </c>
      <c r="W132" s="8">
        <v>6</v>
      </c>
      <c r="X132" s="8">
        <v>0</v>
      </c>
      <c r="Y132" s="8">
        <v>1</v>
      </c>
      <c r="Z132" s="8">
        <v>3</v>
      </c>
      <c r="AA132" s="8">
        <v>180</v>
      </c>
      <c r="AB132" s="9">
        <f t="shared" si="12"/>
        <v>2.1666666666666665</v>
      </c>
      <c r="AC132" s="10">
        <f t="shared" si="13"/>
        <v>3.6923076923076925</v>
      </c>
      <c r="AD132" s="8" t="s">
        <v>33</v>
      </c>
      <c r="AE132" s="11">
        <v>94990</v>
      </c>
      <c r="AF132" s="11">
        <f t="shared" si="14"/>
        <v>759920</v>
      </c>
      <c r="AG132" s="12" t="s">
        <v>34</v>
      </c>
      <c r="AH132" s="8" t="s">
        <v>35</v>
      </c>
    </row>
    <row r="133" spans="1:34">
      <c r="A133" s="8" t="s">
        <v>242</v>
      </c>
      <c r="B133" s="16" t="s">
        <v>2860</v>
      </c>
      <c r="C133" s="8" t="s">
        <v>40</v>
      </c>
      <c r="D133" s="8" t="s">
        <v>41</v>
      </c>
      <c r="E133" s="8" t="str">
        <f t="shared" si="10"/>
        <v>SUELA</v>
      </c>
      <c r="G133" s="8" t="s">
        <v>2862</v>
      </c>
      <c r="H133" s="8" t="str">
        <f>VLOOKUP(A133,[1]BBDD!$B$1:$J$3274,9,FALSE)</f>
        <v>M</v>
      </c>
      <c r="I133" s="8" t="s">
        <v>2862</v>
      </c>
      <c r="J133" s="8" t="s">
        <v>224</v>
      </c>
      <c r="L133" s="8" t="s">
        <v>82</v>
      </c>
      <c r="N133" s="8" t="s">
        <v>90</v>
      </c>
      <c r="O133" s="8" t="s">
        <v>90</v>
      </c>
      <c r="Q133" s="8" t="s">
        <v>32</v>
      </c>
      <c r="R133" s="8">
        <v>0</v>
      </c>
      <c r="S133" s="8">
        <v>7</v>
      </c>
      <c r="T133" s="8">
        <f t="shared" si="11"/>
        <v>7</v>
      </c>
      <c r="U133" s="8">
        <v>0</v>
      </c>
      <c r="V133" s="8">
        <v>0</v>
      </c>
      <c r="W133" s="8">
        <v>3</v>
      </c>
      <c r="X133" s="8">
        <v>0</v>
      </c>
      <c r="Y133" s="8">
        <v>1</v>
      </c>
      <c r="Z133" s="8">
        <v>1</v>
      </c>
      <c r="AA133" s="8">
        <v>180</v>
      </c>
      <c r="AB133" s="9">
        <f t="shared" si="12"/>
        <v>0.83333333333333326</v>
      </c>
      <c r="AC133" s="10">
        <f t="shared" si="13"/>
        <v>8.4</v>
      </c>
      <c r="AD133" s="8" t="s">
        <v>33</v>
      </c>
      <c r="AE133" s="11">
        <v>94990</v>
      </c>
      <c r="AF133" s="11">
        <f t="shared" si="14"/>
        <v>664930</v>
      </c>
      <c r="AG133" s="12" t="s">
        <v>51</v>
      </c>
      <c r="AH133" s="8" t="s">
        <v>35</v>
      </c>
    </row>
    <row r="134" spans="1:34">
      <c r="A134" s="8" t="s">
        <v>243</v>
      </c>
      <c r="B134" s="16" t="s">
        <v>2860</v>
      </c>
      <c r="C134" s="8" t="s">
        <v>40</v>
      </c>
      <c r="D134" s="8" t="s">
        <v>41</v>
      </c>
      <c r="E134" s="8" t="str">
        <f t="shared" si="10"/>
        <v>CARAMELO</v>
      </c>
      <c r="G134" s="8" t="s">
        <v>2862</v>
      </c>
      <c r="H134" s="8" t="str">
        <f>VLOOKUP(A134,[1]BBDD!$B$1:$J$3274,9,FALSE)</f>
        <v>M</v>
      </c>
      <c r="I134" s="8" t="s">
        <v>2862</v>
      </c>
      <c r="J134" s="8" t="s">
        <v>224</v>
      </c>
      <c r="L134" s="8" t="s">
        <v>82</v>
      </c>
      <c r="N134" s="8" t="s">
        <v>62</v>
      </c>
      <c r="O134" s="8" t="s">
        <v>62</v>
      </c>
      <c r="Q134" s="8" t="s">
        <v>45</v>
      </c>
      <c r="R134" s="8">
        <v>9</v>
      </c>
      <c r="S134" s="8">
        <v>8</v>
      </c>
      <c r="T134" s="8">
        <f t="shared" si="11"/>
        <v>17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180</v>
      </c>
      <c r="AB134" s="9">
        <f t="shared" si="12"/>
        <v>0</v>
      </c>
      <c r="AC134" s="10" t="str">
        <f t="shared" si="13"/>
        <v>sin venta</v>
      </c>
      <c r="AD134" s="8" t="s">
        <v>109</v>
      </c>
      <c r="AE134" s="11">
        <v>94990</v>
      </c>
      <c r="AF134" s="11">
        <f t="shared" si="14"/>
        <v>1614830</v>
      </c>
      <c r="AG134" s="12" t="s">
        <v>73</v>
      </c>
      <c r="AH134" s="8" t="s">
        <v>65</v>
      </c>
    </row>
    <row r="135" spans="1:34">
      <c r="A135" s="8" t="s">
        <v>244</v>
      </c>
      <c r="B135" s="16" t="s">
        <v>2860</v>
      </c>
      <c r="C135" s="8" t="s">
        <v>40</v>
      </c>
      <c r="D135" s="8" t="s">
        <v>41</v>
      </c>
      <c r="E135" s="8" t="str">
        <f t="shared" si="10"/>
        <v>ROJO</v>
      </c>
      <c r="G135" s="8" t="s">
        <v>2862</v>
      </c>
      <c r="H135" s="8" t="str">
        <f>VLOOKUP(A135,[1]BBDD!$B$1:$J$3274,9,FALSE)</f>
        <v>M</v>
      </c>
      <c r="I135" s="8" t="s">
        <v>2862</v>
      </c>
      <c r="J135" s="8" t="s">
        <v>224</v>
      </c>
      <c r="L135" s="8" t="s">
        <v>82</v>
      </c>
      <c r="N135" s="8" t="s">
        <v>88</v>
      </c>
      <c r="O135" s="8" t="s">
        <v>88</v>
      </c>
      <c r="Q135" s="8" t="s">
        <v>45</v>
      </c>
      <c r="R135" s="8">
        <v>9</v>
      </c>
      <c r="S135" s="8">
        <v>8</v>
      </c>
      <c r="T135" s="8">
        <f t="shared" si="11"/>
        <v>17</v>
      </c>
      <c r="U135" s="8">
        <v>0</v>
      </c>
      <c r="V135" s="8">
        <v>0</v>
      </c>
      <c r="W135" s="8">
        <v>3</v>
      </c>
      <c r="X135" s="8">
        <v>0</v>
      </c>
      <c r="Y135" s="8">
        <v>0</v>
      </c>
      <c r="Z135" s="8">
        <v>0</v>
      </c>
      <c r="AA135" s="8">
        <v>180</v>
      </c>
      <c r="AB135" s="9">
        <f t="shared" si="12"/>
        <v>0.5</v>
      </c>
      <c r="AC135" s="10">
        <f t="shared" si="13"/>
        <v>34</v>
      </c>
      <c r="AD135" s="8" t="s">
        <v>109</v>
      </c>
      <c r="AE135" s="11">
        <v>94990</v>
      </c>
      <c r="AF135" s="11">
        <f t="shared" si="14"/>
        <v>1614830</v>
      </c>
      <c r="AG135" s="12" t="s">
        <v>73</v>
      </c>
      <c r="AH135" s="8" t="s">
        <v>65</v>
      </c>
    </row>
    <row r="136" spans="1:34">
      <c r="A136" s="8" t="s">
        <v>245</v>
      </c>
      <c r="B136" s="16" t="s">
        <v>2860</v>
      </c>
      <c r="C136" s="8" t="s">
        <v>40</v>
      </c>
      <c r="D136" s="8" t="s">
        <v>41</v>
      </c>
      <c r="E136" s="8" t="str">
        <f t="shared" si="10"/>
        <v>DARK</v>
      </c>
      <c r="G136" s="8" t="s">
        <v>2862</v>
      </c>
      <c r="H136" s="8" t="str">
        <f>VLOOKUP(A136,[1]BBDD!$B$1:$J$3274,9,FALSE)</f>
        <v>M</v>
      </c>
      <c r="I136" s="8" t="s">
        <v>2862</v>
      </c>
      <c r="J136" s="8" t="s">
        <v>224</v>
      </c>
      <c r="L136" s="8" t="s">
        <v>189</v>
      </c>
      <c r="N136" s="8" t="s">
        <v>246</v>
      </c>
      <c r="O136" s="8" t="s">
        <v>246</v>
      </c>
      <c r="Q136" s="8" t="s">
        <v>32</v>
      </c>
      <c r="R136" s="8">
        <v>0</v>
      </c>
      <c r="S136" s="8">
        <v>0</v>
      </c>
      <c r="T136" s="8">
        <f t="shared" si="11"/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180</v>
      </c>
      <c r="AB136" s="9">
        <f t="shared" si="12"/>
        <v>0</v>
      </c>
      <c r="AC136" s="10" t="str">
        <f t="shared" si="13"/>
        <v>sin venta</v>
      </c>
      <c r="AD136" s="8" t="s">
        <v>33</v>
      </c>
      <c r="AE136" s="11">
        <v>94990</v>
      </c>
      <c r="AF136" s="11">
        <f t="shared" si="14"/>
        <v>0</v>
      </c>
      <c r="AG136" s="12" t="s">
        <v>73</v>
      </c>
      <c r="AH136" s="8" t="s">
        <v>35</v>
      </c>
    </row>
    <row r="137" spans="1:34">
      <c r="A137" s="8" t="s">
        <v>247</v>
      </c>
      <c r="B137" s="16" t="s">
        <v>2859</v>
      </c>
      <c r="C137" s="8" t="s">
        <v>248</v>
      </c>
      <c r="D137" s="8" t="s">
        <v>249</v>
      </c>
      <c r="E137" s="8" t="str">
        <f t="shared" si="10"/>
        <v>CARAMELO</v>
      </c>
      <c r="H137" s="8" t="str">
        <f>VLOOKUP(A137,[1]BBDD!$B$1:$J$3274,9,FALSE)</f>
        <v>H</v>
      </c>
      <c r="I137" s="8" t="s">
        <v>2863</v>
      </c>
      <c r="J137" s="8" t="s">
        <v>250</v>
      </c>
      <c r="L137" s="8" t="s">
        <v>61</v>
      </c>
      <c r="N137" s="8" t="s">
        <v>62</v>
      </c>
      <c r="O137" s="8" t="s">
        <v>62</v>
      </c>
      <c r="Q137" s="8" t="s">
        <v>32</v>
      </c>
      <c r="R137" s="8">
        <v>3</v>
      </c>
      <c r="S137" s="8">
        <v>8</v>
      </c>
      <c r="T137" s="8">
        <f t="shared" si="11"/>
        <v>11</v>
      </c>
      <c r="U137" s="8">
        <v>2</v>
      </c>
      <c r="V137" s="8">
        <v>1</v>
      </c>
      <c r="W137" s="8">
        <v>1</v>
      </c>
      <c r="X137" s="8">
        <v>0</v>
      </c>
      <c r="Y137" s="8">
        <v>2</v>
      </c>
      <c r="Z137" s="8">
        <v>0</v>
      </c>
      <c r="AA137" s="8">
        <v>180</v>
      </c>
      <c r="AB137" s="9">
        <f t="shared" si="12"/>
        <v>1</v>
      </c>
      <c r="AC137" s="10">
        <f t="shared" si="13"/>
        <v>11</v>
      </c>
      <c r="AD137" s="8" t="s">
        <v>33</v>
      </c>
      <c r="AE137" s="11">
        <v>62990</v>
      </c>
      <c r="AF137" s="11">
        <f t="shared" si="14"/>
        <v>692890</v>
      </c>
      <c r="AG137" s="12" t="s">
        <v>51</v>
      </c>
      <c r="AH137" s="8" t="s">
        <v>65</v>
      </c>
    </row>
    <row r="138" spans="1:34">
      <c r="A138" s="8" t="s">
        <v>251</v>
      </c>
      <c r="B138" s="16" t="s">
        <v>2859</v>
      </c>
      <c r="C138" s="8" t="s">
        <v>248</v>
      </c>
      <c r="D138" s="8" t="s">
        <v>249</v>
      </c>
      <c r="E138" s="8" t="str">
        <f t="shared" si="10"/>
        <v>CHOCOLATE</v>
      </c>
      <c r="H138" s="8" t="str">
        <f>VLOOKUP(A138,[1]BBDD!$B$1:$J$3274,9,FALSE)</f>
        <v>H</v>
      </c>
      <c r="I138" s="8" t="s">
        <v>2863</v>
      </c>
      <c r="J138" s="8" t="s">
        <v>250</v>
      </c>
      <c r="L138" s="8" t="s">
        <v>61</v>
      </c>
      <c r="N138" s="8" t="s">
        <v>252</v>
      </c>
      <c r="O138" s="8" t="s">
        <v>252</v>
      </c>
      <c r="Q138" s="8" t="s">
        <v>32</v>
      </c>
      <c r="R138" s="8">
        <v>1</v>
      </c>
      <c r="S138" s="8">
        <v>7</v>
      </c>
      <c r="T138" s="8">
        <f t="shared" si="11"/>
        <v>8</v>
      </c>
      <c r="U138" s="8">
        <v>2</v>
      </c>
      <c r="V138" s="8">
        <v>1</v>
      </c>
      <c r="W138" s="8">
        <v>0</v>
      </c>
      <c r="X138" s="8">
        <v>0</v>
      </c>
      <c r="Y138" s="8">
        <v>0</v>
      </c>
      <c r="Z138" s="8">
        <v>3</v>
      </c>
      <c r="AA138" s="8">
        <v>180</v>
      </c>
      <c r="AB138" s="9">
        <f t="shared" si="12"/>
        <v>1</v>
      </c>
      <c r="AC138" s="10">
        <f t="shared" si="13"/>
        <v>8</v>
      </c>
      <c r="AD138" s="8" t="s">
        <v>33</v>
      </c>
      <c r="AE138" s="11">
        <v>62990</v>
      </c>
      <c r="AF138" s="11">
        <f t="shared" si="14"/>
        <v>503920</v>
      </c>
      <c r="AG138" s="12" t="s">
        <v>51</v>
      </c>
      <c r="AH138" s="8" t="s">
        <v>35</v>
      </c>
    </row>
    <row r="139" spans="1:34">
      <c r="A139" s="8" t="s">
        <v>253</v>
      </c>
      <c r="B139" s="16" t="s">
        <v>2859</v>
      </c>
      <c r="C139" s="8" t="s">
        <v>248</v>
      </c>
      <c r="D139" s="8" t="s">
        <v>249</v>
      </c>
      <c r="E139" s="8" t="str">
        <f t="shared" si="10"/>
        <v>NEGRO</v>
      </c>
      <c r="H139" s="8" t="str">
        <f>VLOOKUP(A139,[1]BBDD!$B$1:$J$3274,9,FALSE)</f>
        <v>H</v>
      </c>
      <c r="I139" s="8" t="s">
        <v>2863</v>
      </c>
      <c r="J139" s="8" t="s">
        <v>250</v>
      </c>
      <c r="L139" s="8" t="s">
        <v>61</v>
      </c>
      <c r="N139" s="8" t="s">
        <v>44</v>
      </c>
      <c r="O139" s="8" t="s">
        <v>44</v>
      </c>
      <c r="Q139" s="8" t="s">
        <v>32</v>
      </c>
      <c r="R139" s="8">
        <v>5</v>
      </c>
      <c r="S139" s="8">
        <v>8</v>
      </c>
      <c r="T139" s="8">
        <f t="shared" si="11"/>
        <v>13</v>
      </c>
      <c r="U139" s="8">
        <v>2</v>
      </c>
      <c r="V139" s="8">
        <v>0</v>
      </c>
      <c r="W139" s="8">
        <v>4</v>
      </c>
      <c r="X139" s="8">
        <v>1</v>
      </c>
      <c r="Y139" s="8">
        <v>2</v>
      </c>
      <c r="Z139" s="8">
        <v>0</v>
      </c>
      <c r="AA139" s="8">
        <v>180</v>
      </c>
      <c r="AB139" s="9">
        <f t="shared" si="12"/>
        <v>1.5</v>
      </c>
      <c r="AC139" s="10">
        <f t="shared" si="13"/>
        <v>8.6666666666666661</v>
      </c>
      <c r="AD139" s="8" t="s">
        <v>33</v>
      </c>
      <c r="AE139" s="11">
        <v>62990</v>
      </c>
      <c r="AF139" s="11">
        <f t="shared" si="14"/>
        <v>818870</v>
      </c>
      <c r="AG139" s="12" t="s">
        <v>51</v>
      </c>
      <c r="AH139" s="8" t="s">
        <v>65</v>
      </c>
    </row>
    <row r="140" spans="1:34">
      <c r="A140" s="8" t="s">
        <v>254</v>
      </c>
      <c r="B140" s="16" t="s">
        <v>2859</v>
      </c>
      <c r="C140" s="8" t="s">
        <v>248</v>
      </c>
      <c r="D140" s="8" t="s">
        <v>249</v>
      </c>
      <c r="E140" s="8" t="str">
        <f t="shared" si="10"/>
        <v>TABACO</v>
      </c>
      <c r="H140" s="8" t="str">
        <f>VLOOKUP(A140,[1]BBDD!$B$1:$J$3274,9,FALSE)</f>
        <v>H</v>
      </c>
      <c r="I140" s="8" t="s">
        <v>2863</v>
      </c>
      <c r="J140" s="8" t="s">
        <v>250</v>
      </c>
      <c r="L140" s="8" t="s">
        <v>61</v>
      </c>
      <c r="N140" s="8" t="s">
        <v>67</v>
      </c>
      <c r="O140" s="8" t="s">
        <v>67</v>
      </c>
      <c r="Q140" s="8" t="s">
        <v>32</v>
      </c>
      <c r="R140" s="8">
        <v>0</v>
      </c>
      <c r="S140" s="8">
        <v>4</v>
      </c>
      <c r="T140" s="8">
        <f t="shared" si="11"/>
        <v>4</v>
      </c>
      <c r="U140" s="8">
        <v>0</v>
      </c>
      <c r="V140" s="8">
        <v>2</v>
      </c>
      <c r="W140" s="8">
        <v>1</v>
      </c>
      <c r="X140" s="8">
        <v>0</v>
      </c>
      <c r="Y140" s="8">
        <v>5</v>
      </c>
      <c r="Z140" s="8">
        <v>0</v>
      </c>
      <c r="AA140" s="8">
        <v>180</v>
      </c>
      <c r="AB140" s="9">
        <f t="shared" si="12"/>
        <v>1.3333333333333335</v>
      </c>
      <c r="AC140" s="10">
        <f t="shared" si="13"/>
        <v>2.9999999999999996</v>
      </c>
      <c r="AD140" s="8" t="s">
        <v>33</v>
      </c>
      <c r="AE140" s="11">
        <v>62990</v>
      </c>
      <c r="AF140" s="11">
        <f t="shared" si="14"/>
        <v>251960</v>
      </c>
      <c r="AG140" s="12" t="s">
        <v>34</v>
      </c>
      <c r="AH140" s="8" t="s">
        <v>35</v>
      </c>
    </row>
    <row r="141" spans="1:34">
      <c r="A141" s="8" t="s">
        <v>255</v>
      </c>
      <c r="B141" s="16" t="s">
        <v>2859</v>
      </c>
      <c r="C141" s="8" t="s">
        <v>248</v>
      </c>
      <c r="D141" s="8" t="s">
        <v>249</v>
      </c>
      <c r="E141" s="8" t="str">
        <f t="shared" si="10"/>
        <v>VERDE</v>
      </c>
      <c r="H141" s="8" t="str">
        <f>VLOOKUP(A141,[1]BBDD!$B$1:$J$3274,9,FALSE)</f>
        <v>H</v>
      </c>
      <c r="I141" s="8" t="s">
        <v>2863</v>
      </c>
      <c r="J141" s="8" t="s">
        <v>250</v>
      </c>
      <c r="L141" s="8" t="s">
        <v>119</v>
      </c>
      <c r="N141" s="8" t="s">
        <v>92</v>
      </c>
      <c r="O141" s="8" t="s">
        <v>92</v>
      </c>
      <c r="Q141" s="8" t="s">
        <v>32</v>
      </c>
      <c r="R141" s="8">
        <v>5</v>
      </c>
      <c r="S141" s="8">
        <v>9</v>
      </c>
      <c r="T141" s="8">
        <f t="shared" si="11"/>
        <v>14</v>
      </c>
      <c r="U141" s="8">
        <v>0</v>
      </c>
      <c r="V141" s="8">
        <v>2</v>
      </c>
      <c r="W141" s="8">
        <v>0</v>
      </c>
      <c r="X141" s="8">
        <v>2</v>
      </c>
      <c r="Y141" s="8">
        <v>2</v>
      </c>
      <c r="Z141" s="8">
        <v>0</v>
      </c>
      <c r="AA141" s="8">
        <v>180</v>
      </c>
      <c r="AB141" s="9">
        <f t="shared" si="12"/>
        <v>1</v>
      </c>
      <c r="AC141" s="10">
        <f t="shared" si="13"/>
        <v>14</v>
      </c>
      <c r="AD141" s="8" t="s">
        <v>33</v>
      </c>
      <c r="AE141" s="11">
        <v>62990</v>
      </c>
      <c r="AF141" s="11">
        <f t="shared" si="14"/>
        <v>881860</v>
      </c>
      <c r="AG141" s="12" t="s">
        <v>64</v>
      </c>
      <c r="AH141" s="8" t="s">
        <v>65</v>
      </c>
    </row>
    <row r="142" spans="1:34">
      <c r="A142" s="8" t="s">
        <v>256</v>
      </c>
      <c r="B142" s="16" t="s">
        <v>2859</v>
      </c>
      <c r="C142" s="8" t="s">
        <v>248</v>
      </c>
      <c r="D142" s="8" t="s">
        <v>249</v>
      </c>
      <c r="E142" s="8" t="str">
        <f t="shared" si="10"/>
        <v>AZUL</v>
      </c>
      <c r="H142" s="8" t="str">
        <f>VLOOKUP(A142,[1]BBDD!$B$1:$J$3274,9,FALSE)</f>
        <v>H</v>
      </c>
      <c r="I142" s="8" t="s">
        <v>2863</v>
      </c>
      <c r="J142" s="8" t="s">
        <v>250</v>
      </c>
      <c r="L142" s="8" t="s">
        <v>82</v>
      </c>
      <c r="N142" s="8" t="s">
        <v>83</v>
      </c>
      <c r="O142" s="8" t="s">
        <v>83</v>
      </c>
      <c r="Q142" s="8" t="s">
        <v>32</v>
      </c>
      <c r="R142" s="8">
        <v>3</v>
      </c>
      <c r="S142" s="8">
        <v>14</v>
      </c>
      <c r="T142" s="8">
        <f t="shared" si="11"/>
        <v>17</v>
      </c>
      <c r="U142" s="8">
        <v>1</v>
      </c>
      <c r="V142" s="8">
        <v>0</v>
      </c>
      <c r="W142" s="8">
        <v>1</v>
      </c>
      <c r="X142" s="8">
        <v>2</v>
      </c>
      <c r="Y142" s="8">
        <v>0</v>
      </c>
      <c r="Z142" s="8">
        <v>1</v>
      </c>
      <c r="AA142" s="8">
        <v>180</v>
      </c>
      <c r="AB142" s="9">
        <f t="shared" si="12"/>
        <v>0.83333333333333326</v>
      </c>
      <c r="AC142" s="10">
        <f t="shared" si="13"/>
        <v>20.400000000000002</v>
      </c>
      <c r="AD142" s="8" t="s">
        <v>33</v>
      </c>
      <c r="AE142" s="11">
        <v>62990</v>
      </c>
      <c r="AF142" s="11">
        <f t="shared" si="14"/>
        <v>1070830</v>
      </c>
      <c r="AG142" s="12" t="s">
        <v>64</v>
      </c>
      <c r="AH142" s="8" t="s">
        <v>65</v>
      </c>
    </row>
    <row r="143" spans="1:34">
      <c r="A143" s="8" t="s">
        <v>257</v>
      </c>
      <c r="B143" s="16" t="s">
        <v>2859</v>
      </c>
      <c r="C143" s="8" t="s">
        <v>248</v>
      </c>
      <c r="D143" s="8" t="s">
        <v>249</v>
      </c>
      <c r="E143" s="8" t="str">
        <f t="shared" si="10"/>
        <v>NEGRO</v>
      </c>
      <c r="H143" s="8" t="str">
        <f>VLOOKUP(A143,[1]BBDD!$B$1:$J$3274,9,FALSE)</f>
        <v>H</v>
      </c>
      <c r="I143" s="8" t="s">
        <v>2863</v>
      </c>
      <c r="J143" s="8" t="s">
        <v>250</v>
      </c>
      <c r="L143" s="8" t="s">
        <v>82</v>
      </c>
      <c r="N143" s="8" t="s">
        <v>44</v>
      </c>
      <c r="O143" s="8" t="s">
        <v>44</v>
      </c>
      <c r="Q143" s="8" t="s">
        <v>32</v>
      </c>
      <c r="R143" s="8">
        <v>16</v>
      </c>
      <c r="S143" s="8">
        <v>8</v>
      </c>
      <c r="T143" s="8">
        <f t="shared" si="11"/>
        <v>24</v>
      </c>
      <c r="U143" s="8">
        <v>0</v>
      </c>
      <c r="V143" s="8">
        <v>0</v>
      </c>
      <c r="W143" s="8">
        <v>2</v>
      </c>
      <c r="X143" s="8">
        <v>4</v>
      </c>
      <c r="Y143" s="8">
        <v>0</v>
      </c>
      <c r="Z143" s="8">
        <v>1</v>
      </c>
      <c r="AA143" s="8">
        <v>180</v>
      </c>
      <c r="AB143" s="9">
        <f t="shared" si="12"/>
        <v>1.1666666666666667</v>
      </c>
      <c r="AC143" s="10">
        <f t="shared" si="13"/>
        <v>20.571428571428569</v>
      </c>
      <c r="AD143" s="8" t="s">
        <v>33</v>
      </c>
      <c r="AE143" s="11">
        <v>62990</v>
      </c>
      <c r="AF143" s="11">
        <f t="shared" si="14"/>
        <v>1511760</v>
      </c>
      <c r="AG143" s="12" t="s">
        <v>64</v>
      </c>
      <c r="AH143" s="8" t="s">
        <v>74</v>
      </c>
    </row>
    <row r="144" spans="1:34">
      <c r="A144" s="8" t="s">
        <v>258</v>
      </c>
      <c r="B144" s="16" t="s">
        <v>2859</v>
      </c>
      <c r="C144" s="8" t="s">
        <v>248</v>
      </c>
      <c r="D144" s="8" t="s">
        <v>249</v>
      </c>
      <c r="E144" s="8" t="str">
        <f t="shared" si="10"/>
        <v>SUELA</v>
      </c>
      <c r="H144" s="8" t="str">
        <f>VLOOKUP(A144,[1]BBDD!$B$1:$J$3274,9,FALSE)</f>
        <v>H</v>
      </c>
      <c r="I144" s="8" t="s">
        <v>2863</v>
      </c>
      <c r="J144" s="8" t="s">
        <v>250</v>
      </c>
      <c r="L144" s="8" t="s">
        <v>82</v>
      </c>
      <c r="N144" s="8" t="s">
        <v>90</v>
      </c>
      <c r="O144" s="8" t="s">
        <v>90</v>
      </c>
      <c r="Q144" s="8" t="s">
        <v>32</v>
      </c>
      <c r="R144" s="8">
        <v>9</v>
      </c>
      <c r="S144" s="8">
        <v>11</v>
      </c>
      <c r="T144" s="8">
        <f t="shared" si="11"/>
        <v>20</v>
      </c>
      <c r="U144" s="8">
        <v>2</v>
      </c>
      <c r="V144" s="8">
        <v>0</v>
      </c>
      <c r="W144" s="8">
        <v>1</v>
      </c>
      <c r="X144" s="8">
        <v>3</v>
      </c>
      <c r="Y144" s="8">
        <v>0</v>
      </c>
      <c r="Z144" s="8">
        <v>0</v>
      </c>
      <c r="AA144" s="8">
        <v>180</v>
      </c>
      <c r="AB144" s="9">
        <f t="shared" si="12"/>
        <v>1</v>
      </c>
      <c r="AC144" s="10">
        <f t="shared" si="13"/>
        <v>20</v>
      </c>
      <c r="AD144" s="8" t="s">
        <v>33</v>
      </c>
      <c r="AE144" s="11">
        <v>62990</v>
      </c>
      <c r="AF144" s="11">
        <f t="shared" si="14"/>
        <v>1259800</v>
      </c>
      <c r="AG144" s="12" t="s">
        <v>64</v>
      </c>
      <c r="AH144" s="8" t="s">
        <v>65</v>
      </c>
    </row>
    <row r="145" spans="1:34">
      <c r="A145" s="8" t="s">
        <v>259</v>
      </c>
      <c r="B145" s="16" t="s">
        <v>2859</v>
      </c>
      <c r="C145" s="8" t="s">
        <v>248</v>
      </c>
      <c r="D145" s="8" t="s">
        <v>249</v>
      </c>
      <c r="E145" s="8" t="str">
        <f t="shared" si="10"/>
        <v>VERDE</v>
      </c>
      <c r="H145" s="8" t="str">
        <f>VLOOKUP(A145,[1]BBDD!$B$1:$J$3274,9,FALSE)</f>
        <v>H</v>
      </c>
      <c r="I145" s="8" t="s">
        <v>2863</v>
      </c>
      <c r="J145" s="8" t="s">
        <v>250</v>
      </c>
      <c r="L145" s="8" t="s">
        <v>82</v>
      </c>
      <c r="N145" s="8" t="s">
        <v>92</v>
      </c>
      <c r="O145" s="8" t="s">
        <v>92</v>
      </c>
      <c r="Q145" s="8" t="s">
        <v>32</v>
      </c>
      <c r="R145" s="8">
        <v>0</v>
      </c>
      <c r="S145" s="8">
        <v>0</v>
      </c>
      <c r="T145" s="8">
        <f t="shared" si="11"/>
        <v>0</v>
      </c>
      <c r="U145" s="8">
        <v>1</v>
      </c>
      <c r="V145" s="8">
        <v>0</v>
      </c>
      <c r="W145" s="8">
        <v>2</v>
      </c>
      <c r="X145" s="8">
        <v>0</v>
      </c>
      <c r="Y145" s="8">
        <v>2</v>
      </c>
      <c r="Z145" s="8">
        <v>1</v>
      </c>
      <c r="AA145" s="8">
        <v>180</v>
      </c>
      <c r="AB145" s="9">
        <f t="shared" si="12"/>
        <v>1</v>
      </c>
      <c r="AC145" s="10">
        <f t="shared" si="13"/>
        <v>0</v>
      </c>
      <c r="AD145" s="8" t="s">
        <v>33</v>
      </c>
      <c r="AE145" s="11">
        <v>62990</v>
      </c>
      <c r="AF145" s="11">
        <f t="shared" si="14"/>
        <v>0</v>
      </c>
      <c r="AG145" s="12" t="s">
        <v>34</v>
      </c>
      <c r="AH145" s="8" t="s">
        <v>35</v>
      </c>
    </row>
    <row r="146" spans="1:34">
      <c r="A146" s="8" t="s">
        <v>260</v>
      </c>
      <c r="B146" s="16" t="s">
        <v>2859</v>
      </c>
      <c r="C146" s="8" t="s">
        <v>248</v>
      </c>
      <c r="D146" s="8" t="s">
        <v>249</v>
      </c>
      <c r="E146" s="8" t="str">
        <f t="shared" si="10"/>
        <v>CARAMELO</v>
      </c>
      <c r="H146" s="8" t="str">
        <f>VLOOKUP(A146,[1]BBDD!$B$1:$J$3274,9,FALSE)</f>
        <v>H</v>
      </c>
      <c r="I146" s="8" t="s">
        <v>2863</v>
      </c>
      <c r="J146" s="8" t="s">
        <v>261</v>
      </c>
      <c r="L146" s="8" t="s">
        <v>61</v>
      </c>
      <c r="N146" s="8" t="s">
        <v>62</v>
      </c>
      <c r="O146" s="8" t="s">
        <v>62</v>
      </c>
      <c r="Q146" s="8" t="s">
        <v>32</v>
      </c>
      <c r="R146" s="8">
        <v>5</v>
      </c>
      <c r="S146" s="8">
        <v>6</v>
      </c>
      <c r="T146" s="8">
        <f t="shared" si="11"/>
        <v>11</v>
      </c>
      <c r="U146" s="8">
        <v>1</v>
      </c>
      <c r="V146" s="8">
        <v>1</v>
      </c>
      <c r="W146" s="8">
        <v>2</v>
      </c>
      <c r="X146" s="8">
        <v>1</v>
      </c>
      <c r="Y146" s="8">
        <v>1</v>
      </c>
      <c r="Z146" s="8">
        <v>2</v>
      </c>
      <c r="AA146" s="8">
        <v>180</v>
      </c>
      <c r="AB146" s="9">
        <f t="shared" si="12"/>
        <v>1.3333333333333335</v>
      </c>
      <c r="AC146" s="10">
        <f t="shared" si="13"/>
        <v>8.2499999999999982</v>
      </c>
      <c r="AD146" s="8" t="s">
        <v>33</v>
      </c>
      <c r="AE146" s="11">
        <v>61990</v>
      </c>
      <c r="AF146" s="11">
        <f t="shared" si="14"/>
        <v>681890</v>
      </c>
      <c r="AG146" s="12" t="s">
        <v>51</v>
      </c>
      <c r="AH146" s="8" t="s">
        <v>65</v>
      </c>
    </row>
    <row r="147" spans="1:34">
      <c r="A147" s="8" t="s">
        <v>262</v>
      </c>
      <c r="B147" s="16" t="s">
        <v>2859</v>
      </c>
      <c r="C147" s="8" t="s">
        <v>248</v>
      </c>
      <c r="D147" s="8" t="s">
        <v>249</v>
      </c>
      <c r="E147" s="8" t="str">
        <f t="shared" si="10"/>
        <v>CHOCOLATE</v>
      </c>
      <c r="H147" s="8" t="str">
        <f>VLOOKUP(A147,[1]BBDD!$B$1:$J$3274,9,FALSE)</f>
        <v>H</v>
      </c>
      <c r="I147" s="8" t="s">
        <v>2863</v>
      </c>
      <c r="J147" s="8" t="s">
        <v>261</v>
      </c>
      <c r="L147" s="8" t="s">
        <v>61</v>
      </c>
      <c r="N147" s="8" t="s">
        <v>252</v>
      </c>
      <c r="O147" s="8" t="s">
        <v>252</v>
      </c>
      <c r="Q147" s="8" t="s">
        <v>32</v>
      </c>
      <c r="R147" s="8">
        <v>0</v>
      </c>
      <c r="S147" s="8">
        <v>13</v>
      </c>
      <c r="T147" s="8">
        <f t="shared" si="11"/>
        <v>13</v>
      </c>
      <c r="U147" s="8">
        <v>4</v>
      </c>
      <c r="V147" s="8">
        <v>5</v>
      </c>
      <c r="W147" s="8">
        <v>7</v>
      </c>
      <c r="X147" s="8">
        <v>4</v>
      </c>
      <c r="Y147" s="8">
        <v>6</v>
      </c>
      <c r="Z147" s="8">
        <v>8</v>
      </c>
      <c r="AA147" s="8">
        <v>180</v>
      </c>
      <c r="AB147" s="9">
        <f t="shared" si="12"/>
        <v>5.6666666666666661</v>
      </c>
      <c r="AC147" s="10">
        <f t="shared" si="13"/>
        <v>2.2941176470588238</v>
      </c>
      <c r="AD147" s="8" t="s">
        <v>33</v>
      </c>
      <c r="AE147" s="11">
        <v>61990</v>
      </c>
      <c r="AF147" s="11">
        <f t="shared" si="14"/>
        <v>805870</v>
      </c>
      <c r="AG147" s="12" t="s">
        <v>34</v>
      </c>
      <c r="AH147" s="8" t="s">
        <v>65</v>
      </c>
    </row>
    <row r="148" spans="1:34">
      <c r="A148" s="8" t="s">
        <v>263</v>
      </c>
      <c r="B148" s="16" t="s">
        <v>2859</v>
      </c>
      <c r="C148" s="8" t="s">
        <v>248</v>
      </c>
      <c r="D148" s="8" t="s">
        <v>249</v>
      </c>
      <c r="E148" s="8" t="str">
        <f t="shared" si="10"/>
        <v>NEGRO</v>
      </c>
      <c r="H148" s="8" t="str">
        <f>VLOOKUP(A148,[1]BBDD!$B$1:$J$3274,9,FALSE)</f>
        <v>H</v>
      </c>
      <c r="I148" s="8" t="s">
        <v>2863</v>
      </c>
      <c r="J148" s="8" t="s">
        <v>261</v>
      </c>
      <c r="L148" s="8" t="s">
        <v>61</v>
      </c>
      <c r="N148" s="8" t="s">
        <v>44</v>
      </c>
      <c r="O148" s="8" t="s">
        <v>44</v>
      </c>
      <c r="Q148" s="8" t="s">
        <v>32</v>
      </c>
      <c r="R148" s="8">
        <v>5</v>
      </c>
      <c r="S148" s="8">
        <v>15</v>
      </c>
      <c r="T148" s="8">
        <f t="shared" si="11"/>
        <v>20</v>
      </c>
      <c r="U148" s="8">
        <v>1</v>
      </c>
      <c r="V148" s="8">
        <v>0</v>
      </c>
      <c r="W148" s="8">
        <v>2</v>
      </c>
      <c r="X148" s="8">
        <v>4</v>
      </c>
      <c r="Y148" s="8">
        <v>4</v>
      </c>
      <c r="Z148" s="8">
        <v>1</v>
      </c>
      <c r="AA148" s="8">
        <v>180</v>
      </c>
      <c r="AB148" s="9">
        <f t="shared" si="12"/>
        <v>2</v>
      </c>
      <c r="AC148" s="10">
        <f t="shared" si="13"/>
        <v>10</v>
      </c>
      <c r="AD148" s="8" t="s">
        <v>33</v>
      </c>
      <c r="AE148" s="11">
        <v>61990</v>
      </c>
      <c r="AF148" s="11">
        <f t="shared" si="14"/>
        <v>1239800</v>
      </c>
      <c r="AG148" s="12" t="s">
        <v>51</v>
      </c>
      <c r="AH148" s="8" t="s">
        <v>65</v>
      </c>
    </row>
    <row r="149" spans="1:34">
      <c r="A149" s="8" t="s">
        <v>264</v>
      </c>
      <c r="B149" s="16" t="s">
        <v>2859</v>
      </c>
      <c r="C149" s="8" t="s">
        <v>248</v>
      </c>
      <c r="D149" s="8" t="s">
        <v>249</v>
      </c>
      <c r="E149" s="8" t="str">
        <f t="shared" si="10"/>
        <v>TABACO</v>
      </c>
      <c r="H149" s="8" t="str">
        <f>VLOOKUP(A149,[1]BBDD!$B$1:$J$3274,9,FALSE)</f>
        <v>H</v>
      </c>
      <c r="I149" s="8" t="s">
        <v>2863</v>
      </c>
      <c r="J149" s="8" t="s">
        <v>261</v>
      </c>
      <c r="L149" s="8" t="s">
        <v>61</v>
      </c>
      <c r="N149" s="8" t="s">
        <v>67</v>
      </c>
      <c r="O149" s="8" t="s">
        <v>67</v>
      </c>
      <c r="Q149" s="8" t="s">
        <v>32</v>
      </c>
      <c r="R149" s="8">
        <v>4</v>
      </c>
      <c r="S149" s="8">
        <v>9</v>
      </c>
      <c r="T149" s="8">
        <f t="shared" si="11"/>
        <v>13</v>
      </c>
      <c r="U149" s="8">
        <v>1</v>
      </c>
      <c r="V149" s="8">
        <v>4</v>
      </c>
      <c r="W149" s="8">
        <v>2</v>
      </c>
      <c r="X149" s="8">
        <v>3</v>
      </c>
      <c r="Y149" s="8">
        <v>1</v>
      </c>
      <c r="Z149" s="8">
        <v>2</v>
      </c>
      <c r="AA149" s="8">
        <v>180</v>
      </c>
      <c r="AB149" s="9">
        <f t="shared" si="12"/>
        <v>2.1666666666666665</v>
      </c>
      <c r="AC149" s="10">
        <f t="shared" si="13"/>
        <v>6</v>
      </c>
      <c r="AD149" s="8" t="s">
        <v>33</v>
      </c>
      <c r="AE149" s="11">
        <v>61990</v>
      </c>
      <c r="AF149" s="11">
        <f t="shared" si="14"/>
        <v>805870</v>
      </c>
      <c r="AG149" s="12" t="s">
        <v>34</v>
      </c>
      <c r="AH149" s="8" t="s">
        <v>65</v>
      </c>
    </row>
    <row r="150" spans="1:34">
      <c r="A150" s="8" t="s">
        <v>265</v>
      </c>
      <c r="B150" s="16" t="s">
        <v>2859</v>
      </c>
      <c r="C150" s="8" t="s">
        <v>248</v>
      </c>
      <c r="D150" s="8" t="s">
        <v>249</v>
      </c>
      <c r="E150" s="8" t="str">
        <f t="shared" si="10"/>
        <v>AZUL</v>
      </c>
      <c r="H150" s="8" t="str">
        <f>VLOOKUP(A150,[1]BBDD!$B$1:$J$3274,9,FALSE)</f>
        <v>H</v>
      </c>
      <c r="I150" s="8" t="s">
        <v>2863</v>
      </c>
      <c r="J150" s="8" t="s">
        <v>261</v>
      </c>
      <c r="L150" s="8" t="s">
        <v>82</v>
      </c>
      <c r="N150" s="8" t="s">
        <v>83</v>
      </c>
      <c r="O150" s="8" t="s">
        <v>83</v>
      </c>
      <c r="Q150" s="8" t="s">
        <v>45</v>
      </c>
      <c r="R150" s="8">
        <v>0</v>
      </c>
      <c r="S150" s="8">
        <v>1</v>
      </c>
      <c r="T150" s="8">
        <f t="shared" si="11"/>
        <v>1</v>
      </c>
      <c r="U150" s="8">
        <v>0</v>
      </c>
      <c r="V150" s="8">
        <v>1</v>
      </c>
      <c r="W150" s="8">
        <v>3</v>
      </c>
      <c r="X150" s="8">
        <v>4</v>
      </c>
      <c r="Y150" s="8">
        <v>1</v>
      </c>
      <c r="Z150" s="8">
        <v>0</v>
      </c>
      <c r="AA150" s="8">
        <v>180</v>
      </c>
      <c r="AB150" s="9">
        <f t="shared" si="12"/>
        <v>1.5</v>
      </c>
      <c r="AC150" s="10">
        <f t="shared" si="13"/>
        <v>0.66666666666666663</v>
      </c>
      <c r="AD150" s="8" t="s">
        <v>109</v>
      </c>
      <c r="AE150" s="11">
        <v>61990</v>
      </c>
      <c r="AF150" s="11">
        <f t="shared" si="14"/>
        <v>61990</v>
      </c>
      <c r="AG150" s="12" t="s">
        <v>34</v>
      </c>
      <c r="AH150" s="8" t="s">
        <v>35</v>
      </c>
    </row>
    <row r="151" spans="1:34">
      <c r="A151" s="8" t="s">
        <v>266</v>
      </c>
      <c r="B151" s="16" t="s">
        <v>2859</v>
      </c>
      <c r="C151" s="8" t="s">
        <v>248</v>
      </c>
      <c r="D151" s="8" t="s">
        <v>249</v>
      </c>
      <c r="E151" s="8" t="str">
        <f t="shared" si="10"/>
        <v>VERDE</v>
      </c>
      <c r="H151" s="8" t="str">
        <f>VLOOKUP(A151,[1]BBDD!$B$1:$J$3274,9,FALSE)</f>
        <v>H</v>
      </c>
      <c r="I151" s="8" t="s">
        <v>2863</v>
      </c>
      <c r="J151" s="8" t="s">
        <v>261</v>
      </c>
      <c r="L151" s="8" t="s">
        <v>82</v>
      </c>
      <c r="N151" s="8" t="s">
        <v>92</v>
      </c>
      <c r="O151" s="8" t="s">
        <v>92</v>
      </c>
      <c r="Q151" s="8" t="s">
        <v>45</v>
      </c>
      <c r="R151" s="8">
        <v>0</v>
      </c>
      <c r="S151" s="8">
        <v>1</v>
      </c>
      <c r="T151" s="8">
        <f t="shared" si="11"/>
        <v>1</v>
      </c>
      <c r="U151" s="8">
        <v>4</v>
      </c>
      <c r="V151" s="8">
        <v>3</v>
      </c>
      <c r="W151" s="8">
        <v>0</v>
      </c>
      <c r="X151" s="8">
        <v>1</v>
      </c>
      <c r="Y151" s="8">
        <v>0</v>
      </c>
      <c r="Z151" s="8">
        <v>1</v>
      </c>
      <c r="AA151" s="8">
        <v>180</v>
      </c>
      <c r="AB151" s="9">
        <f t="shared" si="12"/>
        <v>1.5</v>
      </c>
      <c r="AC151" s="10">
        <f t="shared" si="13"/>
        <v>0.66666666666666663</v>
      </c>
      <c r="AD151" s="8" t="s">
        <v>109</v>
      </c>
      <c r="AE151" s="11">
        <v>61990</v>
      </c>
      <c r="AF151" s="11">
        <f t="shared" si="14"/>
        <v>61990</v>
      </c>
      <c r="AG151" s="12" t="s">
        <v>34</v>
      </c>
      <c r="AH151" s="8" t="s">
        <v>35</v>
      </c>
    </row>
    <row r="152" spans="1:34">
      <c r="A152" s="8" t="s">
        <v>267</v>
      </c>
      <c r="B152" s="16" t="s">
        <v>2859</v>
      </c>
      <c r="C152" s="8" t="s">
        <v>248</v>
      </c>
      <c r="D152" s="8" t="s">
        <v>249</v>
      </c>
      <c r="E152" s="8" t="str">
        <f t="shared" si="10"/>
        <v>CARAMELO</v>
      </c>
      <c r="H152" s="8" t="str">
        <f>VLOOKUP(A152,[1]BBDD!$B$1:$J$3274,9,FALSE)</f>
        <v>M</v>
      </c>
      <c r="I152" s="8" t="s">
        <v>2862</v>
      </c>
      <c r="J152" s="8" t="s">
        <v>268</v>
      </c>
      <c r="L152" s="8" t="s">
        <v>61</v>
      </c>
      <c r="N152" s="8" t="s">
        <v>62</v>
      </c>
      <c r="O152" s="8" t="s">
        <v>62</v>
      </c>
      <c r="Q152" s="8" t="s">
        <v>32</v>
      </c>
      <c r="R152" s="8">
        <v>3</v>
      </c>
      <c r="S152" s="8">
        <v>10</v>
      </c>
      <c r="T152" s="8">
        <f t="shared" si="11"/>
        <v>13</v>
      </c>
      <c r="U152" s="8">
        <v>3</v>
      </c>
      <c r="V152" s="8">
        <v>0</v>
      </c>
      <c r="W152" s="8">
        <v>1</v>
      </c>
      <c r="X152" s="8">
        <v>0</v>
      </c>
      <c r="Y152" s="8">
        <v>0</v>
      </c>
      <c r="Z152" s="8">
        <v>1</v>
      </c>
      <c r="AA152" s="8">
        <v>180</v>
      </c>
      <c r="AB152" s="9">
        <f t="shared" si="12"/>
        <v>0.83333333333333326</v>
      </c>
      <c r="AC152" s="10">
        <f t="shared" si="13"/>
        <v>15.600000000000001</v>
      </c>
      <c r="AD152" s="8" t="s">
        <v>33</v>
      </c>
      <c r="AE152" s="11">
        <v>95990</v>
      </c>
      <c r="AF152" s="11">
        <f t="shared" si="14"/>
        <v>1247870</v>
      </c>
      <c r="AG152" s="12" t="s">
        <v>64</v>
      </c>
      <c r="AH152" s="8" t="s">
        <v>65</v>
      </c>
    </row>
    <row r="153" spans="1:34">
      <c r="A153" s="8" t="s">
        <v>269</v>
      </c>
      <c r="B153" s="16" t="s">
        <v>2859</v>
      </c>
      <c r="C153" s="8" t="s">
        <v>248</v>
      </c>
      <c r="D153" s="8" t="s">
        <v>249</v>
      </c>
      <c r="E153" s="8" t="str">
        <f t="shared" si="10"/>
        <v>MALBEC</v>
      </c>
      <c r="H153" s="8" t="str">
        <f>VLOOKUP(A153,[1]BBDD!$B$1:$J$3274,9,FALSE)</f>
        <v>M</v>
      </c>
      <c r="I153" s="8" t="s">
        <v>2862</v>
      </c>
      <c r="J153" s="8" t="s">
        <v>268</v>
      </c>
      <c r="L153" s="8" t="s">
        <v>61</v>
      </c>
      <c r="N153" s="8" t="s">
        <v>69</v>
      </c>
      <c r="O153" s="8" t="s">
        <v>69</v>
      </c>
      <c r="Q153" s="8" t="s">
        <v>32</v>
      </c>
      <c r="R153" s="8">
        <v>1</v>
      </c>
      <c r="S153" s="8">
        <v>3</v>
      </c>
      <c r="T153" s="8">
        <f t="shared" si="11"/>
        <v>4</v>
      </c>
      <c r="U153" s="8">
        <v>1</v>
      </c>
      <c r="V153" s="8">
        <v>0</v>
      </c>
      <c r="W153" s="8">
        <v>0</v>
      </c>
      <c r="X153" s="8">
        <v>0</v>
      </c>
      <c r="Y153" s="8">
        <v>5</v>
      </c>
      <c r="Z153" s="8">
        <v>0</v>
      </c>
      <c r="AA153" s="8">
        <v>180</v>
      </c>
      <c r="AB153" s="9">
        <f t="shared" si="12"/>
        <v>1</v>
      </c>
      <c r="AC153" s="10">
        <f t="shared" si="13"/>
        <v>4</v>
      </c>
      <c r="AD153" s="8" t="s">
        <v>33</v>
      </c>
      <c r="AE153" s="11">
        <v>95990</v>
      </c>
      <c r="AF153" s="11">
        <f t="shared" si="14"/>
        <v>383960</v>
      </c>
      <c r="AG153" s="12" t="s">
        <v>34</v>
      </c>
      <c r="AH153" s="8" t="s">
        <v>35</v>
      </c>
    </row>
    <row r="154" spans="1:34">
      <c r="A154" s="8" t="s">
        <v>270</v>
      </c>
      <c r="B154" s="16" t="s">
        <v>2859</v>
      </c>
      <c r="C154" s="8" t="s">
        <v>248</v>
      </c>
      <c r="D154" s="8" t="s">
        <v>249</v>
      </c>
      <c r="E154" s="8" t="str">
        <f t="shared" si="10"/>
        <v>AZUL</v>
      </c>
      <c r="H154" s="8" t="str">
        <f>VLOOKUP(A154,[1]BBDD!$B$1:$J$3274,9,FALSE)</f>
        <v>M</v>
      </c>
      <c r="I154" s="8" t="s">
        <v>2862</v>
      </c>
      <c r="J154" s="8" t="s">
        <v>268</v>
      </c>
      <c r="L154" s="8" t="s">
        <v>61</v>
      </c>
      <c r="N154" s="8" t="s">
        <v>83</v>
      </c>
      <c r="O154" s="8" t="s">
        <v>83</v>
      </c>
      <c r="Q154" s="8" t="s">
        <v>45</v>
      </c>
      <c r="R154" s="8">
        <v>0</v>
      </c>
      <c r="S154" s="8">
        <v>1</v>
      </c>
      <c r="T154" s="8">
        <f t="shared" si="11"/>
        <v>1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180</v>
      </c>
      <c r="AB154" s="9">
        <f t="shared" si="12"/>
        <v>0</v>
      </c>
      <c r="AC154" s="10" t="str">
        <f t="shared" si="13"/>
        <v>sin venta</v>
      </c>
      <c r="AD154" s="8" t="s">
        <v>109</v>
      </c>
      <c r="AE154" s="11">
        <v>95990</v>
      </c>
      <c r="AF154" s="11">
        <f t="shared" si="14"/>
        <v>95990</v>
      </c>
      <c r="AG154" s="12" t="s">
        <v>73</v>
      </c>
      <c r="AH154" s="8" t="s">
        <v>35</v>
      </c>
    </row>
    <row r="155" spans="1:34">
      <c r="A155" s="8" t="s">
        <v>271</v>
      </c>
      <c r="B155" s="16" t="s">
        <v>2859</v>
      </c>
      <c r="C155" s="8" t="s">
        <v>248</v>
      </c>
      <c r="D155" s="8" t="s">
        <v>249</v>
      </c>
      <c r="E155" s="8" t="str">
        <f t="shared" si="10"/>
        <v>NEGRO</v>
      </c>
      <c r="H155" s="8" t="str">
        <f>VLOOKUP(A155,[1]BBDD!$B$1:$J$3274,9,FALSE)</f>
        <v>M</v>
      </c>
      <c r="I155" s="8" t="s">
        <v>2862</v>
      </c>
      <c r="J155" s="8" t="s">
        <v>268</v>
      </c>
      <c r="L155" s="8" t="s">
        <v>61</v>
      </c>
      <c r="N155" s="8" t="s">
        <v>44</v>
      </c>
      <c r="O155" s="8" t="s">
        <v>44</v>
      </c>
      <c r="Q155" s="8" t="s">
        <v>45</v>
      </c>
      <c r="R155" s="8">
        <v>5</v>
      </c>
      <c r="S155" s="8">
        <v>8</v>
      </c>
      <c r="T155" s="8">
        <f t="shared" si="11"/>
        <v>13</v>
      </c>
      <c r="U155" s="8">
        <v>0</v>
      </c>
      <c r="V155" s="8">
        <v>1</v>
      </c>
      <c r="W155" s="8">
        <v>1</v>
      </c>
      <c r="X155" s="8">
        <v>0</v>
      </c>
      <c r="Y155" s="8">
        <v>0</v>
      </c>
      <c r="Z155" s="8">
        <v>1</v>
      </c>
      <c r="AA155" s="8">
        <v>180</v>
      </c>
      <c r="AB155" s="9">
        <f t="shared" si="12"/>
        <v>0.5</v>
      </c>
      <c r="AC155" s="10">
        <f t="shared" si="13"/>
        <v>26</v>
      </c>
      <c r="AD155" s="8" t="s">
        <v>109</v>
      </c>
      <c r="AE155" s="11">
        <v>95990</v>
      </c>
      <c r="AF155" s="11">
        <f t="shared" si="14"/>
        <v>1247870</v>
      </c>
      <c r="AG155" s="12" t="s">
        <v>73</v>
      </c>
      <c r="AH155" s="8" t="s">
        <v>65</v>
      </c>
    </row>
    <row r="156" spans="1:34">
      <c r="A156" s="8" t="s">
        <v>272</v>
      </c>
      <c r="B156" s="16" t="s">
        <v>2859</v>
      </c>
      <c r="C156" s="8" t="s">
        <v>248</v>
      </c>
      <c r="D156" s="8" t="s">
        <v>249</v>
      </c>
      <c r="E156" s="8" t="str">
        <f t="shared" si="10"/>
        <v>ROJO</v>
      </c>
      <c r="H156" s="8" t="str">
        <f>VLOOKUP(A156,[1]BBDD!$B$1:$J$3274,9,FALSE)</f>
        <v>M</v>
      </c>
      <c r="I156" s="8" t="s">
        <v>2862</v>
      </c>
      <c r="J156" s="8" t="s">
        <v>268</v>
      </c>
      <c r="L156" s="8" t="s">
        <v>61</v>
      </c>
      <c r="N156" s="8" t="s">
        <v>88</v>
      </c>
      <c r="O156" s="8" t="s">
        <v>88</v>
      </c>
      <c r="Q156" s="8" t="s">
        <v>45</v>
      </c>
      <c r="R156" s="8">
        <v>3</v>
      </c>
      <c r="S156" s="8">
        <v>7</v>
      </c>
      <c r="T156" s="8">
        <f t="shared" si="11"/>
        <v>10</v>
      </c>
      <c r="U156" s="8">
        <v>0</v>
      </c>
      <c r="V156" s="8">
        <v>0</v>
      </c>
      <c r="W156" s="8">
        <v>1</v>
      </c>
      <c r="X156" s="8">
        <v>1</v>
      </c>
      <c r="Y156" s="8">
        <v>0</v>
      </c>
      <c r="Z156" s="8">
        <v>0</v>
      </c>
      <c r="AA156" s="8">
        <v>180</v>
      </c>
      <c r="AB156" s="9">
        <f t="shared" si="12"/>
        <v>0.33333333333333337</v>
      </c>
      <c r="AC156" s="10">
        <f t="shared" si="13"/>
        <v>29.999999999999996</v>
      </c>
      <c r="AD156" s="8" t="s">
        <v>109</v>
      </c>
      <c r="AE156" s="11">
        <v>95990</v>
      </c>
      <c r="AF156" s="11">
        <f t="shared" si="14"/>
        <v>959900</v>
      </c>
      <c r="AG156" s="12" t="s">
        <v>73</v>
      </c>
      <c r="AH156" s="8" t="s">
        <v>35</v>
      </c>
    </row>
    <row r="157" spans="1:34">
      <c r="A157" s="8" t="s">
        <v>273</v>
      </c>
      <c r="B157" s="16" t="s">
        <v>2859</v>
      </c>
      <c r="C157" s="8" t="s">
        <v>248</v>
      </c>
      <c r="D157" s="8" t="s">
        <v>249</v>
      </c>
      <c r="E157" s="8" t="str">
        <f t="shared" si="10"/>
        <v>NEGRO</v>
      </c>
      <c r="H157" s="8" t="str">
        <f>VLOOKUP(A157,[1]BBDD!$B$1:$J$3274,9,FALSE)</f>
        <v>M</v>
      </c>
      <c r="I157" s="8" t="s">
        <v>2862</v>
      </c>
      <c r="J157" s="8" t="s">
        <v>268</v>
      </c>
      <c r="L157" s="8" t="s">
        <v>238</v>
      </c>
      <c r="N157" s="8" t="s">
        <v>44</v>
      </c>
      <c r="O157" s="8" t="s">
        <v>44</v>
      </c>
      <c r="Q157" s="8" t="s">
        <v>32</v>
      </c>
      <c r="R157" s="8">
        <v>4</v>
      </c>
      <c r="S157" s="8">
        <v>8</v>
      </c>
      <c r="T157" s="8">
        <f t="shared" si="11"/>
        <v>12</v>
      </c>
      <c r="U157" s="8">
        <v>0</v>
      </c>
      <c r="V157" s="8">
        <v>1</v>
      </c>
      <c r="W157" s="8">
        <v>0</v>
      </c>
      <c r="X157" s="8">
        <v>1</v>
      </c>
      <c r="Y157" s="8">
        <v>0</v>
      </c>
      <c r="Z157" s="8">
        <v>0</v>
      </c>
      <c r="AA157" s="8">
        <v>180</v>
      </c>
      <c r="AB157" s="9">
        <f t="shared" si="12"/>
        <v>0.33333333333333337</v>
      </c>
      <c r="AC157" s="10">
        <f t="shared" si="13"/>
        <v>35.999999999999993</v>
      </c>
      <c r="AD157" s="8" t="s">
        <v>33</v>
      </c>
      <c r="AE157" s="11">
        <v>96990</v>
      </c>
      <c r="AF157" s="11">
        <f t="shared" si="14"/>
        <v>1163880</v>
      </c>
      <c r="AG157" s="12" t="s">
        <v>73</v>
      </c>
      <c r="AH157" s="8" t="s">
        <v>65</v>
      </c>
    </row>
    <row r="158" spans="1:34">
      <c r="A158" s="8" t="s">
        <v>274</v>
      </c>
      <c r="B158" s="16" t="s">
        <v>2859</v>
      </c>
      <c r="C158" s="8" t="s">
        <v>248</v>
      </c>
      <c r="D158" s="8" t="s">
        <v>249</v>
      </c>
      <c r="E158" s="8" t="str">
        <f t="shared" si="10"/>
        <v>AZUL</v>
      </c>
      <c r="H158" s="8" t="str">
        <f>VLOOKUP(A158,[1]BBDD!$B$1:$J$3274,9,FALSE)</f>
        <v>M</v>
      </c>
      <c r="I158" s="8" t="s">
        <v>2862</v>
      </c>
      <c r="J158" s="8" t="s">
        <v>268</v>
      </c>
      <c r="L158" s="8" t="s">
        <v>82</v>
      </c>
      <c r="N158" s="8" t="s">
        <v>83</v>
      </c>
      <c r="O158" s="8" t="s">
        <v>83</v>
      </c>
      <c r="Q158" s="8" t="s">
        <v>32</v>
      </c>
      <c r="R158" s="8">
        <v>0</v>
      </c>
      <c r="S158" s="8">
        <v>5</v>
      </c>
      <c r="T158" s="8">
        <f t="shared" si="11"/>
        <v>5</v>
      </c>
      <c r="U158" s="8">
        <v>1</v>
      </c>
      <c r="V158" s="8">
        <v>0</v>
      </c>
      <c r="W158" s="8">
        <v>0</v>
      </c>
      <c r="X158" s="8">
        <v>1</v>
      </c>
      <c r="Y158" s="8">
        <v>0</v>
      </c>
      <c r="Z158" s="8">
        <v>0</v>
      </c>
      <c r="AA158" s="8">
        <v>180</v>
      </c>
      <c r="AB158" s="9">
        <f t="shared" si="12"/>
        <v>0.33333333333333337</v>
      </c>
      <c r="AC158" s="10">
        <f t="shared" si="13"/>
        <v>14.999999999999998</v>
      </c>
      <c r="AD158" s="8" t="s">
        <v>33</v>
      </c>
      <c r="AE158" s="11">
        <v>95990</v>
      </c>
      <c r="AF158" s="11">
        <f t="shared" si="14"/>
        <v>479950</v>
      </c>
      <c r="AG158" s="12" t="s">
        <v>64</v>
      </c>
      <c r="AH158" s="8" t="s">
        <v>35</v>
      </c>
    </row>
    <row r="159" spans="1:34">
      <c r="A159" s="8" t="s">
        <v>275</v>
      </c>
      <c r="B159" s="16" t="s">
        <v>2859</v>
      </c>
      <c r="C159" s="8" t="s">
        <v>248</v>
      </c>
      <c r="D159" s="8" t="s">
        <v>249</v>
      </c>
      <c r="E159" s="8" t="str">
        <f t="shared" si="10"/>
        <v>NEGRO</v>
      </c>
      <c r="H159" s="8" t="str">
        <f>VLOOKUP(A159,[1]BBDD!$B$1:$J$3274,9,FALSE)</f>
        <v>M</v>
      </c>
      <c r="I159" s="8" t="s">
        <v>2862</v>
      </c>
      <c r="J159" s="8" t="s">
        <v>268</v>
      </c>
      <c r="L159" s="8" t="s">
        <v>82</v>
      </c>
      <c r="N159" s="8" t="s">
        <v>44</v>
      </c>
      <c r="O159" s="8" t="s">
        <v>44</v>
      </c>
      <c r="Q159" s="8" t="s">
        <v>32</v>
      </c>
      <c r="R159" s="8">
        <v>0</v>
      </c>
      <c r="S159" s="8">
        <v>5</v>
      </c>
      <c r="T159" s="8">
        <f t="shared" si="11"/>
        <v>5</v>
      </c>
      <c r="U159" s="8">
        <v>1</v>
      </c>
      <c r="V159" s="8">
        <v>0</v>
      </c>
      <c r="W159" s="8">
        <v>1</v>
      </c>
      <c r="X159" s="8">
        <v>0</v>
      </c>
      <c r="Y159" s="8">
        <v>0</v>
      </c>
      <c r="Z159" s="8">
        <v>0</v>
      </c>
      <c r="AA159" s="8">
        <v>180</v>
      </c>
      <c r="AB159" s="9">
        <f t="shared" si="12"/>
        <v>0.33333333333333337</v>
      </c>
      <c r="AC159" s="10">
        <f t="shared" si="13"/>
        <v>14.999999999999998</v>
      </c>
      <c r="AD159" s="8" t="s">
        <v>33</v>
      </c>
      <c r="AE159" s="11">
        <v>95990</v>
      </c>
      <c r="AF159" s="11">
        <f t="shared" si="14"/>
        <v>479950</v>
      </c>
      <c r="AG159" s="12" t="s">
        <v>64</v>
      </c>
      <c r="AH159" s="8" t="s">
        <v>35</v>
      </c>
    </row>
    <row r="160" spans="1:34">
      <c r="A160" s="8" t="s">
        <v>276</v>
      </c>
      <c r="B160" s="16" t="s">
        <v>2859</v>
      </c>
      <c r="C160" s="8" t="s">
        <v>248</v>
      </c>
      <c r="D160" s="8" t="s">
        <v>249</v>
      </c>
      <c r="E160" s="8" t="str">
        <f t="shared" si="10"/>
        <v>ROJO</v>
      </c>
      <c r="H160" s="8" t="str">
        <f>VLOOKUP(A160,[1]BBDD!$B$1:$J$3274,9,FALSE)</f>
        <v>M</v>
      </c>
      <c r="I160" s="8" t="s">
        <v>2862</v>
      </c>
      <c r="J160" s="8" t="s">
        <v>268</v>
      </c>
      <c r="L160" s="8" t="s">
        <v>82</v>
      </c>
      <c r="N160" s="8" t="s">
        <v>88</v>
      </c>
      <c r="O160" s="8" t="s">
        <v>88</v>
      </c>
      <c r="Q160" s="8" t="s">
        <v>45</v>
      </c>
      <c r="R160" s="8">
        <v>2</v>
      </c>
      <c r="S160" s="8">
        <v>4</v>
      </c>
      <c r="T160" s="8">
        <f t="shared" si="11"/>
        <v>6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180</v>
      </c>
      <c r="AB160" s="9">
        <f t="shared" si="12"/>
        <v>0</v>
      </c>
      <c r="AC160" s="10" t="str">
        <f t="shared" si="13"/>
        <v>sin venta</v>
      </c>
      <c r="AD160" s="8" t="s">
        <v>109</v>
      </c>
      <c r="AE160" s="11">
        <v>95990</v>
      </c>
      <c r="AF160" s="11">
        <f t="shared" si="14"/>
        <v>575940</v>
      </c>
      <c r="AG160" s="12" t="s">
        <v>73</v>
      </c>
      <c r="AH160" s="8" t="s">
        <v>35</v>
      </c>
    </row>
    <row r="161" spans="1:34">
      <c r="A161" s="8" t="s">
        <v>277</v>
      </c>
      <c r="B161" s="16" t="s">
        <v>2859</v>
      </c>
      <c r="C161" s="8" t="s">
        <v>248</v>
      </c>
      <c r="D161" s="8" t="s">
        <v>249</v>
      </c>
      <c r="E161" s="8" t="str">
        <f t="shared" si="10"/>
        <v>VERDE</v>
      </c>
      <c r="H161" s="8" t="str">
        <f>VLOOKUP(A161,[1]BBDD!$B$1:$J$3274,9,FALSE)</f>
        <v>M</v>
      </c>
      <c r="I161" s="8" t="s">
        <v>2862</v>
      </c>
      <c r="J161" s="8" t="s">
        <v>268</v>
      </c>
      <c r="L161" s="8" t="s">
        <v>82</v>
      </c>
      <c r="N161" s="8" t="s">
        <v>92</v>
      </c>
      <c r="O161" s="8" t="s">
        <v>92</v>
      </c>
      <c r="Q161" s="8" t="s">
        <v>45</v>
      </c>
      <c r="R161" s="8">
        <v>0</v>
      </c>
      <c r="S161" s="8">
        <v>5</v>
      </c>
      <c r="T161" s="8">
        <f t="shared" si="11"/>
        <v>5</v>
      </c>
      <c r="U161" s="8">
        <v>0</v>
      </c>
      <c r="V161" s="8">
        <v>0</v>
      </c>
      <c r="W161" s="8">
        <v>0</v>
      </c>
      <c r="X161" s="8">
        <v>0</v>
      </c>
      <c r="Y161" s="8">
        <v>1</v>
      </c>
      <c r="Z161" s="8">
        <v>0</v>
      </c>
      <c r="AA161" s="8">
        <v>180</v>
      </c>
      <c r="AB161" s="9">
        <f t="shared" si="12"/>
        <v>0.16666666666666669</v>
      </c>
      <c r="AC161" s="10">
        <f t="shared" si="13"/>
        <v>29.999999999999996</v>
      </c>
      <c r="AD161" s="8" t="s">
        <v>109</v>
      </c>
      <c r="AE161" s="11">
        <v>95990</v>
      </c>
      <c r="AF161" s="11">
        <f t="shared" si="14"/>
        <v>479950</v>
      </c>
      <c r="AG161" s="12" t="s">
        <v>73</v>
      </c>
      <c r="AH161" s="8" t="s">
        <v>35</v>
      </c>
    </row>
    <row r="162" spans="1:34">
      <c r="A162" s="8" t="s">
        <v>278</v>
      </c>
      <c r="B162" s="16" t="s">
        <v>2859</v>
      </c>
      <c r="C162" s="8" t="s">
        <v>248</v>
      </c>
      <c r="D162" s="8" t="s">
        <v>249</v>
      </c>
      <c r="E162" s="8" t="str">
        <f t="shared" si="10"/>
        <v>CARAMELO</v>
      </c>
      <c r="H162" s="8" t="str">
        <f>VLOOKUP(A162,[1]BBDD!$B$1:$J$3274,9,FALSE)</f>
        <v>M</v>
      </c>
      <c r="I162" s="8" t="s">
        <v>2862</v>
      </c>
      <c r="J162" s="8" t="s">
        <v>268</v>
      </c>
      <c r="L162" s="8" t="s">
        <v>238</v>
      </c>
      <c r="N162" s="8" t="s">
        <v>62</v>
      </c>
      <c r="O162" s="8" t="s">
        <v>62</v>
      </c>
      <c r="Q162" s="8" t="s">
        <v>32</v>
      </c>
      <c r="R162" s="8">
        <v>2</v>
      </c>
      <c r="S162" s="8">
        <v>6</v>
      </c>
      <c r="T162" s="8">
        <f t="shared" si="11"/>
        <v>8</v>
      </c>
      <c r="U162" s="8">
        <v>0</v>
      </c>
      <c r="V162" s="8">
        <v>1</v>
      </c>
      <c r="W162" s="8">
        <v>2</v>
      </c>
      <c r="X162" s="8">
        <v>0</v>
      </c>
      <c r="Y162" s="8">
        <v>0</v>
      </c>
      <c r="Z162" s="8">
        <v>0</v>
      </c>
      <c r="AA162" s="8">
        <v>180</v>
      </c>
      <c r="AB162" s="9">
        <f t="shared" si="12"/>
        <v>0.5</v>
      </c>
      <c r="AC162" s="10">
        <f t="shared" si="13"/>
        <v>16</v>
      </c>
      <c r="AD162" s="8" t="s">
        <v>33</v>
      </c>
      <c r="AE162" s="11">
        <v>96990</v>
      </c>
      <c r="AF162" s="11">
        <f t="shared" si="14"/>
        <v>775920</v>
      </c>
      <c r="AG162" s="12" t="s">
        <v>64</v>
      </c>
      <c r="AH162" s="8" t="s">
        <v>35</v>
      </c>
    </row>
    <row r="163" spans="1:34">
      <c r="A163" s="8" t="s">
        <v>279</v>
      </c>
      <c r="B163" s="16" t="s">
        <v>2859</v>
      </c>
      <c r="C163" s="8" t="s">
        <v>248</v>
      </c>
      <c r="D163" s="8" t="s">
        <v>249</v>
      </c>
      <c r="E163" s="8" t="str">
        <f t="shared" si="10"/>
        <v>ROJO</v>
      </c>
      <c r="H163" s="8" t="str">
        <f>VLOOKUP(A163,[1]BBDD!$B$1:$J$3274,9,FALSE)</f>
        <v>M</v>
      </c>
      <c r="I163" s="8" t="s">
        <v>2862</v>
      </c>
      <c r="J163" s="8" t="s">
        <v>268</v>
      </c>
      <c r="L163" s="8" t="s">
        <v>238</v>
      </c>
      <c r="N163" s="8" t="s">
        <v>88</v>
      </c>
      <c r="O163" s="8" t="s">
        <v>88</v>
      </c>
      <c r="Q163" s="8" t="s">
        <v>32</v>
      </c>
      <c r="R163" s="8">
        <v>7</v>
      </c>
      <c r="S163" s="8">
        <v>6</v>
      </c>
      <c r="T163" s="8">
        <f t="shared" si="11"/>
        <v>13</v>
      </c>
      <c r="U163" s="8">
        <v>1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180</v>
      </c>
      <c r="AB163" s="9">
        <f t="shared" si="12"/>
        <v>0.16666666666666669</v>
      </c>
      <c r="AC163" s="10">
        <f t="shared" si="13"/>
        <v>77.999999999999986</v>
      </c>
      <c r="AD163" s="8" t="s">
        <v>33</v>
      </c>
      <c r="AE163" s="11">
        <v>96990</v>
      </c>
      <c r="AF163" s="11">
        <f t="shared" si="14"/>
        <v>1260870</v>
      </c>
      <c r="AG163" s="12" t="s">
        <v>73</v>
      </c>
      <c r="AH163" s="8" t="s">
        <v>65</v>
      </c>
    </row>
    <row r="164" spans="1:34">
      <c r="A164" s="8" t="s">
        <v>280</v>
      </c>
      <c r="B164" s="16" t="s">
        <v>2859</v>
      </c>
      <c r="C164" s="8" t="s">
        <v>248</v>
      </c>
      <c r="D164" s="8" t="s">
        <v>249</v>
      </c>
      <c r="E164" s="8" t="str">
        <f t="shared" si="10"/>
        <v>AZUL</v>
      </c>
      <c r="H164" s="8" t="str">
        <f>VLOOKUP(A164,[1]BBDD!$B$1:$J$3274,9,FALSE)</f>
        <v>M</v>
      </c>
      <c r="I164" s="8" t="s">
        <v>2862</v>
      </c>
      <c r="J164" s="8" t="s">
        <v>268</v>
      </c>
      <c r="L164" s="8" t="s">
        <v>238</v>
      </c>
      <c r="N164" s="8" t="s">
        <v>83</v>
      </c>
      <c r="O164" s="8" t="s">
        <v>83</v>
      </c>
      <c r="Q164" s="8" t="s">
        <v>45</v>
      </c>
      <c r="R164" s="8">
        <v>1</v>
      </c>
      <c r="S164" s="8">
        <v>5</v>
      </c>
      <c r="T164" s="8">
        <f t="shared" si="11"/>
        <v>6</v>
      </c>
      <c r="U164" s="8">
        <v>1</v>
      </c>
      <c r="V164" s="8">
        <v>0</v>
      </c>
      <c r="W164" s="8">
        <v>0</v>
      </c>
      <c r="X164" s="8">
        <v>1</v>
      </c>
      <c r="Y164" s="8">
        <v>0</v>
      </c>
      <c r="Z164" s="8">
        <v>0</v>
      </c>
      <c r="AA164" s="8">
        <v>180</v>
      </c>
      <c r="AB164" s="9">
        <f t="shared" si="12"/>
        <v>0.33333333333333337</v>
      </c>
      <c r="AC164" s="10">
        <f t="shared" si="13"/>
        <v>17.999999999999996</v>
      </c>
      <c r="AD164" s="8" t="s">
        <v>109</v>
      </c>
      <c r="AE164" s="11">
        <v>96990</v>
      </c>
      <c r="AF164" s="11">
        <f t="shared" si="14"/>
        <v>581940</v>
      </c>
      <c r="AG164" s="12" t="s">
        <v>64</v>
      </c>
      <c r="AH164" s="8" t="s">
        <v>35</v>
      </c>
    </row>
    <row r="165" spans="1:34">
      <c r="A165" s="8" t="s">
        <v>281</v>
      </c>
      <c r="B165" s="16" t="s">
        <v>2859</v>
      </c>
      <c r="C165" s="8" t="s">
        <v>248</v>
      </c>
      <c r="D165" s="8" t="s">
        <v>249</v>
      </c>
      <c r="E165" s="8" t="str">
        <f t="shared" si="10"/>
        <v>VERDE</v>
      </c>
      <c r="H165" s="8" t="str">
        <f>VLOOKUP(A165,[1]BBDD!$B$1:$J$3274,9,FALSE)</f>
        <v>M</v>
      </c>
      <c r="I165" s="8" t="s">
        <v>2862</v>
      </c>
      <c r="J165" s="8" t="s">
        <v>268</v>
      </c>
      <c r="L165" s="8" t="s">
        <v>238</v>
      </c>
      <c r="N165" s="8" t="s">
        <v>92</v>
      </c>
      <c r="O165" s="8" t="s">
        <v>92</v>
      </c>
      <c r="Q165" s="8" t="s">
        <v>45</v>
      </c>
      <c r="R165" s="8">
        <v>0</v>
      </c>
      <c r="S165" s="8">
        <v>1</v>
      </c>
      <c r="T165" s="8">
        <f t="shared" si="11"/>
        <v>1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1</v>
      </c>
      <c r="AA165" s="8">
        <v>180</v>
      </c>
      <c r="AB165" s="9">
        <f t="shared" si="12"/>
        <v>0.16666666666666669</v>
      </c>
      <c r="AC165" s="10">
        <f t="shared" si="13"/>
        <v>5.9999999999999991</v>
      </c>
      <c r="AD165" s="8" t="s">
        <v>109</v>
      </c>
      <c r="AE165" s="11">
        <v>96990</v>
      </c>
      <c r="AF165" s="11">
        <f t="shared" si="14"/>
        <v>96990</v>
      </c>
      <c r="AG165" s="12" t="s">
        <v>34</v>
      </c>
      <c r="AH165" s="8" t="s">
        <v>35</v>
      </c>
    </row>
    <row r="166" spans="1:34">
      <c r="A166" s="8" t="s">
        <v>282</v>
      </c>
      <c r="B166" s="16" t="s">
        <v>2859</v>
      </c>
      <c r="C166" s="8" t="s">
        <v>248</v>
      </c>
      <c r="D166" s="8" t="s">
        <v>249</v>
      </c>
      <c r="E166" s="8" t="str">
        <f t="shared" si="10"/>
        <v>VERDE</v>
      </c>
      <c r="H166" s="8" t="str">
        <f>VLOOKUP(A166,[1]BBDD!$B$1:$J$3274,9,FALSE)</f>
        <v>M</v>
      </c>
      <c r="I166" s="8" t="s">
        <v>2862</v>
      </c>
      <c r="J166" s="8" t="s">
        <v>283</v>
      </c>
      <c r="L166" s="8" t="s">
        <v>119</v>
      </c>
      <c r="N166" s="8" t="s">
        <v>92</v>
      </c>
      <c r="O166" s="8" t="s">
        <v>92</v>
      </c>
      <c r="Q166" s="8" t="s">
        <v>32</v>
      </c>
      <c r="R166" s="8">
        <v>0</v>
      </c>
      <c r="S166" s="8">
        <v>2</v>
      </c>
      <c r="T166" s="8">
        <f t="shared" si="11"/>
        <v>2</v>
      </c>
      <c r="U166" s="8">
        <v>4</v>
      </c>
      <c r="V166" s="8">
        <v>0</v>
      </c>
      <c r="W166" s="8">
        <v>2</v>
      </c>
      <c r="X166" s="8">
        <v>2</v>
      </c>
      <c r="Y166" s="8">
        <v>3</v>
      </c>
      <c r="Z166" s="8">
        <v>2</v>
      </c>
      <c r="AA166" s="8">
        <v>180</v>
      </c>
      <c r="AB166" s="9">
        <f t="shared" si="12"/>
        <v>2.1666666666666665</v>
      </c>
      <c r="AC166" s="10">
        <f t="shared" si="13"/>
        <v>0.92307692307692313</v>
      </c>
      <c r="AD166" s="8" t="s">
        <v>33</v>
      </c>
      <c r="AE166" s="11">
        <v>65990</v>
      </c>
      <c r="AF166" s="11">
        <f t="shared" si="14"/>
        <v>131980</v>
      </c>
      <c r="AG166" s="12" t="s">
        <v>34</v>
      </c>
      <c r="AH166" s="8" t="s">
        <v>35</v>
      </c>
    </row>
    <row r="167" spans="1:34">
      <c r="A167" s="8" t="s">
        <v>284</v>
      </c>
      <c r="B167" s="16" t="s">
        <v>2859</v>
      </c>
      <c r="C167" s="8" t="s">
        <v>248</v>
      </c>
      <c r="D167" s="8" t="s">
        <v>249</v>
      </c>
      <c r="E167" s="8" t="str">
        <f t="shared" si="10"/>
        <v>AZUL</v>
      </c>
      <c r="H167" s="8" t="str">
        <f>VLOOKUP(A167,[1]BBDD!$B$1:$J$3274,9,FALSE)</f>
        <v>M</v>
      </c>
      <c r="I167" s="8" t="s">
        <v>2862</v>
      </c>
      <c r="J167" s="8" t="s">
        <v>283</v>
      </c>
      <c r="L167" s="8" t="s">
        <v>82</v>
      </c>
      <c r="N167" s="8" t="s">
        <v>83</v>
      </c>
      <c r="O167" s="8" t="s">
        <v>83</v>
      </c>
      <c r="Q167" s="8" t="s">
        <v>32</v>
      </c>
      <c r="R167" s="8">
        <v>0</v>
      </c>
      <c r="S167" s="8">
        <v>4</v>
      </c>
      <c r="T167" s="8">
        <f t="shared" si="11"/>
        <v>4</v>
      </c>
      <c r="U167" s="8">
        <v>3</v>
      </c>
      <c r="V167" s="8">
        <v>0</v>
      </c>
      <c r="W167" s="8">
        <v>1</v>
      </c>
      <c r="X167" s="8">
        <v>1</v>
      </c>
      <c r="Y167" s="8">
        <v>1</v>
      </c>
      <c r="Z167" s="8">
        <v>0</v>
      </c>
      <c r="AA167" s="8">
        <v>180</v>
      </c>
      <c r="AB167" s="9">
        <f t="shared" si="12"/>
        <v>1</v>
      </c>
      <c r="AC167" s="10">
        <f t="shared" si="13"/>
        <v>4</v>
      </c>
      <c r="AD167" s="8" t="s">
        <v>33</v>
      </c>
      <c r="AE167" s="11">
        <v>65990</v>
      </c>
      <c r="AF167" s="11">
        <f t="shared" si="14"/>
        <v>263960</v>
      </c>
      <c r="AG167" s="12" t="s">
        <v>34</v>
      </c>
      <c r="AH167" s="8" t="s">
        <v>35</v>
      </c>
    </row>
    <row r="168" spans="1:34">
      <c r="A168" s="8" t="s">
        <v>285</v>
      </c>
      <c r="B168" s="16" t="s">
        <v>2859</v>
      </c>
      <c r="C168" s="8" t="s">
        <v>248</v>
      </c>
      <c r="D168" s="8" t="s">
        <v>249</v>
      </c>
      <c r="E168" s="8" t="str">
        <f t="shared" si="10"/>
        <v>NEGRO</v>
      </c>
      <c r="H168" s="8" t="str">
        <f>VLOOKUP(A168,[1]BBDD!$B$1:$J$3274,9,FALSE)</f>
        <v>M</v>
      </c>
      <c r="I168" s="8" t="s">
        <v>2862</v>
      </c>
      <c r="J168" s="8" t="s">
        <v>283</v>
      </c>
      <c r="L168" s="8" t="s">
        <v>82</v>
      </c>
      <c r="N168" s="8" t="s">
        <v>44</v>
      </c>
      <c r="O168" s="8" t="s">
        <v>44</v>
      </c>
      <c r="Q168" s="8" t="s">
        <v>32</v>
      </c>
      <c r="R168" s="8">
        <v>4</v>
      </c>
      <c r="S168" s="8">
        <v>9</v>
      </c>
      <c r="T168" s="8">
        <f t="shared" si="11"/>
        <v>13</v>
      </c>
      <c r="U168" s="8">
        <v>0</v>
      </c>
      <c r="V168" s="8">
        <v>0</v>
      </c>
      <c r="W168" s="8">
        <v>1</v>
      </c>
      <c r="X168" s="8">
        <v>1</v>
      </c>
      <c r="Y168" s="8">
        <v>2</v>
      </c>
      <c r="Z168" s="8">
        <v>0</v>
      </c>
      <c r="AA168" s="8">
        <v>180</v>
      </c>
      <c r="AB168" s="9">
        <f t="shared" si="12"/>
        <v>0.66666666666666674</v>
      </c>
      <c r="AC168" s="10">
        <f t="shared" si="13"/>
        <v>19.499999999999996</v>
      </c>
      <c r="AD168" s="8" t="s">
        <v>33</v>
      </c>
      <c r="AE168" s="11">
        <v>65990</v>
      </c>
      <c r="AF168" s="11">
        <f t="shared" si="14"/>
        <v>857870</v>
      </c>
      <c r="AG168" s="12" t="s">
        <v>64</v>
      </c>
      <c r="AH168" s="8" t="s">
        <v>65</v>
      </c>
    </row>
    <row r="169" spans="1:34">
      <c r="A169" s="8" t="s">
        <v>286</v>
      </c>
      <c r="B169" s="16" t="s">
        <v>2859</v>
      </c>
      <c r="C169" s="8" t="s">
        <v>248</v>
      </c>
      <c r="D169" s="8" t="s">
        <v>249</v>
      </c>
      <c r="E169" s="8" t="str">
        <f t="shared" si="10"/>
        <v>ROJO</v>
      </c>
      <c r="H169" s="8" t="str">
        <f>VLOOKUP(A169,[1]BBDD!$B$1:$J$3274,9,FALSE)</f>
        <v>M</v>
      </c>
      <c r="I169" s="8" t="s">
        <v>2862</v>
      </c>
      <c r="J169" s="8" t="s">
        <v>283</v>
      </c>
      <c r="L169" s="8" t="s">
        <v>82</v>
      </c>
      <c r="N169" s="8" t="s">
        <v>88</v>
      </c>
      <c r="O169" s="8" t="s">
        <v>88</v>
      </c>
      <c r="Q169" s="8" t="s">
        <v>32</v>
      </c>
      <c r="R169" s="8">
        <v>6</v>
      </c>
      <c r="S169" s="8">
        <v>4</v>
      </c>
      <c r="T169" s="8">
        <f t="shared" si="11"/>
        <v>10</v>
      </c>
      <c r="U169" s="8">
        <v>4</v>
      </c>
      <c r="V169" s="8">
        <v>0</v>
      </c>
      <c r="W169" s="8">
        <v>7</v>
      </c>
      <c r="X169" s="8">
        <v>4</v>
      </c>
      <c r="Y169" s="8">
        <v>3</v>
      </c>
      <c r="Z169" s="8">
        <v>0</v>
      </c>
      <c r="AA169" s="8">
        <v>180</v>
      </c>
      <c r="AB169" s="9">
        <f t="shared" si="12"/>
        <v>3</v>
      </c>
      <c r="AC169" s="10">
        <f t="shared" si="13"/>
        <v>3.3333333333333335</v>
      </c>
      <c r="AD169" s="8" t="s">
        <v>33</v>
      </c>
      <c r="AE169" s="11">
        <v>65990</v>
      </c>
      <c r="AF169" s="11">
        <f t="shared" si="14"/>
        <v>659900</v>
      </c>
      <c r="AG169" s="12" t="s">
        <v>34</v>
      </c>
      <c r="AH169" s="8" t="s">
        <v>35</v>
      </c>
    </row>
    <row r="170" spans="1:34">
      <c r="A170" s="8" t="s">
        <v>287</v>
      </c>
      <c r="B170" s="16" t="s">
        <v>2859</v>
      </c>
      <c r="C170" s="8" t="s">
        <v>248</v>
      </c>
      <c r="D170" s="8" t="s">
        <v>249</v>
      </c>
      <c r="E170" s="8" t="str">
        <f t="shared" si="10"/>
        <v>SUELA</v>
      </c>
      <c r="H170" s="8" t="str">
        <f>VLOOKUP(A170,[1]BBDD!$B$1:$J$3274,9,FALSE)</f>
        <v>M</v>
      </c>
      <c r="I170" s="8" t="s">
        <v>2862</v>
      </c>
      <c r="J170" s="8" t="s">
        <v>283</v>
      </c>
      <c r="L170" s="8" t="s">
        <v>82</v>
      </c>
      <c r="N170" s="8" t="s">
        <v>90</v>
      </c>
      <c r="O170" s="8" t="s">
        <v>90</v>
      </c>
      <c r="Q170" s="8" t="s">
        <v>32</v>
      </c>
      <c r="R170" s="8">
        <v>2</v>
      </c>
      <c r="S170" s="8">
        <v>8</v>
      </c>
      <c r="T170" s="8">
        <f t="shared" si="11"/>
        <v>10</v>
      </c>
      <c r="U170" s="8">
        <v>0</v>
      </c>
      <c r="V170" s="8">
        <v>1</v>
      </c>
      <c r="W170" s="8">
        <v>1</v>
      </c>
      <c r="X170" s="8">
        <v>1</v>
      </c>
      <c r="Y170" s="8">
        <v>2</v>
      </c>
      <c r="Z170" s="8">
        <v>0</v>
      </c>
      <c r="AA170" s="8">
        <v>180</v>
      </c>
      <c r="AB170" s="9">
        <f t="shared" si="12"/>
        <v>0.83333333333333326</v>
      </c>
      <c r="AC170" s="10">
        <f t="shared" si="13"/>
        <v>12.000000000000002</v>
      </c>
      <c r="AD170" s="8" t="s">
        <v>33</v>
      </c>
      <c r="AE170" s="11">
        <v>65990</v>
      </c>
      <c r="AF170" s="11">
        <f t="shared" si="14"/>
        <v>659900</v>
      </c>
      <c r="AG170" s="12" t="s">
        <v>51</v>
      </c>
      <c r="AH170" s="8" t="s">
        <v>35</v>
      </c>
    </row>
    <row r="171" spans="1:34">
      <c r="A171" s="8" t="s">
        <v>288</v>
      </c>
      <c r="B171" s="16" t="s">
        <v>2859</v>
      </c>
      <c r="C171" s="8" t="s">
        <v>248</v>
      </c>
      <c r="D171" s="8" t="s">
        <v>249</v>
      </c>
      <c r="E171" s="8" t="str">
        <f t="shared" si="10"/>
        <v>CARAMELO</v>
      </c>
      <c r="H171" s="8" t="str">
        <f>VLOOKUP(A171,[1]BBDD!$B$1:$J$3274,9,FALSE)</f>
        <v>M</v>
      </c>
      <c r="I171" s="8" t="s">
        <v>2862</v>
      </c>
      <c r="J171" s="8" t="s">
        <v>283</v>
      </c>
      <c r="L171" s="8" t="s">
        <v>82</v>
      </c>
      <c r="N171" s="8" t="s">
        <v>62</v>
      </c>
      <c r="O171" s="8" t="s">
        <v>62</v>
      </c>
      <c r="Q171" s="8" t="s">
        <v>45</v>
      </c>
      <c r="R171" s="8">
        <v>5</v>
      </c>
      <c r="S171" s="8">
        <v>6</v>
      </c>
      <c r="T171" s="8">
        <f t="shared" si="11"/>
        <v>11</v>
      </c>
      <c r="U171" s="8">
        <v>2</v>
      </c>
      <c r="V171" s="8">
        <v>1</v>
      </c>
      <c r="W171" s="8">
        <v>2</v>
      </c>
      <c r="X171" s="8">
        <v>1</v>
      </c>
      <c r="Y171" s="8">
        <v>2</v>
      </c>
      <c r="Z171" s="8">
        <v>1</v>
      </c>
      <c r="AA171" s="8">
        <v>180</v>
      </c>
      <c r="AB171" s="9">
        <f t="shared" si="12"/>
        <v>1.5</v>
      </c>
      <c r="AC171" s="10">
        <f t="shared" si="13"/>
        <v>7.333333333333333</v>
      </c>
      <c r="AD171" s="8" t="s">
        <v>109</v>
      </c>
      <c r="AE171" s="11">
        <v>65990</v>
      </c>
      <c r="AF171" s="11">
        <f t="shared" si="14"/>
        <v>725890</v>
      </c>
      <c r="AG171" s="12" t="s">
        <v>51</v>
      </c>
      <c r="AH171" s="8" t="s">
        <v>65</v>
      </c>
    </row>
    <row r="172" spans="1:34">
      <c r="A172" s="8" t="s">
        <v>289</v>
      </c>
      <c r="B172" s="16" t="s">
        <v>2859</v>
      </c>
      <c r="C172" s="8" t="s">
        <v>248</v>
      </c>
      <c r="D172" s="8" t="s">
        <v>249</v>
      </c>
      <c r="E172" s="8" t="str">
        <f t="shared" si="10"/>
        <v>VERDE</v>
      </c>
      <c r="H172" s="8" t="str">
        <f>VLOOKUP(A172,[1]BBDD!$B$1:$J$3274,9,FALSE)</f>
        <v>M</v>
      </c>
      <c r="I172" s="8" t="s">
        <v>2862</v>
      </c>
      <c r="J172" s="8" t="s">
        <v>283</v>
      </c>
      <c r="L172" s="8" t="s">
        <v>82</v>
      </c>
      <c r="N172" s="8" t="s">
        <v>92</v>
      </c>
      <c r="O172" s="8" t="s">
        <v>92</v>
      </c>
      <c r="Q172" s="8" t="s">
        <v>45</v>
      </c>
      <c r="R172" s="8">
        <v>0</v>
      </c>
      <c r="S172" s="8">
        <v>6</v>
      </c>
      <c r="T172" s="8">
        <f t="shared" si="11"/>
        <v>6</v>
      </c>
      <c r="U172" s="8">
        <v>0</v>
      </c>
      <c r="V172" s="8">
        <v>0</v>
      </c>
      <c r="W172" s="8">
        <v>0</v>
      </c>
      <c r="X172" s="8">
        <v>0</v>
      </c>
      <c r="Y172" s="8">
        <v>2</v>
      </c>
      <c r="Z172" s="8">
        <v>1</v>
      </c>
      <c r="AA172" s="8">
        <v>180</v>
      </c>
      <c r="AB172" s="9">
        <f t="shared" si="12"/>
        <v>0.5</v>
      </c>
      <c r="AC172" s="10">
        <f t="shared" si="13"/>
        <v>12</v>
      </c>
      <c r="AD172" s="8" t="s">
        <v>109</v>
      </c>
      <c r="AE172" s="11">
        <v>65990</v>
      </c>
      <c r="AF172" s="11">
        <f t="shared" si="14"/>
        <v>395940</v>
      </c>
      <c r="AG172" s="12" t="s">
        <v>51</v>
      </c>
      <c r="AH172" s="8" t="s">
        <v>35</v>
      </c>
    </row>
    <row r="173" spans="1:34">
      <c r="A173" s="8" t="s">
        <v>290</v>
      </c>
      <c r="B173" s="16" t="s">
        <v>2859</v>
      </c>
      <c r="C173" s="8" t="s">
        <v>248</v>
      </c>
      <c r="D173" s="8" t="s">
        <v>249</v>
      </c>
      <c r="E173" s="8" t="str">
        <f t="shared" si="10"/>
        <v>NEGRO</v>
      </c>
      <c r="H173" s="8" t="str">
        <f>VLOOKUP(A173,[1]BBDD!$B$1:$J$3274,9,FALSE)</f>
        <v>M</v>
      </c>
      <c r="I173" s="8" t="s">
        <v>2862</v>
      </c>
      <c r="J173" s="8" t="s">
        <v>291</v>
      </c>
      <c r="L173" s="8" t="s">
        <v>211</v>
      </c>
      <c r="N173" s="8" t="s">
        <v>44</v>
      </c>
      <c r="O173" s="8" t="s">
        <v>44</v>
      </c>
      <c r="Q173" s="8" t="s">
        <v>45</v>
      </c>
      <c r="R173" s="8">
        <v>1</v>
      </c>
      <c r="S173" s="8">
        <v>5</v>
      </c>
      <c r="T173" s="8">
        <f t="shared" si="11"/>
        <v>6</v>
      </c>
      <c r="U173" s="8">
        <v>2</v>
      </c>
      <c r="V173" s="8">
        <v>1</v>
      </c>
      <c r="W173" s="8">
        <v>0</v>
      </c>
      <c r="X173" s="8">
        <v>0</v>
      </c>
      <c r="Y173" s="8">
        <v>0</v>
      </c>
      <c r="Z173" s="8">
        <v>0</v>
      </c>
      <c r="AA173" s="8">
        <v>180</v>
      </c>
      <c r="AB173" s="9">
        <f t="shared" si="12"/>
        <v>0.5</v>
      </c>
      <c r="AC173" s="10">
        <f t="shared" si="13"/>
        <v>12</v>
      </c>
      <c r="AD173" s="8" t="s">
        <v>109</v>
      </c>
      <c r="AE173" s="11">
        <v>99990</v>
      </c>
      <c r="AF173" s="11">
        <f t="shared" si="14"/>
        <v>599940</v>
      </c>
      <c r="AG173" s="12" t="s">
        <v>51</v>
      </c>
      <c r="AH173" s="8" t="s">
        <v>35</v>
      </c>
    </row>
    <row r="174" spans="1:34">
      <c r="A174" s="8" t="s">
        <v>292</v>
      </c>
      <c r="B174" s="16" t="s">
        <v>2859</v>
      </c>
      <c r="C174" s="8" t="s">
        <v>248</v>
      </c>
      <c r="D174" s="8" t="s">
        <v>249</v>
      </c>
      <c r="E174" s="8" t="str">
        <f t="shared" si="10"/>
        <v>NEGRO</v>
      </c>
      <c r="H174" s="8" t="str">
        <f>VLOOKUP(A174,[1]BBDD!$B$1:$J$3274,9,FALSE)</f>
        <v>M</v>
      </c>
      <c r="I174" s="8" t="s">
        <v>2862</v>
      </c>
      <c r="J174" s="8" t="s">
        <v>291</v>
      </c>
      <c r="L174" s="8" t="s">
        <v>82</v>
      </c>
      <c r="N174" s="8" t="s">
        <v>44</v>
      </c>
      <c r="O174" s="8" t="s">
        <v>44</v>
      </c>
      <c r="Q174" s="8" t="s">
        <v>32</v>
      </c>
      <c r="R174" s="8">
        <v>4</v>
      </c>
      <c r="S174" s="8">
        <v>8</v>
      </c>
      <c r="T174" s="8">
        <f t="shared" si="11"/>
        <v>12</v>
      </c>
      <c r="U174" s="8">
        <v>0</v>
      </c>
      <c r="V174" s="8">
        <v>0</v>
      </c>
      <c r="W174" s="8">
        <v>1</v>
      </c>
      <c r="X174" s="8">
        <v>0</v>
      </c>
      <c r="Y174" s="8">
        <v>0</v>
      </c>
      <c r="Z174" s="8">
        <v>0</v>
      </c>
      <c r="AA174" s="8">
        <v>180</v>
      </c>
      <c r="AB174" s="9">
        <f t="shared" si="12"/>
        <v>0.16666666666666669</v>
      </c>
      <c r="AC174" s="10">
        <f t="shared" si="13"/>
        <v>71.999999999999986</v>
      </c>
      <c r="AD174" s="8" t="s">
        <v>33</v>
      </c>
      <c r="AE174" s="11">
        <v>99990</v>
      </c>
      <c r="AF174" s="11">
        <f t="shared" si="14"/>
        <v>1199880</v>
      </c>
      <c r="AG174" s="12" t="s">
        <v>73</v>
      </c>
      <c r="AH174" s="8" t="s">
        <v>65</v>
      </c>
    </row>
    <row r="175" spans="1:34">
      <c r="A175" s="8" t="s">
        <v>293</v>
      </c>
      <c r="B175" s="16" t="s">
        <v>2859</v>
      </c>
      <c r="C175" s="8" t="s">
        <v>248</v>
      </c>
      <c r="D175" s="8" t="s">
        <v>249</v>
      </c>
      <c r="E175" s="8" t="str">
        <f t="shared" si="10"/>
        <v>ROJO</v>
      </c>
      <c r="H175" s="8" t="str">
        <f>VLOOKUP(A175,[1]BBDD!$B$1:$J$3274,9,FALSE)</f>
        <v>M</v>
      </c>
      <c r="I175" s="8" t="s">
        <v>2862</v>
      </c>
      <c r="J175" s="8" t="s">
        <v>291</v>
      </c>
      <c r="L175" s="8" t="s">
        <v>82</v>
      </c>
      <c r="N175" s="8" t="s">
        <v>88</v>
      </c>
      <c r="O175" s="8" t="s">
        <v>88</v>
      </c>
      <c r="Q175" s="8" t="s">
        <v>32</v>
      </c>
      <c r="R175" s="8">
        <v>0</v>
      </c>
      <c r="S175" s="8">
        <v>2</v>
      </c>
      <c r="T175" s="8">
        <f t="shared" si="11"/>
        <v>2</v>
      </c>
      <c r="U175" s="8">
        <v>0</v>
      </c>
      <c r="V175" s="8">
        <v>2</v>
      </c>
      <c r="W175" s="8">
        <v>3</v>
      </c>
      <c r="X175" s="8">
        <v>3</v>
      </c>
      <c r="Y175" s="8">
        <v>1</v>
      </c>
      <c r="Z175" s="8">
        <v>1</v>
      </c>
      <c r="AA175" s="8">
        <v>180</v>
      </c>
      <c r="AB175" s="9">
        <f t="shared" si="12"/>
        <v>1.6666666666666665</v>
      </c>
      <c r="AC175" s="10">
        <f t="shared" si="13"/>
        <v>1.2000000000000002</v>
      </c>
      <c r="AD175" s="8" t="s">
        <v>33</v>
      </c>
      <c r="AE175" s="11">
        <v>99990</v>
      </c>
      <c r="AF175" s="11">
        <f t="shared" si="14"/>
        <v>199980</v>
      </c>
      <c r="AG175" s="12" t="s">
        <v>34</v>
      </c>
      <c r="AH175" s="8" t="s">
        <v>35</v>
      </c>
    </row>
    <row r="176" spans="1:34">
      <c r="A176" s="8" t="s">
        <v>294</v>
      </c>
      <c r="B176" s="16" t="s">
        <v>2859</v>
      </c>
      <c r="C176" s="8" t="s">
        <v>248</v>
      </c>
      <c r="D176" s="8" t="s">
        <v>249</v>
      </c>
      <c r="E176" s="8" t="str">
        <f t="shared" si="10"/>
        <v>CARAMELO</v>
      </c>
      <c r="H176" s="8" t="str">
        <f>VLOOKUP(A176,[1]BBDD!$B$1:$J$3274,9,FALSE)</f>
        <v>M</v>
      </c>
      <c r="I176" s="8" t="s">
        <v>2862</v>
      </c>
      <c r="J176" s="8" t="s">
        <v>291</v>
      </c>
      <c r="L176" s="8" t="s">
        <v>82</v>
      </c>
      <c r="N176" s="8" t="s">
        <v>62</v>
      </c>
      <c r="O176" s="8" t="s">
        <v>62</v>
      </c>
      <c r="Q176" s="8" t="s">
        <v>45</v>
      </c>
      <c r="R176" s="8">
        <v>0</v>
      </c>
      <c r="S176" s="8">
        <v>3</v>
      </c>
      <c r="T176" s="8">
        <f t="shared" si="11"/>
        <v>3</v>
      </c>
      <c r="U176" s="8">
        <v>0</v>
      </c>
      <c r="V176" s="8">
        <v>1</v>
      </c>
      <c r="W176" s="8">
        <v>3</v>
      </c>
      <c r="X176" s="8">
        <v>1</v>
      </c>
      <c r="Y176" s="8">
        <v>1</v>
      </c>
      <c r="Z176" s="8">
        <v>1</v>
      </c>
      <c r="AA176" s="8">
        <v>180</v>
      </c>
      <c r="AB176" s="9">
        <f t="shared" si="12"/>
        <v>1.1666666666666667</v>
      </c>
      <c r="AC176" s="10">
        <f t="shared" si="13"/>
        <v>2.5714285714285712</v>
      </c>
      <c r="AD176" s="8" t="s">
        <v>109</v>
      </c>
      <c r="AE176" s="11">
        <v>99990</v>
      </c>
      <c r="AF176" s="11">
        <f t="shared" si="14"/>
        <v>299970</v>
      </c>
      <c r="AG176" s="12" t="s">
        <v>34</v>
      </c>
      <c r="AH176" s="8" t="s">
        <v>35</v>
      </c>
    </row>
    <row r="177" spans="1:34">
      <c r="A177" s="8" t="s">
        <v>295</v>
      </c>
      <c r="B177" s="16" t="s">
        <v>2859</v>
      </c>
      <c r="C177" s="8" t="s">
        <v>248</v>
      </c>
      <c r="D177" s="8" t="s">
        <v>249</v>
      </c>
      <c r="E177" s="8" t="str">
        <f t="shared" si="10"/>
        <v>NEGRO</v>
      </c>
      <c r="H177" s="8" t="str">
        <f>VLOOKUP(A177,[1]BBDD!$B$1:$J$3274,9,FALSE)</f>
        <v>M</v>
      </c>
      <c r="I177" s="8" t="s">
        <v>2862</v>
      </c>
      <c r="J177" s="8" t="s">
        <v>291</v>
      </c>
      <c r="L177" s="8" t="s">
        <v>53</v>
      </c>
      <c r="N177" s="8" t="s">
        <v>44</v>
      </c>
      <c r="O177" s="8" t="s">
        <v>44</v>
      </c>
      <c r="Q177" s="8" t="s">
        <v>45</v>
      </c>
      <c r="R177" s="8">
        <v>0</v>
      </c>
      <c r="S177" s="8">
        <v>4</v>
      </c>
      <c r="T177" s="8">
        <f t="shared" si="11"/>
        <v>4</v>
      </c>
      <c r="U177" s="8">
        <v>0</v>
      </c>
      <c r="V177" s="8">
        <v>0</v>
      </c>
      <c r="W177" s="8">
        <v>2</v>
      </c>
      <c r="X177" s="8">
        <v>0</v>
      </c>
      <c r="Y177" s="8">
        <v>0</v>
      </c>
      <c r="Z177" s="8">
        <v>0</v>
      </c>
      <c r="AA177" s="8">
        <v>180</v>
      </c>
      <c r="AB177" s="9">
        <f t="shared" si="12"/>
        <v>0.33333333333333337</v>
      </c>
      <c r="AC177" s="10">
        <f t="shared" si="13"/>
        <v>11.999999999999998</v>
      </c>
      <c r="AD177" s="8" t="s">
        <v>109</v>
      </c>
      <c r="AE177" s="11">
        <v>99990</v>
      </c>
      <c r="AF177" s="11">
        <f t="shared" si="14"/>
        <v>399960</v>
      </c>
      <c r="AG177" s="12" t="s">
        <v>51</v>
      </c>
      <c r="AH177" s="8" t="s">
        <v>35</v>
      </c>
    </row>
    <row r="178" spans="1:34">
      <c r="A178" s="8" t="s">
        <v>296</v>
      </c>
      <c r="B178" s="16" t="s">
        <v>2859</v>
      </c>
      <c r="C178" s="8" t="s">
        <v>248</v>
      </c>
      <c r="D178" s="8" t="s">
        <v>249</v>
      </c>
      <c r="E178" s="8" t="str">
        <f t="shared" si="10"/>
        <v>AZUL</v>
      </c>
      <c r="H178" s="8" t="str">
        <f>VLOOKUP(A178,[1]BBDD!$B$1:$J$3274,9,FALSE)</f>
        <v>M</v>
      </c>
      <c r="I178" s="8" t="s">
        <v>2862</v>
      </c>
      <c r="J178" s="8" t="s">
        <v>297</v>
      </c>
      <c r="L178" s="8" t="s">
        <v>61</v>
      </c>
      <c r="N178" s="8" t="s">
        <v>83</v>
      </c>
      <c r="O178" s="8" t="s">
        <v>83</v>
      </c>
      <c r="Q178" s="8" t="s">
        <v>45</v>
      </c>
      <c r="R178" s="8">
        <v>0</v>
      </c>
      <c r="S178" s="8">
        <v>1</v>
      </c>
      <c r="T178" s="8">
        <f t="shared" si="11"/>
        <v>1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180</v>
      </c>
      <c r="AB178" s="9">
        <f t="shared" si="12"/>
        <v>0</v>
      </c>
      <c r="AC178" s="10" t="str">
        <f t="shared" si="13"/>
        <v>sin venta</v>
      </c>
      <c r="AD178" s="8" t="s">
        <v>46</v>
      </c>
      <c r="AE178" s="11">
        <v>64990</v>
      </c>
      <c r="AF178" s="11">
        <f t="shared" si="14"/>
        <v>64990</v>
      </c>
      <c r="AG178" s="12" t="s">
        <v>73</v>
      </c>
      <c r="AH178" s="8" t="s">
        <v>35</v>
      </c>
    </row>
    <row r="179" spans="1:34">
      <c r="A179" s="8" t="s">
        <v>298</v>
      </c>
      <c r="B179" s="16" t="s">
        <v>2859</v>
      </c>
      <c r="C179" s="8" t="s">
        <v>248</v>
      </c>
      <c r="D179" s="8" t="s">
        <v>249</v>
      </c>
      <c r="E179" s="8" t="str">
        <f t="shared" si="10"/>
        <v>CHOCOLATE</v>
      </c>
      <c r="H179" s="8" t="str">
        <f>VLOOKUP(A179,[1]BBDD!$B$1:$J$3274,9,FALSE)</f>
        <v>M</v>
      </c>
      <c r="I179" s="8" t="s">
        <v>2862</v>
      </c>
      <c r="J179" s="8" t="s">
        <v>297</v>
      </c>
      <c r="L179" s="8" t="s">
        <v>61</v>
      </c>
      <c r="N179" s="8" t="s">
        <v>252</v>
      </c>
      <c r="O179" s="8" t="s">
        <v>252</v>
      </c>
      <c r="Q179" s="8" t="s">
        <v>45</v>
      </c>
      <c r="R179" s="8">
        <v>0</v>
      </c>
      <c r="S179" s="8">
        <v>4</v>
      </c>
      <c r="T179" s="8">
        <f t="shared" si="11"/>
        <v>4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180</v>
      </c>
      <c r="AB179" s="9">
        <f t="shared" si="12"/>
        <v>0</v>
      </c>
      <c r="AC179" s="10" t="str">
        <f t="shared" si="13"/>
        <v>sin venta</v>
      </c>
      <c r="AD179" s="8" t="s">
        <v>46</v>
      </c>
      <c r="AE179" s="11">
        <v>64990</v>
      </c>
      <c r="AF179" s="11">
        <f t="shared" si="14"/>
        <v>259960</v>
      </c>
      <c r="AG179" s="12" t="s">
        <v>73</v>
      </c>
      <c r="AH179" s="8" t="s">
        <v>35</v>
      </c>
    </row>
    <row r="180" spans="1:34">
      <c r="A180" s="8" t="s">
        <v>299</v>
      </c>
      <c r="B180" s="16" t="s">
        <v>2859</v>
      </c>
      <c r="C180" s="8" t="s">
        <v>248</v>
      </c>
      <c r="D180" s="8" t="s">
        <v>249</v>
      </c>
      <c r="E180" s="8" t="str">
        <f t="shared" si="10"/>
        <v>NEGRO</v>
      </c>
      <c r="H180" s="8" t="str">
        <f>VLOOKUP(A180,[1]BBDD!$B$1:$J$3274,9,FALSE)</f>
        <v>M</v>
      </c>
      <c r="I180" s="8" t="s">
        <v>2862</v>
      </c>
      <c r="J180" s="8" t="s">
        <v>297</v>
      </c>
      <c r="L180" s="8" t="s">
        <v>61</v>
      </c>
      <c r="N180" s="8" t="s">
        <v>44</v>
      </c>
      <c r="O180" s="8" t="s">
        <v>44</v>
      </c>
      <c r="Q180" s="8" t="s">
        <v>45</v>
      </c>
      <c r="R180" s="8">
        <v>4</v>
      </c>
      <c r="S180" s="8">
        <v>4</v>
      </c>
      <c r="T180" s="8">
        <f t="shared" si="11"/>
        <v>8</v>
      </c>
      <c r="U180" s="8">
        <v>0</v>
      </c>
      <c r="V180" s="8">
        <v>1</v>
      </c>
      <c r="W180" s="8">
        <v>0</v>
      </c>
      <c r="X180" s="8">
        <v>0</v>
      </c>
      <c r="Y180" s="8">
        <v>1</v>
      </c>
      <c r="Z180" s="8">
        <v>1</v>
      </c>
      <c r="AA180" s="8">
        <v>180</v>
      </c>
      <c r="AB180" s="9">
        <f t="shared" si="12"/>
        <v>0.5</v>
      </c>
      <c r="AC180" s="10">
        <f t="shared" si="13"/>
        <v>16</v>
      </c>
      <c r="AD180" s="8" t="s">
        <v>46</v>
      </c>
      <c r="AE180" s="11">
        <v>64990</v>
      </c>
      <c r="AF180" s="11">
        <f t="shared" si="14"/>
        <v>519920</v>
      </c>
      <c r="AG180" s="12" t="s">
        <v>64</v>
      </c>
      <c r="AH180" s="8" t="s">
        <v>35</v>
      </c>
    </row>
    <row r="181" spans="1:34">
      <c r="A181" s="8" t="s">
        <v>300</v>
      </c>
      <c r="B181" s="16" t="s">
        <v>2859</v>
      </c>
      <c r="C181" s="8" t="s">
        <v>248</v>
      </c>
      <c r="D181" s="8" t="s">
        <v>249</v>
      </c>
      <c r="E181" s="8" t="str">
        <f t="shared" si="10"/>
        <v>TABACO</v>
      </c>
      <c r="H181" s="8" t="str">
        <f>VLOOKUP(A181,[1]BBDD!$B$1:$J$3274,9,FALSE)</f>
        <v>M</v>
      </c>
      <c r="I181" s="8" t="s">
        <v>2862</v>
      </c>
      <c r="J181" s="8" t="s">
        <v>297</v>
      </c>
      <c r="L181" s="8" t="s">
        <v>61</v>
      </c>
      <c r="N181" s="8" t="s">
        <v>67</v>
      </c>
      <c r="O181" s="8" t="s">
        <v>67</v>
      </c>
      <c r="Q181" s="8" t="s">
        <v>45</v>
      </c>
      <c r="R181" s="8">
        <v>0</v>
      </c>
      <c r="S181" s="8">
        <v>2</v>
      </c>
      <c r="T181" s="8">
        <f t="shared" si="11"/>
        <v>2</v>
      </c>
      <c r="U181" s="8">
        <v>0</v>
      </c>
      <c r="V181" s="8">
        <v>0</v>
      </c>
      <c r="W181" s="8">
        <v>1</v>
      </c>
      <c r="X181" s="8">
        <v>0</v>
      </c>
      <c r="Y181" s="8">
        <v>0</v>
      </c>
      <c r="Z181" s="8">
        <v>1</v>
      </c>
      <c r="AA181" s="8">
        <v>180</v>
      </c>
      <c r="AB181" s="9">
        <f t="shared" si="12"/>
        <v>0.33333333333333337</v>
      </c>
      <c r="AC181" s="10">
        <f t="shared" si="13"/>
        <v>5.9999999999999991</v>
      </c>
      <c r="AD181" s="8" t="s">
        <v>46</v>
      </c>
      <c r="AE181" s="11">
        <v>64990</v>
      </c>
      <c r="AF181" s="11">
        <f t="shared" si="14"/>
        <v>129980</v>
      </c>
      <c r="AG181" s="12" t="s">
        <v>34</v>
      </c>
      <c r="AH181" s="8" t="s">
        <v>35</v>
      </c>
    </row>
    <row r="182" spans="1:34">
      <c r="A182" s="8" t="s">
        <v>301</v>
      </c>
      <c r="B182" s="16" t="s">
        <v>2859</v>
      </c>
      <c r="C182" s="8" t="s">
        <v>248</v>
      </c>
      <c r="D182" s="8" t="s">
        <v>249</v>
      </c>
      <c r="E182" s="8" t="str">
        <f t="shared" si="10"/>
        <v>AZUL</v>
      </c>
      <c r="H182" s="8" t="str">
        <f>VLOOKUP(A182,[1]BBDD!$B$1:$J$3274,9,FALSE)</f>
        <v>M</v>
      </c>
      <c r="I182" s="8" t="s">
        <v>2862</v>
      </c>
      <c r="J182" s="8" t="s">
        <v>297</v>
      </c>
      <c r="L182" s="8" t="s">
        <v>238</v>
      </c>
      <c r="N182" s="8" t="s">
        <v>83</v>
      </c>
      <c r="O182" s="8" t="s">
        <v>83</v>
      </c>
      <c r="Q182" s="8" t="s">
        <v>45</v>
      </c>
      <c r="R182" s="8">
        <v>0</v>
      </c>
      <c r="S182" s="8">
        <v>1</v>
      </c>
      <c r="T182" s="8">
        <f t="shared" si="11"/>
        <v>1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180</v>
      </c>
      <c r="AB182" s="9">
        <f t="shared" si="12"/>
        <v>0</v>
      </c>
      <c r="AC182" s="10" t="str">
        <f t="shared" si="13"/>
        <v>sin venta</v>
      </c>
      <c r="AD182" s="8" t="s">
        <v>46</v>
      </c>
      <c r="AE182" s="11">
        <v>64990</v>
      </c>
      <c r="AF182" s="11">
        <f t="shared" si="14"/>
        <v>64990</v>
      </c>
      <c r="AG182" s="12" t="s">
        <v>73</v>
      </c>
      <c r="AH182" s="8" t="s">
        <v>35</v>
      </c>
    </row>
    <row r="183" spans="1:34">
      <c r="A183" s="8" t="s">
        <v>302</v>
      </c>
      <c r="B183" s="16" t="s">
        <v>2859</v>
      </c>
      <c r="C183" s="8" t="s">
        <v>248</v>
      </c>
      <c r="D183" s="8" t="s">
        <v>249</v>
      </c>
      <c r="E183" s="8" t="str">
        <f t="shared" si="10"/>
        <v>NEGRO</v>
      </c>
      <c r="H183" s="8" t="str">
        <f>VLOOKUP(A183,[1]BBDD!$B$1:$J$3274,9,FALSE)</f>
        <v>M</v>
      </c>
      <c r="I183" s="8" t="s">
        <v>2862</v>
      </c>
      <c r="J183" s="8" t="s">
        <v>297</v>
      </c>
      <c r="L183" s="8" t="s">
        <v>238</v>
      </c>
      <c r="N183" s="8" t="s">
        <v>44</v>
      </c>
      <c r="O183" s="8" t="s">
        <v>44</v>
      </c>
      <c r="Q183" s="8" t="s">
        <v>45</v>
      </c>
      <c r="R183" s="8">
        <v>0</v>
      </c>
      <c r="S183" s="8">
        <v>2</v>
      </c>
      <c r="T183" s="8">
        <f t="shared" ref="T183:T230" si="15">SUM(R183:S183)</f>
        <v>2</v>
      </c>
      <c r="U183" s="8">
        <v>0</v>
      </c>
      <c r="V183" s="8">
        <v>0</v>
      </c>
      <c r="W183" s="8">
        <v>0</v>
      </c>
      <c r="X183" s="8">
        <v>1</v>
      </c>
      <c r="Y183" s="8">
        <v>0</v>
      </c>
      <c r="Z183" s="8">
        <v>0</v>
      </c>
      <c r="AA183" s="8">
        <v>180</v>
      </c>
      <c r="AB183" s="9">
        <f t="shared" ref="AB183:AB230" si="16">SUM(U183:Z183)/AA183*30</f>
        <v>0.16666666666666669</v>
      </c>
      <c r="AC183" s="10">
        <f t="shared" si="13"/>
        <v>11.999999999999998</v>
      </c>
      <c r="AD183" s="8" t="s">
        <v>46</v>
      </c>
      <c r="AE183" s="11">
        <v>64990</v>
      </c>
      <c r="AF183" s="11">
        <f t="shared" si="14"/>
        <v>129980</v>
      </c>
      <c r="AG183" s="12" t="s">
        <v>51</v>
      </c>
      <c r="AH183" s="8" t="s">
        <v>35</v>
      </c>
    </row>
    <row r="184" spans="1:34">
      <c r="A184" s="8" t="s">
        <v>303</v>
      </c>
      <c r="B184" s="16" t="s">
        <v>2859</v>
      </c>
      <c r="C184" s="8" t="s">
        <v>248</v>
      </c>
      <c r="D184" s="8" t="s">
        <v>249</v>
      </c>
      <c r="E184" s="8" t="str">
        <f t="shared" si="10"/>
        <v>NEGRO</v>
      </c>
      <c r="H184" s="8" t="str">
        <f>VLOOKUP(A184,[1]BBDD!$B$1:$J$3274,9,FALSE)</f>
        <v>M</v>
      </c>
      <c r="I184" s="8" t="s">
        <v>2862</v>
      </c>
      <c r="J184" s="8" t="s">
        <v>304</v>
      </c>
      <c r="L184" s="8" t="s">
        <v>61</v>
      </c>
      <c r="N184" s="8" t="s">
        <v>44</v>
      </c>
      <c r="O184" s="8" t="s">
        <v>44</v>
      </c>
      <c r="Q184" s="8" t="s">
        <v>45</v>
      </c>
      <c r="R184" s="8">
        <v>0</v>
      </c>
      <c r="S184" s="8">
        <v>3</v>
      </c>
      <c r="T184" s="8">
        <f t="shared" si="15"/>
        <v>3</v>
      </c>
      <c r="U184" s="8">
        <v>0</v>
      </c>
      <c r="V184" s="8">
        <v>1</v>
      </c>
      <c r="W184" s="8">
        <v>0</v>
      </c>
      <c r="X184" s="8">
        <v>1</v>
      </c>
      <c r="Y184" s="8">
        <v>0</v>
      </c>
      <c r="Z184" s="8">
        <v>1</v>
      </c>
      <c r="AA184" s="8">
        <v>180</v>
      </c>
      <c r="AB184" s="9">
        <f t="shared" si="16"/>
        <v>0.5</v>
      </c>
      <c r="AC184" s="10">
        <f t="shared" si="13"/>
        <v>6</v>
      </c>
      <c r="AD184" s="8" t="s">
        <v>46</v>
      </c>
      <c r="AE184" s="11">
        <v>64990</v>
      </c>
      <c r="AF184" s="11">
        <f t="shared" si="14"/>
        <v>194970</v>
      </c>
      <c r="AG184" s="12" t="s">
        <v>34</v>
      </c>
      <c r="AH184" s="8" t="s">
        <v>35</v>
      </c>
    </row>
    <row r="185" spans="1:34">
      <c r="A185" s="8" t="s">
        <v>305</v>
      </c>
      <c r="B185" s="16" t="s">
        <v>2859</v>
      </c>
      <c r="C185" s="8" t="s">
        <v>248</v>
      </c>
      <c r="D185" s="8" t="s">
        <v>249</v>
      </c>
      <c r="E185" s="8" t="str">
        <f t="shared" si="10"/>
        <v>AZUL</v>
      </c>
      <c r="H185" s="8" t="str">
        <f>VLOOKUP(A185,[1]BBDD!$B$1:$J$3274,9,FALSE)</f>
        <v>M</v>
      </c>
      <c r="I185" s="8" t="s">
        <v>2862</v>
      </c>
      <c r="J185" s="8" t="s">
        <v>306</v>
      </c>
      <c r="L185" s="8" t="s">
        <v>61</v>
      </c>
      <c r="N185" s="8" t="s">
        <v>83</v>
      </c>
      <c r="O185" s="8" t="s">
        <v>83</v>
      </c>
      <c r="Q185" s="8" t="s">
        <v>45</v>
      </c>
      <c r="R185" s="8">
        <v>2</v>
      </c>
      <c r="S185" s="8">
        <v>9</v>
      </c>
      <c r="T185" s="8">
        <f t="shared" si="15"/>
        <v>11</v>
      </c>
      <c r="U185" s="8">
        <v>1</v>
      </c>
      <c r="V185" s="8">
        <v>0</v>
      </c>
      <c r="W185" s="8">
        <v>1</v>
      </c>
      <c r="X185" s="8">
        <v>0</v>
      </c>
      <c r="Y185" s="8">
        <v>0</v>
      </c>
      <c r="Z185" s="8">
        <v>0</v>
      </c>
      <c r="AA185" s="8">
        <v>180</v>
      </c>
      <c r="AB185" s="9">
        <f t="shared" si="16"/>
        <v>0.33333333333333337</v>
      </c>
      <c r="AC185" s="10">
        <f t="shared" si="13"/>
        <v>32.999999999999993</v>
      </c>
      <c r="AD185" s="8" t="s">
        <v>46</v>
      </c>
      <c r="AE185" s="11">
        <v>89990</v>
      </c>
      <c r="AF185" s="11">
        <f t="shared" si="14"/>
        <v>989890</v>
      </c>
      <c r="AG185" s="12" t="s">
        <v>73</v>
      </c>
      <c r="AH185" s="8" t="s">
        <v>65</v>
      </c>
    </row>
    <row r="186" spans="1:34">
      <c r="A186" s="8" t="s">
        <v>307</v>
      </c>
      <c r="B186" s="16" t="s">
        <v>2859</v>
      </c>
      <c r="C186" s="8" t="s">
        <v>248</v>
      </c>
      <c r="D186" s="8" t="s">
        <v>249</v>
      </c>
      <c r="E186" s="8" t="str">
        <f t="shared" si="10"/>
        <v>CARAMELO</v>
      </c>
      <c r="H186" s="8" t="str">
        <f>VLOOKUP(A186,[1]BBDD!$B$1:$J$3274,9,FALSE)</f>
        <v>M</v>
      </c>
      <c r="I186" s="8" t="s">
        <v>2862</v>
      </c>
      <c r="J186" s="8" t="s">
        <v>306</v>
      </c>
      <c r="L186" s="8" t="s">
        <v>61</v>
      </c>
      <c r="N186" s="8" t="s">
        <v>62</v>
      </c>
      <c r="O186" s="8" t="s">
        <v>62</v>
      </c>
      <c r="Q186" s="8" t="s">
        <v>45</v>
      </c>
      <c r="R186" s="8">
        <v>5</v>
      </c>
      <c r="S186" s="8">
        <v>8</v>
      </c>
      <c r="T186" s="8">
        <f t="shared" si="15"/>
        <v>13</v>
      </c>
      <c r="U186" s="8">
        <v>1</v>
      </c>
      <c r="V186" s="8">
        <v>0</v>
      </c>
      <c r="W186" s="8">
        <v>3</v>
      </c>
      <c r="X186" s="8">
        <v>1</v>
      </c>
      <c r="Y186" s="8">
        <v>1</v>
      </c>
      <c r="Z186" s="8">
        <v>1</v>
      </c>
      <c r="AA186" s="8">
        <v>180</v>
      </c>
      <c r="AB186" s="9">
        <f t="shared" si="16"/>
        <v>1.1666666666666667</v>
      </c>
      <c r="AC186" s="10">
        <f t="shared" si="13"/>
        <v>11.142857142857142</v>
      </c>
      <c r="AD186" s="8" t="s">
        <v>46</v>
      </c>
      <c r="AE186" s="11">
        <v>89990</v>
      </c>
      <c r="AF186" s="11">
        <f t="shared" si="14"/>
        <v>1169870</v>
      </c>
      <c r="AG186" s="12" t="s">
        <v>51</v>
      </c>
      <c r="AH186" s="8" t="s">
        <v>65</v>
      </c>
    </row>
    <row r="187" spans="1:34">
      <c r="A187" s="8" t="s">
        <v>308</v>
      </c>
      <c r="B187" s="16" t="s">
        <v>2859</v>
      </c>
      <c r="C187" s="8" t="s">
        <v>248</v>
      </c>
      <c r="D187" s="8" t="s">
        <v>249</v>
      </c>
      <c r="E187" s="8" t="str">
        <f t="shared" si="10"/>
        <v>MALBEC</v>
      </c>
      <c r="H187" s="8" t="str">
        <f>VLOOKUP(A187,[1]BBDD!$B$1:$J$3274,9,FALSE)</f>
        <v>M</v>
      </c>
      <c r="I187" s="8" t="s">
        <v>2862</v>
      </c>
      <c r="J187" s="8" t="s">
        <v>306</v>
      </c>
      <c r="L187" s="8" t="s">
        <v>61</v>
      </c>
      <c r="N187" s="8" t="s">
        <v>69</v>
      </c>
      <c r="O187" s="8" t="s">
        <v>69</v>
      </c>
      <c r="Q187" s="8" t="s">
        <v>45</v>
      </c>
      <c r="R187" s="8">
        <v>6</v>
      </c>
      <c r="S187" s="8">
        <v>8</v>
      </c>
      <c r="T187" s="8">
        <f t="shared" si="15"/>
        <v>14</v>
      </c>
      <c r="U187" s="8">
        <v>1</v>
      </c>
      <c r="V187" s="8">
        <v>1</v>
      </c>
      <c r="W187" s="8">
        <v>0</v>
      </c>
      <c r="X187" s="8">
        <v>0</v>
      </c>
      <c r="Y187" s="8">
        <v>1</v>
      </c>
      <c r="Z187" s="8">
        <v>1</v>
      </c>
      <c r="AA187" s="8">
        <v>180</v>
      </c>
      <c r="AB187" s="9">
        <f t="shared" si="16"/>
        <v>0.66666666666666674</v>
      </c>
      <c r="AC187" s="10">
        <f t="shared" si="13"/>
        <v>20.999999999999996</v>
      </c>
      <c r="AD187" s="8" t="s">
        <v>46</v>
      </c>
      <c r="AE187" s="11">
        <v>89990</v>
      </c>
      <c r="AF187" s="11">
        <f t="shared" si="14"/>
        <v>1259860</v>
      </c>
      <c r="AG187" s="12" t="s">
        <v>64</v>
      </c>
      <c r="AH187" s="8" t="s">
        <v>65</v>
      </c>
    </row>
    <row r="188" spans="1:34">
      <c r="A188" s="8" t="s">
        <v>309</v>
      </c>
      <c r="B188" s="16" t="s">
        <v>2859</v>
      </c>
      <c r="C188" s="8" t="s">
        <v>248</v>
      </c>
      <c r="D188" s="8" t="s">
        <v>249</v>
      </c>
      <c r="E188" s="8" t="str">
        <f t="shared" si="10"/>
        <v>NEGRO</v>
      </c>
      <c r="H188" s="8" t="str">
        <f>VLOOKUP(A188,[1]BBDD!$B$1:$J$3274,9,FALSE)</f>
        <v>M</v>
      </c>
      <c r="I188" s="8" t="s">
        <v>2862</v>
      </c>
      <c r="J188" s="8" t="s">
        <v>306</v>
      </c>
      <c r="L188" s="8" t="s">
        <v>61</v>
      </c>
      <c r="N188" s="8" t="s">
        <v>44</v>
      </c>
      <c r="O188" s="8" t="s">
        <v>44</v>
      </c>
      <c r="Q188" s="8" t="s">
        <v>45</v>
      </c>
      <c r="R188" s="8">
        <v>6</v>
      </c>
      <c r="S188" s="8">
        <v>6</v>
      </c>
      <c r="T188" s="8">
        <f t="shared" si="15"/>
        <v>12</v>
      </c>
      <c r="U188" s="8">
        <v>1</v>
      </c>
      <c r="V188" s="8">
        <v>1</v>
      </c>
      <c r="W188" s="8">
        <v>1</v>
      </c>
      <c r="X188" s="8">
        <v>1</v>
      </c>
      <c r="Y188" s="8">
        <v>0</v>
      </c>
      <c r="Z188" s="8">
        <v>0</v>
      </c>
      <c r="AA188" s="8">
        <v>180</v>
      </c>
      <c r="AB188" s="9">
        <f t="shared" si="16"/>
        <v>0.66666666666666674</v>
      </c>
      <c r="AC188" s="10">
        <f t="shared" si="13"/>
        <v>17.999999999999996</v>
      </c>
      <c r="AD188" s="8" t="s">
        <v>46</v>
      </c>
      <c r="AE188" s="11">
        <v>89990</v>
      </c>
      <c r="AF188" s="11">
        <f t="shared" si="14"/>
        <v>1079880</v>
      </c>
      <c r="AG188" s="12" t="s">
        <v>64</v>
      </c>
      <c r="AH188" s="8" t="s">
        <v>65</v>
      </c>
    </row>
    <row r="189" spans="1:34">
      <c r="A189" s="8" t="s">
        <v>310</v>
      </c>
      <c r="B189" s="16" t="s">
        <v>2859</v>
      </c>
      <c r="C189" s="8" t="s">
        <v>248</v>
      </c>
      <c r="D189" s="8" t="s">
        <v>249</v>
      </c>
      <c r="E189" s="8" t="str">
        <f t="shared" si="10"/>
        <v>ROJO</v>
      </c>
      <c r="H189" s="8" t="str">
        <f>VLOOKUP(A189,[1]BBDD!$B$1:$J$3274,9,FALSE)</f>
        <v>M</v>
      </c>
      <c r="I189" s="8" t="s">
        <v>2862</v>
      </c>
      <c r="J189" s="8" t="s">
        <v>306</v>
      </c>
      <c r="L189" s="8" t="s">
        <v>61</v>
      </c>
      <c r="N189" s="8" t="s">
        <v>88</v>
      </c>
      <c r="O189" s="8" t="s">
        <v>88</v>
      </c>
      <c r="Q189" s="8" t="s">
        <v>45</v>
      </c>
      <c r="R189" s="8">
        <v>4</v>
      </c>
      <c r="S189" s="8">
        <v>4</v>
      </c>
      <c r="T189" s="8">
        <f t="shared" si="15"/>
        <v>8</v>
      </c>
      <c r="U189" s="8">
        <v>0</v>
      </c>
      <c r="V189" s="8">
        <v>0</v>
      </c>
      <c r="W189" s="8">
        <v>1</v>
      </c>
      <c r="X189" s="8">
        <v>0</v>
      </c>
      <c r="Y189" s="8">
        <v>0</v>
      </c>
      <c r="Z189" s="8">
        <v>3</v>
      </c>
      <c r="AA189" s="8">
        <v>180</v>
      </c>
      <c r="AB189" s="9">
        <f t="shared" si="16"/>
        <v>0.66666666666666674</v>
      </c>
      <c r="AC189" s="10">
        <f t="shared" si="13"/>
        <v>11.999999999999998</v>
      </c>
      <c r="AD189" s="8" t="s">
        <v>46</v>
      </c>
      <c r="AE189" s="11">
        <v>89990</v>
      </c>
      <c r="AF189" s="11">
        <f t="shared" si="14"/>
        <v>719920</v>
      </c>
      <c r="AG189" s="12" t="s">
        <v>51</v>
      </c>
      <c r="AH189" s="8" t="s">
        <v>35</v>
      </c>
    </row>
    <row r="190" spans="1:34">
      <c r="A190" s="8" t="s">
        <v>311</v>
      </c>
      <c r="B190" s="16" t="s">
        <v>2859</v>
      </c>
      <c r="C190" s="8" t="s">
        <v>248</v>
      </c>
      <c r="D190" s="8" t="s">
        <v>249</v>
      </c>
      <c r="E190" s="8" t="str">
        <f t="shared" si="10"/>
        <v>TABACO</v>
      </c>
      <c r="H190" s="8" t="str">
        <f>VLOOKUP(A190,[1]BBDD!$B$1:$J$3274,9,FALSE)</f>
        <v>M</v>
      </c>
      <c r="I190" s="8" t="s">
        <v>2862</v>
      </c>
      <c r="J190" s="8" t="s">
        <v>306</v>
      </c>
      <c r="L190" s="8" t="s">
        <v>61</v>
      </c>
      <c r="N190" s="8" t="s">
        <v>67</v>
      </c>
      <c r="O190" s="8" t="s">
        <v>67</v>
      </c>
      <c r="Q190" s="8" t="s">
        <v>45</v>
      </c>
      <c r="R190" s="8">
        <v>5</v>
      </c>
      <c r="S190" s="8">
        <v>8</v>
      </c>
      <c r="T190" s="8">
        <f t="shared" si="15"/>
        <v>13</v>
      </c>
      <c r="U190" s="8">
        <v>0</v>
      </c>
      <c r="V190" s="8">
        <v>0</v>
      </c>
      <c r="W190" s="8">
        <v>2</v>
      </c>
      <c r="X190" s="8">
        <v>0</v>
      </c>
      <c r="Y190" s="8">
        <v>0</v>
      </c>
      <c r="Z190" s="8">
        <v>2</v>
      </c>
      <c r="AA190" s="8">
        <v>180</v>
      </c>
      <c r="AB190" s="9">
        <f t="shared" si="16"/>
        <v>0.66666666666666674</v>
      </c>
      <c r="AC190" s="10">
        <f t="shared" si="13"/>
        <v>19.499999999999996</v>
      </c>
      <c r="AD190" s="8" t="s">
        <v>46</v>
      </c>
      <c r="AE190" s="11">
        <v>89990</v>
      </c>
      <c r="AF190" s="11">
        <f t="shared" si="14"/>
        <v>1169870</v>
      </c>
      <c r="AG190" s="12" t="s">
        <v>64</v>
      </c>
      <c r="AH190" s="8" t="s">
        <v>65</v>
      </c>
    </row>
    <row r="191" spans="1:34">
      <c r="A191" s="8" t="s">
        <v>312</v>
      </c>
      <c r="B191" s="16" t="s">
        <v>2859</v>
      </c>
      <c r="C191" s="8" t="s">
        <v>248</v>
      </c>
      <c r="D191" s="8" t="s">
        <v>249</v>
      </c>
      <c r="E191" s="8" t="str">
        <f t="shared" si="10"/>
        <v>NEGRO</v>
      </c>
      <c r="H191" s="8" t="str">
        <f>VLOOKUP(A191,[1]BBDD!$B$1:$J$3274,9,FALSE)</f>
        <v>H</v>
      </c>
      <c r="I191" s="8" t="s">
        <v>2863</v>
      </c>
      <c r="J191" s="8" t="s">
        <v>313</v>
      </c>
      <c r="L191" s="8" t="s">
        <v>211</v>
      </c>
      <c r="N191" s="8" t="s">
        <v>44</v>
      </c>
      <c r="O191" s="8" t="s">
        <v>44</v>
      </c>
      <c r="Q191" s="8" t="s">
        <v>32</v>
      </c>
      <c r="R191" s="8">
        <v>4</v>
      </c>
      <c r="S191" s="8">
        <v>5</v>
      </c>
      <c r="T191" s="8">
        <f t="shared" si="15"/>
        <v>9</v>
      </c>
      <c r="U191" s="8">
        <v>1</v>
      </c>
      <c r="V191" s="8">
        <v>0</v>
      </c>
      <c r="W191" s="8">
        <v>4</v>
      </c>
      <c r="X191" s="8">
        <v>0</v>
      </c>
      <c r="Y191" s="8">
        <v>0</v>
      </c>
      <c r="Z191" s="8">
        <v>0</v>
      </c>
      <c r="AA191" s="8">
        <v>180</v>
      </c>
      <c r="AB191" s="9">
        <f t="shared" si="16"/>
        <v>0.83333333333333326</v>
      </c>
      <c r="AC191" s="10">
        <f t="shared" si="13"/>
        <v>10.8</v>
      </c>
      <c r="AD191" s="8" t="s">
        <v>33</v>
      </c>
      <c r="AE191" s="11">
        <v>81990</v>
      </c>
      <c r="AF191" s="11">
        <f t="shared" si="14"/>
        <v>737910</v>
      </c>
      <c r="AG191" s="12" t="s">
        <v>51</v>
      </c>
      <c r="AH191" s="8" t="s">
        <v>35</v>
      </c>
    </row>
    <row r="192" spans="1:34">
      <c r="A192" s="8" t="s">
        <v>314</v>
      </c>
      <c r="B192" s="16" t="s">
        <v>2859</v>
      </c>
      <c r="C192" s="8" t="s">
        <v>248</v>
      </c>
      <c r="D192" s="8" t="s">
        <v>249</v>
      </c>
      <c r="E192" s="8" t="str">
        <f t="shared" si="10"/>
        <v>AZUL</v>
      </c>
      <c r="H192" s="8" t="str">
        <f>VLOOKUP(A192,[1]BBDD!$B$1:$J$3274,9,FALSE)</f>
        <v>H</v>
      </c>
      <c r="I192" s="8" t="s">
        <v>2863</v>
      </c>
      <c r="J192" s="8" t="s">
        <v>313</v>
      </c>
      <c r="L192" s="8" t="s">
        <v>82</v>
      </c>
      <c r="N192" s="8" t="s">
        <v>83</v>
      </c>
      <c r="O192" s="8" t="s">
        <v>83</v>
      </c>
      <c r="Q192" s="8" t="s">
        <v>32</v>
      </c>
      <c r="R192" s="8">
        <v>0</v>
      </c>
      <c r="S192" s="8">
        <v>5</v>
      </c>
      <c r="T192" s="8">
        <f t="shared" si="15"/>
        <v>5</v>
      </c>
      <c r="U192" s="8">
        <v>1</v>
      </c>
      <c r="V192" s="8">
        <v>0</v>
      </c>
      <c r="W192" s="8">
        <v>2</v>
      </c>
      <c r="X192" s="8">
        <v>0</v>
      </c>
      <c r="Y192" s="8">
        <v>3</v>
      </c>
      <c r="Z192" s="8">
        <v>2</v>
      </c>
      <c r="AA192" s="8">
        <v>180</v>
      </c>
      <c r="AB192" s="9">
        <f t="shared" si="16"/>
        <v>1.3333333333333335</v>
      </c>
      <c r="AC192" s="10">
        <f t="shared" si="13"/>
        <v>3.7499999999999996</v>
      </c>
      <c r="AD192" s="8" t="s">
        <v>33</v>
      </c>
      <c r="AE192" s="11">
        <v>81990</v>
      </c>
      <c r="AF192" s="11">
        <f t="shared" si="14"/>
        <v>409950</v>
      </c>
      <c r="AG192" s="12" t="s">
        <v>34</v>
      </c>
      <c r="AH192" s="8" t="s">
        <v>35</v>
      </c>
    </row>
    <row r="193" spans="1:34">
      <c r="A193" s="8" t="s">
        <v>315</v>
      </c>
      <c r="B193" s="16" t="s">
        <v>2859</v>
      </c>
      <c r="C193" s="8" t="s">
        <v>248</v>
      </c>
      <c r="D193" s="8" t="s">
        <v>249</v>
      </c>
      <c r="E193" s="8" t="str">
        <f t="shared" si="10"/>
        <v>CHOCOLATE</v>
      </c>
      <c r="H193" s="8" t="str">
        <f>VLOOKUP(A193,[1]BBDD!$B$1:$J$3274,9,FALSE)</f>
        <v>H</v>
      </c>
      <c r="I193" s="8" t="s">
        <v>2863</v>
      </c>
      <c r="J193" s="8" t="s">
        <v>313</v>
      </c>
      <c r="L193" s="8" t="s">
        <v>82</v>
      </c>
      <c r="N193" s="8" t="s">
        <v>252</v>
      </c>
      <c r="O193" s="8" t="s">
        <v>252</v>
      </c>
      <c r="Q193" s="8" t="s">
        <v>32</v>
      </c>
      <c r="R193" s="8">
        <v>0</v>
      </c>
      <c r="S193" s="8">
        <v>5</v>
      </c>
      <c r="T193" s="8">
        <f t="shared" si="15"/>
        <v>5</v>
      </c>
      <c r="U193" s="8">
        <v>3</v>
      </c>
      <c r="V193" s="8">
        <v>0</v>
      </c>
      <c r="W193" s="8">
        <v>2</v>
      </c>
      <c r="X193" s="8">
        <v>0</v>
      </c>
      <c r="Y193" s="8">
        <v>0</v>
      </c>
      <c r="Z193" s="8">
        <v>1</v>
      </c>
      <c r="AA193" s="8">
        <v>180</v>
      </c>
      <c r="AB193" s="9">
        <f t="shared" si="16"/>
        <v>1</v>
      </c>
      <c r="AC193" s="10">
        <f t="shared" si="13"/>
        <v>5</v>
      </c>
      <c r="AD193" s="8" t="s">
        <v>33</v>
      </c>
      <c r="AE193" s="11">
        <v>81990</v>
      </c>
      <c r="AF193" s="11">
        <f t="shared" si="14"/>
        <v>409950</v>
      </c>
      <c r="AG193" s="12" t="s">
        <v>34</v>
      </c>
      <c r="AH193" s="8" t="s">
        <v>35</v>
      </c>
    </row>
    <row r="194" spans="1:34">
      <c r="A194" s="8" t="s">
        <v>316</v>
      </c>
      <c r="B194" s="16" t="s">
        <v>2859</v>
      </c>
      <c r="C194" s="8" t="s">
        <v>248</v>
      </c>
      <c r="D194" s="8" t="s">
        <v>249</v>
      </c>
      <c r="E194" s="8" t="str">
        <f t="shared" si="10"/>
        <v>NEGRO</v>
      </c>
      <c r="H194" s="8" t="str">
        <f>VLOOKUP(A194,[1]BBDD!$B$1:$J$3274,9,FALSE)</f>
        <v>H</v>
      </c>
      <c r="I194" s="8" t="s">
        <v>2863</v>
      </c>
      <c r="J194" s="8" t="s">
        <v>313</v>
      </c>
      <c r="L194" s="8" t="s">
        <v>82</v>
      </c>
      <c r="N194" s="8" t="s">
        <v>44</v>
      </c>
      <c r="O194" s="8" t="s">
        <v>44</v>
      </c>
      <c r="Q194" s="8" t="s">
        <v>32</v>
      </c>
      <c r="R194" s="8">
        <v>0</v>
      </c>
      <c r="S194" s="8">
        <v>5</v>
      </c>
      <c r="T194" s="8">
        <f t="shared" si="15"/>
        <v>5</v>
      </c>
      <c r="U194" s="8">
        <v>2</v>
      </c>
      <c r="V194" s="8">
        <v>1</v>
      </c>
      <c r="W194" s="8">
        <v>0</v>
      </c>
      <c r="X194" s="8">
        <v>0</v>
      </c>
      <c r="Y194" s="8">
        <v>1</v>
      </c>
      <c r="Z194" s="8">
        <v>2</v>
      </c>
      <c r="AA194" s="8">
        <v>180</v>
      </c>
      <c r="AB194" s="9">
        <f t="shared" si="16"/>
        <v>1</v>
      </c>
      <c r="AC194" s="10">
        <f t="shared" si="13"/>
        <v>5</v>
      </c>
      <c r="AD194" s="8" t="s">
        <v>33</v>
      </c>
      <c r="AE194" s="11">
        <v>81990</v>
      </c>
      <c r="AF194" s="11">
        <f t="shared" si="14"/>
        <v>409950</v>
      </c>
      <c r="AG194" s="12" t="s">
        <v>34</v>
      </c>
      <c r="AH194" s="8" t="s">
        <v>35</v>
      </c>
    </row>
    <row r="195" spans="1:34">
      <c r="A195" s="8" t="s">
        <v>317</v>
      </c>
      <c r="B195" s="16" t="s">
        <v>2859</v>
      </c>
      <c r="C195" s="8" t="s">
        <v>248</v>
      </c>
      <c r="D195" s="8" t="s">
        <v>249</v>
      </c>
      <c r="E195" s="8" t="str">
        <f t="shared" ref="E195:E258" si="17">TRIM(N195)</f>
        <v>SUELA</v>
      </c>
      <c r="H195" s="8" t="str">
        <f>VLOOKUP(A195,[1]BBDD!$B$1:$J$3274,9,FALSE)</f>
        <v>H</v>
      </c>
      <c r="I195" s="8" t="s">
        <v>2863</v>
      </c>
      <c r="J195" s="8" t="s">
        <v>313</v>
      </c>
      <c r="L195" s="8" t="s">
        <v>82</v>
      </c>
      <c r="N195" s="8" t="s">
        <v>90</v>
      </c>
      <c r="O195" s="8" t="s">
        <v>90</v>
      </c>
      <c r="Q195" s="8" t="s">
        <v>32</v>
      </c>
      <c r="R195" s="8">
        <v>2</v>
      </c>
      <c r="S195" s="8">
        <v>7</v>
      </c>
      <c r="T195" s="8">
        <f t="shared" si="15"/>
        <v>9</v>
      </c>
      <c r="U195" s="8">
        <v>0</v>
      </c>
      <c r="V195" s="8">
        <v>0</v>
      </c>
      <c r="W195" s="8">
        <v>1</v>
      </c>
      <c r="X195" s="8">
        <v>1</v>
      </c>
      <c r="Y195" s="8">
        <v>0</v>
      </c>
      <c r="Z195" s="8">
        <v>2</v>
      </c>
      <c r="AA195" s="8">
        <v>180</v>
      </c>
      <c r="AB195" s="9">
        <f t="shared" si="16"/>
        <v>0.66666666666666674</v>
      </c>
      <c r="AC195" s="10">
        <f t="shared" ref="AC195:AC258" si="18">IFERROR(T195/AB195,"sin venta")</f>
        <v>13.499999999999998</v>
      </c>
      <c r="AD195" s="8" t="s">
        <v>33</v>
      </c>
      <c r="AE195" s="11">
        <v>81990</v>
      </c>
      <c r="AF195" s="11">
        <f t="shared" ref="AF195:AF258" si="19">IFERROR(AE195*T195,0)</f>
        <v>737910</v>
      </c>
      <c r="AG195" s="12" t="s">
        <v>64</v>
      </c>
      <c r="AH195" s="8" t="s">
        <v>35</v>
      </c>
    </row>
    <row r="196" spans="1:34">
      <c r="A196" s="8" t="s">
        <v>318</v>
      </c>
      <c r="B196" s="16" t="s">
        <v>2859</v>
      </c>
      <c r="C196" s="8" t="s">
        <v>248</v>
      </c>
      <c r="D196" s="8" t="s">
        <v>249</v>
      </c>
      <c r="E196" s="8" t="str">
        <f t="shared" si="17"/>
        <v>VERDE</v>
      </c>
      <c r="H196" s="8" t="str">
        <f>VLOOKUP(A196,[1]BBDD!$B$1:$J$3274,9,FALSE)</f>
        <v>H</v>
      </c>
      <c r="I196" s="8" t="s">
        <v>2863</v>
      </c>
      <c r="J196" s="8" t="s">
        <v>313</v>
      </c>
      <c r="L196" s="8" t="s">
        <v>82</v>
      </c>
      <c r="N196" s="8" t="s">
        <v>92</v>
      </c>
      <c r="O196" s="8" t="s">
        <v>92</v>
      </c>
      <c r="Q196" s="8" t="s">
        <v>32</v>
      </c>
      <c r="R196" s="8">
        <v>0</v>
      </c>
      <c r="S196" s="8">
        <v>4</v>
      </c>
      <c r="T196" s="8">
        <f t="shared" si="15"/>
        <v>4</v>
      </c>
      <c r="U196" s="8">
        <v>0</v>
      </c>
      <c r="V196" s="8">
        <v>2</v>
      </c>
      <c r="W196" s="8">
        <v>3</v>
      </c>
      <c r="X196" s="8">
        <v>0</v>
      </c>
      <c r="Y196" s="8">
        <v>1</v>
      </c>
      <c r="Z196" s="8">
        <v>0</v>
      </c>
      <c r="AA196" s="8">
        <v>180</v>
      </c>
      <c r="AB196" s="9">
        <f t="shared" si="16"/>
        <v>1</v>
      </c>
      <c r="AC196" s="10">
        <f t="shared" si="18"/>
        <v>4</v>
      </c>
      <c r="AD196" s="8" t="s">
        <v>33</v>
      </c>
      <c r="AE196" s="11">
        <v>81990</v>
      </c>
      <c r="AF196" s="11">
        <f t="shared" si="19"/>
        <v>327960</v>
      </c>
      <c r="AG196" s="12" t="s">
        <v>34</v>
      </c>
      <c r="AH196" s="8" t="s">
        <v>35</v>
      </c>
    </row>
    <row r="197" spans="1:34">
      <c r="A197" s="8" t="s">
        <v>319</v>
      </c>
      <c r="B197" s="16" t="s">
        <v>2859</v>
      </c>
      <c r="C197" s="8" t="s">
        <v>248</v>
      </c>
      <c r="D197" s="8" t="s">
        <v>249</v>
      </c>
      <c r="E197" s="8" t="str">
        <f t="shared" si="17"/>
        <v>CARAMELO</v>
      </c>
      <c r="H197" s="8" t="str">
        <f>VLOOKUP(A197,[1]BBDD!$B$1:$J$3274,9,FALSE)</f>
        <v>H</v>
      </c>
      <c r="I197" s="8" t="s">
        <v>2863</v>
      </c>
      <c r="J197" s="8" t="s">
        <v>313</v>
      </c>
      <c r="L197" s="8" t="s">
        <v>82</v>
      </c>
      <c r="N197" s="8" t="s">
        <v>62</v>
      </c>
      <c r="O197" s="8" t="s">
        <v>62</v>
      </c>
      <c r="Q197" s="8" t="s">
        <v>45</v>
      </c>
      <c r="R197" s="8">
        <v>1</v>
      </c>
      <c r="S197" s="8">
        <v>8</v>
      </c>
      <c r="T197" s="8">
        <f t="shared" si="15"/>
        <v>9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180</v>
      </c>
      <c r="AB197" s="9">
        <f t="shared" si="16"/>
        <v>0</v>
      </c>
      <c r="AC197" s="10" t="str">
        <f t="shared" si="18"/>
        <v>sin venta</v>
      </c>
      <c r="AD197" s="8" t="s">
        <v>109</v>
      </c>
      <c r="AE197" s="11">
        <v>81990</v>
      </c>
      <c r="AF197" s="11">
        <f t="shared" si="19"/>
        <v>737910</v>
      </c>
      <c r="AG197" s="12" t="s">
        <v>73</v>
      </c>
      <c r="AH197" s="8" t="s">
        <v>35</v>
      </c>
    </row>
    <row r="198" spans="1:34">
      <c r="A198" s="8" t="s">
        <v>320</v>
      </c>
      <c r="B198" s="16" t="s">
        <v>2859</v>
      </c>
      <c r="C198" s="8" t="s">
        <v>248</v>
      </c>
      <c r="D198" s="8" t="s">
        <v>249</v>
      </c>
      <c r="E198" s="8" t="str">
        <f t="shared" si="17"/>
        <v>CARAMELO</v>
      </c>
      <c r="H198" s="8" t="str">
        <f>VLOOKUP(A198,[1]BBDD!$B$1:$J$3274,9,FALSE)</f>
        <v>H</v>
      </c>
      <c r="I198" s="8" t="s">
        <v>2863</v>
      </c>
      <c r="J198" s="8" t="s">
        <v>321</v>
      </c>
      <c r="L198" s="8" t="s">
        <v>61</v>
      </c>
      <c r="N198" s="8" t="s">
        <v>62</v>
      </c>
      <c r="O198" s="8" t="s">
        <v>62</v>
      </c>
      <c r="Q198" s="8" t="s">
        <v>32</v>
      </c>
      <c r="R198" s="8">
        <v>47</v>
      </c>
      <c r="S198" s="8">
        <v>18</v>
      </c>
      <c r="T198" s="8">
        <f t="shared" si="15"/>
        <v>65</v>
      </c>
      <c r="U198" s="8">
        <v>0</v>
      </c>
      <c r="V198" s="8">
        <v>0</v>
      </c>
      <c r="W198" s="8">
        <v>1</v>
      </c>
      <c r="X198" s="8">
        <v>1</v>
      </c>
      <c r="Y198" s="8">
        <v>1</v>
      </c>
      <c r="Z198" s="8">
        <v>2</v>
      </c>
      <c r="AA198" s="8">
        <v>180</v>
      </c>
      <c r="AB198" s="9">
        <f t="shared" si="16"/>
        <v>0.83333333333333326</v>
      </c>
      <c r="AC198" s="10">
        <f t="shared" si="18"/>
        <v>78</v>
      </c>
      <c r="AD198" s="8" t="s">
        <v>33</v>
      </c>
      <c r="AE198" s="11">
        <v>44990</v>
      </c>
      <c r="AF198" s="11">
        <f t="shared" si="19"/>
        <v>2924350</v>
      </c>
      <c r="AG198" s="12" t="s">
        <v>73</v>
      </c>
      <c r="AH198" s="8" t="s">
        <v>74</v>
      </c>
    </row>
    <row r="199" spans="1:34">
      <c r="A199" s="8" t="s">
        <v>322</v>
      </c>
      <c r="B199" s="16" t="s">
        <v>2859</v>
      </c>
      <c r="C199" s="8" t="s">
        <v>248</v>
      </c>
      <c r="D199" s="8" t="s">
        <v>249</v>
      </c>
      <c r="E199" s="8" t="str">
        <f t="shared" si="17"/>
        <v>CHOCOLATE</v>
      </c>
      <c r="H199" s="8" t="str">
        <f>VLOOKUP(A199,[1]BBDD!$B$1:$J$3274,9,FALSE)</f>
        <v>H</v>
      </c>
      <c r="I199" s="8" t="s">
        <v>2863</v>
      </c>
      <c r="J199" s="8" t="s">
        <v>321</v>
      </c>
      <c r="L199" s="8" t="s">
        <v>61</v>
      </c>
      <c r="N199" s="8" t="s">
        <v>252</v>
      </c>
      <c r="O199" s="8" t="s">
        <v>252</v>
      </c>
      <c r="Q199" s="8" t="s">
        <v>32</v>
      </c>
      <c r="R199" s="8">
        <v>46</v>
      </c>
      <c r="S199" s="8">
        <v>19</v>
      </c>
      <c r="T199" s="8">
        <f t="shared" si="15"/>
        <v>65</v>
      </c>
      <c r="U199" s="8">
        <v>13</v>
      </c>
      <c r="V199" s="8">
        <v>0</v>
      </c>
      <c r="W199" s="8">
        <v>7</v>
      </c>
      <c r="X199" s="8">
        <v>5</v>
      </c>
      <c r="Y199" s="8">
        <v>3</v>
      </c>
      <c r="Z199" s="8">
        <v>11</v>
      </c>
      <c r="AA199" s="8">
        <v>180</v>
      </c>
      <c r="AB199" s="9">
        <f t="shared" si="16"/>
        <v>6.5</v>
      </c>
      <c r="AC199" s="10">
        <f t="shared" si="18"/>
        <v>10</v>
      </c>
      <c r="AD199" s="8" t="s">
        <v>33</v>
      </c>
      <c r="AE199" s="11">
        <v>44990</v>
      </c>
      <c r="AF199" s="11">
        <f t="shared" si="19"/>
        <v>2924350</v>
      </c>
      <c r="AG199" s="12" t="s">
        <v>51</v>
      </c>
      <c r="AH199" s="8" t="s">
        <v>74</v>
      </c>
    </row>
    <row r="200" spans="1:34">
      <c r="A200" s="8" t="s">
        <v>323</v>
      </c>
      <c r="B200" s="16" t="s">
        <v>2859</v>
      </c>
      <c r="C200" s="8" t="s">
        <v>248</v>
      </c>
      <c r="D200" s="8" t="s">
        <v>249</v>
      </c>
      <c r="E200" s="8" t="str">
        <f t="shared" si="17"/>
        <v>NEGRO</v>
      </c>
      <c r="H200" s="8" t="str">
        <f>VLOOKUP(A200,[1]BBDD!$B$1:$J$3274,9,FALSE)</f>
        <v>H</v>
      </c>
      <c r="I200" s="8" t="s">
        <v>2863</v>
      </c>
      <c r="J200" s="8" t="s">
        <v>321</v>
      </c>
      <c r="L200" s="8" t="s">
        <v>61</v>
      </c>
      <c r="N200" s="8" t="s">
        <v>44</v>
      </c>
      <c r="O200" s="8" t="s">
        <v>44</v>
      </c>
      <c r="Q200" s="8" t="s">
        <v>32</v>
      </c>
      <c r="R200" s="8">
        <v>22</v>
      </c>
      <c r="S200" s="8">
        <v>31</v>
      </c>
      <c r="T200" s="8">
        <f t="shared" si="15"/>
        <v>53</v>
      </c>
      <c r="U200" s="8">
        <v>2</v>
      </c>
      <c r="V200" s="8">
        <v>6</v>
      </c>
      <c r="W200" s="8">
        <v>19</v>
      </c>
      <c r="X200" s="8">
        <v>8</v>
      </c>
      <c r="Y200" s="8">
        <v>4</v>
      </c>
      <c r="Z200" s="8">
        <v>4</v>
      </c>
      <c r="AA200" s="8">
        <v>180</v>
      </c>
      <c r="AB200" s="9">
        <f t="shared" si="16"/>
        <v>7.166666666666667</v>
      </c>
      <c r="AC200" s="10">
        <f t="shared" si="18"/>
        <v>7.3953488372093021</v>
      </c>
      <c r="AD200" s="8" t="s">
        <v>33</v>
      </c>
      <c r="AE200" s="11">
        <v>44990</v>
      </c>
      <c r="AF200" s="11">
        <f t="shared" si="19"/>
        <v>2384470</v>
      </c>
      <c r="AG200" s="12" t="s">
        <v>51</v>
      </c>
      <c r="AH200" s="8" t="s">
        <v>74</v>
      </c>
    </row>
    <row r="201" spans="1:34">
      <c r="A201" s="8" t="s">
        <v>324</v>
      </c>
      <c r="B201" s="16" t="s">
        <v>2859</v>
      </c>
      <c r="C201" s="8" t="s">
        <v>248</v>
      </c>
      <c r="D201" s="8" t="s">
        <v>249</v>
      </c>
      <c r="E201" s="8" t="str">
        <f t="shared" si="17"/>
        <v>TABACO</v>
      </c>
      <c r="H201" s="8" t="str">
        <f>VLOOKUP(A201,[1]BBDD!$B$1:$J$3274,9,FALSE)</f>
        <v>H</v>
      </c>
      <c r="I201" s="8" t="s">
        <v>2863</v>
      </c>
      <c r="J201" s="8" t="s">
        <v>321</v>
      </c>
      <c r="L201" s="8" t="s">
        <v>61</v>
      </c>
      <c r="N201" s="8" t="s">
        <v>67</v>
      </c>
      <c r="O201" s="8" t="s">
        <v>67</v>
      </c>
      <c r="Q201" s="8" t="s">
        <v>32</v>
      </c>
      <c r="R201" s="8">
        <v>69</v>
      </c>
      <c r="S201" s="8">
        <v>17</v>
      </c>
      <c r="T201" s="8">
        <f t="shared" si="15"/>
        <v>86</v>
      </c>
      <c r="U201" s="8">
        <v>4</v>
      </c>
      <c r="V201" s="8">
        <v>2</v>
      </c>
      <c r="W201" s="8">
        <v>0</v>
      </c>
      <c r="X201" s="8">
        <v>2</v>
      </c>
      <c r="Y201" s="8">
        <v>1</v>
      </c>
      <c r="Z201" s="8">
        <v>5</v>
      </c>
      <c r="AA201" s="8">
        <v>180</v>
      </c>
      <c r="AB201" s="9">
        <f t="shared" si="16"/>
        <v>2.3333333333333335</v>
      </c>
      <c r="AC201" s="10">
        <f t="shared" si="18"/>
        <v>36.857142857142854</v>
      </c>
      <c r="AD201" s="8" t="s">
        <v>33</v>
      </c>
      <c r="AE201" s="11">
        <v>44990</v>
      </c>
      <c r="AF201" s="11">
        <f t="shared" si="19"/>
        <v>3869140</v>
      </c>
      <c r="AG201" s="12" t="s">
        <v>73</v>
      </c>
      <c r="AH201" s="8" t="s">
        <v>74</v>
      </c>
    </row>
    <row r="202" spans="1:34">
      <c r="A202" s="8" t="s">
        <v>325</v>
      </c>
      <c r="B202" s="16" t="s">
        <v>2859</v>
      </c>
      <c r="C202" s="8" t="s">
        <v>248</v>
      </c>
      <c r="D202" s="8" t="s">
        <v>249</v>
      </c>
      <c r="E202" s="8" t="str">
        <f t="shared" si="17"/>
        <v>AZUL</v>
      </c>
      <c r="H202" s="8" t="str">
        <f>VLOOKUP(A202,[1]BBDD!$B$1:$J$3274,9,FALSE)</f>
        <v>H</v>
      </c>
      <c r="I202" s="8" t="s">
        <v>2863</v>
      </c>
      <c r="J202" s="8" t="s">
        <v>321</v>
      </c>
      <c r="L202" s="8" t="s">
        <v>61</v>
      </c>
      <c r="N202" s="8" t="s">
        <v>83</v>
      </c>
      <c r="O202" s="8" t="s">
        <v>83</v>
      </c>
      <c r="Q202" s="8" t="s">
        <v>45</v>
      </c>
      <c r="R202" s="8">
        <v>0</v>
      </c>
      <c r="S202" s="8">
        <v>4</v>
      </c>
      <c r="T202" s="8">
        <f t="shared" si="15"/>
        <v>4</v>
      </c>
      <c r="U202" s="8">
        <v>1</v>
      </c>
      <c r="V202" s="8">
        <v>0</v>
      </c>
      <c r="W202" s="8">
        <v>1</v>
      </c>
      <c r="X202" s="8">
        <v>0</v>
      </c>
      <c r="Y202" s="8">
        <v>2</v>
      </c>
      <c r="Z202" s="8">
        <v>0</v>
      </c>
      <c r="AA202" s="8">
        <v>180</v>
      </c>
      <c r="AB202" s="9">
        <f t="shared" si="16"/>
        <v>0.66666666666666674</v>
      </c>
      <c r="AC202" s="10">
        <f t="shared" si="18"/>
        <v>5.9999999999999991</v>
      </c>
      <c r="AD202" s="8" t="s">
        <v>109</v>
      </c>
      <c r="AE202" s="11">
        <v>44990</v>
      </c>
      <c r="AF202" s="11">
        <f t="shared" si="19"/>
        <v>179960</v>
      </c>
      <c r="AG202" s="12" t="s">
        <v>34</v>
      </c>
      <c r="AH202" s="8" t="s">
        <v>35</v>
      </c>
    </row>
    <row r="203" spans="1:34">
      <c r="A203" s="8" t="s">
        <v>326</v>
      </c>
      <c r="B203" s="16" t="s">
        <v>2859</v>
      </c>
      <c r="C203" s="8" t="s">
        <v>248</v>
      </c>
      <c r="D203" s="8" t="s">
        <v>249</v>
      </c>
      <c r="E203" s="8" t="str">
        <f t="shared" si="17"/>
        <v>VERDE</v>
      </c>
      <c r="H203" s="8" t="str">
        <f>VLOOKUP(A203,[1]BBDD!$B$1:$J$3274,9,FALSE)</f>
        <v>H</v>
      </c>
      <c r="I203" s="8" t="s">
        <v>2863</v>
      </c>
      <c r="J203" s="8" t="s">
        <v>321</v>
      </c>
      <c r="L203" s="8" t="s">
        <v>61</v>
      </c>
      <c r="N203" s="8" t="s">
        <v>92</v>
      </c>
      <c r="O203" s="8" t="s">
        <v>92</v>
      </c>
      <c r="Q203" s="8" t="s">
        <v>45</v>
      </c>
      <c r="R203" s="8">
        <v>0</v>
      </c>
      <c r="S203" s="8">
        <v>1</v>
      </c>
      <c r="T203" s="8">
        <f t="shared" si="15"/>
        <v>1</v>
      </c>
      <c r="U203" s="8">
        <v>2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180</v>
      </c>
      <c r="AB203" s="9">
        <f t="shared" si="16"/>
        <v>0.33333333333333337</v>
      </c>
      <c r="AC203" s="10">
        <f t="shared" si="18"/>
        <v>2.9999999999999996</v>
      </c>
      <c r="AD203" s="8" t="s">
        <v>109</v>
      </c>
      <c r="AE203" s="11">
        <v>44990</v>
      </c>
      <c r="AF203" s="11">
        <f t="shared" si="19"/>
        <v>44990</v>
      </c>
      <c r="AG203" s="12" t="s">
        <v>34</v>
      </c>
      <c r="AH203" s="8" t="s">
        <v>35</v>
      </c>
    </row>
    <row r="204" spans="1:34">
      <c r="A204" s="8" t="s">
        <v>327</v>
      </c>
      <c r="B204" s="16" t="s">
        <v>2859</v>
      </c>
      <c r="C204" s="8" t="s">
        <v>248</v>
      </c>
      <c r="D204" s="8" t="s">
        <v>249</v>
      </c>
      <c r="E204" s="8" t="str">
        <f t="shared" si="17"/>
        <v>NEGRO</v>
      </c>
      <c r="H204" s="8" t="str">
        <f>VLOOKUP(A204,[1]BBDD!$B$1:$J$3274,9,FALSE)</f>
        <v>H</v>
      </c>
      <c r="I204" s="8" t="s">
        <v>2863</v>
      </c>
      <c r="J204" s="8" t="s">
        <v>321</v>
      </c>
      <c r="L204" s="8" t="s">
        <v>211</v>
      </c>
      <c r="N204" s="8" t="s">
        <v>44</v>
      </c>
      <c r="O204" s="8" t="s">
        <v>44</v>
      </c>
      <c r="Q204" s="8" t="s">
        <v>32</v>
      </c>
      <c r="R204" s="8">
        <v>27</v>
      </c>
      <c r="S204" s="8">
        <v>19</v>
      </c>
      <c r="T204" s="8">
        <f t="shared" si="15"/>
        <v>46</v>
      </c>
      <c r="U204" s="8">
        <v>3</v>
      </c>
      <c r="V204" s="8">
        <v>2</v>
      </c>
      <c r="W204" s="8">
        <v>5</v>
      </c>
      <c r="X204" s="8">
        <v>4</v>
      </c>
      <c r="Y204" s="8">
        <v>6</v>
      </c>
      <c r="Z204" s="8">
        <v>1</v>
      </c>
      <c r="AA204" s="8">
        <v>180</v>
      </c>
      <c r="AB204" s="9">
        <f t="shared" si="16"/>
        <v>3.5</v>
      </c>
      <c r="AC204" s="10">
        <f t="shared" si="18"/>
        <v>13.142857142857142</v>
      </c>
      <c r="AD204" s="8" t="s">
        <v>33</v>
      </c>
      <c r="AE204" s="11">
        <v>44990</v>
      </c>
      <c r="AF204" s="11">
        <f t="shared" si="19"/>
        <v>2069540</v>
      </c>
      <c r="AG204" s="12" t="s">
        <v>64</v>
      </c>
      <c r="AH204" s="8" t="s">
        <v>74</v>
      </c>
    </row>
    <row r="205" spans="1:34">
      <c r="A205" s="8" t="s">
        <v>328</v>
      </c>
      <c r="B205" s="16" t="s">
        <v>2859</v>
      </c>
      <c r="C205" s="8" t="s">
        <v>248</v>
      </c>
      <c r="D205" s="8" t="s">
        <v>249</v>
      </c>
      <c r="E205" s="8" t="str">
        <f t="shared" si="17"/>
        <v>CEDRO</v>
      </c>
      <c r="H205" s="8" t="str">
        <f>VLOOKUP(A205,[1]BBDD!$B$1:$J$3274,9,FALSE)</f>
        <v>H</v>
      </c>
      <c r="I205" s="8" t="s">
        <v>2863</v>
      </c>
      <c r="J205" s="8" t="s">
        <v>321</v>
      </c>
      <c r="L205" s="8" t="s">
        <v>112</v>
      </c>
      <c r="N205" s="8" t="s">
        <v>113</v>
      </c>
      <c r="O205" s="8" t="s">
        <v>113</v>
      </c>
      <c r="Q205" s="8" t="s">
        <v>32</v>
      </c>
      <c r="R205" s="8">
        <v>8</v>
      </c>
      <c r="S205" s="8">
        <v>12</v>
      </c>
      <c r="T205" s="8">
        <f t="shared" si="15"/>
        <v>20</v>
      </c>
      <c r="U205" s="8">
        <v>2</v>
      </c>
      <c r="V205" s="8">
        <v>6</v>
      </c>
      <c r="W205" s="8">
        <v>3</v>
      </c>
      <c r="X205" s="8">
        <v>2</v>
      </c>
      <c r="Y205" s="8">
        <v>0</v>
      </c>
      <c r="Z205" s="8">
        <v>1</v>
      </c>
      <c r="AA205" s="8">
        <v>180</v>
      </c>
      <c r="AB205" s="9">
        <f t="shared" si="16"/>
        <v>2.3333333333333335</v>
      </c>
      <c r="AC205" s="10">
        <f t="shared" si="18"/>
        <v>8.5714285714285712</v>
      </c>
      <c r="AD205" s="8" t="s">
        <v>33</v>
      </c>
      <c r="AE205" s="11">
        <v>44990</v>
      </c>
      <c r="AF205" s="11">
        <f t="shared" si="19"/>
        <v>899800</v>
      </c>
      <c r="AG205" s="12" t="s">
        <v>51</v>
      </c>
      <c r="AH205" s="8" t="s">
        <v>65</v>
      </c>
    </row>
    <row r="206" spans="1:34">
      <c r="A206" s="8" t="s">
        <v>329</v>
      </c>
      <c r="B206" s="16" t="s">
        <v>2859</v>
      </c>
      <c r="C206" s="8" t="s">
        <v>248</v>
      </c>
      <c r="D206" s="8" t="s">
        <v>249</v>
      </c>
      <c r="E206" s="8" t="str">
        <f t="shared" si="17"/>
        <v>NEGRO</v>
      </c>
      <c r="H206" s="8" t="str">
        <f>VLOOKUP(A206,[1]BBDD!$B$1:$J$3274,9,FALSE)</f>
        <v>H</v>
      </c>
      <c r="I206" s="8" t="s">
        <v>2863</v>
      </c>
      <c r="J206" s="8" t="s">
        <v>321</v>
      </c>
      <c r="L206" s="8" t="s">
        <v>238</v>
      </c>
      <c r="N206" s="8" t="s">
        <v>44</v>
      </c>
      <c r="O206" s="8" t="s">
        <v>44</v>
      </c>
      <c r="Q206" s="8" t="s">
        <v>32</v>
      </c>
      <c r="R206" s="8">
        <v>0</v>
      </c>
      <c r="S206" s="8">
        <v>8</v>
      </c>
      <c r="T206" s="8">
        <f t="shared" si="15"/>
        <v>8</v>
      </c>
      <c r="U206" s="8">
        <v>13</v>
      </c>
      <c r="V206" s="8">
        <v>3</v>
      </c>
      <c r="W206" s="8">
        <v>0</v>
      </c>
      <c r="X206" s="8">
        <v>3</v>
      </c>
      <c r="Y206" s="8">
        <v>4</v>
      </c>
      <c r="Z206" s="8">
        <v>1</v>
      </c>
      <c r="AA206" s="8">
        <v>180</v>
      </c>
      <c r="AB206" s="9">
        <f t="shared" si="16"/>
        <v>4</v>
      </c>
      <c r="AC206" s="10">
        <f t="shared" si="18"/>
        <v>2</v>
      </c>
      <c r="AD206" s="8" t="s">
        <v>33</v>
      </c>
      <c r="AE206" s="11">
        <v>45990</v>
      </c>
      <c r="AF206" s="11">
        <f t="shared" si="19"/>
        <v>367920</v>
      </c>
      <c r="AG206" s="12" t="s">
        <v>34</v>
      </c>
      <c r="AH206" s="8" t="s">
        <v>35</v>
      </c>
    </row>
    <row r="207" spans="1:34">
      <c r="A207" s="8" t="s">
        <v>330</v>
      </c>
      <c r="B207" s="16" t="s">
        <v>2859</v>
      </c>
      <c r="C207" s="8" t="s">
        <v>248</v>
      </c>
      <c r="D207" s="8" t="s">
        <v>249</v>
      </c>
      <c r="E207" s="8" t="str">
        <f t="shared" si="17"/>
        <v>CARAMELO</v>
      </c>
      <c r="H207" s="8" t="str">
        <f>VLOOKUP(A207,[1]BBDD!$B$1:$J$3274,9,FALSE)</f>
        <v>H</v>
      </c>
      <c r="I207" s="8" t="s">
        <v>2863</v>
      </c>
      <c r="J207" s="8" t="s">
        <v>321</v>
      </c>
      <c r="L207" s="8" t="s">
        <v>238</v>
      </c>
      <c r="N207" s="8" t="s">
        <v>62</v>
      </c>
      <c r="O207" s="8" t="s">
        <v>62</v>
      </c>
      <c r="Q207" s="8" t="s">
        <v>45</v>
      </c>
      <c r="R207" s="8">
        <v>6</v>
      </c>
      <c r="S207" s="8">
        <v>10</v>
      </c>
      <c r="T207" s="8">
        <f t="shared" si="15"/>
        <v>16</v>
      </c>
      <c r="U207" s="8">
        <v>2</v>
      </c>
      <c r="V207" s="8">
        <v>2</v>
      </c>
      <c r="W207" s="8">
        <v>1</v>
      </c>
      <c r="X207" s="8">
        <v>0</v>
      </c>
      <c r="Y207" s="8">
        <v>2</v>
      </c>
      <c r="Z207" s="8">
        <v>1</v>
      </c>
      <c r="AA207" s="8">
        <v>180</v>
      </c>
      <c r="AB207" s="9">
        <f t="shared" si="16"/>
        <v>1.3333333333333335</v>
      </c>
      <c r="AC207" s="10">
        <f t="shared" si="18"/>
        <v>11.999999999999998</v>
      </c>
      <c r="AD207" s="8" t="s">
        <v>109</v>
      </c>
      <c r="AE207" s="11">
        <v>45990</v>
      </c>
      <c r="AF207" s="11">
        <f t="shared" si="19"/>
        <v>735840</v>
      </c>
      <c r="AG207" s="12" t="s">
        <v>51</v>
      </c>
      <c r="AH207" s="8" t="s">
        <v>65</v>
      </c>
    </row>
    <row r="208" spans="1:34">
      <c r="A208" s="8" t="s">
        <v>331</v>
      </c>
      <c r="B208" s="16" t="s">
        <v>2859</v>
      </c>
      <c r="C208" s="8" t="s">
        <v>248</v>
      </c>
      <c r="D208" s="8" t="s">
        <v>249</v>
      </c>
      <c r="E208" s="8" t="str">
        <f t="shared" si="17"/>
        <v>ROJO</v>
      </c>
      <c r="H208" s="8" t="str">
        <f>VLOOKUP(A208,[1]BBDD!$B$1:$J$3274,9,FALSE)</f>
        <v>H</v>
      </c>
      <c r="I208" s="8" t="s">
        <v>2863</v>
      </c>
      <c r="J208" s="8" t="s">
        <v>321</v>
      </c>
      <c r="L208" s="8" t="s">
        <v>238</v>
      </c>
      <c r="N208" s="8" t="s">
        <v>88</v>
      </c>
      <c r="O208" s="8" t="s">
        <v>88</v>
      </c>
      <c r="Q208" s="8" t="s">
        <v>45</v>
      </c>
      <c r="R208" s="8">
        <v>1</v>
      </c>
      <c r="S208" s="8">
        <v>5</v>
      </c>
      <c r="T208" s="8">
        <f t="shared" si="15"/>
        <v>6</v>
      </c>
      <c r="U208" s="8">
        <v>1</v>
      </c>
      <c r="V208" s="8">
        <v>1</v>
      </c>
      <c r="W208" s="8">
        <v>1</v>
      </c>
      <c r="X208" s="8">
        <v>0</v>
      </c>
      <c r="Y208" s="8">
        <v>1</v>
      </c>
      <c r="Z208" s="8">
        <v>0</v>
      </c>
      <c r="AA208" s="8">
        <v>180</v>
      </c>
      <c r="AB208" s="9">
        <f t="shared" si="16"/>
        <v>0.66666666666666674</v>
      </c>
      <c r="AC208" s="10">
        <f t="shared" si="18"/>
        <v>8.9999999999999982</v>
      </c>
      <c r="AD208" s="8" t="s">
        <v>109</v>
      </c>
      <c r="AE208" s="11">
        <v>45990</v>
      </c>
      <c r="AF208" s="11">
        <f t="shared" si="19"/>
        <v>275940</v>
      </c>
      <c r="AG208" s="12" t="s">
        <v>51</v>
      </c>
      <c r="AH208" s="8" t="s">
        <v>35</v>
      </c>
    </row>
    <row r="209" spans="1:34">
      <c r="A209" s="8" t="s">
        <v>332</v>
      </c>
      <c r="B209" s="16" t="s">
        <v>2859</v>
      </c>
      <c r="C209" s="8" t="s">
        <v>248</v>
      </c>
      <c r="D209" s="8" t="s">
        <v>249</v>
      </c>
      <c r="E209" s="8" t="str">
        <f t="shared" si="17"/>
        <v>AZUL</v>
      </c>
      <c r="H209" s="8" t="str">
        <f>VLOOKUP(A209,[1]BBDD!$B$1:$J$3274,9,FALSE)</f>
        <v>H</v>
      </c>
      <c r="I209" s="8" t="s">
        <v>2863</v>
      </c>
      <c r="J209" s="8" t="s">
        <v>321</v>
      </c>
      <c r="L209" s="8" t="s">
        <v>82</v>
      </c>
      <c r="N209" s="8" t="s">
        <v>83</v>
      </c>
      <c r="O209" s="8" t="s">
        <v>83</v>
      </c>
      <c r="Q209" s="8" t="s">
        <v>32</v>
      </c>
      <c r="R209" s="8">
        <v>15</v>
      </c>
      <c r="S209" s="8">
        <v>26</v>
      </c>
      <c r="T209" s="8">
        <f t="shared" si="15"/>
        <v>41</v>
      </c>
      <c r="U209" s="8">
        <v>2</v>
      </c>
      <c r="V209" s="8">
        <v>4</v>
      </c>
      <c r="W209" s="8">
        <v>4</v>
      </c>
      <c r="X209" s="8">
        <v>5</v>
      </c>
      <c r="Y209" s="8">
        <v>6</v>
      </c>
      <c r="Z209" s="8">
        <v>1</v>
      </c>
      <c r="AA209" s="8">
        <v>180</v>
      </c>
      <c r="AB209" s="9">
        <f t="shared" si="16"/>
        <v>3.6666666666666665</v>
      </c>
      <c r="AC209" s="10">
        <f t="shared" si="18"/>
        <v>11.181818181818182</v>
      </c>
      <c r="AD209" s="8" t="s">
        <v>33</v>
      </c>
      <c r="AE209" s="11">
        <v>44990</v>
      </c>
      <c r="AF209" s="11">
        <f t="shared" si="19"/>
        <v>1844590</v>
      </c>
      <c r="AG209" s="12" t="s">
        <v>51</v>
      </c>
      <c r="AH209" s="8" t="s">
        <v>74</v>
      </c>
    </row>
    <row r="210" spans="1:34">
      <c r="A210" s="8" t="s">
        <v>333</v>
      </c>
      <c r="B210" s="16" t="s">
        <v>2859</v>
      </c>
      <c r="C210" s="8" t="s">
        <v>248</v>
      </c>
      <c r="D210" s="8" t="s">
        <v>249</v>
      </c>
      <c r="E210" s="8" t="str">
        <f t="shared" si="17"/>
        <v>NEGRO</v>
      </c>
      <c r="H210" s="8" t="str">
        <f>VLOOKUP(A210,[1]BBDD!$B$1:$J$3274,9,FALSE)</f>
        <v>H</v>
      </c>
      <c r="I210" s="8" t="s">
        <v>2863</v>
      </c>
      <c r="J210" s="8" t="s">
        <v>321</v>
      </c>
      <c r="L210" s="8" t="s">
        <v>82</v>
      </c>
      <c r="N210" s="8" t="s">
        <v>44</v>
      </c>
      <c r="O210" s="8" t="s">
        <v>44</v>
      </c>
      <c r="Q210" s="8" t="s">
        <v>32</v>
      </c>
      <c r="R210" s="8">
        <v>42</v>
      </c>
      <c r="S210" s="8">
        <v>26</v>
      </c>
      <c r="T210" s="8">
        <f t="shared" si="15"/>
        <v>68</v>
      </c>
      <c r="U210" s="8">
        <v>6</v>
      </c>
      <c r="V210" s="8">
        <v>1</v>
      </c>
      <c r="W210" s="8">
        <v>1</v>
      </c>
      <c r="X210" s="8">
        <v>4</v>
      </c>
      <c r="Y210" s="8">
        <v>4</v>
      </c>
      <c r="Z210" s="8">
        <v>5</v>
      </c>
      <c r="AA210" s="8">
        <v>180</v>
      </c>
      <c r="AB210" s="9">
        <f t="shared" si="16"/>
        <v>3.5</v>
      </c>
      <c r="AC210" s="10">
        <f t="shared" si="18"/>
        <v>19.428571428571427</v>
      </c>
      <c r="AD210" s="8" t="s">
        <v>33</v>
      </c>
      <c r="AE210" s="11">
        <v>44990</v>
      </c>
      <c r="AF210" s="11">
        <f t="shared" si="19"/>
        <v>3059320</v>
      </c>
      <c r="AG210" s="12" t="s">
        <v>64</v>
      </c>
      <c r="AH210" s="8" t="s">
        <v>74</v>
      </c>
    </row>
    <row r="211" spans="1:34">
      <c r="A211" s="8" t="s">
        <v>334</v>
      </c>
      <c r="B211" s="16" t="s">
        <v>2859</v>
      </c>
      <c r="C211" s="8" t="s">
        <v>248</v>
      </c>
      <c r="D211" s="8" t="s">
        <v>249</v>
      </c>
      <c r="E211" s="8" t="str">
        <f t="shared" si="17"/>
        <v>ROJO</v>
      </c>
      <c r="H211" s="8" t="str">
        <f>VLOOKUP(A211,[1]BBDD!$B$1:$J$3274,9,FALSE)</f>
        <v>H</v>
      </c>
      <c r="I211" s="8" t="s">
        <v>2863</v>
      </c>
      <c r="J211" s="8" t="s">
        <v>321</v>
      </c>
      <c r="L211" s="8" t="s">
        <v>82</v>
      </c>
      <c r="N211" s="8" t="s">
        <v>88</v>
      </c>
      <c r="O211" s="8" t="s">
        <v>88</v>
      </c>
      <c r="Q211" s="8" t="s">
        <v>32</v>
      </c>
      <c r="R211" s="8">
        <v>5</v>
      </c>
      <c r="S211" s="8">
        <v>13</v>
      </c>
      <c r="T211" s="8">
        <f t="shared" si="15"/>
        <v>18</v>
      </c>
      <c r="U211" s="8">
        <v>5</v>
      </c>
      <c r="V211" s="8">
        <v>1</v>
      </c>
      <c r="W211" s="8">
        <v>2</v>
      </c>
      <c r="X211" s="8">
        <v>1</v>
      </c>
      <c r="Y211" s="8">
        <v>1</v>
      </c>
      <c r="Z211" s="8">
        <v>0</v>
      </c>
      <c r="AA211" s="8">
        <v>180</v>
      </c>
      <c r="AB211" s="9">
        <f t="shared" si="16"/>
        <v>1.6666666666666665</v>
      </c>
      <c r="AC211" s="10">
        <f t="shared" si="18"/>
        <v>10.8</v>
      </c>
      <c r="AD211" s="8" t="s">
        <v>33</v>
      </c>
      <c r="AE211" s="11">
        <v>44990</v>
      </c>
      <c r="AF211" s="11">
        <f t="shared" si="19"/>
        <v>809820</v>
      </c>
      <c r="AG211" s="12" t="s">
        <v>51</v>
      </c>
      <c r="AH211" s="8" t="s">
        <v>65</v>
      </c>
    </row>
    <row r="212" spans="1:34">
      <c r="A212" s="8" t="s">
        <v>335</v>
      </c>
      <c r="B212" s="16" t="s">
        <v>2859</v>
      </c>
      <c r="C212" s="8" t="s">
        <v>248</v>
      </c>
      <c r="D212" s="8" t="s">
        <v>249</v>
      </c>
      <c r="E212" s="8" t="str">
        <f t="shared" si="17"/>
        <v>SUELA</v>
      </c>
      <c r="H212" s="8" t="str">
        <f>VLOOKUP(A212,[1]BBDD!$B$1:$J$3274,9,FALSE)</f>
        <v>H</v>
      </c>
      <c r="I212" s="8" t="s">
        <v>2863</v>
      </c>
      <c r="J212" s="8" t="s">
        <v>321</v>
      </c>
      <c r="L212" s="8" t="s">
        <v>82</v>
      </c>
      <c r="N212" s="8" t="s">
        <v>90</v>
      </c>
      <c r="O212" s="8" t="s">
        <v>90</v>
      </c>
      <c r="Q212" s="8" t="s">
        <v>32</v>
      </c>
      <c r="R212" s="8">
        <v>70</v>
      </c>
      <c r="S212" s="8">
        <v>24</v>
      </c>
      <c r="T212" s="8">
        <f t="shared" si="15"/>
        <v>94</v>
      </c>
      <c r="U212" s="8">
        <v>1</v>
      </c>
      <c r="V212" s="8">
        <v>2</v>
      </c>
      <c r="W212" s="8">
        <v>0</v>
      </c>
      <c r="X212" s="8">
        <v>4</v>
      </c>
      <c r="Y212" s="8">
        <v>2</v>
      </c>
      <c r="Z212" s="8">
        <v>1</v>
      </c>
      <c r="AA212" s="8">
        <v>180</v>
      </c>
      <c r="AB212" s="9">
        <f t="shared" si="16"/>
        <v>1.6666666666666665</v>
      </c>
      <c r="AC212" s="10">
        <f t="shared" si="18"/>
        <v>56.400000000000006</v>
      </c>
      <c r="AD212" s="8" t="s">
        <v>33</v>
      </c>
      <c r="AE212" s="11">
        <v>44990</v>
      </c>
      <c r="AF212" s="11">
        <f t="shared" si="19"/>
        <v>4229060</v>
      </c>
      <c r="AG212" s="12" t="s">
        <v>73</v>
      </c>
      <c r="AH212" s="8" t="s">
        <v>74</v>
      </c>
    </row>
    <row r="213" spans="1:34">
      <c r="A213" s="8" t="s">
        <v>336</v>
      </c>
      <c r="B213" s="16" t="s">
        <v>2859</v>
      </c>
      <c r="C213" s="8" t="s">
        <v>248</v>
      </c>
      <c r="D213" s="8" t="s">
        <v>249</v>
      </c>
      <c r="E213" s="8" t="str">
        <f t="shared" si="17"/>
        <v>VERDE</v>
      </c>
      <c r="H213" s="8" t="str">
        <f>VLOOKUP(A213,[1]BBDD!$B$1:$J$3274,9,FALSE)</f>
        <v>H</v>
      </c>
      <c r="I213" s="8" t="s">
        <v>2863</v>
      </c>
      <c r="J213" s="8" t="s">
        <v>321</v>
      </c>
      <c r="L213" s="8" t="s">
        <v>82</v>
      </c>
      <c r="N213" s="8" t="s">
        <v>92</v>
      </c>
      <c r="O213" s="8" t="s">
        <v>92</v>
      </c>
      <c r="Q213" s="8" t="s">
        <v>32</v>
      </c>
      <c r="R213" s="8">
        <v>0</v>
      </c>
      <c r="S213" s="8">
        <v>6</v>
      </c>
      <c r="T213" s="8">
        <f t="shared" si="15"/>
        <v>6</v>
      </c>
      <c r="U213" s="8">
        <v>4</v>
      </c>
      <c r="V213" s="8">
        <v>9</v>
      </c>
      <c r="W213" s="8">
        <v>5</v>
      </c>
      <c r="X213" s="8">
        <v>4</v>
      </c>
      <c r="Y213" s="8">
        <v>4</v>
      </c>
      <c r="Z213" s="8">
        <v>6</v>
      </c>
      <c r="AA213" s="8">
        <v>180</v>
      </c>
      <c r="AB213" s="9">
        <f t="shared" si="16"/>
        <v>5.3333333333333339</v>
      </c>
      <c r="AC213" s="10">
        <f t="shared" si="18"/>
        <v>1.1249999999999998</v>
      </c>
      <c r="AD213" s="8" t="s">
        <v>33</v>
      </c>
      <c r="AE213" s="11">
        <v>44990</v>
      </c>
      <c r="AF213" s="11">
        <f t="shared" si="19"/>
        <v>269940</v>
      </c>
      <c r="AG213" s="12" t="s">
        <v>34</v>
      </c>
      <c r="AH213" s="8" t="s">
        <v>35</v>
      </c>
    </row>
    <row r="214" spans="1:34">
      <c r="A214" s="8" t="s">
        <v>337</v>
      </c>
      <c r="B214" s="16" t="s">
        <v>2859</v>
      </c>
      <c r="C214" s="8" t="s">
        <v>248</v>
      </c>
      <c r="D214" s="8" t="s">
        <v>249</v>
      </c>
      <c r="E214" s="8" t="str">
        <f t="shared" si="17"/>
        <v>CARAMELO</v>
      </c>
      <c r="H214" s="8" t="str">
        <f>VLOOKUP(A214,[1]BBDD!$B$1:$J$3274,9,FALSE)</f>
        <v>H</v>
      </c>
      <c r="I214" s="8" t="s">
        <v>2863</v>
      </c>
      <c r="J214" s="8" t="s">
        <v>321</v>
      </c>
      <c r="L214" s="8" t="s">
        <v>82</v>
      </c>
      <c r="N214" s="8" t="s">
        <v>62</v>
      </c>
      <c r="O214" s="8" t="s">
        <v>62</v>
      </c>
      <c r="Q214" s="8" t="s">
        <v>45</v>
      </c>
      <c r="R214" s="8">
        <v>8</v>
      </c>
      <c r="S214" s="8">
        <v>19</v>
      </c>
      <c r="T214" s="8">
        <f t="shared" si="15"/>
        <v>27</v>
      </c>
      <c r="U214" s="8">
        <v>0</v>
      </c>
      <c r="V214" s="8">
        <v>3</v>
      </c>
      <c r="W214" s="8">
        <v>1</v>
      </c>
      <c r="X214" s="8">
        <v>1</v>
      </c>
      <c r="Y214" s="8">
        <v>1</v>
      </c>
      <c r="Z214" s="8">
        <v>1</v>
      </c>
      <c r="AA214" s="8">
        <v>180</v>
      </c>
      <c r="AB214" s="9">
        <f t="shared" si="16"/>
        <v>1.1666666666666667</v>
      </c>
      <c r="AC214" s="10">
        <f t="shared" si="18"/>
        <v>23.142857142857142</v>
      </c>
      <c r="AD214" s="8" t="s">
        <v>109</v>
      </c>
      <c r="AE214" s="11">
        <v>44990</v>
      </c>
      <c r="AF214" s="11">
        <f t="shared" si="19"/>
        <v>1214730</v>
      </c>
      <c r="AG214" s="12" t="s">
        <v>64</v>
      </c>
      <c r="AH214" s="8" t="s">
        <v>74</v>
      </c>
    </row>
    <row r="215" spans="1:34">
      <c r="A215" s="8" t="s">
        <v>338</v>
      </c>
      <c r="B215" s="16" t="s">
        <v>2859</v>
      </c>
      <c r="C215" s="8" t="s">
        <v>248</v>
      </c>
      <c r="D215" s="8" t="s">
        <v>249</v>
      </c>
      <c r="E215" s="8" t="str">
        <f t="shared" si="17"/>
        <v>MALBEC</v>
      </c>
      <c r="H215" s="8" t="str">
        <f>VLOOKUP(A215,[1]BBDD!$B$1:$J$3274,9,FALSE)</f>
        <v>H</v>
      </c>
      <c r="I215" s="8" t="s">
        <v>2863</v>
      </c>
      <c r="J215" s="8" t="s">
        <v>321</v>
      </c>
      <c r="L215" s="8" t="s">
        <v>82</v>
      </c>
      <c r="N215" s="8" t="s">
        <v>69</v>
      </c>
      <c r="O215" s="8" t="s">
        <v>69</v>
      </c>
      <c r="Q215" s="8" t="s">
        <v>45</v>
      </c>
      <c r="R215" s="8">
        <v>13</v>
      </c>
      <c r="S215" s="8">
        <v>16</v>
      </c>
      <c r="T215" s="8">
        <f t="shared" si="15"/>
        <v>29</v>
      </c>
      <c r="U215" s="8">
        <v>2</v>
      </c>
      <c r="V215" s="8">
        <v>2</v>
      </c>
      <c r="W215" s="8">
        <v>2</v>
      </c>
      <c r="X215" s="8">
        <v>1</v>
      </c>
      <c r="Y215" s="8">
        <v>0</v>
      </c>
      <c r="Z215" s="8">
        <v>1</v>
      </c>
      <c r="AA215" s="8">
        <v>180</v>
      </c>
      <c r="AB215" s="9">
        <f t="shared" si="16"/>
        <v>1.3333333333333335</v>
      </c>
      <c r="AC215" s="10">
        <f t="shared" si="18"/>
        <v>21.749999999999996</v>
      </c>
      <c r="AD215" s="8" t="s">
        <v>109</v>
      </c>
      <c r="AE215" s="11">
        <v>44990</v>
      </c>
      <c r="AF215" s="11">
        <f t="shared" si="19"/>
        <v>1304710</v>
      </c>
      <c r="AG215" s="12" t="s">
        <v>64</v>
      </c>
      <c r="AH215" s="8" t="s">
        <v>74</v>
      </c>
    </row>
    <row r="216" spans="1:34">
      <c r="A216" s="8" t="s">
        <v>339</v>
      </c>
      <c r="B216" s="16" t="s">
        <v>2859</v>
      </c>
      <c r="C216" s="8" t="s">
        <v>248</v>
      </c>
      <c r="D216" s="8" t="s">
        <v>249</v>
      </c>
      <c r="E216" s="8" t="str">
        <f t="shared" si="17"/>
        <v>TABACO</v>
      </c>
      <c r="H216" s="8" t="str">
        <f>VLOOKUP(A216,[1]BBDD!$B$1:$J$3274,9,FALSE)</f>
        <v>H</v>
      </c>
      <c r="I216" s="8" t="s">
        <v>2863</v>
      </c>
      <c r="J216" s="8" t="s">
        <v>321</v>
      </c>
      <c r="L216" s="8" t="s">
        <v>82</v>
      </c>
      <c r="N216" s="8" t="s">
        <v>67</v>
      </c>
      <c r="O216" s="8" t="s">
        <v>67</v>
      </c>
      <c r="Q216" s="8" t="s">
        <v>45</v>
      </c>
      <c r="R216" s="8">
        <v>2</v>
      </c>
      <c r="S216" s="8">
        <v>5</v>
      </c>
      <c r="T216" s="8">
        <f t="shared" si="15"/>
        <v>7</v>
      </c>
      <c r="U216" s="8">
        <v>7</v>
      </c>
      <c r="V216" s="8">
        <v>1</v>
      </c>
      <c r="W216" s="8">
        <v>3</v>
      </c>
      <c r="X216" s="8">
        <v>2</v>
      </c>
      <c r="Y216" s="8">
        <v>0</v>
      </c>
      <c r="Z216" s="8">
        <v>0</v>
      </c>
      <c r="AA216" s="8">
        <v>180</v>
      </c>
      <c r="AB216" s="9">
        <f t="shared" si="16"/>
        <v>2.1666666666666665</v>
      </c>
      <c r="AC216" s="10">
        <f t="shared" si="18"/>
        <v>3.2307692307692308</v>
      </c>
      <c r="AD216" s="8" t="s">
        <v>109</v>
      </c>
      <c r="AE216" s="11">
        <v>44990</v>
      </c>
      <c r="AF216" s="11">
        <f t="shared" si="19"/>
        <v>314930</v>
      </c>
      <c r="AG216" s="12" t="s">
        <v>34</v>
      </c>
      <c r="AH216" s="8" t="s">
        <v>35</v>
      </c>
    </row>
    <row r="217" spans="1:34">
      <c r="A217" s="8" t="s">
        <v>340</v>
      </c>
      <c r="B217" s="16" t="s">
        <v>2859</v>
      </c>
      <c r="C217" s="8" t="s">
        <v>248</v>
      </c>
      <c r="D217" s="8" t="s">
        <v>249</v>
      </c>
      <c r="E217" s="8" t="str">
        <f t="shared" si="17"/>
        <v>NEGRO</v>
      </c>
      <c r="H217" s="8" t="str">
        <f>VLOOKUP(A217,[1]BBDD!$B$1:$J$3274,9,FALSE)</f>
        <v>H</v>
      </c>
      <c r="I217" s="8" t="s">
        <v>2863</v>
      </c>
      <c r="J217" s="8" t="s">
        <v>341</v>
      </c>
      <c r="L217" s="8" t="s">
        <v>82</v>
      </c>
      <c r="N217" s="8" t="s">
        <v>44</v>
      </c>
      <c r="O217" s="8" t="s">
        <v>44</v>
      </c>
      <c r="Q217" s="8" t="s">
        <v>45</v>
      </c>
      <c r="R217" s="8">
        <v>0</v>
      </c>
      <c r="S217" s="8">
        <v>1</v>
      </c>
      <c r="T217" s="8">
        <f t="shared" si="15"/>
        <v>1</v>
      </c>
      <c r="U217" s="8">
        <v>1</v>
      </c>
      <c r="V217" s="8">
        <v>1</v>
      </c>
      <c r="W217" s="8">
        <v>6</v>
      </c>
      <c r="X217" s="8">
        <v>4</v>
      </c>
      <c r="Y217" s="8">
        <v>0</v>
      </c>
      <c r="Z217" s="8">
        <v>3</v>
      </c>
      <c r="AA217" s="8">
        <v>180</v>
      </c>
      <c r="AB217" s="9">
        <f t="shared" si="16"/>
        <v>2.5</v>
      </c>
      <c r="AC217" s="10">
        <f t="shared" si="18"/>
        <v>0.4</v>
      </c>
      <c r="AD217" s="8" t="s">
        <v>109</v>
      </c>
      <c r="AE217" s="11">
        <v>55990</v>
      </c>
      <c r="AF217" s="11">
        <f t="shared" si="19"/>
        <v>55990</v>
      </c>
      <c r="AG217" s="12" t="s">
        <v>34</v>
      </c>
      <c r="AH217" s="8" t="s">
        <v>35</v>
      </c>
    </row>
    <row r="218" spans="1:34">
      <c r="A218" s="8" t="s">
        <v>342</v>
      </c>
      <c r="B218" s="16" t="s">
        <v>2859</v>
      </c>
      <c r="C218" s="8" t="s">
        <v>248</v>
      </c>
      <c r="D218" s="8" t="s">
        <v>249</v>
      </c>
      <c r="E218" s="8" t="str">
        <f t="shared" si="17"/>
        <v>NEGRO</v>
      </c>
      <c r="H218" s="8" t="str">
        <f>VLOOKUP(A218,[1]BBDD!$B$1:$J$3274,9,FALSE)</f>
        <v>H</v>
      </c>
      <c r="I218" s="8" t="s">
        <v>2863</v>
      </c>
      <c r="J218" s="8" t="s">
        <v>343</v>
      </c>
      <c r="L218" s="8" t="s">
        <v>211</v>
      </c>
      <c r="N218" s="8" t="s">
        <v>44</v>
      </c>
      <c r="O218" s="8" t="s">
        <v>44</v>
      </c>
      <c r="Q218" s="8" t="s">
        <v>32</v>
      </c>
      <c r="R218" s="8">
        <v>20</v>
      </c>
      <c r="S218" s="8">
        <v>13</v>
      </c>
      <c r="T218" s="8">
        <f t="shared" si="15"/>
        <v>33</v>
      </c>
      <c r="U218" s="8">
        <v>5</v>
      </c>
      <c r="V218" s="8">
        <v>2</v>
      </c>
      <c r="W218" s="8">
        <v>2</v>
      </c>
      <c r="X218" s="8">
        <v>3</v>
      </c>
      <c r="Y218" s="8">
        <v>3</v>
      </c>
      <c r="Z218" s="8">
        <v>0</v>
      </c>
      <c r="AA218" s="8">
        <v>180</v>
      </c>
      <c r="AB218" s="9">
        <f t="shared" si="16"/>
        <v>2.5</v>
      </c>
      <c r="AC218" s="10">
        <f t="shared" si="18"/>
        <v>13.2</v>
      </c>
      <c r="AD218" s="8" t="s">
        <v>33</v>
      </c>
      <c r="AE218" s="11">
        <v>55990</v>
      </c>
      <c r="AF218" s="11">
        <f t="shared" si="19"/>
        <v>1847670</v>
      </c>
      <c r="AG218" s="12" t="s">
        <v>64</v>
      </c>
      <c r="AH218" s="8" t="s">
        <v>74</v>
      </c>
    </row>
    <row r="219" spans="1:34">
      <c r="A219" s="8" t="s">
        <v>344</v>
      </c>
      <c r="B219" s="16" t="s">
        <v>2859</v>
      </c>
      <c r="C219" s="8" t="s">
        <v>248</v>
      </c>
      <c r="D219" s="8" t="s">
        <v>249</v>
      </c>
      <c r="E219" s="8" t="str">
        <f t="shared" si="17"/>
        <v>CEDRO</v>
      </c>
      <c r="H219" s="8" t="str">
        <f>VLOOKUP(A219,[1]BBDD!$B$1:$J$3274,9,FALSE)</f>
        <v>H</v>
      </c>
      <c r="I219" s="8" t="s">
        <v>2863</v>
      </c>
      <c r="J219" s="8" t="s">
        <v>343</v>
      </c>
      <c r="L219" s="8" t="s">
        <v>112</v>
      </c>
      <c r="N219" s="8" t="s">
        <v>113</v>
      </c>
      <c r="O219" s="8" t="s">
        <v>113</v>
      </c>
      <c r="Q219" s="8" t="s">
        <v>32</v>
      </c>
      <c r="R219" s="8">
        <v>4</v>
      </c>
      <c r="S219" s="8">
        <v>11</v>
      </c>
      <c r="T219" s="8">
        <f t="shared" si="15"/>
        <v>15</v>
      </c>
      <c r="U219" s="8">
        <v>3</v>
      </c>
      <c r="V219" s="8">
        <v>4</v>
      </c>
      <c r="W219" s="8">
        <v>1</v>
      </c>
      <c r="X219" s="8">
        <v>1</v>
      </c>
      <c r="Y219" s="8">
        <v>1</v>
      </c>
      <c r="Z219" s="8">
        <v>1</v>
      </c>
      <c r="AA219" s="8">
        <v>180</v>
      </c>
      <c r="AB219" s="9">
        <f t="shared" si="16"/>
        <v>1.8333333333333333</v>
      </c>
      <c r="AC219" s="10">
        <f t="shared" si="18"/>
        <v>8.1818181818181817</v>
      </c>
      <c r="AD219" s="8" t="s">
        <v>33</v>
      </c>
      <c r="AE219" s="11">
        <v>55990</v>
      </c>
      <c r="AF219" s="11">
        <f t="shared" si="19"/>
        <v>839850</v>
      </c>
      <c r="AG219" s="12" t="s">
        <v>51</v>
      </c>
      <c r="AH219" s="8" t="s">
        <v>65</v>
      </c>
    </row>
    <row r="220" spans="1:34">
      <c r="A220" s="8" t="s">
        <v>345</v>
      </c>
      <c r="B220" s="16" t="s">
        <v>2859</v>
      </c>
      <c r="C220" s="8" t="s">
        <v>248</v>
      </c>
      <c r="D220" s="8" t="s">
        <v>249</v>
      </c>
      <c r="E220" s="8" t="str">
        <f t="shared" si="17"/>
        <v>VERDE</v>
      </c>
      <c r="H220" s="8" t="str">
        <f>VLOOKUP(A220,[1]BBDD!$B$1:$J$3274,9,FALSE)</f>
        <v>H</v>
      </c>
      <c r="I220" s="8" t="s">
        <v>2863</v>
      </c>
      <c r="J220" s="8" t="s">
        <v>343</v>
      </c>
      <c r="L220" s="8" t="s">
        <v>119</v>
      </c>
      <c r="N220" s="8" t="s">
        <v>92</v>
      </c>
      <c r="O220" s="8" t="s">
        <v>92</v>
      </c>
      <c r="Q220" s="8" t="s">
        <v>32</v>
      </c>
      <c r="R220" s="8">
        <v>1</v>
      </c>
      <c r="S220" s="8">
        <v>10</v>
      </c>
      <c r="T220" s="8">
        <f t="shared" si="15"/>
        <v>11</v>
      </c>
      <c r="U220" s="8">
        <v>0</v>
      </c>
      <c r="V220" s="8">
        <v>0</v>
      </c>
      <c r="W220" s="8">
        <v>0</v>
      </c>
      <c r="X220" s="8">
        <v>1</v>
      </c>
      <c r="Y220" s="8">
        <v>1</v>
      </c>
      <c r="Z220" s="8">
        <v>2</v>
      </c>
      <c r="AA220" s="8">
        <v>180</v>
      </c>
      <c r="AB220" s="9">
        <f t="shared" si="16"/>
        <v>0.66666666666666674</v>
      </c>
      <c r="AC220" s="10">
        <f t="shared" si="18"/>
        <v>16.499999999999996</v>
      </c>
      <c r="AD220" s="8" t="s">
        <v>33</v>
      </c>
      <c r="AE220" s="11">
        <v>55990</v>
      </c>
      <c r="AF220" s="11">
        <f t="shared" si="19"/>
        <v>615890</v>
      </c>
      <c r="AG220" s="12" t="s">
        <v>64</v>
      </c>
      <c r="AH220" s="8" t="s">
        <v>65</v>
      </c>
    </row>
    <row r="221" spans="1:34">
      <c r="A221" s="8" t="s">
        <v>346</v>
      </c>
      <c r="B221" s="16" t="s">
        <v>2859</v>
      </c>
      <c r="C221" s="8" t="s">
        <v>248</v>
      </c>
      <c r="D221" s="8" t="s">
        <v>249</v>
      </c>
      <c r="E221" s="8" t="str">
        <f t="shared" si="17"/>
        <v>AZUL</v>
      </c>
      <c r="H221" s="8" t="str">
        <f>VLOOKUP(A221,[1]BBDD!$B$1:$J$3274,9,FALSE)</f>
        <v>H</v>
      </c>
      <c r="I221" s="8" t="s">
        <v>2863</v>
      </c>
      <c r="J221" s="8" t="s">
        <v>343</v>
      </c>
      <c r="L221" s="8" t="s">
        <v>82</v>
      </c>
      <c r="N221" s="8" t="s">
        <v>83</v>
      </c>
      <c r="O221" s="8" t="s">
        <v>83</v>
      </c>
      <c r="Q221" s="8" t="s">
        <v>32</v>
      </c>
      <c r="R221" s="8">
        <v>4</v>
      </c>
      <c r="S221" s="8">
        <v>11</v>
      </c>
      <c r="T221" s="8">
        <f t="shared" si="15"/>
        <v>15</v>
      </c>
      <c r="U221" s="8">
        <v>1</v>
      </c>
      <c r="V221" s="8">
        <v>0</v>
      </c>
      <c r="W221" s="8">
        <v>4</v>
      </c>
      <c r="X221" s="8">
        <v>0</v>
      </c>
      <c r="Y221" s="8">
        <v>2</v>
      </c>
      <c r="Z221" s="8">
        <v>2</v>
      </c>
      <c r="AA221" s="8">
        <v>180</v>
      </c>
      <c r="AB221" s="9">
        <f t="shared" si="16"/>
        <v>1.5</v>
      </c>
      <c r="AC221" s="10">
        <f t="shared" si="18"/>
        <v>10</v>
      </c>
      <c r="AD221" s="8" t="s">
        <v>33</v>
      </c>
      <c r="AE221" s="11">
        <v>55990</v>
      </c>
      <c r="AF221" s="11">
        <f t="shared" si="19"/>
        <v>839850</v>
      </c>
      <c r="AG221" s="12" t="s">
        <v>51</v>
      </c>
      <c r="AH221" s="8" t="s">
        <v>65</v>
      </c>
    </row>
    <row r="222" spans="1:34">
      <c r="A222" s="8" t="s">
        <v>347</v>
      </c>
      <c r="B222" s="16" t="s">
        <v>2859</v>
      </c>
      <c r="C222" s="8" t="s">
        <v>248</v>
      </c>
      <c r="D222" s="8" t="s">
        <v>249</v>
      </c>
      <c r="E222" s="8" t="str">
        <f t="shared" si="17"/>
        <v>SUELA</v>
      </c>
      <c r="H222" s="8" t="str">
        <f>VLOOKUP(A222,[1]BBDD!$B$1:$J$3274,9,FALSE)</f>
        <v>H</v>
      </c>
      <c r="I222" s="8" t="s">
        <v>2863</v>
      </c>
      <c r="J222" s="8" t="s">
        <v>343</v>
      </c>
      <c r="L222" s="8" t="s">
        <v>82</v>
      </c>
      <c r="N222" s="8" t="s">
        <v>90</v>
      </c>
      <c r="O222" s="8" t="s">
        <v>90</v>
      </c>
      <c r="Q222" s="8" t="s">
        <v>32</v>
      </c>
      <c r="R222" s="8">
        <v>1</v>
      </c>
      <c r="S222" s="8">
        <v>7</v>
      </c>
      <c r="T222" s="8">
        <f t="shared" si="15"/>
        <v>8</v>
      </c>
      <c r="U222" s="8">
        <v>3</v>
      </c>
      <c r="V222" s="8">
        <v>4</v>
      </c>
      <c r="W222" s="8">
        <v>4</v>
      </c>
      <c r="X222" s="8">
        <v>1</v>
      </c>
      <c r="Y222" s="8">
        <v>4</v>
      </c>
      <c r="Z222" s="8">
        <v>2</v>
      </c>
      <c r="AA222" s="8">
        <v>180</v>
      </c>
      <c r="AB222" s="9">
        <f t="shared" si="16"/>
        <v>3</v>
      </c>
      <c r="AC222" s="10">
        <f t="shared" si="18"/>
        <v>2.6666666666666665</v>
      </c>
      <c r="AD222" s="8" t="s">
        <v>33</v>
      </c>
      <c r="AE222" s="11">
        <v>55990</v>
      </c>
      <c r="AF222" s="11">
        <f t="shared" si="19"/>
        <v>447920</v>
      </c>
      <c r="AG222" s="12" t="s">
        <v>34</v>
      </c>
      <c r="AH222" s="8" t="s">
        <v>35</v>
      </c>
    </row>
    <row r="223" spans="1:34">
      <c r="A223" s="8" t="s">
        <v>348</v>
      </c>
      <c r="B223" s="16" t="s">
        <v>2859</v>
      </c>
      <c r="C223" s="8" t="s">
        <v>248</v>
      </c>
      <c r="D223" s="8" t="s">
        <v>249</v>
      </c>
      <c r="E223" s="8" t="str">
        <f t="shared" si="17"/>
        <v>TABACO</v>
      </c>
      <c r="H223" s="8" t="str">
        <f>VLOOKUP(A223,[1]BBDD!$B$1:$J$3274,9,FALSE)</f>
        <v>H</v>
      </c>
      <c r="I223" s="8" t="s">
        <v>2863</v>
      </c>
      <c r="J223" s="8" t="s">
        <v>343</v>
      </c>
      <c r="L223" s="8" t="s">
        <v>82</v>
      </c>
      <c r="N223" s="8" t="s">
        <v>67</v>
      </c>
      <c r="O223" s="8" t="s">
        <v>67</v>
      </c>
      <c r="Q223" s="8" t="s">
        <v>32</v>
      </c>
      <c r="R223" s="8">
        <v>0</v>
      </c>
      <c r="S223" s="8">
        <v>0</v>
      </c>
      <c r="T223" s="8">
        <f t="shared" si="15"/>
        <v>0</v>
      </c>
      <c r="U223" s="8">
        <v>0</v>
      </c>
      <c r="V223" s="8">
        <v>1</v>
      </c>
      <c r="W223" s="8">
        <v>0</v>
      </c>
      <c r="X223" s="8">
        <v>0</v>
      </c>
      <c r="Y223" s="8">
        <v>0</v>
      </c>
      <c r="Z223" s="8">
        <v>0</v>
      </c>
      <c r="AA223" s="8">
        <v>180</v>
      </c>
      <c r="AB223" s="9">
        <f t="shared" si="16"/>
        <v>0.16666666666666669</v>
      </c>
      <c r="AC223" s="10">
        <f t="shared" si="18"/>
        <v>0</v>
      </c>
      <c r="AD223" s="8" t="s">
        <v>33</v>
      </c>
      <c r="AE223" s="11">
        <v>55990</v>
      </c>
      <c r="AF223" s="11">
        <f t="shared" si="19"/>
        <v>0</v>
      </c>
      <c r="AG223" s="12" t="s">
        <v>34</v>
      </c>
      <c r="AH223" s="8" t="s">
        <v>35</v>
      </c>
    </row>
    <row r="224" spans="1:34">
      <c r="A224" s="8" t="s">
        <v>349</v>
      </c>
      <c r="B224" s="16" t="s">
        <v>2859</v>
      </c>
      <c r="C224" s="8" t="s">
        <v>248</v>
      </c>
      <c r="D224" s="8" t="s">
        <v>249</v>
      </c>
      <c r="E224" s="8" t="str">
        <f t="shared" si="17"/>
        <v>NEGRO</v>
      </c>
      <c r="H224" s="8" t="str">
        <f>VLOOKUP(A224,[1]BBDD!$B$1:$J$3274,9,FALSE)</f>
        <v>H</v>
      </c>
      <c r="I224" s="8" t="s">
        <v>2863</v>
      </c>
      <c r="J224" s="8" t="s">
        <v>343</v>
      </c>
      <c r="L224" s="8" t="s">
        <v>53</v>
      </c>
      <c r="N224" s="8" t="s">
        <v>44</v>
      </c>
      <c r="O224" s="8" t="s">
        <v>44</v>
      </c>
      <c r="Q224" s="8" t="s">
        <v>45</v>
      </c>
      <c r="R224" s="8">
        <v>0</v>
      </c>
      <c r="S224" s="8">
        <v>1</v>
      </c>
      <c r="T224" s="8">
        <f t="shared" si="15"/>
        <v>1</v>
      </c>
      <c r="U224" s="8">
        <v>0</v>
      </c>
      <c r="V224" s="8">
        <v>0</v>
      </c>
      <c r="W224" s="8">
        <v>1</v>
      </c>
      <c r="X224" s="8">
        <v>0</v>
      </c>
      <c r="Y224" s="8">
        <v>0</v>
      </c>
      <c r="Z224" s="8">
        <v>1</v>
      </c>
      <c r="AA224" s="8">
        <v>180</v>
      </c>
      <c r="AB224" s="9">
        <f t="shared" si="16"/>
        <v>0.33333333333333337</v>
      </c>
      <c r="AC224" s="10">
        <f t="shared" si="18"/>
        <v>2.9999999999999996</v>
      </c>
      <c r="AD224" s="8" t="s">
        <v>109</v>
      </c>
      <c r="AE224" s="11">
        <v>55990</v>
      </c>
      <c r="AF224" s="11">
        <f t="shared" si="19"/>
        <v>55990</v>
      </c>
      <c r="AG224" s="12" t="s">
        <v>34</v>
      </c>
      <c r="AH224" s="8" t="s">
        <v>35</v>
      </c>
    </row>
    <row r="225" spans="1:34">
      <c r="A225" s="8" t="s">
        <v>350</v>
      </c>
      <c r="B225" s="16" t="s">
        <v>2859</v>
      </c>
      <c r="C225" s="8" t="s">
        <v>248</v>
      </c>
      <c r="D225" s="8" t="s">
        <v>249</v>
      </c>
      <c r="E225" s="8" t="str">
        <f t="shared" si="17"/>
        <v>SUELA</v>
      </c>
      <c r="H225" s="8" t="str">
        <f>VLOOKUP(A225,[1]BBDD!$B$1:$J$3274,9,FALSE)</f>
        <v>H</v>
      </c>
      <c r="I225" s="8" t="s">
        <v>2863</v>
      </c>
      <c r="J225" s="8" t="s">
        <v>343</v>
      </c>
      <c r="L225" s="8" t="s">
        <v>53</v>
      </c>
      <c r="N225" s="8" t="s">
        <v>90</v>
      </c>
      <c r="O225" s="8" t="s">
        <v>90</v>
      </c>
      <c r="Q225" s="8" t="s">
        <v>45</v>
      </c>
      <c r="R225" s="8">
        <v>0</v>
      </c>
      <c r="S225" s="8">
        <v>3</v>
      </c>
      <c r="T225" s="8">
        <f t="shared" si="15"/>
        <v>3</v>
      </c>
      <c r="U225" s="8">
        <v>0</v>
      </c>
      <c r="V225" s="8">
        <v>2</v>
      </c>
      <c r="W225" s="8">
        <v>1</v>
      </c>
      <c r="X225" s="8">
        <v>0</v>
      </c>
      <c r="Y225" s="8">
        <v>1</v>
      </c>
      <c r="Z225" s="8">
        <v>0</v>
      </c>
      <c r="AA225" s="8">
        <v>180</v>
      </c>
      <c r="AB225" s="9">
        <f t="shared" si="16"/>
        <v>0.66666666666666674</v>
      </c>
      <c r="AC225" s="10">
        <f t="shared" si="18"/>
        <v>4.4999999999999991</v>
      </c>
      <c r="AD225" s="8" t="s">
        <v>109</v>
      </c>
      <c r="AE225" s="11">
        <v>55990</v>
      </c>
      <c r="AF225" s="11">
        <f t="shared" si="19"/>
        <v>167970</v>
      </c>
      <c r="AG225" s="12" t="s">
        <v>34</v>
      </c>
      <c r="AH225" s="8" t="s">
        <v>35</v>
      </c>
    </row>
    <row r="226" spans="1:34">
      <c r="A226" s="8" t="s">
        <v>351</v>
      </c>
      <c r="B226" s="16" t="s">
        <v>2859</v>
      </c>
      <c r="C226" s="8" t="s">
        <v>248</v>
      </c>
      <c r="D226" s="8" t="s">
        <v>249</v>
      </c>
      <c r="E226" s="8" t="str">
        <f t="shared" si="17"/>
        <v>AZUL</v>
      </c>
      <c r="H226" s="8" t="str">
        <f>VLOOKUP(A226,[1]BBDD!$B$1:$J$3274,9,FALSE)</f>
        <v>M</v>
      </c>
      <c r="I226" s="8" t="s">
        <v>2862</v>
      </c>
      <c r="J226" s="8" t="s">
        <v>352</v>
      </c>
      <c r="L226" s="8" t="s">
        <v>61</v>
      </c>
      <c r="N226" s="8" t="s">
        <v>83</v>
      </c>
      <c r="O226" s="8" t="s">
        <v>83</v>
      </c>
      <c r="Q226" s="8" t="s">
        <v>45</v>
      </c>
      <c r="R226" s="8">
        <v>0</v>
      </c>
      <c r="S226" s="8">
        <v>3</v>
      </c>
      <c r="T226" s="8">
        <f t="shared" si="15"/>
        <v>3</v>
      </c>
      <c r="U226" s="8">
        <v>1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180</v>
      </c>
      <c r="AB226" s="9">
        <f t="shared" si="16"/>
        <v>0.16666666666666669</v>
      </c>
      <c r="AC226" s="10">
        <f t="shared" si="18"/>
        <v>17.999999999999996</v>
      </c>
      <c r="AD226" s="8" t="s">
        <v>109</v>
      </c>
      <c r="AE226" s="11">
        <v>89990</v>
      </c>
      <c r="AF226" s="11">
        <f t="shared" si="19"/>
        <v>269970</v>
      </c>
      <c r="AG226" s="12" t="s">
        <v>64</v>
      </c>
      <c r="AH226" s="8" t="s">
        <v>35</v>
      </c>
    </row>
    <row r="227" spans="1:34">
      <c r="A227" s="8" t="s">
        <v>353</v>
      </c>
      <c r="B227" s="16" t="s">
        <v>2859</v>
      </c>
      <c r="C227" s="8" t="s">
        <v>248</v>
      </c>
      <c r="D227" s="8" t="s">
        <v>249</v>
      </c>
      <c r="E227" s="8" t="str">
        <f t="shared" si="17"/>
        <v>CARAMELO</v>
      </c>
      <c r="H227" s="8" t="str">
        <f>VLOOKUP(A227,[1]BBDD!$B$1:$J$3274,9,FALSE)</f>
        <v>M</v>
      </c>
      <c r="I227" s="8" t="s">
        <v>2862</v>
      </c>
      <c r="J227" s="8" t="s">
        <v>352</v>
      </c>
      <c r="L227" s="8" t="s">
        <v>61</v>
      </c>
      <c r="N227" s="8" t="s">
        <v>62</v>
      </c>
      <c r="O227" s="8" t="s">
        <v>62</v>
      </c>
      <c r="Q227" s="8" t="s">
        <v>45</v>
      </c>
      <c r="R227" s="8">
        <v>0</v>
      </c>
      <c r="S227" s="8">
        <v>2</v>
      </c>
      <c r="T227" s="8">
        <f t="shared" si="15"/>
        <v>2</v>
      </c>
      <c r="U227" s="8">
        <v>3</v>
      </c>
      <c r="V227" s="8">
        <v>0</v>
      </c>
      <c r="W227" s="8">
        <v>3</v>
      </c>
      <c r="X227" s="8">
        <v>3</v>
      </c>
      <c r="Y227" s="8">
        <v>1</v>
      </c>
      <c r="Z227" s="8">
        <v>1</v>
      </c>
      <c r="AA227" s="8">
        <v>180</v>
      </c>
      <c r="AB227" s="9">
        <f t="shared" si="16"/>
        <v>1.8333333333333333</v>
      </c>
      <c r="AC227" s="10">
        <f t="shared" si="18"/>
        <v>1.0909090909090911</v>
      </c>
      <c r="AD227" s="8" t="s">
        <v>109</v>
      </c>
      <c r="AE227" s="11">
        <v>89990</v>
      </c>
      <c r="AF227" s="11">
        <f t="shared" si="19"/>
        <v>179980</v>
      </c>
      <c r="AG227" s="12" t="s">
        <v>34</v>
      </c>
      <c r="AH227" s="8" t="s">
        <v>35</v>
      </c>
    </row>
    <row r="228" spans="1:34">
      <c r="A228" s="8" t="s">
        <v>354</v>
      </c>
      <c r="B228" s="16" t="s">
        <v>2859</v>
      </c>
      <c r="C228" s="8" t="s">
        <v>248</v>
      </c>
      <c r="D228" s="8" t="s">
        <v>249</v>
      </c>
      <c r="E228" s="8" t="str">
        <f t="shared" si="17"/>
        <v>MALBEC</v>
      </c>
      <c r="H228" s="8" t="str">
        <f>VLOOKUP(A228,[1]BBDD!$B$1:$J$3274,9,FALSE)</f>
        <v>M</v>
      </c>
      <c r="I228" s="8" t="s">
        <v>2862</v>
      </c>
      <c r="J228" s="8" t="s">
        <v>352</v>
      </c>
      <c r="L228" s="8" t="s">
        <v>61</v>
      </c>
      <c r="N228" s="8" t="s">
        <v>69</v>
      </c>
      <c r="O228" s="8" t="s">
        <v>69</v>
      </c>
      <c r="Q228" s="8" t="s">
        <v>45</v>
      </c>
      <c r="R228" s="8">
        <v>0</v>
      </c>
      <c r="S228" s="8">
        <v>3</v>
      </c>
      <c r="T228" s="8">
        <f t="shared" si="15"/>
        <v>3</v>
      </c>
      <c r="U228" s="8">
        <v>2</v>
      </c>
      <c r="V228" s="8">
        <v>1</v>
      </c>
      <c r="W228" s="8">
        <v>2</v>
      </c>
      <c r="X228" s="8">
        <v>3</v>
      </c>
      <c r="Y228" s="8">
        <v>1</v>
      </c>
      <c r="Z228" s="8">
        <v>2</v>
      </c>
      <c r="AA228" s="8">
        <v>180</v>
      </c>
      <c r="AB228" s="9">
        <f t="shared" si="16"/>
        <v>1.8333333333333333</v>
      </c>
      <c r="AC228" s="10">
        <f t="shared" si="18"/>
        <v>1.6363636363636365</v>
      </c>
      <c r="AD228" s="8" t="s">
        <v>109</v>
      </c>
      <c r="AE228" s="11">
        <v>89990</v>
      </c>
      <c r="AF228" s="11">
        <f t="shared" si="19"/>
        <v>269970</v>
      </c>
      <c r="AG228" s="12" t="s">
        <v>34</v>
      </c>
      <c r="AH228" s="8" t="s">
        <v>35</v>
      </c>
    </row>
    <row r="229" spans="1:34">
      <c r="A229" s="8" t="s">
        <v>355</v>
      </c>
      <c r="B229" s="16" t="s">
        <v>2859</v>
      </c>
      <c r="C229" s="8" t="s">
        <v>248</v>
      </c>
      <c r="D229" s="8" t="s">
        <v>249</v>
      </c>
      <c r="E229" s="8" t="str">
        <f t="shared" si="17"/>
        <v>NEGRO</v>
      </c>
      <c r="H229" s="8" t="str">
        <f>VLOOKUP(A229,[1]BBDD!$B$1:$J$3274,9,FALSE)</f>
        <v>M</v>
      </c>
      <c r="I229" s="8" t="s">
        <v>2862</v>
      </c>
      <c r="J229" s="8" t="s">
        <v>352</v>
      </c>
      <c r="L229" s="8" t="s">
        <v>61</v>
      </c>
      <c r="N229" s="8" t="s">
        <v>44</v>
      </c>
      <c r="O229" s="8" t="s">
        <v>44</v>
      </c>
      <c r="Q229" s="8" t="s">
        <v>45</v>
      </c>
      <c r="R229" s="8">
        <v>7</v>
      </c>
      <c r="S229" s="8">
        <v>10</v>
      </c>
      <c r="T229" s="8">
        <f t="shared" si="15"/>
        <v>17</v>
      </c>
      <c r="U229" s="8">
        <v>1</v>
      </c>
      <c r="V229" s="8">
        <v>0</v>
      </c>
      <c r="W229" s="8">
        <v>0</v>
      </c>
      <c r="X229" s="8">
        <v>1</v>
      </c>
      <c r="Y229" s="8">
        <v>0</v>
      </c>
      <c r="Z229" s="8">
        <v>0</v>
      </c>
      <c r="AA229" s="8">
        <v>180</v>
      </c>
      <c r="AB229" s="9">
        <f t="shared" si="16"/>
        <v>0.33333333333333337</v>
      </c>
      <c r="AC229" s="10">
        <f t="shared" si="18"/>
        <v>50.999999999999993</v>
      </c>
      <c r="AD229" s="8" t="s">
        <v>109</v>
      </c>
      <c r="AE229" s="11">
        <v>89990</v>
      </c>
      <c r="AF229" s="11">
        <f t="shared" si="19"/>
        <v>1529830</v>
      </c>
      <c r="AG229" s="12" t="s">
        <v>73</v>
      </c>
      <c r="AH229" s="8" t="s">
        <v>65</v>
      </c>
    </row>
    <row r="230" spans="1:34">
      <c r="A230" s="8" t="s">
        <v>356</v>
      </c>
      <c r="B230" s="16" t="s">
        <v>2859</v>
      </c>
      <c r="C230" s="8" t="s">
        <v>248</v>
      </c>
      <c r="D230" s="8" t="s">
        <v>249</v>
      </c>
      <c r="E230" s="8" t="str">
        <f t="shared" si="17"/>
        <v>ROJO</v>
      </c>
      <c r="H230" s="8" t="str">
        <f>VLOOKUP(A230,[1]BBDD!$B$1:$J$3274,9,FALSE)</f>
        <v>M</v>
      </c>
      <c r="I230" s="8" t="s">
        <v>2862</v>
      </c>
      <c r="J230" s="8" t="s">
        <v>352</v>
      </c>
      <c r="L230" s="8" t="s">
        <v>61</v>
      </c>
      <c r="N230" s="8" t="s">
        <v>88</v>
      </c>
      <c r="O230" s="8" t="s">
        <v>88</v>
      </c>
      <c r="Q230" s="8" t="s">
        <v>45</v>
      </c>
      <c r="R230" s="8">
        <v>2</v>
      </c>
      <c r="S230" s="8">
        <v>8</v>
      </c>
      <c r="T230" s="8">
        <f t="shared" si="15"/>
        <v>10</v>
      </c>
      <c r="U230" s="8">
        <v>2</v>
      </c>
      <c r="V230" s="8">
        <v>0</v>
      </c>
      <c r="W230" s="8">
        <v>2</v>
      </c>
      <c r="X230" s="8">
        <v>3</v>
      </c>
      <c r="Y230" s="8">
        <v>2</v>
      </c>
      <c r="Z230" s="8">
        <v>1</v>
      </c>
      <c r="AA230" s="8">
        <v>180</v>
      </c>
      <c r="AB230" s="9">
        <f t="shared" si="16"/>
        <v>1.6666666666666665</v>
      </c>
      <c r="AC230" s="10">
        <f t="shared" si="18"/>
        <v>6.0000000000000009</v>
      </c>
      <c r="AD230" s="8" t="s">
        <v>109</v>
      </c>
      <c r="AE230" s="11">
        <v>89990</v>
      </c>
      <c r="AF230" s="11">
        <f t="shared" si="19"/>
        <v>899900</v>
      </c>
      <c r="AG230" s="12" t="s">
        <v>34</v>
      </c>
      <c r="AH230" s="8" t="s">
        <v>35</v>
      </c>
    </row>
    <row r="231" spans="1:34">
      <c r="A231" s="8" t="s">
        <v>357</v>
      </c>
      <c r="B231" s="16" t="s">
        <v>2859</v>
      </c>
      <c r="C231" s="8" t="s">
        <v>248</v>
      </c>
      <c r="D231" s="8" t="s">
        <v>249</v>
      </c>
      <c r="E231" s="8" t="str">
        <f t="shared" si="17"/>
        <v>TABACO</v>
      </c>
      <c r="H231" s="8" t="str">
        <f>VLOOKUP(A231,[1]BBDD!$B$1:$J$3274,9,FALSE)</f>
        <v>M</v>
      </c>
      <c r="I231" s="8" t="s">
        <v>2862</v>
      </c>
      <c r="J231" s="8" t="s">
        <v>352</v>
      </c>
      <c r="L231" s="8" t="s">
        <v>61</v>
      </c>
      <c r="N231" s="8" t="s">
        <v>67</v>
      </c>
      <c r="O231" s="8" t="s">
        <v>67</v>
      </c>
      <c r="Q231" s="8" t="s">
        <v>45</v>
      </c>
      <c r="R231" s="8">
        <v>0</v>
      </c>
      <c r="S231" s="8">
        <v>1</v>
      </c>
      <c r="T231" s="8">
        <f t="shared" ref="T231:T294" si="20">SUM(R231:S231)</f>
        <v>1</v>
      </c>
      <c r="U231" s="8">
        <v>1</v>
      </c>
      <c r="V231" s="8">
        <v>1</v>
      </c>
      <c r="W231" s="8">
        <v>2</v>
      </c>
      <c r="X231" s="8">
        <v>1</v>
      </c>
      <c r="Y231" s="8">
        <v>1</v>
      </c>
      <c r="Z231" s="8">
        <v>0</v>
      </c>
      <c r="AA231" s="8">
        <v>180</v>
      </c>
      <c r="AB231" s="9">
        <f t="shared" ref="AB231:AB294" si="21">SUM(U231:Z231)/AA231*30</f>
        <v>1</v>
      </c>
      <c r="AC231" s="10">
        <f t="shared" si="18"/>
        <v>1</v>
      </c>
      <c r="AD231" s="8" t="s">
        <v>109</v>
      </c>
      <c r="AE231" s="11">
        <v>89990</v>
      </c>
      <c r="AF231" s="11">
        <f t="shared" si="19"/>
        <v>89990</v>
      </c>
      <c r="AG231" s="12" t="s">
        <v>34</v>
      </c>
      <c r="AH231" s="8" t="s">
        <v>35</v>
      </c>
    </row>
    <row r="232" spans="1:34">
      <c r="A232" s="8" t="s">
        <v>358</v>
      </c>
      <c r="B232" s="16" t="s">
        <v>2859</v>
      </c>
      <c r="C232" s="8" t="s">
        <v>248</v>
      </c>
      <c r="D232" s="8" t="s">
        <v>249</v>
      </c>
      <c r="E232" s="8" t="str">
        <f t="shared" si="17"/>
        <v>VERDE</v>
      </c>
      <c r="H232" s="8" t="str">
        <f>VLOOKUP(A232,[1]BBDD!$B$1:$J$3274,9,FALSE)</f>
        <v>M</v>
      </c>
      <c r="I232" s="8" t="s">
        <v>2862</v>
      </c>
      <c r="J232" s="8" t="s">
        <v>352</v>
      </c>
      <c r="L232" s="8" t="s">
        <v>119</v>
      </c>
      <c r="N232" s="8" t="s">
        <v>92</v>
      </c>
      <c r="O232" s="8" t="s">
        <v>92</v>
      </c>
      <c r="Q232" s="8" t="s">
        <v>32</v>
      </c>
      <c r="R232" s="8">
        <v>0</v>
      </c>
      <c r="S232" s="8">
        <v>6</v>
      </c>
      <c r="T232" s="8">
        <f t="shared" si="20"/>
        <v>6</v>
      </c>
      <c r="U232" s="8">
        <v>1</v>
      </c>
      <c r="V232" s="8">
        <v>0</v>
      </c>
      <c r="W232" s="8">
        <v>0</v>
      </c>
      <c r="X232" s="8">
        <v>1</v>
      </c>
      <c r="Y232" s="8">
        <v>1</v>
      </c>
      <c r="Z232" s="8">
        <v>0</v>
      </c>
      <c r="AA232" s="8">
        <v>180</v>
      </c>
      <c r="AB232" s="9">
        <f t="shared" si="21"/>
        <v>0.5</v>
      </c>
      <c r="AC232" s="10">
        <f t="shared" si="18"/>
        <v>12</v>
      </c>
      <c r="AD232" s="8" t="s">
        <v>33</v>
      </c>
      <c r="AE232" s="11">
        <v>89990</v>
      </c>
      <c r="AF232" s="11">
        <f t="shared" si="19"/>
        <v>539940</v>
      </c>
      <c r="AG232" s="12" t="s">
        <v>51</v>
      </c>
      <c r="AH232" s="8" t="s">
        <v>35</v>
      </c>
    </row>
    <row r="233" spans="1:34">
      <c r="A233" s="8" t="s">
        <v>359</v>
      </c>
      <c r="B233" s="16" t="s">
        <v>2859</v>
      </c>
      <c r="C233" s="8" t="s">
        <v>248</v>
      </c>
      <c r="D233" s="8" t="s">
        <v>249</v>
      </c>
      <c r="E233" s="8" t="str">
        <f t="shared" si="17"/>
        <v>AZUL</v>
      </c>
      <c r="H233" s="8" t="str">
        <f>VLOOKUP(A233,[1]BBDD!$B$1:$J$3274,9,FALSE)</f>
        <v>M</v>
      </c>
      <c r="I233" s="8" t="s">
        <v>2862</v>
      </c>
      <c r="J233" s="8" t="s">
        <v>352</v>
      </c>
      <c r="L233" s="8" t="s">
        <v>119</v>
      </c>
      <c r="N233" s="8" t="s">
        <v>83</v>
      </c>
      <c r="O233" s="8" t="s">
        <v>83</v>
      </c>
      <c r="Q233" s="8" t="s">
        <v>32</v>
      </c>
      <c r="R233" s="8">
        <v>0</v>
      </c>
      <c r="S233" s="8">
        <v>2</v>
      </c>
      <c r="T233" s="8">
        <f t="shared" si="20"/>
        <v>2</v>
      </c>
      <c r="U233" s="8">
        <v>0</v>
      </c>
      <c r="V233" s="8">
        <v>0</v>
      </c>
      <c r="W233" s="8">
        <v>0</v>
      </c>
      <c r="X233" s="8">
        <v>0</v>
      </c>
      <c r="Y233" s="8">
        <v>1</v>
      </c>
      <c r="Z233" s="8">
        <v>1</v>
      </c>
      <c r="AA233" s="8">
        <v>180</v>
      </c>
      <c r="AB233" s="9">
        <f t="shared" si="21"/>
        <v>0.33333333333333337</v>
      </c>
      <c r="AC233" s="10">
        <f t="shared" si="18"/>
        <v>5.9999999999999991</v>
      </c>
      <c r="AD233" s="8" t="s">
        <v>33</v>
      </c>
      <c r="AE233" s="11">
        <v>89990</v>
      </c>
      <c r="AF233" s="11">
        <f t="shared" si="19"/>
        <v>179980</v>
      </c>
      <c r="AG233" s="12" t="s">
        <v>34</v>
      </c>
      <c r="AH233" s="8" t="s">
        <v>35</v>
      </c>
    </row>
    <row r="234" spans="1:34">
      <c r="A234" s="8" t="s">
        <v>360</v>
      </c>
      <c r="B234" s="16" t="s">
        <v>2859</v>
      </c>
      <c r="C234" s="8" t="s">
        <v>248</v>
      </c>
      <c r="D234" s="8" t="s">
        <v>249</v>
      </c>
      <c r="E234" s="8" t="str">
        <f t="shared" si="17"/>
        <v>CARAMELO</v>
      </c>
      <c r="H234" s="8" t="str">
        <f>VLOOKUP(A234,[1]BBDD!$B$1:$J$3274,9,FALSE)</f>
        <v>M</v>
      </c>
      <c r="I234" s="8" t="s">
        <v>2862</v>
      </c>
      <c r="J234" s="8" t="s">
        <v>352</v>
      </c>
      <c r="L234" s="8" t="s">
        <v>82</v>
      </c>
      <c r="N234" s="8" t="s">
        <v>62</v>
      </c>
      <c r="O234" s="8" t="s">
        <v>62</v>
      </c>
      <c r="Q234" s="8" t="s">
        <v>32</v>
      </c>
      <c r="R234" s="8">
        <v>0</v>
      </c>
      <c r="S234" s="8">
        <v>7</v>
      </c>
      <c r="T234" s="8">
        <f t="shared" si="20"/>
        <v>7</v>
      </c>
      <c r="U234" s="8">
        <v>1</v>
      </c>
      <c r="V234" s="8">
        <v>0</v>
      </c>
      <c r="W234" s="8">
        <v>0</v>
      </c>
      <c r="X234" s="8">
        <v>3</v>
      </c>
      <c r="Y234" s="8">
        <v>1</v>
      </c>
      <c r="Z234" s="8">
        <v>0</v>
      </c>
      <c r="AA234" s="8">
        <v>180</v>
      </c>
      <c r="AB234" s="9">
        <f t="shared" si="21"/>
        <v>0.83333333333333326</v>
      </c>
      <c r="AC234" s="10">
        <f t="shared" si="18"/>
        <v>8.4</v>
      </c>
      <c r="AD234" s="8" t="s">
        <v>33</v>
      </c>
      <c r="AE234" s="11">
        <v>89990</v>
      </c>
      <c r="AF234" s="11">
        <f t="shared" si="19"/>
        <v>629930</v>
      </c>
      <c r="AG234" s="12" t="s">
        <v>51</v>
      </c>
      <c r="AH234" s="8" t="s">
        <v>35</v>
      </c>
    </row>
    <row r="235" spans="1:34">
      <c r="A235" s="8" t="s">
        <v>361</v>
      </c>
      <c r="B235" s="16" t="s">
        <v>2859</v>
      </c>
      <c r="C235" s="8" t="s">
        <v>248</v>
      </c>
      <c r="D235" s="8" t="s">
        <v>249</v>
      </c>
      <c r="E235" s="8" t="str">
        <f t="shared" si="17"/>
        <v>NEGRO</v>
      </c>
      <c r="H235" s="8" t="str">
        <f>VLOOKUP(A235,[1]BBDD!$B$1:$J$3274,9,FALSE)</f>
        <v>M</v>
      </c>
      <c r="I235" s="8" t="s">
        <v>2862</v>
      </c>
      <c r="J235" s="8" t="s">
        <v>352</v>
      </c>
      <c r="L235" s="8" t="s">
        <v>82</v>
      </c>
      <c r="N235" s="8" t="s">
        <v>44</v>
      </c>
      <c r="O235" s="8" t="s">
        <v>44</v>
      </c>
      <c r="Q235" s="8" t="s">
        <v>32</v>
      </c>
      <c r="R235" s="8">
        <v>6</v>
      </c>
      <c r="S235" s="8">
        <v>7</v>
      </c>
      <c r="T235" s="8">
        <f t="shared" si="20"/>
        <v>13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1</v>
      </c>
      <c r="AA235" s="8">
        <v>180</v>
      </c>
      <c r="AB235" s="9">
        <f t="shared" si="21"/>
        <v>0.16666666666666669</v>
      </c>
      <c r="AC235" s="10">
        <f t="shared" si="18"/>
        <v>77.999999999999986</v>
      </c>
      <c r="AD235" s="8" t="s">
        <v>33</v>
      </c>
      <c r="AE235" s="11">
        <v>89990</v>
      </c>
      <c r="AF235" s="11">
        <f t="shared" si="19"/>
        <v>1169870</v>
      </c>
      <c r="AG235" s="12" t="s">
        <v>73</v>
      </c>
      <c r="AH235" s="8" t="s">
        <v>65</v>
      </c>
    </row>
    <row r="236" spans="1:34">
      <c r="A236" s="8" t="s">
        <v>362</v>
      </c>
      <c r="B236" s="16" t="s">
        <v>2859</v>
      </c>
      <c r="C236" s="8" t="s">
        <v>248</v>
      </c>
      <c r="D236" s="8" t="s">
        <v>249</v>
      </c>
      <c r="E236" s="8" t="str">
        <f t="shared" si="17"/>
        <v>ROJO</v>
      </c>
      <c r="H236" s="8" t="str">
        <f>VLOOKUP(A236,[1]BBDD!$B$1:$J$3274,9,FALSE)</f>
        <v>M</v>
      </c>
      <c r="I236" s="8" t="s">
        <v>2862</v>
      </c>
      <c r="J236" s="8" t="s">
        <v>352</v>
      </c>
      <c r="L236" s="8" t="s">
        <v>82</v>
      </c>
      <c r="N236" s="8" t="s">
        <v>88</v>
      </c>
      <c r="O236" s="8" t="s">
        <v>88</v>
      </c>
      <c r="Q236" s="8" t="s">
        <v>32</v>
      </c>
      <c r="R236" s="8">
        <v>6</v>
      </c>
      <c r="S236" s="8">
        <v>6</v>
      </c>
      <c r="T236" s="8">
        <f t="shared" si="20"/>
        <v>12</v>
      </c>
      <c r="U236" s="8">
        <v>1</v>
      </c>
      <c r="V236" s="8">
        <v>0</v>
      </c>
      <c r="W236" s="8">
        <v>0</v>
      </c>
      <c r="X236" s="8">
        <v>1</v>
      </c>
      <c r="Y236" s="8">
        <v>1</v>
      </c>
      <c r="Z236" s="8">
        <v>2</v>
      </c>
      <c r="AA236" s="8">
        <v>180</v>
      </c>
      <c r="AB236" s="9">
        <f t="shared" si="21"/>
        <v>0.83333333333333326</v>
      </c>
      <c r="AC236" s="10">
        <f t="shared" si="18"/>
        <v>14.400000000000002</v>
      </c>
      <c r="AD236" s="8" t="s">
        <v>33</v>
      </c>
      <c r="AE236" s="11">
        <v>89990</v>
      </c>
      <c r="AF236" s="11">
        <f t="shared" si="19"/>
        <v>1079880</v>
      </c>
      <c r="AG236" s="12" t="s">
        <v>64</v>
      </c>
      <c r="AH236" s="8" t="s">
        <v>65</v>
      </c>
    </row>
    <row r="237" spans="1:34">
      <c r="A237" s="8" t="s">
        <v>363</v>
      </c>
      <c r="B237" s="16" t="s">
        <v>2859</v>
      </c>
      <c r="C237" s="8" t="s">
        <v>248</v>
      </c>
      <c r="D237" s="8" t="s">
        <v>249</v>
      </c>
      <c r="E237" s="8" t="str">
        <f t="shared" si="17"/>
        <v>SUELA</v>
      </c>
      <c r="H237" s="8" t="str">
        <f>VLOOKUP(A237,[1]BBDD!$B$1:$J$3274,9,FALSE)</f>
        <v>M</v>
      </c>
      <c r="I237" s="8" t="s">
        <v>2862</v>
      </c>
      <c r="J237" s="8" t="s">
        <v>352</v>
      </c>
      <c r="L237" s="8" t="s">
        <v>82</v>
      </c>
      <c r="N237" s="8" t="s">
        <v>90</v>
      </c>
      <c r="O237" s="8" t="s">
        <v>90</v>
      </c>
      <c r="Q237" s="8" t="s">
        <v>32</v>
      </c>
      <c r="R237" s="8">
        <v>2</v>
      </c>
      <c r="S237" s="8">
        <v>6</v>
      </c>
      <c r="T237" s="8">
        <f t="shared" si="20"/>
        <v>8</v>
      </c>
      <c r="U237" s="8">
        <v>0</v>
      </c>
      <c r="V237" s="8">
        <v>0</v>
      </c>
      <c r="W237" s="8">
        <v>0</v>
      </c>
      <c r="X237" s="8">
        <v>2</v>
      </c>
      <c r="Y237" s="8">
        <v>0</v>
      </c>
      <c r="Z237" s="8">
        <v>2</v>
      </c>
      <c r="AA237" s="8">
        <v>180</v>
      </c>
      <c r="AB237" s="9">
        <f t="shared" si="21"/>
        <v>0.66666666666666674</v>
      </c>
      <c r="AC237" s="10">
        <f t="shared" si="18"/>
        <v>11.999999999999998</v>
      </c>
      <c r="AD237" s="8" t="s">
        <v>33</v>
      </c>
      <c r="AE237" s="11">
        <v>89990</v>
      </c>
      <c r="AF237" s="11">
        <f t="shared" si="19"/>
        <v>719920</v>
      </c>
      <c r="AG237" s="12" t="s">
        <v>51</v>
      </c>
      <c r="AH237" s="8" t="s">
        <v>35</v>
      </c>
    </row>
    <row r="238" spans="1:34">
      <c r="A238" s="8" t="s">
        <v>364</v>
      </c>
      <c r="B238" s="16" t="s">
        <v>2859</v>
      </c>
      <c r="C238" s="8" t="s">
        <v>248</v>
      </c>
      <c r="D238" s="8" t="s">
        <v>249</v>
      </c>
      <c r="E238" s="8" t="str">
        <f t="shared" si="17"/>
        <v>AZUL</v>
      </c>
      <c r="H238" s="8" t="str">
        <f>VLOOKUP(A238,[1]BBDD!$B$1:$J$3274,9,FALSE)</f>
        <v>M</v>
      </c>
      <c r="I238" s="8" t="s">
        <v>2862</v>
      </c>
      <c r="J238" s="8" t="s">
        <v>352</v>
      </c>
      <c r="L238" s="8" t="s">
        <v>82</v>
      </c>
      <c r="N238" s="8" t="s">
        <v>83</v>
      </c>
      <c r="O238" s="8" t="s">
        <v>83</v>
      </c>
      <c r="Q238" s="8" t="s">
        <v>45</v>
      </c>
      <c r="R238" s="8">
        <v>0</v>
      </c>
      <c r="S238" s="8">
        <v>6</v>
      </c>
      <c r="T238" s="8">
        <f t="shared" si="20"/>
        <v>6</v>
      </c>
      <c r="U238" s="8">
        <v>0</v>
      </c>
      <c r="V238" s="8">
        <v>0</v>
      </c>
      <c r="W238" s="8">
        <v>1</v>
      </c>
      <c r="X238" s="8">
        <v>1</v>
      </c>
      <c r="Y238" s="8">
        <v>0</v>
      </c>
      <c r="Z238" s="8">
        <v>0</v>
      </c>
      <c r="AA238" s="8">
        <v>180</v>
      </c>
      <c r="AB238" s="9">
        <f t="shared" si="21"/>
        <v>0.33333333333333337</v>
      </c>
      <c r="AC238" s="10">
        <f t="shared" si="18"/>
        <v>17.999999999999996</v>
      </c>
      <c r="AD238" s="8" t="s">
        <v>109</v>
      </c>
      <c r="AE238" s="11">
        <v>89990</v>
      </c>
      <c r="AF238" s="11">
        <f t="shared" si="19"/>
        <v>539940</v>
      </c>
      <c r="AG238" s="12" t="s">
        <v>64</v>
      </c>
      <c r="AH238" s="8" t="s">
        <v>35</v>
      </c>
    </row>
    <row r="239" spans="1:34">
      <c r="A239" s="8" t="s">
        <v>365</v>
      </c>
      <c r="B239" s="16" t="s">
        <v>2859</v>
      </c>
      <c r="C239" s="8" t="s">
        <v>248</v>
      </c>
      <c r="D239" s="8" t="s">
        <v>249</v>
      </c>
      <c r="E239" s="8" t="str">
        <f t="shared" si="17"/>
        <v>VERDE</v>
      </c>
      <c r="H239" s="8" t="str">
        <f>VLOOKUP(A239,[1]BBDD!$B$1:$J$3274,9,FALSE)</f>
        <v>M</v>
      </c>
      <c r="I239" s="8" t="s">
        <v>2862</v>
      </c>
      <c r="J239" s="8" t="s">
        <v>352</v>
      </c>
      <c r="L239" s="8" t="s">
        <v>82</v>
      </c>
      <c r="N239" s="8" t="s">
        <v>92</v>
      </c>
      <c r="O239" s="8" t="s">
        <v>92</v>
      </c>
      <c r="Q239" s="8" t="s">
        <v>45</v>
      </c>
      <c r="R239" s="8">
        <v>0</v>
      </c>
      <c r="S239" s="8">
        <v>1</v>
      </c>
      <c r="T239" s="8">
        <f t="shared" si="20"/>
        <v>1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180</v>
      </c>
      <c r="AB239" s="9">
        <f t="shared" si="21"/>
        <v>0</v>
      </c>
      <c r="AC239" s="10" t="str">
        <f t="shared" si="18"/>
        <v>sin venta</v>
      </c>
      <c r="AD239" s="8" t="s">
        <v>109</v>
      </c>
      <c r="AE239" s="11">
        <v>89990</v>
      </c>
      <c r="AF239" s="11">
        <f t="shared" si="19"/>
        <v>89990</v>
      </c>
      <c r="AG239" s="12" t="s">
        <v>73</v>
      </c>
      <c r="AH239" s="8" t="s">
        <v>35</v>
      </c>
    </row>
    <row r="240" spans="1:34">
      <c r="A240" s="8" t="s">
        <v>366</v>
      </c>
      <c r="B240" s="16" t="s">
        <v>2859</v>
      </c>
      <c r="C240" s="8" t="s">
        <v>248</v>
      </c>
      <c r="D240" s="8" t="s">
        <v>249</v>
      </c>
      <c r="E240" s="8" t="str">
        <f t="shared" si="17"/>
        <v>CARAMELO</v>
      </c>
      <c r="H240" s="8" t="str">
        <f>VLOOKUP(A240,[1]BBDD!$B$1:$J$3274,9,FALSE)</f>
        <v>M</v>
      </c>
      <c r="I240" s="8" t="s">
        <v>2862</v>
      </c>
      <c r="J240" s="8" t="s">
        <v>367</v>
      </c>
      <c r="L240" s="8" t="s">
        <v>61</v>
      </c>
      <c r="N240" s="8" t="s">
        <v>62</v>
      </c>
      <c r="O240" s="8" t="s">
        <v>62</v>
      </c>
      <c r="Q240" s="8" t="s">
        <v>45</v>
      </c>
      <c r="R240" s="8">
        <v>0</v>
      </c>
      <c r="S240" s="8">
        <v>3</v>
      </c>
      <c r="T240" s="8">
        <f t="shared" si="20"/>
        <v>3</v>
      </c>
      <c r="U240" s="8">
        <v>1</v>
      </c>
      <c r="V240" s="8">
        <v>2</v>
      </c>
      <c r="W240" s="8">
        <v>2</v>
      </c>
      <c r="X240" s="8">
        <v>0</v>
      </c>
      <c r="Y240" s="8">
        <v>0</v>
      </c>
      <c r="Z240" s="8">
        <v>1</v>
      </c>
      <c r="AA240" s="8">
        <v>180</v>
      </c>
      <c r="AB240" s="9">
        <f t="shared" si="21"/>
        <v>1</v>
      </c>
      <c r="AC240" s="10">
        <f t="shared" si="18"/>
        <v>3</v>
      </c>
      <c r="AD240" s="8" t="s">
        <v>109</v>
      </c>
      <c r="AE240" s="11">
        <v>89990</v>
      </c>
      <c r="AF240" s="11">
        <f t="shared" si="19"/>
        <v>269970</v>
      </c>
      <c r="AG240" s="12" t="s">
        <v>34</v>
      </c>
      <c r="AH240" s="8" t="s">
        <v>35</v>
      </c>
    </row>
    <row r="241" spans="1:34">
      <c r="A241" s="8" t="s">
        <v>368</v>
      </c>
      <c r="B241" s="16" t="s">
        <v>2859</v>
      </c>
      <c r="C241" s="8" t="s">
        <v>248</v>
      </c>
      <c r="D241" s="8" t="s">
        <v>249</v>
      </c>
      <c r="E241" s="8" t="str">
        <f t="shared" si="17"/>
        <v>NEGRO</v>
      </c>
      <c r="H241" s="8" t="str">
        <f>VLOOKUP(A241,[1]BBDD!$B$1:$J$3274,9,FALSE)</f>
        <v>M</v>
      </c>
      <c r="I241" s="8" t="s">
        <v>2862</v>
      </c>
      <c r="J241" s="8" t="s">
        <v>367</v>
      </c>
      <c r="L241" s="8" t="s">
        <v>61</v>
      </c>
      <c r="N241" s="8" t="s">
        <v>44</v>
      </c>
      <c r="O241" s="8" t="s">
        <v>44</v>
      </c>
      <c r="Q241" s="8" t="s">
        <v>45</v>
      </c>
      <c r="R241" s="8">
        <v>0</v>
      </c>
      <c r="S241" s="8">
        <v>7</v>
      </c>
      <c r="T241" s="8">
        <f t="shared" si="20"/>
        <v>7</v>
      </c>
      <c r="U241" s="8">
        <v>1</v>
      </c>
      <c r="V241" s="8">
        <v>0</v>
      </c>
      <c r="W241" s="8">
        <v>1</v>
      </c>
      <c r="X241" s="8">
        <v>1</v>
      </c>
      <c r="Y241" s="8">
        <v>0</v>
      </c>
      <c r="Z241" s="8">
        <v>0</v>
      </c>
      <c r="AA241" s="8">
        <v>180</v>
      </c>
      <c r="AB241" s="9">
        <f t="shared" si="21"/>
        <v>0.5</v>
      </c>
      <c r="AC241" s="10">
        <f t="shared" si="18"/>
        <v>14</v>
      </c>
      <c r="AD241" s="8" t="s">
        <v>109</v>
      </c>
      <c r="AE241" s="11">
        <v>89990</v>
      </c>
      <c r="AF241" s="11">
        <f t="shared" si="19"/>
        <v>629930</v>
      </c>
      <c r="AG241" s="12" t="s">
        <v>64</v>
      </c>
      <c r="AH241" s="8" t="s">
        <v>35</v>
      </c>
    </row>
    <row r="242" spans="1:34">
      <c r="A242" s="8" t="s">
        <v>369</v>
      </c>
      <c r="B242" s="16" t="s">
        <v>2859</v>
      </c>
      <c r="C242" s="8" t="s">
        <v>248</v>
      </c>
      <c r="D242" s="8" t="s">
        <v>249</v>
      </c>
      <c r="E242" s="8" t="str">
        <f t="shared" si="17"/>
        <v>VERDE</v>
      </c>
      <c r="H242" s="8" t="str">
        <f>VLOOKUP(A242,[1]BBDD!$B$1:$J$3274,9,FALSE)</f>
        <v>M</v>
      </c>
      <c r="I242" s="8" t="s">
        <v>2862</v>
      </c>
      <c r="J242" s="8" t="s">
        <v>367</v>
      </c>
      <c r="L242" s="8" t="s">
        <v>119</v>
      </c>
      <c r="N242" s="8" t="s">
        <v>92</v>
      </c>
      <c r="O242" s="8" t="s">
        <v>92</v>
      </c>
      <c r="Q242" s="8" t="s">
        <v>32</v>
      </c>
      <c r="R242" s="8">
        <v>0</v>
      </c>
      <c r="S242" s="8">
        <v>6</v>
      </c>
      <c r="T242" s="8">
        <f t="shared" si="20"/>
        <v>6</v>
      </c>
      <c r="U242" s="8">
        <v>2</v>
      </c>
      <c r="V242" s="8">
        <v>1</v>
      </c>
      <c r="W242" s="8">
        <v>1</v>
      </c>
      <c r="X242" s="8">
        <v>1</v>
      </c>
      <c r="Y242" s="8">
        <v>0</v>
      </c>
      <c r="Z242" s="8">
        <v>1</v>
      </c>
      <c r="AA242" s="8">
        <v>180</v>
      </c>
      <c r="AB242" s="9">
        <f t="shared" si="21"/>
        <v>1</v>
      </c>
      <c r="AC242" s="10">
        <f t="shared" si="18"/>
        <v>6</v>
      </c>
      <c r="AD242" s="8" t="s">
        <v>33</v>
      </c>
      <c r="AE242" s="11">
        <v>89990</v>
      </c>
      <c r="AF242" s="11">
        <f t="shared" si="19"/>
        <v>539940</v>
      </c>
      <c r="AG242" s="12" t="s">
        <v>34</v>
      </c>
      <c r="AH242" s="8" t="s">
        <v>35</v>
      </c>
    </row>
    <row r="243" spans="1:34">
      <c r="A243" s="8" t="s">
        <v>370</v>
      </c>
      <c r="B243" s="16" t="s">
        <v>2859</v>
      </c>
      <c r="C243" s="8" t="s">
        <v>248</v>
      </c>
      <c r="D243" s="8" t="s">
        <v>249</v>
      </c>
      <c r="E243" s="8" t="str">
        <f t="shared" si="17"/>
        <v>CARAMELO</v>
      </c>
      <c r="H243" s="8" t="str">
        <f>VLOOKUP(A243,[1]BBDD!$B$1:$J$3274,9,FALSE)</f>
        <v>M</v>
      </c>
      <c r="I243" s="8" t="s">
        <v>2862</v>
      </c>
      <c r="J243" s="8" t="s">
        <v>367</v>
      </c>
      <c r="L243" s="8" t="s">
        <v>82</v>
      </c>
      <c r="N243" s="8" t="s">
        <v>62</v>
      </c>
      <c r="O243" s="8" t="s">
        <v>62</v>
      </c>
      <c r="Q243" s="8" t="s">
        <v>32</v>
      </c>
      <c r="R243" s="8">
        <v>0</v>
      </c>
      <c r="S243" s="8">
        <v>5</v>
      </c>
      <c r="T243" s="8">
        <f t="shared" si="20"/>
        <v>5</v>
      </c>
      <c r="U243" s="8">
        <v>0</v>
      </c>
      <c r="V243" s="8">
        <v>2</v>
      </c>
      <c r="W243" s="8">
        <v>2</v>
      </c>
      <c r="X243" s="8">
        <v>1</v>
      </c>
      <c r="Y243" s="8">
        <v>2</v>
      </c>
      <c r="Z243" s="8">
        <v>1</v>
      </c>
      <c r="AA243" s="8">
        <v>180</v>
      </c>
      <c r="AB243" s="9">
        <f t="shared" si="21"/>
        <v>1.3333333333333335</v>
      </c>
      <c r="AC243" s="10">
        <f t="shared" si="18"/>
        <v>3.7499999999999996</v>
      </c>
      <c r="AD243" s="8" t="s">
        <v>33</v>
      </c>
      <c r="AE243" s="11">
        <v>89990</v>
      </c>
      <c r="AF243" s="11">
        <f t="shared" si="19"/>
        <v>449950</v>
      </c>
      <c r="AG243" s="12" t="s">
        <v>34</v>
      </c>
      <c r="AH243" s="8" t="s">
        <v>35</v>
      </c>
    </row>
    <row r="244" spans="1:34">
      <c r="A244" s="8" t="s">
        <v>371</v>
      </c>
      <c r="B244" s="16" t="s">
        <v>2859</v>
      </c>
      <c r="C244" s="8" t="s">
        <v>248</v>
      </c>
      <c r="D244" s="8" t="s">
        <v>249</v>
      </c>
      <c r="E244" s="8" t="str">
        <f t="shared" si="17"/>
        <v>NEGRO</v>
      </c>
      <c r="H244" s="8" t="str">
        <f>VLOOKUP(A244,[1]BBDD!$B$1:$J$3274,9,FALSE)</f>
        <v>M</v>
      </c>
      <c r="I244" s="8" t="s">
        <v>2862</v>
      </c>
      <c r="J244" s="8" t="s">
        <v>367</v>
      </c>
      <c r="L244" s="8" t="s">
        <v>82</v>
      </c>
      <c r="N244" s="8" t="s">
        <v>44</v>
      </c>
      <c r="O244" s="8" t="s">
        <v>44</v>
      </c>
      <c r="Q244" s="8" t="s">
        <v>32</v>
      </c>
      <c r="R244" s="8">
        <v>8</v>
      </c>
      <c r="S244" s="8">
        <v>9</v>
      </c>
      <c r="T244" s="8">
        <f t="shared" si="20"/>
        <v>17</v>
      </c>
      <c r="U244" s="8">
        <v>0</v>
      </c>
      <c r="V244" s="8">
        <v>1</v>
      </c>
      <c r="W244" s="8">
        <v>1</v>
      </c>
      <c r="X244" s="8">
        <v>1</v>
      </c>
      <c r="Y244" s="8">
        <v>0</v>
      </c>
      <c r="Z244" s="8">
        <v>0</v>
      </c>
      <c r="AA244" s="8">
        <v>180</v>
      </c>
      <c r="AB244" s="9">
        <f t="shared" si="21"/>
        <v>0.5</v>
      </c>
      <c r="AC244" s="10">
        <f t="shared" si="18"/>
        <v>34</v>
      </c>
      <c r="AD244" s="8" t="s">
        <v>33</v>
      </c>
      <c r="AE244" s="11">
        <v>89990</v>
      </c>
      <c r="AF244" s="11">
        <f t="shared" si="19"/>
        <v>1529830</v>
      </c>
      <c r="AG244" s="12" t="s">
        <v>73</v>
      </c>
      <c r="AH244" s="8" t="s">
        <v>65</v>
      </c>
    </row>
    <row r="245" spans="1:34">
      <c r="A245" s="8" t="s">
        <v>372</v>
      </c>
      <c r="B245" s="16" t="s">
        <v>2859</v>
      </c>
      <c r="C245" s="8" t="s">
        <v>248</v>
      </c>
      <c r="D245" s="8" t="s">
        <v>249</v>
      </c>
      <c r="E245" s="8" t="str">
        <f t="shared" si="17"/>
        <v>ROJO</v>
      </c>
      <c r="H245" s="8" t="str">
        <f>VLOOKUP(A245,[1]BBDD!$B$1:$J$3274,9,FALSE)</f>
        <v>M</v>
      </c>
      <c r="I245" s="8" t="s">
        <v>2862</v>
      </c>
      <c r="J245" s="8" t="s">
        <v>367</v>
      </c>
      <c r="L245" s="8" t="s">
        <v>82</v>
      </c>
      <c r="N245" s="8" t="s">
        <v>88</v>
      </c>
      <c r="O245" s="8" t="s">
        <v>88</v>
      </c>
      <c r="Q245" s="8" t="s">
        <v>32</v>
      </c>
      <c r="R245" s="8">
        <v>0</v>
      </c>
      <c r="S245" s="8">
        <v>6</v>
      </c>
      <c r="T245" s="8">
        <f t="shared" si="20"/>
        <v>6</v>
      </c>
      <c r="U245" s="8">
        <v>6</v>
      </c>
      <c r="V245" s="8">
        <v>3</v>
      </c>
      <c r="W245" s="8">
        <v>3</v>
      </c>
      <c r="X245" s="8">
        <v>2</v>
      </c>
      <c r="Y245" s="8">
        <v>4</v>
      </c>
      <c r="Z245" s="8">
        <v>1</v>
      </c>
      <c r="AA245" s="8">
        <v>180</v>
      </c>
      <c r="AB245" s="9">
        <f t="shared" si="21"/>
        <v>3.1666666666666665</v>
      </c>
      <c r="AC245" s="10">
        <f t="shared" si="18"/>
        <v>1.8947368421052633</v>
      </c>
      <c r="AD245" s="8" t="s">
        <v>33</v>
      </c>
      <c r="AE245" s="11">
        <v>89990</v>
      </c>
      <c r="AF245" s="11">
        <f t="shared" si="19"/>
        <v>539940</v>
      </c>
      <c r="AG245" s="12" t="s">
        <v>34</v>
      </c>
      <c r="AH245" s="8" t="s">
        <v>35</v>
      </c>
    </row>
    <row r="246" spans="1:34">
      <c r="A246" s="8" t="s">
        <v>373</v>
      </c>
      <c r="B246" s="16" t="s">
        <v>2859</v>
      </c>
      <c r="C246" s="8" t="s">
        <v>248</v>
      </c>
      <c r="D246" s="8" t="s">
        <v>249</v>
      </c>
      <c r="E246" s="8" t="str">
        <f t="shared" si="17"/>
        <v>SUELA</v>
      </c>
      <c r="H246" s="8" t="str">
        <f>VLOOKUP(A246,[1]BBDD!$B$1:$J$3274,9,FALSE)</f>
        <v>M</v>
      </c>
      <c r="I246" s="8" t="s">
        <v>2862</v>
      </c>
      <c r="J246" s="8" t="s">
        <v>367</v>
      </c>
      <c r="L246" s="8" t="s">
        <v>82</v>
      </c>
      <c r="N246" s="8" t="s">
        <v>90</v>
      </c>
      <c r="O246" s="8" t="s">
        <v>90</v>
      </c>
      <c r="Q246" s="8" t="s">
        <v>32</v>
      </c>
      <c r="R246" s="8">
        <v>6</v>
      </c>
      <c r="S246" s="8">
        <v>5</v>
      </c>
      <c r="T246" s="8">
        <f t="shared" si="20"/>
        <v>11</v>
      </c>
      <c r="U246" s="8">
        <v>1</v>
      </c>
      <c r="V246" s="8">
        <v>0</v>
      </c>
      <c r="W246" s="8">
        <v>1</v>
      </c>
      <c r="X246" s="8">
        <v>0</v>
      </c>
      <c r="Y246" s="8">
        <v>1</v>
      </c>
      <c r="Z246" s="8">
        <v>2</v>
      </c>
      <c r="AA246" s="8">
        <v>180</v>
      </c>
      <c r="AB246" s="9">
        <f t="shared" si="21"/>
        <v>0.83333333333333326</v>
      </c>
      <c r="AC246" s="10">
        <f t="shared" si="18"/>
        <v>13.200000000000001</v>
      </c>
      <c r="AD246" s="8" t="s">
        <v>33</v>
      </c>
      <c r="AE246" s="11">
        <v>89990</v>
      </c>
      <c r="AF246" s="11">
        <f t="shared" si="19"/>
        <v>989890</v>
      </c>
      <c r="AG246" s="12" t="s">
        <v>64</v>
      </c>
      <c r="AH246" s="8" t="s">
        <v>65</v>
      </c>
    </row>
    <row r="247" spans="1:34">
      <c r="A247" s="8" t="s">
        <v>374</v>
      </c>
      <c r="B247" s="16" t="s">
        <v>2859</v>
      </c>
      <c r="C247" s="8" t="s">
        <v>248</v>
      </c>
      <c r="D247" s="8" t="s">
        <v>249</v>
      </c>
      <c r="E247" s="8" t="str">
        <f t="shared" si="17"/>
        <v>AZUL</v>
      </c>
      <c r="H247" s="8" t="str">
        <f>VLOOKUP(A247,[1]BBDD!$B$1:$J$3274,9,FALSE)</f>
        <v>M</v>
      </c>
      <c r="I247" s="8" t="s">
        <v>2862</v>
      </c>
      <c r="J247" s="8" t="s">
        <v>367</v>
      </c>
      <c r="L247" s="8" t="s">
        <v>82</v>
      </c>
      <c r="N247" s="8" t="s">
        <v>83</v>
      </c>
      <c r="O247" s="8" t="s">
        <v>83</v>
      </c>
      <c r="Q247" s="8" t="s">
        <v>45</v>
      </c>
      <c r="R247" s="8">
        <v>0</v>
      </c>
      <c r="S247" s="8">
        <v>5</v>
      </c>
      <c r="T247" s="8">
        <f t="shared" si="20"/>
        <v>5</v>
      </c>
      <c r="U247" s="8">
        <v>0</v>
      </c>
      <c r="V247" s="8">
        <v>2</v>
      </c>
      <c r="W247" s="8">
        <v>1</v>
      </c>
      <c r="X247" s="8">
        <v>1</v>
      </c>
      <c r="Y247" s="8">
        <v>0</v>
      </c>
      <c r="Z247" s="8">
        <v>1</v>
      </c>
      <c r="AA247" s="8">
        <v>180</v>
      </c>
      <c r="AB247" s="9">
        <f t="shared" si="21"/>
        <v>0.83333333333333326</v>
      </c>
      <c r="AC247" s="10">
        <f t="shared" si="18"/>
        <v>6.0000000000000009</v>
      </c>
      <c r="AD247" s="8" t="s">
        <v>109</v>
      </c>
      <c r="AE247" s="11">
        <v>89990</v>
      </c>
      <c r="AF247" s="11">
        <f t="shared" si="19"/>
        <v>449950</v>
      </c>
      <c r="AG247" s="12" t="s">
        <v>34</v>
      </c>
      <c r="AH247" s="8" t="s">
        <v>35</v>
      </c>
    </row>
    <row r="248" spans="1:34">
      <c r="A248" s="8" t="s">
        <v>375</v>
      </c>
      <c r="B248" s="16" t="s">
        <v>376</v>
      </c>
      <c r="C248" s="8" t="s">
        <v>377</v>
      </c>
      <c r="D248" s="8" t="s">
        <v>378</v>
      </c>
      <c r="E248" s="8" t="str">
        <f t="shared" si="17"/>
        <v>BEIGE - S</v>
      </c>
      <c r="G248" s="8" t="s">
        <v>2863</v>
      </c>
      <c r="H248" s="8" t="str">
        <f>VLOOKUP(A248,[1]BBDD!$B$1:$J$3274,9,FALSE)</f>
        <v>H</v>
      </c>
      <c r="I248" s="8" t="s">
        <v>2863</v>
      </c>
      <c r="J248" s="8" t="s">
        <v>379</v>
      </c>
      <c r="L248" s="8" t="s">
        <v>380</v>
      </c>
      <c r="N248" s="8" t="s">
        <v>381</v>
      </c>
      <c r="O248" s="20" t="s">
        <v>516</v>
      </c>
      <c r="P248" s="18" t="s">
        <v>2873</v>
      </c>
      <c r="Q248" s="8" t="s">
        <v>32</v>
      </c>
      <c r="R248" s="8">
        <v>83</v>
      </c>
      <c r="S248" s="8">
        <v>12</v>
      </c>
      <c r="T248" s="8">
        <f t="shared" si="20"/>
        <v>95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5</v>
      </c>
      <c r="AA248" s="8">
        <v>41</v>
      </c>
      <c r="AB248" s="9">
        <f t="shared" si="21"/>
        <v>3.6585365853658534</v>
      </c>
      <c r="AC248" s="10">
        <f t="shared" si="18"/>
        <v>25.966666666666669</v>
      </c>
      <c r="AD248" s="8" t="s">
        <v>33</v>
      </c>
      <c r="AE248" s="11">
        <v>59990</v>
      </c>
      <c r="AF248" s="11">
        <f t="shared" si="19"/>
        <v>5699050</v>
      </c>
      <c r="AG248" s="12" t="s">
        <v>73</v>
      </c>
      <c r="AH248" s="8" t="s">
        <v>74</v>
      </c>
    </row>
    <row r="249" spans="1:34">
      <c r="A249" s="8" t="s">
        <v>382</v>
      </c>
      <c r="B249" s="16" t="s">
        <v>376</v>
      </c>
      <c r="C249" s="8" t="s">
        <v>377</v>
      </c>
      <c r="D249" s="8" t="s">
        <v>378</v>
      </c>
      <c r="E249" s="8" t="str">
        <f t="shared" si="17"/>
        <v>BEIGE - M</v>
      </c>
      <c r="G249" s="8" t="s">
        <v>2863</v>
      </c>
      <c r="H249" s="8" t="str">
        <f>VLOOKUP(A249,[1]BBDD!$B$1:$J$3274,9,FALSE)</f>
        <v>H</v>
      </c>
      <c r="I249" s="8" t="s">
        <v>2863</v>
      </c>
      <c r="J249" s="8" t="s">
        <v>379</v>
      </c>
      <c r="L249" s="8" t="s">
        <v>380</v>
      </c>
      <c r="N249" s="8" t="s">
        <v>383</v>
      </c>
      <c r="O249" s="20" t="s">
        <v>516</v>
      </c>
      <c r="P249" s="18" t="s">
        <v>2862</v>
      </c>
      <c r="Q249" s="8" t="s">
        <v>32</v>
      </c>
      <c r="R249" s="8">
        <v>80</v>
      </c>
      <c r="S249" s="8">
        <v>15</v>
      </c>
      <c r="T249" s="8">
        <f t="shared" si="20"/>
        <v>95</v>
      </c>
      <c r="U249" s="8">
        <v>0</v>
      </c>
      <c r="V249" s="8">
        <v>0</v>
      </c>
      <c r="W249" s="8">
        <v>0</v>
      </c>
      <c r="X249" s="8">
        <v>0</v>
      </c>
      <c r="Y249" s="8">
        <v>1</v>
      </c>
      <c r="Z249" s="8">
        <v>4</v>
      </c>
      <c r="AA249" s="8">
        <v>41</v>
      </c>
      <c r="AB249" s="9">
        <f t="shared" si="21"/>
        <v>3.6585365853658534</v>
      </c>
      <c r="AC249" s="10">
        <f t="shared" si="18"/>
        <v>25.966666666666669</v>
      </c>
      <c r="AD249" s="8" t="s">
        <v>33</v>
      </c>
      <c r="AE249" s="11">
        <v>59990</v>
      </c>
      <c r="AF249" s="11">
        <f t="shared" si="19"/>
        <v>5699050</v>
      </c>
      <c r="AG249" s="12" t="s">
        <v>73</v>
      </c>
      <c r="AH249" s="8" t="s">
        <v>74</v>
      </c>
    </row>
    <row r="250" spans="1:34">
      <c r="A250" s="8" t="s">
        <v>384</v>
      </c>
      <c r="B250" s="16" t="s">
        <v>376</v>
      </c>
      <c r="C250" s="8" t="s">
        <v>377</v>
      </c>
      <c r="D250" s="8" t="s">
        <v>378</v>
      </c>
      <c r="E250" s="8" t="str">
        <f t="shared" si="17"/>
        <v>BEIGE - L</v>
      </c>
      <c r="G250" s="8" t="s">
        <v>2863</v>
      </c>
      <c r="H250" s="8" t="str">
        <f>VLOOKUP(A250,[1]BBDD!$B$1:$J$3274,9,FALSE)</f>
        <v>H</v>
      </c>
      <c r="I250" s="8" t="s">
        <v>2863</v>
      </c>
      <c r="J250" s="8" t="s">
        <v>379</v>
      </c>
      <c r="L250" s="8" t="s">
        <v>380</v>
      </c>
      <c r="N250" s="8" t="s">
        <v>385</v>
      </c>
      <c r="O250" s="20" t="s">
        <v>516</v>
      </c>
      <c r="P250" s="18" t="s">
        <v>2874</v>
      </c>
      <c r="Q250" s="8" t="s">
        <v>32</v>
      </c>
      <c r="R250" s="8">
        <v>93</v>
      </c>
      <c r="S250" s="8">
        <v>5</v>
      </c>
      <c r="T250" s="8">
        <f t="shared" si="20"/>
        <v>98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2</v>
      </c>
      <c r="AA250" s="8">
        <v>41</v>
      </c>
      <c r="AB250" s="9">
        <f t="shared" si="21"/>
        <v>1.4634146341463414</v>
      </c>
      <c r="AC250" s="10">
        <f t="shared" si="18"/>
        <v>66.966666666666669</v>
      </c>
      <c r="AD250" s="8" t="s">
        <v>33</v>
      </c>
      <c r="AE250" s="11">
        <v>59990</v>
      </c>
      <c r="AF250" s="11">
        <f t="shared" si="19"/>
        <v>5879020</v>
      </c>
      <c r="AG250" s="12" t="s">
        <v>73</v>
      </c>
      <c r="AH250" s="8" t="s">
        <v>74</v>
      </c>
    </row>
    <row r="251" spans="1:34">
      <c r="A251" s="8" t="s">
        <v>386</v>
      </c>
      <c r="B251" s="16" t="s">
        <v>376</v>
      </c>
      <c r="C251" s="8" t="s">
        <v>377</v>
      </c>
      <c r="D251" s="8" t="s">
        <v>378</v>
      </c>
      <c r="E251" s="8" t="str">
        <f t="shared" si="17"/>
        <v>GRIS - S</v>
      </c>
      <c r="G251" s="8" t="s">
        <v>2863</v>
      </c>
      <c r="H251" s="8" t="str">
        <f>VLOOKUP(A251,[1]BBDD!$B$1:$J$3274,9,FALSE)</f>
        <v>H</v>
      </c>
      <c r="I251" s="8" t="s">
        <v>2863</v>
      </c>
      <c r="J251" s="8" t="s">
        <v>379</v>
      </c>
      <c r="L251" s="8" t="s">
        <v>380</v>
      </c>
      <c r="N251" s="8" t="s">
        <v>387</v>
      </c>
      <c r="O251" s="20" t="s">
        <v>510</v>
      </c>
      <c r="P251" s="18" t="s">
        <v>2873</v>
      </c>
      <c r="Q251" s="8" t="s">
        <v>32</v>
      </c>
      <c r="R251" s="8">
        <v>85</v>
      </c>
      <c r="S251" s="8">
        <v>12</v>
      </c>
      <c r="T251" s="8">
        <f t="shared" si="20"/>
        <v>97</v>
      </c>
      <c r="U251" s="8">
        <v>0</v>
      </c>
      <c r="V251" s="8">
        <v>0</v>
      </c>
      <c r="W251" s="8">
        <v>0</v>
      </c>
      <c r="X251" s="8">
        <v>0</v>
      </c>
      <c r="Y251" s="8">
        <v>1</v>
      </c>
      <c r="Z251" s="8">
        <v>3</v>
      </c>
      <c r="AA251" s="8">
        <v>41</v>
      </c>
      <c r="AB251" s="9">
        <f t="shared" si="21"/>
        <v>2.9268292682926829</v>
      </c>
      <c r="AC251" s="10">
        <f t="shared" si="18"/>
        <v>33.141666666666666</v>
      </c>
      <c r="AD251" s="8" t="s">
        <v>33</v>
      </c>
      <c r="AE251" s="11">
        <v>59990</v>
      </c>
      <c r="AF251" s="11">
        <f t="shared" si="19"/>
        <v>5819030</v>
      </c>
      <c r="AG251" s="12" t="s">
        <v>73</v>
      </c>
      <c r="AH251" s="8" t="s">
        <v>74</v>
      </c>
    </row>
    <row r="252" spans="1:34">
      <c r="A252" s="8" t="s">
        <v>388</v>
      </c>
      <c r="B252" s="16" t="s">
        <v>376</v>
      </c>
      <c r="C252" s="8" t="s">
        <v>377</v>
      </c>
      <c r="D252" s="8" t="s">
        <v>378</v>
      </c>
      <c r="E252" s="8" t="str">
        <f t="shared" si="17"/>
        <v>GRIS - M</v>
      </c>
      <c r="G252" s="8" t="s">
        <v>2863</v>
      </c>
      <c r="H252" s="8" t="str">
        <f>VLOOKUP(A252,[1]BBDD!$B$1:$J$3274,9,FALSE)</f>
        <v>H</v>
      </c>
      <c r="I252" s="8" t="s">
        <v>2863</v>
      </c>
      <c r="J252" s="8" t="s">
        <v>379</v>
      </c>
      <c r="L252" s="8" t="s">
        <v>380</v>
      </c>
      <c r="N252" s="8" t="s">
        <v>389</v>
      </c>
      <c r="O252" s="20" t="s">
        <v>510</v>
      </c>
      <c r="P252" s="18" t="s">
        <v>2862</v>
      </c>
      <c r="Q252" s="8" t="s">
        <v>32</v>
      </c>
      <c r="R252" s="8">
        <v>88</v>
      </c>
      <c r="S252" s="8">
        <v>9</v>
      </c>
      <c r="T252" s="8">
        <f t="shared" si="20"/>
        <v>97</v>
      </c>
      <c r="U252" s="8">
        <v>0</v>
      </c>
      <c r="V252" s="8">
        <v>0</v>
      </c>
      <c r="W252" s="8">
        <v>0</v>
      </c>
      <c r="X252" s="8">
        <v>0</v>
      </c>
      <c r="Y252" s="8">
        <v>1</v>
      </c>
      <c r="Z252" s="8">
        <v>3</v>
      </c>
      <c r="AA252" s="8">
        <v>41</v>
      </c>
      <c r="AB252" s="9">
        <f t="shared" si="21"/>
        <v>2.9268292682926829</v>
      </c>
      <c r="AC252" s="10">
        <f t="shared" si="18"/>
        <v>33.141666666666666</v>
      </c>
      <c r="AD252" s="8" t="s">
        <v>33</v>
      </c>
      <c r="AE252" s="11">
        <v>59990</v>
      </c>
      <c r="AF252" s="11">
        <f t="shared" si="19"/>
        <v>5819030</v>
      </c>
      <c r="AG252" s="12" t="s">
        <v>73</v>
      </c>
      <c r="AH252" s="8" t="s">
        <v>74</v>
      </c>
    </row>
    <row r="253" spans="1:34">
      <c r="A253" s="8" t="s">
        <v>390</v>
      </c>
      <c r="B253" s="16" t="s">
        <v>376</v>
      </c>
      <c r="C253" s="8" t="s">
        <v>377</v>
      </c>
      <c r="D253" s="8" t="s">
        <v>378</v>
      </c>
      <c r="E253" s="8" t="str">
        <f t="shared" si="17"/>
        <v>GRIS - L</v>
      </c>
      <c r="G253" s="8" t="s">
        <v>2863</v>
      </c>
      <c r="H253" s="8" t="str">
        <f>VLOOKUP(A253,[1]BBDD!$B$1:$J$3274,9,FALSE)</f>
        <v>H</v>
      </c>
      <c r="I253" s="8" t="s">
        <v>2863</v>
      </c>
      <c r="J253" s="8" t="s">
        <v>379</v>
      </c>
      <c r="L253" s="8" t="s">
        <v>380</v>
      </c>
      <c r="N253" s="8" t="s">
        <v>391</v>
      </c>
      <c r="O253" s="20" t="s">
        <v>510</v>
      </c>
      <c r="P253" s="18" t="s">
        <v>2874</v>
      </c>
      <c r="Q253" s="8" t="s">
        <v>32</v>
      </c>
      <c r="R253" s="8">
        <v>90</v>
      </c>
      <c r="S253" s="8">
        <v>7</v>
      </c>
      <c r="T253" s="8">
        <f t="shared" si="20"/>
        <v>97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4</v>
      </c>
      <c r="AA253" s="8">
        <v>41</v>
      </c>
      <c r="AB253" s="9">
        <f t="shared" si="21"/>
        <v>2.9268292682926829</v>
      </c>
      <c r="AC253" s="10">
        <f t="shared" si="18"/>
        <v>33.141666666666666</v>
      </c>
      <c r="AD253" s="8" t="s">
        <v>33</v>
      </c>
      <c r="AE253" s="11">
        <v>59990</v>
      </c>
      <c r="AF253" s="11">
        <f t="shared" si="19"/>
        <v>5819030</v>
      </c>
      <c r="AG253" s="12" t="s">
        <v>73</v>
      </c>
      <c r="AH253" s="8" t="s">
        <v>74</v>
      </c>
    </row>
    <row r="254" spans="1:34">
      <c r="A254" s="8" t="s">
        <v>392</v>
      </c>
      <c r="B254" s="16" t="s">
        <v>376</v>
      </c>
      <c r="C254" s="8" t="s">
        <v>377</v>
      </c>
      <c r="D254" s="8" t="s">
        <v>378</v>
      </c>
      <c r="E254" s="8" t="str">
        <f t="shared" si="17"/>
        <v>CAFE - S</v>
      </c>
      <c r="G254" s="8" t="s">
        <v>2863</v>
      </c>
      <c r="H254" s="8" t="str">
        <f>VLOOKUP(A254,[1]BBDD!$B$1:$J$3274,9,FALSE)</f>
        <v>H</v>
      </c>
      <c r="I254" s="8" t="s">
        <v>2863</v>
      </c>
      <c r="J254" s="8" t="s">
        <v>379</v>
      </c>
      <c r="L254" s="8" t="s">
        <v>380</v>
      </c>
      <c r="N254" s="8" t="s">
        <v>393</v>
      </c>
      <c r="O254" s="20" t="s">
        <v>76</v>
      </c>
      <c r="P254" s="18" t="s">
        <v>2873</v>
      </c>
      <c r="Q254" s="8" t="s">
        <v>32</v>
      </c>
      <c r="R254" s="8">
        <v>89</v>
      </c>
      <c r="S254" s="8">
        <v>7</v>
      </c>
      <c r="T254" s="8">
        <f t="shared" si="20"/>
        <v>96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5</v>
      </c>
      <c r="AA254" s="8">
        <v>41</v>
      </c>
      <c r="AB254" s="9">
        <f t="shared" si="21"/>
        <v>3.6585365853658534</v>
      </c>
      <c r="AC254" s="10">
        <f t="shared" si="18"/>
        <v>26.240000000000002</v>
      </c>
      <c r="AD254" s="8" t="s">
        <v>33</v>
      </c>
      <c r="AE254" s="11">
        <v>59990</v>
      </c>
      <c r="AF254" s="11">
        <f t="shared" si="19"/>
        <v>5759040</v>
      </c>
      <c r="AG254" s="12" t="s">
        <v>73</v>
      </c>
      <c r="AH254" s="8" t="s">
        <v>74</v>
      </c>
    </row>
    <row r="255" spans="1:34">
      <c r="A255" s="8" t="s">
        <v>394</v>
      </c>
      <c r="B255" s="16" t="s">
        <v>376</v>
      </c>
      <c r="C255" s="8" t="s">
        <v>377</v>
      </c>
      <c r="D255" s="8" t="s">
        <v>378</v>
      </c>
      <c r="E255" s="8" t="str">
        <f t="shared" si="17"/>
        <v>CAFE - M</v>
      </c>
      <c r="G255" s="8" t="s">
        <v>2863</v>
      </c>
      <c r="H255" s="8" t="str">
        <f>VLOOKUP(A255,[1]BBDD!$B$1:$J$3274,9,FALSE)</f>
        <v>H</v>
      </c>
      <c r="I255" s="8" t="s">
        <v>2863</v>
      </c>
      <c r="J255" s="8" t="s">
        <v>379</v>
      </c>
      <c r="L255" s="8" t="s">
        <v>380</v>
      </c>
      <c r="N255" s="8" t="s">
        <v>395</v>
      </c>
      <c r="O255" s="20" t="s">
        <v>76</v>
      </c>
      <c r="P255" s="18" t="s">
        <v>2862</v>
      </c>
      <c r="Q255" s="8" t="s">
        <v>32</v>
      </c>
      <c r="R255" s="8">
        <v>84</v>
      </c>
      <c r="S255" s="8">
        <v>10</v>
      </c>
      <c r="T255" s="8">
        <f t="shared" si="20"/>
        <v>94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7</v>
      </c>
      <c r="AA255" s="8">
        <v>41</v>
      </c>
      <c r="AB255" s="9">
        <f t="shared" si="21"/>
        <v>5.1219512195121952</v>
      </c>
      <c r="AC255" s="10">
        <f t="shared" si="18"/>
        <v>18.352380952380951</v>
      </c>
      <c r="AD255" s="8" t="s">
        <v>33</v>
      </c>
      <c r="AE255" s="11">
        <v>59990</v>
      </c>
      <c r="AF255" s="11">
        <f t="shared" si="19"/>
        <v>5639060</v>
      </c>
      <c r="AG255" s="12" t="s">
        <v>64</v>
      </c>
      <c r="AH255" s="8" t="s">
        <v>74</v>
      </c>
    </row>
    <row r="256" spans="1:34">
      <c r="A256" s="8" t="s">
        <v>396</v>
      </c>
      <c r="B256" s="16" t="s">
        <v>376</v>
      </c>
      <c r="C256" s="8" t="s">
        <v>377</v>
      </c>
      <c r="D256" s="8" t="s">
        <v>378</v>
      </c>
      <c r="E256" s="8" t="str">
        <f t="shared" si="17"/>
        <v>CAFE - L</v>
      </c>
      <c r="G256" s="8" t="s">
        <v>2863</v>
      </c>
      <c r="H256" s="8" t="str">
        <f>VLOOKUP(A256,[1]BBDD!$B$1:$J$3274,9,FALSE)</f>
        <v>H</v>
      </c>
      <c r="I256" s="8" t="s">
        <v>2863</v>
      </c>
      <c r="J256" s="8" t="s">
        <v>379</v>
      </c>
      <c r="L256" s="8" t="s">
        <v>380</v>
      </c>
      <c r="N256" s="8" t="s">
        <v>397</v>
      </c>
      <c r="O256" s="20" t="s">
        <v>76</v>
      </c>
      <c r="P256" s="18" t="s">
        <v>2874</v>
      </c>
      <c r="Q256" s="8" t="s">
        <v>32</v>
      </c>
      <c r="R256" s="8">
        <v>83</v>
      </c>
      <c r="S256" s="8">
        <v>13</v>
      </c>
      <c r="T256" s="8">
        <f t="shared" si="20"/>
        <v>96</v>
      </c>
      <c r="U256" s="8">
        <v>0</v>
      </c>
      <c r="V256" s="8">
        <v>0</v>
      </c>
      <c r="W256" s="8">
        <v>0</v>
      </c>
      <c r="X256" s="8">
        <v>0</v>
      </c>
      <c r="Y256" s="8">
        <v>1</v>
      </c>
      <c r="Z256" s="8">
        <v>4</v>
      </c>
      <c r="AA256" s="8">
        <v>41</v>
      </c>
      <c r="AB256" s="9">
        <f t="shared" si="21"/>
        <v>3.6585365853658534</v>
      </c>
      <c r="AC256" s="10">
        <f t="shared" si="18"/>
        <v>26.240000000000002</v>
      </c>
      <c r="AD256" s="8" t="s">
        <v>33</v>
      </c>
      <c r="AE256" s="11">
        <v>59990</v>
      </c>
      <c r="AF256" s="11">
        <f t="shared" si="19"/>
        <v>5759040</v>
      </c>
      <c r="AG256" s="12" t="s">
        <v>73</v>
      </c>
      <c r="AH256" s="8" t="s">
        <v>74</v>
      </c>
    </row>
    <row r="257" spans="1:34">
      <c r="A257" s="8" t="s">
        <v>398</v>
      </c>
      <c r="B257" s="16" t="s">
        <v>399</v>
      </c>
      <c r="C257" s="8" t="s">
        <v>40</v>
      </c>
      <c r="D257" s="8" t="s">
        <v>400</v>
      </c>
      <c r="E257" s="8" t="str">
        <f t="shared" si="17"/>
        <v>NEGRO</v>
      </c>
      <c r="G257" s="8" t="s">
        <v>2861</v>
      </c>
      <c r="H257" s="8" t="str">
        <f>VLOOKUP(A257,[1]BBDD!$B$1:$J$3274,9,FALSE)</f>
        <v>U</v>
      </c>
      <c r="I257" s="8" t="s">
        <v>2861</v>
      </c>
      <c r="J257" s="8" t="s">
        <v>401</v>
      </c>
      <c r="L257" s="8" t="s">
        <v>61</v>
      </c>
      <c r="N257" s="8" t="s">
        <v>44</v>
      </c>
      <c r="O257" s="8" t="s">
        <v>44</v>
      </c>
      <c r="Q257" s="8" t="s">
        <v>45</v>
      </c>
      <c r="R257" s="8">
        <v>0</v>
      </c>
      <c r="S257" s="8">
        <v>4</v>
      </c>
      <c r="T257" s="8">
        <f t="shared" si="20"/>
        <v>4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152</v>
      </c>
      <c r="AB257" s="9">
        <f t="shared" si="21"/>
        <v>0</v>
      </c>
      <c r="AC257" s="10" t="str">
        <f t="shared" si="18"/>
        <v>sin venta</v>
      </c>
      <c r="AD257" s="8" t="s">
        <v>109</v>
      </c>
      <c r="AE257" s="11">
        <v>249990</v>
      </c>
      <c r="AF257" s="11">
        <f t="shared" si="19"/>
        <v>999960</v>
      </c>
      <c r="AG257" s="12" t="s">
        <v>73</v>
      </c>
      <c r="AH257" s="8" t="s">
        <v>35</v>
      </c>
    </row>
    <row r="258" spans="1:34">
      <c r="A258" s="8" t="s">
        <v>402</v>
      </c>
      <c r="B258" s="16" t="s">
        <v>399</v>
      </c>
      <c r="C258" s="8" t="s">
        <v>40</v>
      </c>
      <c r="D258" s="8" t="s">
        <v>400</v>
      </c>
      <c r="E258" s="8" t="str">
        <f t="shared" si="17"/>
        <v>TABACO</v>
      </c>
      <c r="G258" s="8" t="s">
        <v>2861</v>
      </c>
      <c r="H258" s="8" t="str">
        <f>VLOOKUP(A258,[1]BBDD!$B$1:$J$3274,9,FALSE)</f>
        <v>U</v>
      </c>
      <c r="I258" s="8" t="s">
        <v>2861</v>
      </c>
      <c r="J258" s="8" t="s">
        <v>401</v>
      </c>
      <c r="L258" s="8" t="s">
        <v>61</v>
      </c>
      <c r="N258" s="8" t="s">
        <v>67</v>
      </c>
      <c r="O258" s="8" t="s">
        <v>67</v>
      </c>
      <c r="Q258" s="8" t="s">
        <v>45</v>
      </c>
      <c r="R258" s="8">
        <v>0</v>
      </c>
      <c r="S258" s="8">
        <v>3</v>
      </c>
      <c r="T258" s="8">
        <f t="shared" si="20"/>
        <v>3</v>
      </c>
      <c r="U258" s="8">
        <v>0</v>
      </c>
      <c r="V258" s="8">
        <v>1</v>
      </c>
      <c r="W258" s="8">
        <v>0</v>
      </c>
      <c r="X258" s="8">
        <v>0</v>
      </c>
      <c r="Y258" s="8">
        <v>0</v>
      </c>
      <c r="Z258" s="8">
        <v>0</v>
      </c>
      <c r="AA258" s="8">
        <v>152</v>
      </c>
      <c r="AB258" s="9">
        <f t="shared" si="21"/>
        <v>0.19736842105263158</v>
      </c>
      <c r="AC258" s="10">
        <f t="shared" si="18"/>
        <v>15.2</v>
      </c>
      <c r="AD258" s="8" t="s">
        <v>109</v>
      </c>
      <c r="AE258" s="11">
        <v>249990</v>
      </c>
      <c r="AF258" s="11">
        <f t="shared" si="19"/>
        <v>749970</v>
      </c>
      <c r="AG258" s="12" t="s">
        <v>64</v>
      </c>
      <c r="AH258" s="8" t="s">
        <v>35</v>
      </c>
    </row>
    <row r="259" spans="1:34">
      <c r="A259" s="8" t="s">
        <v>403</v>
      </c>
      <c r="B259" s="16" t="s">
        <v>2860</v>
      </c>
      <c r="C259" s="8" t="s">
        <v>40</v>
      </c>
      <c r="D259" s="8" t="s">
        <v>400</v>
      </c>
      <c r="E259" s="8" t="str">
        <f t="shared" ref="E259:E322" si="22">TRIM(N259)</f>
        <v>CHOCOLATE</v>
      </c>
      <c r="G259" s="8" t="s">
        <v>2861</v>
      </c>
      <c r="H259" s="8" t="str">
        <f>VLOOKUP(A259,[1]BBDD!$B$1:$J$3274,9,FALSE)</f>
        <v>U</v>
      </c>
      <c r="I259" s="8" t="s">
        <v>2861</v>
      </c>
      <c r="J259" s="8" t="s">
        <v>404</v>
      </c>
      <c r="L259" s="8" t="s">
        <v>61</v>
      </c>
      <c r="N259" s="8" t="s">
        <v>252</v>
      </c>
      <c r="O259" s="8" t="s">
        <v>252</v>
      </c>
      <c r="Q259" s="8" t="s">
        <v>32</v>
      </c>
      <c r="R259" s="8">
        <v>0</v>
      </c>
      <c r="S259" s="8">
        <v>6</v>
      </c>
      <c r="T259" s="8">
        <f t="shared" si="20"/>
        <v>6</v>
      </c>
      <c r="U259" s="8">
        <v>1</v>
      </c>
      <c r="V259" s="8">
        <v>1</v>
      </c>
      <c r="W259" s="8">
        <v>2</v>
      </c>
      <c r="X259" s="8">
        <v>4</v>
      </c>
      <c r="Y259" s="8">
        <v>3</v>
      </c>
      <c r="Z259" s="8">
        <v>0</v>
      </c>
      <c r="AA259" s="8">
        <v>180</v>
      </c>
      <c r="AB259" s="9">
        <f t="shared" si="21"/>
        <v>1.8333333333333333</v>
      </c>
      <c r="AC259" s="10">
        <f t="shared" ref="AC259:AC322" si="23">IFERROR(T259/AB259,"sin venta")</f>
        <v>3.2727272727272729</v>
      </c>
      <c r="AD259" s="8" t="s">
        <v>33</v>
      </c>
      <c r="AE259" s="11">
        <v>155990</v>
      </c>
      <c r="AF259" s="11">
        <f t="shared" ref="AF259:AF322" si="24">IFERROR(AE259*T259,0)</f>
        <v>935940</v>
      </c>
      <c r="AG259" s="12" t="s">
        <v>34</v>
      </c>
      <c r="AH259" s="8" t="s">
        <v>35</v>
      </c>
    </row>
    <row r="260" spans="1:34">
      <c r="A260" s="8" t="s">
        <v>405</v>
      </c>
      <c r="B260" s="16" t="s">
        <v>2860</v>
      </c>
      <c r="C260" s="8" t="s">
        <v>40</v>
      </c>
      <c r="D260" s="8" t="s">
        <v>400</v>
      </c>
      <c r="E260" s="8" t="str">
        <f t="shared" si="22"/>
        <v>NEGRO</v>
      </c>
      <c r="G260" s="8" t="s">
        <v>2861</v>
      </c>
      <c r="H260" s="8" t="str">
        <f>VLOOKUP(A260,[1]BBDD!$B$1:$J$3274,9,FALSE)</f>
        <v>U</v>
      </c>
      <c r="I260" s="8" t="s">
        <v>2861</v>
      </c>
      <c r="J260" s="8" t="s">
        <v>404</v>
      </c>
      <c r="L260" s="8" t="s">
        <v>61</v>
      </c>
      <c r="N260" s="8" t="s">
        <v>44</v>
      </c>
      <c r="O260" s="8" t="s">
        <v>44</v>
      </c>
      <c r="Q260" s="8" t="s">
        <v>32</v>
      </c>
      <c r="R260" s="8">
        <v>0</v>
      </c>
      <c r="S260" s="8">
        <v>5</v>
      </c>
      <c r="T260" s="8">
        <f t="shared" si="20"/>
        <v>5</v>
      </c>
      <c r="U260" s="8">
        <v>0</v>
      </c>
      <c r="V260" s="8">
        <v>5</v>
      </c>
      <c r="W260" s="8">
        <v>2</v>
      </c>
      <c r="X260" s="8">
        <v>1</v>
      </c>
      <c r="Y260" s="8">
        <v>1</v>
      </c>
      <c r="Z260" s="8">
        <v>2</v>
      </c>
      <c r="AA260" s="8">
        <v>180</v>
      </c>
      <c r="AB260" s="9">
        <f t="shared" si="21"/>
        <v>1.8333333333333333</v>
      </c>
      <c r="AC260" s="10">
        <f t="shared" si="23"/>
        <v>2.7272727272727275</v>
      </c>
      <c r="AD260" s="8" t="s">
        <v>33</v>
      </c>
      <c r="AE260" s="11">
        <v>155990</v>
      </c>
      <c r="AF260" s="11">
        <f t="shared" si="24"/>
        <v>779950</v>
      </c>
      <c r="AG260" s="12" t="s">
        <v>34</v>
      </c>
      <c r="AH260" s="8" t="s">
        <v>35</v>
      </c>
    </row>
    <row r="261" spans="1:34">
      <c r="A261" s="8" t="s">
        <v>406</v>
      </c>
      <c r="B261" s="16" t="s">
        <v>2860</v>
      </c>
      <c r="C261" s="8" t="s">
        <v>40</v>
      </c>
      <c r="D261" s="8" t="s">
        <v>400</v>
      </c>
      <c r="E261" s="8" t="str">
        <f t="shared" si="22"/>
        <v>TABACO</v>
      </c>
      <c r="G261" s="8" t="s">
        <v>2861</v>
      </c>
      <c r="H261" s="8" t="str">
        <f>VLOOKUP(A261,[1]BBDD!$B$1:$J$3274,9,FALSE)</f>
        <v>U</v>
      </c>
      <c r="I261" s="8" t="s">
        <v>2861</v>
      </c>
      <c r="J261" s="8" t="s">
        <v>404</v>
      </c>
      <c r="L261" s="8" t="s">
        <v>61</v>
      </c>
      <c r="N261" s="8" t="s">
        <v>67</v>
      </c>
      <c r="O261" s="8" t="s">
        <v>67</v>
      </c>
      <c r="Q261" s="8" t="s">
        <v>32</v>
      </c>
      <c r="R261" s="8">
        <v>12</v>
      </c>
      <c r="S261" s="8">
        <v>10</v>
      </c>
      <c r="T261" s="8">
        <f t="shared" si="20"/>
        <v>22</v>
      </c>
      <c r="U261" s="8">
        <v>2</v>
      </c>
      <c r="V261" s="8">
        <v>1</v>
      </c>
      <c r="W261" s="8">
        <v>1</v>
      </c>
      <c r="X261" s="8">
        <v>0</v>
      </c>
      <c r="Y261" s="8">
        <v>2</v>
      </c>
      <c r="Z261" s="8">
        <v>2</v>
      </c>
      <c r="AA261" s="8">
        <v>180</v>
      </c>
      <c r="AB261" s="9">
        <f t="shared" si="21"/>
        <v>1.3333333333333335</v>
      </c>
      <c r="AC261" s="10">
        <f t="shared" si="23"/>
        <v>16.499999999999996</v>
      </c>
      <c r="AD261" s="8" t="s">
        <v>33</v>
      </c>
      <c r="AE261" s="11">
        <v>155990</v>
      </c>
      <c r="AF261" s="11">
        <f t="shared" si="24"/>
        <v>3431780</v>
      </c>
      <c r="AG261" s="12" t="s">
        <v>64</v>
      </c>
      <c r="AH261" s="8" t="s">
        <v>74</v>
      </c>
    </row>
    <row r="262" spans="1:34">
      <c r="A262" s="8" t="s">
        <v>407</v>
      </c>
      <c r="B262" s="16" t="s">
        <v>2860</v>
      </c>
      <c r="C262" s="8" t="s">
        <v>40</v>
      </c>
      <c r="D262" s="8" t="s">
        <v>400</v>
      </c>
      <c r="E262" s="8" t="str">
        <f t="shared" si="22"/>
        <v>CARAMELO</v>
      </c>
      <c r="G262" s="8" t="s">
        <v>2861</v>
      </c>
      <c r="H262" s="8" t="str">
        <f>VLOOKUP(A262,[1]BBDD!$B$1:$J$3274,9,FALSE)</f>
        <v>U</v>
      </c>
      <c r="I262" s="8" t="s">
        <v>2861</v>
      </c>
      <c r="J262" s="8" t="s">
        <v>404</v>
      </c>
      <c r="L262" s="8" t="s">
        <v>61</v>
      </c>
      <c r="N262" s="8" t="s">
        <v>62</v>
      </c>
      <c r="O262" s="8" t="s">
        <v>62</v>
      </c>
      <c r="Q262" s="8" t="s">
        <v>45</v>
      </c>
      <c r="R262" s="8">
        <v>9</v>
      </c>
      <c r="S262" s="8">
        <v>8</v>
      </c>
      <c r="T262" s="8">
        <f t="shared" si="20"/>
        <v>17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180</v>
      </c>
      <c r="AB262" s="9">
        <f t="shared" si="21"/>
        <v>0</v>
      </c>
      <c r="AC262" s="10" t="str">
        <f t="shared" si="23"/>
        <v>sin venta</v>
      </c>
      <c r="AD262" s="8" t="s">
        <v>109</v>
      </c>
      <c r="AE262" s="11">
        <v>155990</v>
      </c>
      <c r="AF262" s="11">
        <f t="shared" si="24"/>
        <v>2651830</v>
      </c>
      <c r="AG262" s="12" t="s">
        <v>73</v>
      </c>
      <c r="AH262" s="8" t="s">
        <v>65</v>
      </c>
    </row>
    <row r="263" spans="1:34">
      <c r="A263" s="8" t="s">
        <v>408</v>
      </c>
      <c r="B263" s="16" t="s">
        <v>2860</v>
      </c>
      <c r="C263" s="8" t="s">
        <v>40</v>
      </c>
      <c r="D263" s="8" t="s">
        <v>400</v>
      </c>
      <c r="E263" s="8" t="str">
        <f t="shared" si="22"/>
        <v>CEDRO</v>
      </c>
      <c r="G263" s="8" t="s">
        <v>2861</v>
      </c>
      <c r="H263" s="8" t="str">
        <f>VLOOKUP(A263,[1]BBDD!$B$1:$J$3274,9,FALSE)</f>
        <v>U</v>
      </c>
      <c r="I263" s="8" t="s">
        <v>2861</v>
      </c>
      <c r="J263" s="8" t="s">
        <v>404</v>
      </c>
      <c r="L263" s="8" t="s">
        <v>112</v>
      </c>
      <c r="N263" s="8" t="s">
        <v>113</v>
      </c>
      <c r="O263" s="8" t="s">
        <v>113</v>
      </c>
      <c r="Q263" s="8" t="s">
        <v>32</v>
      </c>
      <c r="R263" s="8">
        <v>4</v>
      </c>
      <c r="S263" s="8">
        <v>6</v>
      </c>
      <c r="T263" s="8">
        <f t="shared" si="20"/>
        <v>10</v>
      </c>
      <c r="U263" s="8">
        <v>0</v>
      </c>
      <c r="V263" s="8">
        <v>0</v>
      </c>
      <c r="W263" s="8">
        <v>1</v>
      </c>
      <c r="X263" s="8">
        <v>0</v>
      </c>
      <c r="Y263" s="8">
        <v>0</v>
      </c>
      <c r="Z263" s="8">
        <v>1</v>
      </c>
      <c r="AA263" s="8">
        <v>180</v>
      </c>
      <c r="AB263" s="9">
        <f t="shared" si="21"/>
        <v>0.33333333333333337</v>
      </c>
      <c r="AC263" s="10">
        <f t="shared" si="23"/>
        <v>29.999999999999996</v>
      </c>
      <c r="AD263" s="8" t="s">
        <v>33</v>
      </c>
      <c r="AE263" s="11">
        <v>155990</v>
      </c>
      <c r="AF263" s="11">
        <f t="shared" si="24"/>
        <v>1559900</v>
      </c>
      <c r="AG263" s="12" t="s">
        <v>73</v>
      </c>
      <c r="AH263" s="8" t="s">
        <v>35</v>
      </c>
    </row>
    <row r="264" spans="1:34">
      <c r="A264" s="8" t="s">
        <v>409</v>
      </c>
      <c r="B264" s="16" t="s">
        <v>2860</v>
      </c>
      <c r="C264" s="8" t="s">
        <v>40</v>
      </c>
      <c r="D264" s="8" t="s">
        <v>400</v>
      </c>
      <c r="E264" s="8" t="str">
        <f t="shared" si="22"/>
        <v>NEGRO</v>
      </c>
      <c r="G264" s="8" t="s">
        <v>2861</v>
      </c>
      <c r="H264" s="8" t="str">
        <f>VLOOKUP(A264,[1]BBDD!$B$1:$J$3274,9,FALSE)</f>
        <v>U</v>
      </c>
      <c r="I264" s="8" t="s">
        <v>2861</v>
      </c>
      <c r="J264" s="8" t="s">
        <v>410</v>
      </c>
      <c r="L264" s="8" t="s">
        <v>61</v>
      </c>
      <c r="N264" s="8" t="s">
        <v>44</v>
      </c>
      <c r="O264" s="8" t="s">
        <v>44</v>
      </c>
      <c r="Q264" s="8" t="s">
        <v>32</v>
      </c>
      <c r="R264" s="8">
        <v>3</v>
      </c>
      <c r="S264" s="8">
        <v>11</v>
      </c>
      <c r="T264" s="8">
        <f t="shared" si="20"/>
        <v>14</v>
      </c>
      <c r="U264" s="8">
        <v>0</v>
      </c>
      <c r="V264" s="8">
        <v>2</v>
      </c>
      <c r="W264" s="8">
        <v>0</v>
      </c>
      <c r="X264" s="8">
        <v>3</v>
      </c>
      <c r="Y264" s="8">
        <v>4</v>
      </c>
      <c r="Z264" s="8">
        <v>0</v>
      </c>
      <c r="AA264" s="8">
        <v>180</v>
      </c>
      <c r="AB264" s="9">
        <f t="shared" si="21"/>
        <v>1.5</v>
      </c>
      <c r="AC264" s="10">
        <f t="shared" si="23"/>
        <v>9.3333333333333339</v>
      </c>
      <c r="AD264" s="8" t="s">
        <v>33</v>
      </c>
      <c r="AE264" s="11">
        <v>155990</v>
      </c>
      <c r="AF264" s="11">
        <f t="shared" si="24"/>
        <v>2183860</v>
      </c>
      <c r="AG264" s="12" t="s">
        <v>51</v>
      </c>
      <c r="AH264" s="8" t="s">
        <v>65</v>
      </c>
    </row>
    <row r="265" spans="1:34">
      <c r="A265" s="8" t="s">
        <v>411</v>
      </c>
      <c r="B265" s="16" t="s">
        <v>2860</v>
      </c>
      <c r="C265" s="8" t="s">
        <v>40</v>
      </c>
      <c r="D265" s="8" t="s">
        <v>400</v>
      </c>
      <c r="E265" s="8" t="str">
        <f t="shared" si="22"/>
        <v>NEGRO</v>
      </c>
      <c r="G265" s="8" t="s">
        <v>2861</v>
      </c>
      <c r="H265" s="8" t="str">
        <f>VLOOKUP(A265,[1]BBDD!$B$1:$J$3274,9,FALSE)</f>
        <v>H</v>
      </c>
      <c r="I265" s="17" t="s">
        <v>2861</v>
      </c>
      <c r="J265" s="8" t="s">
        <v>412</v>
      </c>
      <c r="L265" s="8" t="s">
        <v>61</v>
      </c>
      <c r="N265" s="8" t="s">
        <v>44</v>
      </c>
      <c r="O265" s="8" t="s">
        <v>44</v>
      </c>
      <c r="Q265" s="8" t="s">
        <v>32</v>
      </c>
      <c r="R265" s="8">
        <v>0</v>
      </c>
      <c r="S265" s="8">
        <v>4</v>
      </c>
      <c r="T265" s="8">
        <f t="shared" si="20"/>
        <v>4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180</v>
      </c>
      <c r="AB265" s="9">
        <f t="shared" si="21"/>
        <v>0</v>
      </c>
      <c r="AC265" s="10" t="str">
        <f t="shared" si="23"/>
        <v>sin venta</v>
      </c>
      <c r="AD265" s="8" t="s">
        <v>33</v>
      </c>
      <c r="AE265" s="11">
        <v>399990</v>
      </c>
      <c r="AF265" s="11">
        <f t="shared" si="24"/>
        <v>1599960</v>
      </c>
      <c r="AG265" s="12" t="s">
        <v>73</v>
      </c>
      <c r="AH265" s="8" t="s">
        <v>35</v>
      </c>
    </row>
    <row r="266" spans="1:34">
      <c r="A266" s="8" t="s">
        <v>413</v>
      </c>
      <c r="B266" s="16" t="s">
        <v>2860</v>
      </c>
      <c r="C266" s="8" t="s">
        <v>40</v>
      </c>
      <c r="D266" s="8" t="s">
        <v>400</v>
      </c>
      <c r="E266" s="8" t="str">
        <f t="shared" si="22"/>
        <v>TABACO</v>
      </c>
      <c r="G266" s="8" t="s">
        <v>2861</v>
      </c>
      <c r="H266" s="8" t="str">
        <f>VLOOKUP(A266,[1]BBDD!$B$1:$J$3274,9,FALSE)</f>
        <v>H</v>
      </c>
      <c r="I266" s="17" t="s">
        <v>2861</v>
      </c>
      <c r="J266" s="8" t="s">
        <v>412</v>
      </c>
      <c r="L266" s="8" t="s">
        <v>61</v>
      </c>
      <c r="N266" s="8" t="s">
        <v>67</v>
      </c>
      <c r="O266" s="8" t="s">
        <v>67</v>
      </c>
      <c r="Q266" s="8" t="s">
        <v>32</v>
      </c>
      <c r="R266" s="8">
        <v>0</v>
      </c>
      <c r="S266" s="8">
        <v>4</v>
      </c>
      <c r="T266" s="8">
        <f t="shared" si="20"/>
        <v>4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180</v>
      </c>
      <c r="AB266" s="9">
        <f t="shared" si="21"/>
        <v>0</v>
      </c>
      <c r="AC266" s="10" t="str">
        <f t="shared" si="23"/>
        <v>sin venta</v>
      </c>
      <c r="AD266" s="8" t="s">
        <v>33</v>
      </c>
      <c r="AE266" s="11">
        <v>399990</v>
      </c>
      <c r="AF266" s="11">
        <f t="shared" si="24"/>
        <v>1599960</v>
      </c>
      <c r="AG266" s="12" t="s">
        <v>73</v>
      </c>
      <c r="AH266" s="8" t="s">
        <v>35</v>
      </c>
    </row>
    <row r="267" spans="1:34">
      <c r="A267" s="8" t="s">
        <v>414</v>
      </c>
      <c r="B267" s="16" t="s">
        <v>2860</v>
      </c>
      <c r="C267" s="8" t="s">
        <v>40</v>
      </c>
      <c r="D267" s="8" t="s">
        <v>400</v>
      </c>
      <c r="E267" s="8" t="str">
        <f t="shared" si="22"/>
        <v>CARAMELO</v>
      </c>
      <c r="G267" s="8" t="s">
        <v>2861</v>
      </c>
      <c r="H267" s="8" t="str">
        <f>VLOOKUP(A267,[1]BBDD!$B$1:$J$3274,9,FALSE)</f>
        <v>U</v>
      </c>
      <c r="I267" s="8" t="s">
        <v>2861</v>
      </c>
      <c r="J267" s="8" t="s">
        <v>415</v>
      </c>
      <c r="L267" s="8" t="s">
        <v>61</v>
      </c>
      <c r="N267" s="8" t="s">
        <v>62</v>
      </c>
      <c r="O267" s="8" t="s">
        <v>62</v>
      </c>
      <c r="Q267" s="8" t="s">
        <v>32</v>
      </c>
      <c r="R267" s="8">
        <v>3</v>
      </c>
      <c r="S267" s="8">
        <v>5</v>
      </c>
      <c r="T267" s="8">
        <f t="shared" si="20"/>
        <v>8</v>
      </c>
      <c r="U267" s="8">
        <v>1</v>
      </c>
      <c r="V267" s="8">
        <v>1</v>
      </c>
      <c r="W267" s="8">
        <v>0</v>
      </c>
      <c r="X267" s="8">
        <v>1</v>
      </c>
      <c r="Y267" s="8">
        <v>3</v>
      </c>
      <c r="Z267" s="8">
        <v>0</v>
      </c>
      <c r="AA267" s="8">
        <v>180</v>
      </c>
      <c r="AB267" s="9">
        <f t="shared" si="21"/>
        <v>1</v>
      </c>
      <c r="AC267" s="10">
        <f t="shared" si="23"/>
        <v>8</v>
      </c>
      <c r="AD267" s="8" t="s">
        <v>33</v>
      </c>
      <c r="AE267" s="11">
        <v>399990</v>
      </c>
      <c r="AF267" s="11">
        <f t="shared" si="24"/>
        <v>3199920</v>
      </c>
      <c r="AG267" s="12" t="s">
        <v>51</v>
      </c>
      <c r="AH267" s="8" t="s">
        <v>35</v>
      </c>
    </row>
    <row r="268" spans="1:34">
      <c r="A268" s="8" t="s">
        <v>416</v>
      </c>
      <c r="B268" s="16" t="s">
        <v>2860</v>
      </c>
      <c r="C268" s="8" t="s">
        <v>40</v>
      </c>
      <c r="D268" s="8" t="s">
        <v>400</v>
      </c>
      <c r="E268" s="8" t="str">
        <f t="shared" si="22"/>
        <v>CHOCOLATE</v>
      </c>
      <c r="G268" s="8" t="s">
        <v>2861</v>
      </c>
      <c r="H268" s="8" t="str">
        <f>VLOOKUP(A268,[1]BBDD!$B$1:$J$3274,9,FALSE)</f>
        <v>U</v>
      </c>
      <c r="I268" s="8" t="s">
        <v>2861</v>
      </c>
      <c r="J268" s="8" t="s">
        <v>415</v>
      </c>
      <c r="L268" s="8" t="s">
        <v>61</v>
      </c>
      <c r="N268" s="8" t="s">
        <v>252</v>
      </c>
      <c r="O268" s="8" t="s">
        <v>252</v>
      </c>
      <c r="Q268" s="8" t="s">
        <v>32</v>
      </c>
      <c r="R268" s="8">
        <v>4</v>
      </c>
      <c r="S268" s="8">
        <v>1</v>
      </c>
      <c r="T268" s="8">
        <f t="shared" si="20"/>
        <v>5</v>
      </c>
      <c r="U268" s="8">
        <v>0</v>
      </c>
      <c r="V268" s="8">
        <v>2</v>
      </c>
      <c r="W268" s="8">
        <v>1</v>
      </c>
      <c r="X268" s="8">
        <v>1</v>
      </c>
      <c r="Y268" s="8">
        <v>0</v>
      </c>
      <c r="Z268" s="8">
        <v>0</v>
      </c>
      <c r="AA268" s="8">
        <v>180</v>
      </c>
      <c r="AB268" s="9">
        <f t="shared" si="21"/>
        <v>0.66666666666666674</v>
      </c>
      <c r="AC268" s="10">
        <f t="shared" si="23"/>
        <v>7.4999999999999991</v>
      </c>
      <c r="AD268" s="8" t="s">
        <v>33</v>
      </c>
      <c r="AE268" s="11">
        <v>399990</v>
      </c>
      <c r="AF268" s="11">
        <f t="shared" si="24"/>
        <v>1999950</v>
      </c>
      <c r="AG268" s="12" t="s">
        <v>51</v>
      </c>
      <c r="AH268" s="8" t="s">
        <v>35</v>
      </c>
    </row>
    <row r="269" spans="1:34">
      <c r="A269" s="8" t="s">
        <v>417</v>
      </c>
      <c r="B269" s="16" t="s">
        <v>2860</v>
      </c>
      <c r="C269" s="8" t="s">
        <v>40</v>
      </c>
      <c r="D269" s="8" t="s">
        <v>400</v>
      </c>
      <c r="E269" s="8" t="str">
        <f t="shared" si="22"/>
        <v>NEGRO</v>
      </c>
      <c r="G269" s="8" t="s">
        <v>2861</v>
      </c>
      <c r="H269" s="8" t="str">
        <f>VLOOKUP(A269,[1]BBDD!$B$1:$J$3274,9,FALSE)</f>
        <v>U</v>
      </c>
      <c r="I269" s="8" t="s">
        <v>2861</v>
      </c>
      <c r="J269" s="8" t="s">
        <v>415</v>
      </c>
      <c r="L269" s="8" t="s">
        <v>61</v>
      </c>
      <c r="N269" s="8" t="s">
        <v>44</v>
      </c>
      <c r="O269" s="8" t="s">
        <v>44</v>
      </c>
      <c r="Q269" s="8" t="s">
        <v>32</v>
      </c>
      <c r="R269" s="8">
        <v>7</v>
      </c>
      <c r="S269" s="8">
        <v>7</v>
      </c>
      <c r="T269" s="8">
        <f t="shared" si="20"/>
        <v>14</v>
      </c>
      <c r="U269" s="8">
        <v>1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180</v>
      </c>
      <c r="AB269" s="9">
        <f t="shared" si="21"/>
        <v>0.16666666666666669</v>
      </c>
      <c r="AC269" s="10">
        <f t="shared" si="23"/>
        <v>83.999999999999986</v>
      </c>
      <c r="AD269" s="8" t="s">
        <v>33</v>
      </c>
      <c r="AE269" s="11">
        <v>399990</v>
      </c>
      <c r="AF269" s="11">
        <f t="shared" si="24"/>
        <v>5599860</v>
      </c>
      <c r="AG269" s="12" t="s">
        <v>73</v>
      </c>
      <c r="AH269" s="8" t="s">
        <v>65</v>
      </c>
    </row>
    <row r="270" spans="1:34">
      <c r="A270" s="8" t="s">
        <v>418</v>
      </c>
      <c r="B270" s="16" t="s">
        <v>2860</v>
      </c>
      <c r="C270" s="8" t="s">
        <v>40</v>
      </c>
      <c r="D270" s="8" t="s">
        <v>400</v>
      </c>
      <c r="E270" s="8" t="str">
        <f t="shared" si="22"/>
        <v>TABACO</v>
      </c>
      <c r="G270" s="8" t="s">
        <v>2861</v>
      </c>
      <c r="H270" s="8" t="str">
        <f>VLOOKUP(A270,[1]BBDD!$B$1:$J$3274,9,FALSE)</f>
        <v>U</v>
      </c>
      <c r="I270" s="8" t="s">
        <v>2861</v>
      </c>
      <c r="J270" s="8" t="s">
        <v>415</v>
      </c>
      <c r="L270" s="8" t="s">
        <v>61</v>
      </c>
      <c r="N270" s="8" t="s">
        <v>67</v>
      </c>
      <c r="O270" s="8" t="s">
        <v>67</v>
      </c>
      <c r="Q270" s="8" t="s">
        <v>32</v>
      </c>
      <c r="R270" s="8">
        <v>3</v>
      </c>
      <c r="S270" s="8">
        <v>3</v>
      </c>
      <c r="T270" s="8">
        <f t="shared" si="20"/>
        <v>6</v>
      </c>
      <c r="U270" s="8">
        <v>4</v>
      </c>
      <c r="V270" s="8">
        <v>2</v>
      </c>
      <c r="W270" s="8">
        <v>1</v>
      </c>
      <c r="X270" s="8">
        <v>1</v>
      </c>
      <c r="Y270" s="8">
        <v>0</v>
      </c>
      <c r="Z270" s="8">
        <v>0</v>
      </c>
      <c r="AA270" s="8">
        <v>180</v>
      </c>
      <c r="AB270" s="9">
        <f t="shared" si="21"/>
        <v>1.3333333333333335</v>
      </c>
      <c r="AC270" s="10">
        <f t="shared" si="23"/>
        <v>4.4999999999999991</v>
      </c>
      <c r="AD270" s="8" t="s">
        <v>33</v>
      </c>
      <c r="AE270" s="11">
        <v>399990</v>
      </c>
      <c r="AF270" s="11">
        <f t="shared" si="24"/>
        <v>2399940</v>
      </c>
      <c r="AG270" s="12" t="s">
        <v>34</v>
      </c>
      <c r="AH270" s="8" t="s">
        <v>35</v>
      </c>
    </row>
    <row r="271" spans="1:34">
      <c r="A271" s="8" t="s">
        <v>419</v>
      </c>
      <c r="B271" s="16" t="s">
        <v>2860</v>
      </c>
      <c r="C271" s="8" t="s">
        <v>40</v>
      </c>
      <c r="D271" s="8" t="s">
        <v>400</v>
      </c>
      <c r="E271" s="8" t="str">
        <f t="shared" si="22"/>
        <v>NEGRO</v>
      </c>
      <c r="G271" s="8" t="s">
        <v>2861</v>
      </c>
      <c r="H271" s="8" t="str">
        <f>VLOOKUP(A271,[1]BBDD!$B$1:$J$3274,9,FALSE)</f>
        <v>U</v>
      </c>
      <c r="I271" s="8" t="s">
        <v>2861</v>
      </c>
      <c r="J271" s="8" t="s">
        <v>415</v>
      </c>
      <c r="L271" s="8" t="s">
        <v>420</v>
      </c>
      <c r="N271" s="8" t="s">
        <v>44</v>
      </c>
      <c r="O271" s="8" t="s">
        <v>44</v>
      </c>
      <c r="Q271" s="8" t="s">
        <v>45</v>
      </c>
      <c r="R271" s="8">
        <v>0</v>
      </c>
      <c r="S271" s="8">
        <v>3</v>
      </c>
      <c r="T271" s="8">
        <f t="shared" si="20"/>
        <v>3</v>
      </c>
      <c r="U271" s="8">
        <v>0</v>
      </c>
      <c r="V271" s="8">
        <v>0</v>
      </c>
      <c r="W271" s="8">
        <v>1</v>
      </c>
      <c r="X271" s="8">
        <v>1</v>
      </c>
      <c r="Y271" s="8">
        <v>0</v>
      </c>
      <c r="Z271" s="8">
        <v>0</v>
      </c>
      <c r="AA271" s="8">
        <v>180</v>
      </c>
      <c r="AB271" s="9">
        <f t="shared" si="21"/>
        <v>0.33333333333333337</v>
      </c>
      <c r="AC271" s="10">
        <f t="shared" si="23"/>
        <v>8.9999999999999982</v>
      </c>
      <c r="AD271" s="8" t="s">
        <v>109</v>
      </c>
      <c r="AE271" s="11">
        <v>399990</v>
      </c>
      <c r="AF271" s="11">
        <f t="shared" si="24"/>
        <v>1199970</v>
      </c>
      <c r="AG271" s="12" t="s">
        <v>51</v>
      </c>
      <c r="AH271" s="8" t="s">
        <v>35</v>
      </c>
    </row>
    <row r="272" spans="1:34">
      <c r="A272" s="8" t="s">
        <v>421</v>
      </c>
      <c r="B272" s="16" t="s">
        <v>2860</v>
      </c>
      <c r="C272" s="8" t="s">
        <v>40</v>
      </c>
      <c r="D272" s="8" t="s">
        <v>400</v>
      </c>
      <c r="E272" s="8" t="str">
        <f t="shared" si="22"/>
        <v>CEDRO</v>
      </c>
      <c r="G272" s="8" t="s">
        <v>2861</v>
      </c>
      <c r="H272" s="8" t="str">
        <f>VLOOKUP(A272,[1]BBDD!$B$1:$J$3274,9,FALSE)</f>
        <v>U</v>
      </c>
      <c r="I272" s="8" t="s">
        <v>2861</v>
      </c>
      <c r="J272" s="8" t="s">
        <v>415</v>
      </c>
      <c r="L272" s="8" t="s">
        <v>112</v>
      </c>
      <c r="N272" s="8" t="s">
        <v>113</v>
      </c>
      <c r="O272" s="8" t="s">
        <v>113</v>
      </c>
      <c r="Q272" s="8" t="s">
        <v>32</v>
      </c>
      <c r="R272" s="8">
        <v>1</v>
      </c>
      <c r="S272" s="8">
        <v>7</v>
      </c>
      <c r="T272" s="8">
        <f t="shared" si="20"/>
        <v>8</v>
      </c>
      <c r="U272" s="8">
        <v>0</v>
      </c>
      <c r="V272" s="8">
        <v>1</v>
      </c>
      <c r="W272" s="8">
        <v>0</v>
      </c>
      <c r="X272" s="8">
        <v>0</v>
      </c>
      <c r="Y272" s="8">
        <v>1</v>
      </c>
      <c r="Z272" s="8">
        <v>0</v>
      </c>
      <c r="AA272" s="8">
        <v>180</v>
      </c>
      <c r="AB272" s="9">
        <f t="shared" si="21"/>
        <v>0.33333333333333337</v>
      </c>
      <c r="AC272" s="10">
        <f t="shared" si="23"/>
        <v>23.999999999999996</v>
      </c>
      <c r="AD272" s="8" t="s">
        <v>33</v>
      </c>
      <c r="AE272" s="11">
        <v>399990</v>
      </c>
      <c r="AF272" s="11">
        <f t="shared" si="24"/>
        <v>3199920</v>
      </c>
      <c r="AG272" s="12" t="s">
        <v>64</v>
      </c>
      <c r="AH272" s="8" t="s">
        <v>35</v>
      </c>
    </row>
    <row r="273" spans="1:34">
      <c r="A273" s="8" t="s">
        <v>422</v>
      </c>
      <c r="B273" s="16" t="s">
        <v>2860</v>
      </c>
      <c r="C273" s="8" t="s">
        <v>40</v>
      </c>
      <c r="D273" s="8" t="s">
        <v>400</v>
      </c>
      <c r="E273" s="8" t="str">
        <f t="shared" si="22"/>
        <v>CAFE/TABACO</v>
      </c>
      <c r="G273" s="8" t="s">
        <v>2861</v>
      </c>
      <c r="H273" s="8" t="str">
        <f>VLOOKUP(A273,[1]BBDD!$B$1:$J$3274,9,FALSE)</f>
        <v>U</v>
      </c>
      <c r="I273" s="8" t="s">
        <v>2861</v>
      </c>
      <c r="J273" s="8" t="s">
        <v>415</v>
      </c>
      <c r="L273" s="8" t="s">
        <v>71</v>
      </c>
      <c r="N273" s="8" t="s">
        <v>423</v>
      </c>
      <c r="O273" s="8" t="s">
        <v>423</v>
      </c>
      <c r="Q273" s="8" t="s">
        <v>32</v>
      </c>
      <c r="R273" s="8">
        <v>1</v>
      </c>
      <c r="S273" s="8">
        <v>6</v>
      </c>
      <c r="T273" s="8">
        <f t="shared" si="20"/>
        <v>7</v>
      </c>
      <c r="U273" s="8">
        <v>1</v>
      </c>
      <c r="V273" s="8">
        <v>0</v>
      </c>
      <c r="W273" s="8">
        <v>0</v>
      </c>
      <c r="X273" s="8">
        <v>0</v>
      </c>
      <c r="Y273" s="8">
        <v>0</v>
      </c>
      <c r="Z273" s="8">
        <v>1</v>
      </c>
      <c r="AA273" s="8">
        <v>180</v>
      </c>
      <c r="AB273" s="9">
        <f t="shared" si="21"/>
        <v>0.33333333333333337</v>
      </c>
      <c r="AC273" s="10">
        <f t="shared" si="23"/>
        <v>20.999999999999996</v>
      </c>
      <c r="AD273" s="8" t="s">
        <v>33</v>
      </c>
      <c r="AE273" s="11">
        <v>399990</v>
      </c>
      <c r="AF273" s="11">
        <f t="shared" si="24"/>
        <v>2799930</v>
      </c>
      <c r="AG273" s="12" t="s">
        <v>64</v>
      </c>
      <c r="AH273" s="8" t="s">
        <v>35</v>
      </c>
    </row>
    <row r="274" spans="1:34">
      <c r="A274" s="8" t="s">
        <v>424</v>
      </c>
      <c r="B274" s="16" t="s">
        <v>2860</v>
      </c>
      <c r="C274" s="8" t="s">
        <v>40</v>
      </c>
      <c r="D274" s="8" t="s">
        <v>400</v>
      </c>
      <c r="E274" s="8" t="str">
        <f t="shared" si="22"/>
        <v>OXIDO/TABACO</v>
      </c>
      <c r="G274" s="8" t="s">
        <v>2861</v>
      </c>
      <c r="H274" s="8" t="str">
        <f>VLOOKUP(A274,[1]BBDD!$B$1:$J$3274,9,FALSE)</f>
        <v>U</v>
      </c>
      <c r="I274" s="8" t="s">
        <v>2861</v>
      </c>
      <c r="J274" s="8" t="s">
        <v>415</v>
      </c>
      <c r="L274" s="8" t="s">
        <v>71</v>
      </c>
      <c r="N274" s="8" t="s">
        <v>167</v>
      </c>
      <c r="O274" s="8" t="s">
        <v>167</v>
      </c>
      <c r="Q274" s="8" t="s">
        <v>32</v>
      </c>
      <c r="R274" s="8">
        <v>0</v>
      </c>
      <c r="S274" s="8">
        <v>2</v>
      </c>
      <c r="T274" s="8">
        <f t="shared" si="20"/>
        <v>2</v>
      </c>
      <c r="U274" s="8">
        <v>1</v>
      </c>
      <c r="V274" s="8">
        <v>0</v>
      </c>
      <c r="W274" s="8">
        <v>0</v>
      </c>
      <c r="X274" s="8">
        <v>0</v>
      </c>
      <c r="Y274" s="8">
        <v>0</v>
      </c>
      <c r="Z274" s="8">
        <v>1</v>
      </c>
      <c r="AA274" s="8">
        <v>180</v>
      </c>
      <c r="AB274" s="9">
        <f t="shared" si="21"/>
        <v>0.33333333333333337</v>
      </c>
      <c r="AC274" s="10">
        <f t="shared" si="23"/>
        <v>5.9999999999999991</v>
      </c>
      <c r="AD274" s="8" t="s">
        <v>33</v>
      </c>
      <c r="AE274" s="11">
        <v>399990</v>
      </c>
      <c r="AF274" s="11">
        <f t="shared" si="24"/>
        <v>799980</v>
      </c>
      <c r="AG274" s="12" t="s">
        <v>34</v>
      </c>
      <c r="AH274" s="8" t="s">
        <v>35</v>
      </c>
    </row>
    <row r="275" spans="1:34">
      <c r="A275" s="8" t="s">
        <v>425</v>
      </c>
      <c r="B275" s="16" t="s">
        <v>2860</v>
      </c>
      <c r="C275" s="8" t="s">
        <v>40</v>
      </c>
      <c r="D275" s="8" t="s">
        <v>400</v>
      </c>
      <c r="E275" s="8" t="str">
        <f t="shared" si="22"/>
        <v>VESUBIO/TABACO</v>
      </c>
      <c r="G275" s="8" t="s">
        <v>2861</v>
      </c>
      <c r="H275" s="8" t="str">
        <f>VLOOKUP(A275,[1]BBDD!$B$1:$J$3274,9,FALSE)</f>
        <v>U</v>
      </c>
      <c r="I275" s="8" t="s">
        <v>2861</v>
      </c>
      <c r="J275" s="8" t="s">
        <v>415</v>
      </c>
      <c r="L275" s="8" t="s">
        <v>71</v>
      </c>
      <c r="N275" s="8" t="s">
        <v>161</v>
      </c>
      <c r="O275" s="8" t="s">
        <v>161</v>
      </c>
      <c r="Q275" s="8" t="s">
        <v>32</v>
      </c>
      <c r="R275" s="8">
        <v>6</v>
      </c>
      <c r="S275" s="8">
        <v>6</v>
      </c>
      <c r="T275" s="8">
        <f t="shared" si="20"/>
        <v>12</v>
      </c>
      <c r="U275" s="8">
        <v>1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180</v>
      </c>
      <c r="AB275" s="9">
        <f t="shared" si="21"/>
        <v>0.16666666666666669</v>
      </c>
      <c r="AC275" s="10">
        <f t="shared" si="23"/>
        <v>71.999999999999986</v>
      </c>
      <c r="AD275" s="8" t="s">
        <v>33</v>
      </c>
      <c r="AE275" s="11">
        <v>399990</v>
      </c>
      <c r="AF275" s="11">
        <f t="shared" si="24"/>
        <v>4799880</v>
      </c>
      <c r="AG275" s="12" t="s">
        <v>73</v>
      </c>
      <c r="AH275" s="8" t="s">
        <v>65</v>
      </c>
    </row>
    <row r="276" spans="1:34">
      <c r="A276" s="8" t="s">
        <v>426</v>
      </c>
      <c r="B276" s="16" t="s">
        <v>2860</v>
      </c>
      <c r="C276" s="8" t="s">
        <v>40</v>
      </c>
      <c r="D276" s="8" t="s">
        <v>400</v>
      </c>
      <c r="E276" s="8" t="str">
        <f t="shared" si="22"/>
        <v>AVELLANA/NEGRO</v>
      </c>
      <c r="G276" s="8" t="s">
        <v>2861</v>
      </c>
      <c r="H276" s="8" t="str">
        <f>VLOOKUP(A276,[1]BBDD!$B$1:$J$3274,9,FALSE)</f>
        <v>U</v>
      </c>
      <c r="I276" s="8" t="s">
        <v>2861</v>
      </c>
      <c r="J276" s="8" t="s">
        <v>415</v>
      </c>
      <c r="L276" s="8" t="s">
        <v>71</v>
      </c>
      <c r="N276" s="8" t="s">
        <v>163</v>
      </c>
      <c r="O276" s="8" t="s">
        <v>163</v>
      </c>
      <c r="Q276" s="8" t="s">
        <v>45</v>
      </c>
      <c r="R276" s="8">
        <v>0</v>
      </c>
      <c r="S276" s="8">
        <v>2</v>
      </c>
      <c r="T276" s="8">
        <f t="shared" si="20"/>
        <v>2</v>
      </c>
      <c r="U276" s="8">
        <v>0</v>
      </c>
      <c r="V276" s="8">
        <v>0</v>
      </c>
      <c r="W276" s="8">
        <v>1</v>
      </c>
      <c r="X276" s="8">
        <v>0</v>
      </c>
      <c r="Y276" s="8">
        <v>0</v>
      </c>
      <c r="Z276" s="8">
        <v>0</v>
      </c>
      <c r="AA276" s="8">
        <v>180</v>
      </c>
      <c r="AB276" s="9">
        <f t="shared" si="21"/>
        <v>0.16666666666666669</v>
      </c>
      <c r="AC276" s="10">
        <f t="shared" si="23"/>
        <v>11.999999999999998</v>
      </c>
      <c r="AD276" s="8" t="s">
        <v>109</v>
      </c>
      <c r="AE276" s="11">
        <v>399990</v>
      </c>
      <c r="AF276" s="11">
        <f t="shared" si="24"/>
        <v>799980</v>
      </c>
      <c r="AG276" s="12" t="s">
        <v>51</v>
      </c>
      <c r="AH276" s="8" t="s">
        <v>35</v>
      </c>
    </row>
    <row r="277" spans="1:34">
      <c r="A277" s="8" t="s">
        <v>427</v>
      </c>
      <c r="B277" s="16" t="s">
        <v>2860</v>
      </c>
      <c r="C277" s="8" t="s">
        <v>40</v>
      </c>
      <c r="D277" s="8" t="s">
        <v>400</v>
      </c>
      <c r="E277" s="8" t="str">
        <f t="shared" si="22"/>
        <v>AVELLANA/TABACO</v>
      </c>
      <c r="G277" s="8" t="s">
        <v>2861</v>
      </c>
      <c r="H277" s="8" t="str">
        <f>VLOOKUP(A277,[1]BBDD!$B$1:$J$3274,9,FALSE)</f>
        <v>U</v>
      </c>
      <c r="I277" s="8" t="s">
        <v>2861</v>
      </c>
      <c r="J277" s="8" t="s">
        <v>415</v>
      </c>
      <c r="L277" s="8" t="s">
        <v>71</v>
      </c>
      <c r="N277" s="8" t="s">
        <v>165</v>
      </c>
      <c r="O277" s="8" t="s">
        <v>165</v>
      </c>
      <c r="Q277" s="8" t="s">
        <v>45</v>
      </c>
      <c r="R277" s="8">
        <v>0</v>
      </c>
      <c r="S277" s="8">
        <v>8</v>
      </c>
      <c r="T277" s="8">
        <f t="shared" si="20"/>
        <v>8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180</v>
      </c>
      <c r="AB277" s="9">
        <f t="shared" si="21"/>
        <v>0</v>
      </c>
      <c r="AC277" s="10" t="str">
        <f t="shared" si="23"/>
        <v>sin venta</v>
      </c>
      <c r="AD277" s="8" t="s">
        <v>109</v>
      </c>
      <c r="AE277" s="11">
        <v>399990</v>
      </c>
      <c r="AF277" s="11">
        <f t="shared" si="24"/>
        <v>3199920</v>
      </c>
      <c r="AG277" s="12" t="s">
        <v>73</v>
      </c>
      <c r="AH277" s="8" t="s">
        <v>35</v>
      </c>
    </row>
    <row r="278" spans="1:34">
      <c r="A278" s="8" t="s">
        <v>428</v>
      </c>
      <c r="B278" s="16" t="s">
        <v>2860</v>
      </c>
      <c r="C278" s="8" t="s">
        <v>40</v>
      </c>
      <c r="D278" s="8" t="s">
        <v>400</v>
      </c>
      <c r="E278" s="8" t="str">
        <f t="shared" si="22"/>
        <v>VESUBIO/NEGRO</v>
      </c>
      <c r="G278" s="8" t="s">
        <v>2861</v>
      </c>
      <c r="H278" s="8" t="str">
        <f>VLOOKUP(A278,[1]BBDD!$B$1:$J$3274,9,FALSE)</f>
        <v>U</v>
      </c>
      <c r="I278" s="8" t="s">
        <v>2861</v>
      </c>
      <c r="J278" s="8" t="s">
        <v>415</v>
      </c>
      <c r="L278" s="8" t="s">
        <v>71</v>
      </c>
      <c r="N278" s="8" t="s">
        <v>429</v>
      </c>
      <c r="O278" s="8" t="s">
        <v>429</v>
      </c>
      <c r="Q278" s="8" t="s">
        <v>45</v>
      </c>
      <c r="R278" s="8">
        <v>0</v>
      </c>
      <c r="S278" s="8">
        <v>2</v>
      </c>
      <c r="T278" s="8">
        <f t="shared" si="20"/>
        <v>2</v>
      </c>
      <c r="U278" s="8">
        <v>1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180</v>
      </c>
      <c r="AB278" s="9">
        <f t="shared" si="21"/>
        <v>0.16666666666666669</v>
      </c>
      <c r="AC278" s="10">
        <f t="shared" si="23"/>
        <v>11.999999999999998</v>
      </c>
      <c r="AD278" s="8" t="s">
        <v>109</v>
      </c>
      <c r="AE278" s="11">
        <v>399990</v>
      </c>
      <c r="AF278" s="11">
        <f t="shared" si="24"/>
        <v>799980</v>
      </c>
      <c r="AG278" s="12" t="s">
        <v>51</v>
      </c>
      <c r="AH278" s="8" t="s">
        <v>35</v>
      </c>
    </row>
    <row r="279" spans="1:34">
      <c r="A279" s="8" t="s">
        <v>430</v>
      </c>
      <c r="B279" s="16" t="s">
        <v>2860</v>
      </c>
      <c r="C279" s="8" t="s">
        <v>40</v>
      </c>
      <c r="D279" s="8" t="s">
        <v>400</v>
      </c>
      <c r="E279" s="8" t="str">
        <f t="shared" si="22"/>
        <v>OLIVE/CARAMELO</v>
      </c>
      <c r="G279" s="8" t="s">
        <v>2861</v>
      </c>
      <c r="H279" s="8" t="str">
        <f>VLOOKUP(A279,[1]BBDD!$B$1:$J$3274,9,FALSE)</f>
        <v>U</v>
      </c>
      <c r="I279" s="8" t="s">
        <v>2861</v>
      </c>
      <c r="J279" s="8" t="s">
        <v>415</v>
      </c>
      <c r="L279" s="8" t="s">
        <v>431</v>
      </c>
      <c r="N279" s="8" t="s">
        <v>432</v>
      </c>
      <c r="O279" s="8" t="s">
        <v>432</v>
      </c>
      <c r="Q279" s="8" t="s">
        <v>32</v>
      </c>
      <c r="R279" s="8">
        <v>2</v>
      </c>
      <c r="S279" s="8">
        <v>3</v>
      </c>
      <c r="T279" s="8">
        <f t="shared" si="20"/>
        <v>5</v>
      </c>
      <c r="U279" s="8">
        <v>1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180</v>
      </c>
      <c r="AB279" s="9">
        <f t="shared" si="21"/>
        <v>0.16666666666666669</v>
      </c>
      <c r="AC279" s="10">
        <f t="shared" si="23"/>
        <v>29.999999999999996</v>
      </c>
      <c r="AD279" s="8" t="s">
        <v>33</v>
      </c>
      <c r="AE279" s="11">
        <v>399990</v>
      </c>
      <c r="AF279" s="11">
        <f t="shared" si="24"/>
        <v>1999950</v>
      </c>
      <c r="AG279" s="12" t="s">
        <v>73</v>
      </c>
      <c r="AH279" s="8" t="s">
        <v>35</v>
      </c>
    </row>
    <row r="280" spans="1:34">
      <c r="A280" s="8" t="s">
        <v>433</v>
      </c>
      <c r="B280" s="16" t="s">
        <v>2860</v>
      </c>
      <c r="C280" s="8" t="s">
        <v>40</v>
      </c>
      <c r="D280" s="8" t="s">
        <v>400</v>
      </c>
      <c r="E280" s="8" t="str">
        <f t="shared" si="22"/>
        <v>OLIVE/TABACO</v>
      </c>
      <c r="G280" s="8" t="s">
        <v>2861</v>
      </c>
      <c r="H280" s="8" t="str">
        <f>VLOOKUP(A280,[1]BBDD!$B$1:$J$3274,9,FALSE)</f>
        <v>U</v>
      </c>
      <c r="I280" s="8" t="s">
        <v>2861</v>
      </c>
      <c r="J280" s="8" t="s">
        <v>415</v>
      </c>
      <c r="L280" s="8" t="s">
        <v>431</v>
      </c>
      <c r="N280" s="8" t="s">
        <v>434</v>
      </c>
      <c r="O280" s="8" t="s">
        <v>434</v>
      </c>
      <c r="Q280" s="8" t="s">
        <v>32</v>
      </c>
      <c r="R280" s="8">
        <v>2</v>
      </c>
      <c r="S280" s="8">
        <v>4</v>
      </c>
      <c r="T280" s="8">
        <f t="shared" si="20"/>
        <v>6</v>
      </c>
      <c r="U280" s="8">
        <v>0</v>
      </c>
      <c r="V280" s="8">
        <v>1</v>
      </c>
      <c r="W280" s="8">
        <v>0</v>
      </c>
      <c r="X280" s="8">
        <v>1</v>
      </c>
      <c r="Y280" s="8">
        <v>0</v>
      </c>
      <c r="Z280" s="8">
        <v>0</v>
      </c>
      <c r="AA280" s="8">
        <v>180</v>
      </c>
      <c r="AB280" s="9">
        <f t="shared" si="21"/>
        <v>0.33333333333333337</v>
      </c>
      <c r="AC280" s="10">
        <f t="shared" si="23"/>
        <v>17.999999999999996</v>
      </c>
      <c r="AD280" s="8" t="s">
        <v>33</v>
      </c>
      <c r="AE280" s="11">
        <v>399990</v>
      </c>
      <c r="AF280" s="11">
        <f t="shared" si="24"/>
        <v>2399940</v>
      </c>
      <c r="AG280" s="12" t="s">
        <v>64</v>
      </c>
      <c r="AH280" s="8" t="s">
        <v>35</v>
      </c>
    </row>
    <row r="281" spans="1:34">
      <c r="A281" s="8" t="s">
        <v>435</v>
      </c>
      <c r="B281" s="16" t="s">
        <v>2860</v>
      </c>
      <c r="C281" s="8" t="s">
        <v>40</v>
      </c>
      <c r="D281" s="8" t="s">
        <v>400</v>
      </c>
      <c r="E281" s="8" t="str">
        <f t="shared" si="22"/>
        <v>AZUL/CARAMELO</v>
      </c>
      <c r="G281" s="8" t="s">
        <v>2861</v>
      </c>
      <c r="H281" s="8" t="str">
        <f>VLOOKUP(A281,[1]BBDD!$B$1:$J$3274,9,FALSE)</f>
        <v>U</v>
      </c>
      <c r="I281" s="8" t="s">
        <v>2861</v>
      </c>
      <c r="J281" s="8" t="s">
        <v>415</v>
      </c>
      <c r="L281" s="8" t="s">
        <v>431</v>
      </c>
      <c r="N281" s="8" t="s">
        <v>436</v>
      </c>
      <c r="O281" s="8" t="s">
        <v>436</v>
      </c>
      <c r="Q281" s="8" t="s">
        <v>32</v>
      </c>
      <c r="R281" s="8">
        <v>1</v>
      </c>
      <c r="S281" s="8">
        <v>5</v>
      </c>
      <c r="T281" s="8">
        <f t="shared" si="20"/>
        <v>6</v>
      </c>
      <c r="U281" s="8">
        <v>0</v>
      </c>
      <c r="V281" s="8">
        <v>0</v>
      </c>
      <c r="W281" s="8">
        <v>1</v>
      </c>
      <c r="X281" s="8">
        <v>0</v>
      </c>
      <c r="Y281" s="8">
        <v>0</v>
      </c>
      <c r="Z281" s="8">
        <v>0</v>
      </c>
      <c r="AA281" s="8">
        <v>180</v>
      </c>
      <c r="AB281" s="9">
        <f t="shared" si="21"/>
        <v>0.16666666666666669</v>
      </c>
      <c r="AC281" s="10">
        <f t="shared" si="23"/>
        <v>35.999999999999993</v>
      </c>
      <c r="AD281" s="8" t="s">
        <v>33</v>
      </c>
      <c r="AE281" s="11">
        <v>399990</v>
      </c>
      <c r="AF281" s="11">
        <f t="shared" si="24"/>
        <v>2399940</v>
      </c>
      <c r="AG281" s="12" t="s">
        <v>73</v>
      </c>
      <c r="AH281" s="8" t="s">
        <v>35</v>
      </c>
    </row>
    <row r="282" spans="1:34">
      <c r="A282" s="8" t="s">
        <v>437</v>
      </c>
      <c r="B282" s="16" t="s">
        <v>2860</v>
      </c>
      <c r="C282" s="8" t="s">
        <v>40</v>
      </c>
      <c r="D282" s="8" t="s">
        <v>400</v>
      </c>
      <c r="E282" s="8" t="str">
        <f t="shared" si="22"/>
        <v>AZUL/TABACO</v>
      </c>
      <c r="G282" s="8" t="s">
        <v>2861</v>
      </c>
      <c r="H282" s="8" t="str">
        <f>VLOOKUP(A282,[1]BBDD!$B$1:$J$3274,9,FALSE)</f>
        <v>U</v>
      </c>
      <c r="I282" s="8" t="s">
        <v>2861</v>
      </c>
      <c r="J282" s="8" t="s">
        <v>415</v>
      </c>
      <c r="L282" s="8" t="s">
        <v>431</v>
      </c>
      <c r="N282" s="8" t="s">
        <v>438</v>
      </c>
      <c r="O282" s="8" t="s">
        <v>438</v>
      </c>
      <c r="Q282" s="8" t="s">
        <v>32</v>
      </c>
      <c r="R282" s="8">
        <v>0</v>
      </c>
      <c r="S282" s="8">
        <v>3</v>
      </c>
      <c r="T282" s="8">
        <f t="shared" si="20"/>
        <v>3</v>
      </c>
      <c r="U282" s="8">
        <v>0</v>
      </c>
      <c r="V282" s="8">
        <v>1</v>
      </c>
      <c r="W282" s="8">
        <v>0</v>
      </c>
      <c r="X282" s="8">
        <v>1</v>
      </c>
      <c r="Y282" s="8">
        <v>0</v>
      </c>
      <c r="Z282" s="8">
        <v>2</v>
      </c>
      <c r="AA282" s="8">
        <v>180</v>
      </c>
      <c r="AB282" s="9">
        <f t="shared" si="21"/>
        <v>0.66666666666666674</v>
      </c>
      <c r="AC282" s="10">
        <f t="shared" si="23"/>
        <v>4.4999999999999991</v>
      </c>
      <c r="AD282" s="8" t="s">
        <v>33</v>
      </c>
      <c r="AE282" s="11">
        <v>399990</v>
      </c>
      <c r="AF282" s="11">
        <f t="shared" si="24"/>
        <v>1199970</v>
      </c>
      <c r="AG282" s="12" t="s">
        <v>34</v>
      </c>
      <c r="AH282" s="8" t="s">
        <v>35</v>
      </c>
    </row>
    <row r="283" spans="1:34">
      <c r="A283" s="8" t="s">
        <v>439</v>
      </c>
      <c r="B283" s="16" t="s">
        <v>2860</v>
      </c>
      <c r="C283" s="8" t="s">
        <v>40</v>
      </c>
      <c r="D283" s="8" t="s">
        <v>400</v>
      </c>
      <c r="E283" s="8" t="str">
        <f t="shared" si="22"/>
        <v>GRIS OSCURO/CARAMELO</v>
      </c>
      <c r="G283" s="8" t="s">
        <v>2861</v>
      </c>
      <c r="H283" s="8" t="str">
        <f>VLOOKUP(A283,[1]BBDD!$B$1:$J$3274,9,FALSE)</f>
        <v>U</v>
      </c>
      <c r="I283" s="8" t="s">
        <v>2861</v>
      </c>
      <c r="J283" s="8" t="s">
        <v>415</v>
      </c>
      <c r="L283" s="8" t="s">
        <v>431</v>
      </c>
      <c r="N283" s="8" t="s">
        <v>440</v>
      </c>
      <c r="O283" s="8" t="s">
        <v>440</v>
      </c>
      <c r="Q283" s="8" t="s">
        <v>45</v>
      </c>
      <c r="R283" s="8">
        <v>0</v>
      </c>
      <c r="S283" s="8">
        <v>3</v>
      </c>
      <c r="T283" s="8">
        <f t="shared" si="20"/>
        <v>3</v>
      </c>
      <c r="U283" s="8">
        <v>0</v>
      </c>
      <c r="V283" s="8">
        <v>0</v>
      </c>
      <c r="W283" s="8">
        <v>0</v>
      </c>
      <c r="X283" s="8">
        <v>1</v>
      </c>
      <c r="Y283" s="8">
        <v>0</v>
      </c>
      <c r="Z283" s="8">
        <v>0</v>
      </c>
      <c r="AA283" s="8">
        <v>180</v>
      </c>
      <c r="AB283" s="9">
        <f t="shared" si="21"/>
        <v>0.16666666666666669</v>
      </c>
      <c r="AC283" s="10">
        <f t="shared" si="23"/>
        <v>17.999999999999996</v>
      </c>
      <c r="AD283" s="8" t="s">
        <v>109</v>
      </c>
      <c r="AE283" s="11">
        <v>399990</v>
      </c>
      <c r="AF283" s="11">
        <f t="shared" si="24"/>
        <v>1199970</v>
      </c>
      <c r="AG283" s="12" t="s">
        <v>64</v>
      </c>
      <c r="AH283" s="8" t="s">
        <v>35</v>
      </c>
    </row>
    <row r="284" spans="1:34">
      <c r="A284" s="8" t="s">
        <v>441</v>
      </c>
      <c r="B284" s="16" t="s">
        <v>2860</v>
      </c>
      <c r="C284" s="8" t="s">
        <v>40</v>
      </c>
      <c r="D284" s="8" t="s">
        <v>400</v>
      </c>
      <c r="E284" s="8" t="str">
        <f t="shared" si="22"/>
        <v>GRIS OSCURO/TABACO</v>
      </c>
      <c r="G284" s="8" t="s">
        <v>2861</v>
      </c>
      <c r="H284" s="8" t="str">
        <f>VLOOKUP(A284,[1]BBDD!$B$1:$J$3274,9,FALSE)</f>
        <v>U</v>
      </c>
      <c r="I284" s="8" t="s">
        <v>2861</v>
      </c>
      <c r="J284" s="8" t="s">
        <v>415</v>
      </c>
      <c r="L284" s="8" t="s">
        <v>431</v>
      </c>
      <c r="N284" s="8" t="s">
        <v>442</v>
      </c>
      <c r="O284" s="8" t="s">
        <v>442</v>
      </c>
      <c r="Q284" s="8" t="s">
        <v>45</v>
      </c>
      <c r="R284" s="8">
        <v>2</v>
      </c>
      <c r="S284" s="8">
        <v>3</v>
      </c>
      <c r="T284" s="8">
        <f t="shared" si="20"/>
        <v>5</v>
      </c>
      <c r="U284" s="8">
        <v>0</v>
      </c>
      <c r="V284" s="8">
        <v>0</v>
      </c>
      <c r="W284" s="8">
        <v>0</v>
      </c>
      <c r="X284" s="8">
        <v>2</v>
      </c>
      <c r="Y284" s="8">
        <v>0</v>
      </c>
      <c r="Z284" s="8">
        <v>0</v>
      </c>
      <c r="AA284" s="8">
        <v>180</v>
      </c>
      <c r="AB284" s="9">
        <f t="shared" si="21"/>
        <v>0.33333333333333337</v>
      </c>
      <c r="AC284" s="10">
        <f t="shared" si="23"/>
        <v>14.999999999999998</v>
      </c>
      <c r="AD284" s="8" t="s">
        <v>109</v>
      </c>
      <c r="AE284" s="11">
        <v>399990</v>
      </c>
      <c r="AF284" s="11">
        <f t="shared" si="24"/>
        <v>1999950</v>
      </c>
      <c r="AG284" s="12" t="s">
        <v>64</v>
      </c>
      <c r="AH284" s="8" t="s">
        <v>35</v>
      </c>
    </row>
    <row r="285" spans="1:34">
      <c r="A285" s="8" t="s">
        <v>443</v>
      </c>
      <c r="B285" s="16" t="s">
        <v>2860</v>
      </c>
      <c r="C285" s="8" t="s">
        <v>40</v>
      </c>
      <c r="D285" s="8" t="s">
        <v>400</v>
      </c>
      <c r="E285" s="8" t="str">
        <f t="shared" si="22"/>
        <v>CAFE/NEGRO</v>
      </c>
      <c r="G285" s="8" t="s">
        <v>2861</v>
      </c>
      <c r="H285" s="8" t="str">
        <f>VLOOKUP(A285,[1]BBDD!$B$1:$J$3274,9,FALSE)</f>
        <v>U</v>
      </c>
      <c r="I285" s="8" t="s">
        <v>2861</v>
      </c>
      <c r="J285" s="8" t="s">
        <v>415</v>
      </c>
      <c r="L285" s="8" t="s">
        <v>431</v>
      </c>
      <c r="N285" s="8" t="s">
        <v>444</v>
      </c>
      <c r="O285" s="8" t="s">
        <v>444</v>
      </c>
      <c r="Q285" s="8" t="s">
        <v>45</v>
      </c>
      <c r="R285" s="8">
        <v>1</v>
      </c>
      <c r="S285" s="8">
        <v>5</v>
      </c>
      <c r="T285" s="8">
        <f t="shared" si="20"/>
        <v>6</v>
      </c>
      <c r="U285" s="8">
        <v>1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180</v>
      </c>
      <c r="AB285" s="9">
        <f t="shared" si="21"/>
        <v>0.16666666666666669</v>
      </c>
      <c r="AC285" s="10">
        <f t="shared" si="23"/>
        <v>35.999999999999993</v>
      </c>
      <c r="AD285" s="8" t="s">
        <v>109</v>
      </c>
      <c r="AE285" s="11">
        <v>399990</v>
      </c>
      <c r="AF285" s="11">
        <f t="shared" si="24"/>
        <v>2399940</v>
      </c>
      <c r="AG285" s="12" t="s">
        <v>73</v>
      </c>
      <c r="AH285" s="8" t="s">
        <v>35</v>
      </c>
    </row>
    <row r="286" spans="1:34">
      <c r="A286" s="8" t="s">
        <v>445</v>
      </c>
      <c r="B286" s="16" t="s">
        <v>2860</v>
      </c>
      <c r="C286" s="8" t="s">
        <v>40</v>
      </c>
      <c r="D286" s="8" t="s">
        <v>400</v>
      </c>
      <c r="E286" s="8" t="str">
        <f t="shared" si="22"/>
        <v>GRIS MEDIO/CARAMELO</v>
      </c>
      <c r="G286" s="8" t="s">
        <v>2861</v>
      </c>
      <c r="H286" s="8" t="str">
        <f>VLOOKUP(A286,[1]BBDD!$B$1:$J$3274,9,FALSE)</f>
        <v>U</v>
      </c>
      <c r="I286" s="8" t="s">
        <v>2861</v>
      </c>
      <c r="J286" s="8" t="s">
        <v>415</v>
      </c>
      <c r="L286" s="8" t="s">
        <v>431</v>
      </c>
      <c r="N286" s="8" t="s">
        <v>446</v>
      </c>
      <c r="O286" s="8" t="s">
        <v>446</v>
      </c>
      <c r="Q286" s="8" t="s">
        <v>45</v>
      </c>
      <c r="R286" s="8">
        <v>0</v>
      </c>
      <c r="S286" s="8">
        <v>2</v>
      </c>
      <c r="T286" s="8">
        <f t="shared" si="20"/>
        <v>2</v>
      </c>
      <c r="U286" s="8">
        <v>0</v>
      </c>
      <c r="V286" s="8">
        <v>0</v>
      </c>
      <c r="W286" s="8">
        <v>1</v>
      </c>
      <c r="X286" s="8">
        <v>0</v>
      </c>
      <c r="Y286" s="8">
        <v>0</v>
      </c>
      <c r="Z286" s="8">
        <v>0</v>
      </c>
      <c r="AA286" s="8">
        <v>180</v>
      </c>
      <c r="AB286" s="9">
        <f t="shared" si="21"/>
        <v>0.16666666666666669</v>
      </c>
      <c r="AC286" s="10">
        <f t="shared" si="23"/>
        <v>11.999999999999998</v>
      </c>
      <c r="AD286" s="8" t="s">
        <v>109</v>
      </c>
      <c r="AE286" s="11">
        <v>399990</v>
      </c>
      <c r="AF286" s="11">
        <f t="shared" si="24"/>
        <v>799980</v>
      </c>
      <c r="AG286" s="12" t="s">
        <v>51</v>
      </c>
      <c r="AH286" s="8" t="s">
        <v>35</v>
      </c>
    </row>
    <row r="287" spans="1:34">
      <c r="A287" s="8" t="s">
        <v>447</v>
      </c>
      <c r="B287" s="16" t="s">
        <v>2860</v>
      </c>
      <c r="C287" s="8" t="s">
        <v>40</v>
      </c>
      <c r="D287" s="8" t="s">
        <v>400</v>
      </c>
      <c r="E287" s="8" t="str">
        <f t="shared" si="22"/>
        <v>OLIVE/CARAMELO</v>
      </c>
      <c r="G287" s="8" t="s">
        <v>2861</v>
      </c>
      <c r="H287" s="8" t="str">
        <f>VLOOKUP(A287,[1]BBDD!$B$1:$J$3274,9,FALSE)</f>
        <v>U</v>
      </c>
      <c r="I287" s="8" t="s">
        <v>2861</v>
      </c>
      <c r="J287" s="8" t="s">
        <v>415</v>
      </c>
      <c r="L287" s="8" t="s">
        <v>448</v>
      </c>
      <c r="N287" s="8" t="s">
        <v>432</v>
      </c>
      <c r="O287" s="8" t="s">
        <v>432</v>
      </c>
      <c r="Q287" s="8" t="s">
        <v>32</v>
      </c>
      <c r="R287" s="8">
        <v>0</v>
      </c>
      <c r="S287" s="8">
        <v>0</v>
      </c>
      <c r="T287" s="8">
        <f t="shared" si="20"/>
        <v>0</v>
      </c>
      <c r="U287" s="8">
        <v>0</v>
      </c>
      <c r="V287" s="8">
        <v>1</v>
      </c>
      <c r="W287" s="8">
        <v>1</v>
      </c>
      <c r="X287" s="8">
        <v>0</v>
      </c>
      <c r="Y287" s="8">
        <v>1</v>
      </c>
      <c r="Z287" s="8">
        <v>0</v>
      </c>
      <c r="AA287" s="8">
        <v>180</v>
      </c>
      <c r="AB287" s="9">
        <f t="shared" si="21"/>
        <v>0.5</v>
      </c>
      <c r="AC287" s="10">
        <f t="shared" si="23"/>
        <v>0</v>
      </c>
      <c r="AD287" s="8" t="s">
        <v>33</v>
      </c>
      <c r="AE287" s="11">
        <v>399990</v>
      </c>
      <c r="AF287" s="11">
        <f t="shared" si="24"/>
        <v>0</v>
      </c>
      <c r="AG287" s="12" t="s">
        <v>34</v>
      </c>
      <c r="AH287" s="8" t="s">
        <v>35</v>
      </c>
    </row>
    <row r="288" spans="1:34">
      <c r="A288" s="8" t="s">
        <v>449</v>
      </c>
      <c r="B288" s="16" t="s">
        <v>2860</v>
      </c>
      <c r="C288" s="8" t="s">
        <v>40</v>
      </c>
      <c r="D288" s="8" t="s">
        <v>400</v>
      </c>
      <c r="E288" s="8" t="str">
        <f t="shared" si="22"/>
        <v>AZUL/CARAMELO</v>
      </c>
      <c r="G288" s="8" t="s">
        <v>2861</v>
      </c>
      <c r="H288" s="8" t="str">
        <f>VLOOKUP(A288,[1]BBDD!$B$1:$J$3274,9,FALSE)</f>
        <v>U</v>
      </c>
      <c r="I288" s="8" t="s">
        <v>2861</v>
      </c>
      <c r="J288" s="8" t="s">
        <v>415</v>
      </c>
      <c r="L288" s="8" t="s">
        <v>448</v>
      </c>
      <c r="N288" s="8" t="s">
        <v>436</v>
      </c>
      <c r="O288" s="8" t="s">
        <v>436</v>
      </c>
      <c r="Q288" s="8" t="s">
        <v>45</v>
      </c>
      <c r="R288" s="8">
        <v>2</v>
      </c>
      <c r="S288" s="8">
        <v>5</v>
      </c>
      <c r="T288" s="8">
        <f t="shared" si="20"/>
        <v>7</v>
      </c>
      <c r="U288" s="8">
        <v>0</v>
      </c>
      <c r="V288" s="8">
        <v>0</v>
      </c>
      <c r="W288" s="8">
        <v>1</v>
      </c>
      <c r="X288" s="8">
        <v>0</v>
      </c>
      <c r="Y288" s="8">
        <v>0</v>
      </c>
      <c r="Z288" s="8">
        <v>0</v>
      </c>
      <c r="AA288" s="8">
        <v>180</v>
      </c>
      <c r="AB288" s="9">
        <f t="shared" si="21"/>
        <v>0.16666666666666669</v>
      </c>
      <c r="AC288" s="10">
        <f t="shared" si="23"/>
        <v>41.999999999999993</v>
      </c>
      <c r="AD288" s="8" t="s">
        <v>109</v>
      </c>
      <c r="AE288" s="11">
        <v>399990</v>
      </c>
      <c r="AF288" s="11">
        <f t="shared" si="24"/>
        <v>2799930</v>
      </c>
      <c r="AG288" s="12" t="s">
        <v>73</v>
      </c>
      <c r="AH288" s="8" t="s">
        <v>35</v>
      </c>
    </row>
    <row r="289" spans="1:34">
      <c r="A289" s="8" t="s">
        <v>450</v>
      </c>
      <c r="B289" s="16" t="s">
        <v>2860</v>
      </c>
      <c r="C289" s="8" t="s">
        <v>40</v>
      </c>
      <c r="D289" s="8" t="s">
        <v>400</v>
      </c>
      <c r="E289" s="8" t="str">
        <f t="shared" si="22"/>
        <v>NEGRO</v>
      </c>
      <c r="G289" s="8" t="s">
        <v>2861</v>
      </c>
      <c r="H289" s="8" t="str">
        <f>VLOOKUP(A289,[1]BBDD!$B$1:$J$3274,9,FALSE)</f>
        <v>U</v>
      </c>
      <c r="I289" s="8" t="s">
        <v>2861</v>
      </c>
      <c r="J289" s="8" t="s">
        <v>415</v>
      </c>
      <c r="L289" s="8" t="s">
        <v>82</v>
      </c>
      <c r="N289" s="8" t="s">
        <v>44</v>
      </c>
      <c r="O289" s="8" t="s">
        <v>44</v>
      </c>
      <c r="Q289" s="8" t="s">
        <v>45</v>
      </c>
      <c r="R289" s="8">
        <v>0</v>
      </c>
      <c r="S289" s="8">
        <v>1</v>
      </c>
      <c r="T289" s="8">
        <f t="shared" si="20"/>
        <v>1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180</v>
      </c>
      <c r="AB289" s="9">
        <f t="shared" si="21"/>
        <v>0</v>
      </c>
      <c r="AC289" s="10" t="str">
        <f t="shared" si="23"/>
        <v>sin venta</v>
      </c>
      <c r="AD289" s="8" t="s">
        <v>109</v>
      </c>
      <c r="AE289" s="11">
        <v>399990</v>
      </c>
      <c r="AF289" s="11">
        <f t="shared" si="24"/>
        <v>399990</v>
      </c>
      <c r="AG289" s="12" t="s">
        <v>73</v>
      </c>
      <c r="AH289" s="8" t="s">
        <v>35</v>
      </c>
    </row>
    <row r="290" spans="1:34">
      <c r="A290" s="8" t="s">
        <v>451</v>
      </c>
      <c r="B290" s="16" t="s">
        <v>2860</v>
      </c>
      <c r="C290" s="8" t="s">
        <v>40</v>
      </c>
      <c r="D290" s="8" t="s">
        <v>400</v>
      </c>
      <c r="E290" s="8" t="str">
        <f t="shared" si="22"/>
        <v>MARRON</v>
      </c>
      <c r="G290" s="8" t="s">
        <v>2861</v>
      </c>
      <c r="H290" s="8" t="str">
        <f>VLOOKUP(A290,[1]BBDD!$B$1:$J$3274,9,FALSE)</f>
        <v>U</v>
      </c>
      <c r="I290" s="8" t="s">
        <v>2861</v>
      </c>
      <c r="J290" s="8" t="s">
        <v>415</v>
      </c>
      <c r="L290" s="8" t="s">
        <v>30</v>
      </c>
      <c r="N290" s="8" t="s">
        <v>452</v>
      </c>
      <c r="O290" s="8" t="s">
        <v>452</v>
      </c>
      <c r="Q290" s="8" t="s">
        <v>32</v>
      </c>
      <c r="R290" s="8">
        <v>0</v>
      </c>
      <c r="S290" s="8">
        <v>0</v>
      </c>
      <c r="T290" s="8">
        <f t="shared" si="20"/>
        <v>0</v>
      </c>
      <c r="U290" s="8">
        <v>1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180</v>
      </c>
      <c r="AB290" s="9">
        <f t="shared" si="21"/>
        <v>0.16666666666666669</v>
      </c>
      <c r="AC290" s="10">
        <f t="shared" si="23"/>
        <v>0</v>
      </c>
      <c r="AD290" s="8" t="s">
        <v>33</v>
      </c>
      <c r="AE290" s="11">
        <v>399990</v>
      </c>
      <c r="AF290" s="11">
        <f t="shared" si="24"/>
        <v>0</v>
      </c>
      <c r="AG290" s="12" t="s">
        <v>34</v>
      </c>
      <c r="AH290" s="8" t="s">
        <v>35</v>
      </c>
    </row>
    <row r="291" spans="1:34">
      <c r="A291" s="8" t="s">
        <v>453</v>
      </c>
      <c r="B291" s="16" t="s">
        <v>2860</v>
      </c>
      <c r="C291" s="8" t="s">
        <v>40</v>
      </c>
      <c r="D291" s="8" t="s">
        <v>400</v>
      </c>
      <c r="E291" s="8" t="str">
        <f t="shared" si="22"/>
        <v>MARRON ROJIZO</v>
      </c>
      <c r="G291" s="8" t="s">
        <v>2861</v>
      </c>
      <c r="H291" s="8" t="str">
        <f>VLOOKUP(A291,[1]BBDD!$B$1:$J$3274,9,FALSE)</f>
        <v>U</v>
      </c>
      <c r="I291" s="8" t="s">
        <v>2861</v>
      </c>
      <c r="J291" s="8" t="s">
        <v>415</v>
      </c>
      <c r="L291" s="8" t="s">
        <v>30</v>
      </c>
      <c r="N291" s="8" t="s">
        <v>454</v>
      </c>
      <c r="O291" s="8" t="s">
        <v>454</v>
      </c>
      <c r="Q291" s="8" t="s">
        <v>32</v>
      </c>
      <c r="R291" s="8">
        <v>0</v>
      </c>
      <c r="S291" s="8">
        <v>0</v>
      </c>
      <c r="T291" s="8">
        <f t="shared" si="20"/>
        <v>0</v>
      </c>
      <c r="U291" s="8">
        <v>1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180</v>
      </c>
      <c r="AB291" s="9">
        <f t="shared" si="21"/>
        <v>0.16666666666666669</v>
      </c>
      <c r="AC291" s="10">
        <f t="shared" si="23"/>
        <v>0</v>
      </c>
      <c r="AD291" s="8" t="s">
        <v>33</v>
      </c>
      <c r="AE291" s="11">
        <v>399990</v>
      </c>
      <c r="AF291" s="11">
        <f t="shared" si="24"/>
        <v>0</v>
      </c>
      <c r="AG291" s="12" t="s">
        <v>34</v>
      </c>
      <c r="AH291" s="8" t="s">
        <v>35</v>
      </c>
    </row>
    <row r="292" spans="1:34">
      <c r="A292" s="8" t="s">
        <v>455</v>
      </c>
      <c r="B292" s="16" t="s">
        <v>2860</v>
      </c>
      <c r="C292" s="8" t="s">
        <v>40</v>
      </c>
      <c r="D292" s="8" t="s">
        <v>400</v>
      </c>
      <c r="E292" s="8" t="str">
        <f t="shared" si="22"/>
        <v>HOLANDO/NEGRO</v>
      </c>
      <c r="G292" s="8" t="s">
        <v>2861</v>
      </c>
      <c r="H292" s="8" t="str">
        <f>VLOOKUP(A292,[1]BBDD!$B$1:$J$3274,9,FALSE)</f>
        <v>U</v>
      </c>
      <c r="I292" s="8" t="s">
        <v>2861</v>
      </c>
      <c r="J292" s="8" t="s">
        <v>415</v>
      </c>
      <c r="L292" s="8" t="s">
        <v>456</v>
      </c>
      <c r="N292" s="8" t="s">
        <v>457</v>
      </c>
      <c r="O292" s="8" t="s">
        <v>457</v>
      </c>
      <c r="Q292" s="8" t="s">
        <v>32</v>
      </c>
      <c r="R292" s="8">
        <v>0</v>
      </c>
      <c r="S292" s="8">
        <v>4</v>
      </c>
      <c r="T292" s="8">
        <f t="shared" si="20"/>
        <v>4</v>
      </c>
      <c r="U292" s="8">
        <v>0</v>
      </c>
      <c r="V292" s="8">
        <v>0</v>
      </c>
      <c r="W292" s="8">
        <v>0</v>
      </c>
      <c r="X292" s="8">
        <v>0</v>
      </c>
      <c r="Y292" s="8">
        <v>1</v>
      </c>
      <c r="Z292" s="8">
        <v>0</v>
      </c>
      <c r="AA292" s="8">
        <v>180</v>
      </c>
      <c r="AB292" s="9">
        <f t="shared" si="21"/>
        <v>0.16666666666666669</v>
      </c>
      <c r="AC292" s="10">
        <f t="shared" si="23"/>
        <v>23.999999999999996</v>
      </c>
      <c r="AD292" s="8" t="s">
        <v>33</v>
      </c>
      <c r="AE292" s="11">
        <v>399990</v>
      </c>
      <c r="AF292" s="11">
        <f t="shared" si="24"/>
        <v>1599960</v>
      </c>
      <c r="AG292" s="12" t="s">
        <v>64</v>
      </c>
      <c r="AH292" s="8" t="s">
        <v>35</v>
      </c>
    </row>
    <row r="293" spans="1:34">
      <c r="A293" s="8" t="s">
        <v>458</v>
      </c>
      <c r="B293" s="16" t="s">
        <v>2860</v>
      </c>
      <c r="C293" s="8" t="s">
        <v>40</v>
      </c>
      <c r="D293" s="8" t="s">
        <v>400</v>
      </c>
      <c r="E293" s="8" t="str">
        <f t="shared" si="22"/>
        <v>HEREFORD/TABACO</v>
      </c>
      <c r="G293" s="8" t="s">
        <v>2861</v>
      </c>
      <c r="H293" s="8" t="str">
        <f>VLOOKUP(A293,[1]BBDD!$B$1:$J$3274,9,FALSE)</f>
        <v>U</v>
      </c>
      <c r="I293" s="8" t="s">
        <v>2861</v>
      </c>
      <c r="J293" s="8" t="s">
        <v>415</v>
      </c>
      <c r="L293" s="8" t="s">
        <v>456</v>
      </c>
      <c r="N293" s="8" t="s">
        <v>459</v>
      </c>
      <c r="O293" s="8" t="s">
        <v>459</v>
      </c>
      <c r="Q293" s="8" t="s">
        <v>32</v>
      </c>
      <c r="R293" s="8">
        <v>1</v>
      </c>
      <c r="S293" s="8">
        <v>3</v>
      </c>
      <c r="T293" s="8">
        <f t="shared" si="20"/>
        <v>4</v>
      </c>
      <c r="U293" s="8">
        <v>0</v>
      </c>
      <c r="V293" s="8">
        <v>0</v>
      </c>
      <c r="W293" s="8">
        <v>3</v>
      </c>
      <c r="X293" s="8">
        <v>2</v>
      </c>
      <c r="Y293" s="8">
        <v>0</v>
      </c>
      <c r="Z293" s="8">
        <v>0</v>
      </c>
      <c r="AA293" s="8">
        <v>180</v>
      </c>
      <c r="AB293" s="9">
        <f t="shared" si="21"/>
        <v>0.83333333333333326</v>
      </c>
      <c r="AC293" s="10">
        <f t="shared" si="23"/>
        <v>4.8000000000000007</v>
      </c>
      <c r="AD293" s="8" t="s">
        <v>33</v>
      </c>
      <c r="AE293" s="11">
        <v>399990</v>
      </c>
      <c r="AF293" s="11">
        <f t="shared" si="24"/>
        <v>1599960</v>
      </c>
      <c r="AG293" s="12" t="s">
        <v>34</v>
      </c>
      <c r="AH293" s="8" t="s">
        <v>35</v>
      </c>
    </row>
    <row r="294" spans="1:34">
      <c r="A294" s="8" t="s">
        <v>460</v>
      </c>
      <c r="B294" s="16" t="s">
        <v>2860</v>
      </c>
      <c r="C294" s="8" t="s">
        <v>40</v>
      </c>
      <c r="D294" s="8" t="s">
        <v>400</v>
      </c>
      <c r="E294" s="8" t="str">
        <f t="shared" si="22"/>
        <v>MARRON ROJIZO/CHOCOLATE</v>
      </c>
      <c r="G294" s="8" t="s">
        <v>2861</v>
      </c>
      <c r="H294" s="8" t="str">
        <f>VLOOKUP(A294,[1]BBDD!$B$1:$J$3274,9,FALSE)</f>
        <v>U</v>
      </c>
      <c r="I294" s="8" t="s">
        <v>2861</v>
      </c>
      <c r="J294" s="8" t="s">
        <v>415</v>
      </c>
      <c r="L294" s="8" t="s">
        <v>456</v>
      </c>
      <c r="N294" s="8" t="s">
        <v>461</v>
      </c>
      <c r="O294" s="8" t="s">
        <v>461</v>
      </c>
      <c r="Q294" s="8" t="s">
        <v>45</v>
      </c>
      <c r="R294" s="8">
        <v>0</v>
      </c>
      <c r="S294" s="8">
        <v>1</v>
      </c>
      <c r="T294" s="8">
        <f t="shared" si="20"/>
        <v>1</v>
      </c>
      <c r="U294" s="8">
        <v>1</v>
      </c>
      <c r="V294" s="8">
        <v>1</v>
      </c>
      <c r="W294" s="8">
        <v>2</v>
      </c>
      <c r="X294" s="8">
        <v>1</v>
      </c>
      <c r="Y294" s="8">
        <v>0</v>
      </c>
      <c r="Z294" s="8">
        <v>0</v>
      </c>
      <c r="AA294" s="8">
        <v>180</v>
      </c>
      <c r="AB294" s="9">
        <f t="shared" si="21"/>
        <v>0.83333333333333326</v>
      </c>
      <c r="AC294" s="10">
        <f t="shared" si="23"/>
        <v>1.2000000000000002</v>
      </c>
      <c r="AD294" s="8" t="s">
        <v>109</v>
      </c>
      <c r="AE294" s="11">
        <v>399990</v>
      </c>
      <c r="AF294" s="11">
        <f t="shared" si="24"/>
        <v>399990</v>
      </c>
      <c r="AG294" s="12" t="s">
        <v>34</v>
      </c>
      <c r="AH294" s="8" t="s">
        <v>35</v>
      </c>
    </row>
    <row r="295" spans="1:34">
      <c r="A295" s="8" t="s">
        <v>462</v>
      </c>
      <c r="B295" s="16" t="s">
        <v>2860</v>
      </c>
      <c r="C295" s="8" t="s">
        <v>40</v>
      </c>
      <c r="D295" s="8" t="s">
        <v>400</v>
      </c>
      <c r="E295" s="8" t="str">
        <f t="shared" si="22"/>
        <v>MARRON/CHOCOLATE</v>
      </c>
      <c r="G295" s="8" t="s">
        <v>2861</v>
      </c>
      <c r="H295" s="8" t="str">
        <f>VLOOKUP(A295,[1]BBDD!$B$1:$J$3274,9,FALSE)</f>
        <v>U</v>
      </c>
      <c r="I295" s="8" t="s">
        <v>2861</v>
      </c>
      <c r="J295" s="8" t="s">
        <v>415</v>
      </c>
      <c r="L295" s="8" t="s">
        <v>456</v>
      </c>
      <c r="N295" s="8" t="s">
        <v>463</v>
      </c>
      <c r="O295" s="8" t="s">
        <v>463</v>
      </c>
      <c r="Q295" s="8" t="s">
        <v>45</v>
      </c>
      <c r="R295" s="8">
        <v>0</v>
      </c>
      <c r="S295" s="8">
        <v>4</v>
      </c>
      <c r="T295" s="8">
        <f t="shared" ref="T295:T305" si="25">SUM(R295:S295)</f>
        <v>4</v>
      </c>
      <c r="U295" s="8">
        <v>1</v>
      </c>
      <c r="V295" s="8">
        <v>0</v>
      </c>
      <c r="W295" s="8">
        <v>2</v>
      </c>
      <c r="X295" s="8">
        <v>1</v>
      </c>
      <c r="Y295" s="8">
        <v>1</v>
      </c>
      <c r="Z295" s="8">
        <v>0</v>
      </c>
      <c r="AA295" s="8">
        <v>180</v>
      </c>
      <c r="AB295" s="9">
        <f t="shared" ref="AB295:AB305" si="26">SUM(U295:Z295)/AA295*30</f>
        <v>0.83333333333333326</v>
      </c>
      <c r="AC295" s="10">
        <f t="shared" si="23"/>
        <v>4.8000000000000007</v>
      </c>
      <c r="AD295" s="8" t="s">
        <v>109</v>
      </c>
      <c r="AE295" s="11">
        <v>399990</v>
      </c>
      <c r="AF295" s="11">
        <f t="shared" si="24"/>
        <v>1599960</v>
      </c>
      <c r="AG295" s="12" t="s">
        <v>34</v>
      </c>
      <c r="AH295" s="8" t="s">
        <v>35</v>
      </c>
    </row>
    <row r="296" spans="1:34">
      <c r="A296" s="8" t="s">
        <v>464</v>
      </c>
      <c r="B296" s="16" t="s">
        <v>2860</v>
      </c>
      <c r="C296" s="8" t="s">
        <v>40</v>
      </c>
      <c r="D296" s="8" t="s">
        <v>400</v>
      </c>
      <c r="E296" s="8" t="str">
        <f t="shared" si="22"/>
        <v>CARAMELO</v>
      </c>
      <c r="G296" s="8" t="s">
        <v>2861</v>
      </c>
      <c r="H296" s="8" t="str">
        <f>VLOOKUP(A296,[1]BBDD!$B$1:$J$3274,9,FALSE)</f>
        <v>H</v>
      </c>
      <c r="I296" s="17" t="s">
        <v>2861</v>
      </c>
      <c r="J296" s="8" t="s">
        <v>465</v>
      </c>
      <c r="L296" s="8" t="s">
        <v>61</v>
      </c>
      <c r="N296" s="8" t="s">
        <v>62</v>
      </c>
      <c r="O296" s="8" t="s">
        <v>62</v>
      </c>
      <c r="Q296" s="8" t="s">
        <v>45</v>
      </c>
      <c r="R296" s="8">
        <v>3</v>
      </c>
      <c r="S296" s="8">
        <v>5</v>
      </c>
      <c r="T296" s="8">
        <f t="shared" si="25"/>
        <v>8</v>
      </c>
      <c r="U296" s="8">
        <v>0</v>
      </c>
      <c r="V296" s="8">
        <v>0</v>
      </c>
      <c r="W296" s="8">
        <v>2</v>
      </c>
      <c r="X296" s="8">
        <v>0</v>
      </c>
      <c r="Y296" s="8">
        <v>0</v>
      </c>
      <c r="Z296" s="8">
        <v>1</v>
      </c>
      <c r="AA296" s="8">
        <v>180</v>
      </c>
      <c r="AB296" s="9">
        <f t="shared" si="26"/>
        <v>0.5</v>
      </c>
      <c r="AC296" s="10">
        <f t="shared" si="23"/>
        <v>16</v>
      </c>
      <c r="AD296" s="8" t="s">
        <v>109</v>
      </c>
      <c r="AE296" s="11">
        <v>214990</v>
      </c>
      <c r="AF296" s="11">
        <f t="shared" si="24"/>
        <v>1719920</v>
      </c>
      <c r="AG296" s="12" t="s">
        <v>64</v>
      </c>
      <c r="AH296" s="8" t="s">
        <v>35</v>
      </c>
    </row>
    <row r="297" spans="1:34">
      <c r="A297" s="8" t="s">
        <v>466</v>
      </c>
      <c r="B297" s="16" t="s">
        <v>2860</v>
      </c>
      <c r="C297" s="8" t="s">
        <v>40</v>
      </c>
      <c r="D297" s="8" t="s">
        <v>400</v>
      </c>
      <c r="E297" s="8" t="str">
        <f t="shared" si="22"/>
        <v>CHOCOLATE</v>
      </c>
      <c r="G297" s="8" t="s">
        <v>2861</v>
      </c>
      <c r="H297" s="8" t="str">
        <f>VLOOKUP(A297,[1]BBDD!$B$1:$J$3274,9,FALSE)</f>
        <v>H</v>
      </c>
      <c r="I297" s="17" t="s">
        <v>2861</v>
      </c>
      <c r="J297" s="8" t="s">
        <v>465</v>
      </c>
      <c r="L297" s="8" t="s">
        <v>61</v>
      </c>
      <c r="N297" s="8" t="s">
        <v>252</v>
      </c>
      <c r="O297" s="8" t="s">
        <v>252</v>
      </c>
      <c r="Q297" s="8" t="s">
        <v>45</v>
      </c>
      <c r="R297" s="8">
        <v>2</v>
      </c>
      <c r="S297" s="8">
        <v>6</v>
      </c>
      <c r="T297" s="8">
        <f t="shared" si="25"/>
        <v>8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180</v>
      </c>
      <c r="AB297" s="9">
        <f t="shared" si="26"/>
        <v>0</v>
      </c>
      <c r="AC297" s="10" t="str">
        <f t="shared" si="23"/>
        <v>sin venta</v>
      </c>
      <c r="AD297" s="8" t="s">
        <v>109</v>
      </c>
      <c r="AE297" s="11">
        <v>214990</v>
      </c>
      <c r="AF297" s="11">
        <f t="shared" si="24"/>
        <v>1719920</v>
      </c>
      <c r="AG297" s="12" t="s">
        <v>73</v>
      </c>
      <c r="AH297" s="8" t="s">
        <v>35</v>
      </c>
    </row>
    <row r="298" spans="1:34">
      <c r="A298" s="8" t="s">
        <v>467</v>
      </c>
      <c r="B298" s="16" t="s">
        <v>2860</v>
      </c>
      <c r="C298" s="8" t="s">
        <v>40</v>
      </c>
      <c r="D298" s="8" t="s">
        <v>400</v>
      </c>
      <c r="E298" s="8" t="str">
        <f t="shared" si="22"/>
        <v>NEGRO</v>
      </c>
      <c r="G298" s="8" t="s">
        <v>2861</v>
      </c>
      <c r="H298" s="8" t="str">
        <f>VLOOKUP(A298,[1]BBDD!$B$1:$J$3274,9,FALSE)</f>
        <v>H</v>
      </c>
      <c r="I298" s="17" t="s">
        <v>2861</v>
      </c>
      <c r="J298" s="8" t="s">
        <v>465</v>
      </c>
      <c r="L298" s="8" t="s">
        <v>61</v>
      </c>
      <c r="N298" s="8" t="s">
        <v>44</v>
      </c>
      <c r="O298" s="8" t="s">
        <v>44</v>
      </c>
      <c r="Q298" s="8" t="s">
        <v>45</v>
      </c>
      <c r="R298" s="8">
        <v>7</v>
      </c>
      <c r="S298" s="8">
        <v>6</v>
      </c>
      <c r="T298" s="8">
        <f t="shared" si="25"/>
        <v>13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180</v>
      </c>
      <c r="AB298" s="9">
        <f t="shared" si="26"/>
        <v>0</v>
      </c>
      <c r="AC298" s="10" t="str">
        <f t="shared" si="23"/>
        <v>sin venta</v>
      </c>
      <c r="AD298" s="8" t="s">
        <v>109</v>
      </c>
      <c r="AE298" s="11">
        <v>214990</v>
      </c>
      <c r="AF298" s="11">
        <f t="shared" si="24"/>
        <v>2794870</v>
      </c>
      <c r="AG298" s="12" t="s">
        <v>73</v>
      </c>
      <c r="AH298" s="8" t="s">
        <v>65</v>
      </c>
    </row>
    <row r="299" spans="1:34">
      <c r="A299" s="8" t="s">
        <v>468</v>
      </c>
      <c r="B299" s="16" t="s">
        <v>2860</v>
      </c>
      <c r="C299" s="8" t="s">
        <v>40</v>
      </c>
      <c r="D299" s="8" t="s">
        <v>400</v>
      </c>
      <c r="E299" s="8" t="str">
        <f t="shared" si="22"/>
        <v>TABACO</v>
      </c>
      <c r="G299" s="8" t="s">
        <v>2861</v>
      </c>
      <c r="H299" s="8" t="str">
        <f>VLOOKUP(A299,[1]BBDD!$B$1:$J$3274,9,FALSE)</f>
        <v>H</v>
      </c>
      <c r="I299" s="17" t="s">
        <v>2861</v>
      </c>
      <c r="J299" s="8" t="s">
        <v>465</v>
      </c>
      <c r="L299" s="8" t="s">
        <v>61</v>
      </c>
      <c r="N299" s="8" t="s">
        <v>67</v>
      </c>
      <c r="O299" s="8" t="s">
        <v>67</v>
      </c>
      <c r="Q299" s="8" t="s">
        <v>45</v>
      </c>
      <c r="R299" s="8">
        <v>0</v>
      </c>
      <c r="S299" s="8">
        <v>3</v>
      </c>
      <c r="T299" s="8">
        <f t="shared" si="25"/>
        <v>3</v>
      </c>
      <c r="U299" s="8">
        <v>0</v>
      </c>
      <c r="V299" s="8">
        <v>0</v>
      </c>
      <c r="W299" s="8">
        <v>0</v>
      </c>
      <c r="X299" s="8">
        <v>1</v>
      </c>
      <c r="Y299" s="8">
        <v>1</v>
      </c>
      <c r="Z299" s="8">
        <v>0</v>
      </c>
      <c r="AA299" s="8">
        <v>180</v>
      </c>
      <c r="AB299" s="9">
        <f t="shared" si="26"/>
        <v>0.33333333333333337</v>
      </c>
      <c r="AC299" s="10">
        <f t="shared" si="23"/>
        <v>8.9999999999999982</v>
      </c>
      <c r="AD299" s="8" t="s">
        <v>109</v>
      </c>
      <c r="AE299" s="11">
        <v>214990</v>
      </c>
      <c r="AF299" s="11">
        <f t="shared" si="24"/>
        <v>644970</v>
      </c>
      <c r="AG299" s="12" t="s">
        <v>51</v>
      </c>
      <c r="AH299" s="8" t="s">
        <v>35</v>
      </c>
    </row>
    <row r="300" spans="1:34">
      <c r="A300" s="8" t="s">
        <v>469</v>
      </c>
      <c r="B300" s="16" t="s">
        <v>2860</v>
      </c>
      <c r="C300" s="8" t="s">
        <v>40</v>
      </c>
      <c r="D300" s="8" t="s">
        <v>400</v>
      </c>
      <c r="E300" s="8" t="str">
        <f t="shared" si="22"/>
        <v>NEGRO</v>
      </c>
      <c r="G300" s="8" t="s">
        <v>2861</v>
      </c>
      <c r="H300" s="8" t="str">
        <f>VLOOKUP(A300,[1]BBDD!$B$1:$J$3274,9,FALSE)</f>
        <v>H</v>
      </c>
      <c r="I300" s="17" t="s">
        <v>2861</v>
      </c>
      <c r="J300" s="8" t="s">
        <v>465</v>
      </c>
      <c r="L300" s="8" t="s">
        <v>211</v>
      </c>
      <c r="N300" s="8" t="s">
        <v>44</v>
      </c>
      <c r="O300" s="8" t="s">
        <v>44</v>
      </c>
      <c r="Q300" s="8" t="s">
        <v>45</v>
      </c>
      <c r="R300" s="8">
        <v>1</v>
      </c>
      <c r="S300" s="8">
        <v>4</v>
      </c>
      <c r="T300" s="8">
        <f t="shared" si="25"/>
        <v>5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180</v>
      </c>
      <c r="AB300" s="9">
        <f t="shared" si="26"/>
        <v>0</v>
      </c>
      <c r="AC300" s="10" t="str">
        <f t="shared" si="23"/>
        <v>sin venta</v>
      </c>
      <c r="AD300" s="8" t="s">
        <v>109</v>
      </c>
      <c r="AE300" s="11">
        <v>214990</v>
      </c>
      <c r="AF300" s="11">
        <f t="shared" si="24"/>
        <v>1074950</v>
      </c>
      <c r="AG300" s="12" t="s">
        <v>73</v>
      </c>
      <c r="AH300" s="8" t="s">
        <v>35</v>
      </c>
    </row>
    <row r="301" spans="1:34">
      <c r="A301" s="8" t="s">
        <v>470</v>
      </c>
      <c r="B301" s="16" t="s">
        <v>2860</v>
      </c>
      <c r="C301" s="8" t="s">
        <v>40</v>
      </c>
      <c r="D301" s="8" t="s">
        <v>400</v>
      </c>
      <c r="E301" s="8" t="str">
        <f t="shared" si="22"/>
        <v>NEGRO</v>
      </c>
      <c r="G301" s="8" t="s">
        <v>2861</v>
      </c>
      <c r="H301" s="8" t="str">
        <f>VLOOKUP(A301,[1]BBDD!$B$1:$J$3274,9,FALSE)</f>
        <v>H</v>
      </c>
      <c r="I301" s="17" t="s">
        <v>2861</v>
      </c>
      <c r="J301" s="8" t="s">
        <v>465</v>
      </c>
      <c r="L301" s="8" t="s">
        <v>82</v>
      </c>
      <c r="N301" s="8" t="s">
        <v>44</v>
      </c>
      <c r="O301" s="8" t="s">
        <v>44</v>
      </c>
      <c r="Q301" s="8" t="s">
        <v>45</v>
      </c>
      <c r="R301" s="8">
        <v>0</v>
      </c>
      <c r="S301" s="8">
        <v>6</v>
      </c>
      <c r="T301" s="8">
        <f t="shared" si="25"/>
        <v>6</v>
      </c>
      <c r="U301" s="8">
        <v>1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180</v>
      </c>
      <c r="AB301" s="9">
        <f t="shared" si="26"/>
        <v>0.16666666666666669</v>
      </c>
      <c r="AC301" s="10">
        <f t="shared" si="23"/>
        <v>35.999999999999993</v>
      </c>
      <c r="AD301" s="8" t="s">
        <v>109</v>
      </c>
      <c r="AE301" s="11">
        <v>214990</v>
      </c>
      <c r="AF301" s="11">
        <f t="shared" si="24"/>
        <v>1289940</v>
      </c>
      <c r="AG301" s="12" t="s">
        <v>73</v>
      </c>
      <c r="AH301" s="8" t="s">
        <v>35</v>
      </c>
    </row>
    <row r="302" spans="1:34">
      <c r="A302" s="8" t="s">
        <v>471</v>
      </c>
      <c r="B302" s="16" t="s">
        <v>2860</v>
      </c>
      <c r="C302" s="8" t="s">
        <v>40</v>
      </c>
      <c r="D302" s="8" t="s">
        <v>400</v>
      </c>
      <c r="E302" s="8" t="str">
        <f t="shared" si="22"/>
        <v>SUELA</v>
      </c>
      <c r="G302" s="8" t="s">
        <v>2861</v>
      </c>
      <c r="H302" s="8" t="str">
        <f>VLOOKUP(A302,[1]BBDD!$B$1:$J$3274,9,FALSE)</f>
        <v>H</v>
      </c>
      <c r="I302" s="17" t="s">
        <v>2861</v>
      </c>
      <c r="J302" s="8" t="s">
        <v>465</v>
      </c>
      <c r="L302" s="8" t="s">
        <v>82</v>
      </c>
      <c r="N302" s="8" t="s">
        <v>90</v>
      </c>
      <c r="O302" s="8" t="s">
        <v>90</v>
      </c>
      <c r="Q302" s="8" t="s">
        <v>45</v>
      </c>
      <c r="R302" s="8">
        <v>3</v>
      </c>
      <c r="S302" s="8">
        <v>6</v>
      </c>
      <c r="T302" s="8">
        <f t="shared" si="25"/>
        <v>9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180</v>
      </c>
      <c r="AB302" s="9">
        <f t="shared" si="26"/>
        <v>0</v>
      </c>
      <c r="AC302" s="10" t="str">
        <f t="shared" si="23"/>
        <v>sin venta</v>
      </c>
      <c r="AD302" s="8" t="s">
        <v>109</v>
      </c>
      <c r="AE302" s="11">
        <v>214990</v>
      </c>
      <c r="AF302" s="11">
        <f t="shared" si="24"/>
        <v>1934910</v>
      </c>
      <c r="AG302" s="12" t="s">
        <v>73</v>
      </c>
      <c r="AH302" s="8" t="s">
        <v>35</v>
      </c>
    </row>
    <row r="303" spans="1:34">
      <c r="A303" s="8" t="s">
        <v>472</v>
      </c>
      <c r="B303" s="16" t="s">
        <v>2860</v>
      </c>
      <c r="C303" s="8" t="s">
        <v>40</v>
      </c>
      <c r="D303" s="8" t="s">
        <v>400</v>
      </c>
      <c r="E303" s="8" t="str">
        <f t="shared" si="22"/>
        <v>NEGRO</v>
      </c>
      <c r="G303" s="8" t="s">
        <v>2861</v>
      </c>
      <c r="H303" s="8" t="str">
        <f>VLOOKUP(A303,[1]BBDD!$B$1:$J$3274,9,FALSE)</f>
        <v>H</v>
      </c>
      <c r="I303" s="17" t="s">
        <v>2861</v>
      </c>
      <c r="J303" s="8" t="s">
        <v>473</v>
      </c>
      <c r="L303" s="8" t="s">
        <v>61</v>
      </c>
      <c r="N303" s="8" t="s">
        <v>44</v>
      </c>
      <c r="O303" s="8" t="s">
        <v>44</v>
      </c>
      <c r="Q303" s="8" t="s">
        <v>45</v>
      </c>
      <c r="R303" s="8">
        <v>5</v>
      </c>
      <c r="S303" s="8">
        <v>5</v>
      </c>
      <c r="T303" s="8">
        <f t="shared" si="25"/>
        <v>10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180</v>
      </c>
      <c r="AB303" s="9">
        <f t="shared" si="26"/>
        <v>0</v>
      </c>
      <c r="AC303" s="10" t="str">
        <f t="shared" si="23"/>
        <v>sin venta</v>
      </c>
      <c r="AD303" s="8" t="s">
        <v>109</v>
      </c>
      <c r="AE303" s="11">
        <v>214990</v>
      </c>
      <c r="AF303" s="11">
        <f t="shared" si="24"/>
        <v>2149900</v>
      </c>
      <c r="AG303" s="12" t="s">
        <v>73</v>
      </c>
      <c r="AH303" s="8" t="s">
        <v>35</v>
      </c>
    </row>
    <row r="304" spans="1:34">
      <c r="A304" s="8" t="s">
        <v>474</v>
      </c>
      <c r="B304" s="16" t="s">
        <v>475</v>
      </c>
      <c r="C304" s="8" t="s">
        <v>476</v>
      </c>
      <c r="D304" s="8" t="s">
        <v>477</v>
      </c>
      <c r="E304" s="8" t="str">
        <f t="shared" si="22"/>
        <v>SUELA</v>
      </c>
      <c r="G304" s="8" t="s">
        <v>2863</v>
      </c>
      <c r="H304" s="8" t="str">
        <f>VLOOKUP(A304,[1]BBDD!$B$1:$J$3274,9,FALSE)</f>
        <v>M</v>
      </c>
      <c r="I304" s="8" t="s">
        <v>2862</v>
      </c>
      <c r="J304" s="8" t="s">
        <v>478</v>
      </c>
      <c r="L304" s="8" t="s">
        <v>479</v>
      </c>
      <c r="N304" s="8" t="s">
        <v>90</v>
      </c>
      <c r="O304" s="8" t="s">
        <v>90</v>
      </c>
      <c r="P304" s="18" t="str">
        <f>RIGHT(A304,2)</f>
        <v>40</v>
      </c>
      <c r="Q304" s="8" t="s">
        <v>45</v>
      </c>
      <c r="R304" s="8">
        <v>0</v>
      </c>
      <c r="S304" s="8">
        <v>1</v>
      </c>
      <c r="T304" s="8">
        <f t="shared" si="25"/>
        <v>1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180</v>
      </c>
      <c r="AB304" s="9">
        <f t="shared" si="26"/>
        <v>0</v>
      </c>
      <c r="AC304" s="10" t="str">
        <f t="shared" si="23"/>
        <v>sin venta</v>
      </c>
      <c r="AD304" s="8" t="s">
        <v>46</v>
      </c>
      <c r="AE304" s="11">
        <v>79990</v>
      </c>
      <c r="AF304" s="11">
        <f t="shared" si="24"/>
        <v>79990</v>
      </c>
      <c r="AG304" s="12" t="s">
        <v>73</v>
      </c>
      <c r="AH304" s="8" t="s">
        <v>35</v>
      </c>
    </row>
    <row r="305" spans="1:34">
      <c r="A305" s="8" t="s">
        <v>480</v>
      </c>
      <c r="B305" s="16" t="s">
        <v>481</v>
      </c>
      <c r="C305" s="8" t="s">
        <v>476</v>
      </c>
      <c r="D305" s="8" t="s">
        <v>477</v>
      </c>
      <c r="E305" s="8" t="str">
        <f t="shared" si="22"/>
        <v>SUELA</v>
      </c>
      <c r="G305" s="8" t="s">
        <v>2863</v>
      </c>
      <c r="H305" s="8" t="str">
        <f>VLOOKUP(A305,[1]BBDD!$B$1:$J$3274,9,FALSE)</f>
        <v>H</v>
      </c>
      <c r="I305" s="8" t="s">
        <v>2863</v>
      </c>
      <c r="J305" s="8" t="s">
        <v>482</v>
      </c>
      <c r="L305" s="8" t="s">
        <v>479</v>
      </c>
      <c r="N305" s="8" t="s">
        <v>90</v>
      </c>
      <c r="O305" s="8" t="s">
        <v>90</v>
      </c>
      <c r="P305" s="18" t="str">
        <f t="shared" ref="P305:P308" si="27">RIGHT(A305,2)</f>
        <v>39</v>
      </c>
      <c r="Q305" s="8" t="s">
        <v>45</v>
      </c>
      <c r="R305" s="8">
        <v>2</v>
      </c>
      <c r="S305" s="8">
        <v>1</v>
      </c>
      <c r="T305" s="8">
        <f t="shared" si="25"/>
        <v>3</v>
      </c>
      <c r="U305" s="8">
        <v>0</v>
      </c>
      <c r="V305" s="8">
        <v>0</v>
      </c>
      <c r="W305" s="8">
        <v>0</v>
      </c>
      <c r="X305" s="8">
        <v>0</v>
      </c>
      <c r="Y305" s="8">
        <v>1</v>
      </c>
      <c r="Z305" s="8">
        <v>1</v>
      </c>
      <c r="AA305" s="8">
        <v>180</v>
      </c>
      <c r="AB305" s="9">
        <f t="shared" si="26"/>
        <v>0.33333333333333337</v>
      </c>
      <c r="AC305" s="10">
        <f t="shared" si="23"/>
        <v>8.9999999999999982</v>
      </c>
      <c r="AD305" s="8" t="s">
        <v>46</v>
      </c>
      <c r="AE305" s="11">
        <v>79990</v>
      </c>
      <c r="AF305" s="11">
        <f t="shared" si="24"/>
        <v>239970</v>
      </c>
      <c r="AG305" s="12" t="s">
        <v>51</v>
      </c>
      <c r="AH305" s="8" t="s">
        <v>35</v>
      </c>
    </row>
    <row r="306" spans="1:34">
      <c r="A306" s="8" t="s">
        <v>483</v>
      </c>
      <c r="B306" s="16" t="s">
        <v>475</v>
      </c>
      <c r="C306" s="8" t="s">
        <v>476</v>
      </c>
      <c r="D306" s="8" t="s">
        <v>484</v>
      </c>
      <c r="E306" s="8" t="str">
        <f t="shared" si="22"/>
        <v>NEGRO</v>
      </c>
      <c r="G306" s="8" t="s">
        <v>2863</v>
      </c>
      <c r="H306" s="8" t="str">
        <f>VLOOKUP(A306,[1]BBDD!$B$1:$J$3274,9,FALSE)</f>
        <v>M</v>
      </c>
      <c r="I306" s="8" t="s">
        <v>2862</v>
      </c>
      <c r="J306" s="8" t="s">
        <v>485</v>
      </c>
      <c r="L306" s="8" t="s">
        <v>479</v>
      </c>
      <c r="N306" s="8" t="s">
        <v>44</v>
      </c>
      <c r="O306" s="8" t="s">
        <v>44</v>
      </c>
      <c r="P306" s="18" t="str">
        <f t="shared" si="27"/>
        <v>36</v>
      </c>
      <c r="Q306" s="8" t="s">
        <v>45</v>
      </c>
      <c r="R306" s="8">
        <v>0</v>
      </c>
      <c r="S306" s="8">
        <v>1</v>
      </c>
      <c r="T306" s="8">
        <f t="shared" ref="T306:T344" si="28">SUM(R306:S306)</f>
        <v>1</v>
      </c>
      <c r="U306" s="8">
        <v>0</v>
      </c>
      <c r="V306" s="8">
        <v>0</v>
      </c>
      <c r="W306" s="8">
        <v>0</v>
      </c>
      <c r="X306" s="8">
        <v>0</v>
      </c>
      <c r="Y306" s="8">
        <v>1</v>
      </c>
      <c r="Z306" s="8">
        <v>0</v>
      </c>
      <c r="AA306" s="8">
        <v>180</v>
      </c>
      <c r="AB306" s="9">
        <f t="shared" ref="AB306:AB344" si="29">SUM(U306:Z306)/AA306*30</f>
        <v>0.16666666666666669</v>
      </c>
      <c r="AC306" s="10">
        <f t="shared" si="23"/>
        <v>5.9999999999999991</v>
      </c>
      <c r="AD306" s="8" t="s">
        <v>46</v>
      </c>
      <c r="AE306" s="11">
        <v>79990</v>
      </c>
      <c r="AF306" s="11">
        <f t="shared" si="24"/>
        <v>79990</v>
      </c>
      <c r="AG306" s="12" t="s">
        <v>34</v>
      </c>
      <c r="AH306" s="8" t="s">
        <v>35</v>
      </c>
    </row>
    <row r="307" spans="1:34">
      <c r="A307" s="8" t="s">
        <v>486</v>
      </c>
      <c r="B307" s="16" t="s">
        <v>481</v>
      </c>
      <c r="C307" s="8" t="s">
        <v>476</v>
      </c>
      <c r="D307" s="8" t="s">
        <v>484</v>
      </c>
      <c r="E307" s="8" t="str">
        <f t="shared" si="22"/>
        <v>SUELA</v>
      </c>
      <c r="G307" s="8" t="s">
        <v>2863</v>
      </c>
      <c r="H307" s="8" t="str">
        <f>VLOOKUP(A307,[1]BBDD!$B$1:$J$3274,9,FALSE)</f>
        <v>H</v>
      </c>
      <c r="I307" s="8" t="s">
        <v>2863</v>
      </c>
      <c r="J307" s="8" t="s">
        <v>487</v>
      </c>
      <c r="L307" s="8" t="s">
        <v>479</v>
      </c>
      <c r="N307" s="8" t="s">
        <v>90</v>
      </c>
      <c r="O307" s="8" t="s">
        <v>90</v>
      </c>
      <c r="P307" s="18" t="str">
        <f t="shared" si="27"/>
        <v>39</v>
      </c>
      <c r="Q307" s="8" t="s">
        <v>45</v>
      </c>
      <c r="R307" s="8">
        <v>0</v>
      </c>
      <c r="S307" s="8">
        <v>3</v>
      </c>
      <c r="T307" s="8">
        <f t="shared" si="28"/>
        <v>3</v>
      </c>
      <c r="U307" s="8">
        <v>0</v>
      </c>
      <c r="V307" s="8">
        <v>1</v>
      </c>
      <c r="W307" s="8">
        <v>0</v>
      </c>
      <c r="X307" s="8">
        <v>0</v>
      </c>
      <c r="Y307" s="8">
        <v>0</v>
      </c>
      <c r="Z307" s="8">
        <v>1</v>
      </c>
      <c r="AA307" s="8">
        <v>180</v>
      </c>
      <c r="AB307" s="9">
        <f t="shared" si="29"/>
        <v>0.33333333333333337</v>
      </c>
      <c r="AC307" s="10">
        <f t="shared" si="23"/>
        <v>8.9999999999999982</v>
      </c>
      <c r="AD307" s="8" t="s">
        <v>46</v>
      </c>
      <c r="AE307" s="11">
        <v>79990</v>
      </c>
      <c r="AF307" s="11">
        <f t="shared" si="24"/>
        <v>239970</v>
      </c>
      <c r="AG307" s="12" t="s">
        <v>51</v>
      </c>
      <c r="AH307" s="8" t="s">
        <v>35</v>
      </c>
    </row>
    <row r="308" spans="1:34">
      <c r="A308" s="8" t="s">
        <v>488</v>
      </c>
      <c r="B308" s="16" t="s">
        <v>481</v>
      </c>
      <c r="C308" s="8" t="s">
        <v>476</v>
      </c>
      <c r="D308" s="8" t="s">
        <v>484</v>
      </c>
      <c r="E308" s="8" t="str">
        <f t="shared" si="22"/>
        <v>SUELA</v>
      </c>
      <c r="G308" s="8" t="s">
        <v>2863</v>
      </c>
      <c r="H308" s="8" t="str">
        <f>VLOOKUP(A308,[1]BBDD!$B$1:$J$3274,9,FALSE)</f>
        <v>H</v>
      </c>
      <c r="I308" s="8" t="s">
        <v>2863</v>
      </c>
      <c r="J308" s="8" t="s">
        <v>487</v>
      </c>
      <c r="L308" s="8" t="s">
        <v>479</v>
      </c>
      <c r="N308" s="8" t="s">
        <v>90</v>
      </c>
      <c r="O308" s="8" t="s">
        <v>90</v>
      </c>
      <c r="P308" s="18" t="str">
        <f t="shared" si="27"/>
        <v>40</v>
      </c>
      <c r="Q308" s="8" t="s">
        <v>45</v>
      </c>
      <c r="R308" s="8">
        <v>2</v>
      </c>
      <c r="S308" s="8">
        <v>3</v>
      </c>
      <c r="T308" s="8">
        <f t="shared" si="28"/>
        <v>5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180</v>
      </c>
      <c r="AB308" s="9">
        <f t="shared" si="29"/>
        <v>0</v>
      </c>
      <c r="AC308" s="10" t="str">
        <f t="shared" si="23"/>
        <v>sin venta</v>
      </c>
      <c r="AD308" s="8" t="s">
        <v>46</v>
      </c>
      <c r="AE308" s="11">
        <v>79990</v>
      </c>
      <c r="AF308" s="11">
        <f t="shared" si="24"/>
        <v>399950</v>
      </c>
      <c r="AG308" s="12" t="s">
        <v>73</v>
      </c>
      <c r="AH308" s="8" t="s">
        <v>35</v>
      </c>
    </row>
    <row r="309" spans="1:34">
      <c r="A309" s="8" t="s">
        <v>489</v>
      </c>
      <c r="B309" s="16" t="s">
        <v>2860</v>
      </c>
      <c r="C309" s="8" t="s">
        <v>248</v>
      </c>
      <c r="D309" s="8" t="s">
        <v>490</v>
      </c>
      <c r="E309" s="8" t="str">
        <f t="shared" si="22"/>
        <v>CARAMELO</v>
      </c>
      <c r="G309" s="8" t="s">
        <v>2861</v>
      </c>
      <c r="H309" s="8" t="str">
        <f>VLOOKUP(A309,[1]BBDD!$B$1:$J$3274,9,FALSE)</f>
        <v>H</v>
      </c>
      <c r="I309" s="8" t="s">
        <v>2863</v>
      </c>
      <c r="J309" s="8" t="s">
        <v>491</v>
      </c>
      <c r="L309" s="8" t="s">
        <v>61</v>
      </c>
      <c r="N309" s="8" t="s">
        <v>62</v>
      </c>
      <c r="O309" s="8" t="s">
        <v>62</v>
      </c>
      <c r="Q309" s="8" t="s">
        <v>45</v>
      </c>
      <c r="R309" s="8">
        <v>0</v>
      </c>
      <c r="S309" s="8">
        <v>5</v>
      </c>
      <c r="T309" s="8">
        <f t="shared" si="28"/>
        <v>5</v>
      </c>
      <c r="U309" s="8">
        <v>0</v>
      </c>
      <c r="V309" s="8">
        <v>0</v>
      </c>
      <c r="W309" s="8">
        <v>1</v>
      </c>
      <c r="X309" s="8">
        <v>1</v>
      </c>
      <c r="Y309" s="8">
        <v>0</v>
      </c>
      <c r="Z309" s="8">
        <v>0</v>
      </c>
      <c r="AA309" s="8">
        <v>180</v>
      </c>
      <c r="AB309" s="9">
        <f t="shared" si="29"/>
        <v>0.33333333333333337</v>
      </c>
      <c r="AC309" s="10">
        <f t="shared" si="23"/>
        <v>14.999999999999998</v>
      </c>
      <c r="AD309" s="8" t="s">
        <v>109</v>
      </c>
      <c r="AE309" s="11">
        <v>125990</v>
      </c>
      <c r="AF309" s="11">
        <f t="shared" si="24"/>
        <v>629950</v>
      </c>
      <c r="AG309" s="12" t="s">
        <v>64</v>
      </c>
      <c r="AH309" s="8" t="s">
        <v>35</v>
      </c>
    </row>
    <row r="310" spans="1:34">
      <c r="A310" s="8" t="s">
        <v>492</v>
      </c>
      <c r="B310" s="16" t="s">
        <v>2860</v>
      </c>
      <c r="C310" s="8" t="s">
        <v>248</v>
      </c>
      <c r="D310" s="8" t="s">
        <v>490</v>
      </c>
      <c r="E310" s="8" t="str">
        <f t="shared" si="22"/>
        <v>CHOCOLATE</v>
      </c>
      <c r="G310" s="8" t="s">
        <v>2861</v>
      </c>
      <c r="H310" s="8" t="str">
        <f>VLOOKUP(A310,[1]BBDD!$B$1:$J$3274,9,FALSE)</f>
        <v>H</v>
      </c>
      <c r="I310" s="8" t="s">
        <v>2863</v>
      </c>
      <c r="J310" s="8" t="s">
        <v>491</v>
      </c>
      <c r="L310" s="8" t="s">
        <v>61</v>
      </c>
      <c r="N310" s="8" t="s">
        <v>252</v>
      </c>
      <c r="O310" s="8" t="s">
        <v>252</v>
      </c>
      <c r="Q310" s="8" t="s">
        <v>45</v>
      </c>
      <c r="R310" s="8">
        <v>0</v>
      </c>
      <c r="S310" s="8">
        <v>3</v>
      </c>
      <c r="T310" s="8">
        <f t="shared" si="28"/>
        <v>3</v>
      </c>
      <c r="U310" s="8">
        <v>0</v>
      </c>
      <c r="V310" s="8">
        <v>0</v>
      </c>
      <c r="W310" s="8">
        <v>2</v>
      </c>
      <c r="X310" s="8">
        <v>0</v>
      </c>
      <c r="Y310" s="8">
        <v>0</v>
      </c>
      <c r="Z310" s="8">
        <v>1</v>
      </c>
      <c r="AA310" s="8">
        <v>180</v>
      </c>
      <c r="AB310" s="9">
        <f t="shared" si="29"/>
        <v>0.5</v>
      </c>
      <c r="AC310" s="10">
        <f t="shared" si="23"/>
        <v>6</v>
      </c>
      <c r="AD310" s="8" t="s">
        <v>109</v>
      </c>
      <c r="AE310" s="11">
        <v>125990</v>
      </c>
      <c r="AF310" s="11">
        <f t="shared" si="24"/>
        <v>377970</v>
      </c>
      <c r="AG310" s="12" t="s">
        <v>34</v>
      </c>
      <c r="AH310" s="8" t="s">
        <v>35</v>
      </c>
    </row>
    <row r="311" spans="1:34">
      <c r="A311" s="8" t="s">
        <v>493</v>
      </c>
      <c r="B311" s="16" t="s">
        <v>2860</v>
      </c>
      <c r="C311" s="8" t="s">
        <v>248</v>
      </c>
      <c r="D311" s="8" t="s">
        <v>490</v>
      </c>
      <c r="E311" s="8" t="str">
        <f t="shared" si="22"/>
        <v>MALBEC</v>
      </c>
      <c r="G311" s="8" t="s">
        <v>2861</v>
      </c>
      <c r="H311" s="8" t="str">
        <f>VLOOKUP(A311,[1]BBDD!$B$1:$J$3274,9,FALSE)</f>
        <v>H</v>
      </c>
      <c r="I311" s="8" t="s">
        <v>2863</v>
      </c>
      <c r="J311" s="8" t="s">
        <v>491</v>
      </c>
      <c r="L311" s="8" t="s">
        <v>61</v>
      </c>
      <c r="N311" s="8" t="s">
        <v>69</v>
      </c>
      <c r="O311" s="8" t="s">
        <v>69</v>
      </c>
      <c r="Q311" s="8" t="s">
        <v>45</v>
      </c>
      <c r="R311" s="8">
        <v>1</v>
      </c>
      <c r="S311" s="8">
        <v>5</v>
      </c>
      <c r="T311" s="8">
        <f t="shared" si="28"/>
        <v>6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180</v>
      </c>
      <c r="AB311" s="9">
        <f t="shared" si="29"/>
        <v>0</v>
      </c>
      <c r="AC311" s="10" t="str">
        <f t="shared" si="23"/>
        <v>sin venta</v>
      </c>
      <c r="AD311" s="8" t="s">
        <v>109</v>
      </c>
      <c r="AE311" s="11">
        <v>125990</v>
      </c>
      <c r="AF311" s="11">
        <f t="shared" si="24"/>
        <v>755940</v>
      </c>
      <c r="AG311" s="12" t="s">
        <v>73</v>
      </c>
      <c r="AH311" s="8" t="s">
        <v>35</v>
      </c>
    </row>
    <row r="312" spans="1:34">
      <c r="A312" s="8" t="s">
        <v>494</v>
      </c>
      <c r="B312" s="16" t="s">
        <v>2860</v>
      </c>
      <c r="C312" s="8" t="s">
        <v>248</v>
      </c>
      <c r="D312" s="8" t="s">
        <v>490</v>
      </c>
      <c r="E312" s="8" t="str">
        <f t="shared" si="22"/>
        <v>NEGRO</v>
      </c>
      <c r="G312" s="8" t="s">
        <v>2861</v>
      </c>
      <c r="H312" s="8" t="str">
        <f>VLOOKUP(A312,[1]BBDD!$B$1:$J$3274,9,FALSE)</f>
        <v>H</v>
      </c>
      <c r="I312" s="8" t="s">
        <v>2863</v>
      </c>
      <c r="J312" s="8" t="s">
        <v>491</v>
      </c>
      <c r="L312" s="8" t="s">
        <v>61</v>
      </c>
      <c r="N312" s="8" t="s">
        <v>44</v>
      </c>
      <c r="O312" s="8" t="s">
        <v>44</v>
      </c>
      <c r="Q312" s="8" t="s">
        <v>45</v>
      </c>
      <c r="R312" s="8">
        <v>1</v>
      </c>
      <c r="S312" s="8">
        <v>4</v>
      </c>
      <c r="T312" s="8">
        <f t="shared" si="28"/>
        <v>5</v>
      </c>
      <c r="U312" s="8">
        <v>0</v>
      </c>
      <c r="V312" s="8">
        <v>0</v>
      </c>
      <c r="W312" s="8">
        <v>1</v>
      </c>
      <c r="X312" s="8">
        <v>0</v>
      </c>
      <c r="Y312" s="8">
        <v>0</v>
      </c>
      <c r="Z312" s="8">
        <v>0</v>
      </c>
      <c r="AA312" s="8">
        <v>180</v>
      </c>
      <c r="AB312" s="9">
        <f t="shared" si="29"/>
        <v>0.16666666666666669</v>
      </c>
      <c r="AC312" s="10">
        <f t="shared" si="23"/>
        <v>29.999999999999996</v>
      </c>
      <c r="AD312" s="8" t="s">
        <v>109</v>
      </c>
      <c r="AE312" s="11">
        <v>125990</v>
      </c>
      <c r="AF312" s="11">
        <f t="shared" si="24"/>
        <v>629950</v>
      </c>
      <c r="AG312" s="12" t="s">
        <v>73</v>
      </c>
      <c r="AH312" s="8" t="s">
        <v>35</v>
      </c>
    </row>
    <row r="313" spans="1:34">
      <c r="A313" s="8" t="s">
        <v>495</v>
      </c>
      <c r="B313" s="16" t="s">
        <v>2860</v>
      </c>
      <c r="C313" s="8" t="s">
        <v>248</v>
      </c>
      <c r="D313" s="8" t="s">
        <v>490</v>
      </c>
      <c r="E313" s="8" t="str">
        <f t="shared" si="22"/>
        <v>TABACO</v>
      </c>
      <c r="G313" s="8" t="s">
        <v>2861</v>
      </c>
      <c r="H313" s="8" t="str">
        <f>VLOOKUP(A313,[1]BBDD!$B$1:$J$3274,9,FALSE)</f>
        <v>H</v>
      </c>
      <c r="I313" s="8" t="s">
        <v>2863</v>
      </c>
      <c r="J313" s="8" t="s">
        <v>491</v>
      </c>
      <c r="L313" s="8" t="s">
        <v>61</v>
      </c>
      <c r="N313" s="8" t="s">
        <v>67</v>
      </c>
      <c r="O313" s="8" t="s">
        <v>67</v>
      </c>
      <c r="Q313" s="8" t="s">
        <v>45</v>
      </c>
      <c r="R313" s="8">
        <v>0</v>
      </c>
      <c r="S313" s="8">
        <v>6</v>
      </c>
      <c r="T313" s="8">
        <f t="shared" si="28"/>
        <v>6</v>
      </c>
      <c r="U313" s="8">
        <v>0</v>
      </c>
      <c r="V313" s="8">
        <v>0</v>
      </c>
      <c r="W313" s="8">
        <v>1</v>
      </c>
      <c r="X313" s="8">
        <v>0</v>
      </c>
      <c r="Y313" s="8">
        <v>0</v>
      </c>
      <c r="Z313" s="8">
        <v>0</v>
      </c>
      <c r="AA313" s="8">
        <v>180</v>
      </c>
      <c r="AB313" s="9">
        <f t="shared" si="29"/>
        <v>0.16666666666666669</v>
      </c>
      <c r="AC313" s="10">
        <f t="shared" si="23"/>
        <v>35.999999999999993</v>
      </c>
      <c r="AD313" s="8" t="s">
        <v>109</v>
      </c>
      <c r="AE313" s="11">
        <v>125990</v>
      </c>
      <c r="AF313" s="11">
        <f t="shared" si="24"/>
        <v>755940</v>
      </c>
      <c r="AG313" s="12" t="s">
        <v>73</v>
      </c>
      <c r="AH313" s="8" t="s">
        <v>35</v>
      </c>
    </row>
    <row r="314" spans="1:34">
      <c r="A314" s="8" t="s">
        <v>496</v>
      </c>
      <c r="B314" s="16" t="s">
        <v>2860</v>
      </c>
      <c r="C314" s="8" t="s">
        <v>248</v>
      </c>
      <c r="D314" s="8" t="s">
        <v>490</v>
      </c>
      <c r="E314" s="8" t="str">
        <f t="shared" si="22"/>
        <v>AZUL-CARAMELO</v>
      </c>
      <c r="G314" s="8" t="s">
        <v>2861</v>
      </c>
      <c r="H314" s="8" t="str">
        <f>VLOOKUP(A314,[1]BBDD!$B$1:$J$3274,9,FALSE)</f>
        <v>H</v>
      </c>
      <c r="I314" s="8" t="s">
        <v>2863</v>
      </c>
      <c r="J314" s="8" t="s">
        <v>491</v>
      </c>
      <c r="L314" s="8" t="s">
        <v>71</v>
      </c>
      <c r="N314" s="8" t="s">
        <v>497</v>
      </c>
      <c r="O314" s="20" t="s">
        <v>436</v>
      </c>
      <c r="Q314" s="8" t="s">
        <v>45</v>
      </c>
      <c r="R314" s="8">
        <v>3</v>
      </c>
      <c r="S314" s="8">
        <v>4</v>
      </c>
      <c r="T314" s="8">
        <f t="shared" si="28"/>
        <v>7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180</v>
      </c>
      <c r="AB314" s="9">
        <f t="shared" si="29"/>
        <v>0</v>
      </c>
      <c r="AC314" s="10" t="str">
        <f t="shared" si="23"/>
        <v>sin venta</v>
      </c>
      <c r="AD314" s="8" t="s">
        <v>109</v>
      </c>
      <c r="AE314" s="11">
        <v>125990</v>
      </c>
      <c r="AF314" s="11">
        <f t="shared" si="24"/>
        <v>881930</v>
      </c>
      <c r="AG314" s="12" t="s">
        <v>73</v>
      </c>
      <c r="AH314" s="8" t="s">
        <v>35</v>
      </c>
    </row>
    <row r="315" spans="1:34">
      <c r="A315" s="8" t="s">
        <v>498</v>
      </c>
      <c r="B315" s="16" t="s">
        <v>2860</v>
      </c>
      <c r="C315" s="8" t="s">
        <v>248</v>
      </c>
      <c r="D315" s="8" t="s">
        <v>490</v>
      </c>
      <c r="E315" s="8" t="str">
        <f t="shared" si="22"/>
        <v>CAFE-NEGRO</v>
      </c>
      <c r="G315" s="8" t="s">
        <v>2861</v>
      </c>
      <c r="H315" s="8" t="str">
        <f>VLOOKUP(A315,[1]BBDD!$B$1:$J$3274,9,FALSE)</f>
        <v>H</v>
      </c>
      <c r="I315" s="8" t="s">
        <v>2863</v>
      </c>
      <c r="J315" s="8" t="s">
        <v>491</v>
      </c>
      <c r="L315" s="8" t="s">
        <v>71</v>
      </c>
      <c r="N315" s="8" t="s">
        <v>499</v>
      </c>
      <c r="O315" s="20" t="s">
        <v>444</v>
      </c>
      <c r="Q315" s="8" t="s">
        <v>45</v>
      </c>
      <c r="R315" s="8">
        <v>0</v>
      </c>
      <c r="S315" s="8">
        <v>3</v>
      </c>
      <c r="T315" s="8">
        <f t="shared" si="28"/>
        <v>3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180</v>
      </c>
      <c r="AB315" s="9">
        <f t="shared" si="29"/>
        <v>0</v>
      </c>
      <c r="AC315" s="10" t="str">
        <f t="shared" si="23"/>
        <v>sin venta</v>
      </c>
      <c r="AD315" s="8" t="s">
        <v>109</v>
      </c>
      <c r="AE315" s="11">
        <v>125990</v>
      </c>
      <c r="AF315" s="11">
        <f t="shared" si="24"/>
        <v>377970</v>
      </c>
      <c r="AG315" s="12" t="s">
        <v>73</v>
      </c>
      <c r="AH315" s="8" t="s">
        <v>35</v>
      </c>
    </row>
    <row r="316" spans="1:34">
      <c r="A316" s="8" t="s">
        <v>500</v>
      </c>
      <c r="B316" s="16" t="s">
        <v>2860</v>
      </c>
      <c r="C316" s="8" t="s">
        <v>248</v>
      </c>
      <c r="D316" s="8" t="s">
        <v>490</v>
      </c>
      <c r="E316" s="8" t="str">
        <f t="shared" si="22"/>
        <v>CAFE-TABACO</v>
      </c>
      <c r="G316" s="8" t="s">
        <v>2861</v>
      </c>
      <c r="H316" s="8" t="str">
        <f>VLOOKUP(A316,[1]BBDD!$B$1:$J$3274,9,FALSE)</f>
        <v>H</v>
      </c>
      <c r="I316" s="8" t="s">
        <v>2863</v>
      </c>
      <c r="J316" s="8" t="s">
        <v>491</v>
      </c>
      <c r="L316" s="8" t="s">
        <v>71</v>
      </c>
      <c r="N316" s="8" t="s">
        <v>501</v>
      </c>
      <c r="O316" s="20" t="s">
        <v>423</v>
      </c>
      <c r="Q316" s="8" t="s">
        <v>45</v>
      </c>
      <c r="R316" s="8">
        <v>0</v>
      </c>
      <c r="S316" s="8">
        <v>5</v>
      </c>
      <c r="T316" s="8">
        <f t="shared" si="28"/>
        <v>5</v>
      </c>
      <c r="U316" s="8">
        <v>0</v>
      </c>
      <c r="V316" s="8">
        <v>0</v>
      </c>
      <c r="W316" s="8">
        <v>0</v>
      </c>
      <c r="X316" s="8">
        <v>0</v>
      </c>
      <c r="Y316" s="8">
        <v>1</v>
      </c>
      <c r="Z316" s="8">
        <v>0</v>
      </c>
      <c r="AA316" s="8">
        <v>180</v>
      </c>
      <c r="AB316" s="9">
        <f t="shared" si="29"/>
        <v>0.16666666666666669</v>
      </c>
      <c r="AC316" s="10">
        <f t="shared" si="23"/>
        <v>29.999999999999996</v>
      </c>
      <c r="AD316" s="8" t="s">
        <v>109</v>
      </c>
      <c r="AE316" s="11">
        <v>125990</v>
      </c>
      <c r="AF316" s="11">
        <f t="shared" si="24"/>
        <v>629950</v>
      </c>
      <c r="AG316" s="12" t="s">
        <v>73</v>
      </c>
      <c r="AH316" s="8" t="s">
        <v>35</v>
      </c>
    </row>
    <row r="317" spans="1:34">
      <c r="A317" s="8" t="s">
        <v>502</v>
      </c>
      <c r="B317" s="16" t="s">
        <v>2860</v>
      </c>
      <c r="C317" s="8" t="s">
        <v>248</v>
      </c>
      <c r="D317" s="8" t="s">
        <v>490</v>
      </c>
      <c r="E317" s="8" t="str">
        <f t="shared" si="22"/>
        <v>VESUBIO-TABACO</v>
      </c>
      <c r="G317" s="8" t="s">
        <v>2861</v>
      </c>
      <c r="H317" s="8" t="str">
        <f>VLOOKUP(A317,[1]BBDD!$B$1:$J$3274,9,FALSE)</f>
        <v>H</v>
      </c>
      <c r="I317" s="8" t="s">
        <v>2863</v>
      </c>
      <c r="J317" s="8" t="s">
        <v>491</v>
      </c>
      <c r="L317" s="8" t="s">
        <v>71</v>
      </c>
      <c r="N317" s="8" t="s">
        <v>503</v>
      </c>
      <c r="O317" s="20" t="s">
        <v>161</v>
      </c>
      <c r="Q317" s="8" t="s">
        <v>45</v>
      </c>
      <c r="R317" s="8">
        <v>0</v>
      </c>
      <c r="S317" s="8">
        <v>5</v>
      </c>
      <c r="T317" s="8">
        <f t="shared" si="28"/>
        <v>5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180</v>
      </c>
      <c r="AB317" s="9">
        <f t="shared" si="29"/>
        <v>0</v>
      </c>
      <c r="AC317" s="10" t="str">
        <f t="shared" si="23"/>
        <v>sin venta</v>
      </c>
      <c r="AD317" s="8" t="s">
        <v>109</v>
      </c>
      <c r="AE317" s="11">
        <v>125990</v>
      </c>
      <c r="AF317" s="11">
        <f t="shared" si="24"/>
        <v>629950</v>
      </c>
      <c r="AG317" s="12" t="s">
        <v>73</v>
      </c>
      <c r="AH317" s="8" t="s">
        <v>35</v>
      </c>
    </row>
    <row r="318" spans="1:34">
      <c r="A318" s="8" t="s">
        <v>504</v>
      </c>
      <c r="B318" s="16" t="s">
        <v>505</v>
      </c>
      <c r="C318" s="8" t="s">
        <v>377</v>
      </c>
      <c r="D318" s="8" t="s">
        <v>506</v>
      </c>
      <c r="E318" s="8" t="str">
        <f t="shared" si="22"/>
        <v>AZUL</v>
      </c>
      <c r="G318" s="8" t="s">
        <v>2861</v>
      </c>
      <c r="H318" s="8" t="str">
        <f>VLOOKUP(A318,[1]BBDD!$B$1:$J$3274,9,FALSE)</f>
        <v>U</v>
      </c>
      <c r="I318" s="8" t="s">
        <v>2861</v>
      </c>
      <c r="J318" s="8" t="s">
        <v>507</v>
      </c>
      <c r="L318" s="8" t="s">
        <v>508</v>
      </c>
      <c r="N318" s="8" t="s">
        <v>83</v>
      </c>
      <c r="O318" s="8" t="s">
        <v>83</v>
      </c>
      <c r="Q318" s="8" t="s">
        <v>32</v>
      </c>
      <c r="R318" s="8">
        <v>22</v>
      </c>
      <c r="S318" s="8">
        <v>7</v>
      </c>
      <c r="T318" s="8">
        <f t="shared" si="28"/>
        <v>29</v>
      </c>
      <c r="U318" s="8">
        <v>1</v>
      </c>
      <c r="V318" s="8">
        <v>0</v>
      </c>
      <c r="W318" s="8">
        <v>0</v>
      </c>
      <c r="X318" s="8">
        <v>0</v>
      </c>
      <c r="Y318" s="8">
        <v>0</v>
      </c>
      <c r="Z318" s="8">
        <v>1</v>
      </c>
      <c r="AA318" s="8">
        <v>180</v>
      </c>
      <c r="AB318" s="9">
        <f t="shared" si="29"/>
        <v>0.33333333333333337</v>
      </c>
      <c r="AC318" s="10">
        <f t="shared" si="23"/>
        <v>86.999999999999986</v>
      </c>
      <c r="AD318" s="8" t="s">
        <v>33</v>
      </c>
      <c r="AE318" s="11">
        <v>79990</v>
      </c>
      <c r="AF318" s="11">
        <f t="shared" si="24"/>
        <v>2319710</v>
      </c>
      <c r="AG318" s="12" t="s">
        <v>73</v>
      </c>
      <c r="AH318" s="8" t="s">
        <v>74</v>
      </c>
    </row>
    <row r="319" spans="1:34">
      <c r="A319" s="8" t="s">
        <v>509</v>
      </c>
      <c r="B319" s="16" t="s">
        <v>505</v>
      </c>
      <c r="C319" s="8" t="s">
        <v>377</v>
      </c>
      <c r="D319" s="8" t="s">
        <v>506</v>
      </c>
      <c r="E319" s="8" t="str">
        <f t="shared" si="22"/>
        <v>GRIS</v>
      </c>
      <c r="G319" s="8" t="s">
        <v>2861</v>
      </c>
      <c r="H319" s="8" t="str">
        <f>VLOOKUP(A319,[1]BBDD!$B$1:$J$3274,9,FALSE)</f>
        <v>U</v>
      </c>
      <c r="I319" s="8" t="s">
        <v>2861</v>
      </c>
      <c r="J319" s="8" t="s">
        <v>507</v>
      </c>
      <c r="L319" s="8" t="s">
        <v>508</v>
      </c>
      <c r="N319" s="8" t="s">
        <v>510</v>
      </c>
      <c r="O319" s="8" t="s">
        <v>510</v>
      </c>
      <c r="Q319" s="8" t="s">
        <v>32</v>
      </c>
      <c r="R319" s="8">
        <v>54</v>
      </c>
      <c r="S319" s="8">
        <v>15</v>
      </c>
      <c r="T319" s="8">
        <f t="shared" si="28"/>
        <v>69</v>
      </c>
      <c r="U319" s="8">
        <v>0</v>
      </c>
      <c r="V319" s="8">
        <v>0</v>
      </c>
      <c r="W319" s="8">
        <v>0</v>
      </c>
      <c r="X319" s="8">
        <v>0</v>
      </c>
      <c r="Y319" s="8">
        <v>1</v>
      </c>
      <c r="Z319" s="8">
        <v>1</v>
      </c>
      <c r="AA319" s="8">
        <v>180</v>
      </c>
      <c r="AB319" s="9">
        <f t="shared" si="29"/>
        <v>0.33333333333333337</v>
      </c>
      <c r="AC319" s="10">
        <f t="shared" si="23"/>
        <v>206.99999999999997</v>
      </c>
      <c r="AD319" s="8" t="s">
        <v>33</v>
      </c>
      <c r="AE319" s="11">
        <v>79990</v>
      </c>
      <c r="AF319" s="11">
        <f t="shared" si="24"/>
        <v>5519310</v>
      </c>
      <c r="AG319" s="12" t="s">
        <v>73</v>
      </c>
      <c r="AH319" s="8" t="s">
        <v>74</v>
      </c>
    </row>
    <row r="320" spans="1:34">
      <c r="A320" s="8" t="s">
        <v>511</v>
      </c>
      <c r="B320" s="16" t="s">
        <v>505</v>
      </c>
      <c r="C320" s="8" t="s">
        <v>377</v>
      </c>
      <c r="D320" s="8" t="s">
        <v>506</v>
      </c>
      <c r="E320" s="8" t="str">
        <f t="shared" si="22"/>
        <v>NEGRO</v>
      </c>
      <c r="G320" s="8" t="s">
        <v>2861</v>
      </c>
      <c r="H320" s="8" t="str">
        <f>VLOOKUP(A320,[1]BBDD!$B$1:$J$3274,9,FALSE)</f>
        <v>U</v>
      </c>
      <c r="I320" s="8" t="s">
        <v>2861</v>
      </c>
      <c r="J320" s="8" t="s">
        <v>507</v>
      </c>
      <c r="L320" s="8" t="s">
        <v>508</v>
      </c>
      <c r="N320" s="8" t="s">
        <v>44</v>
      </c>
      <c r="O320" s="8" t="s">
        <v>44</v>
      </c>
      <c r="Q320" s="8" t="s">
        <v>32</v>
      </c>
      <c r="R320" s="8">
        <v>3</v>
      </c>
      <c r="S320" s="8">
        <v>11</v>
      </c>
      <c r="T320" s="8">
        <f t="shared" si="28"/>
        <v>14</v>
      </c>
      <c r="U320" s="8">
        <v>0</v>
      </c>
      <c r="V320" s="8">
        <v>0</v>
      </c>
      <c r="W320" s="8">
        <v>1</v>
      </c>
      <c r="X320" s="8">
        <v>0</v>
      </c>
      <c r="Y320" s="8">
        <v>0</v>
      </c>
      <c r="Z320" s="8">
        <v>4</v>
      </c>
      <c r="AA320" s="8">
        <v>180</v>
      </c>
      <c r="AB320" s="9">
        <f t="shared" si="29"/>
        <v>0.83333333333333326</v>
      </c>
      <c r="AC320" s="10">
        <f t="shared" si="23"/>
        <v>16.8</v>
      </c>
      <c r="AD320" s="8" t="s">
        <v>33</v>
      </c>
      <c r="AE320" s="11">
        <v>79990</v>
      </c>
      <c r="AF320" s="11">
        <f t="shared" si="24"/>
        <v>1119860</v>
      </c>
      <c r="AG320" s="12" t="s">
        <v>64</v>
      </c>
      <c r="AH320" s="8" t="s">
        <v>65</v>
      </c>
    </row>
    <row r="321" spans="1:34">
      <c r="A321" s="8" t="s">
        <v>512</v>
      </c>
      <c r="B321" s="16" t="s">
        <v>505</v>
      </c>
      <c r="C321" s="8" t="s">
        <v>377</v>
      </c>
      <c r="D321" s="8" t="s">
        <v>506</v>
      </c>
      <c r="E321" s="8" t="str">
        <f t="shared" si="22"/>
        <v>TOSTADO</v>
      </c>
      <c r="G321" s="8" t="s">
        <v>2861</v>
      </c>
      <c r="H321" s="8" t="str">
        <f>VLOOKUP(A321,[1]BBDD!$B$1:$J$3274,9,FALSE)</f>
        <v>U</v>
      </c>
      <c r="I321" s="8" t="s">
        <v>2861</v>
      </c>
      <c r="J321" s="8" t="s">
        <v>507</v>
      </c>
      <c r="L321" s="8" t="s">
        <v>508</v>
      </c>
      <c r="N321" s="8" t="s">
        <v>513</v>
      </c>
      <c r="O321" s="8" t="s">
        <v>513</v>
      </c>
      <c r="Q321" s="8" t="s">
        <v>32</v>
      </c>
      <c r="R321" s="8">
        <v>25</v>
      </c>
      <c r="S321" s="8">
        <v>10</v>
      </c>
      <c r="T321" s="8">
        <f t="shared" si="28"/>
        <v>35</v>
      </c>
      <c r="U321" s="8">
        <v>1</v>
      </c>
      <c r="V321" s="8">
        <v>0</v>
      </c>
      <c r="W321" s="8">
        <v>0</v>
      </c>
      <c r="X321" s="8">
        <v>1</v>
      </c>
      <c r="Y321" s="8">
        <v>0</v>
      </c>
      <c r="Z321" s="8">
        <v>2</v>
      </c>
      <c r="AA321" s="8">
        <v>180</v>
      </c>
      <c r="AB321" s="9">
        <f t="shared" si="29"/>
        <v>0.66666666666666674</v>
      </c>
      <c r="AC321" s="10">
        <f t="shared" si="23"/>
        <v>52.499999999999993</v>
      </c>
      <c r="AD321" s="8" t="s">
        <v>33</v>
      </c>
      <c r="AE321" s="11">
        <v>79990</v>
      </c>
      <c r="AF321" s="11">
        <f t="shared" si="24"/>
        <v>2799650</v>
      </c>
      <c r="AG321" s="12" t="s">
        <v>73</v>
      </c>
      <c r="AH321" s="8" t="s">
        <v>74</v>
      </c>
    </row>
    <row r="322" spans="1:34">
      <c r="A322" s="8" t="s">
        <v>514</v>
      </c>
      <c r="B322" s="16" t="s">
        <v>505</v>
      </c>
      <c r="C322" s="8" t="s">
        <v>377</v>
      </c>
      <c r="D322" s="8" t="s">
        <v>506</v>
      </c>
      <c r="E322" s="8" t="str">
        <f t="shared" si="22"/>
        <v>CHOCOLATE</v>
      </c>
      <c r="G322" s="8" t="s">
        <v>2861</v>
      </c>
      <c r="H322" s="8" t="str">
        <f>VLOOKUP(A322,[1]BBDD!$B$1:$J$3274,9,FALSE)</f>
        <v>U</v>
      </c>
      <c r="I322" s="8" t="s">
        <v>2861</v>
      </c>
      <c r="J322" s="8" t="s">
        <v>507</v>
      </c>
      <c r="L322" s="8" t="s">
        <v>508</v>
      </c>
      <c r="N322" s="8" t="s">
        <v>252</v>
      </c>
      <c r="O322" s="8" t="s">
        <v>252</v>
      </c>
      <c r="Q322" s="8" t="s">
        <v>32</v>
      </c>
      <c r="R322" s="8">
        <v>31</v>
      </c>
      <c r="S322" s="8">
        <v>8</v>
      </c>
      <c r="T322" s="8">
        <f t="shared" si="28"/>
        <v>39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3</v>
      </c>
      <c r="AA322" s="8">
        <v>180</v>
      </c>
      <c r="AB322" s="9">
        <f t="shared" si="29"/>
        <v>0.5</v>
      </c>
      <c r="AC322" s="10">
        <f t="shared" si="23"/>
        <v>78</v>
      </c>
      <c r="AD322" s="8" t="s">
        <v>33</v>
      </c>
      <c r="AE322" s="11">
        <v>79990</v>
      </c>
      <c r="AF322" s="11">
        <f t="shared" si="24"/>
        <v>3119610</v>
      </c>
      <c r="AG322" s="12" t="s">
        <v>73</v>
      </c>
      <c r="AH322" s="8" t="s">
        <v>74</v>
      </c>
    </row>
    <row r="323" spans="1:34">
      <c r="A323" s="8" t="s">
        <v>515</v>
      </c>
      <c r="B323" s="16" t="s">
        <v>505</v>
      </c>
      <c r="C323" s="8" t="s">
        <v>377</v>
      </c>
      <c r="D323" s="8" t="s">
        <v>506</v>
      </c>
      <c r="E323" s="8" t="str">
        <f t="shared" ref="E323:E386" si="30">TRIM(N323)</f>
        <v>BEIGE</v>
      </c>
      <c r="G323" s="8" t="s">
        <v>2861</v>
      </c>
      <c r="H323" s="8" t="str">
        <f>VLOOKUP(A323,[1]BBDD!$B$1:$J$3274,9,FALSE)</f>
        <v>U</v>
      </c>
      <c r="I323" s="8" t="s">
        <v>2861</v>
      </c>
      <c r="J323" s="8" t="s">
        <v>507</v>
      </c>
      <c r="L323" s="8" t="s">
        <v>508</v>
      </c>
      <c r="N323" s="8" t="s">
        <v>516</v>
      </c>
      <c r="O323" s="8" t="s">
        <v>516</v>
      </c>
      <c r="Q323" s="8" t="s">
        <v>32</v>
      </c>
      <c r="R323" s="8">
        <v>33</v>
      </c>
      <c r="S323" s="8">
        <v>8</v>
      </c>
      <c r="T323" s="8">
        <f t="shared" si="28"/>
        <v>41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1</v>
      </c>
      <c r="AA323" s="8">
        <v>180</v>
      </c>
      <c r="AB323" s="9">
        <f t="shared" si="29"/>
        <v>0.16666666666666669</v>
      </c>
      <c r="AC323" s="10">
        <f t="shared" ref="AC323:AC386" si="31">IFERROR(T323/AB323,"sin venta")</f>
        <v>245.99999999999997</v>
      </c>
      <c r="AD323" s="8" t="s">
        <v>33</v>
      </c>
      <c r="AE323" s="11">
        <v>79990</v>
      </c>
      <c r="AF323" s="11">
        <f t="shared" ref="AF323:AF386" si="32">IFERROR(AE323*T323,0)</f>
        <v>3279590</v>
      </c>
      <c r="AG323" s="12" t="s">
        <v>73</v>
      </c>
      <c r="AH323" s="8" t="s">
        <v>74</v>
      </c>
    </row>
    <row r="324" spans="1:34">
      <c r="A324" s="8" t="s">
        <v>517</v>
      </c>
      <c r="B324" s="16" t="s">
        <v>505</v>
      </c>
      <c r="C324" s="8" t="s">
        <v>377</v>
      </c>
      <c r="D324" s="8" t="s">
        <v>506</v>
      </c>
      <c r="E324" s="8" t="str">
        <f t="shared" si="30"/>
        <v>CRUDO</v>
      </c>
      <c r="G324" s="8" t="s">
        <v>2861</v>
      </c>
      <c r="H324" s="8" t="str">
        <f>VLOOKUP(A324,[1]BBDD!$B$1:$J$3274,9,FALSE)</f>
        <v>U</v>
      </c>
      <c r="I324" s="8" t="s">
        <v>2861</v>
      </c>
      <c r="J324" s="8" t="s">
        <v>507</v>
      </c>
      <c r="L324" s="8" t="s">
        <v>508</v>
      </c>
      <c r="N324" s="8" t="s">
        <v>518</v>
      </c>
      <c r="O324" s="8" t="s">
        <v>518</v>
      </c>
      <c r="Q324" s="8" t="s">
        <v>45</v>
      </c>
      <c r="R324" s="8">
        <v>7</v>
      </c>
      <c r="S324" s="8">
        <v>10</v>
      </c>
      <c r="T324" s="8">
        <f t="shared" si="28"/>
        <v>17</v>
      </c>
      <c r="U324" s="8">
        <v>1</v>
      </c>
      <c r="V324" s="8">
        <v>0</v>
      </c>
      <c r="W324" s="8">
        <v>0</v>
      </c>
      <c r="X324" s="8">
        <v>0</v>
      </c>
      <c r="Y324" s="8">
        <v>1</v>
      </c>
      <c r="Z324" s="8">
        <v>7</v>
      </c>
      <c r="AA324" s="8">
        <v>180</v>
      </c>
      <c r="AB324" s="9">
        <f t="shared" si="29"/>
        <v>1.5</v>
      </c>
      <c r="AC324" s="10">
        <f t="shared" si="31"/>
        <v>11.333333333333334</v>
      </c>
      <c r="AD324" s="8" t="s">
        <v>109</v>
      </c>
      <c r="AE324" s="11">
        <v>79990</v>
      </c>
      <c r="AF324" s="11">
        <f t="shared" si="32"/>
        <v>1359830</v>
      </c>
      <c r="AG324" s="12" t="s">
        <v>51</v>
      </c>
      <c r="AH324" s="8" t="s">
        <v>65</v>
      </c>
    </row>
    <row r="325" spans="1:34">
      <c r="A325" s="8" t="s">
        <v>519</v>
      </c>
      <c r="B325" s="16" t="s">
        <v>505</v>
      </c>
      <c r="C325" s="8" t="s">
        <v>377</v>
      </c>
      <c r="D325" s="8" t="s">
        <v>506</v>
      </c>
      <c r="E325" s="8" t="str">
        <f t="shared" si="30"/>
        <v>AZUL</v>
      </c>
      <c r="G325" s="8" t="s">
        <v>2861</v>
      </c>
      <c r="H325" s="8" t="str">
        <f>VLOOKUP(A325,[1]BBDD!$B$1:$J$3274,9,FALSE)</f>
        <v>U</v>
      </c>
      <c r="I325" s="8" t="s">
        <v>2861</v>
      </c>
      <c r="J325" s="8" t="s">
        <v>520</v>
      </c>
      <c r="L325" s="8" t="s">
        <v>508</v>
      </c>
      <c r="N325" s="8" t="s">
        <v>83</v>
      </c>
      <c r="O325" s="8" t="s">
        <v>83</v>
      </c>
      <c r="Q325" s="8" t="s">
        <v>45</v>
      </c>
      <c r="R325" s="8">
        <v>10</v>
      </c>
      <c r="S325" s="8">
        <v>12</v>
      </c>
      <c r="T325" s="8">
        <f t="shared" si="28"/>
        <v>22</v>
      </c>
      <c r="U325" s="8">
        <v>0</v>
      </c>
      <c r="V325" s="8">
        <v>1</v>
      </c>
      <c r="W325" s="8">
        <v>0</v>
      </c>
      <c r="X325" s="8">
        <v>0</v>
      </c>
      <c r="Y325" s="8">
        <v>0</v>
      </c>
      <c r="Z325" s="8">
        <v>0</v>
      </c>
      <c r="AA325" s="8">
        <v>180</v>
      </c>
      <c r="AB325" s="9">
        <f t="shared" si="29"/>
        <v>0.16666666666666669</v>
      </c>
      <c r="AC325" s="10">
        <f t="shared" si="31"/>
        <v>131.99999999999997</v>
      </c>
      <c r="AD325" s="8" t="s">
        <v>109</v>
      </c>
      <c r="AE325" s="11">
        <v>79990</v>
      </c>
      <c r="AF325" s="11">
        <f t="shared" si="32"/>
        <v>1759780</v>
      </c>
      <c r="AG325" s="12" t="s">
        <v>73</v>
      </c>
      <c r="AH325" s="8" t="s">
        <v>74</v>
      </c>
    </row>
    <row r="326" spans="1:34">
      <c r="A326" s="8" t="s">
        <v>521</v>
      </c>
      <c r="B326" s="16" t="s">
        <v>505</v>
      </c>
      <c r="C326" s="8" t="s">
        <v>377</v>
      </c>
      <c r="D326" s="8" t="s">
        <v>506</v>
      </c>
      <c r="E326" s="8" t="str">
        <f t="shared" si="30"/>
        <v>CRUDO</v>
      </c>
      <c r="G326" s="8" t="s">
        <v>2861</v>
      </c>
      <c r="H326" s="8" t="str">
        <f>VLOOKUP(A326,[1]BBDD!$B$1:$J$3274,9,FALSE)</f>
        <v>U</v>
      </c>
      <c r="I326" s="8" t="s">
        <v>2861</v>
      </c>
      <c r="J326" s="8" t="s">
        <v>520</v>
      </c>
      <c r="L326" s="8" t="s">
        <v>508</v>
      </c>
      <c r="N326" s="8" t="s">
        <v>518</v>
      </c>
      <c r="O326" s="8" t="s">
        <v>518</v>
      </c>
      <c r="Q326" s="8" t="s">
        <v>45</v>
      </c>
      <c r="R326" s="8">
        <v>12</v>
      </c>
      <c r="S326" s="8">
        <v>8</v>
      </c>
      <c r="T326" s="8">
        <f t="shared" si="28"/>
        <v>20</v>
      </c>
      <c r="U326" s="8">
        <v>0</v>
      </c>
      <c r="V326" s="8">
        <v>0</v>
      </c>
      <c r="W326" s="8">
        <v>1</v>
      </c>
      <c r="X326" s="8">
        <v>0</v>
      </c>
      <c r="Y326" s="8">
        <v>0</v>
      </c>
      <c r="Z326" s="8">
        <v>0</v>
      </c>
      <c r="AA326" s="8">
        <v>180</v>
      </c>
      <c r="AB326" s="9">
        <f t="shared" si="29"/>
        <v>0.16666666666666669</v>
      </c>
      <c r="AC326" s="10">
        <f t="shared" si="31"/>
        <v>119.99999999999999</v>
      </c>
      <c r="AD326" s="8" t="s">
        <v>109</v>
      </c>
      <c r="AE326" s="11">
        <v>79990</v>
      </c>
      <c r="AF326" s="11">
        <f t="shared" si="32"/>
        <v>1599800</v>
      </c>
      <c r="AG326" s="12" t="s">
        <v>73</v>
      </c>
      <c r="AH326" s="8" t="s">
        <v>65</v>
      </c>
    </row>
    <row r="327" spans="1:34">
      <c r="A327" s="8" t="s">
        <v>522</v>
      </c>
      <c r="B327" s="16" t="s">
        <v>505</v>
      </c>
      <c r="C327" s="8" t="s">
        <v>377</v>
      </c>
      <c r="D327" s="8" t="s">
        <v>506</v>
      </c>
      <c r="E327" s="8" t="str">
        <f t="shared" si="30"/>
        <v>GRIS</v>
      </c>
      <c r="G327" s="8" t="s">
        <v>2861</v>
      </c>
      <c r="H327" s="8" t="str">
        <f>VLOOKUP(A327,[1]BBDD!$B$1:$J$3274,9,FALSE)</f>
        <v>U</v>
      </c>
      <c r="I327" s="8" t="s">
        <v>2861</v>
      </c>
      <c r="J327" s="8" t="s">
        <v>520</v>
      </c>
      <c r="L327" s="8" t="s">
        <v>508</v>
      </c>
      <c r="N327" s="8" t="s">
        <v>510</v>
      </c>
      <c r="O327" s="8" t="s">
        <v>510</v>
      </c>
      <c r="Q327" s="8" t="s">
        <v>45</v>
      </c>
      <c r="R327" s="8">
        <v>12</v>
      </c>
      <c r="S327" s="8">
        <v>7</v>
      </c>
      <c r="T327" s="8">
        <f t="shared" si="28"/>
        <v>19</v>
      </c>
      <c r="U327" s="8">
        <v>0</v>
      </c>
      <c r="V327" s="8">
        <v>0</v>
      </c>
      <c r="W327" s="8">
        <v>0</v>
      </c>
      <c r="X327" s="8">
        <v>1</v>
      </c>
      <c r="Y327" s="8">
        <v>2</v>
      </c>
      <c r="Z327" s="8">
        <v>2</v>
      </c>
      <c r="AA327" s="8">
        <v>180</v>
      </c>
      <c r="AB327" s="9">
        <f t="shared" si="29"/>
        <v>0.83333333333333326</v>
      </c>
      <c r="AC327" s="10">
        <f t="shared" si="31"/>
        <v>22.8</v>
      </c>
      <c r="AD327" s="8" t="s">
        <v>109</v>
      </c>
      <c r="AE327" s="11">
        <v>79990</v>
      </c>
      <c r="AF327" s="11">
        <f t="shared" si="32"/>
        <v>1519810</v>
      </c>
      <c r="AG327" s="12" t="s">
        <v>64</v>
      </c>
      <c r="AH327" s="8" t="s">
        <v>65</v>
      </c>
    </row>
    <row r="328" spans="1:34">
      <c r="A328" s="8" t="s">
        <v>523</v>
      </c>
      <c r="B328" s="16" t="s">
        <v>505</v>
      </c>
      <c r="C328" s="8" t="s">
        <v>377</v>
      </c>
      <c r="D328" s="8" t="s">
        <v>506</v>
      </c>
      <c r="E328" s="8" t="str">
        <f t="shared" si="30"/>
        <v>NEGRO</v>
      </c>
      <c r="G328" s="8" t="s">
        <v>2861</v>
      </c>
      <c r="H328" s="8" t="str">
        <f>VLOOKUP(A328,[1]BBDD!$B$1:$J$3274,9,FALSE)</f>
        <v>U</v>
      </c>
      <c r="I328" s="8" t="s">
        <v>2861</v>
      </c>
      <c r="J328" s="8" t="s">
        <v>520</v>
      </c>
      <c r="L328" s="8" t="s">
        <v>508</v>
      </c>
      <c r="N328" s="8" t="s">
        <v>44</v>
      </c>
      <c r="O328" s="8" t="s">
        <v>44</v>
      </c>
      <c r="Q328" s="8" t="s">
        <v>45</v>
      </c>
      <c r="R328" s="8">
        <v>21</v>
      </c>
      <c r="S328" s="8">
        <v>11</v>
      </c>
      <c r="T328" s="8">
        <f t="shared" si="28"/>
        <v>32</v>
      </c>
      <c r="U328" s="8">
        <v>0</v>
      </c>
      <c r="V328" s="8">
        <v>0</v>
      </c>
      <c r="W328" s="8">
        <v>0</v>
      </c>
      <c r="X328" s="8">
        <v>0</v>
      </c>
      <c r="Y328" s="8">
        <v>1</v>
      </c>
      <c r="Z328" s="8">
        <v>4</v>
      </c>
      <c r="AA328" s="8">
        <v>180</v>
      </c>
      <c r="AB328" s="9">
        <f t="shared" si="29"/>
        <v>0.83333333333333326</v>
      </c>
      <c r="AC328" s="10">
        <f t="shared" si="31"/>
        <v>38.400000000000006</v>
      </c>
      <c r="AD328" s="8" t="s">
        <v>109</v>
      </c>
      <c r="AE328" s="11">
        <v>79990</v>
      </c>
      <c r="AF328" s="11">
        <f t="shared" si="32"/>
        <v>2559680</v>
      </c>
      <c r="AG328" s="12" t="s">
        <v>73</v>
      </c>
      <c r="AH328" s="8" t="s">
        <v>74</v>
      </c>
    </row>
    <row r="329" spans="1:34">
      <c r="A329" s="8" t="s">
        <v>524</v>
      </c>
      <c r="B329" s="16" t="s">
        <v>505</v>
      </c>
      <c r="C329" s="8" t="s">
        <v>377</v>
      </c>
      <c r="D329" s="8" t="s">
        <v>506</v>
      </c>
      <c r="E329" s="8" t="str">
        <f t="shared" si="30"/>
        <v>TOSTADO</v>
      </c>
      <c r="G329" s="8" t="s">
        <v>2861</v>
      </c>
      <c r="H329" s="8" t="str">
        <f>VLOOKUP(A329,[1]BBDD!$B$1:$J$3274,9,FALSE)</f>
        <v>U</v>
      </c>
      <c r="I329" s="8" t="s">
        <v>2861</v>
      </c>
      <c r="J329" s="8" t="s">
        <v>520</v>
      </c>
      <c r="L329" s="8" t="s">
        <v>508</v>
      </c>
      <c r="N329" s="8" t="s">
        <v>513</v>
      </c>
      <c r="O329" s="8" t="s">
        <v>513</v>
      </c>
      <c r="Q329" s="8" t="s">
        <v>45</v>
      </c>
      <c r="R329" s="8">
        <v>18</v>
      </c>
      <c r="S329" s="8">
        <v>5</v>
      </c>
      <c r="T329" s="8">
        <f t="shared" si="28"/>
        <v>23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4</v>
      </c>
      <c r="AA329" s="8">
        <v>180</v>
      </c>
      <c r="AB329" s="9">
        <f t="shared" si="29"/>
        <v>0.66666666666666674</v>
      </c>
      <c r="AC329" s="10">
        <f t="shared" si="31"/>
        <v>34.499999999999993</v>
      </c>
      <c r="AD329" s="8" t="s">
        <v>109</v>
      </c>
      <c r="AE329" s="11">
        <v>79990</v>
      </c>
      <c r="AF329" s="11">
        <f t="shared" si="32"/>
        <v>1839770</v>
      </c>
      <c r="AG329" s="12" t="s">
        <v>73</v>
      </c>
      <c r="AH329" s="8" t="s">
        <v>74</v>
      </c>
    </row>
    <row r="330" spans="1:34">
      <c r="A330" s="8" t="s">
        <v>525</v>
      </c>
      <c r="B330" s="16" t="s">
        <v>505</v>
      </c>
      <c r="C330" s="8" t="s">
        <v>377</v>
      </c>
      <c r="D330" s="8" t="s">
        <v>506</v>
      </c>
      <c r="E330" s="8" t="str">
        <f t="shared" si="30"/>
        <v>BEIGE</v>
      </c>
      <c r="G330" s="8" t="s">
        <v>2861</v>
      </c>
      <c r="H330" s="8" t="str">
        <f>VLOOKUP(A330,[1]BBDD!$B$1:$J$3274,9,FALSE)</f>
        <v>U</v>
      </c>
      <c r="I330" s="8" t="s">
        <v>2861</v>
      </c>
      <c r="J330" s="8" t="s">
        <v>526</v>
      </c>
      <c r="L330" s="8" t="s">
        <v>527</v>
      </c>
      <c r="N330" s="8" t="s">
        <v>516</v>
      </c>
      <c r="O330" s="8" t="s">
        <v>516</v>
      </c>
      <c r="Q330" s="8" t="s">
        <v>32</v>
      </c>
      <c r="R330" s="8">
        <v>13</v>
      </c>
      <c r="S330" s="8">
        <v>8</v>
      </c>
      <c r="T330" s="8">
        <f t="shared" si="28"/>
        <v>21</v>
      </c>
      <c r="U330" s="8">
        <v>1</v>
      </c>
      <c r="V330" s="8">
        <v>0</v>
      </c>
      <c r="W330" s="8">
        <v>0</v>
      </c>
      <c r="X330" s="8">
        <v>1</v>
      </c>
      <c r="Y330" s="8">
        <v>1</v>
      </c>
      <c r="Z330" s="8">
        <v>3</v>
      </c>
      <c r="AA330" s="8">
        <v>180</v>
      </c>
      <c r="AB330" s="9">
        <f t="shared" si="29"/>
        <v>1</v>
      </c>
      <c r="AC330" s="10">
        <f t="shared" si="31"/>
        <v>21</v>
      </c>
      <c r="AD330" s="8" t="s">
        <v>33</v>
      </c>
      <c r="AE330" s="11">
        <v>59990</v>
      </c>
      <c r="AF330" s="11">
        <f t="shared" si="32"/>
        <v>1259790</v>
      </c>
      <c r="AG330" s="12" t="s">
        <v>64</v>
      </c>
      <c r="AH330" s="8" t="s">
        <v>74</v>
      </c>
    </row>
    <row r="331" spans="1:34">
      <c r="A331" s="8" t="s">
        <v>528</v>
      </c>
      <c r="B331" s="16" t="s">
        <v>505</v>
      </c>
      <c r="C331" s="8" t="s">
        <v>377</v>
      </c>
      <c r="D331" s="8" t="s">
        <v>506</v>
      </c>
      <c r="E331" s="8" t="str">
        <f t="shared" si="30"/>
        <v>CRUDO</v>
      </c>
      <c r="G331" s="8" t="s">
        <v>2861</v>
      </c>
      <c r="H331" s="8" t="str">
        <f>VLOOKUP(A331,[1]BBDD!$B$1:$J$3274,9,FALSE)</f>
        <v>U</v>
      </c>
      <c r="I331" s="8" t="s">
        <v>2861</v>
      </c>
      <c r="J331" s="8" t="s">
        <v>526</v>
      </c>
      <c r="L331" s="8" t="s">
        <v>527</v>
      </c>
      <c r="N331" s="8" t="s">
        <v>518</v>
      </c>
      <c r="O331" s="8" t="s">
        <v>518</v>
      </c>
      <c r="Q331" s="8" t="s">
        <v>32</v>
      </c>
      <c r="R331" s="8">
        <v>11</v>
      </c>
      <c r="S331" s="8">
        <v>9</v>
      </c>
      <c r="T331" s="8">
        <f t="shared" si="28"/>
        <v>20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1</v>
      </c>
      <c r="AA331" s="8">
        <v>180</v>
      </c>
      <c r="AB331" s="9">
        <f t="shared" si="29"/>
        <v>0.16666666666666669</v>
      </c>
      <c r="AC331" s="10">
        <f t="shared" si="31"/>
        <v>119.99999999999999</v>
      </c>
      <c r="AD331" s="8" t="s">
        <v>33</v>
      </c>
      <c r="AE331" s="11">
        <v>59990</v>
      </c>
      <c r="AF331" s="11">
        <f t="shared" si="32"/>
        <v>1199800</v>
      </c>
      <c r="AG331" s="12" t="s">
        <v>73</v>
      </c>
      <c r="AH331" s="8" t="s">
        <v>65</v>
      </c>
    </row>
    <row r="332" spans="1:34">
      <c r="A332" s="8" t="s">
        <v>529</v>
      </c>
      <c r="B332" s="16" t="s">
        <v>505</v>
      </c>
      <c r="C332" s="8" t="s">
        <v>377</v>
      </c>
      <c r="D332" s="8" t="s">
        <v>506</v>
      </c>
      <c r="E332" s="8" t="str">
        <f t="shared" si="30"/>
        <v>NEGRO</v>
      </c>
      <c r="G332" s="8" t="s">
        <v>2861</v>
      </c>
      <c r="H332" s="8" t="str">
        <f>VLOOKUP(A332,[1]BBDD!$B$1:$J$3274,9,FALSE)</f>
        <v>U</v>
      </c>
      <c r="I332" s="8" t="s">
        <v>2861</v>
      </c>
      <c r="J332" s="8" t="s">
        <v>526</v>
      </c>
      <c r="L332" s="8" t="s">
        <v>527</v>
      </c>
      <c r="N332" s="8" t="s">
        <v>44</v>
      </c>
      <c r="O332" s="8" t="s">
        <v>44</v>
      </c>
      <c r="Q332" s="8" t="s">
        <v>32</v>
      </c>
      <c r="R332" s="8">
        <v>8</v>
      </c>
      <c r="S332" s="8">
        <v>11</v>
      </c>
      <c r="T332" s="8">
        <f t="shared" si="28"/>
        <v>19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3</v>
      </c>
      <c r="AA332" s="8">
        <v>180</v>
      </c>
      <c r="AB332" s="9">
        <f t="shared" si="29"/>
        <v>0.5</v>
      </c>
      <c r="AC332" s="10">
        <f t="shared" si="31"/>
        <v>38</v>
      </c>
      <c r="AD332" s="8" t="s">
        <v>33</v>
      </c>
      <c r="AE332" s="11">
        <v>59990</v>
      </c>
      <c r="AF332" s="11">
        <f t="shared" si="32"/>
        <v>1139810</v>
      </c>
      <c r="AG332" s="12" t="s">
        <v>73</v>
      </c>
      <c r="AH332" s="8" t="s">
        <v>65</v>
      </c>
    </row>
    <row r="333" spans="1:34">
      <c r="A333" s="8" t="s">
        <v>530</v>
      </c>
      <c r="B333" s="16" t="s">
        <v>505</v>
      </c>
      <c r="C333" s="8" t="s">
        <v>377</v>
      </c>
      <c r="D333" s="8" t="s">
        <v>506</v>
      </c>
      <c r="E333" s="8" t="str">
        <f t="shared" si="30"/>
        <v>VISON</v>
      </c>
      <c r="G333" s="8" t="s">
        <v>2861</v>
      </c>
      <c r="H333" s="8" t="str">
        <f>VLOOKUP(A333,[1]BBDD!$B$1:$J$3274,9,FALSE)</f>
        <v>U</v>
      </c>
      <c r="I333" s="8" t="s">
        <v>2861</v>
      </c>
      <c r="J333" s="8" t="s">
        <v>526</v>
      </c>
      <c r="L333" s="8" t="s">
        <v>527</v>
      </c>
      <c r="N333" s="8" t="s">
        <v>58</v>
      </c>
      <c r="O333" s="8" t="s">
        <v>58</v>
      </c>
      <c r="Q333" s="8" t="s">
        <v>32</v>
      </c>
      <c r="R333" s="8">
        <v>7</v>
      </c>
      <c r="S333" s="8">
        <v>9</v>
      </c>
      <c r="T333" s="8">
        <f t="shared" si="28"/>
        <v>16</v>
      </c>
      <c r="U333" s="8">
        <v>0</v>
      </c>
      <c r="V333" s="8">
        <v>0</v>
      </c>
      <c r="W333" s="8">
        <v>0</v>
      </c>
      <c r="X333" s="8">
        <v>0</v>
      </c>
      <c r="Y333" s="8">
        <v>1</v>
      </c>
      <c r="Z333" s="8">
        <v>7</v>
      </c>
      <c r="AA333" s="8">
        <v>180</v>
      </c>
      <c r="AB333" s="9">
        <f t="shared" si="29"/>
        <v>1.3333333333333335</v>
      </c>
      <c r="AC333" s="10">
        <f t="shared" si="31"/>
        <v>11.999999999999998</v>
      </c>
      <c r="AD333" s="8" t="s">
        <v>33</v>
      </c>
      <c r="AE333" s="11">
        <v>59990</v>
      </c>
      <c r="AF333" s="11">
        <f t="shared" si="32"/>
        <v>959840</v>
      </c>
      <c r="AG333" s="12" t="s">
        <v>51</v>
      </c>
      <c r="AH333" s="8" t="s">
        <v>65</v>
      </c>
    </row>
    <row r="334" spans="1:34">
      <c r="A334" s="8" t="s">
        <v>531</v>
      </c>
      <c r="B334" s="16" t="s">
        <v>532</v>
      </c>
      <c r="C334" s="8" t="s">
        <v>533</v>
      </c>
      <c r="D334" s="8" t="s">
        <v>534</v>
      </c>
      <c r="E334" s="8" t="str">
        <f t="shared" si="30"/>
        <v>ROJO</v>
      </c>
      <c r="G334" s="8" t="s">
        <v>2863</v>
      </c>
      <c r="H334" s="8" t="str">
        <f>VLOOKUP(A334,[1]BBDD!$B$1:$J$3274,9,FALSE)</f>
        <v>H</v>
      </c>
      <c r="I334" s="8" t="s">
        <v>2863</v>
      </c>
      <c r="J334" s="8" t="s">
        <v>535</v>
      </c>
      <c r="L334" s="8" t="s">
        <v>536</v>
      </c>
      <c r="N334" s="8" t="s">
        <v>88</v>
      </c>
      <c r="O334" s="8" t="s">
        <v>88</v>
      </c>
      <c r="P334" s="18" t="str">
        <f>RIGHT(A334,2)</f>
        <v>38</v>
      </c>
      <c r="Q334" s="8" t="s">
        <v>45</v>
      </c>
      <c r="R334" s="8">
        <v>0</v>
      </c>
      <c r="S334" s="8">
        <v>1</v>
      </c>
      <c r="T334" s="8">
        <f t="shared" si="28"/>
        <v>1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180</v>
      </c>
      <c r="AB334" s="9">
        <f t="shared" si="29"/>
        <v>0</v>
      </c>
      <c r="AC334" s="10" t="str">
        <f t="shared" si="31"/>
        <v>sin venta</v>
      </c>
      <c r="AD334" s="8" t="s">
        <v>568</v>
      </c>
      <c r="AE334" s="11">
        <v>69990</v>
      </c>
      <c r="AF334" s="11">
        <f t="shared" si="32"/>
        <v>69990</v>
      </c>
      <c r="AG334" s="12" t="s">
        <v>73</v>
      </c>
      <c r="AH334" s="8" t="s">
        <v>35</v>
      </c>
    </row>
    <row r="335" spans="1:34">
      <c r="A335" s="8" t="s">
        <v>537</v>
      </c>
      <c r="B335" s="16" t="s">
        <v>532</v>
      </c>
      <c r="C335" s="8" t="s">
        <v>533</v>
      </c>
      <c r="D335" s="8" t="s">
        <v>534</v>
      </c>
      <c r="E335" s="8" t="str">
        <f t="shared" si="30"/>
        <v>ROJO</v>
      </c>
      <c r="G335" s="8" t="s">
        <v>2863</v>
      </c>
      <c r="H335" s="8" t="str">
        <f>VLOOKUP(A335,[1]BBDD!$B$1:$J$3274,9,FALSE)</f>
        <v>H</v>
      </c>
      <c r="I335" s="8" t="s">
        <v>2863</v>
      </c>
      <c r="J335" s="8" t="s">
        <v>535</v>
      </c>
      <c r="L335" s="8" t="s">
        <v>536</v>
      </c>
      <c r="N335" s="8" t="s">
        <v>88</v>
      </c>
      <c r="O335" s="8" t="s">
        <v>88</v>
      </c>
      <c r="P335" s="18" t="str">
        <f t="shared" ref="P335:P398" si="33">RIGHT(A335,2)</f>
        <v>40</v>
      </c>
      <c r="Q335" s="8" t="s">
        <v>45</v>
      </c>
      <c r="R335" s="8">
        <v>0</v>
      </c>
      <c r="S335" s="8">
        <v>2</v>
      </c>
      <c r="T335" s="8">
        <f t="shared" si="28"/>
        <v>2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180</v>
      </c>
      <c r="AB335" s="9">
        <f t="shared" si="29"/>
        <v>0</v>
      </c>
      <c r="AC335" s="10" t="str">
        <f t="shared" si="31"/>
        <v>sin venta</v>
      </c>
      <c r="AD335" s="8" t="s">
        <v>568</v>
      </c>
      <c r="AE335" s="11">
        <v>69990</v>
      </c>
      <c r="AF335" s="11">
        <f t="shared" si="32"/>
        <v>139980</v>
      </c>
      <c r="AG335" s="12" t="s">
        <v>73</v>
      </c>
      <c r="AH335" s="8" t="s">
        <v>35</v>
      </c>
    </row>
    <row r="336" spans="1:34">
      <c r="A336" s="8" t="s">
        <v>538</v>
      </c>
      <c r="B336" s="16" t="s">
        <v>532</v>
      </c>
      <c r="C336" s="8" t="s">
        <v>533</v>
      </c>
      <c r="D336" s="8" t="s">
        <v>534</v>
      </c>
      <c r="E336" s="8" t="str">
        <f t="shared" si="30"/>
        <v>ROJO</v>
      </c>
      <c r="G336" s="8" t="s">
        <v>2863</v>
      </c>
      <c r="H336" s="8" t="str">
        <f>VLOOKUP(A336,[1]BBDD!$B$1:$J$3274,9,FALSE)</f>
        <v>H</v>
      </c>
      <c r="I336" s="8" t="s">
        <v>2863</v>
      </c>
      <c r="J336" s="8" t="s">
        <v>535</v>
      </c>
      <c r="L336" s="8" t="s">
        <v>536</v>
      </c>
      <c r="N336" s="8" t="s">
        <v>88</v>
      </c>
      <c r="O336" s="8" t="s">
        <v>88</v>
      </c>
      <c r="P336" s="18" t="str">
        <f t="shared" si="33"/>
        <v>42</v>
      </c>
      <c r="Q336" s="8" t="s">
        <v>45</v>
      </c>
      <c r="R336" s="8">
        <v>0</v>
      </c>
      <c r="S336" s="8">
        <v>2</v>
      </c>
      <c r="T336" s="8">
        <f t="shared" si="28"/>
        <v>2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180</v>
      </c>
      <c r="AB336" s="9">
        <f t="shared" si="29"/>
        <v>0</v>
      </c>
      <c r="AC336" s="10" t="str">
        <f t="shared" si="31"/>
        <v>sin venta</v>
      </c>
      <c r="AD336" s="8" t="s">
        <v>568</v>
      </c>
      <c r="AE336" s="11">
        <v>69990</v>
      </c>
      <c r="AF336" s="11">
        <f t="shared" si="32"/>
        <v>139980</v>
      </c>
      <c r="AG336" s="12" t="s">
        <v>73</v>
      </c>
      <c r="AH336" s="8" t="s">
        <v>35</v>
      </c>
    </row>
    <row r="337" spans="1:34">
      <c r="A337" s="8" t="s">
        <v>539</v>
      </c>
      <c r="B337" s="16" t="s">
        <v>532</v>
      </c>
      <c r="C337" s="8" t="s">
        <v>533</v>
      </c>
      <c r="D337" s="8" t="s">
        <v>534</v>
      </c>
      <c r="E337" s="8" t="str">
        <f t="shared" si="30"/>
        <v>ROJO</v>
      </c>
      <c r="G337" s="8" t="s">
        <v>2863</v>
      </c>
      <c r="H337" s="8" t="str">
        <f>VLOOKUP(A337,[1]BBDD!$B$1:$J$3274,9,FALSE)</f>
        <v>H</v>
      </c>
      <c r="I337" s="8" t="s">
        <v>2863</v>
      </c>
      <c r="J337" s="8" t="s">
        <v>535</v>
      </c>
      <c r="L337" s="8" t="s">
        <v>536</v>
      </c>
      <c r="N337" s="8" t="s">
        <v>88</v>
      </c>
      <c r="O337" s="8" t="s">
        <v>88</v>
      </c>
      <c r="P337" s="18" t="str">
        <f t="shared" si="33"/>
        <v>44</v>
      </c>
      <c r="Q337" s="8" t="s">
        <v>45</v>
      </c>
      <c r="R337" s="8">
        <v>0</v>
      </c>
      <c r="S337" s="8">
        <v>3</v>
      </c>
      <c r="T337" s="8">
        <f t="shared" si="28"/>
        <v>3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180</v>
      </c>
      <c r="AB337" s="9">
        <f t="shared" si="29"/>
        <v>0</v>
      </c>
      <c r="AC337" s="10" t="str">
        <f t="shared" si="31"/>
        <v>sin venta</v>
      </c>
      <c r="AD337" s="8" t="s">
        <v>568</v>
      </c>
      <c r="AE337" s="11">
        <v>69990</v>
      </c>
      <c r="AF337" s="11">
        <f t="shared" si="32"/>
        <v>209970</v>
      </c>
      <c r="AG337" s="12" t="s">
        <v>73</v>
      </c>
      <c r="AH337" s="8" t="s">
        <v>35</v>
      </c>
    </row>
    <row r="338" spans="1:34">
      <c r="A338" s="8" t="s">
        <v>540</v>
      </c>
      <c r="B338" s="16" t="s">
        <v>532</v>
      </c>
      <c r="C338" s="8" t="s">
        <v>533</v>
      </c>
      <c r="D338" s="8" t="s">
        <v>534</v>
      </c>
      <c r="E338" s="8" t="str">
        <f t="shared" si="30"/>
        <v>ROJO</v>
      </c>
      <c r="G338" s="8" t="s">
        <v>2863</v>
      </c>
      <c r="H338" s="8" t="str">
        <f>VLOOKUP(A338,[1]BBDD!$B$1:$J$3274,9,FALSE)</f>
        <v>H</v>
      </c>
      <c r="I338" s="8" t="s">
        <v>2863</v>
      </c>
      <c r="J338" s="8" t="s">
        <v>535</v>
      </c>
      <c r="L338" s="8" t="s">
        <v>536</v>
      </c>
      <c r="N338" s="8" t="s">
        <v>88</v>
      </c>
      <c r="O338" s="8" t="s">
        <v>88</v>
      </c>
      <c r="P338" s="18" t="str">
        <f t="shared" si="33"/>
        <v>46</v>
      </c>
      <c r="Q338" s="8" t="s">
        <v>45</v>
      </c>
      <c r="R338" s="8">
        <v>0</v>
      </c>
      <c r="S338" s="8">
        <v>2</v>
      </c>
      <c r="T338" s="8">
        <f t="shared" si="28"/>
        <v>2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180</v>
      </c>
      <c r="AB338" s="9">
        <f t="shared" si="29"/>
        <v>0</v>
      </c>
      <c r="AC338" s="10" t="str">
        <f t="shared" si="31"/>
        <v>sin venta</v>
      </c>
      <c r="AD338" s="8" t="s">
        <v>568</v>
      </c>
      <c r="AE338" s="11">
        <v>69990</v>
      </c>
      <c r="AF338" s="11">
        <f t="shared" si="32"/>
        <v>139980</v>
      </c>
      <c r="AG338" s="12" t="s">
        <v>73</v>
      </c>
      <c r="AH338" s="8" t="s">
        <v>35</v>
      </c>
    </row>
    <row r="339" spans="1:34">
      <c r="A339" s="8" t="s">
        <v>541</v>
      </c>
      <c r="B339" s="16" t="s">
        <v>532</v>
      </c>
      <c r="C339" s="8" t="s">
        <v>533</v>
      </c>
      <c r="D339" s="8" t="s">
        <v>534</v>
      </c>
      <c r="E339" s="8" t="str">
        <f t="shared" si="30"/>
        <v>ROJO</v>
      </c>
      <c r="G339" s="8" t="s">
        <v>2863</v>
      </c>
      <c r="H339" s="8" t="str">
        <f>VLOOKUP(A339,[1]BBDD!$B$1:$J$3274,9,FALSE)</f>
        <v>H</v>
      </c>
      <c r="I339" s="8" t="s">
        <v>2863</v>
      </c>
      <c r="J339" s="8" t="s">
        <v>535</v>
      </c>
      <c r="L339" s="8" t="s">
        <v>536</v>
      </c>
      <c r="N339" s="8" t="s">
        <v>88</v>
      </c>
      <c r="O339" s="8" t="s">
        <v>88</v>
      </c>
      <c r="P339" s="18" t="str">
        <f t="shared" si="33"/>
        <v>48</v>
      </c>
      <c r="Q339" s="8" t="s">
        <v>45</v>
      </c>
      <c r="R339" s="8">
        <v>0</v>
      </c>
      <c r="S339" s="8">
        <v>1</v>
      </c>
      <c r="T339" s="8">
        <f t="shared" si="28"/>
        <v>1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180</v>
      </c>
      <c r="AB339" s="9">
        <f t="shared" si="29"/>
        <v>0</v>
      </c>
      <c r="AC339" s="10" t="str">
        <f t="shared" si="31"/>
        <v>sin venta</v>
      </c>
      <c r="AD339" s="8" t="s">
        <v>568</v>
      </c>
      <c r="AE339" s="11">
        <v>69990</v>
      </c>
      <c r="AF339" s="11">
        <f t="shared" si="32"/>
        <v>69990</v>
      </c>
      <c r="AG339" s="12" t="s">
        <v>73</v>
      </c>
      <c r="AH339" s="8" t="s">
        <v>35</v>
      </c>
    </row>
    <row r="340" spans="1:34">
      <c r="A340" s="8" t="s">
        <v>542</v>
      </c>
      <c r="B340" s="16" t="s">
        <v>532</v>
      </c>
      <c r="C340" s="8" t="s">
        <v>533</v>
      </c>
      <c r="D340" s="8" t="s">
        <v>534</v>
      </c>
      <c r="E340" s="8" t="str">
        <f t="shared" si="30"/>
        <v>ROSA</v>
      </c>
      <c r="G340" s="8" t="s">
        <v>2863</v>
      </c>
      <c r="H340" s="8" t="str">
        <f>VLOOKUP(A340,[1]BBDD!$B$1:$J$3274,9,FALSE)</f>
        <v>H</v>
      </c>
      <c r="I340" s="8" t="s">
        <v>2863</v>
      </c>
      <c r="J340" s="8" t="s">
        <v>535</v>
      </c>
      <c r="L340" s="8" t="s">
        <v>536</v>
      </c>
      <c r="N340" s="8" t="s">
        <v>180</v>
      </c>
      <c r="O340" s="8" t="s">
        <v>180</v>
      </c>
      <c r="P340" s="18" t="str">
        <f t="shared" si="33"/>
        <v>38</v>
      </c>
      <c r="Q340" s="8" t="s">
        <v>45</v>
      </c>
      <c r="R340" s="8">
        <v>0</v>
      </c>
      <c r="S340" s="8">
        <v>1</v>
      </c>
      <c r="T340" s="8">
        <f t="shared" si="28"/>
        <v>1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180</v>
      </c>
      <c r="AB340" s="9">
        <f t="shared" si="29"/>
        <v>0</v>
      </c>
      <c r="AC340" s="10" t="str">
        <f t="shared" si="31"/>
        <v>sin venta</v>
      </c>
      <c r="AD340" s="8" t="s">
        <v>568</v>
      </c>
      <c r="AE340" s="11">
        <v>69990</v>
      </c>
      <c r="AF340" s="11">
        <f t="shared" si="32"/>
        <v>69990</v>
      </c>
      <c r="AG340" s="12" t="s">
        <v>73</v>
      </c>
      <c r="AH340" s="8" t="s">
        <v>35</v>
      </c>
    </row>
    <row r="341" spans="1:34">
      <c r="A341" s="8" t="s">
        <v>543</v>
      </c>
      <c r="B341" s="16" t="s">
        <v>532</v>
      </c>
      <c r="C341" s="8" t="s">
        <v>533</v>
      </c>
      <c r="D341" s="8" t="s">
        <v>534</v>
      </c>
      <c r="E341" s="8" t="str">
        <f t="shared" si="30"/>
        <v>ROSA</v>
      </c>
      <c r="G341" s="8" t="s">
        <v>2863</v>
      </c>
      <c r="H341" s="8" t="str">
        <f>VLOOKUP(A341,[1]BBDD!$B$1:$J$3274,9,FALSE)</f>
        <v>H</v>
      </c>
      <c r="I341" s="8" t="s">
        <v>2863</v>
      </c>
      <c r="J341" s="8" t="s">
        <v>535</v>
      </c>
      <c r="L341" s="8" t="s">
        <v>536</v>
      </c>
      <c r="N341" s="8" t="s">
        <v>180</v>
      </c>
      <c r="O341" s="8" t="s">
        <v>180</v>
      </c>
      <c r="P341" s="18" t="str">
        <f t="shared" si="33"/>
        <v>40</v>
      </c>
      <c r="Q341" s="8" t="s">
        <v>45</v>
      </c>
      <c r="R341" s="8">
        <v>0</v>
      </c>
      <c r="S341" s="8">
        <v>2</v>
      </c>
      <c r="T341" s="8">
        <f t="shared" si="28"/>
        <v>2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180</v>
      </c>
      <c r="AB341" s="9">
        <f t="shared" si="29"/>
        <v>0</v>
      </c>
      <c r="AC341" s="10" t="str">
        <f t="shared" si="31"/>
        <v>sin venta</v>
      </c>
      <c r="AD341" s="8" t="s">
        <v>568</v>
      </c>
      <c r="AE341" s="11">
        <v>69990</v>
      </c>
      <c r="AF341" s="11">
        <f t="shared" si="32"/>
        <v>139980</v>
      </c>
      <c r="AG341" s="12" t="s">
        <v>73</v>
      </c>
      <c r="AH341" s="8" t="s">
        <v>35</v>
      </c>
    </row>
    <row r="342" spans="1:34">
      <c r="A342" s="8" t="s">
        <v>544</v>
      </c>
      <c r="B342" s="16" t="s">
        <v>532</v>
      </c>
      <c r="C342" s="8" t="s">
        <v>533</v>
      </c>
      <c r="D342" s="8" t="s">
        <v>534</v>
      </c>
      <c r="E342" s="8" t="str">
        <f t="shared" si="30"/>
        <v>ROSA</v>
      </c>
      <c r="G342" s="8" t="s">
        <v>2863</v>
      </c>
      <c r="H342" s="8" t="str">
        <f>VLOOKUP(A342,[1]BBDD!$B$1:$J$3274,9,FALSE)</f>
        <v>H</v>
      </c>
      <c r="I342" s="8" t="s">
        <v>2863</v>
      </c>
      <c r="J342" s="8" t="s">
        <v>535</v>
      </c>
      <c r="L342" s="8" t="s">
        <v>536</v>
      </c>
      <c r="N342" s="8" t="s">
        <v>180</v>
      </c>
      <c r="O342" s="8" t="s">
        <v>180</v>
      </c>
      <c r="P342" s="18" t="str">
        <f t="shared" si="33"/>
        <v>42</v>
      </c>
      <c r="Q342" s="8" t="s">
        <v>45</v>
      </c>
      <c r="R342" s="8">
        <v>0</v>
      </c>
      <c r="S342" s="8">
        <v>1</v>
      </c>
      <c r="T342" s="8">
        <f t="shared" si="28"/>
        <v>1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180</v>
      </c>
      <c r="AB342" s="9">
        <f t="shared" si="29"/>
        <v>0</v>
      </c>
      <c r="AC342" s="10" t="str">
        <f t="shared" si="31"/>
        <v>sin venta</v>
      </c>
      <c r="AD342" s="8" t="s">
        <v>568</v>
      </c>
      <c r="AE342" s="11">
        <v>69990</v>
      </c>
      <c r="AF342" s="11">
        <f t="shared" si="32"/>
        <v>69990</v>
      </c>
      <c r="AG342" s="12" t="s">
        <v>73</v>
      </c>
      <c r="AH342" s="8" t="s">
        <v>35</v>
      </c>
    </row>
    <row r="343" spans="1:34">
      <c r="A343" s="8" t="s">
        <v>545</v>
      </c>
      <c r="B343" s="16" t="s">
        <v>532</v>
      </c>
      <c r="C343" s="8" t="s">
        <v>533</v>
      </c>
      <c r="D343" s="8" t="s">
        <v>534</v>
      </c>
      <c r="E343" s="8" t="str">
        <f t="shared" si="30"/>
        <v>ROSA</v>
      </c>
      <c r="G343" s="8" t="s">
        <v>2863</v>
      </c>
      <c r="H343" s="8" t="str">
        <f>VLOOKUP(A343,[1]BBDD!$B$1:$J$3274,9,FALSE)</f>
        <v>H</v>
      </c>
      <c r="I343" s="8" t="s">
        <v>2863</v>
      </c>
      <c r="J343" s="8" t="s">
        <v>535</v>
      </c>
      <c r="L343" s="8" t="s">
        <v>536</v>
      </c>
      <c r="N343" s="8" t="s">
        <v>180</v>
      </c>
      <c r="O343" s="8" t="s">
        <v>180</v>
      </c>
      <c r="P343" s="18" t="str">
        <f t="shared" si="33"/>
        <v>44</v>
      </c>
      <c r="Q343" s="8" t="s">
        <v>45</v>
      </c>
      <c r="R343" s="8">
        <v>0</v>
      </c>
      <c r="S343" s="8">
        <v>3</v>
      </c>
      <c r="T343" s="8">
        <f t="shared" si="28"/>
        <v>3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180</v>
      </c>
      <c r="AB343" s="9">
        <f t="shared" si="29"/>
        <v>0</v>
      </c>
      <c r="AC343" s="10" t="str">
        <f t="shared" si="31"/>
        <v>sin venta</v>
      </c>
      <c r="AD343" s="8" t="s">
        <v>568</v>
      </c>
      <c r="AE343" s="11">
        <v>69990</v>
      </c>
      <c r="AF343" s="11">
        <f t="shared" si="32"/>
        <v>209970</v>
      </c>
      <c r="AG343" s="12" t="s">
        <v>73</v>
      </c>
      <c r="AH343" s="8" t="s">
        <v>35</v>
      </c>
    </row>
    <row r="344" spans="1:34">
      <c r="A344" s="8" t="s">
        <v>546</v>
      </c>
      <c r="B344" s="16" t="s">
        <v>532</v>
      </c>
      <c r="C344" s="8" t="s">
        <v>533</v>
      </c>
      <c r="D344" s="8" t="s">
        <v>534</v>
      </c>
      <c r="E344" s="8" t="str">
        <f t="shared" si="30"/>
        <v>ROSA</v>
      </c>
      <c r="G344" s="8" t="s">
        <v>2863</v>
      </c>
      <c r="H344" s="8" t="str">
        <f>VLOOKUP(A344,[1]BBDD!$B$1:$J$3274,9,FALSE)</f>
        <v>H</v>
      </c>
      <c r="I344" s="8" t="s">
        <v>2863</v>
      </c>
      <c r="J344" s="8" t="s">
        <v>535</v>
      </c>
      <c r="L344" s="8" t="s">
        <v>536</v>
      </c>
      <c r="N344" s="8" t="s">
        <v>180</v>
      </c>
      <c r="O344" s="8" t="s">
        <v>180</v>
      </c>
      <c r="P344" s="18" t="str">
        <f t="shared" si="33"/>
        <v>46</v>
      </c>
      <c r="Q344" s="8" t="s">
        <v>45</v>
      </c>
      <c r="R344" s="8">
        <v>0</v>
      </c>
      <c r="S344" s="8">
        <v>2</v>
      </c>
      <c r="T344" s="8">
        <f t="shared" si="28"/>
        <v>2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180</v>
      </c>
      <c r="AB344" s="9">
        <f t="shared" si="29"/>
        <v>0</v>
      </c>
      <c r="AC344" s="10" t="str">
        <f t="shared" si="31"/>
        <v>sin venta</v>
      </c>
      <c r="AD344" s="8" t="s">
        <v>568</v>
      </c>
      <c r="AE344" s="11">
        <v>69990</v>
      </c>
      <c r="AF344" s="11">
        <f t="shared" si="32"/>
        <v>139980</v>
      </c>
      <c r="AG344" s="12" t="s">
        <v>73</v>
      </c>
      <c r="AH344" s="8" t="s">
        <v>35</v>
      </c>
    </row>
    <row r="345" spans="1:34">
      <c r="A345" s="8" t="s">
        <v>547</v>
      </c>
      <c r="B345" s="16" t="s">
        <v>532</v>
      </c>
      <c r="C345" s="8" t="s">
        <v>533</v>
      </c>
      <c r="D345" s="8" t="s">
        <v>534</v>
      </c>
      <c r="E345" s="8" t="str">
        <f t="shared" si="30"/>
        <v>ROSA</v>
      </c>
      <c r="G345" s="8" t="s">
        <v>2863</v>
      </c>
      <c r="H345" s="8" t="str">
        <f>VLOOKUP(A345,[1]BBDD!$B$1:$J$3274,9,FALSE)</f>
        <v>H</v>
      </c>
      <c r="I345" s="8" t="s">
        <v>2863</v>
      </c>
      <c r="J345" s="8" t="s">
        <v>535</v>
      </c>
      <c r="L345" s="8" t="s">
        <v>536</v>
      </c>
      <c r="N345" s="8" t="s">
        <v>180</v>
      </c>
      <c r="O345" s="8" t="s">
        <v>180</v>
      </c>
      <c r="P345" s="18" t="str">
        <f t="shared" si="33"/>
        <v>48</v>
      </c>
      <c r="Q345" s="8" t="s">
        <v>45</v>
      </c>
      <c r="R345" s="8">
        <v>0</v>
      </c>
      <c r="S345" s="8">
        <v>1</v>
      </c>
      <c r="T345" s="8">
        <f t="shared" ref="T345:T408" si="34">SUM(R345:S345)</f>
        <v>1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180</v>
      </c>
      <c r="AB345" s="9">
        <f t="shared" ref="AB345:AB408" si="35">SUM(U345:Z345)/AA345*30</f>
        <v>0</v>
      </c>
      <c r="AC345" s="10" t="str">
        <f t="shared" si="31"/>
        <v>sin venta</v>
      </c>
      <c r="AD345" s="8" t="s">
        <v>568</v>
      </c>
      <c r="AE345" s="11">
        <v>69990</v>
      </c>
      <c r="AF345" s="11">
        <f t="shared" si="32"/>
        <v>69990</v>
      </c>
      <c r="AG345" s="12" t="s">
        <v>73</v>
      </c>
      <c r="AH345" s="8" t="s">
        <v>35</v>
      </c>
    </row>
    <row r="346" spans="1:34">
      <c r="A346" s="8" t="s">
        <v>548</v>
      </c>
      <c r="B346" s="16" t="s">
        <v>532</v>
      </c>
      <c r="C346" s="8" t="s">
        <v>533</v>
      </c>
      <c r="D346" s="8" t="s">
        <v>534</v>
      </c>
      <c r="E346" s="8" t="str">
        <f t="shared" si="30"/>
        <v>ROSA</v>
      </c>
      <c r="G346" s="8" t="s">
        <v>2863</v>
      </c>
      <c r="H346" s="8" t="str">
        <f>VLOOKUP(A346,[1]BBDD!$B$1:$J$3274,9,FALSE)</f>
        <v>H</v>
      </c>
      <c r="I346" s="8" t="s">
        <v>2863</v>
      </c>
      <c r="J346" s="8" t="s">
        <v>535</v>
      </c>
      <c r="L346" s="8" t="s">
        <v>536</v>
      </c>
      <c r="N346" s="8" t="s">
        <v>180</v>
      </c>
      <c r="O346" s="8" t="s">
        <v>180</v>
      </c>
      <c r="P346" s="18" t="str">
        <f t="shared" si="33"/>
        <v>50</v>
      </c>
      <c r="Q346" s="8" t="s">
        <v>45</v>
      </c>
      <c r="R346" s="8">
        <v>0</v>
      </c>
      <c r="S346" s="8">
        <v>1</v>
      </c>
      <c r="T346" s="8">
        <f t="shared" si="34"/>
        <v>1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180</v>
      </c>
      <c r="AB346" s="9">
        <f t="shared" si="35"/>
        <v>0</v>
      </c>
      <c r="AC346" s="10" t="str">
        <f t="shared" si="31"/>
        <v>sin venta</v>
      </c>
      <c r="AD346" s="8" t="s">
        <v>568</v>
      </c>
      <c r="AE346" s="11">
        <v>69990</v>
      </c>
      <c r="AF346" s="11">
        <f t="shared" si="32"/>
        <v>69990</v>
      </c>
      <c r="AG346" s="12" t="s">
        <v>73</v>
      </c>
      <c r="AH346" s="8" t="s">
        <v>35</v>
      </c>
    </row>
    <row r="347" spans="1:34">
      <c r="A347" s="8" t="s">
        <v>549</v>
      </c>
      <c r="B347" s="16" t="s">
        <v>532</v>
      </c>
      <c r="C347" s="8" t="s">
        <v>533</v>
      </c>
      <c r="D347" s="8" t="s">
        <v>534</v>
      </c>
      <c r="E347" s="8" t="str">
        <f t="shared" si="30"/>
        <v>VERDE</v>
      </c>
      <c r="G347" s="8" t="s">
        <v>2863</v>
      </c>
      <c r="H347" s="8" t="str">
        <f>VLOOKUP(A347,[1]BBDD!$B$1:$J$3274,9,FALSE)</f>
        <v>H</v>
      </c>
      <c r="I347" s="8" t="s">
        <v>2863</v>
      </c>
      <c r="J347" s="8" t="s">
        <v>550</v>
      </c>
      <c r="L347" s="8" t="s">
        <v>536</v>
      </c>
      <c r="N347" s="8" t="s">
        <v>92</v>
      </c>
      <c r="O347" s="8" t="s">
        <v>92</v>
      </c>
      <c r="P347" s="18" t="str">
        <f t="shared" si="33"/>
        <v>38</v>
      </c>
      <c r="Q347" s="8" t="s">
        <v>45</v>
      </c>
      <c r="R347" s="8">
        <v>0</v>
      </c>
      <c r="S347" s="8">
        <v>1</v>
      </c>
      <c r="T347" s="8">
        <f t="shared" si="34"/>
        <v>1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180</v>
      </c>
      <c r="AB347" s="9">
        <f t="shared" si="35"/>
        <v>0</v>
      </c>
      <c r="AC347" s="10" t="str">
        <f t="shared" si="31"/>
        <v>sin venta</v>
      </c>
      <c r="AD347" s="8" t="s">
        <v>568</v>
      </c>
      <c r="AE347" s="11">
        <v>69990</v>
      </c>
      <c r="AF347" s="11">
        <f t="shared" si="32"/>
        <v>69990</v>
      </c>
      <c r="AG347" s="12" t="s">
        <v>73</v>
      </c>
      <c r="AH347" s="8" t="s">
        <v>35</v>
      </c>
    </row>
    <row r="348" spans="1:34">
      <c r="A348" s="8" t="s">
        <v>551</v>
      </c>
      <c r="B348" s="16" t="s">
        <v>532</v>
      </c>
      <c r="C348" s="8" t="s">
        <v>533</v>
      </c>
      <c r="D348" s="8" t="s">
        <v>534</v>
      </c>
      <c r="E348" s="8" t="str">
        <f t="shared" si="30"/>
        <v>VERDE</v>
      </c>
      <c r="G348" s="8" t="s">
        <v>2863</v>
      </c>
      <c r="H348" s="8" t="str">
        <f>VLOOKUP(A348,[1]BBDD!$B$1:$J$3274,9,FALSE)</f>
        <v>H</v>
      </c>
      <c r="I348" s="8" t="s">
        <v>2863</v>
      </c>
      <c r="J348" s="8" t="s">
        <v>550</v>
      </c>
      <c r="L348" s="8" t="s">
        <v>536</v>
      </c>
      <c r="N348" s="8" t="s">
        <v>92</v>
      </c>
      <c r="O348" s="8" t="s">
        <v>92</v>
      </c>
      <c r="P348" s="18" t="str">
        <f t="shared" si="33"/>
        <v>40</v>
      </c>
      <c r="Q348" s="8" t="s">
        <v>45</v>
      </c>
      <c r="R348" s="8">
        <v>0</v>
      </c>
      <c r="S348" s="8">
        <v>1</v>
      </c>
      <c r="T348" s="8">
        <f t="shared" si="34"/>
        <v>1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180</v>
      </c>
      <c r="AB348" s="9">
        <f t="shared" si="35"/>
        <v>0</v>
      </c>
      <c r="AC348" s="10" t="str">
        <f t="shared" si="31"/>
        <v>sin venta</v>
      </c>
      <c r="AD348" s="8" t="s">
        <v>568</v>
      </c>
      <c r="AE348" s="11">
        <v>69990</v>
      </c>
      <c r="AF348" s="11">
        <f t="shared" si="32"/>
        <v>69990</v>
      </c>
      <c r="AG348" s="12" t="s">
        <v>73</v>
      </c>
      <c r="AH348" s="8" t="s">
        <v>35</v>
      </c>
    </row>
    <row r="349" spans="1:34">
      <c r="A349" s="8" t="s">
        <v>552</v>
      </c>
      <c r="B349" s="16" t="s">
        <v>532</v>
      </c>
      <c r="C349" s="8" t="s">
        <v>533</v>
      </c>
      <c r="D349" s="8" t="s">
        <v>534</v>
      </c>
      <c r="E349" s="8" t="str">
        <f t="shared" si="30"/>
        <v>VERDE</v>
      </c>
      <c r="G349" s="8" t="s">
        <v>2863</v>
      </c>
      <c r="H349" s="8" t="str">
        <f>VLOOKUP(A349,[1]BBDD!$B$1:$J$3274,9,FALSE)</f>
        <v>H</v>
      </c>
      <c r="I349" s="8" t="s">
        <v>2863</v>
      </c>
      <c r="J349" s="8" t="s">
        <v>550</v>
      </c>
      <c r="L349" s="8" t="s">
        <v>536</v>
      </c>
      <c r="N349" s="8" t="s">
        <v>92</v>
      </c>
      <c r="O349" s="8" t="s">
        <v>92</v>
      </c>
      <c r="P349" s="18" t="str">
        <f t="shared" si="33"/>
        <v>42</v>
      </c>
      <c r="Q349" s="8" t="s">
        <v>45</v>
      </c>
      <c r="R349" s="8">
        <v>0</v>
      </c>
      <c r="S349" s="8">
        <v>1</v>
      </c>
      <c r="T349" s="8">
        <f t="shared" si="34"/>
        <v>1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180</v>
      </c>
      <c r="AB349" s="9">
        <f t="shared" si="35"/>
        <v>0</v>
      </c>
      <c r="AC349" s="10" t="str">
        <f t="shared" si="31"/>
        <v>sin venta</v>
      </c>
      <c r="AD349" s="8" t="s">
        <v>568</v>
      </c>
      <c r="AE349" s="11">
        <v>69990</v>
      </c>
      <c r="AF349" s="11">
        <f t="shared" si="32"/>
        <v>69990</v>
      </c>
      <c r="AG349" s="12" t="s">
        <v>73</v>
      </c>
      <c r="AH349" s="8" t="s">
        <v>35</v>
      </c>
    </row>
    <row r="350" spans="1:34">
      <c r="A350" s="8" t="s">
        <v>553</v>
      </c>
      <c r="B350" s="16" t="s">
        <v>532</v>
      </c>
      <c r="C350" s="8" t="s">
        <v>533</v>
      </c>
      <c r="D350" s="8" t="s">
        <v>534</v>
      </c>
      <c r="E350" s="8" t="str">
        <f t="shared" si="30"/>
        <v>VERDE</v>
      </c>
      <c r="G350" s="8" t="s">
        <v>2863</v>
      </c>
      <c r="H350" s="8" t="str">
        <f>VLOOKUP(A350,[1]BBDD!$B$1:$J$3274,9,FALSE)</f>
        <v>H</v>
      </c>
      <c r="I350" s="8" t="s">
        <v>2863</v>
      </c>
      <c r="J350" s="8" t="s">
        <v>550</v>
      </c>
      <c r="L350" s="8" t="s">
        <v>536</v>
      </c>
      <c r="N350" s="8" t="s">
        <v>92</v>
      </c>
      <c r="O350" s="8" t="s">
        <v>92</v>
      </c>
      <c r="P350" s="18" t="str">
        <f t="shared" si="33"/>
        <v>44</v>
      </c>
      <c r="Q350" s="8" t="s">
        <v>45</v>
      </c>
      <c r="R350" s="8">
        <v>0</v>
      </c>
      <c r="S350" s="8">
        <v>3</v>
      </c>
      <c r="T350" s="8">
        <f t="shared" si="34"/>
        <v>3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180</v>
      </c>
      <c r="AB350" s="9">
        <f t="shared" si="35"/>
        <v>0</v>
      </c>
      <c r="AC350" s="10" t="str">
        <f t="shared" si="31"/>
        <v>sin venta</v>
      </c>
      <c r="AD350" s="8" t="s">
        <v>568</v>
      </c>
      <c r="AE350" s="11">
        <v>69990</v>
      </c>
      <c r="AF350" s="11">
        <f t="shared" si="32"/>
        <v>209970</v>
      </c>
      <c r="AG350" s="12" t="s">
        <v>73</v>
      </c>
      <c r="AH350" s="8" t="s">
        <v>35</v>
      </c>
    </row>
    <row r="351" spans="1:34">
      <c r="A351" s="8" t="s">
        <v>554</v>
      </c>
      <c r="B351" s="16" t="s">
        <v>532</v>
      </c>
      <c r="C351" s="8" t="s">
        <v>533</v>
      </c>
      <c r="D351" s="8" t="s">
        <v>534</v>
      </c>
      <c r="E351" s="8" t="str">
        <f t="shared" si="30"/>
        <v>VERDE</v>
      </c>
      <c r="G351" s="8" t="s">
        <v>2863</v>
      </c>
      <c r="H351" s="8" t="str">
        <f>VLOOKUP(A351,[1]BBDD!$B$1:$J$3274,9,FALSE)</f>
        <v>H</v>
      </c>
      <c r="I351" s="8" t="s">
        <v>2863</v>
      </c>
      <c r="J351" s="8" t="s">
        <v>550</v>
      </c>
      <c r="L351" s="8" t="s">
        <v>536</v>
      </c>
      <c r="N351" s="8" t="s">
        <v>92</v>
      </c>
      <c r="O351" s="8" t="s">
        <v>92</v>
      </c>
      <c r="P351" s="18" t="str">
        <f t="shared" si="33"/>
        <v>46</v>
      </c>
      <c r="Q351" s="8" t="s">
        <v>45</v>
      </c>
      <c r="R351" s="8">
        <v>0</v>
      </c>
      <c r="S351" s="8">
        <v>2</v>
      </c>
      <c r="T351" s="8">
        <f t="shared" si="34"/>
        <v>2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180</v>
      </c>
      <c r="AB351" s="9">
        <f t="shared" si="35"/>
        <v>0</v>
      </c>
      <c r="AC351" s="10" t="str">
        <f t="shared" si="31"/>
        <v>sin venta</v>
      </c>
      <c r="AD351" s="8" t="s">
        <v>568</v>
      </c>
      <c r="AE351" s="11">
        <v>69990</v>
      </c>
      <c r="AF351" s="11">
        <f t="shared" si="32"/>
        <v>139980</v>
      </c>
      <c r="AG351" s="12" t="s">
        <v>73</v>
      </c>
      <c r="AH351" s="8" t="s">
        <v>35</v>
      </c>
    </row>
    <row r="352" spans="1:34">
      <c r="A352" s="8" t="s">
        <v>555</v>
      </c>
      <c r="B352" s="16" t="s">
        <v>532</v>
      </c>
      <c r="C352" s="8" t="s">
        <v>533</v>
      </c>
      <c r="D352" s="8" t="s">
        <v>534</v>
      </c>
      <c r="E352" s="8" t="str">
        <f t="shared" si="30"/>
        <v>VERDE</v>
      </c>
      <c r="G352" s="8" t="s">
        <v>2863</v>
      </c>
      <c r="H352" s="8" t="str">
        <f>VLOOKUP(A352,[1]BBDD!$B$1:$J$3274,9,FALSE)</f>
        <v>H</v>
      </c>
      <c r="I352" s="8" t="s">
        <v>2863</v>
      </c>
      <c r="J352" s="8" t="s">
        <v>550</v>
      </c>
      <c r="L352" s="8" t="s">
        <v>536</v>
      </c>
      <c r="N352" s="8" t="s">
        <v>92</v>
      </c>
      <c r="O352" s="8" t="s">
        <v>92</v>
      </c>
      <c r="P352" s="18" t="str">
        <f t="shared" si="33"/>
        <v>48</v>
      </c>
      <c r="Q352" s="8" t="s">
        <v>45</v>
      </c>
      <c r="R352" s="8">
        <v>0</v>
      </c>
      <c r="S352" s="8">
        <v>1</v>
      </c>
      <c r="T352" s="8">
        <f t="shared" si="34"/>
        <v>1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180</v>
      </c>
      <c r="AB352" s="9">
        <f t="shared" si="35"/>
        <v>0</v>
      </c>
      <c r="AC352" s="10" t="str">
        <f t="shared" si="31"/>
        <v>sin venta</v>
      </c>
      <c r="AD352" s="8" t="s">
        <v>568</v>
      </c>
      <c r="AE352" s="11">
        <v>69990</v>
      </c>
      <c r="AF352" s="11">
        <f t="shared" si="32"/>
        <v>69990</v>
      </c>
      <c r="AG352" s="12" t="s">
        <v>73</v>
      </c>
      <c r="AH352" s="8" t="s">
        <v>35</v>
      </c>
    </row>
    <row r="353" spans="1:34">
      <c r="A353" s="8" t="s">
        <v>556</v>
      </c>
      <c r="B353" s="16" t="s">
        <v>532</v>
      </c>
      <c r="C353" s="8" t="s">
        <v>533</v>
      </c>
      <c r="D353" s="8" t="s">
        <v>534</v>
      </c>
      <c r="E353" s="8" t="str">
        <f t="shared" si="30"/>
        <v>VERDE</v>
      </c>
      <c r="G353" s="8" t="s">
        <v>2863</v>
      </c>
      <c r="H353" s="8" t="str">
        <f>VLOOKUP(A353,[1]BBDD!$B$1:$J$3274,9,FALSE)</f>
        <v>H</v>
      </c>
      <c r="I353" s="8" t="s">
        <v>2863</v>
      </c>
      <c r="J353" s="8" t="s">
        <v>550</v>
      </c>
      <c r="L353" s="8" t="s">
        <v>536</v>
      </c>
      <c r="N353" s="8" t="s">
        <v>92</v>
      </c>
      <c r="O353" s="8" t="s">
        <v>92</v>
      </c>
      <c r="P353" s="18" t="str">
        <f t="shared" si="33"/>
        <v>50</v>
      </c>
      <c r="Q353" s="8" t="s">
        <v>45</v>
      </c>
      <c r="R353" s="8">
        <v>0</v>
      </c>
      <c r="S353" s="8">
        <v>1</v>
      </c>
      <c r="T353" s="8">
        <f t="shared" si="34"/>
        <v>1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180</v>
      </c>
      <c r="AB353" s="9">
        <f t="shared" si="35"/>
        <v>0</v>
      </c>
      <c r="AC353" s="10" t="str">
        <f t="shared" si="31"/>
        <v>sin venta</v>
      </c>
      <c r="AD353" s="8" t="s">
        <v>568</v>
      </c>
      <c r="AE353" s="11">
        <v>69990</v>
      </c>
      <c r="AF353" s="11">
        <f t="shared" si="32"/>
        <v>69990</v>
      </c>
      <c r="AG353" s="12" t="s">
        <v>73</v>
      </c>
      <c r="AH353" s="8" t="s">
        <v>35</v>
      </c>
    </row>
    <row r="354" spans="1:34">
      <c r="A354" s="8" t="s">
        <v>557</v>
      </c>
      <c r="B354" s="16" t="s">
        <v>532</v>
      </c>
      <c r="C354" s="8" t="s">
        <v>533</v>
      </c>
      <c r="D354" s="8" t="s">
        <v>534</v>
      </c>
      <c r="E354" s="8" t="str">
        <f t="shared" si="30"/>
        <v>VERDE</v>
      </c>
      <c r="G354" s="8" t="s">
        <v>2863</v>
      </c>
      <c r="H354" s="8" t="str">
        <f>VLOOKUP(A354,[1]BBDD!$B$1:$J$3274,9,FALSE)</f>
        <v>H</v>
      </c>
      <c r="I354" s="8" t="s">
        <v>2863</v>
      </c>
      <c r="J354" s="8" t="s">
        <v>558</v>
      </c>
      <c r="L354" s="8" t="s">
        <v>536</v>
      </c>
      <c r="N354" s="8" t="s">
        <v>92</v>
      </c>
      <c r="O354" s="8" t="s">
        <v>92</v>
      </c>
      <c r="P354" s="18" t="str">
        <f t="shared" si="33"/>
        <v>40</v>
      </c>
      <c r="Q354" s="8" t="s">
        <v>45</v>
      </c>
      <c r="R354" s="8">
        <v>0</v>
      </c>
      <c r="S354" s="8">
        <v>1</v>
      </c>
      <c r="T354" s="8">
        <f t="shared" si="34"/>
        <v>1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180</v>
      </c>
      <c r="AB354" s="9">
        <f t="shared" si="35"/>
        <v>0</v>
      </c>
      <c r="AC354" s="10" t="str">
        <f t="shared" si="31"/>
        <v>sin venta</v>
      </c>
      <c r="AD354" s="8" t="s">
        <v>568</v>
      </c>
      <c r="AE354" s="11">
        <v>69990</v>
      </c>
      <c r="AF354" s="11">
        <f t="shared" si="32"/>
        <v>69990</v>
      </c>
      <c r="AG354" s="12" t="s">
        <v>73</v>
      </c>
      <c r="AH354" s="8" t="s">
        <v>35</v>
      </c>
    </row>
    <row r="355" spans="1:34">
      <c r="A355" s="8" t="s">
        <v>559</v>
      </c>
      <c r="B355" s="16" t="s">
        <v>532</v>
      </c>
      <c r="C355" s="8" t="s">
        <v>533</v>
      </c>
      <c r="D355" s="8" t="s">
        <v>534</v>
      </c>
      <c r="E355" s="8" t="str">
        <f t="shared" si="30"/>
        <v>VERDE</v>
      </c>
      <c r="G355" s="8" t="s">
        <v>2863</v>
      </c>
      <c r="H355" s="8" t="str">
        <f>VLOOKUP(A355,[1]BBDD!$B$1:$J$3274,9,FALSE)</f>
        <v>H</v>
      </c>
      <c r="I355" s="8" t="s">
        <v>2863</v>
      </c>
      <c r="J355" s="8" t="s">
        <v>558</v>
      </c>
      <c r="L355" s="8" t="s">
        <v>536</v>
      </c>
      <c r="N355" s="8" t="s">
        <v>92</v>
      </c>
      <c r="O355" s="8" t="s">
        <v>92</v>
      </c>
      <c r="P355" s="18" t="str">
        <f t="shared" si="33"/>
        <v>42</v>
      </c>
      <c r="Q355" s="8" t="s">
        <v>45</v>
      </c>
      <c r="R355" s="8">
        <v>0</v>
      </c>
      <c r="S355" s="8">
        <v>1</v>
      </c>
      <c r="T355" s="8">
        <f t="shared" si="34"/>
        <v>1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180</v>
      </c>
      <c r="AB355" s="9">
        <f t="shared" si="35"/>
        <v>0</v>
      </c>
      <c r="AC355" s="10" t="str">
        <f t="shared" si="31"/>
        <v>sin venta</v>
      </c>
      <c r="AD355" s="8" t="s">
        <v>568</v>
      </c>
      <c r="AE355" s="11">
        <v>69990</v>
      </c>
      <c r="AF355" s="11">
        <f t="shared" si="32"/>
        <v>69990</v>
      </c>
      <c r="AG355" s="12" t="s">
        <v>73</v>
      </c>
      <c r="AH355" s="8" t="s">
        <v>35</v>
      </c>
    </row>
    <row r="356" spans="1:34">
      <c r="A356" s="8" t="s">
        <v>560</v>
      </c>
      <c r="B356" s="16" t="s">
        <v>532</v>
      </c>
      <c r="C356" s="8" t="s">
        <v>533</v>
      </c>
      <c r="D356" s="8" t="s">
        <v>534</v>
      </c>
      <c r="E356" s="8" t="str">
        <f t="shared" si="30"/>
        <v>VERDE</v>
      </c>
      <c r="G356" s="8" t="s">
        <v>2863</v>
      </c>
      <c r="H356" s="8" t="str">
        <f>VLOOKUP(A356,[1]BBDD!$B$1:$J$3274,9,FALSE)</f>
        <v>H</v>
      </c>
      <c r="I356" s="8" t="s">
        <v>2863</v>
      </c>
      <c r="J356" s="8" t="s">
        <v>558</v>
      </c>
      <c r="L356" s="8" t="s">
        <v>536</v>
      </c>
      <c r="N356" s="8" t="s">
        <v>92</v>
      </c>
      <c r="O356" s="8" t="s">
        <v>92</v>
      </c>
      <c r="P356" s="18" t="str">
        <f t="shared" si="33"/>
        <v>44</v>
      </c>
      <c r="Q356" s="8" t="s">
        <v>45</v>
      </c>
      <c r="R356" s="8">
        <v>0</v>
      </c>
      <c r="S356" s="8">
        <v>3</v>
      </c>
      <c r="T356" s="8">
        <f t="shared" si="34"/>
        <v>3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180</v>
      </c>
      <c r="AB356" s="9">
        <f t="shared" si="35"/>
        <v>0</v>
      </c>
      <c r="AC356" s="10" t="str">
        <f t="shared" si="31"/>
        <v>sin venta</v>
      </c>
      <c r="AD356" s="8" t="s">
        <v>568</v>
      </c>
      <c r="AE356" s="11">
        <v>69990</v>
      </c>
      <c r="AF356" s="11">
        <f t="shared" si="32"/>
        <v>209970</v>
      </c>
      <c r="AG356" s="12" t="s">
        <v>73</v>
      </c>
      <c r="AH356" s="8" t="s">
        <v>35</v>
      </c>
    </row>
    <row r="357" spans="1:34">
      <c r="A357" s="8" t="s">
        <v>561</v>
      </c>
      <c r="B357" s="16" t="s">
        <v>532</v>
      </c>
      <c r="C357" s="8" t="s">
        <v>533</v>
      </c>
      <c r="D357" s="8" t="s">
        <v>534</v>
      </c>
      <c r="E357" s="8" t="str">
        <f t="shared" si="30"/>
        <v>VERDE</v>
      </c>
      <c r="G357" s="8" t="s">
        <v>2863</v>
      </c>
      <c r="H357" s="8" t="str">
        <f>VLOOKUP(A357,[1]BBDD!$B$1:$J$3274,9,FALSE)</f>
        <v>H</v>
      </c>
      <c r="I357" s="8" t="s">
        <v>2863</v>
      </c>
      <c r="J357" s="8" t="s">
        <v>558</v>
      </c>
      <c r="L357" s="8" t="s">
        <v>536</v>
      </c>
      <c r="N357" s="8" t="s">
        <v>92</v>
      </c>
      <c r="O357" s="8" t="s">
        <v>92</v>
      </c>
      <c r="P357" s="18" t="str">
        <f t="shared" si="33"/>
        <v>46</v>
      </c>
      <c r="Q357" s="8" t="s">
        <v>45</v>
      </c>
      <c r="R357" s="8">
        <v>0</v>
      </c>
      <c r="S357" s="8">
        <v>2</v>
      </c>
      <c r="T357" s="8">
        <f t="shared" si="34"/>
        <v>2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180</v>
      </c>
      <c r="AB357" s="9">
        <f t="shared" si="35"/>
        <v>0</v>
      </c>
      <c r="AC357" s="10" t="str">
        <f t="shared" si="31"/>
        <v>sin venta</v>
      </c>
      <c r="AD357" s="8" t="s">
        <v>568</v>
      </c>
      <c r="AE357" s="11">
        <v>69990</v>
      </c>
      <c r="AF357" s="11">
        <f t="shared" si="32"/>
        <v>139980</v>
      </c>
      <c r="AG357" s="12" t="s">
        <v>73</v>
      </c>
      <c r="AH357" s="8" t="s">
        <v>35</v>
      </c>
    </row>
    <row r="358" spans="1:34">
      <c r="A358" s="8" t="s">
        <v>562</v>
      </c>
      <c r="B358" s="16" t="s">
        <v>532</v>
      </c>
      <c r="C358" s="8" t="s">
        <v>533</v>
      </c>
      <c r="D358" s="8" t="s">
        <v>534</v>
      </c>
      <c r="E358" s="8" t="str">
        <f t="shared" si="30"/>
        <v>VERDE</v>
      </c>
      <c r="G358" s="8" t="s">
        <v>2863</v>
      </c>
      <c r="H358" s="8" t="str">
        <f>VLOOKUP(A358,[1]BBDD!$B$1:$J$3274,9,FALSE)</f>
        <v>H</v>
      </c>
      <c r="I358" s="8" t="s">
        <v>2863</v>
      </c>
      <c r="J358" s="8" t="s">
        <v>558</v>
      </c>
      <c r="L358" s="8" t="s">
        <v>536</v>
      </c>
      <c r="N358" s="8" t="s">
        <v>92</v>
      </c>
      <c r="O358" s="8" t="s">
        <v>92</v>
      </c>
      <c r="P358" s="18" t="str">
        <f t="shared" si="33"/>
        <v>48</v>
      </c>
      <c r="Q358" s="8" t="s">
        <v>45</v>
      </c>
      <c r="R358" s="8">
        <v>0</v>
      </c>
      <c r="S358" s="8">
        <v>1</v>
      </c>
      <c r="T358" s="8">
        <f t="shared" si="34"/>
        <v>1</v>
      </c>
      <c r="U358" s="8">
        <v>0</v>
      </c>
      <c r="V358" s="8">
        <v>0</v>
      </c>
      <c r="W358" s="8">
        <v>0</v>
      </c>
      <c r="X358" s="8">
        <v>0</v>
      </c>
      <c r="Y358" s="8">
        <v>1</v>
      </c>
      <c r="Z358" s="8">
        <v>0</v>
      </c>
      <c r="AA358" s="8">
        <v>180</v>
      </c>
      <c r="AB358" s="9">
        <f t="shared" si="35"/>
        <v>0.16666666666666669</v>
      </c>
      <c r="AC358" s="10">
        <f t="shared" si="31"/>
        <v>5.9999999999999991</v>
      </c>
      <c r="AD358" s="8" t="s">
        <v>568</v>
      </c>
      <c r="AE358" s="11">
        <v>69990</v>
      </c>
      <c r="AF358" s="11">
        <f t="shared" si="32"/>
        <v>69990</v>
      </c>
      <c r="AG358" s="12" t="s">
        <v>34</v>
      </c>
      <c r="AH358" s="8" t="s">
        <v>35</v>
      </c>
    </row>
    <row r="359" spans="1:34">
      <c r="A359" s="8" t="s">
        <v>563</v>
      </c>
      <c r="B359" s="16" t="s">
        <v>532</v>
      </c>
      <c r="C359" s="8" t="s">
        <v>533</v>
      </c>
      <c r="D359" s="8" t="s">
        <v>534</v>
      </c>
      <c r="E359" s="8" t="str">
        <f t="shared" si="30"/>
        <v>VERDE</v>
      </c>
      <c r="G359" s="8" t="s">
        <v>2863</v>
      </c>
      <c r="H359" s="8" t="str">
        <f>VLOOKUP(A359,[1]BBDD!$B$1:$J$3274,9,FALSE)</f>
        <v>H</v>
      </c>
      <c r="I359" s="8" t="s">
        <v>2863</v>
      </c>
      <c r="J359" s="8" t="s">
        <v>558</v>
      </c>
      <c r="L359" s="8" t="s">
        <v>536</v>
      </c>
      <c r="N359" s="8" t="s">
        <v>92</v>
      </c>
      <c r="O359" s="8" t="s">
        <v>92</v>
      </c>
      <c r="P359" s="18" t="str">
        <f t="shared" si="33"/>
        <v>50</v>
      </c>
      <c r="Q359" s="8" t="s">
        <v>45</v>
      </c>
      <c r="R359" s="8">
        <v>0</v>
      </c>
      <c r="S359" s="8">
        <v>1</v>
      </c>
      <c r="T359" s="8">
        <f t="shared" si="34"/>
        <v>1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180</v>
      </c>
      <c r="AB359" s="9">
        <f t="shared" si="35"/>
        <v>0</v>
      </c>
      <c r="AC359" s="10" t="str">
        <f t="shared" si="31"/>
        <v>sin venta</v>
      </c>
      <c r="AD359" s="8" t="s">
        <v>568</v>
      </c>
      <c r="AE359" s="11">
        <v>69990</v>
      </c>
      <c r="AF359" s="11">
        <f t="shared" si="32"/>
        <v>69990</v>
      </c>
      <c r="AG359" s="12" t="s">
        <v>73</v>
      </c>
      <c r="AH359" s="8" t="s">
        <v>35</v>
      </c>
    </row>
    <row r="360" spans="1:34">
      <c r="A360" s="8" t="s">
        <v>564</v>
      </c>
      <c r="B360" s="16" t="s">
        <v>532</v>
      </c>
      <c r="C360" s="8" t="s">
        <v>533</v>
      </c>
      <c r="D360" s="8" t="s">
        <v>534</v>
      </c>
      <c r="E360" s="8" t="str">
        <f t="shared" si="30"/>
        <v>BEIGE (42)</v>
      </c>
      <c r="G360" s="8" t="s">
        <v>2863</v>
      </c>
      <c r="H360" s="8" t="str">
        <f>VLOOKUP(A360,[1]BBDD!$B$1:$J$3274,9,FALSE)</f>
        <v>H</v>
      </c>
      <c r="I360" s="8" t="s">
        <v>2863</v>
      </c>
      <c r="J360" s="8" t="s">
        <v>565</v>
      </c>
      <c r="L360" s="8" t="s">
        <v>566</v>
      </c>
      <c r="N360" s="8" t="s">
        <v>567</v>
      </c>
      <c r="O360" s="20" t="s">
        <v>516</v>
      </c>
      <c r="P360" s="18" t="str">
        <f t="shared" si="33"/>
        <v>42</v>
      </c>
      <c r="Q360" s="8" t="s">
        <v>45</v>
      </c>
      <c r="R360" s="8">
        <v>0</v>
      </c>
      <c r="S360" s="8">
        <v>1</v>
      </c>
      <c r="T360" s="8">
        <f t="shared" si="34"/>
        <v>1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180</v>
      </c>
      <c r="AB360" s="9">
        <f t="shared" si="35"/>
        <v>0</v>
      </c>
      <c r="AC360" s="10" t="str">
        <f t="shared" si="31"/>
        <v>sin venta</v>
      </c>
      <c r="AD360" s="8" t="s">
        <v>568</v>
      </c>
      <c r="AE360" s="11">
        <v>69990</v>
      </c>
      <c r="AF360" s="11">
        <f t="shared" si="32"/>
        <v>69990</v>
      </c>
      <c r="AG360" s="12" t="s">
        <v>73</v>
      </c>
      <c r="AH360" s="8" t="s">
        <v>35</v>
      </c>
    </row>
    <row r="361" spans="1:34">
      <c r="A361" s="8" t="s">
        <v>569</v>
      </c>
      <c r="B361" s="16" t="s">
        <v>532</v>
      </c>
      <c r="C361" s="8" t="s">
        <v>533</v>
      </c>
      <c r="D361" s="8" t="s">
        <v>534</v>
      </c>
      <c r="E361" s="8" t="str">
        <f t="shared" si="30"/>
        <v>CELESTE (46)</v>
      </c>
      <c r="G361" s="8" t="s">
        <v>2863</v>
      </c>
      <c r="H361" s="8" t="str">
        <f>VLOOKUP(A361,[1]BBDD!$B$1:$J$3274,9,FALSE)</f>
        <v>H</v>
      </c>
      <c r="I361" s="8" t="s">
        <v>2863</v>
      </c>
      <c r="J361" s="8" t="s">
        <v>565</v>
      </c>
      <c r="L361" s="8" t="s">
        <v>566</v>
      </c>
      <c r="N361" s="8" t="s">
        <v>570</v>
      </c>
      <c r="O361" s="20" t="s">
        <v>608</v>
      </c>
      <c r="P361" s="18" t="str">
        <f t="shared" si="33"/>
        <v>46</v>
      </c>
      <c r="Q361" s="8" t="s">
        <v>45</v>
      </c>
      <c r="R361" s="8">
        <v>0</v>
      </c>
      <c r="S361" s="8">
        <v>1</v>
      </c>
      <c r="T361" s="8">
        <f t="shared" si="34"/>
        <v>1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180</v>
      </c>
      <c r="AB361" s="9">
        <f t="shared" si="35"/>
        <v>0</v>
      </c>
      <c r="AC361" s="10" t="str">
        <f t="shared" si="31"/>
        <v>sin venta</v>
      </c>
      <c r="AD361" s="8" t="s">
        <v>568</v>
      </c>
      <c r="AE361" s="11">
        <v>69990</v>
      </c>
      <c r="AF361" s="11">
        <f t="shared" si="32"/>
        <v>69990</v>
      </c>
      <c r="AG361" s="12" t="s">
        <v>73</v>
      </c>
      <c r="AH361" s="8" t="s">
        <v>35</v>
      </c>
    </row>
    <row r="362" spans="1:34">
      <c r="A362" s="8" t="s">
        <v>571</v>
      </c>
      <c r="B362" s="16" t="s">
        <v>572</v>
      </c>
      <c r="C362" s="8" t="s">
        <v>533</v>
      </c>
      <c r="D362" s="8" t="s">
        <v>534</v>
      </c>
      <c r="E362" s="8" t="str">
        <f t="shared" si="30"/>
        <v>CUADRITOS</v>
      </c>
      <c r="G362" s="8" t="s">
        <v>2863</v>
      </c>
      <c r="H362" s="8" t="str">
        <f>VLOOKUP(A362,[1]BBDD!$B$1:$J$3274,9,FALSE)</f>
        <v>H</v>
      </c>
      <c r="I362" s="8" t="s">
        <v>2863</v>
      </c>
      <c r="J362" s="8" t="s">
        <v>573</v>
      </c>
      <c r="L362" s="8" t="s">
        <v>566</v>
      </c>
      <c r="N362" s="8" t="s">
        <v>574</v>
      </c>
      <c r="O362" s="8" t="s">
        <v>574</v>
      </c>
      <c r="P362" s="18" t="str">
        <f t="shared" si="33"/>
        <v>38</v>
      </c>
      <c r="Q362" s="8" t="s">
        <v>45</v>
      </c>
      <c r="R362" s="8">
        <v>1</v>
      </c>
      <c r="S362" s="8">
        <v>3</v>
      </c>
      <c r="T362" s="8">
        <f t="shared" si="34"/>
        <v>4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180</v>
      </c>
      <c r="AB362" s="9">
        <f t="shared" si="35"/>
        <v>0</v>
      </c>
      <c r="AC362" s="10" t="str">
        <f t="shared" si="31"/>
        <v>sin venta</v>
      </c>
      <c r="AD362" s="8" t="s">
        <v>568</v>
      </c>
      <c r="AE362" s="11">
        <v>69990</v>
      </c>
      <c r="AF362" s="11">
        <f t="shared" si="32"/>
        <v>279960</v>
      </c>
      <c r="AG362" s="12" t="s">
        <v>73</v>
      </c>
      <c r="AH362" s="8" t="s">
        <v>35</v>
      </c>
    </row>
    <row r="363" spans="1:34">
      <c r="A363" s="8" t="s">
        <v>575</v>
      </c>
      <c r="B363" s="16" t="s">
        <v>572</v>
      </c>
      <c r="C363" s="8" t="s">
        <v>533</v>
      </c>
      <c r="D363" s="8" t="s">
        <v>534</v>
      </c>
      <c r="E363" s="8" t="str">
        <f t="shared" si="30"/>
        <v>CUADRITOS</v>
      </c>
      <c r="G363" s="8" t="s">
        <v>2863</v>
      </c>
      <c r="H363" s="8" t="str">
        <f>VLOOKUP(A363,[1]BBDD!$B$1:$J$3274,9,FALSE)</f>
        <v>H</v>
      </c>
      <c r="I363" s="8" t="s">
        <v>2863</v>
      </c>
      <c r="J363" s="8" t="s">
        <v>573</v>
      </c>
      <c r="L363" s="8" t="s">
        <v>566</v>
      </c>
      <c r="N363" s="8" t="s">
        <v>574</v>
      </c>
      <c r="O363" s="8" t="s">
        <v>574</v>
      </c>
      <c r="P363" s="18" t="str">
        <f t="shared" si="33"/>
        <v>40</v>
      </c>
      <c r="Q363" s="8" t="s">
        <v>45</v>
      </c>
      <c r="R363" s="8">
        <v>7</v>
      </c>
      <c r="S363" s="8">
        <v>5</v>
      </c>
      <c r="T363" s="8">
        <f t="shared" si="34"/>
        <v>12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180</v>
      </c>
      <c r="AB363" s="9">
        <f t="shared" si="35"/>
        <v>0</v>
      </c>
      <c r="AC363" s="10" t="str">
        <f t="shared" si="31"/>
        <v>sin venta</v>
      </c>
      <c r="AD363" s="8" t="s">
        <v>568</v>
      </c>
      <c r="AE363" s="11">
        <v>69990</v>
      </c>
      <c r="AF363" s="11">
        <f t="shared" si="32"/>
        <v>839880</v>
      </c>
      <c r="AG363" s="12" t="s">
        <v>73</v>
      </c>
      <c r="AH363" s="8" t="s">
        <v>65</v>
      </c>
    </row>
    <row r="364" spans="1:34">
      <c r="A364" s="8" t="s">
        <v>576</v>
      </c>
      <c r="B364" s="16" t="s">
        <v>572</v>
      </c>
      <c r="C364" s="8" t="s">
        <v>533</v>
      </c>
      <c r="D364" s="8" t="s">
        <v>534</v>
      </c>
      <c r="E364" s="8" t="str">
        <f t="shared" si="30"/>
        <v>CUADRITOS</v>
      </c>
      <c r="G364" s="8" t="s">
        <v>2863</v>
      </c>
      <c r="H364" s="8" t="str">
        <f>VLOOKUP(A364,[1]BBDD!$B$1:$J$3274,9,FALSE)</f>
        <v>H</v>
      </c>
      <c r="I364" s="8" t="s">
        <v>2863</v>
      </c>
      <c r="J364" s="8" t="s">
        <v>573</v>
      </c>
      <c r="L364" s="8" t="s">
        <v>566</v>
      </c>
      <c r="N364" s="8" t="s">
        <v>574</v>
      </c>
      <c r="O364" s="8" t="s">
        <v>574</v>
      </c>
      <c r="P364" s="18" t="str">
        <f t="shared" si="33"/>
        <v>42</v>
      </c>
      <c r="Q364" s="8" t="s">
        <v>45</v>
      </c>
      <c r="R364" s="8">
        <v>4</v>
      </c>
      <c r="S364" s="8">
        <v>5</v>
      </c>
      <c r="T364" s="8">
        <f t="shared" si="34"/>
        <v>9</v>
      </c>
      <c r="U364" s="8">
        <v>0</v>
      </c>
      <c r="V364" s="8">
        <v>0</v>
      </c>
      <c r="W364" s="8">
        <v>1</v>
      </c>
      <c r="X364" s="8">
        <v>0</v>
      </c>
      <c r="Y364" s="8">
        <v>1</v>
      </c>
      <c r="Z364" s="8">
        <v>1</v>
      </c>
      <c r="AA364" s="8">
        <v>180</v>
      </c>
      <c r="AB364" s="9">
        <f t="shared" si="35"/>
        <v>0.5</v>
      </c>
      <c r="AC364" s="10">
        <f t="shared" si="31"/>
        <v>18</v>
      </c>
      <c r="AD364" s="8" t="s">
        <v>568</v>
      </c>
      <c r="AE364" s="11">
        <v>69990</v>
      </c>
      <c r="AF364" s="11">
        <f t="shared" si="32"/>
        <v>629910</v>
      </c>
      <c r="AG364" s="12" t="s">
        <v>64</v>
      </c>
      <c r="AH364" s="8" t="s">
        <v>35</v>
      </c>
    </row>
    <row r="365" spans="1:34">
      <c r="A365" s="8" t="s">
        <v>577</v>
      </c>
      <c r="B365" s="16" t="s">
        <v>572</v>
      </c>
      <c r="C365" s="8" t="s">
        <v>533</v>
      </c>
      <c r="D365" s="8" t="s">
        <v>534</v>
      </c>
      <c r="E365" s="8" t="str">
        <f t="shared" si="30"/>
        <v>CUADRITOS</v>
      </c>
      <c r="G365" s="8" t="s">
        <v>2863</v>
      </c>
      <c r="H365" s="8" t="str">
        <f>VLOOKUP(A365,[1]BBDD!$B$1:$J$3274,9,FALSE)</f>
        <v>H</v>
      </c>
      <c r="I365" s="8" t="s">
        <v>2863</v>
      </c>
      <c r="J365" s="8" t="s">
        <v>573</v>
      </c>
      <c r="L365" s="8" t="s">
        <v>566</v>
      </c>
      <c r="N365" s="8" t="s">
        <v>574</v>
      </c>
      <c r="O365" s="8" t="s">
        <v>574</v>
      </c>
      <c r="P365" s="18" t="str">
        <f t="shared" si="33"/>
        <v>44</v>
      </c>
      <c r="Q365" s="8" t="s">
        <v>45</v>
      </c>
      <c r="R365" s="8">
        <v>0</v>
      </c>
      <c r="S365" s="8">
        <v>3</v>
      </c>
      <c r="T365" s="8">
        <f t="shared" si="34"/>
        <v>3</v>
      </c>
      <c r="U365" s="8">
        <v>0</v>
      </c>
      <c r="V365" s="8">
        <v>0</v>
      </c>
      <c r="W365" s="8">
        <v>0</v>
      </c>
      <c r="X365" s="8">
        <v>1</v>
      </c>
      <c r="Y365" s="8">
        <v>1</v>
      </c>
      <c r="Z365" s="8">
        <v>0</v>
      </c>
      <c r="AA365" s="8">
        <v>180</v>
      </c>
      <c r="AB365" s="9">
        <f t="shared" si="35"/>
        <v>0.33333333333333337</v>
      </c>
      <c r="AC365" s="10">
        <f t="shared" si="31"/>
        <v>8.9999999999999982</v>
      </c>
      <c r="AD365" s="8" t="s">
        <v>568</v>
      </c>
      <c r="AE365" s="11">
        <v>69990</v>
      </c>
      <c r="AF365" s="11">
        <f t="shared" si="32"/>
        <v>209970</v>
      </c>
      <c r="AG365" s="12" t="s">
        <v>51</v>
      </c>
      <c r="AH365" s="8" t="s">
        <v>35</v>
      </c>
    </row>
    <row r="366" spans="1:34">
      <c r="A366" s="8" t="s">
        <v>578</v>
      </c>
      <c r="B366" s="16" t="s">
        <v>572</v>
      </c>
      <c r="C366" s="8" t="s">
        <v>533</v>
      </c>
      <c r="D366" s="8" t="s">
        <v>534</v>
      </c>
      <c r="E366" s="8" t="str">
        <f t="shared" si="30"/>
        <v>NEGRO Y BLANCO</v>
      </c>
      <c r="G366" s="8" t="s">
        <v>2863</v>
      </c>
      <c r="H366" s="8" t="str">
        <f>VLOOKUP(A366,[1]BBDD!$B$1:$J$3274,9,FALSE)</f>
        <v>H</v>
      </c>
      <c r="I366" s="8" t="s">
        <v>2863</v>
      </c>
      <c r="J366" s="8" t="s">
        <v>579</v>
      </c>
      <c r="L366" s="8" t="s">
        <v>566</v>
      </c>
      <c r="N366" s="8" t="s">
        <v>580</v>
      </c>
      <c r="O366" s="8" t="s">
        <v>580</v>
      </c>
      <c r="P366" s="18" t="str">
        <f t="shared" si="33"/>
        <v>38</v>
      </c>
      <c r="Q366" s="8" t="s">
        <v>45</v>
      </c>
      <c r="R366" s="8">
        <v>0</v>
      </c>
      <c r="S366" s="8">
        <v>1</v>
      </c>
      <c r="T366" s="8">
        <f t="shared" si="34"/>
        <v>1</v>
      </c>
      <c r="U366" s="8">
        <v>1</v>
      </c>
      <c r="V366" s="8">
        <v>0</v>
      </c>
      <c r="W366" s="8">
        <v>0</v>
      </c>
      <c r="X366" s="8">
        <v>1</v>
      </c>
      <c r="Y366" s="8">
        <v>0</v>
      </c>
      <c r="Z366" s="8">
        <v>0</v>
      </c>
      <c r="AA366" s="8">
        <v>180</v>
      </c>
      <c r="AB366" s="9">
        <f t="shared" si="35"/>
        <v>0.33333333333333337</v>
      </c>
      <c r="AC366" s="10">
        <f t="shared" si="31"/>
        <v>2.9999999999999996</v>
      </c>
      <c r="AD366" s="8" t="s">
        <v>568</v>
      </c>
      <c r="AE366" s="11">
        <v>69990</v>
      </c>
      <c r="AF366" s="11">
        <f t="shared" si="32"/>
        <v>69990</v>
      </c>
      <c r="AG366" s="12" t="s">
        <v>34</v>
      </c>
      <c r="AH366" s="8" t="s">
        <v>35</v>
      </c>
    </row>
    <row r="367" spans="1:34">
      <c r="A367" s="8" t="s">
        <v>581</v>
      </c>
      <c r="B367" s="16" t="s">
        <v>572</v>
      </c>
      <c r="C367" s="8" t="s">
        <v>533</v>
      </c>
      <c r="D367" s="8" t="s">
        <v>534</v>
      </c>
      <c r="E367" s="8" t="str">
        <f t="shared" si="30"/>
        <v>NEGRO Y BLANCO</v>
      </c>
      <c r="G367" s="8" t="s">
        <v>2863</v>
      </c>
      <c r="H367" s="8" t="str">
        <f>VLOOKUP(A367,[1]BBDD!$B$1:$J$3274,9,FALSE)</f>
        <v>H</v>
      </c>
      <c r="I367" s="8" t="s">
        <v>2863</v>
      </c>
      <c r="J367" s="8" t="s">
        <v>579</v>
      </c>
      <c r="L367" s="8" t="s">
        <v>566</v>
      </c>
      <c r="N367" s="8" t="s">
        <v>580</v>
      </c>
      <c r="O367" s="8" t="s">
        <v>580</v>
      </c>
      <c r="P367" s="18" t="str">
        <f t="shared" si="33"/>
        <v>40</v>
      </c>
      <c r="Q367" s="8" t="s">
        <v>45</v>
      </c>
      <c r="R367" s="8">
        <v>0</v>
      </c>
      <c r="S367" s="8">
        <v>1</v>
      </c>
      <c r="T367" s="8">
        <f t="shared" si="34"/>
        <v>1</v>
      </c>
      <c r="U367" s="8">
        <v>0</v>
      </c>
      <c r="V367" s="8">
        <v>1</v>
      </c>
      <c r="W367" s="8">
        <v>2</v>
      </c>
      <c r="X367" s="8">
        <v>1</v>
      </c>
      <c r="Y367" s="8">
        <v>0</v>
      </c>
      <c r="Z367" s="8">
        <v>0</v>
      </c>
      <c r="AA367" s="8">
        <v>180</v>
      </c>
      <c r="AB367" s="9">
        <f t="shared" si="35"/>
        <v>0.66666666666666674</v>
      </c>
      <c r="AC367" s="10">
        <f t="shared" si="31"/>
        <v>1.4999999999999998</v>
      </c>
      <c r="AD367" s="8" t="s">
        <v>568</v>
      </c>
      <c r="AE367" s="11">
        <v>69990</v>
      </c>
      <c r="AF367" s="11">
        <f t="shared" si="32"/>
        <v>69990</v>
      </c>
      <c r="AG367" s="12" t="s">
        <v>34</v>
      </c>
      <c r="AH367" s="8" t="s">
        <v>35</v>
      </c>
    </row>
    <row r="368" spans="1:34">
      <c r="A368" s="8" t="s">
        <v>582</v>
      </c>
      <c r="B368" s="16" t="s">
        <v>572</v>
      </c>
      <c r="C368" s="8" t="s">
        <v>533</v>
      </c>
      <c r="D368" s="8" t="s">
        <v>534</v>
      </c>
      <c r="E368" s="8" t="str">
        <f t="shared" si="30"/>
        <v>AMARILLA</v>
      </c>
      <c r="G368" s="8" t="s">
        <v>2863</v>
      </c>
      <c r="H368" s="8" t="str">
        <f>VLOOKUP(A368,[1]BBDD!$B$1:$J$3274,9,FALSE)</f>
        <v>H</v>
      </c>
      <c r="I368" s="8" t="s">
        <v>2863</v>
      </c>
      <c r="J368" s="8" t="s">
        <v>583</v>
      </c>
      <c r="L368" s="8" t="s">
        <v>566</v>
      </c>
      <c r="N368" s="8" t="s">
        <v>584</v>
      </c>
      <c r="O368" s="20" t="s">
        <v>2881</v>
      </c>
      <c r="P368" s="18" t="str">
        <f t="shared" si="33"/>
        <v>38</v>
      </c>
      <c r="Q368" s="8" t="s">
        <v>45</v>
      </c>
      <c r="R368" s="8">
        <v>0</v>
      </c>
      <c r="S368" s="8">
        <v>4</v>
      </c>
      <c r="T368" s="8">
        <f t="shared" si="34"/>
        <v>4</v>
      </c>
      <c r="U368" s="8">
        <v>0</v>
      </c>
      <c r="V368" s="8">
        <v>0</v>
      </c>
      <c r="W368" s="8">
        <v>1</v>
      </c>
      <c r="X368" s="8">
        <v>0</v>
      </c>
      <c r="Y368" s="8">
        <v>0</v>
      </c>
      <c r="Z368" s="8">
        <v>0</v>
      </c>
      <c r="AA368" s="8">
        <v>180</v>
      </c>
      <c r="AB368" s="9">
        <f t="shared" si="35"/>
        <v>0.16666666666666669</v>
      </c>
      <c r="AC368" s="10">
        <f t="shared" si="31"/>
        <v>23.999999999999996</v>
      </c>
      <c r="AD368" s="8" t="s">
        <v>568</v>
      </c>
      <c r="AE368" s="11">
        <v>69990</v>
      </c>
      <c r="AF368" s="11">
        <f t="shared" si="32"/>
        <v>279960</v>
      </c>
      <c r="AG368" s="12" t="s">
        <v>64</v>
      </c>
      <c r="AH368" s="8" t="s">
        <v>35</v>
      </c>
    </row>
    <row r="369" spans="1:34">
      <c r="A369" s="8" t="s">
        <v>585</v>
      </c>
      <c r="B369" s="16" t="s">
        <v>572</v>
      </c>
      <c r="C369" s="8" t="s">
        <v>533</v>
      </c>
      <c r="D369" s="8" t="s">
        <v>534</v>
      </c>
      <c r="E369" s="8" t="str">
        <f t="shared" si="30"/>
        <v>AMARILLA</v>
      </c>
      <c r="G369" s="8" t="s">
        <v>2863</v>
      </c>
      <c r="H369" s="8" t="str">
        <f>VLOOKUP(A369,[1]BBDD!$B$1:$J$3274,9,FALSE)</f>
        <v>H</v>
      </c>
      <c r="I369" s="8" t="s">
        <v>2863</v>
      </c>
      <c r="J369" s="8" t="s">
        <v>583</v>
      </c>
      <c r="L369" s="8" t="s">
        <v>566</v>
      </c>
      <c r="N369" s="8" t="s">
        <v>584</v>
      </c>
      <c r="O369" s="20" t="s">
        <v>2881</v>
      </c>
      <c r="P369" s="18" t="str">
        <f t="shared" si="33"/>
        <v>40</v>
      </c>
      <c r="Q369" s="8" t="s">
        <v>45</v>
      </c>
      <c r="R369" s="8">
        <v>4</v>
      </c>
      <c r="S369" s="8">
        <v>4</v>
      </c>
      <c r="T369" s="8">
        <f t="shared" si="34"/>
        <v>8</v>
      </c>
      <c r="U369" s="8">
        <v>0</v>
      </c>
      <c r="V369" s="8">
        <v>1</v>
      </c>
      <c r="W369" s="8">
        <v>1</v>
      </c>
      <c r="X369" s="8">
        <v>0</v>
      </c>
      <c r="Y369" s="8">
        <v>1</v>
      </c>
      <c r="Z369" s="8">
        <v>0</v>
      </c>
      <c r="AA369" s="8">
        <v>180</v>
      </c>
      <c r="AB369" s="9">
        <f t="shared" si="35"/>
        <v>0.5</v>
      </c>
      <c r="AC369" s="10">
        <f t="shared" si="31"/>
        <v>16</v>
      </c>
      <c r="AD369" s="8" t="s">
        <v>568</v>
      </c>
      <c r="AE369" s="11">
        <v>69990</v>
      </c>
      <c r="AF369" s="11">
        <f t="shared" si="32"/>
        <v>559920</v>
      </c>
      <c r="AG369" s="12" t="s">
        <v>64</v>
      </c>
      <c r="AH369" s="8" t="s">
        <v>35</v>
      </c>
    </row>
    <row r="370" spans="1:34">
      <c r="A370" s="8" t="s">
        <v>586</v>
      </c>
      <c r="B370" s="16" t="s">
        <v>572</v>
      </c>
      <c r="C370" s="8" t="s">
        <v>533</v>
      </c>
      <c r="D370" s="8" t="s">
        <v>534</v>
      </c>
      <c r="E370" s="8" t="str">
        <f t="shared" si="30"/>
        <v>AMARILLA</v>
      </c>
      <c r="G370" s="8" t="s">
        <v>2863</v>
      </c>
      <c r="H370" s="8" t="str">
        <f>VLOOKUP(A370,[1]BBDD!$B$1:$J$3274,9,FALSE)</f>
        <v>H</v>
      </c>
      <c r="I370" s="8" t="s">
        <v>2863</v>
      </c>
      <c r="J370" s="8" t="s">
        <v>583</v>
      </c>
      <c r="L370" s="8" t="s">
        <v>566</v>
      </c>
      <c r="N370" s="8" t="s">
        <v>584</v>
      </c>
      <c r="O370" s="20" t="s">
        <v>2881</v>
      </c>
      <c r="P370" s="18" t="str">
        <f t="shared" si="33"/>
        <v>42</v>
      </c>
      <c r="Q370" s="8" t="s">
        <v>45</v>
      </c>
      <c r="R370" s="8">
        <v>7</v>
      </c>
      <c r="S370" s="8">
        <v>4</v>
      </c>
      <c r="T370" s="8">
        <f t="shared" si="34"/>
        <v>11</v>
      </c>
      <c r="U370" s="8">
        <v>0</v>
      </c>
      <c r="V370" s="8">
        <v>0</v>
      </c>
      <c r="W370" s="8">
        <v>1</v>
      </c>
      <c r="X370" s="8">
        <v>0</v>
      </c>
      <c r="Y370" s="8">
        <v>0</v>
      </c>
      <c r="Z370" s="8">
        <v>0</v>
      </c>
      <c r="AA370" s="8">
        <v>180</v>
      </c>
      <c r="AB370" s="9">
        <f t="shared" si="35"/>
        <v>0.16666666666666669</v>
      </c>
      <c r="AC370" s="10">
        <f t="shared" si="31"/>
        <v>65.999999999999986</v>
      </c>
      <c r="AD370" s="8" t="s">
        <v>568</v>
      </c>
      <c r="AE370" s="11">
        <v>69990</v>
      </c>
      <c r="AF370" s="11">
        <f t="shared" si="32"/>
        <v>769890</v>
      </c>
      <c r="AG370" s="12" t="s">
        <v>73</v>
      </c>
      <c r="AH370" s="8" t="s">
        <v>65</v>
      </c>
    </row>
    <row r="371" spans="1:34">
      <c r="A371" s="8" t="s">
        <v>587</v>
      </c>
      <c r="B371" s="16" t="s">
        <v>572</v>
      </c>
      <c r="C371" s="8" t="s">
        <v>533</v>
      </c>
      <c r="D371" s="8" t="s">
        <v>534</v>
      </c>
      <c r="E371" s="8" t="str">
        <f t="shared" si="30"/>
        <v>AMARILLA</v>
      </c>
      <c r="G371" s="8" t="s">
        <v>2863</v>
      </c>
      <c r="H371" s="8" t="str">
        <f>VLOOKUP(A371,[1]BBDD!$B$1:$J$3274,9,FALSE)</f>
        <v>H</v>
      </c>
      <c r="I371" s="8" t="s">
        <v>2863</v>
      </c>
      <c r="J371" s="8" t="s">
        <v>583</v>
      </c>
      <c r="L371" s="8" t="s">
        <v>566</v>
      </c>
      <c r="N371" s="8" t="s">
        <v>584</v>
      </c>
      <c r="O371" s="20" t="s">
        <v>2881</v>
      </c>
      <c r="P371" s="18" t="str">
        <f t="shared" si="33"/>
        <v>44</v>
      </c>
      <c r="Q371" s="8" t="s">
        <v>45</v>
      </c>
      <c r="R371" s="8">
        <v>3</v>
      </c>
      <c r="S371" s="8">
        <v>4</v>
      </c>
      <c r="T371" s="8">
        <f t="shared" si="34"/>
        <v>7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180</v>
      </c>
      <c r="AB371" s="9">
        <f t="shared" si="35"/>
        <v>0</v>
      </c>
      <c r="AC371" s="10" t="str">
        <f t="shared" si="31"/>
        <v>sin venta</v>
      </c>
      <c r="AD371" s="8" t="s">
        <v>568</v>
      </c>
      <c r="AE371" s="11">
        <v>69990</v>
      </c>
      <c r="AF371" s="11">
        <f t="shared" si="32"/>
        <v>489930</v>
      </c>
      <c r="AG371" s="12" t="s">
        <v>73</v>
      </c>
      <c r="AH371" s="8" t="s">
        <v>35</v>
      </c>
    </row>
    <row r="372" spans="1:34">
      <c r="A372" s="8" t="s">
        <v>588</v>
      </c>
      <c r="B372" s="16" t="s">
        <v>572</v>
      </c>
      <c r="C372" s="8" t="s">
        <v>533</v>
      </c>
      <c r="D372" s="8" t="s">
        <v>534</v>
      </c>
      <c r="E372" s="8" t="str">
        <f t="shared" si="30"/>
        <v>AMARILLA</v>
      </c>
      <c r="G372" s="8" t="s">
        <v>2863</v>
      </c>
      <c r="H372" s="8" t="str">
        <f>VLOOKUP(A372,[1]BBDD!$B$1:$J$3274,9,FALSE)</f>
        <v>H</v>
      </c>
      <c r="I372" s="8" t="s">
        <v>2863</v>
      </c>
      <c r="J372" s="8" t="s">
        <v>583</v>
      </c>
      <c r="L372" s="8" t="s">
        <v>566</v>
      </c>
      <c r="N372" s="8" t="s">
        <v>584</v>
      </c>
      <c r="O372" s="20" t="s">
        <v>2881</v>
      </c>
      <c r="P372" s="18" t="str">
        <f t="shared" si="33"/>
        <v>46</v>
      </c>
      <c r="Q372" s="8" t="s">
        <v>45</v>
      </c>
      <c r="R372" s="8">
        <v>0</v>
      </c>
      <c r="S372" s="8">
        <v>3</v>
      </c>
      <c r="T372" s="8">
        <f t="shared" si="34"/>
        <v>3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180</v>
      </c>
      <c r="AB372" s="9">
        <f t="shared" si="35"/>
        <v>0</v>
      </c>
      <c r="AC372" s="10" t="str">
        <f t="shared" si="31"/>
        <v>sin venta</v>
      </c>
      <c r="AD372" s="8" t="s">
        <v>568</v>
      </c>
      <c r="AE372" s="11">
        <v>69990</v>
      </c>
      <c r="AF372" s="11">
        <f t="shared" si="32"/>
        <v>209970</v>
      </c>
      <c r="AG372" s="12" t="s">
        <v>73</v>
      </c>
      <c r="AH372" s="8" t="s">
        <v>35</v>
      </c>
    </row>
    <row r="373" spans="1:34">
      <c r="A373" s="8" t="s">
        <v>589</v>
      </c>
      <c r="B373" s="16" t="s">
        <v>572</v>
      </c>
      <c r="C373" s="8" t="s">
        <v>533</v>
      </c>
      <c r="D373" s="8" t="s">
        <v>534</v>
      </c>
      <c r="E373" s="8" t="str">
        <f t="shared" si="30"/>
        <v>BEIGE</v>
      </c>
      <c r="G373" s="8" t="s">
        <v>2863</v>
      </c>
      <c r="H373" s="8" t="str">
        <f>VLOOKUP(A373,[1]BBDD!$B$1:$J$3274,9,FALSE)</f>
        <v>H</v>
      </c>
      <c r="I373" s="8" t="s">
        <v>2863</v>
      </c>
      <c r="J373" s="8" t="s">
        <v>583</v>
      </c>
      <c r="L373" s="8" t="s">
        <v>566</v>
      </c>
      <c r="N373" s="8" t="s">
        <v>516</v>
      </c>
      <c r="O373" s="8" t="s">
        <v>516</v>
      </c>
      <c r="P373" s="18" t="str">
        <f t="shared" si="33"/>
        <v>38</v>
      </c>
      <c r="Q373" s="8" t="s">
        <v>45</v>
      </c>
      <c r="R373" s="8">
        <v>0</v>
      </c>
      <c r="S373" s="8">
        <v>3</v>
      </c>
      <c r="T373" s="8">
        <f t="shared" si="34"/>
        <v>3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180</v>
      </c>
      <c r="AB373" s="9">
        <f t="shared" si="35"/>
        <v>0</v>
      </c>
      <c r="AC373" s="10" t="str">
        <f t="shared" si="31"/>
        <v>sin venta</v>
      </c>
      <c r="AD373" s="8" t="s">
        <v>568</v>
      </c>
      <c r="AE373" s="11">
        <v>69990</v>
      </c>
      <c r="AF373" s="11">
        <f t="shared" si="32"/>
        <v>209970</v>
      </c>
      <c r="AG373" s="12" t="s">
        <v>73</v>
      </c>
      <c r="AH373" s="8" t="s">
        <v>35</v>
      </c>
    </row>
    <row r="374" spans="1:34">
      <c r="A374" s="8" t="s">
        <v>590</v>
      </c>
      <c r="B374" s="16" t="s">
        <v>572</v>
      </c>
      <c r="C374" s="8" t="s">
        <v>533</v>
      </c>
      <c r="D374" s="8" t="s">
        <v>534</v>
      </c>
      <c r="E374" s="8" t="str">
        <f t="shared" si="30"/>
        <v>BEIGE</v>
      </c>
      <c r="G374" s="8" t="s">
        <v>2863</v>
      </c>
      <c r="H374" s="8" t="str">
        <f>VLOOKUP(A374,[1]BBDD!$B$1:$J$3274,9,FALSE)</f>
        <v>H</v>
      </c>
      <c r="I374" s="8" t="s">
        <v>2863</v>
      </c>
      <c r="J374" s="8" t="s">
        <v>583</v>
      </c>
      <c r="L374" s="8" t="s">
        <v>566</v>
      </c>
      <c r="N374" s="8" t="s">
        <v>516</v>
      </c>
      <c r="O374" s="8" t="s">
        <v>516</v>
      </c>
      <c r="P374" s="18" t="str">
        <f t="shared" si="33"/>
        <v>40</v>
      </c>
      <c r="Q374" s="8" t="s">
        <v>45</v>
      </c>
      <c r="R374" s="8">
        <v>5</v>
      </c>
      <c r="S374" s="8">
        <v>3</v>
      </c>
      <c r="T374" s="8">
        <f t="shared" si="34"/>
        <v>8</v>
      </c>
      <c r="U374" s="8">
        <v>0</v>
      </c>
      <c r="V374" s="8">
        <v>0</v>
      </c>
      <c r="W374" s="8">
        <v>0</v>
      </c>
      <c r="X374" s="8">
        <v>1</v>
      </c>
      <c r="Y374" s="8">
        <v>0</v>
      </c>
      <c r="Z374" s="8">
        <v>0</v>
      </c>
      <c r="AA374" s="8">
        <v>180</v>
      </c>
      <c r="AB374" s="9">
        <f t="shared" si="35"/>
        <v>0.16666666666666669</v>
      </c>
      <c r="AC374" s="10">
        <f t="shared" si="31"/>
        <v>47.999999999999993</v>
      </c>
      <c r="AD374" s="8" t="s">
        <v>568</v>
      </c>
      <c r="AE374" s="11">
        <v>69990</v>
      </c>
      <c r="AF374" s="11">
        <f t="shared" si="32"/>
        <v>559920</v>
      </c>
      <c r="AG374" s="12" t="s">
        <v>73</v>
      </c>
      <c r="AH374" s="8" t="s">
        <v>35</v>
      </c>
    </row>
    <row r="375" spans="1:34">
      <c r="A375" s="8" t="s">
        <v>591</v>
      </c>
      <c r="B375" s="16" t="s">
        <v>572</v>
      </c>
      <c r="C375" s="8" t="s">
        <v>533</v>
      </c>
      <c r="D375" s="8" t="s">
        <v>534</v>
      </c>
      <c r="E375" s="8" t="str">
        <f t="shared" si="30"/>
        <v>BEIGE</v>
      </c>
      <c r="G375" s="8" t="s">
        <v>2863</v>
      </c>
      <c r="H375" s="8" t="str">
        <f>VLOOKUP(A375,[1]BBDD!$B$1:$J$3274,9,FALSE)</f>
        <v>H</v>
      </c>
      <c r="I375" s="8" t="s">
        <v>2863</v>
      </c>
      <c r="J375" s="8" t="s">
        <v>583</v>
      </c>
      <c r="L375" s="8" t="s">
        <v>566</v>
      </c>
      <c r="N375" s="8" t="s">
        <v>516</v>
      </c>
      <c r="O375" s="8" t="s">
        <v>516</v>
      </c>
      <c r="P375" s="18" t="str">
        <f t="shared" si="33"/>
        <v>42</v>
      </c>
      <c r="Q375" s="8" t="s">
        <v>45</v>
      </c>
      <c r="R375" s="8">
        <v>7</v>
      </c>
      <c r="S375" s="8">
        <v>4</v>
      </c>
      <c r="T375" s="8">
        <f t="shared" si="34"/>
        <v>11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180</v>
      </c>
      <c r="AB375" s="9">
        <f t="shared" si="35"/>
        <v>0</v>
      </c>
      <c r="AC375" s="10" t="str">
        <f t="shared" si="31"/>
        <v>sin venta</v>
      </c>
      <c r="AD375" s="8" t="s">
        <v>568</v>
      </c>
      <c r="AE375" s="11">
        <v>69990</v>
      </c>
      <c r="AF375" s="11">
        <f t="shared" si="32"/>
        <v>769890</v>
      </c>
      <c r="AG375" s="12" t="s">
        <v>73</v>
      </c>
      <c r="AH375" s="8" t="s">
        <v>65</v>
      </c>
    </row>
    <row r="376" spans="1:34">
      <c r="A376" s="8" t="s">
        <v>592</v>
      </c>
      <c r="B376" s="16" t="s">
        <v>572</v>
      </c>
      <c r="C376" s="8" t="s">
        <v>533</v>
      </c>
      <c r="D376" s="8" t="s">
        <v>534</v>
      </c>
      <c r="E376" s="8" t="str">
        <f t="shared" si="30"/>
        <v>BEIGE</v>
      </c>
      <c r="G376" s="8" t="s">
        <v>2863</v>
      </c>
      <c r="H376" s="8" t="str">
        <f>VLOOKUP(A376,[1]BBDD!$B$1:$J$3274,9,FALSE)</f>
        <v>H</v>
      </c>
      <c r="I376" s="8" t="s">
        <v>2863</v>
      </c>
      <c r="J376" s="8" t="s">
        <v>583</v>
      </c>
      <c r="L376" s="8" t="s">
        <v>566</v>
      </c>
      <c r="N376" s="8" t="s">
        <v>516</v>
      </c>
      <c r="O376" s="8" t="s">
        <v>516</v>
      </c>
      <c r="P376" s="18" t="str">
        <f t="shared" si="33"/>
        <v>44</v>
      </c>
      <c r="Q376" s="8" t="s">
        <v>45</v>
      </c>
      <c r="R376" s="8">
        <v>0</v>
      </c>
      <c r="S376" s="8">
        <v>1</v>
      </c>
      <c r="T376" s="8">
        <f t="shared" si="34"/>
        <v>1</v>
      </c>
      <c r="U376" s="8">
        <v>0</v>
      </c>
      <c r="V376" s="8">
        <v>2</v>
      </c>
      <c r="W376" s="8">
        <v>0</v>
      </c>
      <c r="X376" s="8">
        <v>0</v>
      </c>
      <c r="Y376" s="8">
        <v>1</v>
      </c>
      <c r="Z376" s="8">
        <v>0</v>
      </c>
      <c r="AA376" s="8">
        <v>180</v>
      </c>
      <c r="AB376" s="9">
        <f t="shared" si="35"/>
        <v>0.5</v>
      </c>
      <c r="AC376" s="10">
        <f t="shared" si="31"/>
        <v>2</v>
      </c>
      <c r="AD376" s="8" t="s">
        <v>568</v>
      </c>
      <c r="AE376" s="11">
        <v>69990</v>
      </c>
      <c r="AF376" s="11">
        <f t="shared" si="32"/>
        <v>69990</v>
      </c>
      <c r="AG376" s="12" t="s">
        <v>34</v>
      </c>
      <c r="AH376" s="8" t="s">
        <v>35</v>
      </c>
    </row>
    <row r="377" spans="1:34">
      <c r="A377" s="8" t="s">
        <v>593</v>
      </c>
      <c r="B377" s="16" t="s">
        <v>572</v>
      </c>
      <c r="C377" s="8" t="s">
        <v>533</v>
      </c>
      <c r="D377" s="8" t="s">
        <v>534</v>
      </c>
      <c r="E377" s="8" t="str">
        <f t="shared" si="30"/>
        <v>BEIGE</v>
      </c>
      <c r="G377" s="8" t="s">
        <v>2863</v>
      </c>
      <c r="H377" s="8" t="str">
        <f>VLOOKUP(A377,[1]BBDD!$B$1:$J$3274,9,FALSE)</f>
        <v>H</v>
      </c>
      <c r="I377" s="8" t="s">
        <v>2863</v>
      </c>
      <c r="J377" s="8" t="s">
        <v>583</v>
      </c>
      <c r="L377" s="8" t="s">
        <v>566</v>
      </c>
      <c r="N377" s="8" t="s">
        <v>516</v>
      </c>
      <c r="O377" s="8" t="s">
        <v>516</v>
      </c>
      <c r="P377" s="18" t="str">
        <f t="shared" si="33"/>
        <v>46</v>
      </c>
      <c r="Q377" s="8" t="s">
        <v>45</v>
      </c>
      <c r="R377" s="8">
        <v>0</v>
      </c>
      <c r="S377" s="8">
        <v>1</v>
      </c>
      <c r="T377" s="8">
        <f t="shared" si="34"/>
        <v>1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180</v>
      </c>
      <c r="AB377" s="9">
        <f t="shared" si="35"/>
        <v>0</v>
      </c>
      <c r="AC377" s="10" t="str">
        <f t="shared" si="31"/>
        <v>sin venta</v>
      </c>
      <c r="AD377" s="8" t="s">
        <v>568</v>
      </c>
      <c r="AE377" s="11">
        <v>69990</v>
      </c>
      <c r="AF377" s="11">
        <f t="shared" si="32"/>
        <v>69990</v>
      </c>
      <c r="AG377" s="12" t="s">
        <v>73</v>
      </c>
      <c r="AH377" s="8" t="s">
        <v>35</v>
      </c>
    </row>
    <row r="378" spans="1:34">
      <c r="A378" s="8" t="s">
        <v>594</v>
      </c>
      <c r="B378" s="16" t="s">
        <v>572</v>
      </c>
      <c r="C378" s="8" t="s">
        <v>533</v>
      </c>
      <c r="D378" s="8" t="s">
        <v>534</v>
      </c>
      <c r="E378" s="8" t="str">
        <f t="shared" si="30"/>
        <v>BEIGE</v>
      </c>
      <c r="G378" s="8" t="s">
        <v>2863</v>
      </c>
      <c r="H378" s="8" t="str">
        <f>VLOOKUP(A378,[1]BBDD!$B$1:$J$3274,9,FALSE)</f>
        <v>H</v>
      </c>
      <c r="I378" s="8" t="s">
        <v>2863</v>
      </c>
      <c r="J378" s="8" t="s">
        <v>595</v>
      </c>
      <c r="L378" s="8" t="s">
        <v>596</v>
      </c>
      <c r="N378" s="8" t="s">
        <v>516</v>
      </c>
      <c r="O378" s="8" t="s">
        <v>516</v>
      </c>
      <c r="P378" s="18" t="str">
        <f t="shared" si="33"/>
        <v>38</v>
      </c>
      <c r="Q378" s="8" t="s">
        <v>45</v>
      </c>
      <c r="R378" s="8">
        <v>0</v>
      </c>
      <c r="S378" s="8">
        <v>2</v>
      </c>
      <c r="T378" s="8">
        <f t="shared" si="34"/>
        <v>2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180</v>
      </c>
      <c r="AB378" s="9">
        <f t="shared" si="35"/>
        <v>0</v>
      </c>
      <c r="AC378" s="10" t="str">
        <f t="shared" si="31"/>
        <v>sin venta</v>
      </c>
      <c r="AD378" s="8" t="s">
        <v>568</v>
      </c>
      <c r="AE378" s="11">
        <v>69990</v>
      </c>
      <c r="AF378" s="11">
        <f t="shared" si="32"/>
        <v>139980</v>
      </c>
      <c r="AG378" s="12" t="s">
        <v>73</v>
      </c>
      <c r="AH378" s="8" t="s">
        <v>35</v>
      </c>
    </row>
    <row r="379" spans="1:34">
      <c r="A379" s="8" t="s">
        <v>597</v>
      </c>
      <c r="B379" s="16" t="s">
        <v>572</v>
      </c>
      <c r="C379" s="8" t="s">
        <v>533</v>
      </c>
      <c r="D379" s="8" t="s">
        <v>534</v>
      </c>
      <c r="E379" s="8" t="str">
        <f t="shared" si="30"/>
        <v>BEIGE</v>
      </c>
      <c r="G379" s="8" t="s">
        <v>2863</v>
      </c>
      <c r="H379" s="8" t="str">
        <f>VLOOKUP(A379,[1]BBDD!$B$1:$J$3274,9,FALSE)</f>
        <v>H</v>
      </c>
      <c r="I379" s="8" t="s">
        <v>2863</v>
      </c>
      <c r="J379" s="8" t="s">
        <v>595</v>
      </c>
      <c r="L379" s="8" t="s">
        <v>596</v>
      </c>
      <c r="N379" s="8" t="s">
        <v>516</v>
      </c>
      <c r="O379" s="8" t="s">
        <v>516</v>
      </c>
      <c r="P379" s="18" t="str">
        <f t="shared" si="33"/>
        <v>40</v>
      </c>
      <c r="Q379" s="8" t="s">
        <v>45</v>
      </c>
      <c r="R379" s="8">
        <v>0</v>
      </c>
      <c r="S379" s="8">
        <v>3</v>
      </c>
      <c r="T379" s="8">
        <f t="shared" si="34"/>
        <v>3</v>
      </c>
      <c r="U379" s="8">
        <v>0</v>
      </c>
      <c r="V379" s="8">
        <v>0</v>
      </c>
      <c r="W379" s="8">
        <v>0</v>
      </c>
      <c r="X379" s="8">
        <v>0</v>
      </c>
      <c r="Y379" s="8">
        <v>1</v>
      </c>
      <c r="Z379" s="8">
        <v>0</v>
      </c>
      <c r="AA379" s="8">
        <v>180</v>
      </c>
      <c r="AB379" s="9">
        <f t="shared" si="35"/>
        <v>0.16666666666666669</v>
      </c>
      <c r="AC379" s="10">
        <f t="shared" si="31"/>
        <v>17.999999999999996</v>
      </c>
      <c r="AD379" s="8" t="s">
        <v>568</v>
      </c>
      <c r="AE379" s="11">
        <v>69990</v>
      </c>
      <c r="AF379" s="11">
        <f t="shared" si="32"/>
        <v>209970</v>
      </c>
      <c r="AG379" s="12" t="s">
        <v>64</v>
      </c>
      <c r="AH379" s="8" t="s">
        <v>35</v>
      </c>
    </row>
    <row r="380" spans="1:34">
      <c r="A380" s="8" t="s">
        <v>598</v>
      </c>
      <c r="B380" s="16" t="s">
        <v>572</v>
      </c>
      <c r="C380" s="8" t="s">
        <v>533</v>
      </c>
      <c r="D380" s="8" t="s">
        <v>534</v>
      </c>
      <c r="E380" s="8" t="str">
        <f t="shared" si="30"/>
        <v>BEIGE</v>
      </c>
      <c r="G380" s="8" t="s">
        <v>2863</v>
      </c>
      <c r="H380" s="8" t="str">
        <f>VLOOKUP(A380,[1]BBDD!$B$1:$J$3274,9,FALSE)</f>
        <v>H</v>
      </c>
      <c r="I380" s="8" t="s">
        <v>2863</v>
      </c>
      <c r="J380" s="8" t="s">
        <v>595</v>
      </c>
      <c r="L380" s="8" t="s">
        <v>596</v>
      </c>
      <c r="N380" s="8" t="s">
        <v>516</v>
      </c>
      <c r="O380" s="8" t="s">
        <v>516</v>
      </c>
      <c r="P380" s="18" t="str">
        <f t="shared" si="33"/>
        <v>42</v>
      </c>
      <c r="Q380" s="8" t="s">
        <v>45</v>
      </c>
      <c r="R380" s="8">
        <v>0</v>
      </c>
      <c r="S380" s="8">
        <v>4</v>
      </c>
      <c r="T380" s="8">
        <f t="shared" si="34"/>
        <v>4</v>
      </c>
      <c r="U380" s="8">
        <v>0</v>
      </c>
      <c r="V380" s="8">
        <v>0</v>
      </c>
      <c r="W380" s="8">
        <v>0</v>
      </c>
      <c r="X380" s="8">
        <v>0</v>
      </c>
      <c r="Y380" s="8">
        <v>1</v>
      </c>
      <c r="Z380" s="8">
        <v>0</v>
      </c>
      <c r="AA380" s="8">
        <v>180</v>
      </c>
      <c r="AB380" s="9">
        <f t="shared" si="35"/>
        <v>0.16666666666666669</v>
      </c>
      <c r="AC380" s="10">
        <f t="shared" si="31"/>
        <v>23.999999999999996</v>
      </c>
      <c r="AD380" s="8" t="s">
        <v>568</v>
      </c>
      <c r="AE380" s="11">
        <v>69990</v>
      </c>
      <c r="AF380" s="11">
        <f t="shared" si="32"/>
        <v>279960</v>
      </c>
      <c r="AG380" s="12" t="s">
        <v>64</v>
      </c>
      <c r="AH380" s="8" t="s">
        <v>35</v>
      </c>
    </row>
    <row r="381" spans="1:34">
      <c r="A381" s="8" t="s">
        <v>599</v>
      </c>
      <c r="B381" s="16" t="s">
        <v>572</v>
      </c>
      <c r="C381" s="8" t="s">
        <v>533</v>
      </c>
      <c r="D381" s="8" t="s">
        <v>534</v>
      </c>
      <c r="E381" s="8" t="str">
        <f t="shared" si="30"/>
        <v>BEIGE</v>
      </c>
      <c r="G381" s="8" t="s">
        <v>2863</v>
      </c>
      <c r="H381" s="8" t="str">
        <f>VLOOKUP(A381,[1]BBDD!$B$1:$J$3274,9,FALSE)</f>
        <v>H</v>
      </c>
      <c r="I381" s="8" t="s">
        <v>2863</v>
      </c>
      <c r="J381" s="8" t="s">
        <v>595</v>
      </c>
      <c r="L381" s="8" t="s">
        <v>596</v>
      </c>
      <c r="N381" s="8" t="s">
        <v>516</v>
      </c>
      <c r="O381" s="8" t="s">
        <v>516</v>
      </c>
      <c r="P381" s="18" t="str">
        <f t="shared" si="33"/>
        <v>44</v>
      </c>
      <c r="Q381" s="8" t="s">
        <v>45</v>
      </c>
      <c r="R381" s="8">
        <v>0</v>
      </c>
      <c r="S381" s="8">
        <v>1</v>
      </c>
      <c r="T381" s="8">
        <f t="shared" si="34"/>
        <v>1</v>
      </c>
      <c r="U381" s="8">
        <v>1</v>
      </c>
      <c r="V381" s="8">
        <v>0</v>
      </c>
      <c r="W381" s="8">
        <v>0</v>
      </c>
      <c r="X381" s="8">
        <v>0</v>
      </c>
      <c r="Y381" s="8">
        <v>1</v>
      </c>
      <c r="Z381" s="8">
        <v>0</v>
      </c>
      <c r="AA381" s="8">
        <v>180</v>
      </c>
      <c r="AB381" s="9">
        <f t="shared" si="35"/>
        <v>0.33333333333333337</v>
      </c>
      <c r="AC381" s="10">
        <f t="shared" si="31"/>
        <v>2.9999999999999996</v>
      </c>
      <c r="AD381" s="8" t="s">
        <v>568</v>
      </c>
      <c r="AE381" s="11">
        <v>69990</v>
      </c>
      <c r="AF381" s="11">
        <f t="shared" si="32"/>
        <v>69990</v>
      </c>
      <c r="AG381" s="12" t="s">
        <v>34</v>
      </c>
      <c r="AH381" s="8" t="s">
        <v>35</v>
      </c>
    </row>
    <row r="382" spans="1:34">
      <c r="A382" s="8" t="s">
        <v>600</v>
      </c>
      <c r="B382" s="16" t="s">
        <v>572</v>
      </c>
      <c r="C382" s="8" t="s">
        <v>533</v>
      </c>
      <c r="D382" s="8" t="s">
        <v>534</v>
      </c>
      <c r="E382" s="8" t="str">
        <f t="shared" si="30"/>
        <v>BEIGE</v>
      </c>
      <c r="G382" s="8" t="s">
        <v>2863</v>
      </c>
      <c r="H382" s="8" t="str">
        <f>VLOOKUP(A382,[1]BBDD!$B$1:$J$3274,9,FALSE)</f>
        <v>H</v>
      </c>
      <c r="I382" s="8" t="s">
        <v>2863</v>
      </c>
      <c r="J382" s="8" t="s">
        <v>595</v>
      </c>
      <c r="L382" s="8" t="s">
        <v>596</v>
      </c>
      <c r="N382" s="8" t="s">
        <v>516</v>
      </c>
      <c r="O382" s="8" t="s">
        <v>516</v>
      </c>
      <c r="P382" s="18" t="str">
        <f t="shared" si="33"/>
        <v>46</v>
      </c>
      <c r="Q382" s="8" t="s">
        <v>45</v>
      </c>
      <c r="R382" s="8">
        <v>0</v>
      </c>
      <c r="S382" s="8">
        <v>1</v>
      </c>
      <c r="T382" s="8">
        <f t="shared" si="34"/>
        <v>1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180</v>
      </c>
      <c r="AB382" s="9">
        <f t="shared" si="35"/>
        <v>0</v>
      </c>
      <c r="AC382" s="10" t="str">
        <f t="shared" si="31"/>
        <v>sin venta</v>
      </c>
      <c r="AD382" s="8" t="s">
        <v>568</v>
      </c>
      <c r="AE382" s="11">
        <v>69990</v>
      </c>
      <c r="AF382" s="11">
        <f t="shared" si="32"/>
        <v>69990</v>
      </c>
      <c r="AG382" s="12" t="s">
        <v>73</v>
      </c>
      <c r="AH382" s="8" t="s">
        <v>35</v>
      </c>
    </row>
    <row r="383" spans="1:34">
      <c r="A383" s="8" t="s">
        <v>601</v>
      </c>
      <c r="B383" s="16" t="s">
        <v>572</v>
      </c>
      <c r="C383" s="8" t="s">
        <v>533</v>
      </c>
      <c r="D383" s="8" t="s">
        <v>534</v>
      </c>
      <c r="E383" s="8" t="str">
        <f t="shared" si="30"/>
        <v>CASCARILLA</v>
      </c>
      <c r="G383" s="8" t="s">
        <v>2863</v>
      </c>
      <c r="H383" s="8" t="str">
        <f>VLOOKUP(A383,[1]BBDD!$B$1:$J$3274,9,FALSE)</f>
        <v>H</v>
      </c>
      <c r="I383" s="8" t="s">
        <v>2863</v>
      </c>
      <c r="J383" s="8" t="s">
        <v>595</v>
      </c>
      <c r="L383" s="8" t="s">
        <v>596</v>
      </c>
      <c r="N383" s="8" t="s">
        <v>602</v>
      </c>
      <c r="O383" s="8" t="s">
        <v>602</v>
      </c>
      <c r="P383" s="18" t="str">
        <f t="shared" si="33"/>
        <v>38</v>
      </c>
      <c r="Q383" s="8" t="s">
        <v>45</v>
      </c>
      <c r="R383" s="8">
        <v>0</v>
      </c>
      <c r="S383" s="8">
        <v>1</v>
      </c>
      <c r="T383" s="8">
        <f t="shared" si="34"/>
        <v>1</v>
      </c>
      <c r="U383" s="8">
        <v>0</v>
      </c>
      <c r="V383" s="8">
        <v>1</v>
      </c>
      <c r="W383" s="8">
        <v>0</v>
      </c>
      <c r="X383" s="8">
        <v>0</v>
      </c>
      <c r="Y383" s="8">
        <v>0</v>
      </c>
      <c r="Z383" s="8">
        <v>0</v>
      </c>
      <c r="AA383" s="8">
        <v>180</v>
      </c>
      <c r="AB383" s="9">
        <f t="shared" si="35"/>
        <v>0.16666666666666669</v>
      </c>
      <c r="AC383" s="10">
        <f t="shared" si="31"/>
        <v>5.9999999999999991</v>
      </c>
      <c r="AD383" s="8" t="s">
        <v>568</v>
      </c>
      <c r="AE383" s="11">
        <v>69990</v>
      </c>
      <c r="AF383" s="11">
        <f t="shared" si="32"/>
        <v>69990</v>
      </c>
      <c r="AG383" s="12" t="s">
        <v>34</v>
      </c>
      <c r="AH383" s="8" t="s">
        <v>35</v>
      </c>
    </row>
    <row r="384" spans="1:34">
      <c r="A384" s="8" t="s">
        <v>603</v>
      </c>
      <c r="B384" s="16" t="s">
        <v>572</v>
      </c>
      <c r="C384" s="8" t="s">
        <v>533</v>
      </c>
      <c r="D384" s="8" t="s">
        <v>534</v>
      </c>
      <c r="E384" s="8" t="str">
        <f t="shared" si="30"/>
        <v>CASCARILLA</v>
      </c>
      <c r="G384" s="8" t="s">
        <v>2863</v>
      </c>
      <c r="H384" s="8" t="str">
        <f>VLOOKUP(A384,[1]BBDD!$B$1:$J$3274,9,FALSE)</f>
        <v>H</v>
      </c>
      <c r="I384" s="8" t="s">
        <v>2863</v>
      </c>
      <c r="J384" s="8" t="s">
        <v>595</v>
      </c>
      <c r="L384" s="8" t="s">
        <v>596</v>
      </c>
      <c r="N384" s="8" t="s">
        <v>602</v>
      </c>
      <c r="O384" s="8" t="s">
        <v>602</v>
      </c>
      <c r="P384" s="18" t="str">
        <f t="shared" si="33"/>
        <v>40</v>
      </c>
      <c r="Q384" s="8" t="s">
        <v>45</v>
      </c>
      <c r="R384" s="8">
        <v>6</v>
      </c>
      <c r="S384" s="8">
        <v>2</v>
      </c>
      <c r="T384" s="8">
        <f t="shared" si="34"/>
        <v>8</v>
      </c>
      <c r="U384" s="8">
        <v>0</v>
      </c>
      <c r="V384" s="8">
        <v>0</v>
      </c>
      <c r="W384" s="8">
        <v>0</v>
      </c>
      <c r="X384" s="8">
        <v>0</v>
      </c>
      <c r="Y384" s="8">
        <v>2</v>
      </c>
      <c r="Z384" s="8">
        <v>1</v>
      </c>
      <c r="AA384" s="8">
        <v>180</v>
      </c>
      <c r="AB384" s="9">
        <f t="shared" si="35"/>
        <v>0.5</v>
      </c>
      <c r="AC384" s="10">
        <f t="shared" si="31"/>
        <v>16</v>
      </c>
      <c r="AD384" s="8" t="s">
        <v>568</v>
      </c>
      <c r="AE384" s="11">
        <v>69990</v>
      </c>
      <c r="AF384" s="11">
        <f t="shared" si="32"/>
        <v>559920</v>
      </c>
      <c r="AG384" s="12" t="s">
        <v>64</v>
      </c>
      <c r="AH384" s="8" t="s">
        <v>35</v>
      </c>
    </row>
    <row r="385" spans="1:34">
      <c r="A385" s="8" t="s">
        <v>604</v>
      </c>
      <c r="B385" s="16" t="s">
        <v>572</v>
      </c>
      <c r="C385" s="8" t="s">
        <v>533</v>
      </c>
      <c r="D385" s="8" t="s">
        <v>534</v>
      </c>
      <c r="E385" s="8" t="str">
        <f t="shared" si="30"/>
        <v>CASCARILLA</v>
      </c>
      <c r="G385" s="8" t="s">
        <v>2863</v>
      </c>
      <c r="H385" s="8" t="str">
        <f>VLOOKUP(A385,[1]BBDD!$B$1:$J$3274,9,FALSE)</f>
        <v>H</v>
      </c>
      <c r="I385" s="8" t="s">
        <v>2863</v>
      </c>
      <c r="J385" s="8" t="s">
        <v>595</v>
      </c>
      <c r="L385" s="8" t="s">
        <v>596</v>
      </c>
      <c r="N385" s="8" t="s">
        <v>602</v>
      </c>
      <c r="O385" s="8" t="s">
        <v>602</v>
      </c>
      <c r="P385" s="18" t="str">
        <f t="shared" si="33"/>
        <v>42</v>
      </c>
      <c r="Q385" s="8" t="s">
        <v>45</v>
      </c>
      <c r="R385" s="8">
        <v>4</v>
      </c>
      <c r="S385" s="8">
        <v>4</v>
      </c>
      <c r="T385" s="8">
        <f t="shared" si="34"/>
        <v>8</v>
      </c>
      <c r="U385" s="8">
        <v>0</v>
      </c>
      <c r="V385" s="8">
        <v>0</v>
      </c>
      <c r="W385" s="8">
        <v>0</v>
      </c>
      <c r="X385" s="8">
        <v>1</v>
      </c>
      <c r="Y385" s="8">
        <v>0</v>
      </c>
      <c r="Z385" s="8">
        <v>0</v>
      </c>
      <c r="AA385" s="8">
        <v>180</v>
      </c>
      <c r="AB385" s="9">
        <f t="shared" si="35"/>
        <v>0.16666666666666669</v>
      </c>
      <c r="AC385" s="10">
        <f t="shared" si="31"/>
        <v>47.999999999999993</v>
      </c>
      <c r="AD385" s="8" t="s">
        <v>568</v>
      </c>
      <c r="AE385" s="11">
        <v>69990</v>
      </c>
      <c r="AF385" s="11">
        <f t="shared" si="32"/>
        <v>559920</v>
      </c>
      <c r="AG385" s="12" t="s">
        <v>73</v>
      </c>
      <c r="AH385" s="8" t="s">
        <v>35</v>
      </c>
    </row>
    <row r="386" spans="1:34">
      <c r="A386" s="8" t="s">
        <v>605</v>
      </c>
      <c r="B386" s="16" t="s">
        <v>572</v>
      </c>
      <c r="C386" s="8" t="s">
        <v>533</v>
      </c>
      <c r="D386" s="8" t="s">
        <v>534</v>
      </c>
      <c r="E386" s="8" t="str">
        <f t="shared" si="30"/>
        <v>CASCARILLA</v>
      </c>
      <c r="G386" s="8" t="s">
        <v>2863</v>
      </c>
      <c r="H386" s="8" t="str">
        <f>VLOOKUP(A386,[1]BBDD!$B$1:$J$3274,9,FALSE)</f>
        <v>H</v>
      </c>
      <c r="I386" s="8" t="s">
        <v>2863</v>
      </c>
      <c r="J386" s="8" t="s">
        <v>595</v>
      </c>
      <c r="L386" s="8" t="s">
        <v>596</v>
      </c>
      <c r="N386" s="8" t="s">
        <v>602</v>
      </c>
      <c r="O386" s="8" t="s">
        <v>602</v>
      </c>
      <c r="P386" s="18" t="str">
        <f t="shared" si="33"/>
        <v>44</v>
      </c>
      <c r="Q386" s="8" t="s">
        <v>45</v>
      </c>
      <c r="R386" s="8">
        <v>0</v>
      </c>
      <c r="S386" s="8">
        <v>3</v>
      </c>
      <c r="T386" s="8">
        <f t="shared" si="34"/>
        <v>3</v>
      </c>
      <c r="U386" s="8">
        <v>1</v>
      </c>
      <c r="V386" s="8">
        <v>0</v>
      </c>
      <c r="W386" s="8">
        <v>0</v>
      </c>
      <c r="X386" s="8">
        <v>0</v>
      </c>
      <c r="Y386" s="8">
        <v>1</v>
      </c>
      <c r="Z386" s="8">
        <v>1</v>
      </c>
      <c r="AA386" s="8">
        <v>180</v>
      </c>
      <c r="AB386" s="9">
        <f t="shared" si="35"/>
        <v>0.5</v>
      </c>
      <c r="AC386" s="10">
        <f t="shared" si="31"/>
        <v>6</v>
      </c>
      <c r="AD386" s="8" t="s">
        <v>568</v>
      </c>
      <c r="AE386" s="11">
        <v>69990</v>
      </c>
      <c r="AF386" s="11">
        <f t="shared" si="32"/>
        <v>209970</v>
      </c>
      <c r="AG386" s="12" t="s">
        <v>34</v>
      </c>
      <c r="AH386" s="8" t="s">
        <v>35</v>
      </c>
    </row>
    <row r="387" spans="1:34">
      <c r="A387" s="8" t="s">
        <v>606</v>
      </c>
      <c r="B387" s="16" t="s">
        <v>572</v>
      </c>
      <c r="C387" s="8" t="s">
        <v>533</v>
      </c>
      <c r="D387" s="8" t="s">
        <v>534</v>
      </c>
      <c r="E387" s="8" t="str">
        <f t="shared" ref="E387:E450" si="36">TRIM(N387)</f>
        <v>CASCARILLA</v>
      </c>
      <c r="G387" s="8" t="s">
        <v>2863</v>
      </c>
      <c r="H387" s="8" t="str">
        <f>VLOOKUP(A387,[1]BBDD!$B$1:$J$3274,9,FALSE)</f>
        <v>H</v>
      </c>
      <c r="I387" s="8" t="s">
        <v>2863</v>
      </c>
      <c r="J387" s="8" t="s">
        <v>595</v>
      </c>
      <c r="L387" s="8" t="s">
        <v>596</v>
      </c>
      <c r="N387" s="8" t="s">
        <v>602</v>
      </c>
      <c r="O387" s="8" t="s">
        <v>602</v>
      </c>
      <c r="P387" s="18" t="str">
        <f t="shared" si="33"/>
        <v>46</v>
      </c>
      <c r="Q387" s="8" t="s">
        <v>45</v>
      </c>
      <c r="R387" s="8">
        <v>0</v>
      </c>
      <c r="S387" s="8">
        <v>3</v>
      </c>
      <c r="T387" s="8">
        <f t="shared" si="34"/>
        <v>3</v>
      </c>
      <c r="U387" s="8">
        <v>0</v>
      </c>
      <c r="V387" s="8">
        <v>0</v>
      </c>
      <c r="W387" s="8">
        <v>0</v>
      </c>
      <c r="X387" s="8">
        <v>1</v>
      </c>
      <c r="Y387" s="8">
        <v>0</v>
      </c>
      <c r="Z387" s="8">
        <v>0</v>
      </c>
      <c r="AA387" s="8">
        <v>180</v>
      </c>
      <c r="AB387" s="9">
        <f t="shared" si="35"/>
        <v>0.16666666666666669</v>
      </c>
      <c r="AC387" s="10">
        <f t="shared" ref="AC387:AC450" si="37">IFERROR(T387/AB387,"sin venta")</f>
        <v>17.999999999999996</v>
      </c>
      <c r="AD387" s="8" t="s">
        <v>568</v>
      </c>
      <c r="AE387" s="11">
        <v>69990</v>
      </c>
      <c r="AF387" s="11">
        <f t="shared" ref="AF387:AF450" si="38">IFERROR(AE387*T387,0)</f>
        <v>209970</v>
      </c>
      <c r="AG387" s="12" t="s">
        <v>64</v>
      </c>
      <c r="AH387" s="8" t="s">
        <v>35</v>
      </c>
    </row>
    <row r="388" spans="1:34">
      <c r="A388" s="8" t="s">
        <v>607</v>
      </c>
      <c r="B388" s="16" t="s">
        <v>572</v>
      </c>
      <c r="C388" s="8" t="s">
        <v>533</v>
      </c>
      <c r="D388" s="8" t="s">
        <v>534</v>
      </c>
      <c r="E388" s="8" t="str">
        <f t="shared" si="36"/>
        <v>CELESTE</v>
      </c>
      <c r="G388" s="8" t="s">
        <v>2863</v>
      </c>
      <c r="H388" s="8" t="str">
        <f>VLOOKUP(A388,[1]BBDD!$B$1:$J$3274,9,FALSE)</f>
        <v>H</v>
      </c>
      <c r="I388" s="8" t="s">
        <v>2863</v>
      </c>
      <c r="J388" s="8" t="s">
        <v>595</v>
      </c>
      <c r="L388" s="8" t="s">
        <v>596</v>
      </c>
      <c r="N388" s="8" t="s">
        <v>608</v>
      </c>
      <c r="O388" s="8" t="s">
        <v>608</v>
      </c>
      <c r="P388" s="18" t="str">
        <f t="shared" si="33"/>
        <v>40</v>
      </c>
      <c r="Q388" s="8" t="s">
        <v>45</v>
      </c>
      <c r="R388" s="8">
        <v>0</v>
      </c>
      <c r="S388" s="8">
        <v>2</v>
      </c>
      <c r="T388" s="8">
        <f t="shared" si="34"/>
        <v>2</v>
      </c>
      <c r="U388" s="8">
        <v>2</v>
      </c>
      <c r="V388" s="8">
        <v>0</v>
      </c>
      <c r="W388" s="8">
        <v>1</v>
      </c>
      <c r="X388" s="8">
        <v>1</v>
      </c>
      <c r="Y388" s="8">
        <v>0</v>
      </c>
      <c r="Z388" s="8">
        <v>0</v>
      </c>
      <c r="AA388" s="8">
        <v>180</v>
      </c>
      <c r="AB388" s="9">
        <f t="shared" si="35"/>
        <v>0.66666666666666674</v>
      </c>
      <c r="AC388" s="10">
        <f t="shared" si="37"/>
        <v>2.9999999999999996</v>
      </c>
      <c r="AD388" s="8" t="s">
        <v>568</v>
      </c>
      <c r="AE388" s="11">
        <v>69990</v>
      </c>
      <c r="AF388" s="11">
        <f t="shared" si="38"/>
        <v>139980</v>
      </c>
      <c r="AG388" s="12" t="s">
        <v>34</v>
      </c>
      <c r="AH388" s="8" t="s">
        <v>35</v>
      </c>
    </row>
    <row r="389" spans="1:34">
      <c r="A389" s="8" t="s">
        <v>609</v>
      </c>
      <c r="B389" s="16" t="s">
        <v>572</v>
      </c>
      <c r="C389" s="8" t="s">
        <v>533</v>
      </c>
      <c r="D389" s="8" t="s">
        <v>534</v>
      </c>
      <c r="E389" s="8" t="str">
        <f t="shared" si="36"/>
        <v>LILA</v>
      </c>
      <c r="G389" s="8" t="s">
        <v>2863</v>
      </c>
      <c r="H389" s="8" t="str">
        <f>VLOOKUP(A389,[1]BBDD!$B$1:$J$3274,9,FALSE)</f>
        <v>H</v>
      </c>
      <c r="I389" s="8" t="s">
        <v>2863</v>
      </c>
      <c r="J389" s="8" t="s">
        <v>595</v>
      </c>
      <c r="L389" s="8" t="s">
        <v>596</v>
      </c>
      <c r="N389" s="8" t="s">
        <v>610</v>
      </c>
      <c r="O389" s="8" t="s">
        <v>610</v>
      </c>
      <c r="P389" s="18" t="str">
        <f t="shared" si="33"/>
        <v>38</v>
      </c>
      <c r="Q389" s="8" t="s">
        <v>45</v>
      </c>
      <c r="R389" s="8">
        <v>0</v>
      </c>
      <c r="S389" s="8">
        <v>1</v>
      </c>
      <c r="T389" s="8">
        <f t="shared" si="34"/>
        <v>1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1</v>
      </c>
      <c r="AA389" s="8">
        <v>180</v>
      </c>
      <c r="AB389" s="9">
        <f t="shared" si="35"/>
        <v>0.16666666666666669</v>
      </c>
      <c r="AC389" s="10">
        <f t="shared" si="37"/>
        <v>5.9999999999999991</v>
      </c>
      <c r="AD389" s="8" t="s">
        <v>568</v>
      </c>
      <c r="AE389" s="11">
        <v>69990</v>
      </c>
      <c r="AF389" s="11">
        <f t="shared" si="38"/>
        <v>69990</v>
      </c>
      <c r="AG389" s="12" t="s">
        <v>34</v>
      </c>
      <c r="AH389" s="8" t="s">
        <v>35</v>
      </c>
    </row>
    <row r="390" spans="1:34">
      <c r="A390" s="8" t="s">
        <v>611</v>
      </c>
      <c r="B390" s="16" t="s">
        <v>572</v>
      </c>
      <c r="C390" s="8" t="s">
        <v>533</v>
      </c>
      <c r="D390" s="8" t="s">
        <v>534</v>
      </c>
      <c r="E390" s="8" t="str">
        <f t="shared" si="36"/>
        <v>LILA</v>
      </c>
      <c r="G390" s="8" t="s">
        <v>2863</v>
      </c>
      <c r="H390" s="8" t="str">
        <f>VLOOKUP(A390,[1]BBDD!$B$1:$J$3274,9,FALSE)</f>
        <v>H</v>
      </c>
      <c r="I390" s="8" t="s">
        <v>2863</v>
      </c>
      <c r="J390" s="8" t="s">
        <v>595</v>
      </c>
      <c r="L390" s="8" t="s">
        <v>596</v>
      </c>
      <c r="N390" s="8" t="s">
        <v>610</v>
      </c>
      <c r="O390" s="8" t="s">
        <v>610</v>
      </c>
      <c r="P390" s="18" t="str">
        <f t="shared" si="33"/>
        <v>40</v>
      </c>
      <c r="Q390" s="8" t="s">
        <v>45</v>
      </c>
      <c r="R390" s="8">
        <v>0</v>
      </c>
      <c r="S390" s="8">
        <v>4</v>
      </c>
      <c r="T390" s="8">
        <f t="shared" si="34"/>
        <v>4</v>
      </c>
      <c r="U390" s="8">
        <v>1</v>
      </c>
      <c r="V390" s="8">
        <v>0</v>
      </c>
      <c r="W390" s="8">
        <v>1</v>
      </c>
      <c r="X390" s="8">
        <v>0</v>
      </c>
      <c r="Y390" s="8">
        <v>0</v>
      </c>
      <c r="Z390" s="8">
        <v>0</v>
      </c>
      <c r="AA390" s="8">
        <v>180</v>
      </c>
      <c r="AB390" s="9">
        <f t="shared" si="35"/>
        <v>0.33333333333333337</v>
      </c>
      <c r="AC390" s="10">
        <f t="shared" si="37"/>
        <v>11.999999999999998</v>
      </c>
      <c r="AD390" s="8" t="s">
        <v>568</v>
      </c>
      <c r="AE390" s="11">
        <v>69990</v>
      </c>
      <c r="AF390" s="11">
        <f t="shared" si="38"/>
        <v>279960</v>
      </c>
      <c r="AG390" s="12" t="s">
        <v>51</v>
      </c>
      <c r="AH390" s="8" t="s">
        <v>35</v>
      </c>
    </row>
    <row r="391" spans="1:34">
      <c r="A391" s="8" t="s">
        <v>612</v>
      </c>
      <c r="B391" s="16" t="s">
        <v>572</v>
      </c>
      <c r="C391" s="8" t="s">
        <v>533</v>
      </c>
      <c r="D391" s="8" t="s">
        <v>534</v>
      </c>
      <c r="E391" s="8" t="str">
        <f t="shared" si="36"/>
        <v>LILA</v>
      </c>
      <c r="G391" s="8" t="s">
        <v>2863</v>
      </c>
      <c r="H391" s="8" t="str">
        <f>VLOOKUP(A391,[1]BBDD!$B$1:$J$3274,9,FALSE)</f>
        <v>H</v>
      </c>
      <c r="I391" s="8" t="s">
        <v>2863</v>
      </c>
      <c r="J391" s="8" t="s">
        <v>595</v>
      </c>
      <c r="L391" s="8" t="s">
        <v>596</v>
      </c>
      <c r="N391" s="8" t="s">
        <v>610</v>
      </c>
      <c r="O391" s="8" t="s">
        <v>610</v>
      </c>
      <c r="P391" s="18" t="str">
        <f t="shared" si="33"/>
        <v>42</v>
      </c>
      <c r="Q391" s="8" t="s">
        <v>45</v>
      </c>
      <c r="R391" s="8">
        <v>3</v>
      </c>
      <c r="S391" s="8">
        <v>4</v>
      </c>
      <c r="T391" s="8">
        <f t="shared" si="34"/>
        <v>7</v>
      </c>
      <c r="U391" s="8">
        <v>1</v>
      </c>
      <c r="V391" s="8">
        <v>0</v>
      </c>
      <c r="W391" s="8">
        <v>0</v>
      </c>
      <c r="X391" s="8">
        <v>0</v>
      </c>
      <c r="Y391" s="8">
        <v>0</v>
      </c>
      <c r="Z391" s="8">
        <v>1</v>
      </c>
      <c r="AA391" s="8">
        <v>180</v>
      </c>
      <c r="AB391" s="9">
        <f t="shared" si="35"/>
        <v>0.33333333333333337</v>
      </c>
      <c r="AC391" s="10">
        <f t="shared" si="37"/>
        <v>20.999999999999996</v>
      </c>
      <c r="AD391" s="8" t="s">
        <v>568</v>
      </c>
      <c r="AE391" s="11">
        <v>69990</v>
      </c>
      <c r="AF391" s="11">
        <f t="shared" si="38"/>
        <v>489930</v>
      </c>
      <c r="AG391" s="12" t="s">
        <v>64</v>
      </c>
      <c r="AH391" s="8" t="s">
        <v>35</v>
      </c>
    </row>
    <row r="392" spans="1:34">
      <c r="A392" s="8" t="s">
        <v>613</v>
      </c>
      <c r="B392" s="16" t="s">
        <v>572</v>
      </c>
      <c r="C392" s="8" t="s">
        <v>533</v>
      </c>
      <c r="D392" s="8" t="s">
        <v>534</v>
      </c>
      <c r="E392" s="8" t="str">
        <f t="shared" si="36"/>
        <v>LILA</v>
      </c>
      <c r="G392" s="8" t="s">
        <v>2863</v>
      </c>
      <c r="H392" s="8" t="str">
        <f>VLOOKUP(A392,[1]BBDD!$B$1:$J$3274,9,FALSE)</f>
        <v>H</v>
      </c>
      <c r="I392" s="8" t="s">
        <v>2863</v>
      </c>
      <c r="J392" s="8" t="s">
        <v>595</v>
      </c>
      <c r="L392" s="8" t="s">
        <v>596</v>
      </c>
      <c r="N392" s="8" t="s">
        <v>610</v>
      </c>
      <c r="O392" s="8" t="s">
        <v>610</v>
      </c>
      <c r="P392" s="18" t="str">
        <f t="shared" si="33"/>
        <v>44</v>
      </c>
      <c r="Q392" s="8" t="s">
        <v>45</v>
      </c>
      <c r="R392" s="8">
        <v>0</v>
      </c>
      <c r="S392" s="8">
        <v>1</v>
      </c>
      <c r="T392" s="8">
        <f t="shared" si="34"/>
        <v>1</v>
      </c>
      <c r="U392" s="8">
        <v>0</v>
      </c>
      <c r="V392" s="8">
        <v>0</v>
      </c>
      <c r="W392" s="8">
        <v>0</v>
      </c>
      <c r="X392" s="8">
        <v>1</v>
      </c>
      <c r="Y392" s="8">
        <v>0</v>
      </c>
      <c r="Z392" s="8">
        <v>0</v>
      </c>
      <c r="AA392" s="8">
        <v>180</v>
      </c>
      <c r="AB392" s="9">
        <f t="shared" si="35"/>
        <v>0.16666666666666669</v>
      </c>
      <c r="AC392" s="10">
        <f t="shared" si="37"/>
        <v>5.9999999999999991</v>
      </c>
      <c r="AD392" s="8" t="s">
        <v>568</v>
      </c>
      <c r="AE392" s="11">
        <v>69990</v>
      </c>
      <c r="AF392" s="11">
        <f t="shared" si="38"/>
        <v>69990</v>
      </c>
      <c r="AG392" s="12" t="s">
        <v>34</v>
      </c>
      <c r="AH392" s="8" t="s">
        <v>35</v>
      </c>
    </row>
    <row r="393" spans="1:34">
      <c r="A393" s="8" t="s">
        <v>614</v>
      </c>
      <c r="B393" s="16" t="s">
        <v>572</v>
      </c>
      <c r="C393" s="8" t="s">
        <v>533</v>
      </c>
      <c r="D393" s="8" t="s">
        <v>534</v>
      </c>
      <c r="E393" s="8" t="str">
        <f t="shared" si="36"/>
        <v>LILA</v>
      </c>
      <c r="G393" s="8" t="s">
        <v>2863</v>
      </c>
      <c r="H393" s="8" t="str">
        <f>VLOOKUP(A393,[1]BBDD!$B$1:$J$3274,9,FALSE)</f>
        <v>H</v>
      </c>
      <c r="I393" s="8" t="s">
        <v>2863</v>
      </c>
      <c r="J393" s="8" t="s">
        <v>595</v>
      </c>
      <c r="L393" s="8" t="s">
        <v>596</v>
      </c>
      <c r="N393" s="8" t="s">
        <v>610</v>
      </c>
      <c r="O393" s="8" t="s">
        <v>610</v>
      </c>
      <c r="P393" s="18" t="str">
        <f t="shared" si="33"/>
        <v>46</v>
      </c>
      <c r="Q393" s="8" t="s">
        <v>45</v>
      </c>
      <c r="R393" s="8">
        <v>0</v>
      </c>
      <c r="S393" s="8">
        <v>2</v>
      </c>
      <c r="T393" s="8">
        <f t="shared" si="34"/>
        <v>2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180</v>
      </c>
      <c r="AB393" s="9">
        <f t="shared" si="35"/>
        <v>0</v>
      </c>
      <c r="AC393" s="10" t="str">
        <f t="shared" si="37"/>
        <v>sin venta</v>
      </c>
      <c r="AD393" s="8" t="s">
        <v>568</v>
      </c>
      <c r="AE393" s="11">
        <v>69990</v>
      </c>
      <c r="AF393" s="11">
        <f t="shared" si="38"/>
        <v>139980</v>
      </c>
      <c r="AG393" s="12" t="s">
        <v>73</v>
      </c>
      <c r="AH393" s="8" t="s">
        <v>35</v>
      </c>
    </row>
    <row r="394" spans="1:34">
      <c r="A394" s="8" t="s">
        <v>615</v>
      </c>
      <c r="B394" s="16" t="s">
        <v>572</v>
      </c>
      <c r="C394" s="8" t="s">
        <v>533</v>
      </c>
      <c r="D394" s="8" t="s">
        <v>534</v>
      </c>
      <c r="E394" s="8" t="str">
        <f t="shared" si="36"/>
        <v>CELESTE</v>
      </c>
      <c r="G394" s="8" t="s">
        <v>2863</v>
      </c>
      <c r="H394" s="8" t="str">
        <f>VLOOKUP(A394,[1]BBDD!$B$1:$J$3274,9,FALSE)</f>
        <v>H</v>
      </c>
      <c r="I394" s="8" t="s">
        <v>2863</v>
      </c>
      <c r="J394" s="8" t="s">
        <v>616</v>
      </c>
      <c r="L394" s="8" t="s">
        <v>566</v>
      </c>
      <c r="N394" s="8" t="s">
        <v>608</v>
      </c>
      <c r="O394" s="8" t="s">
        <v>608</v>
      </c>
      <c r="P394" s="18" t="str">
        <f t="shared" si="33"/>
        <v>38</v>
      </c>
      <c r="Q394" s="8" t="s">
        <v>45</v>
      </c>
      <c r="R394" s="8">
        <v>0</v>
      </c>
      <c r="S394" s="8">
        <v>1</v>
      </c>
      <c r="T394" s="8">
        <f t="shared" si="34"/>
        <v>1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180</v>
      </c>
      <c r="AB394" s="9">
        <f t="shared" si="35"/>
        <v>0</v>
      </c>
      <c r="AC394" s="10" t="str">
        <f t="shared" si="37"/>
        <v>sin venta</v>
      </c>
      <c r="AD394" s="8" t="s">
        <v>568</v>
      </c>
      <c r="AE394" s="11">
        <v>69990</v>
      </c>
      <c r="AF394" s="11">
        <f t="shared" si="38"/>
        <v>69990</v>
      </c>
      <c r="AG394" s="12" t="s">
        <v>73</v>
      </c>
      <c r="AH394" s="8" t="s">
        <v>35</v>
      </c>
    </row>
    <row r="395" spans="1:34">
      <c r="A395" s="8" t="s">
        <v>617</v>
      </c>
      <c r="B395" s="16" t="s">
        <v>572</v>
      </c>
      <c r="C395" s="8" t="s">
        <v>533</v>
      </c>
      <c r="D395" s="8" t="s">
        <v>534</v>
      </c>
      <c r="E395" s="8" t="str">
        <f t="shared" si="36"/>
        <v>CELESTE</v>
      </c>
      <c r="G395" s="8" t="s">
        <v>2863</v>
      </c>
      <c r="H395" s="8" t="str">
        <f>VLOOKUP(A395,[1]BBDD!$B$1:$J$3274,9,FALSE)</f>
        <v>H</v>
      </c>
      <c r="I395" s="8" t="s">
        <v>2863</v>
      </c>
      <c r="J395" s="8" t="s">
        <v>616</v>
      </c>
      <c r="L395" s="8" t="s">
        <v>566</v>
      </c>
      <c r="N395" s="8" t="s">
        <v>608</v>
      </c>
      <c r="O395" s="8" t="s">
        <v>608</v>
      </c>
      <c r="P395" s="18" t="str">
        <f t="shared" si="33"/>
        <v>40</v>
      </c>
      <c r="Q395" s="8" t="s">
        <v>45</v>
      </c>
      <c r="R395" s="8">
        <v>0</v>
      </c>
      <c r="S395" s="8">
        <v>3</v>
      </c>
      <c r="T395" s="8">
        <f t="shared" si="34"/>
        <v>3</v>
      </c>
      <c r="U395" s="8">
        <v>0</v>
      </c>
      <c r="V395" s="8">
        <v>0</v>
      </c>
      <c r="W395" s="8">
        <v>1</v>
      </c>
      <c r="X395" s="8">
        <v>0</v>
      </c>
      <c r="Y395" s="8">
        <v>0</v>
      </c>
      <c r="Z395" s="8">
        <v>0</v>
      </c>
      <c r="AA395" s="8">
        <v>180</v>
      </c>
      <c r="AB395" s="9">
        <f t="shared" si="35"/>
        <v>0.16666666666666669</v>
      </c>
      <c r="AC395" s="10">
        <f t="shared" si="37"/>
        <v>17.999999999999996</v>
      </c>
      <c r="AD395" s="8" t="s">
        <v>568</v>
      </c>
      <c r="AE395" s="11">
        <v>69990</v>
      </c>
      <c r="AF395" s="11">
        <f t="shared" si="38"/>
        <v>209970</v>
      </c>
      <c r="AG395" s="12" t="s">
        <v>64</v>
      </c>
      <c r="AH395" s="8" t="s">
        <v>35</v>
      </c>
    </row>
    <row r="396" spans="1:34">
      <c r="A396" s="8" t="s">
        <v>618</v>
      </c>
      <c r="B396" s="16" t="s">
        <v>572</v>
      </c>
      <c r="C396" s="8" t="s">
        <v>533</v>
      </c>
      <c r="D396" s="8" t="s">
        <v>534</v>
      </c>
      <c r="E396" s="8" t="str">
        <f t="shared" si="36"/>
        <v>CELESTE</v>
      </c>
      <c r="G396" s="8" t="s">
        <v>2863</v>
      </c>
      <c r="H396" s="8" t="str">
        <f>VLOOKUP(A396,[1]BBDD!$B$1:$J$3274,9,FALSE)</f>
        <v>H</v>
      </c>
      <c r="I396" s="8" t="s">
        <v>2863</v>
      </c>
      <c r="J396" s="8" t="s">
        <v>616</v>
      </c>
      <c r="L396" s="8" t="s">
        <v>566</v>
      </c>
      <c r="N396" s="8" t="s">
        <v>608</v>
      </c>
      <c r="O396" s="8" t="s">
        <v>608</v>
      </c>
      <c r="P396" s="18" t="str">
        <f t="shared" si="33"/>
        <v>42</v>
      </c>
      <c r="Q396" s="8" t="s">
        <v>45</v>
      </c>
      <c r="R396" s="8">
        <v>0</v>
      </c>
      <c r="S396" s="8">
        <v>2</v>
      </c>
      <c r="T396" s="8">
        <f t="shared" si="34"/>
        <v>2</v>
      </c>
      <c r="U396" s="8">
        <v>0</v>
      </c>
      <c r="V396" s="8">
        <v>0</v>
      </c>
      <c r="W396" s="8">
        <v>1</v>
      </c>
      <c r="X396" s="8">
        <v>2</v>
      </c>
      <c r="Y396" s="8">
        <v>0</v>
      </c>
      <c r="Z396" s="8">
        <v>2</v>
      </c>
      <c r="AA396" s="8">
        <v>180</v>
      </c>
      <c r="AB396" s="9">
        <f t="shared" si="35"/>
        <v>0.83333333333333326</v>
      </c>
      <c r="AC396" s="10">
        <f t="shared" si="37"/>
        <v>2.4000000000000004</v>
      </c>
      <c r="AD396" s="8" t="s">
        <v>568</v>
      </c>
      <c r="AE396" s="11">
        <v>69990</v>
      </c>
      <c r="AF396" s="11">
        <f t="shared" si="38"/>
        <v>139980</v>
      </c>
      <c r="AG396" s="12" t="s">
        <v>34</v>
      </c>
      <c r="AH396" s="8" t="s">
        <v>35</v>
      </c>
    </row>
    <row r="397" spans="1:34">
      <c r="A397" s="8" t="s">
        <v>619</v>
      </c>
      <c r="B397" s="16" t="s">
        <v>572</v>
      </c>
      <c r="C397" s="8" t="s">
        <v>533</v>
      </c>
      <c r="D397" s="8" t="s">
        <v>534</v>
      </c>
      <c r="E397" s="8" t="str">
        <f t="shared" si="36"/>
        <v>B/N</v>
      </c>
      <c r="G397" s="8" t="s">
        <v>2863</v>
      </c>
      <c r="H397" s="8" t="str">
        <f>VLOOKUP(A397,[1]BBDD!$B$1:$J$3274,9,FALSE)</f>
        <v>H</v>
      </c>
      <c r="I397" s="8" t="s">
        <v>2863</v>
      </c>
      <c r="J397" s="8" t="s">
        <v>620</v>
      </c>
      <c r="L397" s="8" t="s">
        <v>621</v>
      </c>
      <c r="N397" s="8" t="s">
        <v>622</v>
      </c>
      <c r="O397" s="8" t="s">
        <v>622</v>
      </c>
      <c r="P397" s="18" t="str">
        <f t="shared" si="33"/>
        <v>38</v>
      </c>
      <c r="Q397" s="8" t="s">
        <v>45</v>
      </c>
      <c r="R397" s="8">
        <v>0</v>
      </c>
      <c r="S397" s="8">
        <v>2</v>
      </c>
      <c r="T397" s="8">
        <f t="shared" si="34"/>
        <v>2</v>
      </c>
      <c r="U397" s="8">
        <v>1</v>
      </c>
      <c r="V397" s="8">
        <v>0</v>
      </c>
      <c r="W397" s="8">
        <v>1</v>
      </c>
      <c r="X397" s="8">
        <v>1</v>
      </c>
      <c r="Y397" s="8">
        <v>0</v>
      </c>
      <c r="Z397" s="8">
        <v>0</v>
      </c>
      <c r="AA397" s="8">
        <v>180</v>
      </c>
      <c r="AB397" s="9">
        <f t="shared" si="35"/>
        <v>0.5</v>
      </c>
      <c r="AC397" s="10">
        <f t="shared" si="37"/>
        <v>4</v>
      </c>
      <c r="AD397" s="8" t="s">
        <v>568</v>
      </c>
      <c r="AE397" s="11">
        <v>69990</v>
      </c>
      <c r="AF397" s="11">
        <f t="shared" si="38"/>
        <v>139980</v>
      </c>
      <c r="AG397" s="12" t="s">
        <v>34</v>
      </c>
      <c r="AH397" s="8" t="s">
        <v>35</v>
      </c>
    </row>
    <row r="398" spans="1:34">
      <c r="A398" s="8" t="s">
        <v>623</v>
      </c>
      <c r="B398" s="16" t="s">
        <v>572</v>
      </c>
      <c r="C398" s="8" t="s">
        <v>533</v>
      </c>
      <c r="D398" s="8" t="s">
        <v>534</v>
      </c>
      <c r="E398" s="8" t="str">
        <f t="shared" si="36"/>
        <v>B/N</v>
      </c>
      <c r="G398" s="8" t="s">
        <v>2863</v>
      </c>
      <c r="H398" s="8" t="str">
        <f>VLOOKUP(A398,[1]BBDD!$B$1:$J$3274,9,FALSE)</f>
        <v>H</v>
      </c>
      <c r="I398" s="8" t="s">
        <v>2863</v>
      </c>
      <c r="J398" s="8" t="s">
        <v>620</v>
      </c>
      <c r="L398" s="8" t="s">
        <v>621</v>
      </c>
      <c r="N398" s="8" t="s">
        <v>622</v>
      </c>
      <c r="O398" s="8" t="s">
        <v>622</v>
      </c>
      <c r="P398" s="18" t="str">
        <f t="shared" si="33"/>
        <v>40</v>
      </c>
      <c r="Q398" s="8" t="s">
        <v>45</v>
      </c>
      <c r="R398" s="8">
        <v>3</v>
      </c>
      <c r="S398" s="8">
        <v>3</v>
      </c>
      <c r="T398" s="8">
        <f t="shared" si="34"/>
        <v>6</v>
      </c>
      <c r="U398" s="8">
        <v>0</v>
      </c>
      <c r="V398" s="8">
        <v>0</v>
      </c>
      <c r="W398" s="8">
        <v>1</v>
      </c>
      <c r="X398" s="8">
        <v>0</v>
      </c>
      <c r="Y398" s="8">
        <v>0</v>
      </c>
      <c r="Z398" s="8">
        <v>3</v>
      </c>
      <c r="AA398" s="8">
        <v>180</v>
      </c>
      <c r="AB398" s="9">
        <f t="shared" si="35"/>
        <v>0.66666666666666674</v>
      </c>
      <c r="AC398" s="10">
        <f t="shared" si="37"/>
        <v>8.9999999999999982</v>
      </c>
      <c r="AD398" s="8" t="s">
        <v>568</v>
      </c>
      <c r="AE398" s="11">
        <v>69990</v>
      </c>
      <c r="AF398" s="11">
        <f t="shared" si="38"/>
        <v>419940</v>
      </c>
      <c r="AG398" s="12" t="s">
        <v>51</v>
      </c>
      <c r="AH398" s="8" t="s">
        <v>35</v>
      </c>
    </row>
    <row r="399" spans="1:34">
      <c r="A399" s="8" t="s">
        <v>624</v>
      </c>
      <c r="B399" s="16" t="s">
        <v>572</v>
      </c>
      <c r="C399" s="8" t="s">
        <v>533</v>
      </c>
      <c r="D399" s="8" t="s">
        <v>534</v>
      </c>
      <c r="E399" s="8" t="str">
        <f t="shared" si="36"/>
        <v>B/N</v>
      </c>
      <c r="G399" s="8" t="s">
        <v>2863</v>
      </c>
      <c r="H399" s="8" t="str">
        <f>VLOOKUP(A399,[1]BBDD!$B$1:$J$3274,9,FALSE)</f>
        <v>H</v>
      </c>
      <c r="I399" s="8" t="s">
        <v>2863</v>
      </c>
      <c r="J399" s="8" t="s">
        <v>620</v>
      </c>
      <c r="L399" s="8" t="s">
        <v>621</v>
      </c>
      <c r="N399" s="8" t="s">
        <v>622</v>
      </c>
      <c r="O399" s="8" t="s">
        <v>622</v>
      </c>
      <c r="P399" s="18" t="str">
        <f t="shared" ref="P399:P404" si="39">RIGHT(A399,2)</f>
        <v>46</v>
      </c>
      <c r="Q399" s="8" t="s">
        <v>45</v>
      </c>
      <c r="R399" s="8">
        <v>0</v>
      </c>
      <c r="S399" s="8">
        <v>1</v>
      </c>
      <c r="T399" s="8">
        <f t="shared" si="34"/>
        <v>1</v>
      </c>
      <c r="U399" s="8">
        <v>0</v>
      </c>
      <c r="V399" s="8">
        <v>1</v>
      </c>
      <c r="W399" s="8">
        <v>0</v>
      </c>
      <c r="X399" s="8">
        <v>0</v>
      </c>
      <c r="Y399" s="8">
        <v>0</v>
      </c>
      <c r="Z399" s="8">
        <v>0</v>
      </c>
      <c r="AA399" s="8">
        <v>180</v>
      </c>
      <c r="AB399" s="9">
        <f t="shared" si="35"/>
        <v>0.16666666666666669</v>
      </c>
      <c r="AC399" s="10">
        <f t="shared" si="37"/>
        <v>5.9999999999999991</v>
      </c>
      <c r="AD399" s="8" t="s">
        <v>568</v>
      </c>
      <c r="AE399" s="11">
        <v>69990</v>
      </c>
      <c r="AF399" s="11">
        <f t="shared" si="38"/>
        <v>69990</v>
      </c>
      <c r="AG399" s="12" t="s">
        <v>34</v>
      </c>
      <c r="AH399" s="8" t="s">
        <v>35</v>
      </c>
    </row>
    <row r="400" spans="1:34">
      <c r="A400" s="8" t="s">
        <v>625</v>
      </c>
      <c r="B400" s="16" t="s">
        <v>572</v>
      </c>
      <c r="C400" s="8" t="s">
        <v>533</v>
      </c>
      <c r="D400" s="8" t="s">
        <v>534</v>
      </c>
      <c r="E400" s="8" t="str">
        <f t="shared" si="36"/>
        <v>BLANCA-AMARILLA</v>
      </c>
      <c r="G400" s="8" t="s">
        <v>2863</v>
      </c>
      <c r="H400" s="8" t="str">
        <f>VLOOKUP(A400,[1]BBDD!$B$1:$J$3274,9,FALSE)</f>
        <v>H</v>
      </c>
      <c r="I400" s="8" t="s">
        <v>2863</v>
      </c>
      <c r="J400" s="8" t="s">
        <v>626</v>
      </c>
      <c r="L400" s="8" t="s">
        <v>566</v>
      </c>
      <c r="N400" s="8" t="s">
        <v>627</v>
      </c>
      <c r="O400" s="20" t="s">
        <v>2882</v>
      </c>
      <c r="P400" s="18" t="str">
        <f t="shared" si="39"/>
        <v>42</v>
      </c>
      <c r="Q400" s="8" t="s">
        <v>45</v>
      </c>
      <c r="R400" s="8">
        <v>2</v>
      </c>
      <c r="S400" s="8">
        <v>5</v>
      </c>
      <c r="T400" s="8">
        <f t="shared" si="34"/>
        <v>7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180</v>
      </c>
      <c r="AB400" s="9">
        <f t="shared" si="35"/>
        <v>0</v>
      </c>
      <c r="AC400" s="10" t="str">
        <f t="shared" si="37"/>
        <v>sin venta</v>
      </c>
      <c r="AD400" s="8" t="s">
        <v>568</v>
      </c>
      <c r="AE400" s="11">
        <v>69990</v>
      </c>
      <c r="AF400" s="11">
        <f t="shared" si="38"/>
        <v>489930</v>
      </c>
      <c r="AG400" s="12" t="s">
        <v>73</v>
      </c>
      <c r="AH400" s="8" t="s">
        <v>35</v>
      </c>
    </row>
    <row r="401" spans="1:34">
      <c r="A401" s="8" t="s">
        <v>628</v>
      </c>
      <c r="B401" s="16" t="s">
        <v>572</v>
      </c>
      <c r="C401" s="8" t="s">
        <v>533</v>
      </c>
      <c r="D401" s="8" t="s">
        <v>534</v>
      </c>
      <c r="E401" s="8" t="str">
        <f t="shared" si="36"/>
        <v>BLANCA-AMARILLA</v>
      </c>
      <c r="G401" s="8" t="s">
        <v>2863</v>
      </c>
      <c r="H401" s="8" t="str">
        <f>VLOOKUP(A401,[1]BBDD!$B$1:$J$3274,9,FALSE)</f>
        <v>H</v>
      </c>
      <c r="I401" s="8" t="s">
        <v>2863</v>
      </c>
      <c r="J401" s="8" t="s">
        <v>626</v>
      </c>
      <c r="L401" s="8" t="s">
        <v>566</v>
      </c>
      <c r="N401" s="8" t="s">
        <v>627</v>
      </c>
      <c r="O401" s="20" t="s">
        <v>2882</v>
      </c>
      <c r="P401" s="18" t="str">
        <f t="shared" si="39"/>
        <v>38</v>
      </c>
      <c r="Q401" s="8" t="s">
        <v>45</v>
      </c>
      <c r="R401" s="8">
        <v>0</v>
      </c>
      <c r="S401" s="8">
        <v>3</v>
      </c>
      <c r="T401" s="8">
        <f t="shared" si="34"/>
        <v>3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180</v>
      </c>
      <c r="AB401" s="9">
        <f t="shared" si="35"/>
        <v>0</v>
      </c>
      <c r="AC401" s="10" t="str">
        <f t="shared" si="37"/>
        <v>sin venta</v>
      </c>
      <c r="AD401" s="8" t="s">
        <v>568</v>
      </c>
      <c r="AE401" s="11">
        <v>69990</v>
      </c>
      <c r="AF401" s="11">
        <f t="shared" si="38"/>
        <v>209970</v>
      </c>
      <c r="AG401" s="12" t="s">
        <v>73</v>
      </c>
      <c r="AH401" s="8" t="s">
        <v>35</v>
      </c>
    </row>
    <row r="402" spans="1:34">
      <c r="A402" s="8" t="s">
        <v>629</v>
      </c>
      <c r="B402" s="16" t="s">
        <v>572</v>
      </c>
      <c r="C402" s="8" t="s">
        <v>533</v>
      </c>
      <c r="D402" s="8" t="s">
        <v>534</v>
      </c>
      <c r="E402" s="8" t="str">
        <f t="shared" si="36"/>
        <v>BLANCA-AMARILLA</v>
      </c>
      <c r="G402" s="8" t="s">
        <v>2863</v>
      </c>
      <c r="H402" s="8" t="str">
        <f>VLOOKUP(A402,[1]BBDD!$B$1:$J$3274,9,FALSE)</f>
        <v>H</v>
      </c>
      <c r="I402" s="8" t="s">
        <v>2863</v>
      </c>
      <c r="J402" s="8" t="s">
        <v>626</v>
      </c>
      <c r="L402" s="8" t="s">
        <v>566</v>
      </c>
      <c r="N402" s="8" t="s">
        <v>627</v>
      </c>
      <c r="O402" s="20" t="s">
        <v>2882</v>
      </c>
      <c r="P402" s="18" t="str">
        <f t="shared" si="39"/>
        <v>40</v>
      </c>
      <c r="Q402" s="8" t="s">
        <v>45</v>
      </c>
      <c r="R402" s="8">
        <v>0</v>
      </c>
      <c r="S402" s="8">
        <v>3</v>
      </c>
      <c r="T402" s="8">
        <f t="shared" si="34"/>
        <v>3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180</v>
      </c>
      <c r="AB402" s="9">
        <f t="shared" si="35"/>
        <v>0</v>
      </c>
      <c r="AC402" s="10" t="str">
        <f t="shared" si="37"/>
        <v>sin venta</v>
      </c>
      <c r="AD402" s="8" t="s">
        <v>568</v>
      </c>
      <c r="AE402" s="11">
        <v>69990</v>
      </c>
      <c r="AF402" s="11">
        <f t="shared" si="38"/>
        <v>209970</v>
      </c>
      <c r="AG402" s="12" t="s">
        <v>73</v>
      </c>
      <c r="AH402" s="8" t="s">
        <v>35</v>
      </c>
    </row>
    <row r="403" spans="1:34">
      <c r="A403" s="8" t="s">
        <v>630</v>
      </c>
      <c r="B403" s="16" t="s">
        <v>572</v>
      </c>
      <c r="C403" s="8" t="s">
        <v>533</v>
      </c>
      <c r="D403" s="8" t="s">
        <v>534</v>
      </c>
      <c r="E403" s="8" t="str">
        <f t="shared" si="36"/>
        <v>BLANCA-AMARILLA</v>
      </c>
      <c r="G403" s="8" t="s">
        <v>2863</v>
      </c>
      <c r="H403" s="8" t="str">
        <f>VLOOKUP(A403,[1]BBDD!$B$1:$J$3274,9,FALSE)</f>
        <v>H</v>
      </c>
      <c r="I403" s="8" t="s">
        <v>2863</v>
      </c>
      <c r="J403" s="8" t="s">
        <v>626</v>
      </c>
      <c r="L403" s="8" t="s">
        <v>566</v>
      </c>
      <c r="N403" s="8" t="s">
        <v>627</v>
      </c>
      <c r="O403" s="20" t="s">
        <v>2882</v>
      </c>
      <c r="P403" s="18" t="str">
        <f t="shared" si="39"/>
        <v>44</v>
      </c>
      <c r="Q403" s="8" t="s">
        <v>45</v>
      </c>
      <c r="R403" s="8">
        <v>0</v>
      </c>
      <c r="S403" s="8">
        <v>1</v>
      </c>
      <c r="T403" s="8">
        <f t="shared" si="34"/>
        <v>1</v>
      </c>
      <c r="U403" s="8">
        <v>1</v>
      </c>
      <c r="V403" s="8">
        <v>1</v>
      </c>
      <c r="W403" s="8">
        <v>0</v>
      </c>
      <c r="X403" s="8">
        <v>0</v>
      </c>
      <c r="Y403" s="8">
        <v>1</v>
      </c>
      <c r="Z403" s="8">
        <v>0</v>
      </c>
      <c r="AA403" s="8">
        <v>180</v>
      </c>
      <c r="AB403" s="9">
        <f t="shared" si="35"/>
        <v>0.5</v>
      </c>
      <c r="AC403" s="10">
        <f t="shared" si="37"/>
        <v>2</v>
      </c>
      <c r="AD403" s="8" t="s">
        <v>568</v>
      </c>
      <c r="AE403" s="11">
        <v>69990</v>
      </c>
      <c r="AF403" s="11">
        <f t="shared" si="38"/>
        <v>69990</v>
      </c>
      <c r="AG403" s="12" t="s">
        <v>34</v>
      </c>
      <c r="AH403" s="8" t="s">
        <v>35</v>
      </c>
    </row>
    <row r="404" spans="1:34">
      <c r="A404" s="8" t="s">
        <v>631</v>
      </c>
      <c r="B404" s="16" t="s">
        <v>572</v>
      </c>
      <c r="C404" s="8" t="s">
        <v>533</v>
      </c>
      <c r="D404" s="8" t="s">
        <v>534</v>
      </c>
      <c r="E404" s="8" t="str">
        <f t="shared" si="36"/>
        <v>BLANCA-AMARILLA</v>
      </c>
      <c r="G404" s="8" t="s">
        <v>2863</v>
      </c>
      <c r="H404" s="8" t="str">
        <f>VLOOKUP(A404,[1]BBDD!$B$1:$J$3274,9,FALSE)</f>
        <v>H</v>
      </c>
      <c r="I404" s="8" t="s">
        <v>2863</v>
      </c>
      <c r="J404" s="8" t="s">
        <v>626</v>
      </c>
      <c r="L404" s="8" t="s">
        <v>566</v>
      </c>
      <c r="N404" s="8" t="s">
        <v>627</v>
      </c>
      <c r="O404" s="20" t="s">
        <v>2882</v>
      </c>
      <c r="P404" s="18" t="str">
        <f t="shared" si="39"/>
        <v>46</v>
      </c>
      <c r="Q404" s="8" t="s">
        <v>45</v>
      </c>
      <c r="R404" s="8">
        <v>0</v>
      </c>
      <c r="S404" s="8">
        <v>3</v>
      </c>
      <c r="T404" s="8">
        <f t="shared" si="34"/>
        <v>3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180</v>
      </c>
      <c r="AB404" s="9">
        <f t="shared" si="35"/>
        <v>0</v>
      </c>
      <c r="AC404" s="10" t="str">
        <f t="shared" si="37"/>
        <v>sin venta</v>
      </c>
      <c r="AD404" s="8" t="s">
        <v>568</v>
      </c>
      <c r="AE404" s="11">
        <v>69990</v>
      </c>
      <c r="AF404" s="11">
        <f t="shared" si="38"/>
        <v>209970</v>
      </c>
      <c r="AG404" s="12" t="s">
        <v>73</v>
      </c>
      <c r="AH404" s="8" t="s">
        <v>35</v>
      </c>
    </row>
    <row r="405" spans="1:34">
      <c r="A405" s="8" t="s">
        <v>632</v>
      </c>
      <c r="B405" s="16" t="s">
        <v>633</v>
      </c>
      <c r="C405" s="8" t="s">
        <v>533</v>
      </c>
      <c r="D405" s="8" t="s">
        <v>534</v>
      </c>
      <c r="E405" s="8" t="str">
        <f t="shared" si="36"/>
        <v>BLANCO L</v>
      </c>
      <c r="G405" s="8" t="s">
        <v>2863</v>
      </c>
      <c r="H405" s="8" t="str">
        <f>VLOOKUP(A405,[1]BBDD!$B$1:$J$3274,9,FALSE)</f>
        <v>H</v>
      </c>
      <c r="I405" s="8" t="s">
        <v>2863</v>
      </c>
      <c r="J405" s="8" t="s">
        <v>634</v>
      </c>
      <c r="L405" s="8" t="s">
        <v>566</v>
      </c>
      <c r="N405" s="8" t="s">
        <v>635</v>
      </c>
      <c r="O405" s="20" t="s">
        <v>646</v>
      </c>
      <c r="P405" s="18" t="s">
        <v>2874</v>
      </c>
      <c r="Q405" s="8" t="s">
        <v>45</v>
      </c>
      <c r="R405" s="8">
        <v>2</v>
      </c>
      <c r="S405" s="8">
        <v>4</v>
      </c>
      <c r="T405" s="8">
        <f t="shared" si="34"/>
        <v>6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180</v>
      </c>
      <c r="AB405" s="9">
        <f t="shared" si="35"/>
        <v>0</v>
      </c>
      <c r="AC405" s="10" t="str">
        <f t="shared" si="37"/>
        <v>sin venta</v>
      </c>
      <c r="AD405" s="8" t="s">
        <v>568</v>
      </c>
      <c r="AE405" s="11">
        <v>69990</v>
      </c>
      <c r="AF405" s="11">
        <f t="shared" si="38"/>
        <v>419940</v>
      </c>
      <c r="AG405" s="12" t="s">
        <v>73</v>
      </c>
      <c r="AH405" s="8" t="s">
        <v>35</v>
      </c>
    </row>
    <row r="406" spans="1:34">
      <c r="A406" s="8" t="s">
        <v>636</v>
      </c>
      <c r="B406" s="16" t="s">
        <v>633</v>
      </c>
      <c r="C406" s="8" t="s">
        <v>533</v>
      </c>
      <c r="D406" s="8" t="s">
        <v>534</v>
      </c>
      <c r="E406" s="8" t="str">
        <f t="shared" si="36"/>
        <v>BLANCO M</v>
      </c>
      <c r="G406" s="8" t="s">
        <v>2863</v>
      </c>
      <c r="H406" s="8" t="str">
        <f>VLOOKUP(A406,[1]BBDD!$B$1:$J$3274,9,FALSE)</f>
        <v>H</v>
      </c>
      <c r="I406" s="8" t="s">
        <v>2863</v>
      </c>
      <c r="J406" s="8" t="s">
        <v>634</v>
      </c>
      <c r="L406" s="8" t="s">
        <v>566</v>
      </c>
      <c r="N406" s="8" t="s">
        <v>637</v>
      </c>
      <c r="O406" s="20" t="s">
        <v>646</v>
      </c>
      <c r="P406" s="18" t="s">
        <v>2862</v>
      </c>
      <c r="Q406" s="8" t="s">
        <v>45</v>
      </c>
      <c r="R406" s="8">
        <v>0</v>
      </c>
      <c r="S406" s="8">
        <v>4</v>
      </c>
      <c r="T406" s="8">
        <f t="shared" si="34"/>
        <v>4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180</v>
      </c>
      <c r="AB406" s="9">
        <f t="shared" si="35"/>
        <v>0</v>
      </c>
      <c r="AC406" s="10" t="str">
        <f t="shared" si="37"/>
        <v>sin venta</v>
      </c>
      <c r="AD406" s="8" t="s">
        <v>568</v>
      </c>
      <c r="AE406" s="11">
        <v>69990</v>
      </c>
      <c r="AF406" s="11">
        <f t="shared" si="38"/>
        <v>279960</v>
      </c>
      <c r="AG406" s="12" t="s">
        <v>73</v>
      </c>
      <c r="AH406" s="8" t="s">
        <v>35</v>
      </c>
    </row>
    <row r="407" spans="1:34">
      <c r="A407" s="8" t="s">
        <v>638</v>
      </c>
      <c r="B407" s="16" t="s">
        <v>633</v>
      </c>
      <c r="C407" s="8" t="s">
        <v>533</v>
      </c>
      <c r="D407" s="8" t="s">
        <v>534</v>
      </c>
      <c r="E407" s="8" t="str">
        <f t="shared" si="36"/>
        <v>BLANCO S</v>
      </c>
      <c r="G407" s="8" t="s">
        <v>2863</v>
      </c>
      <c r="H407" s="8" t="str">
        <f>VLOOKUP(A407,[1]BBDD!$B$1:$J$3274,9,FALSE)</f>
        <v>H</v>
      </c>
      <c r="I407" s="8" t="s">
        <v>2863</v>
      </c>
      <c r="J407" s="8" t="s">
        <v>634</v>
      </c>
      <c r="L407" s="8" t="s">
        <v>566</v>
      </c>
      <c r="N407" s="8" t="s">
        <v>639</v>
      </c>
      <c r="O407" s="20" t="s">
        <v>646</v>
      </c>
      <c r="P407" s="18" t="s">
        <v>2873</v>
      </c>
      <c r="Q407" s="8" t="s">
        <v>45</v>
      </c>
      <c r="R407" s="8">
        <v>0</v>
      </c>
      <c r="S407" s="8">
        <v>2</v>
      </c>
      <c r="T407" s="8">
        <f t="shared" si="34"/>
        <v>2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180</v>
      </c>
      <c r="AB407" s="9">
        <f t="shared" si="35"/>
        <v>0</v>
      </c>
      <c r="AC407" s="10" t="str">
        <f t="shared" si="37"/>
        <v>sin venta</v>
      </c>
      <c r="AD407" s="8" t="s">
        <v>568</v>
      </c>
      <c r="AE407" s="11">
        <v>69990</v>
      </c>
      <c r="AF407" s="11">
        <f t="shared" si="38"/>
        <v>139980</v>
      </c>
      <c r="AG407" s="12" t="s">
        <v>73</v>
      </c>
      <c r="AH407" s="8" t="s">
        <v>35</v>
      </c>
    </row>
    <row r="408" spans="1:34">
      <c r="A408" s="8" t="s">
        <v>640</v>
      </c>
      <c r="B408" s="16" t="s">
        <v>633</v>
      </c>
      <c r="C408" s="8" t="s">
        <v>533</v>
      </c>
      <c r="D408" s="8" t="s">
        <v>534</v>
      </c>
      <c r="E408" s="8" t="str">
        <f t="shared" si="36"/>
        <v>BLANCO XL</v>
      </c>
      <c r="G408" s="8" t="s">
        <v>2863</v>
      </c>
      <c r="H408" s="8" t="str">
        <f>VLOOKUP(A408,[1]BBDD!$B$1:$J$3274,9,FALSE)</f>
        <v>H</v>
      </c>
      <c r="I408" s="8" t="s">
        <v>2863</v>
      </c>
      <c r="J408" s="8" t="s">
        <v>634</v>
      </c>
      <c r="L408" s="8" t="s">
        <v>566</v>
      </c>
      <c r="N408" s="8" t="s">
        <v>641</v>
      </c>
      <c r="O408" s="20" t="s">
        <v>646</v>
      </c>
      <c r="P408" s="18" t="s">
        <v>2875</v>
      </c>
      <c r="Q408" s="8" t="s">
        <v>45</v>
      </c>
      <c r="R408" s="8">
        <v>1</v>
      </c>
      <c r="S408" s="8">
        <v>4</v>
      </c>
      <c r="T408" s="8">
        <f t="shared" si="34"/>
        <v>5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180</v>
      </c>
      <c r="AB408" s="9">
        <f t="shared" si="35"/>
        <v>0</v>
      </c>
      <c r="AC408" s="10" t="str">
        <f t="shared" si="37"/>
        <v>sin venta</v>
      </c>
      <c r="AD408" s="8" t="s">
        <v>568</v>
      </c>
      <c r="AE408" s="11">
        <v>69990</v>
      </c>
      <c r="AF408" s="11">
        <f t="shared" si="38"/>
        <v>349950</v>
      </c>
      <c r="AG408" s="12" t="s">
        <v>73</v>
      </c>
      <c r="AH408" s="8" t="s">
        <v>35</v>
      </c>
    </row>
    <row r="409" spans="1:34">
      <c r="A409" s="8" t="s">
        <v>642</v>
      </c>
      <c r="B409" s="16" t="s">
        <v>633</v>
      </c>
      <c r="C409" s="8" t="s">
        <v>533</v>
      </c>
      <c r="D409" s="8" t="s">
        <v>534</v>
      </c>
      <c r="E409" s="8" t="str">
        <f t="shared" si="36"/>
        <v>BLANCO XXL</v>
      </c>
      <c r="G409" s="8" t="s">
        <v>2863</v>
      </c>
      <c r="H409" s="8" t="str">
        <f>VLOOKUP(A409,[1]BBDD!$B$1:$J$3274,9,FALSE)</f>
        <v>H</v>
      </c>
      <c r="I409" s="8" t="s">
        <v>2863</v>
      </c>
      <c r="J409" s="8" t="s">
        <v>634</v>
      </c>
      <c r="L409" s="8" t="s">
        <v>566</v>
      </c>
      <c r="N409" s="8" t="s">
        <v>643</v>
      </c>
      <c r="O409" s="20" t="s">
        <v>646</v>
      </c>
      <c r="P409" s="18" t="s">
        <v>2876</v>
      </c>
      <c r="Q409" s="8" t="s">
        <v>45</v>
      </c>
      <c r="R409" s="8">
        <v>0</v>
      </c>
      <c r="S409" s="8">
        <v>2</v>
      </c>
      <c r="T409" s="8">
        <f t="shared" ref="T409:T436" si="40">SUM(R409:S409)</f>
        <v>2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180</v>
      </c>
      <c r="AB409" s="9">
        <f t="shared" ref="AB409:AB436" si="41">SUM(U409:Z409)/AA409*30</f>
        <v>0</v>
      </c>
      <c r="AC409" s="10" t="str">
        <f t="shared" si="37"/>
        <v>sin venta</v>
      </c>
      <c r="AD409" s="8" t="s">
        <v>568</v>
      </c>
      <c r="AE409" s="11">
        <v>69990</v>
      </c>
      <c r="AF409" s="11">
        <f t="shared" si="38"/>
        <v>139980</v>
      </c>
      <c r="AG409" s="12" t="s">
        <v>73</v>
      </c>
      <c r="AH409" s="8" t="s">
        <v>35</v>
      </c>
    </row>
    <row r="410" spans="1:34">
      <c r="A410" s="8" t="s">
        <v>644</v>
      </c>
      <c r="B410" s="16" t="s">
        <v>572</v>
      </c>
      <c r="C410" s="8" t="s">
        <v>533</v>
      </c>
      <c r="D410" s="8" t="s">
        <v>534</v>
      </c>
      <c r="E410" s="8" t="str">
        <f t="shared" si="36"/>
        <v>BLANCO</v>
      </c>
      <c r="G410" s="8" t="s">
        <v>2863</v>
      </c>
      <c r="H410" s="8" t="str">
        <f>VLOOKUP(A410,[1]BBDD!$B$1:$J$3274,9,FALSE)</f>
        <v>H</v>
      </c>
      <c r="I410" s="8" t="s">
        <v>2863</v>
      </c>
      <c r="J410" s="8" t="s">
        <v>645</v>
      </c>
      <c r="L410" s="8" t="s">
        <v>566</v>
      </c>
      <c r="N410" s="8" t="s">
        <v>646</v>
      </c>
      <c r="O410" s="8" t="s">
        <v>646</v>
      </c>
      <c r="P410" s="18" t="str">
        <f t="shared" ref="P410:P414" si="42">RIGHT(A410,2)</f>
        <v>38</v>
      </c>
      <c r="Q410" s="8" t="s">
        <v>45</v>
      </c>
      <c r="R410" s="8">
        <v>0</v>
      </c>
      <c r="S410" s="8">
        <v>3</v>
      </c>
      <c r="T410" s="8">
        <f t="shared" si="40"/>
        <v>3</v>
      </c>
      <c r="U410" s="8">
        <v>0</v>
      </c>
      <c r="V410" s="8">
        <v>0</v>
      </c>
      <c r="W410" s="8">
        <v>0</v>
      </c>
      <c r="X410" s="8">
        <v>1</v>
      </c>
      <c r="Y410" s="8">
        <v>0</v>
      </c>
      <c r="Z410" s="8">
        <v>0</v>
      </c>
      <c r="AA410" s="8">
        <v>180</v>
      </c>
      <c r="AB410" s="9">
        <f t="shared" si="41"/>
        <v>0.16666666666666669</v>
      </c>
      <c r="AC410" s="10">
        <f t="shared" si="37"/>
        <v>17.999999999999996</v>
      </c>
      <c r="AD410" s="8" t="s">
        <v>568</v>
      </c>
      <c r="AE410" s="11">
        <v>69990</v>
      </c>
      <c r="AF410" s="11">
        <f t="shared" si="38"/>
        <v>209970</v>
      </c>
      <c r="AG410" s="12" t="s">
        <v>64</v>
      </c>
      <c r="AH410" s="8" t="s">
        <v>35</v>
      </c>
    </row>
    <row r="411" spans="1:34">
      <c r="A411" s="8" t="s">
        <v>647</v>
      </c>
      <c r="B411" s="16" t="s">
        <v>572</v>
      </c>
      <c r="C411" s="8" t="s">
        <v>533</v>
      </c>
      <c r="D411" s="8" t="s">
        <v>534</v>
      </c>
      <c r="E411" s="8" t="str">
        <f t="shared" si="36"/>
        <v>BLANCO</v>
      </c>
      <c r="G411" s="8" t="s">
        <v>2863</v>
      </c>
      <c r="H411" s="8" t="str">
        <f>VLOOKUP(A411,[1]BBDD!$B$1:$J$3274,9,FALSE)</f>
        <v>H</v>
      </c>
      <c r="I411" s="8" t="s">
        <v>2863</v>
      </c>
      <c r="J411" s="8" t="s">
        <v>645</v>
      </c>
      <c r="L411" s="8" t="s">
        <v>566</v>
      </c>
      <c r="N411" s="8" t="s">
        <v>646</v>
      </c>
      <c r="O411" s="8" t="s">
        <v>646</v>
      </c>
      <c r="P411" s="18" t="str">
        <f t="shared" si="42"/>
        <v>40</v>
      </c>
      <c r="Q411" s="8" t="s">
        <v>45</v>
      </c>
      <c r="R411" s="8">
        <v>1</v>
      </c>
      <c r="S411" s="8">
        <v>4</v>
      </c>
      <c r="T411" s="8">
        <f t="shared" si="40"/>
        <v>5</v>
      </c>
      <c r="U411" s="8">
        <v>0</v>
      </c>
      <c r="V411" s="8">
        <v>0</v>
      </c>
      <c r="W411" s="8">
        <v>2</v>
      </c>
      <c r="X411" s="8">
        <v>0</v>
      </c>
      <c r="Y411" s="8">
        <v>0</v>
      </c>
      <c r="Z411" s="8">
        <v>1</v>
      </c>
      <c r="AA411" s="8">
        <v>180</v>
      </c>
      <c r="AB411" s="9">
        <f t="shared" si="41"/>
        <v>0.5</v>
      </c>
      <c r="AC411" s="10">
        <f t="shared" si="37"/>
        <v>10</v>
      </c>
      <c r="AD411" s="8" t="s">
        <v>568</v>
      </c>
      <c r="AE411" s="11">
        <v>69990</v>
      </c>
      <c r="AF411" s="11">
        <f t="shared" si="38"/>
        <v>349950</v>
      </c>
      <c r="AG411" s="12" t="s">
        <v>51</v>
      </c>
      <c r="AH411" s="8" t="s">
        <v>35</v>
      </c>
    </row>
    <row r="412" spans="1:34">
      <c r="A412" s="8" t="s">
        <v>648</v>
      </c>
      <c r="B412" s="16" t="s">
        <v>572</v>
      </c>
      <c r="C412" s="8" t="s">
        <v>533</v>
      </c>
      <c r="D412" s="8" t="s">
        <v>534</v>
      </c>
      <c r="E412" s="8" t="str">
        <f t="shared" si="36"/>
        <v>BLANCO</v>
      </c>
      <c r="G412" s="8" t="s">
        <v>2863</v>
      </c>
      <c r="H412" s="8" t="str">
        <f>VLOOKUP(A412,[1]BBDD!$B$1:$J$3274,9,FALSE)</f>
        <v>H</v>
      </c>
      <c r="I412" s="8" t="s">
        <v>2863</v>
      </c>
      <c r="J412" s="8" t="s">
        <v>645</v>
      </c>
      <c r="L412" s="8" t="s">
        <v>566</v>
      </c>
      <c r="N412" s="8" t="s">
        <v>646</v>
      </c>
      <c r="O412" s="8" t="s">
        <v>646</v>
      </c>
      <c r="P412" s="18" t="str">
        <f t="shared" si="42"/>
        <v>42</v>
      </c>
      <c r="Q412" s="8" t="s">
        <v>45</v>
      </c>
      <c r="R412" s="8">
        <v>1</v>
      </c>
      <c r="S412" s="8">
        <v>2</v>
      </c>
      <c r="T412" s="8">
        <f t="shared" si="40"/>
        <v>3</v>
      </c>
      <c r="U412" s="8">
        <v>1</v>
      </c>
      <c r="V412" s="8">
        <v>0</v>
      </c>
      <c r="W412" s="8">
        <v>0</v>
      </c>
      <c r="X412" s="8">
        <v>1</v>
      </c>
      <c r="Y412" s="8">
        <v>0</v>
      </c>
      <c r="Z412" s="8">
        <v>5</v>
      </c>
      <c r="AA412" s="8">
        <v>180</v>
      </c>
      <c r="AB412" s="9">
        <f t="shared" si="41"/>
        <v>1.1666666666666667</v>
      </c>
      <c r="AC412" s="10">
        <f t="shared" si="37"/>
        <v>2.5714285714285712</v>
      </c>
      <c r="AD412" s="8" t="s">
        <v>568</v>
      </c>
      <c r="AE412" s="11">
        <v>69990</v>
      </c>
      <c r="AF412" s="11">
        <f t="shared" si="38"/>
        <v>209970</v>
      </c>
      <c r="AG412" s="12" t="s">
        <v>34</v>
      </c>
      <c r="AH412" s="8" t="s">
        <v>35</v>
      </c>
    </row>
    <row r="413" spans="1:34">
      <c r="A413" s="8" t="s">
        <v>649</v>
      </c>
      <c r="B413" s="16" t="s">
        <v>572</v>
      </c>
      <c r="C413" s="8" t="s">
        <v>533</v>
      </c>
      <c r="D413" s="8" t="s">
        <v>534</v>
      </c>
      <c r="E413" s="8" t="str">
        <f t="shared" si="36"/>
        <v>BLANCO</v>
      </c>
      <c r="G413" s="8" t="s">
        <v>2863</v>
      </c>
      <c r="H413" s="8" t="str">
        <f>VLOOKUP(A413,[1]BBDD!$B$1:$J$3274,9,FALSE)</f>
        <v>H</v>
      </c>
      <c r="I413" s="8" t="s">
        <v>2863</v>
      </c>
      <c r="J413" s="8" t="s">
        <v>645</v>
      </c>
      <c r="L413" s="8" t="s">
        <v>566</v>
      </c>
      <c r="N413" s="8" t="s">
        <v>646</v>
      </c>
      <c r="O413" s="8" t="s">
        <v>646</v>
      </c>
      <c r="P413" s="18" t="str">
        <f t="shared" si="42"/>
        <v>44</v>
      </c>
      <c r="Q413" s="8" t="s">
        <v>45</v>
      </c>
      <c r="R413" s="8">
        <v>0</v>
      </c>
      <c r="S413" s="8">
        <v>1</v>
      </c>
      <c r="T413" s="8">
        <f t="shared" si="40"/>
        <v>1</v>
      </c>
      <c r="U413" s="8">
        <v>0</v>
      </c>
      <c r="V413" s="8">
        <v>0</v>
      </c>
      <c r="W413" s="8">
        <v>0</v>
      </c>
      <c r="X413" s="8">
        <v>1</v>
      </c>
      <c r="Y413" s="8">
        <v>0</v>
      </c>
      <c r="Z413" s="8">
        <v>0</v>
      </c>
      <c r="AA413" s="8">
        <v>180</v>
      </c>
      <c r="AB413" s="9">
        <f t="shared" si="41"/>
        <v>0.16666666666666669</v>
      </c>
      <c r="AC413" s="10">
        <f t="shared" si="37"/>
        <v>5.9999999999999991</v>
      </c>
      <c r="AD413" s="8" t="s">
        <v>568</v>
      </c>
      <c r="AE413" s="11">
        <v>69990</v>
      </c>
      <c r="AF413" s="11">
        <f t="shared" si="38"/>
        <v>69990</v>
      </c>
      <c r="AG413" s="12" t="s">
        <v>34</v>
      </c>
      <c r="AH413" s="8" t="s">
        <v>35</v>
      </c>
    </row>
    <row r="414" spans="1:34">
      <c r="A414" s="8" t="s">
        <v>650</v>
      </c>
      <c r="B414" s="16" t="s">
        <v>572</v>
      </c>
      <c r="C414" s="8" t="s">
        <v>533</v>
      </c>
      <c r="D414" s="8" t="s">
        <v>534</v>
      </c>
      <c r="E414" s="8" t="str">
        <f t="shared" si="36"/>
        <v>BLANCO</v>
      </c>
      <c r="G414" s="8" t="s">
        <v>2863</v>
      </c>
      <c r="H414" s="8" t="str">
        <f>VLOOKUP(A414,[1]BBDD!$B$1:$J$3274,9,FALSE)</f>
        <v>H</v>
      </c>
      <c r="I414" s="8" t="s">
        <v>2863</v>
      </c>
      <c r="J414" s="8" t="s">
        <v>645</v>
      </c>
      <c r="L414" s="8" t="s">
        <v>566</v>
      </c>
      <c r="N414" s="8" t="s">
        <v>646</v>
      </c>
      <c r="O414" s="8" t="s">
        <v>646</v>
      </c>
      <c r="P414" s="18" t="str">
        <f t="shared" si="42"/>
        <v>46</v>
      </c>
      <c r="Q414" s="8" t="s">
        <v>45</v>
      </c>
      <c r="R414" s="8">
        <v>0</v>
      </c>
      <c r="S414" s="8">
        <v>1</v>
      </c>
      <c r="T414" s="8">
        <f t="shared" si="40"/>
        <v>1</v>
      </c>
      <c r="U414" s="8">
        <v>0</v>
      </c>
      <c r="V414" s="8">
        <v>0</v>
      </c>
      <c r="W414" s="8">
        <v>0</v>
      </c>
      <c r="X414" s="8">
        <v>0</v>
      </c>
      <c r="Y414" s="8">
        <v>1</v>
      </c>
      <c r="Z414" s="8">
        <v>0</v>
      </c>
      <c r="AA414" s="8">
        <v>180</v>
      </c>
      <c r="AB414" s="9">
        <f t="shared" si="41"/>
        <v>0.16666666666666669</v>
      </c>
      <c r="AC414" s="10">
        <f t="shared" si="37"/>
        <v>5.9999999999999991</v>
      </c>
      <c r="AD414" s="8" t="s">
        <v>568</v>
      </c>
      <c r="AE414" s="11">
        <v>69990</v>
      </c>
      <c r="AF414" s="11">
        <f t="shared" si="38"/>
        <v>69990</v>
      </c>
      <c r="AG414" s="12" t="s">
        <v>34</v>
      </c>
      <c r="AH414" s="8" t="s">
        <v>35</v>
      </c>
    </row>
    <row r="415" spans="1:34">
      <c r="A415" s="8" t="s">
        <v>651</v>
      </c>
      <c r="B415" s="16" t="s">
        <v>652</v>
      </c>
      <c r="C415" s="8" t="s">
        <v>533</v>
      </c>
      <c r="D415" s="8" t="s">
        <v>653</v>
      </c>
      <c r="E415" s="8" t="str">
        <f t="shared" si="36"/>
        <v>MARRON</v>
      </c>
      <c r="H415" s="8" t="str">
        <f>VLOOKUP(A415,[1]BBDD!$B$1:$J$3274,9,FALSE)</f>
        <v>H</v>
      </c>
      <c r="I415" s="8" t="s">
        <v>2863</v>
      </c>
      <c r="J415" s="8" t="s">
        <v>654</v>
      </c>
      <c r="L415" s="8" t="s">
        <v>82</v>
      </c>
      <c r="N415" s="8" t="s">
        <v>452</v>
      </c>
      <c r="O415" s="8" t="s">
        <v>452</v>
      </c>
      <c r="P415" s="18" t="str">
        <f>RIGHT(A415,LEN(A415)-FIND("-",A415))</f>
        <v>L</v>
      </c>
      <c r="Q415" s="8" t="s">
        <v>45</v>
      </c>
      <c r="R415" s="8">
        <v>0</v>
      </c>
      <c r="S415" s="8">
        <v>1</v>
      </c>
      <c r="T415" s="8">
        <f t="shared" si="40"/>
        <v>1</v>
      </c>
      <c r="U415" s="8">
        <v>0</v>
      </c>
      <c r="V415" s="8">
        <v>0</v>
      </c>
      <c r="W415" s="8">
        <v>1</v>
      </c>
      <c r="X415" s="8">
        <v>0</v>
      </c>
      <c r="Y415" s="8">
        <v>0</v>
      </c>
      <c r="Z415" s="8">
        <v>0</v>
      </c>
      <c r="AA415" s="8">
        <v>180</v>
      </c>
      <c r="AB415" s="9">
        <f t="shared" si="41"/>
        <v>0.16666666666666669</v>
      </c>
      <c r="AC415" s="10">
        <f t="shared" si="37"/>
        <v>5.9999999999999991</v>
      </c>
      <c r="AD415" s="8" t="s">
        <v>109</v>
      </c>
      <c r="AE415" s="11">
        <v>299990</v>
      </c>
      <c r="AF415" s="11">
        <f t="shared" si="38"/>
        <v>299990</v>
      </c>
      <c r="AG415" s="12" t="s">
        <v>34</v>
      </c>
      <c r="AH415" s="8" t="s">
        <v>35</v>
      </c>
    </row>
    <row r="416" spans="1:34">
      <c r="A416" s="8" t="s">
        <v>655</v>
      </c>
      <c r="B416" s="16" t="s">
        <v>652</v>
      </c>
      <c r="C416" s="8" t="s">
        <v>533</v>
      </c>
      <c r="D416" s="8" t="s">
        <v>653</v>
      </c>
      <c r="E416" s="8" t="str">
        <f t="shared" si="36"/>
        <v>MARRON</v>
      </c>
      <c r="H416" s="8" t="str">
        <f>VLOOKUP(A416,[1]BBDD!$B$1:$J$3274,9,FALSE)</f>
        <v>H</v>
      </c>
      <c r="I416" s="8" t="s">
        <v>2863</v>
      </c>
      <c r="J416" s="8" t="s">
        <v>654</v>
      </c>
      <c r="L416" s="8" t="s">
        <v>82</v>
      </c>
      <c r="N416" s="8" t="s">
        <v>452</v>
      </c>
      <c r="O416" s="8" t="s">
        <v>452</v>
      </c>
      <c r="P416" s="18" t="str">
        <f t="shared" ref="P416:P474" si="43">RIGHT(A416,LEN(A416)-FIND("-",A416))</f>
        <v>XL</v>
      </c>
      <c r="Q416" s="8" t="s">
        <v>45</v>
      </c>
      <c r="R416" s="8">
        <v>0</v>
      </c>
      <c r="S416" s="8">
        <v>1</v>
      </c>
      <c r="T416" s="8">
        <f t="shared" si="40"/>
        <v>1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180</v>
      </c>
      <c r="AB416" s="9">
        <f t="shared" si="41"/>
        <v>0</v>
      </c>
      <c r="AC416" s="10" t="str">
        <f t="shared" si="37"/>
        <v>sin venta</v>
      </c>
      <c r="AD416" s="8" t="s">
        <v>109</v>
      </c>
      <c r="AE416" s="11">
        <v>299990</v>
      </c>
      <c r="AF416" s="11">
        <f t="shared" si="38"/>
        <v>299990</v>
      </c>
      <c r="AG416" s="12" t="s">
        <v>73</v>
      </c>
      <c r="AH416" s="8" t="s">
        <v>35</v>
      </c>
    </row>
    <row r="417" spans="1:34">
      <c r="A417" s="8" t="s">
        <v>656</v>
      </c>
      <c r="B417" s="16" t="s">
        <v>652</v>
      </c>
      <c r="C417" s="8" t="s">
        <v>533</v>
      </c>
      <c r="D417" s="8" t="s">
        <v>653</v>
      </c>
      <c r="E417" s="8" t="str">
        <f t="shared" si="36"/>
        <v>NEGRO</v>
      </c>
      <c r="H417" s="8" t="str">
        <f>VLOOKUP(A417,[1]BBDD!$B$1:$J$3274,9,FALSE)</f>
        <v>H</v>
      </c>
      <c r="I417" s="8" t="s">
        <v>2863</v>
      </c>
      <c r="J417" s="8" t="s">
        <v>654</v>
      </c>
      <c r="L417" s="8" t="s">
        <v>82</v>
      </c>
      <c r="N417" s="8" t="s">
        <v>44</v>
      </c>
      <c r="O417" s="8" t="s">
        <v>44</v>
      </c>
      <c r="P417" s="18" t="str">
        <f t="shared" si="43"/>
        <v>L</v>
      </c>
      <c r="Q417" s="8" t="s">
        <v>45</v>
      </c>
      <c r="R417" s="8">
        <v>0</v>
      </c>
      <c r="S417" s="8">
        <v>5</v>
      </c>
      <c r="T417" s="8">
        <f t="shared" si="40"/>
        <v>5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180</v>
      </c>
      <c r="AB417" s="9">
        <f t="shared" si="41"/>
        <v>0</v>
      </c>
      <c r="AC417" s="10" t="str">
        <f t="shared" si="37"/>
        <v>sin venta</v>
      </c>
      <c r="AD417" s="8" t="s">
        <v>109</v>
      </c>
      <c r="AE417" s="11">
        <v>299990</v>
      </c>
      <c r="AF417" s="11">
        <f t="shared" si="38"/>
        <v>1499950</v>
      </c>
      <c r="AG417" s="12" t="s">
        <v>73</v>
      </c>
      <c r="AH417" s="8" t="s">
        <v>35</v>
      </c>
    </row>
    <row r="418" spans="1:34">
      <c r="A418" s="8" t="s">
        <v>657</v>
      </c>
      <c r="B418" s="16" t="s">
        <v>652</v>
      </c>
      <c r="C418" s="8" t="s">
        <v>533</v>
      </c>
      <c r="D418" s="8" t="s">
        <v>653</v>
      </c>
      <c r="E418" s="8" t="str">
        <f t="shared" si="36"/>
        <v>NEGRO</v>
      </c>
      <c r="H418" s="8" t="str">
        <f>VLOOKUP(A418,[1]BBDD!$B$1:$J$3274,9,FALSE)</f>
        <v>H</v>
      </c>
      <c r="I418" s="8" t="s">
        <v>2863</v>
      </c>
      <c r="J418" s="8" t="s">
        <v>654</v>
      </c>
      <c r="L418" s="8" t="s">
        <v>82</v>
      </c>
      <c r="N418" s="8" t="s">
        <v>44</v>
      </c>
      <c r="O418" s="8" t="s">
        <v>44</v>
      </c>
      <c r="P418" s="18" t="str">
        <f t="shared" si="43"/>
        <v>M</v>
      </c>
      <c r="Q418" s="8" t="s">
        <v>45</v>
      </c>
      <c r="R418" s="8">
        <v>1</v>
      </c>
      <c r="S418" s="8">
        <v>3</v>
      </c>
      <c r="T418" s="8">
        <f t="shared" si="40"/>
        <v>4</v>
      </c>
      <c r="U418" s="8">
        <v>0</v>
      </c>
      <c r="V418" s="8">
        <v>0</v>
      </c>
      <c r="W418" s="8">
        <v>0</v>
      </c>
      <c r="X418" s="8">
        <v>0</v>
      </c>
      <c r="Y418" s="8">
        <v>2</v>
      </c>
      <c r="Z418" s="8">
        <v>0</v>
      </c>
      <c r="AA418" s="8">
        <v>180</v>
      </c>
      <c r="AB418" s="9">
        <f t="shared" si="41"/>
        <v>0.33333333333333337</v>
      </c>
      <c r="AC418" s="10">
        <f t="shared" si="37"/>
        <v>11.999999999999998</v>
      </c>
      <c r="AD418" s="8" t="s">
        <v>109</v>
      </c>
      <c r="AE418" s="11">
        <v>299990</v>
      </c>
      <c r="AF418" s="11">
        <f t="shared" si="38"/>
        <v>1199960</v>
      </c>
      <c r="AG418" s="12" t="s">
        <v>51</v>
      </c>
      <c r="AH418" s="8" t="s">
        <v>35</v>
      </c>
    </row>
    <row r="419" spans="1:34">
      <c r="A419" s="8" t="s">
        <v>658</v>
      </c>
      <c r="B419" s="16" t="s">
        <v>652</v>
      </c>
      <c r="C419" s="8" t="s">
        <v>533</v>
      </c>
      <c r="D419" s="8" t="s">
        <v>653</v>
      </c>
      <c r="E419" s="8" t="str">
        <f t="shared" si="36"/>
        <v>NEGRO</v>
      </c>
      <c r="H419" s="8" t="str">
        <f>VLOOKUP(A419,[1]BBDD!$B$1:$J$3274,9,FALSE)</f>
        <v>H</v>
      </c>
      <c r="I419" s="8" t="s">
        <v>2863</v>
      </c>
      <c r="J419" s="8" t="s">
        <v>654</v>
      </c>
      <c r="L419" s="8" t="s">
        <v>82</v>
      </c>
      <c r="N419" s="8" t="s">
        <v>44</v>
      </c>
      <c r="O419" s="8" t="s">
        <v>44</v>
      </c>
      <c r="P419" s="18" t="str">
        <f t="shared" si="43"/>
        <v>S</v>
      </c>
      <c r="Q419" s="8" t="s">
        <v>45</v>
      </c>
      <c r="R419" s="8">
        <v>0</v>
      </c>
      <c r="S419" s="8">
        <v>4</v>
      </c>
      <c r="T419" s="8">
        <f t="shared" si="40"/>
        <v>4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180</v>
      </c>
      <c r="AB419" s="9">
        <f t="shared" si="41"/>
        <v>0</v>
      </c>
      <c r="AC419" s="10" t="str">
        <f t="shared" si="37"/>
        <v>sin venta</v>
      </c>
      <c r="AD419" s="8" t="s">
        <v>109</v>
      </c>
      <c r="AE419" s="11">
        <v>299990</v>
      </c>
      <c r="AF419" s="11">
        <f t="shared" si="38"/>
        <v>1199960</v>
      </c>
      <c r="AG419" s="12" t="s">
        <v>73</v>
      </c>
      <c r="AH419" s="8" t="s">
        <v>35</v>
      </c>
    </row>
    <row r="420" spans="1:34">
      <c r="A420" s="8" t="s">
        <v>659</v>
      </c>
      <c r="B420" s="16" t="s">
        <v>652</v>
      </c>
      <c r="C420" s="8" t="s">
        <v>533</v>
      </c>
      <c r="D420" s="8" t="s">
        <v>653</v>
      </c>
      <c r="E420" s="8" t="str">
        <f t="shared" si="36"/>
        <v>NEGRO</v>
      </c>
      <c r="H420" s="8" t="str">
        <f>VLOOKUP(A420,[1]BBDD!$B$1:$J$3274,9,FALSE)</f>
        <v>H</v>
      </c>
      <c r="I420" s="8" t="s">
        <v>2863</v>
      </c>
      <c r="J420" s="8" t="s">
        <v>654</v>
      </c>
      <c r="L420" s="8" t="s">
        <v>82</v>
      </c>
      <c r="N420" s="8" t="s">
        <v>44</v>
      </c>
      <c r="O420" s="8" t="s">
        <v>44</v>
      </c>
      <c r="P420" s="18" t="str">
        <f t="shared" si="43"/>
        <v>XL</v>
      </c>
      <c r="Q420" s="8" t="s">
        <v>45</v>
      </c>
      <c r="R420" s="8">
        <v>1</v>
      </c>
      <c r="S420" s="8">
        <v>4</v>
      </c>
      <c r="T420" s="8">
        <f t="shared" si="40"/>
        <v>5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180</v>
      </c>
      <c r="AB420" s="9">
        <f t="shared" si="41"/>
        <v>0</v>
      </c>
      <c r="AC420" s="10" t="str">
        <f t="shared" si="37"/>
        <v>sin venta</v>
      </c>
      <c r="AD420" s="8" t="s">
        <v>109</v>
      </c>
      <c r="AE420" s="11">
        <v>299990</v>
      </c>
      <c r="AF420" s="11">
        <f t="shared" si="38"/>
        <v>1499950</v>
      </c>
      <c r="AG420" s="12" t="s">
        <v>73</v>
      </c>
      <c r="AH420" s="8" t="s">
        <v>35</v>
      </c>
    </row>
    <row r="421" spans="1:34">
      <c r="A421" s="8" t="s">
        <v>660</v>
      </c>
      <c r="B421" s="16" t="s">
        <v>661</v>
      </c>
      <c r="C421" s="8" t="s">
        <v>533</v>
      </c>
      <c r="D421" s="8" t="s">
        <v>653</v>
      </c>
      <c r="E421" s="8" t="str">
        <f t="shared" si="36"/>
        <v>AZUL</v>
      </c>
      <c r="H421" s="8" t="str">
        <f>VLOOKUP(A421,[1]BBDD!$B$1:$J$3274,9,FALSE)</f>
        <v>M</v>
      </c>
      <c r="I421" s="8" t="s">
        <v>2862</v>
      </c>
      <c r="J421" s="8" t="s">
        <v>662</v>
      </c>
      <c r="L421" s="8" t="s">
        <v>663</v>
      </c>
      <c r="N421" s="8" t="s">
        <v>83</v>
      </c>
      <c r="O421" s="8" t="s">
        <v>83</v>
      </c>
      <c r="P421" s="18" t="str">
        <f t="shared" si="43"/>
        <v>L</v>
      </c>
      <c r="Q421" s="8" t="s">
        <v>45</v>
      </c>
      <c r="R421" s="8">
        <v>0</v>
      </c>
      <c r="S421" s="8">
        <v>2</v>
      </c>
      <c r="T421" s="8">
        <f t="shared" si="40"/>
        <v>2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180</v>
      </c>
      <c r="AB421" s="9">
        <f t="shared" si="41"/>
        <v>0</v>
      </c>
      <c r="AC421" s="10" t="str">
        <f t="shared" si="37"/>
        <v>sin venta</v>
      </c>
      <c r="AD421" s="8" t="s">
        <v>46</v>
      </c>
      <c r="AE421" s="11">
        <v>139990</v>
      </c>
      <c r="AF421" s="11">
        <f t="shared" si="38"/>
        <v>279980</v>
      </c>
      <c r="AG421" s="12" t="s">
        <v>73</v>
      </c>
      <c r="AH421" s="8" t="s">
        <v>35</v>
      </c>
    </row>
    <row r="422" spans="1:34">
      <c r="A422" s="8" t="s">
        <v>664</v>
      </c>
      <c r="B422" s="16" t="s">
        <v>661</v>
      </c>
      <c r="C422" s="8" t="s">
        <v>533</v>
      </c>
      <c r="D422" s="8" t="s">
        <v>653</v>
      </c>
      <c r="E422" s="8" t="str">
        <f t="shared" si="36"/>
        <v>AZUL</v>
      </c>
      <c r="H422" s="8" t="str">
        <f>VLOOKUP(A422,[1]BBDD!$B$1:$J$3274,9,FALSE)</f>
        <v>M</v>
      </c>
      <c r="I422" s="8" t="s">
        <v>2862</v>
      </c>
      <c r="J422" s="8" t="s">
        <v>662</v>
      </c>
      <c r="L422" s="8" t="s">
        <v>663</v>
      </c>
      <c r="N422" s="8" t="s">
        <v>83</v>
      </c>
      <c r="O422" s="8" t="s">
        <v>83</v>
      </c>
      <c r="P422" s="18" t="str">
        <f t="shared" si="43"/>
        <v>M</v>
      </c>
      <c r="Q422" s="8" t="s">
        <v>45</v>
      </c>
      <c r="R422" s="8">
        <v>0</v>
      </c>
      <c r="S422" s="8">
        <v>2</v>
      </c>
      <c r="T422" s="8">
        <f t="shared" si="40"/>
        <v>2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180</v>
      </c>
      <c r="AB422" s="9">
        <f t="shared" si="41"/>
        <v>0</v>
      </c>
      <c r="AC422" s="10" t="str">
        <f t="shared" si="37"/>
        <v>sin venta</v>
      </c>
      <c r="AD422" s="8" t="s">
        <v>46</v>
      </c>
      <c r="AE422" s="11">
        <v>139990</v>
      </c>
      <c r="AF422" s="11">
        <f t="shared" si="38"/>
        <v>279980</v>
      </c>
      <c r="AG422" s="12" t="s">
        <v>73</v>
      </c>
      <c r="AH422" s="8" t="s">
        <v>35</v>
      </c>
    </row>
    <row r="423" spans="1:34">
      <c r="A423" s="8" t="s">
        <v>665</v>
      </c>
      <c r="B423" s="16" t="s">
        <v>661</v>
      </c>
      <c r="C423" s="8" t="s">
        <v>533</v>
      </c>
      <c r="D423" s="8" t="s">
        <v>653</v>
      </c>
      <c r="E423" s="8" t="str">
        <f t="shared" si="36"/>
        <v>AZUL</v>
      </c>
      <c r="H423" s="8" t="str">
        <f>VLOOKUP(A423,[1]BBDD!$B$1:$J$3274,9,FALSE)</f>
        <v>M</v>
      </c>
      <c r="I423" s="8" t="s">
        <v>2862</v>
      </c>
      <c r="J423" s="8" t="s">
        <v>662</v>
      </c>
      <c r="L423" s="8" t="s">
        <v>663</v>
      </c>
      <c r="N423" s="8" t="s">
        <v>83</v>
      </c>
      <c r="O423" s="8" t="s">
        <v>83</v>
      </c>
      <c r="P423" s="18" t="str">
        <f t="shared" si="43"/>
        <v>S</v>
      </c>
      <c r="Q423" s="8" t="s">
        <v>45</v>
      </c>
      <c r="R423" s="8">
        <v>0</v>
      </c>
      <c r="S423" s="8">
        <v>1</v>
      </c>
      <c r="T423" s="8">
        <f t="shared" si="40"/>
        <v>1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180</v>
      </c>
      <c r="AB423" s="9">
        <f t="shared" si="41"/>
        <v>0</v>
      </c>
      <c r="AC423" s="10" t="str">
        <f t="shared" si="37"/>
        <v>sin venta</v>
      </c>
      <c r="AD423" s="8" t="s">
        <v>46</v>
      </c>
      <c r="AE423" s="11">
        <v>139990</v>
      </c>
      <c r="AF423" s="11">
        <f t="shared" si="38"/>
        <v>139990</v>
      </c>
      <c r="AG423" s="12" t="s">
        <v>73</v>
      </c>
      <c r="AH423" s="8" t="s">
        <v>35</v>
      </c>
    </row>
    <row r="424" spans="1:34">
      <c r="A424" s="8" t="s">
        <v>666</v>
      </c>
      <c r="B424" s="16" t="s">
        <v>661</v>
      </c>
      <c r="C424" s="8" t="s">
        <v>533</v>
      </c>
      <c r="D424" s="8" t="s">
        <v>653</v>
      </c>
      <c r="E424" s="8" t="str">
        <f t="shared" si="36"/>
        <v>AZUL</v>
      </c>
      <c r="H424" s="8" t="str">
        <f>VLOOKUP(A424,[1]BBDD!$B$1:$J$3274,9,FALSE)</f>
        <v>M</v>
      </c>
      <c r="I424" s="8" t="s">
        <v>2862</v>
      </c>
      <c r="J424" s="8" t="s">
        <v>662</v>
      </c>
      <c r="L424" s="8" t="s">
        <v>663</v>
      </c>
      <c r="N424" s="8" t="s">
        <v>83</v>
      </c>
      <c r="O424" s="8" t="s">
        <v>83</v>
      </c>
      <c r="P424" s="18" t="str">
        <f t="shared" si="43"/>
        <v>XL</v>
      </c>
      <c r="Q424" s="8" t="s">
        <v>45</v>
      </c>
      <c r="R424" s="8">
        <v>0</v>
      </c>
      <c r="S424" s="8">
        <v>2</v>
      </c>
      <c r="T424" s="8">
        <f t="shared" si="40"/>
        <v>2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180</v>
      </c>
      <c r="AB424" s="9">
        <f t="shared" si="41"/>
        <v>0</v>
      </c>
      <c r="AC424" s="10" t="str">
        <f t="shared" si="37"/>
        <v>sin venta</v>
      </c>
      <c r="AD424" s="8" t="s">
        <v>46</v>
      </c>
      <c r="AE424" s="11">
        <v>139990</v>
      </c>
      <c r="AF424" s="11">
        <f t="shared" si="38"/>
        <v>279980</v>
      </c>
      <c r="AG424" s="12" t="s">
        <v>73</v>
      </c>
      <c r="AH424" s="8" t="s">
        <v>35</v>
      </c>
    </row>
    <row r="425" spans="1:34">
      <c r="A425" s="8" t="s">
        <v>667</v>
      </c>
      <c r="B425" s="16" t="s">
        <v>661</v>
      </c>
      <c r="C425" s="8" t="s">
        <v>533</v>
      </c>
      <c r="D425" s="8" t="s">
        <v>653</v>
      </c>
      <c r="E425" s="8" t="str">
        <f t="shared" si="36"/>
        <v>AZUL</v>
      </c>
      <c r="H425" s="8" t="str">
        <f>VLOOKUP(A425,[1]BBDD!$B$1:$J$3274,9,FALSE)</f>
        <v>M</v>
      </c>
      <c r="I425" s="8" t="s">
        <v>2862</v>
      </c>
      <c r="J425" s="8" t="s">
        <v>662</v>
      </c>
      <c r="L425" s="8" t="s">
        <v>663</v>
      </c>
      <c r="N425" s="8" t="s">
        <v>83</v>
      </c>
      <c r="O425" s="8" t="s">
        <v>83</v>
      </c>
      <c r="P425" s="18" t="str">
        <f t="shared" si="43"/>
        <v>XXL</v>
      </c>
      <c r="Q425" s="8" t="s">
        <v>45</v>
      </c>
      <c r="R425" s="8">
        <v>0</v>
      </c>
      <c r="S425" s="8">
        <v>2</v>
      </c>
      <c r="T425" s="8">
        <f t="shared" si="40"/>
        <v>2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180</v>
      </c>
      <c r="AB425" s="9">
        <f t="shared" si="41"/>
        <v>0</v>
      </c>
      <c r="AC425" s="10" t="str">
        <f t="shared" si="37"/>
        <v>sin venta</v>
      </c>
      <c r="AD425" s="8" t="s">
        <v>46</v>
      </c>
      <c r="AE425" s="11">
        <v>139990</v>
      </c>
      <c r="AF425" s="11">
        <f t="shared" si="38"/>
        <v>279980</v>
      </c>
      <c r="AG425" s="12" t="s">
        <v>73</v>
      </c>
      <c r="AH425" s="8" t="s">
        <v>35</v>
      </c>
    </row>
    <row r="426" spans="1:34">
      <c r="A426" s="8" t="s">
        <v>668</v>
      </c>
      <c r="B426" s="16" t="s">
        <v>661</v>
      </c>
      <c r="C426" s="8" t="s">
        <v>533</v>
      </c>
      <c r="D426" s="8" t="s">
        <v>653</v>
      </c>
      <c r="E426" s="8" t="str">
        <f t="shared" si="36"/>
        <v>CEMENTO</v>
      </c>
      <c r="H426" s="8" t="str">
        <f>VLOOKUP(A426,[1]BBDD!$B$1:$J$3274,9,FALSE)</f>
        <v>M</v>
      </c>
      <c r="I426" s="8" t="s">
        <v>2862</v>
      </c>
      <c r="J426" s="8" t="s">
        <v>662</v>
      </c>
      <c r="L426" s="8" t="s">
        <v>663</v>
      </c>
      <c r="N426" s="8" t="s">
        <v>669</v>
      </c>
      <c r="O426" s="8" t="s">
        <v>669</v>
      </c>
      <c r="P426" s="18" t="str">
        <f t="shared" si="43"/>
        <v>L</v>
      </c>
      <c r="Q426" s="8" t="s">
        <v>45</v>
      </c>
      <c r="R426" s="8">
        <v>0</v>
      </c>
      <c r="S426" s="8">
        <v>2</v>
      </c>
      <c r="T426" s="8">
        <f t="shared" si="40"/>
        <v>2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180</v>
      </c>
      <c r="AB426" s="9">
        <f t="shared" si="41"/>
        <v>0</v>
      </c>
      <c r="AC426" s="10" t="str">
        <f t="shared" si="37"/>
        <v>sin venta</v>
      </c>
      <c r="AD426" s="8" t="s">
        <v>46</v>
      </c>
      <c r="AE426" s="11">
        <v>139990</v>
      </c>
      <c r="AF426" s="11">
        <f t="shared" si="38"/>
        <v>279980</v>
      </c>
      <c r="AG426" s="12" t="s">
        <v>73</v>
      </c>
      <c r="AH426" s="8" t="s">
        <v>35</v>
      </c>
    </row>
    <row r="427" spans="1:34">
      <c r="A427" s="8" t="s">
        <v>670</v>
      </c>
      <c r="B427" s="16" t="s">
        <v>661</v>
      </c>
      <c r="C427" s="8" t="s">
        <v>533</v>
      </c>
      <c r="D427" s="8" t="s">
        <v>653</v>
      </c>
      <c r="E427" s="8" t="str">
        <f t="shared" si="36"/>
        <v>CEMENTO</v>
      </c>
      <c r="H427" s="8" t="str">
        <f>VLOOKUP(A427,[1]BBDD!$B$1:$J$3274,9,FALSE)</f>
        <v>M</v>
      </c>
      <c r="I427" s="8" t="s">
        <v>2862</v>
      </c>
      <c r="J427" s="8" t="s">
        <v>662</v>
      </c>
      <c r="L427" s="8" t="s">
        <v>663</v>
      </c>
      <c r="N427" s="8" t="s">
        <v>669</v>
      </c>
      <c r="O427" s="8" t="s">
        <v>669</v>
      </c>
      <c r="P427" s="18" t="str">
        <f t="shared" si="43"/>
        <v>M</v>
      </c>
      <c r="Q427" s="8" t="s">
        <v>45</v>
      </c>
      <c r="R427" s="8">
        <v>1</v>
      </c>
      <c r="S427" s="8">
        <v>2</v>
      </c>
      <c r="T427" s="8">
        <f t="shared" si="40"/>
        <v>3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180</v>
      </c>
      <c r="AB427" s="9">
        <f t="shared" si="41"/>
        <v>0</v>
      </c>
      <c r="AC427" s="10" t="str">
        <f t="shared" si="37"/>
        <v>sin venta</v>
      </c>
      <c r="AD427" s="8" t="s">
        <v>46</v>
      </c>
      <c r="AE427" s="11">
        <v>139990</v>
      </c>
      <c r="AF427" s="11">
        <f t="shared" si="38"/>
        <v>419970</v>
      </c>
      <c r="AG427" s="12" t="s">
        <v>73</v>
      </c>
      <c r="AH427" s="8" t="s">
        <v>35</v>
      </c>
    </row>
    <row r="428" spans="1:34">
      <c r="A428" s="8" t="s">
        <v>671</v>
      </c>
      <c r="B428" s="16" t="s">
        <v>661</v>
      </c>
      <c r="C428" s="8" t="s">
        <v>533</v>
      </c>
      <c r="D428" s="8" t="s">
        <v>653</v>
      </c>
      <c r="E428" s="8" t="str">
        <f t="shared" si="36"/>
        <v>CEMENTO</v>
      </c>
      <c r="H428" s="8" t="str">
        <f>VLOOKUP(A428,[1]BBDD!$B$1:$J$3274,9,FALSE)</f>
        <v>M</v>
      </c>
      <c r="I428" s="8" t="s">
        <v>2862</v>
      </c>
      <c r="J428" s="8" t="s">
        <v>662</v>
      </c>
      <c r="L428" s="8" t="s">
        <v>663</v>
      </c>
      <c r="N428" s="8" t="s">
        <v>669</v>
      </c>
      <c r="O428" s="8" t="s">
        <v>669</v>
      </c>
      <c r="P428" s="18" t="str">
        <f t="shared" si="43"/>
        <v>XL</v>
      </c>
      <c r="Q428" s="8" t="s">
        <v>45</v>
      </c>
      <c r="R428" s="8">
        <v>0</v>
      </c>
      <c r="S428" s="8">
        <v>2</v>
      </c>
      <c r="T428" s="8">
        <f t="shared" si="40"/>
        <v>2</v>
      </c>
      <c r="U428" s="8">
        <v>0</v>
      </c>
      <c r="V428" s="8">
        <v>1</v>
      </c>
      <c r="W428" s="8">
        <v>0</v>
      </c>
      <c r="X428" s="8">
        <v>0</v>
      </c>
      <c r="Y428" s="8">
        <v>0</v>
      </c>
      <c r="Z428" s="8">
        <v>0</v>
      </c>
      <c r="AA428" s="8">
        <v>180</v>
      </c>
      <c r="AB428" s="9">
        <f t="shared" si="41"/>
        <v>0.16666666666666669</v>
      </c>
      <c r="AC428" s="10">
        <f t="shared" si="37"/>
        <v>11.999999999999998</v>
      </c>
      <c r="AD428" s="8" t="s">
        <v>46</v>
      </c>
      <c r="AE428" s="11">
        <v>139990</v>
      </c>
      <c r="AF428" s="11">
        <f t="shared" si="38"/>
        <v>279980</v>
      </c>
      <c r="AG428" s="12" t="s">
        <v>51</v>
      </c>
      <c r="AH428" s="8" t="s">
        <v>35</v>
      </c>
    </row>
    <row r="429" spans="1:34">
      <c r="A429" s="8" t="s">
        <v>672</v>
      </c>
      <c r="B429" s="16" t="s">
        <v>661</v>
      </c>
      <c r="C429" s="8" t="s">
        <v>533</v>
      </c>
      <c r="D429" s="8" t="s">
        <v>653</v>
      </c>
      <c r="E429" s="8" t="str">
        <f t="shared" si="36"/>
        <v>CEMENTO</v>
      </c>
      <c r="H429" s="8" t="str">
        <f>VLOOKUP(A429,[1]BBDD!$B$1:$J$3274,9,FALSE)</f>
        <v>M</v>
      </c>
      <c r="I429" s="8" t="s">
        <v>2862</v>
      </c>
      <c r="J429" s="8" t="s">
        <v>662</v>
      </c>
      <c r="L429" s="8" t="s">
        <v>663</v>
      </c>
      <c r="N429" s="8" t="s">
        <v>669</v>
      </c>
      <c r="O429" s="8" t="s">
        <v>669</v>
      </c>
      <c r="P429" s="18" t="str">
        <f t="shared" si="43"/>
        <v>XXL</v>
      </c>
      <c r="Q429" s="8" t="s">
        <v>45</v>
      </c>
      <c r="R429" s="8">
        <v>0</v>
      </c>
      <c r="S429" s="8">
        <v>2</v>
      </c>
      <c r="T429" s="8">
        <f t="shared" si="40"/>
        <v>2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180</v>
      </c>
      <c r="AB429" s="9">
        <f t="shared" si="41"/>
        <v>0</v>
      </c>
      <c r="AC429" s="10" t="str">
        <f t="shared" si="37"/>
        <v>sin venta</v>
      </c>
      <c r="AD429" s="8" t="s">
        <v>46</v>
      </c>
      <c r="AE429" s="11">
        <v>139990</v>
      </c>
      <c r="AF429" s="11">
        <f t="shared" si="38"/>
        <v>279980</v>
      </c>
      <c r="AG429" s="12" t="s">
        <v>73</v>
      </c>
      <c r="AH429" s="8" t="s">
        <v>35</v>
      </c>
    </row>
    <row r="430" spans="1:34">
      <c r="A430" s="8" t="s">
        <v>673</v>
      </c>
      <c r="B430" s="16" t="s">
        <v>661</v>
      </c>
      <c r="C430" s="8" t="s">
        <v>533</v>
      </c>
      <c r="D430" s="8" t="s">
        <v>653</v>
      </c>
      <c r="E430" s="8" t="str">
        <f t="shared" si="36"/>
        <v>NEGRO</v>
      </c>
      <c r="H430" s="8" t="str">
        <f>VLOOKUP(A430,[1]BBDD!$B$1:$J$3274,9,FALSE)</f>
        <v>M</v>
      </c>
      <c r="I430" s="8" t="s">
        <v>2862</v>
      </c>
      <c r="J430" s="8" t="s">
        <v>662</v>
      </c>
      <c r="L430" s="8" t="s">
        <v>663</v>
      </c>
      <c r="N430" s="8" t="s">
        <v>44</v>
      </c>
      <c r="O430" s="8" t="s">
        <v>44</v>
      </c>
      <c r="P430" s="18" t="str">
        <f t="shared" si="43"/>
        <v>L</v>
      </c>
      <c r="Q430" s="8" t="s">
        <v>45</v>
      </c>
      <c r="R430" s="8">
        <v>1</v>
      </c>
      <c r="S430" s="8">
        <v>2</v>
      </c>
      <c r="T430" s="8">
        <f t="shared" si="40"/>
        <v>3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180</v>
      </c>
      <c r="AB430" s="9">
        <f t="shared" si="41"/>
        <v>0</v>
      </c>
      <c r="AC430" s="10" t="str">
        <f t="shared" si="37"/>
        <v>sin venta</v>
      </c>
      <c r="AD430" s="8" t="s">
        <v>46</v>
      </c>
      <c r="AE430" s="11">
        <v>139990</v>
      </c>
      <c r="AF430" s="11">
        <f t="shared" si="38"/>
        <v>419970</v>
      </c>
      <c r="AG430" s="12" t="s">
        <v>73</v>
      </c>
      <c r="AH430" s="8" t="s">
        <v>35</v>
      </c>
    </row>
    <row r="431" spans="1:34">
      <c r="A431" s="8" t="s">
        <v>674</v>
      </c>
      <c r="B431" s="16" t="s">
        <v>661</v>
      </c>
      <c r="C431" s="8" t="s">
        <v>533</v>
      </c>
      <c r="D431" s="8" t="s">
        <v>653</v>
      </c>
      <c r="E431" s="8" t="str">
        <f t="shared" si="36"/>
        <v>NEGRO</v>
      </c>
      <c r="H431" s="8" t="str">
        <f>VLOOKUP(A431,[1]BBDD!$B$1:$J$3274,9,FALSE)</f>
        <v>M</v>
      </c>
      <c r="I431" s="8" t="s">
        <v>2862</v>
      </c>
      <c r="J431" s="8" t="s">
        <v>662</v>
      </c>
      <c r="L431" s="8" t="s">
        <v>663</v>
      </c>
      <c r="N431" s="8" t="s">
        <v>44</v>
      </c>
      <c r="O431" s="8" t="s">
        <v>44</v>
      </c>
      <c r="P431" s="18" t="str">
        <f t="shared" si="43"/>
        <v>M</v>
      </c>
      <c r="Q431" s="8" t="s">
        <v>45</v>
      </c>
      <c r="R431" s="8">
        <v>0</v>
      </c>
      <c r="S431" s="8">
        <v>3</v>
      </c>
      <c r="T431" s="8">
        <f t="shared" si="40"/>
        <v>3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180</v>
      </c>
      <c r="AB431" s="9">
        <f t="shared" si="41"/>
        <v>0</v>
      </c>
      <c r="AC431" s="10" t="str">
        <f t="shared" si="37"/>
        <v>sin venta</v>
      </c>
      <c r="AD431" s="8" t="s">
        <v>46</v>
      </c>
      <c r="AE431" s="11">
        <v>139990</v>
      </c>
      <c r="AF431" s="11">
        <f t="shared" si="38"/>
        <v>419970</v>
      </c>
      <c r="AG431" s="12" t="s">
        <v>73</v>
      </c>
      <c r="AH431" s="8" t="s">
        <v>35</v>
      </c>
    </row>
    <row r="432" spans="1:34">
      <c r="A432" s="8" t="s">
        <v>675</v>
      </c>
      <c r="B432" s="16" t="s">
        <v>661</v>
      </c>
      <c r="C432" s="8" t="s">
        <v>533</v>
      </c>
      <c r="D432" s="8" t="s">
        <v>653</v>
      </c>
      <c r="E432" s="8" t="str">
        <f t="shared" si="36"/>
        <v>NEGRO</v>
      </c>
      <c r="H432" s="8" t="str">
        <f>VLOOKUP(A432,[1]BBDD!$B$1:$J$3274,9,FALSE)</f>
        <v>M</v>
      </c>
      <c r="I432" s="8" t="s">
        <v>2862</v>
      </c>
      <c r="J432" s="8" t="s">
        <v>662</v>
      </c>
      <c r="L432" s="8" t="s">
        <v>663</v>
      </c>
      <c r="N432" s="8" t="s">
        <v>44</v>
      </c>
      <c r="O432" s="8" t="s">
        <v>44</v>
      </c>
      <c r="P432" s="18" t="str">
        <f t="shared" si="43"/>
        <v>S</v>
      </c>
      <c r="Q432" s="8" t="s">
        <v>45</v>
      </c>
      <c r="R432" s="8">
        <v>0</v>
      </c>
      <c r="S432" s="8">
        <v>2</v>
      </c>
      <c r="T432" s="8">
        <f t="shared" si="40"/>
        <v>2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180</v>
      </c>
      <c r="AB432" s="9">
        <f t="shared" si="41"/>
        <v>0</v>
      </c>
      <c r="AC432" s="10" t="str">
        <f t="shared" si="37"/>
        <v>sin venta</v>
      </c>
      <c r="AD432" s="8" t="s">
        <v>46</v>
      </c>
      <c r="AE432" s="11">
        <v>139990</v>
      </c>
      <c r="AF432" s="11">
        <f t="shared" si="38"/>
        <v>279980</v>
      </c>
      <c r="AG432" s="12" t="s">
        <v>73</v>
      </c>
      <c r="AH432" s="8" t="s">
        <v>35</v>
      </c>
    </row>
    <row r="433" spans="1:34">
      <c r="A433" s="8" t="s">
        <v>676</v>
      </c>
      <c r="B433" s="16" t="s">
        <v>661</v>
      </c>
      <c r="C433" s="8" t="s">
        <v>533</v>
      </c>
      <c r="D433" s="8" t="s">
        <v>653</v>
      </c>
      <c r="E433" s="8" t="str">
        <f t="shared" si="36"/>
        <v>NEGRO</v>
      </c>
      <c r="H433" s="8" t="str">
        <f>VLOOKUP(A433,[1]BBDD!$B$1:$J$3274,9,FALSE)</f>
        <v>M</v>
      </c>
      <c r="I433" s="8" t="s">
        <v>2862</v>
      </c>
      <c r="J433" s="8" t="s">
        <v>662</v>
      </c>
      <c r="L433" s="8" t="s">
        <v>663</v>
      </c>
      <c r="N433" s="8" t="s">
        <v>44</v>
      </c>
      <c r="O433" s="8" t="s">
        <v>44</v>
      </c>
      <c r="P433" s="18" t="str">
        <f t="shared" si="43"/>
        <v>XL</v>
      </c>
      <c r="Q433" s="8" t="s">
        <v>45</v>
      </c>
      <c r="R433" s="8">
        <v>1</v>
      </c>
      <c r="S433" s="8">
        <v>2</v>
      </c>
      <c r="T433" s="8">
        <f t="shared" si="40"/>
        <v>3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180</v>
      </c>
      <c r="AB433" s="9">
        <f t="shared" si="41"/>
        <v>0</v>
      </c>
      <c r="AC433" s="10" t="str">
        <f t="shared" si="37"/>
        <v>sin venta</v>
      </c>
      <c r="AD433" s="8" t="s">
        <v>46</v>
      </c>
      <c r="AE433" s="11">
        <v>139990</v>
      </c>
      <c r="AF433" s="11">
        <f t="shared" si="38"/>
        <v>419970</v>
      </c>
      <c r="AG433" s="12" t="s">
        <v>73</v>
      </c>
      <c r="AH433" s="8" t="s">
        <v>35</v>
      </c>
    </row>
    <row r="434" spans="1:34">
      <c r="A434" s="8" t="s">
        <v>677</v>
      </c>
      <c r="B434" s="16" t="s">
        <v>661</v>
      </c>
      <c r="C434" s="8" t="s">
        <v>533</v>
      </c>
      <c r="D434" s="8" t="s">
        <v>653</v>
      </c>
      <c r="E434" s="8" t="str">
        <f t="shared" si="36"/>
        <v>NEGRO</v>
      </c>
      <c r="H434" s="8" t="str">
        <f>VLOOKUP(A434,[1]BBDD!$B$1:$J$3274,9,FALSE)</f>
        <v>M</v>
      </c>
      <c r="I434" s="8" t="s">
        <v>2862</v>
      </c>
      <c r="J434" s="8" t="s">
        <v>662</v>
      </c>
      <c r="L434" s="8" t="s">
        <v>663</v>
      </c>
      <c r="N434" s="8" t="s">
        <v>44</v>
      </c>
      <c r="O434" s="8" t="s">
        <v>44</v>
      </c>
      <c r="P434" s="18" t="str">
        <f t="shared" si="43"/>
        <v>XXL</v>
      </c>
      <c r="Q434" s="8" t="s">
        <v>45</v>
      </c>
      <c r="R434" s="8">
        <v>0</v>
      </c>
      <c r="S434" s="8">
        <v>2</v>
      </c>
      <c r="T434" s="8">
        <f t="shared" si="40"/>
        <v>2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180</v>
      </c>
      <c r="AB434" s="9">
        <f t="shared" si="41"/>
        <v>0</v>
      </c>
      <c r="AC434" s="10" t="str">
        <f t="shared" si="37"/>
        <v>sin venta</v>
      </c>
      <c r="AD434" s="8" t="s">
        <v>46</v>
      </c>
      <c r="AE434" s="11">
        <v>139990</v>
      </c>
      <c r="AF434" s="11">
        <f t="shared" si="38"/>
        <v>279980</v>
      </c>
      <c r="AG434" s="12" t="s">
        <v>73</v>
      </c>
      <c r="AH434" s="8" t="s">
        <v>35</v>
      </c>
    </row>
    <row r="435" spans="1:34">
      <c r="A435" s="8" t="s">
        <v>678</v>
      </c>
      <c r="B435" s="16" t="s">
        <v>661</v>
      </c>
      <c r="C435" s="8" t="s">
        <v>533</v>
      </c>
      <c r="D435" s="8" t="s">
        <v>653</v>
      </c>
      <c r="E435" s="8" t="str">
        <f t="shared" si="36"/>
        <v>VERDE</v>
      </c>
      <c r="H435" s="8" t="str">
        <f>VLOOKUP(A435,[1]BBDD!$B$1:$J$3274,9,FALSE)</f>
        <v>M</v>
      </c>
      <c r="I435" s="8" t="s">
        <v>2862</v>
      </c>
      <c r="J435" s="8" t="s">
        <v>662</v>
      </c>
      <c r="L435" s="8" t="s">
        <v>663</v>
      </c>
      <c r="N435" s="8" t="s">
        <v>92</v>
      </c>
      <c r="O435" s="8" t="s">
        <v>92</v>
      </c>
      <c r="P435" s="18" t="str">
        <f t="shared" si="43"/>
        <v>L</v>
      </c>
      <c r="Q435" s="8" t="s">
        <v>45</v>
      </c>
      <c r="R435" s="8">
        <v>0</v>
      </c>
      <c r="S435" s="8">
        <v>2</v>
      </c>
      <c r="T435" s="8">
        <f t="shared" si="40"/>
        <v>2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180</v>
      </c>
      <c r="AB435" s="9">
        <f t="shared" si="41"/>
        <v>0</v>
      </c>
      <c r="AC435" s="10" t="str">
        <f t="shared" si="37"/>
        <v>sin venta</v>
      </c>
      <c r="AD435" s="8" t="s">
        <v>46</v>
      </c>
      <c r="AE435" s="11">
        <v>139990</v>
      </c>
      <c r="AF435" s="11">
        <f t="shared" si="38"/>
        <v>279980</v>
      </c>
      <c r="AG435" s="12" t="s">
        <v>73</v>
      </c>
      <c r="AH435" s="8" t="s">
        <v>35</v>
      </c>
    </row>
    <row r="436" spans="1:34">
      <c r="A436" s="8" t="s">
        <v>679</v>
      </c>
      <c r="B436" s="16" t="s">
        <v>661</v>
      </c>
      <c r="C436" s="8" t="s">
        <v>533</v>
      </c>
      <c r="D436" s="8" t="s">
        <v>653</v>
      </c>
      <c r="E436" s="8" t="str">
        <f t="shared" si="36"/>
        <v>VERDE</v>
      </c>
      <c r="H436" s="8" t="str">
        <f>VLOOKUP(A436,[1]BBDD!$B$1:$J$3274,9,FALSE)</f>
        <v>M</v>
      </c>
      <c r="I436" s="8" t="s">
        <v>2862</v>
      </c>
      <c r="J436" s="8" t="s">
        <v>662</v>
      </c>
      <c r="L436" s="8" t="s">
        <v>663</v>
      </c>
      <c r="N436" s="8" t="s">
        <v>92</v>
      </c>
      <c r="O436" s="8" t="s">
        <v>92</v>
      </c>
      <c r="P436" s="18" t="str">
        <f t="shared" si="43"/>
        <v>M</v>
      </c>
      <c r="Q436" s="8" t="s">
        <v>45</v>
      </c>
      <c r="R436" s="8">
        <v>0</v>
      </c>
      <c r="S436" s="8">
        <v>2</v>
      </c>
      <c r="T436" s="8">
        <f t="shared" si="40"/>
        <v>2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180</v>
      </c>
      <c r="AB436" s="9">
        <f t="shared" si="41"/>
        <v>0</v>
      </c>
      <c r="AC436" s="10" t="str">
        <f t="shared" si="37"/>
        <v>sin venta</v>
      </c>
      <c r="AD436" s="8" t="s">
        <v>46</v>
      </c>
      <c r="AE436" s="11">
        <v>139990</v>
      </c>
      <c r="AF436" s="11">
        <f t="shared" si="38"/>
        <v>279980</v>
      </c>
      <c r="AG436" s="12" t="s">
        <v>73</v>
      </c>
      <c r="AH436" s="8" t="s">
        <v>35</v>
      </c>
    </row>
    <row r="437" spans="1:34">
      <c r="A437" s="8" t="s">
        <v>680</v>
      </c>
      <c r="B437" s="16" t="s">
        <v>661</v>
      </c>
      <c r="C437" s="8" t="s">
        <v>533</v>
      </c>
      <c r="D437" s="8" t="s">
        <v>653</v>
      </c>
      <c r="E437" s="8" t="str">
        <f t="shared" si="36"/>
        <v>VERDE</v>
      </c>
      <c r="H437" s="8" t="str">
        <f>VLOOKUP(A437,[1]BBDD!$B$1:$J$3274,9,FALSE)</f>
        <v>M</v>
      </c>
      <c r="I437" s="8" t="s">
        <v>2862</v>
      </c>
      <c r="J437" s="8" t="s">
        <v>662</v>
      </c>
      <c r="L437" s="8" t="s">
        <v>663</v>
      </c>
      <c r="N437" s="8" t="s">
        <v>92</v>
      </c>
      <c r="O437" s="8" t="s">
        <v>92</v>
      </c>
      <c r="P437" s="18" t="str">
        <f t="shared" si="43"/>
        <v>S</v>
      </c>
      <c r="Q437" s="8" t="s">
        <v>45</v>
      </c>
      <c r="R437" s="8">
        <v>0</v>
      </c>
      <c r="S437" s="8">
        <v>1</v>
      </c>
      <c r="T437" s="8">
        <f t="shared" ref="T437:T472" si="44">SUM(R437:S437)</f>
        <v>1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180</v>
      </c>
      <c r="AB437" s="9">
        <f t="shared" ref="AB437:AB472" si="45">SUM(U437:Z437)/AA437*30</f>
        <v>0</v>
      </c>
      <c r="AC437" s="10" t="str">
        <f t="shared" si="37"/>
        <v>sin venta</v>
      </c>
      <c r="AD437" s="8" t="s">
        <v>46</v>
      </c>
      <c r="AE437" s="11">
        <v>139990</v>
      </c>
      <c r="AF437" s="11">
        <f t="shared" si="38"/>
        <v>139990</v>
      </c>
      <c r="AG437" s="12" t="s">
        <v>73</v>
      </c>
      <c r="AH437" s="8" t="s">
        <v>35</v>
      </c>
    </row>
    <row r="438" spans="1:34">
      <c r="A438" s="8" t="s">
        <v>681</v>
      </c>
      <c r="B438" s="16" t="s">
        <v>661</v>
      </c>
      <c r="C438" s="8" t="s">
        <v>533</v>
      </c>
      <c r="D438" s="8" t="s">
        <v>653</v>
      </c>
      <c r="E438" s="8" t="str">
        <f t="shared" si="36"/>
        <v>VERDE</v>
      </c>
      <c r="H438" s="8" t="str">
        <f>VLOOKUP(A438,[1]BBDD!$B$1:$J$3274,9,FALSE)</f>
        <v>M</v>
      </c>
      <c r="I438" s="8" t="s">
        <v>2862</v>
      </c>
      <c r="J438" s="8" t="s">
        <v>662</v>
      </c>
      <c r="L438" s="8" t="s">
        <v>663</v>
      </c>
      <c r="N438" s="8" t="s">
        <v>92</v>
      </c>
      <c r="O438" s="8" t="s">
        <v>92</v>
      </c>
      <c r="P438" s="18" t="str">
        <f t="shared" si="43"/>
        <v>XL</v>
      </c>
      <c r="Q438" s="8" t="s">
        <v>45</v>
      </c>
      <c r="R438" s="8">
        <v>0</v>
      </c>
      <c r="S438" s="8">
        <v>2</v>
      </c>
      <c r="T438" s="8">
        <f t="shared" si="44"/>
        <v>2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180</v>
      </c>
      <c r="AB438" s="9">
        <f t="shared" si="45"/>
        <v>0</v>
      </c>
      <c r="AC438" s="10" t="str">
        <f t="shared" si="37"/>
        <v>sin venta</v>
      </c>
      <c r="AD438" s="8" t="s">
        <v>46</v>
      </c>
      <c r="AE438" s="11">
        <v>139990</v>
      </c>
      <c r="AF438" s="11">
        <f t="shared" si="38"/>
        <v>279980</v>
      </c>
      <c r="AG438" s="12" t="s">
        <v>73</v>
      </c>
      <c r="AH438" s="8" t="s">
        <v>35</v>
      </c>
    </row>
    <row r="439" spans="1:34">
      <c r="A439" s="8" t="s">
        <v>682</v>
      </c>
      <c r="B439" s="16" t="s">
        <v>661</v>
      </c>
      <c r="C439" s="8" t="s">
        <v>533</v>
      </c>
      <c r="D439" s="8" t="s">
        <v>653</v>
      </c>
      <c r="E439" s="8" t="str">
        <f t="shared" si="36"/>
        <v>VERDE</v>
      </c>
      <c r="H439" s="8" t="str">
        <f>VLOOKUP(A439,[1]BBDD!$B$1:$J$3274,9,FALSE)</f>
        <v>M</v>
      </c>
      <c r="I439" s="8" t="s">
        <v>2862</v>
      </c>
      <c r="J439" s="8" t="s">
        <v>662</v>
      </c>
      <c r="L439" s="8" t="s">
        <v>663</v>
      </c>
      <c r="N439" s="8" t="s">
        <v>92</v>
      </c>
      <c r="O439" s="8" t="s">
        <v>92</v>
      </c>
      <c r="P439" s="18" t="str">
        <f t="shared" si="43"/>
        <v>XXL</v>
      </c>
      <c r="Q439" s="8" t="s">
        <v>45</v>
      </c>
      <c r="R439" s="8">
        <v>0</v>
      </c>
      <c r="S439" s="8">
        <v>2</v>
      </c>
      <c r="T439" s="8">
        <f t="shared" si="44"/>
        <v>2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180</v>
      </c>
      <c r="AB439" s="9">
        <f t="shared" si="45"/>
        <v>0</v>
      </c>
      <c r="AC439" s="10" t="str">
        <f t="shared" si="37"/>
        <v>sin venta</v>
      </c>
      <c r="AD439" s="8" t="s">
        <v>46</v>
      </c>
      <c r="AE439" s="11">
        <v>139990</v>
      </c>
      <c r="AF439" s="11">
        <f t="shared" si="38"/>
        <v>279980</v>
      </c>
      <c r="AG439" s="12" t="s">
        <v>73</v>
      </c>
      <c r="AH439" s="8" t="s">
        <v>35</v>
      </c>
    </row>
    <row r="440" spans="1:34">
      <c r="A440" s="8" t="s">
        <v>683</v>
      </c>
      <c r="B440" s="16" t="s">
        <v>652</v>
      </c>
      <c r="C440" s="8" t="s">
        <v>533</v>
      </c>
      <c r="D440" s="8" t="s">
        <v>653</v>
      </c>
      <c r="E440" s="8" t="str">
        <f t="shared" si="36"/>
        <v>CARAMELO</v>
      </c>
      <c r="H440" s="8" t="str">
        <f>VLOOKUP(A440,[1]BBDD!$B$1:$J$3274,9,FALSE)</f>
        <v>M</v>
      </c>
      <c r="I440" s="8" t="s">
        <v>2862</v>
      </c>
      <c r="J440" s="8" t="s">
        <v>684</v>
      </c>
      <c r="L440" s="8" t="s">
        <v>82</v>
      </c>
      <c r="N440" s="8" t="s">
        <v>62</v>
      </c>
      <c r="O440" s="8" t="s">
        <v>62</v>
      </c>
      <c r="P440" s="18" t="str">
        <f t="shared" si="43"/>
        <v>M</v>
      </c>
      <c r="Q440" s="8" t="s">
        <v>45</v>
      </c>
      <c r="R440" s="8">
        <v>0</v>
      </c>
      <c r="S440" s="8">
        <v>1</v>
      </c>
      <c r="T440" s="8">
        <f t="shared" si="44"/>
        <v>1</v>
      </c>
      <c r="U440" s="8">
        <v>0</v>
      </c>
      <c r="V440" s="8">
        <v>0</v>
      </c>
      <c r="W440" s="8">
        <v>1</v>
      </c>
      <c r="X440" s="8">
        <v>0</v>
      </c>
      <c r="Y440" s="8">
        <v>0</v>
      </c>
      <c r="Z440" s="8">
        <v>0</v>
      </c>
      <c r="AA440" s="8">
        <v>180</v>
      </c>
      <c r="AB440" s="9">
        <f t="shared" si="45"/>
        <v>0.16666666666666669</v>
      </c>
      <c r="AC440" s="10">
        <f t="shared" si="37"/>
        <v>5.9999999999999991</v>
      </c>
      <c r="AD440" s="8" t="s">
        <v>109</v>
      </c>
      <c r="AE440" s="11">
        <v>299990</v>
      </c>
      <c r="AF440" s="11">
        <f t="shared" si="38"/>
        <v>299990</v>
      </c>
      <c r="AG440" s="12" t="s">
        <v>34</v>
      </c>
      <c r="AH440" s="8" t="s">
        <v>35</v>
      </c>
    </row>
    <row r="441" spans="1:34">
      <c r="A441" s="8" t="s">
        <v>685</v>
      </c>
      <c r="B441" s="16" t="s">
        <v>652</v>
      </c>
      <c r="C441" s="8" t="s">
        <v>533</v>
      </c>
      <c r="D441" s="8" t="s">
        <v>653</v>
      </c>
      <c r="E441" s="8" t="str">
        <f t="shared" si="36"/>
        <v>CARAMELO</v>
      </c>
      <c r="H441" s="8" t="str">
        <f>VLOOKUP(A441,[1]BBDD!$B$1:$J$3274,9,FALSE)</f>
        <v>M</v>
      </c>
      <c r="I441" s="8" t="s">
        <v>2862</v>
      </c>
      <c r="J441" s="8" t="s">
        <v>684</v>
      </c>
      <c r="L441" s="8" t="s">
        <v>82</v>
      </c>
      <c r="N441" s="8" t="s">
        <v>62</v>
      </c>
      <c r="O441" s="8" t="s">
        <v>62</v>
      </c>
      <c r="P441" s="18" t="s">
        <v>2878</v>
      </c>
      <c r="Q441" s="8" t="s">
        <v>45</v>
      </c>
      <c r="R441" s="8">
        <v>0</v>
      </c>
      <c r="S441" s="8">
        <v>1</v>
      </c>
      <c r="T441" s="8">
        <f t="shared" si="44"/>
        <v>1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180</v>
      </c>
      <c r="AB441" s="9">
        <f t="shared" si="45"/>
        <v>0</v>
      </c>
      <c r="AC441" s="10" t="str">
        <f t="shared" si="37"/>
        <v>sin venta</v>
      </c>
      <c r="AD441" s="8" t="s">
        <v>109</v>
      </c>
      <c r="AE441" s="11">
        <v>299990</v>
      </c>
      <c r="AF441" s="11">
        <f t="shared" si="38"/>
        <v>299990</v>
      </c>
      <c r="AG441" s="12" t="s">
        <v>73</v>
      </c>
      <c r="AH441" s="8" t="s">
        <v>35</v>
      </c>
    </row>
    <row r="442" spans="1:34">
      <c r="A442" s="8" t="s">
        <v>686</v>
      </c>
      <c r="B442" s="16" t="s">
        <v>652</v>
      </c>
      <c r="C442" s="8" t="s">
        <v>533</v>
      </c>
      <c r="D442" s="8" t="s">
        <v>653</v>
      </c>
      <c r="E442" s="8" t="str">
        <f t="shared" si="36"/>
        <v>NEGRO</v>
      </c>
      <c r="H442" s="8" t="str">
        <f>VLOOKUP(A442,[1]BBDD!$B$1:$J$3274,9,FALSE)</f>
        <v>M</v>
      </c>
      <c r="I442" s="8" t="s">
        <v>2862</v>
      </c>
      <c r="J442" s="8" t="s">
        <v>684</v>
      </c>
      <c r="L442" s="8" t="s">
        <v>82</v>
      </c>
      <c r="N442" s="8" t="s">
        <v>44</v>
      </c>
      <c r="O442" s="8" t="s">
        <v>44</v>
      </c>
      <c r="P442" s="18" t="str">
        <f t="shared" si="43"/>
        <v>M</v>
      </c>
      <c r="Q442" s="8" t="s">
        <v>45</v>
      </c>
      <c r="R442" s="8">
        <v>0</v>
      </c>
      <c r="S442" s="8">
        <v>1</v>
      </c>
      <c r="T442" s="8">
        <f t="shared" si="44"/>
        <v>1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180</v>
      </c>
      <c r="AB442" s="9">
        <f t="shared" si="45"/>
        <v>0</v>
      </c>
      <c r="AC442" s="10" t="str">
        <f t="shared" si="37"/>
        <v>sin venta</v>
      </c>
      <c r="AD442" s="8" t="s">
        <v>109</v>
      </c>
      <c r="AE442" s="11">
        <v>299990</v>
      </c>
      <c r="AF442" s="11">
        <f t="shared" si="38"/>
        <v>299990</v>
      </c>
      <c r="AG442" s="12" t="s">
        <v>73</v>
      </c>
      <c r="AH442" s="8" t="s">
        <v>35</v>
      </c>
    </row>
    <row r="443" spans="1:34">
      <c r="A443" s="8" t="s">
        <v>687</v>
      </c>
      <c r="B443" s="16" t="s">
        <v>652</v>
      </c>
      <c r="C443" s="8" t="s">
        <v>533</v>
      </c>
      <c r="D443" s="8" t="s">
        <v>653</v>
      </c>
      <c r="E443" s="8" t="str">
        <f t="shared" si="36"/>
        <v>NEGRO</v>
      </c>
      <c r="H443" s="8" t="str">
        <f>VLOOKUP(A443,[1]BBDD!$B$1:$J$3274,9,FALSE)</f>
        <v>M</v>
      </c>
      <c r="I443" s="8" t="s">
        <v>2862</v>
      </c>
      <c r="J443" s="8" t="s">
        <v>684</v>
      </c>
      <c r="L443" s="8" t="s">
        <v>82</v>
      </c>
      <c r="N443" s="8" t="s">
        <v>44</v>
      </c>
      <c r="O443" s="8" t="s">
        <v>44</v>
      </c>
      <c r="P443" s="18" t="str">
        <f t="shared" si="43"/>
        <v>S</v>
      </c>
      <c r="Q443" s="8" t="s">
        <v>45</v>
      </c>
      <c r="R443" s="8">
        <v>0</v>
      </c>
      <c r="S443" s="8">
        <v>1</v>
      </c>
      <c r="T443" s="8">
        <f t="shared" si="44"/>
        <v>1</v>
      </c>
      <c r="U443" s="8">
        <v>0</v>
      </c>
      <c r="V443" s="8">
        <v>0</v>
      </c>
      <c r="W443" s="8">
        <v>0</v>
      </c>
      <c r="X443" s="8">
        <v>0</v>
      </c>
      <c r="Y443" s="8">
        <v>1</v>
      </c>
      <c r="Z443" s="8">
        <v>1</v>
      </c>
      <c r="AA443" s="8">
        <v>180</v>
      </c>
      <c r="AB443" s="9">
        <f t="shared" si="45"/>
        <v>0.33333333333333337</v>
      </c>
      <c r="AC443" s="10">
        <f t="shared" si="37"/>
        <v>2.9999999999999996</v>
      </c>
      <c r="AD443" s="8" t="s">
        <v>109</v>
      </c>
      <c r="AE443" s="11">
        <v>299990</v>
      </c>
      <c r="AF443" s="11">
        <f t="shared" si="38"/>
        <v>299990</v>
      </c>
      <c r="AG443" s="12" t="s">
        <v>34</v>
      </c>
      <c r="AH443" s="8" t="s">
        <v>35</v>
      </c>
    </row>
    <row r="444" spans="1:34">
      <c r="A444" s="8" t="s">
        <v>688</v>
      </c>
      <c r="B444" s="16" t="s">
        <v>652</v>
      </c>
      <c r="C444" s="8" t="s">
        <v>533</v>
      </c>
      <c r="D444" s="8" t="s">
        <v>653</v>
      </c>
      <c r="E444" s="8" t="str">
        <f t="shared" si="36"/>
        <v>TIZA</v>
      </c>
      <c r="H444" s="8" t="str">
        <f>VLOOKUP(A444,[1]BBDD!$B$1:$J$3274,9,FALSE)</f>
        <v>M</v>
      </c>
      <c r="I444" s="8" t="s">
        <v>2862</v>
      </c>
      <c r="J444" s="8" t="s">
        <v>684</v>
      </c>
      <c r="L444" s="8" t="s">
        <v>82</v>
      </c>
      <c r="N444" s="8" t="s">
        <v>689</v>
      </c>
      <c r="O444" s="8" t="s">
        <v>689</v>
      </c>
      <c r="P444" s="18" t="str">
        <f t="shared" si="43"/>
        <v>L</v>
      </c>
      <c r="Q444" s="8" t="s">
        <v>45</v>
      </c>
      <c r="R444" s="8">
        <v>0</v>
      </c>
      <c r="S444" s="8">
        <v>1</v>
      </c>
      <c r="T444" s="8">
        <f t="shared" si="44"/>
        <v>1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180</v>
      </c>
      <c r="AB444" s="9">
        <f t="shared" si="45"/>
        <v>0</v>
      </c>
      <c r="AC444" s="10" t="str">
        <f t="shared" si="37"/>
        <v>sin venta</v>
      </c>
      <c r="AD444" s="8" t="s">
        <v>109</v>
      </c>
      <c r="AE444" s="11">
        <v>299990</v>
      </c>
      <c r="AF444" s="11">
        <f t="shared" si="38"/>
        <v>299990</v>
      </c>
      <c r="AG444" s="12" t="s">
        <v>73</v>
      </c>
      <c r="AH444" s="8" t="s">
        <v>35</v>
      </c>
    </row>
    <row r="445" spans="1:34">
      <c r="A445" s="8" t="s">
        <v>690</v>
      </c>
      <c r="B445" s="16" t="s">
        <v>652</v>
      </c>
      <c r="C445" s="8" t="s">
        <v>533</v>
      </c>
      <c r="D445" s="8" t="s">
        <v>653</v>
      </c>
      <c r="E445" s="8" t="str">
        <f t="shared" si="36"/>
        <v>TIZA</v>
      </c>
      <c r="H445" s="8" t="str">
        <f>VLOOKUP(A445,[1]BBDD!$B$1:$J$3274,9,FALSE)</f>
        <v>M</v>
      </c>
      <c r="I445" s="8" t="s">
        <v>2862</v>
      </c>
      <c r="J445" s="8" t="s">
        <v>684</v>
      </c>
      <c r="L445" s="8" t="s">
        <v>82</v>
      </c>
      <c r="N445" s="8" t="s">
        <v>689</v>
      </c>
      <c r="O445" s="8" t="s">
        <v>689</v>
      </c>
      <c r="P445" s="18" t="str">
        <f t="shared" si="43"/>
        <v>XS</v>
      </c>
      <c r="Q445" s="8" t="s">
        <v>45</v>
      </c>
      <c r="R445" s="8">
        <v>0</v>
      </c>
      <c r="S445" s="8">
        <v>1</v>
      </c>
      <c r="T445" s="8">
        <f t="shared" si="44"/>
        <v>1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180</v>
      </c>
      <c r="AB445" s="9">
        <f t="shared" si="45"/>
        <v>0</v>
      </c>
      <c r="AC445" s="10" t="str">
        <f t="shared" si="37"/>
        <v>sin venta</v>
      </c>
      <c r="AD445" s="8" t="s">
        <v>109</v>
      </c>
      <c r="AE445" s="11">
        <v>299990</v>
      </c>
      <c r="AF445" s="11">
        <f t="shared" si="38"/>
        <v>299990</v>
      </c>
      <c r="AG445" s="12" t="s">
        <v>73</v>
      </c>
      <c r="AH445" s="8" t="s">
        <v>35</v>
      </c>
    </row>
    <row r="446" spans="1:34">
      <c r="A446" s="8" t="s">
        <v>691</v>
      </c>
      <c r="B446" s="16" t="s">
        <v>652</v>
      </c>
      <c r="C446" s="8" t="s">
        <v>533</v>
      </c>
      <c r="D446" s="8" t="s">
        <v>653</v>
      </c>
      <c r="E446" s="8" t="str">
        <f t="shared" si="36"/>
        <v>TIZA</v>
      </c>
      <c r="H446" s="8" t="str">
        <f>VLOOKUP(A446,[1]BBDD!$B$1:$J$3274,9,FALSE)</f>
        <v>M</v>
      </c>
      <c r="I446" s="8" t="s">
        <v>2862</v>
      </c>
      <c r="J446" s="8" t="s">
        <v>684</v>
      </c>
      <c r="L446" s="8" t="s">
        <v>82</v>
      </c>
      <c r="N446" s="8" t="s">
        <v>689</v>
      </c>
      <c r="O446" s="8" t="s">
        <v>689</v>
      </c>
      <c r="P446" s="18" t="s">
        <v>2878</v>
      </c>
      <c r="Q446" s="8" t="s">
        <v>45</v>
      </c>
      <c r="R446" s="8">
        <v>0</v>
      </c>
      <c r="S446" s="8">
        <v>1</v>
      </c>
      <c r="T446" s="8">
        <f t="shared" si="44"/>
        <v>1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180</v>
      </c>
      <c r="AB446" s="9">
        <f t="shared" si="45"/>
        <v>0</v>
      </c>
      <c r="AC446" s="10" t="str">
        <f t="shared" si="37"/>
        <v>sin venta</v>
      </c>
      <c r="AD446" s="8" t="s">
        <v>109</v>
      </c>
      <c r="AE446" s="11">
        <v>299990</v>
      </c>
      <c r="AF446" s="11">
        <f t="shared" si="38"/>
        <v>299990</v>
      </c>
      <c r="AG446" s="12" t="s">
        <v>73</v>
      </c>
      <c r="AH446" s="8" t="s">
        <v>35</v>
      </c>
    </row>
    <row r="447" spans="1:34">
      <c r="A447" s="8" t="s">
        <v>692</v>
      </c>
      <c r="B447" s="16" t="s">
        <v>661</v>
      </c>
      <c r="C447" s="8" t="s">
        <v>533</v>
      </c>
      <c r="D447" s="8" t="s">
        <v>653</v>
      </c>
      <c r="E447" s="8" t="str">
        <f t="shared" si="36"/>
        <v>AZUL</v>
      </c>
      <c r="H447" s="8" t="str">
        <f>VLOOKUP(A447,[1]BBDD!$B$1:$J$3274,9,FALSE)</f>
        <v>H</v>
      </c>
      <c r="I447" s="8" t="s">
        <v>2863</v>
      </c>
      <c r="J447" s="8" t="s">
        <v>693</v>
      </c>
      <c r="L447" s="8" t="s">
        <v>663</v>
      </c>
      <c r="N447" s="8" t="s">
        <v>83</v>
      </c>
      <c r="O447" s="8" t="s">
        <v>83</v>
      </c>
      <c r="P447" s="18" t="str">
        <f t="shared" si="43"/>
        <v>L</v>
      </c>
      <c r="Q447" s="8" t="s">
        <v>45</v>
      </c>
      <c r="R447" s="8">
        <v>0</v>
      </c>
      <c r="S447" s="8">
        <v>1</v>
      </c>
      <c r="T447" s="8">
        <f t="shared" si="44"/>
        <v>1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1</v>
      </c>
      <c r="AA447" s="8">
        <v>180</v>
      </c>
      <c r="AB447" s="9">
        <f t="shared" si="45"/>
        <v>0.16666666666666669</v>
      </c>
      <c r="AC447" s="10">
        <f t="shared" si="37"/>
        <v>5.9999999999999991</v>
      </c>
      <c r="AD447" s="8" t="s">
        <v>46</v>
      </c>
      <c r="AE447" s="11">
        <v>149990</v>
      </c>
      <c r="AF447" s="11">
        <f t="shared" si="38"/>
        <v>149990</v>
      </c>
      <c r="AG447" s="12" t="s">
        <v>34</v>
      </c>
      <c r="AH447" s="8" t="s">
        <v>35</v>
      </c>
    </row>
    <row r="448" spans="1:34">
      <c r="A448" s="8" t="s">
        <v>694</v>
      </c>
      <c r="B448" s="16" t="s">
        <v>661</v>
      </c>
      <c r="C448" s="8" t="s">
        <v>533</v>
      </c>
      <c r="D448" s="8" t="s">
        <v>653</v>
      </c>
      <c r="E448" s="8" t="str">
        <f t="shared" si="36"/>
        <v>AZUL</v>
      </c>
      <c r="H448" s="8" t="str">
        <f>VLOOKUP(A448,[1]BBDD!$B$1:$J$3274,9,FALSE)</f>
        <v>H</v>
      </c>
      <c r="I448" s="8" t="s">
        <v>2863</v>
      </c>
      <c r="J448" s="8" t="s">
        <v>693</v>
      </c>
      <c r="L448" s="8" t="s">
        <v>663</v>
      </c>
      <c r="N448" s="8" t="s">
        <v>83</v>
      </c>
      <c r="O448" s="8" t="s">
        <v>83</v>
      </c>
      <c r="P448" s="18" t="str">
        <f t="shared" si="43"/>
        <v>M</v>
      </c>
      <c r="Q448" s="8" t="s">
        <v>45</v>
      </c>
      <c r="R448" s="8">
        <v>0</v>
      </c>
      <c r="S448" s="8">
        <v>1</v>
      </c>
      <c r="T448" s="8">
        <f t="shared" si="44"/>
        <v>1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180</v>
      </c>
      <c r="AB448" s="9">
        <f t="shared" si="45"/>
        <v>0</v>
      </c>
      <c r="AC448" s="10" t="str">
        <f t="shared" si="37"/>
        <v>sin venta</v>
      </c>
      <c r="AD448" s="8" t="s">
        <v>46</v>
      </c>
      <c r="AE448" s="11">
        <v>149990</v>
      </c>
      <c r="AF448" s="11">
        <f t="shared" si="38"/>
        <v>149990</v>
      </c>
      <c r="AG448" s="12" t="s">
        <v>73</v>
      </c>
      <c r="AH448" s="8" t="s">
        <v>35</v>
      </c>
    </row>
    <row r="449" spans="1:34">
      <c r="A449" s="8" t="s">
        <v>695</v>
      </c>
      <c r="B449" s="16" t="s">
        <v>661</v>
      </c>
      <c r="C449" s="8" t="s">
        <v>533</v>
      </c>
      <c r="D449" s="8" t="s">
        <v>653</v>
      </c>
      <c r="E449" s="8" t="str">
        <f t="shared" si="36"/>
        <v>AZUL</v>
      </c>
      <c r="H449" s="8" t="str">
        <f>VLOOKUP(A449,[1]BBDD!$B$1:$J$3274,9,FALSE)</f>
        <v>H</v>
      </c>
      <c r="I449" s="8" t="s">
        <v>2863</v>
      </c>
      <c r="J449" s="8" t="s">
        <v>693</v>
      </c>
      <c r="L449" s="8" t="s">
        <v>663</v>
      </c>
      <c r="N449" s="8" t="s">
        <v>83</v>
      </c>
      <c r="O449" s="8" t="s">
        <v>83</v>
      </c>
      <c r="P449" s="18" t="str">
        <f t="shared" si="43"/>
        <v>S</v>
      </c>
      <c r="Q449" s="8" t="s">
        <v>45</v>
      </c>
      <c r="R449" s="8">
        <v>0</v>
      </c>
      <c r="S449" s="8">
        <v>1</v>
      </c>
      <c r="T449" s="8">
        <f t="shared" si="44"/>
        <v>1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1</v>
      </c>
      <c r="AA449" s="8">
        <v>180</v>
      </c>
      <c r="AB449" s="9">
        <f t="shared" si="45"/>
        <v>0.16666666666666669</v>
      </c>
      <c r="AC449" s="10">
        <f t="shared" si="37"/>
        <v>5.9999999999999991</v>
      </c>
      <c r="AD449" s="8" t="s">
        <v>46</v>
      </c>
      <c r="AE449" s="11">
        <v>149990</v>
      </c>
      <c r="AF449" s="11">
        <f t="shared" si="38"/>
        <v>149990</v>
      </c>
      <c r="AG449" s="12" t="s">
        <v>34</v>
      </c>
      <c r="AH449" s="8" t="s">
        <v>35</v>
      </c>
    </row>
    <row r="450" spans="1:34">
      <c r="A450" s="8" t="s">
        <v>696</v>
      </c>
      <c r="B450" s="16" t="s">
        <v>661</v>
      </c>
      <c r="C450" s="8" t="s">
        <v>533</v>
      </c>
      <c r="D450" s="8" t="s">
        <v>653</v>
      </c>
      <c r="E450" s="8" t="str">
        <f t="shared" si="36"/>
        <v>AZUL</v>
      </c>
      <c r="H450" s="8" t="str">
        <f>VLOOKUP(A450,[1]BBDD!$B$1:$J$3274,9,FALSE)</f>
        <v>H</v>
      </c>
      <c r="I450" s="8" t="s">
        <v>2863</v>
      </c>
      <c r="J450" s="8" t="s">
        <v>693</v>
      </c>
      <c r="L450" s="8" t="s">
        <v>663</v>
      </c>
      <c r="N450" s="8" t="s">
        <v>83</v>
      </c>
      <c r="O450" s="8" t="s">
        <v>83</v>
      </c>
      <c r="P450" s="18" t="str">
        <f t="shared" si="43"/>
        <v>XL</v>
      </c>
      <c r="Q450" s="8" t="s">
        <v>45</v>
      </c>
      <c r="R450" s="8">
        <v>0</v>
      </c>
      <c r="S450" s="8">
        <v>1</v>
      </c>
      <c r="T450" s="8">
        <f t="shared" si="44"/>
        <v>1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1</v>
      </c>
      <c r="AA450" s="8">
        <v>180</v>
      </c>
      <c r="AB450" s="9">
        <f t="shared" si="45"/>
        <v>0.16666666666666669</v>
      </c>
      <c r="AC450" s="10">
        <f t="shared" si="37"/>
        <v>5.9999999999999991</v>
      </c>
      <c r="AD450" s="8" t="s">
        <v>46</v>
      </c>
      <c r="AE450" s="11">
        <v>149990</v>
      </c>
      <c r="AF450" s="11">
        <f t="shared" si="38"/>
        <v>149990</v>
      </c>
      <c r="AG450" s="12" t="s">
        <v>34</v>
      </c>
      <c r="AH450" s="8" t="s">
        <v>35</v>
      </c>
    </row>
    <row r="451" spans="1:34">
      <c r="A451" s="8" t="s">
        <v>697</v>
      </c>
      <c r="B451" s="16" t="s">
        <v>661</v>
      </c>
      <c r="C451" s="8" t="s">
        <v>533</v>
      </c>
      <c r="D451" s="8" t="s">
        <v>653</v>
      </c>
      <c r="E451" s="8" t="str">
        <f t="shared" ref="E451:E514" si="46">TRIM(N451)</f>
        <v>NEGRO</v>
      </c>
      <c r="H451" s="8" t="str">
        <f>VLOOKUP(A451,[1]BBDD!$B$1:$J$3274,9,FALSE)</f>
        <v>H</v>
      </c>
      <c r="I451" s="8" t="s">
        <v>2863</v>
      </c>
      <c r="J451" s="8" t="s">
        <v>693</v>
      </c>
      <c r="L451" s="8" t="s">
        <v>663</v>
      </c>
      <c r="N451" s="8" t="s">
        <v>44</v>
      </c>
      <c r="O451" s="8" t="s">
        <v>44</v>
      </c>
      <c r="P451" s="18" t="str">
        <f t="shared" si="43"/>
        <v>L</v>
      </c>
      <c r="Q451" s="8" t="s">
        <v>45</v>
      </c>
      <c r="R451" s="8">
        <v>1</v>
      </c>
      <c r="S451" s="8">
        <v>2</v>
      </c>
      <c r="T451" s="8">
        <f t="shared" si="44"/>
        <v>3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180</v>
      </c>
      <c r="AB451" s="9">
        <f t="shared" si="45"/>
        <v>0</v>
      </c>
      <c r="AC451" s="10" t="str">
        <f t="shared" ref="AC451:AC514" si="47">IFERROR(T451/AB451,"sin venta")</f>
        <v>sin venta</v>
      </c>
      <c r="AD451" s="8" t="s">
        <v>46</v>
      </c>
      <c r="AE451" s="11">
        <v>149990</v>
      </c>
      <c r="AF451" s="11">
        <f t="shared" ref="AF451:AF514" si="48">IFERROR(AE451*T451,0)</f>
        <v>449970</v>
      </c>
      <c r="AG451" s="12" t="s">
        <v>73</v>
      </c>
      <c r="AH451" s="8" t="s">
        <v>35</v>
      </c>
    </row>
    <row r="452" spans="1:34">
      <c r="A452" s="8" t="s">
        <v>698</v>
      </c>
      <c r="B452" s="16" t="s">
        <v>661</v>
      </c>
      <c r="C452" s="8" t="s">
        <v>533</v>
      </c>
      <c r="D452" s="8" t="s">
        <v>653</v>
      </c>
      <c r="E452" s="8" t="str">
        <f t="shared" si="46"/>
        <v>NEGRO</v>
      </c>
      <c r="H452" s="8" t="str">
        <f>VLOOKUP(A452,[1]BBDD!$B$1:$J$3274,9,FALSE)</f>
        <v>H</v>
      </c>
      <c r="I452" s="8" t="s">
        <v>2863</v>
      </c>
      <c r="J452" s="8" t="s">
        <v>693</v>
      </c>
      <c r="L452" s="8" t="s">
        <v>663</v>
      </c>
      <c r="N452" s="8" t="s">
        <v>44</v>
      </c>
      <c r="O452" s="8" t="s">
        <v>44</v>
      </c>
      <c r="P452" s="18" t="str">
        <f t="shared" si="43"/>
        <v>M</v>
      </c>
      <c r="Q452" s="8" t="s">
        <v>45</v>
      </c>
      <c r="R452" s="8">
        <v>0</v>
      </c>
      <c r="S452" s="8">
        <v>1</v>
      </c>
      <c r="T452" s="8">
        <f t="shared" si="44"/>
        <v>1</v>
      </c>
      <c r="U452" s="8">
        <v>0</v>
      </c>
      <c r="V452" s="8">
        <v>0</v>
      </c>
      <c r="W452" s="8">
        <v>0</v>
      </c>
      <c r="X452" s="8">
        <v>0</v>
      </c>
      <c r="Y452" s="8">
        <v>1</v>
      </c>
      <c r="Z452" s="8">
        <v>0</v>
      </c>
      <c r="AA452" s="8">
        <v>180</v>
      </c>
      <c r="AB452" s="9">
        <f t="shared" si="45"/>
        <v>0.16666666666666669</v>
      </c>
      <c r="AC452" s="10">
        <f t="shared" si="47"/>
        <v>5.9999999999999991</v>
      </c>
      <c r="AD452" s="8" t="s">
        <v>46</v>
      </c>
      <c r="AE452" s="11">
        <v>149990</v>
      </c>
      <c r="AF452" s="11">
        <f t="shared" si="48"/>
        <v>149990</v>
      </c>
      <c r="AG452" s="12" t="s">
        <v>34</v>
      </c>
      <c r="AH452" s="8" t="s">
        <v>35</v>
      </c>
    </row>
    <row r="453" spans="1:34">
      <c r="A453" s="8" t="s">
        <v>699</v>
      </c>
      <c r="B453" s="16" t="s">
        <v>661</v>
      </c>
      <c r="C453" s="8" t="s">
        <v>533</v>
      </c>
      <c r="D453" s="8" t="s">
        <v>653</v>
      </c>
      <c r="E453" s="8" t="str">
        <f t="shared" si="46"/>
        <v>NEGRO</v>
      </c>
      <c r="H453" s="8" t="str">
        <f>VLOOKUP(A453,[1]BBDD!$B$1:$J$3274,9,FALSE)</f>
        <v>H</v>
      </c>
      <c r="I453" s="8" t="s">
        <v>2863</v>
      </c>
      <c r="J453" s="8" t="s">
        <v>693</v>
      </c>
      <c r="L453" s="8" t="s">
        <v>663</v>
      </c>
      <c r="N453" s="8" t="s">
        <v>44</v>
      </c>
      <c r="O453" s="8" t="s">
        <v>44</v>
      </c>
      <c r="P453" s="18" t="str">
        <f t="shared" si="43"/>
        <v>XL</v>
      </c>
      <c r="Q453" s="8" t="s">
        <v>45</v>
      </c>
      <c r="R453" s="8">
        <v>0</v>
      </c>
      <c r="S453" s="8">
        <v>2</v>
      </c>
      <c r="T453" s="8">
        <f t="shared" si="44"/>
        <v>2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180</v>
      </c>
      <c r="AB453" s="9">
        <f t="shared" si="45"/>
        <v>0</v>
      </c>
      <c r="AC453" s="10" t="str">
        <f t="shared" si="47"/>
        <v>sin venta</v>
      </c>
      <c r="AD453" s="8" t="s">
        <v>46</v>
      </c>
      <c r="AE453" s="11">
        <v>149990</v>
      </c>
      <c r="AF453" s="11">
        <f t="shared" si="48"/>
        <v>299980</v>
      </c>
      <c r="AG453" s="12" t="s">
        <v>73</v>
      </c>
      <c r="AH453" s="8" t="s">
        <v>35</v>
      </c>
    </row>
    <row r="454" spans="1:34">
      <c r="A454" s="8" t="s">
        <v>700</v>
      </c>
      <c r="B454" s="16" t="s">
        <v>661</v>
      </c>
      <c r="C454" s="8" t="s">
        <v>533</v>
      </c>
      <c r="D454" s="8" t="s">
        <v>653</v>
      </c>
      <c r="E454" s="8" t="str">
        <f t="shared" si="46"/>
        <v>NEGRO</v>
      </c>
      <c r="H454" s="8" t="str">
        <f>VLOOKUP(A454,[1]BBDD!$B$1:$J$3274,9,FALSE)</f>
        <v>H</v>
      </c>
      <c r="I454" s="8" t="s">
        <v>2863</v>
      </c>
      <c r="J454" s="8" t="s">
        <v>693</v>
      </c>
      <c r="L454" s="8" t="s">
        <v>663</v>
      </c>
      <c r="N454" s="8" t="s">
        <v>44</v>
      </c>
      <c r="O454" s="8" t="s">
        <v>44</v>
      </c>
      <c r="P454" s="18" t="str">
        <f t="shared" si="43"/>
        <v>XXL</v>
      </c>
      <c r="Q454" s="8" t="s">
        <v>45</v>
      </c>
      <c r="R454" s="8">
        <v>0</v>
      </c>
      <c r="S454" s="8">
        <v>1</v>
      </c>
      <c r="T454" s="8">
        <f t="shared" si="44"/>
        <v>1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1</v>
      </c>
      <c r="AA454" s="8">
        <v>180</v>
      </c>
      <c r="AB454" s="9">
        <f t="shared" si="45"/>
        <v>0.16666666666666669</v>
      </c>
      <c r="AC454" s="10">
        <f t="shared" si="47"/>
        <v>5.9999999999999991</v>
      </c>
      <c r="AD454" s="8" t="s">
        <v>46</v>
      </c>
      <c r="AE454" s="11">
        <v>149990</v>
      </c>
      <c r="AF454" s="11">
        <f t="shared" si="48"/>
        <v>149990</v>
      </c>
      <c r="AG454" s="12" t="s">
        <v>34</v>
      </c>
      <c r="AH454" s="8" t="s">
        <v>35</v>
      </c>
    </row>
    <row r="455" spans="1:34">
      <c r="A455" s="8" t="s">
        <v>701</v>
      </c>
      <c r="B455" s="16" t="s">
        <v>661</v>
      </c>
      <c r="C455" s="8" t="s">
        <v>533</v>
      </c>
      <c r="D455" s="8" t="s">
        <v>653</v>
      </c>
      <c r="E455" s="8" t="str">
        <f t="shared" si="46"/>
        <v>VERDE</v>
      </c>
      <c r="H455" s="8" t="str">
        <f>VLOOKUP(A455,[1]BBDD!$B$1:$J$3274,9,FALSE)</f>
        <v>H</v>
      </c>
      <c r="I455" s="8" t="s">
        <v>2863</v>
      </c>
      <c r="J455" s="8" t="s">
        <v>693</v>
      </c>
      <c r="L455" s="8" t="s">
        <v>663</v>
      </c>
      <c r="N455" s="8" t="s">
        <v>92</v>
      </c>
      <c r="O455" s="8" t="s">
        <v>92</v>
      </c>
      <c r="P455" s="18" t="str">
        <f t="shared" si="43"/>
        <v>L</v>
      </c>
      <c r="Q455" s="8" t="s">
        <v>45</v>
      </c>
      <c r="R455" s="8">
        <v>0</v>
      </c>
      <c r="S455" s="8">
        <v>1</v>
      </c>
      <c r="T455" s="8">
        <f t="shared" si="44"/>
        <v>1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1</v>
      </c>
      <c r="AA455" s="8">
        <v>180</v>
      </c>
      <c r="AB455" s="9">
        <f t="shared" si="45"/>
        <v>0.16666666666666669</v>
      </c>
      <c r="AC455" s="10">
        <f t="shared" si="47"/>
        <v>5.9999999999999991</v>
      </c>
      <c r="AD455" s="8" t="s">
        <v>46</v>
      </c>
      <c r="AE455" s="11">
        <v>149990</v>
      </c>
      <c r="AF455" s="11">
        <f t="shared" si="48"/>
        <v>149990</v>
      </c>
      <c r="AG455" s="12" t="s">
        <v>34</v>
      </c>
      <c r="AH455" s="8" t="s">
        <v>35</v>
      </c>
    </row>
    <row r="456" spans="1:34">
      <c r="A456" s="8" t="s">
        <v>702</v>
      </c>
      <c r="B456" s="16" t="s">
        <v>661</v>
      </c>
      <c r="C456" s="8" t="s">
        <v>533</v>
      </c>
      <c r="D456" s="8" t="s">
        <v>653</v>
      </c>
      <c r="E456" s="8" t="str">
        <f t="shared" si="46"/>
        <v>VERDE</v>
      </c>
      <c r="H456" s="8" t="str">
        <f>VLOOKUP(A456,[1]BBDD!$B$1:$J$3274,9,FALSE)</f>
        <v>H</v>
      </c>
      <c r="I456" s="8" t="s">
        <v>2863</v>
      </c>
      <c r="J456" s="8" t="s">
        <v>693</v>
      </c>
      <c r="L456" s="8" t="s">
        <v>663</v>
      </c>
      <c r="N456" s="8" t="s">
        <v>92</v>
      </c>
      <c r="O456" s="8" t="s">
        <v>92</v>
      </c>
      <c r="P456" s="18" t="str">
        <f t="shared" si="43"/>
        <v>M</v>
      </c>
      <c r="Q456" s="8" t="s">
        <v>45</v>
      </c>
      <c r="R456" s="8">
        <v>0</v>
      </c>
      <c r="S456" s="8">
        <v>1</v>
      </c>
      <c r="T456" s="8">
        <f t="shared" si="44"/>
        <v>1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180</v>
      </c>
      <c r="AB456" s="9">
        <f t="shared" si="45"/>
        <v>0</v>
      </c>
      <c r="AC456" s="10" t="str">
        <f t="shared" si="47"/>
        <v>sin venta</v>
      </c>
      <c r="AD456" s="8" t="s">
        <v>46</v>
      </c>
      <c r="AE456" s="11">
        <v>149990</v>
      </c>
      <c r="AF456" s="11">
        <f t="shared" si="48"/>
        <v>149990</v>
      </c>
      <c r="AG456" s="12" t="s">
        <v>73</v>
      </c>
      <c r="AH456" s="8" t="s">
        <v>35</v>
      </c>
    </row>
    <row r="457" spans="1:34">
      <c r="A457" s="8" t="s">
        <v>703</v>
      </c>
      <c r="B457" s="16" t="s">
        <v>661</v>
      </c>
      <c r="C457" s="8" t="s">
        <v>533</v>
      </c>
      <c r="D457" s="8" t="s">
        <v>653</v>
      </c>
      <c r="E457" s="8" t="str">
        <f t="shared" si="46"/>
        <v>VERDE</v>
      </c>
      <c r="H457" s="8" t="str">
        <f>VLOOKUP(A457,[1]BBDD!$B$1:$J$3274,9,FALSE)</f>
        <v>H</v>
      </c>
      <c r="I457" s="8" t="s">
        <v>2863</v>
      </c>
      <c r="J457" s="8" t="s">
        <v>693</v>
      </c>
      <c r="L457" s="8" t="s">
        <v>663</v>
      </c>
      <c r="N457" s="8" t="s">
        <v>92</v>
      </c>
      <c r="O457" s="8" t="s">
        <v>92</v>
      </c>
      <c r="P457" s="18" t="str">
        <f t="shared" si="43"/>
        <v>XL</v>
      </c>
      <c r="Q457" s="8" t="s">
        <v>45</v>
      </c>
      <c r="R457" s="8">
        <v>0</v>
      </c>
      <c r="S457" s="8">
        <v>1</v>
      </c>
      <c r="T457" s="8">
        <f t="shared" si="44"/>
        <v>1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180</v>
      </c>
      <c r="AB457" s="9">
        <f t="shared" si="45"/>
        <v>0</v>
      </c>
      <c r="AC457" s="10" t="str">
        <f t="shared" si="47"/>
        <v>sin venta</v>
      </c>
      <c r="AD457" s="8" t="s">
        <v>46</v>
      </c>
      <c r="AE457" s="11">
        <v>149990</v>
      </c>
      <c r="AF457" s="11">
        <f t="shared" si="48"/>
        <v>149990</v>
      </c>
      <c r="AG457" s="12" t="s">
        <v>73</v>
      </c>
      <c r="AH457" s="8" t="s">
        <v>35</v>
      </c>
    </row>
    <row r="458" spans="1:34">
      <c r="A458" s="8" t="s">
        <v>704</v>
      </c>
      <c r="B458" s="16" t="s">
        <v>652</v>
      </c>
      <c r="C458" s="8" t="s">
        <v>533</v>
      </c>
      <c r="D458" s="8" t="s">
        <v>653</v>
      </c>
      <c r="E458" s="8" t="str">
        <f t="shared" si="46"/>
        <v>NEGRO</v>
      </c>
      <c r="H458" s="8" t="str">
        <f>VLOOKUP(A458,[1]BBDD!$B$1:$J$3274,9,FALSE)</f>
        <v>H</v>
      </c>
      <c r="I458" s="8" t="s">
        <v>2863</v>
      </c>
      <c r="J458" s="8" t="s">
        <v>705</v>
      </c>
      <c r="L458" s="8" t="s">
        <v>82</v>
      </c>
      <c r="N458" s="8" t="s">
        <v>44</v>
      </c>
      <c r="O458" s="8" t="s">
        <v>44</v>
      </c>
      <c r="P458" s="18" t="str">
        <f t="shared" si="43"/>
        <v>L</v>
      </c>
      <c r="Q458" s="8" t="s">
        <v>45</v>
      </c>
      <c r="R458" s="8">
        <v>0</v>
      </c>
      <c r="S458" s="8">
        <v>1</v>
      </c>
      <c r="T458" s="8">
        <f t="shared" si="44"/>
        <v>1</v>
      </c>
      <c r="U458" s="8">
        <v>1</v>
      </c>
      <c r="V458" s="8">
        <v>0</v>
      </c>
      <c r="W458" s="8">
        <v>1</v>
      </c>
      <c r="X458" s="8">
        <v>0</v>
      </c>
      <c r="Y458" s="8">
        <v>0</v>
      </c>
      <c r="Z458" s="8">
        <v>0</v>
      </c>
      <c r="AA458" s="8">
        <v>180</v>
      </c>
      <c r="AB458" s="9">
        <f t="shared" si="45"/>
        <v>0.33333333333333337</v>
      </c>
      <c r="AC458" s="10">
        <f t="shared" si="47"/>
        <v>2.9999999999999996</v>
      </c>
      <c r="AD458" s="8" t="s">
        <v>109</v>
      </c>
      <c r="AE458" s="11">
        <v>299990</v>
      </c>
      <c r="AF458" s="11">
        <f t="shared" si="48"/>
        <v>299990</v>
      </c>
      <c r="AG458" s="12" t="s">
        <v>34</v>
      </c>
      <c r="AH458" s="8" t="s">
        <v>35</v>
      </c>
    </row>
    <row r="459" spans="1:34">
      <c r="A459" s="8" t="s">
        <v>706</v>
      </c>
      <c r="B459" s="16" t="s">
        <v>652</v>
      </c>
      <c r="C459" s="8" t="s">
        <v>533</v>
      </c>
      <c r="D459" s="8" t="s">
        <v>653</v>
      </c>
      <c r="E459" s="8" t="str">
        <f t="shared" si="46"/>
        <v>NEGRO</v>
      </c>
      <c r="H459" s="8" t="str">
        <f>VLOOKUP(A459,[1]BBDD!$B$1:$J$3274,9,FALSE)</f>
        <v>H</v>
      </c>
      <c r="I459" s="8" t="s">
        <v>2863</v>
      </c>
      <c r="J459" s="8" t="s">
        <v>705</v>
      </c>
      <c r="L459" s="8" t="s">
        <v>82</v>
      </c>
      <c r="N459" s="8" t="s">
        <v>44</v>
      </c>
      <c r="O459" s="8" t="s">
        <v>44</v>
      </c>
      <c r="P459" s="18" t="str">
        <f t="shared" si="43"/>
        <v>M</v>
      </c>
      <c r="Q459" s="8" t="s">
        <v>45</v>
      </c>
      <c r="R459" s="8">
        <v>0</v>
      </c>
      <c r="S459" s="8">
        <v>3</v>
      </c>
      <c r="T459" s="8">
        <f t="shared" si="44"/>
        <v>3</v>
      </c>
      <c r="U459" s="8">
        <v>0</v>
      </c>
      <c r="V459" s="8">
        <v>1</v>
      </c>
      <c r="W459" s="8">
        <v>0</v>
      </c>
      <c r="X459" s="8">
        <v>0</v>
      </c>
      <c r="Y459" s="8">
        <v>0</v>
      </c>
      <c r="Z459" s="8">
        <v>0</v>
      </c>
      <c r="AA459" s="8">
        <v>180</v>
      </c>
      <c r="AB459" s="9">
        <f t="shared" si="45"/>
        <v>0.16666666666666669</v>
      </c>
      <c r="AC459" s="10">
        <f t="shared" si="47"/>
        <v>17.999999999999996</v>
      </c>
      <c r="AD459" s="8" t="s">
        <v>109</v>
      </c>
      <c r="AE459" s="11">
        <v>299990</v>
      </c>
      <c r="AF459" s="11">
        <f t="shared" si="48"/>
        <v>899970</v>
      </c>
      <c r="AG459" s="12" t="s">
        <v>64</v>
      </c>
      <c r="AH459" s="8" t="s">
        <v>35</v>
      </c>
    </row>
    <row r="460" spans="1:34">
      <c r="A460" s="8" t="s">
        <v>707</v>
      </c>
      <c r="B460" s="16" t="s">
        <v>652</v>
      </c>
      <c r="C460" s="8" t="s">
        <v>533</v>
      </c>
      <c r="D460" s="8" t="s">
        <v>653</v>
      </c>
      <c r="E460" s="8" t="str">
        <f t="shared" si="46"/>
        <v>NEGRO</v>
      </c>
      <c r="H460" s="8" t="str">
        <f>VLOOKUP(A460,[1]BBDD!$B$1:$J$3274,9,FALSE)</f>
        <v>H</v>
      </c>
      <c r="I460" s="8" t="s">
        <v>2863</v>
      </c>
      <c r="J460" s="8" t="s">
        <v>705</v>
      </c>
      <c r="L460" s="8" t="s">
        <v>82</v>
      </c>
      <c r="N460" s="8" t="s">
        <v>44</v>
      </c>
      <c r="O460" s="8" t="s">
        <v>44</v>
      </c>
      <c r="P460" s="18" t="str">
        <f t="shared" si="43"/>
        <v>S</v>
      </c>
      <c r="Q460" s="8" t="s">
        <v>45</v>
      </c>
      <c r="R460" s="8">
        <v>0</v>
      </c>
      <c r="S460" s="8">
        <v>2</v>
      </c>
      <c r="T460" s="8">
        <f t="shared" si="44"/>
        <v>2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180</v>
      </c>
      <c r="AB460" s="9">
        <f t="shared" si="45"/>
        <v>0</v>
      </c>
      <c r="AC460" s="10" t="str">
        <f t="shared" si="47"/>
        <v>sin venta</v>
      </c>
      <c r="AD460" s="8" t="s">
        <v>109</v>
      </c>
      <c r="AE460" s="11">
        <v>299990</v>
      </c>
      <c r="AF460" s="11">
        <f t="shared" si="48"/>
        <v>599980</v>
      </c>
      <c r="AG460" s="12" t="s">
        <v>73</v>
      </c>
      <c r="AH460" s="8" t="s">
        <v>35</v>
      </c>
    </row>
    <row r="461" spans="1:34">
      <c r="A461" s="8" t="s">
        <v>708</v>
      </c>
      <c r="B461" s="16" t="s">
        <v>709</v>
      </c>
      <c r="C461" s="8" t="s">
        <v>533</v>
      </c>
      <c r="D461" s="8" t="s">
        <v>653</v>
      </c>
      <c r="E461" s="8" t="str">
        <f t="shared" si="46"/>
        <v>AZUL</v>
      </c>
      <c r="H461" s="8" t="str">
        <f>VLOOKUP(A461,[1]BBDD!$B$1:$J$3274,9,FALSE)</f>
        <v>U</v>
      </c>
      <c r="I461" s="8" t="s">
        <v>2861</v>
      </c>
      <c r="J461" s="8" t="s">
        <v>710</v>
      </c>
      <c r="L461" s="8" t="s">
        <v>711</v>
      </c>
      <c r="N461" s="8" t="s">
        <v>83</v>
      </c>
      <c r="O461" s="8" t="s">
        <v>83</v>
      </c>
      <c r="P461" s="18" t="str">
        <f t="shared" si="43"/>
        <v>L</v>
      </c>
      <c r="Q461" s="8" t="s">
        <v>45</v>
      </c>
      <c r="R461" s="8">
        <v>0</v>
      </c>
      <c r="S461" s="8">
        <v>1</v>
      </c>
      <c r="T461" s="8">
        <f t="shared" si="44"/>
        <v>1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180</v>
      </c>
      <c r="AB461" s="9">
        <f t="shared" si="45"/>
        <v>0</v>
      </c>
      <c r="AC461" s="10" t="str">
        <f t="shared" si="47"/>
        <v>sin venta</v>
      </c>
      <c r="AD461" s="8" t="s">
        <v>46</v>
      </c>
      <c r="AE461" s="11">
        <v>74990</v>
      </c>
      <c r="AF461" s="11">
        <f t="shared" si="48"/>
        <v>74990</v>
      </c>
      <c r="AG461" s="12" t="s">
        <v>73</v>
      </c>
      <c r="AH461" s="8" t="s">
        <v>35</v>
      </c>
    </row>
    <row r="462" spans="1:34">
      <c r="A462" s="8" t="s">
        <v>712</v>
      </c>
      <c r="B462" s="16" t="s">
        <v>709</v>
      </c>
      <c r="C462" s="8" t="s">
        <v>533</v>
      </c>
      <c r="D462" s="8" t="s">
        <v>653</v>
      </c>
      <c r="E462" s="8" t="str">
        <f t="shared" si="46"/>
        <v>AZUL</v>
      </c>
      <c r="H462" s="8" t="str">
        <f>VLOOKUP(A462,[1]BBDD!$B$1:$J$3274,9,FALSE)</f>
        <v>U</v>
      </c>
      <c r="I462" s="8" t="s">
        <v>2861</v>
      </c>
      <c r="J462" s="8" t="s">
        <v>710</v>
      </c>
      <c r="L462" s="8" t="s">
        <v>711</v>
      </c>
      <c r="N462" s="8" t="s">
        <v>83</v>
      </c>
      <c r="O462" s="8" t="s">
        <v>83</v>
      </c>
      <c r="P462" s="18" t="str">
        <f t="shared" si="43"/>
        <v>XXL</v>
      </c>
      <c r="Q462" s="8" t="s">
        <v>45</v>
      </c>
      <c r="R462" s="8">
        <v>0</v>
      </c>
      <c r="S462" s="8">
        <v>1</v>
      </c>
      <c r="T462" s="8">
        <f t="shared" si="44"/>
        <v>1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180</v>
      </c>
      <c r="AB462" s="9">
        <f t="shared" si="45"/>
        <v>0</v>
      </c>
      <c r="AC462" s="10" t="str">
        <f t="shared" si="47"/>
        <v>sin venta</v>
      </c>
      <c r="AD462" s="8" t="s">
        <v>46</v>
      </c>
      <c r="AE462" s="11">
        <v>74990</v>
      </c>
      <c r="AF462" s="11">
        <f t="shared" si="48"/>
        <v>74990</v>
      </c>
      <c r="AG462" s="12" t="s">
        <v>73</v>
      </c>
      <c r="AH462" s="8" t="s">
        <v>35</v>
      </c>
    </row>
    <row r="463" spans="1:34">
      <c r="A463" s="8" t="s">
        <v>713</v>
      </c>
      <c r="B463" s="16" t="s">
        <v>709</v>
      </c>
      <c r="C463" s="8" t="s">
        <v>533</v>
      </c>
      <c r="D463" s="8" t="s">
        <v>653</v>
      </c>
      <c r="E463" s="8" t="str">
        <f t="shared" si="46"/>
        <v>GRIS TOPO</v>
      </c>
      <c r="H463" s="8" t="str">
        <f>VLOOKUP(A463,[1]BBDD!$B$1:$J$3274,9,FALSE)</f>
        <v>U</v>
      </c>
      <c r="I463" s="8" t="s">
        <v>2861</v>
      </c>
      <c r="J463" s="8" t="s">
        <v>710</v>
      </c>
      <c r="L463" s="8" t="s">
        <v>711</v>
      </c>
      <c r="N463" s="8" t="s">
        <v>714</v>
      </c>
      <c r="O463" s="8" t="s">
        <v>714</v>
      </c>
      <c r="P463" s="18" t="str">
        <f t="shared" si="43"/>
        <v>L</v>
      </c>
      <c r="Q463" s="8" t="s">
        <v>45</v>
      </c>
      <c r="R463" s="8">
        <v>0</v>
      </c>
      <c r="S463" s="8">
        <v>1</v>
      </c>
      <c r="T463" s="8">
        <f t="shared" si="44"/>
        <v>1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180</v>
      </c>
      <c r="AB463" s="9">
        <f t="shared" si="45"/>
        <v>0</v>
      </c>
      <c r="AC463" s="10" t="str">
        <f t="shared" si="47"/>
        <v>sin venta</v>
      </c>
      <c r="AD463" s="8" t="s">
        <v>46</v>
      </c>
      <c r="AE463" s="11">
        <v>74990</v>
      </c>
      <c r="AF463" s="11">
        <f t="shared" si="48"/>
        <v>74990</v>
      </c>
      <c r="AG463" s="12" t="s">
        <v>73</v>
      </c>
      <c r="AH463" s="8" t="s">
        <v>35</v>
      </c>
    </row>
    <row r="464" spans="1:34">
      <c r="A464" s="8" t="s">
        <v>715</v>
      </c>
      <c r="B464" s="16" t="s">
        <v>709</v>
      </c>
      <c r="C464" s="8" t="s">
        <v>533</v>
      </c>
      <c r="D464" s="8" t="s">
        <v>653</v>
      </c>
      <c r="E464" s="8" t="str">
        <f t="shared" si="46"/>
        <v>GRIS TOPO</v>
      </c>
      <c r="H464" s="8" t="str">
        <f>VLOOKUP(A464,[1]BBDD!$B$1:$J$3274,9,FALSE)</f>
        <v>U</v>
      </c>
      <c r="I464" s="8" t="s">
        <v>2861</v>
      </c>
      <c r="J464" s="8" t="s">
        <v>710</v>
      </c>
      <c r="L464" s="8" t="s">
        <v>711</v>
      </c>
      <c r="N464" s="8" t="s">
        <v>714</v>
      </c>
      <c r="O464" s="8" t="s">
        <v>714</v>
      </c>
      <c r="P464" s="18" t="str">
        <f t="shared" si="43"/>
        <v>M</v>
      </c>
      <c r="Q464" s="8" t="s">
        <v>45</v>
      </c>
      <c r="R464" s="8">
        <v>0</v>
      </c>
      <c r="S464" s="8">
        <v>1</v>
      </c>
      <c r="T464" s="8">
        <f t="shared" si="44"/>
        <v>1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180</v>
      </c>
      <c r="AB464" s="9">
        <f t="shared" si="45"/>
        <v>0</v>
      </c>
      <c r="AC464" s="10" t="str">
        <f t="shared" si="47"/>
        <v>sin venta</v>
      </c>
      <c r="AD464" s="8" t="s">
        <v>46</v>
      </c>
      <c r="AE464" s="11">
        <v>74990</v>
      </c>
      <c r="AF464" s="11">
        <f t="shared" si="48"/>
        <v>74990</v>
      </c>
      <c r="AG464" s="12" t="s">
        <v>73</v>
      </c>
      <c r="AH464" s="8" t="s">
        <v>35</v>
      </c>
    </row>
    <row r="465" spans="1:34">
      <c r="A465" s="8" t="s">
        <v>716</v>
      </c>
      <c r="B465" s="16" t="s">
        <v>709</v>
      </c>
      <c r="C465" s="8" t="s">
        <v>533</v>
      </c>
      <c r="D465" s="8" t="s">
        <v>653</v>
      </c>
      <c r="E465" s="8" t="str">
        <f t="shared" si="46"/>
        <v>GRIS TOPO</v>
      </c>
      <c r="H465" s="8" t="str">
        <f>VLOOKUP(A465,[1]BBDD!$B$1:$J$3274,9,FALSE)</f>
        <v>U</v>
      </c>
      <c r="I465" s="8" t="s">
        <v>2861</v>
      </c>
      <c r="J465" s="8" t="s">
        <v>710</v>
      </c>
      <c r="L465" s="8" t="s">
        <v>711</v>
      </c>
      <c r="N465" s="8" t="s">
        <v>714</v>
      </c>
      <c r="O465" s="8" t="s">
        <v>714</v>
      </c>
      <c r="P465" s="18" t="str">
        <f t="shared" si="43"/>
        <v>XL</v>
      </c>
      <c r="Q465" s="8" t="s">
        <v>45</v>
      </c>
      <c r="R465" s="8">
        <v>0</v>
      </c>
      <c r="S465" s="8">
        <v>1</v>
      </c>
      <c r="T465" s="8">
        <f t="shared" si="44"/>
        <v>1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180</v>
      </c>
      <c r="AB465" s="9">
        <f t="shared" si="45"/>
        <v>0</v>
      </c>
      <c r="AC465" s="10" t="str">
        <f t="shared" si="47"/>
        <v>sin venta</v>
      </c>
      <c r="AD465" s="8" t="s">
        <v>46</v>
      </c>
      <c r="AE465" s="11">
        <v>74990</v>
      </c>
      <c r="AF465" s="11">
        <f t="shared" si="48"/>
        <v>74990</v>
      </c>
      <c r="AG465" s="12" t="s">
        <v>73</v>
      </c>
      <c r="AH465" s="8" t="s">
        <v>35</v>
      </c>
    </row>
    <row r="466" spans="1:34">
      <c r="A466" s="8" t="s">
        <v>717</v>
      </c>
      <c r="B466" s="16" t="s">
        <v>709</v>
      </c>
      <c r="C466" s="8" t="s">
        <v>533</v>
      </c>
      <c r="D466" s="8" t="s">
        <v>653</v>
      </c>
      <c r="E466" s="8" t="str">
        <f t="shared" si="46"/>
        <v>GRIS TOPO</v>
      </c>
      <c r="H466" s="8" t="str">
        <f>VLOOKUP(A466,[1]BBDD!$B$1:$J$3274,9,FALSE)</f>
        <v>U</v>
      </c>
      <c r="I466" s="8" t="s">
        <v>2861</v>
      </c>
      <c r="J466" s="8" t="s">
        <v>710</v>
      </c>
      <c r="L466" s="8" t="s">
        <v>711</v>
      </c>
      <c r="N466" s="8" t="s">
        <v>714</v>
      </c>
      <c r="O466" s="8" t="s">
        <v>714</v>
      </c>
      <c r="P466" s="18" t="str">
        <f t="shared" si="43"/>
        <v>XXL</v>
      </c>
      <c r="Q466" s="8" t="s">
        <v>45</v>
      </c>
      <c r="R466" s="8">
        <v>0</v>
      </c>
      <c r="S466" s="8">
        <v>1</v>
      </c>
      <c r="T466" s="8">
        <f t="shared" si="44"/>
        <v>1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180</v>
      </c>
      <c r="AB466" s="9">
        <f t="shared" si="45"/>
        <v>0</v>
      </c>
      <c r="AC466" s="10" t="str">
        <f t="shared" si="47"/>
        <v>sin venta</v>
      </c>
      <c r="AD466" s="8" t="s">
        <v>46</v>
      </c>
      <c r="AE466" s="11">
        <v>74990</v>
      </c>
      <c r="AF466" s="11">
        <f t="shared" si="48"/>
        <v>74990</v>
      </c>
      <c r="AG466" s="12" t="s">
        <v>73</v>
      </c>
      <c r="AH466" s="8" t="s">
        <v>35</v>
      </c>
    </row>
    <row r="467" spans="1:34">
      <c r="A467" s="8" t="s">
        <v>718</v>
      </c>
      <c r="B467" s="16" t="s">
        <v>709</v>
      </c>
      <c r="C467" s="8" t="s">
        <v>533</v>
      </c>
      <c r="D467" s="8" t="s">
        <v>653</v>
      </c>
      <c r="E467" s="8" t="str">
        <f t="shared" si="46"/>
        <v>NEGRO</v>
      </c>
      <c r="H467" s="8" t="str">
        <f>VLOOKUP(A467,[1]BBDD!$B$1:$J$3274,9,FALSE)</f>
        <v>U</v>
      </c>
      <c r="I467" s="8" t="s">
        <v>2861</v>
      </c>
      <c r="J467" s="8" t="s">
        <v>710</v>
      </c>
      <c r="L467" s="8" t="s">
        <v>711</v>
      </c>
      <c r="N467" s="8" t="s">
        <v>44</v>
      </c>
      <c r="O467" s="8" t="s">
        <v>44</v>
      </c>
      <c r="P467" s="18" t="str">
        <f t="shared" si="43"/>
        <v>L</v>
      </c>
      <c r="Q467" s="8" t="s">
        <v>45</v>
      </c>
      <c r="R467" s="8">
        <v>0</v>
      </c>
      <c r="S467" s="8">
        <v>1</v>
      </c>
      <c r="T467" s="8">
        <f t="shared" si="44"/>
        <v>1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180</v>
      </c>
      <c r="AB467" s="9">
        <f t="shared" si="45"/>
        <v>0</v>
      </c>
      <c r="AC467" s="10" t="str">
        <f t="shared" si="47"/>
        <v>sin venta</v>
      </c>
      <c r="AD467" s="8" t="s">
        <v>46</v>
      </c>
      <c r="AE467" s="11">
        <v>74990</v>
      </c>
      <c r="AF467" s="11">
        <f t="shared" si="48"/>
        <v>74990</v>
      </c>
      <c r="AG467" s="12" t="s">
        <v>73</v>
      </c>
      <c r="AH467" s="8" t="s">
        <v>35</v>
      </c>
    </row>
    <row r="468" spans="1:34">
      <c r="A468" s="8" t="s">
        <v>719</v>
      </c>
      <c r="B468" s="16" t="s">
        <v>709</v>
      </c>
      <c r="C468" s="8" t="s">
        <v>533</v>
      </c>
      <c r="D468" s="8" t="s">
        <v>653</v>
      </c>
      <c r="E468" s="8" t="str">
        <f t="shared" si="46"/>
        <v>NEGRO</v>
      </c>
      <c r="H468" s="8" t="str">
        <f>VLOOKUP(A468,[1]BBDD!$B$1:$J$3274,9,FALSE)</f>
        <v>U</v>
      </c>
      <c r="I468" s="8" t="s">
        <v>2861</v>
      </c>
      <c r="J468" s="8" t="s">
        <v>710</v>
      </c>
      <c r="L468" s="8" t="s">
        <v>711</v>
      </c>
      <c r="N468" s="8" t="s">
        <v>44</v>
      </c>
      <c r="O468" s="8" t="s">
        <v>44</v>
      </c>
      <c r="P468" s="18" t="str">
        <f t="shared" si="43"/>
        <v>M</v>
      </c>
      <c r="Q468" s="8" t="s">
        <v>45</v>
      </c>
      <c r="R468" s="8">
        <v>0</v>
      </c>
      <c r="S468" s="8">
        <v>1</v>
      </c>
      <c r="T468" s="8">
        <f t="shared" si="44"/>
        <v>1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180</v>
      </c>
      <c r="AB468" s="9">
        <f t="shared" si="45"/>
        <v>0</v>
      </c>
      <c r="AC468" s="10" t="str">
        <f t="shared" si="47"/>
        <v>sin venta</v>
      </c>
      <c r="AD468" s="8" t="s">
        <v>46</v>
      </c>
      <c r="AE468" s="11">
        <v>74990</v>
      </c>
      <c r="AF468" s="11">
        <f t="shared" si="48"/>
        <v>74990</v>
      </c>
      <c r="AG468" s="12" t="s">
        <v>73</v>
      </c>
      <c r="AH468" s="8" t="s">
        <v>35</v>
      </c>
    </row>
    <row r="469" spans="1:34">
      <c r="A469" s="8" t="s">
        <v>720</v>
      </c>
      <c r="B469" s="16" t="s">
        <v>709</v>
      </c>
      <c r="C469" s="8" t="s">
        <v>533</v>
      </c>
      <c r="D469" s="8" t="s">
        <v>653</v>
      </c>
      <c r="E469" s="8" t="str">
        <f t="shared" si="46"/>
        <v>NEGRO</v>
      </c>
      <c r="H469" s="8" t="str">
        <f>VLOOKUP(A469,[1]BBDD!$B$1:$J$3274,9,FALSE)</f>
        <v>U</v>
      </c>
      <c r="I469" s="8" t="s">
        <v>2861</v>
      </c>
      <c r="J469" s="8" t="s">
        <v>710</v>
      </c>
      <c r="L469" s="8" t="s">
        <v>711</v>
      </c>
      <c r="N469" s="8" t="s">
        <v>44</v>
      </c>
      <c r="O469" s="8" t="s">
        <v>44</v>
      </c>
      <c r="P469" s="18" t="str">
        <f t="shared" si="43"/>
        <v>XXL</v>
      </c>
      <c r="Q469" s="8" t="s">
        <v>45</v>
      </c>
      <c r="R469" s="8">
        <v>0</v>
      </c>
      <c r="S469" s="8">
        <v>1</v>
      </c>
      <c r="T469" s="8">
        <f t="shared" si="44"/>
        <v>1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180</v>
      </c>
      <c r="AB469" s="9">
        <f t="shared" si="45"/>
        <v>0</v>
      </c>
      <c r="AC469" s="10" t="str">
        <f t="shared" si="47"/>
        <v>sin venta</v>
      </c>
      <c r="AD469" s="8" t="s">
        <v>46</v>
      </c>
      <c r="AE469" s="11">
        <v>74990</v>
      </c>
      <c r="AF469" s="11">
        <f t="shared" si="48"/>
        <v>74990</v>
      </c>
      <c r="AG469" s="12" t="s">
        <v>73</v>
      </c>
      <c r="AH469" s="8" t="s">
        <v>35</v>
      </c>
    </row>
    <row r="470" spans="1:34">
      <c r="A470" s="8" t="s">
        <v>721</v>
      </c>
      <c r="B470" s="16" t="s">
        <v>709</v>
      </c>
      <c r="C470" s="8" t="s">
        <v>533</v>
      </c>
      <c r="D470" s="8" t="s">
        <v>653</v>
      </c>
      <c r="E470" s="8" t="str">
        <f t="shared" si="46"/>
        <v>CHOCOLATE</v>
      </c>
      <c r="H470" s="8" t="str">
        <f>VLOOKUP(A470,[1]BBDD!$B$1:$J$3274,9,FALSE)</f>
        <v>U</v>
      </c>
      <c r="I470" s="8" t="s">
        <v>2861</v>
      </c>
      <c r="J470" s="8" t="s">
        <v>722</v>
      </c>
      <c r="L470" s="8" t="s">
        <v>711</v>
      </c>
      <c r="N470" s="8" t="s">
        <v>252</v>
      </c>
      <c r="O470" s="8" t="s">
        <v>252</v>
      </c>
      <c r="P470" s="18" t="str">
        <f t="shared" si="43"/>
        <v>M</v>
      </c>
      <c r="Q470" s="8" t="s">
        <v>45</v>
      </c>
      <c r="R470" s="8">
        <v>0</v>
      </c>
      <c r="S470" s="8">
        <v>1</v>
      </c>
      <c r="T470" s="8">
        <f t="shared" si="44"/>
        <v>1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180</v>
      </c>
      <c r="AB470" s="9">
        <f t="shared" si="45"/>
        <v>0</v>
      </c>
      <c r="AC470" s="10" t="str">
        <f t="shared" si="47"/>
        <v>sin venta</v>
      </c>
      <c r="AD470" s="8" t="s">
        <v>46</v>
      </c>
      <c r="AE470" s="11">
        <v>79990</v>
      </c>
      <c r="AF470" s="11">
        <f t="shared" si="48"/>
        <v>79990</v>
      </c>
      <c r="AG470" s="12" t="s">
        <v>73</v>
      </c>
      <c r="AH470" s="8" t="s">
        <v>35</v>
      </c>
    </row>
    <row r="471" spans="1:34">
      <c r="A471" s="8" t="s">
        <v>723</v>
      </c>
      <c r="B471" s="16" t="s">
        <v>709</v>
      </c>
      <c r="C471" s="8" t="s">
        <v>533</v>
      </c>
      <c r="D471" s="8" t="s">
        <v>653</v>
      </c>
      <c r="E471" s="8" t="str">
        <f t="shared" si="46"/>
        <v>CHOCOLINO</v>
      </c>
      <c r="H471" s="8" t="str">
        <f>VLOOKUP(A471,[1]BBDD!$B$1:$J$3274,9,FALSE)</f>
        <v>U</v>
      </c>
      <c r="I471" s="8" t="s">
        <v>2861</v>
      </c>
      <c r="J471" s="8" t="s">
        <v>722</v>
      </c>
      <c r="L471" s="8" t="s">
        <v>711</v>
      </c>
      <c r="N471" s="8" t="s">
        <v>724</v>
      </c>
      <c r="O471" s="8" t="s">
        <v>724</v>
      </c>
      <c r="P471" s="18" t="str">
        <f t="shared" si="43"/>
        <v>L</v>
      </c>
      <c r="Q471" s="8" t="s">
        <v>45</v>
      </c>
      <c r="R471" s="8">
        <v>0</v>
      </c>
      <c r="S471" s="8">
        <v>1</v>
      </c>
      <c r="T471" s="8">
        <f t="shared" si="44"/>
        <v>1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180</v>
      </c>
      <c r="AB471" s="9">
        <f t="shared" si="45"/>
        <v>0</v>
      </c>
      <c r="AC471" s="10" t="str">
        <f t="shared" si="47"/>
        <v>sin venta</v>
      </c>
      <c r="AD471" s="8" t="s">
        <v>46</v>
      </c>
      <c r="AE471" s="11">
        <v>79990</v>
      </c>
      <c r="AF471" s="11">
        <f t="shared" si="48"/>
        <v>79990</v>
      </c>
      <c r="AG471" s="12" t="s">
        <v>73</v>
      </c>
      <c r="AH471" s="8" t="s">
        <v>35</v>
      </c>
    </row>
    <row r="472" spans="1:34">
      <c r="A472" s="8" t="s">
        <v>725</v>
      </c>
      <c r="B472" s="16" t="s">
        <v>709</v>
      </c>
      <c r="C472" s="8" t="s">
        <v>533</v>
      </c>
      <c r="D472" s="8" t="s">
        <v>653</v>
      </c>
      <c r="E472" s="8" t="str">
        <f t="shared" si="46"/>
        <v>CHOCOLINO</v>
      </c>
      <c r="H472" s="8" t="str">
        <f>VLOOKUP(A472,[1]BBDD!$B$1:$J$3274,9,FALSE)</f>
        <v>U</v>
      </c>
      <c r="I472" s="8" t="s">
        <v>2861</v>
      </c>
      <c r="J472" s="8" t="s">
        <v>722</v>
      </c>
      <c r="L472" s="8" t="s">
        <v>711</v>
      </c>
      <c r="N472" s="8" t="s">
        <v>724</v>
      </c>
      <c r="O472" s="8" t="s">
        <v>724</v>
      </c>
      <c r="P472" s="18" t="str">
        <f t="shared" si="43"/>
        <v>M</v>
      </c>
      <c r="Q472" s="8" t="s">
        <v>45</v>
      </c>
      <c r="R472" s="8">
        <v>0</v>
      </c>
      <c r="S472" s="8">
        <v>1</v>
      </c>
      <c r="T472" s="8">
        <f t="shared" si="44"/>
        <v>1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180</v>
      </c>
      <c r="AB472" s="9">
        <f t="shared" si="45"/>
        <v>0</v>
      </c>
      <c r="AC472" s="10" t="str">
        <f t="shared" si="47"/>
        <v>sin venta</v>
      </c>
      <c r="AD472" s="8" t="s">
        <v>46</v>
      </c>
      <c r="AE472" s="11">
        <v>79990</v>
      </c>
      <c r="AF472" s="11">
        <f t="shared" si="48"/>
        <v>79990</v>
      </c>
      <c r="AG472" s="12" t="s">
        <v>73</v>
      </c>
      <c r="AH472" s="8" t="s">
        <v>35</v>
      </c>
    </row>
    <row r="473" spans="1:34">
      <c r="A473" s="8" t="s">
        <v>726</v>
      </c>
      <c r="B473" s="16" t="s">
        <v>709</v>
      </c>
      <c r="C473" s="8" t="s">
        <v>533</v>
      </c>
      <c r="D473" s="8" t="s">
        <v>653</v>
      </c>
      <c r="E473" s="8" t="str">
        <f t="shared" si="46"/>
        <v>CHOCOLINO</v>
      </c>
      <c r="H473" s="8" t="str">
        <f>VLOOKUP(A473,[1]BBDD!$B$1:$J$3274,9,FALSE)</f>
        <v>U</v>
      </c>
      <c r="I473" s="8" t="s">
        <v>2861</v>
      </c>
      <c r="J473" s="8" t="s">
        <v>722</v>
      </c>
      <c r="L473" s="8" t="s">
        <v>711</v>
      </c>
      <c r="N473" s="8" t="s">
        <v>724</v>
      </c>
      <c r="O473" s="8" t="s">
        <v>724</v>
      </c>
      <c r="P473" s="18" t="str">
        <f t="shared" si="43"/>
        <v>XL</v>
      </c>
      <c r="Q473" s="8" t="s">
        <v>45</v>
      </c>
      <c r="R473" s="8">
        <v>0</v>
      </c>
      <c r="S473" s="8">
        <v>1</v>
      </c>
      <c r="T473" s="8">
        <f t="shared" ref="T473:T503" si="49">SUM(R473:S473)</f>
        <v>1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180</v>
      </c>
      <c r="AB473" s="9">
        <f t="shared" ref="AB473:AB503" si="50">SUM(U473:Z473)/AA473*30</f>
        <v>0</v>
      </c>
      <c r="AC473" s="10" t="str">
        <f t="shared" si="47"/>
        <v>sin venta</v>
      </c>
      <c r="AD473" s="8" t="s">
        <v>46</v>
      </c>
      <c r="AE473" s="11">
        <v>79990</v>
      </c>
      <c r="AF473" s="11">
        <f t="shared" si="48"/>
        <v>79990</v>
      </c>
      <c r="AG473" s="12" t="s">
        <v>73</v>
      </c>
      <c r="AH473" s="8" t="s">
        <v>35</v>
      </c>
    </row>
    <row r="474" spans="1:34">
      <c r="A474" s="8" t="s">
        <v>727</v>
      </c>
      <c r="B474" s="16" t="s">
        <v>709</v>
      </c>
      <c r="C474" s="8" t="s">
        <v>533</v>
      </c>
      <c r="D474" s="8" t="s">
        <v>653</v>
      </c>
      <c r="E474" s="8" t="str">
        <f t="shared" si="46"/>
        <v>CHOCOLINO</v>
      </c>
      <c r="H474" s="8" t="str">
        <f>VLOOKUP(A474,[1]BBDD!$B$1:$J$3274,9,FALSE)</f>
        <v>U</v>
      </c>
      <c r="I474" s="8" t="s">
        <v>2861</v>
      </c>
      <c r="J474" s="8" t="s">
        <v>722</v>
      </c>
      <c r="L474" s="8" t="s">
        <v>711</v>
      </c>
      <c r="N474" s="8" t="s">
        <v>724</v>
      </c>
      <c r="O474" s="8" t="s">
        <v>724</v>
      </c>
      <c r="P474" s="18" t="str">
        <f t="shared" si="43"/>
        <v>XXL</v>
      </c>
      <c r="Q474" s="8" t="s">
        <v>45</v>
      </c>
      <c r="R474" s="8">
        <v>0</v>
      </c>
      <c r="S474" s="8">
        <v>1</v>
      </c>
      <c r="T474" s="8">
        <f t="shared" si="49"/>
        <v>1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180</v>
      </c>
      <c r="AB474" s="9">
        <f t="shared" si="50"/>
        <v>0</v>
      </c>
      <c r="AC474" s="10" t="str">
        <f t="shared" si="47"/>
        <v>sin venta</v>
      </c>
      <c r="AD474" s="8" t="s">
        <v>46</v>
      </c>
      <c r="AE474" s="11">
        <v>79990</v>
      </c>
      <c r="AF474" s="11">
        <f t="shared" si="48"/>
        <v>79990</v>
      </c>
      <c r="AG474" s="12" t="s">
        <v>73</v>
      </c>
      <c r="AH474" s="8" t="s">
        <v>35</v>
      </c>
    </row>
    <row r="475" spans="1:34">
      <c r="A475" s="8" t="s">
        <v>728</v>
      </c>
      <c r="B475" s="16" t="s">
        <v>399</v>
      </c>
      <c r="C475" s="8" t="s">
        <v>729</v>
      </c>
      <c r="D475" s="8" t="s">
        <v>730</v>
      </c>
      <c r="E475" s="8" t="str">
        <f t="shared" si="46"/>
        <v>NEGRO</v>
      </c>
      <c r="G475" s="8" t="s">
        <v>2861</v>
      </c>
      <c r="H475" s="8" t="str">
        <f>VLOOKUP(A475,[1]BBDD!$B$1:$J$3274,9,FALSE)</f>
        <v>U</v>
      </c>
      <c r="I475" s="8" t="s">
        <v>2861</v>
      </c>
      <c r="J475" s="8" t="s">
        <v>731</v>
      </c>
      <c r="L475" s="8" t="s">
        <v>61</v>
      </c>
      <c r="N475" s="8" t="s">
        <v>44</v>
      </c>
      <c r="O475" s="8" t="s">
        <v>44</v>
      </c>
      <c r="Q475" s="8" t="s">
        <v>45</v>
      </c>
      <c r="R475" s="8">
        <v>5</v>
      </c>
      <c r="S475" s="8">
        <v>3</v>
      </c>
      <c r="T475" s="8">
        <f t="shared" si="49"/>
        <v>8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180</v>
      </c>
      <c r="AB475" s="9">
        <f t="shared" si="50"/>
        <v>0</v>
      </c>
      <c r="AC475" s="10" t="str">
        <f t="shared" si="47"/>
        <v>sin venta</v>
      </c>
      <c r="AD475" s="8" t="s">
        <v>109</v>
      </c>
      <c r="AE475" s="11">
        <v>599990</v>
      </c>
      <c r="AF475" s="11">
        <f t="shared" si="48"/>
        <v>4799920</v>
      </c>
      <c r="AG475" s="12" t="s">
        <v>73</v>
      </c>
      <c r="AH475" s="8" t="s">
        <v>35</v>
      </c>
    </row>
    <row r="476" spans="1:34">
      <c r="A476" s="8" t="s">
        <v>732</v>
      </c>
      <c r="B476" s="16" t="s">
        <v>399</v>
      </c>
      <c r="C476" s="8" t="s">
        <v>729</v>
      </c>
      <c r="D476" s="8" t="s">
        <v>730</v>
      </c>
      <c r="E476" s="8" t="str">
        <f t="shared" si="46"/>
        <v>NEGRO</v>
      </c>
      <c r="G476" s="8" t="s">
        <v>2861</v>
      </c>
      <c r="H476" s="8" t="str">
        <f>VLOOKUP(A476,[1]BBDD!$B$1:$J$3274,9,FALSE)</f>
        <v>U</v>
      </c>
      <c r="I476" s="8" t="s">
        <v>2861</v>
      </c>
      <c r="J476" s="8" t="s">
        <v>733</v>
      </c>
      <c r="L476" s="8" t="s">
        <v>61</v>
      </c>
      <c r="N476" s="8" t="s">
        <v>44</v>
      </c>
      <c r="O476" s="8" t="s">
        <v>44</v>
      </c>
      <c r="Q476" s="8" t="s">
        <v>45</v>
      </c>
      <c r="R476" s="8">
        <v>0</v>
      </c>
      <c r="S476" s="8">
        <v>3</v>
      </c>
      <c r="T476" s="8">
        <f t="shared" si="49"/>
        <v>3</v>
      </c>
      <c r="U476" s="8">
        <v>1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180</v>
      </c>
      <c r="AB476" s="9">
        <f t="shared" si="50"/>
        <v>0.16666666666666669</v>
      </c>
      <c r="AC476" s="10">
        <f t="shared" si="47"/>
        <v>17.999999999999996</v>
      </c>
      <c r="AD476" s="8" t="s">
        <v>109</v>
      </c>
      <c r="AE476" s="11">
        <v>649990</v>
      </c>
      <c r="AF476" s="11">
        <f t="shared" si="48"/>
        <v>1949970</v>
      </c>
      <c r="AG476" s="12" t="s">
        <v>64</v>
      </c>
      <c r="AH476" s="8" t="s">
        <v>35</v>
      </c>
    </row>
    <row r="477" spans="1:34">
      <c r="A477" s="8" t="s">
        <v>734</v>
      </c>
      <c r="B477" s="16" t="s">
        <v>399</v>
      </c>
      <c r="C477" s="8" t="s">
        <v>729</v>
      </c>
      <c r="D477" s="8" t="s">
        <v>730</v>
      </c>
      <c r="E477" s="8" t="str">
        <f t="shared" si="46"/>
        <v>TABACO</v>
      </c>
      <c r="G477" s="8" t="s">
        <v>2861</v>
      </c>
      <c r="H477" s="8" t="str">
        <f>VLOOKUP(A477,[1]BBDD!$B$1:$J$3274,9,FALSE)</f>
        <v>U</v>
      </c>
      <c r="I477" s="8" t="s">
        <v>2861</v>
      </c>
      <c r="J477" s="8" t="s">
        <v>733</v>
      </c>
      <c r="L477" s="8" t="s">
        <v>61</v>
      </c>
      <c r="N477" s="8" t="s">
        <v>67</v>
      </c>
      <c r="O477" s="8" t="s">
        <v>67</v>
      </c>
      <c r="Q477" s="8" t="s">
        <v>45</v>
      </c>
      <c r="R477" s="8">
        <v>0</v>
      </c>
      <c r="S477" s="8">
        <v>3</v>
      </c>
      <c r="T477" s="8">
        <f t="shared" si="49"/>
        <v>3</v>
      </c>
      <c r="U477" s="8">
        <v>0</v>
      </c>
      <c r="V477" s="8">
        <v>0</v>
      </c>
      <c r="W477" s="8">
        <v>0</v>
      </c>
      <c r="X477" s="8">
        <v>1</v>
      </c>
      <c r="Y477" s="8">
        <v>0</v>
      </c>
      <c r="Z477" s="8">
        <v>0</v>
      </c>
      <c r="AA477" s="8">
        <v>180</v>
      </c>
      <c r="AB477" s="9">
        <f t="shared" si="50"/>
        <v>0.16666666666666669</v>
      </c>
      <c r="AC477" s="10">
        <f t="shared" si="47"/>
        <v>17.999999999999996</v>
      </c>
      <c r="AD477" s="8" t="s">
        <v>109</v>
      </c>
      <c r="AE477" s="11">
        <v>649990</v>
      </c>
      <c r="AF477" s="11">
        <f t="shared" si="48"/>
        <v>1949970</v>
      </c>
      <c r="AG477" s="12" t="s">
        <v>64</v>
      </c>
      <c r="AH477" s="8" t="s">
        <v>35</v>
      </c>
    </row>
    <row r="478" spans="1:34">
      <c r="A478" s="8" t="s">
        <v>735</v>
      </c>
      <c r="B478" s="16" t="s">
        <v>2860</v>
      </c>
      <c r="C478" s="8" t="s">
        <v>40</v>
      </c>
      <c r="D478" s="8" t="s">
        <v>736</v>
      </c>
      <c r="E478" s="8" t="str">
        <f t="shared" si="46"/>
        <v>CARAMELO</v>
      </c>
      <c r="G478" s="8" t="s">
        <v>2862</v>
      </c>
      <c r="H478" s="8" t="str">
        <f>VLOOKUP(A478,[1]BBDD!$B$1:$J$3274,9,FALSE)</f>
        <v>M</v>
      </c>
      <c r="I478" s="8" t="s">
        <v>2862</v>
      </c>
      <c r="J478" s="8" t="s">
        <v>737</v>
      </c>
      <c r="L478" s="8" t="s">
        <v>61</v>
      </c>
      <c r="N478" s="8" t="s">
        <v>62</v>
      </c>
      <c r="O478" s="8" t="s">
        <v>62</v>
      </c>
      <c r="Q478" s="8" t="s">
        <v>32</v>
      </c>
      <c r="R478" s="8">
        <v>23</v>
      </c>
      <c r="S478" s="8">
        <v>9</v>
      </c>
      <c r="T478" s="8">
        <f t="shared" si="49"/>
        <v>32</v>
      </c>
      <c r="U478" s="8">
        <v>0</v>
      </c>
      <c r="V478" s="8">
        <v>3</v>
      </c>
      <c r="W478" s="8">
        <v>0</v>
      </c>
      <c r="X478" s="8">
        <v>0</v>
      </c>
      <c r="Y478" s="8">
        <v>3</v>
      </c>
      <c r="Z478" s="8">
        <v>1</v>
      </c>
      <c r="AA478" s="8">
        <v>180</v>
      </c>
      <c r="AB478" s="9">
        <f t="shared" si="50"/>
        <v>1.1666666666666667</v>
      </c>
      <c r="AC478" s="10">
        <f t="shared" si="47"/>
        <v>27.428571428571427</v>
      </c>
      <c r="AD478" s="8" t="s">
        <v>33</v>
      </c>
      <c r="AE478" s="11">
        <v>71990</v>
      </c>
      <c r="AF478" s="11">
        <f t="shared" si="48"/>
        <v>2303680</v>
      </c>
      <c r="AG478" s="12" t="s">
        <v>73</v>
      </c>
      <c r="AH478" s="8" t="s">
        <v>74</v>
      </c>
    </row>
    <row r="479" spans="1:34">
      <c r="A479" s="8" t="s">
        <v>738</v>
      </c>
      <c r="B479" s="16" t="s">
        <v>2860</v>
      </c>
      <c r="C479" s="8" t="s">
        <v>40</v>
      </c>
      <c r="D479" s="8" t="s">
        <v>736</v>
      </c>
      <c r="E479" s="8" t="str">
        <f t="shared" si="46"/>
        <v>MALBEC</v>
      </c>
      <c r="G479" s="8" t="s">
        <v>2862</v>
      </c>
      <c r="H479" s="8" t="str">
        <f>VLOOKUP(A479,[1]BBDD!$B$1:$J$3274,9,FALSE)</f>
        <v>M</v>
      </c>
      <c r="I479" s="8" t="s">
        <v>2862</v>
      </c>
      <c r="J479" s="8" t="s">
        <v>737</v>
      </c>
      <c r="L479" s="8" t="s">
        <v>61</v>
      </c>
      <c r="N479" s="8" t="s">
        <v>69</v>
      </c>
      <c r="O479" s="8" t="s">
        <v>69</v>
      </c>
      <c r="Q479" s="8" t="s">
        <v>32</v>
      </c>
      <c r="R479" s="8">
        <v>0</v>
      </c>
      <c r="S479" s="8">
        <v>7</v>
      </c>
      <c r="T479" s="8">
        <f t="shared" si="49"/>
        <v>7</v>
      </c>
      <c r="U479" s="8">
        <v>1</v>
      </c>
      <c r="V479" s="8">
        <v>2</v>
      </c>
      <c r="W479" s="8">
        <v>2</v>
      </c>
      <c r="X479" s="8">
        <v>2</v>
      </c>
      <c r="Y479" s="8">
        <v>4</v>
      </c>
      <c r="Z479" s="8">
        <v>3</v>
      </c>
      <c r="AA479" s="8">
        <v>180</v>
      </c>
      <c r="AB479" s="9">
        <f t="shared" si="50"/>
        <v>2.3333333333333335</v>
      </c>
      <c r="AC479" s="10">
        <f t="shared" si="47"/>
        <v>3</v>
      </c>
      <c r="AD479" s="8" t="s">
        <v>33</v>
      </c>
      <c r="AE479" s="11">
        <v>71990</v>
      </c>
      <c r="AF479" s="11">
        <f t="shared" si="48"/>
        <v>503930</v>
      </c>
      <c r="AG479" s="12" t="s">
        <v>34</v>
      </c>
      <c r="AH479" s="8" t="s">
        <v>35</v>
      </c>
    </row>
    <row r="480" spans="1:34">
      <c r="A480" s="8" t="s">
        <v>739</v>
      </c>
      <c r="B480" s="16" t="s">
        <v>2860</v>
      </c>
      <c r="C480" s="8" t="s">
        <v>40</v>
      </c>
      <c r="D480" s="8" t="s">
        <v>736</v>
      </c>
      <c r="E480" s="8" t="str">
        <f t="shared" si="46"/>
        <v>ROJO</v>
      </c>
      <c r="G480" s="8" t="s">
        <v>2862</v>
      </c>
      <c r="H480" s="8" t="str">
        <f>VLOOKUP(A480,[1]BBDD!$B$1:$J$3274,9,FALSE)</f>
        <v>M</v>
      </c>
      <c r="I480" s="8" t="s">
        <v>2862</v>
      </c>
      <c r="J480" s="8" t="s">
        <v>737</v>
      </c>
      <c r="L480" s="8" t="s">
        <v>61</v>
      </c>
      <c r="N480" s="8" t="s">
        <v>88</v>
      </c>
      <c r="O480" s="8" t="s">
        <v>88</v>
      </c>
      <c r="Q480" s="8" t="s">
        <v>32</v>
      </c>
      <c r="R480" s="8">
        <v>4</v>
      </c>
      <c r="S480" s="8">
        <v>8</v>
      </c>
      <c r="T480" s="8">
        <f t="shared" si="49"/>
        <v>12</v>
      </c>
      <c r="U480" s="8">
        <v>2</v>
      </c>
      <c r="V480" s="8">
        <v>0</v>
      </c>
      <c r="W480" s="8">
        <v>0</v>
      </c>
      <c r="X480" s="8">
        <v>1</v>
      </c>
      <c r="Y480" s="8">
        <v>2</v>
      </c>
      <c r="Z480" s="8">
        <v>3</v>
      </c>
      <c r="AA480" s="8">
        <v>180</v>
      </c>
      <c r="AB480" s="9">
        <f t="shared" si="50"/>
        <v>1.3333333333333335</v>
      </c>
      <c r="AC480" s="10">
        <f t="shared" si="47"/>
        <v>8.9999999999999982</v>
      </c>
      <c r="AD480" s="8" t="s">
        <v>33</v>
      </c>
      <c r="AE480" s="11">
        <v>71990</v>
      </c>
      <c r="AF480" s="11">
        <f t="shared" si="48"/>
        <v>863880</v>
      </c>
      <c r="AG480" s="12" t="s">
        <v>51</v>
      </c>
      <c r="AH480" s="8" t="s">
        <v>65</v>
      </c>
    </row>
    <row r="481" spans="1:34">
      <c r="A481" s="8" t="s">
        <v>740</v>
      </c>
      <c r="B481" s="16" t="s">
        <v>2860</v>
      </c>
      <c r="C481" s="8" t="s">
        <v>40</v>
      </c>
      <c r="D481" s="8" t="s">
        <v>736</v>
      </c>
      <c r="E481" s="8" t="str">
        <f t="shared" si="46"/>
        <v>TABACO</v>
      </c>
      <c r="G481" s="8" t="s">
        <v>2862</v>
      </c>
      <c r="H481" s="8" t="str">
        <f>VLOOKUP(A481,[1]BBDD!$B$1:$J$3274,9,FALSE)</f>
        <v>M</v>
      </c>
      <c r="I481" s="8" t="s">
        <v>2862</v>
      </c>
      <c r="J481" s="8" t="s">
        <v>737</v>
      </c>
      <c r="L481" s="8" t="s">
        <v>61</v>
      </c>
      <c r="N481" s="8" t="s">
        <v>67</v>
      </c>
      <c r="O481" s="8" t="s">
        <v>67</v>
      </c>
      <c r="Q481" s="8" t="s">
        <v>32</v>
      </c>
      <c r="R481" s="8">
        <v>3</v>
      </c>
      <c r="S481" s="8">
        <v>6</v>
      </c>
      <c r="T481" s="8">
        <f t="shared" si="49"/>
        <v>9</v>
      </c>
      <c r="U481" s="8">
        <v>0</v>
      </c>
      <c r="V481" s="8">
        <v>4</v>
      </c>
      <c r="W481" s="8">
        <v>4</v>
      </c>
      <c r="X481" s="8">
        <v>0</v>
      </c>
      <c r="Y481" s="8">
        <v>1</v>
      </c>
      <c r="Z481" s="8">
        <v>0</v>
      </c>
      <c r="AA481" s="8">
        <v>180</v>
      </c>
      <c r="AB481" s="9">
        <f t="shared" si="50"/>
        <v>1.5</v>
      </c>
      <c r="AC481" s="10">
        <f t="shared" si="47"/>
        <v>6</v>
      </c>
      <c r="AD481" s="8" t="s">
        <v>33</v>
      </c>
      <c r="AE481" s="11">
        <v>71990</v>
      </c>
      <c r="AF481" s="11">
        <f t="shared" si="48"/>
        <v>647910</v>
      </c>
      <c r="AG481" s="12" t="s">
        <v>34</v>
      </c>
      <c r="AH481" s="8" t="s">
        <v>35</v>
      </c>
    </row>
    <row r="482" spans="1:34">
      <c r="A482" s="8" t="s">
        <v>741</v>
      </c>
      <c r="B482" s="16" t="s">
        <v>2860</v>
      </c>
      <c r="C482" s="8" t="s">
        <v>40</v>
      </c>
      <c r="D482" s="8" t="s">
        <v>736</v>
      </c>
      <c r="E482" s="8" t="str">
        <f t="shared" si="46"/>
        <v>AZUL</v>
      </c>
      <c r="G482" s="8" t="s">
        <v>2862</v>
      </c>
      <c r="H482" s="8" t="str">
        <f>VLOOKUP(A482,[1]BBDD!$B$1:$J$3274,9,FALSE)</f>
        <v>M</v>
      </c>
      <c r="I482" s="8" t="s">
        <v>2862</v>
      </c>
      <c r="J482" s="8" t="s">
        <v>737</v>
      </c>
      <c r="L482" s="8" t="s">
        <v>61</v>
      </c>
      <c r="N482" s="8" t="s">
        <v>83</v>
      </c>
      <c r="O482" s="8" t="s">
        <v>83</v>
      </c>
      <c r="Q482" s="8" t="s">
        <v>45</v>
      </c>
      <c r="R482" s="8">
        <v>26</v>
      </c>
      <c r="S482" s="8">
        <v>10</v>
      </c>
      <c r="T482" s="8">
        <f t="shared" si="49"/>
        <v>36</v>
      </c>
      <c r="U482" s="8">
        <v>2</v>
      </c>
      <c r="V482" s="8">
        <v>1</v>
      </c>
      <c r="W482" s="8">
        <v>0</v>
      </c>
      <c r="X482" s="8">
        <v>0</v>
      </c>
      <c r="Y482" s="8">
        <v>1</v>
      </c>
      <c r="Z482" s="8">
        <v>1</v>
      </c>
      <c r="AA482" s="8">
        <v>180</v>
      </c>
      <c r="AB482" s="9">
        <f t="shared" si="50"/>
        <v>0.83333333333333326</v>
      </c>
      <c r="AC482" s="10">
        <f t="shared" si="47"/>
        <v>43.2</v>
      </c>
      <c r="AD482" s="8" t="s">
        <v>109</v>
      </c>
      <c r="AE482" s="11">
        <v>71990</v>
      </c>
      <c r="AF482" s="11">
        <f t="shared" si="48"/>
        <v>2591640</v>
      </c>
      <c r="AG482" s="12" t="s">
        <v>73</v>
      </c>
      <c r="AH482" s="8" t="s">
        <v>74</v>
      </c>
    </row>
    <row r="483" spans="1:34">
      <c r="A483" s="8" t="s">
        <v>742</v>
      </c>
      <c r="B483" s="16" t="s">
        <v>2860</v>
      </c>
      <c r="C483" s="8" t="s">
        <v>40</v>
      </c>
      <c r="D483" s="8" t="s">
        <v>736</v>
      </c>
      <c r="E483" s="8" t="str">
        <f t="shared" si="46"/>
        <v>NEGRO</v>
      </c>
      <c r="G483" s="8" t="s">
        <v>2862</v>
      </c>
      <c r="H483" s="8" t="str">
        <f>VLOOKUP(A483,[1]BBDD!$B$1:$J$3274,9,FALSE)</f>
        <v>U</v>
      </c>
      <c r="I483" s="19" t="s">
        <v>2861</v>
      </c>
      <c r="J483" s="8" t="s">
        <v>737</v>
      </c>
      <c r="L483" s="8" t="s">
        <v>61</v>
      </c>
      <c r="N483" s="8" t="s">
        <v>44</v>
      </c>
      <c r="O483" s="8" t="s">
        <v>44</v>
      </c>
      <c r="Q483" s="8" t="s">
        <v>45</v>
      </c>
      <c r="R483" s="8">
        <v>35</v>
      </c>
      <c r="S483" s="8">
        <v>13</v>
      </c>
      <c r="T483" s="8">
        <f t="shared" si="49"/>
        <v>48</v>
      </c>
      <c r="U483" s="8">
        <v>1</v>
      </c>
      <c r="V483" s="8">
        <v>4</v>
      </c>
      <c r="W483" s="8">
        <v>2</v>
      </c>
      <c r="X483" s="8">
        <v>0</v>
      </c>
      <c r="Y483" s="8">
        <v>1</v>
      </c>
      <c r="Z483" s="8">
        <v>0</v>
      </c>
      <c r="AA483" s="8">
        <v>180</v>
      </c>
      <c r="AB483" s="9">
        <f t="shared" si="50"/>
        <v>1.3333333333333335</v>
      </c>
      <c r="AC483" s="10">
        <f t="shared" si="47"/>
        <v>35.999999999999993</v>
      </c>
      <c r="AD483" s="8" t="s">
        <v>109</v>
      </c>
      <c r="AE483" s="11">
        <v>71990</v>
      </c>
      <c r="AF483" s="11">
        <f t="shared" si="48"/>
        <v>3455520</v>
      </c>
      <c r="AG483" s="12" t="s">
        <v>73</v>
      </c>
      <c r="AH483" s="8" t="s">
        <v>74</v>
      </c>
    </row>
    <row r="484" spans="1:34">
      <c r="A484" s="8" t="s">
        <v>743</v>
      </c>
      <c r="B484" s="16" t="s">
        <v>2860</v>
      </c>
      <c r="C484" s="8" t="s">
        <v>40</v>
      </c>
      <c r="D484" s="8" t="s">
        <v>736</v>
      </c>
      <c r="E484" s="8" t="str">
        <f t="shared" si="46"/>
        <v>VERDE</v>
      </c>
      <c r="G484" s="8" t="s">
        <v>2862</v>
      </c>
      <c r="H484" s="8" t="str">
        <f>VLOOKUP(A484,[1]BBDD!$B$1:$J$3274,9,FALSE)</f>
        <v>M</v>
      </c>
      <c r="I484" s="8" t="s">
        <v>2862</v>
      </c>
      <c r="J484" s="8" t="s">
        <v>737</v>
      </c>
      <c r="L484" s="8" t="s">
        <v>61</v>
      </c>
      <c r="N484" s="8" t="s">
        <v>92</v>
      </c>
      <c r="O484" s="8" t="s">
        <v>92</v>
      </c>
      <c r="Q484" s="8" t="s">
        <v>45</v>
      </c>
      <c r="R484" s="8">
        <v>0</v>
      </c>
      <c r="S484" s="8">
        <v>9</v>
      </c>
      <c r="T484" s="8">
        <f t="shared" si="49"/>
        <v>9</v>
      </c>
      <c r="U484" s="8">
        <v>0</v>
      </c>
      <c r="V484" s="8">
        <v>1</v>
      </c>
      <c r="W484" s="8">
        <v>1</v>
      </c>
      <c r="X484" s="8">
        <v>0</v>
      </c>
      <c r="Y484" s="8">
        <v>1</v>
      </c>
      <c r="Z484" s="8">
        <v>1</v>
      </c>
      <c r="AA484" s="8">
        <v>180</v>
      </c>
      <c r="AB484" s="9">
        <f t="shared" si="50"/>
        <v>0.66666666666666674</v>
      </c>
      <c r="AC484" s="10">
        <f t="shared" si="47"/>
        <v>13.499999999999998</v>
      </c>
      <c r="AD484" s="8" t="s">
        <v>109</v>
      </c>
      <c r="AE484" s="11">
        <v>71990</v>
      </c>
      <c r="AF484" s="11">
        <f t="shared" si="48"/>
        <v>647910</v>
      </c>
      <c r="AG484" s="12" t="s">
        <v>64</v>
      </c>
      <c r="AH484" s="8" t="s">
        <v>35</v>
      </c>
    </row>
    <row r="485" spans="1:34">
      <c r="A485" s="8" t="s">
        <v>744</v>
      </c>
      <c r="B485" s="16" t="s">
        <v>2860</v>
      </c>
      <c r="C485" s="8" t="s">
        <v>40</v>
      </c>
      <c r="D485" s="8" t="s">
        <v>736</v>
      </c>
      <c r="E485" s="8" t="str">
        <f t="shared" si="46"/>
        <v>NEGRO</v>
      </c>
      <c r="G485" s="8" t="s">
        <v>2862</v>
      </c>
      <c r="H485" s="8" t="str">
        <f>VLOOKUP(A485,[1]BBDD!$B$1:$J$3274,9,FALSE)</f>
        <v>M</v>
      </c>
      <c r="I485" s="8" t="s">
        <v>2862</v>
      </c>
      <c r="J485" s="8" t="s">
        <v>737</v>
      </c>
      <c r="L485" s="8" t="s">
        <v>211</v>
      </c>
      <c r="N485" s="8" t="s">
        <v>44</v>
      </c>
      <c r="O485" s="8" t="s">
        <v>44</v>
      </c>
      <c r="Q485" s="8" t="s">
        <v>32</v>
      </c>
      <c r="R485" s="8">
        <v>0</v>
      </c>
      <c r="S485" s="8">
        <v>4</v>
      </c>
      <c r="T485" s="8">
        <f t="shared" si="49"/>
        <v>4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180</v>
      </c>
      <c r="AB485" s="9">
        <f t="shared" si="50"/>
        <v>0</v>
      </c>
      <c r="AC485" s="10" t="str">
        <f t="shared" si="47"/>
        <v>sin venta</v>
      </c>
      <c r="AD485" s="8" t="s">
        <v>33</v>
      </c>
      <c r="AE485" s="11">
        <v>71990</v>
      </c>
      <c r="AF485" s="11">
        <f t="shared" si="48"/>
        <v>287960</v>
      </c>
      <c r="AG485" s="12" t="s">
        <v>73</v>
      </c>
      <c r="AH485" s="8" t="s">
        <v>35</v>
      </c>
    </row>
    <row r="486" spans="1:34">
      <c r="A486" s="8" t="s">
        <v>745</v>
      </c>
      <c r="B486" s="16" t="s">
        <v>746</v>
      </c>
      <c r="C486" s="8" t="s">
        <v>40</v>
      </c>
      <c r="D486" s="8" t="s">
        <v>736</v>
      </c>
      <c r="E486" s="8" t="str">
        <f t="shared" si="46"/>
        <v>CEDRO</v>
      </c>
      <c r="G486" s="8" t="s">
        <v>2862</v>
      </c>
      <c r="H486" s="8" t="str">
        <f>VLOOKUP(A486,[1]BBDD!$B$1:$J$3274,9,FALSE)</f>
        <v>M</v>
      </c>
      <c r="I486" s="8" t="s">
        <v>2862</v>
      </c>
      <c r="J486" s="8" t="s">
        <v>747</v>
      </c>
      <c r="L486" s="8" t="s">
        <v>112</v>
      </c>
      <c r="N486" s="8" t="s">
        <v>113</v>
      </c>
      <c r="O486" s="8" t="s">
        <v>113</v>
      </c>
      <c r="Q486" s="8" t="s">
        <v>45</v>
      </c>
      <c r="R486" s="8">
        <v>0</v>
      </c>
      <c r="S486" s="8">
        <v>2</v>
      </c>
      <c r="T486" s="8">
        <f t="shared" si="49"/>
        <v>2</v>
      </c>
      <c r="U486" s="8">
        <v>0</v>
      </c>
      <c r="V486" s="8">
        <v>1</v>
      </c>
      <c r="W486" s="8">
        <v>0</v>
      </c>
      <c r="X486" s="8">
        <v>0</v>
      </c>
      <c r="Y486" s="8">
        <v>0</v>
      </c>
      <c r="Z486" s="8">
        <v>0</v>
      </c>
      <c r="AA486" s="8">
        <v>180</v>
      </c>
      <c r="AB486" s="9">
        <f t="shared" si="50"/>
        <v>0.16666666666666669</v>
      </c>
      <c r="AC486" s="10">
        <f t="shared" si="47"/>
        <v>11.999999999999998</v>
      </c>
      <c r="AD486" s="8" t="s">
        <v>109</v>
      </c>
      <c r="AE486" s="11">
        <v>110990</v>
      </c>
      <c r="AF486" s="11">
        <f t="shared" si="48"/>
        <v>221980</v>
      </c>
      <c r="AG486" s="12" t="s">
        <v>51</v>
      </c>
      <c r="AH486" s="8" t="s">
        <v>35</v>
      </c>
    </row>
    <row r="487" spans="1:34">
      <c r="A487" s="8" t="s">
        <v>748</v>
      </c>
      <c r="B487" s="16" t="s">
        <v>2860</v>
      </c>
      <c r="C487" s="8" t="s">
        <v>40</v>
      </c>
      <c r="D487" s="8" t="s">
        <v>736</v>
      </c>
      <c r="E487" s="8" t="str">
        <f t="shared" si="46"/>
        <v>CARAMELO</v>
      </c>
      <c r="G487" s="8" t="s">
        <v>2862</v>
      </c>
      <c r="H487" s="8" t="str">
        <f>VLOOKUP(A487,[1]BBDD!$B$1:$J$3274,9,FALSE)</f>
        <v>M</v>
      </c>
      <c r="I487" s="8" t="s">
        <v>2862</v>
      </c>
      <c r="J487" s="8" t="s">
        <v>749</v>
      </c>
      <c r="L487" s="8" t="s">
        <v>61</v>
      </c>
      <c r="N487" s="8" t="s">
        <v>62</v>
      </c>
      <c r="O487" s="8" t="s">
        <v>62</v>
      </c>
      <c r="Q487" s="8" t="s">
        <v>32</v>
      </c>
      <c r="R487" s="8">
        <v>0</v>
      </c>
      <c r="S487" s="8">
        <v>4</v>
      </c>
      <c r="T487" s="8">
        <f t="shared" si="49"/>
        <v>4</v>
      </c>
      <c r="U487" s="8">
        <v>2</v>
      </c>
      <c r="V487" s="8">
        <v>1</v>
      </c>
      <c r="W487" s="8">
        <v>3</v>
      </c>
      <c r="X487" s="8">
        <v>1</v>
      </c>
      <c r="Y487" s="8">
        <v>2</v>
      </c>
      <c r="Z487" s="8">
        <v>1</v>
      </c>
      <c r="AA487" s="8">
        <v>180</v>
      </c>
      <c r="AB487" s="9">
        <f t="shared" si="50"/>
        <v>1.6666666666666665</v>
      </c>
      <c r="AC487" s="10">
        <f t="shared" si="47"/>
        <v>2.4000000000000004</v>
      </c>
      <c r="AD487" s="8" t="s">
        <v>33</v>
      </c>
      <c r="AE487" s="11">
        <v>165990</v>
      </c>
      <c r="AF487" s="11">
        <f t="shared" si="48"/>
        <v>663960</v>
      </c>
      <c r="AG487" s="12" t="s">
        <v>34</v>
      </c>
      <c r="AH487" s="8" t="s">
        <v>35</v>
      </c>
    </row>
    <row r="488" spans="1:34">
      <c r="A488" s="8" t="s">
        <v>750</v>
      </c>
      <c r="B488" s="16" t="s">
        <v>2860</v>
      </c>
      <c r="C488" s="8" t="s">
        <v>40</v>
      </c>
      <c r="D488" s="8" t="s">
        <v>736</v>
      </c>
      <c r="E488" s="8" t="str">
        <f t="shared" si="46"/>
        <v>CHOCOLATE</v>
      </c>
      <c r="G488" s="8" t="s">
        <v>2862</v>
      </c>
      <c r="H488" s="8" t="str">
        <f>VLOOKUP(A488,[1]BBDD!$B$1:$J$3274,9,FALSE)</f>
        <v>M</v>
      </c>
      <c r="I488" s="8" t="s">
        <v>2862</v>
      </c>
      <c r="J488" s="8" t="s">
        <v>749</v>
      </c>
      <c r="L488" s="8" t="s">
        <v>61</v>
      </c>
      <c r="N488" s="8" t="s">
        <v>252</v>
      </c>
      <c r="O488" s="8" t="s">
        <v>252</v>
      </c>
      <c r="Q488" s="8" t="s">
        <v>32</v>
      </c>
      <c r="R488" s="8">
        <v>0</v>
      </c>
      <c r="S488" s="8">
        <v>0</v>
      </c>
      <c r="T488" s="8">
        <f t="shared" si="49"/>
        <v>0</v>
      </c>
      <c r="U488" s="8">
        <v>2</v>
      </c>
      <c r="V488" s="8">
        <v>1</v>
      </c>
      <c r="W488" s="8">
        <v>5</v>
      </c>
      <c r="X488" s="8">
        <v>2</v>
      </c>
      <c r="Y488" s="8">
        <v>0</v>
      </c>
      <c r="Z488" s="8">
        <v>0</v>
      </c>
      <c r="AA488" s="8">
        <v>180</v>
      </c>
      <c r="AB488" s="9">
        <f t="shared" si="50"/>
        <v>1.6666666666666665</v>
      </c>
      <c r="AC488" s="10">
        <f t="shared" si="47"/>
        <v>0</v>
      </c>
      <c r="AD488" s="8" t="s">
        <v>33</v>
      </c>
      <c r="AE488" s="11">
        <v>165990</v>
      </c>
      <c r="AF488" s="11">
        <f t="shared" si="48"/>
        <v>0</v>
      </c>
      <c r="AG488" s="12" t="s">
        <v>34</v>
      </c>
      <c r="AH488" s="8" t="s">
        <v>35</v>
      </c>
    </row>
    <row r="489" spans="1:34">
      <c r="A489" s="8" t="s">
        <v>751</v>
      </c>
      <c r="B489" s="16" t="s">
        <v>2860</v>
      </c>
      <c r="C489" s="8" t="s">
        <v>40</v>
      </c>
      <c r="D489" s="8" t="s">
        <v>736</v>
      </c>
      <c r="E489" s="8" t="str">
        <f t="shared" si="46"/>
        <v>NEGRO</v>
      </c>
      <c r="G489" s="8" t="s">
        <v>2862</v>
      </c>
      <c r="H489" s="8" t="str">
        <f>VLOOKUP(A489,[1]BBDD!$B$1:$J$3274,9,FALSE)</f>
        <v>M</v>
      </c>
      <c r="I489" s="8" t="s">
        <v>2862</v>
      </c>
      <c r="J489" s="8" t="s">
        <v>749</v>
      </c>
      <c r="L489" s="8" t="s">
        <v>61</v>
      </c>
      <c r="N489" s="8" t="s">
        <v>44</v>
      </c>
      <c r="O489" s="8" t="s">
        <v>44</v>
      </c>
      <c r="Q489" s="8" t="s">
        <v>32</v>
      </c>
      <c r="R489" s="8">
        <v>1</v>
      </c>
      <c r="S489" s="8">
        <v>8</v>
      </c>
      <c r="T489" s="8">
        <f t="shared" si="49"/>
        <v>9</v>
      </c>
      <c r="U489" s="8">
        <v>1</v>
      </c>
      <c r="V489" s="8">
        <v>2</v>
      </c>
      <c r="W489" s="8">
        <v>4</v>
      </c>
      <c r="X489" s="8">
        <v>0</v>
      </c>
      <c r="Y489" s="8">
        <v>1</v>
      </c>
      <c r="Z489" s="8">
        <v>1</v>
      </c>
      <c r="AA489" s="8">
        <v>180</v>
      </c>
      <c r="AB489" s="9">
        <f t="shared" si="50"/>
        <v>1.5</v>
      </c>
      <c r="AC489" s="10">
        <f t="shared" si="47"/>
        <v>6</v>
      </c>
      <c r="AD489" s="8" t="s">
        <v>33</v>
      </c>
      <c r="AE489" s="11">
        <v>165990</v>
      </c>
      <c r="AF489" s="11">
        <f t="shared" si="48"/>
        <v>1493910</v>
      </c>
      <c r="AG489" s="12" t="s">
        <v>34</v>
      </c>
      <c r="AH489" s="8" t="s">
        <v>35</v>
      </c>
    </row>
    <row r="490" spans="1:34">
      <c r="A490" s="8" t="s">
        <v>752</v>
      </c>
      <c r="B490" s="16" t="s">
        <v>2860</v>
      </c>
      <c r="C490" s="8" t="s">
        <v>40</v>
      </c>
      <c r="D490" s="8" t="s">
        <v>736</v>
      </c>
      <c r="E490" s="8" t="str">
        <f t="shared" si="46"/>
        <v>TABACO</v>
      </c>
      <c r="G490" s="8" t="s">
        <v>2862</v>
      </c>
      <c r="H490" s="8" t="str">
        <f>VLOOKUP(A490,[1]BBDD!$B$1:$J$3274,9,FALSE)</f>
        <v>M</v>
      </c>
      <c r="I490" s="8" t="s">
        <v>2862</v>
      </c>
      <c r="J490" s="8" t="s">
        <v>749</v>
      </c>
      <c r="L490" s="8" t="s">
        <v>61</v>
      </c>
      <c r="N490" s="8" t="s">
        <v>67</v>
      </c>
      <c r="O490" s="8" t="s">
        <v>67</v>
      </c>
      <c r="Q490" s="8" t="s">
        <v>32</v>
      </c>
      <c r="R490" s="8">
        <v>0</v>
      </c>
      <c r="S490" s="8">
        <v>1</v>
      </c>
      <c r="T490" s="8">
        <f t="shared" si="49"/>
        <v>1</v>
      </c>
      <c r="U490" s="8">
        <v>5</v>
      </c>
      <c r="V490" s="8">
        <v>1</v>
      </c>
      <c r="W490" s="8">
        <v>3</v>
      </c>
      <c r="X490" s="8">
        <v>1</v>
      </c>
      <c r="Y490" s="8">
        <v>0</v>
      </c>
      <c r="Z490" s="8">
        <v>0</v>
      </c>
      <c r="AA490" s="8">
        <v>180</v>
      </c>
      <c r="AB490" s="9">
        <f t="shared" si="50"/>
        <v>1.6666666666666665</v>
      </c>
      <c r="AC490" s="10">
        <f t="shared" si="47"/>
        <v>0.60000000000000009</v>
      </c>
      <c r="AD490" s="8" t="s">
        <v>33</v>
      </c>
      <c r="AE490" s="11">
        <v>165990</v>
      </c>
      <c r="AF490" s="11">
        <f t="shared" si="48"/>
        <v>165990</v>
      </c>
      <c r="AG490" s="12" t="s">
        <v>34</v>
      </c>
      <c r="AH490" s="8" t="s">
        <v>35</v>
      </c>
    </row>
    <row r="491" spans="1:34">
      <c r="A491" s="8" t="s">
        <v>753</v>
      </c>
      <c r="B491" s="16" t="s">
        <v>2860</v>
      </c>
      <c r="C491" s="8" t="s">
        <v>40</v>
      </c>
      <c r="D491" s="8" t="s">
        <v>736</v>
      </c>
      <c r="E491" s="8" t="str">
        <f t="shared" si="46"/>
        <v>LONDON</v>
      </c>
      <c r="G491" s="8" t="s">
        <v>2862</v>
      </c>
      <c r="H491" s="8" t="str">
        <f>VLOOKUP(A491,[1]BBDD!$B$1:$J$3274,9,FALSE)</f>
        <v>M</v>
      </c>
      <c r="I491" s="8" t="s">
        <v>2862</v>
      </c>
      <c r="J491" s="8" t="s">
        <v>749</v>
      </c>
      <c r="L491" s="8" t="s">
        <v>61</v>
      </c>
      <c r="N491" s="8" t="s">
        <v>108</v>
      </c>
      <c r="O491" s="8" t="s">
        <v>108</v>
      </c>
      <c r="Q491" s="8" t="s">
        <v>45</v>
      </c>
      <c r="R491" s="8">
        <v>0</v>
      </c>
      <c r="S491" s="8">
        <v>1</v>
      </c>
      <c r="T491" s="8">
        <f t="shared" si="49"/>
        <v>1</v>
      </c>
      <c r="U491" s="8">
        <v>2</v>
      </c>
      <c r="V491" s="8">
        <v>0</v>
      </c>
      <c r="W491" s="8">
        <v>0</v>
      </c>
      <c r="X491" s="8">
        <v>0</v>
      </c>
      <c r="Y491" s="8">
        <v>0</v>
      </c>
      <c r="Z491" s="8">
        <v>1</v>
      </c>
      <c r="AA491" s="8">
        <v>180</v>
      </c>
      <c r="AB491" s="9">
        <f t="shared" si="50"/>
        <v>0.5</v>
      </c>
      <c r="AC491" s="10">
        <f t="shared" si="47"/>
        <v>2</v>
      </c>
      <c r="AD491" s="8" t="s">
        <v>109</v>
      </c>
      <c r="AE491" s="11">
        <v>165990</v>
      </c>
      <c r="AF491" s="11">
        <f t="shared" si="48"/>
        <v>165990</v>
      </c>
      <c r="AG491" s="12" t="s">
        <v>34</v>
      </c>
      <c r="AH491" s="8" t="s">
        <v>35</v>
      </c>
    </row>
    <row r="492" spans="1:34">
      <c r="A492" s="8" t="s">
        <v>754</v>
      </c>
      <c r="B492" s="16" t="s">
        <v>2860</v>
      </c>
      <c r="C492" s="8" t="s">
        <v>40</v>
      </c>
      <c r="D492" s="8" t="s">
        <v>736</v>
      </c>
      <c r="E492" s="8" t="str">
        <f t="shared" si="46"/>
        <v>CARAMELO</v>
      </c>
      <c r="G492" s="8" t="s">
        <v>2862</v>
      </c>
      <c r="H492" s="8" t="str">
        <f>VLOOKUP(A492,[1]BBDD!$B$1:$J$3274,9,FALSE)</f>
        <v>M</v>
      </c>
      <c r="I492" s="8" t="s">
        <v>2862</v>
      </c>
      <c r="J492" s="8" t="s">
        <v>755</v>
      </c>
      <c r="L492" s="8" t="s">
        <v>61</v>
      </c>
      <c r="N492" s="8" t="s">
        <v>62</v>
      </c>
      <c r="O492" s="8" t="s">
        <v>62</v>
      </c>
      <c r="Q492" s="8" t="s">
        <v>32</v>
      </c>
      <c r="R492" s="8">
        <v>32</v>
      </c>
      <c r="S492" s="8">
        <v>10</v>
      </c>
      <c r="T492" s="8">
        <f t="shared" si="49"/>
        <v>42</v>
      </c>
      <c r="U492" s="8">
        <v>1</v>
      </c>
      <c r="V492" s="8">
        <v>0</v>
      </c>
      <c r="W492" s="8">
        <v>0</v>
      </c>
      <c r="X492" s="8">
        <v>1</v>
      </c>
      <c r="Y492" s="8">
        <v>1</v>
      </c>
      <c r="Z492" s="8">
        <v>0</v>
      </c>
      <c r="AA492" s="8">
        <v>180</v>
      </c>
      <c r="AB492" s="9">
        <f t="shared" si="50"/>
        <v>0.5</v>
      </c>
      <c r="AC492" s="10">
        <f t="shared" si="47"/>
        <v>84</v>
      </c>
      <c r="AD492" s="8" t="s">
        <v>33</v>
      </c>
      <c r="AE492" s="11">
        <v>165990</v>
      </c>
      <c r="AF492" s="11">
        <f t="shared" si="48"/>
        <v>6971580</v>
      </c>
      <c r="AG492" s="12" t="s">
        <v>73</v>
      </c>
      <c r="AH492" s="8" t="s">
        <v>74</v>
      </c>
    </row>
    <row r="493" spans="1:34">
      <c r="A493" s="8" t="s">
        <v>756</v>
      </c>
      <c r="B493" s="16" t="s">
        <v>2860</v>
      </c>
      <c r="C493" s="8" t="s">
        <v>40</v>
      </c>
      <c r="D493" s="8" t="s">
        <v>736</v>
      </c>
      <c r="E493" s="8" t="str">
        <f t="shared" si="46"/>
        <v>CHOCOLATE</v>
      </c>
      <c r="G493" s="8" t="s">
        <v>2862</v>
      </c>
      <c r="H493" s="8" t="str">
        <f>VLOOKUP(A493,[1]BBDD!$B$1:$J$3274,9,FALSE)</f>
        <v>M</v>
      </c>
      <c r="I493" s="8" t="s">
        <v>2862</v>
      </c>
      <c r="J493" s="8" t="s">
        <v>755</v>
      </c>
      <c r="L493" s="8" t="s">
        <v>61</v>
      </c>
      <c r="N493" s="8" t="s">
        <v>252</v>
      </c>
      <c r="O493" s="8" t="s">
        <v>252</v>
      </c>
      <c r="Q493" s="8" t="s">
        <v>32</v>
      </c>
      <c r="R493" s="8">
        <v>4</v>
      </c>
      <c r="S493" s="8">
        <v>8</v>
      </c>
      <c r="T493" s="8">
        <f t="shared" si="49"/>
        <v>12</v>
      </c>
      <c r="U493" s="8">
        <v>1</v>
      </c>
      <c r="V493" s="8">
        <v>2</v>
      </c>
      <c r="W493" s="8">
        <v>0</v>
      </c>
      <c r="X493" s="8">
        <v>0</v>
      </c>
      <c r="Y493" s="8">
        <v>0</v>
      </c>
      <c r="Z493" s="8">
        <v>1</v>
      </c>
      <c r="AA493" s="8">
        <v>180</v>
      </c>
      <c r="AB493" s="9">
        <f t="shared" si="50"/>
        <v>0.66666666666666674</v>
      </c>
      <c r="AC493" s="10">
        <f t="shared" si="47"/>
        <v>17.999999999999996</v>
      </c>
      <c r="AD493" s="8" t="s">
        <v>33</v>
      </c>
      <c r="AE493" s="11">
        <v>165990</v>
      </c>
      <c r="AF493" s="11">
        <f t="shared" si="48"/>
        <v>1991880</v>
      </c>
      <c r="AG493" s="12" t="s">
        <v>64</v>
      </c>
      <c r="AH493" s="8" t="s">
        <v>65</v>
      </c>
    </row>
    <row r="494" spans="1:34">
      <c r="A494" s="8" t="s">
        <v>757</v>
      </c>
      <c r="B494" s="16" t="s">
        <v>2860</v>
      </c>
      <c r="C494" s="8" t="s">
        <v>40</v>
      </c>
      <c r="D494" s="8" t="s">
        <v>736</v>
      </c>
      <c r="E494" s="8" t="str">
        <f t="shared" si="46"/>
        <v>MALBEC</v>
      </c>
      <c r="G494" s="8" t="s">
        <v>2862</v>
      </c>
      <c r="H494" s="8" t="str">
        <f>VLOOKUP(A494,[1]BBDD!$B$1:$J$3274,9,FALSE)</f>
        <v>M</v>
      </c>
      <c r="I494" s="8" t="s">
        <v>2862</v>
      </c>
      <c r="J494" s="8" t="s">
        <v>755</v>
      </c>
      <c r="L494" s="8" t="s">
        <v>61</v>
      </c>
      <c r="N494" s="8" t="s">
        <v>69</v>
      </c>
      <c r="O494" s="8" t="s">
        <v>69</v>
      </c>
      <c r="Q494" s="8" t="s">
        <v>32</v>
      </c>
      <c r="R494" s="8">
        <v>1</v>
      </c>
      <c r="S494" s="8">
        <v>6</v>
      </c>
      <c r="T494" s="8">
        <f t="shared" si="49"/>
        <v>7</v>
      </c>
      <c r="U494" s="8">
        <v>1</v>
      </c>
      <c r="V494" s="8">
        <v>1</v>
      </c>
      <c r="W494" s="8">
        <v>3</v>
      </c>
      <c r="X494" s="8">
        <v>2</v>
      </c>
      <c r="Y494" s="8">
        <v>2</v>
      </c>
      <c r="Z494" s="8">
        <v>3</v>
      </c>
      <c r="AA494" s="8">
        <v>180</v>
      </c>
      <c r="AB494" s="9">
        <f t="shared" si="50"/>
        <v>2</v>
      </c>
      <c r="AC494" s="10">
        <f t="shared" si="47"/>
        <v>3.5</v>
      </c>
      <c r="AD494" s="8" t="s">
        <v>33</v>
      </c>
      <c r="AE494" s="11">
        <v>165990</v>
      </c>
      <c r="AF494" s="11">
        <f t="shared" si="48"/>
        <v>1161930</v>
      </c>
      <c r="AG494" s="12" t="s">
        <v>34</v>
      </c>
      <c r="AH494" s="8" t="s">
        <v>35</v>
      </c>
    </row>
    <row r="495" spans="1:34">
      <c r="A495" s="8" t="s">
        <v>758</v>
      </c>
      <c r="B495" s="16" t="s">
        <v>2860</v>
      </c>
      <c r="C495" s="8" t="s">
        <v>40</v>
      </c>
      <c r="D495" s="8" t="s">
        <v>736</v>
      </c>
      <c r="E495" s="8" t="str">
        <f t="shared" si="46"/>
        <v>NEGRO</v>
      </c>
      <c r="G495" s="8" t="s">
        <v>2862</v>
      </c>
      <c r="H495" s="8" t="str">
        <f>VLOOKUP(A495,[1]BBDD!$B$1:$J$3274,9,FALSE)</f>
        <v>M</v>
      </c>
      <c r="I495" s="8" t="s">
        <v>2862</v>
      </c>
      <c r="J495" s="8" t="s">
        <v>755</v>
      </c>
      <c r="L495" s="8" t="s">
        <v>61</v>
      </c>
      <c r="N495" s="8" t="s">
        <v>44</v>
      </c>
      <c r="O495" s="8" t="s">
        <v>44</v>
      </c>
      <c r="Q495" s="8" t="s">
        <v>32</v>
      </c>
      <c r="R495" s="8">
        <v>40</v>
      </c>
      <c r="S495" s="8">
        <v>11</v>
      </c>
      <c r="T495" s="8">
        <f t="shared" si="49"/>
        <v>51</v>
      </c>
      <c r="U495" s="8">
        <v>2</v>
      </c>
      <c r="V495" s="8">
        <v>0</v>
      </c>
      <c r="W495" s="8">
        <v>1</v>
      </c>
      <c r="X495" s="8">
        <v>0</v>
      </c>
      <c r="Y495" s="8">
        <v>1</v>
      </c>
      <c r="Z495" s="8">
        <v>0</v>
      </c>
      <c r="AA495" s="8">
        <v>180</v>
      </c>
      <c r="AB495" s="9">
        <f t="shared" si="50"/>
        <v>0.66666666666666674</v>
      </c>
      <c r="AC495" s="10">
        <f t="shared" si="47"/>
        <v>76.499999999999986</v>
      </c>
      <c r="AD495" s="8" t="s">
        <v>33</v>
      </c>
      <c r="AE495" s="11">
        <v>165990</v>
      </c>
      <c r="AF495" s="11">
        <f t="shared" si="48"/>
        <v>8465490</v>
      </c>
      <c r="AG495" s="12" t="s">
        <v>73</v>
      </c>
      <c r="AH495" s="8" t="s">
        <v>74</v>
      </c>
    </row>
    <row r="496" spans="1:34">
      <c r="A496" s="8" t="s">
        <v>759</v>
      </c>
      <c r="B496" s="16" t="s">
        <v>2860</v>
      </c>
      <c r="C496" s="8" t="s">
        <v>40</v>
      </c>
      <c r="D496" s="8" t="s">
        <v>736</v>
      </c>
      <c r="E496" s="8" t="str">
        <f t="shared" si="46"/>
        <v>TABACO</v>
      </c>
      <c r="G496" s="8" t="s">
        <v>2862</v>
      </c>
      <c r="H496" s="8" t="str">
        <f>VLOOKUP(A496,[1]BBDD!$B$1:$J$3274,9,FALSE)</f>
        <v>M</v>
      </c>
      <c r="I496" s="8" t="s">
        <v>2862</v>
      </c>
      <c r="J496" s="8" t="s">
        <v>755</v>
      </c>
      <c r="L496" s="8" t="s">
        <v>61</v>
      </c>
      <c r="N496" s="8" t="s">
        <v>67</v>
      </c>
      <c r="O496" s="8" t="s">
        <v>67</v>
      </c>
      <c r="Q496" s="8" t="s">
        <v>32</v>
      </c>
      <c r="R496" s="8">
        <v>6</v>
      </c>
      <c r="S496" s="8">
        <v>12</v>
      </c>
      <c r="T496" s="8">
        <f t="shared" si="49"/>
        <v>18</v>
      </c>
      <c r="U496" s="8">
        <v>2</v>
      </c>
      <c r="V496" s="8">
        <v>3</v>
      </c>
      <c r="W496" s="8">
        <v>1</v>
      </c>
      <c r="X496" s="8">
        <v>0</v>
      </c>
      <c r="Y496" s="8">
        <v>1</v>
      </c>
      <c r="Z496" s="8">
        <v>0</v>
      </c>
      <c r="AA496" s="8">
        <v>180</v>
      </c>
      <c r="AB496" s="9">
        <f t="shared" si="50"/>
        <v>1.1666666666666667</v>
      </c>
      <c r="AC496" s="10">
        <f t="shared" si="47"/>
        <v>15.428571428571427</v>
      </c>
      <c r="AD496" s="8" t="s">
        <v>33</v>
      </c>
      <c r="AE496" s="11">
        <v>165990</v>
      </c>
      <c r="AF496" s="11">
        <f t="shared" si="48"/>
        <v>2987820</v>
      </c>
      <c r="AG496" s="12" t="s">
        <v>64</v>
      </c>
      <c r="AH496" s="8" t="s">
        <v>65</v>
      </c>
    </row>
    <row r="497" spans="1:34">
      <c r="A497" s="8" t="s">
        <v>760</v>
      </c>
      <c r="B497" s="16" t="s">
        <v>2860</v>
      </c>
      <c r="C497" s="8" t="s">
        <v>40</v>
      </c>
      <c r="D497" s="8" t="s">
        <v>736</v>
      </c>
      <c r="E497" s="8" t="str">
        <f t="shared" si="46"/>
        <v>ROJO</v>
      </c>
      <c r="G497" s="8" t="s">
        <v>2862</v>
      </c>
      <c r="H497" s="8" t="str">
        <f>VLOOKUP(A497,[1]BBDD!$B$1:$J$3274,9,FALSE)</f>
        <v>M</v>
      </c>
      <c r="I497" s="8" t="s">
        <v>2862</v>
      </c>
      <c r="J497" s="8" t="s">
        <v>755</v>
      </c>
      <c r="L497" s="8" t="s">
        <v>61</v>
      </c>
      <c r="N497" s="8" t="s">
        <v>88</v>
      </c>
      <c r="O497" s="8" t="s">
        <v>88</v>
      </c>
      <c r="Q497" s="8" t="s">
        <v>45</v>
      </c>
      <c r="R497" s="8">
        <v>17</v>
      </c>
      <c r="S497" s="8">
        <v>16</v>
      </c>
      <c r="T497" s="8">
        <f t="shared" si="49"/>
        <v>33</v>
      </c>
      <c r="U497" s="8">
        <v>1</v>
      </c>
      <c r="V497" s="8">
        <v>1</v>
      </c>
      <c r="W497" s="8">
        <v>0</v>
      </c>
      <c r="X497" s="8">
        <v>1</v>
      </c>
      <c r="Y497" s="8">
        <v>0</v>
      </c>
      <c r="Z497" s="8">
        <v>0</v>
      </c>
      <c r="AA497" s="8">
        <v>180</v>
      </c>
      <c r="AB497" s="9">
        <f t="shared" si="50"/>
        <v>0.5</v>
      </c>
      <c r="AC497" s="10">
        <f t="shared" si="47"/>
        <v>66</v>
      </c>
      <c r="AD497" s="8" t="s">
        <v>109</v>
      </c>
      <c r="AE497" s="11">
        <v>165990</v>
      </c>
      <c r="AF497" s="11">
        <f t="shared" si="48"/>
        <v>5477670</v>
      </c>
      <c r="AG497" s="12" t="s">
        <v>73</v>
      </c>
      <c r="AH497" s="8" t="s">
        <v>74</v>
      </c>
    </row>
    <row r="498" spans="1:34">
      <c r="A498" s="8" t="s">
        <v>761</v>
      </c>
      <c r="B498" s="16" t="s">
        <v>2860</v>
      </c>
      <c r="C498" s="8" t="s">
        <v>40</v>
      </c>
      <c r="D498" s="8" t="s">
        <v>736</v>
      </c>
      <c r="E498" s="8" t="str">
        <f t="shared" si="46"/>
        <v>VERDE</v>
      </c>
      <c r="G498" s="8" t="s">
        <v>2862</v>
      </c>
      <c r="H498" s="8" t="str">
        <f>VLOOKUP(A498,[1]BBDD!$B$1:$J$3274,9,FALSE)</f>
        <v>M</v>
      </c>
      <c r="I498" s="8" t="s">
        <v>2862</v>
      </c>
      <c r="J498" s="8" t="s">
        <v>755</v>
      </c>
      <c r="L498" s="8" t="s">
        <v>61</v>
      </c>
      <c r="N498" s="8" t="s">
        <v>92</v>
      </c>
      <c r="O498" s="8" t="s">
        <v>92</v>
      </c>
      <c r="Q498" s="8" t="s">
        <v>45</v>
      </c>
      <c r="R498" s="8">
        <v>0</v>
      </c>
      <c r="S498" s="8">
        <v>1</v>
      </c>
      <c r="T498" s="8">
        <f t="shared" si="49"/>
        <v>1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180</v>
      </c>
      <c r="AB498" s="9">
        <f t="shared" si="50"/>
        <v>0</v>
      </c>
      <c r="AC498" s="10" t="str">
        <f t="shared" si="47"/>
        <v>sin venta</v>
      </c>
      <c r="AD498" s="8" t="s">
        <v>109</v>
      </c>
      <c r="AE498" s="11">
        <v>165990</v>
      </c>
      <c r="AF498" s="11">
        <f t="shared" si="48"/>
        <v>165990</v>
      </c>
      <c r="AG498" s="12" t="s">
        <v>73</v>
      </c>
      <c r="AH498" s="8" t="s">
        <v>35</v>
      </c>
    </row>
    <row r="499" spans="1:34">
      <c r="A499" s="8" t="s">
        <v>762</v>
      </c>
      <c r="B499" s="16" t="s">
        <v>2860</v>
      </c>
      <c r="C499" s="8" t="s">
        <v>40</v>
      </c>
      <c r="D499" s="8" t="s">
        <v>736</v>
      </c>
      <c r="E499" s="8" t="str">
        <f t="shared" si="46"/>
        <v>SUELA</v>
      </c>
      <c r="G499" s="8" t="s">
        <v>2862</v>
      </c>
      <c r="H499" s="8" t="str">
        <f>VLOOKUP(A499,[1]BBDD!$B$1:$J$3274,9,FALSE)</f>
        <v>M</v>
      </c>
      <c r="I499" s="8" t="s">
        <v>2862</v>
      </c>
      <c r="J499" s="8" t="s">
        <v>755</v>
      </c>
      <c r="L499" s="8" t="s">
        <v>763</v>
      </c>
      <c r="N499" s="8" t="s">
        <v>90</v>
      </c>
      <c r="O499" s="8" t="s">
        <v>90</v>
      </c>
      <c r="Q499" s="8" t="s">
        <v>45</v>
      </c>
      <c r="R499" s="8">
        <v>0</v>
      </c>
      <c r="S499" s="8">
        <v>1</v>
      </c>
      <c r="T499" s="8">
        <f t="shared" si="49"/>
        <v>1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180</v>
      </c>
      <c r="AB499" s="9">
        <f t="shared" si="50"/>
        <v>0</v>
      </c>
      <c r="AC499" s="10" t="str">
        <f t="shared" si="47"/>
        <v>sin venta</v>
      </c>
      <c r="AD499" s="8" t="s">
        <v>109</v>
      </c>
      <c r="AE499" s="11">
        <v>165990</v>
      </c>
      <c r="AF499" s="11">
        <f t="shared" si="48"/>
        <v>165990</v>
      </c>
      <c r="AG499" s="12" t="s">
        <v>73</v>
      </c>
      <c r="AH499" s="8" t="s">
        <v>35</v>
      </c>
    </row>
    <row r="500" spans="1:34">
      <c r="A500" s="8" t="s">
        <v>764</v>
      </c>
      <c r="B500" s="16" t="s">
        <v>2860</v>
      </c>
      <c r="C500" s="8" t="s">
        <v>40</v>
      </c>
      <c r="D500" s="8" t="s">
        <v>736</v>
      </c>
      <c r="E500" s="8" t="str">
        <f t="shared" si="46"/>
        <v>BLACK</v>
      </c>
      <c r="G500" s="8" t="s">
        <v>2862</v>
      </c>
      <c r="H500" s="8" t="str">
        <f>VLOOKUP(A500,[1]BBDD!$B$1:$J$3274,9,FALSE)</f>
        <v>M</v>
      </c>
      <c r="I500" s="8" t="s">
        <v>2862</v>
      </c>
      <c r="J500" s="8" t="s">
        <v>755</v>
      </c>
      <c r="L500" s="8" t="s">
        <v>765</v>
      </c>
      <c r="N500" s="8" t="s">
        <v>766</v>
      </c>
      <c r="O500" s="20" t="s">
        <v>44</v>
      </c>
      <c r="Q500" s="8" t="s">
        <v>45</v>
      </c>
      <c r="R500" s="8">
        <v>0</v>
      </c>
      <c r="S500" s="8">
        <v>1</v>
      </c>
      <c r="T500" s="8">
        <f t="shared" si="49"/>
        <v>1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180</v>
      </c>
      <c r="AB500" s="9">
        <f t="shared" si="50"/>
        <v>0</v>
      </c>
      <c r="AC500" s="10" t="str">
        <f t="shared" si="47"/>
        <v>sin venta</v>
      </c>
      <c r="AD500" s="8" t="s">
        <v>109</v>
      </c>
      <c r="AE500" s="11">
        <v>165990</v>
      </c>
      <c r="AF500" s="11">
        <f t="shared" si="48"/>
        <v>165990</v>
      </c>
      <c r="AG500" s="12" t="s">
        <v>73</v>
      </c>
      <c r="AH500" s="8" t="s">
        <v>35</v>
      </c>
    </row>
    <row r="501" spans="1:34">
      <c r="A501" s="8" t="s">
        <v>767</v>
      </c>
      <c r="B501" s="16" t="s">
        <v>2860</v>
      </c>
      <c r="C501" s="8" t="s">
        <v>40</v>
      </c>
      <c r="D501" s="8" t="s">
        <v>736</v>
      </c>
      <c r="E501" s="8" t="str">
        <f t="shared" si="46"/>
        <v>MALBORO</v>
      </c>
      <c r="G501" s="8" t="s">
        <v>2862</v>
      </c>
      <c r="H501" s="8" t="str">
        <f>VLOOKUP(A501,[1]BBDD!$B$1:$J$3274,9,FALSE)</f>
        <v>M</v>
      </c>
      <c r="I501" s="8" t="s">
        <v>2862</v>
      </c>
      <c r="J501" s="8" t="s">
        <v>755</v>
      </c>
      <c r="L501" s="8" t="s">
        <v>765</v>
      </c>
      <c r="N501" s="8" t="s">
        <v>768</v>
      </c>
      <c r="O501" s="8" t="s">
        <v>768</v>
      </c>
      <c r="Q501" s="8" t="s">
        <v>45</v>
      </c>
      <c r="R501" s="8">
        <v>0</v>
      </c>
      <c r="S501" s="8">
        <v>1</v>
      </c>
      <c r="T501" s="8">
        <f t="shared" si="49"/>
        <v>1</v>
      </c>
      <c r="U501" s="8">
        <v>0</v>
      </c>
      <c r="V501" s="8">
        <v>0</v>
      </c>
      <c r="W501" s="8">
        <v>0</v>
      </c>
      <c r="X501" s="8">
        <v>0</v>
      </c>
      <c r="Y501" s="8">
        <v>1</v>
      </c>
      <c r="Z501" s="8">
        <v>0</v>
      </c>
      <c r="AA501" s="8">
        <v>180</v>
      </c>
      <c r="AB501" s="9">
        <f t="shared" si="50"/>
        <v>0.16666666666666669</v>
      </c>
      <c r="AC501" s="10">
        <f t="shared" si="47"/>
        <v>5.9999999999999991</v>
      </c>
      <c r="AD501" s="8" t="s">
        <v>109</v>
      </c>
      <c r="AE501" s="11">
        <v>165990</v>
      </c>
      <c r="AF501" s="11">
        <f t="shared" si="48"/>
        <v>165990</v>
      </c>
      <c r="AG501" s="12" t="s">
        <v>34</v>
      </c>
      <c r="AH501" s="8" t="s">
        <v>35</v>
      </c>
    </row>
    <row r="502" spans="1:34">
      <c r="A502" s="8" t="s">
        <v>769</v>
      </c>
      <c r="B502" s="16" t="s">
        <v>2860</v>
      </c>
      <c r="C502" s="8" t="s">
        <v>40</v>
      </c>
      <c r="D502" s="8" t="s">
        <v>736</v>
      </c>
      <c r="E502" s="8" t="str">
        <f t="shared" si="46"/>
        <v>AVELLANA/TABACO</v>
      </c>
      <c r="G502" s="8" t="s">
        <v>2862</v>
      </c>
      <c r="H502" s="8" t="str">
        <f>VLOOKUP(A502,[1]BBDD!$B$1:$J$3274,9,FALSE)</f>
        <v>M</v>
      </c>
      <c r="I502" s="8" t="s">
        <v>2862</v>
      </c>
      <c r="J502" s="8" t="s">
        <v>755</v>
      </c>
      <c r="L502" s="8" t="s">
        <v>71</v>
      </c>
      <c r="N502" s="8" t="s">
        <v>165</v>
      </c>
      <c r="O502" s="8" t="s">
        <v>165</v>
      </c>
      <c r="Q502" s="8" t="s">
        <v>32</v>
      </c>
      <c r="R502" s="8">
        <v>17</v>
      </c>
      <c r="S502" s="8">
        <v>10</v>
      </c>
      <c r="T502" s="8">
        <f t="shared" si="49"/>
        <v>27</v>
      </c>
      <c r="U502" s="8">
        <v>0</v>
      </c>
      <c r="V502" s="8">
        <v>0</v>
      </c>
      <c r="W502" s="8">
        <v>3</v>
      </c>
      <c r="X502" s="8">
        <v>2</v>
      </c>
      <c r="Y502" s="8">
        <v>0</v>
      </c>
      <c r="Z502" s="8">
        <v>0</v>
      </c>
      <c r="AA502" s="8">
        <v>180</v>
      </c>
      <c r="AB502" s="9">
        <f t="shared" si="50"/>
        <v>0.83333333333333326</v>
      </c>
      <c r="AC502" s="10">
        <f t="shared" si="47"/>
        <v>32.400000000000006</v>
      </c>
      <c r="AD502" s="8" t="s">
        <v>33</v>
      </c>
      <c r="AE502" s="11">
        <v>165990</v>
      </c>
      <c r="AF502" s="11">
        <f t="shared" si="48"/>
        <v>4481730</v>
      </c>
      <c r="AG502" s="12" t="s">
        <v>73</v>
      </c>
      <c r="AH502" s="8" t="s">
        <v>74</v>
      </c>
    </row>
    <row r="503" spans="1:34">
      <c r="A503" s="8" t="s">
        <v>770</v>
      </c>
      <c r="B503" s="16" t="s">
        <v>2860</v>
      </c>
      <c r="C503" s="8" t="s">
        <v>40</v>
      </c>
      <c r="D503" s="8" t="s">
        <v>736</v>
      </c>
      <c r="E503" s="8" t="str">
        <f t="shared" si="46"/>
        <v>OXIDO/TABACO</v>
      </c>
      <c r="G503" s="8" t="s">
        <v>2862</v>
      </c>
      <c r="H503" s="8" t="str">
        <f>VLOOKUP(A503,[1]BBDD!$B$1:$J$3274,9,FALSE)</f>
        <v>M</v>
      </c>
      <c r="I503" s="8" t="s">
        <v>2862</v>
      </c>
      <c r="J503" s="8" t="s">
        <v>755</v>
      </c>
      <c r="L503" s="8" t="s">
        <v>71</v>
      </c>
      <c r="N503" s="8" t="s">
        <v>167</v>
      </c>
      <c r="O503" s="8" t="s">
        <v>167</v>
      </c>
      <c r="Q503" s="8" t="s">
        <v>32</v>
      </c>
      <c r="R503" s="8">
        <v>0</v>
      </c>
      <c r="S503" s="8">
        <v>2</v>
      </c>
      <c r="T503" s="8">
        <f t="shared" si="49"/>
        <v>2</v>
      </c>
      <c r="U503" s="8">
        <v>2</v>
      </c>
      <c r="V503" s="8">
        <v>0</v>
      </c>
      <c r="W503" s="8">
        <v>3</v>
      </c>
      <c r="X503" s="8">
        <v>1</v>
      </c>
      <c r="Y503" s="8">
        <v>1</v>
      </c>
      <c r="Z503" s="8">
        <v>0</v>
      </c>
      <c r="AA503" s="8">
        <v>180</v>
      </c>
      <c r="AB503" s="9">
        <f t="shared" si="50"/>
        <v>1.1666666666666667</v>
      </c>
      <c r="AC503" s="10">
        <f t="shared" si="47"/>
        <v>1.7142857142857142</v>
      </c>
      <c r="AD503" s="8" t="s">
        <v>33</v>
      </c>
      <c r="AE503" s="11">
        <v>165990</v>
      </c>
      <c r="AF503" s="11">
        <f t="shared" si="48"/>
        <v>331980</v>
      </c>
      <c r="AG503" s="12" t="s">
        <v>34</v>
      </c>
      <c r="AH503" s="8" t="s">
        <v>35</v>
      </c>
    </row>
    <row r="504" spans="1:34">
      <c r="A504" s="8" t="s">
        <v>771</v>
      </c>
      <c r="B504" s="16" t="s">
        <v>2860</v>
      </c>
      <c r="C504" s="8" t="s">
        <v>40</v>
      </c>
      <c r="D504" s="8" t="s">
        <v>736</v>
      </c>
      <c r="E504" s="8" t="str">
        <f t="shared" si="46"/>
        <v>VESUBIO/TABACO</v>
      </c>
      <c r="G504" s="8" t="s">
        <v>2862</v>
      </c>
      <c r="H504" s="8" t="str">
        <f>VLOOKUP(A504,[1]BBDD!$B$1:$J$3274,9,FALSE)</f>
        <v>M</v>
      </c>
      <c r="I504" s="8" t="s">
        <v>2862</v>
      </c>
      <c r="J504" s="8" t="s">
        <v>755</v>
      </c>
      <c r="L504" s="8" t="s">
        <v>71</v>
      </c>
      <c r="N504" s="8" t="s">
        <v>161</v>
      </c>
      <c r="O504" s="8" t="s">
        <v>161</v>
      </c>
      <c r="Q504" s="8" t="s">
        <v>32</v>
      </c>
      <c r="R504" s="8">
        <v>12</v>
      </c>
      <c r="S504" s="8">
        <v>9</v>
      </c>
      <c r="T504" s="8">
        <f t="shared" ref="T504:T543" si="51">SUM(R504:S504)</f>
        <v>21</v>
      </c>
      <c r="U504" s="8">
        <v>1</v>
      </c>
      <c r="V504" s="8">
        <v>0</v>
      </c>
      <c r="W504" s="8">
        <v>3</v>
      </c>
      <c r="X504" s="8">
        <v>2</v>
      </c>
      <c r="Y504" s="8">
        <v>1</v>
      </c>
      <c r="Z504" s="8">
        <v>1</v>
      </c>
      <c r="AA504" s="8">
        <v>180</v>
      </c>
      <c r="AB504" s="9">
        <f t="shared" ref="AB504:AB543" si="52">SUM(U504:Z504)/AA504*30</f>
        <v>1.3333333333333335</v>
      </c>
      <c r="AC504" s="10">
        <f t="shared" si="47"/>
        <v>15.749999999999998</v>
      </c>
      <c r="AD504" s="8" t="s">
        <v>33</v>
      </c>
      <c r="AE504" s="11">
        <v>165990</v>
      </c>
      <c r="AF504" s="11">
        <f t="shared" si="48"/>
        <v>3485790</v>
      </c>
      <c r="AG504" s="12" t="s">
        <v>64</v>
      </c>
      <c r="AH504" s="8" t="s">
        <v>74</v>
      </c>
    </row>
    <row r="505" spans="1:34">
      <c r="A505" s="8" t="s">
        <v>772</v>
      </c>
      <c r="B505" s="16" t="s">
        <v>2860</v>
      </c>
      <c r="C505" s="8" t="s">
        <v>40</v>
      </c>
      <c r="D505" s="8" t="s">
        <v>736</v>
      </c>
      <c r="E505" s="8" t="str">
        <f t="shared" si="46"/>
        <v>CARAMELO</v>
      </c>
      <c r="G505" s="8" t="s">
        <v>2862</v>
      </c>
      <c r="H505" s="8" t="str">
        <f>VLOOKUP(A505,[1]BBDD!$B$1:$J$3274,9,FALSE)</f>
        <v>M</v>
      </c>
      <c r="I505" s="8" t="s">
        <v>2862</v>
      </c>
      <c r="J505" s="8" t="s">
        <v>755</v>
      </c>
      <c r="L505" s="8" t="s">
        <v>238</v>
      </c>
      <c r="N505" s="8" t="s">
        <v>62</v>
      </c>
      <c r="O505" s="8" t="s">
        <v>62</v>
      </c>
      <c r="Q505" s="8" t="s">
        <v>32</v>
      </c>
      <c r="R505" s="8">
        <v>0</v>
      </c>
      <c r="S505" s="8">
        <v>5</v>
      </c>
      <c r="T505" s="8">
        <f t="shared" si="51"/>
        <v>5</v>
      </c>
      <c r="U505" s="8">
        <v>3</v>
      </c>
      <c r="V505" s="8">
        <v>2</v>
      </c>
      <c r="W505" s="8">
        <v>3</v>
      </c>
      <c r="X505" s="8">
        <v>3</v>
      </c>
      <c r="Y505" s="8">
        <v>2</v>
      </c>
      <c r="Z505" s="8">
        <v>1</v>
      </c>
      <c r="AA505" s="8">
        <v>180</v>
      </c>
      <c r="AB505" s="9">
        <f t="shared" si="52"/>
        <v>2.3333333333333335</v>
      </c>
      <c r="AC505" s="10">
        <f t="shared" si="47"/>
        <v>2.1428571428571428</v>
      </c>
      <c r="AD505" s="8" t="s">
        <v>33</v>
      </c>
      <c r="AE505" s="11">
        <v>165990</v>
      </c>
      <c r="AF505" s="11">
        <f t="shared" si="48"/>
        <v>829950</v>
      </c>
      <c r="AG505" s="12" t="s">
        <v>34</v>
      </c>
      <c r="AH505" s="8" t="s">
        <v>35</v>
      </c>
    </row>
    <row r="506" spans="1:34">
      <c r="A506" s="8" t="s">
        <v>773</v>
      </c>
      <c r="B506" s="16" t="s">
        <v>2860</v>
      </c>
      <c r="C506" s="8" t="s">
        <v>40</v>
      </c>
      <c r="D506" s="8" t="s">
        <v>736</v>
      </c>
      <c r="E506" s="8" t="str">
        <f t="shared" si="46"/>
        <v>NEGRO</v>
      </c>
      <c r="G506" s="8" t="s">
        <v>2862</v>
      </c>
      <c r="H506" s="8" t="str">
        <f>VLOOKUP(A506,[1]BBDD!$B$1:$J$3274,9,FALSE)</f>
        <v>M</v>
      </c>
      <c r="I506" s="8" t="s">
        <v>2862</v>
      </c>
      <c r="J506" s="8" t="s">
        <v>755</v>
      </c>
      <c r="L506" s="8" t="s">
        <v>238</v>
      </c>
      <c r="N506" s="8" t="s">
        <v>44</v>
      </c>
      <c r="O506" s="8" t="s">
        <v>44</v>
      </c>
      <c r="Q506" s="8" t="s">
        <v>32</v>
      </c>
      <c r="R506" s="8">
        <v>20</v>
      </c>
      <c r="S506" s="8">
        <v>8</v>
      </c>
      <c r="T506" s="8">
        <f t="shared" si="51"/>
        <v>28</v>
      </c>
      <c r="U506" s="8">
        <v>2</v>
      </c>
      <c r="V506" s="8">
        <v>1</v>
      </c>
      <c r="W506" s="8">
        <v>2</v>
      </c>
      <c r="X506" s="8">
        <v>0</v>
      </c>
      <c r="Y506" s="8">
        <v>0</v>
      </c>
      <c r="Z506" s="8">
        <v>0</v>
      </c>
      <c r="AA506" s="8">
        <v>180</v>
      </c>
      <c r="AB506" s="9">
        <f t="shared" si="52"/>
        <v>0.83333333333333326</v>
      </c>
      <c r="AC506" s="10">
        <f t="shared" si="47"/>
        <v>33.6</v>
      </c>
      <c r="AD506" s="8" t="s">
        <v>33</v>
      </c>
      <c r="AE506" s="11">
        <v>165990</v>
      </c>
      <c r="AF506" s="11">
        <f t="shared" si="48"/>
        <v>4647720</v>
      </c>
      <c r="AG506" s="12" t="s">
        <v>73</v>
      </c>
      <c r="AH506" s="8" t="s">
        <v>74</v>
      </c>
    </row>
    <row r="507" spans="1:34">
      <c r="A507" s="8" t="s">
        <v>774</v>
      </c>
      <c r="B507" s="16" t="s">
        <v>2860</v>
      </c>
      <c r="C507" s="8" t="s">
        <v>40</v>
      </c>
      <c r="D507" s="8" t="s">
        <v>736</v>
      </c>
      <c r="E507" s="8" t="str">
        <f t="shared" si="46"/>
        <v>ROJO</v>
      </c>
      <c r="G507" s="8" t="s">
        <v>2862</v>
      </c>
      <c r="H507" s="8" t="str">
        <f>VLOOKUP(A507,[1]BBDD!$B$1:$J$3274,9,FALSE)</f>
        <v>M</v>
      </c>
      <c r="I507" s="8" t="s">
        <v>2862</v>
      </c>
      <c r="J507" s="8" t="s">
        <v>755</v>
      </c>
      <c r="L507" s="8" t="s">
        <v>238</v>
      </c>
      <c r="N507" s="8" t="s">
        <v>88</v>
      </c>
      <c r="O507" s="8" t="s">
        <v>88</v>
      </c>
      <c r="Q507" s="8" t="s">
        <v>32</v>
      </c>
      <c r="R507" s="8">
        <v>8</v>
      </c>
      <c r="S507" s="8">
        <v>9</v>
      </c>
      <c r="T507" s="8">
        <f t="shared" si="51"/>
        <v>17</v>
      </c>
      <c r="U507" s="8">
        <v>0</v>
      </c>
      <c r="V507" s="8">
        <v>0</v>
      </c>
      <c r="W507" s="8">
        <v>1</v>
      </c>
      <c r="X507" s="8">
        <v>0</v>
      </c>
      <c r="Y507" s="8">
        <v>1</v>
      </c>
      <c r="Z507" s="8">
        <v>1</v>
      </c>
      <c r="AA507" s="8">
        <v>180</v>
      </c>
      <c r="AB507" s="9">
        <f t="shared" si="52"/>
        <v>0.5</v>
      </c>
      <c r="AC507" s="10">
        <f t="shared" si="47"/>
        <v>34</v>
      </c>
      <c r="AD507" s="8" t="s">
        <v>33</v>
      </c>
      <c r="AE507" s="11">
        <v>165990</v>
      </c>
      <c r="AF507" s="11">
        <f t="shared" si="48"/>
        <v>2821830</v>
      </c>
      <c r="AG507" s="12" t="s">
        <v>73</v>
      </c>
      <c r="AH507" s="8" t="s">
        <v>65</v>
      </c>
    </row>
    <row r="508" spans="1:34">
      <c r="A508" s="8" t="s">
        <v>775</v>
      </c>
      <c r="B508" s="16" t="s">
        <v>2860</v>
      </c>
      <c r="C508" s="8" t="s">
        <v>40</v>
      </c>
      <c r="D508" s="8" t="s">
        <v>736</v>
      </c>
      <c r="E508" s="8" t="str">
        <f t="shared" si="46"/>
        <v>AZUL</v>
      </c>
      <c r="G508" s="8" t="s">
        <v>2862</v>
      </c>
      <c r="H508" s="8" t="str">
        <f>VLOOKUP(A508,[1]BBDD!$B$1:$J$3274,9,FALSE)</f>
        <v>M</v>
      </c>
      <c r="I508" s="8" t="s">
        <v>2862</v>
      </c>
      <c r="J508" s="8" t="s">
        <v>755</v>
      </c>
      <c r="L508" s="8" t="s">
        <v>238</v>
      </c>
      <c r="N508" s="8" t="s">
        <v>83</v>
      </c>
      <c r="O508" s="8" t="s">
        <v>83</v>
      </c>
      <c r="Q508" s="8" t="s">
        <v>45</v>
      </c>
      <c r="R508" s="8">
        <v>2</v>
      </c>
      <c r="S508" s="8">
        <v>9</v>
      </c>
      <c r="T508" s="8">
        <f t="shared" si="51"/>
        <v>11</v>
      </c>
      <c r="U508" s="8">
        <v>1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180</v>
      </c>
      <c r="AB508" s="9">
        <f t="shared" si="52"/>
        <v>0.16666666666666669</v>
      </c>
      <c r="AC508" s="10">
        <f t="shared" si="47"/>
        <v>65.999999999999986</v>
      </c>
      <c r="AD508" s="8" t="s">
        <v>109</v>
      </c>
      <c r="AE508" s="11">
        <v>165990</v>
      </c>
      <c r="AF508" s="11">
        <f t="shared" si="48"/>
        <v>1825890</v>
      </c>
      <c r="AG508" s="12" t="s">
        <v>73</v>
      </c>
      <c r="AH508" s="8" t="s">
        <v>65</v>
      </c>
    </row>
    <row r="509" spans="1:34">
      <c r="A509" s="8" t="s">
        <v>776</v>
      </c>
      <c r="B509" s="16" t="s">
        <v>2860</v>
      </c>
      <c r="C509" s="8" t="s">
        <v>40</v>
      </c>
      <c r="D509" s="8" t="s">
        <v>736</v>
      </c>
      <c r="E509" s="8" t="str">
        <f t="shared" si="46"/>
        <v>VERDE</v>
      </c>
      <c r="G509" s="8" t="s">
        <v>2862</v>
      </c>
      <c r="H509" s="8" t="str">
        <f>VLOOKUP(A509,[1]BBDD!$B$1:$J$3274,9,FALSE)</f>
        <v>M</v>
      </c>
      <c r="I509" s="8" t="s">
        <v>2862</v>
      </c>
      <c r="J509" s="8" t="s">
        <v>755</v>
      </c>
      <c r="L509" s="8" t="s">
        <v>238</v>
      </c>
      <c r="N509" s="8" t="s">
        <v>92</v>
      </c>
      <c r="O509" s="8" t="s">
        <v>92</v>
      </c>
      <c r="Q509" s="8" t="s">
        <v>45</v>
      </c>
      <c r="R509" s="8">
        <v>3</v>
      </c>
      <c r="S509" s="8">
        <v>7</v>
      </c>
      <c r="T509" s="8">
        <f t="shared" si="51"/>
        <v>10</v>
      </c>
      <c r="U509" s="8">
        <v>1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180</v>
      </c>
      <c r="AB509" s="9">
        <f t="shared" si="52"/>
        <v>0.16666666666666669</v>
      </c>
      <c r="AC509" s="10">
        <f t="shared" si="47"/>
        <v>59.999999999999993</v>
      </c>
      <c r="AD509" s="8" t="s">
        <v>109</v>
      </c>
      <c r="AE509" s="11">
        <v>165990</v>
      </c>
      <c r="AF509" s="11">
        <f t="shared" si="48"/>
        <v>1659900</v>
      </c>
      <c r="AG509" s="12" t="s">
        <v>73</v>
      </c>
      <c r="AH509" s="8" t="s">
        <v>35</v>
      </c>
    </row>
    <row r="510" spans="1:34">
      <c r="A510" s="8" t="s">
        <v>777</v>
      </c>
      <c r="B510" s="16" t="s">
        <v>2860</v>
      </c>
      <c r="C510" s="8" t="s">
        <v>40</v>
      </c>
      <c r="D510" s="8" t="s">
        <v>736</v>
      </c>
      <c r="E510" s="8" t="str">
        <f t="shared" si="46"/>
        <v>VERDE</v>
      </c>
      <c r="G510" s="8" t="s">
        <v>2862</v>
      </c>
      <c r="H510" s="8" t="str">
        <f>VLOOKUP(A510,[1]BBDD!$B$1:$J$3274,9,FALSE)</f>
        <v>M</v>
      </c>
      <c r="I510" s="8" t="s">
        <v>2862</v>
      </c>
      <c r="J510" s="8" t="s">
        <v>755</v>
      </c>
      <c r="L510" s="8" t="s">
        <v>119</v>
      </c>
      <c r="N510" s="8" t="s">
        <v>92</v>
      </c>
      <c r="O510" s="8" t="s">
        <v>92</v>
      </c>
      <c r="Q510" s="8" t="s">
        <v>32</v>
      </c>
      <c r="R510" s="8">
        <v>1</v>
      </c>
      <c r="S510" s="8">
        <v>6</v>
      </c>
      <c r="T510" s="8">
        <f t="shared" si="51"/>
        <v>7</v>
      </c>
      <c r="U510" s="8">
        <v>2</v>
      </c>
      <c r="V510" s="8">
        <v>1</v>
      </c>
      <c r="W510" s="8">
        <v>0</v>
      </c>
      <c r="X510" s="8">
        <v>0</v>
      </c>
      <c r="Y510" s="8">
        <v>4</v>
      </c>
      <c r="Z510" s="8">
        <v>2</v>
      </c>
      <c r="AA510" s="8">
        <v>180</v>
      </c>
      <c r="AB510" s="9">
        <f t="shared" si="52"/>
        <v>1.5</v>
      </c>
      <c r="AC510" s="10">
        <f t="shared" si="47"/>
        <v>4.666666666666667</v>
      </c>
      <c r="AD510" s="8" t="s">
        <v>33</v>
      </c>
      <c r="AE510" s="11">
        <v>165990</v>
      </c>
      <c r="AF510" s="11">
        <f t="shared" si="48"/>
        <v>1161930</v>
      </c>
      <c r="AG510" s="12" t="s">
        <v>34</v>
      </c>
      <c r="AH510" s="8" t="s">
        <v>35</v>
      </c>
    </row>
    <row r="511" spans="1:34">
      <c r="A511" s="8" t="s">
        <v>778</v>
      </c>
      <c r="B511" s="16" t="s">
        <v>2860</v>
      </c>
      <c r="C511" s="8" t="s">
        <v>40</v>
      </c>
      <c r="D511" s="8" t="s">
        <v>736</v>
      </c>
      <c r="E511" s="8" t="str">
        <f t="shared" si="46"/>
        <v>AZUL</v>
      </c>
      <c r="G511" s="8" t="s">
        <v>2862</v>
      </c>
      <c r="H511" s="8" t="str">
        <f>VLOOKUP(A511,[1]BBDD!$B$1:$J$3274,9,FALSE)</f>
        <v>M</v>
      </c>
      <c r="I511" s="8" t="s">
        <v>2862</v>
      </c>
      <c r="J511" s="8" t="s">
        <v>755</v>
      </c>
      <c r="L511" s="8" t="s">
        <v>119</v>
      </c>
      <c r="N511" s="8" t="s">
        <v>83</v>
      </c>
      <c r="O511" s="8" t="s">
        <v>83</v>
      </c>
      <c r="Q511" s="8" t="s">
        <v>45</v>
      </c>
      <c r="R511" s="8">
        <v>0</v>
      </c>
      <c r="S511" s="8">
        <v>3</v>
      </c>
      <c r="T511" s="8">
        <f t="shared" si="51"/>
        <v>3</v>
      </c>
      <c r="U511" s="8">
        <v>0</v>
      </c>
      <c r="V511" s="8">
        <v>1</v>
      </c>
      <c r="W511" s="8">
        <v>0</v>
      </c>
      <c r="X511" s="8">
        <v>4</v>
      </c>
      <c r="Y511" s="8">
        <v>0</v>
      </c>
      <c r="Z511" s="8">
        <v>0</v>
      </c>
      <c r="AA511" s="8">
        <v>180</v>
      </c>
      <c r="AB511" s="9">
        <f t="shared" si="52"/>
        <v>0.83333333333333326</v>
      </c>
      <c r="AC511" s="10">
        <f t="shared" si="47"/>
        <v>3.6000000000000005</v>
      </c>
      <c r="AD511" s="8" t="s">
        <v>109</v>
      </c>
      <c r="AE511" s="11">
        <v>165990</v>
      </c>
      <c r="AF511" s="11">
        <f t="shared" si="48"/>
        <v>497970</v>
      </c>
      <c r="AG511" s="12" t="s">
        <v>34</v>
      </c>
      <c r="AH511" s="8" t="s">
        <v>35</v>
      </c>
    </row>
    <row r="512" spans="1:34">
      <c r="A512" s="8" t="s">
        <v>779</v>
      </c>
      <c r="B512" s="16" t="s">
        <v>2860</v>
      </c>
      <c r="C512" s="8" t="s">
        <v>40</v>
      </c>
      <c r="D512" s="8" t="s">
        <v>736</v>
      </c>
      <c r="E512" s="8" t="str">
        <f t="shared" si="46"/>
        <v>BEIGE</v>
      </c>
      <c r="G512" s="8" t="s">
        <v>2862</v>
      </c>
      <c r="H512" s="8" t="str">
        <f>VLOOKUP(A512,[1]BBDD!$B$1:$J$3274,9,FALSE)</f>
        <v>M</v>
      </c>
      <c r="I512" s="8" t="s">
        <v>2862</v>
      </c>
      <c r="J512" s="8" t="s">
        <v>755</v>
      </c>
      <c r="L512" s="8" t="s">
        <v>30</v>
      </c>
      <c r="N512" s="8" t="s">
        <v>516</v>
      </c>
      <c r="O512" s="8" t="s">
        <v>516</v>
      </c>
      <c r="Q512" s="8" t="s">
        <v>32</v>
      </c>
      <c r="R512" s="8">
        <v>0</v>
      </c>
      <c r="S512" s="8">
        <v>0</v>
      </c>
      <c r="T512" s="8">
        <f t="shared" si="51"/>
        <v>0</v>
      </c>
      <c r="U512" s="8">
        <v>2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180</v>
      </c>
      <c r="AB512" s="9">
        <f t="shared" si="52"/>
        <v>0.33333333333333337</v>
      </c>
      <c r="AC512" s="10">
        <f t="shared" si="47"/>
        <v>0</v>
      </c>
      <c r="AD512" s="8" t="s">
        <v>33</v>
      </c>
      <c r="AE512" s="11">
        <v>165990</v>
      </c>
      <c r="AF512" s="11">
        <f t="shared" si="48"/>
        <v>0</v>
      </c>
      <c r="AG512" s="12" t="s">
        <v>34</v>
      </c>
      <c r="AH512" s="8" t="s">
        <v>35</v>
      </c>
    </row>
    <row r="513" spans="1:34">
      <c r="A513" s="8" t="s">
        <v>780</v>
      </c>
      <c r="B513" s="16" t="s">
        <v>2860</v>
      </c>
      <c r="C513" s="8" t="s">
        <v>40</v>
      </c>
      <c r="D513" s="8" t="s">
        <v>736</v>
      </c>
      <c r="E513" s="8" t="str">
        <f t="shared" si="46"/>
        <v>MARRON</v>
      </c>
      <c r="G513" s="8" t="s">
        <v>2862</v>
      </c>
      <c r="H513" s="8" t="str">
        <f>VLOOKUP(A513,[1]BBDD!$B$1:$J$3274,9,FALSE)</f>
        <v>M</v>
      </c>
      <c r="I513" s="8" t="s">
        <v>2862</v>
      </c>
      <c r="J513" s="8" t="s">
        <v>755</v>
      </c>
      <c r="L513" s="8" t="s">
        <v>30</v>
      </c>
      <c r="N513" s="8" t="s">
        <v>452</v>
      </c>
      <c r="O513" s="8" t="s">
        <v>452</v>
      </c>
      <c r="Q513" s="8" t="s">
        <v>32</v>
      </c>
      <c r="R513" s="8">
        <v>0</v>
      </c>
      <c r="S513" s="8">
        <v>1</v>
      </c>
      <c r="T513" s="8">
        <f t="shared" si="51"/>
        <v>1</v>
      </c>
      <c r="U513" s="8">
        <v>0</v>
      </c>
      <c r="V513" s="8">
        <v>0</v>
      </c>
      <c r="W513" s="8">
        <v>0</v>
      </c>
      <c r="X513" s="8">
        <v>0</v>
      </c>
      <c r="Y513" s="8">
        <v>2</v>
      </c>
      <c r="Z513" s="8">
        <v>1</v>
      </c>
      <c r="AA513" s="8">
        <v>180</v>
      </c>
      <c r="AB513" s="9">
        <f t="shared" si="52"/>
        <v>0.5</v>
      </c>
      <c r="AC513" s="10">
        <f t="shared" si="47"/>
        <v>2</v>
      </c>
      <c r="AD513" s="8" t="s">
        <v>33</v>
      </c>
      <c r="AE513" s="11">
        <v>165990</v>
      </c>
      <c r="AF513" s="11">
        <f t="shared" si="48"/>
        <v>165990</v>
      </c>
      <c r="AG513" s="12" t="s">
        <v>34</v>
      </c>
      <c r="AH513" s="8" t="s">
        <v>35</v>
      </c>
    </row>
    <row r="514" spans="1:34">
      <c r="A514" s="8" t="s">
        <v>781</v>
      </c>
      <c r="B514" s="16" t="s">
        <v>2860</v>
      </c>
      <c r="C514" s="8" t="s">
        <v>40</v>
      </c>
      <c r="D514" s="8" t="s">
        <v>736</v>
      </c>
      <c r="E514" s="8" t="str">
        <f t="shared" si="46"/>
        <v>DARK</v>
      </c>
      <c r="G514" s="8" t="s">
        <v>2862</v>
      </c>
      <c r="H514" s="8" t="str">
        <f>VLOOKUP(A514,[1]BBDD!$B$1:$J$3274,9,FALSE)</f>
        <v>M</v>
      </c>
      <c r="I514" s="8" t="s">
        <v>2862</v>
      </c>
      <c r="J514" s="8" t="s">
        <v>755</v>
      </c>
      <c r="L514" s="8" t="s">
        <v>189</v>
      </c>
      <c r="N514" s="8" t="s">
        <v>246</v>
      </c>
      <c r="O514" s="8" t="s">
        <v>246</v>
      </c>
      <c r="Q514" s="8" t="s">
        <v>32</v>
      </c>
      <c r="R514" s="8">
        <v>0</v>
      </c>
      <c r="S514" s="8">
        <v>0</v>
      </c>
      <c r="T514" s="8">
        <f t="shared" si="51"/>
        <v>0</v>
      </c>
      <c r="U514" s="8">
        <v>1</v>
      </c>
      <c r="V514" s="8">
        <v>1</v>
      </c>
      <c r="W514" s="8">
        <v>1</v>
      </c>
      <c r="X514" s="8">
        <v>0</v>
      </c>
      <c r="Y514" s="8">
        <v>0</v>
      </c>
      <c r="Z514" s="8">
        <v>0</v>
      </c>
      <c r="AA514" s="8">
        <v>180</v>
      </c>
      <c r="AB514" s="9">
        <f t="shared" si="52"/>
        <v>0.5</v>
      </c>
      <c r="AC514" s="10">
        <f t="shared" si="47"/>
        <v>0</v>
      </c>
      <c r="AD514" s="8" t="s">
        <v>33</v>
      </c>
      <c r="AE514" s="11">
        <v>165990</v>
      </c>
      <c r="AF514" s="11">
        <f t="shared" si="48"/>
        <v>0</v>
      </c>
      <c r="AG514" s="12" t="s">
        <v>34</v>
      </c>
      <c r="AH514" s="8" t="s">
        <v>35</v>
      </c>
    </row>
    <row r="515" spans="1:34">
      <c r="A515" s="8" t="s">
        <v>782</v>
      </c>
      <c r="B515" s="16" t="s">
        <v>2860</v>
      </c>
      <c r="C515" s="8" t="s">
        <v>40</v>
      </c>
      <c r="D515" s="8" t="s">
        <v>736</v>
      </c>
      <c r="E515" s="8" t="str">
        <f t="shared" ref="E515:E578" si="53">TRIM(N515)</f>
        <v>LIGHT</v>
      </c>
      <c r="G515" s="8" t="s">
        <v>2862</v>
      </c>
      <c r="H515" s="8" t="str">
        <f>VLOOKUP(A515,[1]BBDD!$B$1:$J$3274,9,FALSE)</f>
        <v>M</v>
      </c>
      <c r="I515" s="8" t="s">
        <v>2862</v>
      </c>
      <c r="J515" s="8" t="s">
        <v>755</v>
      </c>
      <c r="L515" s="8" t="s">
        <v>189</v>
      </c>
      <c r="N515" s="8" t="s">
        <v>783</v>
      </c>
      <c r="O515" s="8" t="s">
        <v>783</v>
      </c>
      <c r="Q515" s="8" t="s">
        <v>32</v>
      </c>
      <c r="R515" s="8">
        <v>0</v>
      </c>
      <c r="S515" s="8">
        <v>0</v>
      </c>
      <c r="T515" s="8">
        <f t="shared" si="51"/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180</v>
      </c>
      <c r="AB515" s="9">
        <f t="shared" si="52"/>
        <v>0</v>
      </c>
      <c r="AC515" s="10" t="str">
        <f t="shared" ref="AC515:AC578" si="54">IFERROR(T515/AB515,"sin venta")</f>
        <v>sin venta</v>
      </c>
      <c r="AD515" s="8" t="s">
        <v>33</v>
      </c>
      <c r="AE515" s="11">
        <v>165990</v>
      </c>
      <c r="AF515" s="11">
        <f t="shared" ref="AF515:AF578" si="55">IFERROR(AE515*T515,0)</f>
        <v>0</v>
      </c>
      <c r="AG515" s="12" t="s">
        <v>73</v>
      </c>
      <c r="AH515" s="8" t="s">
        <v>35</v>
      </c>
    </row>
    <row r="516" spans="1:34">
      <c r="A516" s="8" t="s">
        <v>784</v>
      </c>
      <c r="B516" s="16" t="s">
        <v>2860</v>
      </c>
      <c r="C516" s="8" t="s">
        <v>40</v>
      </c>
      <c r="D516" s="8" t="s">
        <v>736</v>
      </c>
      <c r="E516" s="8" t="str">
        <f t="shared" si="53"/>
        <v>CANELA</v>
      </c>
      <c r="G516" s="8" t="s">
        <v>2862</v>
      </c>
      <c r="H516" s="8" t="str">
        <f>VLOOKUP(A516,[1]BBDD!$B$1:$J$3274,9,FALSE)</f>
        <v>M</v>
      </c>
      <c r="I516" s="8" t="s">
        <v>2862</v>
      </c>
      <c r="J516" s="8" t="s">
        <v>755</v>
      </c>
      <c r="L516" s="8" t="s">
        <v>785</v>
      </c>
      <c r="N516" s="8" t="s">
        <v>786</v>
      </c>
      <c r="O516" s="8" t="s">
        <v>786</v>
      </c>
      <c r="Q516" s="8" t="s">
        <v>45</v>
      </c>
      <c r="R516" s="8">
        <v>0</v>
      </c>
      <c r="S516" s="8">
        <v>6</v>
      </c>
      <c r="T516" s="8">
        <f t="shared" si="51"/>
        <v>6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180</v>
      </c>
      <c r="AB516" s="9">
        <f t="shared" si="52"/>
        <v>0</v>
      </c>
      <c r="AC516" s="10" t="str">
        <f t="shared" si="54"/>
        <v>sin venta</v>
      </c>
      <c r="AD516" s="8" t="s">
        <v>109</v>
      </c>
      <c r="AE516" s="11">
        <v>167990</v>
      </c>
      <c r="AF516" s="11">
        <f t="shared" si="55"/>
        <v>1007940</v>
      </c>
      <c r="AG516" s="12" t="s">
        <v>73</v>
      </c>
      <c r="AH516" s="8" t="s">
        <v>35</v>
      </c>
    </row>
    <row r="517" spans="1:34">
      <c r="A517" s="8" t="s">
        <v>787</v>
      </c>
      <c r="B517" s="16" t="s">
        <v>2860</v>
      </c>
      <c r="C517" s="8" t="s">
        <v>40</v>
      </c>
      <c r="D517" s="8" t="s">
        <v>736</v>
      </c>
      <c r="E517" s="8" t="str">
        <f t="shared" si="53"/>
        <v>CEDRO</v>
      </c>
      <c r="G517" s="8" t="s">
        <v>2862</v>
      </c>
      <c r="H517" s="8" t="str">
        <f>VLOOKUP(A517,[1]BBDD!$B$1:$J$3274,9,FALSE)</f>
        <v>M</v>
      </c>
      <c r="I517" s="8" t="s">
        <v>2862</v>
      </c>
      <c r="J517" s="8" t="s">
        <v>755</v>
      </c>
      <c r="L517" s="8" t="s">
        <v>112</v>
      </c>
      <c r="N517" s="8" t="s">
        <v>113</v>
      </c>
      <c r="O517" s="8" t="s">
        <v>113</v>
      </c>
      <c r="Q517" s="8" t="s">
        <v>32</v>
      </c>
      <c r="R517" s="8">
        <v>6</v>
      </c>
      <c r="S517" s="8">
        <v>6</v>
      </c>
      <c r="T517" s="8">
        <f t="shared" si="51"/>
        <v>12</v>
      </c>
      <c r="U517" s="8">
        <v>1</v>
      </c>
      <c r="V517" s="8">
        <v>0</v>
      </c>
      <c r="W517" s="8">
        <v>0</v>
      </c>
      <c r="X517" s="8">
        <v>0</v>
      </c>
      <c r="Y517" s="8">
        <v>1</v>
      </c>
      <c r="Z517" s="8">
        <v>0</v>
      </c>
      <c r="AA517" s="8">
        <v>180</v>
      </c>
      <c r="AB517" s="9">
        <f t="shared" si="52"/>
        <v>0.33333333333333337</v>
      </c>
      <c r="AC517" s="10">
        <f t="shared" si="54"/>
        <v>35.999999999999993</v>
      </c>
      <c r="AD517" s="8" t="s">
        <v>33</v>
      </c>
      <c r="AE517" s="11">
        <v>165990</v>
      </c>
      <c r="AF517" s="11">
        <f t="shared" si="55"/>
        <v>1991880</v>
      </c>
      <c r="AG517" s="12" t="s">
        <v>73</v>
      </c>
      <c r="AH517" s="8" t="s">
        <v>65</v>
      </c>
    </row>
    <row r="518" spans="1:34">
      <c r="A518" s="8" t="s">
        <v>788</v>
      </c>
      <c r="B518" s="16" t="s">
        <v>2860</v>
      </c>
      <c r="C518" s="8" t="s">
        <v>40</v>
      </c>
      <c r="D518" s="8" t="s">
        <v>736</v>
      </c>
      <c r="E518" s="8" t="str">
        <f t="shared" si="53"/>
        <v>CAFE/TABACO</v>
      </c>
      <c r="G518" s="8" t="s">
        <v>2862</v>
      </c>
      <c r="H518" s="8" t="str">
        <f>VLOOKUP(A518,[1]BBDD!$B$1:$J$3274,9,FALSE)</f>
        <v>M</v>
      </c>
      <c r="I518" s="8" t="s">
        <v>2862</v>
      </c>
      <c r="J518" s="8" t="s">
        <v>755</v>
      </c>
      <c r="L518" s="8" t="s">
        <v>71</v>
      </c>
      <c r="N518" s="8" t="s">
        <v>423</v>
      </c>
      <c r="O518" s="8" t="s">
        <v>423</v>
      </c>
      <c r="Q518" s="8" t="s">
        <v>32</v>
      </c>
      <c r="R518" s="8">
        <v>0</v>
      </c>
      <c r="S518" s="8">
        <v>6</v>
      </c>
      <c r="T518" s="8">
        <f t="shared" si="51"/>
        <v>6</v>
      </c>
      <c r="U518" s="8">
        <v>0</v>
      </c>
      <c r="V518" s="8">
        <v>0</v>
      </c>
      <c r="W518" s="8">
        <v>2</v>
      </c>
      <c r="X518" s="8">
        <v>0</v>
      </c>
      <c r="Y518" s="8">
        <v>1</v>
      </c>
      <c r="Z518" s="8">
        <v>2</v>
      </c>
      <c r="AA518" s="8">
        <v>180</v>
      </c>
      <c r="AB518" s="9">
        <f t="shared" si="52"/>
        <v>0.83333333333333326</v>
      </c>
      <c r="AC518" s="10">
        <f t="shared" si="54"/>
        <v>7.2000000000000011</v>
      </c>
      <c r="AD518" s="8" t="s">
        <v>33</v>
      </c>
      <c r="AE518" s="11">
        <v>165990</v>
      </c>
      <c r="AF518" s="11">
        <f t="shared" si="55"/>
        <v>995940</v>
      </c>
      <c r="AG518" s="12" t="s">
        <v>51</v>
      </c>
      <c r="AH518" s="8" t="s">
        <v>35</v>
      </c>
    </row>
    <row r="519" spans="1:34">
      <c r="A519" s="8" t="s">
        <v>789</v>
      </c>
      <c r="B519" s="16" t="s">
        <v>2860</v>
      </c>
      <c r="C519" s="8" t="s">
        <v>40</v>
      </c>
      <c r="D519" s="8" t="s">
        <v>736</v>
      </c>
      <c r="E519" s="8" t="str">
        <f t="shared" si="53"/>
        <v>HEREFORD</v>
      </c>
      <c r="G519" s="8" t="s">
        <v>2862</v>
      </c>
      <c r="H519" s="8" t="str">
        <f>VLOOKUP(A519,[1]BBDD!$B$1:$J$3274,9,FALSE)</f>
        <v>M</v>
      </c>
      <c r="I519" s="8" t="s">
        <v>2862</v>
      </c>
      <c r="J519" s="8" t="s">
        <v>755</v>
      </c>
      <c r="L519" s="8" t="s">
        <v>30</v>
      </c>
      <c r="N519" s="8" t="s">
        <v>37</v>
      </c>
      <c r="O519" s="8" t="s">
        <v>37</v>
      </c>
      <c r="Q519" s="8" t="s">
        <v>32</v>
      </c>
      <c r="R519" s="8">
        <v>0</v>
      </c>
      <c r="S519" s="8">
        <v>4</v>
      </c>
      <c r="T519" s="8">
        <f t="shared" si="51"/>
        <v>4</v>
      </c>
      <c r="U519" s="8">
        <v>0</v>
      </c>
      <c r="V519" s="8">
        <v>0</v>
      </c>
      <c r="W519" s="8">
        <v>0</v>
      </c>
      <c r="X519" s="8">
        <v>0</v>
      </c>
      <c r="Y519" s="8">
        <v>4</v>
      </c>
      <c r="Z519" s="8">
        <v>1</v>
      </c>
      <c r="AA519" s="8">
        <v>180</v>
      </c>
      <c r="AB519" s="9">
        <f t="shared" si="52"/>
        <v>0.83333333333333326</v>
      </c>
      <c r="AC519" s="10">
        <f t="shared" si="54"/>
        <v>4.8000000000000007</v>
      </c>
      <c r="AD519" s="8" t="s">
        <v>33</v>
      </c>
      <c r="AE519" s="11">
        <v>165990</v>
      </c>
      <c r="AF519" s="11">
        <f t="shared" si="55"/>
        <v>663960</v>
      </c>
      <c r="AG519" s="12" t="s">
        <v>34</v>
      </c>
      <c r="AH519" s="8" t="s">
        <v>35</v>
      </c>
    </row>
    <row r="520" spans="1:34">
      <c r="A520" s="8" t="s">
        <v>790</v>
      </c>
      <c r="B520" s="16" t="s">
        <v>2860</v>
      </c>
      <c r="C520" s="8" t="s">
        <v>40</v>
      </c>
      <c r="D520" s="8" t="s">
        <v>736</v>
      </c>
      <c r="E520" s="8" t="str">
        <f t="shared" si="53"/>
        <v>HOLANDO</v>
      </c>
      <c r="G520" s="8" t="s">
        <v>2862</v>
      </c>
      <c r="H520" s="8" t="str">
        <f>VLOOKUP(A520,[1]BBDD!$B$1:$J$3274,9,FALSE)</f>
        <v>M</v>
      </c>
      <c r="I520" s="8" t="s">
        <v>2862</v>
      </c>
      <c r="J520" s="8" t="s">
        <v>755</v>
      </c>
      <c r="L520" s="8" t="s">
        <v>30</v>
      </c>
      <c r="N520" s="8" t="s">
        <v>31</v>
      </c>
      <c r="O520" s="8" t="s">
        <v>31</v>
      </c>
      <c r="Q520" s="8" t="s">
        <v>32</v>
      </c>
      <c r="R520" s="8">
        <v>0</v>
      </c>
      <c r="S520" s="8">
        <v>5</v>
      </c>
      <c r="T520" s="8">
        <f t="shared" si="51"/>
        <v>5</v>
      </c>
      <c r="U520" s="8">
        <v>1</v>
      </c>
      <c r="V520" s="8">
        <v>6</v>
      </c>
      <c r="W520" s="8">
        <v>3</v>
      </c>
      <c r="X520" s="8">
        <v>0</v>
      </c>
      <c r="Y520" s="8">
        <v>2</v>
      </c>
      <c r="Z520" s="8">
        <v>2</v>
      </c>
      <c r="AA520" s="8">
        <v>180</v>
      </c>
      <c r="AB520" s="9">
        <f t="shared" si="52"/>
        <v>2.3333333333333335</v>
      </c>
      <c r="AC520" s="10">
        <f t="shared" si="54"/>
        <v>2.1428571428571428</v>
      </c>
      <c r="AD520" s="8" t="s">
        <v>33</v>
      </c>
      <c r="AE520" s="11">
        <v>165990</v>
      </c>
      <c r="AF520" s="11">
        <f t="shared" si="55"/>
        <v>829950</v>
      </c>
      <c r="AG520" s="12" t="s">
        <v>34</v>
      </c>
      <c r="AH520" s="8" t="s">
        <v>35</v>
      </c>
    </row>
    <row r="521" spans="1:34">
      <c r="A521" s="8" t="s">
        <v>791</v>
      </c>
      <c r="B521" s="16" t="s">
        <v>2860</v>
      </c>
      <c r="C521" s="8" t="s">
        <v>40</v>
      </c>
      <c r="D521" s="8" t="s">
        <v>736</v>
      </c>
      <c r="E521" s="8" t="str">
        <f t="shared" si="53"/>
        <v>NEGRO</v>
      </c>
      <c r="G521" s="8" t="s">
        <v>2862</v>
      </c>
      <c r="H521" s="8" t="str">
        <f>VLOOKUP(A521,[1]BBDD!$B$1:$J$3274,9,FALSE)</f>
        <v>M</v>
      </c>
      <c r="I521" s="8" t="s">
        <v>2862</v>
      </c>
      <c r="J521" s="8" t="s">
        <v>792</v>
      </c>
      <c r="L521" s="8" t="s">
        <v>119</v>
      </c>
      <c r="N521" s="8" t="s">
        <v>44</v>
      </c>
      <c r="O521" s="8" t="s">
        <v>44</v>
      </c>
      <c r="Q521" s="8" t="s">
        <v>32</v>
      </c>
      <c r="R521" s="8">
        <v>5</v>
      </c>
      <c r="S521" s="8">
        <v>9</v>
      </c>
      <c r="T521" s="8">
        <f t="shared" si="51"/>
        <v>14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77</v>
      </c>
      <c r="AB521" s="9">
        <f t="shared" si="52"/>
        <v>0</v>
      </c>
      <c r="AC521" s="10" t="str">
        <f t="shared" si="54"/>
        <v>sin venta</v>
      </c>
      <c r="AD521" s="8" t="s">
        <v>33</v>
      </c>
      <c r="AE521" s="11">
        <v>165990</v>
      </c>
      <c r="AF521" s="11">
        <f t="shared" si="55"/>
        <v>2323860</v>
      </c>
      <c r="AG521" s="12" t="s">
        <v>73</v>
      </c>
      <c r="AH521" s="8" t="s">
        <v>65</v>
      </c>
    </row>
    <row r="522" spans="1:34">
      <c r="A522" s="8" t="s">
        <v>793</v>
      </c>
      <c r="B522" s="16" t="s">
        <v>2860</v>
      </c>
      <c r="C522" s="8" t="s">
        <v>40</v>
      </c>
      <c r="D522" s="8" t="s">
        <v>736</v>
      </c>
      <c r="E522" s="8" t="str">
        <f t="shared" si="53"/>
        <v>AZUL/SUELA</v>
      </c>
      <c r="G522" s="8" t="s">
        <v>2862</v>
      </c>
      <c r="H522" s="8" t="str">
        <f>VLOOKUP(A522,[1]BBDD!$B$1:$J$3274,9,FALSE)</f>
        <v>M</v>
      </c>
      <c r="I522" s="8" t="s">
        <v>2862</v>
      </c>
      <c r="J522" s="8" t="s">
        <v>792</v>
      </c>
      <c r="L522" s="8" t="s">
        <v>119</v>
      </c>
      <c r="N522" s="8" t="s">
        <v>794</v>
      </c>
      <c r="O522" s="8" t="s">
        <v>794</v>
      </c>
      <c r="Q522" s="8" t="s">
        <v>32</v>
      </c>
      <c r="R522" s="8">
        <v>3</v>
      </c>
      <c r="S522" s="8">
        <v>9</v>
      </c>
      <c r="T522" s="8">
        <f t="shared" si="51"/>
        <v>12</v>
      </c>
      <c r="U522" s="8">
        <v>0</v>
      </c>
      <c r="V522" s="8">
        <v>0</v>
      </c>
      <c r="W522" s="8">
        <v>0</v>
      </c>
      <c r="X522" s="8">
        <v>1</v>
      </c>
      <c r="Y522" s="8">
        <v>1</v>
      </c>
      <c r="Z522" s="8">
        <v>0</v>
      </c>
      <c r="AA522" s="8">
        <v>77</v>
      </c>
      <c r="AB522" s="9">
        <f t="shared" si="52"/>
        <v>0.77922077922077926</v>
      </c>
      <c r="AC522" s="10">
        <f t="shared" si="54"/>
        <v>15.399999999999999</v>
      </c>
      <c r="AD522" s="8" t="s">
        <v>33</v>
      </c>
      <c r="AE522" s="11">
        <v>165990</v>
      </c>
      <c r="AF522" s="11">
        <f t="shared" si="55"/>
        <v>1991880</v>
      </c>
      <c r="AG522" s="12" t="s">
        <v>64</v>
      </c>
      <c r="AH522" s="8" t="s">
        <v>65</v>
      </c>
    </row>
    <row r="523" spans="1:34">
      <c r="A523" s="8" t="s">
        <v>795</v>
      </c>
      <c r="B523" s="16" t="s">
        <v>2860</v>
      </c>
      <c r="C523" s="8" t="s">
        <v>40</v>
      </c>
      <c r="D523" s="8" t="s">
        <v>736</v>
      </c>
      <c r="E523" s="8" t="str">
        <f t="shared" si="53"/>
        <v>VERDE</v>
      </c>
      <c r="G523" s="8" t="s">
        <v>2862</v>
      </c>
      <c r="H523" s="8" t="str">
        <f>VLOOKUP(A523,[1]BBDD!$B$1:$J$3274,9,FALSE)</f>
        <v>M</v>
      </c>
      <c r="I523" s="8" t="s">
        <v>2862</v>
      </c>
      <c r="J523" s="8" t="s">
        <v>792</v>
      </c>
      <c r="L523" s="8" t="s">
        <v>119</v>
      </c>
      <c r="N523" s="8" t="s">
        <v>92</v>
      </c>
      <c r="O523" s="8" t="s">
        <v>92</v>
      </c>
      <c r="Q523" s="8" t="s">
        <v>32</v>
      </c>
      <c r="R523" s="8">
        <v>3</v>
      </c>
      <c r="S523" s="8">
        <v>8</v>
      </c>
      <c r="T523" s="8">
        <f t="shared" si="51"/>
        <v>11</v>
      </c>
      <c r="U523" s="8">
        <v>0</v>
      </c>
      <c r="V523" s="8">
        <v>0</v>
      </c>
      <c r="W523" s="8">
        <v>0</v>
      </c>
      <c r="X523" s="8">
        <v>0</v>
      </c>
      <c r="Y523" s="8">
        <v>1</v>
      </c>
      <c r="Z523" s="8">
        <v>0</v>
      </c>
      <c r="AA523" s="8">
        <v>77</v>
      </c>
      <c r="AB523" s="9">
        <f t="shared" si="52"/>
        <v>0.38961038961038963</v>
      </c>
      <c r="AC523" s="10">
        <f t="shared" si="54"/>
        <v>28.233333333333331</v>
      </c>
      <c r="AD523" s="8" t="s">
        <v>33</v>
      </c>
      <c r="AE523" s="11">
        <v>165990</v>
      </c>
      <c r="AF523" s="11">
        <f t="shared" si="55"/>
        <v>1825890</v>
      </c>
      <c r="AG523" s="12" t="s">
        <v>73</v>
      </c>
      <c r="AH523" s="8" t="s">
        <v>65</v>
      </c>
    </row>
    <row r="524" spans="1:34">
      <c r="A524" s="8" t="s">
        <v>796</v>
      </c>
      <c r="B524" s="16" t="s">
        <v>2860</v>
      </c>
      <c r="C524" s="8" t="s">
        <v>40</v>
      </c>
      <c r="D524" s="8" t="s">
        <v>736</v>
      </c>
      <c r="E524" s="8" t="str">
        <f t="shared" si="53"/>
        <v>CARAMELO</v>
      </c>
      <c r="G524" s="8" t="s">
        <v>2862</v>
      </c>
      <c r="H524" s="8" t="str">
        <f>VLOOKUP(A524,[1]BBDD!$B$1:$J$3274,9,FALSE)</f>
        <v>M</v>
      </c>
      <c r="I524" s="8" t="s">
        <v>2862</v>
      </c>
      <c r="J524" s="8" t="s">
        <v>797</v>
      </c>
      <c r="L524" s="8" t="s">
        <v>61</v>
      </c>
      <c r="N524" s="8" t="s">
        <v>62</v>
      </c>
      <c r="O524" s="8" t="s">
        <v>62</v>
      </c>
      <c r="Q524" s="8" t="s">
        <v>32</v>
      </c>
      <c r="R524" s="8">
        <v>5</v>
      </c>
      <c r="S524" s="8">
        <v>8</v>
      </c>
      <c r="T524" s="8">
        <f t="shared" si="51"/>
        <v>13</v>
      </c>
      <c r="U524" s="8">
        <v>0</v>
      </c>
      <c r="V524" s="8">
        <v>1</v>
      </c>
      <c r="W524" s="8">
        <v>0</v>
      </c>
      <c r="X524" s="8">
        <v>0</v>
      </c>
      <c r="Y524" s="8">
        <v>1</v>
      </c>
      <c r="Z524" s="8">
        <v>0</v>
      </c>
      <c r="AA524" s="8">
        <v>180</v>
      </c>
      <c r="AB524" s="9">
        <f t="shared" si="52"/>
        <v>0.33333333333333337</v>
      </c>
      <c r="AC524" s="10">
        <f t="shared" si="54"/>
        <v>38.999999999999993</v>
      </c>
      <c r="AD524" s="8" t="s">
        <v>33</v>
      </c>
      <c r="AE524" s="11">
        <v>199990</v>
      </c>
      <c r="AF524" s="11">
        <f t="shared" si="55"/>
        <v>2599870</v>
      </c>
      <c r="AG524" s="12" t="s">
        <v>73</v>
      </c>
      <c r="AH524" s="8" t="s">
        <v>65</v>
      </c>
    </row>
    <row r="525" spans="1:34">
      <c r="A525" s="8" t="s">
        <v>798</v>
      </c>
      <c r="B525" s="16" t="s">
        <v>2860</v>
      </c>
      <c r="C525" s="8" t="s">
        <v>40</v>
      </c>
      <c r="D525" s="8" t="s">
        <v>736</v>
      </c>
      <c r="E525" s="8" t="str">
        <f t="shared" si="53"/>
        <v>CHOCOLATE</v>
      </c>
      <c r="G525" s="8" t="s">
        <v>2862</v>
      </c>
      <c r="H525" s="8" t="str">
        <f>VLOOKUP(A525,[1]BBDD!$B$1:$J$3274,9,FALSE)</f>
        <v>M</v>
      </c>
      <c r="I525" s="8" t="s">
        <v>2862</v>
      </c>
      <c r="J525" s="8" t="s">
        <v>797</v>
      </c>
      <c r="L525" s="8" t="s">
        <v>61</v>
      </c>
      <c r="N525" s="8" t="s">
        <v>252</v>
      </c>
      <c r="O525" s="8" t="s">
        <v>252</v>
      </c>
      <c r="Q525" s="8" t="s">
        <v>32</v>
      </c>
      <c r="R525" s="8">
        <v>0</v>
      </c>
      <c r="S525" s="8">
        <v>4</v>
      </c>
      <c r="T525" s="8">
        <f t="shared" si="51"/>
        <v>4</v>
      </c>
      <c r="U525" s="8">
        <v>2</v>
      </c>
      <c r="V525" s="8">
        <v>0</v>
      </c>
      <c r="W525" s="8">
        <v>1</v>
      </c>
      <c r="X525" s="8">
        <v>0</v>
      </c>
      <c r="Y525" s="8">
        <v>3</v>
      </c>
      <c r="Z525" s="8">
        <v>0</v>
      </c>
      <c r="AA525" s="8">
        <v>180</v>
      </c>
      <c r="AB525" s="9">
        <f t="shared" si="52"/>
        <v>1</v>
      </c>
      <c r="AC525" s="10">
        <f t="shared" si="54"/>
        <v>4</v>
      </c>
      <c r="AD525" s="8" t="s">
        <v>33</v>
      </c>
      <c r="AE525" s="11">
        <v>199990</v>
      </c>
      <c r="AF525" s="11">
        <f t="shared" si="55"/>
        <v>799960</v>
      </c>
      <c r="AG525" s="12" t="s">
        <v>34</v>
      </c>
      <c r="AH525" s="8" t="s">
        <v>35</v>
      </c>
    </row>
    <row r="526" spans="1:34">
      <c r="A526" s="8" t="s">
        <v>799</v>
      </c>
      <c r="B526" s="16" t="s">
        <v>2860</v>
      </c>
      <c r="C526" s="8" t="s">
        <v>40</v>
      </c>
      <c r="D526" s="8" t="s">
        <v>736</v>
      </c>
      <c r="E526" s="8" t="str">
        <f t="shared" si="53"/>
        <v>MALBEC</v>
      </c>
      <c r="G526" s="8" t="s">
        <v>2862</v>
      </c>
      <c r="H526" s="8" t="str">
        <f>VLOOKUP(A526,[1]BBDD!$B$1:$J$3274,9,FALSE)</f>
        <v>M</v>
      </c>
      <c r="I526" s="8" t="s">
        <v>2862</v>
      </c>
      <c r="J526" s="8" t="s">
        <v>797</v>
      </c>
      <c r="L526" s="8" t="s">
        <v>61</v>
      </c>
      <c r="N526" s="8" t="s">
        <v>69</v>
      </c>
      <c r="O526" s="8" t="s">
        <v>69</v>
      </c>
      <c r="Q526" s="8" t="s">
        <v>32</v>
      </c>
      <c r="R526" s="8">
        <v>3</v>
      </c>
      <c r="S526" s="8">
        <v>5</v>
      </c>
      <c r="T526" s="8">
        <f t="shared" si="51"/>
        <v>8</v>
      </c>
      <c r="U526" s="8">
        <v>1</v>
      </c>
      <c r="V526" s="8">
        <v>0</v>
      </c>
      <c r="W526" s="8">
        <v>0</v>
      </c>
      <c r="X526" s="8">
        <v>0</v>
      </c>
      <c r="Y526" s="8">
        <v>1</v>
      </c>
      <c r="Z526" s="8">
        <v>1</v>
      </c>
      <c r="AA526" s="8">
        <v>180</v>
      </c>
      <c r="AB526" s="9">
        <f t="shared" si="52"/>
        <v>0.5</v>
      </c>
      <c r="AC526" s="10">
        <f t="shared" si="54"/>
        <v>16</v>
      </c>
      <c r="AD526" s="8" t="s">
        <v>33</v>
      </c>
      <c r="AE526" s="11">
        <v>199990</v>
      </c>
      <c r="AF526" s="11">
        <f t="shared" si="55"/>
        <v>1599920</v>
      </c>
      <c r="AG526" s="12" t="s">
        <v>64</v>
      </c>
      <c r="AH526" s="8" t="s">
        <v>35</v>
      </c>
    </row>
    <row r="527" spans="1:34">
      <c r="A527" s="8" t="s">
        <v>800</v>
      </c>
      <c r="B527" s="16" t="s">
        <v>2860</v>
      </c>
      <c r="C527" s="8" t="s">
        <v>40</v>
      </c>
      <c r="D527" s="8" t="s">
        <v>736</v>
      </c>
      <c r="E527" s="8" t="str">
        <f t="shared" si="53"/>
        <v>NEGRO</v>
      </c>
      <c r="G527" s="8" t="s">
        <v>2862</v>
      </c>
      <c r="H527" s="8" t="str">
        <f>VLOOKUP(A527,[1]BBDD!$B$1:$J$3274,9,FALSE)</f>
        <v>M</v>
      </c>
      <c r="I527" s="8" t="s">
        <v>2862</v>
      </c>
      <c r="J527" s="8" t="s">
        <v>797</v>
      </c>
      <c r="L527" s="8" t="s">
        <v>61</v>
      </c>
      <c r="N527" s="8" t="s">
        <v>44</v>
      </c>
      <c r="O527" s="8" t="s">
        <v>44</v>
      </c>
      <c r="Q527" s="8" t="s">
        <v>32</v>
      </c>
      <c r="R527" s="8">
        <v>5</v>
      </c>
      <c r="S527" s="8">
        <v>6</v>
      </c>
      <c r="T527" s="8">
        <f t="shared" si="51"/>
        <v>11</v>
      </c>
      <c r="U527" s="8">
        <v>2</v>
      </c>
      <c r="V527" s="8">
        <v>0</v>
      </c>
      <c r="W527" s="8">
        <v>2</v>
      </c>
      <c r="X527" s="8">
        <v>1</v>
      </c>
      <c r="Y527" s="8">
        <v>0</v>
      </c>
      <c r="Z527" s="8">
        <v>1</v>
      </c>
      <c r="AA527" s="8">
        <v>180</v>
      </c>
      <c r="AB527" s="9">
        <f t="shared" si="52"/>
        <v>1</v>
      </c>
      <c r="AC527" s="10">
        <f t="shared" si="54"/>
        <v>11</v>
      </c>
      <c r="AD527" s="8" t="s">
        <v>33</v>
      </c>
      <c r="AE527" s="11">
        <v>199990</v>
      </c>
      <c r="AF527" s="11">
        <f t="shared" si="55"/>
        <v>2199890</v>
      </c>
      <c r="AG527" s="12" t="s">
        <v>51</v>
      </c>
      <c r="AH527" s="8" t="s">
        <v>65</v>
      </c>
    </row>
    <row r="528" spans="1:34">
      <c r="A528" s="8" t="s">
        <v>801</v>
      </c>
      <c r="B528" s="16" t="s">
        <v>2860</v>
      </c>
      <c r="C528" s="8" t="s">
        <v>40</v>
      </c>
      <c r="D528" s="8" t="s">
        <v>736</v>
      </c>
      <c r="E528" s="8" t="str">
        <f t="shared" si="53"/>
        <v>TABACO</v>
      </c>
      <c r="G528" s="8" t="s">
        <v>2862</v>
      </c>
      <c r="H528" s="8" t="str">
        <f>VLOOKUP(A528,[1]BBDD!$B$1:$J$3274,9,FALSE)</f>
        <v>M</v>
      </c>
      <c r="I528" s="8" t="s">
        <v>2862</v>
      </c>
      <c r="J528" s="8" t="s">
        <v>797</v>
      </c>
      <c r="L528" s="8" t="s">
        <v>61</v>
      </c>
      <c r="N528" s="8" t="s">
        <v>67</v>
      </c>
      <c r="O528" s="8" t="s">
        <v>67</v>
      </c>
      <c r="Q528" s="8" t="s">
        <v>32</v>
      </c>
      <c r="R528" s="8">
        <v>2</v>
      </c>
      <c r="S528" s="8">
        <v>10</v>
      </c>
      <c r="T528" s="8">
        <f t="shared" si="51"/>
        <v>12</v>
      </c>
      <c r="U528" s="8">
        <v>1</v>
      </c>
      <c r="V528" s="8">
        <v>0</v>
      </c>
      <c r="W528" s="8">
        <v>0</v>
      </c>
      <c r="X528" s="8">
        <v>0</v>
      </c>
      <c r="Y528" s="8">
        <v>1</v>
      </c>
      <c r="Z528" s="8">
        <v>0</v>
      </c>
      <c r="AA528" s="8">
        <v>180</v>
      </c>
      <c r="AB528" s="9">
        <f t="shared" si="52"/>
        <v>0.33333333333333337</v>
      </c>
      <c r="AC528" s="10">
        <f t="shared" si="54"/>
        <v>35.999999999999993</v>
      </c>
      <c r="AD528" s="8" t="s">
        <v>33</v>
      </c>
      <c r="AE528" s="11">
        <v>199990</v>
      </c>
      <c r="AF528" s="11">
        <f t="shared" si="55"/>
        <v>2399880</v>
      </c>
      <c r="AG528" s="12" t="s">
        <v>73</v>
      </c>
      <c r="AH528" s="8" t="s">
        <v>65</v>
      </c>
    </row>
    <row r="529" spans="1:34">
      <c r="A529" s="8" t="s">
        <v>802</v>
      </c>
      <c r="B529" s="16" t="s">
        <v>2860</v>
      </c>
      <c r="C529" s="8" t="s">
        <v>40</v>
      </c>
      <c r="D529" s="8" t="s">
        <v>736</v>
      </c>
      <c r="E529" s="8" t="str">
        <f t="shared" si="53"/>
        <v>CEDRO</v>
      </c>
      <c r="G529" s="8" t="s">
        <v>2862</v>
      </c>
      <c r="H529" s="8" t="str">
        <f>VLOOKUP(A529,[1]BBDD!$B$1:$J$3274,9,FALSE)</f>
        <v>M</v>
      </c>
      <c r="I529" s="8" t="s">
        <v>2862</v>
      </c>
      <c r="J529" s="8" t="s">
        <v>797</v>
      </c>
      <c r="L529" s="8" t="s">
        <v>112</v>
      </c>
      <c r="N529" s="8" t="s">
        <v>113</v>
      </c>
      <c r="O529" s="8" t="s">
        <v>113</v>
      </c>
      <c r="Q529" s="8" t="s">
        <v>32</v>
      </c>
      <c r="R529" s="8">
        <v>0</v>
      </c>
      <c r="S529" s="8">
        <v>3</v>
      </c>
      <c r="T529" s="8">
        <f t="shared" si="51"/>
        <v>3</v>
      </c>
      <c r="U529" s="8">
        <v>3</v>
      </c>
      <c r="V529" s="8">
        <v>1</v>
      </c>
      <c r="W529" s="8">
        <v>0</v>
      </c>
      <c r="X529" s="8">
        <v>0</v>
      </c>
      <c r="Y529" s="8">
        <v>2</v>
      </c>
      <c r="Z529" s="8">
        <v>0</v>
      </c>
      <c r="AA529" s="8">
        <v>180</v>
      </c>
      <c r="AB529" s="9">
        <f t="shared" si="52"/>
        <v>1</v>
      </c>
      <c r="AC529" s="10">
        <f t="shared" si="54"/>
        <v>3</v>
      </c>
      <c r="AD529" s="8" t="s">
        <v>33</v>
      </c>
      <c r="AE529" s="11">
        <v>199990</v>
      </c>
      <c r="AF529" s="11">
        <f t="shared" si="55"/>
        <v>599970</v>
      </c>
      <c r="AG529" s="12" t="s">
        <v>34</v>
      </c>
      <c r="AH529" s="8" t="s">
        <v>35</v>
      </c>
    </row>
    <row r="530" spans="1:34">
      <c r="A530" s="8" t="s">
        <v>803</v>
      </c>
      <c r="B530" s="16" t="s">
        <v>2860</v>
      </c>
      <c r="C530" s="8" t="s">
        <v>40</v>
      </c>
      <c r="D530" s="8" t="s">
        <v>736</v>
      </c>
      <c r="E530" s="8" t="str">
        <f t="shared" si="53"/>
        <v>CARAMELO</v>
      </c>
      <c r="G530" s="8" t="s">
        <v>2862</v>
      </c>
      <c r="H530" s="8" t="str">
        <f>VLOOKUP(A530,[1]BBDD!$B$1:$J$3274,9,FALSE)</f>
        <v>M</v>
      </c>
      <c r="I530" s="8" t="s">
        <v>2862</v>
      </c>
      <c r="J530" s="8" t="s">
        <v>804</v>
      </c>
      <c r="L530" s="8" t="s">
        <v>61</v>
      </c>
      <c r="N530" s="8" t="s">
        <v>62</v>
      </c>
      <c r="O530" s="8" t="s">
        <v>62</v>
      </c>
      <c r="Q530" s="8" t="s">
        <v>32</v>
      </c>
      <c r="R530" s="8">
        <v>5</v>
      </c>
      <c r="S530" s="8">
        <v>7</v>
      </c>
      <c r="T530" s="8">
        <f t="shared" si="51"/>
        <v>12</v>
      </c>
      <c r="U530" s="8">
        <v>2</v>
      </c>
      <c r="V530" s="8">
        <v>1</v>
      </c>
      <c r="W530" s="8">
        <v>1</v>
      </c>
      <c r="X530" s="8">
        <v>0</v>
      </c>
      <c r="Y530" s="8">
        <v>1</v>
      </c>
      <c r="Z530" s="8">
        <v>0</v>
      </c>
      <c r="AA530" s="8">
        <v>180</v>
      </c>
      <c r="AB530" s="9">
        <f t="shared" si="52"/>
        <v>0.83333333333333326</v>
      </c>
      <c r="AC530" s="10">
        <f t="shared" si="54"/>
        <v>14.400000000000002</v>
      </c>
      <c r="AD530" s="8" t="s">
        <v>33</v>
      </c>
      <c r="AE530" s="11">
        <v>199990</v>
      </c>
      <c r="AF530" s="11">
        <f t="shared" si="55"/>
        <v>2399880</v>
      </c>
      <c r="AG530" s="12" t="s">
        <v>64</v>
      </c>
      <c r="AH530" s="8" t="s">
        <v>65</v>
      </c>
    </row>
    <row r="531" spans="1:34">
      <c r="A531" s="8" t="s">
        <v>805</v>
      </c>
      <c r="B531" s="16" t="s">
        <v>2860</v>
      </c>
      <c r="C531" s="8" t="s">
        <v>40</v>
      </c>
      <c r="D531" s="8" t="s">
        <v>736</v>
      </c>
      <c r="E531" s="8" t="str">
        <f t="shared" si="53"/>
        <v>NEGRO</v>
      </c>
      <c r="G531" s="8" t="s">
        <v>2862</v>
      </c>
      <c r="H531" s="8" t="str">
        <f>VLOOKUP(A531,[1]BBDD!$B$1:$J$3274,9,FALSE)</f>
        <v>M</v>
      </c>
      <c r="I531" s="8" t="s">
        <v>2862</v>
      </c>
      <c r="J531" s="8" t="s">
        <v>804</v>
      </c>
      <c r="L531" s="8" t="s">
        <v>61</v>
      </c>
      <c r="N531" s="8" t="s">
        <v>44</v>
      </c>
      <c r="O531" s="8" t="s">
        <v>44</v>
      </c>
      <c r="Q531" s="8" t="s">
        <v>32</v>
      </c>
      <c r="R531" s="8">
        <v>10</v>
      </c>
      <c r="S531" s="8">
        <v>7</v>
      </c>
      <c r="T531" s="8">
        <f t="shared" si="51"/>
        <v>17</v>
      </c>
      <c r="U531" s="8">
        <v>1</v>
      </c>
      <c r="V531" s="8">
        <v>0</v>
      </c>
      <c r="W531" s="8">
        <v>0</v>
      </c>
      <c r="X531" s="8">
        <v>1</v>
      </c>
      <c r="Y531" s="8">
        <v>0</v>
      </c>
      <c r="Z531" s="8">
        <v>0</v>
      </c>
      <c r="AA531" s="8">
        <v>180</v>
      </c>
      <c r="AB531" s="9">
        <f t="shared" si="52"/>
        <v>0.33333333333333337</v>
      </c>
      <c r="AC531" s="10">
        <f t="shared" si="54"/>
        <v>50.999999999999993</v>
      </c>
      <c r="AD531" s="8" t="s">
        <v>33</v>
      </c>
      <c r="AE531" s="11">
        <v>199990</v>
      </c>
      <c r="AF531" s="11">
        <f t="shared" si="55"/>
        <v>3399830</v>
      </c>
      <c r="AG531" s="12" t="s">
        <v>73</v>
      </c>
      <c r="AH531" s="8" t="s">
        <v>65</v>
      </c>
    </row>
    <row r="532" spans="1:34">
      <c r="A532" s="8" t="s">
        <v>806</v>
      </c>
      <c r="B532" s="16" t="s">
        <v>2860</v>
      </c>
      <c r="C532" s="8" t="s">
        <v>40</v>
      </c>
      <c r="D532" s="8" t="s">
        <v>736</v>
      </c>
      <c r="E532" s="8" t="str">
        <f t="shared" si="53"/>
        <v>TABACO</v>
      </c>
      <c r="G532" s="8" t="s">
        <v>2862</v>
      </c>
      <c r="H532" s="8" t="str">
        <f>VLOOKUP(A532,[1]BBDD!$B$1:$J$3274,9,FALSE)</f>
        <v>M</v>
      </c>
      <c r="I532" s="8" t="s">
        <v>2862</v>
      </c>
      <c r="J532" s="8" t="s">
        <v>804</v>
      </c>
      <c r="L532" s="8" t="s">
        <v>61</v>
      </c>
      <c r="N532" s="8" t="s">
        <v>67</v>
      </c>
      <c r="O532" s="8" t="s">
        <v>67</v>
      </c>
      <c r="Q532" s="8" t="s">
        <v>32</v>
      </c>
      <c r="R532" s="8">
        <v>6</v>
      </c>
      <c r="S532" s="8">
        <v>9</v>
      </c>
      <c r="T532" s="8">
        <f t="shared" si="51"/>
        <v>15</v>
      </c>
      <c r="U532" s="8">
        <v>0</v>
      </c>
      <c r="V532" s="8">
        <v>1</v>
      </c>
      <c r="W532" s="8">
        <v>0</v>
      </c>
      <c r="X532" s="8">
        <v>0</v>
      </c>
      <c r="Y532" s="8">
        <v>1</v>
      </c>
      <c r="Z532" s="8">
        <v>1</v>
      </c>
      <c r="AA532" s="8">
        <v>180</v>
      </c>
      <c r="AB532" s="9">
        <f t="shared" si="52"/>
        <v>0.5</v>
      </c>
      <c r="AC532" s="10">
        <f t="shared" si="54"/>
        <v>30</v>
      </c>
      <c r="AD532" s="8" t="s">
        <v>33</v>
      </c>
      <c r="AE532" s="11">
        <v>199990</v>
      </c>
      <c r="AF532" s="11">
        <f t="shared" si="55"/>
        <v>2999850</v>
      </c>
      <c r="AG532" s="12" t="s">
        <v>73</v>
      </c>
      <c r="AH532" s="8" t="s">
        <v>65</v>
      </c>
    </row>
    <row r="533" spans="1:34">
      <c r="A533" s="8" t="s">
        <v>807</v>
      </c>
      <c r="B533" s="16" t="s">
        <v>2860</v>
      </c>
      <c r="C533" s="8" t="s">
        <v>40</v>
      </c>
      <c r="D533" s="8" t="s">
        <v>736</v>
      </c>
      <c r="E533" s="8" t="str">
        <f t="shared" si="53"/>
        <v>ROJO</v>
      </c>
      <c r="G533" s="8" t="s">
        <v>2862</v>
      </c>
      <c r="H533" s="8" t="str">
        <f>VLOOKUP(A533,[1]BBDD!$B$1:$J$3274,9,FALSE)</f>
        <v>M</v>
      </c>
      <c r="I533" s="8" t="s">
        <v>2862</v>
      </c>
      <c r="J533" s="8" t="s">
        <v>804</v>
      </c>
      <c r="L533" s="8" t="s">
        <v>61</v>
      </c>
      <c r="N533" s="8" t="s">
        <v>88</v>
      </c>
      <c r="O533" s="8" t="s">
        <v>88</v>
      </c>
      <c r="Q533" s="8" t="s">
        <v>45</v>
      </c>
      <c r="R533" s="8">
        <v>1</v>
      </c>
      <c r="S533" s="8">
        <v>8</v>
      </c>
      <c r="T533" s="8">
        <f t="shared" si="51"/>
        <v>9</v>
      </c>
      <c r="U533" s="8">
        <v>1</v>
      </c>
      <c r="V533" s="8">
        <v>2</v>
      </c>
      <c r="W533" s="8">
        <v>0</v>
      </c>
      <c r="X533" s="8">
        <v>0</v>
      </c>
      <c r="Y533" s="8">
        <v>0</v>
      </c>
      <c r="Z533" s="8">
        <v>0</v>
      </c>
      <c r="AA533" s="8">
        <v>180</v>
      </c>
      <c r="AB533" s="9">
        <f t="shared" si="52"/>
        <v>0.5</v>
      </c>
      <c r="AC533" s="10">
        <f t="shared" si="54"/>
        <v>18</v>
      </c>
      <c r="AD533" s="8" t="s">
        <v>109</v>
      </c>
      <c r="AE533" s="11">
        <v>199990</v>
      </c>
      <c r="AF533" s="11">
        <f t="shared" si="55"/>
        <v>1799910</v>
      </c>
      <c r="AG533" s="12" t="s">
        <v>64</v>
      </c>
      <c r="AH533" s="8" t="s">
        <v>35</v>
      </c>
    </row>
    <row r="534" spans="1:34">
      <c r="A534" s="8" t="s">
        <v>808</v>
      </c>
      <c r="B534" s="16" t="s">
        <v>2860</v>
      </c>
      <c r="C534" s="8" t="s">
        <v>40</v>
      </c>
      <c r="D534" s="8" t="s">
        <v>736</v>
      </c>
      <c r="E534" s="8" t="str">
        <f t="shared" si="53"/>
        <v>CARAMELO</v>
      </c>
      <c r="G534" s="8" t="s">
        <v>2862</v>
      </c>
      <c r="H534" s="8" t="str">
        <f>VLOOKUP(A534,[1]BBDD!$B$1:$J$3274,9,FALSE)</f>
        <v>M</v>
      </c>
      <c r="I534" s="8" t="s">
        <v>2862</v>
      </c>
      <c r="J534" s="8" t="s">
        <v>809</v>
      </c>
      <c r="L534" s="8" t="s">
        <v>61</v>
      </c>
      <c r="N534" s="8" t="s">
        <v>62</v>
      </c>
      <c r="O534" s="8" t="s">
        <v>62</v>
      </c>
      <c r="Q534" s="8" t="s">
        <v>45</v>
      </c>
      <c r="R534" s="8">
        <v>0</v>
      </c>
      <c r="S534" s="8">
        <v>3</v>
      </c>
      <c r="T534" s="8">
        <f t="shared" si="51"/>
        <v>3</v>
      </c>
      <c r="U534" s="8">
        <v>0</v>
      </c>
      <c r="V534" s="8">
        <v>0</v>
      </c>
      <c r="W534" s="8">
        <v>1</v>
      </c>
      <c r="X534" s="8">
        <v>1</v>
      </c>
      <c r="Y534" s="8">
        <v>0</v>
      </c>
      <c r="Z534" s="8">
        <v>0</v>
      </c>
      <c r="AA534" s="8">
        <v>180</v>
      </c>
      <c r="AB534" s="9">
        <f t="shared" si="52"/>
        <v>0.33333333333333337</v>
      </c>
      <c r="AC534" s="10">
        <f t="shared" si="54"/>
        <v>8.9999999999999982</v>
      </c>
      <c r="AD534" s="8" t="s">
        <v>46</v>
      </c>
      <c r="AE534" s="11">
        <v>229990</v>
      </c>
      <c r="AF534" s="11">
        <f t="shared" si="55"/>
        <v>689970</v>
      </c>
      <c r="AG534" s="12" t="s">
        <v>51</v>
      </c>
      <c r="AH534" s="8" t="s">
        <v>35</v>
      </c>
    </row>
    <row r="535" spans="1:34">
      <c r="A535" s="8" t="s">
        <v>810</v>
      </c>
      <c r="B535" s="16" t="s">
        <v>2860</v>
      </c>
      <c r="C535" s="8" t="s">
        <v>40</v>
      </c>
      <c r="D535" s="8" t="s">
        <v>736</v>
      </c>
      <c r="E535" s="8" t="str">
        <f t="shared" si="53"/>
        <v>NEGRO</v>
      </c>
      <c r="G535" s="8" t="s">
        <v>2862</v>
      </c>
      <c r="H535" s="8" t="str">
        <f>VLOOKUP(A535,[1]BBDD!$B$1:$J$3274,9,FALSE)</f>
        <v>M</v>
      </c>
      <c r="I535" s="8" t="s">
        <v>2862</v>
      </c>
      <c r="J535" s="8" t="s">
        <v>809</v>
      </c>
      <c r="L535" s="8" t="s">
        <v>61</v>
      </c>
      <c r="N535" s="8" t="s">
        <v>44</v>
      </c>
      <c r="O535" s="8" t="s">
        <v>44</v>
      </c>
      <c r="Q535" s="8" t="s">
        <v>45</v>
      </c>
      <c r="R535" s="8">
        <v>4</v>
      </c>
      <c r="S535" s="8">
        <v>6</v>
      </c>
      <c r="T535" s="8">
        <f t="shared" si="51"/>
        <v>10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180</v>
      </c>
      <c r="AB535" s="9">
        <f t="shared" si="52"/>
        <v>0</v>
      </c>
      <c r="AC535" s="10" t="str">
        <f t="shared" si="54"/>
        <v>sin venta</v>
      </c>
      <c r="AD535" s="8" t="s">
        <v>46</v>
      </c>
      <c r="AE535" s="11">
        <v>229990</v>
      </c>
      <c r="AF535" s="11">
        <f t="shared" si="55"/>
        <v>2299900</v>
      </c>
      <c r="AG535" s="12" t="s">
        <v>73</v>
      </c>
      <c r="AH535" s="8" t="s">
        <v>35</v>
      </c>
    </row>
    <row r="536" spans="1:34">
      <c r="A536" s="8" t="s">
        <v>811</v>
      </c>
      <c r="B536" s="16" t="s">
        <v>2860</v>
      </c>
      <c r="C536" s="8" t="s">
        <v>40</v>
      </c>
      <c r="D536" s="8" t="s">
        <v>736</v>
      </c>
      <c r="E536" s="8" t="str">
        <f t="shared" si="53"/>
        <v>ROJO</v>
      </c>
      <c r="G536" s="8" t="s">
        <v>2862</v>
      </c>
      <c r="H536" s="8" t="str">
        <f>VLOOKUP(A536,[1]BBDD!$B$1:$J$3274,9,FALSE)</f>
        <v>M</v>
      </c>
      <c r="I536" s="8" t="s">
        <v>2862</v>
      </c>
      <c r="J536" s="8" t="s">
        <v>809</v>
      </c>
      <c r="L536" s="8" t="s">
        <v>61</v>
      </c>
      <c r="N536" s="8" t="s">
        <v>88</v>
      </c>
      <c r="O536" s="8" t="s">
        <v>88</v>
      </c>
      <c r="Q536" s="8" t="s">
        <v>45</v>
      </c>
      <c r="R536" s="8">
        <v>2</v>
      </c>
      <c r="S536" s="8">
        <v>4</v>
      </c>
      <c r="T536" s="8">
        <f t="shared" si="51"/>
        <v>6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180</v>
      </c>
      <c r="AB536" s="9">
        <f t="shared" si="52"/>
        <v>0</v>
      </c>
      <c r="AC536" s="10" t="str">
        <f t="shared" si="54"/>
        <v>sin venta</v>
      </c>
      <c r="AD536" s="8" t="s">
        <v>46</v>
      </c>
      <c r="AE536" s="11">
        <v>229990</v>
      </c>
      <c r="AF536" s="11">
        <f t="shared" si="55"/>
        <v>1379940</v>
      </c>
      <c r="AG536" s="12" t="s">
        <v>73</v>
      </c>
      <c r="AH536" s="8" t="s">
        <v>35</v>
      </c>
    </row>
    <row r="537" spans="1:34">
      <c r="A537" s="8" t="s">
        <v>812</v>
      </c>
      <c r="B537" s="16" t="s">
        <v>2860</v>
      </c>
      <c r="C537" s="8" t="s">
        <v>40</v>
      </c>
      <c r="D537" s="8" t="s">
        <v>736</v>
      </c>
      <c r="E537" s="8" t="str">
        <f t="shared" si="53"/>
        <v>TABACO</v>
      </c>
      <c r="G537" s="8" t="s">
        <v>2862</v>
      </c>
      <c r="H537" s="8" t="str">
        <f>VLOOKUP(A537,[1]BBDD!$B$1:$J$3274,9,FALSE)</f>
        <v>M</v>
      </c>
      <c r="I537" s="8" t="s">
        <v>2862</v>
      </c>
      <c r="J537" s="8" t="s">
        <v>809</v>
      </c>
      <c r="L537" s="8" t="s">
        <v>61</v>
      </c>
      <c r="N537" s="8" t="s">
        <v>67</v>
      </c>
      <c r="O537" s="8" t="s">
        <v>67</v>
      </c>
      <c r="Q537" s="8" t="s">
        <v>45</v>
      </c>
      <c r="R537" s="8">
        <v>4</v>
      </c>
      <c r="S537" s="8">
        <v>5</v>
      </c>
      <c r="T537" s="8">
        <f t="shared" si="51"/>
        <v>9</v>
      </c>
      <c r="U537" s="8">
        <v>0</v>
      </c>
      <c r="V537" s="8">
        <v>0</v>
      </c>
      <c r="W537" s="8">
        <v>1</v>
      </c>
      <c r="X537" s="8">
        <v>0</v>
      </c>
      <c r="Y537" s="8">
        <v>0</v>
      </c>
      <c r="Z537" s="8">
        <v>0</v>
      </c>
      <c r="AA537" s="8">
        <v>180</v>
      </c>
      <c r="AB537" s="9">
        <f t="shared" si="52"/>
        <v>0.16666666666666669</v>
      </c>
      <c r="AC537" s="10">
        <f t="shared" si="54"/>
        <v>53.999999999999993</v>
      </c>
      <c r="AD537" s="8" t="s">
        <v>46</v>
      </c>
      <c r="AE537" s="11">
        <v>229990</v>
      </c>
      <c r="AF537" s="11">
        <f t="shared" si="55"/>
        <v>2069910</v>
      </c>
      <c r="AG537" s="12" t="s">
        <v>73</v>
      </c>
      <c r="AH537" s="8" t="s">
        <v>35</v>
      </c>
    </row>
    <row r="538" spans="1:34">
      <c r="A538" s="8" t="s">
        <v>813</v>
      </c>
      <c r="B538" s="16" t="s">
        <v>2860</v>
      </c>
      <c r="C538" s="8" t="s">
        <v>40</v>
      </c>
      <c r="D538" s="8" t="s">
        <v>736</v>
      </c>
      <c r="E538" s="8" t="str">
        <f t="shared" si="53"/>
        <v>CEDRO</v>
      </c>
      <c r="G538" s="8" t="s">
        <v>2862</v>
      </c>
      <c r="H538" s="8" t="str">
        <f>VLOOKUP(A538,[1]BBDD!$B$1:$J$3274,9,FALSE)</f>
        <v>M</v>
      </c>
      <c r="I538" s="8" t="s">
        <v>2862</v>
      </c>
      <c r="J538" s="8" t="s">
        <v>809</v>
      </c>
      <c r="L538" s="8" t="s">
        <v>112</v>
      </c>
      <c r="N538" s="8" t="s">
        <v>113</v>
      </c>
      <c r="O538" s="8" t="s">
        <v>113</v>
      </c>
      <c r="Q538" s="8" t="s">
        <v>45</v>
      </c>
      <c r="R538" s="8">
        <v>0</v>
      </c>
      <c r="S538" s="8">
        <v>1</v>
      </c>
      <c r="T538" s="8">
        <f t="shared" si="51"/>
        <v>1</v>
      </c>
      <c r="U538" s="8">
        <v>0</v>
      </c>
      <c r="V538" s="8">
        <v>0</v>
      </c>
      <c r="W538" s="8">
        <v>0</v>
      </c>
      <c r="X538" s="8">
        <v>1</v>
      </c>
      <c r="Y538" s="8">
        <v>0</v>
      </c>
      <c r="Z538" s="8">
        <v>0</v>
      </c>
      <c r="AA538" s="8">
        <v>180</v>
      </c>
      <c r="AB538" s="9">
        <f t="shared" si="52"/>
        <v>0.16666666666666669</v>
      </c>
      <c r="AC538" s="10">
        <f t="shared" si="54"/>
        <v>5.9999999999999991</v>
      </c>
      <c r="AD538" s="8" t="s">
        <v>46</v>
      </c>
      <c r="AE538" s="11">
        <v>229990</v>
      </c>
      <c r="AF538" s="11">
        <f t="shared" si="55"/>
        <v>229990</v>
      </c>
      <c r="AG538" s="12" t="s">
        <v>34</v>
      </c>
      <c r="AH538" s="8" t="s">
        <v>35</v>
      </c>
    </row>
    <row r="539" spans="1:34">
      <c r="A539" s="8" t="s">
        <v>814</v>
      </c>
      <c r="B539" s="16" t="s">
        <v>2860</v>
      </c>
      <c r="C539" s="8" t="s">
        <v>40</v>
      </c>
      <c r="D539" s="8" t="s">
        <v>736</v>
      </c>
      <c r="E539" s="8" t="str">
        <f t="shared" si="53"/>
        <v>CAFE/TABACO</v>
      </c>
      <c r="G539" s="8" t="s">
        <v>2862</v>
      </c>
      <c r="H539" s="8" t="str">
        <f>VLOOKUP(A539,[1]BBDD!$B$1:$J$3274,9,FALSE)</f>
        <v>M</v>
      </c>
      <c r="I539" s="8" t="s">
        <v>2862</v>
      </c>
      <c r="J539" s="8" t="s">
        <v>809</v>
      </c>
      <c r="L539" s="8" t="s">
        <v>71</v>
      </c>
      <c r="N539" s="8" t="s">
        <v>423</v>
      </c>
      <c r="O539" s="8" t="s">
        <v>423</v>
      </c>
      <c r="Q539" s="8" t="s">
        <v>45</v>
      </c>
      <c r="R539" s="8">
        <v>1</v>
      </c>
      <c r="S539" s="8">
        <v>4</v>
      </c>
      <c r="T539" s="8">
        <f t="shared" si="51"/>
        <v>5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180</v>
      </c>
      <c r="AB539" s="9">
        <f t="shared" si="52"/>
        <v>0</v>
      </c>
      <c r="AC539" s="10" t="str">
        <f t="shared" si="54"/>
        <v>sin venta</v>
      </c>
      <c r="AD539" s="8" t="s">
        <v>46</v>
      </c>
      <c r="AE539" s="11">
        <v>229990</v>
      </c>
      <c r="AF539" s="11">
        <f t="shared" si="55"/>
        <v>1149950</v>
      </c>
      <c r="AG539" s="12" t="s">
        <v>73</v>
      </c>
      <c r="AH539" s="8" t="s">
        <v>35</v>
      </c>
    </row>
    <row r="540" spans="1:34">
      <c r="A540" s="8" t="s">
        <v>815</v>
      </c>
      <c r="B540" s="16" t="s">
        <v>2860</v>
      </c>
      <c r="C540" s="8" t="s">
        <v>40</v>
      </c>
      <c r="D540" s="8" t="s">
        <v>736</v>
      </c>
      <c r="E540" s="8" t="str">
        <f t="shared" si="53"/>
        <v>CHOCOLATE/TABACO</v>
      </c>
      <c r="G540" s="8" t="s">
        <v>2862</v>
      </c>
      <c r="H540" s="8" t="str">
        <f>VLOOKUP(A540,[1]BBDD!$B$1:$J$3274,9,FALSE)</f>
        <v>M</v>
      </c>
      <c r="I540" s="8" t="s">
        <v>2862</v>
      </c>
      <c r="J540" s="8" t="s">
        <v>809</v>
      </c>
      <c r="L540" s="8" t="s">
        <v>71</v>
      </c>
      <c r="N540" s="8" t="s">
        <v>816</v>
      </c>
      <c r="O540" s="8" t="s">
        <v>816</v>
      </c>
      <c r="Q540" s="8" t="s">
        <v>45</v>
      </c>
      <c r="R540" s="8">
        <v>0</v>
      </c>
      <c r="S540" s="8">
        <v>1</v>
      </c>
      <c r="T540" s="8">
        <f t="shared" si="51"/>
        <v>1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180</v>
      </c>
      <c r="AB540" s="9">
        <f t="shared" si="52"/>
        <v>0</v>
      </c>
      <c r="AC540" s="10" t="str">
        <f t="shared" si="54"/>
        <v>sin venta</v>
      </c>
      <c r="AD540" s="8" t="s">
        <v>46</v>
      </c>
      <c r="AE540" s="11">
        <v>229990</v>
      </c>
      <c r="AF540" s="11">
        <f t="shared" si="55"/>
        <v>229990</v>
      </c>
      <c r="AG540" s="12" t="s">
        <v>73</v>
      </c>
      <c r="AH540" s="8" t="s">
        <v>35</v>
      </c>
    </row>
    <row r="541" spans="1:34">
      <c r="A541" s="8" t="s">
        <v>817</v>
      </c>
      <c r="B541" s="16" t="s">
        <v>2860</v>
      </c>
      <c r="C541" s="8" t="s">
        <v>40</v>
      </c>
      <c r="D541" s="8" t="s">
        <v>736</v>
      </c>
      <c r="E541" s="8" t="str">
        <f t="shared" si="53"/>
        <v>MOSTAZA/TABACO</v>
      </c>
      <c r="G541" s="8" t="s">
        <v>2862</v>
      </c>
      <c r="H541" s="8" t="str">
        <f>VLOOKUP(A541,[1]BBDD!$B$1:$J$3274,9,FALSE)</f>
        <v>M</v>
      </c>
      <c r="I541" s="8" t="s">
        <v>2862</v>
      </c>
      <c r="J541" s="8" t="s">
        <v>809</v>
      </c>
      <c r="L541" s="8" t="s">
        <v>71</v>
      </c>
      <c r="N541" s="8" t="s">
        <v>818</v>
      </c>
      <c r="O541" s="8" t="s">
        <v>818</v>
      </c>
      <c r="Q541" s="8" t="s">
        <v>45</v>
      </c>
      <c r="R541" s="8">
        <v>0</v>
      </c>
      <c r="S541" s="8">
        <v>2</v>
      </c>
      <c r="T541" s="8">
        <f t="shared" si="51"/>
        <v>2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180</v>
      </c>
      <c r="AB541" s="9">
        <f t="shared" si="52"/>
        <v>0</v>
      </c>
      <c r="AC541" s="10" t="str">
        <f t="shared" si="54"/>
        <v>sin venta</v>
      </c>
      <c r="AD541" s="8" t="s">
        <v>46</v>
      </c>
      <c r="AE541" s="11">
        <v>229990</v>
      </c>
      <c r="AF541" s="11">
        <f t="shared" si="55"/>
        <v>459980</v>
      </c>
      <c r="AG541" s="12" t="s">
        <v>73</v>
      </c>
      <c r="AH541" s="8" t="s">
        <v>35</v>
      </c>
    </row>
    <row r="542" spans="1:34">
      <c r="A542" s="8" t="s">
        <v>819</v>
      </c>
      <c r="B542" s="16" t="s">
        <v>2860</v>
      </c>
      <c r="C542" s="8" t="s">
        <v>40</v>
      </c>
      <c r="D542" s="8" t="s">
        <v>736</v>
      </c>
      <c r="E542" s="8" t="str">
        <f t="shared" si="53"/>
        <v>VESUBIO/TABACO</v>
      </c>
      <c r="G542" s="8" t="s">
        <v>2862</v>
      </c>
      <c r="H542" s="8" t="str">
        <f>VLOOKUP(A542,[1]BBDD!$B$1:$J$3274,9,FALSE)</f>
        <v>M</v>
      </c>
      <c r="I542" s="8" t="s">
        <v>2862</v>
      </c>
      <c r="J542" s="8" t="s">
        <v>809</v>
      </c>
      <c r="L542" s="8" t="s">
        <v>71</v>
      </c>
      <c r="N542" s="8" t="s">
        <v>161</v>
      </c>
      <c r="O542" s="8" t="s">
        <v>161</v>
      </c>
      <c r="Q542" s="8" t="s">
        <v>45</v>
      </c>
      <c r="R542" s="8">
        <v>0</v>
      </c>
      <c r="S542" s="8">
        <v>4</v>
      </c>
      <c r="T542" s="8">
        <f t="shared" si="51"/>
        <v>4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1</v>
      </c>
      <c r="AA542" s="8">
        <v>180</v>
      </c>
      <c r="AB542" s="9">
        <f t="shared" si="52"/>
        <v>0.16666666666666669</v>
      </c>
      <c r="AC542" s="10">
        <f t="shared" si="54"/>
        <v>23.999999999999996</v>
      </c>
      <c r="AD542" s="8" t="s">
        <v>46</v>
      </c>
      <c r="AE542" s="11">
        <v>229990</v>
      </c>
      <c r="AF542" s="11">
        <f t="shared" si="55"/>
        <v>919960</v>
      </c>
      <c r="AG542" s="12" t="s">
        <v>64</v>
      </c>
      <c r="AH542" s="8" t="s">
        <v>35</v>
      </c>
    </row>
    <row r="543" spans="1:34">
      <c r="A543" s="8" t="s">
        <v>820</v>
      </c>
      <c r="B543" s="16" t="s">
        <v>2860</v>
      </c>
      <c r="C543" s="8" t="s">
        <v>40</v>
      </c>
      <c r="D543" s="8" t="s">
        <v>736</v>
      </c>
      <c r="E543" s="8" t="str">
        <f t="shared" si="53"/>
        <v>AZUL</v>
      </c>
      <c r="G543" s="8" t="s">
        <v>2862</v>
      </c>
      <c r="H543" s="8" t="str">
        <f>VLOOKUP(A543,[1]BBDD!$B$1:$J$3274,9,FALSE)</f>
        <v>M</v>
      </c>
      <c r="I543" s="8" t="s">
        <v>2862</v>
      </c>
      <c r="J543" s="8" t="s">
        <v>809</v>
      </c>
      <c r="L543" s="8" t="s">
        <v>238</v>
      </c>
      <c r="N543" s="8" t="s">
        <v>83</v>
      </c>
      <c r="O543" s="8" t="s">
        <v>83</v>
      </c>
      <c r="Q543" s="8" t="s">
        <v>45</v>
      </c>
      <c r="R543" s="8">
        <v>2</v>
      </c>
      <c r="S543" s="8">
        <v>5</v>
      </c>
      <c r="T543" s="8">
        <f t="shared" si="51"/>
        <v>7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180</v>
      </c>
      <c r="AB543" s="9">
        <f t="shared" si="52"/>
        <v>0</v>
      </c>
      <c r="AC543" s="10" t="str">
        <f t="shared" si="54"/>
        <v>sin venta</v>
      </c>
      <c r="AD543" s="8" t="s">
        <v>46</v>
      </c>
      <c r="AE543" s="11">
        <v>229990</v>
      </c>
      <c r="AF543" s="11">
        <f t="shared" si="55"/>
        <v>1609930</v>
      </c>
      <c r="AG543" s="12" t="s">
        <v>73</v>
      </c>
      <c r="AH543" s="8" t="s">
        <v>35</v>
      </c>
    </row>
    <row r="544" spans="1:34">
      <c r="A544" s="8" t="s">
        <v>821</v>
      </c>
      <c r="B544" s="16" t="s">
        <v>2860</v>
      </c>
      <c r="C544" s="8" t="s">
        <v>40</v>
      </c>
      <c r="D544" s="8" t="s">
        <v>736</v>
      </c>
      <c r="E544" s="8" t="str">
        <f t="shared" si="53"/>
        <v>CARAMELO</v>
      </c>
      <c r="G544" s="8" t="s">
        <v>2862</v>
      </c>
      <c r="H544" s="8" t="str">
        <f>VLOOKUP(A544,[1]BBDD!$B$1:$J$3274,9,FALSE)</f>
        <v>M</v>
      </c>
      <c r="I544" s="8" t="s">
        <v>2862</v>
      </c>
      <c r="J544" s="8" t="s">
        <v>809</v>
      </c>
      <c r="L544" s="8" t="s">
        <v>238</v>
      </c>
      <c r="N544" s="8" t="s">
        <v>62</v>
      </c>
      <c r="O544" s="8" t="s">
        <v>62</v>
      </c>
      <c r="Q544" s="8" t="s">
        <v>45</v>
      </c>
      <c r="R544" s="8">
        <v>1</v>
      </c>
      <c r="S544" s="8">
        <v>4</v>
      </c>
      <c r="T544" s="8">
        <f t="shared" ref="T544:T576" si="56">SUM(R544:S544)</f>
        <v>5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180</v>
      </c>
      <c r="AB544" s="9">
        <f t="shared" ref="AB544:AB576" si="57">SUM(U544:Z544)/AA544*30</f>
        <v>0</v>
      </c>
      <c r="AC544" s="10" t="str">
        <f t="shared" si="54"/>
        <v>sin venta</v>
      </c>
      <c r="AD544" s="8" t="s">
        <v>46</v>
      </c>
      <c r="AE544" s="11">
        <v>229990</v>
      </c>
      <c r="AF544" s="11">
        <f t="shared" si="55"/>
        <v>1149950</v>
      </c>
      <c r="AG544" s="12" t="s">
        <v>73</v>
      </c>
      <c r="AH544" s="8" t="s">
        <v>35</v>
      </c>
    </row>
    <row r="545" spans="1:34">
      <c r="A545" s="8" t="s">
        <v>822</v>
      </c>
      <c r="B545" s="16" t="s">
        <v>2860</v>
      </c>
      <c r="C545" s="8" t="s">
        <v>40</v>
      </c>
      <c r="D545" s="8" t="s">
        <v>736</v>
      </c>
      <c r="E545" s="8" t="str">
        <f t="shared" si="53"/>
        <v>NEGRO</v>
      </c>
      <c r="G545" s="8" t="s">
        <v>2862</v>
      </c>
      <c r="H545" s="8" t="str">
        <f>VLOOKUP(A545,[1]BBDD!$B$1:$J$3274,9,FALSE)</f>
        <v>M</v>
      </c>
      <c r="I545" s="8" t="s">
        <v>2862</v>
      </c>
      <c r="J545" s="8" t="s">
        <v>809</v>
      </c>
      <c r="L545" s="8" t="s">
        <v>238</v>
      </c>
      <c r="N545" s="8" t="s">
        <v>44</v>
      </c>
      <c r="O545" s="8" t="s">
        <v>44</v>
      </c>
      <c r="Q545" s="8" t="s">
        <v>45</v>
      </c>
      <c r="R545" s="8">
        <v>5</v>
      </c>
      <c r="S545" s="8">
        <v>5</v>
      </c>
      <c r="T545" s="8">
        <f t="shared" si="56"/>
        <v>10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180</v>
      </c>
      <c r="AB545" s="9">
        <f t="shared" si="57"/>
        <v>0</v>
      </c>
      <c r="AC545" s="10" t="str">
        <f t="shared" si="54"/>
        <v>sin venta</v>
      </c>
      <c r="AD545" s="8" t="s">
        <v>46</v>
      </c>
      <c r="AE545" s="11">
        <v>229990</v>
      </c>
      <c r="AF545" s="11">
        <f t="shared" si="55"/>
        <v>2299900</v>
      </c>
      <c r="AG545" s="12" t="s">
        <v>73</v>
      </c>
      <c r="AH545" s="8" t="s">
        <v>35</v>
      </c>
    </row>
    <row r="546" spans="1:34">
      <c r="A546" s="8" t="s">
        <v>823</v>
      </c>
      <c r="B546" s="16" t="s">
        <v>2860</v>
      </c>
      <c r="C546" s="8" t="s">
        <v>40</v>
      </c>
      <c r="D546" s="8" t="s">
        <v>736</v>
      </c>
      <c r="E546" s="8" t="str">
        <f t="shared" si="53"/>
        <v>ROJO</v>
      </c>
      <c r="G546" s="8" t="s">
        <v>2862</v>
      </c>
      <c r="H546" s="8" t="str">
        <f>VLOOKUP(A546,[1]BBDD!$B$1:$J$3274,9,FALSE)</f>
        <v>M</v>
      </c>
      <c r="I546" s="8" t="s">
        <v>2862</v>
      </c>
      <c r="J546" s="8" t="s">
        <v>809</v>
      </c>
      <c r="L546" s="8" t="s">
        <v>238</v>
      </c>
      <c r="N546" s="8" t="s">
        <v>88</v>
      </c>
      <c r="O546" s="8" t="s">
        <v>88</v>
      </c>
      <c r="Q546" s="8" t="s">
        <v>45</v>
      </c>
      <c r="R546" s="8">
        <v>0</v>
      </c>
      <c r="S546" s="8">
        <v>3</v>
      </c>
      <c r="T546" s="8">
        <f t="shared" si="56"/>
        <v>3</v>
      </c>
      <c r="U546" s="8">
        <v>1</v>
      </c>
      <c r="V546" s="8">
        <v>0</v>
      </c>
      <c r="W546" s="8">
        <v>0</v>
      </c>
      <c r="X546" s="8">
        <v>0</v>
      </c>
      <c r="Y546" s="8">
        <v>1</v>
      </c>
      <c r="Z546" s="8">
        <v>0</v>
      </c>
      <c r="AA546" s="8">
        <v>180</v>
      </c>
      <c r="AB546" s="9">
        <f t="shared" si="57"/>
        <v>0.33333333333333337</v>
      </c>
      <c r="AC546" s="10">
        <f t="shared" si="54"/>
        <v>8.9999999999999982</v>
      </c>
      <c r="AD546" s="8" t="s">
        <v>46</v>
      </c>
      <c r="AE546" s="11">
        <v>229990</v>
      </c>
      <c r="AF546" s="11">
        <f t="shared" si="55"/>
        <v>689970</v>
      </c>
      <c r="AG546" s="12" t="s">
        <v>51</v>
      </c>
      <c r="AH546" s="8" t="s">
        <v>35</v>
      </c>
    </row>
    <row r="547" spans="1:34">
      <c r="A547" s="8" t="s">
        <v>824</v>
      </c>
      <c r="B547" s="16" t="s">
        <v>2860</v>
      </c>
      <c r="C547" s="8" t="s">
        <v>40</v>
      </c>
      <c r="D547" s="8" t="s">
        <v>736</v>
      </c>
      <c r="E547" s="8" t="str">
        <f t="shared" si="53"/>
        <v>VERDE</v>
      </c>
      <c r="G547" s="8" t="s">
        <v>2862</v>
      </c>
      <c r="H547" s="8" t="str">
        <f>VLOOKUP(A547,[1]BBDD!$B$1:$J$3274,9,FALSE)</f>
        <v>M</v>
      </c>
      <c r="I547" s="8" t="s">
        <v>2862</v>
      </c>
      <c r="J547" s="8" t="s">
        <v>809</v>
      </c>
      <c r="L547" s="8" t="s">
        <v>238</v>
      </c>
      <c r="N547" s="8" t="s">
        <v>92</v>
      </c>
      <c r="O547" s="8" t="s">
        <v>92</v>
      </c>
      <c r="Q547" s="8" t="s">
        <v>45</v>
      </c>
      <c r="R547" s="8">
        <v>4</v>
      </c>
      <c r="S547" s="8">
        <v>4</v>
      </c>
      <c r="T547" s="8">
        <f t="shared" si="56"/>
        <v>8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180</v>
      </c>
      <c r="AB547" s="9">
        <f t="shared" si="57"/>
        <v>0</v>
      </c>
      <c r="AC547" s="10" t="str">
        <f t="shared" si="54"/>
        <v>sin venta</v>
      </c>
      <c r="AD547" s="8" t="s">
        <v>46</v>
      </c>
      <c r="AE547" s="11">
        <v>229990</v>
      </c>
      <c r="AF547" s="11">
        <f t="shared" si="55"/>
        <v>1839920</v>
      </c>
      <c r="AG547" s="12" t="s">
        <v>73</v>
      </c>
      <c r="AH547" s="8" t="s">
        <v>35</v>
      </c>
    </row>
    <row r="548" spans="1:34">
      <c r="A548" s="8" t="s">
        <v>825</v>
      </c>
      <c r="B548" s="16" t="s">
        <v>2860</v>
      </c>
      <c r="C548" s="8" t="s">
        <v>40</v>
      </c>
      <c r="D548" s="8" t="s">
        <v>736</v>
      </c>
      <c r="E548" s="8" t="str">
        <f t="shared" si="53"/>
        <v>NEGRO</v>
      </c>
      <c r="G548" s="8" t="s">
        <v>2862</v>
      </c>
      <c r="H548" s="8" t="str">
        <f>VLOOKUP(A548,[1]BBDD!$B$1:$J$3274,9,FALSE)</f>
        <v>M</v>
      </c>
      <c r="I548" s="8" t="s">
        <v>2862</v>
      </c>
      <c r="J548" s="8" t="s">
        <v>809</v>
      </c>
      <c r="L548" s="8" t="s">
        <v>82</v>
      </c>
      <c r="N548" s="8" t="s">
        <v>44</v>
      </c>
      <c r="O548" s="8" t="s">
        <v>44</v>
      </c>
      <c r="Q548" s="8" t="s">
        <v>45</v>
      </c>
      <c r="R548" s="8">
        <v>0</v>
      </c>
      <c r="S548" s="8">
        <v>2</v>
      </c>
      <c r="T548" s="8">
        <f t="shared" si="56"/>
        <v>2</v>
      </c>
      <c r="U548" s="8">
        <v>0</v>
      </c>
      <c r="V548" s="8">
        <v>0</v>
      </c>
      <c r="W548" s="8">
        <v>1</v>
      </c>
      <c r="X548" s="8">
        <v>0</v>
      </c>
      <c r="Y548" s="8">
        <v>0</v>
      </c>
      <c r="Z548" s="8">
        <v>0</v>
      </c>
      <c r="AA548" s="8">
        <v>180</v>
      </c>
      <c r="AB548" s="9">
        <f t="shared" si="57"/>
        <v>0.16666666666666669</v>
      </c>
      <c r="AC548" s="10">
        <f t="shared" si="54"/>
        <v>11.999999999999998</v>
      </c>
      <c r="AD548" s="8" t="s">
        <v>46</v>
      </c>
      <c r="AE548" s="11">
        <v>229990</v>
      </c>
      <c r="AF548" s="11">
        <f t="shared" si="55"/>
        <v>459980</v>
      </c>
      <c r="AG548" s="12" t="s">
        <v>51</v>
      </c>
      <c r="AH548" s="8" t="s">
        <v>35</v>
      </c>
    </row>
    <row r="549" spans="1:34">
      <c r="A549" s="8" t="s">
        <v>826</v>
      </c>
      <c r="B549" s="16" t="s">
        <v>2860</v>
      </c>
      <c r="C549" s="8" t="s">
        <v>40</v>
      </c>
      <c r="D549" s="8" t="s">
        <v>736</v>
      </c>
      <c r="E549" s="8" t="str">
        <f t="shared" si="53"/>
        <v>NEGRO</v>
      </c>
      <c r="G549" s="8" t="s">
        <v>2862</v>
      </c>
      <c r="H549" s="8" t="str">
        <f>VLOOKUP(A549,[1]BBDD!$B$1:$J$3274,9,FALSE)</f>
        <v>M</v>
      </c>
      <c r="I549" s="8" t="s">
        <v>2862</v>
      </c>
      <c r="J549" s="8" t="s">
        <v>809</v>
      </c>
      <c r="L549" s="8" t="s">
        <v>827</v>
      </c>
      <c r="N549" s="8" t="s">
        <v>44</v>
      </c>
      <c r="O549" s="8" t="s">
        <v>44</v>
      </c>
      <c r="Q549" s="8" t="s">
        <v>45</v>
      </c>
      <c r="R549" s="8">
        <v>0</v>
      </c>
      <c r="S549" s="8">
        <v>4</v>
      </c>
      <c r="T549" s="8">
        <f t="shared" si="56"/>
        <v>4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180</v>
      </c>
      <c r="AB549" s="9">
        <f t="shared" si="57"/>
        <v>0</v>
      </c>
      <c r="AC549" s="10" t="str">
        <f t="shared" si="54"/>
        <v>sin venta</v>
      </c>
      <c r="AD549" s="8" t="s">
        <v>46</v>
      </c>
      <c r="AE549" s="11">
        <v>229990</v>
      </c>
      <c r="AF549" s="11">
        <f t="shared" si="55"/>
        <v>919960</v>
      </c>
      <c r="AG549" s="12" t="s">
        <v>73</v>
      </c>
      <c r="AH549" s="8" t="s">
        <v>35</v>
      </c>
    </row>
    <row r="550" spans="1:34">
      <c r="A550" s="8" t="s">
        <v>828</v>
      </c>
      <c r="B550" s="16" t="s">
        <v>2860</v>
      </c>
      <c r="C550" s="8" t="s">
        <v>40</v>
      </c>
      <c r="D550" s="8" t="s">
        <v>736</v>
      </c>
      <c r="E550" s="8" t="str">
        <f t="shared" si="53"/>
        <v>MALBEC</v>
      </c>
      <c r="G550" s="8" t="s">
        <v>2862</v>
      </c>
      <c r="H550" s="8" t="str">
        <f>VLOOKUP(A550,[1]BBDD!$B$1:$J$3274,9,FALSE)</f>
        <v>M</v>
      </c>
      <c r="I550" s="8" t="s">
        <v>2862</v>
      </c>
      <c r="J550" s="8" t="s">
        <v>829</v>
      </c>
      <c r="L550" s="8" t="s">
        <v>61</v>
      </c>
      <c r="N550" s="8" t="s">
        <v>69</v>
      </c>
      <c r="O550" s="8" t="s">
        <v>69</v>
      </c>
      <c r="Q550" s="8" t="s">
        <v>32</v>
      </c>
      <c r="R550" s="8">
        <v>4</v>
      </c>
      <c r="S550" s="8">
        <v>5</v>
      </c>
      <c r="T550" s="8">
        <f t="shared" si="56"/>
        <v>9</v>
      </c>
      <c r="U550" s="8">
        <v>7</v>
      </c>
      <c r="V550" s="8">
        <v>1</v>
      </c>
      <c r="W550" s="8">
        <v>7</v>
      </c>
      <c r="X550" s="8">
        <v>2</v>
      </c>
      <c r="Y550" s="8">
        <v>1</v>
      </c>
      <c r="Z550" s="8">
        <v>1</v>
      </c>
      <c r="AA550" s="8">
        <v>180</v>
      </c>
      <c r="AB550" s="9">
        <f t="shared" si="57"/>
        <v>3.1666666666666665</v>
      </c>
      <c r="AC550" s="10">
        <f t="shared" si="54"/>
        <v>2.8421052631578947</v>
      </c>
      <c r="AD550" s="8" t="s">
        <v>33</v>
      </c>
      <c r="AE550" s="11">
        <v>114990</v>
      </c>
      <c r="AF550" s="11">
        <f t="shared" si="55"/>
        <v>1034910</v>
      </c>
      <c r="AG550" s="12" t="s">
        <v>34</v>
      </c>
      <c r="AH550" s="8" t="s">
        <v>35</v>
      </c>
    </row>
    <row r="551" spans="1:34">
      <c r="A551" s="8" t="s">
        <v>830</v>
      </c>
      <c r="B551" s="16" t="s">
        <v>2860</v>
      </c>
      <c r="C551" s="8" t="s">
        <v>40</v>
      </c>
      <c r="D551" s="8" t="s">
        <v>736</v>
      </c>
      <c r="E551" s="8" t="str">
        <f t="shared" si="53"/>
        <v>NEGRO</v>
      </c>
      <c r="G551" s="8" t="s">
        <v>2862</v>
      </c>
      <c r="H551" s="8" t="str">
        <f>VLOOKUP(A551,[1]BBDD!$B$1:$J$3274,9,FALSE)</f>
        <v>M</v>
      </c>
      <c r="I551" s="8" t="s">
        <v>2862</v>
      </c>
      <c r="J551" s="8" t="s">
        <v>829</v>
      </c>
      <c r="L551" s="8" t="s">
        <v>61</v>
      </c>
      <c r="N551" s="8" t="s">
        <v>44</v>
      </c>
      <c r="O551" s="8" t="s">
        <v>44</v>
      </c>
      <c r="Q551" s="8" t="s">
        <v>32</v>
      </c>
      <c r="R551" s="8">
        <v>1</v>
      </c>
      <c r="S551" s="8">
        <v>8</v>
      </c>
      <c r="T551" s="8">
        <f t="shared" si="56"/>
        <v>9</v>
      </c>
      <c r="U551" s="8">
        <v>1</v>
      </c>
      <c r="V551" s="8">
        <v>3</v>
      </c>
      <c r="W551" s="8">
        <v>3</v>
      </c>
      <c r="X551" s="8">
        <v>1</v>
      </c>
      <c r="Y551" s="8">
        <v>1</v>
      </c>
      <c r="Z551" s="8">
        <v>1</v>
      </c>
      <c r="AA551" s="8">
        <v>180</v>
      </c>
      <c r="AB551" s="9">
        <f t="shared" si="57"/>
        <v>1.6666666666666665</v>
      </c>
      <c r="AC551" s="10">
        <f t="shared" si="54"/>
        <v>5.4</v>
      </c>
      <c r="AD551" s="8" t="s">
        <v>33</v>
      </c>
      <c r="AE551" s="11">
        <v>114990</v>
      </c>
      <c r="AF551" s="11">
        <f t="shared" si="55"/>
        <v>1034910</v>
      </c>
      <c r="AG551" s="12" t="s">
        <v>34</v>
      </c>
      <c r="AH551" s="8" t="s">
        <v>35</v>
      </c>
    </row>
    <row r="552" spans="1:34">
      <c r="A552" s="8" t="s">
        <v>831</v>
      </c>
      <c r="B552" s="16" t="s">
        <v>2860</v>
      </c>
      <c r="C552" s="8" t="s">
        <v>40</v>
      </c>
      <c r="D552" s="8" t="s">
        <v>736</v>
      </c>
      <c r="E552" s="8" t="str">
        <f t="shared" si="53"/>
        <v>TABACO</v>
      </c>
      <c r="G552" s="8" t="s">
        <v>2862</v>
      </c>
      <c r="H552" s="8" t="str">
        <f>VLOOKUP(A552,[1]BBDD!$B$1:$J$3274,9,FALSE)</f>
        <v>M</v>
      </c>
      <c r="I552" s="8" t="s">
        <v>2862</v>
      </c>
      <c r="J552" s="8" t="s">
        <v>829</v>
      </c>
      <c r="L552" s="8" t="s">
        <v>61</v>
      </c>
      <c r="N552" s="8" t="s">
        <v>67</v>
      </c>
      <c r="O552" s="8" t="s">
        <v>67</v>
      </c>
      <c r="Q552" s="8" t="s">
        <v>32</v>
      </c>
      <c r="R552" s="8">
        <v>0</v>
      </c>
      <c r="S552" s="8">
        <v>8</v>
      </c>
      <c r="T552" s="8">
        <f t="shared" si="56"/>
        <v>8</v>
      </c>
      <c r="U552" s="8">
        <v>7</v>
      </c>
      <c r="V552" s="8">
        <v>4</v>
      </c>
      <c r="W552" s="8">
        <v>2</v>
      </c>
      <c r="X552" s="8">
        <v>1</v>
      </c>
      <c r="Y552" s="8">
        <v>1</v>
      </c>
      <c r="Z552" s="8">
        <v>3</v>
      </c>
      <c r="AA552" s="8">
        <v>180</v>
      </c>
      <c r="AB552" s="9">
        <f t="shared" si="57"/>
        <v>3</v>
      </c>
      <c r="AC552" s="10">
        <f t="shared" si="54"/>
        <v>2.6666666666666665</v>
      </c>
      <c r="AD552" s="8" t="s">
        <v>33</v>
      </c>
      <c r="AE552" s="11">
        <v>114990</v>
      </c>
      <c r="AF552" s="11">
        <f t="shared" si="55"/>
        <v>919920</v>
      </c>
      <c r="AG552" s="12" t="s">
        <v>34</v>
      </c>
      <c r="AH552" s="8" t="s">
        <v>35</v>
      </c>
    </row>
    <row r="553" spans="1:34">
      <c r="A553" s="8" t="s">
        <v>832</v>
      </c>
      <c r="B553" s="16" t="s">
        <v>2860</v>
      </c>
      <c r="C553" s="8" t="s">
        <v>40</v>
      </c>
      <c r="D553" s="8" t="s">
        <v>736</v>
      </c>
      <c r="E553" s="8" t="str">
        <f t="shared" si="53"/>
        <v>AZUL</v>
      </c>
      <c r="G553" s="8" t="s">
        <v>2862</v>
      </c>
      <c r="H553" s="8" t="str">
        <f>VLOOKUP(A553,[1]BBDD!$B$1:$J$3274,9,FALSE)</f>
        <v>M</v>
      </c>
      <c r="I553" s="8" t="s">
        <v>2862</v>
      </c>
      <c r="J553" s="8" t="s">
        <v>829</v>
      </c>
      <c r="L553" s="8" t="s">
        <v>61</v>
      </c>
      <c r="N553" s="8" t="s">
        <v>83</v>
      </c>
      <c r="O553" s="8" t="s">
        <v>83</v>
      </c>
      <c r="Q553" s="8" t="s">
        <v>45</v>
      </c>
      <c r="R553" s="8">
        <v>0</v>
      </c>
      <c r="S553" s="8">
        <v>2</v>
      </c>
      <c r="T553" s="8">
        <f t="shared" si="56"/>
        <v>2</v>
      </c>
      <c r="U553" s="8">
        <v>0</v>
      </c>
      <c r="V553" s="8">
        <v>0</v>
      </c>
      <c r="W553" s="8">
        <v>1</v>
      </c>
      <c r="X553" s="8">
        <v>0</v>
      </c>
      <c r="Y553" s="8">
        <v>1</v>
      </c>
      <c r="Z553" s="8">
        <v>0</v>
      </c>
      <c r="AA553" s="8">
        <v>180</v>
      </c>
      <c r="AB553" s="9">
        <f t="shared" si="57"/>
        <v>0.33333333333333337</v>
      </c>
      <c r="AC553" s="10">
        <f t="shared" si="54"/>
        <v>5.9999999999999991</v>
      </c>
      <c r="AD553" s="8" t="s">
        <v>109</v>
      </c>
      <c r="AE553" s="11">
        <v>114990</v>
      </c>
      <c r="AF553" s="11">
        <f t="shared" si="55"/>
        <v>229980</v>
      </c>
      <c r="AG553" s="12" t="s">
        <v>34</v>
      </c>
      <c r="AH553" s="8" t="s">
        <v>35</v>
      </c>
    </row>
    <row r="554" spans="1:34">
      <c r="A554" s="8" t="s">
        <v>833</v>
      </c>
      <c r="B554" s="16" t="s">
        <v>2860</v>
      </c>
      <c r="C554" s="8" t="s">
        <v>40</v>
      </c>
      <c r="D554" s="8" t="s">
        <v>736</v>
      </c>
      <c r="E554" s="8" t="str">
        <f t="shared" si="53"/>
        <v>CAMEL</v>
      </c>
      <c r="G554" s="8" t="s">
        <v>2862</v>
      </c>
      <c r="H554" s="8" t="str">
        <f>VLOOKUP(A554,[1]BBDD!$B$1:$J$3274,9,FALSE)</f>
        <v>M</v>
      </c>
      <c r="I554" s="8" t="s">
        <v>2862</v>
      </c>
      <c r="J554" s="8" t="s">
        <v>829</v>
      </c>
      <c r="L554" s="8" t="s">
        <v>61</v>
      </c>
      <c r="N554" s="8" t="s">
        <v>834</v>
      </c>
      <c r="O554" s="8" t="s">
        <v>834</v>
      </c>
      <c r="Q554" s="8" t="s">
        <v>45</v>
      </c>
      <c r="R554" s="8">
        <v>0</v>
      </c>
      <c r="S554" s="8">
        <v>4</v>
      </c>
      <c r="T554" s="8">
        <f t="shared" si="56"/>
        <v>4</v>
      </c>
      <c r="U554" s="8">
        <v>0</v>
      </c>
      <c r="V554" s="8">
        <v>0</v>
      </c>
      <c r="W554" s="8">
        <v>0</v>
      </c>
      <c r="X554" s="8">
        <v>1</v>
      </c>
      <c r="Y554" s="8">
        <v>0</v>
      </c>
      <c r="Z554" s="8">
        <v>0</v>
      </c>
      <c r="AA554" s="8">
        <v>180</v>
      </c>
      <c r="AB554" s="9">
        <f t="shared" si="57"/>
        <v>0.16666666666666669</v>
      </c>
      <c r="AC554" s="10">
        <f t="shared" si="54"/>
        <v>23.999999999999996</v>
      </c>
      <c r="AD554" s="8" t="s">
        <v>109</v>
      </c>
      <c r="AE554" s="11">
        <v>114990</v>
      </c>
      <c r="AF554" s="11">
        <f t="shared" si="55"/>
        <v>459960</v>
      </c>
      <c r="AG554" s="12" t="s">
        <v>64</v>
      </c>
      <c r="AH554" s="8" t="s">
        <v>35</v>
      </c>
    </row>
    <row r="555" spans="1:34">
      <c r="A555" s="8" t="s">
        <v>835</v>
      </c>
      <c r="B555" s="16" t="s">
        <v>2860</v>
      </c>
      <c r="C555" s="8" t="s">
        <v>40</v>
      </c>
      <c r="D555" s="8" t="s">
        <v>736</v>
      </c>
      <c r="E555" s="8" t="str">
        <f t="shared" si="53"/>
        <v>CARAMELO</v>
      </c>
      <c r="G555" s="8" t="s">
        <v>2862</v>
      </c>
      <c r="H555" s="8" t="str">
        <f>VLOOKUP(A555,[1]BBDD!$B$1:$J$3274,9,FALSE)</f>
        <v>M</v>
      </c>
      <c r="I555" s="8" t="s">
        <v>2862</v>
      </c>
      <c r="J555" s="8" t="s">
        <v>829</v>
      </c>
      <c r="L555" s="8" t="s">
        <v>61</v>
      </c>
      <c r="N555" s="8" t="s">
        <v>62</v>
      </c>
      <c r="O555" s="8" t="s">
        <v>62</v>
      </c>
      <c r="Q555" s="8" t="s">
        <v>45</v>
      </c>
      <c r="R555" s="8">
        <v>15</v>
      </c>
      <c r="S555" s="8">
        <v>8</v>
      </c>
      <c r="T555" s="8">
        <f t="shared" si="56"/>
        <v>23</v>
      </c>
      <c r="U555" s="8">
        <v>3</v>
      </c>
      <c r="V555" s="8">
        <v>0</v>
      </c>
      <c r="W555" s="8">
        <v>3</v>
      </c>
      <c r="X555" s="8">
        <v>2</v>
      </c>
      <c r="Y555" s="8">
        <v>1</v>
      </c>
      <c r="Z555" s="8">
        <v>2</v>
      </c>
      <c r="AA555" s="8">
        <v>180</v>
      </c>
      <c r="AB555" s="9">
        <f t="shared" si="57"/>
        <v>1.8333333333333333</v>
      </c>
      <c r="AC555" s="10">
        <f t="shared" si="54"/>
        <v>12.545454545454547</v>
      </c>
      <c r="AD555" s="8" t="s">
        <v>109</v>
      </c>
      <c r="AE555" s="11">
        <v>114990</v>
      </c>
      <c r="AF555" s="11">
        <f t="shared" si="55"/>
        <v>2644770</v>
      </c>
      <c r="AG555" s="12" t="s">
        <v>64</v>
      </c>
      <c r="AH555" s="8" t="s">
        <v>74</v>
      </c>
    </row>
    <row r="556" spans="1:34">
      <c r="A556" s="8" t="s">
        <v>836</v>
      </c>
      <c r="B556" s="16" t="s">
        <v>2860</v>
      </c>
      <c r="C556" s="8" t="s">
        <v>40</v>
      </c>
      <c r="D556" s="8" t="s">
        <v>736</v>
      </c>
      <c r="E556" s="8" t="str">
        <f t="shared" si="53"/>
        <v>LONDON</v>
      </c>
      <c r="G556" s="8" t="s">
        <v>2862</v>
      </c>
      <c r="H556" s="8" t="str">
        <f>VLOOKUP(A556,[1]BBDD!$B$1:$J$3274,9,FALSE)</f>
        <v>M</v>
      </c>
      <c r="I556" s="8" t="s">
        <v>2862</v>
      </c>
      <c r="J556" s="8" t="s">
        <v>829</v>
      </c>
      <c r="L556" s="8" t="s">
        <v>61</v>
      </c>
      <c r="N556" s="8" t="s">
        <v>108</v>
      </c>
      <c r="O556" s="8" t="s">
        <v>108</v>
      </c>
      <c r="Q556" s="8" t="s">
        <v>45</v>
      </c>
      <c r="R556" s="8">
        <v>0</v>
      </c>
      <c r="S556" s="8">
        <v>5</v>
      </c>
      <c r="T556" s="8">
        <f t="shared" si="56"/>
        <v>5</v>
      </c>
      <c r="U556" s="8">
        <v>0</v>
      </c>
      <c r="V556" s="8">
        <v>1</v>
      </c>
      <c r="W556" s="8">
        <v>0</v>
      </c>
      <c r="X556" s="8">
        <v>0</v>
      </c>
      <c r="Y556" s="8">
        <v>0</v>
      </c>
      <c r="Z556" s="8">
        <v>0</v>
      </c>
      <c r="AA556" s="8">
        <v>180</v>
      </c>
      <c r="AB556" s="9">
        <f t="shared" si="57"/>
        <v>0.16666666666666669</v>
      </c>
      <c r="AC556" s="10">
        <f t="shared" si="54"/>
        <v>29.999999999999996</v>
      </c>
      <c r="AD556" s="8" t="s">
        <v>109</v>
      </c>
      <c r="AE556" s="11">
        <v>114990</v>
      </c>
      <c r="AF556" s="11">
        <f t="shared" si="55"/>
        <v>574950</v>
      </c>
      <c r="AG556" s="12" t="s">
        <v>73</v>
      </c>
      <c r="AH556" s="8" t="s">
        <v>35</v>
      </c>
    </row>
    <row r="557" spans="1:34">
      <c r="A557" s="8" t="s">
        <v>837</v>
      </c>
      <c r="B557" s="16" t="s">
        <v>2860</v>
      </c>
      <c r="C557" s="8" t="s">
        <v>40</v>
      </c>
      <c r="D557" s="8" t="s">
        <v>736</v>
      </c>
      <c r="E557" s="8" t="str">
        <f t="shared" si="53"/>
        <v>ROJO</v>
      </c>
      <c r="G557" s="8" t="s">
        <v>2862</v>
      </c>
      <c r="H557" s="8" t="str">
        <f>VLOOKUP(A557,[1]BBDD!$B$1:$J$3274,9,FALSE)</f>
        <v>M</v>
      </c>
      <c r="I557" s="8" t="s">
        <v>2862</v>
      </c>
      <c r="J557" s="8" t="s">
        <v>829</v>
      </c>
      <c r="L557" s="8" t="s">
        <v>61</v>
      </c>
      <c r="N557" s="8" t="s">
        <v>88</v>
      </c>
      <c r="O557" s="8" t="s">
        <v>88</v>
      </c>
      <c r="Q557" s="8" t="s">
        <v>45</v>
      </c>
      <c r="R557" s="8">
        <v>1</v>
      </c>
      <c r="S557" s="8">
        <v>8</v>
      </c>
      <c r="T557" s="8">
        <f t="shared" si="56"/>
        <v>9</v>
      </c>
      <c r="U557" s="8">
        <v>2</v>
      </c>
      <c r="V557" s="8">
        <v>1</v>
      </c>
      <c r="W557" s="8">
        <v>2</v>
      </c>
      <c r="X557" s="8">
        <v>1</v>
      </c>
      <c r="Y557" s="8">
        <v>1</v>
      </c>
      <c r="Z557" s="8">
        <v>1</v>
      </c>
      <c r="AA557" s="8">
        <v>180</v>
      </c>
      <c r="AB557" s="9">
        <f t="shared" si="57"/>
        <v>1.3333333333333335</v>
      </c>
      <c r="AC557" s="10">
        <f t="shared" si="54"/>
        <v>6.7499999999999991</v>
      </c>
      <c r="AD557" s="8" t="s">
        <v>109</v>
      </c>
      <c r="AE557" s="11">
        <v>114990</v>
      </c>
      <c r="AF557" s="11">
        <f t="shared" si="55"/>
        <v>1034910</v>
      </c>
      <c r="AG557" s="12" t="s">
        <v>51</v>
      </c>
      <c r="AH557" s="8" t="s">
        <v>35</v>
      </c>
    </row>
    <row r="558" spans="1:34">
      <c r="A558" s="8" t="s">
        <v>838</v>
      </c>
      <c r="B558" s="16" t="s">
        <v>2860</v>
      </c>
      <c r="C558" s="8" t="s">
        <v>40</v>
      </c>
      <c r="D558" s="8" t="s">
        <v>736</v>
      </c>
      <c r="E558" s="8" t="str">
        <f t="shared" si="53"/>
        <v>AZUL</v>
      </c>
      <c r="G558" s="8" t="s">
        <v>2862</v>
      </c>
      <c r="H558" s="8" t="str">
        <f>VLOOKUP(A558,[1]BBDD!$B$1:$J$3274,9,FALSE)</f>
        <v>M</v>
      </c>
      <c r="I558" s="8" t="s">
        <v>2862</v>
      </c>
      <c r="J558" s="8" t="s">
        <v>829</v>
      </c>
      <c r="L558" s="8" t="s">
        <v>119</v>
      </c>
      <c r="N558" s="8" t="s">
        <v>83</v>
      </c>
      <c r="O558" s="8" t="s">
        <v>83</v>
      </c>
      <c r="Q558" s="8" t="s">
        <v>32</v>
      </c>
      <c r="R558" s="8">
        <v>0</v>
      </c>
      <c r="S558" s="8">
        <v>5</v>
      </c>
      <c r="T558" s="8">
        <f t="shared" si="56"/>
        <v>5</v>
      </c>
      <c r="U558" s="8">
        <v>3</v>
      </c>
      <c r="V558" s="8">
        <v>0</v>
      </c>
      <c r="W558" s="8">
        <v>2</v>
      </c>
      <c r="X558" s="8">
        <v>2</v>
      </c>
      <c r="Y558" s="8">
        <v>1</v>
      </c>
      <c r="Z558" s="8">
        <v>0</v>
      </c>
      <c r="AA558" s="8">
        <v>180</v>
      </c>
      <c r="AB558" s="9">
        <f t="shared" si="57"/>
        <v>1.3333333333333335</v>
      </c>
      <c r="AC558" s="10">
        <f t="shared" si="54"/>
        <v>3.7499999999999996</v>
      </c>
      <c r="AD558" s="8" t="s">
        <v>33</v>
      </c>
      <c r="AE558" s="11">
        <v>114990</v>
      </c>
      <c r="AF558" s="11">
        <f t="shared" si="55"/>
        <v>574950</v>
      </c>
      <c r="AG558" s="12" t="s">
        <v>34</v>
      </c>
      <c r="AH558" s="8" t="s">
        <v>35</v>
      </c>
    </row>
    <row r="559" spans="1:34">
      <c r="A559" s="8" t="s">
        <v>839</v>
      </c>
      <c r="B559" s="16" t="s">
        <v>2860</v>
      </c>
      <c r="C559" s="8" t="s">
        <v>40</v>
      </c>
      <c r="D559" s="8" t="s">
        <v>736</v>
      </c>
      <c r="E559" s="8" t="str">
        <f t="shared" si="53"/>
        <v>VERDE</v>
      </c>
      <c r="G559" s="8" t="s">
        <v>2862</v>
      </c>
      <c r="H559" s="8" t="str">
        <f>VLOOKUP(A559,[1]BBDD!$B$1:$J$3274,9,FALSE)</f>
        <v>M</v>
      </c>
      <c r="I559" s="8" t="s">
        <v>2862</v>
      </c>
      <c r="J559" s="8" t="s">
        <v>829</v>
      </c>
      <c r="L559" s="8" t="s">
        <v>119</v>
      </c>
      <c r="N559" s="8" t="s">
        <v>92</v>
      </c>
      <c r="O559" s="8" t="s">
        <v>92</v>
      </c>
      <c r="Q559" s="8" t="s">
        <v>32</v>
      </c>
      <c r="R559" s="8">
        <v>2</v>
      </c>
      <c r="S559" s="8">
        <v>4</v>
      </c>
      <c r="T559" s="8">
        <f t="shared" si="56"/>
        <v>6</v>
      </c>
      <c r="U559" s="8">
        <v>1</v>
      </c>
      <c r="V559" s="8">
        <v>3</v>
      </c>
      <c r="W559" s="8">
        <v>2</v>
      </c>
      <c r="X559" s="8">
        <v>1</v>
      </c>
      <c r="Y559" s="8">
        <v>0</v>
      </c>
      <c r="Z559" s="8">
        <v>1</v>
      </c>
      <c r="AA559" s="8">
        <v>180</v>
      </c>
      <c r="AB559" s="9">
        <f t="shared" si="57"/>
        <v>1.3333333333333335</v>
      </c>
      <c r="AC559" s="10">
        <f t="shared" si="54"/>
        <v>4.4999999999999991</v>
      </c>
      <c r="AD559" s="8" t="s">
        <v>33</v>
      </c>
      <c r="AE559" s="11">
        <v>114990</v>
      </c>
      <c r="AF559" s="11">
        <f t="shared" si="55"/>
        <v>689940</v>
      </c>
      <c r="AG559" s="12" t="s">
        <v>34</v>
      </c>
      <c r="AH559" s="8" t="s">
        <v>35</v>
      </c>
    </row>
    <row r="560" spans="1:34">
      <c r="A560" s="8" t="s">
        <v>840</v>
      </c>
      <c r="B560" s="16" t="s">
        <v>2860</v>
      </c>
      <c r="C560" s="8" t="s">
        <v>40</v>
      </c>
      <c r="D560" s="8" t="s">
        <v>736</v>
      </c>
      <c r="E560" s="8" t="str">
        <f t="shared" si="53"/>
        <v>NEGRO</v>
      </c>
      <c r="G560" s="8" t="s">
        <v>2862</v>
      </c>
      <c r="H560" s="8" t="str">
        <f>VLOOKUP(A560,[1]BBDD!$B$1:$J$3274,9,FALSE)</f>
        <v>M</v>
      </c>
      <c r="I560" s="8" t="s">
        <v>2862</v>
      </c>
      <c r="J560" s="8" t="s">
        <v>841</v>
      </c>
      <c r="L560" s="8" t="s">
        <v>61</v>
      </c>
      <c r="N560" s="8" t="s">
        <v>44</v>
      </c>
      <c r="O560" s="8" t="s">
        <v>44</v>
      </c>
      <c r="Q560" s="8" t="s">
        <v>32</v>
      </c>
      <c r="R560" s="8">
        <v>5</v>
      </c>
      <c r="S560" s="8">
        <v>7</v>
      </c>
      <c r="T560" s="8">
        <f t="shared" si="56"/>
        <v>12</v>
      </c>
      <c r="U560" s="8">
        <v>0</v>
      </c>
      <c r="V560" s="8">
        <v>0</v>
      </c>
      <c r="W560" s="8">
        <v>0</v>
      </c>
      <c r="X560" s="8">
        <v>1</v>
      </c>
      <c r="Y560" s="8">
        <v>1</v>
      </c>
      <c r="Z560" s="8">
        <v>0</v>
      </c>
      <c r="AA560" s="8">
        <v>180</v>
      </c>
      <c r="AB560" s="9">
        <f t="shared" si="57"/>
        <v>0.33333333333333337</v>
      </c>
      <c r="AC560" s="10">
        <f t="shared" si="54"/>
        <v>35.999999999999993</v>
      </c>
      <c r="AD560" s="8" t="s">
        <v>33</v>
      </c>
      <c r="AE560" s="11">
        <v>269990</v>
      </c>
      <c r="AF560" s="11">
        <f t="shared" si="55"/>
        <v>3239880</v>
      </c>
      <c r="AG560" s="12" t="s">
        <v>73</v>
      </c>
      <c r="AH560" s="8" t="s">
        <v>65</v>
      </c>
    </row>
    <row r="561" spans="1:34">
      <c r="A561" s="8" t="s">
        <v>842</v>
      </c>
      <c r="B561" s="16" t="s">
        <v>2860</v>
      </c>
      <c r="C561" s="8" t="s">
        <v>40</v>
      </c>
      <c r="D561" s="8" t="s">
        <v>736</v>
      </c>
      <c r="E561" s="8" t="str">
        <f t="shared" si="53"/>
        <v>TABACO</v>
      </c>
      <c r="G561" s="8" t="s">
        <v>2862</v>
      </c>
      <c r="H561" s="8" t="str">
        <f>VLOOKUP(A561,[1]BBDD!$B$1:$J$3274,9,FALSE)</f>
        <v>M</v>
      </c>
      <c r="I561" s="8" t="s">
        <v>2862</v>
      </c>
      <c r="J561" s="8" t="s">
        <v>841</v>
      </c>
      <c r="L561" s="8" t="s">
        <v>61</v>
      </c>
      <c r="N561" s="8" t="s">
        <v>67</v>
      </c>
      <c r="O561" s="8" t="s">
        <v>67</v>
      </c>
      <c r="Q561" s="8" t="s">
        <v>32</v>
      </c>
      <c r="R561" s="8">
        <v>0</v>
      </c>
      <c r="S561" s="8">
        <v>5</v>
      </c>
      <c r="T561" s="8">
        <f t="shared" si="56"/>
        <v>5</v>
      </c>
      <c r="U561" s="8">
        <v>0</v>
      </c>
      <c r="V561" s="8">
        <v>2</v>
      </c>
      <c r="W561" s="8">
        <v>1</v>
      </c>
      <c r="X561" s="8">
        <v>0</v>
      </c>
      <c r="Y561" s="8">
        <v>0</v>
      </c>
      <c r="Z561" s="8">
        <v>0</v>
      </c>
      <c r="AA561" s="8">
        <v>180</v>
      </c>
      <c r="AB561" s="9">
        <f t="shared" si="57"/>
        <v>0.5</v>
      </c>
      <c r="AC561" s="10">
        <f t="shared" si="54"/>
        <v>10</v>
      </c>
      <c r="AD561" s="8" t="s">
        <v>33</v>
      </c>
      <c r="AE561" s="11">
        <v>269990</v>
      </c>
      <c r="AF561" s="11">
        <f t="shared" si="55"/>
        <v>1349950</v>
      </c>
      <c r="AG561" s="12" t="s">
        <v>51</v>
      </c>
      <c r="AH561" s="8" t="s">
        <v>35</v>
      </c>
    </row>
    <row r="562" spans="1:34">
      <c r="A562" s="8" t="s">
        <v>843</v>
      </c>
      <c r="B562" s="16" t="s">
        <v>2860</v>
      </c>
      <c r="C562" s="8" t="s">
        <v>40</v>
      </c>
      <c r="D562" s="8" t="s">
        <v>736</v>
      </c>
      <c r="E562" s="8" t="str">
        <f t="shared" si="53"/>
        <v>CARAMELO</v>
      </c>
      <c r="G562" s="8" t="s">
        <v>2862</v>
      </c>
      <c r="H562" s="8" t="str">
        <f>VLOOKUP(A562,[1]BBDD!$B$1:$J$3274,9,FALSE)</f>
        <v>M</v>
      </c>
      <c r="I562" s="8" t="s">
        <v>2862</v>
      </c>
      <c r="J562" s="8" t="s">
        <v>841</v>
      </c>
      <c r="L562" s="8" t="s">
        <v>61</v>
      </c>
      <c r="N562" s="8" t="s">
        <v>62</v>
      </c>
      <c r="O562" s="8" t="s">
        <v>62</v>
      </c>
      <c r="Q562" s="8" t="s">
        <v>45</v>
      </c>
      <c r="R562" s="8">
        <v>5</v>
      </c>
      <c r="S562" s="8">
        <v>7</v>
      </c>
      <c r="T562" s="8">
        <f t="shared" si="56"/>
        <v>12</v>
      </c>
      <c r="U562" s="8">
        <v>0</v>
      </c>
      <c r="V562" s="8">
        <v>0</v>
      </c>
      <c r="W562" s="8">
        <v>1</v>
      </c>
      <c r="X562" s="8">
        <v>0</v>
      </c>
      <c r="Y562" s="8">
        <v>0</v>
      </c>
      <c r="Z562" s="8">
        <v>1</v>
      </c>
      <c r="AA562" s="8">
        <v>180</v>
      </c>
      <c r="AB562" s="9">
        <f t="shared" si="57"/>
        <v>0.33333333333333337</v>
      </c>
      <c r="AC562" s="10">
        <f t="shared" si="54"/>
        <v>35.999999999999993</v>
      </c>
      <c r="AD562" s="8" t="s">
        <v>109</v>
      </c>
      <c r="AE562" s="11">
        <v>269990</v>
      </c>
      <c r="AF562" s="11">
        <f t="shared" si="55"/>
        <v>3239880</v>
      </c>
      <c r="AG562" s="12" t="s">
        <v>73</v>
      </c>
      <c r="AH562" s="8" t="s">
        <v>65</v>
      </c>
    </row>
    <row r="563" spans="1:34">
      <c r="A563" s="8" t="s">
        <v>844</v>
      </c>
      <c r="B563" s="16" t="s">
        <v>2860</v>
      </c>
      <c r="C563" s="8" t="s">
        <v>40</v>
      </c>
      <c r="D563" s="8" t="s">
        <v>736</v>
      </c>
      <c r="E563" s="8" t="str">
        <f t="shared" si="53"/>
        <v>AVELLANA/TABACO</v>
      </c>
      <c r="G563" s="8" t="s">
        <v>2862</v>
      </c>
      <c r="H563" s="8" t="str">
        <f>VLOOKUP(A563,[1]BBDD!$B$1:$J$3274,9,FALSE)</f>
        <v>M</v>
      </c>
      <c r="I563" s="8" t="s">
        <v>2862</v>
      </c>
      <c r="J563" s="8" t="s">
        <v>841</v>
      </c>
      <c r="L563" s="8" t="s">
        <v>71</v>
      </c>
      <c r="N563" s="8" t="s">
        <v>165</v>
      </c>
      <c r="O563" s="8" t="s">
        <v>165</v>
      </c>
      <c r="Q563" s="8" t="s">
        <v>32</v>
      </c>
      <c r="R563" s="8">
        <v>1</v>
      </c>
      <c r="S563" s="8">
        <v>5</v>
      </c>
      <c r="T563" s="8">
        <f t="shared" si="56"/>
        <v>6</v>
      </c>
      <c r="U563" s="8">
        <v>2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180</v>
      </c>
      <c r="AB563" s="9">
        <f t="shared" si="57"/>
        <v>0.33333333333333337</v>
      </c>
      <c r="AC563" s="10">
        <f t="shared" si="54"/>
        <v>17.999999999999996</v>
      </c>
      <c r="AD563" s="8" t="s">
        <v>33</v>
      </c>
      <c r="AE563" s="11">
        <v>269990</v>
      </c>
      <c r="AF563" s="11">
        <f t="shared" si="55"/>
        <v>1619940</v>
      </c>
      <c r="AG563" s="12" t="s">
        <v>64</v>
      </c>
      <c r="AH563" s="8" t="s">
        <v>35</v>
      </c>
    </row>
    <row r="564" spans="1:34">
      <c r="A564" s="8" t="s">
        <v>845</v>
      </c>
      <c r="B564" s="16" t="s">
        <v>2860</v>
      </c>
      <c r="C564" s="8" t="s">
        <v>40</v>
      </c>
      <c r="D564" s="8" t="s">
        <v>736</v>
      </c>
      <c r="E564" s="8" t="str">
        <f t="shared" si="53"/>
        <v>GRIS MEDIO/TABACO</v>
      </c>
      <c r="G564" s="8" t="s">
        <v>2862</v>
      </c>
      <c r="H564" s="8" t="str">
        <f>VLOOKUP(A564,[1]BBDD!$B$1:$J$3274,9,FALSE)</f>
        <v>M</v>
      </c>
      <c r="I564" s="8" t="s">
        <v>2862</v>
      </c>
      <c r="J564" s="8" t="s">
        <v>841</v>
      </c>
      <c r="L564" s="8" t="s">
        <v>71</v>
      </c>
      <c r="N564" s="8" t="s">
        <v>846</v>
      </c>
      <c r="O564" s="8" t="s">
        <v>846</v>
      </c>
      <c r="Q564" s="8" t="s">
        <v>32</v>
      </c>
      <c r="R564" s="8">
        <v>1</v>
      </c>
      <c r="S564" s="8">
        <v>3</v>
      </c>
      <c r="T564" s="8">
        <f t="shared" si="56"/>
        <v>4</v>
      </c>
      <c r="U564" s="8">
        <v>0</v>
      </c>
      <c r="V564" s="8">
        <v>1</v>
      </c>
      <c r="W564" s="8">
        <v>0</v>
      </c>
      <c r="X564" s="8">
        <v>0</v>
      </c>
      <c r="Y564" s="8">
        <v>0</v>
      </c>
      <c r="Z564" s="8">
        <v>0</v>
      </c>
      <c r="AA564" s="8">
        <v>180</v>
      </c>
      <c r="AB564" s="9">
        <f t="shared" si="57"/>
        <v>0.16666666666666669</v>
      </c>
      <c r="AC564" s="10">
        <f t="shared" si="54"/>
        <v>23.999999999999996</v>
      </c>
      <c r="AD564" s="8" t="s">
        <v>33</v>
      </c>
      <c r="AE564" s="11">
        <v>269990</v>
      </c>
      <c r="AF564" s="11">
        <f t="shared" si="55"/>
        <v>1079960</v>
      </c>
      <c r="AG564" s="12" t="s">
        <v>64</v>
      </c>
      <c r="AH564" s="8" t="s">
        <v>35</v>
      </c>
    </row>
    <row r="565" spans="1:34">
      <c r="A565" s="8" t="s">
        <v>847</v>
      </c>
      <c r="B565" s="16" t="s">
        <v>2860</v>
      </c>
      <c r="C565" s="8" t="s">
        <v>40</v>
      </c>
      <c r="D565" s="8" t="s">
        <v>736</v>
      </c>
      <c r="E565" s="8" t="str">
        <f t="shared" si="53"/>
        <v>OLIVE/TABACO</v>
      </c>
      <c r="G565" s="8" t="s">
        <v>2862</v>
      </c>
      <c r="H565" s="8" t="str">
        <f>VLOOKUP(A565,[1]BBDD!$B$1:$J$3274,9,FALSE)</f>
        <v>M</v>
      </c>
      <c r="I565" s="8" t="s">
        <v>2862</v>
      </c>
      <c r="J565" s="8" t="s">
        <v>841</v>
      </c>
      <c r="L565" s="8" t="s">
        <v>71</v>
      </c>
      <c r="N565" s="8" t="s">
        <v>434</v>
      </c>
      <c r="O565" s="8" t="s">
        <v>434</v>
      </c>
      <c r="Q565" s="8" t="s">
        <v>32</v>
      </c>
      <c r="R565" s="8">
        <v>4</v>
      </c>
      <c r="S565" s="8">
        <v>7</v>
      </c>
      <c r="T565" s="8">
        <f t="shared" si="56"/>
        <v>11</v>
      </c>
      <c r="U565" s="8">
        <v>2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180</v>
      </c>
      <c r="AB565" s="9">
        <f t="shared" si="57"/>
        <v>0.33333333333333337</v>
      </c>
      <c r="AC565" s="10">
        <f t="shared" si="54"/>
        <v>32.999999999999993</v>
      </c>
      <c r="AD565" s="8" t="s">
        <v>33</v>
      </c>
      <c r="AE565" s="11">
        <v>269990</v>
      </c>
      <c r="AF565" s="11">
        <f t="shared" si="55"/>
        <v>2969890</v>
      </c>
      <c r="AG565" s="12" t="s">
        <v>73</v>
      </c>
      <c r="AH565" s="8" t="s">
        <v>65</v>
      </c>
    </row>
    <row r="566" spans="1:34">
      <c r="A566" s="8" t="s">
        <v>848</v>
      </c>
      <c r="B566" s="16" t="s">
        <v>2860</v>
      </c>
      <c r="C566" s="8" t="s">
        <v>40</v>
      </c>
      <c r="D566" s="8" t="s">
        <v>736</v>
      </c>
      <c r="E566" s="8" t="str">
        <f t="shared" si="53"/>
        <v>VESUBIO/TABACO</v>
      </c>
      <c r="G566" s="8" t="s">
        <v>2862</v>
      </c>
      <c r="H566" s="8" t="str">
        <f>VLOOKUP(A566,[1]BBDD!$B$1:$J$3274,9,FALSE)</f>
        <v>M</v>
      </c>
      <c r="I566" s="8" t="s">
        <v>2862</v>
      </c>
      <c r="J566" s="8" t="s">
        <v>841</v>
      </c>
      <c r="L566" s="8" t="s">
        <v>71</v>
      </c>
      <c r="N566" s="8" t="s">
        <v>161</v>
      </c>
      <c r="O566" s="8" t="s">
        <v>161</v>
      </c>
      <c r="Q566" s="8" t="s">
        <v>32</v>
      </c>
      <c r="R566" s="8">
        <v>3</v>
      </c>
      <c r="S566" s="8">
        <v>7</v>
      </c>
      <c r="T566" s="8">
        <f t="shared" si="56"/>
        <v>10</v>
      </c>
      <c r="U566" s="8">
        <v>0</v>
      </c>
      <c r="V566" s="8">
        <v>0</v>
      </c>
      <c r="W566" s="8">
        <v>0</v>
      </c>
      <c r="X566" s="8">
        <v>1</v>
      </c>
      <c r="Y566" s="8">
        <v>0</v>
      </c>
      <c r="Z566" s="8">
        <v>1</v>
      </c>
      <c r="AA566" s="8">
        <v>180</v>
      </c>
      <c r="AB566" s="9">
        <f t="shared" si="57"/>
        <v>0.33333333333333337</v>
      </c>
      <c r="AC566" s="10">
        <f t="shared" si="54"/>
        <v>29.999999999999996</v>
      </c>
      <c r="AD566" s="8" t="s">
        <v>33</v>
      </c>
      <c r="AE566" s="11">
        <v>269990</v>
      </c>
      <c r="AF566" s="11">
        <f t="shared" si="55"/>
        <v>2699900</v>
      </c>
      <c r="AG566" s="12" t="s">
        <v>73</v>
      </c>
      <c r="AH566" s="8" t="s">
        <v>35</v>
      </c>
    </row>
    <row r="567" spans="1:34">
      <c r="A567" s="8" t="s">
        <v>849</v>
      </c>
      <c r="B567" s="16" t="s">
        <v>2860</v>
      </c>
      <c r="C567" s="8" t="s">
        <v>40</v>
      </c>
      <c r="D567" s="8" t="s">
        <v>736</v>
      </c>
      <c r="E567" s="8" t="str">
        <f t="shared" si="53"/>
        <v>CAFE</v>
      </c>
      <c r="G567" s="8" t="s">
        <v>2862</v>
      </c>
      <c r="H567" s="8" t="str">
        <f>VLOOKUP(A567,[1]BBDD!$B$1:$J$3274,9,FALSE)</f>
        <v>M</v>
      </c>
      <c r="I567" s="8" t="s">
        <v>2862</v>
      </c>
      <c r="J567" s="8" t="s">
        <v>841</v>
      </c>
      <c r="L567" s="8" t="s">
        <v>71</v>
      </c>
      <c r="N567" s="8" t="s">
        <v>76</v>
      </c>
      <c r="O567" s="8" t="s">
        <v>76</v>
      </c>
      <c r="Q567" s="8" t="s">
        <v>45</v>
      </c>
      <c r="R567" s="8">
        <v>3</v>
      </c>
      <c r="S567" s="8">
        <v>6</v>
      </c>
      <c r="T567" s="8">
        <f t="shared" si="56"/>
        <v>9</v>
      </c>
      <c r="U567" s="8">
        <v>0</v>
      </c>
      <c r="V567" s="8">
        <v>0</v>
      </c>
      <c r="W567" s="8">
        <v>1</v>
      </c>
      <c r="X567" s="8">
        <v>0</v>
      </c>
      <c r="Y567" s="8">
        <v>0</v>
      </c>
      <c r="Z567" s="8">
        <v>1</v>
      </c>
      <c r="AA567" s="8">
        <v>180</v>
      </c>
      <c r="AB567" s="9">
        <f t="shared" si="57"/>
        <v>0.33333333333333337</v>
      </c>
      <c r="AC567" s="10">
        <f t="shared" si="54"/>
        <v>26.999999999999996</v>
      </c>
      <c r="AD567" s="8" t="s">
        <v>109</v>
      </c>
      <c r="AE567" s="11">
        <v>269990</v>
      </c>
      <c r="AF567" s="11">
        <f t="shared" si="55"/>
        <v>2429910</v>
      </c>
      <c r="AG567" s="12" t="s">
        <v>73</v>
      </c>
      <c r="AH567" s="8" t="s">
        <v>35</v>
      </c>
    </row>
    <row r="568" spans="1:34">
      <c r="A568" s="8" t="s">
        <v>850</v>
      </c>
      <c r="B568" s="16" t="s">
        <v>2860</v>
      </c>
      <c r="C568" s="8" t="s">
        <v>40</v>
      </c>
      <c r="D568" s="8" t="s">
        <v>736</v>
      </c>
      <c r="E568" s="8" t="str">
        <f t="shared" si="53"/>
        <v>AZUL/TABACO</v>
      </c>
      <c r="G568" s="8" t="s">
        <v>2862</v>
      </c>
      <c r="H568" s="8" t="str">
        <f>VLOOKUP(A568,[1]BBDD!$B$1:$J$3274,9,FALSE)</f>
        <v>M</v>
      </c>
      <c r="I568" s="8" t="s">
        <v>2862</v>
      </c>
      <c r="J568" s="8" t="s">
        <v>841</v>
      </c>
      <c r="L568" s="8" t="s">
        <v>431</v>
      </c>
      <c r="N568" s="8" t="s">
        <v>438</v>
      </c>
      <c r="O568" s="8" t="s">
        <v>438</v>
      </c>
      <c r="Q568" s="8" t="s">
        <v>45</v>
      </c>
      <c r="R568" s="8">
        <v>4</v>
      </c>
      <c r="S568" s="8">
        <v>5</v>
      </c>
      <c r="T568" s="8">
        <f t="shared" si="56"/>
        <v>9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180</v>
      </c>
      <c r="AB568" s="9">
        <f t="shared" si="57"/>
        <v>0</v>
      </c>
      <c r="AC568" s="10" t="str">
        <f t="shared" si="54"/>
        <v>sin venta</v>
      </c>
      <c r="AD568" s="8" t="s">
        <v>109</v>
      </c>
      <c r="AE568" s="11">
        <v>269990</v>
      </c>
      <c r="AF568" s="11">
        <f t="shared" si="55"/>
        <v>2429910</v>
      </c>
      <c r="AG568" s="12" t="s">
        <v>73</v>
      </c>
      <c r="AH568" s="8" t="s">
        <v>35</v>
      </c>
    </row>
    <row r="569" spans="1:34">
      <c r="A569" s="8" t="s">
        <v>851</v>
      </c>
      <c r="B569" s="16" t="s">
        <v>2860</v>
      </c>
      <c r="C569" s="8" t="s">
        <v>40</v>
      </c>
      <c r="D569" s="8" t="s">
        <v>736</v>
      </c>
      <c r="E569" s="8" t="str">
        <f t="shared" si="53"/>
        <v>BLACK</v>
      </c>
      <c r="G569" s="8" t="s">
        <v>2862</v>
      </c>
      <c r="H569" s="8" t="str">
        <f>VLOOKUP(A569,[1]BBDD!$B$1:$J$3274,9,FALSE)</f>
        <v>M</v>
      </c>
      <c r="I569" s="8" t="s">
        <v>2862</v>
      </c>
      <c r="J569" s="8" t="s">
        <v>852</v>
      </c>
      <c r="L569" s="8" t="s">
        <v>765</v>
      </c>
      <c r="N569" s="8" t="s">
        <v>766</v>
      </c>
      <c r="O569" s="20" t="s">
        <v>766</v>
      </c>
      <c r="Q569" s="8" t="s">
        <v>45</v>
      </c>
      <c r="R569" s="8">
        <v>3</v>
      </c>
      <c r="S569" s="8">
        <v>6</v>
      </c>
      <c r="T569" s="8">
        <f t="shared" si="56"/>
        <v>9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180</v>
      </c>
      <c r="AB569" s="9">
        <f t="shared" si="57"/>
        <v>0</v>
      </c>
      <c r="AC569" s="10" t="str">
        <f t="shared" si="54"/>
        <v>sin venta</v>
      </c>
      <c r="AD569" s="8" t="s">
        <v>109</v>
      </c>
      <c r="AE569" s="11">
        <v>210990</v>
      </c>
      <c r="AF569" s="11">
        <f t="shared" si="55"/>
        <v>1898910</v>
      </c>
      <c r="AG569" s="12" t="s">
        <v>73</v>
      </c>
      <c r="AH569" s="8" t="s">
        <v>35</v>
      </c>
    </row>
    <row r="570" spans="1:34">
      <c r="A570" s="8" t="s">
        <v>853</v>
      </c>
      <c r="B570" s="16" t="s">
        <v>2860</v>
      </c>
      <c r="C570" s="8" t="s">
        <v>40</v>
      </c>
      <c r="D570" s="8" t="s">
        <v>736</v>
      </c>
      <c r="E570" s="8" t="str">
        <f t="shared" si="53"/>
        <v>NEGRO</v>
      </c>
      <c r="G570" s="8" t="s">
        <v>2862</v>
      </c>
      <c r="H570" s="8" t="str">
        <f>VLOOKUP(A570,[1]BBDD!$B$1:$J$3274,9,FALSE)</f>
        <v>M</v>
      </c>
      <c r="I570" s="8" t="s">
        <v>2862</v>
      </c>
      <c r="J570" s="8" t="s">
        <v>852</v>
      </c>
      <c r="L570" s="8" t="s">
        <v>211</v>
      </c>
      <c r="N570" s="8" t="s">
        <v>44</v>
      </c>
      <c r="O570" s="8" t="s">
        <v>44</v>
      </c>
      <c r="Q570" s="8" t="s">
        <v>32</v>
      </c>
      <c r="R570" s="8">
        <v>1</v>
      </c>
      <c r="S570" s="8">
        <v>6</v>
      </c>
      <c r="T570" s="8">
        <f t="shared" si="56"/>
        <v>7</v>
      </c>
      <c r="U570" s="8">
        <v>1</v>
      </c>
      <c r="V570" s="8">
        <v>1</v>
      </c>
      <c r="W570" s="8">
        <v>2</v>
      </c>
      <c r="X570" s="8">
        <v>0</v>
      </c>
      <c r="Y570" s="8">
        <v>0</v>
      </c>
      <c r="Z570" s="8">
        <v>0</v>
      </c>
      <c r="AA570" s="8">
        <v>180</v>
      </c>
      <c r="AB570" s="9">
        <f t="shared" si="57"/>
        <v>0.66666666666666674</v>
      </c>
      <c r="AC570" s="10">
        <f t="shared" si="54"/>
        <v>10.499999999999998</v>
      </c>
      <c r="AD570" s="8" t="s">
        <v>33</v>
      </c>
      <c r="AE570" s="11">
        <v>210990</v>
      </c>
      <c r="AF570" s="11">
        <f t="shared" si="55"/>
        <v>1476930</v>
      </c>
      <c r="AG570" s="12" t="s">
        <v>51</v>
      </c>
      <c r="AH570" s="8" t="s">
        <v>35</v>
      </c>
    </row>
    <row r="571" spans="1:34">
      <c r="A571" s="8" t="s">
        <v>854</v>
      </c>
      <c r="B571" s="16" t="s">
        <v>2860</v>
      </c>
      <c r="C571" s="8" t="s">
        <v>40</v>
      </c>
      <c r="D571" s="8" t="s">
        <v>736</v>
      </c>
      <c r="E571" s="8" t="str">
        <f t="shared" si="53"/>
        <v>CARAMELO</v>
      </c>
      <c r="G571" s="8" t="s">
        <v>2862</v>
      </c>
      <c r="H571" s="8" t="str">
        <f>VLOOKUP(A571,[1]BBDD!$B$1:$J$3274,9,FALSE)</f>
        <v>M</v>
      </c>
      <c r="I571" s="8" t="s">
        <v>2862</v>
      </c>
      <c r="J571" s="8" t="s">
        <v>852</v>
      </c>
      <c r="L571" s="8" t="s">
        <v>82</v>
      </c>
      <c r="N571" s="8" t="s">
        <v>62</v>
      </c>
      <c r="O571" s="8" t="s">
        <v>62</v>
      </c>
      <c r="Q571" s="8" t="s">
        <v>32</v>
      </c>
      <c r="R571" s="8">
        <v>5</v>
      </c>
      <c r="S571" s="8">
        <v>5</v>
      </c>
      <c r="T571" s="8">
        <f t="shared" si="56"/>
        <v>10</v>
      </c>
      <c r="U571" s="8">
        <v>0</v>
      </c>
      <c r="V571" s="8">
        <v>1</v>
      </c>
      <c r="W571" s="8">
        <v>0</v>
      </c>
      <c r="X571" s="8">
        <v>3</v>
      </c>
      <c r="Y571" s="8">
        <v>1</v>
      </c>
      <c r="Z571" s="8">
        <v>1</v>
      </c>
      <c r="AA571" s="8">
        <v>180</v>
      </c>
      <c r="AB571" s="9">
        <f t="shared" si="57"/>
        <v>1</v>
      </c>
      <c r="AC571" s="10">
        <f t="shared" si="54"/>
        <v>10</v>
      </c>
      <c r="AD571" s="8" t="s">
        <v>33</v>
      </c>
      <c r="AE571" s="11">
        <v>210990</v>
      </c>
      <c r="AF571" s="11">
        <f t="shared" si="55"/>
        <v>2109900</v>
      </c>
      <c r="AG571" s="12" t="s">
        <v>51</v>
      </c>
      <c r="AH571" s="8" t="s">
        <v>35</v>
      </c>
    </row>
    <row r="572" spans="1:34">
      <c r="A572" s="8" t="s">
        <v>855</v>
      </c>
      <c r="B572" s="16" t="s">
        <v>2860</v>
      </c>
      <c r="C572" s="8" t="s">
        <v>40</v>
      </c>
      <c r="D572" s="8" t="s">
        <v>736</v>
      </c>
      <c r="E572" s="8" t="str">
        <f t="shared" si="53"/>
        <v>MALBEC</v>
      </c>
      <c r="G572" s="8" t="s">
        <v>2862</v>
      </c>
      <c r="H572" s="8" t="str">
        <f>VLOOKUP(A572,[1]BBDD!$B$1:$J$3274,9,FALSE)</f>
        <v>M</v>
      </c>
      <c r="I572" s="8" t="s">
        <v>2862</v>
      </c>
      <c r="J572" s="8" t="s">
        <v>852</v>
      </c>
      <c r="L572" s="8" t="s">
        <v>82</v>
      </c>
      <c r="N572" s="8" t="s">
        <v>69</v>
      </c>
      <c r="O572" s="8" t="s">
        <v>69</v>
      </c>
      <c r="Q572" s="8" t="s">
        <v>32</v>
      </c>
      <c r="R572" s="8">
        <v>4</v>
      </c>
      <c r="S572" s="8">
        <v>5</v>
      </c>
      <c r="T572" s="8">
        <f t="shared" si="56"/>
        <v>9</v>
      </c>
      <c r="U572" s="8">
        <v>0</v>
      </c>
      <c r="V572" s="8">
        <v>0</v>
      </c>
      <c r="W572" s="8">
        <v>3</v>
      </c>
      <c r="X572" s="8">
        <v>1</v>
      </c>
      <c r="Y572" s="8">
        <v>3</v>
      </c>
      <c r="Z572" s="8">
        <v>1</v>
      </c>
      <c r="AA572" s="8">
        <v>180</v>
      </c>
      <c r="AB572" s="9">
        <f t="shared" si="57"/>
        <v>1.3333333333333335</v>
      </c>
      <c r="AC572" s="10">
        <f t="shared" si="54"/>
        <v>6.7499999999999991</v>
      </c>
      <c r="AD572" s="8" t="s">
        <v>33</v>
      </c>
      <c r="AE572" s="11">
        <v>210990</v>
      </c>
      <c r="AF572" s="11">
        <f t="shared" si="55"/>
        <v>1898910</v>
      </c>
      <c r="AG572" s="12" t="s">
        <v>51</v>
      </c>
      <c r="AH572" s="8" t="s">
        <v>35</v>
      </c>
    </row>
    <row r="573" spans="1:34">
      <c r="A573" s="8" t="s">
        <v>856</v>
      </c>
      <c r="B573" s="16" t="s">
        <v>2860</v>
      </c>
      <c r="C573" s="8" t="s">
        <v>40</v>
      </c>
      <c r="D573" s="8" t="s">
        <v>736</v>
      </c>
      <c r="E573" s="8" t="str">
        <f t="shared" si="53"/>
        <v>NEGRO</v>
      </c>
      <c r="G573" s="8" t="s">
        <v>2862</v>
      </c>
      <c r="H573" s="8" t="str">
        <f>VLOOKUP(A573,[1]BBDD!$B$1:$J$3274,9,FALSE)</f>
        <v>M</v>
      </c>
      <c r="I573" s="8" t="s">
        <v>2862</v>
      </c>
      <c r="J573" s="8" t="s">
        <v>852</v>
      </c>
      <c r="L573" s="8" t="s">
        <v>82</v>
      </c>
      <c r="N573" s="8" t="s">
        <v>44</v>
      </c>
      <c r="O573" s="8" t="s">
        <v>44</v>
      </c>
      <c r="Q573" s="8" t="s">
        <v>45</v>
      </c>
      <c r="R573" s="8">
        <v>0</v>
      </c>
      <c r="S573" s="8">
        <v>2</v>
      </c>
      <c r="T573" s="8">
        <f t="shared" si="56"/>
        <v>2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180</v>
      </c>
      <c r="AB573" s="9">
        <f t="shared" si="57"/>
        <v>0</v>
      </c>
      <c r="AC573" s="10" t="str">
        <f t="shared" si="54"/>
        <v>sin venta</v>
      </c>
      <c r="AD573" s="8" t="s">
        <v>109</v>
      </c>
      <c r="AE573" s="11">
        <v>210990</v>
      </c>
      <c r="AF573" s="11">
        <f t="shared" si="55"/>
        <v>421980</v>
      </c>
      <c r="AG573" s="12" t="s">
        <v>73</v>
      </c>
      <c r="AH573" s="8" t="s">
        <v>35</v>
      </c>
    </row>
    <row r="574" spans="1:34">
      <c r="A574" s="8" t="s">
        <v>857</v>
      </c>
      <c r="B574" s="16" t="s">
        <v>2860</v>
      </c>
      <c r="C574" s="8" t="s">
        <v>40</v>
      </c>
      <c r="D574" s="8" t="s">
        <v>736</v>
      </c>
      <c r="E574" s="8" t="str">
        <f t="shared" si="53"/>
        <v>BRIDGE AZUL/TABACO</v>
      </c>
      <c r="G574" s="8" t="s">
        <v>2862</v>
      </c>
      <c r="H574" s="8" t="str">
        <f>VLOOKUP(A574,[1]BBDD!$B$1:$J$3274,9,FALSE)</f>
        <v>M</v>
      </c>
      <c r="I574" s="8" t="s">
        <v>2862</v>
      </c>
      <c r="J574" s="8" t="s">
        <v>858</v>
      </c>
      <c r="L574" s="8" t="s">
        <v>71</v>
      </c>
      <c r="M574" s="20" t="s">
        <v>1392</v>
      </c>
      <c r="N574" s="8" t="s">
        <v>859</v>
      </c>
      <c r="O574" s="20" t="s">
        <v>438</v>
      </c>
      <c r="Q574" s="8" t="s">
        <v>32</v>
      </c>
      <c r="R574" s="8">
        <v>1</v>
      </c>
      <c r="S574" s="8">
        <v>5</v>
      </c>
      <c r="T574" s="8">
        <f t="shared" si="56"/>
        <v>6</v>
      </c>
      <c r="U574" s="8">
        <v>0</v>
      </c>
      <c r="V574" s="8">
        <v>1</v>
      </c>
      <c r="W574" s="8">
        <v>1</v>
      </c>
      <c r="X574" s="8">
        <v>1</v>
      </c>
      <c r="Y574" s="8">
        <v>2</v>
      </c>
      <c r="Z574" s="8">
        <v>1</v>
      </c>
      <c r="AA574" s="8">
        <v>162</v>
      </c>
      <c r="AB574" s="9">
        <f t="shared" si="57"/>
        <v>1.1111111111111112</v>
      </c>
      <c r="AC574" s="10">
        <f t="shared" si="54"/>
        <v>5.3999999999999995</v>
      </c>
      <c r="AD574" s="8" t="s">
        <v>33</v>
      </c>
      <c r="AE574" s="11">
        <v>199990</v>
      </c>
      <c r="AF574" s="11">
        <f t="shared" si="55"/>
        <v>1199940</v>
      </c>
      <c r="AG574" s="12" t="s">
        <v>34</v>
      </c>
      <c r="AH574" s="8" t="s">
        <v>35</v>
      </c>
    </row>
    <row r="575" spans="1:34">
      <c r="A575" s="8" t="s">
        <v>860</v>
      </c>
      <c r="B575" s="16" t="s">
        <v>2860</v>
      </c>
      <c r="C575" s="8" t="s">
        <v>40</v>
      </c>
      <c r="D575" s="8" t="s">
        <v>736</v>
      </c>
      <c r="E575" s="8" t="str">
        <f t="shared" si="53"/>
        <v>BRIDGE OLIVE/TABACO</v>
      </c>
      <c r="G575" s="8" t="s">
        <v>2862</v>
      </c>
      <c r="H575" s="8" t="str">
        <f>VLOOKUP(A575,[1]BBDD!$B$1:$J$3274,9,FALSE)</f>
        <v>M</v>
      </c>
      <c r="I575" s="8" t="s">
        <v>2862</v>
      </c>
      <c r="J575" s="8" t="s">
        <v>858</v>
      </c>
      <c r="L575" s="8" t="s">
        <v>71</v>
      </c>
      <c r="M575" s="20" t="s">
        <v>1392</v>
      </c>
      <c r="N575" s="8" t="s">
        <v>861</v>
      </c>
      <c r="O575" s="20" t="s">
        <v>434</v>
      </c>
      <c r="Q575" s="8" t="s">
        <v>32</v>
      </c>
      <c r="R575" s="8">
        <v>0</v>
      </c>
      <c r="S575" s="8">
        <v>2</v>
      </c>
      <c r="T575" s="8">
        <f t="shared" si="56"/>
        <v>2</v>
      </c>
      <c r="U575" s="8">
        <v>0</v>
      </c>
      <c r="V575" s="8">
        <v>2</v>
      </c>
      <c r="W575" s="8">
        <v>2</v>
      </c>
      <c r="X575" s="8">
        <v>2</v>
      </c>
      <c r="Y575" s="8">
        <v>4</v>
      </c>
      <c r="Z575" s="8">
        <v>2</v>
      </c>
      <c r="AA575" s="8">
        <v>162</v>
      </c>
      <c r="AB575" s="9">
        <f t="shared" si="57"/>
        <v>2.2222222222222223</v>
      </c>
      <c r="AC575" s="10">
        <f t="shared" si="54"/>
        <v>0.89999999999999991</v>
      </c>
      <c r="AD575" s="8" t="s">
        <v>33</v>
      </c>
      <c r="AE575" s="11">
        <v>199990</v>
      </c>
      <c r="AF575" s="11">
        <f t="shared" si="55"/>
        <v>399980</v>
      </c>
      <c r="AG575" s="12" t="s">
        <v>34</v>
      </c>
      <c r="AH575" s="8" t="s">
        <v>35</v>
      </c>
    </row>
    <row r="576" spans="1:34">
      <c r="A576" s="8" t="s">
        <v>862</v>
      </c>
      <c r="B576" s="16" t="s">
        <v>2860</v>
      </c>
      <c r="C576" s="8" t="s">
        <v>40</v>
      </c>
      <c r="D576" s="8" t="s">
        <v>736</v>
      </c>
      <c r="E576" s="8" t="str">
        <f t="shared" si="53"/>
        <v>BRIDGE VESUBIO/TABACO</v>
      </c>
      <c r="G576" s="8" t="s">
        <v>2862</v>
      </c>
      <c r="H576" s="8" t="str">
        <f>VLOOKUP(A576,[1]BBDD!$B$1:$J$3274,9,FALSE)</f>
        <v>M</v>
      </c>
      <c r="I576" s="8" t="s">
        <v>2862</v>
      </c>
      <c r="J576" s="8" t="s">
        <v>858</v>
      </c>
      <c r="L576" s="8" t="s">
        <v>71</v>
      </c>
      <c r="M576" s="20" t="s">
        <v>1392</v>
      </c>
      <c r="N576" s="8" t="s">
        <v>863</v>
      </c>
      <c r="O576" s="20" t="s">
        <v>161</v>
      </c>
      <c r="Q576" s="8" t="s">
        <v>32</v>
      </c>
      <c r="R576" s="8">
        <v>0</v>
      </c>
      <c r="S576" s="8">
        <v>7</v>
      </c>
      <c r="T576" s="8">
        <f t="shared" si="56"/>
        <v>7</v>
      </c>
      <c r="U576" s="8">
        <v>1</v>
      </c>
      <c r="V576" s="8">
        <v>0</v>
      </c>
      <c r="W576" s="8">
        <v>0</v>
      </c>
      <c r="X576" s="8">
        <v>2</v>
      </c>
      <c r="Y576" s="8">
        <v>2</v>
      </c>
      <c r="Z576" s="8">
        <v>2</v>
      </c>
      <c r="AA576" s="8">
        <v>162</v>
      </c>
      <c r="AB576" s="9">
        <f t="shared" si="57"/>
        <v>1.2962962962962963</v>
      </c>
      <c r="AC576" s="10">
        <f t="shared" si="54"/>
        <v>5.4</v>
      </c>
      <c r="AD576" s="8" t="s">
        <v>33</v>
      </c>
      <c r="AE576" s="11">
        <v>199990</v>
      </c>
      <c r="AF576" s="11">
        <f t="shared" si="55"/>
        <v>1399930</v>
      </c>
      <c r="AG576" s="12" t="s">
        <v>34</v>
      </c>
      <c r="AH576" s="8" t="s">
        <v>35</v>
      </c>
    </row>
    <row r="577" spans="1:34">
      <c r="A577" s="8" t="s">
        <v>864</v>
      </c>
      <c r="B577" s="16" t="s">
        <v>2860</v>
      </c>
      <c r="C577" s="8" t="s">
        <v>40</v>
      </c>
      <c r="D577" s="8" t="s">
        <v>736</v>
      </c>
      <c r="E577" s="8" t="str">
        <f t="shared" si="53"/>
        <v>NEGRO</v>
      </c>
      <c r="G577" s="8" t="s">
        <v>2862</v>
      </c>
      <c r="H577" s="8" t="str">
        <f>VLOOKUP(A577,[1]BBDD!$B$1:$J$3274,9,FALSE)</f>
        <v>M</v>
      </c>
      <c r="I577" s="8" t="s">
        <v>2862</v>
      </c>
      <c r="J577" s="8" t="s">
        <v>865</v>
      </c>
      <c r="L577" s="8" t="s">
        <v>61</v>
      </c>
      <c r="N577" s="8" t="s">
        <v>44</v>
      </c>
      <c r="O577" s="8" t="s">
        <v>44</v>
      </c>
      <c r="Q577" s="8" t="s">
        <v>32</v>
      </c>
      <c r="R577" s="8">
        <v>0</v>
      </c>
      <c r="S577" s="8">
        <v>3</v>
      </c>
      <c r="T577" s="8">
        <f t="shared" ref="T577:T621" si="58">SUM(R577:S577)</f>
        <v>3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4</v>
      </c>
      <c r="AA577" s="8">
        <v>50</v>
      </c>
      <c r="AB577" s="9">
        <f t="shared" ref="AB577:AB621" si="59">SUM(U577:Z577)/AA577*30</f>
        <v>2.4</v>
      </c>
      <c r="AC577" s="10">
        <f t="shared" si="54"/>
        <v>1.25</v>
      </c>
      <c r="AD577" s="8" t="s">
        <v>33</v>
      </c>
      <c r="AE577" s="11">
        <v>144990</v>
      </c>
      <c r="AF577" s="11">
        <f t="shared" si="55"/>
        <v>434970</v>
      </c>
      <c r="AG577" s="12" t="s">
        <v>34</v>
      </c>
      <c r="AH577" s="8" t="s">
        <v>35</v>
      </c>
    </row>
    <row r="578" spans="1:34">
      <c r="A578" s="8" t="s">
        <v>866</v>
      </c>
      <c r="B578" s="16" t="s">
        <v>2860</v>
      </c>
      <c r="C578" s="8" t="s">
        <v>40</v>
      </c>
      <c r="D578" s="8" t="s">
        <v>736</v>
      </c>
      <c r="E578" s="8" t="str">
        <f t="shared" si="53"/>
        <v>CARAMELO</v>
      </c>
      <c r="G578" s="8" t="s">
        <v>2862</v>
      </c>
      <c r="H578" s="8" t="str">
        <f>VLOOKUP(A578,[1]BBDD!$B$1:$J$3274,9,FALSE)</f>
        <v>M</v>
      </c>
      <c r="I578" s="8" t="s">
        <v>2862</v>
      </c>
      <c r="J578" s="8" t="s">
        <v>865</v>
      </c>
      <c r="L578" s="8" t="s">
        <v>61</v>
      </c>
      <c r="N578" s="8" t="s">
        <v>62</v>
      </c>
      <c r="O578" s="8" t="s">
        <v>62</v>
      </c>
      <c r="Q578" s="8" t="s">
        <v>32</v>
      </c>
      <c r="R578" s="8">
        <v>0</v>
      </c>
      <c r="S578" s="8">
        <v>3</v>
      </c>
      <c r="T578" s="8">
        <f t="shared" si="58"/>
        <v>3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3</v>
      </c>
      <c r="AA578" s="8">
        <v>50</v>
      </c>
      <c r="AB578" s="9">
        <f t="shared" si="59"/>
        <v>1.7999999999999998</v>
      </c>
      <c r="AC578" s="10">
        <f t="shared" si="54"/>
        <v>1.6666666666666667</v>
      </c>
      <c r="AD578" s="8" t="s">
        <v>33</v>
      </c>
      <c r="AE578" s="11">
        <v>144990</v>
      </c>
      <c r="AF578" s="11">
        <f t="shared" si="55"/>
        <v>434970</v>
      </c>
      <c r="AG578" s="12" t="s">
        <v>34</v>
      </c>
      <c r="AH578" s="8" t="s">
        <v>35</v>
      </c>
    </row>
    <row r="579" spans="1:34">
      <c r="A579" s="8" t="s">
        <v>867</v>
      </c>
      <c r="B579" s="16" t="s">
        <v>2860</v>
      </c>
      <c r="C579" s="8" t="s">
        <v>40</v>
      </c>
      <c r="D579" s="8" t="s">
        <v>736</v>
      </c>
      <c r="E579" s="8" t="str">
        <f t="shared" ref="E579:E642" si="60">TRIM(N579)</f>
        <v>MALBEC</v>
      </c>
      <c r="G579" s="8" t="s">
        <v>2862</v>
      </c>
      <c r="H579" s="8" t="str">
        <f>VLOOKUP(A579,[1]BBDD!$B$1:$J$3274,9,FALSE)</f>
        <v>M</v>
      </c>
      <c r="I579" s="8" t="s">
        <v>2862</v>
      </c>
      <c r="J579" s="8" t="s">
        <v>865</v>
      </c>
      <c r="L579" s="8" t="s">
        <v>61</v>
      </c>
      <c r="N579" s="8" t="s">
        <v>69</v>
      </c>
      <c r="O579" s="8" t="s">
        <v>69</v>
      </c>
      <c r="Q579" s="8" t="s">
        <v>32</v>
      </c>
      <c r="R579" s="8">
        <v>0</v>
      </c>
      <c r="S579" s="8">
        <v>0</v>
      </c>
      <c r="T579" s="8">
        <f t="shared" si="58"/>
        <v>0</v>
      </c>
      <c r="U579" s="8">
        <v>0</v>
      </c>
      <c r="V579" s="8">
        <v>0</v>
      </c>
      <c r="W579" s="8">
        <v>0</v>
      </c>
      <c r="X579" s="8">
        <v>0</v>
      </c>
      <c r="Y579" s="8">
        <v>3</v>
      </c>
      <c r="Z579" s="8">
        <v>1</v>
      </c>
      <c r="AA579" s="8">
        <v>50</v>
      </c>
      <c r="AB579" s="9">
        <f t="shared" si="59"/>
        <v>2.4</v>
      </c>
      <c r="AC579" s="10">
        <f t="shared" ref="AC579:AC642" si="61">IFERROR(T579/AB579,"sin venta")</f>
        <v>0</v>
      </c>
      <c r="AD579" s="8" t="s">
        <v>33</v>
      </c>
      <c r="AE579" s="11">
        <v>144990</v>
      </c>
      <c r="AF579" s="11">
        <f t="shared" ref="AF579:AF642" si="62">IFERROR(AE579*T579,0)</f>
        <v>0</v>
      </c>
      <c r="AG579" s="12" t="s">
        <v>34</v>
      </c>
      <c r="AH579" s="8" t="s">
        <v>35</v>
      </c>
    </row>
    <row r="580" spans="1:34">
      <c r="A580" s="8" t="s">
        <v>868</v>
      </c>
      <c r="B580" s="16" t="s">
        <v>2860</v>
      </c>
      <c r="C580" s="8" t="s">
        <v>40</v>
      </c>
      <c r="D580" s="8" t="s">
        <v>736</v>
      </c>
      <c r="E580" s="8" t="str">
        <f t="shared" si="60"/>
        <v>HEREFORD</v>
      </c>
      <c r="G580" s="8" t="s">
        <v>2862</v>
      </c>
      <c r="H580" s="8" t="str">
        <f>VLOOKUP(A580,[1]BBDD!$B$1:$J$3274,9,FALSE)</f>
        <v>M</v>
      </c>
      <c r="I580" s="8" t="s">
        <v>2862</v>
      </c>
      <c r="J580" s="8" t="s">
        <v>865</v>
      </c>
      <c r="L580" s="8" t="s">
        <v>30</v>
      </c>
      <c r="N580" s="8" t="s">
        <v>37</v>
      </c>
      <c r="O580" s="8" t="s">
        <v>37</v>
      </c>
      <c r="Q580" s="8" t="s">
        <v>32</v>
      </c>
      <c r="R580" s="8">
        <v>0</v>
      </c>
      <c r="S580" s="8">
        <v>1</v>
      </c>
      <c r="T580" s="8">
        <f t="shared" si="58"/>
        <v>1</v>
      </c>
      <c r="U580" s="8">
        <v>0</v>
      </c>
      <c r="V580" s="8">
        <v>0</v>
      </c>
      <c r="W580" s="8">
        <v>0</v>
      </c>
      <c r="X580" s="8">
        <v>0</v>
      </c>
      <c r="Y580" s="8">
        <v>5</v>
      </c>
      <c r="Z580" s="8">
        <v>1</v>
      </c>
      <c r="AA580" s="8">
        <v>50</v>
      </c>
      <c r="AB580" s="9">
        <f t="shared" si="59"/>
        <v>3.5999999999999996</v>
      </c>
      <c r="AC580" s="10">
        <f t="shared" si="61"/>
        <v>0.27777777777777779</v>
      </c>
      <c r="AD580" s="8" t="s">
        <v>33</v>
      </c>
      <c r="AE580" s="11">
        <v>144990</v>
      </c>
      <c r="AF580" s="11">
        <f t="shared" si="62"/>
        <v>144990</v>
      </c>
      <c r="AG580" s="12" t="s">
        <v>34</v>
      </c>
      <c r="AH580" s="8" t="s">
        <v>35</v>
      </c>
    </row>
    <row r="581" spans="1:34">
      <c r="A581" s="8" t="s">
        <v>869</v>
      </c>
      <c r="B581" s="16" t="s">
        <v>2860</v>
      </c>
      <c r="C581" s="8" t="s">
        <v>40</v>
      </c>
      <c r="D581" s="8" t="s">
        <v>736</v>
      </c>
      <c r="E581" s="8" t="str">
        <f t="shared" si="60"/>
        <v>HOLANDO</v>
      </c>
      <c r="G581" s="8" t="s">
        <v>2862</v>
      </c>
      <c r="H581" s="8" t="str">
        <f>VLOOKUP(A581,[1]BBDD!$B$1:$J$3274,9,FALSE)</f>
        <v>M</v>
      </c>
      <c r="I581" s="8" t="s">
        <v>2862</v>
      </c>
      <c r="J581" s="8" t="s">
        <v>865</v>
      </c>
      <c r="L581" s="8" t="s">
        <v>30</v>
      </c>
      <c r="N581" s="8" t="s">
        <v>31</v>
      </c>
      <c r="O581" s="8" t="s">
        <v>31</v>
      </c>
      <c r="Q581" s="8" t="s">
        <v>32</v>
      </c>
      <c r="R581" s="8">
        <v>0</v>
      </c>
      <c r="S581" s="8">
        <v>3</v>
      </c>
      <c r="T581" s="8">
        <f t="shared" si="58"/>
        <v>3</v>
      </c>
      <c r="U581" s="8">
        <v>0</v>
      </c>
      <c r="V581" s="8">
        <v>0</v>
      </c>
      <c r="W581" s="8">
        <v>0</v>
      </c>
      <c r="X581" s="8">
        <v>0</v>
      </c>
      <c r="Y581" s="8">
        <v>3</v>
      </c>
      <c r="Z581" s="8">
        <v>1</v>
      </c>
      <c r="AA581" s="8">
        <v>50</v>
      </c>
      <c r="AB581" s="9">
        <f t="shared" si="59"/>
        <v>2.4</v>
      </c>
      <c r="AC581" s="10">
        <f t="shared" si="61"/>
        <v>1.25</v>
      </c>
      <c r="AD581" s="8" t="s">
        <v>33</v>
      </c>
      <c r="AE581" s="11">
        <v>144990</v>
      </c>
      <c r="AF581" s="11">
        <f t="shared" si="62"/>
        <v>434970</v>
      </c>
      <c r="AG581" s="12" t="s">
        <v>34</v>
      </c>
      <c r="AH581" s="8" t="s">
        <v>35</v>
      </c>
    </row>
    <row r="582" spans="1:34">
      <c r="A582" s="8" t="s">
        <v>870</v>
      </c>
      <c r="B582" s="16" t="s">
        <v>2860</v>
      </c>
      <c r="C582" s="8" t="s">
        <v>40</v>
      </c>
      <c r="D582" s="8" t="s">
        <v>736</v>
      </c>
      <c r="E582" s="8" t="str">
        <f t="shared" si="60"/>
        <v>CARAMELO</v>
      </c>
      <c r="G582" s="8" t="s">
        <v>2862</v>
      </c>
      <c r="H582" s="8" t="str">
        <f>VLOOKUP(A582,[1]BBDD!$B$1:$J$3274,9,FALSE)</f>
        <v>M</v>
      </c>
      <c r="I582" s="8" t="s">
        <v>2862</v>
      </c>
      <c r="J582" s="8" t="s">
        <v>871</v>
      </c>
      <c r="L582" s="8" t="s">
        <v>61</v>
      </c>
      <c r="N582" s="8" t="s">
        <v>62</v>
      </c>
      <c r="O582" s="8" t="s">
        <v>62</v>
      </c>
      <c r="Q582" s="8" t="s">
        <v>45</v>
      </c>
      <c r="R582" s="8">
        <v>15</v>
      </c>
      <c r="S582" s="8">
        <v>8</v>
      </c>
      <c r="T582" s="8">
        <f t="shared" si="58"/>
        <v>23</v>
      </c>
      <c r="U582" s="8">
        <v>0</v>
      </c>
      <c r="V582" s="8">
        <v>1</v>
      </c>
      <c r="W582" s="8">
        <v>1</v>
      </c>
      <c r="X582" s="8">
        <v>0</v>
      </c>
      <c r="Y582" s="8">
        <v>0</v>
      </c>
      <c r="Z582" s="8">
        <v>0</v>
      </c>
      <c r="AA582" s="8">
        <v>180</v>
      </c>
      <c r="AB582" s="9">
        <f t="shared" si="59"/>
        <v>0.33333333333333337</v>
      </c>
      <c r="AC582" s="10">
        <f t="shared" si="61"/>
        <v>68.999999999999986</v>
      </c>
      <c r="AD582" s="8" t="s">
        <v>46</v>
      </c>
      <c r="AE582" s="11">
        <v>179990</v>
      </c>
      <c r="AF582" s="11">
        <f t="shared" si="62"/>
        <v>4139770</v>
      </c>
      <c r="AG582" s="12" t="s">
        <v>73</v>
      </c>
      <c r="AH582" s="8" t="s">
        <v>74</v>
      </c>
    </row>
    <row r="583" spans="1:34">
      <c r="A583" s="8" t="s">
        <v>872</v>
      </c>
      <c r="B583" s="16" t="s">
        <v>2860</v>
      </c>
      <c r="C583" s="8" t="s">
        <v>40</v>
      </c>
      <c r="D583" s="8" t="s">
        <v>736</v>
      </c>
      <c r="E583" s="8" t="str">
        <f t="shared" si="60"/>
        <v>NEGRO</v>
      </c>
      <c r="G583" s="8" t="s">
        <v>2862</v>
      </c>
      <c r="H583" s="8" t="str">
        <f>VLOOKUP(A583,[1]BBDD!$B$1:$J$3274,9,FALSE)</f>
        <v>M</v>
      </c>
      <c r="I583" s="8" t="s">
        <v>2862</v>
      </c>
      <c r="J583" s="8" t="s">
        <v>871</v>
      </c>
      <c r="L583" s="8" t="s">
        <v>61</v>
      </c>
      <c r="N583" s="8" t="s">
        <v>44</v>
      </c>
      <c r="O583" s="8" t="s">
        <v>44</v>
      </c>
      <c r="Q583" s="8" t="s">
        <v>45</v>
      </c>
      <c r="R583" s="8">
        <v>1</v>
      </c>
      <c r="S583" s="8">
        <v>8</v>
      </c>
      <c r="T583" s="8">
        <f t="shared" si="58"/>
        <v>9</v>
      </c>
      <c r="U583" s="8">
        <v>0</v>
      </c>
      <c r="V583" s="8">
        <v>0</v>
      </c>
      <c r="W583" s="8">
        <v>1</v>
      </c>
      <c r="X583" s="8">
        <v>0</v>
      </c>
      <c r="Y583" s="8">
        <v>0</v>
      </c>
      <c r="Z583" s="8">
        <v>0</v>
      </c>
      <c r="AA583" s="8">
        <v>180</v>
      </c>
      <c r="AB583" s="9">
        <f t="shared" si="59"/>
        <v>0.16666666666666669</v>
      </c>
      <c r="AC583" s="10">
        <f t="shared" si="61"/>
        <v>53.999999999999993</v>
      </c>
      <c r="AD583" s="8" t="s">
        <v>46</v>
      </c>
      <c r="AE583" s="11">
        <v>179990</v>
      </c>
      <c r="AF583" s="11">
        <f t="shared" si="62"/>
        <v>1619910</v>
      </c>
      <c r="AG583" s="12" t="s">
        <v>73</v>
      </c>
      <c r="AH583" s="8" t="s">
        <v>35</v>
      </c>
    </row>
    <row r="584" spans="1:34">
      <c r="A584" s="8" t="s">
        <v>873</v>
      </c>
      <c r="B584" s="16" t="s">
        <v>2860</v>
      </c>
      <c r="C584" s="8" t="s">
        <v>40</v>
      </c>
      <c r="D584" s="8" t="s">
        <v>736</v>
      </c>
      <c r="E584" s="8" t="str">
        <f t="shared" si="60"/>
        <v>TABACO</v>
      </c>
      <c r="G584" s="8" t="s">
        <v>2862</v>
      </c>
      <c r="H584" s="8" t="str">
        <f>VLOOKUP(A584,[1]BBDD!$B$1:$J$3274,9,FALSE)</f>
        <v>M</v>
      </c>
      <c r="I584" s="8" t="s">
        <v>2862</v>
      </c>
      <c r="J584" s="8" t="s">
        <v>871</v>
      </c>
      <c r="L584" s="8" t="s">
        <v>61</v>
      </c>
      <c r="N584" s="8" t="s">
        <v>67</v>
      </c>
      <c r="O584" s="8" t="s">
        <v>67</v>
      </c>
      <c r="Q584" s="8" t="s">
        <v>45</v>
      </c>
      <c r="R584" s="8">
        <v>13</v>
      </c>
      <c r="S584" s="8">
        <v>7</v>
      </c>
      <c r="T584" s="8">
        <f t="shared" si="58"/>
        <v>20</v>
      </c>
      <c r="U584" s="8">
        <v>0</v>
      </c>
      <c r="V584" s="8">
        <v>1</v>
      </c>
      <c r="W584" s="8">
        <v>0</v>
      </c>
      <c r="X584" s="8">
        <v>0</v>
      </c>
      <c r="Y584" s="8">
        <v>1</v>
      </c>
      <c r="Z584" s="8">
        <v>0</v>
      </c>
      <c r="AA584" s="8">
        <v>180</v>
      </c>
      <c r="AB584" s="9">
        <f t="shared" si="59"/>
        <v>0.33333333333333337</v>
      </c>
      <c r="AC584" s="10">
        <f t="shared" si="61"/>
        <v>59.999999999999993</v>
      </c>
      <c r="AD584" s="8" t="s">
        <v>46</v>
      </c>
      <c r="AE584" s="11">
        <v>179990</v>
      </c>
      <c r="AF584" s="11">
        <f t="shared" si="62"/>
        <v>3599800</v>
      </c>
      <c r="AG584" s="12" t="s">
        <v>73</v>
      </c>
      <c r="AH584" s="8" t="s">
        <v>65</v>
      </c>
    </row>
    <row r="585" spans="1:34">
      <c r="A585" s="8" t="s">
        <v>874</v>
      </c>
      <c r="B585" s="16" t="s">
        <v>2860</v>
      </c>
      <c r="C585" s="8" t="s">
        <v>40</v>
      </c>
      <c r="D585" s="8" t="s">
        <v>736</v>
      </c>
      <c r="E585" s="8" t="str">
        <f t="shared" si="60"/>
        <v>CEDRO</v>
      </c>
      <c r="G585" s="8" t="s">
        <v>2862</v>
      </c>
      <c r="H585" s="8" t="str">
        <f>VLOOKUP(A585,[1]BBDD!$B$1:$J$3274,9,FALSE)</f>
        <v>M</v>
      </c>
      <c r="I585" s="8" t="s">
        <v>2862</v>
      </c>
      <c r="J585" s="8" t="s">
        <v>871</v>
      </c>
      <c r="L585" s="8" t="s">
        <v>112</v>
      </c>
      <c r="N585" s="8" t="s">
        <v>113</v>
      </c>
      <c r="O585" s="8" t="s">
        <v>113</v>
      </c>
      <c r="Q585" s="8" t="s">
        <v>45</v>
      </c>
      <c r="R585" s="8">
        <v>0</v>
      </c>
      <c r="S585" s="8">
        <v>1</v>
      </c>
      <c r="T585" s="8">
        <f t="shared" si="58"/>
        <v>1</v>
      </c>
      <c r="U585" s="8">
        <v>1</v>
      </c>
      <c r="V585" s="8">
        <v>0</v>
      </c>
      <c r="W585" s="8">
        <v>1</v>
      </c>
      <c r="X585" s="8">
        <v>0</v>
      </c>
      <c r="Y585" s="8">
        <v>0</v>
      </c>
      <c r="Z585" s="8">
        <v>0</v>
      </c>
      <c r="AA585" s="8">
        <v>180</v>
      </c>
      <c r="AB585" s="9">
        <f t="shared" si="59"/>
        <v>0.33333333333333337</v>
      </c>
      <c r="AC585" s="10">
        <f t="shared" si="61"/>
        <v>2.9999999999999996</v>
      </c>
      <c r="AD585" s="8" t="s">
        <v>46</v>
      </c>
      <c r="AE585" s="11">
        <v>179990</v>
      </c>
      <c r="AF585" s="11">
        <f t="shared" si="62"/>
        <v>179990</v>
      </c>
      <c r="AG585" s="12" t="s">
        <v>34</v>
      </c>
      <c r="AH585" s="8" t="s">
        <v>35</v>
      </c>
    </row>
    <row r="586" spans="1:34">
      <c r="A586" s="13" t="s">
        <v>875</v>
      </c>
      <c r="B586" s="16" t="s">
        <v>2860</v>
      </c>
      <c r="C586" s="8" t="s">
        <v>40</v>
      </c>
      <c r="D586" s="8" t="s">
        <v>736</v>
      </c>
      <c r="E586" s="8" t="str">
        <f t="shared" si="60"/>
        <v>OLIVE</v>
      </c>
      <c r="G586" s="8" t="s">
        <v>2862</v>
      </c>
      <c r="H586" s="8" t="str">
        <f>VLOOKUP(A586,[1]BBDD!$B$1:$J$3274,9,FALSE)</f>
        <v>M</v>
      </c>
      <c r="I586" s="8" t="s">
        <v>2862</v>
      </c>
      <c r="J586" s="8" t="s">
        <v>876</v>
      </c>
      <c r="L586" s="8" t="s">
        <v>71</v>
      </c>
      <c r="N586" s="8" t="s">
        <v>159</v>
      </c>
      <c r="O586" s="8" t="s">
        <v>159</v>
      </c>
      <c r="Q586" s="8" t="s">
        <v>32</v>
      </c>
      <c r="R586" s="8">
        <v>0</v>
      </c>
      <c r="S586" s="8">
        <v>5</v>
      </c>
      <c r="T586" s="8">
        <f t="shared" si="58"/>
        <v>5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3</v>
      </c>
      <c r="AA586" s="8">
        <v>14</v>
      </c>
      <c r="AB586" s="9">
        <f t="shared" si="59"/>
        <v>6.4285714285714279</v>
      </c>
      <c r="AC586" s="10">
        <f t="shared" si="61"/>
        <v>0.7777777777777779</v>
      </c>
      <c r="AD586" s="8" t="s">
        <v>33</v>
      </c>
      <c r="AE586" s="11">
        <v>169990</v>
      </c>
      <c r="AF586" s="11">
        <f t="shared" si="62"/>
        <v>849950</v>
      </c>
      <c r="AG586" s="12" t="s">
        <v>34</v>
      </c>
      <c r="AH586" s="8" t="s">
        <v>35</v>
      </c>
    </row>
    <row r="587" spans="1:34">
      <c r="A587" s="13" t="s">
        <v>877</v>
      </c>
      <c r="B587" s="16" t="s">
        <v>2860</v>
      </c>
      <c r="C587" s="8" t="s">
        <v>40</v>
      </c>
      <c r="D587" s="8" t="s">
        <v>736</v>
      </c>
      <c r="E587" s="8" t="str">
        <f t="shared" si="60"/>
        <v>TABACO</v>
      </c>
      <c r="G587" s="8" t="s">
        <v>2862</v>
      </c>
      <c r="H587" s="8" t="str">
        <f>VLOOKUP(A587,[1]BBDD!$B$1:$J$3274,9,FALSE)</f>
        <v>M</v>
      </c>
      <c r="I587" s="8" t="s">
        <v>2862</v>
      </c>
      <c r="J587" s="8" t="s">
        <v>876</v>
      </c>
      <c r="L587" s="8" t="s">
        <v>71</v>
      </c>
      <c r="N587" s="8" t="s">
        <v>67</v>
      </c>
      <c r="O587" s="8" t="s">
        <v>67</v>
      </c>
      <c r="Q587" s="8" t="s">
        <v>32</v>
      </c>
      <c r="R587" s="8">
        <v>0</v>
      </c>
      <c r="S587" s="8">
        <v>4</v>
      </c>
      <c r="T587" s="8">
        <f t="shared" si="58"/>
        <v>4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2</v>
      </c>
      <c r="AA587" s="8">
        <v>14</v>
      </c>
      <c r="AB587" s="9">
        <f t="shared" si="59"/>
        <v>4.2857142857142856</v>
      </c>
      <c r="AC587" s="10">
        <f t="shared" si="61"/>
        <v>0.93333333333333335</v>
      </c>
      <c r="AD587" s="8" t="s">
        <v>33</v>
      </c>
      <c r="AE587" s="11">
        <v>169990</v>
      </c>
      <c r="AF587" s="11">
        <f t="shared" si="62"/>
        <v>679960</v>
      </c>
      <c r="AG587" s="12" t="s">
        <v>34</v>
      </c>
      <c r="AH587" s="8" t="s">
        <v>35</v>
      </c>
    </row>
    <row r="588" spans="1:34">
      <c r="A588" s="8" t="s">
        <v>878</v>
      </c>
      <c r="B588" s="16" t="s">
        <v>2860</v>
      </c>
      <c r="C588" s="8" t="s">
        <v>40</v>
      </c>
      <c r="D588" s="8" t="s">
        <v>736</v>
      </c>
      <c r="E588" s="8" t="str">
        <f t="shared" si="60"/>
        <v>NEGRO</v>
      </c>
      <c r="G588" s="8" t="s">
        <v>2862</v>
      </c>
      <c r="H588" s="8" t="str">
        <f>VLOOKUP(A588,[1]BBDD!$B$1:$J$3274,9,FALSE)</f>
        <v>M</v>
      </c>
      <c r="I588" s="8" t="s">
        <v>2862</v>
      </c>
      <c r="J588" s="8" t="s">
        <v>879</v>
      </c>
      <c r="L588" s="8" t="s">
        <v>211</v>
      </c>
      <c r="N588" s="8" t="s">
        <v>44</v>
      </c>
      <c r="O588" s="8" t="s">
        <v>44</v>
      </c>
      <c r="Q588" s="8" t="s">
        <v>32</v>
      </c>
      <c r="R588" s="8">
        <v>7</v>
      </c>
      <c r="S588" s="8">
        <v>7</v>
      </c>
      <c r="T588" s="8">
        <f t="shared" si="58"/>
        <v>14</v>
      </c>
      <c r="U588" s="8">
        <v>8</v>
      </c>
      <c r="V588" s="8">
        <v>3</v>
      </c>
      <c r="W588" s="8">
        <v>1</v>
      </c>
      <c r="X588" s="8">
        <v>4</v>
      </c>
      <c r="Y588" s="8">
        <v>2</v>
      </c>
      <c r="Z588" s="8">
        <v>1</v>
      </c>
      <c r="AA588" s="8">
        <v>180</v>
      </c>
      <c r="AB588" s="9">
        <f t="shared" si="59"/>
        <v>3.1666666666666665</v>
      </c>
      <c r="AC588" s="10">
        <f t="shared" si="61"/>
        <v>4.4210526315789478</v>
      </c>
      <c r="AD588" s="8" t="s">
        <v>33</v>
      </c>
      <c r="AE588" s="11">
        <v>89990</v>
      </c>
      <c r="AF588" s="11">
        <f t="shared" si="62"/>
        <v>1259860</v>
      </c>
      <c r="AG588" s="12" t="s">
        <v>34</v>
      </c>
      <c r="AH588" s="8" t="s">
        <v>65</v>
      </c>
    </row>
    <row r="589" spans="1:34">
      <c r="A589" s="8" t="s">
        <v>880</v>
      </c>
      <c r="B589" s="16" t="s">
        <v>2860</v>
      </c>
      <c r="C589" s="8" t="s">
        <v>40</v>
      </c>
      <c r="D589" s="8" t="s">
        <v>736</v>
      </c>
      <c r="E589" s="8" t="str">
        <f t="shared" si="60"/>
        <v>CARAMELO</v>
      </c>
      <c r="G589" s="8" t="s">
        <v>2862</v>
      </c>
      <c r="H589" s="8" t="str">
        <f>VLOOKUP(A589,[1]BBDD!$B$1:$J$3274,9,FALSE)</f>
        <v>M</v>
      </c>
      <c r="I589" s="8" t="s">
        <v>2862</v>
      </c>
      <c r="J589" s="8" t="s">
        <v>879</v>
      </c>
      <c r="L589" s="8" t="s">
        <v>82</v>
      </c>
      <c r="N589" s="8" t="s">
        <v>62</v>
      </c>
      <c r="O589" s="8" t="s">
        <v>62</v>
      </c>
      <c r="Q589" s="8" t="s">
        <v>32</v>
      </c>
      <c r="R589" s="8">
        <v>5</v>
      </c>
      <c r="S589" s="8">
        <v>6</v>
      </c>
      <c r="T589" s="8">
        <f t="shared" si="58"/>
        <v>11</v>
      </c>
      <c r="U589" s="8">
        <v>2</v>
      </c>
      <c r="V589" s="8">
        <v>3</v>
      </c>
      <c r="W589" s="8">
        <v>2</v>
      </c>
      <c r="X589" s="8">
        <v>1</v>
      </c>
      <c r="Y589" s="8">
        <v>2</v>
      </c>
      <c r="Z589" s="8">
        <v>5</v>
      </c>
      <c r="AA589" s="8">
        <v>180</v>
      </c>
      <c r="AB589" s="9">
        <f t="shared" si="59"/>
        <v>2.5</v>
      </c>
      <c r="AC589" s="10">
        <f t="shared" si="61"/>
        <v>4.4000000000000004</v>
      </c>
      <c r="AD589" s="8" t="s">
        <v>33</v>
      </c>
      <c r="AE589" s="11">
        <v>89990</v>
      </c>
      <c r="AF589" s="11">
        <f t="shared" si="62"/>
        <v>989890</v>
      </c>
      <c r="AG589" s="12" t="s">
        <v>34</v>
      </c>
      <c r="AH589" s="8" t="s">
        <v>65</v>
      </c>
    </row>
    <row r="590" spans="1:34">
      <c r="A590" s="8" t="s">
        <v>881</v>
      </c>
      <c r="B590" s="16" t="s">
        <v>2860</v>
      </c>
      <c r="C590" s="8" t="s">
        <v>40</v>
      </c>
      <c r="D590" s="8" t="s">
        <v>736</v>
      </c>
      <c r="E590" s="8" t="str">
        <f t="shared" si="60"/>
        <v>MALBEC</v>
      </c>
      <c r="G590" s="8" t="s">
        <v>2862</v>
      </c>
      <c r="H590" s="8" t="str">
        <f>VLOOKUP(A590,[1]BBDD!$B$1:$J$3274,9,FALSE)</f>
        <v>M</v>
      </c>
      <c r="I590" s="8" t="s">
        <v>2862</v>
      </c>
      <c r="J590" s="8" t="s">
        <v>879</v>
      </c>
      <c r="L590" s="8" t="s">
        <v>82</v>
      </c>
      <c r="N590" s="8" t="s">
        <v>69</v>
      </c>
      <c r="O590" s="8" t="s">
        <v>69</v>
      </c>
      <c r="Q590" s="8" t="s">
        <v>32</v>
      </c>
      <c r="R590" s="8">
        <v>0</v>
      </c>
      <c r="S590" s="8">
        <v>0</v>
      </c>
      <c r="T590" s="8">
        <f t="shared" si="58"/>
        <v>0</v>
      </c>
      <c r="U590" s="8">
        <v>0</v>
      </c>
      <c r="V590" s="8">
        <v>0</v>
      </c>
      <c r="W590" s="8">
        <v>8</v>
      </c>
      <c r="X590" s="8">
        <v>7</v>
      </c>
      <c r="Y590" s="8">
        <v>11</v>
      </c>
      <c r="Z590" s="8">
        <v>5</v>
      </c>
      <c r="AA590" s="8">
        <v>180</v>
      </c>
      <c r="AB590" s="9">
        <f t="shared" si="59"/>
        <v>5.166666666666667</v>
      </c>
      <c r="AC590" s="10">
        <f t="shared" si="61"/>
        <v>0</v>
      </c>
      <c r="AD590" s="8" t="s">
        <v>33</v>
      </c>
      <c r="AE590" s="11">
        <v>89990</v>
      </c>
      <c r="AF590" s="11">
        <f t="shared" si="62"/>
        <v>0</v>
      </c>
      <c r="AG590" s="12" t="s">
        <v>34</v>
      </c>
      <c r="AH590" s="8" t="s">
        <v>35</v>
      </c>
    </row>
    <row r="591" spans="1:34">
      <c r="A591" s="8" t="s">
        <v>882</v>
      </c>
      <c r="B591" s="16" t="s">
        <v>2860</v>
      </c>
      <c r="C591" s="8" t="s">
        <v>40</v>
      </c>
      <c r="D591" s="8" t="s">
        <v>736</v>
      </c>
      <c r="E591" s="8" t="str">
        <f t="shared" si="60"/>
        <v>NEGRO</v>
      </c>
      <c r="G591" s="8" t="s">
        <v>2862</v>
      </c>
      <c r="H591" s="8" t="str">
        <f>VLOOKUP(A591,[1]BBDD!$B$1:$J$3274,9,FALSE)</f>
        <v>M</v>
      </c>
      <c r="I591" s="8" t="s">
        <v>2862</v>
      </c>
      <c r="J591" s="8" t="s">
        <v>879</v>
      </c>
      <c r="L591" s="8" t="s">
        <v>82</v>
      </c>
      <c r="N591" s="8" t="s">
        <v>44</v>
      </c>
      <c r="O591" s="8" t="s">
        <v>44</v>
      </c>
      <c r="Q591" s="8" t="s">
        <v>32</v>
      </c>
      <c r="R591" s="8">
        <v>0</v>
      </c>
      <c r="S591" s="8">
        <v>1</v>
      </c>
      <c r="T591" s="8">
        <f t="shared" si="58"/>
        <v>1</v>
      </c>
      <c r="U591" s="8">
        <v>3</v>
      </c>
      <c r="V591" s="8">
        <v>1</v>
      </c>
      <c r="W591" s="8">
        <v>6</v>
      </c>
      <c r="X591" s="8">
        <v>2</v>
      </c>
      <c r="Y591" s="8">
        <v>2</v>
      </c>
      <c r="Z591" s="8">
        <v>2</v>
      </c>
      <c r="AA591" s="8">
        <v>180</v>
      </c>
      <c r="AB591" s="9">
        <f t="shared" si="59"/>
        <v>2.666666666666667</v>
      </c>
      <c r="AC591" s="10">
        <f t="shared" si="61"/>
        <v>0.37499999999999994</v>
      </c>
      <c r="AD591" s="8" t="s">
        <v>33</v>
      </c>
      <c r="AE591" s="11">
        <v>89990</v>
      </c>
      <c r="AF591" s="11">
        <f t="shared" si="62"/>
        <v>89990</v>
      </c>
      <c r="AG591" s="12" t="s">
        <v>34</v>
      </c>
      <c r="AH591" s="8" t="s">
        <v>35</v>
      </c>
    </row>
    <row r="592" spans="1:34">
      <c r="A592" s="8" t="s">
        <v>883</v>
      </c>
      <c r="B592" s="16" t="s">
        <v>2860</v>
      </c>
      <c r="C592" s="8" t="s">
        <v>40</v>
      </c>
      <c r="D592" s="8" t="s">
        <v>736</v>
      </c>
      <c r="E592" s="8" t="str">
        <f t="shared" si="60"/>
        <v>ROJO</v>
      </c>
      <c r="G592" s="8" t="s">
        <v>2862</v>
      </c>
      <c r="H592" s="8" t="str">
        <f>VLOOKUP(A592,[1]BBDD!$B$1:$J$3274,9,FALSE)</f>
        <v>M</v>
      </c>
      <c r="I592" s="8" t="s">
        <v>2862</v>
      </c>
      <c r="J592" s="8" t="s">
        <v>879</v>
      </c>
      <c r="L592" s="8" t="s">
        <v>82</v>
      </c>
      <c r="N592" s="8" t="s">
        <v>88</v>
      </c>
      <c r="O592" s="8" t="s">
        <v>88</v>
      </c>
      <c r="Q592" s="8" t="s">
        <v>32</v>
      </c>
      <c r="R592" s="8">
        <v>3</v>
      </c>
      <c r="S592" s="8">
        <v>2</v>
      </c>
      <c r="T592" s="8">
        <f t="shared" si="58"/>
        <v>5</v>
      </c>
      <c r="U592" s="8">
        <v>7</v>
      </c>
      <c r="V592" s="8">
        <v>3</v>
      </c>
      <c r="W592" s="8">
        <v>5</v>
      </c>
      <c r="X592" s="8">
        <v>0</v>
      </c>
      <c r="Y592" s="8">
        <v>1</v>
      </c>
      <c r="Z592" s="8">
        <v>1</v>
      </c>
      <c r="AA592" s="8">
        <v>180</v>
      </c>
      <c r="AB592" s="9">
        <f t="shared" si="59"/>
        <v>2.833333333333333</v>
      </c>
      <c r="AC592" s="10">
        <f t="shared" si="61"/>
        <v>1.7647058823529413</v>
      </c>
      <c r="AD592" s="8" t="s">
        <v>33</v>
      </c>
      <c r="AE592" s="11">
        <v>89990</v>
      </c>
      <c r="AF592" s="11">
        <f t="shared" si="62"/>
        <v>449950</v>
      </c>
      <c r="AG592" s="12" t="s">
        <v>34</v>
      </c>
      <c r="AH592" s="8" t="s">
        <v>35</v>
      </c>
    </row>
    <row r="593" spans="1:34">
      <c r="A593" s="8" t="s">
        <v>884</v>
      </c>
      <c r="B593" s="16" t="s">
        <v>2860</v>
      </c>
      <c r="C593" s="8" t="s">
        <v>40</v>
      </c>
      <c r="D593" s="8" t="s">
        <v>736</v>
      </c>
      <c r="E593" s="8" t="str">
        <f t="shared" si="60"/>
        <v>SUELA</v>
      </c>
      <c r="G593" s="8" t="s">
        <v>2862</v>
      </c>
      <c r="H593" s="8" t="str">
        <f>VLOOKUP(A593,[1]BBDD!$B$1:$J$3274,9,FALSE)</f>
        <v>M</v>
      </c>
      <c r="I593" s="8" t="s">
        <v>2862</v>
      </c>
      <c r="J593" s="8" t="s">
        <v>879</v>
      </c>
      <c r="L593" s="8" t="s">
        <v>82</v>
      </c>
      <c r="N593" s="8" t="s">
        <v>90</v>
      </c>
      <c r="O593" s="8" t="s">
        <v>90</v>
      </c>
      <c r="Q593" s="8" t="s">
        <v>32</v>
      </c>
      <c r="R593" s="8">
        <v>0</v>
      </c>
      <c r="S593" s="8">
        <v>3</v>
      </c>
      <c r="T593" s="8">
        <f t="shared" si="58"/>
        <v>3</v>
      </c>
      <c r="U593" s="8">
        <v>4</v>
      </c>
      <c r="V593" s="8">
        <v>2</v>
      </c>
      <c r="W593" s="8">
        <v>8</v>
      </c>
      <c r="X593" s="8">
        <v>2</v>
      </c>
      <c r="Y593" s="8">
        <v>7</v>
      </c>
      <c r="Z593" s="8">
        <v>4</v>
      </c>
      <c r="AA593" s="8">
        <v>180</v>
      </c>
      <c r="AB593" s="9">
        <f t="shared" si="59"/>
        <v>4.5</v>
      </c>
      <c r="AC593" s="10">
        <f t="shared" si="61"/>
        <v>0.66666666666666663</v>
      </c>
      <c r="AD593" s="8" t="s">
        <v>33</v>
      </c>
      <c r="AE593" s="11">
        <v>89990</v>
      </c>
      <c r="AF593" s="11">
        <f t="shared" si="62"/>
        <v>269970</v>
      </c>
      <c r="AG593" s="12" t="s">
        <v>34</v>
      </c>
      <c r="AH593" s="8" t="s">
        <v>35</v>
      </c>
    </row>
    <row r="594" spans="1:34">
      <c r="A594" s="8" t="s">
        <v>885</v>
      </c>
      <c r="B594" s="16" t="s">
        <v>2860</v>
      </c>
      <c r="C594" s="8" t="s">
        <v>40</v>
      </c>
      <c r="D594" s="8" t="s">
        <v>736</v>
      </c>
      <c r="E594" s="8" t="str">
        <f t="shared" si="60"/>
        <v>NEGRO</v>
      </c>
      <c r="G594" s="8" t="s">
        <v>2862</v>
      </c>
      <c r="H594" s="8" t="str">
        <f>VLOOKUP(A594,[1]BBDD!$B$1:$J$3274,9,FALSE)</f>
        <v>M</v>
      </c>
      <c r="I594" s="8" t="s">
        <v>2862</v>
      </c>
      <c r="J594" s="8" t="s">
        <v>886</v>
      </c>
      <c r="L594" s="8" t="s">
        <v>211</v>
      </c>
      <c r="N594" s="8" t="s">
        <v>44</v>
      </c>
      <c r="O594" s="8" t="s">
        <v>44</v>
      </c>
      <c r="Q594" s="8" t="s">
        <v>45</v>
      </c>
      <c r="R594" s="8">
        <v>15</v>
      </c>
      <c r="S594" s="8">
        <v>9</v>
      </c>
      <c r="T594" s="8">
        <f t="shared" si="58"/>
        <v>24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180</v>
      </c>
      <c r="AB594" s="9">
        <f t="shared" si="59"/>
        <v>0</v>
      </c>
      <c r="AC594" s="10" t="str">
        <f t="shared" si="61"/>
        <v>sin venta</v>
      </c>
      <c r="AD594" s="8" t="s">
        <v>109</v>
      </c>
      <c r="AE594" s="11">
        <v>75990</v>
      </c>
      <c r="AF594" s="11">
        <f t="shared" si="62"/>
        <v>1823760</v>
      </c>
      <c r="AG594" s="12" t="s">
        <v>73</v>
      </c>
      <c r="AH594" s="8" t="s">
        <v>74</v>
      </c>
    </row>
    <row r="595" spans="1:34">
      <c r="A595" s="8" t="s">
        <v>887</v>
      </c>
      <c r="B595" s="16" t="s">
        <v>2860</v>
      </c>
      <c r="C595" s="8" t="s">
        <v>40</v>
      </c>
      <c r="D595" s="8" t="s">
        <v>736</v>
      </c>
      <c r="E595" s="8" t="str">
        <f t="shared" si="60"/>
        <v>CEDRO</v>
      </c>
      <c r="G595" s="8" t="s">
        <v>2862</v>
      </c>
      <c r="H595" s="8" t="str">
        <f>VLOOKUP(A595,[1]BBDD!$B$1:$J$3274,9,FALSE)</f>
        <v>M</v>
      </c>
      <c r="I595" s="8" t="s">
        <v>2862</v>
      </c>
      <c r="J595" s="8" t="s">
        <v>886</v>
      </c>
      <c r="L595" s="8" t="s">
        <v>112</v>
      </c>
      <c r="N595" s="8" t="s">
        <v>113</v>
      </c>
      <c r="O595" s="8" t="s">
        <v>113</v>
      </c>
      <c r="Q595" s="8" t="s">
        <v>32</v>
      </c>
      <c r="R595" s="8">
        <v>1</v>
      </c>
      <c r="S595" s="8">
        <v>6</v>
      </c>
      <c r="T595" s="8">
        <f t="shared" si="58"/>
        <v>7</v>
      </c>
      <c r="U595" s="8">
        <v>1</v>
      </c>
      <c r="V595" s="8">
        <v>1</v>
      </c>
      <c r="W595" s="8">
        <v>2</v>
      </c>
      <c r="X595" s="8">
        <v>2</v>
      </c>
      <c r="Y595" s="8">
        <v>1</v>
      </c>
      <c r="Z595" s="8">
        <v>2</v>
      </c>
      <c r="AA595" s="8">
        <v>180</v>
      </c>
      <c r="AB595" s="9">
        <f t="shared" si="59"/>
        <v>1.5</v>
      </c>
      <c r="AC595" s="10">
        <f t="shared" si="61"/>
        <v>4.666666666666667</v>
      </c>
      <c r="AD595" s="8" t="s">
        <v>33</v>
      </c>
      <c r="AE595" s="11">
        <v>75990</v>
      </c>
      <c r="AF595" s="11">
        <f t="shared" si="62"/>
        <v>531930</v>
      </c>
      <c r="AG595" s="12" t="s">
        <v>34</v>
      </c>
      <c r="AH595" s="8" t="s">
        <v>35</v>
      </c>
    </row>
    <row r="596" spans="1:34">
      <c r="A596" s="8" t="s">
        <v>888</v>
      </c>
      <c r="B596" s="16" t="s">
        <v>2860</v>
      </c>
      <c r="C596" s="8" t="s">
        <v>40</v>
      </c>
      <c r="D596" s="8" t="s">
        <v>736</v>
      </c>
      <c r="E596" s="8" t="str">
        <f t="shared" si="60"/>
        <v>AVELLANA/TABACO</v>
      </c>
      <c r="G596" s="8" t="s">
        <v>2862</v>
      </c>
      <c r="H596" s="8" t="str">
        <f>VLOOKUP(A596,[1]BBDD!$B$1:$J$3274,9,FALSE)</f>
        <v>M</v>
      </c>
      <c r="I596" s="8" t="s">
        <v>2862</v>
      </c>
      <c r="J596" s="8" t="s">
        <v>886</v>
      </c>
      <c r="L596" s="8" t="s">
        <v>71</v>
      </c>
      <c r="N596" s="8" t="s">
        <v>165</v>
      </c>
      <c r="O596" s="8" t="s">
        <v>165</v>
      </c>
      <c r="Q596" s="8" t="s">
        <v>32</v>
      </c>
      <c r="R596" s="8">
        <v>2</v>
      </c>
      <c r="S596" s="8">
        <v>9</v>
      </c>
      <c r="T596" s="8">
        <f t="shared" si="58"/>
        <v>11</v>
      </c>
      <c r="U596" s="8">
        <v>0</v>
      </c>
      <c r="V596" s="8">
        <v>0</v>
      </c>
      <c r="W596" s="8">
        <v>0</v>
      </c>
      <c r="X596" s="8">
        <v>1</v>
      </c>
      <c r="Y596" s="8">
        <v>1</v>
      </c>
      <c r="Z596" s="8">
        <v>0</v>
      </c>
      <c r="AA596" s="8">
        <v>180</v>
      </c>
      <c r="AB596" s="9">
        <f t="shared" si="59"/>
        <v>0.33333333333333337</v>
      </c>
      <c r="AC596" s="10">
        <f t="shared" si="61"/>
        <v>32.999999999999993</v>
      </c>
      <c r="AD596" s="8" t="s">
        <v>33</v>
      </c>
      <c r="AE596" s="11">
        <v>75990</v>
      </c>
      <c r="AF596" s="11">
        <f t="shared" si="62"/>
        <v>835890</v>
      </c>
      <c r="AG596" s="12" t="s">
        <v>73</v>
      </c>
      <c r="AH596" s="8" t="s">
        <v>65</v>
      </c>
    </row>
    <row r="597" spans="1:34">
      <c r="A597" s="8" t="s">
        <v>889</v>
      </c>
      <c r="B597" s="16" t="s">
        <v>2860</v>
      </c>
      <c r="C597" s="8" t="s">
        <v>40</v>
      </c>
      <c r="D597" s="8" t="s">
        <v>736</v>
      </c>
      <c r="E597" s="8" t="str">
        <f t="shared" si="60"/>
        <v>VESUBIO/TABACO</v>
      </c>
      <c r="G597" s="8" t="s">
        <v>2862</v>
      </c>
      <c r="H597" s="8" t="str">
        <f>VLOOKUP(A597,[1]BBDD!$B$1:$J$3274,9,FALSE)</f>
        <v>M</v>
      </c>
      <c r="I597" s="8" t="s">
        <v>2862</v>
      </c>
      <c r="J597" s="8" t="s">
        <v>886</v>
      </c>
      <c r="L597" s="8" t="s">
        <v>71</v>
      </c>
      <c r="N597" s="8" t="s">
        <v>161</v>
      </c>
      <c r="O597" s="8" t="s">
        <v>161</v>
      </c>
      <c r="Q597" s="8" t="s">
        <v>32</v>
      </c>
      <c r="R597" s="8">
        <v>14</v>
      </c>
      <c r="S597" s="8">
        <v>10</v>
      </c>
      <c r="T597" s="8">
        <f t="shared" si="58"/>
        <v>24</v>
      </c>
      <c r="U597" s="8">
        <v>3</v>
      </c>
      <c r="V597" s="8">
        <v>1</v>
      </c>
      <c r="W597" s="8">
        <v>0</v>
      </c>
      <c r="X597" s="8">
        <v>1</v>
      </c>
      <c r="Y597" s="8">
        <v>1</v>
      </c>
      <c r="Z597" s="8">
        <v>0</v>
      </c>
      <c r="AA597" s="8">
        <v>180</v>
      </c>
      <c r="AB597" s="9">
        <f t="shared" si="59"/>
        <v>1</v>
      </c>
      <c r="AC597" s="10">
        <f t="shared" si="61"/>
        <v>24</v>
      </c>
      <c r="AD597" s="8" t="s">
        <v>33</v>
      </c>
      <c r="AE597" s="11">
        <v>75990</v>
      </c>
      <c r="AF597" s="11">
        <f t="shared" si="62"/>
        <v>1823760</v>
      </c>
      <c r="AG597" s="12" t="s">
        <v>64</v>
      </c>
      <c r="AH597" s="8" t="s">
        <v>74</v>
      </c>
    </row>
    <row r="598" spans="1:34">
      <c r="A598" s="8" t="s">
        <v>890</v>
      </c>
      <c r="B598" s="16" t="s">
        <v>2860</v>
      </c>
      <c r="C598" s="8" t="s">
        <v>40</v>
      </c>
      <c r="D598" s="8" t="s">
        <v>736</v>
      </c>
      <c r="E598" s="8" t="str">
        <f t="shared" si="60"/>
        <v>AZUL/CARAMELO</v>
      </c>
      <c r="G598" s="8" t="s">
        <v>2862</v>
      </c>
      <c r="H598" s="8" t="str">
        <f>VLOOKUP(A598,[1]BBDD!$B$1:$J$3274,9,FALSE)</f>
        <v>M</v>
      </c>
      <c r="I598" s="8" t="s">
        <v>2862</v>
      </c>
      <c r="J598" s="8" t="s">
        <v>886</v>
      </c>
      <c r="L598" s="8" t="s">
        <v>71</v>
      </c>
      <c r="N598" s="8" t="s">
        <v>436</v>
      </c>
      <c r="O598" s="8" t="s">
        <v>436</v>
      </c>
      <c r="Q598" s="8" t="s">
        <v>45</v>
      </c>
      <c r="R598" s="8">
        <v>14</v>
      </c>
      <c r="S598" s="8">
        <v>8</v>
      </c>
      <c r="T598" s="8">
        <f t="shared" si="58"/>
        <v>22</v>
      </c>
      <c r="U598" s="8">
        <v>0</v>
      </c>
      <c r="V598" s="8">
        <v>0</v>
      </c>
      <c r="W598" s="8">
        <v>0</v>
      </c>
      <c r="X598" s="8">
        <v>0</v>
      </c>
      <c r="Y598" s="8">
        <v>1</v>
      </c>
      <c r="Z598" s="8">
        <v>1</v>
      </c>
      <c r="AA598" s="8">
        <v>180</v>
      </c>
      <c r="AB598" s="9">
        <f t="shared" si="59"/>
        <v>0.33333333333333337</v>
      </c>
      <c r="AC598" s="10">
        <f t="shared" si="61"/>
        <v>65.999999999999986</v>
      </c>
      <c r="AD598" s="8" t="s">
        <v>109</v>
      </c>
      <c r="AE598" s="11">
        <v>75990</v>
      </c>
      <c r="AF598" s="11">
        <f t="shared" si="62"/>
        <v>1671780</v>
      </c>
      <c r="AG598" s="12" t="s">
        <v>73</v>
      </c>
      <c r="AH598" s="8" t="s">
        <v>74</v>
      </c>
    </row>
    <row r="599" spans="1:34">
      <c r="A599" s="8" t="s">
        <v>891</v>
      </c>
      <c r="B599" s="16" t="s">
        <v>2860</v>
      </c>
      <c r="C599" s="8" t="s">
        <v>40</v>
      </c>
      <c r="D599" s="8" t="s">
        <v>736</v>
      </c>
      <c r="E599" s="8" t="str">
        <f t="shared" si="60"/>
        <v>GRIS OSCURO/TABACO</v>
      </c>
      <c r="G599" s="8" t="s">
        <v>2862</v>
      </c>
      <c r="H599" s="8" t="str">
        <f>VLOOKUP(A599,[1]BBDD!$B$1:$J$3274,9,FALSE)</f>
        <v>M</v>
      </c>
      <c r="I599" s="8" t="s">
        <v>2862</v>
      </c>
      <c r="J599" s="8" t="s">
        <v>886</v>
      </c>
      <c r="L599" s="8" t="s">
        <v>71</v>
      </c>
      <c r="N599" s="8" t="s">
        <v>442</v>
      </c>
      <c r="O599" s="8" t="s">
        <v>442</v>
      </c>
      <c r="Q599" s="8" t="s">
        <v>45</v>
      </c>
      <c r="R599" s="8">
        <v>0</v>
      </c>
      <c r="S599" s="8">
        <v>6</v>
      </c>
      <c r="T599" s="8">
        <f t="shared" si="58"/>
        <v>6</v>
      </c>
      <c r="U599" s="8">
        <v>1</v>
      </c>
      <c r="V599" s="8">
        <v>1</v>
      </c>
      <c r="W599" s="8">
        <v>0</v>
      </c>
      <c r="X599" s="8">
        <v>1</v>
      </c>
      <c r="Y599" s="8">
        <v>2</v>
      </c>
      <c r="Z599" s="8">
        <v>0</v>
      </c>
      <c r="AA599" s="8">
        <v>180</v>
      </c>
      <c r="AB599" s="9">
        <f t="shared" si="59"/>
        <v>0.83333333333333326</v>
      </c>
      <c r="AC599" s="10">
        <f t="shared" si="61"/>
        <v>7.2000000000000011</v>
      </c>
      <c r="AD599" s="8" t="s">
        <v>109</v>
      </c>
      <c r="AE599" s="11">
        <v>75990</v>
      </c>
      <c r="AF599" s="11">
        <f t="shared" si="62"/>
        <v>455940</v>
      </c>
      <c r="AG599" s="12" t="s">
        <v>51</v>
      </c>
      <c r="AH599" s="8" t="s">
        <v>35</v>
      </c>
    </row>
    <row r="600" spans="1:34">
      <c r="A600" s="8" t="s">
        <v>892</v>
      </c>
      <c r="B600" s="16" t="s">
        <v>2860</v>
      </c>
      <c r="C600" s="8" t="s">
        <v>40</v>
      </c>
      <c r="D600" s="8" t="s">
        <v>736</v>
      </c>
      <c r="E600" s="8" t="str">
        <f t="shared" si="60"/>
        <v>OLIVE/CARAMELO</v>
      </c>
      <c r="G600" s="8" t="s">
        <v>2862</v>
      </c>
      <c r="H600" s="8" t="str">
        <f>VLOOKUP(A600,[1]BBDD!$B$1:$J$3274,9,FALSE)</f>
        <v>M</v>
      </c>
      <c r="I600" s="8" t="s">
        <v>2862</v>
      </c>
      <c r="J600" s="8" t="s">
        <v>886</v>
      </c>
      <c r="L600" s="8" t="s">
        <v>71</v>
      </c>
      <c r="N600" s="8" t="s">
        <v>432</v>
      </c>
      <c r="O600" s="8" t="s">
        <v>432</v>
      </c>
      <c r="Q600" s="8" t="s">
        <v>45</v>
      </c>
      <c r="R600" s="8">
        <v>2</v>
      </c>
      <c r="S600" s="8">
        <v>10</v>
      </c>
      <c r="T600" s="8">
        <f t="shared" si="58"/>
        <v>12</v>
      </c>
      <c r="U600" s="8">
        <v>1</v>
      </c>
      <c r="V600" s="8">
        <v>0</v>
      </c>
      <c r="W600" s="8">
        <v>0</v>
      </c>
      <c r="X600" s="8">
        <v>1</v>
      </c>
      <c r="Y600" s="8">
        <v>1</v>
      </c>
      <c r="Z600" s="8">
        <v>0</v>
      </c>
      <c r="AA600" s="8">
        <v>180</v>
      </c>
      <c r="AB600" s="9">
        <f t="shared" si="59"/>
        <v>0.5</v>
      </c>
      <c r="AC600" s="10">
        <f t="shared" si="61"/>
        <v>24</v>
      </c>
      <c r="AD600" s="8" t="s">
        <v>109</v>
      </c>
      <c r="AE600" s="11">
        <v>75990</v>
      </c>
      <c r="AF600" s="11">
        <f t="shared" si="62"/>
        <v>911880</v>
      </c>
      <c r="AG600" s="12" t="s">
        <v>64</v>
      </c>
      <c r="AH600" s="8" t="s">
        <v>65</v>
      </c>
    </row>
    <row r="601" spans="1:34">
      <c r="A601" s="8" t="s">
        <v>893</v>
      </c>
      <c r="B601" s="16" t="s">
        <v>2860</v>
      </c>
      <c r="C601" s="8" t="s">
        <v>40</v>
      </c>
      <c r="D601" s="8" t="s">
        <v>736</v>
      </c>
      <c r="E601" s="8" t="str">
        <f t="shared" si="60"/>
        <v>OLIVE/TABACO</v>
      </c>
      <c r="G601" s="8" t="s">
        <v>2862</v>
      </c>
      <c r="H601" s="8" t="str">
        <f>VLOOKUP(A601,[1]BBDD!$B$1:$J$3274,9,FALSE)</f>
        <v>M</v>
      </c>
      <c r="I601" s="8" t="s">
        <v>2862</v>
      </c>
      <c r="J601" s="8" t="s">
        <v>886</v>
      </c>
      <c r="L601" s="8" t="s">
        <v>71</v>
      </c>
      <c r="N601" s="8" t="s">
        <v>434</v>
      </c>
      <c r="O601" s="8" t="s">
        <v>434</v>
      </c>
      <c r="Q601" s="8" t="s">
        <v>45</v>
      </c>
      <c r="R601" s="8">
        <v>21</v>
      </c>
      <c r="S601" s="8">
        <v>9</v>
      </c>
      <c r="T601" s="8">
        <f t="shared" si="58"/>
        <v>30</v>
      </c>
      <c r="U601" s="8">
        <v>0</v>
      </c>
      <c r="V601" s="8">
        <v>0</v>
      </c>
      <c r="W601" s="8">
        <v>1</v>
      </c>
      <c r="X601" s="8">
        <v>0</v>
      </c>
      <c r="Y601" s="8">
        <v>0</v>
      </c>
      <c r="Z601" s="8">
        <v>0</v>
      </c>
      <c r="AA601" s="8">
        <v>180</v>
      </c>
      <c r="AB601" s="9">
        <f t="shared" si="59"/>
        <v>0.16666666666666669</v>
      </c>
      <c r="AC601" s="10">
        <f t="shared" si="61"/>
        <v>179.99999999999997</v>
      </c>
      <c r="AD601" s="8" t="s">
        <v>109</v>
      </c>
      <c r="AE601" s="11">
        <v>75990</v>
      </c>
      <c r="AF601" s="11">
        <f t="shared" si="62"/>
        <v>2279700</v>
      </c>
      <c r="AG601" s="12" t="s">
        <v>73</v>
      </c>
      <c r="AH601" s="8" t="s">
        <v>74</v>
      </c>
    </row>
    <row r="602" spans="1:34">
      <c r="A602" s="8" t="s">
        <v>894</v>
      </c>
      <c r="B602" s="16" t="s">
        <v>2860</v>
      </c>
      <c r="C602" s="8" t="s">
        <v>40</v>
      </c>
      <c r="D602" s="8" t="s">
        <v>736</v>
      </c>
      <c r="E602" s="8" t="str">
        <f t="shared" si="60"/>
        <v>OXIDO/TABACO</v>
      </c>
      <c r="G602" s="8" t="s">
        <v>2862</v>
      </c>
      <c r="H602" s="8" t="str">
        <f>VLOOKUP(A602,[1]BBDD!$B$1:$J$3274,9,FALSE)</f>
        <v>M</v>
      </c>
      <c r="I602" s="8" t="s">
        <v>2862</v>
      </c>
      <c r="J602" s="8" t="s">
        <v>886</v>
      </c>
      <c r="L602" s="8" t="s">
        <v>71</v>
      </c>
      <c r="N602" s="8" t="s">
        <v>167</v>
      </c>
      <c r="O602" s="8" t="s">
        <v>167</v>
      </c>
      <c r="Q602" s="8" t="s">
        <v>45</v>
      </c>
      <c r="R602" s="8">
        <v>0</v>
      </c>
      <c r="S602" s="8">
        <v>5</v>
      </c>
      <c r="T602" s="8">
        <f t="shared" si="58"/>
        <v>5</v>
      </c>
      <c r="U602" s="8">
        <v>1</v>
      </c>
      <c r="V602" s="8">
        <v>2</v>
      </c>
      <c r="W602" s="8">
        <v>0</v>
      </c>
      <c r="X602" s="8">
        <v>0</v>
      </c>
      <c r="Y602" s="8">
        <v>0</v>
      </c>
      <c r="Z602" s="8">
        <v>0</v>
      </c>
      <c r="AA602" s="8">
        <v>180</v>
      </c>
      <c r="AB602" s="9">
        <f t="shared" si="59"/>
        <v>0.5</v>
      </c>
      <c r="AC602" s="10">
        <f t="shared" si="61"/>
        <v>10</v>
      </c>
      <c r="AD602" s="8" t="s">
        <v>109</v>
      </c>
      <c r="AE602" s="11">
        <v>75990</v>
      </c>
      <c r="AF602" s="11">
        <f t="shared" si="62"/>
        <v>379950</v>
      </c>
      <c r="AG602" s="12" t="s">
        <v>51</v>
      </c>
      <c r="AH602" s="8" t="s">
        <v>35</v>
      </c>
    </row>
    <row r="603" spans="1:34">
      <c r="A603" s="8" t="s">
        <v>895</v>
      </c>
      <c r="B603" s="16" t="s">
        <v>2860</v>
      </c>
      <c r="C603" s="8" t="s">
        <v>40</v>
      </c>
      <c r="D603" s="8" t="s">
        <v>736</v>
      </c>
      <c r="E603" s="8" t="str">
        <f t="shared" si="60"/>
        <v>CHOCOLATE/TABACO</v>
      </c>
      <c r="G603" s="8" t="s">
        <v>2862</v>
      </c>
      <c r="H603" s="8" t="str">
        <f>VLOOKUP(A603,[1]BBDD!$B$1:$J$3274,9,FALSE)</f>
        <v>M</v>
      </c>
      <c r="I603" s="8" t="s">
        <v>2862</v>
      </c>
      <c r="J603" s="8" t="s">
        <v>886</v>
      </c>
      <c r="L603" s="8" t="s">
        <v>896</v>
      </c>
      <c r="N603" s="8" t="s">
        <v>816</v>
      </c>
      <c r="O603" s="8" t="s">
        <v>816</v>
      </c>
      <c r="Q603" s="8" t="s">
        <v>45</v>
      </c>
      <c r="R603" s="8">
        <v>0</v>
      </c>
      <c r="S603" s="8">
        <v>5</v>
      </c>
      <c r="T603" s="8">
        <f t="shared" si="58"/>
        <v>5</v>
      </c>
      <c r="U603" s="8">
        <v>0</v>
      </c>
      <c r="V603" s="8">
        <v>1</v>
      </c>
      <c r="W603" s="8">
        <v>0</v>
      </c>
      <c r="X603" s="8">
        <v>0</v>
      </c>
      <c r="Y603" s="8">
        <v>1</v>
      </c>
      <c r="Z603" s="8">
        <v>2</v>
      </c>
      <c r="AA603" s="8">
        <v>180</v>
      </c>
      <c r="AB603" s="9">
        <f t="shared" si="59"/>
        <v>0.66666666666666674</v>
      </c>
      <c r="AC603" s="10">
        <f t="shared" si="61"/>
        <v>7.4999999999999991</v>
      </c>
      <c r="AD603" s="8" t="s">
        <v>109</v>
      </c>
      <c r="AE603" s="11">
        <v>75990</v>
      </c>
      <c r="AF603" s="11">
        <f t="shared" si="62"/>
        <v>379950</v>
      </c>
      <c r="AG603" s="12" t="s">
        <v>51</v>
      </c>
      <c r="AH603" s="8" t="s">
        <v>35</v>
      </c>
    </row>
    <row r="604" spans="1:34">
      <c r="A604" s="8" t="s">
        <v>897</v>
      </c>
      <c r="B604" s="16" t="s">
        <v>2860</v>
      </c>
      <c r="C604" s="8" t="s">
        <v>40</v>
      </c>
      <c r="D604" s="8" t="s">
        <v>736</v>
      </c>
      <c r="E604" s="8" t="str">
        <f t="shared" si="60"/>
        <v>CARAMELO</v>
      </c>
      <c r="G604" s="8" t="s">
        <v>2862</v>
      </c>
      <c r="H604" s="8" t="str">
        <f>VLOOKUP(A604,[1]BBDD!$B$1:$J$3274,9,FALSE)</f>
        <v>M</v>
      </c>
      <c r="I604" s="8" t="s">
        <v>2862</v>
      </c>
      <c r="J604" s="8" t="s">
        <v>886</v>
      </c>
      <c r="L604" s="8" t="s">
        <v>238</v>
      </c>
      <c r="N604" s="8" t="s">
        <v>62</v>
      </c>
      <c r="O604" s="8" t="s">
        <v>62</v>
      </c>
      <c r="Q604" s="8" t="s">
        <v>32</v>
      </c>
      <c r="R604" s="8">
        <v>31</v>
      </c>
      <c r="S604" s="8">
        <v>8</v>
      </c>
      <c r="T604" s="8">
        <f t="shared" si="58"/>
        <v>39</v>
      </c>
      <c r="U604" s="8">
        <v>1</v>
      </c>
      <c r="V604" s="8">
        <v>3</v>
      </c>
      <c r="W604" s="8">
        <v>0</v>
      </c>
      <c r="X604" s="8">
        <v>1</v>
      </c>
      <c r="Y604" s="8">
        <v>2</v>
      </c>
      <c r="Z604" s="8">
        <v>5</v>
      </c>
      <c r="AA604" s="8">
        <v>180</v>
      </c>
      <c r="AB604" s="9">
        <f t="shared" si="59"/>
        <v>2</v>
      </c>
      <c r="AC604" s="10">
        <f t="shared" si="61"/>
        <v>19.5</v>
      </c>
      <c r="AD604" s="8" t="s">
        <v>33</v>
      </c>
      <c r="AE604" s="11">
        <v>75990</v>
      </c>
      <c r="AF604" s="11">
        <f t="shared" si="62"/>
        <v>2963610</v>
      </c>
      <c r="AG604" s="12" t="s">
        <v>64</v>
      </c>
      <c r="AH604" s="8" t="s">
        <v>74</v>
      </c>
    </row>
    <row r="605" spans="1:34">
      <c r="A605" s="8" t="s">
        <v>898</v>
      </c>
      <c r="B605" s="16" t="s">
        <v>2860</v>
      </c>
      <c r="C605" s="8" t="s">
        <v>40</v>
      </c>
      <c r="D605" s="8" t="s">
        <v>736</v>
      </c>
      <c r="E605" s="8" t="str">
        <f t="shared" si="60"/>
        <v>NEGRO</v>
      </c>
      <c r="G605" s="8" t="s">
        <v>2862</v>
      </c>
      <c r="H605" s="8" t="str">
        <f>VLOOKUP(A605,[1]BBDD!$B$1:$J$3274,9,FALSE)</f>
        <v>M</v>
      </c>
      <c r="I605" s="8" t="s">
        <v>2862</v>
      </c>
      <c r="J605" s="8" t="s">
        <v>886</v>
      </c>
      <c r="L605" s="8" t="s">
        <v>238</v>
      </c>
      <c r="N605" s="8" t="s">
        <v>44</v>
      </c>
      <c r="O605" s="8" t="s">
        <v>44</v>
      </c>
      <c r="Q605" s="8" t="s">
        <v>32</v>
      </c>
      <c r="R605" s="8">
        <v>20</v>
      </c>
      <c r="S605" s="8">
        <v>9</v>
      </c>
      <c r="T605" s="8">
        <f t="shared" si="58"/>
        <v>29</v>
      </c>
      <c r="U605" s="8">
        <v>0</v>
      </c>
      <c r="V605" s="8">
        <v>2</v>
      </c>
      <c r="W605" s="8">
        <v>2</v>
      </c>
      <c r="X605" s="8">
        <v>1</v>
      </c>
      <c r="Y605" s="8">
        <v>0</v>
      </c>
      <c r="Z605" s="8">
        <v>1</v>
      </c>
      <c r="AA605" s="8">
        <v>180</v>
      </c>
      <c r="AB605" s="9">
        <f t="shared" si="59"/>
        <v>1</v>
      </c>
      <c r="AC605" s="10">
        <f t="shared" si="61"/>
        <v>29</v>
      </c>
      <c r="AD605" s="8" t="s">
        <v>33</v>
      </c>
      <c r="AE605" s="11">
        <v>75990</v>
      </c>
      <c r="AF605" s="11">
        <f t="shared" si="62"/>
        <v>2203710</v>
      </c>
      <c r="AG605" s="12" t="s">
        <v>73</v>
      </c>
      <c r="AH605" s="8" t="s">
        <v>74</v>
      </c>
    </row>
    <row r="606" spans="1:34">
      <c r="A606" s="8" t="s">
        <v>899</v>
      </c>
      <c r="B606" s="16" t="s">
        <v>2860</v>
      </c>
      <c r="C606" s="8" t="s">
        <v>40</v>
      </c>
      <c r="D606" s="8" t="s">
        <v>736</v>
      </c>
      <c r="E606" s="8" t="str">
        <f t="shared" si="60"/>
        <v>AZUL</v>
      </c>
      <c r="G606" s="8" t="s">
        <v>2862</v>
      </c>
      <c r="H606" s="8" t="str">
        <f>VLOOKUP(A606,[1]BBDD!$B$1:$J$3274,9,FALSE)</f>
        <v>M</v>
      </c>
      <c r="I606" s="8" t="s">
        <v>2862</v>
      </c>
      <c r="J606" s="8" t="s">
        <v>886</v>
      </c>
      <c r="L606" s="8" t="s">
        <v>238</v>
      </c>
      <c r="N606" s="8" t="s">
        <v>83</v>
      </c>
      <c r="O606" s="8" t="s">
        <v>83</v>
      </c>
      <c r="Q606" s="8" t="s">
        <v>45</v>
      </c>
      <c r="R606" s="8">
        <v>6</v>
      </c>
      <c r="S606" s="8">
        <v>8</v>
      </c>
      <c r="T606" s="8">
        <f t="shared" si="58"/>
        <v>14</v>
      </c>
      <c r="U606" s="8">
        <v>1</v>
      </c>
      <c r="V606" s="8">
        <v>0</v>
      </c>
      <c r="W606" s="8">
        <v>1</v>
      </c>
      <c r="X606" s="8">
        <v>0</v>
      </c>
      <c r="Y606" s="8">
        <v>2</v>
      </c>
      <c r="Z606" s="8">
        <v>0</v>
      </c>
      <c r="AA606" s="8">
        <v>180</v>
      </c>
      <c r="AB606" s="9">
        <f t="shared" si="59"/>
        <v>0.66666666666666674</v>
      </c>
      <c r="AC606" s="10">
        <f t="shared" si="61"/>
        <v>20.999999999999996</v>
      </c>
      <c r="AD606" s="8" t="s">
        <v>109</v>
      </c>
      <c r="AE606" s="11">
        <v>75990</v>
      </c>
      <c r="AF606" s="11">
        <f t="shared" si="62"/>
        <v>1063860</v>
      </c>
      <c r="AG606" s="12" t="s">
        <v>64</v>
      </c>
      <c r="AH606" s="8" t="s">
        <v>65</v>
      </c>
    </row>
    <row r="607" spans="1:34">
      <c r="A607" s="8" t="s">
        <v>900</v>
      </c>
      <c r="B607" s="16" t="s">
        <v>2860</v>
      </c>
      <c r="C607" s="8" t="s">
        <v>40</v>
      </c>
      <c r="D607" s="8" t="s">
        <v>736</v>
      </c>
      <c r="E607" s="8" t="str">
        <f t="shared" si="60"/>
        <v>ROJO</v>
      </c>
      <c r="G607" s="8" t="s">
        <v>2862</v>
      </c>
      <c r="H607" s="8" t="str">
        <f>VLOOKUP(A607,[1]BBDD!$B$1:$J$3274,9,FALSE)</f>
        <v>M</v>
      </c>
      <c r="I607" s="8" t="s">
        <v>2862</v>
      </c>
      <c r="J607" s="8" t="s">
        <v>886</v>
      </c>
      <c r="L607" s="8" t="s">
        <v>238</v>
      </c>
      <c r="N607" s="8" t="s">
        <v>88</v>
      </c>
      <c r="O607" s="8" t="s">
        <v>88</v>
      </c>
      <c r="Q607" s="8" t="s">
        <v>45</v>
      </c>
      <c r="R607" s="8">
        <v>19</v>
      </c>
      <c r="S607" s="8">
        <v>9</v>
      </c>
      <c r="T607" s="8">
        <f t="shared" si="58"/>
        <v>28</v>
      </c>
      <c r="U607" s="8">
        <v>1</v>
      </c>
      <c r="V607" s="8">
        <v>0</v>
      </c>
      <c r="W607" s="8">
        <v>1</v>
      </c>
      <c r="X607" s="8">
        <v>0</v>
      </c>
      <c r="Y607" s="8">
        <v>1</v>
      </c>
      <c r="Z607" s="8">
        <v>1</v>
      </c>
      <c r="AA607" s="8">
        <v>180</v>
      </c>
      <c r="AB607" s="9">
        <f t="shared" si="59"/>
        <v>0.66666666666666674</v>
      </c>
      <c r="AC607" s="10">
        <f t="shared" si="61"/>
        <v>41.999999999999993</v>
      </c>
      <c r="AD607" s="8" t="s">
        <v>109</v>
      </c>
      <c r="AE607" s="11">
        <v>75990</v>
      </c>
      <c r="AF607" s="11">
        <f t="shared" si="62"/>
        <v>2127720</v>
      </c>
      <c r="AG607" s="12" t="s">
        <v>73</v>
      </c>
      <c r="AH607" s="8" t="s">
        <v>74</v>
      </c>
    </row>
    <row r="608" spans="1:34">
      <c r="A608" s="8" t="s">
        <v>901</v>
      </c>
      <c r="B608" s="16" t="s">
        <v>2860</v>
      </c>
      <c r="C608" s="8" t="s">
        <v>40</v>
      </c>
      <c r="D608" s="8" t="s">
        <v>736</v>
      </c>
      <c r="E608" s="8" t="str">
        <f t="shared" si="60"/>
        <v>VERDE</v>
      </c>
      <c r="G608" s="8" t="s">
        <v>2862</v>
      </c>
      <c r="H608" s="8" t="str">
        <f>VLOOKUP(A608,[1]BBDD!$B$1:$J$3274,9,FALSE)</f>
        <v>M</v>
      </c>
      <c r="I608" s="8" t="s">
        <v>2862</v>
      </c>
      <c r="J608" s="8" t="s">
        <v>886</v>
      </c>
      <c r="L608" s="8" t="s">
        <v>238</v>
      </c>
      <c r="N608" s="8" t="s">
        <v>92</v>
      </c>
      <c r="O608" s="8" t="s">
        <v>92</v>
      </c>
      <c r="Q608" s="8" t="s">
        <v>45</v>
      </c>
      <c r="R608" s="8">
        <v>0</v>
      </c>
      <c r="S608" s="8">
        <v>1</v>
      </c>
      <c r="T608" s="8">
        <f t="shared" si="58"/>
        <v>1</v>
      </c>
      <c r="U608" s="8">
        <v>0</v>
      </c>
      <c r="V608" s="8">
        <v>2</v>
      </c>
      <c r="W608" s="8">
        <v>0</v>
      </c>
      <c r="X608" s="8">
        <v>1</v>
      </c>
      <c r="Y608" s="8">
        <v>0</v>
      </c>
      <c r="Z608" s="8">
        <v>0</v>
      </c>
      <c r="AA608" s="8">
        <v>180</v>
      </c>
      <c r="AB608" s="9">
        <f t="shared" si="59"/>
        <v>0.5</v>
      </c>
      <c r="AC608" s="10">
        <f t="shared" si="61"/>
        <v>2</v>
      </c>
      <c r="AD608" s="8" t="s">
        <v>109</v>
      </c>
      <c r="AE608" s="11">
        <v>75990</v>
      </c>
      <c r="AF608" s="11">
        <f t="shared" si="62"/>
        <v>75990</v>
      </c>
      <c r="AG608" s="12" t="s">
        <v>34</v>
      </c>
      <c r="AH608" s="8" t="s">
        <v>35</v>
      </c>
    </row>
    <row r="609" spans="1:34">
      <c r="A609" s="8" t="s">
        <v>902</v>
      </c>
      <c r="B609" s="16" t="s">
        <v>2860</v>
      </c>
      <c r="C609" s="8" t="s">
        <v>40</v>
      </c>
      <c r="D609" s="8" t="s">
        <v>736</v>
      </c>
      <c r="E609" s="8" t="str">
        <f t="shared" si="60"/>
        <v>CARAMELO</v>
      </c>
      <c r="G609" s="8" t="s">
        <v>2862</v>
      </c>
      <c r="H609" s="8" t="str">
        <f>VLOOKUP(A609,[1]BBDD!$B$1:$J$3274,9,FALSE)</f>
        <v>M</v>
      </c>
      <c r="I609" s="8" t="s">
        <v>2862</v>
      </c>
      <c r="J609" s="8" t="s">
        <v>886</v>
      </c>
      <c r="L609" s="8" t="s">
        <v>82</v>
      </c>
      <c r="N609" s="8" t="s">
        <v>62</v>
      </c>
      <c r="O609" s="8" t="s">
        <v>62</v>
      </c>
      <c r="Q609" s="8" t="s">
        <v>32</v>
      </c>
      <c r="R609" s="8">
        <v>25</v>
      </c>
      <c r="S609" s="8">
        <v>10</v>
      </c>
      <c r="T609" s="8">
        <f t="shared" si="58"/>
        <v>35</v>
      </c>
      <c r="U609" s="8">
        <v>1</v>
      </c>
      <c r="V609" s="8">
        <v>1</v>
      </c>
      <c r="W609" s="8">
        <v>0</v>
      </c>
      <c r="X609" s="8">
        <v>0</v>
      </c>
      <c r="Y609" s="8">
        <v>0</v>
      </c>
      <c r="Z609" s="8">
        <v>0</v>
      </c>
      <c r="AA609" s="8">
        <v>180</v>
      </c>
      <c r="AB609" s="9">
        <f t="shared" si="59"/>
        <v>0.33333333333333337</v>
      </c>
      <c r="AC609" s="10">
        <f t="shared" si="61"/>
        <v>104.99999999999999</v>
      </c>
      <c r="AD609" s="8" t="s">
        <v>33</v>
      </c>
      <c r="AE609" s="11">
        <v>75990</v>
      </c>
      <c r="AF609" s="11">
        <f t="shared" si="62"/>
        <v>2659650</v>
      </c>
      <c r="AG609" s="12" t="s">
        <v>73</v>
      </c>
      <c r="AH609" s="8" t="s">
        <v>74</v>
      </c>
    </row>
    <row r="610" spans="1:34">
      <c r="A610" s="8" t="s">
        <v>903</v>
      </c>
      <c r="B610" s="16" t="s">
        <v>2860</v>
      </c>
      <c r="C610" s="8" t="s">
        <v>40</v>
      </c>
      <c r="D610" s="8" t="s">
        <v>736</v>
      </c>
      <c r="E610" s="8" t="str">
        <f t="shared" si="60"/>
        <v>NEGRO</v>
      </c>
      <c r="G610" s="8" t="s">
        <v>2862</v>
      </c>
      <c r="H610" s="8" t="str">
        <f>VLOOKUP(A610,[1]BBDD!$B$1:$J$3274,9,FALSE)</f>
        <v>M</v>
      </c>
      <c r="I610" s="8" t="s">
        <v>2862</v>
      </c>
      <c r="J610" s="8" t="s">
        <v>886</v>
      </c>
      <c r="L610" s="8" t="s">
        <v>82</v>
      </c>
      <c r="N610" s="8" t="s">
        <v>44</v>
      </c>
      <c r="O610" s="8" t="s">
        <v>44</v>
      </c>
      <c r="Q610" s="8" t="s">
        <v>32</v>
      </c>
      <c r="R610" s="8">
        <v>27</v>
      </c>
      <c r="S610" s="8">
        <v>14</v>
      </c>
      <c r="T610" s="8">
        <f t="shared" si="58"/>
        <v>41</v>
      </c>
      <c r="U610" s="8">
        <v>1</v>
      </c>
      <c r="V610" s="8">
        <v>0</v>
      </c>
      <c r="W610" s="8">
        <v>0</v>
      </c>
      <c r="X610" s="8">
        <v>0</v>
      </c>
      <c r="Y610" s="8">
        <v>1</v>
      </c>
      <c r="Z610" s="8">
        <v>1</v>
      </c>
      <c r="AA610" s="8">
        <v>180</v>
      </c>
      <c r="AB610" s="9">
        <f t="shared" si="59"/>
        <v>0.5</v>
      </c>
      <c r="AC610" s="10">
        <f t="shared" si="61"/>
        <v>82</v>
      </c>
      <c r="AD610" s="8" t="s">
        <v>33</v>
      </c>
      <c r="AE610" s="11">
        <v>75990</v>
      </c>
      <c r="AF610" s="11">
        <f t="shared" si="62"/>
        <v>3115590</v>
      </c>
      <c r="AG610" s="12" t="s">
        <v>73</v>
      </c>
      <c r="AH610" s="8" t="s">
        <v>74</v>
      </c>
    </row>
    <row r="611" spans="1:34">
      <c r="A611" s="8" t="s">
        <v>904</v>
      </c>
      <c r="B611" s="16" t="s">
        <v>2860</v>
      </c>
      <c r="C611" s="8" t="s">
        <v>40</v>
      </c>
      <c r="D611" s="8" t="s">
        <v>736</v>
      </c>
      <c r="E611" s="8" t="str">
        <f t="shared" si="60"/>
        <v>ROJO</v>
      </c>
      <c r="G611" s="8" t="s">
        <v>2862</v>
      </c>
      <c r="H611" s="8" t="str">
        <f>VLOOKUP(A611,[1]BBDD!$B$1:$J$3274,9,FALSE)</f>
        <v>M</v>
      </c>
      <c r="I611" s="8" t="s">
        <v>2862</v>
      </c>
      <c r="J611" s="8" t="s">
        <v>886</v>
      </c>
      <c r="L611" s="8" t="s">
        <v>82</v>
      </c>
      <c r="N611" s="8" t="s">
        <v>88</v>
      </c>
      <c r="O611" s="8" t="s">
        <v>88</v>
      </c>
      <c r="Q611" s="8" t="s">
        <v>32</v>
      </c>
      <c r="R611" s="8">
        <v>24</v>
      </c>
      <c r="S611" s="8">
        <v>9</v>
      </c>
      <c r="T611" s="8">
        <f t="shared" si="58"/>
        <v>33</v>
      </c>
      <c r="U611" s="8">
        <v>1</v>
      </c>
      <c r="V611" s="8">
        <v>2</v>
      </c>
      <c r="W611" s="8">
        <v>0</v>
      </c>
      <c r="X611" s="8">
        <v>1</v>
      </c>
      <c r="Y611" s="8">
        <v>0</v>
      </c>
      <c r="Z611" s="8">
        <v>1</v>
      </c>
      <c r="AA611" s="8">
        <v>180</v>
      </c>
      <c r="AB611" s="9">
        <f t="shared" si="59"/>
        <v>0.83333333333333326</v>
      </c>
      <c r="AC611" s="10">
        <f t="shared" si="61"/>
        <v>39.6</v>
      </c>
      <c r="AD611" s="8" t="s">
        <v>33</v>
      </c>
      <c r="AE611" s="11">
        <v>75990</v>
      </c>
      <c r="AF611" s="11">
        <f t="shared" si="62"/>
        <v>2507670</v>
      </c>
      <c r="AG611" s="12" t="s">
        <v>73</v>
      </c>
      <c r="AH611" s="8" t="s">
        <v>74</v>
      </c>
    </row>
    <row r="612" spans="1:34">
      <c r="A612" s="8" t="s">
        <v>905</v>
      </c>
      <c r="B612" s="16" t="s">
        <v>2860</v>
      </c>
      <c r="C612" s="8" t="s">
        <v>40</v>
      </c>
      <c r="D612" s="8" t="s">
        <v>736</v>
      </c>
      <c r="E612" s="8" t="str">
        <f t="shared" si="60"/>
        <v>AZUL</v>
      </c>
      <c r="G612" s="8" t="s">
        <v>2862</v>
      </c>
      <c r="H612" s="8" t="str">
        <f>VLOOKUP(A612,[1]BBDD!$B$1:$J$3274,9,FALSE)</f>
        <v>M</v>
      </c>
      <c r="I612" s="8" t="s">
        <v>2862</v>
      </c>
      <c r="J612" s="8" t="s">
        <v>886</v>
      </c>
      <c r="L612" s="8" t="s">
        <v>82</v>
      </c>
      <c r="N612" s="8" t="s">
        <v>83</v>
      </c>
      <c r="O612" s="8" t="s">
        <v>83</v>
      </c>
      <c r="Q612" s="8" t="s">
        <v>45</v>
      </c>
      <c r="R612" s="8">
        <v>6</v>
      </c>
      <c r="S612" s="8">
        <v>7</v>
      </c>
      <c r="T612" s="8">
        <f t="shared" si="58"/>
        <v>13</v>
      </c>
      <c r="U612" s="8">
        <v>0</v>
      </c>
      <c r="V612" s="8">
        <v>2</v>
      </c>
      <c r="W612" s="8">
        <v>0</v>
      </c>
      <c r="X612" s="8">
        <v>1</v>
      </c>
      <c r="Y612" s="8">
        <v>0</v>
      </c>
      <c r="Z612" s="8">
        <v>2</v>
      </c>
      <c r="AA612" s="8">
        <v>180</v>
      </c>
      <c r="AB612" s="9">
        <f t="shared" si="59"/>
        <v>0.83333333333333326</v>
      </c>
      <c r="AC612" s="10">
        <f t="shared" si="61"/>
        <v>15.600000000000001</v>
      </c>
      <c r="AD612" s="8" t="s">
        <v>109</v>
      </c>
      <c r="AE612" s="11">
        <v>75990</v>
      </c>
      <c r="AF612" s="11">
        <f t="shared" si="62"/>
        <v>987870</v>
      </c>
      <c r="AG612" s="12" t="s">
        <v>64</v>
      </c>
      <c r="AH612" s="8" t="s">
        <v>65</v>
      </c>
    </row>
    <row r="613" spans="1:34">
      <c r="A613" s="8" t="s">
        <v>906</v>
      </c>
      <c r="B613" s="16" t="s">
        <v>2860</v>
      </c>
      <c r="C613" s="8" t="s">
        <v>40</v>
      </c>
      <c r="D613" s="8" t="s">
        <v>736</v>
      </c>
      <c r="E613" s="8" t="str">
        <f t="shared" si="60"/>
        <v>VERDE</v>
      </c>
      <c r="G613" s="8" t="s">
        <v>2862</v>
      </c>
      <c r="H613" s="8" t="str">
        <f>VLOOKUP(A613,[1]BBDD!$B$1:$J$3274,9,FALSE)</f>
        <v>M</v>
      </c>
      <c r="I613" s="8" t="s">
        <v>2862</v>
      </c>
      <c r="J613" s="8" t="s">
        <v>886</v>
      </c>
      <c r="L613" s="8" t="s">
        <v>82</v>
      </c>
      <c r="N613" s="8" t="s">
        <v>92</v>
      </c>
      <c r="O613" s="8" t="s">
        <v>92</v>
      </c>
      <c r="Q613" s="8" t="s">
        <v>45</v>
      </c>
      <c r="R613" s="8">
        <v>11</v>
      </c>
      <c r="S613" s="8">
        <v>7</v>
      </c>
      <c r="T613" s="8">
        <f t="shared" si="58"/>
        <v>18</v>
      </c>
      <c r="U613" s="8">
        <v>1</v>
      </c>
      <c r="V613" s="8">
        <v>1</v>
      </c>
      <c r="W613" s="8">
        <v>0</v>
      </c>
      <c r="X613" s="8">
        <v>1</v>
      </c>
      <c r="Y613" s="8">
        <v>2</v>
      </c>
      <c r="Z613" s="8">
        <v>0</v>
      </c>
      <c r="AA613" s="8">
        <v>180</v>
      </c>
      <c r="AB613" s="9">
        <f t="shared" si="59"/>
        <v>0.83333333333333326</v>
      </c>
      <c r="AC613" s="10">
        <f t="shared" si="61"/>
        <v>21.6</v>
      </c>
      <c r="AD613" s="8" t="s">
        <v>109</v>
      </c>
      <c r="AE613" s="11">
        <v>75990</v>
      </c>
      <c r="AF613" s="11">
        <f t="shared" si="62"/>
        <v>1367820</v>
      </c>
      <c r="AG613" s="12" t="s">
        <v>64</v>
      </c>
      <c r="AH613" s="8" t="s">
        <v>65</v>
      </c>
    </row>
    <row r="614" spans="1:34">
      <c r="A614" s="8" t="s">
        <v>907</v>
      </c>
      <c r="B614" s="16" t="s">
        <v>2860</v>
      </c>
      <c r="C614" s="8" t="s">
        <v>40</v>
      </c>
      <c r="D614" s="8" t="s">
        <v>736</v>
      </c>
      <c r="E614" s="8" t="str">
        <f t="shared" si="60"/>
        <v>MALBEC</v>
      </c>
      <c r="G614" s="8" t="s">
        <v>2862</v>
      </c>
      <c r="H614" s="8" t="str">
        <f>VLOOKUP(A614,[1]BBDD!$B$1:$J$3274,9,FALSE)</f>
        <v>M</v>
      </c>
      <c r="I614" s="8" t="s">
        <v>2862</v>
      </c>
      <c r="J614" s="8" t="s">
        <v>886</v>
      </c>
      <c r="L614" s="8" t="s">
        <v>187</v>
      </c>
      <c r="N614" s="8" t="s">
        <v>69</v>
      </c>
      <c r="O614" s="8" t="s">
        <v>69</v>
      </c>
      <c r="Q614" s="8" t="s">
        <v>45</v>
      </c>
      <c r="R614" s="8">
        <v>0</v>
      </c>
      <c r="S614" s="8">
        <v>8</v>
      </c>
      <c r="T614" s="8">
        <f t="shared" si="58"/>
        <v>8</v>
      </c>
      <c r="U614" s="8">
        <v>1</v>
      </c>
      <c r="V614" s="8">
        <v>2</v>
      </c>
      <c r="W614" s="8">
        <v>1</v>
      </c>
      <c r="X614" s="8">
        <v>0</v>
      </c>
      <c r="Y614" s="8">
        <v>2</v>
      </c>
      <c r="Z614" s="8">
        <v>0</v>
      </c>
      <c r="AA614" s="8">
        <v>180</v>
      </c>
      <c r="AB614" s="9">
        <f t="shared" si="59"/>
        <v>1</v>
      </c>
      <c r="AC614" s="10">
        <f t="shared" si="61"/>
        <v>8</v>
      </c>
      <c r="AD614" s="8" t="s">
        <v>109</v>
      </c>
      <c r="AE614" s="11">
        <v>75990</v>
      </c>
      <c r="AF614" s="11">
        <f t="shared" si="62"/>
        <v>607920</v>
      </c>
      <c r="AG614" s="12" t="s">
        <v>51</v>
      </c>
      <c r="AH614" s="8" t="s">
        <v>35</v>
      </c>
    </row>
    <row r="615" spans="1:34">
      <c r="A615" s="8" t="s">
        <v>908</v>
      </c>
      <c r="B615" s="16" t="s">
        <v>2860</v>
      </c>
      <c r="C615" s="8" t="s">
        <v>40</v>
      </c>
      <c r="D615" s="8" t="s">
        <v>736</v>
      </c>
      <c r="E615" s="8" t="str">
        <f t="shared" si="60"/>
        <v>CARAMELO</v>
      </c>
      <c r="G615" s="8" t="s">
        <v>2862</v>
      </c>
      <c r="H615" s="8" t="str">
        <f>VLOOKUP(A615,[1]BBDD!$B$1:$J$3274,9,FALSE)</f>
        <v>M</v>
      </c>
      <c r="I615" s="8" t="s">
        <v>2862</v>
      </c>
      <c r="J615" s="8" t="s">
        <v>909</v>
      </c>
      <c r="L615" s="8" t="s">
        <v>61</v>
      </c>
      <c r="N615" s="8" t="s">
        <v>62</v>
      </c>
      <c r="O615" s="8" t="s">
        <v>62</v>
      </c>
      <c r="Q615" s="8" t="s">
        <v>32</v>
      </c>
      <c r="R615" s="8">
        <v>0</v>
      </c>
      <c r="S615" s="8">
        <v>3</v>
      </c>
      <c r="T615" s="8">
        <f t="shared" si="58"/>
        <v>3</v>
      </c>
      <c r="U615" s="8">
        <v>4</v>
      </c>
      <c r="V615" s="8">
        <v>0</v>
      </c>
      <c r="W615" s="8">
        <v>5</v>
      </c>
      <c r="X615" s="8">
        <v>4</v>
      </c>
      <c r="Y615" s="8">
        <v>6</v>
      </c>
      <c r="Z615" s="8">
        <v>1</v>
      </c>
      <c r="AA615" s="8">
        <v>180</v>
      </c>
      <c r="AB615" s="9">
        <f t="shared" si="59"/>
        <v>3.333333333333333</v>
      </c>
      <c r="AC615" s="10">
        <f t="shared" si="61"/>
        <v>0.90000000000000013</v>
      </c>
      <c r="AD615" s="8" t="s">
        <v>33</v>
      </c>
      <c r="AE615" s="11">
        <v>171990</v>
      </c>
      <c r="AF615" s="11">
        <f t="shared" si="62"/>
        <v>515970</v>
      </c>
      <c r="AG615" s="12" t="s">
        <v>34</v>
      </c>
      <c r="AH615" s="8" t="s">
        <v>35</v>
      </c>
    </row>
    <row r="616" spans="1:34">
      <c r="A616" s="8" t="s">
        <v>910</v>
      </c>
      <c r="B616" s="16" t="s">
        <v>2860</v>
      </c>
      <c r="C616" s="8" t="s">
        <v>40</v>
      </c>
      <c r="D616" s="8" t="s">
        <v>736</v>
      </c>
      <c r="E616" s="8" t="str">
        <f t="shared" si="60"/>
        <v>CHOCOLATE</v>
      </c>
      <c r="G616" s="8" t="s">
        <v>2862</v>
      </c>
      <c r="H616" s="8" t="str">
        <f>VLOOKUP(A616,[1]BBDD!$B$1:$J$3274,9,FALSE)</f>
        <v>M</v>
      </c>
      <c r="I616" s="8" t="s">
        <v>2862</v>
      </c>
      <c r="J616" s="8" t="s">
        <v>909</v>
      </c>
      <c r="L616" s="8" t="s">
        <v>61</v>
      </c>
      <c r="N616" s="8" t="s">
        <v>252</v>
      </c>
      <c r="O616" s="8" t="s">
        <v>252</v>
      </c>
      <c r="Q616" s="8" t="s">
        <v>32</v>
      </c>
      <c r="R616" s="8">
        <v>0</v>
      </c>
      <c r="S616" s="8">
        <v>4</v>
      </c>
      <c r="T616" s="8">
        <f t="shared" si="58"/>
        <v>4</v>
      </c>
      <c r="U616" s="8">
        <v>3</v>
      </c>
      <c r="V616" s="8">
        <v>1</v>
      </c>
      <c r="W616" s="8">
        <v>5</v>
      </c>
      <c r="X616" s="8">
        <v>3</v>
      </c>
      <c r="Y616" s="8">
        <v>6</v>
      </c>
      <c r="Z616" s="8">
        <v>5</v>
      </c>
      <c r="AA616" s="8">
        <v>180</v>
      </c>
      <c r="AB616" s="9">
        <f t="shared" si="59"/>
        <v>3.833333333333333</v>
      </c>
      <c r="AC616" s="10">
        <f t="shared" si="61"/>
        <v>1.0434782608695652</v>
      </c>
      <c r="AD616" s="8" t="s">
        <v>33</v>
      </c>
      <c r="AE616" s="11">
        <v>171990</v>
      </c>
      <c r="AF616" s="11">
        <f t="shared" si="62"/>
        <v>687960</v>
      </c>
      <c r="AG616" s="12" t="s">
        <v>34</v>
      </c>
      <c r="AH616" s="8" t="s">
        <v>35</v>
      </c>
    </row>
    <row r="617" spans="1:34">
      <c r="A617" s="8" t="s">
        <v>911</v>
      </c>
      <c r="B617" s="16" t="s">
        <v>2860</v>
      </c>
      <c r="C617" s="8" t="s">
        <v>40</v>
      </c>
      <c r="D617" s="8" t="s">
        <v>736</v>
      </c>
      <c r="E617" s="8" t="str">
        <f t="shared" si="60"/>
        <v>MALBEC</v>
      </c>
      <c r="G617" s="8" t="s">
        <v>2862</v>
      </c>
      <c r="H617" s="8" t="str">
        <f>VLOOKUP(A617,[1]BBDD!$B$1:$J$3274,9,FALSE)</f>
        <v>M</v>
      </c>
      <c r="I617" s="8" t="s">
        <v>2862</v>
      </c>
      <c r="J617" s="8" t="s">
        <v>909</v>
      </c>
      <c r="L617" s="8" t="s">
        <v>61</v>
      </c>
      <c r="N617" s="8" t="s">
        <v>69</v>
      </c>
      <c r="O617" s="8" t="s">
        <v>69</v>
      </c>
      <c r="Q617" s="8" t="s">
        <v>32</v>
      </c>
      <c r="R617" s="8">
        <v>0</v>
      </c>
      <c r="S617" s="8">
        <v>4</v>
      </c>
      <c r="T617" s="8">
        <f t="shared" si="58"/>
        <v>4</v>
      </c>
      <c r="U617" s="8">
        <v>0</v>
      </c>
      <c r="V617" s="8">
        <v>1</v>
      </c>
      <c r="W617" s="8">
        <v>4</v>
      </c>
      <c r="X617" s="8">
        <v>5</v>
      </c>
      <c r="Y617" s="8">
        <v>3</v>
      </c>
      <c r="Z617" s="8">
        <v>1</v>
      </c>
      <c r="AA617" s="8">
        <v>180</v>
      </c>
      <c r="AB617" s="9">
        <f t="shared" si="59"/>
        <v>2.3333333333333335</v>
      </c>
      <c r="AC617" s="10">
        <f t="shared" si="61"/>
        <v>1.7142857142857142</v>
      </c>
      <c r="AD617" s="8" t="s">
        <v>33</v>
      </c>
      <c r="AE617" s="11">
        <v>171990</v>
      </c>
      <c r="AF617" s="11">
        <f t="shared" si="62"/>
        <v>687960</v>
      </c>
      <c r="AG617" s="12" t="s">
        <v>34</v>
      </c>
      <c r="AH617" s="8" t="s">
        <v>35</v>
      </c>
    </row>
    <row r="618" spans="1:34">
      <c r="A618" s="8" t="s">
        <v>912</v>
      </c>
      <c r="B618" s="16" t="s">
        <v>2860</v>
      </c>
      <c r="C618" s="8" t="s">
        <v>40</v>
      </c>
      <c r="D618" s="8" t="s">
        <v>736</v>
      </c>
      <c r="E618" s="8" t="str">
        <f t="shared" si="60"/>
        <v>NEGRO</v>
      </c>
      <c r="G618" s="8" t="s">
        <v>2862</v>
      </c>
      <c r="H618" s="8" t="str">
        <f>VLOOKUP(A618,[1]BBDD!$B$1:$J$3274,9,FALSE)</f>
        <v>M</v>
      </c>
      <c r="I618" s="8" t="s">
        <v>2862</v>
      </c>
      <c r="J618" s="8" t="s">
        <v>909</v>
      </c>
      <c r="L618" s="8" t="s">
        <v>61</v>
      </c>
      <c r="N618" s="8" t="s">
        <v>44</v>
      </c>
      <c r="O618" s="8" t="s">
        <v>44</v>
      </c>
      <c r="Q618" s="8" t="s">
        <v>32</v>
      </c>
      <c r="R618" s="8">
        <v>0</v>
      </c>
      <c r="S618" s="8">
        <v>8</v>
      </c>
      <c r="T618" s="8">
        <f t="shared" si="58"/>
        <v>8</v>
      </c>
      <c r="U618" s="8">
        <v>4</v>
      </c>
      <c r="V618" s="8">
        <v>0</v>
      </c>
      <c r="W618" s="8">
        <v>6</v>
      </c>
      <c r="X618" s="8">
        <v>2</v>
      </c>
      <c r="Y618" s="8">
        <v>3</v>
      </c>
      <c r="Z618" s="8">
        <v>3</v>
      </c>
      <c r="AA618" s="8">
        <v>180</v>
      </c>
      <c r="AB618" s="9">
        <f t="shared" si="59"/>
        <v>3</v>
      </c>
      <c r="AC618" s="10">
        <f t="shared" si="61"/>
        <v>2.6666666666666665</v>
      </c>
      <c r="AD618" s="8" t="s">
        <v>33</v>
      </c>
      <c r="AE618" s="11">
        <v>171990</v>
      </c>
      <c r="AF618" s="11">
        <f t="shared" si="62"/>
        <v>1375920</v>
      </c>
      <c r="AG618" s="12" t="s">
        <v>34</v>
      </c>
      <c r="AH618" s="8" t="s">
        <v>35</v>
      </c>
    </row>
    <row r="619" spans="1:34">
      <c r="A619" s="8" t="s">
        <v>913</v>
      </c>
      <c r="B619" s="16" t="s">
        <v>2860</v>
      </c>
      <c r="C619" s="8" t="s">
        <v>40</v>
      </c>
      <c r="D619" s="8" t="s">
        <v>736</v>
      </c>
      <c r="E619" s="8" t="str">
        <f t="shared" si="60"/>
        <v>ROJO</v>
      </c>
      <c r="G619" s="8" t="s">
        <v>2862</v>
      </c>
      <c r="H619" s="8" t="str">
        <f>VLOOKUP(A619,[1]BBDD!$B$1:$J$3274,9,FALSE)</f>
        <v>M</v>
      </c>
      <c r="I619" s="8" t="s">
        <v>2862</v>
      </c>
      <c r="J619" s="8" t="s">
        <v>909</v>
      </c>
      <c r="L619" s="8" t="s">
        <v>61</v>
      </c>
      <c r="N619" s="8" t="s">
        <v>88</v>
      </c>
      <c r="O619" s="8" t="s">
        <v>88</v>
      </c>
      <c r="Q619" s="8" t="s">
        <v>32</v>
      </c>
      <c r="R619" s="8">
        <v>0</v>
      </c>
      <c r="S619" s="8">
        <v>5</v>
      </c>
      <c r="T619" s="8">
        <f t="shared" si="58"/>
        <v>5</v>
      </c>
      <c r="U619" s="8">
        <v>3</v>
      </c>
      <c r="V619" s="8">
        <v>1</v>
      </c>
      <c r="W619" s="8">
        <v>7</v>
      </c>
      <c r="X619" s="8">
        <v>3</v>
      </c>
      <c r="Y619" s="8">
        <v>2</v>
      </c>
      <c r="Z619" s="8">
        <v>2</v>
      </c>
      <c r="AA619" s="8">
        <v>180</v>
      </c>
      <c r="AB619" s="9">
        <f t="shared" si="59"/>
        <v>3</v>
      </c>
      <c r="AC619" s="10">
        <f t="shared" si="61"/>
        <v>1.6666666666666667</v>
      </c>
      <c r="AD619" s="8" t="s">
        <v>33</v>
      </c>
      <c r="AE619" s="11">
        <v>171990</v>
      </c>
      <c r="AF619" s="11">
        <f t="shared" si="62"/>
        <v>859950</v>
      </c>
      <c r="AG619" s="12" t="s">
        <v>34</v>
      </c>
      <c r="AH619" s="8" t="s">
        <v>35</v>
      </c>
    </row>
    <row r="620" spans="1:34">
      <c r="A620" s="8" t="s">
        <v>914</v>
      </c>
      <c r="B620" s="16" t="s">
        <v>2860</v>
      </c>
      <c r="C620" s="8" t="s">
        <v>40</v>
      </c>
      <c r="D620" s="8" t="s">
        <v>736</v>
      </c>
      <c r="E620" s="8" t="str">
        <f t="shared" si="60"/>
        <v>TABACO</v>
      </c>
      <c r="G620" s="8" t="s">
        <v>2862</v>
      </c>
      <c r="H620" s="8" t="str">
        <f>VLOOKUP(A620,[1]BBDD!$B$1:$J$3274,9,FALSE)</f>
        <v>M</v>
      </c>
      <c r="I620" s="8" t="s">
        <v>2862</v>
      </c>
      <c r="J620" s="8" t="s">
        <v>909</v>
      </c>
      <c r="L620" s="8" t="s">
        <v>61</v>
      </c>
      <c r="N620" s="8" t="s">
        <v>67</v>
      </c>
      <c r="O620" s="8" t="s">
        <v>67</v>
      </c>
      <c r="Q620" s="8" t="s">
        <v>32</v>
      </c>
      <c r="R620" s="8">
        <v>0</v>
      </c>
      <c r="S620" s="8">
        <v>3</v>
      </c>
      <c r="T620" s="8">
        <f t="shared" si="58"/>
        <v>3</v>
      </c>
      <c r="U620" s="8">
        <v>5</v>
      </c>
      <c r="V620" s="8">
        <v>3</v>
      </c>
      <c r="W620" s="8">
        <v>6</v>
      </c>
      <c r="X620" s="8">
        <v>4</v>
      </c>
      <c r="Y620" s="8">
        <v>3</v>
      </c>
      <c r="Z620" s="8">
        <v>3</v>
      </c>
      <c r="AA620" s="8">
        <v>180</v>
      </c>
      <c r="AB620" s="9">
        <f t="shared" si="59"/>
        <v>4</v>
      </c>
      <c r="AC620" s="10">
        <f t="shared" si="61"/>
        <v>0.75</v>
      </c>
      <c r="AD620" s="8" t="s">
        <v>33</v>
      </c>
      <c r="AE620" s="11">
        <v>171990</v>
      </c>
      <c r="AF620" s="11">
        <f t="shared" si="62"/>
        <v>515970</v>
      </c>
      <c r="AG620" s="12" t="s">
        <v>34</v>
      </c>
      <c r="AH620" s="8" t="s">
        <v>35</v>
      </c>
    </row>
    <row r="621" spans="1:34">
      <c r="A621" s="8" t="s">
        <v>915</v>
      </c>
      <c r="B621" s="16" t="s">
        <v>2860</v>
      </c>
      <c r="C621" s="8" t="s">
        <v>40</v>
      </c>
      <c r="D621" s="8" t="s">
        <v>736</v>
      </c>
      <c r="E621" s="8" t="str">
        <f t="shared" si="60"/>
        <v>VERDE</v>
      </c>
      <c r="G621" s="8" t="s">
        <v>2862</v>
      </c>
      <c r="H621" s="8" t="str">
        <f>VLOOKUP(A621,[1]BBDD!$B$1:$J$3274,9,FALSE)</f>
        <v>M</v>
      </c>
      <c r="I621" s="8" t="s">
        <v>2862</v>
      </c>
      <c r="J621" s="8" t="s">
        <v>909</v>
      </c>
      <c r="L621" s="8" t="s">
        <v>119</v>
      </c>
      <c r="N621" s="8" t="s">
        <v>92</v>
      </c>
      <c r="O621" s="8" t="s">
        <v>92</v>
      </c>
      <c r="Q621" s="8" t="s">
        <v>32</v>
      </c>
      <c r="R621" s="8">
        <v>0</v>
      </c>
      <c r="S621" s="8">
        <v>9</v>
      </c>
      <c r="T621" s="8">
        <f t="shared" si="58"/>
        <v>9</v>
      </c>
      <c r="U621" s="8">
        <v>1</v>
      </c>
      <c r="V621" s="8">
        <v>2</v>
      </c>
      <c r="W621" s="8">
        <v>0</v>
      </c>
      <c r="X621" s="8">
        <v>0</v>
      </c>
      <c r="Y621" s="8">
        <v>2</v>
      </c>
      <c r="Z621" s="8">
        <v>3</v>
      </c>
      <c r="AA621" s="8">
        <v>180</v>
      </c>
      <c r="AB621" s="9">
        <f t="shared" si="59"/>
        <v>1.3333333333333335</v>
      </c>
      <c r="AC621" s="10">
        <f t="shared" si="61"/>
        <v>6.7499999999999991</v>
      </c>
      <c r="AD621" s="8" t="s">
        <v>33</v>
      </c>
      <c r="AE621" s="11">
        <v>171990</v>
      </c>
      <c r="AF621" s="11">
        <f t="shared" si="62"/>
        <v>1547910</v>
      </c>
      <c r="AG621" s="12" t="s">
        <v>51</v>
      </c>
      <c r="AH621" s="8" t="s">
        <v>35</v>
      </c>
    </row>
    <row r="622" spans="1:34">
      <c r="A622" s="8" t="s">
        <v>916</v>
      </c>
      <c r="B622" s="16" t="s">
        <v>2860</v>
      </c>
      <c r="C622" s="8" t="s">
        <v>40</v>
      </c>
      <c r="D622" s="8" t="s">
        <v>736</v>
      </c>
      <c r="E622" s="8" t="str">
        <f t="shared" si="60"/>
        <v>CARAMELO</v>
      </c>
      <c r="G622" s="8" t="s">
        <v>2862</v>
      </c>
      <c r="H622" s="8" t="str">
        <f>VLOOKUP(A622,[1]BBDD!$B$1:$J$3274,9,FALSE)</f>
        <v>M</v>
      </c>
      <c r="I622" s="8" t="s">
        <v>2862</v>
      </c>
      <c r="J622" s="8" t="s">
        <v>917</v>
      </c>
      <c r="L622" s="8" t="s">
        <v>61</v>
      </c>
      <c r="N622" s="8" t="s">
        <v>62</v>
      </c>
      <c r="O622" s="8" t="s">
        <v>62</v>
      </c>
      <c r="Q622" s="8" t="s">
        <v>45</v>
      </c>
      <c r="R622" s="8">
        <v>2</v>
      </c>
      <c r="S622" s="8">
        <v>9</v>
      </c>
      <c r="T622" s="8">
        <f t="shared" ref="T622:T685" si="63">SUM(R622:S622)</f>
        <v>11</v>
      </c>
      <c r="U622" s="8">
        <v>0</v>
      </c>
      <c r="V622" s="8">
        <v>0</v>
      </c>
      <c r="W622" s="8">
        <v>0</v>
      </c>
      <c r="X622" s="8">
        <v>3</v>
      </c>
      <c r="Y622" s="8">
        <v>0</v>
      </c>
      <c r="Z622" s="8">
        <v>0</v>
      </c>
      <c r="AA622" s="8">
        <v>180</v>
      </c>
      <c r="AB622" s="9">
        <f t="shared" ref="AB622:AB685" si="64">SUM(U622:Z622)/AA622*30</f>
        <v>0.5</v>
      </c>
      <c r="AC622" s="10">
        <f t="shared" si="61"/>
        <v>22</v>
      </c>
      <c r="AD622" s="8" t="s">
        <v>109</v>
      </c>
      <c r="AE622" s="11">
        <v>165990</v>
      </c>
      <c r="AF622" s="11">
        <f t="shared" si="62"/>
        <v>1825890</v>
      </c>
      <c r="AG622" s="12" t="s">
        <v>64</v>
      </c>
      <c r="AH622" s="8" t="s">
        <v>65</v>
      </c>
    </row>
    <row r="623" spans="1:34">
      <c r="A623" s="8" t="s">
        <v>918</v>
      </c>
      <c r="B623" s="16" t="s">
        <v>2860</v>
      </c>
      <c r="C623" s="8" t="s">
        <v>40</v>
      </c>
      <c r="D623" s="8" t="s">
        <v>736</v>
      </c>
      <c r="E623" s="8" t="str">
        <f t="shared" si="60"/>
        <v>MALBEC</v>
      </c>
      <c r="G623" s="8" t="s">
        <v>2862</v>
      </c>
      <c r="H623" s="8" t="str">
        <f>VLOOKUP(A623,[1]BBDD!$B$1:$J$3274,9,FALSE)</f>
        <v>M</v>
      </c>
      <c r="I623" s="8" t="s">
        <v>2862</v>
      </c>
      <c r="J623" s="8" t="s">
        <v>917</v>
      </c>
      <c r="L623" s="8" t="s">
        <v>61</v>
      </c>
      <c r="N623" s="8" t="s">
        <v>69</v>
      </c>
      <c r="O623" s="8" t="s">
        <v>69</v>
      </c>
      <c r="Q623" s="8" t="s">
        <v>45</v>
      </c>
      <c r="R623" s="8">
        <v>0</v>
      </c>
      <c r="S623" s="8">
        <v>1</v>
      </c>
      <c r="T623" s="8">
        <f t="shared" si="63"/>
        <v>1</v>
      </c>
      <c r="U623" s="8">
        <v>2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180</v>
      </c>
      <c r="AB623" s="9">
        <f t="shared" si="64"/>
        <v>0.33333333333333337</v>
      </c>
      <c r="AC623" s="10">
        <f t="shared" si="61"/>
        <v>2.9999999999999996</v>
      </c>
      <c r="AD623" s="8" t="s">
        <v>109</v>
      </c>
      <c r="AE623" s="11">
        <v>165990</v>
      </c>
      <c r="AF623" s="11">
        <f t="shared" si="62"/>
        <v>165990</v>
      </c>
      <c r="AG623" s="12" t="s">
        <v>34</v>
      </c>
      <c r="AH623" s="8" t="s">
        <v>35</v>
      </c>
    </row>
    <row r="624" spans="1:34">
      <c r="A624" s="8" t="s">
        <v>919</v>
      </c>
      <c r="B624" s="16" t="s">
        <v>2860</v>
      </c>
      <c r="C624" s="8" t="s">
        <v>40</v>
      </c>
      <c r="D624" s="8" t="s">
        <v>736</v>
      </c>
      <c r="E624" s="8" t="str">
        <f t="shared" si="60"/>
        <v>NEGRO</v>
      </c>
      <c r="G624" s="8" t="s">
        <v>2862</v>
      </c>
      <c r="H624" s="8" t="str">
        <f>VLOOKUP(A624,[1]BBDD!$B$1:$J$3274,9,FALSE)</f>
        <v>M</v>
      </c>
      <c r="I624" s="8" t="s">
        <v>2862</v>
      </c>
      <c r="J624" s="8" t="s">
        <v>917</v>
      </c>
      <c r="L624" s="8" t="s">
        <v>61</v>
      </c>
      <c r="N624" s="8" t="s">
        <v>44</v>
      </c>
      <c r="O624" s="8" t="s">
        <v>44</v>
      </c>
      <c r="Q624" s="8" t="s">
        <v>45</v>
      </c>
      <c r="R624" s="8">
        <v>4</v>
      </c>
      <c r="S624" s="8">
        <v>11</v>
      </c>
      <c r="T624" s="8">
        <f t="shared" si="63"/>
        <v>15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180</v>
      </c>
      <c r="AB624" s="9">
        <f t="shared" si="64"/>
        <v>0</v>
      </c>
      <c r="AC624" s="10" t="str">
        <f t="shared" si="61"/>
        <v>sin venta</v>
      </c>
      <c r="AD624" s="8" t="s">
        <v>109</v>
      </c>
      <c r="AE624" s="11">
        <v>165990</v>
      </c>
      <c r="AF624" s="11">
        <f t="shared" si="62"/>
        <v>2489850</v>
      </c>
      <c r="AG624" s="12" t="s">
        <v>73</v>
      </c>
      <c r="AH624" s="8" t="s">
        <v>65</v>
      </c>
    </row>
    <row r="625" spans="1:34">
      <c r="A625" s="8" t="s">
        <v>920</v>
      </c>
      <c r="B625" s="16" t="s">
        <v>2860</v>
      </c>
      <c r="C625" s="8" t="s">
        <v>40</v>
      </c>
      <c r="D625" s="8" t="s">
        <v>736</v>
      </c>
      <c r="E625" s="8" t="str">
        <f t="shared" si="60"/>
        <v>ROJO</v>
      </c>
      <c r="G625" s="8" t="s">
        <v>2862</v>
      </c>
      <c r="H625" s="8" t="str">
        <f>VLOOKUP(A625,[1]BBDD!$B$1:$J$3274,9,FALSE)</f>
        <v>M</v>
      </c>
      <c r="I625" s="8" t="s">
        <v>2862</v>
      </c>
      <c r="J625" s="8" t="s">
        <v>917</v>
      </c>
      <c r="L625" s="8" t="s">
        <v>61</v>
      </c>
      <c r="N625" s="8" t="s">
        <v>88</v>
      </c>
      <c r="O625" s="8" t="s">
        <v>88</v>
      </c>
      <c r="Q625" s="8" t="s">
        <v>45</v>
      </c>
      <c r="R625" s="8">
        <v>2</v>
      </c>
      <c r="S625" s="8">
        <v>5</v>
      </c>
      <c r="T625" s="8">
        <f t="shared" si="63"/>
        <v>7</v>
      </c>
      <c r="U625" s="8">
        <v>0</v>
      </c>
      <c r="V625" s="8">
        <v>1</v>
      </c>
      <c r="W625" s="8">
        <v>1</v>
      </c>
      <c r="X625" s="8">
        <v>1</v>
      </c>
      <c r="Y625" s="8">
        <v>0</v>
      </c>
      <c r="Z625" s="8">
        <v>0</v>
      </c>
      <c r="AA625" s="8">
        <v>180</v>
      </c>
      <c r="AB625" s="9">
        <f t="shared" si="64"/>
        <v>0.5</v>
      </c>
      <c r="AC625" s="10">
        <f t="shared" si="61"/>
        <v>14</v>
      </c>
      <c r="AD625" s="8" t="s">
        <v>109</v>
      </c>
      <c r="AE625" s="11">
        <v>165990</v>
      </c>
      <c r="AF625" s="11">
        <f t="shared" si="62"/>
        <v>1161930</v>
      </c>
      <c r="AG625" s="12" t="s">
        <v>64</v>
      </c>
      <c r="AH625" s="8" t="s">
        <v>35</v>
      </c>
    </row>
    <row r="626" spans="1:34">
      <c r="A626" s="8" t="s">
        <v>921</v>
      </c>
      <c r="B626" s="16" t="s">
        <v>2860</v>
      </c>
      <c r="C626" s="8" t="s">
        <v>40</v>
      </c>
      <c r="D626" s="8" t="s">
        <v>736</v>
      </c>
      <c r="E626" s="8" t="str">
        <f t="shared" si="60"/>
        <v>TABACO</v>
      </c>
      <c r="G626" s="8" t="s">
        <v>2862</v>
      </c>
      <c r="H626" s="8" t="str">
        <f>VLOOKUP(A626,[1]BBDD!$B$1:$J$3274,9,FALSE)</f>
        <v>M</v>
      </c>
      <c r="I626" s="8" t="s">
        <v>2862</v>
      </c>
      <c r="J626" s="8" t="s">
        <v>917</v>
      </c>
      <c r="L626" s="8" t="s">
        <v>61</v>
      </c>
      <c r="N626" s="8" t="s">
        <v>67</v>
      </c>
      <c r="O626" s="8" t="s">
        <v>67</v>
      </c>
      <c r="Q626" s="8" t="s">
        <v>45</v>
      </c>
      <c r="R626" s="8">
        <v>0</v>
      </c>
      <c r="S626" s="8">
        <v>6</v>
      </c>
      <c r="T626" s="8">
        <f t="shared" si="63"/>
        <v>6</v>
      </c>
      <c r="U626" s="8">
        <v>0</v>
      </c>
      <c r="V626" s="8">
        <v>0</v>
      </c>
      <c r="W626" s="8">
        <v>0</v>
      </c>
      <c r="X626" s="8">
        <v>1</v>
      </c>
      <c r="Y626" s="8">
        <v>4</v>
      </c>
      <c r="Z626" s="8">
        <v>0</v>
      </c>
      <c r="AA626" s="8">
        <v>180</v>
      </c>
      <c r="AB626" s="9">
        <f t="shared" si="64"/>
        <v>0.83333333333333326</v>
      </c>
      <c r="AC626" s="10">
        <f t="shared" si="61"/>
        <v>7.2000000000000011</v>
      </c>
      <c r="AD626" s="8" t="s">
        <v>109</v>
      </c>
      <c r="AE626" s="11">
        <v>165990</v>
      </c>
      <c r="AF626" s="11">
        <f t="shared" si="62"/>
        <v>995940</v>
      </c>
      <c r="AG626" s="12" t="s">
        <v>51</v>
      </c>
      <c r="AH626" s="8" t="s">
        <v>35</v>
      </c>
    </row>
    <row r="627" spans="1:34">
      <c r="A627" s="8" t="s">
        <v>922</v>
      </c>
      <c r="B627" s="16" t="s">
        <v>2860</v>
      </c>
      <c r="C627" s="8" t="s">
        <v>40</v>
      </c>
      <c r="D627" s="8" t="s">
        <v>736</v>
      </c>
      <c r="E627" s="8" t="str">
        <f t="shared" si="60"/>
        <v>CEDRO</v>
      </c>
      <c r="G627" s="8" t="s">
        <v>2862</v>
      </c>
      <c r="H627" s="8" t="str">
        <f>VLOOKUP(A627,[1]BBDD!$B$1:$J$3274,9,FALSE)</f>
        <v>M</v>
      </c>
      <c r="I627" s="8" t="s">
        <v>2862</v>
      </c>
      <c r="J627" s="8" t="s">
        <v>917</v>
      </c>
      <c r="L627" s="8" t="s">
        <v>112</v>
      </c>
      <c r="N627" s="8" t="s">
        <v>113</v>
      </c>
      <c r="O627" s="8" t="s">
        <v>113</v>
      </c>
      <c r="Q627" s="8" t="s">
        <v>45</v>
      </c>
      <c r="R627" s="8">
        <v>0</v>
      </c>
      <c r="S627" s="8">
        <v>1</v>
      </c>
      <c r="T627" s="8">
        <f t="shared" si="63"/>
        <v>1</v>
      </c>
      <c r="U627" s="8">
        <v>0</v>
      </c>
      <c r="V627" s="8">
        <v>0</v>
      </c>
      <c r="W627" s="8">
        <v>1</v>
      </c>
      <c r="X627" s="8">
        <v>0</v>
      </c>
      <c r="Y627" s="8">
        <v>2</v>
      </c>
      <c r="Z627" s="8">
        <v>1</v>
      </c>
      <c r="AA627" s="8">
        <v>180</v>
      </c>
      <c r="AB627" s="9">
        <f t="shared" si="64"/>
        <v>0.66666666666666674</v>
      </c>
      <c r="AC627" s="10">
        <f t="shared" si="61"/>
        <v>1.4999999999999998</v>
      </c>
      <c r="AD627" s="8" t="s">
        <v>109</v>
      </c>
      <c r="AE627" s="11">
        <v>165990</v>
      </c>
      <c r="AF627" s="11">
        <f t="shared" si="62"/>
        <v>165990</v>
      </c>
      <c r="AG627" s="12" t="s">
        <v>34</v>
      </c>
      <c r="AH627" s="8" t="s">
        <v>35</v>
      </c>
    </row>
    <row r="628" spans="1:34">
      <c r="A628" s="8" t="s">
        <v>923</v>
      </c>
      <c r="B628" s="16" t="s">
        <v>2860</v>
      </c>
      <c r="C628" s="8" t="s">
        <v>40</v>
      </c>
      <c r="D628" s="8" t="s">
        <v>736</v>
      </c>
      <c r="E628" s="8" t="str">
        <f t="shared" si="60"/>
        <v>CHOCOLATE</v>
      </c>
      <c r="G628" s="8" t="s">
        <v>2862</v>
      </c>
      <c r="H628" s="8" t="str">
        <f>VLOOKUP(A628,[1]BBDD!$B$1:$J$3274,9,FALSE)</f>
        <v>M</v>
      </c>
      <c r="I628" s="8" t="s">
        <v>2862</v>
      </c>
      <c r="J628" s="8" t="s">
        <v>924</v>
      </c>
      <c r="L628" s="8" t="s">
        <v>61</v>
      </c>
      <c r="N628" s="8" t="s">
        <v>252</v>
      </c>
      <c r="O628" s="8" t="s">
        <v>252</v>
      </c>
      <c r="Q628" s="8" t="s">
        <v>32</v>
      </c>
      <c r="R628" s="8">
        <v>3</v>
      </c>
      <c r="S628" s="8">
        <v>10</v>
      </c>
      <c r="T628" s="8">
        <f t="shared" si="63"/>
        <v>13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180</v>
      </c>
      <c r="AB628" s="9">
        <f t="shared" si="64"/>
        <v>0</v>
      </c>
      <c r="AC628" s="10" t="str">
        <f t="shared" si="61"/>
        <v>sin venta</v>
      </c>
      <c r="AD628" s="8" t="s">
        <v>33</v>
      </c>
      <c r="AE628" s="11">
        <v>165990</v>
      </c>
      <c r="AF628" s="11">
        <f t="shared" si="62"/>
        <v>2157870</v>
      </c>
      <c r="AG628" s="12" t="s">
        <v>73</v>
      </c>
      <c r="AH628" s="8" t="s">
        <v>65</v>
      </c>
    </row>
    <row r="629" spans="1:34">
      <c r="A629" s="8" t="s">
        <v>925</v>
      </c>
      <c r="B629" s="16" t="s">
        <v>2860</v>
      </c>
      <c r="C629" s="8" t="s">
        <v>40</v>
      </c>
      <c r="D629" s="8" t="s">
        <v>736</v>
      </c>
      <c r="E629" s="8" t="str">
        <f t="shared" si="60"/>
        <v>NEGRO</v>
      </c>
      <c r="G629" s="8" t="s">
        <v>2862</v>
      </c>
      <c r="H629" s="8" t="str">
        <f>VLOOKUP(A629,[1]BBDD!$B$1:$J$3274,9,FALSE)</f>
        <v>M</v>
      </c>
      <c r="I629" s="8" t="s">
        <v>2862</v>
      </c>
      <c r="J629" s="8" t="s">
        <v>924</v>
      </c>
      <c r="L629" s="8" t="s">
        <v>61</v>
      </c>
      <c r="N629" s="8" t="s">
        <v>44</v>
      </c>
      <c r="O629" s="8" t="s">
        <v>44</v>
      </c>
      <c r="Q629" s="8" t="s">
        <v>32</v>
      </c>
      <c r="R629" s="8">
        <v>37</v>
      </c>
      <c r="S629" s="8">
        <v>21</v>
      </c>
      <c r="T629" s="8">
        <f t="shared" si="63"/>
        <v>58</v>
      </c>
      <c r="U629" s="8">
        <v>1</v>
      </c>
      <c r="V629" s="8">
        <v>0</v>
      </c>
      <c r="W629" s="8">
        <v>1</v>
      </c>
      <c r="X629" s="8">
        <v>0</v>
      </c>
      <c r="Y629" s="8">
        <v>0</v>
      </c>
      <c r="Z629" s="8">
        <v>1</v>
      </c>
      <c r="AA629" s="8">
        <v>180</v>
      </c>
      <c r="AB629" s="9">
        <f t="shared" si="64"/>
        <v>0.5</v>
      </c>
      <c r="AC629" s="10">
        <f t="shared" si="61"/>
        <v>116</v>
      </c>
      <c r="AD629" s="8" t="s">
        <v>33</v>
      </c>
      <c r="AE629" s="11">
        <v>165990</v>
      </c>
      <c r="AF629" s="11">
        <f t="shared" si="62"/>
        <v>9627420</v>
      </c>
      <c r="AG629" s="12" t="s">
        <v>73</v>
      </c>
      <c r="AH629" s="8" t="s">
        <v>74</v>
      </c>
    </row>
    <row r="630" spans="1:34">
      <c r="A630" s="8" t="s">
        <v>926</v>
      </c>
      <c r="B630" s="16" t="s">
        <v>2860</v>
      </c>
      <c r="C630" s="8" t="s">
        <v>40</v>
      </c>
      <c r="D630" s="8" t="s">
        <v>736</v>
      </c>
      <c r="E630" s="8" t="str">
        <f t="shared" si="60"/>
        <v>ROJO</v>
      </c>
      <c r="G630" s="8" t="s">
        <v>2862</v>
      </c>
      <c r="H630" s="8" t="str">
        <f>VLOOKUP(A630,[1]BBDD!$B$1:$J$3274,9,FALSE)</f>
        <v>M</v>
      </c>
      <c r="I630" s="8" t="s">
        <v>2862</v>
      </c>
      <c r="J630" s="8" t="s">
        <v>924</v>
      </c>
      <c r="L630" s="8" t="s">
        <v>61</v>
      </c>
      <c r="N630" s="8" t="s">
        <v>88</v>
      </c>
      <c r="O630" s="8" t="s">
        <v>88</v>
      </c>
      <c r="Q630" s="8" t="s">
        <v>32</v>
      </c>
      <c r="R630" s="8">
        <v>9</v>
      </c>
      <c r="S630" s="8">
        <v>9</v>
      </c>
      <c r="T630" s="8">
        <f t="shared" si="63"/>
        <v>18</v>
      </c>
      <c r="U630" s="8">
        <v>0</v>
      </c>
      <c r="V630" s="8">
        <v>1</v>
      </c>
      <c r="W630" s="8">
        <v>1</v>
      </c>
      <c r="X630" s="8">
        <v>0</v>
      </c>
      <c r="Y630" s="8">
        <v>0</v>
      </c>
      <c r="Z630" s="8">
        <v>0</v>
      </c>
      <c r="AA630" s="8">
        <v>180</v>
      </c>
      <c r="AB630" s="9">
        <f t="shared" si="64"/>
        <v>0.33333333333333337</v>
      </c>
      <c r="AC630" s="10">
        <f t="shared" si="61"/>
        <v>53.999999999999993</v>
      </c>
      <c r="AD630" s="8" t="s">
        <v>33</v>
      </c>
      <c r="AE630" s="11">
        <v>165990</v>
      </c>
      <c r="AF630" s="11">
        <f t="shared" si="62"/>
        <v>2987820</v>
      </c>
      <c r="AG630" s="12" t="s">
        <v>73</v>
      </c>
      <c r="AH630" s="8" t="s">
        <v>65</v>
      </c>
    </row>
    <row r="631" spans="1:34">
      <c r="A631" s="8" t="s">
        <v>927</v>
      </c>
      <c r="B631" s="16" t="s">
        <v>2860</v>
      </c>
      <c r="C631" s="8" t="s">
        <v>40</v>
      </c>
      <c r="D631" s="8" t="s">
        <v>736</v>
      </c>
      <c r="E631" s="8" t="str">
        <f t="shared" si="60"/>
        <v>TABACO</v>
      </c>
      <c r="G631" s="8" t="s">
        <v>2862</v>
      </c>
      <c r="H631" s="8" t="str">
        <f>VLOOKUP(A631,[1]BBDD!$B$1:$J$3274,9,FALSE)</f>
        <v>M</v>
      </c>
      <c r="I631" s="8" t="s">
        <v>2862</v>
      </c>
      <c r="J631" s="8" t="s">
        <v>924</v>
      </c>
      <c r="L631" s="8" t="s">
        <v>61</v>
      </c>
      <c r="N631" s="8" t="s">
        <v>67</v>
      </c>
      <c r="O631" s="8" t="s">
        <v>67</v>
      </c>
      <c r="Q631" s="8" t="s">
        <v>32</v>
      </c>
      <c r="R631" s="8">
        <v>16</v>
      </c>
      <c r="S631" s="8">
        <v>11</v>
      </c>
      <c r="T631" s="8">
        <f t="shared" si="63"/>
        <v>27</v>
      </c>
      <c r="U631" s="8">
        <v>0</v>
      </c>
      <c r="V631" s="8">
        <v>1</v>
      </c>
      <c r="W631" s="8">
        <v>0</v>
      </c>
      <c r="X631" s="8">
        <v>2</v>
      </c>
      <c r="Y631" s="8">
        <v>1</v>
      </c>
      <c r="Z631" s="8">
        <v>0</v>
      </c>
      <c r="AA631" s="8">
        <v>180</v>
      </c>
      <c r="AB631" s="9">
        <f t="shared" si="64"/>
        <v>0.66666666666666674</v>
      </c>
      <c r="AC631" s="10">
        <f t="shared" si="61"/>
        <v>40.499999999999993</v>
      </c>
      <c r="AD631" s="8" t="s">
        <v>33</v>
      </c>
      <c r="AE631" s="11">
        <v>165990</v>
      </c>
      <c r="AF631" s="11">
        <f t="shared" si="62"/>
        <v>4481730</v>
      </c>
      <c r="AG631" s="12" t="s">
        <v>73</v>
      </c>
      <c r="AH631" s="8" t="s">
        <v>74</v>
      </c>
    </row>
    <row r="632" spans="1:34">
      <c r="A632" s="8" t="s">
        <v>928</v>
      </c>
      <c r="B632" s="16" t="s">
        <v>2860</v>
      </c>
      <c r="C632" s="8" t="s">
        <v>40</v>
      </c>
      <c r="D632" s="8" t="s">
        <v>736</v>
      </c>
      <c r="E632" s="8" t="str">
        <f t="shared" si="60"/>
        <v>AZUL</v>
      </c>
      <c r="G632" s="8" t="s">
        <v>2862</v>
      </c>
      <c r="H632" s="8" t="str">
        <f>VLOOKUP(A632,[1]BBDD!$B$1:$J$3274,9,FALSE)</f>
        <v>M</v>
      </c>
      <c r="I632" s="8" t="s">
        <v>2862</v>
      </c>
      <c r="J632" s="8" t="s">
        <v>924</v>
      </c>
      <c r="L632" s="8" t="s">
        <v>61</v>
      </c>
      <c r="N632" s="8" t="s">
        <v>83</v>
      </c>
      <c r="O632" s="8" t="s">
        <v>83</v>
      </c>
      <c r="Q632" s="8" t="s">
        <v>45</v>
      </c>
      <c r="R632" s="8">
        <v>0</v>
      </c>
      <c r="S632" s="8">
        <v>1</v>
      </c>
      <c r="T632" s="8">
        <f t="shared" si="63"/>
        <v>1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180</v>
      </c>
      <c r="AB632" s="9">
        <f t="shared" si="64"/>
        <v>0</v>
      </c>
      <c r="AC632" s="10" t="str">
        <f t="shared" si="61"/>
        <v>sin venta</v>
      </c>
      <c r="AD632" s="8" t="s">
        <v>109</v>
      </c>
      <c r="AE632" s="11">
        <v>165990</v>
      </c>
      <c r="AF632" s="11">
        <f t="shared" si="62"/>
        <v>165990</v>
      </c>
      <c r="AG632" s="12" t="s">
        <v>73</v>
      </c>
      <c r="AH632" s="8" t="s">
        <v>35</v>
      </c>
    </row>
    <row r="633" spans="1:34">
      <c r="A633" s="8" t="s">
        <v>929</v>
      </c>
      <c r="B633" s="16" t="s">
        <v>2860</v>
      </c>
      <c r="C633" s="8" t="s">
        <v>40</v>
      </c>
      <c r="D633" s="8" t="s">
        <v>736</v>
      </c>
      <c r="E633" s="8" t="str">
        <f t="shared" si="60"/>
        <v>CARAMELO</v>
      </c>
      <c r="G633" s="8" t="s">
        <v>2862</v>
      </c>
      <c r="H633" s="8" t="str">
        <f>VLOOKUP(A633,[1]BBDD!$B$1:$J$3274,9,FALSE)</f>
        <v>M</v>
      </c>
      <c r="I633" s="8" t="s">
        <v>2862</v>
      </c>
      <c r="J633" s="8" t="s">
        <v>924</v>
      </c>
      <c r="L633" s="8" t="s">
        <v>61</v>
      </c>
      <c r="N633" s="8" t="s">
        <v>62</v>
      </c>
      <c r="O633" s="8" t="s">
        <v>62</v>
      </c>
      <c r="Q633" s="8" t="s">
        <v>45</v>
      </c>
      <c r="R633" s="8">
        <v>18</v>
      </c>
      <c r="S633" s="8">
        <v>8</v>
      </c>
      <c r="T633" s="8">
        <f t="shared" si="63"/>
        <v>26</v>
      </c>
      <c r="U633" s="8">
        <v>0</v>
      </c>
      <c r="V633" s="8">
        <v>1</v>
      </c>
      <c r="W633" s="8">
        <v>2</v>
      </c>
      <c r="X633" s="8">
        <v>0</v>
      </c>
      <c r="Y633" s="8">
        <v>0</v>
      </c>
      <c r="Z633" s="8">
        <v>1</v>
      </c>
      <c r="AA633" s="8">
        <v>180</v>
      </c>
      <c r="AB633" s="9">
        <f t="shared" si="64"/>
        <v>0.66666666666666674</v>
      </c>
      <c r="AC633" s="10">
        <f t="shared" si="61"/>
        <v>38.999999999999993</v>
      </c>
      <c r="AD633" s="8" t="s">
        <v>109</v>
      </c>
      <c r="AE633" s="11">
        <v>165990</v>
      </c>
      <c r="AF633" s="11">
        <f t="shared" si="62"/>
        <v>4315740</v>
      </c>
      <c r="AG633" s="12" t="s">
        <v>73</v>
      </c>
      <c r="AH633" s="8" t="s">
        <v>74</v>
      </c>
    </row>
    <row r="634" spans="1:34">
      <c r="A634" s="8" t="s">
        <v>930</v>
      </c>
      <c r="B634" s="16" t="s">
        <v>2860</v>
      </c>
      <c r="C634" s="8" t="s">
        <v>40</v>
      </c>
      <c r="D634" s="8" t="s">
        <v>736</v>
      </c>
      <c r="E634" s="8" t="str">
        <f t="shared" si="60"/>
        <v>SUELA</v>
      </c>
      <c r="G634" s="8" t="s">
        <v>2862</v>
      </c>
      <c r="H634" s="8" t="str">
        <f>VLOOKUP(A634,[1]BBDD!$B$1:$J$3274,9,FALSE)</f>
        <v>M</v>
      </c>
      <c r="I634" s="8" t="s">
        <v>2862</v>
      </c>
      <c r="J634" s="8" t="s">
        <v>924</v>
      </c>
      <c r="L634" s="8" t="s">
        <v>763</v>
      </c>
      <c r="N634" s="8" t="s">
        <v>90</v>
      </c>
      <c r="O634" s="8" t="s">
        <v>90</v>
      </c>
      <c r="Q634" s="8" t="s">
        <v>45</v>
      </c>
      <c r="R634" s="8">
        <v>0</v>
      </c>
      <c r="S634" s="8">
        <v>1</v>
      </c>
      <c r="T634" s="8">
        <f t="shared" si="63"/>
        <v>1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180</v>
      </c>
      <c r="AB634" s="9">
        <f t="shared" si="64"/>
        <v>0</v>
      </c>
      <c r="AC634" s="10" t="str">
        <f t="shared" si="61"/>
        <v>sin venta</v>
      </c>
      <c r="AD634" s="8" t="s">
        <v>109</v>
      </c>
      <c r="AE634" s="11">
        <v>165990</v>
      </c>
      <c r="AF634" s="11">
        <f t="shared" si="62"/>
        <v>165990</v>
      </c>
      <c r="AG634" s="12" t="s">
        <v>73</v>
      </c>
      <c r="AH634" s="8" t="s">
        <v>35</v>
      </c>
    </row>
    <row r="635" spans="1:34">
      <c r="A635" s="8" t="s">
        <v>931</v>
      </c>
      <c r="B635" s="16" t="s">
        <v>2860</v>
      </c>
      <c r="C635" s="8" t="s">
        <v>40</v>
      </c>
      <c r="D635" s="8" t="s">
        <v>736</v>
      </c>
      <c r="E635" s="8" t="str">
        <f t="shared" si="60"/>
        <v>OXIDO/TABACO</v>
      </c>
      <c r="G635" s="8" t="s">
        <v>2862</v>
      </c>
      <c r="H635" s="8" t="str">
        <f>VLOOKUP(A635,[1]BBDD!$B$1:$J$3274,9,FALSE)</f>
        <v>M</v>
      </c>
      <c r="I635" s="8" t="s">
        <v>2862</v>
      </c>
      <c r="J635" s="8" t="s">
        <v>924</v>
      </c>
      <c r="L635" s="8" t="s">
        <v>71</v>
      </c>
      <c r="N635" s="8" t="s">
        <v>167</v>
      </c>
      <c r="O635" s="8" t="s">
        <v>167</v>
      </c>
      <c r="Q635" s="8" t="s">
        <v>32</v>
      </c>
      <c r="R635" s="8">
        <v>0</v>
      </c>
      <c r="S635" s="8">
        <v>1</v>
      </c>
      <c r="T635" s="8">
        <f t="shared" si="63"/>
        <v>1</v>
      </c>
      <c r="U635" s="8">
        <v>2</v>
      </c>
      <c r="V635" s="8">
        <v>0</v>
      </c>
      <c r="W635" s="8">
        <v>1</v>
      </c>
      <c r="X635" s="8">
        <v>0</v>
      </c>
      <c r="Y635" s="8">
        <v>0</v>
      </c>
      <c r="Z635" s="8">
        <v>0</v>
      </c>
      <c r="AA635" s="8">
        <v>180</v>
      </c>
      <c r="AB635" s="9">
        <f t="shared" si="64"/>
        <v>0.5</v>
      </c>
      <c r="AC635" s="10">
        <f t="shared" si="61"/>
        <v>2</v>
      </c>
      <c r="AD635" s="8" t="s">
        <v>33</v>
      </c>
      <c r="AE635" s="11">
        <v>165990</v>
      </c>
      <c r="AF635" s="11">
        <f t="shared" si="62"/>
        <v>165990</v>
      </c>
      <c r="AG635" s="12" t="s">
        <v>34</v>
      </c>
      <c r="AH635" s="8" t="s">
        <v>35</v>
      </c>
    </row>
    <row r="636" spans="1:34">
      <c r="A636" s="8" t="s">
        <v>932</v>
      </c>
      <c r="B636" s="16" t="s">
        <v>2860</v>
      </c>
      <c r="C636" s="8" t="s">
        <v>40</v>
      </c>
      <c r="D636" s="8" t="s">
        <v>736</v>
      </c>
      <c r="E636" s="8" t="str">
        <f t="shared" si="60"/>
        <v>VESUBIO/TABACO</v>
      </c>
      <c r="G636" s="8" t="s">
        <v>2862</v>
      </c>
      <c r="H636" s="8" t="str">
        <f>VLOOKUP(A636,[1]BBDD!$B$1:$J$3274,9,FALSE)</f>
        <v>M</v>
      </c>
      <c r="I636" s="8" t="s">
        <v>2862</v>
      </c>
      <c r="J636" s="8" t="s">
        <v>924</v>
      </c>
      <c r="L636" s="8" t="s">
        <v>71</v>
      </c>
      <c r="N636" s="8" t="s">
        <v>161</v>
      </c>
      <c r="O636" s="8" t="s">
        <v>161</v>
      </c>
      <c r="Q636" s="8" t="s">
        <v>32</v>
      </c>
      <c r="R636" s="8">
        <v>3</v>
      </c>
      <c r="S636" s="8">
        <v>11</v>
      </c>
      <c r="T636" s="8">
        <f t="shared" si="63"/>
        <v>14</v>
      </c>
      <c r="U636" s="8">
        <v>1</v>
      </c>
      <c r="V636" s="8">
        <v>0</v>
      </c>
      <c r="W636" s="8">
        <v>1</v>
      </c>
      <c r="X636" s="8">
        <v>3</v>
      </c>
      <c r="Y636" s="8">
        <v>4</v>
      </c>
      <c r="Z636" s="8">
        <v>0</v>
      </c>
      <c r="AA636" s="8">
        <v>180</v>
      </c>
      <c r="AB636" s="9">
        <f t="shared" si="64"/>
        <v>1.5</v>
      </c>
      <c r="AC636" s="10">
        <f t="shared" si="61"/>
        <v>9.3333333333333339</v>
      </c>
      <c r="AD636" s="8" t="s">
        <v>33</v>
      </c>
      <c r="AE636" s="11">
        <v>165990</v>
      </c>
      <c r="AF636" s="11">
        <f t="shared" si="62"/>
        <v>2323860</v>
      </c>
      <c r="AG636" s="12" t="s">
        <v>51</v>
      </c>
      <c r="AH636" s="8" t="s">
        <v>65</v>
      </c>
    </row>
    <row r="637" spans="1:34">
      <c r="A637" s="8" t="s">
        <v>933</v>
      </c>
      <c r="B637" s="16" t="s">
        <v>2860</v>
      </c>
      <c r="C637" s="8" t="s">
        <v>40</v>
      </c>
      <c r="D637" s="8" t="s">
        <v>736</v>
      </c>
      <c r="E637" s="8" t="str">
        <f t="shared" si="60"/>
        <v>AVELLANA/NEGRO</v>
      </c>
      <c r="G637" s="8" t="s">
        <v>2862</v>
      </c>
      <c r="H637" s="8" t="str">
        <f>VLOOKUP(A637,[1]BBDD!$B$1:$J$3274,9,FALSE)</f>
        <v>M</v>
      </c>
      <c r="I637" s="8" t="s">
        <v>2862</v>
      </c>
      <c r="J637" s="8" t="s">
        <v>924</v>
      </c>
      <c r="L637" s="8" t="s">
        <v>71</v>
      </c>
      <c r="N637" s="8" t="s">
        <v>163</v>
      </c>
      <c r="O637" s="8" t="s">
        <v>163</v>
      </c>
      <c r="Q637" s="8" t="s">
        <v>45</v>
      </c>
      <c r="R637" s="8">
        <v>0</v>
      </c>
      <c r="S637" s="8">
        <v>2</v>
      </c>
      <c r="T637" s="8">
        <f t="shared" si="63"/>
        <v>2</v>
      </c>
      <c r="U637" s="8">
        <v>6</v>
      </c>
      <c r="V637" s="8">
        <v>1</v>
      </c>
      <c r="W637" s="8">
        <v>0</v>
      </c>
      <c r="X637" s="8">
        <v>0</v>
      </c>
      <c r="Y637" s="8">
        <v>0</v>
      </c>
      <c r="Z637" s="8">
        <v>0</v>
      </c>
      <c r="AA637" s="8">
        <v>180</v>
      </c>
      <c r="AB637" s="9">
        <f t="shared" si="64"/>
        <v>1.1666666666666667</v>
      </c>
      <c r="AC637" s="10">
        <f t="shared" si="61"/>
        <v>1.7142857142857142</v>
      </c>
      <c r="AD637" s="8" t="s">
        <v>109</v>
      </c>
      <c r="AE637" s="11">
        <v>165990</v>
      </c>
      <c r="AF637" s="11">
        <f t="shared" si="62"/>
        <v>331980</v>
      </c>
      <c r="AG637" s="12" t="s">
        <v>34</v>
      </c>
      <c r="AH637" s="8" t="s">
        <v>35</v>
      </c>
    </row>
    <row r="638" spans="1:34">
      <c r="A638" s="8" t="s">
        <v>934</v>
      </c>
      <c r="B638" s="16" t="s">
        <v>2860</v>
      </c>
      <c r="C638" s="8" t="s">
        <v>40</v>
      </c>
      <c r="D638" s="8" t="s">
        <v>736</v>
      </c>
      <c r="E638" s="8" t="str">
        <f t="shared" si="60"/>
        <v>AVELLANA/TABACO</v>
      </c>
      <c r="G638" s="8" t="s">
        <v>2862</v>
      </c>
      <c r="H638" s="8" t="str">
        <f>VLOOKUP(A638,[1]BBDD!$B$1:$J$3274,9,FALSE)</f>
        <v>M</v>
      </c>
      <c r="I638" s="8" t="s">
        <v>2862</v>
      </c>
      <c r="J638" s="8" t="s">
        <v>924</v>
      </c>
      <c r="L638" s="8" t="s">
        <v>71</v>
      </c>
      <c r="N638" s="8" t="s">
        <v>165</v>
      </c>
      <c r="O638" s="8" t="s">
        <v>165</v>
      </c>
      <c r="Q638" s="8" t="s">
        <v>45</v>
      </c>
      <c r="R638" s="8">
        <v>9</v>
      </c>
      <c r="S638" s="8">
        <v>13</v>
      </c>
      <c r="T638" s="8">
        <f t="shared" si="63"/>
        <v>22</v>
      </c>
      <c r="U638" s="8">
        <v>0</v>
      </c>
      <c r="V638" s="8">
        <v>0</v>
      </c>
      <c r="W638" s="8">
        <v>0</v>
      </c>
      <c r="X638" s="8">
        <v>0</v>
      </c>
      <c r="Y638" s="8">
        <v>4</v>
      </c>
      <c r="Z638" s="8">
        <v>0</v>
      </c>
      <c r="AA638" s="8">
        <v>180</v>
      </c>
      <c r="AB638" s="9">
        <f t="shared" si="64"/>
        <v>0.66666666666666674</v>
      </c>
      <c r="AC638" s="10">
        <f t="shared" si="61"/>
        <v>32.999999999999993</v>
      </c>
      <c r="AD638" s="8" t="s">
        <v>109</v>
      </c>
      <c r="AE638" s="11">
        <v>165990</v>
      </c>
      <c r="AF638" s="11">
        <f t="shared" si="62"/>
        <v>3651780</v>
      </c>
      <c r="AG638" s="12" t="s">
        <v>73</v>
      </c>
      <c r="AH638" s="8" t="s">
        <v>74</v>
      </c>
    </row>
    <row r="639" spans="1:34">
      <c r="A639" s="8" t="s">
        <v>935</v>
      </c>
      <c r="B639" s="16" t="s">
        <v>2860</v>
      </c>
      <c r="C639" s="8" t="s">
        <v>40</v>
      </c>
      <c r="D639" s="8" t="s">
        <v>736</v>
      </c>
      <c r="E639" s="8" t="str">
        <f t="shared" si="60"/>
        <v>MOSTAZA/TABACO</v>
      </c>
      <c r="G639" s="8" t="s">
        <v>2862</v>
      </c>
      <c r="H639" s="8" t="str">
        <f>VLOOKUP(A639,[1]BBDD!$B$1:$J$3274,9,FALSE)</f>
        <v>M</v>
      </c>
      <c r="I639" s="8" t="s">
        <v>2862</v>
      </c>
      <c r="J639" s="8" t="s">
        <v>924</v>
      </c>
      <c r="L639" s="8" t="s">
        <v>71</v>
      </c>
      <c r="N639" s="8" t="s">
        <v>818</v>
      </c>
      <c r="O639" s="8" t="s">
        <v>818</v>
      </c>
      <c r="Q639" s="8" t="s">
        <v>45</v>
      </c>
      <c r="R639" s="8">
        <v>0</v>
      </c>
      <c r="S639" s="8">
        <v>1</v>
      </c>
      <c r="T639" s="8">
        <f t="shared" si="63"/>
        <v>1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180</v>
      </c>
      <c r="AB639" s="9">
        <f t="shared" si="64"/>
        <v>0</v>
      </c>
      <c r="AC639" s="10" t="str">
        <f t="shared" si="61"/>
        <v>sin venta</v>
      </c>
      <c r="AD639" s="8" t="s">
        <v>109</v>
      </c>
      <c r="AE639" s="11">
        <v>165990</v>
      </c>
      <c r="AF639" s="11">
        <f t="shared" si="62"/>
        <v>165990</v>
      </c>
      <c r="AG639" s="12" t="s">
        <v>73</v>
      </c>
      <c r="AH639" s="8" t="s">
        <v>35</v>
      </c>
    </row>
    <row r="640" spans="1:34">
      <c r="A640" s="8" t="s">
        <v>936</v>
      </c>
      <c r="B640" s="16" t="s">
        <v>2860</v>
      </c>
      <c r="C640" s="8" t="s">
        <v>40</v>
      </c>
      <c r="D640" s="8" t="s">
        <v>736</v>
      </c>
      <c r="E640" s="8" t="str">
        <f t="shared" si="60"/>
        <v>OXIDO/NEGRO</v>
      </c>
      <c r="G640" s="8" t="s">
        <v>2862</v>
      </c>
      <c r="H640" s="8" t="str">
        <f>VLOOKUP(A640,[1]BBDD!$B$1:$J$3274,9,FALSE)</f>
        <v>M</v>
      </c>
      <c r="I640" s="8" t="s">
        <v>2862</v>
      </c>
      <c r="J640" s="8" t="s">
        <v>924</v>
      </c>
      <c r="L640" s="8" t="s">
        <v>71</v>
      </c>
      <c r="N640" s="8" t="s">
        <v>937</v>
      </c>
      <c r="O640" s="8" t="s">
        <v>937</v>
      </c>
      <c r="Q640" s="8" t="s">
        <v>45</v>
      </c>
      <c r="R640" s="8">
        <v>0</v>
      </c>
      <c r="S640" s="8">
        <v>1</v>
      </c>
      <c r="T640" s="8">
        <f t="shared" si="63"/>
        <v>1</v>
      </c>
      <c r="U640" s="8">
        <v>1</v>
      </c>
      <c r="V640" s="8">
        <v>0</v>
      </c>
      <c r="W640" s="8">
        <v>0</v>
      </c>
      <c r="X640" s="8">
        <v>0</v>
      </c>
      <c r="Y640" s="8">
        <v>1</v>
      </c>
      <c r="Z640" s="8">
        <v>0</v>
      </c>
      <c r="AA640" s="8">
        <v>180</v>
      </c>
      <c r="AB640" s="9">
        <f t="shared" si="64"/>
        <v>0.33333333333333337</v>
      </c>
      <c r="AC640" s="10">
        <f t="shared" si="61"/>
        <v>2.9999999999999996</v>
      </c>
      <c r="AD640" s="8" t="s">
        <v>109</v>
      </c>
      <c r="AE640" s="11">
        <v>165990</v>
      </c>
      <c r="AF640" s="11">
        <f t="shared" si="62"/>
        <v>165990</v>
      </c>
      <c r="AG640" s="12" t="s">
        <v>34</v>
      </c>
      <c r="AH640" s="8" t="s">
        <v>35</v>
      </c>
    </row>
    <row r="641" spans="1:34">
      <c r="A641" s="8" t="s">
        <v>938</v>
      </c>
      <c r="B641" s="16" t="s">
        <v>2860</v>
      </c>
      <c r="C641" s="8" t="s">
        <v>40</v>
      </c>
      <c r="D641" s="8" t="s">
        <v>736</v>
      </c>
      <c r="E641" s="8" t="str">
        <f t="shared" si="60"/>
        <v>VERDE</v>
      </c>
      <c r="G641" s="8" t="s">
        <v>2862</v>
      </c>
      <c r="H641" s="8" t="str">
        <f>VLOOKUP(A641,[1]BBDD!$B$1:$J$3274,9,FALSE)</f>
        <v>M</v>
      </c>
      <c r="I641" s="8" t="s">
        <v>2862</v>
      </c>
      <c r="J641" s="8" t="s">
        <v>924</v>
      </c>
      <c r="L641" s="8" t="s">
        <v>119</v>
      </c>
      <c r="N641" s="8" t="s">
        <v>92</v>
      </c>
      <c r="O641" s="8" t="s">
        <v>92</v>
      </c>
      <c r="Q641" s="8" t="s">
        <v>32</v>
      </c>
      <c r="R641" s="8">
        <v>7</v>
      </c>
      <c r="S641" s="8">
        <v>7</v>
      </c>
      <c r="T641" s="8">
        <f t="shared" si="63"/>
        <v>14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180</v>
      </c>
      <c r="AB641" s="9">
        <f t="shared" si="64"/>
        <v>0</v>
      </c>
      <c r="AC641" s="10" t="str">
        <f t="shared" si="61"/>
        <v>sin venta</v>
      </c>
      <c r="AD641" s="8" t="s">
        <v>33</v>
      </c>
      <c r="AE641" s="11">
        <v>165990</v>
      </c>
      <c r="AF641" s="11">
        <f t="shared" si="62"/>
        <v>2323860</v>
      </c>
      <c r="AG641" s="12" t="s">
        <v>73</v>
      </c>
      <c r="AH641" s="8" t="s">
        <v>65</v>
      </c>
    </row>
    <row r="642" spans="1:34">
      <c r="A642" s="8" t="s">
        <v>939</v>
      </c>
      <c r="B642" s="16" t="s">
        <v>2860</v>
      </c>
      <c r="C642" s="8" t="s">
        <v>40</v>
      </c>
      <c r="D642" s="8" t="s">
        <v>736</v>
      </c>
      <c r="E642" s="8" t="str">
        <f t="shared" si="60"/>
        <v>AZUL</v>
      </c>
      <c r="G642" s="8" t="s">
        <v>2862</v>
      </c>
      <c r="H642" s="8" t="str">
        <f>VLOOKUP(A642,[1]BBDD!$B$1:$J$3274,9,FALSE)</f>
        <v>M</v>
      </c>
      <c r="I642" s="8" t="s">
        <v>2862</v>
      </c>
      <c r="J642" s="8" t="s">
        <v>924</v>
      </c>
      <c r="L642" s="8" t="s">
        <v>119</v>
      </c>
      <c r="N642" s="8" t="s">
        <v>83</v>
      </c>
      <c r="O642" s="8" t="s">
        <v>83</v>
      </c>
      <c r="Q642" s="8" t="s">
        <v>45</v>
      </c>
      <c r="R642" s="8">
        <v>8</v>
      </c>
      <c r="S642" s="8">
        <v>5</v>
      </c>
      <c r="T642" s="8">
        <f t="shared" si="63"/>
        <v>13</v>
      </c>
      <c r="U642" s="8">
        <v>2</v>
      </c>
      <c r="V642" s="8">
        <v>0</v>
      </c>
      <c r="W642" s="8">
        <v>1</v>
      </c>
      <c r="X642" s="8">
        <v>0</v>
      </c>
      <c r="Y642" s="8">
        <v>0</v>
      </c>
      <c r="Z642" s="8">
        <v>0</v>
      </c>
      <c r="AA642" s="8">
        <v>180</v>
      </c>
      <c r="AB642" s="9">
        <f t="shared" si="64"/>
        <v>0.5</v>
      </c>
      <c r="AC642" s="10">
        <f t="shared" si="61"/>
        <v>26</v>
      </c>
      <c r="AD642" s="8" t="s">
        <v>109</v>
      </c>
      <c r="AE642" s="11">
        <v>165990</v>
      </c>
      <c r="AF642" s="11">
        <f t="shared" si="62"/>
        <v>2157870</v>
      </c>
      <c r="AG642" s="12" t="s">
        <v>73</v>
      </c>
      <c r="AH642" s="8" t="s">
        <v>65</v>
      </c>
    </row>
    <row r="643" spans="1:34">
      <c r="A643" s="8" t="s">
        <v>940</v>
      </c>
      <c r="B643" s="16" t="s">
        <v>2860</v>
      </c>
      <c r="C643" s="8" t="s">
        <v>40</v>
      </c>
      <c r="D643" s="8" t="s">
        <v>736</v>
      </c>
      <c r="E643" s="8" t="str">
        <f t="shared" ref="E643:E706" si="65">TRIM(N643)</f>
        <v>CARAMELO</v>
      </c>
      <c r="G643" s="8" t="s">
        <v>2862</v>
      </c>
      <c r="H643" s="8" t="str">
        <f>VLOOKUP(A643,[1]BBDD!$B$1:$J$3274,9,FALSE)</f>
        <v>M</v>
      </c>
      <c r="I643" s="8" t="s">
        <v>2862</v>
      </c>
      <c r="J643" s="8" t="s">
        <v>941</v>
      </c>
      <c r="L643" s="8" t="s">
        <v>82</v>
      </c>
      <c r="N643" s="8" t="s">
        <v>62</v>
      </c>
      <c r="O643" s="8" t="s">
        <v>62</v>
      </c>
      <c r="Q643" s="8" t="s">
        <v>32</v>
      </c>
      <c r="R643" s="8">
        <v>6</v>
      </c>
      <c r="S643" s="8">
        <v>4</v>
      </c>
      <c r="T643" s="8">
        <f t="shared" si="63"/>
        <v>10</v>
      </c>
      <c r="U643" s="8">
        <v>4</v>
      </c>
      <c r="V643" s="8">
        <v>4</v>
      </c>
      <c r="W643" s="8">
        <v>5</v>
      </c>
      <c r="X643" s="8">
        <v>1</v>
      </c>
      <c r="Y643" s="8">
        <v>0</v>
      </c>
      <c r="Z643" s="8">
        <v>1</v>
      </c>
      <c r="AA643" s="8">
        <v>180</v>
      </c>
      <c r="AB643" s="9">
        <f t="shared" si="64"/>
        <v>2.5</v>
      </c>
      <c r="AC643" s="10">
        <f t="shared" ref="AC643:AC706" si="66">IFERROR(T643/AB643,"sin venta")</f>
        <v>4</v>
      </c>
      <c r="AD643" s="8" t="s">
        <v>33</v>
      </c>
      <c r="AE643" s="11">
        <v>119990</v>
      </c>
      <c r="AF643" s="11">
        <f t="shared" ref="AF643:AF706" si="67">IFERROR(AE643*T643,0)</f>
        <v>1199900</v>
      </c>
      <c r="AG643" s="12" t="s">
        <v>34</v>
      </c>
      <c r="AH643" s="8" t="s">
        <v>35</v>
      </c>
    </row>
    <row r="644" spans="1:34">
      <c r="A644" s="8" t="s">
        <v>942</v>
      </c>
      <c r="B644" s="16" t="s">
        <v>2860</v>
      </c>
      <c r="C644" s="8" t="s">
        <v>40</v>
      </c>
      <c r="D644" s="8" t="s">
        <v>736</v>
      </c>
      <c r="E644" s="8" t="str">
        <f t="shared" si="65"/>
        <v>MALBEC</v>
      </c>
      <c r="G644" s="8" t="s">
        <v>2862</v>
      </c>
      <c r="H644" s="8" t="str">
        <f>VLOOKUP(A644,[1]BBDD!$B$1:$J$3274,9,FALSE)</f>
        <v>M</v>
      </c>
      <c r="I644" s="8" t="s">
        <v>2862</v>
      </c>
      <c r="J644" s="8" t="s">
        <v>941</v>
      </c>
      <c r="L644" s="8" t="s">
        <v>82</v>
      </c>
      <c r="N644" s="8" t="s">
        <v>69</v>
      </c>
      <c r="O644" s="8" t="s">
        <v>69</v>
      </c>
      <c r="Q644" s="8" t="s">
        <v>32</v>
      </c>
      <c r="R644" s="8">
        <v>7</v>
      </c>
      <c r="S644" s="8">
        <v>7</v>
      </c>
      <c r="T644" s="8">
        <f t="shared" si="63"/>
        <v>14</v>
      </c>
      <c r="U644" s="8">
        <v>2</v>
      </c>
      <c r="V644" s="8">
        <v>1</v>
      </c>
      <c r="W644" s="8">
        <v>1</v>
      </c>
      <c r="X644" s="8">
        <v>0</v>
      </c>
      <c r="Y644" s="8">
        <v>1</v>
      </c>
      <c r="Z644" s="8">
        <v>2</v>
      </c>
      <c r="AA644" s="8">
        <v>180</v>
      </c>
      <c r="AB644" s="9">
        <f t="shared" si="64"/>
        <v>1.1666666666666667</v>
      </c>
      <c r="AC644" s="10">
        <f t="shared" si="66"/>
        <v>12</v>
      </c>
      <c r="AD644" s="8" t="s">
        <v>33</v>
      </c>
      <c r="AE644" s="11">
        <v>119990</v>
      </c>
      <c r="AF644" s="11">
        <f t="shared" si="67"/>
        <v>1679860</v>
      </c>
      <c r="AG644" s="12" t="s">
        <v>51</v>
      </c>
      <c r="AH644" s="8" t="s">
        <v>65</v>
      </c>
    </row>
    <row r="645" spans="1:34">
      <c r="A645" s="8" t="s">
        <v>943</v>
      </c>
      <c r="B645" s="16" t="s">
        <v>2860</v>
      </c>
      <c r="C645" s="8" t="s">
        <v>40</v>
      </c>
      <c r="D645" s="8" t="s">
        <v>736</v>
      </c>
      <c r="E645" s="8" t="str">
        <f t="shared" si="65"/>
        <v>NEGRO</v>
      </c>
      <c r="G645" s="8" t="s">
        <v>2862</v>
      </c>
      <c r="H645" s="8" t="str">
        <f>VLOOKUP(A645,[1]BBDD!$B$1:$J$3274,9,FALSE)</f>
        <v>M</v>
      </c>
      <c r="I645" s="8" t="s">
        <v>2862</v>
      </c>
      <c r="J645" s="8" t="s">
        <v>941</v>
      </c>
      <c r="L645" s="8" t="s">
        <v>82</v>
      </c>
      <c r="N645" s="8" t="s">
        <v>44</v>
      </c>
      <c r="O645" s="8" t="s">
        <v>44</v>
      </c>
      <c r="Q645" s="8" t="s">
        <v>32</v>
      </c>
      <c r="R645" s="8">
        <v>7</v>
      </c>
      <c r="S645" s="8">
        <v>6</v>
      </c>
      <c r="T645" s="8">
        <f t="shared" si="63"/>
        <v>13</v>
      </c>
      <c r="U645" s="8">
        <v>1</v>
      </c>
      <c r="V645" s="8">
        <v>3</v>
      </c>
      <c r="W645" s="8">
        <v>3</v>
      </c>
      <c r="X645" s="8">
        <v>0</v>
      </c>
      <c r="Y645" s="8">
        <v>0</v>
      </c>
      <c r="Z645" s="8">
        <v>0</v>
      </c>
      <c r="AA645" s="8">
        <v>180</v>
      </c>
      <c r="AB645" s="9">
        <f t="shared" si="64"/>
        <v>1.1666666666666667</v>
      </c>
      <c r="AC645" s="10">
        <f t="shared" si="66"/>
        <v>11.142857142857142</v>
      </c>
      <c r="AD645" s="8" t="s">
        <v>33</v>
      </c>
      <c r="AE645" s="11">
        <v>119990</v>
      </c>
      <c r="AF645" s="11">
        <f t="shared" si="67"/>
        <v>1559870</v>
      </c>
      <c r="AG645" s="12" t="s">
        <v>51</v>
      </c>
      <c r="AH645" s="8" t="s">
        <v>65</v>
      </c>
    </row>
    <row r="646" spans="1:34">
      <c r="A646" s="8" t="s">
        <v>944</v>
      </c>
      <c r="B646" s="16" t="s">
        <v>2860</v>
      </c>
      <c r="C646" s="8" t="s">
        <v>40</v>
      </c>
      <c r="D646" s="8" t="s">
        <v>736</v>
      </c>
      <c r="E646" s="8" t="str">
        <f t="shared" si="65"/>
        <v>ROJO</v>
      </c>
      <c r="G646" s="8" t="s">
        <v>2862</v>
      </c>
      <c r="H646" s="8" t="str">
        <f>VLOOKUP(A646,[1]BBDD!$B$1:$J$3274,9,FALSE)</f>
        <v>M</v>
      </c>
      <c r="I646" s="8" t="s">
        <v>2862</v>
      </c>
      <c r="J646" s="8" t="s">
        <v>941</v>
      </c>
      <c r="L646" s="8" t="s">
        <v>82</v>
      </c>
      <c r="N646" s="8" t="s">
        <v>88</v>
      </c>
      <c r="O646" s="8" t="s">
        <v>88</v>
      </c>
      <c r="Q646" s="8" t="s">
        <v>32</v>
      </c>
      <c r="R646" s="8">
        <v>3</v>
      </c>
      <c r="S646" s="8">
        <v>4</v>
      </c>
      <c r="T646" s="8">
        <f t="shared" si="63"/>
        <v>7</v>
      </c>
      <c r="U646" s="8">
        <v>1</v>
      </c>
      <c r="V646" s="8">
        <v>0</v>
      </c>
      <c r="W646" s="8">
        <v>1</v>
      </c>
      <c r="X646" s="8">
        <v>0</v>
      </c>
      <c r="Y646" s="8">
        <v>1</v>
      </c>
      <c r="Z646" s="8">
        <v>0</v>
      </c>
      <c r="AA646" s="8">
        <v>180</v>
      </c>
      <c r="AB646" s="9">
        <f t="shared" si="64"/>
        <v>0.5</v>
      </c>
      <c r="AC646" s="10">
        <f t="shared" si="66"/>
        <v>14</v>
      </c>
      <c r="AD646" s="8" t="s">
        <v>33</v>
      </c>
      <c r="AE646" s="11">
        <v>119990</v>
      </c>
      <c r="AF646" s="11">
        <f t="shared" si="67"/>
        <v>839930</v>
      </c>
      <c r="AG646" s="12" t="s">
        <v>64</v>
      </c>
      <c r="AH646" s="8" t="s">
        <v>35</v>
      </c>
    </row>
    <row r="647" spans="1:34">
      <c r="A647" s="8" t="s">
        <v>945</v>
      </c>
      <c r="B647" s="16" t="s">
        <v>2860</v>
      </c>
      <c r="C647" s="8" t="s">
        <v>40</v>
      </c>
      <c r="D647" s="8" t="s">
        <v>736</v>
      </c>
      <c r="E647" s="8" t="str">
        <f t="shared" si="65"/>
        <v>SUELA</v>
      </c>
      <c r="G647" s="8" t="s">
        <v>2862</v>
      </c>
      <c r="H647" s="8" t="str">
        <f>VLOOKUP(A647,[1]BBDD!$B$1:$J$3274,9,FALSE)</f>
        <v>M</v>
      </c>
      <c r="I647" s="8" t="s">
        <v>2862</v>
      </c>
      <c r="J647" s="8" t="s">
        <v>941</v>
      </c>
      <c r="L647" s="8" t="s">
        <v>82</v>
      </c>
      <c r="N647" s="8" t="s">
        <v>90</v>
      </c>
      <c r="O647" s="8" t="s">
        <v>90</v>
      </c>
      <c r="Q647" s="8" t="s">
        <v>32</v>
      </c>
      <c r="R647" s="8">
        <v>4</v>
      </c>
      <c r="S647" s="8">
        <v>8</v>
      </c>
      <c r="T647" s="8">
        <f t="shared" si="63"/>
        <v>12</v>
      </c>
      <c r="U647" s="8">
        <v>1</v>
      </c>
      <c r="V647" s="8">
        <v>1</v>
      </c>
      <c r="W647" s="8">
        <v>1</v>
      </c>
      <c r="X647" s="8">
        <v>1</v>
      </c>
      <c r="Y647" s="8">
        <v>0</v>
      </c>
      <c r="Z647" s="8">
        <v>2</v>
      </c>
      <c r="AA647" s="8">
        <v>180</v>
      </c>
      <c r="AB647" s="9">
        <f t="shared" si="64"/>
        <v>1</v>
      </c>
      <c r="AC647" s="10">
        <f t="shared" si="66"/>
        <v>12</v>
      </c>
      <c r="AD647" s="8" t="s">
        <v>33</v>
      </c>
      <c r="AE647" s="11">
        <v>119990</v>
      </c>
      <c r="AF647" s="11">
        <f t="shared" si="67"/>
        <v>1439880</v>
      </c>
      <c r="AG647" s="12" t="s">
        <v>51</v>
      </c>
      <c r="AH647" s="8" t="s">
        <v>65</v>
      </c>
    </row>
    <row r="648" spans="1:34">
      <c r="A648" s="8" t="s">
        <v>946</v>
      </c>
      <c r="B648" s="16" t="s">
        <v>2860</v>
      </c>
      <c r="C648" s="8" t="s">
        <v>40</v>
      </c>
      <c r="D648" s="8" t="s">
        <v>736</v>
      </c>
      <c r="E648" s="8" t="str">
        <f t="shared" si="65"/>
        <v>OLIVE</v>
      </c>
      <c r="G648" s="8" t="s">
        <v>2862</v>
      </c>
      <c r="H648" s="8" t="str">
        <f>VLOOKUP(A648,[1]BBDD!$B$1:$J$3274,9,FALSE)</f>
        <v>M</v>
      </c>
      <c r="I648" s="8" t="s">
        <v>2862</v>
      </c>
      <c r="J648" s="8" t="s">
        <v>947</v>
      </c>
      <c r="L648" s="8" t="s">
        <v>71</v>
      </c>
      <c r="N648" s="8" t="s">
        <v>159</v>
      </c>
      <c r="O648" s="8" t="s">
        <v>159</v>
      </c>
      <c r="Q648" s="8" t="s">
        <v>32</v>
      </c>
      <c r="R648" s="8">
        <v>5</v>
      </c>
      <c r="S648" s="8">
        <v>5</v>
      </c>
      <c r="T648" s="8">
        <f t="shared" si="63"/>
        <v>10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8</v>
      </c>
      <c r="AB648" s="9">
        <f t="shared" si="64"/>
        <v>0</v>
      </c>
      <c r="AC648" s="10" t="str">
        <f t="shared" si="66"/>
        <v>sin venta</v>
      </c>
      <c r="AD648" s="8" t="s">
        <v>33</v>
      </c>
      <c r="AE648" s="11">
        <v>165990</v>
      </c>
      <c r="AF648" s="11">
        <f t="shared" si="67"/>
        <v>1659900</v>
      </c>
      <c r="AG648" s="12" t="s">
        <v>73</v>
      </c>
      <c r="AH648" s="8" t="s">
        <v>35</v>
      </c>
    </row>
    <row r="649" spans="1:34">
      <c r="A649" s="8" t="s">
        <v>948</v>
      </c>
      <c r="B649" s="16" t="s">
        <v>2860</v>
      </c>
      <c r="C649" s="8" t="s">
        <v>40</v>
      </c>
      <c r="D649" s="8" t="s">
        <v>736</v>
      </c>
      <c r="E649" s="8" t="str">
        <f t="shared" si="65"/>
        <v>TABACO</v>
      </c>
      <c r="G649" s="8" t="s">
        <v>2862</v>
      </c>
      <c r="H649" s="8" t="str">
        <f>VLOOKUP(A649,[1]BBDD!$B$1:$J$3274,9,FALSE)</f>
        <v>M</v>
      </c>
      <c r="I649" s="8" t="s">
        <v>2862</v>
      </c>
      <c r="J649" s="8" t="s">
        <v>947</v>
      </c>
      <c r="L649" s="8" t="s">
        <v>71</v>
      </c>
      <c r="N649" s="8" t="s">
        <v>67</v>
      </c>
      <c r="O649" s="8" t="s">
        <v>67</v>
      </c>
      <c r="Q649" s="8" t="s">
        <v>32</v>
      </c>
      <c r="R649" s="8">
        <v>5</v>
      </c>
      <c r="S649" s="8">
        <v>4</v>
      </c>
      <c r="T649" s="8">
        <f t="shared" si="63"/>
        <v>9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2</v>
      </c>
      <c r="AA649" s="8">
        <v>8</v>
      </c>
      <c r="AB649" s="9">
        <f t="shared" si="64"/>
        <v>7.5</v>
      </c>
      <c r="AC649" s="10">
        <f t="shared" si="66"/>
        <v>1.2</v>
      </c>
      <c r="AD649" s="8" t="s">
        <v>33</v>
      </c>
      <c r="AE649" s="11">
        <v>165990</v>
      </c>
      <c r="AF649" s="11">
        <f t="shared" si="67"/>
        <v>1493910</v>
      </c>
      <c r="AG649" s="12" t="s">
        <v>34</v>
      </c>
      <c r="AH649" s="8" t="s">
        <v>35</v>
      </c>
    </row>
    <row r="650" spans="1:34">
      <c r="A650" s="8" t="s">
        <v>949</v>
      </c>
      <c r="B650" s="16" t="s">
        <v>2860</v>
      </c>
      <c r="C650" s="8" t="s">
        <v>40</v>
      </c>
      <c r="D650" s="8" t="s">
        <v>736</v>
      </c>
      <c r="E650" s="8" t="str">
        <f t="shared" si="65"/>
        <v>GRIS OSCURO</v>
      </c>
      <c r="G650" s="8" t="s">
        <v>2862</v>
      </c>
      <c r="H650" s="8" t="str">
        <f>VLOOKUP(A650,[1]BBDD!$B$1:$J$3274,9,FALSE)</f>
        <v>M</v>
      </c>
      <c r="I650" s="8" t="s">
        <v>2862</v>
      </c>
      <c r="J650" s="8" t="s">
        <v>947</v>
      </c>
      <c r="L650" s="8" t="s">
        <v>71</v>
      </c>
      <c r="N650" s="8" t="s">
        <v>235</v>
      </c>
      <c r="O650" s="8" t="s">
        <v>235</v>
      </c>
      <c r="Q650" s="8" t="s">
        <v>32</v>
      </c>
      <c r="R650" s="8">
        <v>5</v>
      </c>
      <c r="S650" s="8">
        <v>5</v>
      </c>
      <c r="T650" s="8">
        <f t="shared" si="63"/>
        <v>10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8</v>
      </c>
      <c r="AB650" s="9">
        <f t="shared" si="64"/>
        <v>0</v>
      </c>
      <c r="AC650" s="10" t="str">
        <f t="shared" si="66"/>
        <v>sin venta</v>
      </c>
      <c r="AD650" s="8" t="s">
        <v>33</v>
      </c>
      <c r="AE650" s="11">
        <v>165990</v>
      </c>
      <c r="AF650" s="11">
        <f t="shared" si="67"/>
        <v>1659900</v>
      </c>
      <c r="AG650" s="12" t="s">
        <v>73</v>
      </c>
      <c r="AH650" s="8" t="s">
        <v>35</v>
      </c>
    </row>
    <row r="651" spans="1:34">
      <c r="A651" s="8" t="s">
        <v>950</v>
      </c>
      <c r="B651" s="16" t="s">
        <v>2860</v>
      </c>
      <c r="C651" s="8" t="s">
        <v>40</v>
      </c>
      <c r="D651" s="8" t="s">
        <v>736</v>
      </c>
      <c r="E651" s="8" t="str">
        <f t="shared" si="65"/>
        <v>CARAMELO</v>
      </c>
      <c r="G651" s="8" t="s">
        <v>2862</v>
      </c>
      <c r="H651" s="8" t="str">
        <f>VLOOKUP(A651,[1]BBDD!$B$1:$J$3274,9,FALSE)</f>
        <v>M</v>
      </c>
      <c r="I651" s="8" t="s">
        <v>2862</v>
      </c>
      <c r="J651" s="8" t="s">
        <v>951</v>
      </c>
      <c r="L651" s="8" t="s">
        <v>61</v>
      </c>
      <c r="N651" s="8" t="s">
        <v>62</v>
      </c>
      <c r="O651" s="8" t="s">
        <v>62</v>
      </c>
      <c r="Q651" s="8" t="s">
        <v>32</v>
      </c>
      <c r="R651" s="8">
        <v>1</v>
      </c>
      <c r="S651" s="8">
        <v>4</v>
      </c>
      <c r="T651" s="8">
        <f t="shared" si="63"/>
        <v>5</v>
      </c>
      <c r="U651" s="8">
        <v>3</v>
      </c>
      <c r="V651" s="8">
        <v>0</v>
      </c>
      <c r="W651" s="8">
        <v>0</v>
      </c>
      <c r="X651" s="8">
        <v>2</v>
      </c>
      <c r="Y651" s="8">
        <v>2</v>
      </c>
      <c r="Z651" s="8">
        <v>1</v>
      </c>
      <c r="AA651" s="8">
        <v>180</v>
      </c>
      <c r="AB651" s="9">
        <f t="shared" si="64"/>
        <v>1.3333333333333335</v>
      </c>
      <c r="AC651" s="10">
        <f t="shared" si="66"/>
        <v>3.7499999999999996</v>
      </c>
      <c r="AD651" s="8" t="s">
        <v>33</v>
      </c>
      <c r="AE651" s="11">
        <v>159990</v>
      </c>
      <c r="AF651" s="11">
        <f t="shared" si="67"/>
        <v>799950</v>
      </c>
      <c r="AG651" s="12" t="s">
        <v>34</v>
      </c>
      <c r="AH651" s="8" t="s">
        <v>35</v>
      </c>
    </row>
    <row r="652" spans="1:34">
      <c r="A652" s="8" t="s">
        <v>952</v>
      </c>
      <c r="B652" s="16" t="s">
        <v>2860</v>
      </c>
      <c r="C652" s="8" t="s">
        <v>40</v>
      </c>
      <c r="D652" s="8" t="s">
        <v>736</v>
      </c>
      <c r="E652" s="8" t="str">
        <f t="shared" si="65"/>
        <v>MALBEC</v>
      </c>
      <c r="G652" s="8" t="s">
        <v>2862</v>
      </c>
      <c r="H652" s="8" t="str">
        <f>VLOOKUP(A652,[1]BBDD!$B$1:$J$3274,9,FALSE)</f>
        <v>M</v>
      </c>
      <c r="I652" s="8" t="s">
        <v>2862</v>
      </c>
      <c r="J652" s="8" t="s">
        <v>951</v>
      </c>
      <c r="L652" s="8" t="s">
        <v>61</v>
      </c>
      <c r="N652" s="8" t="s">
        <v>69</v>
      </c>
      <c r="O652" s="8" t="s">
        <v>69</v>
      </c>
      <c r="Q652" s="8" t="s">
        <v>32</v>
      </c>
      <c r="R652" s="8">
        <v>0</v>
      </c>
      <c r="S652" s="8">
        <v>2</v>
      </c>
      <c r="T652" s="8">
        <f t="shared" si="63"/>
        <v>2</v>
      </c>
      <c r="U652" s="8">
        <v>0</v>
      </c>
      <c r="V652" s="8">
        <v>0</v>
      </c>
      <c r="W652" s="8">
        <v>2</v>
      </c>
      <c r="X652" s="8">
        <v>0</v>
      </c>
      <c r="Y652" s="8">
        <v>3</v>
      </c>
      <c r="Z652" s="8">
        <v>0</v>
      </c>
      <c r="AA652" s="8">
        <v>180</v>
      </c>
      <c r="AB652" s="9">
        <f t="shared" si="64"/>
        <v>0.83333333333333326</v>
      </c>
      <c r="AC652" s="10">
        <f t="shared" si="66"/>
        <v>2.4000000000000004</v>
      </c>
      <c r="AD652" s="8" t="s">
        <v>33</v>
      </c>
      <c r="AE652" s="11">
        <v>159990</v>
      </c>
      <c r="AF652" s="11">
        <f t="shared" si="67"/>
        <v>319980</v>
      </c>
      <c r="AG652" s="12" t="s">
        <v>34</v>
      </c>
      <c r="AH652" s="8" t="s">
        <v>35</v>
      </c>
    </row>
    <row r="653" spans="1:34">
      <c r="A653" s="8" t="s">
        <v>953</v>
      </c>
      <c r="B653" s="16" t="s">
        <v>2860</v>
      </c>
      <c r="C653" s="8" t="s">
        <v>40</v>
      </c>
      <c r="D653" s="8" t="s">
        <v>736</v>
      </c>
      <c r="E653" s="8" t="str">
        <f t="shared" si="65"/>
        <v>NEGRO</v>
      </c>
      <c r="G653" s="8" t="s">
        <v>2862</v>
      </c>
      <c r="H653" s="8" t="str">
        <f>VLOOKUP(A653,[1]BBDD!$B$1:$J$3274,9,FALSE)</f>
        <v>M</v>
      </c>
      <c r="I653" s="8" t="s">
        <v>2862</v>
      </c>
      <c r="J653" s="8" t="s">
        <v>951</v>
      </c>
      <c r="L653" s="8" t="s">
        <v>61</v>
      </c>
      <c r="N653" s="8" t="s">
        <v>44</v>
      </c>
      <c r="O653" s="8" t="s">
        <v>44</v>
      </c>
      <c r="Q653" s="8" t="s">
        <v>32</v>
      </c>
      <c r="R653" s="8">
        <v>13</v>
      </c>
      <c r="S653" s="8">
        <v>6</v>
      </c>
      <c r="T653" s="8">
        <f t="shared" si="63"/>
        <v>19</v>
      </c>
      <c r="U653" s="8">
        <v>1</v>
      </c>
      <c r="V653" s="8">
        <v>0</v>
      </c>
      <c r="W653" s="8">
        <v>1</v>
      </c>
      <c r="X653" s="8">
        <v>0</v>
      </c>
      <c r="Y653" s="8">
        <v>1</v>
      </c>
      <c r="Z653" s="8">
        <v>0</v>
      </c>
      <c r="AA653" s="8">
        <v>180</v>
      </c>
      <c r="AB653" s="9">
        <f t="shared" si="64"/>
        <v>0.5</v>
      </c>
      <c r="AC653" s="10">
        <f t="shared" si="66"/>
        <v>38</v>
      </c>
      <c r="AD653" s="8" t="s">
        <v>33</v>
      </c>
      <c r="AE653" s="11">
        <v>159990</v>
      </c>
      <c r="AF653" s="11">
        <f t="shared" si="67"/>
        <v>3039810</v>
      </c>
      <c r="AG653" s="12" t="s">
        <v>73</v>
      </c>
      <c r="AH653" s="8" t="s">
        <v>65</v>
      </c>
    </row>
    <row r="654" spans="1:34">
      <c r="A654" s="8" t="s">
        <v>954</v>
      </c>
      <c r="B654" s="16" t="s">
        <v>2860</v>
      </c>
      <c r="C654" s="8" t="s">
        <v>40</v>
      </c>
      <c r="D654" s="8" t="s">
        <v>736</v>
      </c>
      <c r="E654" s="8" t="str">
        <f t="shared" si="65"/>
        <v>ROJO</v>
      </c>
      <c r="G654" s="8" t="s">
        <v>2862</v>
      </c>
      <c r="H654" s="8" t="str">
        <f>VLOOKUP(A654,[1]BBDD!$B$1:$J$3274,9,FALSE)</f>
        <v>M</v>
      </c>
      <c r="I654" s="8" t="s">
        <v>2862</v>
      </c>
      <c r="J654" s="8" t="s">
        <v>951</v>
      </c>
      <c r="L654" s="8" t="s">
        <v>61</v>
      </c>
      <c r="N654" s="8" t="s">
        <v>88</v>
      </c>
      <c r="O654" s="8" t="s">
        <v>88</v>
      </c>
      <c r="Q654" s="8" t="s">
        <v>32</v>
      </c>
      <c r="R654" s="8">
        <v>6</v>
      </c>
      <c r="S654" s="8">
        <v>7</v>
      </c>
      <c r="T654" s="8">
        <f t="shared" si="63"/>
        <v>13</v>
      </c>
      <c r="U654" s="8">
        <v>1</v>
      </c>
      <c r="V654" s="8">
        <v>2</v>
      </c>
      <c r="W654" s="8">
        <v>0</v>
      </c>
      <c r="X654" s="8">
        <v>0</v>
      </c>
      <c r="Y654" s="8">
        <v>0</v>
      </c>
      <c r="Z654" s="8">
        <v>1</v>
      </c>
      <c r="AA654" s="8">
        <v>180</v>
      </c>
      <c r="AB654" s="9">
        <f t="shared" si="64"/>
        <v>0.66666666666666674</v>
      </c>
      <c r="AC654" s="10">
        <f t="shared" si="66"/>
        <v>19.499999999999996</v>
      </c>
      <c r="AD654" s="8" t="s">
        <v>33</v>
      </c>
      <c r="AE654" s="11">
        <v>159990</v>
      </c>
      <c r="AF654" s="11">
        <f t="shared" si="67"/>
        <v>2079870</v>
      </c>
      <c r="AG654" s="12" t="s">
        <v>64</v>
      </c>
      <c r="AH654" s="8" t="s">
        <v>65</v>
      </c>
    </row>
    <row r="655" spans="1:34">
      <c r="A655" s="8" t="s">
        <v>955</v>
      </c>
      <c r="B655" s="16" t="s">
        <v>2860</v>
      </c>
      <c r="C655" s="8" t="s">
        <v>40</v>
      </c>
      <c r="D655" s="8" t="s">
        <v>736</v>
      </c>
      <c r="E655" s="8" t="str">
        <f t="shared" si="65"/>
        <v>TABACO</v>
      </c>
      <c r="G655" s="8" t="s">
        <v>2862</v>
      </c>
      <c r="H655" s="8" t="str">
        <f>VLOOKUP(A655,[1]BBDD!$B$1:$J$3274,9,FALSE)</f>
        <v>M</v>
      </c>
      <c r="I655" s="8" t="s">
        <v>2862</v>
      </c>
      <c r="J655" s="8" t="s">
        <v>951</v>
      </c>
      <c r="L655" s="8" t="s">
        <v>61</v>
      </c>
      <c r="N655" s="8" t="s">
        <v>67</v>
      </c>
      <c r="O655" s="8" t="s">
        <v>67</v>
      </c>
      <c r="Q655" s="8" t="s">
        <v>32</v>
      </c>
      <c r="R655" s="8">
        <v>0</v>
      </c>
      <c r="S655" s="8">
        <v>5</v>
      </c>
      <c r="T655" s="8">
        <f t="shared" si="63"/>
        <v>5</v>
      </c>
      <c r="U655" s="8">
        <v>0</v>
      </c>
      <c r="V655" s="8">
        <v>0</v>
      </c>
      <c r="W655" s="8">
        <v>2</v>
      </c>
      <c r="X655" s="8">
        <v>1</v>
      </c>
      <c r="Y655" s="8">
        <v>1</v>
      </c>
      <c r="Z655" s="8">
        <v>1</v>
      </c>
      <c r="AA655" s="8">
        <v>180</v>
      </c>
      <c r="AB655" s="9">
        <f t="shared" si="64"/>
        <v>0.83333333333333326</v>
      </c>
      <c r="AC655" s="10">
        <f t="shared" si="66"/>
        <v>6.0000000000000009</v>
      </c>
      <c r="AD655" s="8" t="s">
        <v>33</v>
      </c>
      <c r="AE655" s="11">
        <v>159990</v>
      </c>
      <c r="AF655" s="11">
        <f t="shared" si="67"/>
        <v>799950</v>
      </c>
      <c r="AG655" s="12" t="s">
        <v>34</v>
      </c>
      <c r="AH655" s="8" t="s">
        <v>35</v>
      </c>
    </row>
    <row r="656" spans="1:34">
      <c r="A656" s="8" t="s">
        <v>956</v>
      </c>
      <c r="B656" s="16" t="s">
        <v>2860</v>
      </c>
      <c r="C656" s="8" t="s">
        <v>40</v>
      </c>
      <c r="D656" s="8" t="s">
        <v>736</v>
      </c>
      <c r="E656" s="8" t="str">
        <f t="shared" si="65"/>
        <v>AZUL</v>
      </c>
      <c r="G656" s="8" t="s">
        <v>2862</v>
      </c>
      <c r="H656" s="8" t="str">
        <f>VLOOKUP(A656,[1]BBDD!$B$1:$J$3274,9,FALSE)</f>
        <v>M</v>
      </c>
      <c r="I656" s="8" t="s">
        <v>2862</v>
      </c>
      <c r="J656" s="8" t="s">
        <v>951</v>
      </c>
      <c r="L656" s="8" t="s">
        <v>61</v>
      </c>
      <c r="N656" s="8" t="s">
        <v>83</v>
      </c>
      <c r="O656" s="8" t="s">
        <v>83</v>
      </c>
      <c r="Q656" s="8" t="s">
        <v>45</v>
      </c>
      <c r="R656" s="8">
        <v>2</v>
      </c>
      <c r="S656" s="8">
        <v>5</v>
      </c>
      <c r="T656" s="8">
        <f t="shared" si="63"/>
        <v>7</v>
      </c>
      <c r="U656" s="8">
        <v>1</v>
      </c>
      <c r="V656" s="8">
        <v>0</v>
      </c>
      <c r="W656" s="8">
        <v>1</v>
      </c>
      <c r="X656" s="8">
        <v>0</v>
      </c>
      <c r="Y656" s="8">
        <v>1</v>
      </c>
      <c r="Z656" s="8">
        <v>0</v>
      </c>
      <c r="AA656" s="8">
        <v>180</v>
      </c>
      <c r="AB656" s="9">
        <f t="shared" si="64"/>
        <v>0.5</v>
      </c>
      <c r="AC656" s="10">
        <f t="shared" si="66"/>
        <v>14</v>
      </c>
      <c r="AD656" s="8" t="s">
        <v>109</v>
      </c>
      <c r="AE656" s="11">
        <v>159990</v>
      </c>
      <c r="AF656" s="11">
        <f t="shared" si="67"/>
        <v>1119930</v>
      </c>
      <c r="AG656" s="12" t="s">
        <v>64</v>
      </c>
      <c r="AH656" s="8" t="s">
        <v>35</v>
      </c>
    </row>
    <row r="657" spans="1:34">
      <c r="A657" s="8" t="s">
        <v>957</v>
      </c>
      <c r="B657" s="16" t="s">
        <v>2860</v>
      </c>
      <c r="C657" s="8" t="s">
        <v>40</v>
      </c>
      <c r="D657" s="8" t="s">
        <v>736</v>
      </c>
      <c r="E657" s="8" t="str">
        <f t="shared" si="65"/>
        <v>CARAMELO</v>
      </c>
      <c r="G657" s="8" t="s">
        <v>2862</v>
      </c>
      <c r="H657" s="8" t="str">
        <f>VLOOKUP(A657,[1]BBDD!$B$1:$J$3274,9,FALSE)</f>
        <v>M</v>
      </c>
      <c r="I657" s="8" t="s">
        <v>2862</v>
      </c>
      <c r="J657" s="8" t="s">
        <v>951</v>
      </c>
      <c r="L657" s="8" t="s">
        <v>238</v>
      </c>
      <c r="N657" s="8" t="s">
        <v>62</v>
      </c>
      <c r="O657" s="8" t="s">
        <v>62</v>
      </c>
      <c r="Q657" s="8" t="s">
        <v>45</v>
      </c>
      <c r="R657" s="8">
        <v>4</v>
      </c>
      <c r="S657" s="8">
        <v>4</v>
      </c>
      <c r="T657" s="8">
        <f t="shared" si="63"/>
        <v>8</v>
      </c>
      <c r="U657" s="8">
        <v>0</v>
      </c>
      <c r="V657" s="8">
        <v>0</v>
      </c>
      <c r="W657" s="8">
        <v>2</v>
      </c>
      <c r="X657" s="8">
        <v>1</v>
      </c>
      <c r="Y657" s="8">
        <v>0</v>
      </c>
      <c r="Z657" s="8">
        <v>1</v>
      </c>
      <c r="AA657" s="8">
        <v>180</v>
      </c>
      <c r="AB657" s="9">
        <f t="shared" si="64"/>
        <v>0.66666666666666674</v>
      </c>
      <c r="AC657" s="10">
        <f t="shared" si="66"/>
        <v>11.999999999999998</v>
      </c>
      <c r="AD657" s="8" t="s">
        <v>109</v>
      </c>
      <c r="AE657" s="11">
        <v>159990</v>
      </c>
      <c r="AF657" s="11">
        <f t="shared" si="67"/>
        <v>1279920</v>
      </c>
      <c r="AG657" s="12" t="s">
        <v>51</v>
      </c>
      <c r="AH657" s="8" t="s">
        <v>35</v>
      </c>
    </row>
    <row r="658" spans="1:34">
      <c r="A658" s="8" t="s">
        <v>958</v>
      </c>
      <c r="B658" s="16" t="s">
        <v>2860</v>
      </c>
      <c r="C658" s="8" t="s">
        <v>40</v>
      </c>
      <c r="D658" s="8" t="s">
        <v>736</v>
      </c>
      <c r="E658" s="8" t="str">
        <f t="shared" si="65"/>
        <v>NEGRO</v>
      </c>
      <c r="G658" s="8" t="s">
        <v>2862</v>
      </c>
      <c r="H658" s="8" t="str">
        <f>VLOOKUP(A658,[1]BBDD!$B$1:$J$3274,9,FALSE)</f>
        <v>M</v>
      </c>
      <c r="I658" s="8" t="s">
        <v>2862</v>
      </c>
      <c r="J658" s="8" t="s">
        <v>951</v>
      </c>
      <c r="L658" s="8" t="s">
        <v>238</v>
      </c>
      <c r="N658" s="8" t="s">
        <v>44</v>
      </c>
      <c r="O658" s="8" t="s">
        <v>44</v>
      </c>
      <c r="Q658" s="8" t="s">
        <v>45</v>
      </c>
      <c r="R658" s="8">
        <v>13</v>
      </c>
      <c r="S658" s="8">
        <v>11</v>
      </c>
      <c r="T658" s="8">
        <f t="shared" si="63"/>
        <v>24</v>
      </c>
      <c r="U658" s="8">
        <v>0</v>
      </c>
      <c r="V658" s="8">
        <v>0</v>
      </c>
      <c r="W658" s="8">
        <v>0</v>
      </c>
      <c r="X658" s="8">
        <v>0</v>
      </c>
      <c r="Y658" s="8">
        <v>1</v>
      </c>
      <c r="Z658" s="8">
        <v>0</v>
      </c>
      <c r="AA658" s="8">
        <v>180</v>
      </c>
      <c r="AB658" s="9">
        <f t="shared" si="64"/>
        <v>0.16666666666666669</v>
      </c>
      <c r="AC658" s="10">
        <f t="shared" si="66"/>
        <v>143.99999999999997</v>
      </c>
      <c r="AD658" s="8" t="s">
        <v>109</v>
      </c>
      <c r="AE658" s="11">
        <v>159990</v>
      </c>
      <c r="AF658" s="11">
        <f t="shared" si="67"/>
        <v>3839760</v>
      </c>
      <c r="AG658" s="12" t="s">
        <v>73</v>
      </c>
      <c r="AH658" s="8" t="s">
        <v>74</v>
      </c>
    </row>
    <row r="659" spans="1:34">
      <c r="A659" s="8" t="s">
        <v>959</v>
      </c>
      <c r="B659" s="16" t="s">
        <v>2860</v>
      </c>
      <c r="C659" s="8" t="s">
        <v>40</v>
      </c>
      <c r="D659" s="8" t="s">
        <v>736</v>
      </c>
      <c r="E659" s="8" t="str">
        <f t="shared" si="65"/>
        <v>VERDE</v>
      </c>
      <c r="G659" s="8" t="s">
        <v>2862</v>
      </c>
      <c r="H659" s="8" t="str">
        <f>VLOOKUP(A659,[1]BBDD!$B$1:$J$3274,9,FALSE)</f>
        <v>M</v>
      </c>
      <c r="I659" s="8" t="s">
        <v>2862</v>
      </c>
      <c r="J659" s="8" t="s">
        <v>951</v>
      </c>
      <c r="L659" s="8" t="s">
        <v>119</v>
      </c>
      <c r="N659" s="8" t="s">
        <v>92</v>
      </c>
      <c r="O659" s="8" t="s">
        <v>92</v>
      </c>
      <c r="Q659" s="8" t="s">
        <v>32</v>
      </c>
      <c r="R659" s="8">
        <v>2</v>
      </c>
      <c r="S659" s="8">
        <v>3</v>
      </c>
      <c r="T659" s="8">
        <f t="shared" si="63"/>
        <v>5</v>
      </c>
      <c r="U659" s="8">
        <v>2</v>
      </c>
      <c r="V659" s="8">
        <v>1</v>
      </c>
      <c r="W659" s="8">
        <v>1</v>
      </c>
      <c r="X659" s="8">
        <v>0</v>
      </c>
      <c r="Y659" s="8">
        <v>0</v>
      </c>
      <c r="Z659" s="8">
        <v>0</v>
      </c>
      <c r="AA659" s="8">
        <v>180</v>
      </c>
      <c r="AB659" s="9">
        <f t="shared" si="64"/>
        <v>0.66666666666666674</v>
      </c>
      <c r="AC659" s="10">
        <f t="shared" si="66"/>
        <v>7.4999999999999991</v>
      </c>
      <c r="AD659" s="8" t="s">
        <v>33</v>
      </c>
      <c r="AE659" s="11">
        <v>159990</v>
      </c>
      <c r="AF659" s="11">
        <f t="shared" si="67"/>
        <v>799950</v>
      </c>
      <c r="AG659" s="12" t="s">
        <v>51</v>
      </c>
      <c r="AH659" s="8" t="s">
        <v>35</v>
      </c>
    </row>
    <row r="660" spans="1:34">
      <c r="A660" s="8" t="s">
        <v>960</v>
      </c>
      <c r="B660" s="16" t="s">
        <v>2859</v>
      </c>
      <c r="C660" s="8" t="s">
        <v>248</v>
      </c>
      <c r="D660" s="8" t="s">
        <v>961</v>
      </c>
      <c r="E660" s="8" t="str">
        <f t="shared" si="65"/>
        <v>AZUL</v>
      </c>
      <c r="G660" s="8" t="s">
        <v>2861</v>
      </c>
      <c r="H660" s="8" t="str">
        <f>VLOOKUP(A660,[1]BBDD!$B$1:$J$3274,9,FALSE)</f>
        <v>U</v>
      </c>
      <c r="I660" s="8" t="s">
        <v>2861</v>
      </c>
      <c r="J660" s="8" t="s">
        <v>962</v>
      </c>
      <c r="L660" s="8" t="s">
        <v>61</v>
      </c>
      <c r="N660" s="8" t="s">
        <v>83</v>
      </c>
      <c r="O660" s="8" t="s">
        <v>83</v>
      </c>
      <c r="Q660" s="8" t="s">
        <v>32</v>
      </c>
      <c r="R660" s="8">
        <v>2</v>
      </c>
      <c r="S660" s="8">
        <v>7</v>
      </c>
      <c r="T660" s="8">
        <f t="shared" si="63"/>
        <v>9</v>
      </c>
      <c r="U660" s="8">
        <v>4</v>
      </c>
      <c r="V660" s="8">
        <v>0</v>
      </c>
      <c r="W660" s="8">
        <v>3</v>
      </c>
      <c r="X660" s="8">
        <v>0</v>
      </c>
      <c r="Y660" s="8">
        <v>0</v>
      </c>
      <c r="Z660" s="8">
        <v>2</v>
      </c>
      <c r="AA660" s="8">
        <v>180</v>
      </c>
      <c r="AB660" s="9">
        <f t="shared" si="64"/>
        <v>1.5</v>
      </c>
      <c r="AC660" s="10">
        <f t="shared" si="66"/>
        <v>6</v>
      </c>
      <c r="AD660" s="8" t="s">
        <v>33</v>
      </c>
      <c r="AE660" s="11">
        <v>34990</v>
      </c>
      <c r="AF660" s="11">
        <f t="shared" si="67"/>
        <v>314910</v>
      </c>
      <c r="AG660" s="12" t="s">
        <v>34</v>
      </c>
      <c r="AH660" s="8" t="s">
        <v>35</v>
      </c>
    </row>
    <row r="661" spans="1:34">
      <c r="A661" s="8" t="s">
        <v>963</v>
      </c>
      <c r="B661" s="16" t="s">
        <v>2859</v>
      </c>
      <c r="C661" s="8" t="s">
        <v>248</v>
      </c>
      <c r="D661" s="8" t="s">
        <v>961</v>
      </c>
      <c r="E661" s="8" t="str">
        <f t="shared" si="65"/>
        <v>CARAMELO</v>
      </c>
      <c r="G661" s="8" t="s">
        <v>2861</v>
      </c>
      <c r="H661" s="8" t="str">
        <f>VLOOKUP(A661,[1]BBDD!$B$1:$J$3274,9,FALSE)</f>
        <v>U</v>
      </c>
      <c r="I661" s="8" t="s">
        <v>2861</v>
      </c>
      <c r="J661" s="8" t="s">
        <v>962</v>
      </c>
      <c r="L661" s="8" t="s">
        <v>61</v>
      </c>
      <c r="N661" s="8" t="s">
        <v>62</v>
      </c>
      <c r="O661" s="8" t="s">
        <v>62</v>
      </c>
      <c r="Q661" s="8" t="s">
        <v>32</v>
      </c>
      <c r="R661" s="8">
        <v>5</v>
      </c>
      <c r="S661" s="8">
        <v>9</v>
      </c>
      <c r="T661" s="8">
        <f t="shared" si="63"/>
        <v>14</v>
      </c>
      <c r="U661" s="8">
        <v>3</v>
      </c>
      <c r="V661" s="8">
        <v>4</v>
      </c>
      <c r="W661" s="8">
        <v>3</v>
      </c>
      <c r="X661" s="8">
        <v>2</v>
      </c>
      <c r="Y661" s="8">
        <v>2</v>
      </c>
      <c r="Z661" s="8">
        <v>2</v>
      </c>
      <c r="AA661" s="8">
        <v>180</v>
      </c>
      <c r="AB661" s="9">
        <f t="shared" si="64"/>
        <v>2.666666666666667</v>
      </c>
      <c r="AC661" s="10">
        <f t="shared" si="66"/>
        <v>5.2499999999999991</v>
      </c>
      <c r="AD661" s="8" t="s">
        <v>33</v>
      </c>
      <c r="AE661" s="11">
        <v>34990</v>
      </c>
      <c r="AF661" s="11">
        <f t="shared" si="67"/>
        <v>489860</v>
      </c>
      <c r="AG661" s="12" t="s">
        <v>34</v>
      </c>
      <c r="AH661" s="8" t="s">
        <v>65</v>
      </c>
    </row>
    <row r="662" spans="1:34">
      <c r="A662" s="8" t="s">
        <v>964</v>
      </c>
      <c r="B662" s="16" t="s">
        <v>2859</v>
      </c>
      <c r="C662" s="8" t="s">
        <v>248</v>
      </c>
      <c r="D662" s="8" t="s">
        <v>961</v>
      </c>
      <c r="E662" s="8" t="str">
        <f t="shared" si="65"/>
        <v>MALBEC</v>
      </c>
      <c r="G662" s="8" t="s">
        <v>2861</v>
      </c>
      <c r="H662" s="8" t="str">
        <f>VLOOKUP(A662,[1]BBDD!$B$1:$J$3274,9,FALSE)</f>
        <v>U</v>
      </c>
      <c r="I662" s="8" t="s">
        <v>2861</v>
      </c>
      <c r="J662" s="8" t="s">
        <v>962</v>
      </c>
      <c r="L662" s="8" t="s">
        <v>61</v>
      </c>
      <c r="N662" s="8" t="s">
        <v>69</v>
      </c>
      <c r="O662" s="8" t="s">
        <v>69</v>
      </c>
      <c r="Q662" s="8" t="s">
        <v>32</v>
      </c>
      <c r="R662" s="8">
        <v>0</v>
      </c>
      <c r="S662" s="8">
        <v>11</v>
      </c>
      <c r="T662" s="8">
        <f t="shared" si="63"/>
        <v>11</v>
      </c>
      <c r="U662" s="8">
        <v>1</v>
      </c>
      <c r="V662" s="8">
        <v>1</v>
      </c>
      <c r="W662" s="8">
        <v>3</v>
      </c>
      <c r="X662" s="8">
        <v>2</v>
      </c>
      <c r="Y662" s="8">
        <v>1</v>
      </c>
      <c r="Z662" s="8">
        <v>0</v>
      </c>
      <c r="AA662" s="8">
        <v>180</v>
      </c>
      <c r="AB662" s="9">
        <f t="shared" si="64"/>
        <v>1.3333333333333335</v>
      </c>
      <c r="AC662" s="10">
        <f t="shared" si="66"/>
        <v>8.2499999999999982</v>
      </c>
      <c r="AD662" s="8" t="s">
        <v>33</v>
      </c>
      <c r="AE662" s="11">
        <v>34990</v>
      </c>
      <c r="AF662" s="11">
        <f t="shared" si="67"/>
        <v>384890</v>
      </c>
      <c r="AG662" s="12" t="s">
        <v>51</v>
      </c>
      <c r="AH662" s="8" t="s">
        <v>65</v>
      </c>
    </row>
    <row r="663" spans="1:34">
      <c r="A663" s="8" t="s">
        <v>965</v>
      </c>
      <c r="B663" s="16" t="s">
        <v>2859</v>
      </c>
      <c r="C663" s="8" t="s">
        <v>248</v>
      </c>
      <c r="D663" s="8" t="s">
        <v>961</v>
      </c>
      <c r="E663" s="8" t="str">
        <f t="shared" si="65"/>
        <v>NEGRO</v>
      </c>
      <c r="G663" s="8" t="s">
        <v>2861</v>
      </c>
      <c r="H663" s="8" t="str">
        <f>VLOOKUP(A663,[1]BBDD!$B$1:$J$3274,9,FALSE)</f>
        <v>U</v>
      </c>
      <c r="I663" s="8" t="s">
        <v>2861</v>
      </c>
      <c r="J663" s="8" t="s">
        <v>962</v>
      </c>
      <c r="L663" s="8" t="s">
        <v>61</v>
      </c>
      <c r="N663" s="8" t="s">
        <v>44</v>
      </c>
      <c r="O663" s="8" t="s">
        <v>44</v>
      </c>
      <c r="Q663" s="8" t="s">
        <v>32</v>
      </c>
      <c r="R663" s="8">
        <v>14</v>
      </c>
      <c r="S663" s="8">
        <v>9</v>
      </c>
      <c r="T663" s="8">
        <f t="shared" si="63"/>
        <v>23</v>
      </c>
      <c r="U663" s="8">
        <v>2</v>
      </c>
      <c r="V663" s="8">
        <v>3</v>
      </c>
      <c r="W663" s="8">
        <v>3</v>
      </c>
      <c r="X663" s="8">
        <v>0</v>
      </c>
      <c r="Y663" s="8">
        <v>2</v>
      </c>
      <c r="Z663" s="8">
        <v>1</v>
      </c>
      <c r="AA663" s="8">
        <v>180</v>
      </c>
      <c r="AB663" s="9">
        <f t="shared" si="64"/>
        <v>1.8333333333333333</v>
      </c>
      <c r="AC663" s="10">
        <f t="shared" si="66"/>
        <v>12.545454545454547</v>
      </c>
      <c r="AD663" s="8" t="s">
        <v>33</v>
      </c>
      <c r="AE663" s="11">
        <v>34990</v>
      </c>
      <c r="AF663" s="11">
        <f t="shared" si="67"/>
        <v>804770</v>
      </c>
      <c r="AG663" s="12" t="s">
        <v>64</v>
      </c>
      <c r="AH663" s="8" t="s">
        <v>74</v>
      </c>
    </row>
    <row r="664" spans="1:34">
      <c r="A664" s="8" t="s">
        <v>966</v>
      </c>
      <c r="B664" s="16" t="s">
        <v>2859</v>
      </c>
      <c r="C664" s="8" t="s">
        <v>248</v>
      </c>
      <c r="D664" s="8" t="s">
        <v>961</v>
      </c>
      <c r="E664" s="8" t="str">
        <f t="shared" si="65"/>
        <v>ROJO</v>
      </c>
      <c r="G664" s="8" t="s">
        <v>2861</v>
      </c>
      <c r="H664" s="8" t="str">
        <f>VLOOKUP(A664,[1]BBDD!$B$1:$J$3274,9,FALSE)</f>
        <v>U</v>
      </c>
      <c r="I664" s="8" t="s">
        <v>2861</v>
      </c>
      <c r="J664" s="8" t="s">
        <v>962</v>
      </c>
      <c r="L664" s="8" t="s">
        <v>61</v>
      </c>
      <c r="N664" s="8" t="s">
        <v>88</v>
      </c>
      <c r="O664" s="8" t="s">
        <v>88</v>
      </c>
      <c r="Q664" s="8" t="s">
        <v>32</v>
      </c>
      <c r="R664" s="8">
        <v>4</v>
      </c>
      <c r="S664" s="8">
        <v>5</v>
      </c>
      <c r="T664" s="8">
        <f t="shared" si="63"/>
        <v>9</v>
      </c>
      <c r="U664" s="8">
        <v>2</v>
      </c>
      <c r="V664" s="8">
        <v>1</v>
      </c>
      <c r="W664" s="8">
        <v>1</v>
      </c>
      <c r="X664" s="8">
        <v>2</v>
      </c>
      <c r="Y664" s="8">
        <v>5</v>
      </c>
      <c r="Z664" s="8">
        <v>2</v>
      </c>
      <c r="AA664" s="8">
        <v>180</v>
      </c>
      <c r="AB664" s="9">
        <f t="shared" si="64"/>
        <v>2.1666666666666665</v>
      </c>
      <c r="AC664" s="10">
        <f t="shared" si="66"/>
        <v>4.1538461538461542</v>
      </c>
      <c r="AD664" s="8" t="s">
        <v>33</v>
      </c>
      <c r="AE664" s="11">
        <v>34990</v>
      </c>
      <c r="AF664" s="11">
        <f t="shared" si="67"/>
        <v>314910</v>
      </c>
      <c r="AG664" s="12" t="s">
        <v>34</v>
      </c>
      <c r="AH664" s="8" t="s">
        <v>35</v>
      </c>
    </row>
    <row r="665" spans="1:34">
      <c r="A665" s="8" t="s">
        <v>967</v>
      </c>
      <c r="B665" s="16" t="s">
        <v>2859</v>
      </c>
      <c r="C665" s="8" t="s">
        <v>248</v>
      </c>
      <c r="D665" s="8" t="s">
        <v>961</v>
      </c>
      <c r="E665" s="8" t="str">
        <f t="shared" si="65"/>
        <v>TABACO</v>
      </c>
      <c r="G665" s="8" t="s">
        <v>2861</v>
      </c>
      <c r="H665" s="8" t="str">
        <f>VLOOKUP(A665,[1]BBDD!$B$1:$J$3274,9,FALSE)</f>
        <v>U</v>
      </c>
      <c r="I665" s="8" t="s">
        <v>2861</v>
      </c>
      <c r="J665" s="8" t="s">
        <v>962</v>
      </c>
      <c r="L665" s="8" t="s">
        <v>61</v>
      </c>
      <c r="N665" s="8" t="s">
        <v>67</v>
      </c>
      <c r="O665" s="8" t="s">
        <v>67</v>
      </c>
      <c r="Q665" s="8" t="s">
        <v>32</v>
      </c>
      <c r="R665" s="8">
        <v>1</v>
      </c>
      <c r="S665" s="8">
        <v>9</v>
      </c>
      <c r="T665" s="8">
        <f t="shared" si="63"/>
        <v>10</v>
      </c>
      <c r="U665" s="8">
        <v>1</v>
      </c>
      <c r="V665" s="8">
        <v>2</v>
      </c>
      <c r="W665" s="8">
        <v>1</v>
      </c>
      <c r="X665" s="8">
        <v>1</v>
      </c>
      <c r="Y665" s="8">
        <v>2</v>
      </c>
      <c r="Z665" s="8">
        <v>4</v>
      </c>
      <c r="AA665" s="8">
        <v>180</v>
      </c>
      <c r="AB665" s="9">
        <f t="shared" si="64"/>
        <v>1.8333333333333333</v>
      </c>
      <c r="AC665" s="10">
        <f t="shared" si="66"/>
        <v>5.454545454545455</v>
      </c>
      <c r="AD665" s="8" t="s">
        <v>33</v>
      </c>
      <c r="AE665" s="11">
        <v>34990</v>
      </c>
      <c r="AF665" s="11">
        <f t="shared" si="67"/>
        <v>349900</v>
      </c>
      <c r="AG665" s="12" t="s">
        <v>34</v>
      </c>
      <c r="AH665" s="8" t="s">
        <v>35</v>
      </c>
    </row>
    <row r="666" spans="1:34">
      <c r="A666" s="8" t="s">
        <v>968</v>
      </c>
      <c r="B666" s="16" t="s">
        <v>2859</v>
      </c>
      <c r="C666" s="8" t="s">
        <v>248</v>
      </c>
      <c r="D666" s="8" t="s">
        <v>961</v>
      </c>
      <c r="E666" s="8" t="str">
        <f t="shared" si="65"/>
        <v>VERDE</v>
      </c>
      <c r="G666" s="8" t="s">
        <v>2861</v>
      </c>
      <c r="H666" s="8" t="str">
        <f>VLOOKUP(A666,[1]BBDD!$B$1:$J$3274,9,FALSE)</f>
        <v>U</v>
      </c>
      <c r="I666" s="8" t="s">
        <v>2861</v>
      </c>
      <c r="J666" s="8" t="s">
        <v>962</v>
      </c>
      <c r="L666" s="8" t="s">
        <v>61</v>
      </c>
      <c r="N666" s="8" t="s">
        <v>92</v>
      </c>
      <c r="O666" s="8" t="s">
        <v>92</v>
      </c>
      <c r="Q666" s="8" t="s">
        <v>32</v>
      </c>
      <c r="R666" s="8">
        <v>0</v>
      </c>
      <c r="S666" s="8">
        <v>5</v>
      </c>
      <c r="T666" s="8">
        <f t="shared" si="63"/>
        <v>5</v>
      </c>
      <c r="U666" s="8">
        <v>2</v>
      </c>
      <c r="V666" s="8">
        <v>0</v>
      </c>
      <c r="W666" s="8">
        <v>2</v>
      </c>
      <c r="X666" s="8">
        <v>4</v>
      </c>
      <c r="Y666" s="8">
        <v>4</v>
      </c>
      <c r="Z666" s="8">
        <v>2</v>
      </c>
      <c r="AA666" s="8">
        <v>180</v>
      </c>
      <c r="AB666" s="9">
        <f t="shared" si="64"/>
        <v>2.3333333333333335</v>
      </c>
      <c r="AC666" s="10">
        <f t="shared" si="66"/>
        <v>2.1428571428571428</v>
      </c>
      <c r="AD666" s="8" t="s">
        <v>33</v>
      </c>
      <c r="AE666" s="11">
        <v>34990</v>
      </c>
      <c r="AF666" s="11">
        <f t="shared" si="67"/>
        <v>174950</v>
      </c>
      <c r="AG666" s="12" t="s">
        <v>34</v>
      </c>
      <c r="AH666" s="8" t="s">
        <v>35</v>
      </c>
    </row>
    <row r="667" spans="1:34">
      <c r="A667" s="8" t="s">
        <v>969</v>
      </c>
      <c r="B667" s="16" t="s">
        <v>2859</v>
      </c>
      <c r="C667" s="8" t="s">
        <v>248</v>
      </c>
      <c r="D667" s="8" t="s">
        <v>961</v>
      </c>
      <c r="E667" s="8" t="str">
        <f t="shared" si="65"/>
        <v>NEGRO</v>
      </c>
      <c r="G667" s="8" t="s">
        <v>2861</v>
      </c>
      <c r="H667" s="8" t="str">
        <f>VLOOKUP(A667,[1]BBDD!$B$1:$J$3274,9,FALSE)</f>
        <v>U</v>
      </c>
      <c r="I667" s="8" t="s">
        <v>2861</v>
      </c>
      <c r="J667" s="8" t="s">
        <v>962</v>
      </c>
      <c r="L667" s="8" t="s">
        <v>211</v>
      </c>
      <c r="N667" s="8" t="s">
        <v>44</v>
      </c>
      <c r="O667" s="8" t="s">
        <v>44</v>
      </c>
      <c r="Q667" s="8" t="s">
        <v>32</v>
      </c>
      <c r="R667" s="8">
        <v>0</v>
      </c>
      <c r="S667" s="8">
        <v>0</v>
      </c>
      <c r="T667" s="8">
        <f t="shared" si="63"/>
        <v>0</v>
      </c>
      <c r="U667" s="8">
        <v>0</v>
      </c>
      <c r="V667" s="8">
        <v>2</v>
      </c>
      <c r="W667" s="8">
        <v>0</v>
      </c>
      <c r="X667" s="8">
        <v>0</v>
      </c>
      <c r="Y667" s="8">
        <v>0</v>
      </c>
      <c r="Z667" s="8">
        <v>0</v>
      </c>
      <c r="AA667" s="8">
        <v>180</v>
      </c>
      <c r="AB667" s="9">
        <f t="shared" si="64"/>
        <v>0.33333333333333337</v>
      </c>
      <c r="AC667" s="10">
        <f t="shared" si="66"/>
        <v>0</v>
      </c>
      <c r="AD667" s="8" t="s">
        <v>33</v>
      </c>
      <c r="AE667" s="11">
        <v>34990</v>
      </c>
      <c r="AF667" s="11">
        <f t="shared" si="67"/>
        <v>0</v>
      </c>
      <c r="AG667" s="12" t="s">
        <v>34</v>
      </c>
      <c r="AH667" s="8" t="s">
        <v>35</v>
      </c>
    </row>
    <row r="668" spans="1:34">
      <c r="A668" s="8" t="s">
        <v>970</v>
      </c>
      <c r="B668" s="16" t="s">
        <v>2859</v>
      </c>
      <c r="C668" s="8" t="s">
        <v>248</v>
      </c>
      <c r="D668" s="8" t="s">
        <v>961</v>
      </c>
      <c r="E668" s="8" t="str">
        <f t="shared" si="65"/>
        <v>AZUL</v>
      </c>
      <c r="G668" s="8" t="s">
        <v>2861</v>
      </c>
      <c r="H668" s="8" t="str">
        <f>VLOOKUP(A668,[1]BBDD!$B$1:$J$3274,9,FALSE)</f>
        <v>U</v>
      </c>
      <c r="I668" s="8" t="s">
        <v>2861</v>
      </c>
      <c r="J668" s="8" t="s">
        <v>962</v>
      </c>
      <c r="L668" s="8" t="s">
        <v>119</v>
      </c>
      <c r="N668" s="8" t="s">
        <v>83</v>
      </c>
      <c r="O668" s="8" t="s">
        <v>83</v>
      </c>
      <c r="Q668" s="8" t="s">
        <v>45</v>
      </c>
      <c r="R668" s="8">
        <v>-1</v>
      </c>
      <c r="S668" s="8">
        <v>4</v>
      </c>
      <c r="T668" s="8">
        <f t="shared" si="63"/>
        <v>3</v>
      </c>
      <c r="U668" s="8">
        <v>2</v>
      </c>
      <c r="V668" s="8">
        <v>0</v>
      </c>
      <c r="W668" s="8">
        <v>0</v>
      </c>
      <c r="X668" s="8">
        <v>1</v>
      </c>
      <c r="Y668" s="8">
        <v>2</v>
      </c>
      <c r="Z668" s="8">
        <v>0</v>
      </c>
      <c r="AA668" s="8">
        <v>180</v>
      </c>
      <c r="AB668" s="9">
        <f t="shared" si="64"/>
        <v>0.83333333333333326</v>
      </c>
      <c r="AC668" s="10">
        <f t="shared" si="66"/>
        <v>3.6000000000000005</v>
      </c>
      <c r="AD668" s="8" t="s">
        <v>109</v>
      </c>
      <c r="AE668" s="11">
        <v>34990</v>
      </c>
      <c r="AF668" s="11">
        <f t="shared" si="67"/>
        <v>104970</v>
      </c>
      <c r="AG668" s="12" t="s">
        <v>34</v>
      </c>
      <c r="AH668" s="8" t="s">
        <v>35</v>
      </c>
    </row>
    <row r="669" spans="1:34">
      <c r="A669" s="8" t="s">
        <v>971</v>
      </c>
      <c r="B669" s="16" t="s">
        <v>2859</v>
      </c>
      <c r="C669" s="8" t="s">
        <v>248</v>
      </c>
      <c r="D669" s="8" t="s">
        <v>961</v>
      </c>
      <c r="E669" s="8" t="str">
        <f t="shared" si="65"/>
        <v>VERDE</v>
      </c>
      <c r="G669" s="8" t="s">
        <v>2861</v>
      </c>
      <c r="H669" s="8" t="str">
        <f>VLOOKUP(A669,[1]BBDD!$B$1:$J$3274,9,FALSE)</f>
        <v>U</v>
      </c>
      <c r="I669" s="8" t="s">
        <v>2861</v>
      </c>
      <c r="J669" s="8" t="s">
        <v>962</v>
      </c>
      <c r="L669" s="8" t="s">
        <v>119</v>
      </c>
      <c r="N669" s="8" t="s">
        <v>92</v>
      </c>
      <c r="O669" s="8" t="s">
        <v>92</v>
      </c>
      <c r="Q669" s="8" t="s">
        <v>45</v>
      </c>
      <c r="R669" s="8">
        <v>0</v>
      </c>
      <c r="S669" s="8">
        <v>4</v>
      </c>
      <c r="T669" s="8">
        <f t="shared" si="63"/>
        <v>4</v>
      </c>
      <c r="U669" s="8">
        <v>1</v>
      </c>
      <c r="V669" s="8">
        <v>2</v>
      </c>
      <c r="W669" s="8">
        <v>0</v>
      </c>
      <c r="X669" s="8">
        <v>2</v>
      </c>
      <c r="Y669" s="8">
        <v>2</v>
      </c>
      <c r="Z669" s="8">
        <v>2</v>
      </c>
      <c r="AA669" s="8">
        <v>180</v>
      </c>
      <c r="AB669" s="9">
        <f t="shared" si="64"/>
        <v>1.5</v>
      </c>
      <c r="AC669" s="10">
        <f t="shared" si="66"/>
        <v>2.6666666666666665</v>
      </c>
      <c r="AD669" s="8" t="s">
        <v>109</v>
      </c>
      <c r="AE669" s="11">
        <v>34990</v>
      </c>
      <c r="AF669" s="11">
        <f t="shared" si="67"/>
        <v>139960</v>
      </c>
      <c r="AG669" s="12" t="s">
        <v>34</v>
      </c>
      <c r="AH669" s="8" t="s">
        <v>35</v>
      </c>
    </row>
    <row r="670" spans="1:34">
      <c r="A670" s="8" t="s">
        <v>972</v>
      </c>
      <c r="B670" s="16" t="s">
        <v>2859</v>
      </c>
      <c r="C670" s="8" t="s">
        <v>248</v>
      </c>
      <c r="D670" s="8" t="s">
        <v>961</v>
      </c>
      <c r="E670" s="8" t="str">
        <f t="shared" si="65"/>
        <v>DARK</v>
      </c>
      <c r="G670" s="8" t="s">
        <v>2861</v>
      </c>
      <c r="H670" s="8" t="str">
        <f>VLOOKUP(A670,[1]BBDD!$B$1:$J$3274,9,FALSE)</f>
        <v>U</v>
      </c>
      <c r="I670" s="8" t="s">
        <v>2861</v>
      </c>
      <c r="J670" s="8" t="s">
        <v>962</v>
      </c>
      <c r="L670" s="8" t="s">
        <v>189</v>
      </c>
      <c r="N670" s="8" t="s">
        <v>246</v>
      </c>
      <c r="O670" s="8" t="s">
        <v>246</v>
      </c>
      <c r="Q670" s="8" t="s">
        <v>32</v>
      </c>
      <c r="R670" s="8">
        <v>0</v>
      </c>
      <c r="S670" s="8">
        <v>0</v>
      </c>
      <c r="T670" s="8">
        <f t="shared" si="63"/>
        <v>0</v>
      </c>
      <c r="U670" s="8">
        <v>2</v>
      </c>
      <c r="V670" s="8">
        <v>0</v>
      </c>
      <c r="W670" s="8">
        <v>0</v>
      </c>
      <c r="X670" s="8">
        <v>3</v>
      </c>
      <c r="Y670" s="8">
        <v>1</v>
      </c>
      <c r="Z670" s="8">
        <v>0</v>
      </c>
      <c r="AA670" s="8">
        <v>180</v>
      </c>
      <c r="AB670" s="9">
        <f t="shared" si="64"/>
        <v>1</v>
      </c>
      <c r="AC670" s="10">
        <f t="shared" si="66"/>
        <v>0</v>
      </c>
      <c r="AD670" s="8" t="s">
        <v>33</v>
      </c>
      <c r="AE670" s="11">
        <v>34990</v>
      </c>
      <c r="AF670" s="11">
        <f t="shared" si="67"/>
        <v>0</v>
      </c>
      <c r="AG670" s="12" t="s">
        <v>34</v>
      </c>
      <c r="AH670" s="8" t="s">
        <v>35</v>
      </c>
    </row>
    <row r="671" spans="1:34">
      <c r="A671" s="8" t="s">
        <v>973</v>
      </c>
      <c r="B671" s="16" t="s">
        <v>2859</v>
      </c>
      <c r="C671" s="8" t="s">
        <v>248</v>
      </c>
      <c r="D671" s="8" t="s">
        <v>961</v>
      </c>
      <c r="E671" s="8" t="str">
        <f t="shared" si="65"/>
        <v>LIGHT</v>
      </c>
      <c r="G671" s="8" t="s">
        <v>2861</v>
      </c>
      <c r="H671" s="8" t="str">
        <f>VLOOKUP(A671,[1]BBDD!$B$1:$J$3274,9,FALSE)</f>
        <v>U</v>
      </c>
      <c r="I671" s="8" t="s">
        <v>2861</v>
      </c>
      <c r="J671" s="8" t="s">
        <v>962</v>
      </c>
      <c r="L671" s="8" t="s">
        <v>189</v>
      </c>
      <c r="N671" s="8" t="s">
        <v>783</v>
      </c>
      <c r="O671" s="8" t="s">
        <v>783</v>
      </c>
      <c r="Q671" s="8" t="s">
        <v>32</v>
      </c>
      <c r="R671" s="8">
        <v>0</v>
      </c>
      <c r="S671" s="8">
        <v>2</v>
      </c>
      <c r="T671" s="8">
        <f t="shared" si="63"/>
        <v>2</v>
      </c>
      <c r="U671" s="8">
        <v>3</v>
      </c>
      <c r="V671" s="8">
        <v>0</v>
      </c>
      <c r="W671" s="8">
        <v>0</v>
      </c>
      <c r="X671" s="8">
        <v>1</v>
      </c>
      <c r="Y671" s="8">
        <v>0</v>
      </c>
      <c r="Z671" s="8">
        <v>0</v>
      </c>
      <c r="AA671" s="8">
        <v>180</v>
      </c>
      <c r="AB671" s="9">
        <f t="shared" si="64"/>
        <v>0.66666666666666674</v>
      </c>
      <c r="AC671" s="10">
        <f t="shared" si="66"/>
        <v>2.9999999999999996</v>
      </c>
      <c r="AD671" s="8" t="s">
        <v>33</v>
      </c>
      <c r="AE671" s="11">
        <v>34990</v>
      </c>
      <c r="AF671" s="11">
        <f t="shared" si="67"/>
        <v>69980</v>
      </c>
      <c r="AG671" s="12" t="s">
        <v>34</v>
      </c>
      <c r="AH671" s="8" t="s">
        <v>35</v>
      </c>
    </row>
    <row r="672" spans="1:34">
      <c r="A672" s="8" t="s">
        <v>974</v>
      </c>
      <c r="B672" s="16" t="s">
        <v>2859</v>
      </c>
      <c r="C672" s="8" t="s">
        <v>248</v>
      </c>
      <c r="D672" s="8" t="s">
        <v>961</v>
      </c>
      <c r="E672" s="8" t="str">
        <f t="shared" si="65"/>
        <v>MEDIO</v>
      </c>
      <c r="G672" s="8" t="s">
        <v>2861</v>
      </c>
      <c r="H672" s="8" t="str">
        <f>VLOOKUP(A672,[1]BBDD!$B$1:$J$3274,9,FALSE)</f>
        <v>U</v>
      </c>
      <c r="I672" s="8" t="s">
        <v>2861</v>
      </c>
      <c r="J672" s="8" t="s">
        <v>962</v>
      </c>
      <c r="L672" s="8" t="s">
        <v>189</v>
      </c>
      <c r="N672" s="8" t="s">
        <v>190</v>
      </c>
      <c r="O672" s="8" t="s">
        <v>190</v>
      </c>
      <c r="Q672" s="8" t="s">
        <v>45</v>
      </c>
      <c r="R672" s="8">
        <v>0</v>
      </c>
      <c r="S672" s="8">
        <v>2</v>
      </c>
      <c r="T672" s="8">
        <f t="shared" si="63"/>
        <v>2</v>
      </c>
      <c r="U672" s="8">
        <v>1</v>
      </c>
      <c r="V672" s="8">
        <v>1</v>
      </c>
      <c r="W672" s="8">
        <v>1</v>
      </c>
      <c r="X672" s="8">
        <v>1</v>
      </c>
      <c r="Y672" s="8">
        <v>1</v>
      </c>
      <c r="Z672" s="8">
        <v>0</v>
      </c>
      <c r="AA672" s="8">
        <v>180</v>
      </c>
      <c r="AB672" s="9">
        <f t="shared" si="64"/>
        <v>0.83333333333333326</v>
      </c>
      <c r="AC672" s="10">
        <f t="shared" si="66"/>
        <v>2.4000000000000004</v>
      </c>
      <c r="AD672" s="8" t="s">
        <v>109</v>
      </c>
      <c r="AE672" s="11">
        <v>34990</v>
      </c>
      <c r="AF672" s="11">
        <f t="shared" si="67"/>
        <v>69980</v>
      </c>
      <c r="AG672" s="12" t="s">
        <v>34</v>
      </c>
      <c r="AH672" s="8" t="s">
        <v>35</v>
      </c>
    </row>
    <row r="673" spans="1:34">
      <c r="A673" s="8" t="s">
        <v>975</v>
      </c>
      <c r="B673" s="16" t="s">
        <v>2859</v>
      </c>
      <c r="C673" s="8" t="s">
        <v>248</v>
      </c>
      <c r="D673" s="8" t="s">
        <v>961</v>
      </c>
      <c r="E673" s="8" t="str">
        <f t="shared" si="65"/>
        <v>NEGRO</v>
      </c>
      <c r="G673" s="8" t="s">
        <v>2861</v>
      </c>
      <c r="H673" s="8" t="str">
        <f>VLOOKUP(A673,[1]BBDD!$B$1:$J$3274,9,FALSE)</f>
        <v>U</v>
      </c>
      <c r="I673" s="8" t="s">
        <v>2861</v>
      </c>
      <c r="J673" s="8" t="s">
        <v>976</v>
      </c>
      <c r="L673" s="8" t="s">
        <v>61</v>
      </c>
      <c r="N673" s="8" t="s">
        <v>44</v>
      </c>
      <c r="O673" s="8" t="s">
        <v>44</v>
      </c>
      <c r="Q673" s="8" t="s">
        <v>32</v>
      </c>
      <c r="R673" s="8">
        <v>5</v>
      </c>
      <c r="S673" s="8">
        <v>5</v>
      </c>
      <c r="T673" s="8">
        <f t="shared" si="63"/>
        <v>10</v>
      </c>
      <c r="U673" s="8">
        <v>3</v>
      </c>
      <c r="V673" s="8">
        <v>1</v>
      </c>
      <c r="W673" s="8">
        <v>1</v>
      </c>
      <c r="X673" s="8">
        <v>1</v>
      </c>
      <c r="Y673" s="8">
        <v>1</v>
      </c>
      <c r="Z673" s="8">
        <v>0</v>
      </c>
      <c r="AA673" s="8">
        <v>180</v>
      </c>
      <c r="AB673" s="9">
        <f t="shared" si="64"/>
        <v>1.1666666666666667</v>
      </c>
      <c r="AC673" s="10">
        <f t="shared" si="66"/>
        <v>8.5714285714285712</v>
      </c>
      <c r="AD673" s="8" t="s">
        <v>33</v>
      </c>
      <c r="AE673" s="11">
        <v>34990</v>
      </c>
      <c r="AF673" s="11">
        <f t="shared" si="67"/>
        <v>349900</v>
      </c>
      <c r="AG673" s="12" t="s">
        <v>51</v>
      </c>
      <c r="AH673" s="8" t="s">
        <v>35</v>
      </c>
    </row>
    <row r="674" spans="1:34">
      <c r="A674" s="8" t="s">
        <v>977</v>
      </c>
      <c r="B674" s="16" t="s">
        <v>709</v>
      </c>
      <c r="C674" s="8" t="s">
        <v>533</v>
      </c>
      <c r="D674" s="8" t="s">
        <v>978</v>
      </c>
      <c r="E674" s="8" t="str">
        <f t="shared" si="65"/>
        <v>AZUL</v>
      </c>
      <c r="H674" s="8" t="str">
        <f>VLOOKUP(A674,[1]BBDD!$B$1:$J$3274,9,FALSE)</f>
        <v>H</v>
      </c>
      <c r="I674" s="8" t="s">
        <v>2863</v>
      </c>
      <c r="J674" s="8" t="s">
        <v>979</v>
      </c>
      <c r="L674" s="8" t="s">
        <v>980</v>
      </c>
      <c r="N674" s="8" t="s">
        <v>83</v>
      </c>
      <c r="O674" s="8" t="s">
        <v>83</v>
      </c>
      <c r="P674" s="18" t="str">
        <f t="shared" ref="P674:P678" si="68">RIGHT(A674,LEN(A674)-FIND("-",A674))</f>
        <v>L</v>
      </c>
      <c r="Q674" s="8" t="s">
        <v>45</v>
      </c>
      <c r="R674" s="8">
        <v>0</v>
      </c>
      <c r="S674" s="8">
        <v>1</v>
      </c>
      <c r="T674" s="8">
        <f t="shared" si="63"/>
        <v>1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180</v>
      </c>
      <c r="AB674" s="9">
        <f t="shared" si="64"/>
        <v>0</v>
      </c>
      <c r="AC674" s="10" t="str">
        <f t="shared" si="66"/>
        <v>sin venta</v>
      </c>
      <c r="AD674" s="8" t="s">
        <v>46</v>
      </c>
      <c r="AE674" s="11">
        <v>64990</v>
      </c>
      <c r="AF674" s="11">
        <f t="shared" si="67"/>
        <v>64990</v>
      </c>
      <c r="AG674" s="12" t="s">
        <v>73</v>
      </c>
      <c r="AH674" s="8" t="s">
        <v>35</v>
      </c>
    </row>
    <row r="675" spans="1:34">
      <c r="A675" s="8" t="s">
        <v>981</v>
      </c>
      <c r="B675" s="16" t="s">
        <v>709</v>
      </c>
      <c r="C675" s="8" t="s">
        <v>533</v>
      </c>
      <c r="D675" s="8" t="s">
        <v>978</v>
      </c>
      <c r="E675" s="8" t="str">
        <f t="shared" si="65"/>
        <v>AZUL</v>
      </c>
      <c r="H675" s="8" t="str">
        <f>VLOOKUP(A675,[1]BBDD!$B$1:$J$3274,9,FALSE)</f>
        <v>H</v>
      </c>
      <c r="I675" s="8" t="s">
        <v>2863</v>
      </c>
      <c r="J675" s="8" t="s">
        <v>979</v>
      </c>
      <c r="L675" s="8" t="s">
        <v>980</v>
      </c>
      <c r="N675" s="8" t="s">
        <v>83</v>
      </c>
      <c r="O675" s="8" t="s">
        <v>83</v>
      </c>
      <c r="P675" s="18" t="str">
        <f t="shared" si="68"/>
        <v>M</v>
      </c>
      <c r="Q675" s="8" t="s">
        <v>45</v>
      </c>
      <c r="R675" s="8">
        <v>0</v>
      </c>
      <c r="S675" s="8">
        <v>1</v>
      </c>
      <c r="T675" s="8">
        <f t="shared" si="63"/>
        <v>1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180</v>
      </c>
      <c r="AB675" s="9">
        <f t="shared" si="64"/>
        <v>0</v>
      </c>
      <c r="AC675" s="10" t="str">
        <f t="shared" si="66"/>
        <v>sin venta</v>
      </c>
      <c r="AD675" s="8" t="s">
        <v>46</v>
      </c>
      <c r="AE675" s="11">
        <v>64990</v>
      </c>
      <c r="AF675" s="11">
        <f t="shared" si="67"/>
        <v>64990</v>
      </c>
      <c r="AG675" s="12" t="s">
        <v>73</v>
      </c>
      <c r="AH675" s="8" t="s">
        <v>35</v>
      </c>
    </row>
    <row r="676" spans="1:34">
      <c r="A676" s="8" t="s">
        <v>982</v>
      </c>
      <c r="B676" s="16" t="s">
        <v>709</v>
      </c>
      <c r="C676" s="8" t="s">
        <v>533</v>
      </c>
      <c r="D676" s="8" t="s">
        <v>978</v>
      </c>
      <c r="E676" s="8" t="str">
        <f t="shared" si="65"/>
        <v>NEGRO</v>
      </c>
      <c r="H676" s="8" t="str">
        <f>VLOOKUP(A676,[1]BBDD!$B$1:$J$3274,9,FALSE)</f>
        <v>H</v>
      </c>
      <c r="I676" s="8" t="s">
        <v>2863</v>
      </c>
      <c r="J676" s="8" t="s">
        <v>979</v>
      </c>
      <c r="L676" s="8" t="s">
        <v>980</v>
      </c>
      <c r="N676" s="8" t="s">
        <v>44</v>
      </c>
      <c r="O676" s="8" t="s">
        <v>44</v>
      </c>
      <c r="P676" s="18" t="str">
        <f t="shared" si="68"/>
        <v>L</v>
      </c>
      <c r="Q676" s="8" t="s">
        <v>45</v>
      </c>
      <c r="R676" s="8">
        <v>0</v>
      </c>
      <c r="S676" s="8">
        <v>1</v>
      </c>
      <c r="T676" s="8">
        <f t="shared" si="63"/>
        <v>1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180</v>
      </c>
      <c r="AB676" s="9">
        <f t="shared" si="64"/>
        <v>0</v>
      </c>
      <c r="AC676" s="10" t="str">
        <f t="shared" si="66"/>
        <v>sin venta</v>
      </c>
      <c r="AD676" s="8" t="s">
        <v>46</v>
      </c>
      <c r="AE676" s="11">
        <v>64990</v>
      </c>
      <c r="AF676" s="11">
        <f t="shared" si="67"/>
        <v>64990</v>
      </c>
      <c r="AG676" s="12" t="s">
        <v>73</v>
      </c>
      <c r="AH676" s="8" t="s">
        <v>35</v>
      </c>
    </row>
    <row r="677" spans="1:34">
      <c r="A677" s="8" t="s">
        <v>983</v>
      </c>
      <c r="B677" s="16" t="s">
        <v>661</v>
      </c>
      <c r="C677" s="8" t="s">
        <v>533</v>
      </c>
      <c r="D677" s="8" t="s">
        <v>978</v>
      </c>
      <c r="E677" s="8" t="str">
        <f t="shared" si="65"/>
        <v>NEGRO</v>
      </c>
      <c r="H677" s="8" t="str">
        <f>VLOOKUP(A677,[1]BBDD!$B$1:$J$3274,9,FALSE)</f>
        <v>H</v>
      </c>
      <c r="I677" s="8" t="s">
        <v>2863</v>
      </c>
      <c r="J677" s="8" t="s">
        <v>984</v>
      </c>
      <c r="L677" s="8" t="s">
        <v>985</v>
      </c>
      <c r="N677" s="8" t="s">
        <v>44</v>
      </c>
      <c r="O677" s="8" t="s">
        <v>44</v>
      </c>
      <c r="P677" s="18" t="str">
        <f t="shared" si="68"/>
        <v>M</v>
      </c>
      <c r="Q677" s="8" t="s">
        <v>45</v>
      </c>
      <c r="R677" s="8">
        <v>0</v>
      </c>
      <c r="S677" s="8">
        <v>1</v>
      </c>
      <c r="T677" s="8">
        <f t="shared" si="63"/>
        <v>1</v>
      </c>
      <c r="U677" s="8">
        <v>0</v>
      </c>
      <c r="V677" s="8">
        <v>0</v>
      </c>
      <c r="W677" s="8">
        <v>1</v>
      </c>
      <c r="X677" s="8">
        <v>0</v>
      </c>
      <c r="Y677" s="8">
        <v>0</v>
      </c>
      <c r="Z677" s="8">
        <v>0</v>
      </c>
      <c r="AA677" s="8">
        <v>180</v>
      </c>
      <c r="AB677" s="9">
        <f t="shared" si="64"/>
        <v>0.16666666666666669</v>
      </c>
      <c r="AC677" s="10">
        <f t="shared" si="66"/>
        <v>5.9999999999999991</v>
      </c>
      <c r="AD677" s="8" t="s">
        <v>46</v>
      </c>
      <c r="AE677" s="11">
        <v>110990</v>
      </c>
      <c r="AF677" s="11">
        <f t="shared" si="67"/>
        <v>110990</v>
      </c>
      <c r="AG677" s="12" t="s">
        <v>34</v>
      </c>
      <c r="AH677" s="8" t="s">
        <v>35</v>
      </c>
    </row>
    <row r="678" spans="1:34">
      <c r="A678" s="8" t="s">
        <v>986</v>
      </c>
      <c r="B678" s="16" t="s">
        <v>661</v>
      </c>
      <c r="C678" s="8" t="s">
        <v>533</v>
      </c>
      <c r="D678" s="8" t="s">
        <v>978</v>
      </c>
      <c r="E678" s="8" t="str">
        <f t="shared" si="65"/>
        <v>VERDE</v>
      </c>
      <c r="H678" s="8" t="str">
        <f>VLOOKUP(A678,[1]BBDD!$B$1:$J$3274,9,FALSE)</f>
        <v>H</v>
      </c>
      <c r="I678" s="8" t="s">
        <v>2863</v>
      </c>
      <c r="J678" s="8" t="s">
        <v>984</v>
      </c>
      <c r="L678" s="8" t="s">
        <v>985</v>
      </c>
      <c r="N678" s="8" t="s">
        <v>92</v>
      </c>
      <c r="O678" s="8" t="s">
        <v>92</v>
      </c>
      <c r="P678" s="18" t="str">
        <f t="shared" si="68"/>
        <v>S</v>
      </c>
      <c r="Q678" s="8" t="s">
        <v>45</v>
      </c>
      <c r="R678" s="8">
        <v>0</v>
      </c>
      <c r="S678" s="8">
        <v>1</v>
      </c>
      <c r="T678" s="8">
        <f t="shared" si="63"/>
        <v>1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180</v>
      </c>
      <c r="AB678" s="9">
        <f t="shared" si="64"/>
        <v>0</v>
      </c>
      <c r="AC678" s="10" t="str">
        <f t="shared" si="66"/>
        <v>sin venta</v>
      </c>
      <c r="AD678" s="8" t="s">
        <v>46</v>
      </c>
      <c r="AE678" s="11">
        <v>110990</v>
      </c>
      <c r="AF678" s="11">
        <f t="shared" si="67"/>
        <v>110990</v>
      </c>
      <c r="AG678" s="12" t="s">
        <v>73</v>
      </c>
      <c r="AH678" s="8" t="s">
        <v>35</v>
      </c>
    </row>
    <row r="679" spans="1:34">
      <c r="A679" s="8" t="s">
        <v>987</v>
      </c>
      <c r="B679" s="16" t="s">
        <v>988</v>
      </c>
      <c r="C679" s="8" t="s">
        <v>533</v>
      </c>
      <c r="D679" s="8" t="s">
        <v>989</v>
      </c>
      <c r="E679" s="8" t="str">
        <f t="shared" si="65"/>
        <v>CELESTE</v>
      </c>
      <c r="H679" s="8" t="str">
        <f>VLOOKUP(A679,[1]BBDD!$B$1:$J$3274,9,FALSE)</f>
        <v>M</v>
      </c>
      <c r="I679" s="8" t="s">
        <v>2862</v>
      </c>
      <c r="J679" s="8" t="s">
        <v>990</v>
      </c>
      <c r="L679" s="8" t="s">
        <v>566</v>
      </c>
      <c r="N679" s="8" t="s">
        <v>608</v>
      </c>
      <c r="O679" s="8" t="s">
        <v>608</v>
      </c>
      <c r="Q679" s="8" t="s">
        <v>32</v>
      </c>
      <c r="R679" s="8">
        <v>144</v>
      </c>
      <c r="S679" s="8">
        <v>6</v>
      </c>
      <c r="T679" s="8">
        <f t="shared" si="63"/>
        <v>150</v>
      </c>
      <c r="U679" s="8">
        <v>0</v>
      </c>
      <c r="V679" s="8">
        <v>0</v>
      </c>
      <c r="W679" s="8">
        <v>0</v>
      </c>
      <c r="X679" s="8">
        <v>1</v>
      </c>
      <c r="Y679" s="8">
        <v>3</v>
      </c>
      <c r="Z679" s="8">
        <v>0</v>
      </c>
      <c r="AA679" s="8">
        <v>180</v>
      </c>
      <c r="AB679" s="9">
        <f t="shared" si="64"/>
        <v>0.66666666666666674</v>
      </c>
      <c r="AC679" s="10">
        <f t="shared" si="66"/>
        <v>224.99999999999997</v>
      </c>
      <c r="AD679" s="8" t="s">
        <v>991</v>
      </c>
      <c r="AE679" s="11">
        <v>29990</v>
      </c>
      <c r="AF679" s="11">
        <f t="shared" si="67"/>
        <v>4498500</v>
      </c>
      <c r="AG679" s="12" t="s">
        <v>73</v>
      </c>
      <c r="AH679" s="8" t="s">
        <v>74</v>
      </c>
    </row>
    <row r="680" spans="1:34">
      <c r="A680" s="8" t="s">
        <v>992</v>
      </c>
      <c r="B680" s="16" t="s">
        <v>988</v>
      </c>
      <c r="C680" s="8" t="s">
        <v>533</v>
      </c>
      <c r="D680" s="8" t="s">
        <v>989</v>
      </c>
      <c r="E680" s="8" t="str">
        <f t="shared" si="65"/>
        <v>GRIS</v>
      </c>
      <c r="H680" s="8" t="str">
        <f>VLOOKUP(A680,[1]BBDD!$B$1:$J$3274,9,FALSE)</f>
        <v>M</v>
      </c>
      <c r="I680" s="8" t="s">
        <v>2862</v>
      </c>
      <c r="J680" s="8" t="s">
        <v>990</v>
      </c>
      <c r="L680" s="8" t="s">
        <v>566</v>
      </c>
      <c r="N680" s="8" t="s">
        <v>510</v>
      </c>
      <c r="O680" s="8" t="s">
        <v>510</v>
      </c>
      <c r="Q680" s="8" t="s">
        <v>32</v>
      </c>
      <c r="R680" s="8">
        <v>131</v>
      </c>
      <c r="S680" s="8">
        <v>5</v>
      </c>
      <c r="T680" s="8">
        <f t="shared" si="63"/>
        <v>136</v>
      </c>
      <c r="U680" s="8">
        <v>6</v>
      </c>
      <c r="V680" s="8">
        <v>4</v>
      </c>
      <c r="W680" s="8">
        <v>2</v>
      </c>
      <c r="X680" s="8">
        <v>7</v>
      </c>
      <c r="Y680" s="8">
        <v>3</v>
      </c>
      <c r="Z680" s="8">
        <v>0</v>
      </c>
      <c r="AA680" s="8">
        <v>180</v>
      </c>
      <c r="AB680" s="9">
        <f t="shared" si="64"/>
        <v>3.6666666666666665</v>
      </c>
      <c r="AC680" s="10">
        <f t="shared" si="66"/>
        <v>37.090909090909093</v>
      </c>
      <c r="AD680" s="8" t="s">
        <v>991</v>
      </c>
      <c r="AE680" s="11">
        <v>29990</v>
      </c>
      <c r="AF680" s="11">
        <f t="shared" si="67"/>
        <v>4078640</v>
      </c>
      <c r="AG680" s="12" t="s">
        <v>73</v>
      </c>
      <c r="AH680" s="8" t="s">
        <v>74</v>
      </c>
    </row>
    <row r="681" spans="1:34">
      <c r="A681" s="8" t="s">
        <v>993</v>
      </c>
      <c r="B681" s="16" t="s">
        <v>988</v>
      </c>
      <c r="C681" s="8" t="s">
        <v>533</v>
      </c>
      <c r="D681" s="8" t="s">
        <v>989</v>
      </c>
      <c r="E681" s="8" t="str">
        <f t="shared" si="65"/>
        <v>NEGRO</v>
      </c>
      <c r="H681" s="8" t="str">
        <f>VLOOKUP(A681,[1]BBDD!$B$1:$J$3274,9,FALSE)</f>
        <v>M</v>
      </c>
      <c r="I681" s="8" t="s">
        <v>2862</v>
      </c>
      <c r="J681" s="8" t="s">
        <v>990</v>
      </c>
      <c r="L681" s="8" t="s">
        <v>566</v>
      </c>
      <c r="N681" s="8" t="s">
        <v>44</v>
      </c>
      <c r="O681" s="8" t="s">
        <v>44</v>
      </c>
      <c r="Q681" s="8" t="s">
        <v>32</v>
      </c>
      <c r="R681" s="8">
        <v>101</v>
      </c>
      <c r="S681" s="8">
        <v>9</v>
      </c>
      <c r="T681" s="8">
        <f t="shared" si="63"/>
        <v>110</v>
      </c>
      <c r="U681" s="8">
        <v>1</v>
      </c>
      <c r="V681" s="8">
        <v>4</v>
      </c>
      <c r="W681" s="8">
        <v>11</v>
      </c>
      <c r="X681" s="8">
        <v>10</v>
      </c>
      <c r="Y681" s="8">
        <v>5</v>
      </c>
      <c r="Z681" s="8">
        <v>1</v>
      </c>
      <c r="AA681" s="8">
        <v>180</v>
      </c>
      <c r="AB681" s="9">
        <f t="shared" si="64"/>
        <v>5.3333333333333339</v>
      </c>
      <c r="AC681" s="10">
        <f t="shared" si="66"/>
        <v>20.624999999999996</v>
      </c>
      <c r="AD681" s="8" t="s">
        <v>991</v>
      </c>
      <c r="AE681" s="11">
        <v>29990</v>
      </c>
      <c r="AF681" s="11">
        <f t="shared" si="67"/>
        <v>3298900</v>
      </c>
      <c r="AG681" s="12" t="s">
        <v>64</v>
      </c>
      <c r="AH681" s="8" t="s">
        <v>74</v>
      </c>
    </row>
    <row r="682" spans="1:34">
      <c r="A682" s="8" t="s">
        <v>994</v>
      </c>
      <c r="B682" s="16" t="s">
        <v>988</v>
      </c>
      <c r="C682" s="8" t="s">
        <v>533</v>
      </c>
      <c r="D682" s="8" t="s">
        <v>989</v>
      </c>
      <c r="E682" s="8" t="str">
        <f t="shared" si="65"/>
        <v>ROSA</v>
      </c>
      <c r="H682" s="8" t="str">
        <f>VLOOKUP(A682,[1]BBDD!$B$1:$J$3274,9,FALSE)</f>
        <v>M</v>
      </c>
      <c r="I682" s="8" t="s">
        <v>2862</v>
      </c>
      <c r="J682" s="8" t="s">
        <v>990</v>
      </c>
      <c r="L682" s="8" t="s">
        <v>566</v>
      </c>
      <c r="N682" s="8" t="s">
        <v>180</v>
      </c>
      <c r="O682" s="8" t="s">
        <v>180</v>
      </c>
      <c r="Q682" s="8" t="s">
        <v>32</v>
      </c>
      <c r="R682" s="8">
        <v>116</v>
      </c>
      <c r="S682" s="8">
        <v>4</v>
      </c>
      <c r="T682" s="8">
        <f t="shared" si="63"/>
        <v>120</v>
      </c>
      <c r="U682" s="8">
        <v>0</v>
      </c>
      <c r="V682" s="8">
        <v>0</v>
      </c>
      <c r="W682" s="8">
        <v>0</v>
      </c>
      <c r="X682" s="8">
        <v>3</v>
      </c>
      <c r="Y682" s="8">
        <v>2</v>
      </c>
      <c r="Z682" s="8">
        <v>1</v>
      </c>
      <c r="AA682" s="8">
        <v>180</v>
      </c>
      <c r="AB682" s="9">
        <f t="shared" si="64"/>
        <v>1</v>
      </c>
      <c r="AC682" s="10">
        <f t="shared" si="66"/>
        <v>120</v>
      </c>
      <c r="AD682" s="8" t="s">
        <v>991</v>
      </c>
      <c r="AE682" s="11">
        <v>29990</v>
      </c>
      <c r="AF682" s="11">
        <f t="shared" si="67"/>
        <v>3598800</v>
      </c>
      <c r="AG682" s="12" t="s">
        <v>73</v>
      </c>
      <c r="AH682" s="8" t="s">
        <v>74</v>
      </c>
    </row>
    <row r="683" spans="1:34">
      <c r="A683" s="8" t="s">
        <v>995</v>
      </c>
      <c r="B683" s="16" t="s">
        <v>988</v>
      </c>
      <c r="C683" s="8" t="s">
        <v>533</v>
      </c>
      <c r="D683" s="8" t="s">
        <v>989</v>
      </c>
      <c r="E683" s="8" t="str">
        <f t="shared" si="65"/>
        <v>BEIGE</v>
      </c>
      <c r="H683" s="8" t="str">
        <f>VLOOKUP(A683,[1]BBDD!$B$1:$J$3274,9,FALSE)</f>
        <v>M</v>
      </c>
      <c r="I683" s="8" t="s">
        <v>2862</v>
      </c>
      <c r="J683" s="8" t="s">
        <v>990</v>
      </c>
      <c r="L683" s="8" t="s">
        <v>566</v>
      </c>
      <c r="N683" s="8" t="s">
        <v>516</v>
      </c>
      <c r="O683" s="8" t="s">
        <v>516</v>
      </c>
      <c r="Q683" s="8" t="s">
        <v>32</v>
      </c>
      <c r="R683" s="8">
        <v>124</v>
      </c>
      <c r="S683" s="8">
        <v>4</v>
      </c>
      <c r="T683" s="8">
        <f t="shared" si="63"/>
        <v>128</v>
      </c>
      <c r="U683" s="8">
        <v>2</v>
      </c>
      <c r="V683" s="8">
        <v>5</v>
      </c>
      <c r="W683" s="8">
        <v>8</v>
      </c>
      <c r="X683" s="8">
        <v>5</v>
      </c>
      <c r="Y683" s="8">
        <v>2</v>
      </c>
      <c r="Z683" s="8">
        <v>0</v>
      </c>
      <c r="AA683" s="8">
        <v>180</v>
      </c>
      <c r="AB683" s="9">
        <f t="shared" si="64"/>
        <v>3.6666666666666665</v>
      </c>
      <c r="AC683" s="10">
        <f t="shared" si="66"/>
        <v>34.909090909090914</v>
      </c>
      <c r="AD683" s="8" t="s">
        <v>991</v>
      </c>
      <c r="AE683" s="11">
        <v>29990</v>
      </c>
      <c r="AF683" s="11">
        <f t="shared" si="67"/>
        <v>3838720</v>
      </c>
      <c r="AG683" s="12" t="s">
        <v>73</v>
      </c>
      <c r="AH683" s="8" t="s">
        <v>74</v>
      </c>
    </row>
    <row r="684" spans="1:34">
      <c r="A684" s="8" t="s">
        <v>996</v>
      </c>
      <c r="B684" s="16" t="s">
        <v>988</v>
      </c>
      <c r="C684" s="8" t="s">
        <v>533</v>
      </c>
      <c r="D684" s="8" t="s">
        <v>989</v>
      </c>
      <c r="E684" s="8" t="str">
        <f t="shared" si="65"/>
        <v>OFF WHITE</v>
      </c>
      <c r="H684" s="8" t="str">
        <f>VLOOKUP(A684,[1]BBDD!$B$1:$J$3274,9,FALSE)</f>
        <v>M</v>
      </c>
      <c r="I684" s="8" t="s">
        <v>2862</v>
      </c>
      <c r="J684" s="8" t="s">
        <v>990</v>
      </c>
      <c r="L684" s="8" t="s">
        <v>566</v>
      </c>
      <c r="N684" s="8" t="s">
        <v>997</v>
      </c>
      <c r="O684" s="8" t="s">
        <v>997</v>
      </c>
      <c r="Q684" s="8" t="s">
        <v>32</v>
      </c>
      <c r="R684" s="8">
        <v>46</v>
      </c>
      <c r="S684" s="8">
        <v>6</v>
      </c>
      <c r="T684" s="8">
        <f t="shared" si="63"/>
        <v>52</v>
      </c>
      <c r="U684" s="8">
        <v>5</v>
      </c>
      <c r="V684" s="8">
        <v>4</v>
      </c>
      <c r="W684" s="8">
        <v>3</v>
      </c>
      <c r="X684" s="8">
        <v>8</v>
      </c>
      <c r="Y684" s="8">
        <v>2</v>
      </c>
      <c r="Z684" s="8">
        <v>2</v>
      </c>
      <c r="AA684" s="8">
        <v>180</v>
      </c>
      <c r="AB684" s="9">
        <f t="shared" si="64"/>
        <v>4</v>
      </c>
      <c r="AC684" s="10">
        <f t="shared" si="66"/>
        <v>13</v>
      </c>
      <c r="AD684" s="8" t="s">
        <v>991</v>
      </c>
      <c r="AE684" s="11">
        <v>29990</v>
      </c>
      <c r="AF684" s="11">
        <f t="shared" si="67"/>
        <v>1559480</v>
      </c>
      <c r="AG684" s="12" t="s">
        <v>64</v>
      </c>
      <c r="AH684" s="8" t="s">
        <v>74</v>
      </c>
    </row>
    <row r="685" spans="1:34">
      <c r="A685" s="8" t="s">
        <v>998</v>
      </c>
      <c r="B685" s="16" t="s">
        <v>999</v>
      </c>
      <c r="C685" s="8" t="s">
        <v>533</v>
      </c>
      <c r="D685" s="8" t="s">
        <v>1000</v>
      </c>
      <c r="E685" s="8" t="str">
        <f t="shared" si="65"/>
        <v>AZUL MARINO</v>
      </c>
      <c r="G685" s="8" t="s">
        <v>2863</v>
      </c>
      <c r="H685" s="8" t="str">
        <f>VLOOKUP(A685,[1]BBDD!$B$1:$J$3274,9,FALSE)</f>
        <v>H</v>
      </c>
      <c r="I685" s="8" t="s">
        <v>2863</v>
      </c>
      <c r="J685" s="8" t="s">
        <v>1001</v>
      </c>
      <c r="L685" s="8" t="s">
        <v>1002</v>
      </c>
      <c r="N685" s="8" t="s">
        <v>1003</v>
      </c>
      <c r="O685" s="8" t="s">
        <v>1003</v>
      </c>
      <c r="P685" s="18" t="str">
        <f t="shared" ref="P685:P708" si="69">RIGHT(A685,LEN(A685)-FIND("-",A685))</f>
        <v>L</v>
      </c>
      <c r="Q685" s="8" t="s">
        <v>45</v>
      </c>
      <c r="R685" s="8">
        <v>85</v>
      </c>
      <c r="S685" s="8">
        <v>6</v>
      </c>
      <c r="T685" s="8">
        <f t="shared" si="63"/>
        <v>91</v>
      </c>
      <c r="U685" s="8">
        <v>2</v>
      </c>
      <c r="V685" s="8">
        <v>0</v>
      </c>
      <c r="W685" s="8">
        <v>3</v>
      </c>
      <c r="X685" s="8">
        <v>0</v>
      </c>
      <c r="Y685" s="8">
        <v>1</v>
      </c>
      <c r="Z685" s="8">
        <v>1</v>
      </c>
      <c r="AA685" s="8">
        <v>180</v>
      </c>
      <c r="AB685" s="9">
        <f t="shared" si="64"/>
        <v>1.1666666666666667</v>
      </c>
      <c r="AC685" s="10">
        <f t="shared" si="66"/>
        <v>78</v>
      </c>
      <c r="AD685" s="8" t="s">
        <v>568</v>
      </c>
      <c r="AE685" s="11">
        <v>69990</v>
      </c>
      <c r="AF685" s="11">
        <f t="shared" si="67"/>
        <v>6369090</v>
      </c>
      <c r="AG685" s="12" t="s">
        <v>73</v>
      </c>
      <c r="AH685" s="8" t="s">
        <v>74</v>
      </c>
    </row>
    <row r="686" spans="1:34">
      <c r="A686" s="8" t="s">
        <v>1004</v>
      </c>
      <c r="B686" s="16" t="s">
        <v>999</v>
      </c>
      <c r="C686" s="8" t="s">
        <v>533</v>
      </c>
      <c r="D686" s="8" t="s">
        <v>1000</v>
      </c>
      <c r="E686" s="8" t="str">
        <f t="shared" si="65"/>
        <v>AZUL MARINO</v>
      </c>
      <c r="G686" s="8" t="s">
        <v>2863</v>
      </c>
      <c r="H686" s="8" t="str">
        <f>VLOOKUP(A686,[1]BBDD!$B$1:$J$3274,9,FALSE)</f>
        <v>H</v>
      </c>
      <c r="I686" s="8" t="s">
        <v>2863</v>
      </c>
      <c r="J686" s="8" t="s">
        <v>1001</v>
      </c>
      <c r="L686" s="8" t="s">
        <v>1002</v>
      </c>
      <c r="N686" s="8" t="s">
        <v>1003</v>
      </c>
      <c r="O686" s="8" t="s">
        <v>1003</v>
      </c>
      <c r="P686" s="18" t="str">
        <f t="shared" si="69"/>
        <v>M</v>
      </c>
      <c r="Q686" s="8" t="s">
        <v>45</v>
      </c>
      <c r="R686" s="8">
        <v>42</v>
      </c>
      <c r="S686" s="8">
        <v>8</v>
      </c>
      <c r="T686" s="8">
        <f t="shared" ref="T686:T695" si="70">SUM(R686:S686)</f>
        <v>50</v>
      </c>
      <c r="U686" s="8">
        <v>2</v>
      </c>
      <c r="V686" s="8">
        <v>0</v>
      </c>
      <c r="W686" s="8">
        <v>0</v>
      </c>
      <c r="X686" s="8">
        <v>1</v>
      </c>
      <c r="Y686" s="8">
        <v>0</v>
      </c>
      <c r="Z686" s="8">
        <v>4</v>
      </c>
      <c r="AA686" s="8">
        <v>180</v>
      </c>
      <c r="AB686" s="9">
        <f t="shared" ref="AB686:AB695" si="71">SUM(U686:Z686)/AA686*30</f>
        <v>1.1666666666666667</v>
      </c>
      <c r="AC686" s="10">
        <f t="shared" si="66"/>
        <v>42.857142857142854</v>
      </c>
      <c r="AD686" s="8" t="s">
        <v>568</v>
      </c>
      <c r="AE686" s="11">
        <v>69990</v>
      </c>
      <c r="AF686" s="11">
        <f t="shared" si="67"/>
        <v>3499500</v>
      </c>
      <c r="AG686" s="12" t="s">
        <v>73</v>
      </c>
      <c r="AH686" s="8" t="s">
        <v>74</v>
      </c>
    </row>
    <row r="687" spans="1:34">
      <c r="A687" s="8" t="s">
        <v>1005</v>
      </c>
      <c r="B687" s="16" t="s">
        <v>999</v>
      </c>
      <c r="C687" s="8" t="s">
        <v>533</v>
      </c>
      <c r="D687" s="8" t="s">
        <v>1000</v>
      </c>
      <c r="E687" s="8" t="str">
        <f t="shared" si="65"/>
        <v>AZUL MARINO</v>
      </c>
      <c r="G687" s="8" t="s">
        <v>2863</v>
      </c>
      <c r="H687" s="8" t="str">
        <f>VLOOKUP(A687,[1]BBDD!$B$1:$J$3274,9,FALSE)</f>
        <v>H</v>
      </c>
      <c r="I687" s="8" t="s">
        <v>2863</v>
      </c>
      <c r="J687" s="8" t="s">
        <v>1001</v>
      </c>
      <c r="L687" s="8" t="s">
        <v>1002</v>
      </c>
      <c r="N687" s="8" t="s">
        <v>1003</v>
      </c>
      <c r="O687" s="8" t="s">
        <v>1003</v>
      </c>
      <c r="P687" s="18" t="str">
        <f t="shared" si="69"/>
        <v>S</v>
      </c>
      <c r="Q687" s="8" t="s">
        <v>45</v>
      </c>
      <c r="R687" s="8">
        <v>22</v>
      </c>
      <c r="S687" s="8">
        <v>5</v>
      </c>
      <c r="T687" s="8">
        <f t="shared" si="70"/>
        <v>27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180</v>
      </c>
      <c r="AB687" s="9">
        <f t="shared" si="71"/>
        <v>0</v>
      </c>
      <c r="AC687" s="10" t="str">
        <f t="shared" si="66"/>
        <v>sin venta</v>
      </c>
      <c r="AD687" s="8" t="s">
        <v>568</v>
      </c>
      <c r="AE687" s="11">
        <v>69990</v>
      </c>
      <c r="AF687" s="11">
        <f t="shared" si="67"/>
        <v>1889730</v>
      </c>
      <c r="AG687" s="12" t="s">
        <v>73</v>
      </c>
      <c r="AH687" s="8" t="s">
        <v>74</v>
      </c>
    </row>
    <row r="688" spans="1:34">
      <c r="A688" s="8" t="s">
        <v>1006</v>
      </c>
      <c r="B688" s="16" t="s">
        <v>999</v>
      </c>
      <c r="C688" s="8" t="s">
        <v>533</v>
      </c>
      <c r="D688" s="8" t="s">
        <v>1000</v>
      </c>
      <c r="E688" s="8" t="str">
        <f t="shared" si="65"/>
        <v>AZUL MARINO</v>
      </c>
      <c r="G688" s="8" t="s">
        <v>2863</v>
      </c>
      <c r="H688" s="8" t="str">
        <f>VLOOKUP(A688,[1]BBDD!$B$1:$J$3274,9,FALSE)</f>
        <v>H</v>
      </c>
      <c r="I688" s="8" t="s">
        <v>2863</v>
      </c>
      <c r="J688" s="8" t="s">
        <v>1001</v>
      </c>
      <c r="L688" s="8" t="s">
        <v>1002</v>
      </c>
      <c r="N688" s="8" t="s">
        <v>1003</v>
      </c>
      <c r="O688" s="8" t="s">
        <v>1003</v>
      </c>
      <c r="P688" s="18" t="str">
        <f t="shared" si="69"/>
        <v>XL</v>
      </c>
      <c r="Q688" s="8" t="s">
        <v>45</v>
      </c>
      <c r="R688" s="8">
        <v>47</v>
      </c>
      <c r="S688" s="8">
        <v>8</v>
      </c>
      <c r="T688" s="8">
        <f t="shared" si="70"/>
        <v>55</v>
      </c>
      <c r="U688" s="8">
        <v>0</v>
      </c>
      <c r="V688" s="8">
        <v>0</v>
      </c>
      <c r="W688" s="8">
        <v>2</v>
      </c>
      <c r="X688" s="8">
        <v>1</v>
      </c>
      <c r="Y688" s="8">
        <v>0</v>
      </c>
      <c r="Z688" s="8">
        <v>0</v>
      </c>
      <c r="AA688" s="8">
        <v>180</v>
      </c>
      <c r="AB688" s="9">
        <f t="shared" si="71"/>
        <v>0.5</v>
      </c>
      <c r="AC688" s="10">
        <f t="shared" si="66"/>
        <v>110</v>
      </c>
      <c r="AD688" s="8" t="s">
        <v>568</v>
      </c>
      <c r="AE688" s="11">
        <v>69990</v>
      </c>
      <c r="AF688" s="11">
        <f t="shared" si="67"/>
        <v>3849450</v>
      </c>
      <c r="AG688" s="12" t="s">
        <v>73</v>
      </c>
      <c r="AH688" s="8" t="s">
        <v>74</v>
      </c>
    </row>
    <row r="689" spans="1:34">
      <c r="A689" s="8" t="s">
        <v>1007</v>
      </c>
      <c r="B689" s="16" t="s">
        <v>999</v>
      </c>
      <c r="C689" s="8" t="s">
        <v>533</v>
      </c>
      <c r="D689" s="8" t="s">
        <v>1000</v>
      </c>
      <c r="E689" s="8" t="str">
        <f t="shared" si="65"/>
        <v>AZUL MARINO</v>
      </c>
      <c r="G689" s="8" t="s">
        <v>2863</v>
      </c>
      <c r="H689" s="8" t="str">
        <f>VLOOKUP(A689,[1]BBDD!$B$1:$J$3274,9,FALSE)</f>
        <v>H</v>
      </c>
      <c r="I689" s="8" t="s">
        <v>2863</v>
      </c>
      <c r="J689" s="8" t="s">
        <v>1001</v>
      </c>
      <c r="L689" s="8" t="s">
        <v>1002</v>
      </c>
      <c r="N689" s="8" t="s">
        <v>1003</v>
      </c>
      <c r="O689" s="8" t="s">
        <v>1003</v>
      </c>
      <c r="P689" s="18" t="str">
        <f t="shared" si="69"/>
        <v>XXL</v>
      </c>
      <c r="Q689" s="8" t="s">
        <v>45</v>
      </c>
      <c r="R689" s="8">
        <v>10</v>
      </c>
      <c r="S689" s="8">
        <v>9</v>
      </c>
      <c r="T689" s="8">
        <f t="shared" si="70"/>
        <v>19</v>
      </c>
      <c r="U689" s="8">
        <v>6</v>
      </c>
      <c r="V689" s="8">
        <v>0</v>
      </c>
      <c r="W689" s="8">
        <v>0</v>
      </c>
      <c r="X689" s="8">
        <v>0</v>
      </c>
      <c r="Y689" s="8">
        <v>3</v>
      </c>
      <c r="Z689" s="8">
        <v>0</v>
      </c>
      <c r="AA689" s="8">
        <v>180</v>
      </c>
      <c r="AB689" s="9">
        <f t="shared" si="71"/>
        <v>1.5</v>
      </c>
      <c r="AC689" s="10">
        <f t="shared" si="66"/>
        <v>12.666666666666666</v>
      </c>
      <c r="AD689" s="8" t="s">
        <v>568</v>
      </c>
      <c r="AE689" s="11">
        <v>69990</v>
      </c>
      <c r="AF689" s="11">
        <f t="shared" si="67"/>
        <v>1329810</v>
      </c>
      <c r="AG689" s="12" t="s">
        <v>64</v>
      </c>
      <c r="AH689" s="8" t="s">
        <v>65</v>
      </c>
    </row>
    <row r="690" spans="1:34">
      <c r="A690" s="8" t="s">
        <v>1008</v>
      </c>
      <c r="B690" s="16" t="s">
        <v>999</v>
      </c>
      <c r="C690" s="8" t="s">
        <v>533</v>
      </c>
      <c r="D690" s="8" t="s">
        <v>1000</v>
      </c>
      <c r="E690" s="8" t="str">
        <f t="shared" si="65"/>
        <v>AZUL MARINO</v>
      </c>
      <c r="G690" s="8" t="s">
        <v>2863</v>
      </c>
      <c r="H690" s="8" t="str">
        <f>VLOOKUP(A690,[1]BBDD!$B$1:$J$3274,9,FALSE)</f>
        <v>H</v>
      </c>
      <c r="I690" s="8" t="s">
        <v>2863</v>
      </c>
      <c r="J690" s="8" t="s">
        <v>1001</v>
      </c>
      <c r="L690" s="8" t="s">
        <v>1002</v>
      </c>
      <c r="N690" s="8" t="s">
        <v>1003</v>
      </c>
      <c r="O690" s="8" t="s">
        <v>1003</v>
      </c>
      <c r="P690" s="18" t="str">
        <f t="shared" si="69"/>
        <v>XXXL</v>
      </c>
      <c r="Q690" s="8" t="s">
        <v>45</v>
      </c>
      <c r="R690" s="8">
        <v>7</v>
      </c>
      <c r="S690" s="8">
        <v>6</v>
      </c>
      <c r="T690" s="8">
        <f t="shared" si="70"/>
        <v>13</v>
      </c>
      <c r="U690" s="8">
        <v>1</v>
      </c>
      <c r="V690" s="8">
        <v>1</v>
      </c>
      <c r="W690" s="8">
        <v>0</v>
      </c>
      <c r="X690" s="8">
        <v>0</v>
      </c>
      <c r="Y690" s="8">
        <v>0</v>
      </c>
      <c r="Z690" s="8">
        <v>2</v>
      </c>
      <c r="AA690" s="8">
        <v>180</v>
      </c>
      <c r="AB690" s="9">
        <f t="shared" si="71"/>
        <v>0.66666666666666674</v>
      </c>
      <c r="AC690" s="10">
        <f t="shared" si="66"/>
        <v>19.499999999999996</v>
      </c>
      <c r="AD690" s="8" t="s">
        <v>568</v>
      </c>
      <c r="AE690" s="11">
        <v>69990</v>
      </c>
      <c r="AF690" s="11">
        <f t="shared" si="67"/>
        <v>909870</v>
      </c>
      <c r="AG690" s="12" t="s">
        <v>64</v>
      </c>
      <c r="AH690" s="8" t="s">
        <v>65</v>
      </c>
    </row>
    <row r="691" spans="1:34">
      <c r="A691" s="8" t="s">
        <v>1009</v>
      </c>
      <c r="B691" s="16" t="s">
        <v>999</v>
      </c>
      <c r="C691" s="8" t="s">
        <v>533</v>
      </c>
      <c r="D691" s="8" t="s">
        <v>1000</v>
      </c>
      <c r="E691" s="8" t="str">
        <f t="shared" si="65"/>
        <v>BLANCO</v>
      </c>
      <c r="G691" s="8" t="s">
        <v>2863</v>
      </c>
      <c r="H691" s="8" t="str">
        <f>VLOOKUP(A691,[1]BBDD!$B$1:$J$3274,9,FALSE)</f>
        <v>H</v>
      </c>
      <c r="I691" s="8" t="s">
        <v>2863</v>
      </c>
      <c r="J691" s="8" t="s">
        <v>1001</v>
      </c>
      <c r="L691" s="8" t="s">
        <v>1002</v>
      </c>
      <c r="N691" s="8" t="s">
        <v>646</v>
      </c>
      <c r="O691" s="8" t="s">
        <v>646</v>
      </c>
      <c r="P691" s="18" t="str">
        <f t="shared" si="69"/>
        <v>L</v>
      </c>
      <c r="Q691" s="8" t="s">
        <v>45</v>
      </c>
      <c r="R691" s="8">
        <v>77</v>
      </c>
      <c r="S691" s="8">
        <v>7</v>
      </c>
      <c r="T691" s="8">
        <f t="shared" si="70"/>
        <v>84</v>
      </c>
      <c r="U691" s="8">
        <v>1</v>
      </c>
      <c r="V691" s="8">
        <v>0</v>
      </c>
      <c r="W691" s="8">
        <v>0</v>
      </c>
      <c r="X691" s="8">
        <v>0</v>
      </c>
      <c r="Y691" s="8">
        <v>1</v>
      </c>
      <c r="Z691" s="8">
        <v>1</v>
      </c>
      <c r="AA691" s="8">
        <v>180</v>
      </c>
      <c r="AB691" s="9">
        <f t="shared" si="71"/>
        <v>0.5</v>
      </c>
      <c r="AC691" s="10">
        <f t="shared" si="66"/>
        <v>168</v>
      </c>
      <c r="AD691" s="8" t="s">
        <v>568</v>
      </c>
      <c r="AE691" s="11">
        <v>69990</v>
      </c>
      <c r="AF691" s="11">
        <f t="shared" si="67"/>
        <v>5879160</v>
      </c>
      <c r="AG691" s="12" t="s">
        <v>73</v>
      </c>
      <c r="AH691" s="8" t="s">
        <v>74</v>
      </c>
    </row>
    <row r="692" spans="1:34">
      <c r="A692" s="8" t="s">
        <v>1010</v>
      </c>
      <c r="B692" s="16" t="s">
        <v>999</v>
      </c>
      <c r="C692" s="8" t="s">
        <v>533</v>
      </c>
      <c r="D692" s="8" t="s">
        <v>1000</v>
      </c>
      <c r="E692" s="8" t="str">
        <f t="shared" si="65"/>
        <v>BLANCO</v>
      </c>
      <c r="G692" s="8" t="s">
        <v>2863</v>
      </c>
      <c r="H692" s="8" t="str">
        <f>VLOOKUP(A692,[1]BBDD!$B$1:$J$3274,9,FALSE)</f>
        <v>H</v>
      </c>
      <c r="I692" s="8" t="s">
        <v>2863</v>
      </c>
      <c r="J692" s="8" t="s">
        <v>1001</v>
      </c>
      <c r="L692" s="8" t="s">
        <v>1002</v>
      </c>
      <c r="N692" s="8" t="s">
        <v>646</v>
      </c>
      <c r="O692" s="8" t="s">
        <v>646</v>
      </c>
      <c r="P692" s="18" t="str">
        <f t="shared" si="69"/>
        <v>M</v>
      </c>
      <c r="Q692" s="8" t="s">
        <v>45</v>
      </c>
      <c r="R692" s="8">
        <v>60</v>
      </c>
      <c r="S692" s="8">
        <v>3</v>
      </c>
      <c r="T692" s="8">
        <f t="shared" si="70"/>
        <v>63</v>
      </c>
      <c r="U692" s="8">
        <v>1</v>
      </c>
      <c r="V692" s="8">
        <v>0</v>
      </c>
      <c r="W692" s="8">
        <v>0</v>
      </c>
      <c r="X692" s="8">
        <v>1</v>
      </c>
      <c r="Y692" s="8">
        <v>0</v>
      </c>
      <c r="Z692" s="8">
        <v>2</v>
      </c>
      <c r="AA692" s="8">
        <v>180</v>
      </c>
      <c r="AB692" s="9">
        <f t="shared" si="71"/>
        <v>0.66666666666666674</v>
      </c>
      <c r="AC692" s="10">
        <f t="shared" si="66"/>
        <v>94.499999999999986</v>
      </c>
      <c r="AD692" s="8" t="s">
        <v>568</v>
      </c>
      <c r="AE692" s="11">
        <v>69990</v>
      </c>
      <c r="AF692" s="11">
        <f t="shared" si="67"/>
        <v>4409370</v>
      </c>
      <c r="AG692" s="12" t="s">
        <v>73</v>
      </c>
      <c r="AH692" s="8" t="s">
        <v>74</v>
      </c>
    </row>
    <row r="693" spans="1:34">
      <c r="A693" s="8" t="s">
        <v>1011</v>
      </c>
      <c r="B693" s="16" t="s">
        <v>999</v>
      </c>
      <c r="C693" s="8" t="s">
        <v>533</v>
      </c>
      <c r="D693" s="8" t="s">
        <v>1000</v>
      </c>
      <c r="E693" s="8" t="str">
        <f t="shared" si="65"/>
        <v>BLANCO</v>
      </c>
      <c r="G693" s="8" t="s">
        <v>2863</v>
      </c>
      <c r="H693" s="8" t="str">
        <f>VLOOKUP(A693,[1]BBDD!$B$1:$J$3274,9,FALSE)</f>
        <v>H</v>
      </c>
      <c r="I693" s="8" t="s">
        <v>2863</v>
      </c>
      <c r="J693" s="8" t="s">
        <v>1001</v>
      </c>
      <c r="L693" s="8" t="s">
        <v>1002</v>
      </c>
      <c r="N693" s="8" t="s">
        <v>646</v>
      </c>
      <c r="O693" s="8" t="s">
        <v>646</v>
      </c>
      <c r="P693" s="18" t="str">
        <f t="shared" si="69"/>
        <v>S</v>
      </c>
      <c r="Q693" s="8" t="s">
        <v>45</v>
      </c>
      <c r="R693" s="8">
        <v>18</v>
      </c>
      <c r="S693" s="8">
        <v>8</v>
      </c>
      <c r="T693" s="8">
        <f t="shared" si="70"/>
        <v>26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2</v>
      </c>
      <c r="AA693" s="8">
        <v>180</v>
      </c>
      <c r="AB693" s="9">
        <f t="shared" si="71"/>
        <v>0.33333333333333337</v>
      </c>
      <c r="AC693" s="10">
        <f t="shared" si="66"/>
        <v>77.999999999999986</v>
      </c>
      <c r="AD693" s="8" t="s">
        <v>568</v>
      </c>
      <c r="AE693" s="11">
        <v>69990</v>
      </c>
      <c r="AF693" s="11">
        <f t="shared" si="67"/>
        <v>1819740</v>
      </c>
      <c r="AG693" s="12" t="s">
        <v>73</v>
      </c>
      <c r="AH693" s="8" t="s">
        <v>74</v>
      </c>
    </row>
    <row r="694" spans="1:34">
      <c r="A694" s="8" t="s">
        <v>1012</v>
      </c>
      <c r="B694" s="16" t="s">
        <v>999</v>
      </c>
      <c r="C694" s="8" t="s">
        <v>533</v>
      </c>
      <c r="D694" s="8" t="s">
        <v>1000</v>
      </c>
      <c r="E694" s="8" t="str">
        <f t="shared" si="65"/>
        <v>BLANCO</v>
      </c>
      <c r="G694" s="8" t="s">
        <v>2863</v>
      </c>
      <c r="H694" s="8" t="str">
        <f>VLOOKUP(A694,[1]BBDD!$B$1:$J$3274,9,FALSE)</f>
        <v>H</v>
      </c>
      <c r="I694" s="8" t="s">
        <v>2863</v>
      </c>
      <c r="J694" s="8" t="s">
        <v>1001</v>
      </c>
      <c r="L694" s="8" t="s">
        <v>1002</v>
      </c>
      <c r="N694" s="8" t="s">
        <v>646</v>
      </c>
      <c r="O694" s="8" t="s">
        <v>646</v>
      </c>
      <c r="P694" s="18" t="str">
        <f t="shared" si="69"/>
        <v>XL</v>
      </c>
      <c r="Q694" s="8" t="s">
        <v>45</v>
      </c>
      <c r="R694" s="8">
        <v>50</v>
      </c>
      <c r="S694" s="8">
        <v>7</v>
      </c>
      <c r="T694" s="8">
        <f t="shared" si="70"/>
        <v>57</v>
      </c>
      <c r="U694" s="8">
        <v>0</v>
      </c>
      <c r="V694" s="8">
        <v>1</v>
      </c>
      <c r="W694" s="8">
        <v>0</v>
      </c>
      <c r="X694" s="8">
        <v>0</v>
      </c>
      <c r="Y694" s="8">
        <v>0</v>
      </c>
      <c r="Z694" s="8">
        <v>0</v>
      </c>
      <c r="AA694" s="8">
        <v>180</v>
      </c>
      <c r="AB694" s="9">
        <f t="shared" si="71"/>
        <v>0.16666666666666669</v>
      </c>
      <c r="AC694" s="10">
        <f t="shared" si="66"/>
        <v>341.99999999999994</v>
      </c>
      <c r="AD694" s="8" t="s">
        <v>568</v>
      </c>
      <c r="AE694" s="11">
        <v>69990</v>
      </c>
      <c r="AF694" s="11">
        <f t="shared" si="67"/>
        <v>3989430</v>
      </c>
      <c r="AG694" s="12" t="s">
        <v>73</v>
      </c>
      <c r="AH694" s="8" t="s">
        <v>74</v>
      </c>
    </row>
    <row r="695" spans="1:34">
      <c r="A695" s="8" t="s">
        <v>1013</v>
      </c>
      <c r="B695" s="16" t="s">
        <v>999</v>
      </c>
      <c r="C695" s="8" t="s">
        <v>533</v>
      </c>
      <c r="D695" s="8" t="s">
        <v>1000</v>
      </c>
      <c r="E695" s="8" t="str">
        <f t="shared" si="65"/>
        <v>BLANCO</v>
      </c>
      <c r="G695" s="8" t="s">
        <v>2863</v>
      </c>
      <c r="H695" s="8" t="str">
        <f>VLOOKUP(A695,[1]BBDD!$B$1:$J$3274,9,FALSE)</f>
        <v>H</v>
      </c>
      <c r="I695" s="8" t="s">
        <v>2863</v>
      </c>
      <c r="J695" s="8" t="s">
        <v>1001</v>
      </c>
      <c r="L695" s="8" t="s">
        <v>1002</v>
      </c>
      <c r="N695" s="8" t="s">
        <v>646</v>
      </c>
      <c r="O695" s="8" t="s">
        <v>646</v>
      </c>
      <c r="P695" s="18" t="str">
        <f t="shared" si="69"/>
        <v>XXL</v>
      </c>
      <c r="Q695" s="8" t="s">
        <v>45</v>
      </c>
      <c r="R695" s="8">
        <v>29</v>
      </c>
      <c r="S695" s="8">
        <v>6</v>
      </c>
      <c r="T695" s="8">
        <f t="shared" si="70"/>
        <v>35</v>
      </c>
      <c r="U695" s="8">
        <v>1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180</v>
      </c>
      <c r="AB695" s="9">
        <f t="shared" si="71"/>
        <v>0.16666666666666669</v>
      </c>
      <c r="AC695" s="10">
        <f t="shared" si="66"/>
        <v>209.99999999999997</v>
      </c>
      <c r="AD695" s="8" t="s">
        <v>568</v>
      </c>
      <c r="AE695" s="11">
        <v>69990</v>
      </c>
      <c r="AF695" s="11">
        <f t="shared" si="67"/>
        <v>2449650</v>
      </c>
      <c r="AG695" s="12" t="s">
        <v>73</v>
      </c>
      <c r="AH695" s="8" t="s">
        <v>74</v>
      </c>
    </row>
    <row r="696" spans="1:34">
      <c r="A696" s="8" t="s">
        <v>1014</v>
      </c>
      <c r="B696" s="16" t="s">
        <v>999</v>
      </c>
      <c r="C696" s="8" t="s">
        <v>533</v>
      </c>
      <c r="D696" s="8" t="s">
        <v>1000</v>
      </c>
      <c r="E696" s="8" t="str">
        <f t="shared" si="65"/>
        <v>BLANCO</v>
      </c>
      <c r="G696" s="8" t="s">
        <v>2863</v>
      </c>
      <c r="H696" s="8" t="str">
        <f>VLOOKUP(A696,[1]BBDD!$B$1:$J$3274,9,FALSE)</f>
        <v>H</v>
      </c>
      <c r="I696" s="8" t="s">
        <v>2863</v>
      </c>
      <c r="J696" s="8" t="s">
        <v>1001</v>
      </c>
      <c r="L696" s="8" t="s">
        <v>1002</v>
      </c>
      <c r="N696" s="8" t="s">
        <v>646</v>
      </c>
      <c r="O696" s="8" t="s">
        <v>646</v>
      </c>
      <c r="P696" s="18" t="str">
        <f t="shared" si="69"/>
        <v>XXXL</v>
      </c>
      <c r="Q696" s="8" t="s">
        <v>45</v>
      </c>
      <c r="R696" s="8">
        <v>9</v>
      </c>
      <c r="S696" s="8">
        <v>7</v>
      </c>
      <c r="T696" s="8">
        <f t="shared" ref="T696:T752" si="72">SUM(R696:S696)</f>
        <v>16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180</v>
      </c>
      <c r="AB696" s="9">
        <f t="shared" ref="AB696:AB752" si="73">SUM(U696:Z696)/AA696*30</f>
        <v>0</v>
      </c>
      <c r="AC696" s="10" t="str">
        <f t="shared" si="66"/>
        <v>sin venta</v>
      </c>
      <c r="AD696" s="8" t="s">
        <v>568</v>
      </c>
      <c r="AE696" s="11">
        <v>69990</v>
      </c>
      <c r="AF696" s="11">
        <f t="shared" si="67"/>
        <v>1119840</v>
      </c>
      <c r="AG696" s="12" t="s">
        <v>73</v>
      </c>
      <c r="AH696" s="8" t="s">
        <v>65</v>
      </c>
    </row>
    <row r="697" spans="1:34">
      <c r="A697" s="8" t="s">
        <v>1015</v>
      </c>
      <c r="B697" s="16" t="s">
        <v>999</v>
      </c>
      <c r="C697" s="8" t="s">
        <v>533</v>
      </c>
      <c r="D697" s="8" t="s">
        <v>1000</v>
      </c>
      <c r="E697" s="8" t="str">
        <f t="shared" si="65"/>
        <v>DENIM GASTADO</v>
      </c>
      <c r="G697" s="8" t="s">
        <v>2863</v>
      </c>
      <c r="H697" s="8" t="str">
        <f>VLOOKUP(A697,[1]BBDD!$B$1:$J$3274,9,FALSE)</f>
        <v>H</v>
      </c>
      <c r="I697" s="8" t="s">
        <v>2863</v>
      </c>
      <c r="J697" s="8" t="s">
        <v>1001</v>
      </c>
      <c r="L697" s="8" t="s">
        <v>1002</v>
      </c>
      <c r="N697" s="8" t="s">
        <v>1016</v>
      </c>
      <c r="O697" s="8" t="s">
        <v>1016</v>
      </c>
      <c r="P697" s="18" t="str">
        <f t="shared" si="69"/>
        <v>L</v>
      </c>
      <c r="Q697" s="8" t="s">
        <v>45</v>
      </c>
      <c r="R697" s="8">
        <v>84</v>
      </c>
      <c r="S697" s="8">
        <v>8</v>
      </c>
      <c r="T697" s="8">
        <f t="shared" si="72"/>
        <v>92</v>
      </c>
      <c r="U697" s="8">
        <v>1</v>
      </c>
      <c r="V697" s="8">
        <v>0</v>
      </c>
      <c r="W697" s="8">
        <v>1</v>
      </c>
      <c r="X697" s="8">
        <v>1</v>
      </c>
      <c r="Y697" s="8">
        <v>1</v>
      </c>
      <c r="Z697" s="8">
        <v>5</v>
      </c>
      <c r="AA697" s="8">
        <v>180</v>
      </c>
      <c r="AB697" s="9">
        <f t="shared" si="73"/>
        <v>1.5</v>
      </c>
      <c r="AC697" s="10">
        <f t="shared" si="66"/>
        <v>61.333333333333336</v>
      </c>
      <c r="AD697" s="8" t="s">
        <v>568</v>
      </c>
      <c r="AE697" s="11">
        <v>69990</v>
      </c>
      <c r="AF697" s="11">
        <f t="shared" si="67"/>
        <v>6439080</v>
      </c>
      <c r="AG697" s="12" t="s">
        <v>73</v>
      </c>
      <c r="AH697" s="8" t="s">
        <v>74</v>
      </c>
    </row>
    <row r="698" spans="1:34">
      <c r="A698" s="8" t="s">
        <v>1017</v>
      </c>
      <c r="B698" s="16" t="s">
        <v>999</v>
      </c>
      <c r="C698" s="8" t="s">
        <v>533</v>
      </c>
      <c r="D698" s="8" t="s">
        <v>1000</v>
      </c>
      <c r="E698" s="8" t="str">
        <f t="shared" si="65"/>
        <v>DENIM GASTADO</v>
      </c>
      <c r="G698" s="8" t="s">
        <v>2863</v>
      </c>
      <c r="H698" s="8" t="str">
        <f>VLOOKUP(A698,[1]BBDD!$B$1:$J$3274,9,FALSE)</f>
        <v>H</v>
      </c>
      <c r="I698" s="8" t="s">
        <v>2863</v>
      </c>
      <c r="J698" s="8" t="s">
        <v>1001</v>
      </c>
      <c r="L698" s="8" t="s">
        <v>1002</v>
      </c>
      <c r="N698" s="8" t="s">
        <v>1016</v>
      </c>
      <c r="O698" s="8" t="s">
        <v>1016</v>
      </c>
      <c r="P698" s="18" t="str">
        <f t="shared" si="69"/>
        <v>M</v>
      </c>
      <c r="Q698" s="8" t="s">
        <v>45</v>
      </c>
      <c r="R698" s="8">
        <v>61</v>
      </c>
      <c r="S698" s="8">
        <v>6</v>
      </c>
      <c r="T698" s="8">
        <f t="shared" si="72"/>
        <v>67</v>
      </c>
      <c r="U698" s="8">
        <v>0</v>
      </c>
      <c r="V698" s="8">
        <v>0</v>
      </c>
      <c r="W698" s="8">
        <v>1</v>
      </c>
      <c r="X698" s="8">
        <v>0</v>
      </c>
      <c r="Y698" s="8">
        <v>0</v>
      </c>
      <c r="Z698" s="8">
        <v>1</v>
      </c>
      <c r="AA698" s="8">
        <v>180</v>
      </c>
      <c r="AB698" s="9">
        <f t="shared" si="73"/>
        <v>0.33333333333333337</v>
      </c>
      <c r="AC698" s="10">
        <f t="shared" si="66"/>
        <v>200.99999999999997</v>
      </c>
      <c r="AD698" s="8" t="s">
        <v>568</v>
      </c>
      <c r="AE698" s="11">
        <v>69990</v>
      </c>
      <c r="AF698" s="11">
        <f t="shared" si="67"/>
        <v>4689330</v>
      </c>
      <c r="AG698" s="12" t="s">
        <v>73</v>
      </c>
      <c r="AH698" s="8" t="s">
        <v>74</v>
      </c>
    </row>
    <row r="699" spans="1:34">
      <c r="A699" s="8" t="s">
        <v>1018</v>
      </c>
      <c r="B699" s="16" t="s">
        <v>999</v>
      </c>
      <c r="C699" s="8" t="s">
        <v>533</v>
      </c>
      <c r="D699" s="8" t="s">
        <v>1000</v>
      </c>
      <c r="E699" s="8" t="str">
        <f t="shared" si="65"/>
        <v>DENIM GASTADO</v>
      </c>
      <c r="G699" s="8" t="s">
        <v>2863</v>
      </c>
      <c r="H699" s="8" t="str">
        <f>VLOOKUP(A699,[1]BBDD!$B$1:$J$3274,9,FALSE)</f>
        <v>H</v>
      </c>
      <c r="I699" s="8" t="s">
        <v>2863</v>
      </c>
      <c r="J699" s="8" t="s">
        <v>1001</v>
      </c>
      <c r="L699" s="8" t="s">
        <v>1002</v>
      </c>
      <c r="N699" s="8" t="s">
        <v>1016</v>
      </c>
      <c r="O699" s="8" t="s">
        <v>1016</v>
      </c>
      <c r="P699" s="18" t="str">
        <f t="shared" si="69"/>
        <v>S</v>
      </c>
      <c r="Q699" s="8" t="s">
        <v>45</v>
      </c>
      <c r="R699" s="8">
        <v>11</v>
      </c>
      <c r="S699" s="8">
        <v>6</v>
      </c>
      <c r="T699" s="8">
        <f t="shared" si="72"/>
        <v>17</v>
      </c>
      <c r="U699" s="8">
        <v>0</v>
      </c>
      <c r="V699" s="8">
        <v>1</v>
      </c>
      <c r="W699" s="8">
        <v>0</v>
      </c>
      <c r="X699" s="8">
        <v>0</v>
      </c>
      <c r="Y699" s="8">
        <v>0</v>
      </c>
      <c r="Z699" s="8">
        <v>0</v>
      </c>
      <c r="AA699" s="8">
        <v>180</v>
      </c>
      <c r="AB699" s="9">
        <f t="shared" si="73"/>
        <v>0.16666666666666669</v>
      </c>
      <c r="AC699" s="10">
        <f t="shared" si="66"/>
        <v>101.99999999999999</v>
      </c>
      <c r="AD699" s="8" t="s">
        <v>568</v>
      </c>
      <c r="AE699" s="11">
        <v>69990</v>
      </c>
      <c r="AF699" s="11">
        <f t="shared" si="67"/>
        <v>1189830</v>
      </c>
      <c r="AG699" s="12" t="s">
        <v>73</v>
      </c>
      <c r="AH699" s="8" t="s">
        <v>65</v>
      </c>
    </row>
    <row r="700" spans="1:34">
      <c r="A700" s="8" t="s">
        <v>1019</v>
      </c>
      <c r="B700" s="16" t="s">
        <v>999</v>
      </c>
      <c r="C700" s="8" t="s">
        <v>533</v>
      </c>
      <c r="D700" s="8" t="s">
        <v>1000</v>
      </c>
      <c r="E700" s="8" t="str">
        <f t="shared" si="65"/>
        <v>DENIM GASTADO</v>
      </c>
      <c r="G700" s="8" t="s">
        <v>2863</v>
      </c>
      <c r="H700" s="8" t="str">
        <f>VLOOKUP(A700,[1]BBDD!$B$1:$J$3274,9,FALSE)</f>
        <v>H</v>
      </c>
      <c r="I700" s="8" t="s">
        <v>2863</v>
      </c>
      <c r="J700" s="8" t="s">
        <v>1001</v>
      </c>
      <c r="L700" s="8" t="s">
        <v>1002</v>
      </c>
      <c r="N700" s="8" t="s">
        <v>1016</v>
      </c>
      <c r="O700" s="8" t="s">
        <v>1016</v>
      </c>
      <c r="P700" s="18" t="str">
        <f t="shared" si="69"/>
        <v>XL</v>
      </c>
      <c r="Q700" s="8" t="s">
        <v>45</v>
      </c>
      <c r="R700" s="8">
        <v>53</v>
      </c>
      <c r="S700" s="8">
        <v>8</v>
      </c>
      <c r="T700" s="8">
        <f t="shared" si="72"/>
        <v>61</v>
      </c>
      <c r="U700" s="8">
        <v>0</v>
      </c>
      <c r="V700" s="8">
        <v>1</v>
      </c>
      <c r="W700" s="8">
        <v>2</v>
      </c>
      <c r="X700" s="8">
        <v>0</v>
      </c>
      <c r="Y700" s="8">
        <v>1</v>
      </c>
      <c r="Z700" s="8">
        <v>0</v>
      </c>
      <c r="AA700" s="8">
        <v>180</v>
      </c>
      <c r="AB700" s="9">
        <f t="shared" si="73"/>
        <v>0.66666666666666674</v>
      </c>
      <c r="AC700" s="10">
        <f t="shared" si="66"/>
        <v>91.499999999999986</v>
      </c>
      <c r="AD700" s="8" t="s">
        <v>568</v>
      </c>
      <c r="AE700" s="11">
        <v>69990</v>
      </c>
      <c r="AF700" s="11">
        <f t="shared" si="67"/>
        <v>4269390</v>
      </c>
      <c r="AG700" s="12" t="s">
        <v>73</v>
      </c>
      <c r="AH700" s="8" t="s">
        <v>74</v>
      </c>
    </row>
    <row r="701" spans="1:34">
      <c r="A701" s="8" t="s">
        <v>1020</v>
      </c>
      <c r="B701" s="16" t="s">
        <v>999</v>
      </c>
      <c r="C701" s="8" t="s">
        <v>533</v>
      </c>
      <c r="D701" s="8" t="s">
        <v>1000</v>
      </c>
      <c r="E701" s="8" t="str">
        <f t="shared" si="65"/>
        <v>DENIM GASTADO</v>
      </c>
      <c r="G701" s="8" t="s">
        <v>2863</v>
      </c>
      <c r="H701" s="8" t="str">
        <f>VLOOKUP(A701,[1]BBDD!$B$1:$J$3274,9,FALSE)</f>
        <v>H</v>
      </c>
      <c r="I701" s="8" t="s">
        <v>2863</v>
      </c>
      <c r="J701" s="8" t="s">
        <v>1001</v>
      </c>
      <c r="L701" s="8" t="s">
        <v>1002</v>
      </c>
      <c r="N701" s="8" t="s">
        <v>1016</v>
      </c>
      <c r="O701" s="8" t="s">
        <v>1016</v>
      </c>
      <c r="P701" s="18" t="str">
        <f t="shared" si="69"/>
        <v>XXL</v>
      </c>
      <c r="Q701" s="8" t="s">
        <v>45</v>
      </c>
      <c r="R701" s="8">
        <v>33</v>
      </c>
      <c r="S701" s="8">
        <v>6</v>
      </c>
      <c r="T701" s="8">
        <f t="shared" si="72"/>
        <v>39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180</v>
      </c>
      <c r="AB701" s="9">
        <f t="shared" si="73"/>
        <v>0</v>
      </c>
      <c r="AC701" s="10" t="str">
        <f t="shared" si="66"/>
        <v>sin venta</v>
      </c>
      <c r="AD701" s="8" t="s">
        <v>568</v>
      </c>
      <c r="AE701" s="11">
        <v>69990</v>
      </c>
      <c r="AF701" s="11">
        <f t="shared" si="67"/>
        <v>2729610</v>
      </c>
      <c r="AG701" s="12" t="s">
        <v>73</v>
      </c>
      <c r="AH701" s="8" t="s">
        <v>74</v>
      </c>
    </row>
    <row r="702" spans="1:34">
      <c r="A702" s="8" t="s">
        <v>1021</v>
      </c>
      <c r="B702" s="16" t="s">
        <v>999</v>
      </c>
      <c r="C702" s="8" t="s">
        <v>533</v>
      </c>
      <c r="D702" s="8" t="s">
        <v>1000</v>
      </c>
      <c r="E702" s="8" t="str">
        <f t="shared" si="65"/>
        <v>DENIM GASTADO</v>
      </c>
      <c r="G702" s="8" t="s">
        <v>2863</v>
      </c>
      <c r="H702" s="8" t="str">
        <f>VLOOKUP(A702,[1]BBDD!$B$1:$J$3274,9,FALSE)</f>
        <v>H</v>
      </c>
      <c r="I702" s="8" t="s">
        <v>2863</v>
      </c>
      <c r="J702" s="8" t="s">
        <v>1001</v>
      </c>
      <c r="L702" s="8" t="s">
        <v>1002</v>
      </c>
      <c r="N702" s="8" t="s">
        <v>1016</v>
      </c>
      <c r="O702" s="8" t="s">
        <v>1016</v>
      </c>
      <c r="P702" s="18" t="str">
        <f t="shared" si="69"/>
        <v>XXXL</v>
      </c>
      <c r="Q702" s="8" t="s">
        <v>45</v>
      </c>
      <c r="R702" s="8">
        <v>9</v>
      </c>
      <c r="S702" s="8">
        <v>6</v>
      </c>
      <c r="T702" s="8">
        <f t="shared" si="72"/>
        <v>15</v>
      </c>
      <c r="U702" s="8">
        <v>0</v>
      </c>
      <c r="V702" s="8">
        <v>0</v>
      </c>
      <c r="W702" s="8">
        <v>0</v>
      </c>
      <c r="X702" s="8">
        <v>1</v>
      </c>
      <c r="Y702" s="8">
        <v>0</v>
      </c>
      <c r="Z702" s="8">
        <v>1</v>
      </c>
      <c r="AA702" s="8">
        <v>180</v>
      </c>
      <c r="AB702" s="9">
        <f t="shared" si="73"/>
        <v>0.33333333333333337</v>
      </c>
      <c r="AC702" s="10">
        <f t="shared" si="66"/>
        <v>44.999999999999993</v>
      </c>
      <c r="AD702" s="8" t="s">
        <v>568</v>
      </c>
      <c r="AE702" s="11">
        <v>69990</v>
      </c>
      <c r="AF702" s="11">
        <f t="shared" si="67"/>
        <v>1049850</v>
      </c>
      <c r="AG702" s="12" t="s">
        <v>73</v>
      </c>
      <c r="AH702" s="8" t="s">
        <v>65</v>
      </c>
    </row>
    <row r="703" spans="1:34">
      <c r="A703" s="8" t="s">
        <v>1022</v>
      </c>
      <c r="B703" s="16" t="s">
        <v>999</v>
      </c>
      <c r="C703" s="8" t="s">
        <v>533</v>
      </c>
      <c r="D703" s="8" t="s">
        <v>1000</v>
      </c>
      <c r="E703" s="8" t="str">
        <f t="shared" si="65"/>
        <v>NEGRO</v>
      </c>
      <c r="G703" s="8" t="s">
        <v>2863</v>
      </c>
      <c r="H703" s="8" t="str">
        <f>VLOOKUP(A703,[1]BBDD!$B$1:$J$3274,9,FALSE)</f>
        <v>H</v>
      </c>
      <c r="I703" s="8" t="s">
        <v>2863</v>
      </c>
      <c r="J703" s="8" t="s">
        <v>1001</v>
      </c>
      <c r="L703" s="8" t="s">
        <v>1002</v>
      </c>
      <c r="N703" s="8" t="s">
        <v>44</v>
      </c>
      <c r="O703" s="8" t="s">
        <v>44</v>
      </c>
      <c r="P703" s="18" t="str">
        <f t="shared" si="69"/>
        <v>L</v>
      </c>
      <c r="Q703" s="8" t="s">
        <v>45</v>
      </c>
      <c r="R703" s="8">
        <v>94</v>
      </c>
      <c r="S703" s="8">
        <v>6</v>
      </c>
      <c r="T703" s="8">
        <f t="shared" si="72"/>
        <v>100</v>
      </c>
      <c r="U703" s="8">
        <v>1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180</v>
      </c>
      <c r="AB703" s="9">
        <f t="shared" si="73"/>
        <v>0.16666666666666669</v>
      </c>
      <c r="AC703" s="10">
        <f t="shared" si="66"/>
        <v>599.99999999999989</v>
      </c>
      <c r="AD703" s="8" t="s">
        <v>568</v>
      </c>
      <c r="AE703" s="11">
        <v>69990</v>
      </c>
      <c r="AF703" s="11">
        <f t="shared" si="67"/>
        <v>6999000</v>
      </c>
      <c r="AG703" s="12" t="s">
        <v>73</v>
      </c>
      <c r="AH703" s="8" t="s">
        <v>74</v>
      </c>
    </row>
    <row r="704" spans="1:34">
      <c r="A704" s="8" t="s">
        <v>1023</v>
      </c>
      <c r="B704" s="16" t="s">
        <v>999</v>
      </c>
      <c r="C704" s="8" t="s">
        <v>533</v>
      </c>
      <c r="D704" s="8" t="s">
        <v>1000</v>
      </c>
      <c r="E704" s="8" t="str">
        <f t="shared" si="65"/>
        <v>NEGRO</v>
      </c>
      <c r="G704" s="8" t="s">
        <v>2863</v>
      </c>
      <c r="H704" s="8" t="str">
        <f>VLOOKUP(A704,[1]BBDD!$B$1:$J$3274,9,FALSE)</f>
        <v>H</v>
      </c>
      <c r="I704" s="8" t="s">
        <v>2863</v>
      </c>
      <c r="J704" s="8" t="s">
        <v>1001</v>
      </c>
      <c r="L704" s="8" t="s">
        <v>1002</v>
      </c>
      <c r="N704" s="8" t="s">
        <v>44</v>
      </c>
      <c r="O704" s="8" t="s">
        <v>44</v>
      </c>
      <c r="P704" s="18" t="str">
        <f t="shared" si="69"/>
        <v>M</v>
      </c>
      <c r="Q704" s="8" t="s">
        <v>45</v>
      </c>
      <c r="R704" s="8">
        <v>55</v>
      </c>
      <c r="S704" s="8">
        <v>8</v>
      </c>
      <c r="T704" s="8">
        <f t="shared" si="72"/>
        <v>63</v>
      </c>
      <c r="U704" s="8">
        <v>0</v>
      </c>
      <c r="V704" s="8">
        <v>1</v>
      </c>
      <c r="W704" s="8">
        <v>1</v>
      </c>
      <c r="X704" s="8">
        <v>0</v>
      </c>
      <c r="Y704" s="8">
        <v>0</v>
      </c>
      <c r="Z704" s="8">
        <v>2</v>
      </c>
      <c r="AA704" s="8">
        <v>180</v>
      </c>
      <c r="AB704" s="9">
        <f t="shared" si="73"/>
        <v>0.66666666666666674</v>
      </c>
      <c r="AC704" s="10">
        <f t="shared" si="66"/>
        <v>94.499999999999986</v>
      </c>
      <c r="AD704" s="8" t="s">
        <v>568</v>
      </c>
      <c r="AE704" s="11">
        <v>69990</v>
      </c>
      <c r="AF704" s="11">
        <f t="shared" si="67"/>
        <v>4409370</v>
      </c>
      <c r="AG704" s="12" t="s">
        <v>73</v>
      </c>
      <c r="AH704" s="8" t="s">
        <v>74</v>
      </c>
    </row>
    <row r="705" spans="1:34">
      <c r="A705" s="8" t="s">
        <v>1024</v>
      </c>
      <c r="B705" s="16" t="s">
        <v>999</v>
      </c>
      <c r="C705" s="8" t="s">
        <v>533</v>
      </c>
      <c r="D705" s="8" t="s">
        <v>1000</v>
      </c>
      <c r="E705" s="8" t="str">
        <f t="shared" si="65"/>
        <v>NEGRO</v>
      </c>
      <c r="G705" s="8" t="s">
        <v>2863</v>
      </c>
      <c r="H705" s="8" t="str">
        <f>VLOOKUP(A705,[1]BBDD!$B$1:$J$3274,9,FALSE)</f>
        <v>H</v>
      </c>
      <c r="I705" s="8" t="s">
        <v>2863</v>
      </c>
      <c r="J705" s="8" t="s">
        <v>1001</v>
      </c>
      <c r="L705" s="8" t="s">
        <v>1002</v>
      </c>
      <c r="N705" s="8" t="s">
        <v>44</v>
      </c>
      <c r="O705" s="8" t="s">
        <v>44</v>
      </c>
      <c r="P705" s="18" t="str">
        <f t="shared" si="69"/>
        <v>S</v>
      </c>
      <c r="Q705" s="8" t="s">
        <v>45</v>
      </c>
      <c r="R705" s="8">
        <v>21</v>
      </c>
      <c r="S705" s="8">
        <v>6</v>
      </c>
      <c r="T705" s="8">
        <f t="shared" si="72"/>
        <v>27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1</v>
      </c>
      <c r="AA705" s="8">
        <v>180</v>
      </c>
      <c r="AB705" s="9">
        <f t="shared" si="73"/>
        <v>0.16666666666666669</v>
      </c>
      <c r="AC705" s="10">
        <f t="shared" si="66"/>
        <v>161.99999999999997</v>
      </c>
      <c r="AD705" s="8" t="s">
        <v>568</v>
      </c>
      <c r="AE705" s="11">
        <v>69990</v>
      </c>
      <c r="AF705" s="11">
        <f t="shared" si="67"/>
        <v>1889730</v>
      </c>
      <c r="AG705" s="12" t="s">
        <v>73</v>
      </c>
      <c r="AH705" s="8" t="s">
        <v>74</v>
      </c>
    </row>
    <row r="706" spans="1:34">
      <c r="A706" s="8" t="s">
        <v>1025</v>
      </c>
      <c r="B706" s="16" t="s">
        <v>999</v>
      </c>
      <c r="C706" s="8" t="s">
        <v>533</v>
      </c>
      <c r="D706" s="8" t="s">
        <v>1000</v>
      </c>
      <c r="E706" s="8" t="str">
        <f t="shared" si="65"/>
        <v>NEGRO</v>
      </c>
      <c r="G706" s="8" t="s">
        <v>2863</v>
      </c>
      <c r="H706" s="8" t="str">
        <f>VLOOKUP(A706,[1]BBDD!$B$1:$J$3274,9,FALSE)</f>
        <v>H</v>
      </c>
      <c r="I706" s="8" t="s">
        <v>2863</v>
      </c>
      <c r="J706" s="8" t="s">
        <v>1001</v>
      </c>
      <c r="L706" s="8" t="s">
        <v>1002</v>
      </c>
      <c r="N706" s="8" t="s">
        <v>44</v>
      </c>
      <c r="O706" s="8" t="s">
        <v>44</v>
      </c>
      <c r="P706" s="18" t="str">
        <f t="shared" si="69"/>
        <v>XL</v>
      </c>
      <c r="Q706" s="8" t="s">
        <v>45</v>
      </c>
      <c r="R706" s="8">
        <v>53</v>
      </c>
      <c r="S706" s="8">
        <v>10</v>
      </c>
      <c r="T706" s="8">
        <f t="shared" si="72"/>
        <v>63</v>
      </c>
      <c r="U706" s="8">
        <v>0</v>
      </c>
      <c r="V706" s="8">
        <v>1</v>
      </c>
      <c r="W706" s="8">
        <v>0</v>
      </c>
      <c r="X706" s="8">
        <v>0</v>
      </c>
      <c r="Y706" s="8">
        <v>2</v>
      </c>
      <c r="Z706" s="8">
        <v>1</v>
      </c>
      <c r="AA706" s="8">
        <v>180</v>
      </c>
      <c r="AB706" s="9">
        <f t="shared" si="73"/>
        <v>0.66666666666666674</v>
      </c>
      <c r="AC706" s="10">
        <f t="shared" si="66"/>
        <v>94.499999999999986</v>
      </c>
      <c r="AD706" s="8" t="s">
        <v>568</v>
      </c>
      <c r="AE706" s="11">
        <v>69990</v>
      </c>
      <c r="AF706" s="11">
        <f t="shared" si="67"/>
        <v>4409370</v>
      </c>
      <c r="AG706" s="12" t="s">
        <v>73</v>
      </c>
      <c r="AH706" s="8" t="s">
        <v>74</v>
      </c>
    </row>
    <row r="707" spans="1:34">
      <c r="A707" s="8" t="s">
        <v>1026</v>
      </c>
      <c r="B707" s="16" t="s">
        <v>999</v>
      </c>
      <c r="C707" s="8" t="s">
        <v>533</v>
      </c>
      <c r="D707" s="8" t="s">
        <v>1000</v>
      </c>
      <c r="E707" s="8" t="str">
        <f t="shared" ref="E707:E770" si="74">TRIM(N707)</f>
        <v>NEGRO</v>
      </c>
      <c r="G707" s="8" t="s">
        <v>2863</v>
      </c>
      <c r="H707" s="8" t="str">
        <f>VLOOKUP(A707,[1]BBDD!$B$1:$J$3274,9,FALSE)</f>
        <v>H</v>
      </c>
      <c r="I707" s="8" t="s">
        <v>2863</v>
      </c>
      <c r="J707" s="8" t="s">
        <v>1001</v>
      </c>
      <c r="L707" s="8" t="s">
        <v>1002</v>
      </c>
      <c r="N707" s="8" t="s">
        <v>44</v>
      </c>
      <c r="O707" s="8" t="s">
        <v>44</v>
      </c>
      <c r="P707" s="18" t="str">
        <f t="shared" si="69"/>
        <v>XXL</v>
      </c>
      <c r="Q707" s="8" t="s">
        <v>45</v>
      </c>
      <c r="R707" s="8">
        <v>22</v>
      </c>
      <c r="S707" s="8">
        <v>8</v>
      </c>
      <c r="T707" s="8">
        <f t="shared" si="72"/>
        <v>30</v>
      </c>
      <c r="U707" s="8">
        <v>2</v>
      </c>
      <c r="V707" s="8">
        <v>0</v>
      </c>
      <c r="W707" s="8">
        <v>0</v>
      </c>
      <c r="X707" s="8">
        <v>1</v>
      </c>
      <c r="Y707" s="8">
        <v>1</v>
      </c>
      <c r="Z707" s="8">
        <v>0</v>
      </c>
      <c r="AA707" s="8">
        <v>180</v>
      </c>
      <c r="AB707" s="9">
        <f t="shared" si="73"/>
        <v>0.66666666666666674</v>
      </c>
      <c r="AC707" s="10">
        <f t="shared" ref="AC707:AC770" si="75">IFERROR(T707/AB707,"sin venta")</f>
        <v>44.999999999999993</v>
      </c>
      <c r="AD707" s="8" t="s">
        <v>568</v>
      </c>
      <c r="AE707" s="11">
        <v>69990</v>
      </c>
      <c r="AF707" s="11">
        <f t="shared" ref="AF707:AF770" si="76">IFERROR(AE707*T707,0)</f>
        <v>2099700</v>
      </c>
      <c r="AG707" s="12" t="s">
        <v>73</v>
      </c>
      <c r="AH707" s="8" t="s">
        <v>74</v>
      </c>
    </row>
    <row r="708" spans="1:34">
      <c r="A708" s="8" t="s">
        <v>1027</v>
      </c>
      <c r="B708" s="16" t="s">
        <v>999</v>
      </c>
      <c r="C708" s="8" t="s">
        <v>533</v>
      </c>
      <c r="D708" s="8" t="s">
        <v>1000</v>
      </c>
      <c r="E708" s="8" t="str">
        <f t="shared" si="74"/>
        <v>NEGRO</v>
      </c>
      <c r="G708" s="8" t="s">
        <v>2863</v>
      </c>
      <c r="H708" s="8" t="str">
        <f>VLOOKUP(A708,[1]BBDD!$B$1:$J$3274,9,FALSE)</f>
        <v>H</v>
      </c>
      <c r="I708" s="8" t="s">
        <v>2863</v>
      </c>
      <c r="J708" s="8" t="s">
        <v>1001</v>
      </c>
      <c r="L708" s="8" t="s">
        <v>1002</v>
      </c>
      <c r="N708" s="8" t="s">
        <v>44</v>
      </c>
      <c r="O708" s="8" t="s">
        <v>44</v>
      </c>
      <c r="P708" s="18" t="str">
        <f t="shared" si="69"/>
        <v>XXXL</v>
      </c>
      <c r="Q708" s="8" t="s">
        <v>45</v>
      </c>
      <c r="R708" s="8">
        <v>8</v>
      </c>
      <c r="S708" s="8">
        <v>7</v>
      </c>
      <c r="T708" s="8">
        <f t="shared" si="72"/>
        <v>15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1</v>
      </c>
      <c r="AA708" s="8">
        <v>180</v>
      </c>
      <c r="AB708" s="9">
        <f t="shared" si="73"/>
        <v>0.16666666666666669</v>
      </c>
      <c r="AC708" s="10">
        <f t="shared" si="75"/>
        <v>89.999999999999986</v>
      </c>
      <c r="AD708" s="8" t="s">
        <v>568</v>
      </c>
      <c r="AE708" s="11">
        <v>69990</v>
      </c>
      <c r="AF708" s="11">
        <f t="shared" si="76"/>
        <v>1049850</v>
      </c>
      <c r="AG708" s="12" t="s">
        <v>73</v>
      </c>
      <c r="AH708" s="8" t="s">
        <v>65</v>
      </c>
    </row>
    <row r="709" spans="1:34">
      <c r="A709" s="8" t="s">
        <v>1028</v>
      </c>
      <c r="B709" s="16" t="s">
        <v>1029</v>
      </c>
      <c r="C709" s="8" t="s">
        <v>1030</v>
      </c>
      <c r="D709" s="8" t="s">
        <v>1030</v>
      </c>
      <c r="E709" s="8" t="str">
        <f t="shared" si="74"/>
        <v>TABACO</v>
      </c>
      <c r="H709" s="8" t="str">
        <f>VLOOKUP(A709,[1]BBDD!$B$1:$J$3274,9,FALSE)</f>
        <v>H</v>
      </c>
      <c r="I709" s="8" t="s">
        <v>2863</v>
      </c>
      <c r="J709" s="8" t="s">
        <v>1031</v>
      </c>
      <c r="L709" s="8" t="s">
        <v>479</v>
      </c>
      <c r="N709" s="8" t="s">
        <v>67</v>
      </c>
      <c r="O709" s="8" t="s">
        <v>67</v>
      </c>
      <c r="P709" s="18" t="str">
        <f>RIGHT(A709,LEN(A709)-FIND("-",A709))</f>
        <v>100</v>
      </c>
      <c r="Q709" s="8" t="s">
        <v>32</v>
      </c>
      <c r="R709" s="8">
        <v>0</v>
      </c>
      <c r="S709" s="8">
        <v>2</v>
      </c>
      <c r="T709" s="8">
        <f t="shared" si="72"/>
        <v>2</v>
      </c>
      <c r="U709" s="8">
        <v>1</v>
      </c>
      <c r="V709" s="8">
        <v>2</v>
      </c>
      <c r="W709" s="8">
        <v>1</v>
      </c>
      <c r="X709" s="8">
        <v>0</v>
      </c>
      <c r="Y709" s="8">
        <v>0</v>
      </c>
      <c r="Z709" s="8">
        <v>0</v>
      </c>
      <c r="AA709" s="8">
        <v>180</v>
      </c>
      <c r="AB709" s="9">
        <f t="shared" si="73"/>
        <v>0.66666666666666674</v>
      </c>
      <c r="AC709" s="10">
        <f t="shared" si="75"/>
        <v>2.9999999999999996</v>
      </c>
      <c r="AD709" s="8" t="s">
        <v>33</v>
      </c>
      <c r="AE709" s="11">
        <v>51990</v>
      </c>
      <c r="AF709" s="11">
        <f t="shared" si="76"/>
        <v>103980</v>
      </c>
      <c r="AG709" s="12" t="s">
        <v>34</v>
      </c>
      <c r="AH709" s="8" t="s">
        <v>35</v>
      </c>
    </row>
    <row r="710" spans="1:34">
      <c r="A710" s="8" t="s">
        <v>1032</v>
      </c>
      <c r="B710" s="16" t="s">
        <v>1029</v>
      </c>
      <c r="C710" s="8" t="s">
        <v>1030</v>
      </c>
      <c r="D710" s="8" t="s">
        <v>1030</v>
      </c>
      <c r="E710" s="8" t="str">
        <f t="shared" si="74"/>
        <v>TABACO</v>
      </c>
      <c r="H710" s="8" t="str">
        <f>VLOOKUP(A710,[1]BBDD!$B$1:$J$3274,9,FALSE)</f>
        <v>H</v>
      </c>
      <c r="I710" s="8" t="s">
        <v>2863</v>
      </c>
      <c r="J710" s="8" t="s">
        <v>1031</v>
      </c>
      <c r="L710" s="8" t="s">
        <v>479</v>
      </c>
      <c r="N710" s="8" t="s">
        <v>67</v>
      </c>
      <c r="O710" s="8" t="s">
        <v>67</v>
      </c>
      <c r="P710" s="18" t="str">
        <f t="shared" ref="P710:P773" si="77">RIGHT(A710,LEN(A710)-FIND("-",A710))</f>
        <v>105</v>
      </c>
      <c r="Q710" s="8" t="s">
        <v>32</v>
      </c>
      <c r="R710" s="8">
        <v>0</v>
      </c>
      <c r="S710" s="8">
        <v>1</v>
      </c>
      <c r="T710" s="8">
        <f t="shared" si="72"/>
        <v>1</v>
      </c>
      <c r="U710" s="8">
        <v>0</v>
      </c>
      <c r="V710" s="8">
        <v>1</v>
      </c>
      <c r="W710" s="8">
        <v>3</v>
      </c>
      <c r="X710" s="8">
        <v>1</v>
      </c>
      <c r="Y710" s="8">
        <v>0</v>
      </c>
      <c r="Z710" s="8">
        <v>1</v>
      </c>
      <c r="AA710" s="8">
        <v>180</v>
      </c>
      <c r="AB710" s="9">
        <f t="shared" si="73"/>
        <v>1</v>
      </c>
      <c r="AC710" s="10">
        <f t="shared" si="75"/>
        <v>1</v>
      </c>
      <c r="AD710" s="8" t="s">
        <v>33</v>
      </c>
      <c r="AE710" s="11">
        <v>51990</v>
      </c>
      <c r="AF710" s="11">
        <f t="shared" si="76"/>
        <v>51990</v>
      </c>
      <c r="AG710" s="12" t="s">
        <v>34</v>
      </c>
      <c r="AH710" s="8" t="s">
        <v>35</v>
      </c>
    </row>
    <row r="711" spans="1:34">
      <c r="A711" s="8" t="s">
        <v>1033</v>
      </c>
      <c r="B711" s="16" t="s">
        <v>1029</v>
      </c>
      <c r="C711" s="8" t="s">
        <v>1030</v>
      </c>
      <c r="D711" s="8" t="s">
        <v>1030</v>
      </c>
      <c r="E711" s="8" t="str">
        <f t="shared" si="74"/>
        <v>TABACO</v>
      </c>
      <c r="H711" s="8" t="str">
        <f>VLOOKUP(A711,[1]BBDD!$B$1:$J$3274,9,FALSE)</f>
        <v>H</v>
      </c>
      <c r="I711" s="8" t="s">
        <v>2863</v>
      </c>
      <c r="J711" s="8" t="s">
        <v>1031</v>
      </c>
      <c r="L711" s="8" t="s">
        <v>479</v>
      </c>
      <c r="N711" s="8" t="s">
        <v>67</v>
      </c>
      <c r="O711" s="8" t="s">
        <v>67</v>
      </c>
      <c r="P711" s="18" t="str">
        <f t="shared" si="77"/>
        <v>110</v>
      </c>
      <c r="Q711" s="8" t="s">
        <v>32</v>
      </c>
      <c r="R711" s="8">
        <v>0</v>
      </c>
      <c r="S711" s="8">
        <v>0</v>
      </c>
      <c r="T711" s="8">
        <f t="shared" si="72"/>
        <v>0</v>
      </c>
      <c r="U711" s="8">
        <v>0</v>
      </c>
      <c r="V711" s="8">
        <v>0</v>
      </c>
      <c r="W711" s="8">
        <v>1</v>
      </c>
      <c r="X711" s="8">
        <v>4</v>
      </c>
      <c r="Y711" s="8">
        <v>0</v>
      </c>
      <c r="Z711" s="8">
        <v>1</v>
      </c>
      <c r="AA711" s="8">
        <v>180</v>
      </c>
      <c r="AB711" s="9">
        <f t="shared" si="73"/>
        <v>1</v>
      </c>
      <c r="AC711" s="10">
        <f t="shared" si="75"/>
        <v>0</v>
      </c>
      <c r="AD711" s="8" t="s">
        <v>33</v>
      </c>
      <c r="AE711" s="11">
        <v>51990</v>
      </c>
      <c r="AF711" s="11">
        <f t="shared" si="76"/>
        <v>0</v>
      </c>
      <c r="AG711" s="12" t="s">
        <v>34</v>
      </c>
      <c r="AH711" s="8" t="s">
        <v>35</v>
      </c>
    </row>
    <row r="712" spans="1:34">
      <c r="A712" s="8" t="s">
        <v>1034</v>
      </c>
      <c r="B712" s="16" t="s">
        <v>1029</v>
      </c>
      <c r="C712" s="8" t="s">
        <v>1030</v>
      </c>
      <c r="D712" s="8" t="s">
        <v>1030</v>
      </c>
      <c r="E712" s="8" t="str">
        <f t="shared" si="74"/>
        <v>TABACO</v>
      </c>
      <c r="H712" s="8" t="str">
        <f>VLOOKUP(A712,[1]BBDD!$B$1:$J$3274,9,FALSE)</f>
        <v>H</v>
      </c>
      <c r="I712" s="8" t="s">
        <v>2863</v>
      </c>
      <c r="J712" s="8" t="s">
        <v>1031</v>
      </c>
      <c r="L712" s="8" t="s">
        <v>479</v>
      </c>
      <c r="N712" s="8" t="s">
        <v>67</v>
      </c>
      <c r="O712" s="8" t="s">
        <v>67</v>
      </c>
      <c r="P712" s="18" t="str">
        <f t="shared" si="77"/>
        <v>90</v>
      </c>
      <c r="Q712" s="8" t="s">
        <v>32</v>
      </c>
      <c r="R712" s="8">
        <v>0</v>
      </c>
      <c r="S712" s="8">
        <v>5</v>
      </c>
      <c r="T712" s="8">
        <f t="shared" si="72"/>
        <v>5</v>
      </c>
      <c r="U712" s="8">
        <v>0</v>
      </c>
      <c r="V712" s="8">
        <v>0</v>
      </c>
      <c r="W712" s="8">
        <v>3</v>
      </c>
      <c r="X712" s="8">
        <v>2</v>
      </c>
      <c r="Y712" s="8">
        <v>0</v>
      </c>
      <c r="Z712" s="8">
        <v>1</v>
      </c>
      <c r="AA712" s="8">
        <v>180</v>
      </c>
      <c r="AB712" s="9">
        <f t="shared" si="73"/>
        <v>1</v>
      </c>
      <c r="AC712" s="10">
        <f t="shared" si="75"/>
        <v>5</v>
      </c>
      <c r="AD712" s="8" t="s">
        <v>33</v>
      </c>
      <c r="AE712" s="11">
        <v>51990</v>
      </c>
      <c r="AF712" s="11">
        <f t="shared" si="76"/>
        <v>259950</v>
      </c>
      <c r="AG712" s="12" t="s">
        <v>34</v>
      </c>
      <c r="AH712" s="8" t="s">
        <v>35</v>
      </c>
    </row>
    <row r="713" spans="1:34">
      <c r="A713" s="8" t="s">
        <v>1035</v>
      </c>
      <c r="B713" s="16" t="s">
        <v>1029</v>
      </c>
      <c r="C713" s="8" t="s">
        <v>1030</v>
      </c>
      <c r="D713" s="8" t="s">
        <v>1030</v>
      </c>
      <c r="E713" s="8" t="str">
        <f t="shared" si="74"/>
        <v>TABACO</v>
      </c>
      <c r="H713" s="8" t="str">
        <f>VLOOKUP(A713,[1]BBDD!$B$1:$J$3274,9,FALSE)</f>
        <v>H</v>
      </c>
      <c r="I713" s="8" t="s">
        <v>2863</v>
      </c>
      <c r="J713" s="8" t="s">
        <v>1031</v>
      </c>
      <c r="L713" s="8" t="s">
        <v>479</v>
      </c>
      <c r="N713" s="8" t="s">
        <v>67</v>
      </c>
      <c r="O713" s="8" t="s">
        <v>67</v>
      </c>
      <c r="P713" s="18" t="str">
        <f t="shared" si="77"/>
        <v>95</v>
      </c>
      <c r="Q713" s="8" t="s">
        <v>32</v>
      </c>
      <c r="R713" s="8">
        <v>0</v>
      </c>
      <c r="S713" s="8">
        <v>1</v>
      </c>
      <c r="T713" s="8">
        <f t="shared" si="72"/>
        <v>1</v>
      </c>
      <c r="U713" s="8">
        <v>0</v>
      </c>
      <c r="V713" s="8">
        <v>0</v>
      </c>
      <c r="W713" s="8">
        <v>1</v>
      </c>
      <c r="X713" s="8">
        <v>1</v>
      </c>
      <c r="Y713" s="8">
        <v>0</v>
      </c>
      <c r="Z713" s="8">
        <v>1</v>
      </c>
      <c r="AA713" s="8">
        <v>180</v>
      </c>
      <c r="AB713" s="9">
        <f t="shared" si="73"/>
        <v>0.5</v>
      </c>
      <c r="AC713" s="10">
        <f t="shared" si="75"/>
        <v>2</v>
      </c>
      <c r="AD713" s="8" t="s">
        <v>33</v>
      </c>
      <c r="AE713" s="11">
        <v>51990</v>
      </c>
      <c r="AF713" s="11">
        <f t="shared" si="76"/>
        <v>51990</v>
      </c>
      <c r="AG713" s="12" t="s">
        <v>34</v>
      </c>
      <c r="AH713" s="8" t="s">
        <v>35</v>
      </c>
    </row>
    <row r="714" spans="1:34">
      <c r="A714" s="8" t="s">
        <v>1036</v>
      </c>
      <c r="B714" s="16" t="s">
        <v>1029</v>
      </c>
      <c r="C714" s="8" t="s">
        <v>1030</v>
      </c>
      <c r="D714" s="8" t="s">
        <v>1030</v>
      </c>
      <c r="E714" s="8" t="str">
        <f t="shared" si="74"/>
        <v>TABACO</v>
      </c>
      <c r="H714" s="8" t="str">
        <f>VLOOKUP(A714,[1]BBDD!$B$1:$J$3274,9,FALSE)</f>
        <v>H</v>
      </c>
      <c r="I714" s="8" t="s">
        <v>2863</v>
      </c>
      <c r="J714" s="8" t="s">
        <v>1031</v>
      </c>
      <c r="L714" s="8" t="s">
        <v>479</v>
      </c>
      <c r="N714" s="8" t="s">
        <v>67</v>
      </c>
      <c r="O714" s="8" t="s">
        <v>67</v>
      </c>
      <c r="P714" s="18" t="str">
        <f t="shared" si="77"/>
        <v>115</v>
      </c>
      <c r="Q714" s="8" t="s">
        <v>45</v>
      </c>
      <c r="R714" s="8">
        <v>0</v>
      </c>
      <c r="S714" s="8">
        <v>5</v>
      </c>
      <c r="T714" s="8">
        <f t="shared" si="72"/>
        <v>5</v>
      </c>
      <c r="U714" s="8">
        <v>0</v>
      </c>
      <c r="V714" s="8">
        <v>1</v>
      </c>
      <c r="W714" s="8">
        <v>1</v>
      </c>
      <c r="X714" s="8">
        <v>2</v>
      </c>
      <c r="Y714" s="8">
        <v>0</v>
      </c>
      <c r="Z714" s="8">
        <v>1</v>
      </c>
      <c r="AA714" s="8">
        <v>180</v>
      </c>
      <c r="AB714" s="9">
        <f t="shared" si="73"/>
        <v>0.83333333333333326</v>
      </c>
      <c r="AC714" s="10">
        <f t="shared" si="75"/>
        <v>6.0000000000000009</v>
      </c>
      <c r="AD714" s="8" t="s">
        <v>109</v>
      </c>
      <c r="AE714" s="11">
        <v>51990</v>
      </c>
      <c r="AF714" s="11">
        <f t="shared" si="76"/>
        <v>259950</v>
      </c>
      <c r="AG714" s="12" t="s">
        <v>34</v>
      </c>
      <c r="AH714" s="8" t="s">
        <v>35</v>
      </c>
    </row>
    <row r="715" spans="1:34">
      <c r="A715" s="8" t="s">
        <v>1037</v>
      </c>
      <c r="B715" s="16" t="s">
        <v>1029</v>
      </c>
      <c r="C715" s="8" t="s">
        <v>1030</v>
      </c>
      <c r="D715" s="8" t="s">
        <v>1030</v>
      </c>
      <c r="E715" s="8" t="str">
        <f t="shared" si="74"/>
        <v>TABACO</v>
      </c>
      <c r="H715" s="8" t="str">
        <f>VLOOKUP(A715,[1]BBDD!$B$1:$J$3274,9,FALSE)</f>
        <v>H</v>
      </c>
      <c r="I715" s="8" t="s">
        <v>2863</v>
      </c>
      <c r="J715" s="8" t="s">
        <v>1031</v>
      </c>
      <c r="L715" s="8" t="s">
        <v>479</v>
      </c>
      <c r="N715" s="8" t="s">
        <v>67</v>
      </c>
      <c r="O715" s="8" t="s">
        <v>67</v>
      </c>
      <c r="P715" s="18" t="str">
        <f t="shared" si="77"/>
        <v>120</v>
      </c>
      <c r="Q715" s="8" t="s">
        <v>45</v>
      </c>
      <c r="R715" s="8">
        <v>0</v>
      </c>
      <c r="S715" s="8">
        <v>5</v>
      </c>
      <c r="T715" s="8">
        <f t="shared" si="72"/>
        <v>5</v>
      </c>
      <c r="U715" s="8">
        <v>0</v>
      </c>
      <c r="V715" s="8">
        <v>2</v>
      </c>
      <c r="W715" s="8">
        <v>0</v>
      </c>
      <c r="X715" s="8">
        <v>0</v>
      </c>
      <c r="Y715" s="8">
        <v>0</v>
      </c>
      <c r="Z715" s="8">
        <v>1</v>
      </c>
      <c r="AA715" s="8">
        <v>180</v>
      </c>
      <c r="AB715" s="9">
        <f t="shared" si="73"/>
        <v>0.5</v>
      </c>
      <c r="AC715" s="10">
        <f t="shared" si="75"/>
        <v>10</v>
      </c>
      <c r="AD715" s="8" t="s">
        <v>109</v>
      </c>
      <c r="AE715" s="11">
        <v>51990</v>
      </c>
      <c r="AF715" s="11">
        <f t="shared" si="76"/>
        <v>259950</v>
      </c>
      <c r="AG715" s="12" t="s">
        <v>51</v>
      </c>
      <c r="AH715" s="8" t="s">
        <v>35</v>
      </c>
    </row>
    <row r="716" spans="1:34">
      <c r="A716" s="8" t="s">
        <v>1038</v>
      </c>
      <c r="B716" s="16" t="s">
        <v>1029</v>
      </c>
      <c r="C716" s="8" t="s">
        <v>1030</v>
      </c>
      <c r="D716" s="8" t="s">
        <v>1030</v>
      </c>
      <c r="E716" s="8" t="str">
        <f t="shared" si="74"/>
        <v>TABACO</v>
      </c>
      <c r="H716" s="8" t="str">
        <f>VLOOKUP(A716,[1]BBDD!$B$1:$J$3274,9,FALSE)</f>
        <v>H</v>
      </c>
      <c r="I716" s="8" t="s">
        <v>2863</v>
      </c>
      <c r="J716" s="8" t="s">
        <v>1031</v>
      </c>
      <c r="L716" s="8" t="s">
        <v>479</v>
      </c>
      <c r="N716" s="8" t="s">
        <v>67</v>
      </c>
      <c r="O716" s="8" t="s">
        <v>67</v>
      </c>
      <c r="P716" s="18" t="str">
        <f t="shared" si="77"/>
        <v>85</v>
      </c>
      <c r="Q716" s="8" t="s">
        <v>45</v>
      </c>
      <c r="R716" s="8">
        <v>0</v>
      </c>
      <c r="S716" s="8">
        <v>4</v>
      </c>
      <c r="T716" s="8">
        <f t="shared" si="72"/>
        <v>4</v>
      </c>
      <c r="U716" s="8">
        <v>1</v>
      </c>
      <c r="V716" s="8">
        <v>1</v>
      </c>
      <c r="W716" s="8">
        <v>1</v>
      </c>
      <c r="X716" s="8">
        <v>0</v>
      </c>
      <c r="Y716" s="8">
        <v>0</v>
      </c>
      <c r="Z716" s="8">
        <v>0</v>
      </c>
      <c r="AA716" s="8">
        <v>180</v>
      </c>
      <c r="AB716" s="9">
        <f t="shared" si="73"/>
        <v>0.5</v>
      </c>
      <c r="AC716" s="10">
        <f t="shared" si="75"/>
        <v>8</v>
      </c>
      <c r="AD716" s="8" t="s">
        <v>109</v>
      </c>
      <c r="AE716" s="11">
        <v>51990</v>
      </c>
      <c r="AF716" s="11">
        <f t="shared" si="76"/>
        <v>207960</v>
      </c>
      <c r="AG716" s="12" t="s">
        <v>51</v>
      </c>
      <c r="AH716" s="8" t="s">
        <v>35</v>
      </c>
    </row>
    <row r="717" spans="1:34">
      <c r="A717" s="8" t="s">
        <v>1039</v>
      </c>
      <c r="B717" s="16" t="s">
        <v>1029</v>
      </c>
      <c r="C717" s="8" t="s">
        <v>1030</v>
      </c>
      <c r="D717" s="8" t="s">
        <v>1030</v>
      </c>
      <c r="E717" s="8" t="str">
        <f t="shared" si="74"/>
        <v>NEGRO</v>
      </c>
      <c r="H717" s="8" t="str">
        <f>VLOOKUP(A717,[1]BBDD!$B$1:$J$3274,9,FALSE)</f>
        <v>H</v>
      </c>
      <c r="I717" s="8" t="s">
        <v>2863</v>
      </c>
      <c r="J717" s="8" t="s">
        <v>1040</v>
      </c>
      <c r="L717" s="8" t="s">
        <v>479</v>
      </c>
      <c r="N717" s="8" t="s">
        <v>44</v>
      </c>
      <c r="O717" s="8" t="s">
        <v>44</v>
      </c>
      <c r="P717" s="18" t="str">
        <f t="shared" si="77"/>
        <v>100</v>
      </c>
      <c r="Q717" s="8" t="s">
        <v>45</v>
      </c>
      <c r="R717" s="8">
        <v>0</v>
      </c>
      <c r="S717" s="8">
        <v>3</v>
      </c>
      <c r="T717" s="8">
        <f t="shared" si="72"/>
        <v>3</v>
      </c>
      <c r="U717" s="8">
        <v>1</v>
      </c>
      <c r="V717" s="8">
        <v>0</v>
      </c>
      <c r="W717" s="8">
        <v>1</v>
      </c>
      <c r="X717" s="8">
        <v>1</v>
      </c>
      <c r="Y717" s="8">
        <v>1</v>
      </c>
      <c r="Z717" s="8">
        <v>0</v>
      </c>
      <c r="AA717" s="8">
        <v>180</v>
      </c>
      <c r="AB717" s="9">
        <f t="shared" si="73"/>
        <v>0.66666666666666674</v>
      </c>
      <c r="AC717" s="10">
        <f t="shared" si="75"/>
        <v>4.4999999999999991</v>
      </c>
      <c r="AD717" s="8" t="s">
        <v>109</v>
      </c>
      <c r="AE717" s="11">
        <v>51990</v>
      </c>
      <c r="AF717" s="11">
        <f t="shared" si="76"/>
        <v>155970</v>
      </c>
      <c r="AG717" s="12" t="s">
        <v>34</v>
      </c>
      <c r="AH717" s="8" t="s">
        <v>35</v>
      </c>
    </row>
    <row r="718" spans="1:34">
      <c r="A718" s="8" t="s">
        <v>1041</v>
      </c>
      <c r="B718" s="16" t="s">
        <v>1029</v>
      </c>
      <c r="C718" s="8" t="s">
        <v>1030</v>
      </c>
      <c r="D718" s="8" t="s">
        <v>1030</v>
      </c>
      <c r="E718" s="8" t="str">
        <f t="shared" si="74"/>
        <v>NEGRO</v>
      </c>
      <c r="H718" s="8" t="str">
        <f>VLOOKUP(A718,[1]BBDD!$B$1:$J$3274,9,FALSE)</f>
        <v>H</v>
      </c>
      <c r="I718" s="8" t="s">
        <v>2863</v>
      </c>
      <c r="J718" s="8" t="s">
        <v>1040</v>
      </c>
      <c r="L718" s="8" t="s">
        <v>479</v>
      </c>
      <c r="N718" s="8" t="s">
        <v>44</v>
      </c>
      <c r="O718" s="8" t="s">
        <v>44</v>
      </c>
      <c r="P718" s="18" t="str">
        <f t="shared" si="77"/>
        <v>105</v>
      </c>
      <c r="Q718" s="8" t="s">
        <v>45</v>
      </c>
      <c r="R718" s="8">
        <v>0</v>
      </c>
      <c r="S718" s="8">
        <v>6</v>
      </c>
      <c r="T718" s="8">
        <f t="shared" si="72"/>
        <v>6</v>
      </c>
      <c r="U718" s="8">
        <v>2</v>
      </c>
      <c r="V718" s="8">
        <v>0</v>
      </c>
      <c r="W718" s="8">
        <v>0</v>
      </c>
      <c r="X718" s="8">
        <v>0</v>
      </c>
      <c r="Y718" s="8">
        <v>1</v>
      </c>
      <c r="Z718" s="8">
        <v>2</v>
      </c>
      <c r="AA718" s="8">
        <v>180</v>
      </c>
      <c r="AB718" s="9">
        <f t="shared" si="73"/>
        <v>0.83333333333333326</v>
      </c>
      <c r="AC718" s="10">
        <f t="shared" si="75"/>
        <v>7.2000000000000011</v>
      </c>
      <c r="AD718" s="8" t="s">
        <v>109</v>
      </c>
      <c r="AE718" s="11">
        <v>51990</v>
      </c>
      <c r="AF718" s="11">
        <f t="shared" si="76"/>
        <v>311940</v>
      </c>
      <c r="AG718" s="12" t="s">
        <v>51</v>
      </c>
      <c r="AH718" s="8" t="s">
        <v>35</v>
      </c>
    </row>
    <row r="719" spans="1:34">
      <c r="A719" s="8" t="s">
        <v>1042</v>
      </c>
      <c r="B719" s="16" t="s">
        <v>1029</v>
      </c>
      <c r="C719" s="8" t="s">
        <v>1030</v>
      </c>
      <c r="D719" s="8" t="s">
        <v>1030</v>
      </c>
      <c r="E719" s="8" t="str">
        <f t="shared" si="74"/>
        <v>NEGRO</v>
      </c>
      <c r="H719" s="8" t="str">
        <f>VLOOKUP(A719,[1]BBDD!$B$1:$J$3274,9,FALSE)</f>
        <v>H</v>
      </c>
      <c r="I719" s="8" t="s">
        <v>2863</v>
      </c>
      <c r="J719" s="8" t="s">
        <v>1040</v>
      </c>
      <c r="L719" s="8" t="s">
        <v>479</v>
      </c>
      <c r="N719" s="8" t="s">
        <v>44</v>
      </c>
      <c r="O719" s="8" t="s">
        <v>44</v>
      </c>
      <c r="P719" s="18" t="str">
        <f t="shared" si="77"/>
        <v>110</v>
      </c>
      <c r="Q719" s="8" t="s">
        <v>45</v>
      </c>
      <c r="R719" s="8">
        <v>0</v>
      </c>
      <c r="S719" s="8">
        <v>9</v>
      </c>
      <c r="T719" s="8">
        <f t="shared" si="72"/>
        <v>9</v>
      </c>
      <c r="U719" s="8">
        <v>0</v>
      </c>
      <c r="V719" s="8">
        <v>1</v>
      </c>
      <c r="W719" s="8">
        <v>1</v>
      </c>
      <c r="X719" s="8">
        <v>1</v>
      </c>
      <c r="Y719" s="8">
        <v>0</v>
      </c>
      <c r="Z719" s="8">
        <v>0</v>
      </c>
      <c r="AA719" s="8">
        <v>180</v>
      </c>
      <c r="AB719" s="9">
        <f t="shared" si="73"/>
        <v>0.5</v>
      </c>
      <c r="AC719" s="10">
        <f t="shared" si="75"/>
        <v>18</v>
      </c>
      <c r="AD719" s="8" t="s">
        <v>109</v>
      </c>
      <c r="AE719" s="11">
        <v>51990</v>
      </c>
      <c r="AF719" s="11">
        <f t="shared" si="76"/>
        <v>467910</v>
      </c>
      <c r="AG719" s="12" t="s">
        <v>64</v>
      </c>
      <c r="AH719" s="8" t="s">
        <v>35</v>
      </c>
    </row>
    <row r="720" spans="1:34">
      <c r="A720" s="8" t="s">
        <v>1043</v>
      </c>
      <c r="B720" s="16" t="s">
        <v>1029</v>
      </c>
      <c r="C720" s="8" t="s">
        <v>1030</v>
      </c>
      <c r="D720" s="8" t="s">
        <v>1030</v>
      </c>
      <c r="E720" s="8" t="str">
        <f t="shared" si="74"/>
        <v>NEGRO</v>
      </c>
      <c r="H720" s="8" t="str">
        <f>VLOOKUP(A720,[1]BBDD!$B$1:$J$3274,9,FALSE)</f>
        <v>H</v>
      </c>
      <c r="I720" s="8" t="s">
        <v>2863</v>
      </c>
      <c r="J720" s="8" t="s">
        <v>1040</v>
      </c>
      <c r="L720" s="8" t="s">
        <v>479</v>
      </c>
      <c r="N720" s="8" t="s">
        <v>44</v>
      </c>
      <c r="O720" s="8" t="s">
        <v>44</v>
      </c>
      <c r="P720" s="18" t="str">
        <f t="shared" si="77"/>
        <v>115</v>
      </c>
      <c r="Q720" s="8" t="s">
        <v>45</v>
      </c>
      <c r="R720" s="8">
        <v>9</v>
      </c>
      <c r="S720" s="8">
        <v>6</v>
      </c>
      <c r="T720" s="8">
        <f t="shared" si="72"/>
        <v>15</v>
      </c>
      <c r="U720" s="8">
        <v>0</v>
      </c>
      <c r="V720" s="8">
        <v>0</v>
      </c>
      <c r="W720" s="8">
        <v>1</v>
      </c>
      <c r="X720" s="8">
        <v>1</v>
      </c>
      <c r="Y720" s="8">
        <v>0</v>
      </c>
      <c r="Z720" s="8">
        <v>0</v>
      </c>
      <c r="AA720" s="8">
        <v>180</v>
      </c>
      <c r="AB720" s="9">
        <f t="shared" si="73"/>
        <v>0.33333333333333337</v>
      </c>
      <c r="AC720" s="10">
        <f t="shared" si="75"/>
        <v>44.999999999999993</v>
      </c>
      <c r="AD720" s="8" t="s">
        <v>109</v>
      </c>
      <c r="AE720" s="11">
        <v>51990</v>
      </c>
      <c r="AF720" s="11">
        <f t="shared" si="76"/>
        <v>779850</v>
      </c>
      <c r="AG720" s="12" t="s">
        <v>73</v>
      </c>
      <c r="AH720" s="8" t="s">
        <v>65</v>
      </c>
    </row>
    <row r="721" spans="1:34">
      <c r="A721" s="8" t="s">
        <v>1044</v>
      </c>
      <c r="B721" s="16" t="s">
        <v>1029</v>
      </c>
      <c r="C721" s="8" t="s">
        <v>1030</v>
      </c>
      <c r="D721" s="8" t="s">
        <v>1030</v>
      </c>
      <c r="E721" s="8" t="str">
        <f t="shared" si="74"/>
        <v>NEGRO</v>
      </c>
      <c r="H721" s="8" t="str">
        <f>VLOOKUP(A721,[1]BBDD!$B$1:$J$3274,9,FALSE)</f>
        <v>H</v>
      </c>
      <c r="I721" s="8" t="s">
        <v>2863</v>
      </c>
      <c r="J721" s="8" t="s">
        <v>1040</v>
      </c>
      <c r="L721" s="8" t="s">
        <v>479</v>
      </c>
      <c r="N721" s="8" t="s">
        <v>44</v>
      </c>
      <c r="O721" s="8" t="s">
        <v>44</v>
      </c>
      <c r="P721" s="18" t="str">
        <f t="shared" si="77"/>
        <v>120</v>
      </c>
      <c r="Q721" s="8" t="s">
        <v>45</v>
      </c>
      <c r="R721" s="8">
        <v>3</v>
      </c>
      <c r="S721" s="8">
        <v>5</v>
      </c>
      <c r="T721" s="8">
        <f t="shared" si="72"/>
        <v>8</v>
      </c>
      <c r="U721" s="8">
        <v>0</v>
      </c>
      <c r="V721" s="8">
        <v>0</v>
      </c>
      <c r="W721" s="8">
        <v>1</v>
      </c>
      <c r="X721" s="8">
        <v>1</v>
      </c>
      <c r="Y721" s="8">
        <v>0</v>
      </c>
      <c r="Z721" s="8">
        <v>0</v>
      </c>
      <c r="AA721" s="8">
        <v>180</v>
      </c>
      <c r="AB721" s="9">
        <f t="shared" si="73"/>
        <v>0.33333333333333337</v>
      </c>
      <c r="AC721" s="10">
        <f t="shared" si="75"/>
        <v>23.999999999999996</v>
      </c>
      <c r="AD721" s="8" t="s">
        <v>109</v>
      </c>
      <c r="AE721" s="11">
        <v>51990</v>
      </c>
      <c r="AF721" s="11">
        <f t="shared" si="76"/>
        <v>415920</v>
      </c>
      <c r="AG721" s="12" t="s">
        <v>64</v>
      </c>
      <c r="AH721" s="8" t="s">
        <v>35</v>
      </c>
    </row>
    <row r="722" spans="1:34">
      <c r="A722" s="8" t="s">
        <v>1045</v>
      </c>
      <c r="B722" s="16" t="s">
        <v>1029</v>
      </c>
      <c r="C722" s="8" t="s">
        <v>1030</v>
      </c>
      <c r="D722" s="8" t="s">
        <v>1030</v>
      </c>
      <c r="E722" s="8" t="str">
        <f t="shared" si="74"/>
        <v>NEGRO</v>
      </c>
      <c r="H722" s="8" t="str">
        <f>VLOOKUP(A722,[1]BBDD!$B$1:$J$3274,9,FALSE)</f>
        <v>H</v>
      </c>
      <c r="I722" s="8" t="s">
        <v>2863</v>
      </c>
      <c r="J722" s="8" t="s">
        <v>1040</v>
      </c>
      <c r="L722" s="8" t="s">
        <v>479</v>
      </c>
      <c r="N722" s="8" t="s">
        <v>44</v>
      </c>
      <c r="O722" s="8" t="s">
        <v>44</v>
      </c>
      <c r="P722" s="18" t="str">
        <f t="shared" si="77"/>
        <v>85</v>
      </c>
      <c r="Q722" s="8" t="s">
        <v>45</v>
      </c>
      <c r="R722" s="8">
        <v>1</v>
      </c>
      <c r="S722" s="8">
        <v>4</v>
      </c>
      <c r="T722" s="8">
        <f t="shared" si="72"/>
        <v>5</v>
      </c>
      <c r="U722" s="8">
        <v>0</v>
      </c>
      <c r="V722" s="8">
        <v>0</v>
      </c>
      <c r="W722" s="8">
        <v>1</v>
      </c>
      <c r="X722" s="8">
        <v>0</v>
      </c>
      <c r="Y722" s="8">
        <v>0</v>
      </c>
      <c r="Z722" s="8">
        <v>0</v>
      </c>
      <c r="AA722" s="8">
        <v>180</v>
      </c>
      <c r="AB722" s="9">
        <f t="shared" si="73"/>
        <v>0.16666666666666669</v>
      </c>
      <c r="AC722" s="10">
        <f t="shared" si="75"/>
        <v>29.999999999999996</v>
      </c>
      <c r="AD722" s="8" t="s">
        <v>109</v>
      </c>
      <c r="AE722" s="11">
        <v>51990</v>
      </c>
      <c r="AF722" s="11">
        <f t="shared" si="76"/>
        <v>259950</v>
      </c>
      <c r="AG722" s="12" t="s">
        <v>73</v>
      </c>
      <c r="AH722" s="8" t="s">
        <v>35</v>
      </c>
    </row>
    <row r="723" spans="1:34">
      <c r="A723" s="8" t="s">
        <v>1046</v>
      </c>
      <c r="B723" s="16" t="s">
        <v>1029</v>
      </c>
      <c r="C723" s="8" t="s">
        <v>1030</v>
      </c>
      <c r="D723" s="8" t="s">
        <v>1030</v>
      </c>
      <c r="E723" s="8" t="str">
        <f t="shared" si="74"/>
        <v>NEGRO</v>
      </c>
      <c r="H723" s="8" t="str">
        <f>VLOOKUP(A723,[1]BBDD!$B$1:$J$3274,9,FALSE)</f>
        <v>H</v>
      </c>
      <c r="I723" s="8" t="s">
        <v>2863</v>
      </c>
      <c r="J723" s="8" t="s">
        <v>1040</v>
      </c>
      <c r="L723" s="8" t="s">
        <v>479</v>
      </c>
      <c r="N723" s="8" t="s">
        <v>44</v>
      </c>
      <c r="O723" s="8" t="s">
        <v>44</v>
      </c>
      <c r="P723" s="18" t="str">
        <f t="shared" si="77"/>
        <v>90</v>
      </c>
      <c r="Q723" s="8" t="s">
        <v>45</v>
      </c>
      <c r="R723" s="8">
        <v>0</v>
      </c>
      <c r="S723" s="8">
        <v>4</v>
      </c>
      <c r="T723" s="8">
        <f t="shared" si="72"/>
        <v>4</v>
      </c>
      <c r="U723" s="8">
        <v>0</v>
      </c>
      <c r="V723" s="8">
        <v>0</v>
      </c>
      <c r="W723" s="8">
        <v>1</v>
      </c>
      <c r="X723" s="8">
        <v>1</v>
      </c>
      <c r="Y723" s="8">
        <v>1</v>
      </c>
      <c r="Z723" s="8">
        <v>0</v>
      </c>
      <c r="AA723" s="8">
        <v>180</v>
      </c>
      <c r="AB723" s="9">
        <f t="shared" si="73"/>
        <v>0.5</v>
      </c>
      <c r="AC723" s="10">
        <f t="shared" si="75"/>
        <v>8</v>
      </c>
      <c r="AD723" s="8" t="s">
        <v>109</v>
      </c>
      <c r="AE723" s="11">
        <v>51990</v>
      </c>
      <c r="AF723" s="11">
        <f t="shared" si="76"/>
        <v>207960</v>
      </c>
      <c r="AG723" s="12" t="s">
        <v>51</v>
      </c>
      <c r="AH723" s="8" t="s">
        <v>35</v>
      </c>
    </row>
    <row r="724" spans="1:34">
      <c r="A724" s="8" t="s">
        <v>1047</v>
      </c>
      <c r="B724" s="16" t="s">
        <v>1029</v>
      </c>
      <c r="C724" s="8" t="s">
        <v>1030</v>
      </c>
      <c r="D724" s="8" t="s">
        <v>1030</v>
      </c>
      <c r="E724" s="8" t="str">
        <f t="shared" si="74"/>
        <v>NEGRO</v>
      </c>
      <c r="H724" s="8" t="str">
        <f>VLOOKUP(A724,[1]BBDD!$B$1:$J$3274,9,FALSE)</f>
        <v>H</v>
      </c>
      <c r="I724" s="8" t="s">
        <v>2863</v>
      </c>
      <c r="J724" s="8" t="s">
        <v>1040</v>
      </c>
      <c r="L724" s="8" t="s">
        <v>479</v>
      </c>
      <c r="N724" s="8" t="s">
        <v>44</v>
      </c>
      <c r="O724" s="8" t="s">
        <v>44</v>
      </c>
      <c r="P724" s="18" t="str">
        <f t="shared" si="77"/>
        <v>95</v>
      </c>
      <c r="Q724" s="8" t="s">
        <v>45</v>
      </c>
      <c r="R724" s="8">
        <v>9</v>
      </c>
      <c r="S724" s="8">
        <v>6</v>
      </c>
      <c r="T724" s="8">
        <f t="shared" si="72"/>
        <v>15</v>
      </c>
      <c r="U724" s="8">
        <v>0</v>
      </c>
      <c r="V724" s="8">
        <v>0</v>
      </c>
      <c r="W724" s="8">
        <v>4</v>
      </c>
      <c r="X724" s="8">
        <v>0</v>
      </c>
      <c r="Y724" s="8">
        <v>0</v>
      </c>
      <c r="Z724" s="8">
        <v>0</v>
      </c>
      <c r="AA724" s="8">
        <v>180</v>
      </c>
      <c r="AB724" s="9">
        <f t="shared" si="73"/>
        <v>0.66666666666666674</v>
      </c>
      <c r="AC724" s="10">
        <f t="shared" si="75"/>
        <v>22.499999999999996</v>
      </c>
      <c r="AD724" s="8" t="s">
        <v>109</v>
      </c>
      <c r="AE724" s="11">
        <v>51990</v>
      </c>
      <c r="AF724" s="11">
        <f t="shared" si="76"/>
        <v>779850</v>
      </c>
      <c r="AG724" s="12" t="s">
        <v>64</v>
      </c>
      <c r="AH724" s="8" t="s">
        <v>65</v>
      </c>
    </row>
    <row r="725" spans="1:34">
      <c r="A725" s="8" t="s">
        <v>1048</v>
      </c>
      <c r="B725" s="16" t="s">
        <v>1029</v>
      </c>
      <c r="C725" s="8" t="s">
        <v>1030</v>
      </c>
      <c r="D725" s="8" t="s">
        <v>1030</v>
      </c>
      <c r="E725" s="8" t="str">
        <f t="shared" si="74"/>
        <v>SUELA</v>
      </c>
      <c r="H725" s="8" t="str">
        <f>VLOOKUP(A725,[1]BBDD!$B$1:$J$3274,9,FALSE)</f>
        <v>H</v>
      </c>
      <c r="I725" s="8" t="s">
        <v>2863</v>
      </c>
      <c r="J725" s="8" t="s">
        <v>1040</v>
      </c>
      <c r="L725" s="8" t="s">
        <v>479</v>
      </c>
      <c r="N725" s="8" t="s">
        <v>90</v>
      </c>
      <c r="O725" s="8" t="s">
        <v>90</v>
      </c>
      <c r="P725" s="18" t="str">
        <f t="shared" si="77"/>
        <v>100</v>
      </c>
      <c r="Q725" s="8" t="s">
        <v>45</v>
      </c>
      <c r="R725" s="8">
        <v>0</v>
      </c>
      <c r="S725" s="8">
        <v>3</v>
      </c>
      <c r="T725" s="8">
        <f t="shared" si="72"/>
        <v>3</v>
      </c>
      <c r="U725" s="8">
        <v>1</v>
      </c>
      <c r="V725" s="8">
        <v>1</v>
      </c>
      <c r="W725" s="8">
        <v>1</v>
      </c>
      <c r="X725" s="8">
        <v>0</v>
      </c>
      <c r="Y725" s="8">
        <v>0</v>
      </c>
      <c r="Z725" s="8">
        <v>1</v>
      </c>
      <c r="AA725" s="8">
        <v>180</v>
      </c>
      <c r="AB725" s="9">
        <f t="shared" si="73"/>
        <v>0.66666666666666674</v>
      </c>
      <c r="AC725" s="10">
        <f t="shared" si="75"/>
        <v>4.4999999999999991</v>
      </c>
      <c r="AD725" s="8" t="s">
        <v>109</v>
      </c>
      <c r="AE725" s="11">
        <v>51990</v>
      </c>
      <c r="AF725" s="11">
        <f t="shared" si="76"/>
        <v>155970</v>
      </c>
      <c r="AG725" s="12" t="s">
        <v>34</v>
      </c>
      <c r="AH725" s="8" t="s">
        <v>35</v>
      </c>
    </row>
    <row r="726" spans="1:34">
      <c r="A726" s="8" t="s">
        <v>1049</v>
      </c>
      <c r="B726" s="16" t="s">
        <v>1029</v>
      </c>
      <c r="C726" s="8" t="s">
        <v>1030</v>
      </c>
      <c r="D726" s="8" t="s">
        <v>1030</v>
      </c>
      <c r="E726" s="8" t="str">
        <f t="shared" si="74"/>
        <v>SUELA</v>
      </c>
      <c r="H726" s="8" t="str">
        <f>VLOOKUP(A726,[1]BBDD!$B$1:$J$3274,9,FALSE)</f>
        <v>H</v>
      </c>
      <c r="I726" s="8" t="s">
        <v>2863</v>
      </c>
      <c r="J726" s="8" t="s">
        <v>1040</v>
      </c>
      <c r="L726" s="8" t="s">
        <v>479</v>
      </c>
      <c r="N726" s="8" t="s">
        <v>90</v>
      </c>
      <c r="O726" s="8" t="s">
        <v>90</v>
      </c>
      <c r="P726" s="18" t="str">
        <f t="shared" si="77"/>
        <v>105</v>
      </c>
      <c r="Q726" s="8" t="s">
        <v>45</v>
      </c>
      <c r="R726" s="8">
        <v>6</v>
      </c>
      <c r="S726" s="8">
        <v>5</v>
      </c>
      <c r="T726" s="8">
        <f t="shared" si="72"/>
        <v>11</v>
      </c>
      <c r="U726" s="8">
        <v>1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180</v>
      </c>
      <c r="AB726" s="9">
        <f t="shared" si="73"/>
        <v>0.16666666666666669</v>
      </c>
      <c r="AC726" s="10">
        <f t="shared" si="75"/>
        <v>65.999999999999986</v>
      </c>
      <c r="AD726" s="8" t="s">
        <v>109</v>
      </c>
      <c r="AE726" s="11">
        <v>51990</v>
      </c>
      <c r="AF726" s="11">
        <f t="shared" si="76"/>
        <v>571890</v>
      </c>
      <c r="AG726" s="12" t="s">
        <v>73</v>
      </c>
      <c r="AH726" s="8" t="s">
        <v>65</v>
      </c>
    </row>
    <row r="727" spans="1:34">
      <c r="A727" s="8" t="s">
        <v>1050</v>
      </c>
      <c r="B727" s="16" t="s">
        <v>1029</v>
      </c>
      <c r="C727" s="8" t="s">
        <v>1030</v>
      </c>
      <c r="D727" s="8" t="s">
        <v>1030</v>
      </c>
      <c r="E727" s="8" t="str">
        <f t="shared" si="74"/>
        <v>SUELA</v>
      </c>
      <c r="H727" s="8" t="str">
        <f>VLOOKUP(A727,[1]BBDD!$B$1:$J$3274,9,FALSE)</f>
        <v>H</v>
      </c>
      <c r="I727" s="8" t="s">
        <v>2863</v>
      </c>
      <c r="J727" s="8" t="s">
        <v>1040</v>
      </c>
      <c r="L727" s="8" t="s">
        <v>479</v>
      </c>
      <c r="N727" s="8" t="s">
        <v>90</v>
      </c>
      <c r="O727" s="8" t="s">
        <v>90</v>
      </c>
      <c r="P727" s="18" t="str">
        <f t="shared" si="77"/>
        <v>110</v>
      </c>
      <c r="Q727" s="8" t="s">
        <v>45</v>
      </c>
      <c r="R727" s="8">
        <v>6</v>
      </c>
      <c r="S727" s="8">
        <v>7</v>
      </c>
      <c r="T727" s="8">
        <f t="shared" si="72"/>
        <v>13</v>
      </c>
      <c r="U727" s="8">
        <v>0</v>
      </c>
      <c r="V727" s="8">
        <v>1</v>
      </c>
      <c r="W727" s="8">
        <v>0</v>
      </c>
      <c r="X727" s="8">
        <v>0</v>
      </c>
      <c r="Y727" s="8">
        <v>0</v>
      </c>
      <c r="Z727" s="8">
        <v>1</v>
      </c>
      <c r="AA727" s="8">
        <v>180</v>
      </c>
      <c r="AB727" s="9">
        <f t="shared" si="73"/>
        <v>0.33333333333333337</v>
      </c>
      <c r="AC727" s="10">
        <f t="shared" si="75"/>
        <v>38.999999999999993</v>
      </c>
      <c r="AD727" s="8" t="s">
        <v>109</v>
      </c>
      <c r="AE727" s="11">
        <v>51990</v>
      </c>
      <c r="AF727" s="11">
        <f t="shared" si="76"/>
        <v>675870</v>
      </c>
      <c r="AG727" s="12" t="s">
        <v>73</v>
      </c>
      <c r="AH727" s="8" t="s">
        <v>65</v>
      </c>
    </row>
    <row r="728" spans="1:34">
      <c r="A728" s="8" t="s">
        <v>1051</v>
      </c>
      <c r="B728" s="16" t="s">
        <v>1029</v>
      </c>
      <c r="C728" s="8" t="s">
        <v>1030</v>
      </c>
      <c r="D728" s="8" t="s">
        <v>1030</v>
      </c>
      <c r="E728" s="8" t="str">
        <f t="shared" si="74"/>
        <v>SUELA</v>
      </c>
      <c r="H728" s="8" t="str">
        <f>VLOOKUP(A728,[1]BBDD!$B$1:$J$3274,9,FALSE)</f>
        <v>H</v>
      </c>
      <c r="I728" s="8" t="s">
        <v>2863</v>
      </c>
      <c r="J728" s="8" t="s">
        <v>1040</v>
      </c>
      <c r="L728" s="8" t="s">
        <v>479</v>
      </c>
      <c r="N728" s="8" t="s">
        <v>90</v>
      </c>
      <c r="O728" s="8" t="s">
        <v>90</v>
      </c>
      <c r="P728" s="18" t="str">
        <f t="shared" si="77"/>
        <v>115</v>
      </c>
      <c r="Q728" s="8" t="s">
        <v>45</v>
      </c>
      <c r="R728" s="8">
        <v>9</v>
      </c>
      <c r="S728" s="8">
        <v>8</v>
      </c>
      <c r="T728" s="8">
        <f t="shared" si="72"/>
        <v>17</v>
      </c>
      <c r="U728" s="8">
        <v>1</v>
      </c>
      <c r="V728" s="8">
        <v>0</v>
      </c>
      <c r="W728" s="8">
        <v>1</v>
      </c>
      <c r="X728" s="8">
        <v>0</v>
      </c>
      <c r="Y728" s="8">
        <v>0</v>
      </c>
      <c r="Z728" s="8">
        <v>0</v>
      </c>
      <c r="AA728" s="8">
        <v>180</v>
      </c>
      <c r="AB728" s="9">
        <f t="shared" si="73"/>
        <v>0.33333333333333337</v>
      </c>
      <c r="AC728" s="10">
        <f t="shared" si="75"/>
        <v>50.999999999999993</v>
      </c>
      <c r="AD728" s="8" t="s">
        <v>109</v>
      </c>
      <c r="AE728" s="11">
        <v>51990</v>
      </c>
      <c r="AF728" s="11">
        <f t="shared" si="76"/>
        <v>883830</v>
      </c>
      <c r="AG728" s="12" t="s">
        <v>73</v>
      </c>
      <c r="AH728" s="8" t="s">
        <v>65</v>
      </c>
    </row>
    <row r="729" spans="1:34">
      <c r="A729" s="8" t="s">
        <v>1052</v>
      </c>
      <c r="B729" s="16" t="s">
        <v>1029</v>
      </c>
      <c r="C729" s="8" t="s">
        <v>1030</v>
      </c>
      <c r="D729" s="8" t="s">
        <v>1030</v>
      </c>
      <c r="E729" s="8" t="str">
        <f t="shared" si="74"/>
        <v>SUELA</v>
      </c>
      <c r="H729" s="8" t="str">
        <f>VLOOKUP(A729,[1]BBDD!$B$1:$J$3274,9,FALSE)</f>
        <v>H</v>
      </c>
      <c r="I729" s="8" t="s">
        <v>2863</v>
      </c>
      <c r="J729" s="8" t="s">
        <v>1040</v>
      </c>
      <c r="L729" s="8" t="s">
        <v>479</v>
      </c>
      <c r="N729" s="8" t="s">
        <v>90</v>
      </c>
      <c r="O729" s="8" t="s">
        <v>90</v>
      </c>
      <c r="P729" s="18" t="str">
        <f t="shared" si="77"/>
        <v>120</v>
      </c>
      <c r="Q729" s="8" t="s">
        <v>45</v>
      </c>
      <c r="R729" s="8">
        <v>3</v>
      </c>
      <c r="S729" s="8">
        <v>7</v>
      </c>
      <c r="T729" s="8">
        <f t="shared" si="72"/>
        <v>10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1</v>
      </c>
      <c r="AA729" s="8">
        <v>180</v>
      </c>
      <c r="AB729" s="9">
        <f t="shared" si="73"/>
        <v>0.16666666666666669</v>
      </c>
      <c r="AC729" s="10">
        <f t="shared" si="75"/>
        <v>59.999999999999993</v>
      </c>
      <c r="AD729" s="8" t="s">
        <v>109</v>
      </c>
      <c r="AE729" s="11">
        <v>51990</v>
      </c>
      <c r="AF729" s="11">
        <f t="shared" si="76"/>
        <v>519900</v>
      </c>
      <c r="AG729" s="12" t="s">
        <v>73</v>
      </c>
      <c r="AH729" s="8" t="s">
        <v>35</v>
      </c>
    </row>
    <row r="730" spans="1:34">
      <c r="A730" s="8" t="s">
        <v>1053</v>
      </c>
      <c r="B730" s="16" t="s">
        <v>1029</v>
      </c>
      <c r="C730" s="8" t="s">
        <v>1030</v>
      </c>
      <c r="D730" s="8" t="s">
        <v>1030</v>
      </c>
      <c r="E730" s="8" t="str">
        <f t="shared" si="74"/>
        <v>SUELA</v>
      </c>
      <c r="H730" s="8" t="str">
        <f>VLOOKUP(A730,[1]BBDD!$B$1:$J$3274,9,FALSE)</f>
        <v>H</v>
      </c>
      <c r="I730" s="8" t="s">
        <v>2863</v>
      </c>
      <c r="J730" s="8" t="s">
        <v>1040</v>
      </c>
      <c r="L730" s="8" t="s">
        <v>479</v>
      </c>
      <c r="N730" s="8" t="s">
        <v>90</v>
      </c>
      <c r="O730" s="8" t="s">
        <v>90</v>
      </c>
      <c r="P730" s="18" t="str">
        <f t="shared" si="77"/>
        <v>85</v>
      </c>
      <c r="Q730" s="8" t="s">
        <v>45</v>
      </c>
      <c r="R730" s="8">
        <v>2</v>
      </c>
      <c r="S730" s="8">
        <v>5</v>
      </c>
      <c r="T730" s="8">
        <f t="shared" si="72"/>
        <v>7</v>
      </c>
      <c r="U730" s="8">
        <v>1</v>
      </c>
      <c r="V730" s="8">
        <v>1</v>
      </c>
      <c r="W730" s="8">
        <v>3</v>
      </c>
      <c r="X730" s="8">
        <v>0</v>
      </c>
      <c r="Y730" s="8">
        <v>0</v>
      </c>
      <c r="Z730" s="8">
        <v>1</v>
      </c>
      <c r="AA730" s="8">
        <v>180</v>
      </c>
      <c r="AB730" s="9">
        <f t="shared" si="73"/>
        <v>1</v>
      </c>
      <c r="AC730" s="10">
        <f t="shared" si="75"/>
        <v>7</v>
      </c>
      <c r="AD730" s="8" t="s">
        <v>109</v>
      </c>
      <c r="AE730" s="11">
        <v>51990</v>
      </c>
      <c r="AF730" s="11">
        <f t="shared" si="76"/>
        <v>363930</v>
      </c>
      <c r="AG730" s="12" t="s">
        <v>51</v>
      </c>
      <c r="AH730" s="8" t="s">
        <v>35</v>
      </c>
    </row>
    <row r="731" spans="1:34">
      <c r="A731" s="8" t="s">
        <v>1054</v>
      </c>
      <c r="B731" s="16" t="s">
        <v>1029</v>
      </c>
      <c r="C731" s="8" t="s">
        <v>1030</v>
      </c>
      <c r="D731" s="8" t="s">
        <v>1030</v>
      </c>
      <c r="E731" s="8" t="str">
        <f t="shared" si="74"/>
        <v>SUELA</v>
      </c>
      <c r="H731" s="8" t="str">
        <f>VLOOKUP(A731,[1]BBDD!$B$1:$J$3274,9,FALSE)</f>
        <v>H</v>
      </c>
      <c r="I731" s="8" t="s">
        <v>2863</v>
      </c>
      <c r="J731" s="8" t="s">
        <v>1040</v>
      </c>
      <c r="L731" s="8" t="s">
        <v>479</v>
      </c>
      <c r="N731" s="8" t="s">
        <v>90</v>
      </c>
      <c r="O731" s="8" t="s">
        <v>90</v>
      </c>
      <c r="P731" s="18" t="str">
        <f t="shared" si="77"/>
        <v>95</v>
      </c>
      <c r="Q731" s="8" t="s">
        <v>45</v>
      </c>
      <c r="R731" s="8">
        <v>0</v>
      </c>
      <c r="S731" s="8">
        <v>4</v>
      </c>
      <c r="T731" s="8">
        <f t="shared" si="72"/>
        <v>4</v>
      </c>
      <c r="U731" s="8">
        <v>1</v>
      </c>
      <c r="V731" s="8">
        <v>0</v>
      </c>
      <c r="W731" s="8">
        <v>0</v>
      </c>
      <c r="X731" s="8">
        <v>1</v>
      </c>
      <c r="Y731" s="8">
        <v>0</v>
      </c>
      <c r="Z731" s="8">
        <v>0</v>
      </c>
      <c r="AA731" s="8">
        <v>180</v>
      </c>
      <c r="AB731" s="9">
        <f t="shared" si="73"/>
        <v>0.33333333333333337</v>
      </c>
      <c r="AC731" s="10">
        <f t="shared" si="75"/>
        <v>11.999999999999998</v>
      </c>
      <c r="AD731" s="8" t="s">
        <v>109</v>
      </c>
      <c r="AE731" s="11">
        <v>51990</v>
      </c>
      <c r="AF731" s="11">
        <f t="shared" si="76"/>
        <v>207960</v>
      </c>
      <c r="AG731" s="12" t="s">
        <v>51</v>
      </c>
      <c r="AH731" s="8" t="s">
        <v>35</v>
      </c>
    </row>
    <row r="732" spans="1:34">
      <c r="A732" s="8" t="s">
        <v>1055</v>
      </c>
      <c r="B732" s="16" t="s">
        <v>1029</v>
      </c>
      <c r="C732" s="8" t="s">
        <v>1030</v>
      </c>
      <c r="D732" s="8" t="s">
        <v>1030</v>
      </c>
      <c r="E732" s="8" t="str">
        <f t="shared" si="74"/>
        <v>NEGRO</v>
      </c>
      <c r="H732" s="8" t="str">
        <f>VLOOKUP(A732,[1]BBDD!$B$1:$J$3274,9,FALSE)</f>
        <v>H</v>
      </c>
      <c r="I732" s="8" t="s">
        <v>2863</v>
      </c>
      <c r="J732" s="8" t="s">
        <v>1056</v>
      </c>
      <c r="L732" s="8" t="s">
        <v>61</v>
      </c>
      <c r="N732" s="8" t="s">
        <v>44</v>
      </c>
      <c r="O732" s="8" t="s">
        <v>44</v>
      </c>
      <c r="P732" s="18" t="str">
        <f t="shared" si="77"/>
        <v>100</v>
      </c>
      <c r="Q732" s="8" t="s">
        <v>32</v>
      </c>
      <c r="R732" s="8">
        <v>0</v>
      </c>
      <c r="S732" s="8">
        <v>3</v>
      </c>
      <c r="T732" s="8">
        <f t="shared" si="72"/>
        <v>3</v>
      </c>
      <c r="U732" s="8">
        <v>0</v>
      </c>
      <c r="V732" s="8">
        <v>1</v>
      </c>
      <c r="W732" s="8">
        <v>0</v>
      </c>
      <c r="X732" s="8">
        <v>0</v>
      </c>
      <c r="Y732" s="8">
        <v>0</v>
      </c>
      <c r="Z732" s="8">
        <v>2</v>
      </c>
      <c r="AA732" s="8">
        <v>180</v>
      </c>
      <c r="AB732" s="9">
        <f t="shared" si="73"/>
        <v>0.5</v>
      </c>
      <c r="AC732" s="10">
        <f t="shared" si="75"/>
        <v>6</v>
      </c>
      <c r="AD732" s="8" t="s">
        <v>33</v>
      </c>
      <c r="AE732" s="11">
        <v>51990</v>
      </c>
      <c r="AF732" s="11">
        <f t="shared" si="76"/>
        <v>155970</v>
      </c>
      <c r="AG732" s="12" t="s">
        <v>34</v>
      </c>
      <c r="AH732" s="8" t="s">
        <v>35</v>
      </c>
    </row>
    <row r="733" spans="1:34">
      <c r="A733" s="8" t="s">
        <v>1057</v>
      </c>
      <c r="B733" s="16" t="s">
        <v>1029</v>
      </c>
      <c r="C733" s="8" t="s">
        <v>1030</v>
      </c>
      <c r="D733" s="8" t="s">
        <v>1030</v>
      </c>
      <c r="E733" s="8" t="str">
        <f t="shared" si="74"/>
        <v>NEGRO</v>
      </c>
      <c r="H733" s="8" t="str">
        <f>VLOOKUP(A733,[1]BBDD!$B$1:$J$3274,9,FALSE)</f>
        <v>H</v>
      </c>
      <c r="I733" s="8" t="s">
        <v>2863</v>
      </c>
      <c r="J733" s="8" t="s">
        <v>1056</v>
      </c>
      <c r="L733" s="8" t="s">
        <v>61</v>
      </c>
      <c r="N733" s="8" t="s">
        <v>44</v>
      </c>
      <c r="O733" s="8" t="s">
        <v>44</v>
      </c>
      <c r="P733" s="18" t="str">
        <f t="shared" si="77"/>
        <v>105</v>
      </c>
      <c r="Q733" s="8" t="s">
        <v>32</v>
      </c>
      <c r="R733" s="8">
        <v>0</v>
      </c>
      <c r="S733" s="8">
        <v>1</v>
      </c>
      <c r="T733" s="8">
        <f t="shared" si="72"/>
        <v>1</v>
      </c>
      <c r="U733" s="8">
        <v>2</v>
      </c>
      <c r="V733" s="8">
        <v>2</v>
      </c>
      <c r="W733" s="8">
        <v>2</v>
      </c>
      <c r="X733" s="8">
        <v>2</v>
      </c>
      <c r="Y733" s="8">
        <v>0</v>
      </c>
      <c r="Z733" s="8">
        <v>0</v>
      </c>
      <c r="AA733" s="8">
        <v>180</v>
      </c>
      <c r="AB733" s="9">
        <f t="shared" si="73"/>
        <v>1.3333333333333335</v>
      </c>
      <c r="AC733" s="10">
        <f t="shared" si="75"/>
        <v>0.74999999999999989</v>
      </c>
      <c r="AD733" s="8" t="s">
        <v>33</v>
      </c>
      <c r="AE733" s="11">
        <v>51990</v>
      </c>
      <c r="AF733" s="11">
        <f t="shared" si="76"/>
        <v>51990</v>
      </c>
      <c r="AG733" s="12" t="s">
        <v>34</v>
      </c>
      <c r="AH733" s="8" t="s">
        <v>35</v>
      </c>
    </row>
    <row r="734" spans="1:34">
      <c r="A734" s="8" t="s">
        <v>1058</v>
      </c>
      <c r="B734" s="16" t="s">
        <v>1029</v>
      </c>
      <c r="C734" s="8" t="s">
        <v>1030</v>
      </c>
      <c r="D734" s="8" t="s">
        <v>1030</v>
      </c>
      <c r="E734" s="8" t="str">
        <f t="shared" si="74"/>
        <v>NEGRO</v>
      </c>
      <c r="H734" s="8" t="str">
        <f>VLOOKUP(A734,[1]BBDD!$B$1:$J$3274,9,FALSE)</f>
        <v>H</v>
      </c>
      <c r="I734" s="8" t="s">
        <v>2863</v>
      </c>
      <c r="J734" s="8" t="s">
        <v>1056</v>
      </c>
      <c r="L734" s="8" t="s">
        <v>61</v>
      </c>
      <c r="N734" s="8" t="s">
        <v>44</v>
      </c>
      <c r="O734" s="8" t="s">
        <v>44</v>
      </c>
      <c r="P734" s="18" t="str">
        <f t="shared" si="77"/>
        <v>110</v>
      </c>
      <c r="Q734" s="8" t="s">
        <v>32</v>
      </c>
      <c r="R734" s="8">
        <v>0</v>
      </c>
      <c r="S734" s="8">
        <v>2</v>
      </c>
      <c r="T734" s="8">
        <f t="shared" si="72"/>
        <v>2</v>
      </c>
      <c r="U734" s="8">
        <v>2</v>
      </c>
      <c r="V734" s="8">
        <v>0</v>
      </c>
      <c r="W734" s="8">
        <v>2</v>
      </c>
      <c r="X734" s="8">
        <v>1</v>
      </c>
      <c r="Y734" s="8">
        <v>0</v>
      </c>
      <c r="Z734" s="8">
        <v>0</v>
      </c>
      <c r="AA734" s="8">
        <v>180</v>
      </c>
      <c r="AB734" s="9">
        <f t="shared" si="73"/>
        <v>0.83333333333333326</v>
      </c>
      <c r="AC734" s="10">
        <f t="shared" si="75"/>
        <v>2.4000000000000004</v>
      </c>
      <c r="AD734" s="8" t="s">
        <v>33</v>
      </c>
      <c r="AE734" s="11">
        <v>51990</v>
      </c>
      <c r="AF734" s="11">
        <f t="shared" si="76"/>
        <v>103980</v>
      </c>
      <c r="AG734" s="12" t="s">
        <v>34</v>
      </c>
      <c r="AH734" s="8" t="s">
        <v>35</v>
      </c>
    </row>
    <row r="735" spans="1:34">
      <c r="A735" s="8" t="s">
        <v>1059</v>
      </c>
      <c r="B735" s="16" t="s">
        <v>1029</v>
      </c>
      <c r="C735" s="8" t="s">
        <v>1030</v>
      </c>
      <c r="D735" s="8" t="s">
        <v>1030</v>
      </c>
      <c r="E735" s="8" t="str">
        <f t="shared" si="74"/>
        <v>NEGRO</v>
      </c>
      <c r="H735" s="8" t="str">
        <f>VLOOKUP(A735,[1]BBDD!$B$1:$J$3274,9,FALSE)</f>
        <v>H</v>
      </c>
      <c r="I735" s="8" t="s">
        <v>2863</v>
      </c>
      <c r="J735" s="8" t="s">
        <v>1056</v>
      </c>
      <c r="L735" s="8" t="s">
        <v>61</v>
      </c>
      <c r="N735" s="8" t="s">
        <v>44</v>
      </c>
      <c r="O735" s="8" t="s">
        <v>44</v>
      </c>
      <c r="P735" s="18" t="str">
        <f t="shared" si="77"/>
        <v>90</v>
      </c>
      <c r="Q735" s="8" t="s">
        <v>32</v>
      </c>
      <c r="R735" s="8">
        <v>0</v>
      </c>
      <c r="S735" s="8">
        <v>1</v>
      </c>
      <c r="T735" s="8">
        <f t="shared" si="72"/>
        <v>1</v>
      </c>
      <c r="U735" s="8">
        <v>1</v>
      </c>
      <c r="V735" s="8">
        <v>1</v>
      </c>
      <c r="W735" s="8">
        <v>1</v>
      </c>
      <c r="X735" s="8">
        <v>2</v>
      </c>
      <c r="Y735" s="8">
        <v>0</v>
      </c>
      <c r="Z735" s="8">
        <v>0</v>
      </c>
      <c r="AA735" s="8">
        <v>180</v>
      </c>
      <c r="AB735" s="9">
        <f t="shared" si="73"/>
        <v>0.83333333333333326</v>
      </c>
      <c r="AC735" s="10">
        <f t="shared" si="75"/>
        <v>1.2000000000000002</v>
      </c>
      <c r="AD735" s="8" t="s">
        <v>33</v>
      </c>
      <c r="AE735" s="11">
        <v>51990</v>
      </c>
      <c r="AF735" s="11">
        <f t="shared" si="76"/>
        <v>51990</v>
      </c>
      <c r="AG735" s="12" t="s">
        <v>34</v>
      </c>
      <c r="AH735" s="8" t="s">
        <v>35</v>
      </c>
    </row>
    <row r="736" spans="1:34">
      <c r="A736" s="8" t="s">
        <v>1060</v>
      </c>
      <c r="B736" s="16" t="s">
        <v>1029</v>
      </c>
      <c r="C736" s="8" t="s">
        <v>1030</v>
      </c>
      <c r="D736" s="8" t="s">
        <v>1030</v>
      </c>
      <c r="E736" s="8" t="str">
        <f t="shared" si="74"/>
        <v>NEGRO</v>
      </c>
      <c r="H736" s="8" t="str">
        <f>VLOOKUP(A736,[1]BBDD!$B$1:$J$3274,9,FALSE)</f>
        <v>H</v>
      </c>
      <c r="I736" s="8" t="s">
        <v>2863</v>
      </c>
      <c r="J736" s="8" t="s">
        <v>1056</v>
      </c>
      <c r="L736" s="8" t="s">
        <v>61</v>
      </c>
      <c r="N736" s="8" t="s">
        <v>44</v>
      </c>
      <c r="O736" s="8" t="s">
        <v>44</v>
      </c>
      <c r="P736" s="18" t="str">
        <f t="shared" si="77"/>
        <v>95</v>
      </c>
      <c r="Q736" s="8" t="s">
        <v>32</v>
      </c>
      <c r="R736" s="8">
        <v>0</v>
      </c>
      <c r="S736" s="8">
        <v>0</v>
      </c>
      <c r="T736" s="8">
        <f t="shared" si="72"/>
        <v>0</v>
      </c>
      <c r="U736" s="8">
        <v>0</v>
      </c>
      <c r="V736" s="8">
        <v>1</v>
      </c>
      <c r="W736" s="8">
        <v>1</v>
      </c>
      <c r="X736" s="8">
        <v>0</v>
      </c>
      <c r="Y736" s="8">
        <v>0</v>
      </c>
      <c r="Z736" s="8">
        <v>0</v>
      </c>
      <c r="AA736" s="8">
        <v>180</v>
      </c>
      <c r="AB736" s="9">
        <f t="shared" si="73"/>
        <v>0.33333333333333337</v>
      </c>
      <c r="AC736" s="10">
        <f t="shared" si="75"/>
        <v>0</v>
      </c>
      <c r="AD736" s="8" t="s">
        <v>33</v>
      </c>
      <c r="AE736" s="11">
        <v>51990</v>
      </c>
      <c r="AF736" s="11">
        <f t="shared" si="76"/>
        <v>0</v>
      </c>
      <c r="AG736" s="12" t="s">
        <v>34</v>
      </c>
      <c r="AH736" s="8" t="s">
        <v>35</v>
      </c>
    </row>
    <row r="737" spans="1:34">
      <c r="A737" s="8" t="s">
        <v>1061</v>
      </c>
      <c r="B737" s="16" t="s">
        <v>1029</v>
      </c>
      <c r="C737" s="8" t="s">
        <v>1030</v>
      </c>
      <c r="D737" s="8" t="s">
        <v>1030</v>
      </c>
      <c r="E737" s="8" t="str">
        <f t="shared" si="74"/>
        <v>SUELA</v>
      </c>
      <c r="H737" s="8" t="str">
        <f>VLOOKUP(A737,[1]BBDD!$B$1:$J$3274,9,FALSE)</f>
        <v>H</v>
      </c>
      <c r="I737" s="8" t="s">
        <v>2863</v>
      </c>
      <c r="J737" s="8" t="s">
        <v>1056</v>
      </c>
      <c r="L737" s="8" t="s">
        <v>61</v>
      </c>
      <c r="N737" s="8" t="s">
        <v>90</v>
      </c>
      <c r="O737" s="8" t="s">
        <v>90</v>
      </c>
      <c r="P737" s="18" t="str">
        <f t="shared" si="77"/>
        <v>100</v>
      </c>
      <c r="Q737" s="8" t="s">
        <v>32</v>
      </c>
      <c r="R737" s="8">
        <v>0</v>
      </c>
      <c r="S737" s="8">
        <v>0</v>
      </c>
      <c r="T737" s="8">
        <f t="shared" si="72"/>
        <v>0</v>
      </c>
      <c r="U737" s="8">
        <v>1</v>
      </c>
      <c r="V737" s="8">
        <v>0</v>
      </c>
      <c r="W737" s="8">
        <v>1</v>
      </c>
      <c r="X737" s="8">
        <v>0</v>
      </c>
      <c r="Y737" s="8">
        <v>0</v>
      </c>
      <c r="Z737" s="8">
        <v>0</v>
      </c>
      <c r="AA737" s="8">
        <v>180</v>
      </c>
      <c r="AB737" s="9">
        <f t="shared" si="73"/>
        <v>0.33333333333333337</v>
      </c>
      <c r="AC737" s="10">
        <f t="shared" si="75"/>
        <v>0</v>
      </c>
      <c r="AD737" s="8" t="s">
        <v>33</v>
      </c>
      <c r="AE737" s="11">
        <v>51990</v>
      </c>
      <c r="AF737" s="11">
        <f t="shared" si="76"/>
        <v>0</v>
      </c>
      <c r="AG737" s="12" t="s">
        <v>34</v>
      </c>
      <c r="AH737" s="8" t="s">
        <v>35</v>
      </c>
    </row>
    <row r="738" spans="1:34">
      <c r="A738" s="8" t="s">
        <v>1062</v>
      </c>
      <c r="B738" s="16" t="s">
        <v>1029</v>
      </c>
      <c r="C738" s="8" t="s">
        <v>1030</v>
      </c>
      <c r="D738" s="8" t="s">
        <v>1030</v>
      </c>
      <c r="E738" s="8" t="str">
        <f t="shared" si="74"/>
        <v>SUELA</v>
      </c>
      <c r="H738" s="8" t="str">
        <f>VLOOKUP(A738,[1]BBDD!$B$1:$J$3274,9,FALSE)</f>
        <v>H</v>
      </c>
      <c r="I738" s="8" t="s">
        <v>2863</v>
      </c>
      <c r="J738" s="8" t="s">
        <v>1056</v>
      </c>
      <c r="L738" s="8" t="s">
        <v>61</v>
      </c>
      <c r="N738" s="8" t="s">
        <v>90</v>
      </c>
      <c r="O738" s="8" t="s">
        <v>90</v>
      </c>
      <c r="P738" s="18" t="str">
        <f t="shared" si="77"/>
        <v>105</v>
      </c>
      <c r="Q738" s="8" t="s">
        <v>32</v>
      </c>
      <c r="R738" s="8">
        <v>0</v>
      </c>
      <c r="S738" s="8">
        <v>3</v>
      </c>
      <c r="T738" s="8">
        <f t="shared" si="72"/>
        <v>3</v>
      </c>
      <c r="U738" s="8">
        <v>1</v>
      </c>
      <c r="V738" s="8">
        <v>0</v>
      </c>
      <c r="W738" s="8">
        <v>1</v>
      </c>
      <c r="X738" s="8">
        <v>1</v>
      </c>
      <c r="Y738" s="8">
        <v>0</v>
      </c>
      <c r="Z738" s="8">
        <v>0</v>
      </c>
      <c r="AA738" s="8">
        <v>180</v>
      </c>
      <c r="AB738" s="9">
        <f t="shared" si="73"/>
        <v>0.5</v>
      </c>
      <c r="AC738" s="10">
        <f t="shared" si="75"/>
        <v>6</v>
      </c>
      <c r="AD738" s="8" t="s">
        <v>33</v>
      </c>
      <c r="AE738" s="11">
        <v>51990</v>
      </c>
      <c r="AF738" s="11">
        <f t="shared" si="76"/>
        <v>155970</v>
      </c>
      <c r="AG738" s="12" t="s">
        <v>34</v>
      </c>
      <c r="AH738" s="8" t="s">
        <v>35</v>
      </c>
    </row>
    <row r="739" spans="1:34">
      <c r="A739" s="8" t="s">
        <v>1063</v>
      </c>
      <c r="B739" s="16" t="s">
        <v>1029</v>
      </c>
      <c r="C739" s="8" t="s">
        <v>1030</v>
      </c>
      <c r="D739" s="8" t="s">
        <v>1030</v>
      </c>
      <c r="E739" s="8" t="str">
        <f t="shared" si="74"/>
        <v>SUELA</v>
      </c>
      <c r="H739" s="8" t="str">
        <f>VLOOKUP(A739,[1]BBDD!$B$1:$J$3274,9,FALSE)</f>
        <v>H</v>
      </c>
      <c r="I739" s="8" t="s">
        <v>2863</v>
      </c>
      <c r="J739" s="8" t="s">
        <v>1056</v>
      </c>
      <c r="L739" s="8" t="s">
        <v>61</v>
      </c>
      <c r="N739" s="8" t="s">
        <v>90</v>
      </c>
      <c r="O739" s="8" t="s">
        <v>90</v>
      </c>
      <c r="P739" s="18" t="str">
        <f t="shared" si="77"/>
        <v>110</v>
      </c>
      <c r="Q739" s="8" t="s">
        <v>32</v>
      </c>
      <c r="R739" s="8">
        <v>0</v>
      </c>
      <c r="S739" s="8">
        <v>1</v>
      </c>
      <c r="T739" s="8">
        <f t="shared" si="72"/>
        <v>1</v>
      </c>
      <c r="U739" s="8">
        <v>1</v>
      </c>
      <c r="V739" s="8">
        <v>1</v>
      </c>
      <c r="W739" s="8">
        <v>1</v>
      </c>
      <c r="X739" s="8">
        <v>0</v>
      </c>
      <c r="Y739" s="8">
        <v>0</v>
      </c>
      <c r="Z739" s="8">
        <v>0</v>
      </c>
      <c r="AA739" s="8">
        <v>180</v>
      </c>
      <c r="AB739" s="9">
        <f t="shared" si="73"/>
        <v>0.5</v>
      </c>
      <c r="AC739" s="10">
        <f t="shared" si="75"/>
        <v>2</v>
      </c>
      <c r="AD739" s="8" t="s">
        <v>33</v>
      </c>
      <c r="AE739" s="11">
        <v>51990</v>
      </c>
      <c r="AF739" s="11">
        <f t="shared" si="76"/>
        <v>51990</v>
      </c>
      <c r="AG739" s="12" t="s">
        <v>34</v>
      </c>
      <c r="AH739" s="8" t="s">
        <v>35</v>
      </c>
    </row>
    <row r="740" spans="1:34">
      <c r="A740" s="8" t="s">
        <v>1064</v>
      </c>
      <c r="B740" s="16" t="s">
        <v>1029</v>
      </c>
      <c r="C740" s="8" t="s">
        <v>1030</v>
      </c>
      <c r="D740" s="8" t="s">
        <v>1030</v>
      </c>
      <c r="E740" s="8" t="str">
        <f t="shared" si="74"/>
        <v>SUELA</v>
      </c>
      <c r="H740" s="8" t="str">
        <f>VLOOKUP(A740,[1]BBDD!$B$1:$J$3274,9,FALSE)</f>
        <v>H</v>
      </c>
      <c r="I740" s="8" t="s">
        <v>2863</v>
      </c>
      <c r="J740" s="8" t="s">
        <v>1056</v>
      </c>
      <c r="L740" s="8" t="s">
        <v>61</v>
      </c>
      <c r="N740" s="8" t="s">
        <v>90</v>
      </c>
      <c r="O740" s="8" t="s">
        <v>90</v>
      </c>
      <c r="P740" s="18" t="str">
        <f t="shared" si="77"/>
        <v>90</v>
      </c>
      <c r="Q740" s="8" t="s">
        <v>32</v>
      </c>
      <c r="R740" s="8">
        <v>0</v>
      </c>
      <c r="S740" s="8">
        <v>3</v>
      </c>
      <c r="T740" s="8">
        <f t="shared" si="72"/>
        <v>3</v>
      </c>
      <c r="U740" s="8">
        <v>0</v>
      </c>
      <c r="V740" s="8">
        <v>2</v>
      </c>
      <c r="W740" s="8">
        <v>0</v>
      </c>
      <c r="X740" s="8">
        <v>1</v>
      </c>
      <c r="Y740" s="8">
        <v>0</v>
      </c>
      <c r="Z740" s="8">
        <v>0</v>
      </c>
      <c r="AA740" s="8">
        <v>180</v>
      </c>
      <c r="AB740" s="9">
        <f t="shared" si="73"/>
        <v>0.5</v>
      </c>
      <c r="AC740" s="10">
        <f t="shared" si="75"/>
        <v>6</v>
      </c>
      <c r="AD740" s="8" t="s">
        <v>33</v>
      </c>
      <c r="AE740" s="11">
        <v>51990</v>
      </c>
      <c r="AF740" s="11">
        <f t="shared" si="76"/>
        <v>155970</v>
      </c>
      <c r="AG740" s="12" t="s">
        <v>34</v>
      </c>
      <c r="AH740" s="8" t="s">
        <v>35</v>
      </c>
    </row>
    <row r="741" spans="1:34">
      <c r="A741" s="8" t="s">
        <v>1065</v>
      </c>
      <c r="B741" s="16" t="s">
        <v>1029</v>
      </c>
      <c r="C741" s="8" t="s">
        <v>1030</v>
      </c>
      <c r="D741" s="8" t="s">
        <v>1030</v>
      </c>
      <c r="E741" s="8" t="str">
        <f t="shared" si="74"/>
        <v>SUELA</v>
      </c>
      <c r="H741" s="8" t="str">
        <f>VLOOKUP(A741,[1]BBDD!$B$1:$J$3274,9,FALSE)</f>
        <v>H</v>
      </c>
      <c r="I741" s="8" t="s">
        <v>2863</v>
      </c>
      <c r="J741" s="8" t="s">
        <v>1056</v>
      </c>
      <c r="L741" s="8" t="s">
        <v>61</v>
      </c>
      <c r="N741" s="8" t="s">
        <v>90</v>
      </c>
      <c r="O741" s="8" t="s">
        <v>90</v>
      </c>
      <c r="P741" s="18" t="str">
        <f t="shared" si="77"/>
        <v>95</v>
      </c>
      <c r="Q741" s="8" t="s">
        <v>32</v>
      </c>
      <c r="R741" s="8">
        <v>0</v>
      </c>
      <c r="S741" s="8">
        <v>0</v>
      </c>
      <c r="T741" s="8">
        <f t="shared" si="72"/>
        <v>0</v>
      </c>
      <c r="U741" s="8">
        <v>2</v>
      </c>
      <c r="V741" s="8">
        <v>1</v>
      </c>
      <c r="W741" s="8">
        <v>0</v>
      </c>
      <c r="X741" s="8">
        <v>0</v>
      </c>
      <c r="Y741" s="8">
        <v>0</v>
      </c>
      <c r="Z741" s="8">
        <v>0</v>
      </c>
      <c r="AA741" s="8">
        <v>180</v>
      </c>
      <c r="AB741" s="9">
        <f t="shared" si="73"/>
        <v>0.5</v>
      </c>
      <c r="AC741" s="10">
        <f t="shared" si="75"/>
        <v>0</v>
      </c>
      <c r="AD741" s="8" t="s">
        <v>33</v>
      </c>
      <c r="AE741" s="11">
        <v>51990</v>
      </c>
      <c r="AF741" s="11">
        <f t="shared" si="76"/>
        <v>0</v>
      </c>
      <c r="AG741" s="12" t="s">
        <v>34</v>
      </c>
      <c r="AH741" s="8" t="s">
        <v>35</v>
      </c>
    </row>
    <row r="742" spans="1:34">
      <c r="A742" s="8" t="s">
        <v>1066</v>
      </c>
      <c r="B742" s="16" t="s">
        <v>1029</v>
      </c>
      <c r="C742" s="8" t="s">
        <v>1030</v>
      </c>
      <c r="D742" s="8" t="s">
        <v>1030</v>
      </c>
      <c r="E742" s="8" t="str">
        <f t="shared" si="74"/>
        <v>NEGRO</v>
      </c>
      <c r="H742" s="8" t="str">
        <f>VLOOKUP(A742,[1]BBDD!$B$1:$J$3274,9,FALSE)</f>
        <v>H</v>
      </c>
      <c r="I742" s="8" t="s">
        <v>2863</v>
      </c>
      <c r="J742" s="8" t="s">
        <v>1056</v>
      </c>
      <c r="L742" s="8" t="s">
        <v>61</v>
      </c>
      <c r="N742" s="8" t="s">
        <v>44</v>
      </c>
      <c r="O742" s="8" t="s">
        <v>44</v>
      </c>
      <c r="P742" s="18" t="str">
        <f t="shared" si="77"/>
        <v>115</v>
      </c>
      <c r="Q742" s="8" t="s">
        <v>45</v>
      </c>
      <c r="R742" s="8">
        <v>1</v>
      </c>
      <c r="S742" s="8">
        <v>3</v>
      </c>
      <c r="T742" s="8">
        <f t="shared" si="72"/>
        <v>4</v>
      </c>
      <c r="U742" s="8">
        <v>0</v>
      </c>
      <c r="V742" s="8">
        <v>1</v>
      </c>
      <c r="W742" s="8">
        <v>0</v>
      </c>
      <c r="X742" s="8">
        <v>0</v>
      </c>
      <c r="Y742" s="8">
        <v>0</v>
      </c>
      <c r="Z742" s="8">
        <v>1</v>
      </c>
      <c r="AA742" s="8">
        <v>180</v>
      </c>
      <c r="AB742" s="9">
        <f t="shared" si="73"/>
        <v>0.33333333333333337</v>
      </c>
      <c r="AC742" s="10">
        <f t="shared" si="75"/>
        <v>11.999999999999998</v>
      </c>
      <c r="AD742" s="8" t="s">
        <v>109</v>
      </c>
      <c r="AE742" s="11">
        <v>51990</v>
      </c>
      <c r="AF742" s="11">
        <f t="shared" si="76"/>
        <v>207960</v>
      </c>
      <c r="AG742" s="12" t="s">
        <v>51</v>
      </c>
      <c r="AH742" s="8" t="s">
        <v>35</v>
      </c>
    </row>
    <row r="743" spans="1:34">
      <c r="A743" s="8" t="s">
        <v>1067</v>
      </c>
      <c r="B743" s="16" t="s">
        <v>1029</v>
      </c>
      <c r="C743" s="8" t="s">
        <v>1030</v>
      </c>
      <c r="D743" s="8" t="s">
        <v>1030</v>
      </c>
      <c r="E743" s="8" t="str">
        <f t="shared" si="74"/>
        <v>NEGRO</v>
      </c>
      <c r="H743" s="8" t="str">
        <f>VLOOKUP(A743,[1]BBDD!$B$1:$J$3274,9,FALSE)</f>
        <v>H</v>
      </c>
      <c r="I743" s="8" t="s">
        <v>2863</v>
      </c>
      <c r="J743" s="8" t="s">
        <v>1056</v>
      </c>
      <c r="L743" s="8" t="s">
        <v>61</v>
      </c>
      <c r="N743" s="8" t="s">
        <v>44</v>
      </c>
      <c r="O743" s="8" t="s">
        <v>44</v>
      </c>
      <c r="P743" s="18" t="str">
        <f t="shared" si="77"/>
        <v>120</v>
      </c>
      <c r="Q743" s="8" t="s">
        <v>45</v>
      </c>
      <c r="R743" s="8">
        <v>0</v>
      </c>
      <c r="S743" s="8">
        <v>5</v>
      </c>
      <c r="T743" s="8">
        <f t="shared" si="72"/>
        <v>5</v>
      </c>
      <c r="U743" s="8">
        <v>0</v>
      </c>
      <c r="V743" s="8">
        <v>1</v>
      </c>
      <c r="W743" s="8">
        <v>1</v>
      </c>
      <c r="X743" s="8">
        <v>1</v>
      </c>
      <c r="Y743" s="8">
        <v>1</v>
      </c>
      <c r="Z743" s="8">
        <v>0</v>
      </c>
      <c r="AA743" s="8">
        <v>180</v>
      </c>
      <c r="AB743" s="9">
        <f t="shared" si="73"/>
        <v>0.66666666666666674</v>
      </c>
      <c r="AC743" s="10">
        <f t="shared" si="75"/>
        <v>7.4999999999999991</v>
      </c>
      <c r="AD743" s="8" t="s">
        <v>109</v>
      </c>
      <c r="AE743" s="11">
        <v>51990</v>
      </c>
      <c r="AF743" s="11">
        <f t="shared" si="76"/>
        <v>259950</v>
      </c>
      <c r="AG743" s="12" t="s">
        <v>51</v>
      </c>
      <c r="AH743" s="8" t="s">
        <v>35</v>
      </c>
    </row>
    <row r="744" spans="1:34">
      <c r="A744" s="8" t="s">
        <v>1068</v>
      </c>
      <c r="B744" s="16" t="s">
        <v>1029</v>
      </c>
      <c r="C744" s="8" t="s">
        <v>1030</v>
      </c>
      <c r="D744" s="8" t="s">
        <v>1030</v>
      </c>
      <c r="E744" s="8" t="str">
        <f t="shared" si="74"/>
        <v>NEGRO</v>
      </c>
      <c r="H744" s="8" t="str">
        <f>VLOOKUP(A744,[1]BBDD!$B$1:$J$3274,9,FALSE)</f>
        <v>H</v>
      </c>
      <c r="I744" s="8" t="s">
        <v>2863</v>
      </c>
      <c r="J744" s="8" t="s">
        <v>1056</v>
      </c>
      <c r="L744" s="8" t="s">
        <v>61</v>
      </c>
      <c r="N744" s="8" t="s">
        <v>44</v>
      </c>
      <c r="O744" s="8" t="s">
        <v>44</v>
      </c>
      <c r="P744" s="18" t="str">
        <f t="shared" si="77"/>
        <v>85</v>
      </c>
      <c r="Q744" s="8" t="s">
        <v>45</v>
      </c>
      <c r="R744" s="8">
        <v>1</v>
      </c>
      <c r="S744" s="8">
        <v>5</v>
      </c>
      <c r="T744" s="8">
        <f t="shared" si="72"/>
        <v>6</v>
      </c>
      <c r="U744" s="8">
        <v>0</v>
      </c>
      <c r="V744" s="8">
        <v>0</v>
      </c>
      <c r="W744" s="8">
        <v>0</v>
      </c>
      <c r="X744" s="8">
        <v>1</v>
      </c>
      <c r="Y744" s="8">
        <v>0</v>
      </c>
      <c r="Z744" s="8">
        <v>1</v>
      </c>
      <c r="AA744" s="8">
        <v>180</v>
      </c>
      <c r="AB744" s="9">
        <f t="shared" si="73"/>
        <v>0.33333333333333337</v>
      </c>
      <c r="AC744" s="10">
        <f t="shared" si="75"/>
        <v>17.999999999999996</v>
      </c>
      <c r="AD744" s="8" t="s">
        <v>109</v>
      </c>
      <c r="AE744" s="11">
        <v>51990</v>
      </c>
      <c r="AF744" s="11">
        <f t="shared" si="76"/>
        <v>311940</v>
      </c>
      <c r="AG744" s="12" t="s">
        <v>64</v>
      </c>
      <c r="AH744" s="8" t="s">
        <v>35</v>
      </c>
    </row>
    <row r="745" spans="1:34">
      <c r="A745" s="8" t="s">
        <v>1069</v>
      </c>
      <c r="B745" s="16" t="s">
        <v>1029</v>
      </c>
      <c r="C745" s="8" t="s">
        <v>1030</v>
      </c>
      <c r="D745" s="8" t="s">
        <v>1030</v>
      </c>
      <c r="E745" s="8" t="str">
        <f t="shared" si="74"/>
        <v>SUELA</v>
      </c>
      <c r="H745" s="8" t="str">
        <f>VLOOKUP(A745,[1]BBDD!$B$1:$J$3274,9,FALSE)</f>
        <v>H</v>
      </c>
      <c r="I745" s="8" t="s">
        <v>2863</v>
      </c>
      <c r="J745" s="8" t="s">
        <v>1056</v>
      </c>
      <c r="L745" s="8" t="s">
        <v>61</v>
      </c>
      <c r="N745" s="8" t="s">
        <v>90</v>
      </c>
      <c r="O745" s="8" t="s">
        <v>90</v>
      </c>
      <c r="P745" s="18" t="str">
        <f t="shared" si="77"/>
        <v>115</v>
      </c>
      <c r="Q745" s="8" t="s">
        <v>45</v>
      </c>
      <c r="R745" s="8">
        <v>0</v>
      </c>
      <c r="S745" s="8">
        <v>2</v>
      </c>
      <c r="T745" s="8">
        <f t="shared" si="72"/>
        <v>2</v>
      </c>
      <c r="U745" s="8">
        <v>1</v>
      </c>
      <c r="V745" s="8">
        <v>0</v>
      </c>
      <c r="W745" s="8">
        <v>1</v>
      </c>
      <c r="X745" s="8">
        <v>0</v>
      </c>
      <c r="Y745" s="8">
        <v>1</v>
      </c>
      <c r="Z745" s="8">
        <v>0</v>
      </c>
      <c r="AA745" s="8">
        <v>180</v>
      </c>
      <c r="AB745" s="9">
        <f t="shared" si="73"/>
        <v>0.5</v>
      </c>
      <c r="AC745" s="10">
        <f t="shared" si="75"/>
        <v>4</v>
      </c>
      <c r="AD745" s="8" t="s">
        <v>109</v>
      </c>
      <c r="AE745" s="11">
        <v>51990</v>
      </c>
      <c r="AF745" s="11">
        <f t="shared" si="76"/>
        <v>103980</v>
      </c>
      <c r="AG745" s="12" t="s">
        <v>34</v>
      </c>
      <c r="AH745" s="8" t="s">
        <v>35</v>
      </c>
    </row>
    <row r="746" spans="1:34">
      <c r="A746" s="8" t="s">
        <v>1070</v>
      </c>
      <c r="B746" s="16" t="s">
        <v>1029</v>
      </c>
      <c r="C746" s="8" t="s">
        <v>1030</v>
      </c>
      <c r="D746" s="8" t="s">
        <v>1030</v>
      </c>
      <c r="E746" s="8" t="str">
        <f t="shared" si="74"/>
        <v>SUELA</v>
      </c>
      <c r="H746" s="8" t="str">
        <f>VLOOKUP(A746,[1]BBDD!$B$1:$J$3274,9,FALSE)</f>
        <v>H</v>
      </c>
      <c r="I746" s="8" t="s">
        <v>2863</v>
      </c>
      <c r="J746" s="8" t="s">
        <v>1056</v>
      </c>
      <c r="L746" s="8" t="s">
        <v>61</v>
      </c>
      <c r="N746" s="8" t="s">
        <v>90</v>
      </c>
      <c r="O746" s="8" t="s">
        <v>90</v>
      </c>
      <c r="P746" s="18" t="str">
        <f t="shared" si="77"/>
        <v>120</v>
      </c>
      <c r="Q746" s="8" t="s">
        <v>45</v>
      </c>
      <c r="R746" s="8">
        <v>0</v>
      </c>
      <c r="S746" s="8">
        <v>4</v>
      </c>
      <c r="T746" s="8">
        <f t="shared" si="72"/>
        <v>4</v>
      </c>
      <c r="U746" s="8">
        <v>0</v>
      </c>
      <c r="V746" s="8">
        <v>0</v>
      </c>
      <c r="W746" s="8">
        <v>0</v>
      </c>
      <c r="X746" s="8">
        <v>0</v>
      </c>
      <c r="Y746" s="8">
        <v>1</v>
      </c>
      <c r="Z746" s="8">
        <v>1</v>
      </c>
      <c r="AA746" s="8">
        <v>180</v>
      </c>
      <c r="AB746" s="9">
        <f t="shared" si="73"/>
        <v>0.33333333333333337</v>
      </c>
      <c r="AC746" s="10">
        <f t="shared" si="75"/>
        <v>11.999999999999998</v>
      </c>
      <c r="AD746" s="8" t="s">
        <v>109</v>
      </c>
      <c r="AE746" s="11">
        <v>51990</v>
      </c>
      <c r="AF746" s="11">
        <f t="shared" si="76"/>
        <v>207960</v>
      </c>
      <c r="AG746" s="12" t="s">
        <v>51</v>
      </c>
      <c r="AH746" s="8" t="s">
        <v>35</v>
      </c>
    </row>
    <row r="747" spans="1:34">
      <c r="A747" s="8" t="s">
        <v>1071</v>
      </c>
      <c r="B747" s="16" t="s">
        <v>1029</v>
      </c>
      <c r="C747" s="8" t="s">
        <v>1030</v>
      </c>
      <c r="D747" s="8" t="s">
        <v>1030</v>
      </c>
      <c r="E747" s="8" t="str">
        <f t="shared" si="74"/>
        <v>SUELA</v>
      </c>
      <c r="H747" s="8" t="str">
        <f>VLOOKUP(A747,[1]BBDD!$B$1:$J$3274,9,FALSE)</f>
        <v>H</v>
      </c>
      <c r="I747" s="8" t="s">
        <v>2863</v>
      </c>
      <c r="J747" s="8" t="s">
        <v>1056</v>
      </c>
      <c r="L747" s="8" t="s">
        <v>61</v>
      </c>
      <c r="N747" s="8" t="s">
        <v>90</v>
      </c>
      <c r="O747" s="8" t="s">
        <v>90</v>
      </c>
      <c r="P747" s="18" t="str">
        <f t="shared" si="77"/>
        <v>85</v>
      </c>
      <c r="Q747" s="8" t="s">
        <v>45</v>
      </c>
      <c r="R747" s="8">
        <v>1</v>
      </c>
      <c r="S747" s="8">
        <v>6</v>
      </c>
      <c r="T747" s="8">
        <f t="shared" si="72"/>
        <v>7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1</v>
      </c>
      <c r="AA747" s="8">
        <v>180</v>
      </c>
      <c r="AB747" s="9">
        <f t="shared" si="73"/>
        <v>0.16666666666666669</v>
      </c>
      <c r="AC747" s="10">
        <f t="shared" si="75"/>
        <v>41.999999999999993</v>
      </c>
      <c r="AD747" s="8" t="s">
        <v>109</v>
      </c>
      <c r="AE747" s="11">
        <v>51990</v>
      </c>
      <c r="AF747" s="11">
        <f t="shared" si="76"/>
        <v>363930</v>
      </c>
      <c r="AG747" s="12" t="s">
        <v>73</v>
      </c>
      <c r="AH747" s="8" t="s">
        <v>35</v>
      </c>
    </row>
    <row r="748" spans="1:34">
      <c r="A748" s="8" t="s">
        <v>1072</v>
      </c>
      <c r="B748" s="16" t="s">
        <v>1029</v>
      </c>
      <c r="C748" s="8" t="s">
        <v>1030</v>
      </c>
      <c r="D748" s="8" t="s">
        <v>1030</v>
      </c>
      <c r="E748" s="8" t="str">
        <f t="shared" si="74"/>
        <v>CHOCOLATE</v>
      </c>
      <c r="H748" s="8" t="str">
        <f>VLOOKUP(A748,[1]BBDD!$B$1:$J$3274,9,FALSE)</f>
        <v>H</v>
      </c>
      <c r="I748" s="8" t="s">
        <v>2863</v>
      </c>
      <c r="J748" s="8" t="s">
        <v>1073</v>
      </c>
      <c r="L748" s="8" t="s">
        <v>82</v>
      </c>
      <c r="N748" s="8" t="s">
        <v>252</v>
      </c>
      <c r="O748" s="8" t="s">
        <v>252</v>
      </c>
      <c r="P748" s="18" t="str">
        <f t="shared" si="77"/>
        <v>105</v>
      </c>
      <c r="Q748" s="8" t="s">
        <v>45</v>
      </c>
      <c r="R748" s="8">
        <v>0</v>
      </c>
      <c r="S748" s="8">
        <v>1</v>
      </c>
      <c r="T748" s="8">
        <f t="shared" si="72"/>
        <v>1</v>
      </c>
      <c r="U748" s="8">
        <v>0</v>
      </c>
      <c r="V748" s="8">
        <v>0</v>
      </c>
      <c r="W748" s="8">
        <v>1</v>
      </c>
      <c r="X748" s="8">
        <v>1</v>
      </c>
      <c r="Y748" s="8">
        <v>0</v>
      </c>
      <c r="Z748" s="8">
        <v>0</v>
      </c>
      <c r="AA748" s="8">
        <v>180</v>
      </c>
      <c r="AB748" s="9">
        <f t="shared" si="73"/>
        <v>0.33333333333333337</v>
      </c>
      <c r="AC748" s="10">
        <f t="shared" si="75"/>
        <v>2.9999999999999996</v>
      </c>
      <c r="AD748" s="8" t="s">
        <v>46</v>
      </c>
      <c r="AE748" s="11">
        <v>29990</v>
      </c>
      <c r="AF748" s="11">
        <f t="shared" si="76"/>
        <v>29990</v>
      </c>
      <c r="AG748" s="12" t="s">
        <v>34</v>
      </c>
      <c r="AH748" s="8" t="s">
        <v>35</v>
      </c>
    </row>
    <row r="749" spans="1:34">
      <c r="A749" s="8" t="s">
        <v>1074</v>
      </c>
      <c r="B749" s="16" t="s">
        <v>1029</v>
      </c>
      <c r="C749" s="8" t="s">
        <v>1030</v>
      </c>
      <c r="D749" s="8" t="s">
        <v>1030</v>
      </c>
      <c r="E749" s="8" t="str">
        <f t="shared" si="74"/>
        <v>CHOCOLATE</v>
      </c>
      <c r="H749" s="8" t="str">
        <f>VLOOKUP(A749,[1]BBDD!$B$1:$J$3274,9,FALSE)</f>
        <v>H</v>
      </c>
      <c r="I749" s="8" t="s">
        <v>2863</v>
      </c>
      <c r="J749" s="8" t="s">
        <v>1073</v>
      </c>
      <c r="L749" s="8" t="s">
        <v>82</v>
      </c>
      <c r="N749" s="8" t="s">
        <v>252</v>
      </c>
      <c r="O749" s="8" t="s">
        <v>252</v>
      </c>
      <c r="P749" s="18" t="str">
        <f t="shared" si="77"/>
        <v>110</v>
      </c>
      <c r="Q749" s="8" t="s">
        <v>45</v>
      </c>
      <c r="R749" s="8">
        <v>0</v>
      </c>
      <c r="S749" s="8">
        <v>1</v>
      </c>
      <c r="T749" s="8">
        <f t="shared" si="72"/>
        <v>1</v>
      </c>
      <c r="U749" s="8">
        <v>0</v>
      </c>
      <c r="V749" s="8">
        <v>1</v>
      </c>
      <c r="W749" s="8">
        <v>0</v>
      </c>
      <c r="X749" s="8">
        <v>1</v>
      </c>
      <c r="Y749" s="8">
        <v>0</v>
      </c>
      <c r="Z749" s="8">
        <v>1</v>
      </c>
      <c r="AA749" s="8">
        <v>180</v>
      </c>
      <c r="AB749" s="9">
        <f t="shared" si="73"/>
        <v>0.5</v>
      </c>
      <c r="AC749" s="10">
        <f t="shared" si="75"/>
        <v>2</v>
      </c>
      <c r="AD749" s="8" t="s">
        <v>46</v>
      </c>
      <c r="AE749" s="11">
        <v>29990</v>
      </c>
      <c r="AF749" s="11">
        <f t="shared" si="76"/>
        <v>29990</v>
      </c>
      <c r="AG749" s="12" t="s">
        <v>34</v>
      </c>
      <c r="AH749" s="8" t="s">
        <v>35</v>
      </c>
    </row>
    <row r="750" spans="1:34">
      <c r="A750" s="8" t="s">
        <v>1075</v>
      </c>
      <c r="B750" s="16" t="s">
        <v>1029</v>
      </c>
      <c r="C750" s="8" t="s">
        <v>1030</v>
      </c>
      <c r="D750" s="8" t="s">
        <v>1030</v>
      </c>
      <c r="E750" s="8" t="str">
        <f t="shared" si="74"/>
        <v>CHOCOLATE</v>
      </c>
      <c r="H750" s="8" t="str">
        <f>VLOOKUP(A750,[1]BBDD!$B$1:$J$3274,9,FALSE)</f>
        <v>H</v>
      </c>
      <c r="I750" s="8" t="s">
        <v>2863</v>
      </c>
      <c r="J750" s="8" t="s">
        <v>1073</v>
      </c>
      <c r="L750" s="8" t="s">
        <v>82</v>
      </c>
      <c r="N750" s="8" t="s">
        <v>252</v>
      </c>
      <c r="O750" s="8" t="s">
        <v>252</v>
      </c>
      <c r="P750" s="18" t="str">
        <f t="shared" si="77"/>
        <v>115</v>
      </c>
      <c r="Q750" s="8" t="s">
        <v>45</v>
      </c>
      <c r="R750" s="8">
        <v>0</v>
      </c>
      <c r="S750" s="8">
        <v>4</v>
      </c>
      <c r="T750" s="8">
        <f t="shared" si="72"/>
        <v>4</v>
      </c>
      <c r="U750" s="8">
        <v>0</v>
      </c>
      <c r="V750" s="8">
        <v>0</v>
      </c>
      <c r="W750" s="8">
        <v>0</v>
      </c>
      <c r="X750" s="8">
        <v>1</v>
      </c>
      <c r="Y750" s="8">
        <v>0</v>
      </c>
      <c r="Z750" s="8">
        <v>0</v>
      </c>
      <c r="AA750" s="8">
        <v>180</v>
      </c>
      <c r="AB750" s="9">
        <f t="shared" si="73"/>
        <v>0.16666666666666669</v>
      </c>
      <c r="AC750" s="10">
        <f t="shared" si="75"/>
        <v>23.999999999999996</v>
      </c>
      <c r="AD750" s="8" t="s">
        <v>46</v>
      </c>
      <c r="AE750" s="11">
        <v>29990</v>
      </c>
      <c r="AF750" s="11">
        <f t="shared" si="76"/>
        <v>119960</v>
      </c>
      <c r="AG750" s="12" t="s">
        <v>64</v>
      </c>
      <c r="AH750" s="8" t="s">
        <v>35</v>
      </c>
    </row>
    <row r="751" spans="1:34">
      <c r="A751" s="8" t="s">
        <v>1076</v>
      </c>
      <c r="B751" s="16" t="s">
        <v>1029</v>
      </c>
      <c r="C751" s="8" t="s">
        <v>1030</v>
      </c>
      <c r="D751" s="8" t="s">
        <v>1030</v>
      </c>
      <c r="E751" s="8" t="str">
        <f t="shared" si="74"/>
        <v>CHOCOLATE</v>
      </c>
      <c r="H751" s="8" t="str">
        <f>VLOOKUP(A751,[1]BBDD!$B$1:$J$3274,9,FALSE)</f>
        <v>H</v>
      </c>
      <c r="I751" s="8" t="s">
        <v>2863</v>
      </c>
      <c r="J751" s="8" t="s">
        <v>1073</v>
      </c>
      <c r="L751" s="8" t="s">
        <v>82</v>
      </c>
      <c r="N751" s="8" t="s">
        <v>252</v>
      </c>
      <c r="O751" s="8" t="s">
        <v>252</v>
      </c>
      <c r="P751" s="18" t="str">
        <f t="shared" si="77"/>
        <v>120</v>
      </c>
      <c r="Q751" s="8" t="s">
        <v>45</v>
      </c>
      <c r="R751" s="8">
        <v>0</v>
      </c>
      <c r="S751" s="8">
        <v>2</v>
      </c>
      <c r="T751" s="8">
        <f t="shared" si="72"/>
        <v>2</v>
      </c>
      <c r="U751" s="8">
        <v>1</v>
      </c>
      <c r="V751" s="8">
        <v>0</v>
      </c>
      <c r="W751" s="8">
        <v>0</v>
      </c>
      <c r="X751" s="8">
        <v>0</v>
      </c>
      <c r="Y751" s="8">
        <v>1</v>
      </c>
      <c r="Z751" s="8">
        <v>1</v>
      </c>
      <c r="AA751" s="8">
        <v>180</v>
      </c>
      <c r="AB751" s="9">
        <f t="shared" si="73"/>
        <v>0.5</v>
      </c>
      <c r="AC751" s="10">
        <f t="shared" si="75"/>
        <v>4</v>
      </c>
      <c r="AD751" s="8" t="s">
        <v>46</v>
      </c>
      <c r="AE751" s="11">
        <v>29990</v>
      </c>
      <c r="AF751" s="11">
        <f t="shared" si="76"/>
        <v>59980</v>
      </c>
      <c r="AG751" s="12" t="s">
        <v>34</v>
      </c>
      <c r="AH751" s="8" t="s">
        <v>35</v>
      </c>
    </row>
    <row r="752" spans="1:34">
      <c r="A752" s="8" t="s">
        <v>1077</v>
      </c>
      <c r="B752" s="16" t="s">
        <v>1029</v>
      </c>
      <c r="C752" s="8" t="s">
        <v>1030</v>
      </c>
      <c r="D752" s="8" t="s">
        <v>1030</v>
      </c>
      <c r="E752" s="8" t="str">
        <f t="shared" si="74"/>
        <v>CHOCOLATE</v>
      </c>
      <c r="H752" s="8" t="str">
        <f>VLOOKUP(A752,[1]BBDD!$B$1:$J$3274,9,FALSE)</f>
        <v>H</v>
      </c>
      <c r="I752" s="8" t="s">
        <v>2863</v>
      </c>
      <c r="J752" s="8" t="s">
        <v>1073</v>
      </c>
      <c r="L752" s="8" t="s">
        <v>82</v>
      </c>
      <c r="N752" s="8" t="s">
        <v>252</v>
      </c>
      <c r="O752" s="8" t="s">
        <v>252</v>
      </c>
      <c r="P752" s="18" t="str">
        <f t="shared" si="77"/>
        <v>85</v>
      </c>
      <c r="Q752" s="8" t="s">
        <v>45</v>
      </c>
      <c r="R752" s="8">
        <v>0</v>
      </c>
      <c r="S752" s="8">
        <v>1</v>
      </c>
      <c r="T752" s="8">
        <f t="shared" si="72"/>
        <v>1</v>
      </c>
      <c r="U752" s="8">
        <v>0</v>
      </c>
      <c r="V752" s="8">
        <v>1</v>
      </c>
      <c r="W752" s="8">
        <v>2</v>
      </c>
      <c r="X752" s="8">
        <v>2</v>
      </c>
      <c r="Y752" s="8">
        <v>1</v>
      </c>
      <c r="Z752" s="8">
        <v>0</v>
      </c>
      <c r="AA752" s="8">
        <v>180</v>
      </c>
      <c r="AB752" s="9">
        <f t="shared" si="73"/>
        <v>1</v>
      </c>
      <c r="AC752" s="10">
        <f t="shared" si="75"/>
        <v>1</v>
      </c>
      <c r="AD752" s="8" t="s">
        <v>46</v>
      </c>
      <c r="AE752" s="11">
        <v>29990</v>
      </c>
      <c r="AF752" s="11">
        <f t="shared" si="76"/>
        <v>29990</v>
      </c>
      <c r="AG752" s="12" t="s">
        <v>34</v>
      </c>
      <c r="AH752" s="8" t="s">
        <v>35</v>
      </c>
    </row>
    <row r="753" spans="1:34">
      <c r="A753" s="8" t="s">
        <v>1078</v>
      </c>
      <c r="B753" s="16" t="s">
        <v>1029</v>
      </c>
      <c r="C753" s="8" t="s">
        <v>1030</v>
      </c>
      <c r="D753" s="8" t="s">
        <v>1030</v>
      </c>
      <c r="E753" s="8" t="str">
        <f t="shared" si="74"/>
        <v>NEGRO</v>
      </c>
      <c r="H753" s="8" t="str">
        <f>VLOOKUP(A753,[1]BBDD!$B$1:$J$3274,9,FALSE)</f>
        <v>H</v>
      </c>
      <c r="I753" s="8" t="s">
        <v>2863</v>
      </c>
      <c r="J753" s="8" t="s">
        <v>1073</v>
      </c>
      <c r="L753" s="8" t="s">
        <v>82</v>
      </c>
      <c r="N753" s="8" t="s">
        <v>44</v>
      </c>
      <c r="O753" s="8" t="s">
        <v>44</v>
      </c>
      <c r="P753" s="18" t="str">
        <f t="shared" si="77"/>
        <v>115</v>
      </c>
      <c r="Q753" s="8" t="s">
        <v>45</v>
      </c>
      <c r="R753" s="8">
        <v>0</v>
      </c>
      <c r="S753" s="8">
        <v>1</v>
      </c>
      <c r="T753" s="8">
        <f t="shared" ref="T753:T816" si="78">SUM(R753:S753)</f>
        <v>1</v>
      </c>
      <c r="U753" s="8">
        <v>1</v>
      </c>
      <c r="V753" s="8">
        <v>1</v>
      </c>
      <c r="W753" s="8">
        <v>1</v>
      </c>
      <c r="X753" s="8">
        <v>1</v>
      </c>
      <c r="Y753" s="8">
        <v>0</v>
      </c>
      <c r="Z753" s="8">
        <v>0</v>
      </c>
      <c r="AA753" s="8">
        <v>180</v>
      </c>
      <c r="AB753" s="9">
        <f t="shared" ref="AB753:AB816" si="79">SUM(U753:Z753)/AA753*30</f>
        <v>0.66666666666666674</v>
      </c>
      <c r="AC753" s="10">
        <f t="shared" si="75"/>
        <v>1.4999999999999998</v>
      </c>
      <c r="AD753" s="8" t="s">
        <v>46</v>
      </c>
      <c r="AE753" s="11">
        <v>29990</v>
      </c>
      <c r="AF753" s="11">
        <f t="shared" si="76"/>
        <v>29990</v>
      </c>
      <c r="AG753" s="12" t="s">
        <v>34</v>
      </c>
      <c r="AH753" s="8" t="s">
        <v>35</v>
      </c>
    </row>
    <row r="754" spans="1:34">
      <c r="A754" s="8" t="s">
        <v>1079</v>
      </c>
      <c r="B754" s="16" t="s">
        <v>1029</v>
      </c>
      <c r="C754" s="8" t="s">
        <v>1030</v>
      </c>
      <c r="D754" s="8" t="s">
        <v>1030</v>
      </c>
      <c r="E754" s="8" t="str">
        <f t="shared" si="74"/>
        <v>NEGRO</v>
      </c>
      <c r="H754" s="8" t="str">
        <f>VLOOKUP(A754,[1]BBDD!$B$1:$J$3274,9,FALSE)</f>
        <v>H</v>
      </c>
      <c r="I754" s="8" t="s">
        <v>2863</v>
      </c>
      <c r="J754" s="8" t="s">
        <v>1073</v>
      </c>
      <c r="L754" s="8" t="s">
        <v>82</v>
      </c>
      <c r="N754" s="8" t="s">
        <v>44</v>
      </c>
      <c r="O754" s="8" t="s">
        <v>44</v>
      </c>
      <c r="P754" s="18" t="str">
        <f t="shared" si="77"/>
        <v>120</v>
      </c>
      <c r="Q754" s="8" t="s">
        <v>45</v>
      </c>
      <c r="R754" s="8">
        <v>0</v>
      </c>
      <c r="S754" s="8">
        <v>1</v>
      </c>
      <c r="T754" s="8">
        <f t="shared" si="78"/>
        <v>1</v>
      </c>
      <c r="U754" s="8">
        <v>1</v>
      </c>
      <c r="V754" s="8">
        <v>0</v>
      </c>
      <c r="W754" s="8">
        <v>2</v>
      </c>
      <c r="X754" s="8">
        <v>0</v>
      </c>
      <c r="Y754" s="8">
        <v>0</v>
      </c>
      <c r="Z754" s="8">
        <v>0</v>
      </c>
      <c r="AA754" s="8">
        <v>180</v>
      </c>
      <c r="AB754" s="9">
        <f t="shared" si="79"/>
        <v>0.5</v>
      </c>
      <c r="AC754" s="10">
        <f t="shared" si="75"/>
        <v>2</v>
      </c>
      <c r="AD754" s="8" t="s">
        <v>46</v>
      </c>
      <c r="AE754" s="11">
        <v>29990</v>
      </c>
      <c r="AF754" s="11">
        <f t="shared" si="76"/>
        <v>29990</v>
      </c>
      <c r="AG754" s="12" t="s">
        <v>34</v>
      </c>
      <c r="AH754" s="8" t="s">
        <v>35</v>
      </c>
    </row>
    <row r="755" spans="1:34">
      <c r="A755" s="8" t="s">
        <v>1080</v>
      </c>
      <c r="B755" s="16" t="s">
        <v>1081</v>
      </c>
      <c r="C755" s="8" t="s">
        <v>1030</v>
      </c>
      <c r="D755" s="8" t="s">
        <v>1030</v>
      </c>
      <c r="E755" s="8" t="str">
        <f t="shared" si="74"/>
        <v>NEGRO</v>
      </c>
      <c r="H755" s="8" t="str">
        <f>VLOOKUP(A755,[1]BBDD!$B$1:$J$3274,9,FALSE)</f>
        <v>H</v>
      </c>
      <c r="I755" s="8" t="s">
        <v>2863</v>
      </c>
      <c r="J755" s="8" t="s">
        <v>1082</v>
      </c>
      <c r="L755" s="8" t="s">
        <v>82</v>
      </c>
      <c r="N755" s="8" t="s">
        <v>44</v>
      </c>
      <c r="O755" s="8" t="s">
        <v>44</v>
      </c>
      <c r="P755" s="18" t="str">
        <f t="shared" si="77"/>
        <v>100</v>
      </c>
      <c r="Q755" s="8" t="s">
        <v>32</v>
      </c>
      <c r="R755" s="8">
        <v>0</v>
      </c>
      <c r="S755" s="8">
        <v>0</v>
      </c>
      <c r="T755" s="8">
        <f t="shared" si="78"/>
        <v>0</v>
      </c>
      <c r="U755" s="8">
        <v>0</v>
      </c>
      <c r="V755" s="8">
        <v>2</v>
      </c>
      <c r="W755" s="8">
        <v>2</v>
      </c>
      <c r="X755" s="8">
        <v>0</v>
      </c>
      <c r="Y755" s="8">
        <v>0</v>
      </c>
      <c r="Z755" s="8">
        <v>0</v>
      </c>
      <c r="AA755" s="8">
        <v>180</v>
      </c>
      <c r="AB755" s="9">
        <f t="shared" si="79"/>
        <v>0.66666666666666674</v>
      </c>
      <c r="AC755" s="10">
        <f t="shared" si="75"/>
        <v>0</v>
      </c>
      <c r="AD755" s="8" t="s">
        <v>33</v>
      </c>
      <c r="AE755" s="11">
        <v>99990</v>
      </c>
      <c r="AF755" s="11">
        <f t="shared" si="76"/>
        <v>0</v>
      </c>
      <c r="AG755" s="12" t="s">
        <v>34</v>
      </c>
      <c r="AH755" s="8" t="s">
        <v>35</v>
      </c>
    </row>
    <row r="756" spans="1:34">
      <c r="A756" s="8" t="s">
        <v>1083</v>
      </c>
      <c r="B756" s="16" t="s">
        <v>1081</v>
      </c>
      <c r="C756" s="8" t="s">
        <v>1030</v>
      </c>
      <c r="D756" s="8" t="s">
        <v>1030</v>
      </c>
      <c r="E756" s="8" t="str">
        <f t="shared" si="74"/>
        <v>NEGRO</v>
      </c>
      <c r="H756" s="8" t="str">
        <f>VLOOKUP(A756,[1]BBDD!$B$1:$J$3274,9,FALSE)</f>
        <v>H</v>
      </c>
      <c r="I756" s="8" t="s">
        <v>2863</v>
      </c>
      <c r="J756" s="8" t="s">
        <v>1082</v>
      </c>
      <c r="L756" s="8" t="s">
        <v>82</v>
      </c>
      <c r="N756" s="8" t="s">
        <v>44</v>
      </c>
      <c r="O756" s="8" t="s">
        <v>44</v>
      </c>
      <c r="P756" s="18" t="str">
        <f t="shared" si="77"/>
        <v>105</v>
      </c>
      <c r="Q756" s="8" t="s">
        <v>32</v>
      </c>
      <c r="R756" s="8">
        <v>0</v>
      </c>
      <c r="S756" s="8">
        <v>2</v>
      </c>
      <c r="T756" s="8">
        <f t="shared" si="78"/>
        <v>2</v>
      </c>
      <c r="U756" s="8">
        <v>0</v>
      </c>
      <c r="V756" s="8">
        <v>1</v>
      </c>
      <c r="W756" s="8">
        <v>3</v>
      </c>
      <c r="X756" s="8">
        <v>2</v>
      </c>
      <c r="Y756" s="8">
        <v>0</v>
      </c>
      <c r="Z756" s="8">
        <v>1</v>
      </c>
      <c r="AA756" s="8">
        <v>180</v>
      </c>
      <c r="AB756" s="9">
        <f t="shared" si="79"/>
        <v>1.1666666666666667</v>
      </c>
      <c r="AC756" s="10">
        <f t="shared" si="75"/>
        <v>1.7142857142857142</v>
      </c>
      <c r="AD756" s="8" t="s">
        <v>33</v>
      </c>
      <c r="AE756" s="11">
        <v>99990</v>
      </c>
      <c r="AF756" s="11">
        <f t="shared" si="76"/>
        <v>199980</v>
      </c>
      <c r="AG756" s="12" t="s">
        <v>34</v>
      </c>
      <c r="AH756" s="8" t="s">
        <v>35</v>
      </c>
    </row>
    <row r="757" spans="1:34">
      <c r="A757" s="8" t="s">
        <v>1084</v>
      </c>
      <c r="B757" s="16" t="s">
        <v>1081</v>
      </c>
      <c r="C757" s="8" t="s">
        <v>1030</v>
      </c>
      <c r="D757" s="8" t="s">
        <v>1030</v>
      </c>
      <c r="E757" s="8" t="str">
        <f t="shared" si="74"/>
        <v>NEGRO</v>
      </c>
      <c r="H757" s="8" t="str">
        <f>VLOOKUP(A757,[1]BBDD!$B$1:$J$3274,9,FALSE)</f>
        <v>H</v>
      </c>
      <c r="I757" s="8" t="s">
        <v>2863</v>
      </c>
      <c r="J757" s="8" t="s">
        <v>1082</v>
      </c>
      <c r="L757" s="8" t="s">
        <v>82</v>
      </c>
      <c r="N757" s="8" t="s">
        <v>44</v>
      </c>
      <c r="O757" s="8" t="s">
        <v>44</v>
      </c>
      <c r="P757" s="18" t="str">
        <f t="shared" si="77"/>
        <v>110</v>
      </c>
      <c r="Q757" s="8" t="s">
        <v>32</v>
      </c>
      <c r="R757" s="8">
        <v>0</v>
      </c>
      <c r="S757" s="8">
        <v>1</v>
      </c>
      <c r="T757" s="8">
        <f t="shared" si="78"/>
        <v>1</v>
      </c>
      <c r="U757" s="8">
        <v>2</v>
      </c>
      <c r="V757" s="8">
        <v>1</v>
      </c>
      <c r="W757" s="8">
        <v>1</v>
      </c>
      <c r="X757" s="8">
        <v>0</v>
      </c>
      <c r="Y757" s="8">
        <v>1</v>
      </c>
      <c r="Z757" s="8">
        <v>0</v>
      </c>
      <c r="AA757" s="8">
        <v>180</v>
      </c>
      <c r="AB757" s="9">
        <f t="shared" si="79"/>
        <v>0.83333333333333326</v>
      </c>
      <c r="AC757" s="10">
        <f t="shared" si="75"/>
        <v>1.2000000000000002</v>
      </c>
      <c r="AD757" s="8" t="s">
        <v>33</v>
      </c>
      <c r="AE757" s="11">
        <v>99990</v>
      </c>
      <c r="AF757" s="11">
        <f t="shared" si="76"/>
        <v>99990</v>
      </c>
      <c r="AG757" s="12" t="s">
        <v>34</v>
      </c>
      <c r="AH757" s="8" t="s">
        <v>35</v>
      </c>
    </row>
    <row r="758" spans="1:34">
      <c r="A758" s="8" t="s">
        <v>1085</v>
      </c>
      <c r="B758" s="16" t="s">
        <v>1081</v>
      </c>
      <c r="C758" s="8" t="s">
        <v>1030</v>
      </c>
      <c r="D758" s="8" t="s">
        <v>1030</v>
      </c>
      <c r="E758" s="8" t="str">
        <f t="shared" si="74"/>
        <v>NEGRO</v>
      </c>
      <c r="H758" s="8" t="str">
        <f>VLOOKUP(A758,[1]BBDD!$B$1:$J$3274,9,FALSE)</f>
        <v>H</v>
      </c>
      <c r="I758" s="8" t="s">
        <v>2863</v>
      </c>
      <c r="J758" s="8" t="s">
        <v>1082</v>
      </c>
      <c r="L758" s="8" t="s">
        <v>82</v>
      </c>
      <c r="N758" s="8" t="s">
        <v>44</v>
      </c>
      <c r="O758" s="8" t="s">
        <v>44</v>
      </c>
      <c r="P758" s="18" t="str">
        <f t="shared" si="77"/>
        <v>90</v>
      </c>
      <c r="Q758" s="8" t="s">
        <v>32</v>
      </c>
      <c r="R758" s="8">
        <v>0</v>
      </c>
      <c r="S758" s="8">
        <v>4</v>
      </c>
      <c r="T758" s="8">
        <f t="shared" si="78"/>
        <v>4</v>
      </c>
      <c r="U758" s="8">
        <v>0</v>
      </c>
      <c r="V758" s="8">
        <v>0</v>
      </c>
      <c r="W758" s="8">
        <v>0</v>
      </c>
      <c r="X758" s="8">
        <v>1</v>
      </c>
      <c r="Y758" s="8">
        <v>0</v>
      </c>
      <c r="Z758" s="8">
        <v>0</v>
      </c>
      <c r="AA758" s="8">
        <v>180</v>
      </c>
      <c r="AB758" s="9">
        <f t="shared" si="79"/>
        <v>0.16666666666666669</v>
      </c>
      <c r="AC758" s="10">
        <f t="shared" si="75"/>
        <v>23.999999999999996</v>
      </c>
      <c r="AD758" s="8" t="s">
        <v>33</v>
      </c>
      <c r="AE758" s="11">
        <v>99990</v>
      </c>
      <c r="AF758" s="11">
        <f t="shared" si="76"/>
        <v>399960</v>
      </c>
      <c r="AG758" s="12" t="s">
        <v>64</v>
      </c>
      <c r="AH758" s="8" t="s">
        <v>35</v>
      </c>
    </row>
    <row r="759" spans="1:34">
      <c r="A759" s="8" t="s">
        <v>1086</v>
      </c>
      <c r="B759" s="16" t="s">
        <v>1081</v>
      </c>
      <c r="C759" s="8" t="s">
        <v>1030</v>
      </c>
      <c r="D759" s="8" t="s">
        <v>1030</v>
      </c>
      <c r="E759" s="8" t="str">
        <f t="shared" si="74"/>
        <v>NEGRO</v>
      </c>
      <c r="H759" s="8" t="str">
        <f>VLOOKUP(A759,[1]BBDD!$B$1:$J$3274,9,FALSE)</f>
        <v>H</v>
      </c>
      <c r="I759" s="8" t="s">
        <v>2863</v>
      </c>
      <c r="J759" s="8" t="s">
        <v>1082</v>
      </c>
      <c r="L759" s="8" t="s">
        <v>82</v>
      </c>
      <c r="N759" s="8" t="s">
        <v>44</v>
      </c>
      <c r="O759" s="8" t="s">
        <v>44</v>
      </c>
      <c r="P759" s="18" t="str">
        <f t="shared" si="77"/>
        <v>95</v>
      </c>
      <c r="Q759" s="8" t="s">
        <v>32</v>
      </c>
      <c r="R759" s="8">
        <v>0</v>
      </c>
      <c r="S759" s="8">
        <v>1</v>
      </c>
      <c r="T759" s="8">
        <f t="shared" si="78"/>
        <v>1</v>
      </c>
      <c r="U759" s="8">
        <v>3</v>
      </c>
      <c r="V759" s="8">
        <v>2</v>
      </c>
      <c r="W759" s="8">
        <v>1</v>
      </c>
      <c r="X759" s="8">
        <v>1</v>
      </c>
      <c r="Y759" s="8">
        <v>1</v>
      </c>
      <c r="Z759" s="8">
        <v>0</v>
      </c>
      <c r="AA759" s="8">
        <v>180</v>
      </c>
      <c r="AB759" s="9">
        <f t="shared" si="79"/>
        <v>1.3333333333333335</v>
      </c>
      <c r="AC759" s="10">
        <f t="shared" si="75"/>
        <v>0.74999999999999989</v>
      </c>
      <c r="AD759" s="8" t="s">
        <v>33</v>
      </c>
      <c r="AE759" s="11">
        <v>99990</v>
      </c>
      <c r="AF759" s="11">
        <f t="shared" si="76"/>
        <v>99990</v>
      </c>
      <c r="AG759" s="12" t="s">
        <v>34</v>
      </c>
      <c r="AH759" s="8" t="s">
        <v>35</v>
      </c>
    </row>
    <row r="760" spans="1:34">
      <c r="A760" s="8" t="s">
        <v>1087</v>
      </c>
      <c r="B760" s="16" t="s">
        <v>1081</v>
      </c>
      <c r="C760" s="8" t="s">
        <v>1030</v>
      </c>
      <c r="D760" s="8" t="s">
        <v>1030</v>
      </c>
      <c r="E760" s="8" t="str">
        <f t="shared" si="74"/>
        <v>SUELA</v>
      </c>
      <c r="H760" s="8" t="str">
        <f>VLOOKUP(A760,[1]BBDD!$B$1:$J$3274,9,FALSE)</f>
        <v>H</v>
      </c>
      <c r="I760" s="8" t="s">
        <v>2863</v>
      </c>
      <c r="J760" s="8" t="s">
        <v>1082</v>
      </c>
      <c r="L760" s="8" t="s">
        <v>82</v>
      </c>
      <c r="N760" s="8" t="s">
        <v>90</v>
      </c>
      <c r="O760" s="8" t="s">
        <v>90</v>
      </c>
      <c r="P760" s="18" t="str">
        <f t="shared" si="77"/>
        <v>100</v>
      </c>
      <c r="Q760" s="8" t="s">
        <v>32</v>
      </c>
      <c r="R760" s="8">
        <v>0</v>
      </c>
      <c r="S760" s="8">
        <v>3</v>
      </c>
      <c r="T760" s="8">
        <f t="shared" si="78"/>
        <v>3</v>
      </c>
      <c r="U760" s="8">
        <v>1</v>
      </c>
      <c r="V760" s="8">
        <v>0</v>
      </c>
      <c r="W760" s="8">
        <v>1</v>
      </c>
      <c r="X760" s="8">
        <v>0</v>
      </c>
      <c r="Y760" s="8">
        <v>2</v>
      </c>
      <c r="Z760" s="8">
        <v>0</v>
      </c>
      <c r="AA760" s="8">
        <v>180</v>
      </c>
      <c r="AB760" s="9">
        <f t="shared" si="79"/>
        <v>0.66666666666666674</v>
      </c>
      <c r="AC760" s="10">
        <f t="shared" si="75"/>
        <v>4.4999999999999991</v>
      </c>
      <c r="AD760" s="8" t="s">
        <v>33</v>
      </c>
      <c r="AE760" s="11">
        <v>99990</v>
      </c>
      <c r="AF760" s="11">
        <f t="shared" si="76"/>
        <v>299970</v>
      </c>
      <c r="AG760" s="12" t="s">
        <v>34</v>
      </c>
      <c r="AH760" s="8" t="s">
        <v>35</v>
      </c>
    </row>
    <row r="761" spans="1:34">
      <c r="A761" s="8" t="s">
        <v>1088</v>
      </c>
      <c r="B761" s="16" t="s">
        <v>1081</v>
      </c>
      <c r="C761" s="8" t="s">
        <v>1030</v>
      </c>
      <c r="D761" s="8" t="s">
        <v>1030</v>
      </c>
      <c r="E761" s="8" t="str">
        <f t="shared" si="74"/>
        <v>SUELA</v>
      </c>
      <c r="H761" s="8" t="str">
        <f>VLOOKUP(A761,[1]BBDD!$B$1:$J$3274,9,FALSE)</f>
        <v>H</v>
      </c>
      <c r="I761" s="8" t="s">
        <v>2863</v>
      </c>
      <c r="J761" s="8" t="s">
        <v>1082</v>
      </c>
      <c r="L761" s="8" t="s">
        <v>82</v>
      </c>
      <c r="N761" s="8" t="s">
        <v>90</v>
      </c>
      <c r="O761" s="8" t="s">
        <v>90</v>
      </c>
      <c r="P761" s="18" t="str">
        <f t="shared" si="77"/>
        <v>105</v>
      </c>
      <c r="Q761" s="8" t="s">
        <v>32</v>
      </c>
      <c r="R761" s="8">
        <v>0</v>
      </c>
      <c r="S761" s="8">
        <v>4</v>
      </c>
      <c r="T761" s="8">
        <f t="shared" si="78"/>
        <v>4</v>
      </c>
      <c r="U761" s="8">
        <v>0</v>
      </c>
      <c r="V761" s="8">
        <v>0</v>
      </c>
      <c r="W761" s="8">
        <v>0</v>
      </c>
      <c r="X761" s="8">
        <v>0</v>
      </c>
      <c r="Y761" s="8">
        <v>1</v>
      </c>
      <c r="Z761" s="8">
        <v>1</v>
      </c>
      <c r="AA761" s="8">
        <v>180</v>
      </c>
      <c r="AB761" s="9">
        <f t="shared" si="79"/>
        <v>0.33333333333333337</v>
      </c>
      <c r="AC761" s="10">
        <f t="shared" si="75"/>
        <v>11.999999999999998</v>
      </c>
      <c r="AD761" s="8" t="s">
        <v>33</v>
      </c>
      <c r="AE761" s="11">
        <v>99990</v>
      </c>
      <c r="AF761" s="11">
        <f t="shared" si="76"/>
        <v>399960</v>
      </c>
      <c r="AG761" s="12" t="s">
        <v>51</v>
      </c>
      <c r="AH761" s="8" t="s">
        <v>35</v>
      </c>
    </row>
    <row r="762" spans="1:34">
      <c r="A762" s="8" t="s">
        <v>1089</v>
      </c>
      <c r="B762" s="16" t="s">
        <v>1081</v>
      </c>
      <c r="C762" s="8" t="s">
        <v>1030</v>
      </c>
      <c r="D762" s="8" t="s">
        <v>1030</v>
      </c>
      <c r="E762" s="8" t="str">
        <f t="shared" si="74"/>
        <v>SUELA</v>
      </c>
      <c r="H762" s="8" t="str">
        <f>VLOOKUP(A762,[1]BBDD!$B$1:$J$3274,9,FALSE)</f>
        <v>H</v>
      </c>
      <c r="I762" s="8" t="s">
        <v>2863</v>
      </c>
      <c r="J762" s="8" t="s">
        <v>1082</v>
      </c>
      <c r="L762" s="8" t="s">
        <v>82</v>
      </c>
      <c r="N762" s="8" t="s">
        <v>90</v>
      </c>
      <c r="O762" s="8" t="s">
        <v>90</v>
      </c>
      <c r="P762" s="18" t="str">
        <f t="shared" si="77"/>
        <v>110</v>
      </c>
      <c r="Q762" s="8" t="s">
        <v>32</v>
      </c>
      <c r="R762" s="8">
        <v>0</v>
      </c>
      <c r="S762" s="8">
        <v>2</v>
      </c>
      <c r="T762" s="8">
        <f t="shared" si="78"/>
        <v>2</v>
      </c>
      <c r="U762" s="8">
        <v>0</v>
      </c>
      <c r="V762" s="8">
        <v>1</v>
      </c>
      <c r="W762" s="8">
        <v>1</v>
      </c>
      <c r="X762" s="8">
        <v>0</v>
      </c>
      <c r="Y762" s="8">
        <v>0</v>
      </c>
      <c r="Z762" s="8">
        <v>0</v>
      </c>
      <c r="AA762" s="8">
        <v>180</v>
      </c>
      <c r="AB762" s="9">
        <f t="shared" si="79"/>
        <v>0.33333333333333337</v>
      </c>
      <c r="AC762" s="10">
        <f t="shared" si="75"/>
        <v>5.9999999999999991</v>
      </c>
      <c r="AD762" s="8" t="s">
        <v>33</v>
      </c>
      <c r="AE762" s="11">
        <v>99990</v>
      </c>
      <c r="AF762" s="11">
        <f t="shared" si="76"/>
        <v>199980</v>
      </c>
      <c r="AG762" s="12" t="s">
        <v>34</v>
      </c>
      <c r="AH762" s="8" t="s">
        <v>35</v>
      </c>
    </row>
    <row r="763" spans="1:34">
      <c r="A763" s="8" t="s">
        <v>1090</v>
      </c>
      <c r="B763" s="16" t="s">
        <v>1081</v>
      </c>
      <c r="C763" s="8" t="s">
        <v>1030</v>
      </c>
      <c r="D763" s="8" t="s">
        <v>1030</v>
      </c>
      <c r="E763" s="8" t="str">
        <f t="shared" si="74"/>
        <v>SUELA</v>
      </c>
      <c r="H763" s="8" t="str">
        <f>VLOOKUP(A763,[1]BBDD!$B$1:$J$3274,9,FALSE)</f>
        <v>H</v>
      </c>
      <c r="I763" s="8" t="s">
        <v>2863</v>
      </c>
      <c r="J763" s="8" t="s">
        <v>1082</v>
      </c>
      <c r="L763" s="8" t="s">
        <v>82</v>
      </c>
      <c r="N763" s="8" t="s">
        <v>90</v>
      </c>
      <c r="O763" s="8" t="s">
        <v>90</v>
      </c>
      <c r="P763" s="18" t="str">
        <f t="shared" si="77"/>
        <v>90</v>
      </c>
      <c r="Q763" s="8" t="s">
        <v>32</v>
      </c>
      <c r="R763" s="8">
        <v>0</v>
      </c>
      <c r="S763" s="8">
        <v>5</v>
      </c>
      <c r="T763" s="8">
        <f t="shared" si="78"/>
        <v>5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180</v>
      </c>
      <c r="AB763" s="9">
        <f t="shared" si="79"/>
        <v>0</v>
      </c>
      <c r="AC763" s="10" t="str">
        <f t="shared" si="75"/>
        <v>sin venta</v>
      </c>
      <c r="AD763" s="8" t="s">
        <v>33</v>
      </c>
      <c r="AE763" s="11">
        <v>99990</v>
      </c>
      <c r="AF763" s="11">
        <f t="shared" si="76"/>
        <v>499950</v>
      </c>
      <c r="AG763" s="12" t="s">
        <v>73</v>
      </c>
      <c r="AH763" s="8" t="s">
        <v>35</v>
      </c>
    </row>
    <row r="764" spans="1:34">
      <c r="A764" s="8" t="s">
        <v>1091</v>
      </c>
      <c r="B764" s="16" t="s">
        <v>1081</v>
      </c>
      <c r="C764" s="8" t="s">
        <v>1030</v>
      </c>
      <c r="D764" s="8" t="s">
        <v>1030</v>
      </c>
      <c r="E764" s="8" t="str">
        <f t="shared" si="74"/>
        <v>SUELA</v>
      </c>
      <c r="H764" s="8" t="str">
        <f>VLOOKUP(A764,[1]BBDD!$B$1:$J$3274,9,FALSE)</f>
        <v>H</v>
      </c>
      <c r="I764" s="8" t="s">
        <v>2863</v>
      </c>
      <c r="J764" s="8" t="s">
        <v>1082</v>
      </c>
      <c r="L764" s="8" t="s">
        <v>82</v>
      </c>
      <c r="N764" s="8" t="s">
        <v>90</v>
      </c>
      <c r="O764" s="8" t="s">
        <v>90</v>
      </c>
      <c r="P764" s="18" t="str">
        <f t="shared" si="77"/>
        <v>95</v>
      </c>
      <c r="Q764" s="8" t="s">
        <v>32</v>
      </c>
      <c r="R764" s="8">
        <v>0</v>
      </c>
      <c r="S764" s="8">
        <v>1</v>
      </c>
      <c r="T764" s="8">
        <f t="shared" si="78"/>
        <v>1</v>
      </c>
      <c r="U764" s="8">
        <v>1</v>
      </c>
      <c r="V764" s="8">
        <v>1</v>
      </c>
      <c r="W764" s="8">
        <v>0</v>
      </c>
      <c r="X764" s="8">
        <v>1</v>
      </c>
      <c r="Y764" s="8">
        <v>1</v>
      </c>
      <c r="Z764" s="8">
        <v>0</v>
      </c>
      <c r="AA764" s="8">
        <v>180</v>
      </c>
      <c r="AB764" s="9">
        <f t="shared" si="79"/>
        <v>0.66666666666666674</v>
      </c>
      <c r="AC764" s="10">
        <f t="shared" si="75"/>
        <v>1.4999999999999998</v>
      </c>
      <c r="AD764" s="8" t="s">
        <v>33</v>
      </c>
      <c r="AE764" s="11">
        <v>99990</v>
      </c>
      <c r="AF764" s="11">
        <f t="shared" si="76"/>
        <v>99990</v>
      </c>
      <c r="AG764" s="12" t="s">
        <v>34</v>
      </c>
      <c r="AH764" s="8" t="s">
        <v>35</v>
      </c>
    </row>
    <row r="765" spans="1:34">
      <c r="A765" s="8" t="s">
        <v>1092</v>
      </c>
      <c r="B765" s="16" t="s">
        <v>1081</v>
      </c>
      <c r="C765" s="8" t="s">
        <v>1030</v>
      </c>
      <c r="D765" s="8" t="s">
        <v>1030</v>
      </c>
      <c r="E765" s="8" t="str">
        <f t="shared" si="74"/>
        <v>NEGRO</v>
      </c>
      <c r="H765" s="8" t="str">
        <f>VLOOKUP(A765,[1]BBDD!$B$1:$J$3274,9,FALSE)</f>
        <v>H</v>
      </c>
      <c r="I765" s="8" t="s">
        <v>2863</v>
      </c>
      <c r="J765" s="8" t="s">
        <v>1082</v>
      </c>
      <c r="L765" s="8" t="s">
        <v>82</v>
      </c>
      <c r="N765" s="8" t="s">
        <v>44</v>
      </c>
      <c r="O765" s="8" t="s">
        <v>44</v>
      </c>
      <c r="P765" s="18" t="str">
        <f t="shared" si="77"/>
        <v>115</v>
      </c>
      <c r="Q765" s="8" t="s">
        <v>45</v>
      </c>
      <c r="R765" s="8">
        <v>0</v>
      </c>
      <c r="S765" s="8">
        <v>4</v>
      </c>
      <c r="T765" s="8">
        <f t="shared" si="78"/>
        <v>4</v>
      </c>
      <c r="U765" s="8">
        <v>0</v>
      </c>
      <c r="V765" s="8">
        <v>1</v>
      </c>
      <c r="W765" s="8">
        <v>1</v>
      </c>
      <c r="X765" s="8">
        <v>1</v>
      </c>
      <c r="Y765" s="8">
        <v>0</v>
      </c>
      <c r="Z765" s="8">
        <v>1</v>
      </c>
      <c r="AA765" s="8">
        <v>180</v>
      </c>
      <c r="AB765" s="9">
        <f t="shared" si="79"/>
        <v>0.66666666666666674</v>
      </c>
      <c r="AC765" s="10">
        <f t="shared" si="75"/>
        <v>5.9999999999999991</v>
      </c>
      <c r="AD765" s="8" t="s">
        <v>109</v>
      </c>
      <c r="AE765" s="11">
        <v>99990</v>
      </c>
      <c r="AF765" s="11">
        <f t="shared" si="76"/>
        <v>399960</v>
      </c>
      <c r="AG765" s="12" t="s">
        <v>34</v>
      </c>
      <c r="AH765" s="8" t="s">
        <v>35</v>
      </c>
    </row>
    <row r="766" spans="1:34">
      <c r="A766" s="8" t="s">
        <v>1093</v>
      </c>
      <c r="B766" s="16" t="s">
        <v>1081</v>
      </c>
      <c r="C766" s="8" t="s">
        <v>1030</v>
      </c>
      <c r="D766" s="8" t="s">
        <v>1030</v>
      </c>
      <c r="E766" s="8" t="str">
        <f t="shared" si="74"/>
        <v>NEGRO</v>
      </c>
      <c r="H766" s="8" t="str">
        <f>VLOOKUP(A766,[1]BBDD!$B$1:$J$3274,9,FALSE)</f>
        <v>H</v>
      </c>
      <c r="I766" s="8" t="s">
        <v>2863</v>
      </c>
      <c r="J766" s="8" t="s">
        <v>1082</v>
      </c>
      <c r="L766" s="8" t="s">
        <v>82</v>
      </c>
      <c r="N766" s="8" t="s">
        <v>44</v>
      </c>
      <c r="O766" s="8" t="s">
        <v>44</v>
      </c>
      <c r="P766" s="18" t="str">
        <f t="shared" si="77"/>
        <v>120</v>
      </c>
      <c r="Q766" s="8" t="s">
        <v>45</v>
      </c>
      <c r="R766" s="8">
        <v>0</v>
      </c>
      <c r="S766" s="8">
        <v>3</v>
      </c>
      <c r="T766" s="8">
        <f t="shared" si="78"/>
        <v>3</v>
      </c>
      <c r="U766" s="8">
        <v>0</v>
      </c>
      <c r="V766" s="8">
        <v>0</v>
      </c>
      <c r="W766" s="8">
        <v>2</v>
      </c>
      <c r="X766" s="8">
        <v>1</v>
      </c>
      <c r="Y766" s="8">
        <v>0</v>
      </c>
      <c r="Z766" s="8">
        <v>1</v>
      </c>
      <c r="AA766" s="8">
        <v>180</v>
      </c>
      <c r="AB766" s="9">
        <f t="shared" si="79"/>
        <v>0.66666666666666674</v>
      </c>
      <c r="AC766" s="10">
        <f t="shared" si="75"/>
        <v>4.4999999999999991</v>
      </c>
      <c r="AD766" s="8" t="s">
        <v>109</v>
      </c>
      <c r="AE766" s="11">
        <v>99990</v>
      </c>
      <c r="AF766" s="11">
        <f t="shared" si="76"/>
        <v>299970</v>
      </c>
      <c r="AG766" s="12" t="s">
        <v>34</v>
      </c>
      <c r="AH766" s="8" t="s">
        <v>35</v>
      </c>
    </row>
    <row r="767" spans="1:34">
      <c r="A767" s="8" t="s">
        <v>1094</v>
      </c>
      <c r="B767" s="16" t="s">
        <v>1081</v>
      </c>
      <c r="C767" s="8" t="s">
        <v>1030</v>
      </c>
      <c r="D767" s="8" t="s">
        <v>1030</v>
      </c>
      <c r="E767" s="8" t="str">
        <f t="shared" si="74"/>
        <v>NEGRO</v>
      </c>
      <c r="H767" s="8" t="str">
        <f>VLOOKUP(A767,[1]BBDD!$B$1:$J$3274,9,FALSE)</f>
        <v>H</v>
      </c>
      <c r="I767" s="8" t="s">
        <v>2863</v>
      </c>
      <c r="J767" s="8" t="s">
        <v>1082</v>
      </c>
      <c r="L767" s="8" t="s">
        <v>82</v>
      </c>
      <c r="N767" s="8" t="s">
        <v>44</v>
      </c>
      <c r="O767" s="8" t="s">
        <v>44</v>
      </c>
      <c r="P767" s="18" t="str">
        <f t="shared" si="77"/>
        <v>85</v>
      </c>
      <c r="Q767" s="8" t="s">
        <v>45</v>
      </c>
      <c r="R767" s="8">
        <v>0</v>
      </c>
      <c r="S767" s="8">
        <v>5</v>
      </c>
      <c r="T767" s="8">
        <f t="shared" si="78"/>
        <v>5</v>
      </c>
      <c r="U767" s="8">
        <v>0</v>
      </c>
      <c r="V767" s="8">
        <v>0</v>
      </c>
      <c r="W767" s="8">
        <v>1</v>
      </c>
      <c r="X767" s="8">
        <v>1</v>
      </c>
      <c r="Y767" s="8">
        <v>0</v>
      </c>
      <c r="Z767" s="8">
        <v>0</v>
      </c>
      <c r="AA767" s="8">
        <v>180</v>
      </c>
      <c r="AB767" s="9">
        <f t="shared" si="79"/>
        <v>0.33333333333333337</v>
      </c>
      <c r="AC767" s="10">
        <f t="shared" si="75"/>
        <v>14.999999999999998</v>
      </c>
      <c r="AD767" s="8" t="s">
        <v>109</v>
      </c>
      <c r="AE767" s="11">
        <v>99990</v>
      </c>
      <c r="AF767" s="11">
        <f t="shared" si="76"/>
        <v>499950</v>
      </c>
      <c r="AG767" s="12" t="s">
        <v>64</v>
      </c>
      <c r="AH767" s="8" t="s">
        <v>35</v>
      </c>
    </row>
    <row r="768" spans="1:34">
      <c r="A768" s="8" t="s">
        <v>1095</v>
      </c>
      <c r="B768" s="16" t="s">
        <v>1081</v>
      </c>
      <c r="C768" s="8" t="s">
        <v>1030</v>
      </c>
      <c r="D768" s="8" t="s">
        <v>1030</v>
      </c>
      <c r="E768" s="8" t="str">
        <f t="shared" si="74"/>
        <v>SUELA</v>
      </c>
      <c r="H768" s="8" t="str">
        <f>VLOOKUP(A768,[1]BBDD!$B$1:$J$3274,9,FALSE)</f>
        <v>H</v>
      </c>
      <c r="I768" s="8" t="s">
        <v>2863</v>
      </c>
      <c r="J768" s="8" t="s">
        <v>1082</v>
      </c>
      <c r="L768" s="8" t="s">
        <v>82</v>
      </c>
      <c r="N768" s="8" t="s">
        <v>90</v>
      </c>
      <c r="O768" s="8" t="s">
        <v>90</v>
      </c>
      <c r="P768" s="18" t="str">
        <f t="shared" si="77"/>
        <v>115</v>
      </c>
      <c r="Q768" s="8" t="s">
        <v>45</v>
      </c>
      <c r="R768" s="8">
        <v>2</v>
      </c>
      <c r="S768" s="8">
        <v>7</v>
      </c>
      <c r="T768" s="8">
        <f t="shared" si="78"/>
        <v>9</v>
      </c>
      <c r="U768" s="8">
        <v>0</v>
      </c>
      <c r="V768" s="8">
        <v>1</v>
      </c>
      <c r="W768" s="8">
        <v>0</v>
      </c>
      <c r="X768" s="8">
        <v>0</v>
      </c>
      <c r="Y768" s="8">
        <v>0</v>
      </c>
      <c r="Z768" s="8">
        <v>0</v>
      </c>
      <c r="AA768" s="8">
        <v>180</v>
      </c>
      <c r="AB768" s="9">
        <f t="shared" si="79"/>
        <v>0.16666666666666669</v>
      </c>
      <c r="AC768" s="10">
        <f t="shared" si="75"/>
        <v>53.999999999999993</v>
      </c>
      <c r="AD768" s="8" t="s">
        <v>109</v>
      </c>
      <c r="AE768" s="11">
        <v>99990</v>
      </c>
      <c r="AF768" s="11">
        <f t="shared" si="76"/>
        <v>899910</v>
      </c>
      <c r="AG768" s="12" t="s">
        <v>73</v>
      </c>
      <c r="AH768" s="8" t="s">
        <v>35</v>
      </c>
    </row>
    <row r="769" spans="1:34">
      <c r="A769" s="8" t="s">
        <v>1096</v>
      </c>
      <c r="B769" s="16" t="s">
        <v>1081</v>
      </c>
      <c r="C769" s="8" t="s">
        <v>1030</v>
      </c>
      <c r="D769" s="8" t="s">
        <v>1030</v>
      </c>
      <c r="E769" s="8" t="str">
        <f t="shared" si="74"/>
        <v>SUELA</v>
      </c>
      <c r="H769" s="8" t="str">
        <f>VLOOKUP(A769,[1]BBDD!$B$1:$J$3274,9,FALSE)</f>
        <v>H</v>
      </c>
      <c r="I769" s="8" t="s">
        <v>2863</v>
      </c>
      <c r="J769" s="8" t="s">
        <v>1082</v>
      </c>
      <c r="L769" s="8" t="s">
        <v>82</v>
      </c>
      <c r="N769" s="8" t="s">
        <v>90</v>
      </c>
      <c r="O769" s="8" t="s">
        <v>90</v>
      </c>
      <c r="P769" s="18" t="str">
        <f t="shared" si="77"/>
        <v>120</v>
      </c>
      <c r="Q769" s="8" t="s">
        <v>45</v>
      </c>
      <c r="R769" s="8">
        <v>1</v>
      </c>
      <c r="S769" s="8">
        <v>5</v>
      </c>
      <c r="T769" s="8">
        <f t="shared" si="78"/>
        <v>6</v>
      </c>
      <c r="U769" s="8">
        <v>0</v>
      </c>
      <c r="V769" s="8">
        <v>0</v>
      </c>
      <c r="W769" s="8">
        <v>1</v>
      </c>
      <c r="X769" s="8">
        <v>0</v>
      </c>
      <c r="Y769" s="8">
        <v>0</v>
      </c>
      <c r="Z769" s="8">
        <v>0</v>
      </c>
      <c r="AA769" s="8">
        <v>180</v>
      </c>
      <c r="AB769" s="9">
        <f t="shared" si="79"/>
        <v>0.16666666666666669</v>
      </c>
      <c r="AC769" s="10">
        <f t="shared" si="75"/>
        <v>35.999999999999993</v>
      </c>
      <c r="AD769" s="8" t="s">
        <v>109</v>
      </c>
      <c r="AE769" s="11">
        <v>99990</v>
      </c>
      <c r="AF769" s="11">
        <f t="shared" si="76"/>
        <v>599940</v>
      </c>
      <c r="AG769" s="12" t="s">
        <v>73</v>
      </c>
      <c r="AH769" s="8" t="s">
        <v>35</v>
      </c>
    </row>
    <row r="770" spans="1:34">
      <c r="A770" s="8" t="s">
        <v>1097</v>
      </c>
      <c r="B770" s="16" t="s">
        <v>1081</v>
      </c>
      <c r="C770" s="8" t="s">
        <v>1030</v>
      </c>
      <c r="D770" s="8" t="s">
        <v>1030</v>
      </c>
      <c r="E770" s="8" t="str">
        <f t="shared" si="74"/>
        <v>SUELA</v>
      </c>
      <c r="H770" s="8" t="str">
        <f>VLOOKUP(A770,[1]BBDD!$B$1:$J$3274,9,FALSE)</f>
        <v>H</v>
      </c>
      <c r="I770" s="8" t="s">
        <v>2863</v>
      </c>
      <c r="J770" s="8" t="s">
        <v>1082</v>
      </c>
      <c r="L770" s="8" t="s">
        <v>82</v>
      </c>
      <c r="N770" s="8" t="s">
        <v>90</v>
      </c>
      <c r="O770" s="8" t="s">
        <v>90</v>
      </c>
      <c r="P770" s="18" t="str">
        <f t="shared" si="77"/>
        <v>85</v>
      </c>
      <c r="Q770" s="8" t="s">
        <v>45</v>
      </c>
      <c r="R770" s="8">
        <v>3</v>
      </c>
      <c r="S770" s="8">
        <v>7</v>
      </c>
      <c r="T770" s="8">
        <f t="shared" si="78"/>
        <v>10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1</v>
      </c>
      <c r="AA770" s="8">
        <v>180</v>
      </c>
      <c r="AB770" s="9">
        <f t="shared" si="79"/>
        <v>0.16666666666666669</v>
      </c>
      <c r="AC770" s="10">
        <f t="shared" si="75"/>
        <v>59.999999999999993</v>
      </c>
      <c r="AD770" s="8" t="s">
        <v>109</v>
      </c>
      <c r="AE770" s="11">
        <v>99990</v>
      </c>
      <c r="AF770" s="11">
        <f t="shared" si="76"/>
        <v>999900</v>
      </c>
      <c r="AG770" s="12" t="s">
        <v>73</v>
      </c>
      <c r="AH770" s="8" t="s">
        <v>35</v>
      </c>
    </row>
    <row r="771" spans="1:34">
      <c r="A771" s="8" t="s">
        <v>1098</v>
      </c>
      <c r="B771" s="16" t="s">
        <v>1029</v>
      </c>
      <c r="C771" s="8" t="s">
        <v>1030</v>
      </c>
      <c r="D771" s="8" t="s">
        <v>1030</v>
      </c>
      <c r="E771" s="8" t="str">
        <f t="shared" ref="E771:E834" si="80">TRIM(N771)</f>
        <v>CARAMELO</v>
      </c>
      <c r="H771" s="8" t="str">
        <f>VLOOKUP(A771,[1]BBDD!$B$1:$J$3274,9,FALSE)</f>
        <v>M</v>
      </c>
      <c r="I771" s="8" t="s">
        <v>2862</v>
      </c>
      <c r="J771" s="8" t="s">
        <v>1099</v>
      </c>
      <c r="L771" s="8" t="s">
        <v>61</v>
      </c>
      <c r="N771" s="8" t="s">
        <v>62</v>
      </c>
      <c r="O771" s="8" t="s">
        <v>62</v>
      </c>
      <c r="P771" s="18" t="str">
        <f t="shared" si="77"/>
        <v>S</v>
      </c>
      <c r="Q771" s="8" t="s">
        <v>32</v>
      </c>
      <c r="R771" s="8">
        <v>0</v>
      </c>
      <c r="S771" s="8">
        <v>0</v>
      </c>
      <c r="T771" s="8">
        <f t="shared" si="78"/>
        <v>0</v>
      </c>
      <c r="U771" s="8">
        <v>3</v>
      </c>
      <c r="V771" s="8">
        <v>1</v>
      </c>
      <c r="W771" s="8">
        <v>3</v>
      </c>
      <c r="X771" s="8">
        <v>0</v>
      </c>
      <c r="Y771" s="8">
        <v>0</v>
      </c>
      <c r="Z771" s="8">
        <v>0</v>
      </c>
      <c r="AA771" s="8">
        <v>180</v>
      </c>
      <c r="AB771" s="9">
        <f t="shared" si="79"/>
        <v>1.1666666666666667</v>
      </c>
      <c r="AC771" s="10">
        <f t="shared" ref="AC771:AC834" si="81">IFERROR(T771/AB771,"sin venta")</f>
        <v>0</v>
      </c>
      <c r="AD771" s="8" t="s">
        <v>33</v>
      </c>
      <c r="AE771" s="11">
        <v>39990</v>
      </c>
      <c r="AF771" s="11">
        <f t="shared" ref="AF771:AF834" si="82">IFERROR(AE771*T771,0)</f>
        <v>0</v>
      </c>
      <c r="AG771" s="12" t="s">
        <v>34</v>
      </c>
      <c r="AH771" s="8" t="s">
        <v>35</v>
      </c>
    </row>
    <row r="772" spans="1:34">
      <c r="A772" s="8" t="s">
        <v>1100</v>
      </c>
      <c r="B772" s="16" t="s">
        <v>1029</v>
      </c>
      <c r="C772" s="8" t="s">
        <v>1030</v>
      </c>
      <c r="D772" s="8" t="s">
        <v>1030</v>
      </c>
      <c r="E772" s="8" t="str">
        <f t="shared" si="80"/>
        <v>CARAMELO</v>
      </c>
      <c r="H772" s="8" t="str">
        <f>VLOOKUP(A772,[1]BBDD!$B$1:$J$3274,9,FALSE)</f>
        <v>M</v>
      </c>
      <c r="I772" s="8" t="s">
        <v>2862</v>
      </c>
      <c r="J772" s="8" t="s">
        <v>1099</v>
      </c>
      <c r="L772" s="8" t="s">
        <v>61</v>
      </c>
      <c r="N772" s="8" t="s">
        <v>62</v>
      </c>
      <c r="O772" s="8" t="s">
        <v>62</v>
      </c>
      <c r="P772" s="18" t="str">
        <f t="shared" si="77"/>
        <v>XS</v>
      </c>
      <c r="Q772" s="8" t="s">
        <v>32</v>
      </c>
      <c r="R772" s="8">
        <v>0</v>
      </c>
      <c r="S772" s="8">
        <v>0</v>
      </c>
      <c r="T772" s="8">
        <f t="shared" si="78"/>
        <v>0</v>
      </c>
      <c r="U772" s="8">
        <v>6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180</v>
      </c>
      <c r="AB772" s="9">
        <f t="shared" si="79"/>
        <v>1</v>
      </c>
      <c r="AC772" s="10">
        <f t="shared" si="81"/>
        <v>0</v>
      </c>
      <c r="AD772" s="8" t="s">
        <v>33</v>
      </c>
      <c r="AE772" s="11">
        <v>39990</v>
      </c>
      <c r="AF772" s="11">
        <f t="shared" si="82"/>
        <v>0</v>
      </c>
      <c r="AG772" s="12" t="s">
        <v>34</v>
      </c>
      <c r="AH772" s="8" t="s">
        <v>35</v>
      </c>
    </row>
    <row r="773" spans="1:34">
      <c r="A773" s="8" t="s">
        <v>1101</v>
      </c>
      <c r="B773" s="16" t="s">
        <v>1029</v>
      </c>
      <c r="C773" s="8" t="s">
        <v>1030</v>
      </c>
      <c r="D773" s="8" t="s">
        <v>1030</v>
      </c>
      <c r="E773" s="8" t="str">
        <f t="shared" si="80"/>
        <v>NEGRO</v>
      </c>
      <c r="H773" s="8" t="str">
        <f>VLOOKUP(A773,[1]BBDD!$B$1:$J$3274,9,FALSE)</f>
        <v>M</v>
      </c>
      <c r="I773" s="8" t="s">
        <v>2862</v>
      </c>
      <c r="J773" s="8" t="s">
        <v>1099</v>
      </c>
      <c r="L773" s="8" t="s">
        <v>61</v>
      </c>
      <c r="N773" s="8" t="s">
        <v>44</v>
      </c>
      <c r="O773" s="8" t="s">
        <v>44</v>
      </c>
      <c r="P773" s="18" t="str">
        <f t="shared" si="77"/>
        <v>S</v>
      </c>
      <c r="Q773" s="8" t="s">
        <v>32</v>
      </c>
      <c r="R773" s="8">
        <v>0</v>
      </c>
      <c r="S773" s="8">
        <v>0</v>
      </c>
      <c r="T773" s="8">
        <f t="shared" si="78"/>
        <v>0</v>
      </c>
      <c r="U773" s="8">
        <v>0</v>
      </c>
      <c r="V773" s="8">
        <v>0</v>
      </c>
      <c r="W773" s="8">
        <v>3</v>
      </c>
      <c r="X773" s="8">
        <v>0</v>
      </c>
      <c r="Y773" s="8">
        <v>1</v>
      </c>
      <c r="Z773" s="8">
        <v>1</v>
      </c>
      <c r="AA773" s="8">
        <v>180</v>
      </c>
      <c r="AB773" s="9">
        <f t="shared" si="79"/>
        <v>0.83333333333333326</v>
      </c>
      <c r="AC773" s="10">
        <f t="shared" si="81"/>
        <v>0</v>
      </c>
      <c r="AD773" s="8" t="s">
        <v>33</v>
      </c>
      <c r="AE773" s="11">
        <v>39990</v>
      </c>
      <c r="AF773" s="11">
        <f t="shared" si="82"/>
        <v>0</v>
      </c>
      <c r="AG773" s="12" t="s">
        <v>34</v>
      </c>
      <c r="AH773" s="8" t="s">
        <v>35</v>
      </c>
    </row>
    <row r="774" spans="1:34">
      <c r="A774" s="8" t="s">
        <v>1102</v>
      </c>
      <c r="B774" s="16" t="s">
        <v>1029</v>
      </c>
      <c r="C774" s="8" t="s">
        <v>1030</v>
      </c>
      <c r="D774" s="8" t="s">
        <v>1030</v>
      </c>
      <c r="E774" s="8" t="str">
        <f t="shared" si="80"/>
        <v>NEGRO</v>
      </c>
      <c r="H774" s="8" t="str">
        <f>VLOOKUP(A774,[1]BBDD!$B$1:$J$3274,9,FALSE)</f>
        <v>M</v>
      </c>
      <c r="I774" s="8" t="s">
        <v>2862</v>
      </c>
      <c r="J774" s="8" t="s">
        <v>1099</v>
      </c>
      <c r="L774" s="8" t="s">
        <v>61</v>
      </c>
      <c r="N774" s="8" t="s">
        <v>44</v>
      </c>
      <c r="O774" s="8" t="s">
        <v>44</v>
      </c>
      <c r="P774" s="18" t="str">
        <f t="shared" ref="P774:P837" si="83">RIGHT(A774,LEN(A774)-FIND("-",A774))</f>
        <v>XS</v>
      </c>
      <c r="Q774" s="8" t="s">
        <v>32</v>
      </c>
      <c r="R774" s="8">
        <v>0</v>
      </c>
      <c r="S774" s="8">
        <v>0</v>
      </c>
      <c r="T774" s="8">
        <f t="shared" si="78"/>
        <v>0</v>
      </c>
      <c r="U774" s="8">
        <v>1</v>
      </c>
      <c r="V774" s="8">
        <v>4</v>
      </c>
      <c r="W774" s="8">
        <v>1</v>
      </c>
      <c r="X774" s="8">
        <v>0</v>
      </c>
      <c r="Y774" s="8">
        <v>0</v>
      </c>
      <c r="Z774" s="8">
        <v>0</v>
      </c>
      <c r="AA774" s="8">
        <v>180</v>
      </c>
      <c r="AB774" s="9">
        <f t="shared" si="79"/>
        <v>1</v>
      </c>
      <c r="AC774" s="10">
        <f t="shared" si="81"/>
        <v>0</v>
      </c>
      <c r="AD774" s="8" t="s">
        <v>33</v>
      </c>
      <c r="AE774" s="11">
        <v>39990</v>
      </c>
      <c r="AF774" s="11">
        <f t="shared" si="82"/>
        <v>0</v>
      </c>
      <c r="AG774" s="12" t="s">
        <v>34</v>
      </c>
      <c r="AH774" s="8" t="s">
        <v>35</v>
      </c>
    </row>
    <row r="775" spans="1:34">
      <c r="A775" s="8" t="s">
        <v>1103</v>
      </c>
      <c r="B775" s="16" t="s">
        <v>1029</v>
      </c>
      <c r="C775" s="8" t="s">
        <v>1030</v>
      </c>
      <c r="D775" s="8" t="s">
        <v>1030</v>
      </c>
      <c r="E775" s="8" t="str">
        <f t="shared" si="80"/>
        <v>ROJO</v>
      </c>
      <c r="H775" s="8" t="str">
        <f>VLOOKUP(A775,[1]BBDD!$B$1:$J$3274,9,FALSE)</f>
        <v>M</v>
      </c>
      <c r="I775" s="8" t="s">
        <v>2862</v>
      </c>
      <c r="J775" s="8" t="s">
        <v>1099</v>
      </c>
      <c r="L775" s="8" t="s">
        <v>61</v>
      </c>
      <c r="N775" s="8" t="s">
        <v>88</v>
      </c>
      <c r="O775" s="8" t="s">
        <v>88</v>
      </c>
      <c r="P775" s="18" t="str">
        <f t="shared" si="83"/>
        <v>S</v>
      </c>
      <c r="Q775" s="8" t="s">
        <v>32</v>
      </c>
      <c r="R775" s="8">
        <v>0</v>
      </c>
      <c r="S775" s="8">
        <v>2</v>
      </c>
      <c r="T775" s="8">
        <f t="shared" si="78"/>
        <v>2</v>
      </c>
      <c r="U775" s="8">
        <v>0</v>
      </c>
      <c r="V775" s="8">
        <v>0</v>
      </c>
      <c r="W775" s="8">
        <v>4</v>
      </c>
      <c r="X775" s="8">
        <v>1</v>
      </c>
      <c r="Y775" s="8">
        <v>0</v>
      </c>
      <c r="Z775" s="8">
        <v>0</v>
      </c>
      <c r="AA775" s="8">
        <v>180</v>
      </c>
      <c r="AB775" s="9">
        <f t="shared" si="79"/>
        <v>0.83333333333333326</v>
      </c>
      <c r="AC775" s="10">
        <f t="shared" si="81"/>
        <v>2.4000000000000004</v>
      </c>
      <c r="AD775" s="8" t="s">
        <v>33</v>
      </c>
      <c r="AE775" s="11">
        <v>39990</v>
      </c>
      <c r="AF775" s="11">
        <f t="shared" si="82"/>
        <v>79980</v>
      </c>
      <c r="AG775" s="12" t="s">
        <v>34</v>
      </c>
      <c r="AH775" s="8" t="s">
        <v>35</v>
      </c>
    </row>
    <row r="776" spans="1:34">
      <c r="A776" s="8" t="s">
        <v>1104</v>
      </c>
      <c r="B776" s="16" t="s">
        <v>1029</v>
      </c>
      <c r="C776" s="8" t="s">
        <v>1030</v>
      </c>
      <c r="D776" s="8" t="s">
        <v>1030</v>
      </c>
      <c r="E776" s="8" t="str">
        <f t="shared" si="80"/>
        <v>ROJO</v>
      </c>
      <c r="H776" s="8" t="str">
        <f>VLOOKUP(A776,[1]BBDD!$B$1:$J$3274,9,FALSE)</f>
        <v>M</v>
      </c>
      <c r="I776" s="8" t="s">
        <v>2862</v>
      </c>
      <c r="J776" s="8" t="s">
        <v>1099</v>
      </c>
      <c r="L776" s="8" t="s">
        <v>61</v>
      </c>
      <c r="N776" s="8" t="s">
        <v>88</v>
      </c>
      <c r="O776" s="8" t="s">
        <v>88</v>
      </c>
      <c r="P776" s="18" t="str">
        <f t="shared" si="83"/>
        <v>XS</v>
      </c>
      <c r="Q776" s="8" t="s">
        <v>32</v>
      </c>
      <c r="R776" s="8">
        <v>0</v>
      </c>
      <c r="S776" s="8">
        <v>3</v>
      </c>
      <c r="T776" s="8">
        <f t="shared" si="78"/>
        <v>3</v>
      </c>
      <c r="U776" s="8">
        <v>4</v>
      </c>
      <c r="V776" s="8">
        <v>1</v>
      </c>
      <c r="W776" s="8">
        <v>2</v>
      </c>
      <c r="X776" s="8">
        <v>0</v>
      </c>
      <c r="Y776" s="8">
        <v>0</v>
      </c>
      <c r="Z776" s="8">
        <v>0</v>
      </c>
      <c r="AA776" s="8">
        <v>180</v>
      </c>
      <c r="AB776" s="9">
        <f t="shared" si="79"/>
        <v>1.1666666666666667</v>
      </c>
      <c r="AC776" s="10">
        <f t="shared" si="81"/>
        <v>2.5714285714285712</v>
      </c>
      <c r="AD776" s="8" t="s">
        <v>33</v>
      </c>
      <c r="AE776" s="11">
        <v>39990</v>
      </c>
      <c r="AF776" s="11">
        <f t="shared" si="82"/>
        <v>119970</v>
      </c>
      <c r="AG776" s="12" t="s">
        <v>34</v>
      </c>
      <c r="AH776" s="8" t="s">
        <v>35</v>
      </c>
    </row>
    <row r="777" spans="1:34">
      <c r="A777" s="8" t="s">
        <v>1105</v>
      </c>
      <c r="B777" s="16" t="s">
        <v>1029</v>
      </c>
      <c r="C777" s="8" t="s">
        <v>1030</v>
      </c>
      <c r="D777" s="8" t="s">
        <v>1030</v>
      </c>
      <c r="E777" s="8" t="str">
        <f t="shared" si="80"/>
        <v>TABACO</v>
      </c>
      <c r="H777" s="8" t="str">
        <f>VLOOKUP(A777,[1]BBDD!$B$1:$J$3274,9,FALSE)</f>
        <v>M</v>
      </c>
      <c r="I777" s="8" t="s">
        <v>2862</v>
      </c>
      <c r="J777" s="8" t="s">
        <v>1099</v>
      </c>
      <c r="L777" s="8" t="s">
        <v>61</v>
      </c>
      <c r="N777" s="8" t="s">
        <v>67</v>
      </c>
      <c r="O777" s="8" t="s">
        <v>67</v>
      </c>
      <c r="P777" s="18" t="str">
        <f t="shared" si="83"/>
        <v>S</v>
      </c>
      <c r="Q777" s="8" t="s">
        <v>32</v>
      </c>
      <c r="R777" s="8">
        <v>0</v>
      </c>
      <c r="S777" s="8">
        <v>0</v>
      </c>
      <c r="T777" s="8">
        <f t="shared" si="78"/>
        <v>0</v>
      </c>
      <c r="U777" s="8">
        <v>2</v>
      </c>
      <c r="V777" s="8">
        <v>0</v>
      </c>
      <c r="W777" s="8">
        <v>2</v>
      </c>
      <c r="X777" s="8">
        <v>1</v>
      </c>
      <c r="Y777" s="8">
        <v>1</v>
      </c>
      <c r="Z777" s="8">
        <v>0</v>
      </c>
      <c r="AA777" s="8">
        <v>180</v>
      </c>
      <c r="AB777" s="9">
        <f t="shared" si="79"/>
        <v>1</v>
      </c>
      <c r="AC777" s="10">
        <f t="shared" si="81"/>
        <v>0</v>
      </c>
      <c r="AD777" s="8" t="s">
        <v>33</v>
      </c>
      <c r="AE777" s="11">
        <v>39990</v>
      </c>
      <c r="AF777" s="11">
        <f t="shared" si="82"/>
        <v>0</v>
      </c>
      <c r="AG777" s="12" t="s">
        <v>34</v>
      </c>
      <c r="AH777" s="8" t="s">
        <v>35</v>
      </c>
    </row>
    <row r="778" spans="1:34">
      <c r="A778" s="8" t="s">
        <v>1106</v>
      </c>
      <c r="B778" s="16" t="s">
        <v>1029</v>
      </c>
      <c r="C778" s="8" t="s">
        <v>1030</v>
      </c>
      <c r="D778" s="8" t="s">
        <v>1030</v>
      </c>
      <c r="E778" s="8" t="str">
        <f t="shared" si="80"/>
        <v>TABACO</v>
      </c>
      <c r="H778" s="8" t="str">
        <f>VLOOKUP(A778,[1]BBDD!$B$1:$J$3274,9,FALSE)</f>
        <v>M</v>
      </c>
      <c r="I778" s="8" t="s">
        <v>2862</v>
      </c>
      <c r="J778" s="8" t="s">
        <v>1099</v>
      </c>
      <c r="L778" s="8" t="s">
        <v>61</v>
      </c>
      <c r="N778" s="8" t="s">
        <v>67</v>
      </c>
      <c r="O778" s="8" t="s">
        <v>67</v>
      </c>
      <c r="P778" s="18" t="str">
        <f t="shared" si="83"/>
        <v>XS</v>
      </c>
      <c r="Q778" s="8" t="s">
        <v>32</v>
      </c>
      <c r="R778" s="8">
        <v>0</v>
      </c>
      <c r="S778" s="8">
        <v>0</v>
      </c>
      <c r="T778" s="8">
        <f t="shared" si="78"/>
        <v>0</v>
      </c>
      <c r="U778" s="8">
        <v>0</v>
      </c>
      <c r="V778" s="8">
        <v>0</v>
      </c>
      <c r="W778" s="8">
        <v>5</v>
      </c>
      <c r="X778" s="8">
        <v>0</v>
      </c>
      <c r="Y778" s="8">
        <v>0</v>
      </c>
      <c r="Z778" s="8">
        <v>0</v>
      </c>
      <c r="AA778" s="8">
        <v>180</v>
      </c>
      <c r="AB778" s="9">
        <f t="shared" si="79"/>
        <v>0.83333333333333326</v>
      </c>
      <c r="AC778" s="10">
        <f t="shared" si="81"/>
        <v>0</v>
      </c>
      <c r="AD778" s="8" t="s">
        <v>33</v>
      </c>
      <c r="AE778" s="11">
        <v>39990</v>
      </c>
      <c r="AF778" s="11">
        <f t="shared" si="82"/>
        <v>0</v>
      </c>
      <c r="AG778" s="12" t="s">
        <v>34</v>
      </c>
      <c r="AH778" s="8" t="s">
        <v>35</v>
      </c>
    </row>
    <row r="779" spans="1:34">
      <c r="A779" s="8" t="s">
        <v>1107</v>
      </c>
      <c r="B779" s="16" t="s">
        <v>1029</v>
      </c>
      <c r="C779" s="8" t="s">
        <v>1030</v>
      </c>
      <c r="D779" s="8" t="s">
        <v>1030</v>
      </c>
      <c r="E779" s="8" t="str">
        <f t="shared" si="80"/>
        <v>AZUL</v>
      </c>
      <c r="H779" s="8" t="str">
        <f>VLOOKUP(A779,[1]BBDD!$B$1:$J$3274,9,FALSE)</f>
        <v>M</v>
      </c>
      <c r="I779" s="8" t="s">
        <v>2862</v>
      </c>
      <c r="J779" s="8" t="s">
        <v>1099</v>
      </c>
      <c r="L779" s="8" t="s">
        <v>61</v>
      </c>
      <c r="N779" s="8" t="s">
        <v>83</v>
      </c>
      <c r="O779" s="8" t="s">
        <v>83</v>
      </c>
      <c r="P779" s="18" t="str">
        <f t="shared" si="83"/>
        <v>L</v>
      </c>
      <c r="Q779" s="8" t="s">
        <v>45</v>
      </c>
      <c r="R779" s="8">
        <v>3</v>
      </c>
      <c r="S779" s="8">
        <v>7</v>
      </c>
      <c r="T779" s="8">
        <f t="shared" si="78"/>
        <v>10</v>
      </c>
      <c r="U779" s="8">
        <v>1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180</v>
      </c>
      <c r="AB779" s="9">
        <f t="shared" si="79"/>
        <v>0.16666666666666669</v>
      </c>
      <c r="AC779" s="10">
        <f t="shared" si="81"/>
        <v>59.999999999999993</v>
      </c>
      <c r="AD779" s="8" t="s">
        <v>109</v>
      </c>
      <c r="AE779" s="11">
        <v>39990</v>
      </c>
      <c r="AF779" s="11">
        <f t="shared" si="82"/>
        <v>399900</v>
      </c>
      <c r="AG779" s="12" t="s">
        <v>73</v>
      </c>
      <c r="AH779" s="8" t="s">
        <v>35</v>
      </c>
    </row>
    <row r="780" spans="1:34">
      <c r="A780" s="8" t="s">
        <v>1108</v>
      </c>
      <c r="B780" s="16" t="s">
        <v>1029</v>
      </c>
      <c r="C780" s="8" t="s">
        <v>1030</v>
      </c>
      <c r="D780" s="8" t="s">
        <v>1030</v>
      </c>
      <c r="E780" s="8" t="str">
        <f t="shared" si="80"/>
        <v>AZUL</v>
      </c>
      <c r="H780" s="8" t="str">
        <f>VLOOKUP(A780,[1]BBDD!$B$1:$J$3274,9,FALSE)</f>
        <v>M</v>
      </c>
      <c r="I780" s="8" t="s">
        <v>2862</v>
      </c>
      <c r="J780" s="8" t="s">
        <v>1099</v>
      </c>
      <c r="L780" s="8" t="s">
        <v>61</v>
      </c>
      <c r="N780" s="8" t="s">
        <v>83</v>
      </c>
      <c r="O780" s="8" t="s">
        <v>83</v>
      </c>
      <c r="P780" s="18" t="str">
        <f t="shared" si="83"/>
        <v>M</v>
      </c>
      <c r="Q780" s="8" t="s">
        <v>45</v>
      </c>
      <c r="R780" s="8">
        <v>4</v>
      </c>
      <c r="S780" s="8">
        <v>6</v>
      </c>
      <c r="T780" s="8">
        <f t="shared" si="78"/>
        <v>10</v>
      </c>
      <c r="U780" s="8">
        <v>0</v>
      </c>
      <c r="V780" s="8">
        <v>0</v>
      </c>
      <c r="W780" s="8">
        <v>0</v>
      </c>
      <c r="X780" s="8">
        <v>1</v>
      </c>
      <c r="Y780" s="8">
        <v>0</v>
      </c>
      <c r="Z780" s="8">
        <v>1</v>
      </c>
      <c r="AA780" s="8">
        <v>180</v>
      </c>
      <c r="AB780" s="9">
        <f t="shared" si="79"/>
        <v>0.33333333333333337</v>
      </c>
      <c r="AC780" s="10">
        <f t="shared" si="81"/>
        <v>29.999999999999996</v>
      </c>
      <c r="AD780" s="8" t="s">
        <v>109</v>
      </c>
      <c r="AE780" s="11">
        <v>39990</v>
      </c>
      <c r="AF780" s="11">
        <f t="shared" si="82"/>
        <v>399900</v>
      </c>
      <c r="AG780" s="12" t="s">
        <v>73</v>
      </c>
      <c r="AH780" s="8" t="s">
        <v>35</v>
      </c>
    </row>
    <row r="781" spans="1:34">
      <c r="A781" s="8" t="s">
        <v>1109</v>
      </c>
      <c r="B781" s="16" t="s">
        <v>1029</v>
      </c>
      <c r="C781" s="8" t="s">
        <v>1030</v>
      </c>
      <c r="D781" s="8" t="s">
        <v>1030</v>
      </c>
      <c r="E781" s="8" t="str">
        <f t="shared" si="80"/>
        <v>AZUL</v>
      </c>
      <c r="H781" s="8" t="str">
        <f>VLOOKUP(A781,[1]BBDD!$B$1:$J$3274,9,FALSE)</f>
        <v>M</v>
      </c>
      <c r="I781" s="8" t="s">
        <v>2862</v>
      </c>
      <c r="J781" s="8" t="s">
        <v>1099</v>
      </c>
      <c r="L781" s="8" t="s">
        <v>61</v>
      </c>
      <c r="N781" s="8" t="s">
        <v>83</v>
      </c>
      <c r="O781" s="8" t="s">
        <v>83</v>
      </c>
      <c r="P781" s="18" t="str">
        <f t="shared" si="83"/>
        <v>S</v>
      </c>
      <c r="Q781" s="8" t="s">
        <v>45</v>
      </c>
      <c r="R781" s="8">
        <v>0</v>
      </c>
      <c r="S781" s="8">
        <v>3</v>
      </c>
      <c r="T781" s="8">
        <f t="shared" si="78"/>
        <v>3</v>
      </c>
      <c r="U781" s="8">
        <v>1</v>
      </c>
      <c r="V781" s="8">
        <v>1</v>
      </c>
      <c r="W781" s="8">
        <v>0</v>
      </c>
      <c r="X781" s="8">
        <v>2</v>
      </c>
      <c r="Y781" s="8">
        <v>0</v>
      </c>
      <c r="Z781" s="8">
        <v>0</v>
      </c>
      <c r="AA781" s="8">
        <v>180</v>
      </c>
      <c r="AB781" s="9">
        <f t="shared" si="79"/>
        <v>0.66666666666666674</v>
      </c>
      <c r="AC781" s="10">
        <f t="shared" si="81"/>
        <v>4.4999999999999991</v>
      </c>
      <c r="AD781" s="8" t="s">
        <v>109</v>
      </c>
      <c r="AE781" s="11">
        <v>39990</v>
      </c>
      <c r="AF781" s="11">
        <f t="shared" si="82"/>
        <v>119970</v>
      </c>
      <c r="AG781" s="12" t="s">
        <v>34</v>
      </c>
      <c r="AH781" s="8" t="s">
        <v>35</v>
      </c>
    </row>
    <row r="782" spans="1:34">
      <c r="A782" s="8" t="s">
        <v>1110</v>
      </c>
      <c r="B782" s="16" t="s">
        <v>1029</v>
      </c>
      <c r="C782" s="8" t="s">
        <v>1030</v>
      </c>
      <c r="D782" s="8" t="s">
        <v>1030</v>
      </c>
      <c r="E782" s="8" t="str">
        <f t="shared" si="80"/>
        <v>AZUL</v>
      </c>
      <c r="H782" s="8" t="str">
        <f>VLOOKUP(A782,[1]BBDD!$B$1:$J$3274,9,FALSE)</f>
        <v>M</v>
      </c>
      <c r="I782" s="8" t="s">
        <v>2862</v>
      </c>
      <c r="J782" s="8" t="s">
        <v>1099</v>
      </c>
      <c r="L782" s="8" t="s">
        <v>61</v>
      </c>
      <c r="N782" s="8" t="s">
        <v>83</v>
      </c>
      <c r="O782" s="8" t="s">
        <v>83</v>
      </c>
      <c r="P782" s="18" t="str">
        <f t="shared" si="83"/>
        <v>XS</v>
      </c>
      <c r="Q782" s="8" t="s">
        <v>45</v>
      </c>
      <c r="R782" s="8">
        <v>0</v>
      </c>
      <c r="S782" s="8">
        <v>3</v>
      </c>
      <c r="T782" s="8">
        <f t="shared" si="78"/>
        <v>3</v>
      </c>
      <c r="U782" s="8">
        <v>3</v>
      </c>
      <c r="V782" s="8">
        <v>1</v>
      </c>
      <c r="W782" s="8">
        <v>1</v>
      </c>
      <c r="X782" s="8">
        <v>0</v>
      </c>
      <c r="Y782" s="8">
        <v>0</v>
      </c>
      <c r="Z782" s="8">
        <v>0</v>
      </c>
      <c r="AA782" s="8">
        <v>180</v>
      </c>
      <c r="AB782" s="9">
        <f t="shared" si="79"/>
        <v>0.83333333333333326</v>
      </c>
      <c r="AC782" s="10">
        <f t="shared" si="81"/>
        <v>3.6000000000000005</v>
      </c>
      <c r="AD782" s="8" t="s">
        <v>109</v>
      </c>
      <c r="AE782" s="11">
        <v>39990</v>
      </c>
      <c r="AF782" s="11">
        <f t="shared" si="82"/>
        <v>119970</v>
      </c>
      <c r="AG782" s="12" t="s">
        <v>34</v>
      </c>
      <c r="AH782" s="8" t="s">
        <v>35</v>
      </c>
    </row>
    <row r="783" spans="1:34">
      <c r="A783" s="8" t="s">
        <v>1111</v>
      </c>
      <c r="B783" s="16" t="s">
        <v>1029</v>
      </c>
      <c r="C783" s="8" t="s">
        <v>1030</v>
      </c>
      <c r="D783" s="8" t="s">
        <v>1030</v>
      </c>
      <c r="E783" s="8" t="str">
        <f t="shared" si="80"/>
        <v>CARAMELO</v>
      </c>
      <c r="H783" s="8" t="str">
        <f>VLOOKUP(A783,[1]BBDD!$B$1:$J$3274,9,FALSE)</f>
        <v>M</v>
      </c>
      <c r="I783" s="8" t="s">
        <v>2862</v>
      </c>
      <c r="J783" s="8" t="s">
        <v>1099</v>
      </c>
      <c r="L783" s="8" t="s">
        <v>61</v>
      </c>
      <c r="N783" s="8" t="s">
        <v>62</v>
      </c>
      <c r="O783" s="8" t="s">
        <v>62</v>
      </c>
      <c r="P783" s="18" t="str">
        <f t="shared" si="83"/>
        <v>L</v>
      </c>
      <c r="Q783" s="8" t="s">
        <v>45</v>
      </c>
      <c r="R783" s="8">
        <v>1</v>
      </c>
      <c r="S783" s="8">
        <v>6</v>
      </c>
      <c r="T783" s="8">
        <f t="shared" si="78"/>
        <v>7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180</v>
      </c>
      <c r="AB783" s="9">
        <f t="shared" si="79"/>
        <v>0</v>
      </c>
      <c r="AC783" s="10" t="str">
        <f t="shared" si="81"/>
        <v>sin venta</v>
      </c>
      <c r="AD783" s="8" t="s">
        <v>109</v>
      </c>
      <c r="AE783" s="11">
        <v>39990</v>
      </c>
      <c r="AF783" s="11">
        <f t="shared" si="82"/>
        <v>279930</v>
      </c>
      <c r="AG783" s="12" t="s">
        <v>73</v>
      </c>
      <c r="AH783" s="8" t="s">
        <v>35</v>
      </c>
    </row>
    <row r="784" spans="1:34">
      <c r="A784" s="8" t="s">
        <v>1112</v>
      </c>
      <c r="B784" s="16" t="s">
        <v>1029</v>
      </c>
      <c r="C784" s="8" t="s">
        <v>1030</v>
      </c>
      <c r="D784" s="8" t="s">
        <v>1030</v>
      </c>
      <c r="E784" s="8" t="str">
        <f t="shared" si="80"/>
        <v>CARAMELO</v>
      </c>
      <c r="H784" s="8" t="str">
        <f>VLOOKUP(A784,[1]BBDD!$B$1:$J$3274,9,FALSE)</f>
        <v>M</v>
      </c>
      <c r="I784" s="8" t="s">
        <v>2862</v>
      </c>
      <c r="J784" s="8" t="s">
        <v>1099</v>
      </c>
      <c r="L784" s="8" t="s">
        <v>61</v>
      </c>
      <c r="N784" s="8" t="s">
        <v>62</v>
      </c>
      <c r="O784" s="8" t="s">
        <v>62</v>
      </c>
      <c r="P784" s="18" t="str">
        <f t="shared" si="83"/>
        <v>M</v>
      </c>
      <c r="Q784" s="8" t="s">
        <v>45</v>
      </c>
      <c r="R784" s="8">
        <v>0</v>
      </c>
      <c r="S784" s="8">
        <v>6</v>
      </c>
      <c r="T784" s="8">
        <f t="shared" si="78"/>
        <v>6</v>
      </c>
      <c r="U784" s="8">
        <v>0</v>
      </c>
      <c r="V784" s="8">
        <v>1</v>
      </c>
      <c r="W784" s="8">
        <v>2</v>
      </c>
      <c r="X784" s="8">
        <v>2</v>
      </c>
      <c r="Y784" s="8">
        <v>0</v>
      </c>
      <c r="Z784" s="8">
        <v>1</v>
      </c>
      <c r="AA784" s="8">
        <v>180</v>
      </c>
      <c r="AB784" s="9">
        <f t="shared" si="79"/>
        <v>1</v>
      </c>
      <c r="AC784" s="10">
        <f t="shared" si="81"/>
        <v>6</v>
      </c>
      <c r="AD784" s="8" t="s">
        <v>109</v>
      </c>
      <c r="AE784" s="11">
        <v>39990</v>
      </c>
      <c r="AF784" s="11">
        <f t="shared" si="82"/>
        <v>239940</v>
      </c>
      <c r="AG784" s="12" t="s">
        <v>34</v>
      </c>
      <c r="AH784" s="8" t="s">
        <v>35</v>
      </c>
    </row>
    <row r="785" spans="1:34">
      <c r="A785" s="8" t="s">
        <v>1113</v>
      </c>
      <c r="B785" s="16" t="s">
        <v>1029</v>
      </c>
      <c r="C785" s="8" t="s">
        <v>1030</v>
      </c>
      <c r="D785" s="8" t="s">
        <v>1030</v>
      </c>
      <c r="E785" s="8" t="str">
        <f t="shared" si="80"/>
        <v>NEGRO</v>
      </c>
      <c r="H785" s="8" t="str">
        <f>VLOOKUP(A785,[1]BBDD!$B$1:$J$3274,9,FALSE)</f>
        <v>M</v>
      </c>
      <c r="I785" s="8" t="s">
        <v>2862</v>
      </c>
      <c r="J785" s="8" t="s">
        <v>1099</v>
      </c>
      <c r="L785" s="8" t="s">
        <v>61</v>
      </c>
      <c r="N785" s="8" t="s">
        <v>44</v>
      </c>
      <c r="O785" s="8" t="s">
        <v>44</v>
      </c>
      <c r="P785" s="18" t="str">
        <f t="shared" si="83"/>
        <v>L</v>
      </c>
      <c r="Q785" s="8" t="s">
        <v>45</v>
      </c>
      <c r="R785" s="8">
        <v>3</v>
      </c>
      <c r="S785" s="8">
        <v>6</v>
      </c>
      <c r="T785" s="8">
        <f t="shared" si="78"/>
        <v>9</v>
      </c>
      <c r="U785" s="8">
        <v>1</v>
      </c>
      <c r="V785" s="8">
        <v>1</v>
      </c>
      <c r="W785" s="8">
        <v>1</v>
      </c>
      <c r="X785" s="8">
        <v>0</v>
      </c>
      <c r="Y785" s="8">
        <v>0</v>
      </c>
      <c r="Z785" s="8">
        <v>2</v>
      </c>
      <c r="AA785" s="8">
        <v>180</v>
      </c>
      <c r="AB785" s="9">
        <f t="shared" si="79"/>
        <v>0.83333333333333326</v>
      </c>
      <c r="AC785" s="10">
        <f t="shared" si="81"/>
        <v>10.8</v>
      </c>
      <c r="AD785" s="8" t="s">
        <v>109</v>
      </c>
      <c r="AE785" s="11">
        <v>39990</v>
      </c>
      <c r="AF785" s="11">
        <f t="shared" si="82"/>
        <v>359910</v>
      </c>
      <c r="AG785" s="12" t="s">
        <v>51</v>
      </c>
      <c r="AH785" s="8" t="s">
        <v>35</v>
      </c>
    </row>
    <row r="786" spans="1:34">
      <c r="A786" s="8" t="s">
        <v>1114</v>
      </c>
      <c r="B786" s="16" t="s">
        <v>1029</v>
      </c>
      <c r="C786" s="8" t="s">
        <v>1030</v>
      </c>
      <c r="D786" s="8" t="s">
        <v>1030</v>
      </c>
      <c r="E786" s="8" t="str">
        <f t="shared" si="80"/>
        <v>NEGRO</v>
      </c>
      <c r="H786" s="8" t="str">
        <f>VLOOKUP(A786,[1]BBDD!$B$1:$J$3274,9,FALSE)</f>
        <v>M</v>
      </c>
      <c r="I786" s="8" t="s">
        <v>2862</v>
      </c>
      <c r="J786" s="8" t="s">
        <v>1099</v>
      </c>
      <c r="L786" s="8" t="s">
        <v>61</v>
      </c>
      <c r="N786" s="8" t="s">
        <v>44</v>
      </c>
      <c r="O786" s="8" t="s">
        <v>44</v>
      </c>
      <c r="P786" s="18" t="str">
        <f t="shared" si="83"/>
        <v>M</v>
      </c>
      <c r="Q786" s="8" t="s">
        <v>45</v>
      </c>
      <c r="R786" s="8">
        <v>0</v>
      </c>
      <c r="S786" s="8">
        <v>3</v>
      </c>
      <c r="T786" s="8">
        <f t="shared" si="78"/>
        <v>3</v>
      </c>
      <c r="U786" s="8">
        <v>0</v>
      </c>
      <c r="V786" s="8">
        <v>1</v>
      </c>
      <c r="W786" s="8">
        <v>0</v>
      </c>
      <c r="X786" s="8">
        <v>1</v>
      </c>
      <c r="Y786" s="8">
        <v>1</v>
      </c>
      <c r="Z786" s="8">
        <v>1</v>
      </c>
      <c r="AA786" s="8">
        <v>180</v>
      </c>
      <c r="AB786" s="9">
        <f t="shared" si="79"/>
        <v>0.66666666666666674</v>
      </c>
      <c r="AC786" s="10">
        <f t="shared" si="81"/>
        <v>4.4999999999999991</v>
      </c>
      <c r="AD786" s="8" t="s">
        <v>109</v>
      </c>
      <c r="AE786" s="11">
        <v>39990</v>
      </c>
      <c r="AF786" s="11">
        <f t="shared" si="82"/>
        <v>119970</v>
      </c>
      <c r="AG786" s="12" t="s">
        <v>34</v>
      </c>
      <c r="AH786" s="8" t="s">
        <v>35</v>
      </c>
    </row>
    <row r="787" spans="1:34">
      <c r="A787" s="8" t="s">
        <v>1115</v>
      </c>
      <c r="B787" s="16" t="s">
        <v>1029</v>
      </c>
      <c r="C787" s="8" t="s">
        <v>1030</v>
      </c>
      <c r="D787" s="8" t="s">
        <v>1030</v>
      </c>
      <c r="E787" s="8" t="str">
        <f t="shared" si="80"/>
        <v>ROJO</v>
      </c>
      <c r="H787" s="8" t="str">
        <f>VLOOKUP(A787,[1]BBDD!$B$1:$J$3274,9,FALSE)</f>
        <v>M</v>
      </c>
      <c r="I787" s="8" t="s">
        <v>2862</v>
      </c>
      <c r="J787" s="8" t="s">
        <v>1099</v>
      </c>
      <c r="L787" s="8" t="s">
        <v>61</v>
      </c>
      <c r="N787" s="8" t="s">
        <v>88</v>
      </c>
      <c r="O787" s="8" t="s">
        <v>88</v>
      </c>
      <c r="P787" s="18" t="str">
        <f t="shared" si="83"/>
        <v>L</v>
      </c>
      <c r="Q787" s="8" t="s">
        <v>45</v>
      </c>
      <c r="R787" s="8">
        <v>4</v>
      </c>
      <c r="S787" s="8">
        <v>8</v>
      </c>
      <c r="T787" s="8">
        <f t="shared" si="78"/>
        <v>12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180</v>
      </c>
      <c r="AB787" s="9">
        <f t="shared" si="79"/>
        <v>0</v>
      </c>
      <c r="AC787" s="10" t="str">
        <f t="shared" si="81"/>
        <v>sin venta</v>
      </c>
      <c r="AD787" s="8" t="s">
        <v>109</v>
      </c>
      <c r="AE787" s="11">
        <v>39990</v>
      </c>
      <c r="AF787" s="11">
        <f t="shared" si="82"/>
        <v>479880</v>
      </c>
      <c r="AG787" s="12" t="s">
        <v>73</v>
      </c>
      <c r="AH787" s="8" t="s">
        <v>65</v>
      </c>
    </row>
    <row r="788" spans="1:34">
      <c r="A788" s="8" t="s">
        <v>1116</v>
      </c>
      <c r="B788" s="16" t="s">
        <v>1029</v>
      </c>
      <c r="C788" s="8" t="s">
        <v>1030</v>
      </c>
      <c r="D788" s="8" t="s">
        <v>1030</v>
      </c>
      <c r="E788" s="8" t="str">
        <f t="shared" si="80"/>
        <v>ROJO</v>
      </c>
      <c r="H788" s="8" t="str">
        <f>VLOOKUP(A788,[1]BBDD!$B$1:$J$3274,9,FALSE)</f>
        <v>M</v>
      </c>
      <c r="I788" s="8" t="s">
        <v>2862</v>
      </c>
      <c r="J788" s="8" t="s">
        <v>1099</v>
      </c>
      <c r="L788" s="8" t="s">
        <v>61</v>
      </c>
      <c r="N788" s="8" t="s">
        <v>88</v>
      </c>
      <c r="O788" s="8" t="s">
        <v>88</v>
      </c>
      <c r="P788" s="18" t="str">
        <f t="shared" si="83"/>
        <v>M</v>
      </c>
      <c r="Q788" s="8" t="s">
        <v>45</v>
      </c>
      <c r="R788" s="8">
        <v>4</v>
      </c>
      <c r="S788" s="8">
        <v>8</v>
      </c>
      <c r="T788" s="8">
        <f t="shared" si="78"/>
        <v>12</v>
      </c>
      <c r="U788" s="8">
        <v>0</v>
      </c>
      <c r="V788" s="8">
        <v>0</v>
      </c>
      <c r="W788" s="8">
        <v>0</v>
      </c>
      <c r="X788" s="8">
        <v>1</v>
      </c>
      <c r="Y788" s="8">
        <v>0</v>
      </c>
      <c r="Z788" s="8">
        <v>0</v>
      </c>
      <c r="AA788" s="8">
        <v>180</v>
      </c>
      <c r="AB788" s="9">
        <f t="shared" si="79"/>
        <v>0.16666666666666669</v>
      </c>
      <c r="AC788" s="10">
        <f t="shared" si="81"/>
        <v>71.999999999999986</v>
      </c>
      <c r="AD788" s="8" t="s">
        <v>109</v>
      </c>
      <c r="AE788" s="11">
        <v>39990</v>
      </c>
      <c r="AF788" s="11">
        <f t="shared" si="82"/>
        <v>479880</v>
      </c>
      <c r="AG788" s="12" t="s">
        <v>73</v>
      </c>
      <c r="AH788" s="8" t="s">
        <v>65</v>
      </c>
    </row>
    <row r="789" spans="1:34">
      <c r="A789" s="8" t="s">
        <v>1117</v>
      </c>
      <c r="B789" s="16" t="s">
        <v>1029</v>
      </c>
      <c r="C789" s="8" t="s">
        <v>1030</v>
      </c>
      <c r="D789" s="8" t="s">
        <v>1030</v>
      </c>
      <c r="E789" s="8" t="str">
        <f t="shared" si="80"/>
        <v>TABACO</v>
      </c>
      <c r="H789" s="8" t="str">
        <f>VLOOKUP(A789,[1]BBDD!$B$1:$J$3274,9,FALSE)</f>
        <v>M</v>
      </c>
      <c r="I789" s="8" t="s">
        <v>2862</v>
      </c>
      <c r="J789" s="8" t="s">
        <v>1099</v>
      </c>
      <c r="L789" s="8" t="s">
        <v>61</v>
      </c>
      <c r="N789" s="8" t="s">
        <v>67</v>
      </c>
      <c r="O789" s="8" t="s">
        <v>67</v>
      </c>
      <c r="P789" s="18" t="str">
        <f t="shared" si="83"/>
        <v>L</v>
      </c>
      <c r="Q789" s="8" t="s">
        <v>45</v>
      </c>
      <c r="R789" s="8">
        <v>2</v>
      </c>
      <c r="S789" s="8">
        <v>6</v>
      </c>
      <c r="T789" s="8">
        <f t="shared" si="78"/>
        <v>8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180</v>
      </c>
      <c r="AB789" s="9">
        <f t="shared" si="79"/>
        <v>0</v>
      </c>
      <c r="AC789" s="10" t="str">
        <f t="shared" si="81"/>
        <v>sin venta</v>
      </c>
      <c r="AD789" s="8" t="s">
        <v>109</v>
      </c>
      <c r="AE789" s="11">
        <v>39990</v>
      </c>
      <c r="AF789" s="11">
        <f t="shared" si="82"/>
        <v>319920</v>
      </c>
      <c r="AG789" s="12" t="s">
        <v>73</v>
      </c>
      <c r="AH789" s="8" t="s">
        <v>35</v>
      </c>
    </row>
    <row r="790" spans="1:34">
      <c r="A790" s="8" t="s">
        <v>1118</v>
      </c>
      <c r="B790" s="16" t="s">
        <v>1029</v>
      </c>
      <c r="C790" s="8" t="s">
        <v>1030</v>
      </c>
      <c r="D790" s="8" t="s">
        <v>1030</v>
      </c>
      <c r="E790" s="8" t="str">
        <f t="shared" si="80"/>
        <v>TABACO</v>
      </c>
      <c r="H790" s="8" t="str">
        <f>VLOOKUP(A790,[1]BBDD!$B$1:$J$3274,9,FALSE)</f>
        <v>M</v>
      </c>
      <c r="I790" s="8" t="s">
        <v>2862</v>
      </c>
      <c r="J790" s="8" t="s">
        <v>1099</v>
      </c>
      <c r="L790" s="8" t="s">
        <v>61</v>
      </c>
      <c r="N790" s="8" t="s">
        <v>67</v>
      </c>
      <c r="O790" s="8" t="s">
        <v>67</v>
      </c>
      <c r="P790" s="18" t="str">
        <f t="shared" si="83"/>
        <v>M</v>
      </c>
      <c r="Q790" s="8" t="s">
        <v>45</v>
      </c>
      <c r="R790" s="8">
        <v>0</v>
      </c>
      <c r="S790" s="8">
        <v>5</v>
      </c>
      <c r="T790" s="8">
        <f t="shared" si="78"/>
        <v>5</v>
      </c>
      <c r="U790" s="8">
        <v>0</v>
      </c>
      <c r="V790" s="8">
        <v>0</v>
      </c>
      <c r="W790" s="8">
        <v>2</v>
      </c>
      <c r="X790" s="8">
        <v>3</v>
      </c>
      <c r="Y790" s="8">
        <v>0</v>
      </c>
      <c r="Z790" s="8">
        <v>0</v>
      </c>
      <c r="AA790" s="8">
        <v>180</v>
      </c>
      <c r="AB790" s="9">
        <f t="shared" si="79"/>
        <v>0.83333333333333326</v>
      </c>
      <c r="AC790" s="10">
        <f t="shared" si="81"/>
        <v>6.0000000000000009</v>
      </c>
      <c r="AD790" s="8" t="s">
        <v>109</v>
      </c>
      <c r="AE790" s="11">
        <v>39990</v>
      </c>
      <c r="AF790" s="11">
        <f t="shared" si="82"/>
        <v>199950</v>
      </c>
      <c r="AG790" s="12" t="s">
        <v>34</v>
      </c>
      <c r="AH790" s="8" t="s">
        <v>35</v>
      </c>
    </row>
    <row r="791" spans="1:34">
      <c r="A791" s="8" t="s">
        <v>1119</v>
      </c>
      <c r="B791" s="16" t="s">
        <v>1029</v>
      </c>
      <c r="C791" s="8" t="s">
        <v>1030</v>
      </c>
      <c r="D791" s="8" t="s">
        <v>1030</v>
      </c>
      <c r="E791" s="8" t="str">
        <f t="shared" si="80"/>
        <v>VERDE</v>
      </c>
      <c r="H791" s="8" t="str">
        <f>VLOOKUP(A791,[1]BBDD!$B$1:$J$3274,9,FALSE)</f>
        <v>M</v>
      </c>
      <c r="I791" s="8" t="s">
        <v>2862</v>
      </c>
      <c r="J791" s="8" t="s">
        <v>1099</v>
      </c>
      <c r="L791" s="8" t="s">
        <v>61</v>
      </c>
      <c r="N791" s="8" t="s">
        <v>92</v>
      </c>
      <c r="O791" s="8" t="s">
        <v>92</v>
      </c>
      <c r="P791" s="18" t="str">
        <f t="shared" si="83"/>
        <v>L</v>
      </c>
      <c r="Q791" s="8" t="s">
        <v>45</v>
      </c>
      <c r="R791" s="8">
        <v>1</v>
      </c>
      <c r="S791" s="8">
        <v>9</v>
      </c>
      <c r="T791" s="8">
        <f t="shared" si="78"/>
        <v>10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180</v>
      </c>
      <c r="AB791" s="9">
        <f t="shared" si="79"/>
        <v>0</v>
      </c>
      <c r="AC791" s="10" t="str">
        <f t="shared" si="81"/>
        <v>sin venta</v>
      </c>
      <c r="AD791" s="8" t="s">
        <v>109</v>
      </c>
      <c r="AE791" s="11">
        <v>39990</v>
      </c>
      <c r="AF791" s="11">
        <f t="shared" si="82"/>
        <v>399900</v>
      </c>
      <c r="AG791" s="12" t="s">
        <v>73</v>
      </c>
      <c r="AH791" s="8" t="s">
        <v>35</v>
      </c>
    </row>
    <row r="792" spans="1:34">
      <c r="A792" s="8" t="s">
        <v>1120</v>
      </c>
      <c r="B792" s="16" t="s">
        <v>1029</v>
      </c>
      <c r="C792" s="8" t="s">
        <v>1030</v>
      </c>
      <c r="D792" s="8" t="s">
        <v>1030</v>
      </c>
      <c r="E792" s="8" t="str">
        <f t="shared" si="80"/>
        <v>VERDE</v>
      </c>
      <c r="H792" s="8" t="str">
        <f>VLOOKUP(A792,[1]BBDD!$B$1:$J$3274,9,FALSE)</f>
        <v>M</v>
      </c>
      <c r="I792" s="8" t="s">
        <v>2862</v>
      </c>
      <c r="J792" s="8" t="s">
        <v>1099</v>
      </c>
      <c r="L792" s="8" t="s">
        <v>61</v>
      </c>
      <c r="N792" s="8" t="s">
        <v>92</v>
      </c>
      <c r="O792" s="8" t="s">
        <v>92</v>
      </c>
      <c r="P792" s="18" t="str">
        <f t="shared" si="83"/>
        <v>M</v>
      </c>
      <c r="Q792" s="8" t="s">
        <v>45</v>
      </c>
      <c r="R792" s="8">
        <v>1</v>
      </c>
      <c r="S792" s="8">
        <v>7</v>
      </c>
      <c r="T792" s="8">
        <f t="shared" si="78"/>
        <v>8</v>
      </c>
      <c r="U792" s="8">
        <v>0</v>
      </c>
      <c r="V792" s="8">
        <v>0</v>
      </c>
      <c r="W792" s="8">
        <v>1</v>
      </c>
      <c r="X792" s="8">
        <v>1</v>
      </c>
      <c r="Y792" s="8">
        <v>0</v>
      </c>
      <c r="Z792" s="8">
        <v>0</v>
      </c>
      <c r="AA792" s="8">
        <v>180</v>
      </c>
      <c r="AB792" s="9">
        <f t="shared" si="79"/>
        <v>0.33333333333333337</v>
      </c>
      <c r="AC792" s="10">
        <f t="shared" si="81"/>
        <v>23.999999999999996</v>
      </c>
      <c r="AD792" s="8" t="s">
        <v>109</v>
      </c>
      <c r="AE792" s="11">
        <v>39990</v>
      </c>
      <c r="AF792" s="11">
        <f t="shared" si="82"/>
        <v>319920</v>
      </c>
      <c r="AG792" s="12" t="s">
        <v>64</v>
      </c>
      <c r="AH792" s="8" t="s">
        <v>35</v>
      </c>
    </row>
    <row r="793" spans="1:34">
      <c r="A793" s="8" t="s">
        <v>1121</v>
      </c>
      <c r="B793" s="16" t="s">
        <v>1029</v>
      </c>
      <c r="C793" s="8" t="s">
        <v>1030</v>
      </c>
      <c r="D793" s="8" t="s">
        <v>1030</v>
      </c>
      <c r="E793" s="8" t="str">
        <f t="shared" si="80"/>
        <v>VERDE</v>
      </c>
      <c r="H793" s="8" t="str">
        <f>VLOOKUP(A793,[1]BBDD!$B$1:$J$3274,9,FALSE)</f>
        <v>M</v>
      </c>
      <c r="I793" s="8" t="s">
        <v>2862</v>
      </c>
      <c r="J793" s="8" t="s">
        <v>1099</v>
      </c>
      <c r="L793" s="8" t="s">
        <v>61</v>
      </c>
      <c r="N793" s="8" t="s">
        <v>92</v>
      </c>
      <c r="O793" s="8" t="s">
        <v>92</v>
      </c>
      <c r="P793" s="18" t="str">
        <f t="shared" si="83"/>
        <v>S</v>
      </c>
      <c r="Q793" s="8" t="s">
        <v>45</v>
      </c>
      <c r="R793" s="8">
        <v>0</v>
      </c>
      <c r="S793" s="8">
        <v>4</v>
      </c>
      <c r="T793" s="8">
        <f t="shared" si="78"/>
        <v>4</v>
      </c>
      <c r="U793" s="8">
        <v>1</v>
      </c>
      <c r="V793" s="8">
        <v>0</v>
      </c>
      <c r="W793" s="8">
        <v>0</v>
      </c>
      <c r="X793" s="8">
        <v>1</v>
      </c>
      <c r="Y793" s="8">
        <v>0</v>
      </c>
      <c r="Z793" s="8">
        <v>2</v>
      </c>
      <c r="AA793" s="8">
        <v>180</v>
      </c>
      <c r="AB793" s="9">
        <f t="shared" si="79"/>
        <v>0.66666666666666674</v>
      </c>
      <c r="AC793" s="10">
        <f t="shared" si="81"/>
        <v>5.9999999999999991</v>
      </c>
      <c r="AD793" s="8" t="s">
        <v>109</v>
      </c>
      <c r="AE793" s="11">
        <v>39990</v>
      </c>
      <c r="AF793" s="11">
        <f t="shared" si="82"/>
        <v>159960</v>
      </c>
      <c r="AG793" s="12" t="s">
        <v>34</v>
      </c>
      <c r="AH793" s="8" t="s">
        <v>35</v>
      </c>
    </row>
    <row r="794" spans="1:34">
      <c r="A794" s="8" t="s">
        <v>1122</v>
      </c>
      <c r="B794" s="16" t="s">
        <v>1029</v>
      </c>
      <c r="C794" s="8" t="s">
        <v>1030</v>
      </c>
      <c r="D794" s="8" t="s">
        <v>1030</v>
      </c>
      <c r="E794" s="8" t="str">
        <f t="shared" si="80"/>
        <v>VERDE</v>
      </c>
      <c r="H794" s="8" t="str">
        <f>VLOOKUP(A794,[1]BBDD!$B$1:$J$3274,9,FALSE)</f>
        <v>M</v>
      </c>
      <c r="I794" s="8" t="s">
        <v>2862</v>
      </c>
      <c r="J794" s="8" t="s">
        <v>1099</v>
      </c>
      <c r="L794" s="8" t="s">
        <v>61</v>
      </c>
      <c r="N794" s="8" t="s">
        <v>92</v>
      </c>
      <c r="O794" s="8" t="s">
        <v>92</v>
      </c>
      <c r="P794" s="18" t="str">
        <f t="shared" si="83"/>
        <v>XS</v>
      </c>
      <c r="Q794" s="8" t="s">
        <v>45</v>
      </c>
      <c r="R794" s="8">
        <v>0</v>
      </c>
      <c r="S794" s="8">
        <v>5</v>
      </c>
      <c r="T794" s="8">
        <f t="shared" si="78"/>
        <v>5</v>
      </c>
      <c r="U794" s="8">
        <v>3</v>
      </c>
      <c r="V794" s="8">
        <v>0</v>
      </c>
      <c r="W794" s="8">
        <v>1</v>
      </c>
      <c r="X794" s="8">
        <v>0</v>
      </c>
      <c r="Y794" s="8">
        <v>0</v>
      </c>
      <c r="Z794" s="8">
        <v>1</v>
      </c>
      <c r="AA794" s="8">
        <v>180</v>
      </c>
      <c r="AB794" s="9">
        <f t="shared" si="79"/>
        <v>0.83333333333333326</v>
      </c>
      <c r="AC794" s="10">
        <f t="shared" si="81"/>
        <v>6.0000000000000009</v>
      </c>
      <c r="AD794" s="8" t="s">
        <v>109</v>
      </c>
      <c r="AE794" s="11">
        <v>39990</v>
      </c>
      <c r="AF794" s="11">
        <f t="shared" si="82"/>
        <v>199950</v>
      </c>
      <c r="AG794" s="12" t="s">
        <v>34</v>
      </c>
      <c r="AH794" s="8" t="s">
        <v>35</v>
      </c>
    </row>
    <row r="795" spans="1:34">
      <c r="A795" s="8" t="s">
        <v>1123</v>
      </c>
      <c r="B795" s="16" t="s">
        <v>1029</v>
      </c>
      <c r="C795" s="8" t="s">
        <v>1030</v>
      </c>
      <c r="D795" s="8" t="s">
        <v>1030</v>
      </c>
      <c r="E795" s="8" t="str">
        <f t="shared" si="80"/>
        <v>AZUL</v>
      </c>
      <c r="H795" s="8" t="str">
        <f>VLOOKUP(A795,[1]BBDD!$B$1:$J$3274,9,FALSE)</f>
        <v>H</v>
      </c>
      <c r="I795" s="8" t="s">
        <v>2863</v>
      </c>
      <c r="J795" s="8" t="s">
        <v>1124</v>
      </c>
      <c r="L795" s="8" t="s">
        <v>1125</v>
      </c>
      <c r="N795" s="8" t="s">
        <v>83</v>
      </c>
      <c r="O795" s="8" t="s">
        <v>83</v>
      </c>
      <c r="P795" s="18" t="str">
        <f t="shared" si="83"/>
        <v>100</v>
      </c>
      <c r="Q795" s="8" t="s">
        <v>32</v>
      </c>
      <c r="R795" s="8">
        <v>0</v>
      </c>
      <c r="S795" s="8">
        <v>0</v>
      </c>
      <c r="T795" s="8">
        <f t="shared" si="78"/>
        <v>0</v>
      </c>
      <c r="U795" s="8">
        <v>3</v>
      </c>
      <c r="V795" s="8">
        <v>1</v>
      </c>
      <c r="W795" s="8">
        <v>0</v>
      </c>
      <c r="X795" s="8">
        <v>0</v>
      </c>
      <c r="Y795" s="8">
        <v>0</v>
      </c>
      <c r="Z795" s="8">
        <v>0</v>
      </c>
      <c r="AA795" s="8">
        <v>180</v>
      </c>
      <c r="AB795" s="9">
        <f t="shared" si="79"/>
        <v>0.66666666666666674</v>
      </c>
      <c r="AC795" s="10">
        <f t="shared" si="81"/>
        <v>0</v>
      </c>
      <c r="AD795" s="8" t="s">
        <v>33</v>
      </c>
      <c r="AE795" s="11">
        <v>51990</v>
      </c>
      <c r="AF795" s="11">
        <f t="shared" si="82"/>
        <v>0</v>
      </c>
      <c r="AG795" s="12" t="s">
        <v>34</v>
      </c>
      <c r="AH795" s="8" t="s">
        <v>35</v>
      </c>
    </row>
    <row r="796" spans="1:34">
      <c r="A796" s="8" t="s">
        <v>1126</v>
      </c>
      <c r="B796" s="16" t="s">
        <v>1029</v>
      </c>
      <c r="C796" s="8" t="s">
        <v>1030</v>
      </c>
      <c r="D796" s="8" t="s">
        <v>1030</v>
      </c>
      <c r="E796" s="8" t="str">
        <f t="shared" si="80"/>
        <v>AZUL</v>
      </c>
      <c r="H796" s="8" t="str">
        <f>VLOOKUP(A796,[1]BBDD!$B$1:$J$3274,9,FALSE)</f>
        <v>H</v>
      </c>
      <c r="I796" s="8" t="s">
        <v>2863</v>
      </c>
      <c r="J796" s="8" t="s">
        <v>1124</v>
      </c>
      <c r="L796" s="8" t="s">
        <v>1125</v>
      </c>
      <c r="N796" s="8" t="s">
        <v>83</v>
      </c>
      <c r="O796" s="8" t="s">
        <v>83</v>
      </c>
      <c r="P796" s="18" t="str">
        <f t="shared" si="83"/>
        <v>105</v>
      </c>
      <c r="Q796" s="8" t="s">
        <v>32</v>
      </c>
      <c r="R796" s="8">
        <v>0</v>
      </c>
      <c r="S796" s="8">
        <v>0</v>
      </c>
      <c r="T796" s="8">
        <f t="shared" si="78"/>
        <v>0</v>
      </c>
      <c r="U796" s="8">
        <v>0</v>
      </c>
      <c r="V796" s="8">
        <v>4</v>
      </c>
      <c r="W796" s="8">
        <v>0</v>
      </c>
      <c r="X796" s="8">
        <v>0</v>
      </c>
      <c r="Y796" s="8">
        <v>0</v>
      </c>
      <c r="Z796" s="8">
        <v>0</v>
      </c>
      <c r="AA796" s="8">
        <v>180</v>
      </c>
      <c r="AB796" s="9">
        <f t="shared" si="79"/>
        <v>0.66666666666666674</v>
      </c>
      <c r="AC796" s="10">
        <f t="shared" si="81"/>
        <v>0</v>
      </c>
      <c r="AD796" s="8" t="s">
        <v>33</v>
      </c>
      <c r="AE796" s="11">
        <v>51990</v>
      </c>
      <c r="AF796" s="11">
        <f t="shared" si="82"/>
        <v>0</v>
      </c>
      <c r="AG796" s="12" t="s">
        <v>34</v>
      </c>
      <c r="AH796" s="8" t="s">
        <v>35</v>
      </c>
    </row>
    <row r="797" spans="1:34">
      <c r="A797" s="8" t="s">
        <v>1127</v>
      </c>
      <c r="B797" s="16" t="s">
        <v>1029</v>
      </c>
      <c r="C797" s="8" t="s">
        <v>1030</v>
      </c>
      <c r="D797" s="8" t="s">
        <v>1030</v>
      </c>
      <c r="E797" s="8" t="str">
        <f t="shared" si="80"/>
        <v>AZUL</v>
      </c>
      <c r="H797" s="8" t="str">
        <f>VLOOKUP(A797,[1]BBDD!$B$1:$J$3274,9,FALSE)</f>
        <v>H</v>
      </c>
      <c r="I797" s="8" t="s">
        <v>2863</v>
      </c>
      <c r="J797" s="8" t="s">
        <v>1124</v>
      </c>
      <c r="L797" s="8" t="s">
        <v>1125</v>
      </c>
      <c r="N797" s="8" t="s">
        <v>83</v>
      </c>
      <c r="O797" s="8" t="s">
        <v>83</v>
      </c>
      <c r="P797" s="18" t="str">
        <f t="shared" si="83"/>
        <v>110</v>
      </c>
      <c r="Q797" s="8" t="s">
        <v>32</v>
      </c>
      <c r="R797" s="8">
        <v>0</v>
      </c>
      <c r="S797" s="8">
        <v>4</v>
      </c>
      <c r="T797" s="8">
        <f t="shared" si="78"/>
        <v>4</v>
      </c>
      <c r="U797" s="8">
        <v>1</v>
      </c>
      <c r="V797" s="8">
        <v>0</v>
      </c>
      <c r="W797" s="8">
        <v>1</v>
      </c>
      <c r="X797" s="8">
        <v>0</v>
      </c>
      <c r="Y797" s="8">
        <v>0</v>
      </c>
      <c r="Z797" s="8">
        <v>0</v>
      </c>
      <c r="AA797" s="8">
        <v>180</v>
      </c>
      <c r="AB797" s="9">
        <f t="shared" si="79"/>
        <v>0.33333333333333337</v>
      </c>
      <c r="AC797" s="10">
        <f t="shared" si="81"/>
        <v>11.999999999999998</v>
      </c>
      <c r="AD797" s="8" t="s">
        <v>33</v>
      </c>
      <c r="AE797" s="11">
        <v>51990</v>
      </c>
      <c r="AF797" s="11">
        <f t="shared" si="82"/>
        <v>207960</v>
      </c>
      <c r="AG797" s="12" t="s">
        <v>51</v>
      </c>
      <c r="AH797" s="8" t="s">
        <v>35</v>
      </c>
    </row>
    <row r="798" spans="1:34">
      <c r="A798" s="8" t="s">
        <v>1128</v>
      </c>
      <c r="B798" s="16" t="s">
        <v>1029</v>
      </c>
      <c r="C798" s="8" t="s">
        <v>1030</v>
      </c>
      <c r="D798" s="8" t="s">
        <v>1030</v>
      </c>
      <c r="E798" s="8" t="str">
        <f t="shared" si="80"/>
        <v>AZUL</v>
      </c>
      <c r="H798" s="8" t="str">
        <f>VLOOKUP(A798,[1]BBDD!$B$1:$J$3274,9,FALSE)</f>
        <v>H</v>
      </c>
      <c r="I798" s="8" t="s">
        <v>2863</v>
      </c>
      <c r="J798" s="8" t="s">
        <v>1124</v>
      </c>
      <c r="L798" s="8" t="s">
        <v>1125</v>
      </c>
      <c r="N798" s="8" t="s">
        <v>83</v>
      </c>
      <c r="O798" s="8" t="s">
        <v>83</v>
      </c>
      <c r="P798" s="18" t="str">
        <f t="shared" si="83"/>
        <v>90</v>
      </c>
      <c r="Q798" s="8" t="s">
        <v>32</v>
      </c>
      <c r="R798" s="8">
        <v>2</v>
      </c>
      <c r="S798" s="8">
        <v>4</v>
      </c>
      <c r="T798" s="8">
        <f t="shared" si="78"/>
        <v>6</v>
      </c>
      <c r="U798" s="8">
        <v>0</v>
      </c>
      <c r="V798" s="8">
        <v>1</v>
      </c>
      <c r="W798" s="8">
        <v>1</v>
      </c>
      <c r="X798" s="8">
        <v>0</v>
      </c>
      <c r="Y798" s="8">
        <v>0</v>
      </c>
      <c r="Z798" s="8">
        <v>1</v>
      </c>
      <c r="AA798" s="8">
        <v>180</v>
      </c>
      <c r="AB798" s="9">
        <f t="shared" si="79"/>
        <v>0.5</v>
      </c>
      <c r="AC798" s="10">
        <f t="shared" si="81"/>
        <v>12</v>
      </c>
      <c r="AD798" s="8" t="s">
        <v>33</v>
      </c>
      <c r="AE798" s="11">
        <v>51990</v>
      </c>
      <c r="AF798" s="11">
        <f t="shared" si="82"/>
        <v>311940</v>
      </c>
      <c r="AG798" s="12" t="s">
        <v>51</v>
      </c>
      <c r="AH798" s="8" t="s">
        <v>35</v>
      </c>
    </row>
    <row r="799" spans="1:34">
      <c r="A799" s="8" t="s">
        <v>1129</v>
      </c>
      <c r="B799" s="16" t="s">
        <v>1029</v>
      </c>
      <c r="C799" s="8" t="s">
        <v>1030</v>
      </c>
      <c r="D799" s="8" t="s">
        <v>1030</v>
      </c>
      <c r="E799" s="8" t="str">
        <f t="shared" si="80"/>
        <v>AZUL</v>
      </c>
      <c r="H799" s="8" t="str">
        <f>VLOOKUP(A799,[1]BBDD!$B$1:$J$3274,9,FALSE)</f>
        <v>H</v>
      </c>
      <c r="I799" s="8" t="s">
        <v>2863</v>
      </c>
      <c r="J799" s="8" t="s">
        <v>1124</v>
      </c>
      <c r="L799" s="8" t="s">
        <v>1125</v>
      </c>
      <c r="N799" s="8" t="s">
        <v>83</v>
      </c>
      <c r="O799" s="8" t="s">
        <v>83</v>
      </c>
      <c r="P799" s="18" t="str">
        <f t="shared" si="83"/>
        <v>95</v>
      </c>
      <c r="Q799" s="8" t="s">
        <v>32</v>
      </c>
      <c r="R799" s="8">
        <v>0</v>
      </c>
      <c r="S799" s="8">
        <v>0</v>
      </c>
      <c r="T799" s="8">
        <f t="shared" si="78"/>
        <v>0</v>
      </c>
      <c r="U799" s="8">
        <v>0</v>
      </c>
      <c r="V799" s="8">
        <v>3</v>
      </c>
      <c r="W799" s="8">
        <v>1</v>
      </c>
      <c r="X799" s="8">
        <v>0</v>
      </c>
      <c r="Y799" s="8">
        <v>0</v>
      </c>
      <c r="Z799" s="8">
        <v>0</v>
      </c>
      <c r="AA799" s="8">
        <v>180</v>
      </c>
      <c r="AB799" s="9">
        <f t="shared" si="79"/>
        <v>0.66666666666666674</v>
      </c>
      <c r="AC799" s="10">
        <f t="shared" si="81"/>
        <v>0</v>
      </c>
      <c r="AD799" s="8" t="s">
        <v>33</v>
      </c>
      <c r="AE799" s="11">
        <v>51990</v>
      </c>
      <c r="AF799" s="11">
        <f t="shared" si="82"/>
        <v>0</v>
      </c>
      <c r="AG799" s="12" t="s">
        <v>34</v>
      </c>
      <c r="AH799" s="8" t="s">
        <v>35</v>
      </c>
    </row>
    <row r="800" spans="1:34">
      <c r="A800" s="8" t="s">
        <v>1130</v>
      </c>
      <c r="B800" s="16" t="s">
        <v>1029</v>
      </c>
      <c r="C800" s="8" t="s">
        <v>1030</v>
      </c>
      <c r="D800" s="8" t="s">
        <v>1030</v>
      </c>
      <c r="E800" s="8" t="str">
        <f t="shared" si="80"/>
        <v>TOSTADO</v>
      </c>
      <c r="H800" s="8" t="str">
        <f>VLOOKUP(A800,[1]BBDD!$B$1:$J$3274,9,FALSE)</f>
        <v>H</v>
      </c>
      <c r="I800" s="8" t="s">
        <v>2863</v>
      </c>
      <c r="J800" s="8" t="s">
        <v>1124</v>
      </c>
      <c r="L800" s="8" t="s">
        <v>1125</v>
      </c>
      <c r="N800" s="8" t="s">
        <v>513</v>
      </c>
      <c r="O800" s="8" t="s">
        <v>513</v>
      </c>
      <c r="P800" s="18" t="str">
        <f t="shared" si="83"/>
        <v>100</v>
      </c>
      <c r="Q800" s="8" t="s">
        <v>32</v>
      </c>
      <c r="R800" s="8">
        <v>0</v>
      </c>
      <c r="S800" s="8">
        <v>1</v>
      </c>
      <c r="T800" s="8">
        <f t="shared" si="78"/>
        <v>1</v>
      </c>
      <c r="U800" s="8">
        <v>1</v>
      </c>
      <c r="V800" s="8">
        <v>1</v>
      </c>
      <c r="W800" s="8">
        <v>1</v>
      </c>
      <c r="X800" s="8">
        <v>3</v>
      </c>
      <c r="Y800" s="8">
        <v>0</v>
      </c>
      <c r="Z800" s="8">
        <v>1</v>
      </c>
      <c r="AA800" s="8">
        <v>180</v>
      </c>
      <c r="AB800" s="9">
        <f t="shared" si="79"/>
        <v>1.1666666666666667</v>
      </c>
      <c r="AC800" s="10">
        <f t="shared" si="81"/>
        <v>0.8571428571428571</v>
      </c>
      <c r="AD800" s="8" t="s">
        <v>33</v>
      </c>
      <c r="AE800" s="11">
        <v>51990</v>
      </c>
      <c r="AF800" s="11">
        <f t="shared" si="82"/>
        <v>51990</v>
      </c>
      <c r="AG800" s="12" t="s">
        <v>34</v>
      </c>
      <c r="AH800" s="8" t="s">
        <v>35</v>
      </c>
    </row>
    <row r="801" spans="1:34">
      <c r="A801" s="8" t="s">
        <v>1131</v>
      </c>
      <c r="B801" s="16" t="s">
        <v>1029</v>
      </c>
      <c r="C801" s="8" t="s">
        <v>1030</v>
      </c>
      <c r="D801" s="8" t="s">
        <v>1030</v>
      </c>
      <c r="E801" s="8" t="str">
        <f t="shared" si="80"/>
        <v>TOSTADO</v>
      </c>
      <c r="H801" s="8" t="str">
        <f>VLOOKUP(A801,[1]BBDD!$B$1:$J$3274,9,FALSE)</f>
        <v>H</v>
      </c>
      <c r="I801" s="8" t="s">
        <v>2863</v>
      </c>
      <c r="J801" s="8" t="s">
        <v>1124</v>
      </c>
      <c r="L801" s="8" t="s">
        <v>1125</v>
      </c>
      <c r="N801" s="8" t="s">
        <v>513</v>
      </c>
      <c r="O801" s="8" t="s">
        <v>513</v>
      </c>
      <c r="P801" s="18" t="str">
        <f t="shared" si="83"/>
        <v>105</v>
      </c>
      <c r="Q801" s="8" t="s">
        <v>32</v>
      </c>
      <c r="R801" s="8">
        <v>0</v>
      </c>
      <c r="S801" s="8">
        <v>4</v>
      </c>
      <c r="T801" s="8">
        <f t="shared" si="78"/>
        <v>4</v>
      </c>
      <c r="U801" s="8">
        <v>0</v>
      </c>
      <c r="V801" s="8">
        <v>0</v>
      </c>
      <c r="W801" s="8">
        <v>2</v>
      </c>
      <c r="X801" s="8">
        <v>1</v>
      </c>
      <c r="Y801" s="8">
        <v>1</v>
      </c>
      <c r="Z801" s="8">
        <v>1</v>
      </c>
      <c r="AA801" s="8">
        <v>180</v>
      </c>
      <c r="AB801" s="9">
        <f t="shared" si="79"/>
        <v>0.83333333333333326</v>
      </c>
      <c r="AC801" s="10">
        <f t="shared" si="81"/>
        <v>4.8000000000000007</v>
      </c>
      <c r="AD801" s="8" t="s">
        <v>33</v>
      </c>
      <c r="AE801" s="11">
        <v>51990</v>
      </c>
      <c r="AF801" s="11">
        <f t="shared" si="82"/>
        <v>207960</v>
      </c>
      <c r="AG801" s="12" t="s">
        <v>34</v>
      </c>
      <c r="AH801" s="8" t="s">
        <v>35</v>
      </c>
    </row>
    <row r="802" spans="1:34">
      <c r="A802" s="8" t="s">
        <v>1132</v>
      </c>
      <c r="B802" s="16" t="s">
        <v>1029</v>
      </c>
      <c r="C802" s="8" t="s">
        <v>1030</v>
      </c>
      <c r="D802" s="8" t="s">
        <v>1030</v>
      </c>
      <c r="E802" s="8" t="str">
        <f t="shared" si="80"/>
        <v>TOSTADO</v>
      </c>
      <c r="H802" s="8" t="str">
        <f>VLOOKUP(A802,[1]BBDD!$B$1:$J$3274,9,FALSE)</f>
        <v>H</v>
      </c>
      <c r="I802" s="8" t="s">
        <v>2863</v>
      </c>
      <c r="J802" s="8" t="s">
        <v>1124</v>
      </c>
      <c r="L802" s="8" t="s">
        <v>1125</v>
      </c>
      <c r="N802" s="8" t="s">
        <v>513</v>
      </c>
      <c r="O802" s="8" t="s">
        <v>513</v>
      </c>
      <c r="P802" s="18" t="str">
        <f t="shared" si="83"/>
        <v>110</v>
      </c>
      <c r="Q802" s="8" t="s">
        <v>32</v>
      </c>
      <c r="R802" s="8">
        <v>0</v>
      </c>
      <c r="S802" s="8">
        <v>5</v>
      </c>
      <c r="T802" s="8">
        <f t="shared" si="78"/>
        <v>5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180</v>
      </c>
      <c r="AB802" s="9">
        <f t="shared" si="79"/>
        <v>0</v>
      </c>
      <c r="AC802" s="10" t="str">
        <f t="shared" si="81"/>
        <v>sin venta</v>
      </c>
      <c r="AD802" s="8" t="s">
        <v>33</v>
      </c>
      <c r="AE802" s="11">
        <v>51990</v>
      </c>
      <c r="AF802" s="11">
        <f t="shared" si="82"/>
        <v>259950</v>
      </c>
      <c r="AG802" s="12" t="s">
        <v>73</v>
      </c>
      <c r="AH802" s="8" t="s">
        <v>35</v>
      </c>
    </row>
    <row r="803" spans="1:34">
      <c r="A803" s="8" t="s">
        <v>1133</v>
      </c>
      <c r="B803" s="16" t="s">
        <v>1029</v>
      </c>
      <c r="C803" s="8" t="s">
        <v>1030</v>
      </c>
      <c r="D803" s="8" t="s">
        <v>1030</v>
      </c>
      <c r="E803" s="8" t="str">
        <f t="shared" si="80"/>
        <v>TOSTADO</v>
      </c>
      <c r="H803" s="8" t="str">
        <f>VLOOKUP(A803,[1]BBDD!$B$1:$J$3274,9,FALSE)</f>
        <v>H</v>
      </c>
      <c r="I803" s="8" t="s">
        <v>2863</v>
      </c>
      <c r="J803" s="8" t="s">
        <v>1124</v>
      </c>
      <c r="L803" s="8" t="s">
        <v>1125</v>
      </c>
      <c r="N803" s="8" t="s">
        <v>513</v>
      </c>
      <c r="O803" s="8" t="s">
        <v>513</v>
      </c>
      <c r="P803" s="18" t="str">
        <f t="shared" si="83"/>
        <v>90</v>
      </c>
      <c r="Q803" s="8" t="s">
        <v>32</v>
      </c>
      <c r="R803" s="8">
        <v>0</v>
      </c>
      <c r="S803" s="8">
        <v>4</v>
      </c>
      <c r="T803" s="8">
        <f t="shared" si="78"/>
        <v>4</v>
      </c>
      <c r="U803" s="8">
        <v>1</v>
      </c>
      <c r="V803" s="8">
        <v>2</v>
      </c>
      <c r="W803" s="8">
        <v>1</v>
      </c>
      <c r="X803" s="8">
        <v>1</v>
      </c>
      <c r="Y803" s="8">
        <v>0</v>
      </c>
      <c r="Z803" s="8">
        <v>0</v>
      </c>
      <c r="AA803" s="8">
        <v>180</v>
      </c>
      <c r="AB803" s="9">
        <f t="shared" si="79"/>
        <v>0.83333333333333326</v>
      </c>
      <c r="AC803" s="10">
        <f t="shared" si="81"/>
        <v>4.8000000000000007</v>
      </c>
      <c r="AD803" s="8" t="s">
        <v>33</v>
      </c>
      <c r="AE803" s="11">
        <v>51990</v>
      </c>
      <c r="AF803" s="11">
        <f t="shared" si="82"/>
        <v>207960</v>
      </c>
      <c r="AG803" s="12" t="s">
        <v>34</v>
      </c>
      <c r="AH803" s="8" t="s">
        <v>35</v>
      </c>
    </row>
    <row r="804" spans="1:34">
      <c r="A804" s="8" t="s">
        <v>1134</v>
      </c>
      <c r="B804" s="16" t="s">
        <v>1029</v>
      </c>
      <c r="C804" s="8" t="s">
        <v>1030</v>
      </c>
      <c r="D804" s="8" t="s">
        <v>1030</v>
      </c>
      <c r="E804" s="8" t="str">
        <f t="shared" si="80"/>
        <v>TOSTADO</v>
      </c>
      <c r="H804" s="8" t="str">
        <f>VLOOKUP(A804,[1]BBDD!$B$1:$J$3274,9,FALSE)</f>
        <v>H</v>
      </c>
      <c r="I804" s="8" t="s">
        <v>2863</v>
      </c>
      <c r="J804" s="8" t="s">
        <v>1124</v>
      </c>
      <c r="L804" s="8" t="s">
        <v>1125</v>
      </c>
      <c r="N804" s="8" t="s">
        <v>513</v>
      </c>
      <c r="O804" s="8" t="s">
        <v>513</v>
      </c>
      <c r="P804" s="18" t="str">
        <f t="shared" si="83"/>
        <v>95</v>
      </c>
      <c r="Q804" s="8" t="s">
        <v>32</v>
      </c>
      <c r="R804" s="8">
        <v>0</v>
      </c>
      <c r="S804" s="8">
        <v>3</v>
      </c>
      <c r="T804" s="8">
        <f t="shared" si="78"/>
        <v>3</v>
      </c>
      <c r="U804" s="8">
        <v>0</v>
      </c>
      <c r="V804" s="8">
        <v>1</v>
      </c>
      <c r="W804" s="8">
        <v>2</v>
      </c>
      <c r="X804" s="8">
        <v>2</v>
      </c>
      <c r="Y804" s="8">
        <v>0</v>
      </c>
      <c r="Z804" s="8">
        <v>1</v>
      </c>
      <c r="AA804" s="8">
        <v>180</v>
      </c>
      <c r="AB804" s="9">
        <f t="shared" si="79"/>
        <v>1</v>
      </c>
      <c r="AC804" s="10">
        <f t="shared" si="81"/>
        <v>3</v>
      </c>
      <c r="AD804" s="8" t="s">
        <v>33</v>
      </c>
      <c r="AE804" s="11">
        <v>51990</v>
      </c>
      <c r="AF804" s="11">
        <f t="shared" si="82"/>
        <v>155970</v>
      </c>
      <c r="AG804" s="12" t="s">
        <v>34</v>
      </c>
      <c r="AH804" s="8" t="s">
        <v>35</v>
      </c>
    </row>
    <row r="805" spans="1:34">
      <c r="A805" s="8" t="s">
        <v>1135</v>
      </c>
      <c r="B805" s="16" t="s">
        <v>1029</v>
      </c>
      <c r="C805" s="8" t="s">
        <v>1030</v>
      </c>
      <c r="D805" s="8" t="s">
        <v>1030</v>
      </c>
      <c r="E805" s="8" t="str">
        <f t="shared" si="80"/>
        <v>AZUL</v>
      </c>
      <c r="H805" s="8" t="str">
        <f>VLOOKUP(A805,[1]BBDD!$B$1:$J$3274,9,FALSE)</f>
        <v>H</v>
      </c>
      <c r="I805" s="8" t="s">
        <v>2863</v>
      </c>
      <c r="J805" s="8" t="s">
        <v>1124</v>
      </c>
      <c r="L805" s="8" t="s">
        <v>1125</v>
      </c>
      <c r="N805" s="8" t="s">
        <v>83</v>
      </c>
      <c r="O805" s="8" t="s">
        <v>83</v>
      </c>
      <c r="P805" s="18" t="str">
        <f t="shared" si="83"/>
        <v>115</v>
      </c>
      <c r="Q805" s="8" t="s">
        <v>45</v>
      </c>
      <c r="R805" s="8">
        <v>0</v>
      </c>
      <c r="S805" s="8">
        <v>5</v>
      </c>
      <c r="T805" s="8">
        <f t="shared" si="78"/>
        <v>5</v>
      </c>
      <c r="U805" s="8">
        <v>2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180</v>
      </c>
      <c r="AB805" s="9">
        <f t="shared" si="79"/>
        <v>0.33333333333333337</v>
      </c>
      <c r="AC805" s="10">
        <f t="shared" si="81"/>
        <v>14.999999999999998</v>
      </c>
      <c r="AD805" s="8" t="s">
        <v>109</v>
      </c>
      <c r="AE805" s="11">
        <v>51990</v>
      </c>
      <c r="AF805" s="11">
        <f t="shared" si="82"/>
        <v>259950</v>
      </c>
      <c r="AG805" s="12" t="s">
        <v>64</v>
      </c>
      <c r="AH805" s="8" t="s">
        <v>35</v>
      </c>
    </row>
    <row r="806" spans="1:34">
      <c r="A806" s="8" t="s">
        <v>1136</v>
      </c>
      <c r="B806" s="16" t="s">
        <v>1029</v>
      </c>
      <c r="C806" s="8" t="s">
        <v>1030</v>
      </c>
      <c r="D806" s="8" t="s">
        <v>1030</v>
      </c>
      <c r="E806" s="8" t="str">
        <f t="shared" si="80"/>
        <v>AZUL</v>
      </c>
      <c r="H806" s="8" t="str">
        <f>VLOOKUP(A806,[1]BBDD!$B$1:$J$3274,9,FALSE)</f>
        <v>H</v>
      </c>
      <c r="I806" s="8" t="s">
        <v>2863</v>
      </c>
      <c r="J806" s="8" t="s">
        <v>1124</v>
      </c>
      <c r="L806" s="8" t="s">
        <v>1125</v>
      </c>
      <c r="N806" s="8" t="s">
        <v>83</v>
      </c>
      <c r="O806" s="8" t="s">
        <v>83</v>
      </c>
      <c r="P806" s="18" t="str">
        <f t="shared" si="83"/>
        <v>120</v>
      </c>
      <c r="Q806" s="8" t="s">
        <v>45</v>
      </c>
      <c r="R806" s="8">
        <v>0</v>
      </c>
      <c r="S806" s="8">
        <v>6</v>
      </c>
      <c r="T806" s="8">
        <f t="shared" si="78"/>
        <v>6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180</v>
      </c>
      <c r="AB806" s="9">
        <f t="shared" si="79"/>
        <v>0</v>
      </c>
      <c r="AC806" s="10" t="str">
        <f t="shared" si="81"/>
        <v>sin venta</v>
      </c>
      <c r="AD806" s="8" t="s">
        <v>109</v>
      </c>
      <c r="AE806" s="11">
        <v>51990</v>
      </c>
      <c r="AF806" s="11">
        <f t="shared" si="82"/>
        <v>311940</v>
      </c>
      <c r="AG806" s="12" t="s">
        <v>73</v>
      </c>
      <c r="AH806" s="8" t="s">
        <v>35</v>
      </c>
    </row>
    <row r="807" spans="1:34">
      <c r="A807" s="8" t="s">
        <v>1137</v>
      </c>
      <c r="B807" s="16" t="s">
        <v>1029</v>
      </c>
      <c r="C807" s="8" t="s">
        <v>1030</v>
      </c>
      <c r="D807" s="8" t="s">
        <v>1030</v>
      </c>
      <c r="E807" s="8" t="str">
        <f t="shared" si="80"/>
        <v>AZUL</v>
      </c>
      <c r="H807" s="8" t="str">
        <f>VLOOKUP(A807,[1]BBDD!$B$1:$J$3274,9,FALSE)</f>
        <v>H</v>
      </c>
      <c r="I807" s="8" t="s">
        <v>2863</v>
      </c>
      <c r="J807" s="8" t="s">
        <v>1124</v>
      </c>
      <c r="L807" s="8" t="s">
        <v>1125</v>
      </c>
      <c r="N807" s="8" t="s">
        <v>83</v>
      </c>
      <c r="O807" s="8" t="s">
        <v>83</v>
      </c>
      <c r="P807" s="18" t="str">
        <f t="shared" si="83"/>
        <v>85</v>
      </c>
      <c r="Q807" s="8" t="s">
        <v>45</v>
      </c>
      <c r="R807" s="8">
        <v>0</v>
      </c>
      <c r="S807" s="8">
        <v>3</v>
      </c>
      <c r="T807" s="8">
        <f t="shared" si="78"/>
        <v>3</v>
      </c>
      <c r="U807" s="8">
        <v>2</v>
      </c>
      <c r="V807" s="8">
        <v>1</v>
      </c>
      <c r="W807" s="8">
        <v>0</v>
      </c>
      <c r="X807" s="8">
        <v>0</v>
      </c>
      <c r="Y807" s="8">
        <v>0</v>
      </c>
      <c r="Z807" s="8">
        <v>0</v>
      </c>
      <c r="AA807" s="8">
        <v>180</v>
      </c>
      <c r="AB807" s="9">
        <f t="shared" si="79"/>
        <v>0.5</v>
      </c>
      <c r="AC807" s="10">
        <f t="shared" si="81"/>
        <v>6</v>
      </c>
      <c r="AD807" s="8" t="s">
        <v>109</v>
      </c>
      <c r="AE807" s="11">
        <v>51990</v>
      </c>
      <c r="AF807" s="11">
        <f t="shared" si="82"/>
        <v>155970</v>
      </c>
      <c r="AG807" s="12" t="s">
        <v>34</v>
      </c>
      <c r="AH807" s="8" t="s">
        <v>35</v>
      </c>
    </row>
    <row r="808" spans="1:34">
      <c r="A808" s="8" t="s">
        <v>1138</v>
      </c>
      <c r="B808" s="16" t="s">
        <v>1029</v>
      </c>
      <c r="C808" s="8" t="s">
        <v>1030</v>
      </c>
      <c r="D808" s="8" t="s">
        <v>1030</v>
      </c>
      <c r="E808" s="8" t="str">
        <f t="shared" si="80"/>
        <v>TOSTADO</v>
      </c>
      <c r="H808" s="8" t="str">
        <f>VLOOKUP(A808,[1]BBDD!$B$1:$J$3274,9,FALSE)</f>
        <v>H</v>
      </c>
      <c r="I808" s="8" t="s">
        <v>2863</v>
      </c>
      <c r="J808" s="8" t="s">
        <v>1124</v>
      </c>
      <c r="L808" s="8" t="s">
        <v>1125</v>
      </c>
      <c r="N808" s="8" t="s">
        <v>513</v>
      </c>
      <c r="O808" s="8" t="s">
        <v>513</v>
      </c>
      <c r="P808" s="18" t="str">
        <f t="shared" si="83"/>
        <v>115</v>
      </c>
      <c r="Q808" s="8" t="s">
        <v>45</v>
      </c>
      <c r="R808" s="8">
        <v>1</v>
      </c>
      <c r="S808" s="8">
        <v>6</v>
      </c>
      <c r="T808" s="8">
        <f t="shared" si="78"/>
        <v>7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180</v>
      </c>
      <c r="AB808" s="9">
        <f t="shared" si="79"/>
        <v>0</v>
      </c>
      <c r="AC808" s="10" t="str">
        <f t="shared" si="81"/>
        <v>sin venta</v>
      </c>
      <c r="AD808" s="8" t="s">
        <v>109</v>
      </c>
      <c r="AE808" s="11">
        <v>51990</v>
      </c>
      <c r="AF808" s="11">
        <f t="shared" si="82"/>
        <v>363930</v>
      </c>
      <c r="AG808" s="12" t="s">
        <v>73</v>
      </c>
      <c r="AH808" s="8" t="s">
        <v>35</v>
      </c>
    </row>
    <row r="809" spans="1:34">
      <c r="A809" s="8" t="s">
        <v>1139</v>
      </c>
      <c r="B809" s="16" t="s">
        <v>1029</v>
      </c>
      <c r="C809" s="8" t="s">
        <v>1030</v>
      </c>
      <c r="D809" s="8" t="s">
        <v>1030</v>
      </c>
      <c r="E809" s="8" t="str">
        <f t="shared" si="80"/>
        <v>TOSTADO</v>
      </c>
      <c r="H809" s="8" t="str">
        <f>VLOOKUP(A809,[1]BBDD!$B$1:$J$3274,9,FALSE)</f>
        <v>H</v>
      </c>
      <c r="I809" s="8" t="s">
        <v>2863</v>
      </c>
      <c r="J809" s="8" t="s">
        <v>1124</v>
      </c>
      <c r="L809" s="8" t="s">
        <v>1125</v>
      </c>
      <c r="N809" s="8" t="s">
        <v>513</v>
      </c>
      <c r="O809" s="8" t="s">
        <v>513</v>
      </c>
      <c r="P809" s="18" t="str">
        <f t="shared" si="83"/>
        <v>120</v>
      </c>
      <c r="Q809" s="8" t="s">
        <v>45</v>
      </c>
      <c r="R809" s="8">
        <v>1</v>
      </c>
      <c r="S809" s="8">
        <v>6</v>
      </c>
      <c r="T809" s="8">
        <f t="shared" si="78"/>
        <v>7</v>
      </c>
      <c r="U809" s="8">
        <v>1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180</v>
      </c>
      <c r="AB809" s="9">
        <f t="shared" si="79"/>
        <v>0.16666666666666669</v>
      </c>
      <c r="AC809" s="10">
        <f t="shared" si="81"/>
        <v>41.999999999999993</v>
      </c>
      <c r="AD809" s="8" t="s">
        <v>109</v>
      </c>
      <c r="AE809" s="11">
        <v>51990</v>
      </c>
      <c r="AF809" s="11">
        <f t="shared" si="82"/>
        <v>363930</v>
      </c>
      <c r="AG809" s="12" t="s">
        <v>73</v>
      </c>
      <c r="AH809" s="8" t="s">
        <v>35</v>
      </c>
    </row>
    <row r="810" spans="1:34">
      <c r="A810" s="8" t="s">
        <v>1140</v>
      </c>
      <c r="B810" s="16" t="s">
        <v>1029</v>
      </c>
      <c r="C810" s="8" t="s">
        <v>1030</v>
      </c>
      <c r="D810" s="8" t="s">
        <v>1030</v>
      </c>
      <c r="E810" s="8" t="str">
        <f t="shared" si="80"/>
        <v>TOSTADO</v>
      </c>
      <c r="H810" s="8" t="str">
        <f>VLOOKUP(A810,[1]BBDD!$B$1:$J$3274,9,FALSE)</f>
        <v>H</v>
      </c>
      <c r="I810" s="8" t="s">
        <v>2863</v>
      </c>
      <c r="J810" s="8" t="s">
        <v>1124</v>
      </c>
      <c r="L810" s="8" t="s">
        <v>1125</v>
      </c>
      <c r="N810" s="8" t="s">
        <v>513</v>
      </c>
      <c r="O810" s="8" t="s">
        <v>513</v>
      </c>
      <c r="P810" s="18" t="str">
        <f t="shared" si="83"/>
        <v>85</v>
      </c>
      <c r="Q810" s="8" t="s">
        <v>45</v>
      </c>
      <c r="R810" s="8">
        <v>2</v>
      </c>
      <c r="S810" s="8">
        <v>7</v>
      </c>
      <c r="T810" s="8">
        <f t="shared" si="78"/>
        <v>9</v>
      </c>
      <c r="U810" s="8">
        <v>0</v>
      </c>
      <c r="V810" s="8">
        <v>0</v>
      </c>
      <c r="W810" s="8">
        <v>0</v>
      </c>
      <c r="X810" s="8">
        <v>1</v>
      </c>
      <c r="Y810" s="8">
        <v>0</v>
      </c>
      <c r="Z810" s="8">
        <v>0</v>
      </c>
      <c r="AA810" s="8">
        <v>180</v>
      </c>
      <c r="AB810" s="9">
        <f t="shared" si="79"/>
        <v>0.16666666666666669</v>
      </c>
      <c r="AC810" s="10">
        <f t="shared" si="81"/>
        <v>53.999999999999993</v>
      </c>
      <c r="AD810" s="8" t="s">
        <v>109</v>
      </c>
      <c r="AE810" s="11">
        <v>51990</v>
      </c>
      <c r="AF810" s="11">
        <f t="shared" si="82"/>
        <v>467910</v>
      </c>
      <c r="AG810" s="12" t="s">
        <v>73</v>
      </c>
      <c r="AH810" s="8" t="s">
        <v>35</v>
      </c>
    </row>
    <row r="811" spans="1:34">
      <c r="A811" s="8" t="s">
        <v>1141</v>
      </c>
      <c r="B811" s="16" t="s">
        <v>1029</v>
      </c>
      <c r="C811" s="8" t="s">
        <v>1030</v>
      </c>
      <c r="D811" s="8" t="s">
        <v>1030</v>
      </c>
      <c r="E811" s="8" t="str">
        <f t="shared" si="80"/>
        <v>VERDE</v>
      </c>
      <c r="H811" s="8" t="str">
        <f>VLOOKUP(A811,[1]BBDD!$B$1:$J$3274,9,FALSE)</f>
        <v>H</v>
      </c>
      <c r="I811" s="8" t="s">
        <v>2863</v>
      </c>
      <c r="J811" s="8" t="s">
        <v>1124</v>
      </c>
      <c r="L811" s="8" t="s">
        <v>1125</v>
      </c>
      <c r="N811" s="8" t="s">
        <v>92</v>
      </c>
      <c r="O811" s="8" t="s">
        <v>92</v>
      </c>
      <c r="P811" s="18" t="str">
        <f t="shared" si="83"/>
        <v>100</v>
      </c>
      <c r="Q811" s="8" t="s">
        <v>45</v>
      </c>
      <c r="R811" s="8">
        <v>0</v>
      </c>
      <c r="S811" s="8">
        <v>1</v>
      </c>
      <c r="T811" s="8">
        <f t="shared" si="78"/>
        <v>1</v>
      </c>
      <c r="U811" s="8">
        <v>2</v>
      </c>
      <c r="V811" s="8">
        <v>0</v>
      </c>
      <c r="W811" s="8">
        <v>0</v>
      </c>
      <c r="X811" s="8">
        <v>0</v>
      </c>
      <c r="Y811" s="8">
        <v>0</v>
      </c>
      <c r="Z811" s="8">
        <v>1</v>
      </c>
      <c r="AA811" s="8">
        <v>180</v>
      </c>
      <c r="AB811" s="9">
        <f t="shared" si="79"/>
        <v>0.5</v>
      </c>
      <c r="AC811" s="10">
        <f t="shared" si="81"/>
        <v>2</v>
      </c>
      <c r="AD811" s="8" t="s">
        <v>109</v>
      </c>
      <c r="AE811" s="11">
        <v>51990</v>
      </c>
      <c r="AF811" s="11">
        <f t="shared" si="82"/>
        <v>51990</v>
      </c>
      <c r="AG811" s="12" t="s">
        <v>34</v>
      </c>
      <c r="AH811" s="8" t="s">
        <v>35</v>
      </c>
    </row>
    <row r="812" spans="1:34">
      <c r="A812" s="8" t="s">
        <v>1142</v>
      </c>
      <c r="B812" s="16" t="s">
        <v>1029</v>
      </c>
      <c r="C812" s="8" t="s">
        <v>1030</v>
      </c>
      <c r="D812" s="8" t="s">
        <v>1030</v>
      </c>
      <c r="E812" s="8" t="str">
        <f t="shared" si="80"/>
        <v>VERDE</v>
      </c>
      <c r="H812" s="8" t="str">
        <f>VLOOKUP(A812,[1]BBDD!$B$1:$J$3274,9,FALSE)</f>
        <v>H</v>
      </c>
      <c r="I812" s="8" t="s">
        <v>2863</v>
      </c>
      <c r="J812" s="8" t="s">
        <v>1124</v>
      </c>
      <c r="L812" s="8" t="s">
        <v>1125</v>
      </c>
      <c r="N812" s="8" t="s">
        <v>92</v>
      </c>
      <c r="O812" s="8" t="s">
        <v>92</v>
      </c>
      <c r="P812" s="18" t="str">
        <f t="shared" si="83"/>
        <v>105</v>
      </c>
      <c r="Q812" s="8" t="s">
        <v>45</v>
      </c>
      <c r="R812" s="8">
        <v>0</v>
      </c>
      <c r="S812" s="8">
        <v>4</v>
      </c>
      <c r="T812" s="8">
        <f t="shared" si="78"/>
        <v>4</v>
      </c>
      <c r="U812" s="8">
        <v>1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180</v>
      </c>
      <c r="AB812" s="9">
        <f t="shared" si="79"/>
        <v>0.16666666666666669</v>
      </c>
      <c r="AC812" s="10">
        <f t="shared" si="81"/>
        <v>23.999999999999996</v>
      </c>
      <c r="AD812" s="8" t="s">
        <v>109</v>
      </c>
      <c r="AE812" s="11">
        <v>51990</v>
      </c>
      <c r="AF812" s="11">
        <f t="shared" si="82"/>
        <v>207960</v>
      </c>
      <c r="AG812" s="12" t="s">
        <v>64</v>
      </c>
      <c r="AH812" s="8" t="s">
        <v>35</v>
      </c>
    </row>
    <row r="813" spans="1:34">
      <c r="A813" s="8" t="s">
        <v>1143</v>
      </c>
      <c r="B813" s="16" t="s">
        <v>1029</v>
      </c>
      <c r="C813" s="8" t="s">
        <v>1030</v>
      </c>
      <c r="D813" s="8" t="s">
        <v>1030</v>
      </c>
      <c r="E813" s="8" t="str">
        <f t="shared" si="80"/>
        <v>VERDE</v>
      </c>
      <c r="H813" s="8" t="str">
        <f>VLOOKUP(A813,[1]BBDD!$B$1:$J$3274,9,FALSE)</f>
        <v>H</v>
      </c>
      <c r="I813" s="8" t="s">
        <v>2863</v>
      </c>
      <c r="J813" s="8" t="s">
        <v>1124</v>
      </c>
      <c r="L813" s="8" t="s">
        <v>1125</v>
      </c>
      <c r="N813" s="8" t="s">
        <v>92</v>
      </c>
      <c r="O813" s="8" t="s">
        <v>92</v>
      </c>
      <c r="P813" s="18" t="str">
        <f t="shared" si="83"/>
        <v>110</v>
      </c>
      <c r="Q813" s="8" t="s">
        <v>45</v>
      </c>
      <c r="R813" s="8">
        <v>0</v>
      </c>
      <c r="S813" s="8">
        <v>7</v>
      </c>
      <c r="T813" s="8">
        <f t="shared" si="78"/>
        <v>7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1</v>
      </c>
      <c r="AA813" s="8">
        <v>180</v>
      </c>
      <c r="AB813" s="9">
        <f t="shared" si="79"/>
        <v>0.16666666666666669</v>
      </c>
      <c r="AC813" s="10">
        <f t="shared" si="81"/>
        <v>41.999999999999993</v>
      </c>
      <c r="AD813" s="8" t="s">
        <v>109</v>
      </c>
      <c r="AE813" s="11">
        <v>51990</v>
      </c>
      <c r="AF813" s="11">
        <f t="shared" si="82"/>
        <v>363930</v>
      </c>
      <c r="AG813" s="12" t="s">
        <v>73</v>
      </c>
      <c r="AH813" s="8" t="s">
        <v>35</v>
      </c>
    </row>
    <row r="814" spans="1:34">
      <c r="A814" s="8" t="s">
        <v>1144</v>
      </c>
      <c r="B814" s="16" t="s">
        <v>1029</v>
      </c>
      <c r="C814" s="8" t="s">
        <v>1030</v>
      </c>
      <c r="D814" s="8" t="s">
        <v>1030</v>
      </c>
      <c r="E814" s="8" t="str">
        <f t="shared" si="80"/>
        <v>VERDE</v>
      </c>
      <c r="H814" s="8" t="str">
        <f>VLOOKUP(A814,[1]BBDD!$B$1:$J$3274,9,FALSE)</f>
        <v>H</v>
      </c>
      <c r="I814" s="8" t="s">
        <v>2863</v>
      </c>
      <c r="J814" s="8" t="s">
        <v>1124</v>
      </c>
      <c r="L814" s="8" t="s">
        <v>1125</v>
      </c>
      <c r="N814" s="8" t="s">
        <v>92</v>
      </c>
      <c r="O814" s="8" t="s">
        <v>92</v>
      </c>
      <c r="P814" s="18" t="str">
        <f t="shared" si="83"/>
        <v>115</v>
      </c>
      <c r="Q814" s="8" t="s">
        <v>45</v>
      </c>
      <c r="R814" s="8">
        <v>0</v>
      </c>
      <c r="S814" s="8">
        <v>5</v>
      </c>
      <c r="T814" s="8">
        <f t="shared" si="78"/>
        <v>5</v>
      </c>
      <c r="U814" s="8">
        <v>0</v>
      </c>
      <c r="V814" s="8">
        <v>1</v>
      </c>
      <c r="W814" s="8">
        <v>0</v>
      </c>
      <c r="X814" s="8">
        <v>0</v>
      </c>
      <c r="Y814" s="8">
        <v>0</v>
      </c>
      <c r="Z814" s="8">
        <v>0</v>
      </c>
      <c r="AA814" s="8">
        <v>180</v>
      </c>
      <c r="AB814" s="9">
        <f t="shared" si="79"/>
        <v>0.16666666666666669</v>
      </c>
      <c r="AC814" s="10">
        <f t="shared" si="81"/>
        <v>29.999999999999996</v>
      </c>
      <c r="AD814" s="8" t="s">
        <v>109</v>
      </c>
      <c r="AE814" s="11">
        <v>51990</v>
      </c>
      <c r="AF814" s="11">
        <f t="shared" si="82"/>
        <v>259950</v>
      </c>
      <c r="AG814" s="12" t="s">
        <v>73</v>
      </c>
      <c r="AH814" s="8" t="s">
        <v>35</v>
      </c>
    </row>
    <row r="815" spans="1:34">
      <c r="A815" s="8" t="s">
        <v>1145</v>
      </c>
      <c r="B815" s="16" t="s">
        <v>1029</v>
      </c>
      <c r="C815" s="8" t="s">
        <v>1030</v>
      </c>
      <c r="D815" s="8" t="s">
        <v>1030</v>
      </c>
      <c r="E815" s="8" t="str">
        <f t="shared" si="80"/>
        <v>VERDE</v>
      </c>
      <c r="H815" s="8" t="str">
        <f>VLOOKUP(A815,[1]BBDD!$B$1:$J$3274,9,FALSE)</f>
        <v>H</v>
      </c>
      <c r="I815" s="8" t="s">
        <v>2863</v>
      </c>
      <c r="J815" s="8" t="s">
        <v>1124</v>
      </c>
      <c r="L815" s="8" t="s">
        <v>1125</v>
      </c>
      <c r="N815" s="8" t="s">
        <v>92</v>
      </c>
      <c r="O815" s="8" t="s">
        <v>92</v>
      </c>
      <c r="P815" s="18" t="str">
        <f t="shared" si="83"/>
        <v>120</v>
      </c>
      <c r="Q815" s="8" t="s">
        <v>45</v>
      </c>
      <c r="R815" s="8">
        <v>0</v>
      </c>
      <c r="S815" s="8">
        <v>7</v>
      </c>
      <c r="T815" s="8">
        <f t="shared" si="78"/>
        <v>7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180</v>
      </c>
      <c r="AB815" s="9">
        <f t="shared" si="79"/>
        <v>0</v>
      </c>
      <c r="AC815" s="10" t="str">
        <f t="shared" si="81"/>
        <v>sin venta</v>
      </c>
      <c r="AD815" s="8" t="s">
        <v>109</v>
      </c>
      <c r="AE815" s="11">
        <v>51990</v>
      </c>
      <c r="AF815" s="11">
        <f t="shared" si="82"/>
        <v>363930</v>
      </c>
      <c r="AG815" s="12" t="s">
        <v>73</v>
      </c>
      <c r="AH815" s="8" t="s">
        <v>35</v>
      </c>
    </row>
    <row r="816" spans="1:34">
      <c r="A816" s="8" t="s">
        <v>1146</v>
      </c>
      <c r="B816" s="16" t="s">
        <v>1029</v>
      </c>
      <c r="C816" s="8" t="s">
        <v>1030</v>
      </c>
      <c r="D816" s="8" t="s">
        <v>1030</v>
      </c>
      <c r="E816" s="8" t="str">
        <f t="shared" si="80"/>
        <v>VERDE</v>
      </c>
      <c r="H816" s="8" t="str">
        <f>VLOOKUP(A816,[1]BBDD!$B$1:$J$3274,9,FALSE)</f>
        <v>H</v>
      </c>
      <c r="I816" s="8" t="s">
        <v>2863</v>
      </c>
      <c r="J816" s="8" t="s">
        <v>1124</v>
      </c>
      <c r="L816" s="8" t="s">
        <v>1125</v>
      </c>
      <c r="N816" s="8" t="s">
        <v>92</v>
      </c>
      <c r="O816" s="8" t="s">
        <v>92</v>
      </c>
      <c r="P816" s="18" t="str">
        <f t="shared" si="83"/>
        <v>85</v>
      </c>
      <c r="Q816" s="8" t="s">
        <v>45</v>
      </c>
      <c r="R816" s="8">
        <v>0</v>
      </c>
      <c r="S816" s="8">
        <v>7</v>
      </c>
      <c r="T816" s="8">
        <f t="shared" si="78"/>
        <v>7</v>
      </c>
      <c r="U816" s="8">
        <v>0</v>
      </c>
      <c r="V816" s="8">
        <v>0</v>
      </c>
      <c r="W816" s="8">
        <v>0</v>
      </c>
      <c r="X816" s="8">
        <v>1</v>
      </c>
      <c r="Y816" s="8">
        <v>0</v>
      </c>
      <c r="Z816" s="8">
        <v>0</v>
      </c>
      <c r="AA816" s="8">
        <v>180</v>
      </c>
      <c r="AB816" s="9">
        <f t="shared" si="79"/>
        <v>0.16666666666666669</v>
      </c>
      <c r="AC816" s="10">
        <f t="shared" si="81"/>
        <v>41.999999999999993</v>
      </c>
      <c r="AD816" s="8" t="s">
        <v>109</v>
      </c>
      <c r="AE816" s="11">
        <v>51990</v>
      </c>
      <c r="AF816" s="11">
        <f t="shared" si="82"/>
        <v>363930</v>
      </c>
      <c r="AG816" s="12" t="s">
        <v>73</v>
      </c>
      <c r="AH816" s="8" t="s">
        <v>35</v>
      </c>
    </row>
    <row r="817" spans="1:34">
      <c r="A817" s="8" t="s">
        <v>1147</v>
      </c>
      <c r="B817" s="16" t="s">
        <v>1029</v>
      </c>
      <c r="C817" s="8" t="s">
        <v>1030</v>
      </c>
      <c r="D817" s="8" t="s">
        <v>1030</v>
      </c>
      <c r="E817" s="8" t="str">
        <f t="shared" si="80"/>
        <v>VERDE</v>
      </c>
      <c r="H817" s="8" t="str">
        <f>VLOOKUP(A817,[1]BBDD!$B$1:$J$3274,9,FALSE)</f>
        <v>H</v>
      </c>
      <c r="I817" s="8" t="s">
        <v>2863</v>
      </c>
      <c r="J817" s="8" t="s">
        <v>1124</v>
      </c>
      <c r="L817" s="8" t="s">
        <v>1125</v>
      </c>
      <c r="N817" s="8" t="s">
        <v>92</v>
      </c>
      <c r="O817" s="8" t="s">
        <v>92</v>
      </c>
      <c r="P817" s="18" t="str">
        <f t="shared" si="83"/>
        <v>90</v>
      </c>
      <c r="Q817" s="8" t="s">
        <v>45</v>
      </c>
      <c r="R817" s="8">
        <v>0</v>
      </c>
      <c r="S817" s="8">
        <v>5</v>
      </c>
      <c r="T817" s="8">
        <f t="shared" ref="T817:T880" si="84">SUM(R817:S817)</f>
        <v>5</v>
      </c>
      <c r="U817" s="8">
        <v>1</v>
      </c>
      <c r="V817" s="8">
        <v>0</v>
      </c>
      <c r="W817" s="8">
        <v>1</v>
      </c>
      <c r="X817" s="8">
        <v>1</v>
      </c>
      <c r="Y817" s="8">
        <v>1</v>
      </c>
      <c r="Z817" s="8">
        <v>0</v>
      </c>
      <c r="AA817" s="8">
        <v>180</v>
      </c>
      <c r="AB817" s="9">
        <f t="shared" ref="AB817:AB880" si="85">SUM(U817:Z817)/AA817*30</f>
        <v>0.66666666666666674</v>
      </c>
      <c r="AC817" s="10">
        <f t="shared" si="81"/>
        <v>7.4999999999999991</v>
      </c>
      <c r="AD817" s="8" t="s">
        <v>109</v>
      </c>
      <c r="AE817" s="11">
        <v>51990</v>
      </c>
      <c r="AF817" s="11">
        <f t="shared" si="82"/>
        <v>259950</v>
      </c>
      <c r="AG817" s="12" t="s">
        <v>51</v>
      </c>
      <c r="AH817" s="8" t="s">
        <v>35</v>
      </c>
    </row>
    <row r="818" spans="1:34">
      <c r="A818" s="8" t="s">
        <v>1148</v>
      </c>
      <c r="B818" s="16" t="s">
        <v>1029</v>
      </c>
      <c r="C818" s="8" t="s">
        <v>1030</v>
      </c>
      <c r="D818" s="8" t="s">
        <v>1030</v>
      </c>
      <c r="E818" s="8" t="str">
        <f t="shared" si="80"/>
        <v>VERDE</v>
      </c>
      <c r="H818" s="8" t="str">
        <f>VLOOKUP(A818,[1]BBDD!$B$1:$J$3274,9,FALSE)</f>
        <v>H</v>
      </c>
      <c r="I818" s="8" t="s">
        <v>2863</v>
      </c>
      <c r="J818" s="8" t="s">
        <v>1124</v>
      </c>
      <c r="L818" s="8" t="s">
        <v>1125</v>
      </c>
      <c r="N818" s="8" t="s">
        <v>92</v>
      </c>
      <c r="O818" s="8" t="s">
        <v>92</v>
      </c>
      <c r="P818" s="18" t="str">
        <f t="shared" si="83"/>
        <v>95</v>
      </c>
      <c r="Q818" s="8" t="s">
        <v>45</v>
      </c>
      <c r="R818" s="8">
        <v>0</v>
      </c>
      <c r="S818" s="8">
        <v>1</v>
      </c>
      <c r="T818" s="8">
        <f t="shared" si="84"/>
        <v>1</v>
      </c>
      <c r="U818" s="8">
        <v>0</v>
      </c>
      <c r="V818" s="8">
        <v>2</v>
      </c>
      <c r="W818" s="8">
        <v>0</v>
      </c>
      <c r="X818" s="8">
        <v>1</v>
      </c>
      <c r="Y818" s="8">
        <v>0</v>
      </c>
      <c r="Z818" s="8">
        <v>1</v>
      </c>
      <c r="AA818" s="8">
        <v>180</v>
      </c>
      <c r="AB818" s="9">
        <f t="shared" si="85"/>
        <v>0.66666666666666674</v>
      </c>
      <c r="AC818" s="10">
        <f t="shared" si="81"/>
        <v>1.4999999999999998</v>
      </c>
      <c r="AD818" s="8" t="s">
        <v>109</v>
      </c>
      <c r="AE818" s="11">
        <v>51990</v>
      </c>
      <c r="AF818" s="11">
        <f t="shared" si="82"/>
        <v>51990</v>
      </c>
      <c r="AG818" s="12" t="s">
        <v>34</v>
      </c>
      <c r="AH818" s="8" t="s">
        <v>35</v>
      </c>
    </row>
    <row r="819" spans="1:34">
      <c r="A819" s="8" t="s">
        <v>1149</v>
      </c>
      <c r="B819" s="16" t="s">
        <v>2859</v>
      </c>
      <c r="C819" s="8" t="s">
        <v>1030</v>
      </c>
      <c r="D819" s="8" t="s">
        <v>1030</v>
      </c>
      <c r="E819" s="8" t="str">
        <f t="shared" si="80"/>
        <v>NEGRO</v>
      </c>
      <c r="H819" s="8">
        <f>VLOOKUP(A819,[1]BBDD!$B$1:$J$3274,9,FALSE)</f>
        <v>0</v>
      </c>
      <c r="I819" s="8">
        <v>0</v>
      </c>
      <c r="J819" s="8" t="s">
        <v>1150</v>
      </c>
      <c r="L819" s="8" t="s">
        <v>479</v>
      </c>
      <c r="N819" s="8" t="s">
        <v>44</v>
      </c>
      <c r="O819" s="8" t="s">
        <v>44</v>
      </c>
      <c r="Q819" s="8" t="s">
        <v>32</v>
      </c>
      <c r="R819" s="8">
        <v>1</v>
      </c>
      <c r="S819" s="8">
        <v>2</v>
      </c>
      <c r="T819" s="8">
        <f t="shared" si="84"/>
        <v>3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180</v>
      </c>
      <c r="AB819" s="9">
        <f t="shared" si="85"/>
        <v>0</v>
      </c>
      <c r="AC819" s="10" t="str">
        <f t="shared" si="81"/>
        <v>sin venta</v>
      </c>
      <c r="AD819" s="8" t="s">
        <v>33</v>
      </c>
      <c r="AE819" s="11">
        <v>39990</v>
      </c>
      <c r="AF819" s="11">
        <f t="shared" si="82"/>
        <v>119970</v>
      </c>
      <c r="AG819" s="12" t="s">
        <v>73</v>
      </c>
      <c r="AH819" s="8" t="s">
        <v>35</v>
      </c>
    </row>
    <row r="820" spans="1:34">
      <c r="A820" s="8" t="s">
        <v>1151</v>
      </c>
      <c r="B820" s="16" t="s">
        <v>2859</v>
      </c>
      <c r="C820" s="8" t="s">
        <v>1030</v>
      </c>
      <c r="D820" s="8" t="s">
        <v>1030</v>
      </c>
      <c r="E820" s="8" t="str">
        <f t="shared" si="80"/>
        <v>SUELA</v>
      </c>
      <c r="H820" s="8">
        <f>VLOOKUP(A820,[1]BBDD!$B$1:$J$3274,9,FALSE)</f>
        <v>0</v>
      </c>
      <c r="I820" s="8">
        <v>0</v>
      </c>
      <c r="J820" s="8" t="s">
        <v>1150</v>
      </c>
      <c r="L820" s="8" t="s">
        <v>479</v>
      </c>
      <c r="N820" s="8" t="s">
        <v>90</v>
      </c>
      <c r="O820" s="8" t="s">
        <v>90</v>
      </c>
      <c r="Q820" s="8" t="s">
        <v>32</v>
      </c>
      <c r="R820" s="8">
        <v>4</v>
      </c>
      <c r="S820" s="8">
        <v>2</v>
      </c>
      <c r="T820" s="8">
        <f t="shared" si="84"/>
        <v>6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180</v>
      </c>
      <c r="AB820" s="9">
        <f t="shared" si="85"/>
        <v>0</v>
      </c>
      <c r="AC820" s="10" t="str">
        <f t="shared" si="81"/>
        <v>sin venta</v>
      </c>
      <c r="AD820" s="8" t="s">
        <v>33</v>
      </c>
      <c r="AE820" s="11">
        <v>39990</v>
      </c>
      <c r="AF820" s="11">
        <f t="shared" si="82"/>
        <v>239940</v>
      </c>
      <c r="AG820" s="12" t="s">
        <v>73</v>
      </c>
      <c r="AH820" s="8" t="s">
        <v>35</v>
      </c>
    </row>
    <row r="821" spans="1:34">
      <c r="A821" s="8" t="s">
        <v>1152</v>
      </c>
      <c r="B821" s="16" t="s">
        <v>2859</v>
      </c>
      <c r="C821" s="8" t="s">
        <v>1030</v>
      </c>
      <c r="D821" s="8" t="s">
        <v>1030</v>
      </c>
      <c r="E821" s="8" t="str">
        <f t="shared" si="80"/>
        <v>NEGRO</v>
      </c>
      <c r="H821" s="8">
        <f>VLOOKUP(A821,[1]BBDD!$B$1:$J$3274,9,FALSE)</f>
        <v>0</v>
      </c>
      <c r="I821" s="8">
        <v>0</v>
      </c>
      <c r="J821" s="8" t="s">
        <v>1153</v>
      </c>
      <c r="L821" s="8" t="s">
        <v>1154</v>
      </c>
      <c r="N821" s="8" t="s">
        <v>44</v>
      </c>
      <c r="O821" s="8" t="s">
        <v>44</v>
      </c>
      <c r="Q821" s="8" t="s">
        <v>32</v>
      </c>
      <c r="R821" s="8">
        <v>3</v>
      </c>
      <c r="S821" s="8">
        <v>2</v>
      </c>
      <c r="T821" s="8">
        <f t="shared" si="84"/>
        <v>5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180</v>
      </c>
      <c r="AB821" s="9">
        <f t="shared" si="85"/>
        <v>0</v>
      </c>
      <c r="AC821" s="10" t="str">
        <f t="shared" si="81"/>
        <v>sin venta</v>
      </c>
      <c r="AD821" s="8" t="s">
        <v>33</v>
      </c>
      <c r="AE821" s="11">
        <v>29990</v>
      </c>
      <c r="AF821" s="11">
        <f t="shared" si="82"/>
        <v>149950</v>
      </c>
      <c r="AG821" s="12" t="s">
        <v>73</v>
      </c>
      <c r="AH821" s="8" t="s">
        <v>35</v>
      </c>
    </row>
    <row r="822" spans="1:34">
      <c r="A822" s="8" t="s">
        <v>1155</v>
      </c>
      <c r="B822" s="16" t="s">
        <v>2859</v>
      </c>
      <c r="C822" s="8" t="s">
        <v>1030</v>
      </c>
      <c r="D822" s="8" t="s">
        <v>1030</v>
      </c>
      <c r="E822" s="8" t="str">
        <f t="shared" si="80"/>
        <v>SUELA</v>
      </c>
      <c r="H822" s="8">
        <f>VLOOKUP(A822,[1]BBDD!$B$1:$J$3274,9,FALSE)</f>
        <v>0</v>
      </c>
      <c r="I822" s="8">
        <v>0</v>
      </c>
      <c r="J822" s="8" t="s">
        <v>1153</v>
      </c>
      <c r="L822" s="8" t="s">
        <v>1154</v>
      </c>
      <c r="N822" s="8" t="s">
        <v>90</v>
      </c>
      <c r="O822" s="8" t="s">
        <v>90</v>
      </c>
      <c r="Q822" s="8" t="s">
        <v>32</v>
      </c>
      <c r="R822" s="8">
        <v>3</v>
      </c>
      <c r="S822" s="8">
        <v>2</v>
      </c>
      <c r="T822" s="8">
        <f t="shared" si="84"/>
        <v>5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180</v>
      </c>
      <c r="AB822" s="9">
        <f t="shared" si="85"/>
        <v>0</v>
      </c>
      <c r="AC822" s="10" t="str">
        <f t="shared" si="81"/>
        <v>sin venta</v>
      </c>
      <c r="AD822" s="8" t="s">
        <v>33</v>
      </c>
      <c r="AE822" s="11">
        <v>29990</v>
      </c>
      <c r="AF822" s="11">
        <f t="shared" si="82"/>
        <v>149950</v>
      </c>
      <c r="AG822" s="12" t="s">
        <v>73</v>
      </c>
      <c r="AH822" s="8" t="s">
        <v>35</v>
      </c>
    </row>
    <row r="823" spans="1:34">
      <c r="A823" s="8" t="s">
        <v>1156</v>
      </c>
      <c r="B823" s="16" t="s">
        <v>1029</v>
      </c>
      <c r="C823" s="8" t="s">
        <v>1030</v>
      </c>
      <c r="D823" s="8" t="s">
        <v>1030</v>
      </c>
      <c r="E823" s="8" t="str">
        <f t="shared" si="80"/>
        <v>AZUL/MALBEC</v>
      </c>
      <c r="H823" s="8" t="str">
        <f>VLOOKUP(A823,[1]BBDD!$B$1:$J$3274,9,FALSE)</f>
        <v>H</v>
      </c>
      <c r="I823" s="8" t="s">
        <v>2863</v>
      </c>
      <c r="J823" s="8" t="s">
        <v>1157</v>
      </c>
      <c r="L823" s="8" t="s">
        <v>61</v>
      </c>
      <c r="N823" s="8" t="s">
        <v>1158</v>
      </c>
      <c r="O823" s="8" t="s">
        <v>1158</v>
      </c>
      <c r="P823" s="18" t="str">
        <f t="shared" si="83"/>
        <v>100</v>
      </c>
      <c r="Q823" s="8" t="s">
        <v>32</v>
      </c>
      <c r="R823" s="8">
        <v>0</v>
      </c>
      <c r="S823" s="8">
        <v>5</v>
      </c>
      <c r="T823" s="8">
        <f t="shared" si="84"/>
        <v>5</v>
      </c>
      <c r="U823" s="8">
        <v>1</v>
      </c>
      <c r="V823" s="8">
        <v>0</v>
      </c>
      <c r="W823" s="8">
        <v>1</v>
      </c>
      <c r="X823" s="8">
        <v>2</v>
      </c>
      <c r="Y823" s="8">
        <v>0</v>
      </c>
      <c r="Z823" s="8">
        <v>0</v>
      </c>
      <c r="AA823" s="8">
        <v>180</v>
      </c>
      <c r="AB823" s="9">
        <f t="shared" si="85"/>
        <v>0.66666666666666674</v>
      </c>
      <c r="AC823" s="10">
        <f t="shared" si="81"/>
        <v>7.4999999999999991</v>
      </c>
      <c r="AD823" s="8" t="s">
        <v>33</v>
      </c>
      <c r="AE823" s="11">
        <v>51990</v>
      </c>
      <c r="AF823" s="11">
        <f t="shared" si="82"/>
        <v>259950</v>
      </c>
      <c r="AG823" s="12" t="s">
        <v>51</v>
      </c>
      <c r="AH823" s="8" t="s">
        <v>35</v>
      </c>
    </row>
    <row r="824" spans="1:34">
      <c r="A824" s="8" t="s">
        <v>1159</v>
      </c>
      <c r="B824" s="16" t="s">
        <v>1029</v>
      </c>
      <c r="C824" s="8" t="s">
        <v>1030</v>
      </c>
      <c r="D824" s="8" t="s">
        <v>1030</v>
      </c>
      <c r="E824" s="8" t="str">
        <f t="shared" si="80"/>
        <v>AZUL/MALBEC</v>
      </c>
      <c r="H824" s="8" t="str">
        <f>VLOOKUP(A824,[1]BBDD!$B$1:$J$3274,9,FALSE)</f>
        <v>H</v>
      </c>
      <c r="I824" s="8" t="s">
        <v>2863</v>
      </c>
      <c r="J824" s="8" t="s">
        <v>1157</v>
      </c>
      <c r="L824" s="8" t="s">
        <v>61</v>
      </c>
      <c r="N824" s="8" t="s">
        <v>1158</v>
      </c>
      <c r="O824" s="8" t="s">
        <v>1158</v>
      </c>
      <c r="P824" s="18" t="str">
        <f t="shared" si="83"/>
        <v>105</v>
      </c>
      <c r="Q824" s="8" t="s">
        <v>32</v>
      </c>
      <c r="R824" s="8">
        <v>0</v>
      </c>
      <c r="S824" s="8">
        <v>0</v>
      </c>
      <c r="T824" s="8">
        <f t="shared" si="84"/>
        <v>0</v>
      </c>
      <c r="U824" s="8">
        <v>1</v>
      </c>
      <c r="V824" s="8">
        <v>0</v>
      </c>
      <c r="W824" s="8">
        <v>1</v>
      </c>
      <c r="X824" s="8">
        <v>1</v>
      </c>
      <c r="Y824" s="8">
        <v>0</v>
      </c>
      <c r="Z824" s="8">
        <v>0</v>
      </c>
      <c r="AA824" s="8">
        <v>180</v>
      </c>
      <c r="AB824" s="9">
        <f t="shared" si="85"/>
        <v>0.5</v>
      </c>
      <c r="AC824" s="10">
        <f t="shared" si="81"/>
        <v>0</v>
      </c>
      <c r="AD824" s="8" t="s">
        <v>33</v>
      </c>
      <c r="AE824" s="11">
        <v>51990</v>
      </c>
      <c r="AF824" s="11">
        <f t="shared" si="82"/>
        <v>0</v>
      </c>
      <c r="AG824" s="12" t="s">
        <v>34</v>
      </c>
      <c r="AH824" s="8" t="s">
        <v>35</v>
      </c>
    </row>
    <row r="825" spans="1:34">
      <c r="A825" s="8" t="s">
        <v>1160</v>
      </c>
      <c r="B825" s="16" t="s">
        <v>1029</v>
      </c>
      <c r="C825" s="8" t="s">
        <v>1030</v>
      </c>
      <c r="D825" s="8" t="s">
        <v>1030</v>
      </c>
      <c r="E825" s="8" t="str">
        <f t="shared" si="80"/>
        <v>AZUL/MALBEC</v>
      </c>
      <c r="H825" s="8" t="str">
        <f>VLOOKUP(A825,[1]BBDD!$B$1:$J$3274,9,FALSE)</f>
        <v>H</v>
      </c>
      <c r="I825" s="8" t="s">
        <v>2863</v>
      </c>
      <c r="J825" s="8" t="s">
        <v>1157</v>
      </c>
      <c r="L825" s="8" t="s">
        <v>61</v>
      </c>
      <c r="N825" s="8" t="s">
        <v>1158</v>
      </c>
      <c r="O825" s="8" t="s">
        <v>1158</v>
      </c>
      <c r="P825" s="18" t="str">
        <f t="shared" si="83"/>
        <v>110</v>
      </c>
      <c r="Q825" s="8" t="s">
        <v>32</v>
      </c>
      <c r="R825" s="8">
        <v>0</v>
      </c>
      <c r="S825" s="8">
        <v>1</v>
      </c>
      <c r="T825" s="8">
        <f t="shared" si="84"/>
        <v>1</v>
      </c>
      <c r="U825" s="8">
        <v>0</v>
      </c>
      <c r="V825" s="8">
        <v>1</v>
      </c>
      <c r="W825" s="8">
        <v>2</v>
      </c>
      <c r="X825" s="8">
        <v>0</v>
      </c>
      <c r="Y825" s="8">
        <v>0</v>
      </c>
      <c r="Z825" s="8">
        <v>0</v>
      </c>
      <c r="AA825" s="8">
        <v>180</v>
      </c>
      <c r="AB825" s="9">
        <f t="shared" si="85"/>
        <v>0.5</v>
      </c>
      <c r="AC825" s="10">
        <f t="shared" si="81"/>
        <v>2</v>
      </c>
      <c r="AD825" s="8" t="s">
        <v>33</v>
      </c>
      <c r="AE825" s="11">
        <v>51990</v>
      </c>
      <c r="AF825" s="11">
        <f t="shared" si="82"/>
        <v>51990</v>
      </c>
      <c r="AG825" s="12" t="s">
        <v>34</v>
      </c>
      <c r="AH825" s="8" t="s">
        <v>35</v>
      </c>
    </row>
    <row r="826" spans="1:34">
      <c r="A826" s="8" t="s">
        <v>1161</v>
      </c>
      <c r="B826" s="16" t="s">
        <v>1029</v>
      </c>
      <c r="C826" s="8" t="s">
        <v>1030</v>
      </c>
      <c r="D826" s="8" t="s">
        <v>1030</v>
      </c>
      <c r="E826" s="8" t="str">
        <f t="shared" si="80"/>
        <v>AZUL/MALBEC</v>
      </c>
      <c r="H826" s="8" t="str">
        <f>VLOOKUP(A826,[1]BBDD!$B$1:$J$3274,9,FALSE)</f>
        <v>H</v>
      </c>
      <c r="I826" s="8" t="s">
        <v>2863</v>
      </c>
      <c r="J826" s="8" t="s">
        <v>1157</v>
      </c>
      <c r="L826" s="8" t="s">
        <v>61</v>
      </c>
      <c r="N826" s="8" t="s">
        <v>1158</v>
      </c>
      <c r="O826" s="8" t="s">
        <v>1158</v>
      </c>
      <c r="P826" s="18" t="str">
        <f t="shared" si="83"/>
        <v>90</v>
      </c>
      <c r="Q826" s="8" t="s">
        <v>32</v>
      </c>
      <c r="R826" s="8">
        <v>0</v>
      </c>
      <c r="S826" s="8">
        <v>3</v>
      </c>
      <c r="T826" s="8">
        <f t="shared" si="84"/>
        <v>3</v>
      </c>
      <c r="U826" s="8">
        <v>2</v>
      </c>
      <c r="V826" s="8">
        <v>0</v>
      </c>
      <c r="W826" s="8">
        <v>1</v>
      </c>
      <c r="X826" s="8">
        <v>1</v>
      </c>
      <c r="Y826" s="8">
        <v>0</v>
      </c>
      <c r="Z826" s="8">
        <v>0</v>
      </c>
      <c r="AA826" s="8">
        <v>180</v>
      </c>
      <c r="AB826" s="9">
        <f t="shared" si="85"/>
        <v>0.66666666666666674</v>
      </c>
      <c r="AC826" s="10">
        <f t="shared" si="81"/>
        <v>4.4999999999999991</v>
      </c>
      <c r="AD826" s="8" t="s">
        <v>33</v>
      </c>
      <c r="AE826" s="11">
        <v>51990</v>
      </c>
      <c r="AF826" s="11">
        <f t="shared" si="82"/>
        <v>155970</v>
      </c>
      <c r="AG826" s="12" t="s">
        <v>34</v>
      </c>
      <c r="AH826" s="8" t="s">
        <v>35</v>
      </c>
    </row>
    <row r="827" spans="1:34">
      <c r="A827" s="8" t="s">
        <v>1162</v>
      </c>
      <c r="B827" s="16" t="s">
        <v>1029</v>
      </c>
      <c r="C827" s="8" t="s">
        <v>1030</v>
      </c>
      <c r="D827" s="8" t="s">
        <v>1030</v>
      </c>
      <c r="E827" s="8" t="str">
        <f t="shared" si="80"/>
        <v>AZUL/MALBEC</v>
      </c>
      <c r="H827" s="8" t="str">
        <f>VLOOKUP(A827,[1]BBDD!$B$1:$J$3274,9,FALSE)</f>
        <v>H</v>
      </c>
      <c r="I827" s="8" t="s">
        <v>2863</v>
      </c>
      <c r="J827" s="8" t="s">
        <v>1157</v>
      </c>
      <c r="L827" s="8" t="s">
        <v>61</v>
      </c>
      <c r="N827" s="8" t="s">
        <v>1158</v>
      </c>
      <c r="O827" s="8" t="s">
        <v>1158</v>
      </c>
      <c r="P827" s="18" t="str">
        <f t="shared" si="83"/>
        <v>95</v>
      </c>
      <c r="Q827" s="8" t="s">
        <v>32</v>
      </c>
      <c r="R827" s="8">
        <v>1</v>
      </c>
      <c r="S827" s="8">
        <v>3</v>
      </c>
      <c r="T827" s="8">
        <f t="shared" si="84"/>
        <v>4</v>
      </c>
      <c r="U827" s="8">
        <v>1</v>
      </c>
      <c r="V827" s="8">
        <v>2</v>
      </c>
      <c r="W827" s="8">
        <v>3</v>
      </c>
      <c r="X827" s="8">
        <v>1</v>
      </c>
      <c r="Y827" s="8">
        <v>0</v>
      </c>
      <c r="Z827" s="8">
        <v>0</v>
      </c>
      <c r="AA827" s="8">
        <v>180</v>
      </c>
      <c r="AB827" s="9">
        <f t="shared" si="85"/>
        <v>1.1666666666666667</v>
      </c>
      <c r="AC827" s="10">
        <f t="shared" si="81"/>
        <v>3.4285714285714284</v>
      </c>
      <c r="AD827" s="8" t="s">
        <v>33</v>
      </c>
      <c r="AE827" s="11">
        <v>51990</v>
      </c>
      <c r="AF827" s="11">
        <f t="shared" si="82"/>
        <v>207960</v>
      </c>
      <c r="AG827" s="12" t="s">
        <v>34</v>
      </c>
      <c r="AH827" s="8" t="s">
        <v>35</v>
      </c>
    </row>
    <row r="828" spans="1:34">
      <c r="A828" s="8" t="s">
        <v>1163</v>
      </c>
      <c r="B828" s="16" t="s">
        <v>1029</v>
      </c>
      <c r="C828" s="8" t="s">
        <v>1030</v>
      </c>
      <c r="D828" s="8" t="s">
        <v>1030</v>
      </c>
      <c r="E828" s="8" t="str">
        <f t="shared" si="80"/>
        <v>AZUL/MALBEC</v>
      </c>
      <c r="H828" s="8" t="str">
        <f>VLOOKUP(A828,[1]BBDD!$B$1:$J$3274,9,FALSE)</f>
        <v>H</v>
      </c>
      <c r="I828" s="8" t="s">
        <v>2863</v>
      </c>
      <c r="J828" s="8" t="s">
        <v>1157</v>
      </c>
      <c r="L828" s="8" t="s">
        <v>61</v>
      </c>
      <c r="N828" s="8" t="s">
        <v>1158</v>
      </c>
      <c r="O828" s="8" t="s">
        <v>1158</v>
      </c>
      <c r="P828" s="18" t="str">
        <f t="shared" si="83"/>
        <v>115</v>
      </c>
      <c r="Q828" s="8" t="s">
        <v>45</v>
      </c>
      <c r="R828" s="8">
        <v>0</v>
      </c>
      <c r="S828" s="8">
        <v>3</v>
      </c>
      <c r="T828" s="8">
        <f t="shared" si="84"/>
        <v>3</v>
      </c>
      <c r="U828" s="8">
        <v>2</v>
      </c>
      <c r="V828" s="8">
        <v>0</v>
      </c>
      <c r="W828" s="8">
        <v>0</v>
      </c>
      <c r="X828" s="8">
        <v>0</v>
      </c>
      <c r="Y828" s="8">
        <v>0</v>
      </c>
      <c r="Z828" s="8">
        <v>1</v>
      </c>
      <c r="AA828" s="8">
        <v>180</v>
      </c>
      <c r="AB828" s="9">
        <f t="shared" si="85"/>
        <v>0.5</v>
      </c>
      <c r="AC828" s="10">
        <f t="shared" si="81"/>
        <v>6</v>
      </c>
      <c r="AD828" s="8" t="s">
        <v>109</v>
      </c>
      <c r="AE828" s="11">
        <v>51990</v>
      </c>
      <c r="AF828" s="11">
        <f t="shared" si="82"/>
        <v>155970</v>
      </c>
      <c r="AG828" s="12" t="s">
        <v>34</v>
      </c>
      <c r="AH828" s="8" t="s">
        <v>35</v>
      </c>
    </row>
    <row r="829" spans="1:34">
      <c r="A829" s="8" t="s">
        <v>1164</v>
      </c>
      <c r="B829" s="16" t="s">
        <v>1029</v>
      </c>
      <c r="C829" s="8" t="s">
        <v>1030</v>
      </c>
      <c r="D829" s="8" t="s">
        <v>1030</v>
      </c>
      <c r="E829" s="8" t="str">
        <f t="shared" si="80"/>
        <v>AZUL/MALBEC</v>
      </c>
      <c r="H829" s="8" t="str">
        <f>VLOOKUP(A829,[1]BBDD!$B$1:$J$3274,9,FALSE)</f>
        <v>H</v>
      </c>
      <c r="I829" s="8" t="s">
        <v>2863</v>
      </c>
      <c r="J829" s="8" t="s">
        <v>1157</v>
      </c>
      <c r="L829" s="8" t="s">
        <v>61</v>
      </c>
      <c r="N829" s="8" t="s">
        <v>1158</v>
      </c>
      <c r="O829" s="8" t="s">
        <v>1158</v>
      </c>
      <c r="P829" s="18" t="str">
        <f t="shared" si="83"/>
        <v>120</v>
      </c>
      <c r="Q829" s="8" t="s">
        <v>45</v>
      </c>
      <c r="R829" s="8">
        <v>0</v>
      </c>
      <c r="S829" s="8">
        <v>6</v>
      </c>
      <c r="T829" s="8">
        <f t="shared" si="84"/>
        <v>6</v>
      </c>
      <c r="U829" s="8">
        <v>0</v>
      </c>
      <c r="V829" s="8">
        <v>1</v>
      </c>
      <c r="W829" s="8">
        <v>0</v>
      </c>
      <c r="X829" s="8">
        <v>0</v>
      </c>
      <c r="Y829" s="8">
        <v>0</v>
      </c>
      <c r="Z829" s="8">
        <v>0</v>
      </c>
      <c r="AA829" s="8">
        <v>180</v>
      </c>
      <c r="AB829" s="9">
        <f t="shared" si="85"/>
        <v>0.16666666666666669</v>
      </c>
      <c r="AC829" s="10">
        <f t="shared" si="81"/>
        <v>35.999999999999993</v>
      </c>
      <c r="AD829" s="8" t="s">
        <v>109</v>
      </c>
      <c r="AE829" s="11">
        <v>51990</v>
      </c>
      <c r="AF829" s="11">
        <f t="shared" si="82"/>
        <v>311940</v>
      </c>
      <c r="AG829" s="12" t="s">
        <v>73</v>
      </c>
      <c r="AH829" s="8" t="s">
        <v>35</v>
      </c>
    </row>
    <row r="830" spans="1:34">
      <c r="A830" s="8" t="s">
        <v>1165</v>
      </c>
      <c r="B830" s="16" t="s">
        <v>1029</v>
      </c>
      <c r="C830" s="8" t="s">
        <v>1030</v>
      </c>
      <c r="D830" s="8" t="s">
        <v>1030</v>
      </c>
      <c r="E830" s="8" t="str">
        <f t="shared" si="80"/>
        <v>AZUL/MALBEC</v>
      </c>
      <c r="H830" s="8" t="str">
        <f>VLOOKUP(A830,[1]BBDD!$B$1:$J$3274,9,FALSE)</f>
        <v>H</v>
      </c>
      <c r="I830" s="8" t="s">
        <v>2863</v>
      </c>
      <c r="J830" s="8" t="s">
        <v>1157</v>
      </c>
      <c r="L830" s="8" t="s">
        <v>61</v>
      </c>
      <c r="N830" s="8" t="s">
        <v>1158</v>
      </c>
      <c r="O830" s="8" t="s">
        <v>1158</v>
      </c>
      <c r="P830" s="18" t="str">
        <f t="shared" si="83"/>
        <v>85</v>
      </c>
      <c r="Q830" s="8" t="s">
        <v>45</v>
      </c>
      <c r="R830" s="8">
        <v>3</v>
      </c>
      <c r="S830" s="8">
        <v>5</v>
      </c>
      <c r="T830" s="8">
        <f t="shared" si="84"/>
        <v>8</v>
      </c>
      <c r="U830" s="8">
        <v>0</v>
      </c>
      <c r="V830" s="8">
        <v>0</v>
      </c>
      <c r="W830" s="8">
        <v>1</v>
      </c>
      <c r="X830" s="8">
        <v>0</v>
      </c>
      <c r="Y830" s="8">
        <v>0</v>
      </c>
      <c r="Z830" s="8">
        <v>0</v>
      </c>
      <c r="AA830" s="8">
        <v>180</v>
      </c>
      <c r="AB830" s="9">
        <f t="shared" si="85"/>
        <v>0.16666666666666669</v>
      </c>
      <c r="AC830" s="10">
        <f t="shared" si="81"/>
        <v>47.999999999999993</v>
      </c>
      <c r="AD830" s="8" t="s">
        <v>109</v>
      </c>
      <c r="AE830" s="11">
        <v>51990</v>
      </c>
      <c r="AF830" s="11">
        <f t="shared" si="82"/>
        <v>415920</v>
      </c>
      <c r="AG830" s="12" t="s">
        <v>73</v>
      </c>
      <c r="AH830" s="8" t="s">
        <v>35</v>
      </c>
    </row>
    <row r="831" spans="1:34">
      <c r="A831" s="8" t="s">
        <v>1166</v>
      </c>
      <c r="B831" s="16" t="s">
        <v>2859</v>
      </c>
      <c r="C831" s="8" t="s">
        <v>1030</v>
      </c>
      <c r="D831" s="8" t="s">
        <v>1030</v>
      </c>
      <c r="E831" s="8" t="str">
        <f t="shared" si="80"/>
        <v>MARRON ROJIZO</v>
      </c>
      <c r="H831" s="8">
        <f>VLOOKUP(A831,[1]BBDD!$B$1:$J$3274,9,FALSE)</f>
        <v>0</v>
      </c>
      <c r="I831" s="8">
        <v>0</v>
      </c>
      <c r="J831" s="8" t="s">
        <v>1167</v>
      </c>
      <c r="L831" s="8" t="s">
        <v>30</v>
      </c>
      <c r="N831" s="8" t="s">
        <v>454</v>
      </c>
      <c r="O831" s="8" t="s">
        <v>454</v>
      </c>
      <c r="P831" s="18" t="str">
        <f t="shared" si="83"/>
        <v>S-M</v>
      </c>
      <c r="Q831" s="8" t="s">
        <v>32</v>
      </c>
      <c r="R831" s="8">
        <v>0</v>
      </c>
      <c r="S831" s="8">
        <v>4</v>
      </c>
      <c r="T831" s="8">
        <f t="shared" si="84"/>
        <v>4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3</v>
      </c>
      <c r="AA831" s="8">
        <v>36</v>
      </c>
      <c r="AB831" s="9">
        <f t="shared" si="85"/>
        <v>2.5</v>
      </c>
      <c r="AC831" s="10">
        <f t="shared" si="81"/>
        <v>1.6</v>
      </c>
      <c r="AD831" s="8" t="s">
        <v>33</v>
      </c>
      <c r="AE831" s="11">
        <v>41990</v>
      </c>
      <c r="AF831" s="11">
        <f t="shared" si="82"/>
        <v>167960</v>
      </c>
      <c r="AG831" s="12" t="s">
        <v>34</v>
      </c>
      <c r="AH831" s="8" t="s">
        <v>35</v>
      </c>
    </row>
    <row r="832" spans="1:34">
      <c r="A832" s="8" t="s">
        <v>1168</v>
      </c>
      <c r="B832" s="16" t="s">
        <v>2859</v>
      </c>
      <c r="C832" s="8" t="s">
        <v>1030</v>
      </c>
      <c r="D832" s="8" t="s">
        <v>1030</v>
      </c>
      <c r="E832" s="8" t="str">
        <f t="shared" si="80"/>
        <v>MARRON ROJIZO</v>
      </c>
      <c r="H832" s="8">
        <f>VLOOKUP(A832,[1]BBDD!$B$1:$J$3274,9,FALSE)</f>
        <v>0</v>
      </c>
      <c r="I832" s="8">
        <v>0</v>
      </c>
      <c r="J832" s="8" t="s">
        <v>1167</v>
      </c>
      <c r="L832" s="8" t="s">
        <v>30</v>
      </c>
      <c r="N832" s="8" t="s">
        <v>454</v>
      </c>
      <c r="O832" s="8" t="s">
        <v>454</v>
      </c>
      <c r="P832" s="18" t="str">
        <f t="shared" si="83"/>
        <v>M-L</v>
      </c>
      <c r="Q832" s="8" t="s">
        <v>32</v>
      </c>
      <c r="R832" s="8">
        <v>1</v>
      </c>
      <c r="S832" s="8">
        <v>5</v>
      </c>
      <c r="T832" s="8">
        <f t="shared" si="84"/>
        <v>6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36</v>
      </c>
      <c r="AB832" s="9">
        <f t="shared" si="85"/>
        <v>0</v>
      </c>
      <c r="AC832" s="10" t="str">
        <f t="shared" si="81"/>
        <v>sin venta</v>
      </c>
      <c r="AD832" s="8" t="s">
        <v>33</v>
      </c>
      <c r="AE832" s="11">
        <v>41990</v>
      </c>
      <c r="AF832" s="11">
        <f t="shared" si="82"/>
        <v>251940</v>
      </c>
      <c r="AG832" s="12" t="s">
        <v>73</v>
      </c>
      <c r="AH832" s="8" t="s">
        <v>35</v>
      </c>
    </row>
    <row r="833" spans="1:34">
      <c r="A833" s="8" t="s">
        <v>1169</v>
      </c>
      <c r="B833" s="16" t="s">
        <v>2859</v>
      </c>
      <c r="C833" s="8" t="s">
        <v>1030</v>
      </c>
      <c r="D833" s="8" t="s">
        <v>1030</v>
      </c>
      <c r="E833" s="8" t="str">
        <f t="shared" si="80"/>
        <v>BEIGE</v>
      </c>
      <c r="H833" s="8">
        <f>VLOOKUP(A833,[1]BBDD!$B$1:$J$3274,9,FALSE)</f>
        <v>0</v>
      </c>
      <c r="I833" s="8">
        <v>0</v>
      </c>
      <c r="J833" s="8" t="s">
        <v>1167</v>
      </c>
      <c r="L833" s="8" t="s">
        <v>30</v>
      </c>
      <c r="N833" s="8" t="s">
        <v>516</v>
      </c>
      <c r="O833" s="8" t="s">
        <v>516</v>
      </c>
      <c r="P833" s="18" t="str">
        <f t="shared" si="83"/>
        <v>S-M</v>
      </c>
      <c r="Q833" s="8" t="s">
        <v>32</v>
      </c>
      <c r="R833" s="8">
        <v>0</v>
      </c>
      <c r="S833" s="8">
        <v>4</v>
      </c>
      <c r="T833" s="8">
        <f t="shared" si="84"/>
        <v>4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2</v>
      </c>
      <c r="AA833" s="8">
        <v>36</v>
      </c>
      <c r="AB833" s="9">
        <f t="shared" si="85"/>
        <v>1.6666666666666665</v>
      </c>
      <c r="AC833" s="10">
        <f t="shared" si="81"/>
        <v>2.4000000000000004</v>
      </c>
      <c r="AD833" s="8" t="s">
        <v>33</v>
      </c>
      <c r="AE833" s="11">
        <v>41990</v>
      </c>
      <c r="AF833" s="11">
        <f t="shared" si="82"/>
        <v>167960</v>
      </c>
      <c r="AG833" s="12" t="s">
        <v>34</v>
      </c>
      <c r="AH833" s="8" t="s">
        <v>35</v>
      </c>
    </row>
    <row r="834" spans="1:34">
      <c r="A834" s="8" t="s">
        <v>1170</v>
      </c>
      <c r="B834" s="16" t="s">
        <v>2859</v>
      </c>
      <c r="C834" s="8" t="s">
        <v>1030</v>
      </c>
      <c r="D834" s="8" t="s">
        <v>1030</v>
      </c>
      <c r="E834" s="8" t="str">
        <f t="shared" si="80"/>
        <v>BEIGE</v>
      </c>
      <c r="H834" s="8">
        <f>VLOOKUP(A834,[1]BBDD!$B$1:$J$3274,9,FALSE)</f>
        <v>0</v>
      </c>
      <c r="I834" s="8">
        <v>0</v>
      </c>
      <c r="J834" s="8" t="s">
        <v>1167</v>
      </c>
      <c r="L834" s="8" t="s">
        <v>30</v>
      </c>
      <c r="N834" s="8" t="s">
        <v>516</v>
      </c>
      <c r="O834" s="8" t="s">
        <v>516</v>
      </c>
      <c r="P834" s="18" t="str">
        <f t="shared" si="83"/>
        <v>M-L</v>
      </c>
      <c r="Q834" s="8" t="s">
        <v>32</v>
      </c>
      <c r="R834" s="8">
        <v>0</v>
      </c>
      <c r="S834" s="8">
        <v>5</v>
      </c>
      <c r="T834" s="8">
        <f t="shared" si="84"/>
        <v>5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2</v>
      </c>
      <c r="AA834" s="8">
        <v>36</v>
      </c>
      <c r="AB834" s="9">
        <f t="shared" si="85"/>
        <v>1.6666666666666665</v>
      </c>
      <c r="AC834" s="10">
        <f t="shared" si="81"/>
        <v>3.0000000000000004</v>
      </c>
      <c r="AD834" s="8" t="s">
        <v>33</v>
      </c>
      <c r="AE834" s="11">
        <v>41990</v>
      </c>
      <c r="AF834" s="11">
        <f t="shared" si="82"/>
        <v>209950</v>
      </c>
      <c r="AG834" s="12" t="s">
        <v>34</v>
      </c>
      <c r="AH834" s="8" t="s">
        <v>35</v>
      </c>
    </row>
    <row r="835" spans="1:34">
      <c r="A835" s="8" t="s">
        <v>1171</v>
      </c>
      <c r="B835" s="16" t="s">
        <v>1081</v>
      </c>
      <c r="C835" s="8" t="s">
        <v>1030</v>
      </c>
      <c r="D835" s="8" t="s">
        <v>1030</v>
      </c>
      <c r="E835" s="8" t="str">
        <f t="shared" ref="E835:E898" si="86">TRIM(N835)</f>
        <v>CARAMELO</v>
      </c>
      <c r="H835" s="8" t="str">
        <f>VLOOKUP(A835,[1]BBDD!$B$1:$J$3274,9,FALSE)</f>
        <v>H</v>
      </c>
      <c r="I835" s="8" t="s">
        <v>2863</v>
      </c>
      <c r="J835" s="8" t="s">
        <v>1172</v>
      </c>
      <c r="L835" s="8" t="s">
        <v>82</v>
      </c>
      <c r="N835" s="8" t="s">
        <v>62</v>
      </c>
      <c r="O835" s="8" t="s">
        <v>62</v>
      </c>
      <c r="P835" s="18" t="str">
        <f t="shared" si="83"/>
        <v>100</v>
      </c>
      <c r="Q835" s="8" t="s">
        <v>32</v>
      </c>
      <c r="R835" s="8">
        <v>0</v>
      </c>
      <c r="S835" s="8">
        <v>1</v>
      </c>
      <c r="T835" s="8">
        <f t="shared" si="84"/>
        <v>1</v>
      </c>
      <c r="U835" s="8">
        <v>3</v>
      </c>
      <c r="V835" s="8">
        <v>1</v>
      </c>
      <c r="W835" s="8">
        <v>1</v>
      </c>
      <c r="X835" s="8">
        <v>0</v>
      </c>
      <c r="Y835" s="8">
        <v>0</v>
      </c>
      <c r="Z835" s="8">
        <v>0</v>
      </c>
      <c r="AA835" s="8">
        <v>180</v>
      </c>
      <c r="AB835" s="9">
        <f t="shared" si="85"/>
        <v>0.83333333333333326</v>
      </c>
      <c r="AC835" s="10">
        <f t="shared" ref="AC835:AC898" si="87">IFERROR(T835/AB835,"sin venta")</f>
        <v>1.2000000000000002</v>
      </c>
      <c r="AD835" s="8" t="s">
        <v>33</v>
      </c>
      <c r="AE835" s="11">
        <v>99990</v>
      </c>
      <c r="AF835" s="11">
        <f t="shared" ref="AF835:AF898" si="88">IFERROR(AE835*T835,0)</f>
        <v>99990</v>
      </c>
      <c r="AG835" s="12" t="s">
        <v>34</v>
      </c>
      <c r="AH835" s="8" t="s">
        <v>35</v>
      </c>
    </row>
    <row r="836" spans="1:34">
      <c r="A836" s="8" t="s">
        <v>1173</v>
      </c>
      <c r="B836" s="16" t="s">
        <v>1081</v>
      </c>
      <c r="C836" s="8" t="s">
        <v>1030</v>
      </c>
      <c r="D836" s="8" t="s">
        <v>1030</v>
      </c>
      <c r="E836" s="8" t="str">
        <f t="shared" si="86"/>
        <v>CARAMELO</v>
      </c>
      <c r="H836" s="8" t="str">
        <f>VLOOKUP(A836,[1]BBDD!$B$1:$J$3274,9,FALSE)</f>
        <v>H</v>
      </c>
      <c r="I836" s="8" t="s">
        <v>2863</v>
      </c>
      <c r="J836" s="8" t="s">
        <v>1172</v>
      </c>
      <c r="L836" s="8" t="s">
        <v>82</v>
      </c>
      <c r="N836" s="8" t="s">
        <v>62</v>
      </c>
      <c r="O836" s="8" t="s">
        <v>62</v>
      </c>
      <c r="P836" s="18" t="str">
        <f t="shared" si="83"/>
        <v>105</v>
      </c>
      <c r="Q836" s="8" t="s">
        <v>32</v>
      </c>
      <c r="R836" s="8">
        <v>0</v>
      </c>
      <c r="S836" s="8">
        <v>5</v>
      </c>
      <c r="T836" s="8">
        <f t="shared" si="84"/>
        <v>5</v>
      </c>
      <c r="U836" s="8">
        <v>0</v>
      </c>
      <c r="V836" s="8">
        <v>0</v>
      </c>
      <c r="W836" s="8">
        <v>2</v>
      </c>
      <c r="X836" s="8">
        <v>0</v>
      </c>
      <c r="Y836" s="8">
        <v>0</v>
      </c>
      <c r="Z836" s="8">
        <v>0</v>
      </c>
      <c r="AA836" s="8">
        <v>180</v>
      </c>
      <c r="AB836" s="9">
        <f t="shared" si="85"/>
        <v>0.33333333333333337</v>
      </c>
      <c r="AC836" s="10">
        <f t="shared" si="87"/>
        <v>14.999999999999998</v>
      </c>
      <c r="AD836" s="8" t="s">
        <v>33</v>
      </c>
      <c r="AE836" s="11">
        <v>99990</v>
      </c>
      <c r="AF836" s="11">
        <f t="shared" si="88"/>
        <v>499950</v>
      </c>
      <c r="AG836" s="12" t="s">
        <v>64</v>
      </c>
      <c r="AH836" s="8" t="s">
        <v>35</v>
      </c>
    </row>
    <row r="837" spans="1:34">
      <c r="A837" s="8" t="s">
        <v>1174</v>
      </c>
      <c r="B837" s="16" t="s">
        <v>1081</v>
      </c>
      <c r="C837" s="8" t="s">
        <v>1030</v>
      </c>
      <c r="D837" s="8" t="s">
        <v>1030</v>
      </c>
      <c r="E837" s="8" t="str">
        <f t="shared" si="86"/>
        <v>CARAMELO</v>
      </c>
      <c r="H837" s="8" t="str">
        <f>VLOOKUP(A837,[1]BBDD!$B$1:$J$3274,9,FALSE)</f>
        <v>H</v>
      </c>
      <c r="I837" s="8" t="s">
        <v>2863</v>
      </c>
      <c r="J837" s="8" t="s">
        <v>1172</v>
      </c>
      <c r="L837" s="8" t="s">
        <v>82</v>
      </c>
      <c r="N837" s="8" t="s">
        <v>62</v>
      </c>
      <c r="O837" s="8" t="s">
        <v>62</v>
      </c>
      <c r="P837" s="18" t="str">
        <f t="shared" si="83"/>
        <v>110</v>
      </c>
      <c r="Q837" s="8" t="s">
        <v>32</v>
      </c>
      <c r="R837" s="8">
        <v>0</v>
      </c>
      <c r="S837" s="8">
        <v>4</v>
      </c>
      <c r="T837" s="8">
        <f t="shared" si="84"/>
        <v>4</v>
      </c>
      <c r="U837" s="8">
        <v>1</v>
      </c>
      <c r="V837" s="8">
        <v>1</v>
      </c>
      <c r="W837" s="8">
        <v>2</v>
      </c>
      <c r="X837" s="8">
        <v>0</v>
      </c>
      <c r="Y837" s="8">
        <v>0</v>
      </c>
      <c r="Z837" s="8">
        <v>0</v>
      </c>
      <c r="AA837" s="8">
        <v>180</v>
      </c>
      <c r="AB837" s="9">
        <f t="shared" si="85"/>
        <v>0.66666666666666674</v>
      </c>
      <c r="AC837" s="10">
        <f t="shared" si="87"/>
        <v>5.9999999999999991</v>
      </c>
      <c r="AD837" s="8" t="s">
        <v>33</v>
      </c>
      <c r="AE837" s="11">
        <v>99990</v>
      </c>
      <c r="AF837" s="11">
        <f t="shared" si="88"/>
        <v>399960</v>
      </c>
      <c r="AG837" s="12" t="s">
        <v>34</v>
      </c>
      <c r="AH837" s="8" t="s">
        <v>35</v>
      </c>
    </row>
    <row r="838" spans="1:34">
      <c r="A838" s="8" t="s">
        <v>1175</v>
      </c>
      <c r="B838" s="16" t="s">
        <v>1081</v>
      </c>
      <c r="C838" s="8" t="s">
        <v>1030</v>
      </c>
      <c r="D838" s="8" t="s">
        <v>1030</v>
      </c>
      <c r="E838" s="8" t="str">
        <f t="shared" si="86"/>
        <v>CARAMELO</v>
      </c>
      <c r="H838" s="8" t="str">
        <f>VLOOKUP(A838,[1]BBDD!$B$1:$J$3274,9,FALSE)</f>
        <v>H</v>
      </c>
      <c r="I838" s="8" t="s">
        <v>2863</v>
      </c>
      <c r="J838" s="8" t="s">
        <v>1172</v>
      </c>
      <c r="L838" s="8" t="s">
        <v>82</v>
      </c>
      <c r="N838" s="8" t="s">
        <v>62</v>
      </c>
      <c r="O838" s="8" t="s">
        <v>62</v>
      </c>
      <c r="P838" s="18" t="str">
        <f t="shared" ref="P838:P881" si="89">RIGHT(A838,LEN(A838)-FIND("-",A838))</f>
        <v>90</v>
      </c>
      <c r="Q838" s="8" t="s">
        <v>32</v>
      </c>
      <c r="R838" s="8">
        <v>0</v>
      </c>
      <c r="S838" s="8">
        <v>5</v>
      </c>
      <c r="T838" s="8">
        <f t="shared" si="84"/>
        <v>5</v>
      </c>
      <c r="U838" s="8">
        <v>0</v>
      </c>
      <c r="V838" s="8">
        <v>0</v>
      </c>
      <c r="W838" s="8">
        <v>0</v>
      </c>
      <c r="X838" s="8">
        <v>2</v>
      </c>
      <c r="Y838" s="8">
        <v>1</v>
      </c>
      <c r="Z838" s="8">
        <v>0</v>
      </c>
      <c r="AA838" s="8">
        <v>180</v>
      </c>
      <c r="AB838" s="9">
        <f t="shared" si="85"/>
        <v>0.5</v>
      </c>
      <c r="AC838" s="10">
        <f t="shared" si="87"/>
        <v>10</v>
      </c>
      <c r="AD838" s="8" t="s">
        <v>33</v>
      </c>
      <c r="AE838" s="11">
        <v>99990</v>
      </c>
      <c r="AF838" s="11">
        <f t="shared" si="88"/>
        <v>499950</v>
      </c>
      <c r="AG838" s="12" t="s">
        <v>51</v>
      </c>
      <c r="AH838" s="8" t="s">
        <v>35</v>
      </c>
    </row>
    <row r="839" spans="1:34">
      <c r="A839" s="8" t="s">
        <v>1176</v>
      </c>
      <c r="B839" s="16" t="s">
        <v>1081</v>
      </c>
      <c r="C839" s="8" t="s">
        <v>1030</v>
      </c>
      <c r="D839" s="8" t="s">
        <v>1030</v>
      </c>
      <c r="E839" s="8" t="str">
        <f t="shared" si="86"/>
        <v>CARAMELO</v>
      </c>
      <c r="H839" s="8" t="str">
        <f>VLOOKUP(A839,[1]BBDD!$B$1:$J$3274,9,FALSE)</f>
        <v>H</v>
      </c>
      <c r="I839" s="8" t="s">
        <v>2863</v>
      </c>
      <c r="J839" s="8" t="s">
        <v>1172</v>
      </c>
      <c r="L839" s="8" t="s">
        <v>82</v>
      </c>
      <c r="N839" s="8" t="s">
        <v>62</v>
      </c>
      <c r="O839" s="8" t="s">
        <v>62</v>
      </c>
      <c r="P839" s="18" t="str">
        <f t="shared" si="89"/>
        <v>95</v>
      </c>
      <c r="Q839" s="8" t="s">
        <v>32</v>
      </c>
      <c r="R839" s="8">
        <v>1</v>
      </c>
      <c r="S839" s="8">
        <v>5</v>
      </c>
      <c r="T839" s="8">
        <f t="shared" si="84"/>
        <v>6</v>
      </c>
      <c r="U839" s="8">
        <v>1</v>
      </c>
      <c r="V839" s="8">
        <v>1</v>
      </c>
      <c r="W839" s="8">
        <v>0</v>
      </c>
      <c r="X839" s="8">
        <v>0</v>
      </c>
      <c r="Y839" s="8">
        <v>0</v>
      </c>
      <c r="Z839" s="8">
        <v>0</v>
      </c>
      <c r="AA839" s="8">
        <v>180</v>
      </c>
      <c r="AB839" s="9">
        <f t="shared" si="85"/>
        <v>0.33333333333333337</v>
      </c>
      <c r="AC839" s="10">
        <f t="shared" si="87"/>
        <v>17.999999999999996</v>
      </c>
      <c r="AD839" s="8" t="s">
        <v>33</v>
      </c>
      <c r="AE839" s="11">
        <v>99990</v>
      </c>
      <c r="AF839" s="11">
        <f t="shared" si="88"/>
        <v>599940</v>
      </c>
      <c r="AG839" s="12" t="s">
        <v>64</v>
      </c>
      <c r="AH839" s="8" t="s">
        <v>35</v>
      </c>
    </row>
    <row r="840" spans="1:34">
      <c r="A840" s="8" t="s">
        <v>1177</v>
      </c>
      <c r="B840" s="16" t="s">
        <v>1081</v>
      </c>
      <c r="C840" s="8" t="s">
        <v>1030</v>
      </c>
      <c r="D840" s="8" t="s">
        <v>1030</v>
      </c>
      <c r="E840" s="8" t="str">
        <f t="shared" si="86"/>
        <v>NEGRO</v>
      </c>
      <c r="H840" s="8" t="str">
        <f>VLOOKUP(A840,[1]BBDD!$B$1:$J$3274,9,FALSE)</f>
        <v>H</v>
      </c>
      <c r="I840" s="8" t="s">
        <v>2863</v>
      </c>
      <c r="J840" s="8" t="s">
        <v>1172</v>
      </c>
      <c r="L840" s="8" t="s">
        <v>82</v>
      </c>
      <c r="N840" s="8" t="s">
        <v>44</v>
      </c>
      <c r="O840" s="8" t="s">
        <v>44</v>
      </c>
      <c r="P840" s="18" t="str">
        <f t="shared" si="89"/>
        <v>100</v>
      </c>
      <c r="Q840" s="8" t="s">
        <v>32</v>
      </c>
      <c r="R840" s="8">
        <v>1</v>
      </c>
      <c r="S840" s="8">
        <v>7</v>
      </c>
      <c r="T840" s="8">
        <f t="shared" si="84"/>
        <v>8</v>
      </c>
      <c r="U840" s="8">
        <v>0</v>
      </c>
      <c r="V840" s="8">
        <v>1</v>
      </c>
      <c r="W840" s="8">
        <v>0</v>
      </c>
      <c r="X840" s="8">
        <v>1</v>
      </c>
      <c r="Y840" s="8">
        <v>1</v>
      </c>
      <c r="Z840" s="8">
        <v>0</v>
      </c>
      <c r="AA840" s="8">
        <v>180</v>
      </c>
      <c r="AB840" s="9">
        <f t="shared" si="85"/>
        <v>0.5</v>
      </c>
      <c r="AC840" s="10">
        <f t="shared" si="87"/>
        <v>16</v>
      </c>
      <c r="AD840" s="8" t="s">
        <v>33</v>
      </c>
      <c r="AE840" s="11">
        <v>99990</v>
      </c>
      <c r="AF840" s="11">
        <f t="shared" si="88"/>
        <v>799920</v>
      </c>
      <c r="AG840" s="12" t="s">
        <v>64</v>
      </c>
      <c r="AH840" s="8" t="s">
        <v>35</v>
      </c>
    </row>
    <row r="841" spans="1:34">
      <c r="A841" s="8" t="s">
        <v>1178</v>
      </c>
      <c r="B841" s="16" t="s">
        <v>1081</v>
      </c>
      <c r="C841" s="8" t="s">
        <v>1030</v>
      </c>
      <c r="D841" s="8" t="s">
        <v>1030</v>
      </c>
      <c r="E841" s="8" t="str">
        <f t="shared" si="86"/>
        <v>NEGRO</v>
      </c>
      <c r="H841" s="8" t="str">
        <f>VLOOKUP(A841,[1]BBDD!$B$1:$J$3274,9,FALSE)</f>
        <v>H</v>
      </c>
      <c r="I841" s="8" t="s">
        <v>2863</v>
      </c>
      <c r="J841" s="8" t="s">
        <v>1172</v>
      </c>
      <c r="L841" s="8" t="s">
        <v>82</v>
      </c>
      <c r="N841" s="8" t="s">
        <v>44</v>
      </c>
      <c r="O841" s="8" t="s">
        <v>44</v>
      </c>
      <c r="P841" s="18" t="str">
        <f t="shared" si="89"/>
        <v>105</v>
      </c>
      <c r="Q841" s="8" t="s">
        <v>32</v>
      </c>
      <c r="R841" s="8">
        <v>3</v>
      </c>
      <c r="S841" s="8">
        <v>7</v>
      </c>
      <c r="T841" s="8">
        <f t="shared" si="84"/>
        <v>10</v>
      </c>
      <c r="U841" s="8">
        <v>0</v>
      </c>
      <c r="V841" s="8">
        <v>0</v>
      </c>
      <c r="W841" s="8">
        <v>1</v>
      </c>
      <c r="X841" s="8">
        <v>0</v>
      </c>
      <c r="Y841" s="8">
        <v>0</v>
      </c>
      <c r="Z841" s="8">
        <v>1</v>
      </c>
      <c r="AA841" s="8">
        <v>180</v>
      </c>
      <c r="AB841" s="9">
        <f t="shared" si="85"/>
        <v>0.33333333333333337</v>
      </c>
      <c r="AC841" s="10">
        <f t="shared" si="87"/>
        <v>29.999999999999996</v>
      </c>
      <c r="AD841" s="8" t="s">
        <v>33</v>
      </c>
      <c r="AE841" s="11">
        <v>99990</v>
      </c>
      <c r="AF841" s="11">
        <f t="shared" si="88"/>
        <v>999900</v>
      </c>
      <c r="AG841" s="12" t="s">
        <v>73</v>
      </c>
      <c r="AH841" s="8" t="s">
        <v>35</v>
      </c>
    </row>
    <row r="842" spans="1:34">
      <c r="A842" s="8" t="s">
        <v>1179</v>
      </c>
      <c r="B842" s="16" t="s">
        <v>1081</v>
      </c>
      <c r="C842" s="8" t="s">
        <v>1030</v>
      </c>
      <c r="D842" s="8" t="s">
        <v>1030</v>
      </c>
      <c r="E842" s="8" t="str">
        <f t="shared" si="86"/>
        <v>NEGRO</v>
      </c>
      <c r="H842" s="8" t="str">
        <f>VLOOKUP(A842,[1]BBDD!$B$1:$J$3274,9,FALSE)</f>
        <v>H</v>
      </c>
      <c r="I842" s="8" t="s">
        <v>2863</v>
      </c>
      <c r="J842" s="8" t="s">
        <v>1172</v>
      </c>
      <c r="L842" s="8" t="s">
        <v>82</v>
      </c>
      <c r="N842" s="8" t="s">
        <v>44</v>
      </c>
      <c r="O842" s="8" t="s">
        <v>44</v>
      </c>
      <c r="P842" s="18" t="str">
        <f t="shared" si="89"/>
        <v>110</v>
      </c>
      <c r="Q842" s="8" t="s">
        <v>32</v>
      </c>
      <c r="R842" s="8">
        <v>0</v>
      </c>
      <c r="S842" s="8">
        <v>3</v>
      </c>
      <c r="T842" s="8">
        <f t="shared" si="84"/>
        <v>3</v>
      </c>
      <c r="U842" s="8">
        <v>0</v>
      </c>
      <c r="V842" s="8">
        <v>0</v>
      </c>
      <c r="W842" s="8">
        <v>1</v>
      </c>
      <c r="X842" s="8">
        <v>0</v>
      </c>
      <c r="Y842" s="8">
        <v>0</v>
      </c>
      <c r="Z842" s="8">
        <v>0</v>
      </c>
      <c r="AA842" s="8">
        <v>180</v>
      </c>
      <c r="AB842" s="9">
        <f t="shared" si="85"/>
        <v>0.16666666666666669</v>
      </c>
      <c r="AC842" s="10">
        <f t="shared" si="87"/>
        <v>17.999999999999996</v>
      </c>
      <c r="AD842" s="8" t="s">
        <v>33</v>
      </c>
      <c r="AE842" s="11">
        <v>99990</v>
      </c>
      <c r="AF842" s="11">
        <f t="shared" si="88"/>
        <v>299970</v>
      </c>
      <c r="AG842" s="12" t="s">
        <v>64</v>
      </c>
      <c r="AH842" s="8" t="s">
        <v>35</v>
      </c>
    </row>
    <row r="843" spans="1:34">
      <c r="A843" s="8" t="s">
        <v>1180</v>
      </c>
      <c r="B843" s="16" t="s">
        <v>1081</v>
      </c>
      <c r="C843" s="8" t="s">
        <v>1030</v>
      </c>
      <c r="D843" s="8" t="s">
        <v>1030</v>
      </c>
      <c r="E843" s="8" t="str">
        <f t="shared" si="86"/>
        <v>NEGRO</v>
      </c>
      <c r="H843" s="8" t="str">
        <f>VLOOKUP(A843,[1]BBDD!$B$1:$J$3274,9,FALSE)</f>
        <v>H</v>
      </c>
      <c r="I843" s="8" t="s">
        <v>2863</v>
      </c>
      <c r="J843" s="8" t="s">
        <v>1172</v>
      </c>
      <c r="L843" s="8" t="s">
        <v>82</v>
      </c>
      <c r="N843" s="8" t="s">
        <v>44</v>
      </c>
      <c r="O843" s="8" t="s">
        <v>44</v>
      </c>
      <c r="P843" s="18" t="str">
        <f t="shared" si="89"/>
        <v>90</v>
      </c>
      <c r="Q843" s="8" t="s">
        <v>32</v>
      </c>
      <c r="R843" s="8">
        <v>0</v>
      </c>
      <c r="S843" s="8">
        <v>6</v>
      </c>
      <c r="T843" s="8">
        <f t="shared" si="84"/>
        <v>6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180</v>
      </c>
      <c r="AB843" s="9">
        <f t="shared" si="85"/>
        <v>0</v>
      </c>
      <c r="AC843" s="10" t="str">
        <f t="shared" si="87"/>
        <v>sin venta</v>
      </c>
      <c r="AD843" s="8" t="s">
        <v>33</v>
      </c>
      <c r="AE843" s="11">
        <v>99990</v>
      </c>
      <c r="AF843" s="11">
        <f t="shared" si="88"/>
        <v>599940</v>
      </c>
      <c r="AG843" s="12" t="s">
        <v>73</v>
      </c>
      <c r="AH843" s="8" t="s">
        <v>35</v>
      </c>
    </row>
    <row r="844" spans="1:34">
      <c r="A844" s="8" t="s">
        <v>1181</v>
      </c>
      <c r="B844" s="16" t="s">
        <v>1081</v>
      </c>
      <c r="C844" s="8" t="s">
        <v>1030</v>
      </c>
      <c r="D844" s="8" t="s">
        <v>1030</v>
      </c>
      <c r="E844" s="8" t="str">
        <f t="shared" si="86"/>
        <v>NEGRO</v>
      </c>
      <c r="H844" s="8" t="str">
        <f>VLOOKUP(A844,[1]BBDD!$B$1:$J$3274,9,FALSE)</f>
        <v>H</v>
      </c>
      <c r="I844" s="8" t="s">
        <v>2863</v>
      </c>
      <c r="J844" s="8" t="s">
        <v>1172</v>
      </c>
      <c r="L844" s="8" t="s">
        <v>82</v>
      </c>
      <c r="N844" s="8" t="s">
        <v>44</v>
      </c>
      <c r="O844" s="8" t="s">
        <v>44</v>
      </c>
      <c r="P844" s="18" t="str">
        <f t="shared" si="89"/>
        <v>95</v>
      </c>
      <c r="Q844" s="8" t="s">
        <v>32</v>
      </c>
      <c r="R844" s="8">
        <v>2</v>
      </c>
      <c r="S844" s="8">
        <v>7</v>
      </c>
      <c r="T844" s="8">
        <f t="shared" si="84"/>
        <v>9</v>
      </c>
      <c r="U844" s="8">
        <v>0</v>
      </c>
      <c r="V844" s="8">
        <v>0</v>
      </c>
      <c r="W844" s="8">
        <v>1</v>
      </c>
      <c r="X844" s="8">
        <v>0</v>
      </c>
      <c r="Y844" s="8">
        <v>0</v>
      </c>
      <c r="Z844" s="8">
        <v>1</v>
      </c>
      <c r="AA844" s="8">
        <v>180</v>
      </c>
      <c r="AB844" s="9">
        <f t="shared" si="85"/>
        <v>0.33333333333333337</v>
      </c>
      <c r="AC844" s="10">
        <f t="shared" si="87"/>
        <v>26.999999999999996</v>
      </c>
      <c r="AD844" s="8" t="s">
        <v>33</v>
      </c>
      <c r="AE844" s="11">
        <v>99990</v>
      </c>
      <c r="AF844" s="11">
        <f t="shared" si="88"/>
        <v>899910</v>
      </c>
      <c r="AG844" s="12" t="s">
        <v>73</v>
      </c>
      <c r="AH844" s="8" t="s">
        <v>35</v>
      </c>
    </row>
    <row r="845" spans="1:34">
      <c r="A845" s="8" t="s">
        <v>1182</v>
      </c>
      <c r="B845" s="16" t="s">
        <v>1081</v>
      </c>
      <c r="C845" s="8" t="s">
        <v>1030</v>
      </c>
      <c r="D845" s="8" t="s">
        <v>1030</v>
      </c>
      <c r="E845" s="8" t="str">
        <f t="shared" si="86"/>
        <v>SUELA</v>
      </c>
      <c r="H845" s="8" t="str">
        <f>VLOOKUP(A845,[1]BBDD!$B$1:$J$3274,9,FALSE)</f>
        <v>H</v>
      </c>
      <c r="I845" s="8" t="s">
        <v>2863</v>
      </c>
      <c r="J845" s="8" t="s">
        <v>1172</v>
      </c>
      <c r="L845" s="8" t="s">
        <v>82</v>
      </c>
      <c r="N845" s="8" t="s">
        <v>90</v>
      </c>
      <c r="O845" s="8" t="s">
        <v>90</v>
      </c>
      <c r="P845" s="18" t="str">
        <f t="shared" si="89"/>
        <v>100</v>
      </c>
      <c r="Q845" s="8" t="s">
        <v>32</v>
      </c>
      <c r="R845" s="8">
        <v>0</v>
      </c>
      <c r="S845" s="8">
        <v>0</v>
      </c>
      <c r="T845" s="8">
        <f t="shared" si="84"/>
        <v>0</v>
      </c>
      <c r="U845" s="8">
        <v>1</v>
      </c>
      <c r="V845" s="8">
        <v>1</v>
      </c>
      <c r="W845" s="8">
        <v>0</v>
      </c>
      <c r="X845" s="8">
        <v>2</v>
      </c>
      <c r="Y845" s="8">
        <v>0</v>
      </c>
      <c r="Z845" s="8">
        <v>0</v>
      </c>
      <c r="AA845" s="8">
        <v>180</v>
      </c>
      <c r="AB845" s="9">
        <f t="shared" si="85"/>
        <v>0.66666666666666674</v>
      </c>
      <c r="AC845" s="10">
        <f t="shared" si="87"/>
        <v>0</v>
      </c>
      <c r="AD845" s="8" t="s">
        <v>33</v>
      </c>
      <c r="AE845" s="11">
        <v>99990</v>
      </c>
      <c r="AF845" s="11">
        <f t="shared" si="88"/>
        <v>0</v>
      </c>
      <c r="AG845" s="12" t="s">
        <v>34</v>
      </c>
      <c r="AH845" s="8" t="s">
        <v>35</v>
      </c>
    </row>
    <row r="846" spans="1:34">
      <c r="A846" s="8" t="s">
        <v>1183</v>
      </c>
      <c r="B846" s="16" t="s">
        <v>1081</v>
      </c>
      <c r="C846" s="8" t="s">
        <v>1030</v>
      </c>
      <c r="D846" s="8" t="s">
        <v>1030</v>
      </c>
      <c r="E846" s="8" t="str">
        <f t="shared" si="86"/>
        <v>SUELA</v>
      </c>
      <c r="H846" s="8" t="str">
        <f>VLOOKUP(A846,[1]BBDD!$B$1:$J$3274,9,FALSE)</f>
        <v>H</v>
      </c>
      <c r="I846" s="8" t="s">
        <v>2863</v>
      </c>
      <c r="J846" s="8" t="s">
        <v>1172</v>
      </c>
      <c r="L846" s="8" t="s">
        <v>82</v>
      </c>
      <c r="N846" s="8" t="s">
        <v>90</v>
      </c>
      <c r="O846" s="8" t="s">
        <v>90</v>
      </c>
      <c r="P846" s="18" t="str">
        <f t="shared" si="89"/>
        <v>105</v>
      </c>
      <c r="Q846" s="8" t="s">
        <v>32</v>
      </c>
      <c r="R846" s="8">
        <v>0</v>
      </c>
      <c r="S846" s="8">
        <v>1</v>
      </c>
      <c r="T846" s="8">
        <f t="shared" si="84"/>
        <v>1</v>
      </c>
      <c r="U846" s="8">
        <v>1</v>
      </c>
      <c r="V846" s="8">
        <v>3</v>
      </c>
      <c r="W846" s="8">
        <v>0</v>
      </c>
      <c r="X846" s="8">
        <v>1</v>
      </c>
      <c r="Y846" s="8">
        <v>0</v>
      </c>
      <c r="Z846" s="8">
        <v>0</v>
      </c>
      <c r="AA846" s="8">
        <v>180</v>
      </c>
      <c r="AB846" s="9">
        <f t="shared" si="85"/>
        <v>0.83333333333333326</v>
      </c>
      <c r="AC846" s="10">
        <f t="shared" si="87"/>
        <v>1.2000000000000002</v>
      </c>
      <c r="AD846" s="8" t="s">
        <v>33</v>
      </c>
      <c r="AE846" s="11">
        <v>99990</v>
      </c>
      <c r="AF846" s="11">
        <f t="shared" si="88"/>
        <v>99990</v>
      </c>
      <c r="AG846" s="12" t="s">
        <v>34</v>
      </c>
      <c r="AH846" s="8" t="s">
        <v>35</v>
      </c>
    </row>
    <row r="847" spans="1:34">
      <c r="A847" s="8" t="s">
        <v>1184</v>
      </c>
      <c r="B847" s="16" t="s">
        <v>1081</v>
      </c>
      <c r="C847" s="8" t="s">
        <v>1030</v>
      </c>
      <c r="D847" s="8" t="s">
        <v>1030</v>
      </c>
      <c r="E847" s="8" t="str">
        <f t="shared" si="86"/>
        <v>SUELA</v>
      </c>
      <c r="H847" s="8" t="str">
        <f>VLOOKUP(A847,[1]BBDD!$B$1:$J$3274,9,FALSE)</f>
        <v>H</v>
      </c>
      <c r="I847" s="8" t="s">
        <v>2863</v>
      </c>
      <c r="J847" s="8" t="s">
        <v>1172</v>
      </c>
      <c r="L847" s="8" t="s">
        <v>82</v>
      </c>
      <c r="N847" s="8" t="s">
        <v>90</v>
      </c>
      <c r="O847" s="8" t="s">
        <v>90</v>
      </c>
      <c r="P847" s="18" t="str">
        <f t="shared" si="89"/>
        <v>110</v>
      </c>
      <c r="Q847" s="8" t="s">
        <v>32</v>
      </c>
      <c r="R847" s="8">
        <v>0</v>
      </c>
      <c r="S847" s="8">
        <v>3</v>
      </c>
      <c r="T847" s="8">
        <f t="shared" si="84"/>
        <v>3</v>
      </c>
      <c r="U847" s="8">
        <v>1</v>
      </c>
      <c r="V847" s="8">
        <v>1</v>
      </c>
      <c r="W847" s="8">
        <v>0</v>
      </c>
      <c r="X847" s="8">
        <v>1</v>
      </c>
      <c r="Y847" s="8">
        <v>0</v>
      </c>
      <c r="Z847" s="8">
        <v>0</v>
      </c>
      <c r="AA847" s="8">
        <v>180</v>
      </c>
      <c r="AB847" s="9">
        <f t="shared" si="85"/>
        <v>0.5</v>
      </c>
      <c r="AC847" s="10">
        <f t="shared" si="87"/>
        <v>6</v>
      </c>
      <c r="AD847" s="8" t="s">
        <v>33</v>
      </c>
      <c r="AE847" s="11">
        <v>99990</v>
      </c>
      <c r="AF847" s="11">
        <f t="shared" si="88"/>
        <v>299970</v>
      </c>
      <c r="AG847" s="12" t="s">
        <v>34</v>
      </c>
      <c r="AH847" s="8" t="s">
        <v>35</v>
      </c>
    </row>
    <row r="848" spans="1:34">
      <c r="A848" s="8" t="s">
        <v>1185</v>
      </c>
      <c r="B848" s="16" t="s">
        <v>1081</v>
      </c>
      <c r="C848" s="8" t="s">
        <v>1030</v>
      </c>
      <c r="D848" s="8" t="s">
        <v>1030</v>
      </c>
      <c r="E848" s="8" t="str">
        <f t="shared" si="86"/>
        <v>SUELA</v>
      </c>
      <c r="H848" s="8" t="str">
        <f>VLOOKUP(A848,[1]BBDD!$B$1:$J$3274,9,FALSE)</f>
        <v>H</v>
      </c>
      <c r="I848" s="8" t="s">
        <v>2863</v>
      </c>
      <c r="J848" s="8" t="s">
        <v>1172</v>
      </c>
      <c r="L848" s="8" t="s">
        <v>82</v>
      </c>
      <c r="N848" s="8" t="s">
        <v>90</v>
      </c>
      <c r="O848" s="8" t="s">
        <v>90</v>
      </c>
      <c r="P848" s="18" t="str">
        <f t="shared" si="89"/>
        <v>90</v>
      </c>
      <c r="Q848" s="8" t="s">
        <v>32</v>
      </c>
      <c r="R848" s="8">
        <v>0</v>
      </c>
      <c r="S848" s="8">
        <v>6</v>
      </c>
      <c r="T848" s="8">
        <f t="shared" si="84"/>
        <v>6</v>
      </c>
      <c r="U848" s="8">
        <v>0</v>
      </c>
      <c r="V848" s="8">
        <v>0</v>
      </c>
      <c r="W848" s="8">
        <v>0</v>
      </c>
      <c r="X848" s="8">
        <v>0</v>
      </c>
      <c r="Y848" s="8">
        <v>1</v>
      </c>
      <c r="Z848" s="8">
        <v>2</v>
      </c>
      <c r="AA848" s="8">
        <v>180</v>
      </c>
      <c r="AB848" s="9">
        <f t="shared" si="85"/>
        <v>0.5</v>
      </c>
      <c r="AC848" s="10">
        <f t="shared" si="87"/>
        <v>12</v>
      </c>
      <c r="AD848" s="8" t="s">
        <v>33</v>
      </c>
      <c r="AE848" s="11">
        <v>99990</v>
      </c>
      <c r="AF848" s="11">
        <f t="shared" si="88"/>
        <v>599940</v>
      </c>
      <c r="AG848" s="12" t="s">
        <v>51</v>
      </c>
      <c r="AH848" s="8" t="s">
        <v>35</v>
      </c>
    </row>
    <row r="849" spans="1:34">
      <c r="A849" s="8" t="s">
        <v>1186</v>
      </c>
      <c r="B849" s="16" t="s">
        <v>1081</v>
      </c>
      <c r="C849" s="8" t="s">
        <v>1030</v>
      </c>
      <c r="D849" s="8" t="s">
        <v>1030</v>
      </c>
      <c r="E849" s="8" t="str">
        <f t="shared" si="86"/>
        <v>SUELA</v>
      </c>
      <c r="H849" s="8" t="str">
        <f>VLOOKUP(A849,[1]BBDD!$B$1:$J$3274,9,FALSE)</f>
        <v>H</v>
      </c>
      <c r="I849" s="8" t="s">
        <v>2863</v>
      </c>
      <c r="J849" s="8" t="s">
        <v>1172</v>
      </c>
      <c r="L849" s="8" t="s">
        <v>82</v>
      </c>
      <c r="N849" s="8" t="s">
        <v>90</v>
      </c>
      <c r="O849" s="8" t="s">
        <v>90</v>
      </c>
      <c r="P849" s="18" t="str">
        <f t="shared" si="89"/>
        <v>95</v>
      </c>
      <c r="Q849" s="8" t="s">
        <v>32</v>
      </c>
      <c r="R849" s="8">
        <v>0</v>
      </c>
      <c r="S849" s="8">
        <v>3</v>
      </c>
      <c r="T849" s="8">
        <f t="shared" si="84"/>
        <v>3</v>
      </c>
      <c r="U849" s="8">
        <v>0</v>
      </c>
      <c r="V849" s="8">
        <v>2</v>
      </c>
      <c r="W849" s="8">
        <v>0</v>
      </c>
      <c r="X849" s="8">
        <v>1</v>
      </c>
      <c r="Y849" s="8">
        <v>0</v>
      </c>
      <c r="Z849" s="8">
        <v>0</v>
      </c>
      <c r="AA849" s="8">
        <v>180</v>
      </c>
      <c r="AB849" s="9">
        <f t="shared" si="85"/>
        <v>0.5</v>
      </c>
      <c r="AC849" s="10">
        <f t="shared" si="87"/>
        <v>6</v>
      </c>
      <c r="AD849" s="8" t="s">
        <v>33</v>
      </c>
      <c r="AE849" s="11">
        <v>99990</v>
      </c>
      <c r="AF849" s="11">
        <f t="shared" si="88"/>
        <v>299970</v>
      </c>
      <c r="AG849" s="12" t="s">
        <v>34</v>
      </c>
      <c r="AH849" s="8" t="s">
        <v>35</v>
      </c>
    </row>
    <row r="850" spans="1:34">
      <c r="A850" s="8" t="s">
        <v>1187</v>
      </c>
      <c r="B850" s="16" t="s">
        <v>1081</v>
      </c>
      <c r="C850" s="8" t="s">
        <v>1030</v>
      </c>
      <c r="D850" s="8" t="s">
        <v>1030</v>
      </c>
      <c r="E850" s="8" t="str">
        <f t="shared" si="86"/>
        <v>CARAMELO</v>
      </c>
      <c r="H850" s="8" t="str">
        <f>VLOOKUP(A850,[1]BBDD!$B$1:$J$3274,9,FALSE)</f>
        <v>H</v>
      </c>
      <c r="I850" s="8" t="s">
        <v>2863</v>
      </c>
      <c r="J850" s="8" t="s">
        <v>1172</v>
      </c>
      <c r="L850" s="8" t="s">
        <v>82</v>
      </c>
      <c r="N850" s="8" t="s">
        <v>62</v>
      </c>
      <c r="O850" s="8" t="s">
        <v>62</v>
      </c>
      <c r="P850" s="18" t="str">
        <f t="shared" si="89"/>
        <v>115</v>
      </c>
      <c r="Q850" s="8" t="s">
        <v>45</v>
      </c>
      <c r="R850" s="8">
        <v>2</v>
      </c>
      <c r="S850" s="8">
        <v>7</v>
      </c>
      <c r="T850" s="8">
        <f t="shared" si="84"/>
        <v>9</v>
      </c>
      <c r="U850" s="8">
        <v>0</v>
      </c>
      <c r="V850" s="8">
        <v>0</v>
      </c>
      <c r="W850" s="8">
        <v>0</v>
      </c>
      <c r="X850" s="8">
        <v>0</v>
      </c>
      <c r="Y850" s="8">
        <v>1</v>
      </c>
      <c r="Z850" s="8">
        <v>1</v>
      </c>
      <c r="AA850" s="8">
        <v>180</v>
      </c>
      <c r="AB850" s="9">
        <f t="shared" si="85"/>
        <v>0.33333333333333337</v>
      </c>
      <c r="AC850" s="10">
        <f t="shared" si="87"/>
        <v>26.999999999999996</v>
      </c>
      <c r="AD850" s="8" t="s">
        <v>109</v>
      </c>
      <c r="AE850" s="11">
        <v>99990</v>
      </c>
      <c r="AF850" s="11">
        <f t="shared" si="88"/>
        <v>899910</v>
      </c>
      <c r="AG850" s="12" t="s">
        <v>73</v>
      </c>
      <c r="AH850" s="8" t="s">
        <v>35</v>
      </c>
    </row>
    <row r="851" spans="1:34">
      <c r="A851" s="8" t="s">
        <v>1188</v>
      </c>
      <c r="B851" s="16" t="s">
        <v>1081</v>
      </c>
      <c r="C851" s="8" t="s">
        <v>1030</v>
      </c>
      <c r="D851" s="8" t="s">
        <v>1030</v>
      </c>
      <c r="E851" s="8" t="str">
        <f t="shared" si="86"/>
        <v>CARAMELO</v>
      </c>
      <c r="H851" s="8" t="str">
        <f>VLOOKUP(A851,[1]BBDD!$B$1:$J$3274,9,FALSE)</f>
        <v>H</v>
      </c>
      <c r="I851" s="8" t="s">
        <v>2863</v>
      </c>
      <c r="J851" s="8" t="s">
        <v>1172</v>
      </c>
      <c r="L851" s="8" t="s">
        <v>82</v>
      </c>
      <c r="N851" s="8" t="s">
        <v>62</v>
      </c>
      <c r="O851" s="8" t="s">
        <v>62</v>
      </c>
      <c r="P851" s="18" t="str">
        <f t="shared" si="89"/>
        <v>120</v>
      </c>
      <c r="Q851" s="8" t="s">
        <v>45</v>
      </c>
      <c r="R851" s="8">
        <v>2</v>
      </c>
      <c r="S851" s="8">
        <v>8</v>
      </c>
      <c r="T851" s="8">
        <f t="shared" si="84"/>
        <v>10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180</v>
      </c>
      <c r="AB851" s="9">
        <f t="shared" si="85"/>
        <v>0</v>
      </c>
      <c r="AC851" s="10" t="str">
        <f t="shared" si="87"/>
        <v>sin venta</v>
      </c>
      <c r="AD851" s="8" t="s">
        <v>109</v>
      </c>
      <c r="AE851" s="11">
        <v>99990</v>
      </c>
      <c r="AF851" s="11">
        <f t="shared" si="88"/>
        <v>999900</v>
      </c>
      <c r="AG851" s="12" t="s">
        <v>73</v>
      </c>
      <c r="AH851" s="8" t="s">
        <v>35</v>
      </c>
    </row>
    <row r="852" spans="1:34">
      <c r="A852" s="8" t="s">
        <v>1189</v>
      </c>
      <c r="B852" s="16" t="s">
        <v>1081</v>
      </c>
      <c r="C852" s="8" t="s">
        <v>1030</v>
      </c>
      <c r="D852" s="8" t="s">
        <v>1030</v>
      </c>
      <c r="E852" s="8" t="str">
        <f t="shared" si="86"/>
        <v>CARAMELO</v>
      </c>
      <c r="H852" s="8" t="str">
        <f>VLOOKUP(A852,[1]BBDD!$B$1:$J$3274,9,FALSE)</f>
        <v>H</v>
      </c>
      <c r="I852" s="8" t="s">
        <v>2863</v>
      </c>
      <c r="J852" s="8" t="s">
        <v>1172</v>
      </c>
      <c r="L852" s="8" t="s">
        <v>82</v>
      </c>
      <c r="N852" s="8" t="s">
        <v>62</v>
      </c>
      <c r="O852" s="8" t="s">
        <v>62</v>
      </c>
      <c r="P852" s="18" t="str">
        <f t="shared" si="89"/>
        <v>85</v>
      </c>
      <c r="Q852" s="8" t="s">
        <v>45</v>
      </c>
      <c r="R852" s="8">
        <v>3</v>
      </c>
      <c r="S852" s="8">
        <v>7</v>
      </c>
      <c r="T852" s="8">
        <f t="shared" si="84"/>
        <v>10</v>
      </c>
      <c r="U852" s="8">
        <v>0</v>
      </c>
      <c r="V852" s="8">
        <v>0</v>
      </c>
      <c r="W852" s="8">
        <v>2</v>
      </c>
      <c r="X852" s="8">
        <v>0</v>
      </c>
      <c r="Y852" s="8">
        <v>1</v>
      </c>
      <c r="Z852" s="8">
        <v>1</v>
      </c>
      <c r="AA852" s="8">
        <v>180</v>
      </c>
      <c r="AB852" s="9">
        <f t="shared" si="85"/>
        <v>0.66666666666666674</v>
      </c>
      <c r="AC852" s="10">
        <f t="shared" si="87"/>
        <v>14.999999999999998</v>
      </c>
      <c r="AD852" s="8" t="s">
        <v>109</v>
      </c>
      <c r="AE852" s="11">
        <v>99990</v>
      </c>
      <c r="AF852" s="11">
        <f t="shared" si="88"/>
        <v>999900</v>
      </c>
      <c r="AG852" s="12" t="s">
        <v>64</v>
      </c>
      <c r="AH852" s="8" t="s">
        <v>35</v>
      </c>
    </row>
    <row r="853" spans="1:34">
      <c r="A853" s="8" t="s">
        <v>1190</v>
      </c>
      <c r="B853" s="16" t="s">
        <v>1081</v>
      </c>
      <c r="C853" s="8" t="s">
        <v>1030</v>
      </c>
      <c r="D853" s="8" t="s">
        <v>1030</v>
      </c>
      <c r="E853" s="8" t="str">
        <f t="shared" si="86"/>
        <v>NEGRO</v>
      </c>
      <c r="H853" s="8" t="str">
        <f>VLOOKUP(A853,[1]BBDD!$B$1:$J$3274,9,FALSE)</f>
        <v>H</v>
      </c>
      <c r="I853" s="8" t="s">
        <v>2863</v>
      </c>
      <c r="J853" s="8" t="s">
        <v>1172</v>
      </c>
      <c r="L853" s="8" t="s">
        <v>82</v>
      </c>
      <c r="N853" s="8" t="s">
        <v>44</v>
      </c>
      <c r="O853" s="8" t="s">
        <v>44</v>
      </c>
      <c r="P853" s="18" t="str">
        <f t="shared" si="89"/>
        <v>115</v>
      </c>
      <c r="Q853" s="8" t="s">
        <v>45</v>
      </c>
      <c r="R853" s="8">
        <v>0</v>
      </c>
      <c r="S853" s="8">
        <v>5</v>
      </c>
      <c r="T853" s="8">
        <f t="shared" si="84"/>
        <v>5</v>
      </c>
      <c r="U853" s="8">
        <v>0</v>
      </c>
      <c r="V853" s="8">
        <v>1</v>
      </c>
      <c r="W853" s="8">
        <v>1</v>
      </c>
      <c r="X853" s="8">
        <v>0</v>
      </c>
      <c r="Y853" s="8">
        <v>0</v>
      </c>
      <c r="Z853" s="8">
        <v>0</v>
      </c>
      <c r="AA853" s="8">
        <v>180</v>
      </c>
      <c r="AB853" s="9">
        <f t="shared" si="85"/>
        <v>0.33333333333333337</v>
      </c>
      <c r="AC853" s="10">
        <f t="shared" si="87"/>
        <v>14.999999999999998</v>
      </c>
      <c r="AD853" s="8" t="s">
        <v>109</v>
      </c>
      <c r="AE853" s="11">
        <v>99990</v>
      </c>
      <c r="AF853" s="11">
        <f t="shared" si="88"/>
        <v>499950</v>
      </c>
      <c r="AG853" s="12" t="s">
        <v>64</v>
      </c>
      <c r="AH853" s="8" t="s">
        <v>35</v>
      </c>
    </row>
    <row r="854" spans="1:34">
      <c r="A854" s="8" t="s">
        <v>1191</v>
      </c>
      <c r="B854" s="16" t="s">
        <v>1081</v>
      </c>
      <c r="C854" s="8" t="s">
        <v>1030</v>
      </c>
      <c r="D854" s="8" t="s">
        <v>1030</v>
      </c>
      <c r="E854" s="8" t="str">
        <f t="shared" si="86"/>
        <v>NEGRO</v>
      </c>
      <c r="H854" s="8" t="str">
        <f>VLOOKUP(A854,[1]BBDD!$B$1:$J$3274,9,FALSE)</f>
        <v>H</v>
      </c>
      <c r="I854" s="8" t="s">
        <v>2863</v>
      </c>
      <c r="J854" s="8" t="s">
        <v>1172</v>
      </c>
      <c r="L854" s="8" t="s">
        <v>82</v>
      </c>
      <c r="N854" s="8" t="s">
        <v>44</v>
      </c>
      <c r="O854" s="8" t="s">
        <v>44</v>
      </c>
      <c r="P854" s="18" t="str">
        <f t="shared" si="89"/>
        <v>120</v>
      </c>
      <c r="Q854" s="8" t="s">
        <v>45</v>
      </c>
      <c r="R854" s="8">
        <v>2</v>
      </c>
      <c r="S854" s="8">
        <v>6</v>
      </c>
      <c r="T854" s="8">
        <f t="shared" si="84"/>
        <v>8</v>
      </c>
      <c r="U854" s="8">
        <v>0</v>
      </c>
      <c r="V854" s="8">
        <v>0</v>
      </c>
      <c r="W854" s="8">
        <v>1</v>
      </c>
      <c r="X854" s="8">
        <v>0</v>
      </c>
      <c r="Y854" s="8">
        <v>0</v>
      </c>
      <c r="Z854" s="8">
        <v>0</v>
      </c>
      <c r="AA854" s="8">
        <v>180</v>
      </c>
      <c r="AB854" s="9">
        <f t="shared" si="85"/>
        <v>0.16666666666666669</v>
      </c>
      <c r="AC854" s="10">
        <f t="shared" si="87"/>
        <v>47.999999999999993</v>
      </c>
      <c r="AD854" s="8" t="s">
        <v>109</v>
      </c>
      <c r="AE854" s="11">
        <v>99990</v>
      </c>
      <c r="AF854" s="11">
        <f t="shared" si="88"/>
        <v>799920</v>
      </c>
      <c r="AG854" s="12" t="s">
        <v>73</v>
      </c>
      <c r="AH854" s="8" t="s">
        <v>35</v>
      </c>
    </row>
    <row r="855" spans="1:34">
      <c r="A855" s="8" t="s">
        <v>1192</v>
      </c>
      <c r="B855" s="16" t="s">
        <v>1081</v>
      </c>
      <c r="C855" s="8" t="s">
        <v>1030</v>
      </c>
      <c r="D855" s="8" t="s">
        <v>1030</v>
      </c>
      <c r="E855" s="8" t="str">
        <f t="shared" si="86"/>
        <v>NEGRO</v>
      </c>
      <c r="H855" s="8" t="str">
        <f>VLOOKUP(A855,[1]BBDD!$B$1:$J$3274,9,FALSE)</f>
        <v>H</v>
      </c>
      <c r="I855" s="8" t="s">
        <v>2863</v>
      </c>
      <c r="J855" s="8" t="s">
        <v>1172</v>
      </c>
      <c r="L855" s="8" t="s">
        <v>82</v>
      </c>
      <c r="N855" s="8" t="s">
        <v>44</v>
      </c>
      <c r="O855" s="8" t="s">
        <v>44</v>
      </c>
      <c r="P855" s="18" t="str">
        <f t="shared" si="89"/>
        <v>85</v>
      </c>
      <c r="Q855" s="8" t="s">
        <v>45</v>
      </c>
      <c r="R855" s="8">
        <v>0</v>
      </c>
      <c r="S855" s="8">
        <v>8</v>
      </c>
      <c r="T855" s="8">
        <f t="shared" si="84"/>
        <v>8</v>
      </c>
      <c r="U855" s="8">
        <v>1</v>
      </c>
      <c r="V855" s="8">
        <v>0</v>
      </c>
      <c r="W855" s="8">
        <v>1</v>
      </c>
      <c r="X855" s="8">
        <v>0</v>
      </c>
      <c r="Y855" s="8">
        <v>0</v>
      </c>
      <c r="Z855" s="8">
        <v>1</v>
      </c>
      <c r="AA855" s="8">
        <v>180</v>
      </c>
      <c r="AB855" s="9">
        <f t="shared" si="85"/>
        <v>0.5</v>
      </c>
      <c r="AC855" s="10">
        <f t="shared" si="87"/>
        <v>16</v>
      </c>
      <c r="AD855" s="8" t="s">
        <v>109</v>
      </c>
      <c r="AE855" s="11">
        <v>99990</v>
      </c>
      <c r="AF855" s="11">
        <f t="shared" si="88"/>
        <v>799920</v>
      </c>
      <c r="AG855" s="12" t="s">
        <v>64</v>
      </c>
      <c r="AH855" s="8" t="s">
        <v>35</v>
      </c>
    </row>
    <row r="856" spans="1:34">
      <c r="A856" s="8" t="s">
        <v>1193</v>
      </c>
      <c r="B856" s="16" t="s">
        <v>1081</v>
      </c>
      <c r="C856" s="8" t="s">
        <v>1030</v>
      </c>
      <c r="D856" s="8" t="s">
        <v>1030</v>
      </c>
      <c r="E856" s="8" t="str">
        <f t="shared" si="86"/>
        <v>SUELA</v>
      </c>
      <c r="H856" s="8" t="str">
        <f>VLOOKUP(A856,[1]BBDD!$B$1:$J$3274,9,FALSE)</f>
        <v>H</v>
      </c>
      <c r="I856" s="8" t="s">
        <v>2863</v>
      </c>
      <c r="J856" s="8" t="s">
        <v>1172</v>
      </c>
      <c r="L856" s="8" t="s">
        <v>82</v>
      </c>
      <c r="N856" s="8" t="s">
        <v>90</v>
      </c>
      <c r="O856" s="8" t="s">
        <v>90</v>
      </c>
      <c r="P856" s="18" t="str">
        <f t="shared" si="89"/>
        <v>115</v>
      </c>
      <c r="Q856" s="8" t="s">
        <v>45</v>
      </c>
      <c r="R856" s="8">
        <v>0</v>
      </c>
      <c r="S856" s="8">
        <v>6</v>
      </c>
      <c r="T856" s="8">
        <f t="shared" si="84"/>
        <v>6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180</v>
      </c>
      <c r="AB856" s="9">
        <f t="shared" si="85"/>
        <v>0</v>
      </c>
      <c r="AC856" s="10" t="str">
        <f t="shared" si="87"/>
        <v>sin venta</v>
      </c>
      <c r="AD856" s="8" t="s">
        <v>109</v>
      </c>
      <c r="AE856" s="11">
        <v>99990</v>
      </c>
      <c r="AF856" s="11">
        <f t="shared" si="88"/>
        <v>599940</v>
      </c>
      <c r="AG856" s="12" t="s">
        <v>73</v>
      </c>
      <c r="AH856" s="8" t="s">
        <v>35</v>
      </c>
    </row>
    <row r="857" spans="1:34">
      <c r="A857" s="8" t="s">
        <v>1194</v>
      </c>
      <c r="B857" s="16" t="s">
        <v>1081</v>
      </c>
      <c r="C857" s="8" t="s">
        <v>1030</v>
      </c>
      <c r="D857" s="8" t="s">
        <v>1030</v>
      </c>
      <c r="E857" s="8" t="str">
        <f t="shared" si="86"/>
        <v>SUELA</v>
      </c>
      <c r="H857" s="8" t="str">
        <f>VLOOKUP(A857,[1]BBDD!$B$1:$J$3274,9,FALSE)</f>
        <v>H</v>
      </c>
      <c r="I857" s="8" t="s">
        <v>2863</v>
      </c>
      <c r="J857" s="8" t="s">
        <v>1172</v>
      </c>
      <c r="L857" s="8" t="s">
        <v>82</v>
      </c>
      <c r="N857" s="8" t="s">
        <v>90</v>
      </c>
      <c r="O857" s="8" t="s">
        <v>90</v>
      </c>
      <c r="P857" s="18" t="str">
        <f t="shared" si="89"/>
        <v>120</v>
      </c>
      <c r="Q857" s="8" t="s">
        <v>45</v>
      </c>
      <c r="R857" s="8">
        <v>1</v>
      </c>
      <c r="S857" s="8">
        <v>5</v>
      </c>
      <c r="T857" s="8">
        <f t="shared" si="84"/>
        <v>6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180</v>
      </c>
      <c r="AB857" s="9">
        <f t="shared" si="85"/>
        <v>0</v>
      </c>
      <c r="AC857" s="10" t="str">
        <f t="shared" si="87"/>
        <v>sin venta</v>
      </c>
      <c r="AD857" s="8" t="s">
        <v>109</v>
      </c>
      <c r="AE857" s="11">
        <v>99990</v>
      </c>
      <c r="AF857" s="11">
        <f t="shared" si="88"/>
        <v>599940</v>
      </c>
      <c r="AG857" s="12" t="s">
        <v>73</v>
      </c>
      <c r="AH857" s="8" t="s">
        <v>35</v>
      </c>
    </row>
    <row r="858" spans="1:34">
      <c r="A858" s="8" t="s">
        <v>1195</v>
      </c>
      <c r="B858" s="16" t="s">
        <v>1081</v>
      </c>
      <c r="C858" s="8" t="s">
        <v>1030</v>
      </c>
      <c r="D858" s="8" t="s">
        <v>1030</v>
      </c>
      <c r="E858" s="8" t="str">
        <f t="shared" si="86"/>
        <v>SUELA</v>
      </c>
      <c r="H858" s="8" t="str">
        <f>VLOOKUP(A858,[1]BBDD!$B$1:$J$3274,9,FALSE)</f>
        <v>H</v>
      </c>
      <c r="I858" s="8" t="s">
        <v>2863</v>
      </c>
      <c r="J858" s="8" t="s">
        <v>1172</v>
      </c>
      <c r="L858" s="8" t="s">
        <v>82</v>
      </c>
      <c r="N858" s="8" t="s">
        <v>90</v>
      </c>
      <c r="O858" s="8" t="s">
        <v>90</v>
      </c>
      <c r="P858" s="18" t="str">
        <f t="shared" si="89"/>
        <v>85</v>
      </c>
      <c r="Q858" s="8" t="s">
        <v>45</v>
      </c>
      <c r="R858" s="8">
        <v>2</v>
      </c>
      <c r="S858" s="8">
        <v>8</v>
      </c>
      <c r="T858" s="8">
        <f t="shared" si="84"/>
        <v>10</v>
      </c>
      <c r="U858" s="8">
        <v>1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180</v>
      </c>
      <c r="AB858" s="9">
        <f t="shared" si="85"/>
        <v>0.16666666666666669</v>
      </c>
      <c r="AC858" s="10">
        <f t="shared" si="87"/>
        <v>59.999999999999993</v>
      </c>
      <c r="AD858" s="8" t="s">
        <v>109</v>
      </c>
      <c r="AE858" s="11">
        <v>99990</v>
      </c>
      <c r="AF858" s="11">
        <f t="shared" si="88"/>
        <v>999900</v>
      </c>
      <c r="AG858" s="12" t="s">
        <v>73</v>
      </c>
      <c r="AH858" s="8" t="s">
        <v>35</v>
      </c>
    </row>
    <row r="859" spans="1:34">
      <c r="A859" s="8" t="s">
        <v>1196</v>
      </c>
      <c r="B859" s="16" t="s">
        <v>2859</v>
      </c>
      <c r="C859" s="8" t="s">
        <v>1030</v>
      </c>
      <c r="D859" s="8" t="s">
        <v>1030</v>
      </c>
      <c r="E859" s="8" t="str">
        <f t="shared" si="86"/>
        <v>CARAMELO/VERDE 110</v>
      </c>
      <c r="H859" s="8" t="str">
        <f>VLOOKUP(A859,[1]BBDD!$B$1:$J$3274,9,FALSE)</f>
        <v>M</v>
      </c>
      <c r="I859" s="8" t="s">
        <v>2862</v>
      </c>
      <c r="J859" s="8" t="s">
        <v>1197</v>
      </c>
      <c r="L859" s="8" t="s">
        <v>566</v>
      </c>
      <c r="N859" s="8" t="s">
        <v>1198</v>
      </c>
      <c r="O859" s="20" t="s">
        <v>2877</v>
      </c>
      <c r="P859" s="18" t="str">
        <f t="shared" si="89"/>
        <v>110</v>
      </c>
      <c r="Q859" s="8" t="s">
        <v>45</v>
      </c>
      <c r="R859" s="8">
        <v>0</v>
      </c>
      <c r="S859" s="8">
        <v>5</v>
      </c>
      <c r="T859" s="8">
        <f t="shared" si="84"/>
        <v>5</v>
      </c>
      <c r="U859" s="8">
        <v>1</v>
      </c>
      <c r="V859" s="8">
        <v>0</v>
      </c>
      <c r="W859" s="8">
        <v>0</v>
      </c>
      <c r="X859" s="8">
        <v>1</v>
      </c>
      <c r="Y859" s="8">
        <v>0</v>
      </c>
      <c r="Z859" s="8">
        <v>0</v>
      </c>
      <c r="AA859" s="8">
        <v>180</v>
      </c>
      <c r="AB859" s="9">
        <f t="shared" si="85"/>
        <v>0.33333333333333337</v>
      </c>
      <c r="AC859" s="10">
        <f t="shared" si="87"/>
        <v>14.999999999999998</v>
      </c>
      <c r="AD859" s="8" t="s">
        <v>109</v>
      </c>
      <c r="AE859" s="11">
        <v>34990</v>
      </c>
      <c r="AF859" s="11">
        <f t="shared" si="88"/>
        <v>174950</v>
      </c>
      <c r="AG859" s="12" t="s">
        <v>64</v>
      </c>
      <c r="AH859" s="8" t="s">
        <v>35</v>
      </c>
    </row>
    <row r="860" spans="1:34">
      <c r="A860" s="8" t="s">
        <v>1199</v>
      </c>
      <c r="B860" s="16" t="s">
        <v>2859</v>
      </c>
      <c r="C860" s="8" t="s">
        <v>1030</v>
      </c>
      <c r="D860" s="8" t="s">
        <v>1030</v>
      </c>
      <c r="E860" s="8" t="str">
        <f t="shared" si="86"/>
        <v>CARAMELO/VERDE 130</v>
      </c>
      <c r="H860" s="8" t="str">
        <f>VLOOKUP(A860,[1]BBDD!$B$1:$J$3274,9,FALSE)</f>
        <v>M</v>
      </c>
      <c r="I860" s="8" t="s">
        <v>2862</v>
      </c>
      <c r="J860" s="8" t="s">
        <v>1197</v>
      </c>
      <c r="L860" s="8" t="s">
        <v>566</v>
      </c>
      <c r="N860" s="8" t="s">
        <v>1200</v>
      </c>
      <c r="O860" s="20" t="s">
        <v>2877</v>
      </c>
      <c r="P860" s="18" t="str">
        <f t="shared" si="89"/>
        <v>130</v>
      </c>
      <c r="Q860" s="8" t="s">
        <v>45</v>
      </c>
      <c r="R860" s="8">
        <v>0</v>
      </c>
      <c r="S860" s="8">
        <v>5</v>
      </c>
      <c r="T860" s="8">
        <f t="shared" si="84"/>
        <v>5</v>
      </c>
      <c r="U860" s="8">
        <v>2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180</v>
      </c>
      <c r="AB860" s="9">
        <f t="shared" si="85"/>
        <v>0.33333333333333337</v>
      </c>
      <c r="AC860" s="10">
        <f t="shared" si="87"/>
        <v>14.999999999999998</v>
      </c>
      <c r="AD860" s="8" t="s">
        <v>109</v>
      </c>
      <c r="AE860" s="11">
        <v>34990</v>
      </c>
      <c r="AF860" s="11">
        <f t="shared" si="88"/>
        <v>174950</v>
      </c>
      <c r="AG860" s="12" t="s">
        <v>64</v>
      </c>
      <c r="AH860" s="8" t="s">
        <v>35</v>
      </c>
    </row>
    <row r="861" spans="1:34">
      <c r="A861" s="8" t="s">
        <v>1201</v>
      </c>
      <c r="B861" s="16" t="s">
        <v>1029</v>
      </c>
      <c r="C861" s="8" t="s">
        <v>1030</v>
      </c>
      <c r="D861" s="8" t="s">
        <v>1030</v>
      </c>
      <c r="E861" s="8" t="str">
        <f t="shared" si="86"/>
        <v>CARAMELO</v>
      </c>
      <c r="H861" s="8" t="str">
        <f>VLOOKUP(A861,[1]BBDD!$B$1:$J$3274,9,FALSE)</f>
        <v>M</v>
      </c>
      <c r="I861" s="8" t="s">
        <v>2862</v>
      </c>
      <c r="J861" s="8" t="s">
        <v>1202</v>
      </c>
      <c r="L861" s="8" t="s">
        <v>82</v>
      </c>
      <c r="N861" s="8" t="s">
        <v>62</v>
      </c>
      <c r="O861" s="8" t="s">
        <v>62</v>
      </c>
      <c r="P861" s="18" t="str">
        <f t="shared" si="89"/>
        <v>100</v>
      </c>
      <c r="Q861" s="8" t="s">
        <v>45</v>
      </c>
      <c r="R861" s="8">
        <v>0</v>
      </c>
      <c r="S861" s="8">
        <v>5</v>
      </c>
      <c r="T861" s="8">
        <f t="shared" si="84"/>
        <v>5</v>
      </c>
      <c r="U861" s="8">
        <v>0</v>
      </c>
      <c r="V861" s="8">
        <v>0</v>
      </c>
      <c r="W861" s="8">
        <v>0</v>
      </c>
      <c r="X861" s="8">
        <v>0</v>
      </c>
      <c r="Y861" s="8">
        <v>1</v>
      </c>
      <c r="Z861" s="8">
        <v>0</v>
      </c>
      <c r="AA861" s="8">
        <v>180</v>
      </c>
      <c r="AB861" s="9">
        <f t="shared" si="85"/>
        <v>0.16666666666666669</v>
      </c>
      <c r="AC861" s="10">
        <f t="shared" si="87"/>
        <v>29.999999999999996</v>
      </c>
      <c r="AD861" s="8" t="s">
        <v>109</v>
      </c>
      <c r="AE861" s="11">
        <v>55990</v>
      </c>
      <c r="AF861" s="11">
        <f t="shared" si="88"/>
        <v>279950</v>
      </c>
      <c r="AG861" s="12" t="s">
        <v>73</v>
      </c>
      <c r="AH861" s="8" t="s">
        <v>35</v>
      </c>
    </row>
    <row r="862" spans="1:34">
      <c r="A862" s="8" t="s">
        <v>1203</v>
      </c>
      <c r="B862" s="16" t="s">
        <v>1029</v>
      </c>
      <c r="C862" s="8" t="s">
        <v>1030</v>
      </c>
      <c r="D862" s="8" t="s">
        <v>1030</v>
      </c>
      <c r="E862" s="8" t="str">
        <f t="shared" si="86"/>
        <v>CARAMELO</v>
      </c>
      <c r="H862" s="8" t="str">
        <f>VLOOKUP(A862,[1]BBDD!$B$1:$J$3274,9,FALSE)</f>
        <v>M</v>
      </c>
      <c r="I862" s="8" t="s">
        <v>2862</v>
      </c>
      <c r="J862" s="8" t="s">
        <v>1202</v>
      </c>
      <c r="L862" s="8" t="s">
        <v>82</v>
      </c>
      <c r="N862" s="8" t="s">
        <v>62</v>
      </c>
      <c r="O862" s="8" t="s">
        <v>62</v>
      </c>
      <c r="P862" s="18" t="str">
        <f t="shared" si="89"/>
        <v>105</v>
      </c>
      <c r="Q862" s="8" t="s">
        <v>45</v>
      </c>
      <c r="R862" s="8">
        <v>0</v>
      </c>
      <c r="S862" s="8">
        <v>1</v>
      </c>
      <c r="T862" s="8">
        <f t="shared" si="84"/>
        <v>1</v>
      </c>
      <c r="U862" s="8">
        <v>0</v>
      </c>
      <c r="V862" s="8">
        <v>0</v>
      </c>
      <c r="W862" s="8">
        <v>2</v>
      </c>
      <c r="X862" s="8">
        <v>0</v>
      </c>
      <c r="Y862" s="8">
        <v>0</v>
      </c>
      <c r="Z862" s="8">
        <v>0</v>
      </c>
      <c r="AA862" s="8">
        <v>180</v>
      </c>
      <c r="AB862" s="9">
        <f t="shared" si="85"/>
        <v>0.33333333333333337</v>
      </c>
      <c r="AC862" s="10">
        <f t="shared" si="87"/>
        <v>2.9999999999999996</v>
      </c>
      <c r="AD862" s="8" t="s">
        <v>109</v>
      </c>
      <c r="AE862" s="11">
        <v>55990</v>
      </c>
      <c r="AF862" s="11">
        <f t="shared" si="88"/>
        <v>55990</v>
      </c>
      <c r="AG862" s="12" t="s">
        <v>34</v>
      </c>
      <c r="AH862" s="8" t="s">
        <v>35</v>
      </c>
    </row>
    <row r="863" spans="1:34">
      <c r="A863" s="8" t="s">
        <v>1204</v>
      </c>
      <c r="B863" s="16" t="s">
        <v>1029</v>
      </c>
      <c r="C863" s="8" t="s">
        <v>1030</v>
      </c>
      <c r="D863" s="8" t="s">
        <v>1030</v>
      </c>
      <c r="E863" s="8" t="str">
        <f t="shared" si="86"/>
        <v>CARAMELO</v>
      </c>
      <c r="H863" s="8" t="str">
        <f>VLOOKUP(A863,[1]BBDD!$B$1:$J$3274,9,FALSE)</f>
        <v>M</v>
      </c>
      <c r="I863" s="8" t="s">
        <v>2862</v>
      </c>
      <c r="J863" s="8" t="s">
        <v>1202</v>
      </c>
      <c r="L863" s="8" t="s">
        <v>82</v>
      </c>
      <c r="N863" s="8" t="s">
        <v>62</v>
      </c>
      <c r="O863" s="8" t="s">
        <v>62</v>
      </c>
      <c r="P863" s="18" t="str">
        <f t="shared" si="89"/>
        <v>110</v>
      </c>
      <c r="Q863" s="8" t="s">
        <v>45</v>
      </c>
      <c r="R863" s="8">
        <v>0</v>
      </c>
      <c r="S863" s="8">
        <v>5</v>
      </c>
      <c r="T863" s="8">
        <f t="shared" si="84"/>
        <v>5</v>
      </c>
      <c r="U863" s="8">
        <v>1</v>
      </c>
      <c r="V863" s="8">
        <v>1</v>
      </c>
      <c r="W863" s="8">
        <v>0</v>
      </c>
      <c r="X863" s="8">
        <v>1</v>
      </c>
      <c r="Y863" s="8">
        <v>0</v>
      </c>
      <c r="Z863" s="8">
        <v>0</v>
      </c>
      <c r="AA863" s="8">
        <v>180</v>
      </c>
      <c r="AB863" s="9">
        <f t="shared" si="85"/>
        <v>0.5</v>
      </c>
      <c r="AC863" s="10">
        <f t="shared" si="87"/>
        <v>10</v>
      </c>
      <c r="AD863" s="8" t="s">
        <v>109</v>
      </c>
      <c r="AE863" s="11">
        <v>55990</v>
      </c>
      <c r="AF863" s="11">
        <f t="shared" si="88"/>
        <v>279950</v>
      </c>
      <c r="AG863" s="12" t="s">
        <v>51</v>
      </c>
      <c r="AH863" s="8" t="s">
        <v>35</v>
      </c>
    </row>
    <row r="864" spans="1:34">
      <c r="A864" s="8" t="s">
        <v>1205</v>
      </c>
      <c r="B864" s="16" t="s">
        <v>1029</v>
      </c>
      <c r="C864" s="8" t="s">
        <v>1030</v>
      </c>
      <c r="D864" s="8" t="s">
        <v>1030</v>
      </c>
      <c r="E864" s="8" t="str">
        <f t="shared" si="86"/>
        <v>CARAMELO</v>
      </c>
      <c r="H864" s="8" t="str">
        <f>VLOOKUP(A864,[1]BBDD!$B$1:$J$3274,9,FALSE)</f>
        <v>M</v>
      </c>
      <c r="I864" s="8" t="s">
        <v>2862</v>
      </c>
      <c r="J864" s="8" t="s">
        <v>1202</v>
      </c>
      <c r="L864" s="8" t="s">
        <v>82</v>
      </c>
      <c r="N864" s="8" t="s">
        <v>62</v>
      </c>
      <c r="O864" s="8" t="s">
        <v>62</v>
      </c>
      <c r="P864" s="18" t="str">
        <f t="shared" si="89"/>
        <v>115</v>
      </c>
      <c r="Q864" s="8" t="s">
        <v>45</v>
      </c>
      <c r="R864" s="8">
        <v>6</v>
      </c>
      <c r="S864" s="8">
        <v>7</v>
      </c>
      <c r="T864" s="8">
        <f t="shared" si="84"/>
        <v>13</v>
      </c>
      <c r="U864" s="8">
        <v>1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180</v>
      </c>
      <c r="AB864" s="9">
        <f t="shared" si="85"/>
        <v>0.16666666666666669</v>
      </c>
      <c r="AC864" s="10">
        <f t="shared" si="87"/>
        <v>77.999999999999986</v>
      </c>
      <c r="AD864" s="8" t="s">
        <v>109</v>
      </c>
      <c r="AE864" s="11">
        <v>55990</v>
      </c>
      <c r="AF864" s="11">
        <f t="shared" si="88"/>
        <v>727870</v>
      </c>
      <c r="AG864" s="12" t="s">
        <v>73</v>
      </c>
      <c r="AH864" s="8" t="s">
        <v>65</v>
      </c>
    </row>
    <row r="865" spans="1:34">
      <c r="A865" s="8" t="s">
        <v>1206</v>
      </c>
      <c r="B865" s="16" t="s">
        <v>1029</v>
      </c>
      <c r="C865" s="8" t="s">
        <v>1030</v>
      </c>
      <c r="D865" s="8" t="s">
        <v>1030</v>
      </c>
      <c r="E865" s="8" t="str">
        <f t="shared" si="86"/>
        <v>CARAMELO</v>
      </c>
      <c r="H865" s="8" t="str">
        <f>VLOOKUP(A865,[1]BBDD!$B$1:$J$3274,9,FALSE)</f>
        <v>M</v>
      </c>
      <c r="I865" s="8" t="s">
        <v>2862</v>
      </c>
      <c r="J865" s="8" t="s">
        <v>1202</v>
      </c>
      <c r="L865" s="8" t="s">
        <v>82</v>
      </c>
      <c r="N865" s="8" t="s">
        <v>62</v>
      </c>
      <c r="O865" s="8" t="s">
        <v>62</v>
      </c>
      <c r="P865" s="18" t="str">
        <f t="shared" si="89"/>
        <v>120</v>
      </c>
      <c r="Q865" s="8" t="s">
        <v>45</v>
      </c>
      <c r="R865" s="8">
        <v>4</v>
      </c>
      <c r="S865" s="8">
        <v>9</v>
      </c>
      <c r="T865" s="8">
        <f t="shared" si="84"/>
        <v>13</v>
      </c>
      <c r="U865" s="8">
        <v>0</v>
      </c>
      <c r="V865" s="8">
        <v>0</v>
      </c>
      <c r="W865" s="8">
        <v>0</v>
      </c>
      <c r="X865" s="8">
        <v>0</v>
      </c>
      <c r="Y865" s="8">
        <v>1</v>
      </c>
      <c r="Z865" s="8">
        <v>0</v>
      </c>
      <c r="AA865" s="8">
        <v>180</v>
      </c>
      <c r="AB865" s="9">
        <f t="shared" si="85"/>
        <v>0.16666666666666669</v>
      </c>
      <c r="AC865" s="10">
        <f t="shared" si="87"/>
        <v>77.999999999999986</v>
      </c>
      <c r="AD865" s="8" t="s">
        <v>109</v>
      </c>
      <c r="AE865" s="11">
        <v>55990</v>
      </c>
      <c r="AF865" s="11">
        <f t="shared" si="88"/>
        <v>727870</v>
      </c>
      <c r="AG865" s="12" t="s">
        <v>73</v>
      </c>
      <c r="AH865" s="8" t="s">
        <v>65</v>
      </c>
    </row>
    <row r="866" spans="1:34">
      <c r="A866" s="8" t="s">
        <v>1207</v>
      </c>
      <c r="B866" s="16" t="s">
        <v>1029</v>
      </c>
      <c r="C866" s="8" t="s">
        <v>1030</v>
      </c>
      <c r="D866" s="8" t="s">
        <v>1030</v>
      </c>
      <c r="E866" s="8" t="str">
        <f t="shared" si="86"/>
        <v>CARAMELO</v>
      </c>
      <c r="H866" s="8" t="str">
        <f>VLOOKUP(A866,[1]BBDD!$B$1:$J$3274,9,FALSE)</f>
        <v>M</v>
      </c>
      <c r="I866" s="8" t="s">
        <v>2862</v>
      </c>
      <c r="J866" s="8" t="s">
        <v>1202</v>
      </c>
      <c r="L866" s="8" t="s">
        <v>82</v>
      </c>
      <c r="N866" s="8" t="s">
        <v>62</v>
      </c>
      <c r="O866" s="8" t="s">
        <v>62</v>
      </c>
      <c r="P866" s="18" t="str">
        <f t="shared" si="89"/>
        <v>85</v>
      </c>
      <c r="Q866" s="8" t="s">
        <v>45</v>
      </c>
      <c r="R866" s="8">
        <v>0</v>
      </c>
      <c r="S866" s="8">
        <v>1</v>
      </c>
      <c r="T866" s="8">
        <f t="shared" si="84"/>
        <v>1</v>
      </c>
      <c r="U866" s="8">
        <v>0</v>
      </c>
      <c r="V866" s="8">
        <v>0</v>
      </c>
      <c r="W866" s="8">
        <v>1</v>
      </c>
      <c r="X866" s="8">
        <v>0</v>
      </c>
      <c r="Y866" s="8">
        <v>0</v>
      </c>
      <c r="Z866" s="8">
        <v>0</v>
      </c>
      <c r="AA866" s="8">
        <v>180</v>
      </c>
      <c r="AB866" s="9">
        <f t="shared" si="85"/>
        <v>0.16666666666666669</v>
      </c>
      <c r="AC866" s="10">
        <f t="shared" si="87"/>
        <v>5.9999999999999991</v>
      </c>
      <c r="AD866" s="8" t="s">
        <v>109</v>
      </c>
      <c r="AE866" s="11">
        <v>55990</v>
      </c>
      <c r="AF866" s="11">
        <f t="shared" si="88"/>
        <v>55990</v>
      </c>
      <c r="AG866" s="12" t="s">
        <v>34</v>
      </c>
      <c r="AH866" s="8" t="s">
        <v>35</v>
      </c>
    </row>
    <row r="867" spans="1:34">
      <c r="A867" s="8" t="s">
        <v>1208</v>
      </c>
      <c r="B867" s="16" t="s">
        <v>1029</v>
      </c>
      <c r="C867" s="8" t="s">
        <v>1030</v>
      </c>
      <c r="D867" s="8" t="s">
        <v>1030</v>
      </c>
      <c r="E867" s="8" t="str">
        <f t="shared" si="86"/>
        <v>CARAMELO</v>
      </c>
      <c r="H867" s="8" t="str">
        <f>VLOOKUP(A867,[1]BBDD!$B$1:$J$3274,9,FALSE)</f>
        <v>M</v>
      </c>
      <c r="I867" s="8" t="s">
        <v>2862</v>
      </c>
      <c r="J867" s="8" t="s">
        <v>1202</v>
      </c>
      <c r="L867" s="8" t="s">
        <v>82</v>
      </c>
      <c r="N867" s="8" t="s">
        <v>62</v>
      </c>
      <c r="O867" s="8" t="s">
        <v>62</v>
      </c>
      <c r="P867" s="18" t="str">
        <f t="shared" si="89"/>
        <v>90</v>
      </c>
      <c r="Q867" s="8" t="s">
        <v>45</v>
      </c>
      <c r="R867" s="8">
        <v>0</v>
      </c>
      <c r="S867" s="8">
        <v>4</v>
      </c>
      <c r="T867" s="8">
        <f t="shared" si="84"/>
        <v>4</v>
      </c>
      <c r="U867" s="8">
        <v>1</v>
      </c>
      <c r="V867" s="8">
        <v>0</v>
      </c>
      <c r="W867" s="8">
        <v>1</v>
      </c>
      <c r="X867" s="8">
        <v>0</v>
      </c>
      <c r="Y867" s="8">
        <v>1</v>
      </c>
      <c r="Z867" s="8">
        <v>1</v>
      </c>
      <c r="AA867" s="8">
        <v>180</v>
      </c>
      <c r="AB867" s="9">
        <f t="shared" si="85"/>
        <v>0.66666666666666674</v>
      </c>
      <c r="AC867" s="10">
        <f t="shared" si="87"/>
        <v>5.9999999999999991</v>
      </c>
      <c r="AD867" s="8" t="s">
        <v>109</v>
      </c>
      <c r="AE867" s="11">
        <v>55990</v>
      </c>
      <c r="AF867" s="11">
        <f t="shared" si="88"/>
        <v>223960</v>
      </c>
      <c r="AG867" s="12" t="s">
        <v>34</v>
      </c>
      <c r="AH867" s="8" t="s">
        <v>35</v>
      </c>
    </row>
    <row r="868" spans="1:34">
      <c r="A868" s="8" t="s">
        <v>1209</v>
      </c>
      <c r="B868" s="16" t="s">
        <v>2860</v>
      </c>
      <c r="C868" s="8" t="s">
        <v>1030</v>
      </c>
      <c r="D868" s="8" t="s">
        <v>1030</v>
      </c>
      <c r="E868" s="8" t="str">
        <f t="shared" si="86"/>
        <v>SUELA</v>
      </c>
      <c r="H868" s="8" t="str">
        <f>VLOOKUP(A868,[1]BBDD!$B$1:$J$3274,9,FALSE)</f>
        <v>H</v>
      </c>
      <c r="I868" s="8" t="s">
        <v>2863</v>
      </c>
      <c r="J868" s="8" t="s">
        <v>1210</v>
      </c>
      <c r="L868" s="8" t="s">
        <v>1211</v>
      </c>
      <c r="N868" s="8" t="s">
        <v>90</v>
      </c>
      <c r="O868" s="8" t="s">
        <v>90</v>
      </c>
      <c r="P868" s="18" t="str">
        <f t="shared" si="89"/>
        <v>90</v>
      </c>
      <c r="Q868" s="8" t="s">
        <v>32</v>
      </c>
      <c r="R868" s="8">
        <v>0</v>
      </c>
      <c r="S868" s="8">
        <v>1</v>
      </c>
      <c r="T868" s="8">
        <f t="shared" si="84"/>
        <v>1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180</v>
      </c>
      <c r="AB868" s="9">
        <f t="shared" si="85"/>
        <v>0</v>
      </c>
      <c r="AC868" s="10" t="str">
        <f t="shared" si="87"/>
        <v>sin venta</v>
      </c>
      <c r="AD868" s="8" t="s">
        <v>33</v>
      </c>
      <c r="AE868" s="11">
        <v>79990</v>
      </c>
      <c r="AF868" s="11">
        <f t="shared" si="88"/>
        <v>79990</v>
      </c>
      <c r="AG868" s="12" t="s">
        <v>73</v>
      </c>
      <c r="AH868" s="8" t="s">
        <v>35</v>
      </c>
    </row>
    <row r="869" spans="1:34">
      <c r="A869" s="8" t="s">
        <v>1212</v>
      </c>
      <c r="B869" s="16" t="s">
        <v>2860</v>
      </c>
      <c r="C869" s="8" t="s">
        <v>1030</v>
      </c>
      <c r="D869" s="8" t="s">
        <v>1030</v>
      </c>
      <c r="E869" s="8" t="str">
        <f t="shared" si="86"/>
        <v>SUELA</v>
      </c>
      <c r="H869" s="8" t="str">
        <f>VLOOKUP(A869,[1]BBDD!$B$1:$J$3274,9,FALSE)</f>
        <v>H</v>
      </c>
      <c r="I869" s="8" t="s">
        <v>2863</v>
      </c>
      <c r="J869" s="8" t="s">
        <v>1210</v>
      </c>
      <c r="L869" s="8" t="s">
        <v>1211</v>
      </c>
      <c r="N869" s="8" t="s">
        <v>90</v>
      </c>
      <c r="O869" s="8" t="s">
        <v>90</v>
      </c>
      <c r="P869" s="18" t="str">
        <f t="shared" si="89"/>
        <v>95</v>
      </c>
      <c r="Q869" s="8" t="s">
        <v>32</v>
      </c>
      <c r="R869" s="8">
        <v>0</v>
      </c>
      <c r="S869" s="8">
        <v>0</v>
      </c>
      <c r="T869" s="8">
        <f t="shared" si="84"/>
        <v>0</v>
      </c>
      <c r="U869" s="8">
        <v>0</v>
      </c>
      <c r="V869" s="8">
        <v>0</v>
      </c>
      <c r="W869" s="8">
        <v>0</v>
      </c>
      <c r="X869" s="8">
        <v>1</v>
      </c>
      <c r="Y869" s="8">
        <v>0</v>
      </c>
      <c r="Z869" s="8">
        <v>0</v>
      </c>
      <c r="AA869" s="8">
        <v>180</v>
      </c>
      <c r="AB869" s="9">
        <f t="shared" si="85"/>
        <v>0.16666666666666669</v>
      </c>
      <c r="AC869" s="10">
        <f t="shared" si="87"/>
        <v>0</v>
      </c>
      <c r="AD869" s="8" t="s">
        <v>33</v>
      </c>
      <c r="AE869" s="11">
        <v>79990</v>
      </c>
      <c r="AF869" s="11">
        <f t="shared" si="88"/>
        <v>0</v>
      </c>
      <c r="AG869" s="12" t="s">
        <v>34</v>
      </c>
      <c r="AH869" s="8" t="s">
        <v>35</v>
      </c>
    </row>
    <row r="870" spans="1:34">
      <c r="A870" s="8" t="s">
        <v>1213</v>
      </c>
      <c r="B870" s="16" t="s">
        <v>2860</v>
      </c>
      <c r="C870" s="8" t="s">
        <v>1030</v>
      </c>
      <c r="D870" s="8" t="s">
        <v>1030</v>
      </c>
      <c r="E870" s="8" t="str">
        <f t="shared" si="86"/>
        <v>NEGRO</v>
      </c>
      <c r="H870" s="8" t="str">
        <f>VLOOKUP(A870,[1]BBDD!$B$1:$J$3274,9,FALSE)</f>
        <v>H</v>
      </c>
      <c r="I870" s="8" t="s">
        <v>2863</v>
      </c>
      <c r="J870" s="8" t="s">
        <v>1210</v>
      </c>
      <c r="L870" s="8" t="s">
        <v>1211</v>
      </c>
      <c r="N870" s="8" t="s">
        <v>44</v>
      </c>
      <c r="O870" s="8" t="s">
        <v>44</v>
      </c>
      <c r="P870" s="18" t="str">
        <f t="shared" si="89"/>
        <v>100</v>
      </c>
      <c r="Q870" s="8" t="s">
        <v>32</v>
      </c>
      <c r="R870" s="8">
        <v>3</v>
      </c>
      <c r="S870" s="8">
        <v>3</v>
      </c>
      <c r="T870" s="8">
        <f t="shared" si="84"/>
        <v>6</v>
      </c>
      <c r="U870" s="8">
        <v>1</v>
      </c>
      <c r="V870" s="8">
        <v>0</v>
      </c>
      <c r="W870" s="8">
        <v>1</v>
      </c>
      <c r="X870" s="8">
        <v>0</v>
      </c>
      <c r="Y870" s="8">
        <v>0</v>
      </c>
      <c r="Z870" s="8">
        <v>0</v>
      </c>
      <c r="AA870" s="8">
        <v>180</v>
      </c>
      <c r="AB870" s="9">
        <f t="shared" si="85"/>
        <v>0.33333333333333337</v>
      </c>
      <c r="AC870" s="10">
        <f t="shared" si="87"/>
        <v>17.999999999999996</v>
      </c>
      <c r="AD870" s="8" t="s">
        <v>33</v>
      </c>
      <c r="AE870" s="11">
        <v>79990</v>
      </c>
      <c r="AF870" s="11">
        <f t="shared" si="88"/>
        <v>479940</v>
      </c>
      <c r="AG870" s="12" t="s">
        <v>64</v>
      </c>
      <c r="AH870" s="8" t="s">
        <v>35</v>
      </c>
    </row>
    <row r="871" spans="1:34">
      <c r="A871" s="8" t="s">
        <v>1214</v>
      </c>
      <c r="B871" s="16" t="s">
        <v>2860</v>
      </c>
      <c r="C871" s="8" t="s">
        <v>1030</v>
      </c>
      <c r="D871" s="8" t="s">
        <v>1030</v>
      </c>
      <c r="E871" s="8" t="str">
        <f t="shared" si="86"/>
        <v>NEGRO</v>
      </c>
      <c r="H871" s="8" t="str">
        <f>VLOOKUP(A871,[1]BBDD!$B$1:$J$3274,9,FALSE)</f>
        <v>H</v>
      </c>
      <c r="I871" s="8" t="s">
        <v>2863</v>
      </c>
      <c r="J871" s="8" t="s">
        <v>1210</v>
      </c>
      <c r="L871" s="8" t="s">
        <v>1211</v>
      </c>
      <c r="N871" s="8" t="s">
        <v>44</v>
      </c>
      <c r="O871" s="8" t="s">
        <v>44</v>
      </c>
      <c r="P871" s="18" t="str">
        <f t="shared" si="89"/>
        <v>105</v>
      </c>
      <c r="Q871" s="8" t="s">
        <v>32</v>
      </c>
      <c r="R871" s="8">
        <v>3</v>
      </c>
      <c r="S871" s="8">
        <v>4</v>
      </c>
      <c r="T871" s="8">
        <f t="shared" si="84"/>
        <v>7</v>
      </c>
      <c r="U871" s="8">
        <v>0</v>
      </c>
      <c r="V871" s="8">
        <v>0</v>
      </c>
      <c r="W871" s="8">
        <v>0</v>
      </c>
      <c r="X871" s="8">
        <v>1</v>
      </c>
      <c r="Y871" s="8">
        <v>1</v>
      </c>
      <c r="Z871" s="8">
        <v>0</v>
      </c>
      <c r="AA871" s="8">
        <v>180</v>
      </c>
      <c r="AB871" s="9">
        <f t="shared" si="85"/>
        <v>0.33333333333333337</v>
      </c>
      <c r="AC871" s="10">
        <f t="shared" si="87"/>
        <v>20.999999999999996</v>
      </c>
      <c r="AD871" s="8" t="s">
        <v>33</v>
      </c>
      <c r="AE871" s="11">
        <v>79990</v>
      </c>
      <c r="AF871" s="11">
        <f t="shared" si="88"/>
        <v>559930</v>
      </c>
      <c r="AG871" s="12" t="s">
        <v>64</v>
      </c>
      <c r="AH871" s="8" t="s">
        <v>35</v>
      </c>
    </row>
    <row r="872" spans="1:34">
      <c r="A872" s="8" t="s">
        <v>1215</v>
      </c>
      <c r="B872" s="16" t="s">
        <v>2860</v>
      </c>
      <c r="C872" s="8" t="s">
        <v>1030</v>
      </c>
      <c r="D872" s="8" t="s">
        <v>1030</v>
      </c>
      <c r="E872" s="8" t="str">
        <f t="shared" si="86"/>
        <v>NEGRO</v>
      </c>
      <c r="H872" s="8" t="str">
        <f>VLOOKUP(A872,[1]BBDD!$B$1:$J$3274,9,FALSE)</f>
        <v>H</v>
      </c>
      <c r="I872" s="8" t="s">
        <v>2863</v>
      </c>
      <c r="J872" s="8" t="s">
        <v>1210</v>
      </c>
      <c r="L872" s="8" t="s">
        <v>1211</v>
      </c>
      <c r="N872" s="8" t="s">
        <v>44</v>
      </c>
      <c r="O872" s="8" t="s">
        <v>44</v>
      </c>
      <c r="P872" s="18" t="str">
        <f t="shared" si="89"/>
        <v>110</v>
      </c>
      <c r="Q872" s="8" t="s">
        <v>32</v>
      </c>
      <c r="R872" s="8">
        <v>1</v>
      </c>
      <c r="S872" s="8">
        <v>5</v>
      </c>
      <c r="T872" s="8">
        <f t="shared" si="84"/>
        <v>6</v>
      </c>
      <c r="U872" s="8">
        <v>0</v>
      </c>
      <c r="V872" s="8">
        <v>2</v>
      </c>
      <c r="W872" s="8">
        <v>0</v>
      </c>
      <c r="X872" s="8">
        <v>1</v>
      </c>
      <c r="Y872" s="8">
        <v>0</v>
      </c>
      <c r="Z872" s="8">
        <v>1</v>
      </c>
      <c r="AA872" s="8">
        <v>180</v>
      </c>
      <c r="AB872" s="9">
        <f t="shared" si="85"/>
        <v>0.66666666666666674</v>
      </c>
      <c r="AC872" s="10">
        <f t="shared" si="87"/>
        <v>8.9999999999999982</v>
      </c>
      <c r="AD872" s="8" t="s">
        <v>33</v>
      </c>
      <c r="AE872" s="11">
        <v>79990</v>
      </c>
      <c r="AF872" s="11">
        <f t="shared" si="88"/>
        <v>479940</v>
      </c>
      <c r="AG872" s="12" t="s">
        <v>51</v>
      </c>
      <c r="AH872" s="8" t="s">
        <v>35</v>
      </c>
    </row>
    <row r="873" spans="1:34">
      <c r="A873" s="8" t="s">
        <v>1216</v>
      </c>
      <c r="B873" s="16" t="s">
        <v>2860</v>
      </c>
      <c r="C873" s="8" t="s">
        <v>1030</v>
      </c>
      <c r="D873" s="8" t="s">
        <v>1030</v>
      </c>
      <c r="E873" s="8" t="str">
        <f t="shared" si="86"/>
        <v>NEGRO</v>
      </c>
      <c r="H873" s="8" t="str">
        <f>VLOOKUP(A873,[1]BBDD!$B$1:$J$3274,9,FALSE)</f>
        <v>H</v>
      </c>
      <c r="I873" s="8" t="s">
        <v>2863</v>
      </c>
      <c r="J873" s="8" t="s">
        <v>1210</v>
      </c>
      <c r="L873" s="8" t="s">
        <v>1211</v>
      </c>
      <c r="N873" s="8" t="s">
        <v>44</v>
      </c>
      <c r="O873" s="8" t="s">
        <v>44</v>
      </c>
      <c r="P873" s="18" t="str">
        <f t="shared" si="89"/>
        <v>115</v>
      </c>
      <c r="Q873" s="8" t="s">
        <v>32</v>
      </c>
      <c r="R873" s="8">
        <v>1</v>
      </c>
      <c r="S873" s="8">
        <v>3</v>
      </c>
      <c r="T873" s="8">
        <f t="shared" si="84"/>
        <v>4</v>
      </c>
      <c r="U873" s="8">
        <v>0</v>
      </c>
      <c r="V873" s="8">
        <v>0</v>
      </c>
      <c r="W873" s="8">
        <v>0</v>
      </c>
      <c r="X873" s="8">
        <v>1</v>
      </c>
      <c r="Y873" s="8">
        <v>0</v>
      </c>
      <c r="Z873" s="8">
        <v>0</v>
      </c>
      <c r="AA873" s="8">
        <v>180</v>
      </c>
      <c r="AB873" s="9">
        <f t="shared" si="85"/>
        <v>0.16666666666666669</v>
      </c>
      <c r="AC873" s="10">
        <f t="shared" si="87"/>
        <v>23.999999999999996</v>
      </c>
      <c r="AD873" s="8" t="s">
        <v>33</v>
      </c>
      <c r="AE873" s="11">
        <v>79990</v>
      </c>
      <c r="AF873" s="11">
        <f t="shared" si="88"/>
        <v>319960</v>
      </c>
      <c r="AG873" s="12" t="s">
        <v>64</v>
      </c>
      <c r="AH873" s="8" t="s">
        <v>35</v>
      </c>
    </row>
    <row r="874" spans="1:34">
      <c r="A874" s="8" t="s">
        <v>1217</v>
      </c>
      <c r="B874" s="16" t="s">
        <v>2860</v>
      </c>
      <c r="C874" s="8" t="s">
        <v>1030</v>
      </c>
      <c r="D874" s="8" t="s">
        <v>1030</v>
      </c>
      <c r="E874" s="8" t="str">
        <f t="shared" si="86"/>
        <v>NEGRO</v>
      </c>
      <c r="H874" s="8" t="str">
        <f>VLOOKUP(A874,[1]BBDD!$B$1:$J$3274,9,FALSE)</f>
        <v>H</v>
      </c>
      <c r="I874" s="8" t="s">
        <v>2863</v>
      </c>
      <c r="J874" s="8" t="s">
        <v>1210</v>
      </c>
      <c r="L874" s="8" t="s">
        <v>1211</v>
      </c>
      <c r="N874" s="8" t="s">
        <v>44</v>
      </c>
      <c r="O874" s="8" t="s">
        <v>44</v>
      </c>
      <c r="P874" s="18" t="str">
        <f t="shared" si="89"/>
        <v>85</v>
      </c>
      <c r="Q874" s="8" t="s">
        <v>32</v>
      </c>
      <c r="R874" s="8">
        <v>4</v>
      </c>
      <c r="S874" s="8">
        <v>5</v>
      </c>
      <c r="T874" s="8">
        <f t="shared" si="84"/>
        <v>9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180</v>
      </c>
      <c r="AB874" s="9">
        <f t="shared" si="85"/>
        <v>0</v>
      </c>
      <c r="AC874" s="10" t="str">
        <f t="shared" si="87"/>
        <v>sin venta</v>
      </c>
      <c r="AD874" s="8" t="s">
        <v>33</v>
      </c>
      <c r="AE874" s="11">
        <v>79990</v>
      </c>
      <c r="AF874" s="11">
        <f t="shared" si="88"/>
        <v>719910</v>
      </c>
      <c r="AG874" s="12" t="s">
        <v>73</v>
      </c>
      <c r="AH874" s="8" t="s">
        <v>35</v>
      </c>
    </row>
    <row r="875" spans="1:34">
      <c r="A875" s="8" t="s">
        <v>1218</v>
      </c>
      <c r="B875" s="16" t="s">
        <v>2860</v>
      </c>
      <c r="C875" s="8" t="s">
        <v>1030</v>
      </c>
      <c r="D875" s="8" t="s">
        <v>1030</v>
      </c>
      <c r="E875" s="8" t="str">
        <f t="shared" si="86"/>
        <v>NEGRO</v>
      </c>
      <c r="H875" s="8" t="str">
        <f>VLOOKUP(A875,[1]BBDD!$B$1:$J$3274,9,FALSE)</f>
        <v>H</v>
      </c>
      <c r="I875" s="8" t="s">
        <v>2863</v>
      </c>
      <c r="J875" s="8" t="s">
        <v>1210</v>
      </c>
      <c r="L875" s="8" t="s">
        <v>1211</v>
      </c>
      <c r="N875" s="8" t="s">
        <v>44</v>
      </c>
      <c r="O875" s="8" t="s">
        <v>44</v>
      </c>
      <c r="P875" s="18" t="str">
        <f t="shared" si="89"/>
        <v>90</v>
      </c>
      <c r="Q875" s="8" t="s">
        <v>32</v>
      </c>
      <c r="R875" s="8">
        <v>4</v>
      </c>
      <c r="S875" s="8">
        <v>4</v>
      </c>
      <c r="T875" s="8">
        <f t="shared" si="84"/>
        <v>8</v>
      </c>
      <c r="U875" s="8">
        <v>0</v>
      </c>
      <c r="V875" s="8">
        <v>0</v>
      </c>
      <c r="W875" s="8">
        <v>0</v>
      </c>
      <c r="X875" s="8">
        <v>1</v>
      </c>
      <c r="Y875" s="8">
        <v>1</v>
      </c>
      <c r="Z875" s="8">
        <v>0</v>
      </c>
      <c r="AA875" s="8">
        <v>180</v>
      </c>
      <c r="AB875" s="9">
        <f t="shared" si="85"/>
        <v>0.33333333333333337</v>
      </c>
      <c r="AC875" s="10">
        <f t="shared" si="87"/>
        <v>23.999999999999996</v>
      </c>
      <c r="AD875" s="8" t="s">
        <v>33</v>
      </c>
      <c r="AE875" s="11">
        <v>79990</v>
      </c>
      <c r="AF875" s="11">
        <f t="shared" si="88"/>
        <v>639920</v>
      </c>
      <c r="AG875" s="12" t="s">
        <v>64</v>
      </c>
      <c r="AH875" s="8" t="s">
        <v>35</v>
      </c>
    </row>
    <row r="876" spans="1:34">
      <c r="A876" s="8" t="s">
        <v>1219</v>
      </c>
      <c r="B876" s="16" t="s">
        <v>2860</v>
      </c>
      <c r="C876" s="8" t="s">
        <v>1030</v>
      </c>
      <c r="D876" s="8" t="s">
        <v>1030</v>
      </c>
      <c r="E876" s="8" t="str">
        <f t="shared" si="86"/>
        <v>SUELA</v>
      </c>
      <c r="H876" s="8" t="str">
        <f>VLOOKUP(A876,[1]BBDD!$B$1:$J$3274,9,FALSE)</f>
        <v>H</v>
      </c>
      <c r="I876" s="8" t="s">
        <v>2863</v>
      </c>
      <c r="J876" s="8" t="s">
        <v>1210</v>
      </c>
      <c r="L876" s="8" t="s">
        <v>1211</v>
      </c>
      <c r="N876" s="8" t="s">
        <v>90</v>
      </c>
      <c r="O876" s="8" t="s">
        <v>90</v>
      </c>
      <c r="P876" s="18" t="str">
        <f t="shared" si="89"/>
        <v>100</v>
      </c>
      <c r="Q876" s="8" t="s">
        <v>32</v>
      </c>
      <c r="R876" s="8">
        <v>20</v>
      </c>
      <c r="S876" s="8">
        <v>6</v>
      </c>
      <c r="T876" s="8">
        <f t="shared" si="84"/>
        <v>26</v>
      </c>
      <c r="U876" s="8">
        <v>1</v>
      </c>
      <c r="V876" s="8">
        <v>0</v>
      </c>
      <c r="W876" s="8">
        <v>1</v>
      </c>
      <c r="X876" s="8">
        <v>0</v>
      </c>
      <c r="Y876" s="8">
        <v>0</v>
      </c>
      <c r="Z876" s="8">
        <v>1</v>
      </c>
      <c r="AA876" s="8">
        <v>180</v>
      </c>
      <c r="AB876" s="9">
        <f t="shared" si="85"/>
        <v>0.5</v>
      </c>
      <c r="AC876" s="10">
        <f t="shared" si="87"/>
        <v>52</v>
      </c>
      <c r="AD876" s="8" t="s">
        <v>33</v>
      </c>
      <c r="AE876" s="11">
        <v>79990</v>
      </c>
      <c r="AF876" s="11">
        <f t="shared" si="88"/>
        <v>2079740</v>
      </c>
      <c r="AG876" s="12" t="s">
        <v>73</v>
      </c>
      <c r="AH876" s="8" t="s">
        <v>74</v>
      </c>
    </row>
    <row r="877" spans="1:34">
      <c r="A877" s="8" t="s">
        <v>1220</v>
      </c>
      <c r="B877" s="16" t="s">
        <v>2860</v>
      </c>
      <c r="C877" s="8" t="s">
        <v>1030</v>
      </c>
      <c r="D877" s="8" t="s">
        <v>1030</v>
      </c>
      <c r="E877" s="8" t="str">
        <f t="shared" si="86"/>
        <v>SUELA</v>
      </c>
      <c r="H877" s="8" t="str">
        <f>VLOOKUP(A877,[1]BBDD!$B$1:$J$3274,9,FALSE)</f>
        <v>H</v>
      </c>
      <c r="I877" s="8" t="s">
        <v>2863</v>
      </c>
      <c r="J877" s="8" t="s">
        <v>1210</v>
      </c>
      <c r="L877" s="8" t="s">
        <v>1211</v>
      </c>
      <c r="N877" s="8" t="s">
        <v>90</v>
      </c>
      <c r="O877" s="8" t="s">
        <v>90</v>
      </c>
      <c r="P877" s="18" t="str">
        <f t="shared" si="89"/>
        <v>105</v>
      </c>
      <c r="Q877" s="8" t="s">
        <v>32</v>
      </c>
      <c r="R877" s="8">
        <v>19</v>
      </c>
      <c r="S877" s="8">
        <v>6</v>
      </c>
      <c r="T877" s="8">
        <f t="shared" si="84"/>
        <v>25</v>
      </c>
      <c r="U877" s="8">
        <v>1</v>
      </c>
      <c r="V877" s="8">
        <v>0</v>
      </c>
      <c r="W877" s="8">
        <v>0</v>
      </c>
      <c r="X877" s="8">
        <v>1</v>
      </c>
      <c r="Y877" s="8">
        <v>2</v>
      </c>
      <c r="Z877" s="8">
        <v>1</v>
      </c>
      <c r="AA877" s="8">
        <v>180</v>
      </c>
      <c r="AB877" s="9">
        <f t="shared" si="85"/>
        <v>0.83333333333333326</v>
      </c>
      <c r="AC877" s="10">
        <f t="shared" si="87"/>
        <v>30.000000000000004</v>
      </c>
      <c r="AD877" s="8" t="s">
        <v>33</v>
      </c>
      <c r="AE877" s="11">
        <v>79990</v>
      </c>
      <c r="AF877" s="11">
        <f t="shared" si="88"/>
        <v>1999750</v>
      </c>
      <c r="AG877" s="12" t="s">
        <v>73</v>
      </c>
      <c r="AH877" s="8" t="s">
        <v>74</v>
      </c>
    </row>
    <row r="878" spans="1:34">
      <c r="A878" s="8" t="s">
        <v>1221</v>
      </c>
      <c r="B878" s="16" t="s">
        <v>2860</v>
      </c>
      <c r="C878" s="8" t="s">
        <v>1030</v>
      </c>
      <c r="D878" s="8" t="s">
        <v>1030</v>
      </c>
      <c r="E878" s="8" t="str">
        <f t="shared" si="86"/>
        <v>SUELA</v>
      </c>
      <c r="H878" s="8" t="str">
        <f>VLOOKUP(A878,[1]BBDD!$B$1:$J$3274,9,FALSE)</f>
        <v>H</v>
      </c>
      <c r="I878" s="8" t="s">
        <v>2863</v>
      </c>
      <c r="J878" s="8" t="s">
        <v>1210</v>
      </c>
      <c r="L878" s="8" t="s">
        <v>1211</v>
      </c>
      <c r="N878" s="8" t="s">
        <v>90</v>
      </c>
      <c r="O878" s="8" t="s">
        <v>90</v>
      </c>
      <c r="P878" s="18" t="str">
        <f t="shared" si="89"/>
        <v>110</v>
      </c>
      <c r="Q878" s="8" t="s">
        <v>32</v>
      </c>
      <c r="R878" s="8">
        <v>9</v>
      </c>
      <c r="S878" s="8">
        <v>5</v>
      </c>
      <c r="T878" s="8">
        <f t="shared" si="84"/>
        <v>14</v>
      </c>
      <c r="U878" s="8">
        <v>0</v>
      </c>
      <c r="V878" s="8">
        <v>1</v>
      </c>
      <c r="W878" s="8">
        <v>0</v>
      </c>
      <c r="X878" s="8">
        <v>0</v>
      </c>
      <c r="Y878" s="8">
        <v>0</v>
      </c>
      <c r="Z878" s="8">
        <v>0</v>
      </c>
      <c r="AA878" s="8">
        <v>180</v>
      </c>
      <c r="AB878" s="9">
        <f t="shared" si="85"/>
        <v>0.16666666666666669</v>
      </c>
      <c r="AC878" s="10">
        <f t="shared" si="87"/>
        <v>83.999999999999986</v>
      </c>
      <c r="AD878" s="8" t="s">
        <v>33</v>
      </c>
      <c r="AE878" s="11">
        <v>79990</v>
      </c>
      <c r="AF878" s="11">
        <f t="shared" si="88"/>
        <v>1119860</v>
      </c>
      <c r="AG878" s="12" t="s">
        <v>73</v>
      </c>
      <c r="AH878" s="8" t="s">
        <v>65</v>
      </c>
    </row>
    <row r="879" spans="1:34">
      <c r="A879" s="8" t="s">
        <v>1222</v>
      </c>
      <c r="B879" s="16" t="s">
        <v>2860</v>
      </c>
      <c r="C879" s="8" t="s">
        <v>1030</v>
      </c>
      <c r="D879" s="8" t="s">
        <v>1030</v>
      </c>
      <c r="E879" s="8" t="str">
        <f t="shared" si="86"/>
        <v>SUELA</v>
      </c>
      <c r="H879" s="8" t="str">
        <f>VLOOKUP(A879,[1]BBDD!$B$1:$J$3274,9,FALSE)</f>
        <v>H</v>
      </c>
      <c r="I879" s="8" t="s">
        <v>2863</v>
      </c>
      <c r="J879" s="8" t="s">
        <v>1210</v>
      </c>
      <c r="L879" s="8" t="s">
        <v>1211</v>
      </c>
      <c r="N879" s="8" t="s">
        <v>90</v>
      </c>
      <c r="O879" s="8" t="s">
        <v>90</v>
      </c>
      <c r="P879" s="18" t="str">
        <f t="shared" si="89"/>
        <v>115</v>
      </c>
      <c r="Q879" s="8" t="s">
        <v>32</v>
      </c>
      <c r="R879" s="8">
        <v>0</v>
      </c>
      <c r="S879" s="8">
        <v>3</v>
      </c>
      <c r="T879" s="8">
        <f t="shared" si="84"/>
        <v>3</v>
      </c>
      <c r="U879" s="8">
        <v>1</v>
      </c>
      <c r="V879" s="8">
        <v>0</v>
      </c>
      <c r="W879" s="8">
        <v>1</v>
      </c>
      <c r="X879" s="8">
        <v>0</v>
      </c>
      <c r="Y879" s="8">
        <v>0</v>
      </c>
      <c r="Z879" s="8">
        <v>0</v>
      </c>
      <c r="AA879" s="8">
        <v>180</v>
      </c>
      <c r="AB879" s="9">
        <f t="shared" si="85"/>
        <v>0.33333333333333337</v>
      </c>
      <c r="AC879" s="10">
        <f t="shared" si="87"/>
        <v>8.9999999999999982</v>
      </c>
      <c r="AD879" s="8" t="s">
        <v>33</v>
      </c>
      <c r="AE879" s="11">
        <v>79990</v>
      </c>
      <c r="AF879" s="11">
        <f t="shared" si="88"/>
        <v>239970</v>
      </c>
      <c r="AG879" s="12" t="s">
        <v>51</v>
      </c>
      <c r="AH879" s="8" t="s">
        <v>35</v>
      </c>
    </row>
    <row r="880" spans="1:34">
      <c r="A880" s="8" t="s">
        <v>1223</v>
      </c>
      <c r="B880" s="16" t="s">
        <v>2860</v>
      </c>
      <c r="C880" s="8" t="s">
        <v>1030</v>
      </c>
      <c r="D880" s="8" t="s">
        <v>1030</v>
      </c>
      <c r="E880" s="8" t="str">
        <f t="shared" si="86"/>
        <v>SUELA</v>
      </c>
      <c r="H880" s="8" t="str">
        <f>VLOOKUP(A880,[1]BBDD!$B$1:$J$3274,9,FALSE)</f>
        <v>H</v>
      </c>
      <c r="I880" s="8" t="s">
        <v>2863</v>
      </c>
      <c r="J880" s="8" t="s">
        <v>1210</v>
      </c>
      <c r="L880" s="8" t="s">
        <v>1211</v>
      </c>
      <c r="N880" s="8" t="s">
        <v>90</v>
      </c>
      <c r="O880" s="8" t="s">
        <v>90</v>
      </c>
      <c r="P880" s="18" t="str">
        <f t="shared" si="89"/>
        <v>85</v>
      </c>
      <c r="Q880" s="8" t="s">
        <v>32</v>
      </c>
      <c r="R880" s="8">
        <v>9</v>
      </c>
      <c r="S880" s="8">
        <v>8</v>
      </c>
      <c r="T880" s="8">
        <f t="shared" si="84"/>
        <v>17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180</v>
      </c>
      <c r="AB880" s="9">
        <f t="shared" si="85"/>
        <v>0</v>
      </c>
      <c r="AC880" s="10" t="str">
        <f t="shared" si="87"/>
        <v>sin venta</v>
      </c>
      <c r="AD880" s="8" t="s">
        <v>33</v>
      </c>
      <c r="AE880" s="11">
        <v>79990</v>
      </c>
      <c r="AF880" s="11">
        <f t="shared" si="88"/>
        <v>1359830</v>
      </c>
      <c r="AG880" s="12" t="s">
        <v>73</v>
      </c>
      <c r="AH880" s="8" t="s">
        <v>65</v>
      </c>
    </row>
    <row r="881" spans="1:34">
      <c r="A881" s="8" t="s">
        <v>1224</v>
      </c>
      <c r="B881" s="16" t="s">
        <v>2860</v>
      </c>
      <c r="C881" s="8" t="s">
        <v>1030</v>
      </c>
      <c r="D881" s="8" t="s">
        <v>1030</v>
      </c>
      <c r="E881" s="8" t="str">
        <f t="shared" si="86"/>
        <v>SUELA</v>
      </c>
      <c r="H881" s="8" t="str">
        <f>VLOOKUP(A881,[1]BBDD!$B$1:$J$3274,9,FALSE)</f>
        <v>H</v>
      </c>
      <c r="I881" s="8" t="s">
        <v>2863</v>
      </c>
      <c r="J881" s="8" t="s">
        <v>1210</v>
      </c>
      <c r="L881" s="8" t="s">
        <v>1211</v>
      </c>
      <c r="N881" s="8" t="s">
        <v>90</v>
      </c>
      <c r="O881" s="8" t="s">
        <v>90</v>
      </c>
      <c r="P881" s="18" t="str">
        <f t="shared" si="89"/>
        <v>90</v>
      </c>
      <c r="Q881" s="8" t="s">
        <v>32</v>
      </c>
      <c r="R881" s="8">
        <v>15</v>
      </c>
      <c r="S881" s="8">
        <v>7</v>
      </c>
      <c r="T881" s="8">
        <f t="shared" ref="T881:T894" si="90">SUM(R881:S881)</f>
        <v>22</v>
      </c>
      <c r="U881" s="8">
        <v>0</v>
      </c>
      <c r="V881" s="8">
        <v>0</v>
      </c>
      <c r="W881" s="8">
        <v>1</v>
      </c>
      <c r="X881" s="8">
        <v>0</v>
      </c>
      <c r="Y881" s="8">
        <v>1</v>
      </c>
      <c r="Z881" s="8">
        <v>0</v>
      </c>
      <c r="AA881" s="8">
        <v>180</v>
      </c>
      <c r="AB881" s="9">
        <f t="shared" ref="AB881:AB894" si="91">SUM(U881:Z881)/AA881*30</f>
        <v>0.33333333333333337</v>
      </c>
      <c r="AC881" s="10">
        <f t="shared" si="87"/>
        <v>65.999999999999986</v>
      </c>
      <c r="AD881" s="8" t="s">
        <v>33</v>
      </c>
      <c r="AE881" s="11">
        <v>79990</v>
      </c>
      <c r="AF881" s="11">
        <f t="shared" si="88"/>
        <v>1759780</v>
      </c>
      <c r="AG881" s="12" t="s">
        <v>73</v>
      </c>
      <c r="AH881" s="8" t="s">
        <v>74</v>
      </c>
    </row>
    <row r="882" spans="1:34">
      <c r="A882" s="8" t="s">
        <v>1225</v>
      </c>
      <c r="B882" s="16" t="s">
        <v>2859</v>
      </c>
      <c r="C882" s="8" t="s">
        <v>377</v>
      </c>
      <c r="D882" s="8" t="s">
        <v>1226</v>
      </c>
      <c r="E882" s="8" t="str">
        <f t="shared" si="86"/>
        <v>AVELLANA</v>
      </c>
      <c r="H882" s="8" t="str">
        <f>VLOOKUP(A882,[1]BBDD!$B$1:$J$3274,9,FALSE)</f>
        <v>M</v>
      </c>
      <c r="I882" s="8" t="s">
        <v>2862</v>
      </c>
      <c r="J882" s="8" t="s">
        <v>2868</v>
      </c>
      <c r="L882" s="8" t="s">
        <v>71</v>
      </c>
      <c r="N882" s="8" t="s">
        <v>72</v>
      </c>
      <c r="O882" s="8" t="s">
        <v>72</v>
      </c>
      <c r="Q882" s="8" t="s">
        <v>45</v>
      </c>
      <c r="R882" s="8">
        <v>24</v>
      </c>
      <c r="S882" s="8">
        <v>2</v>
      </c>
      <c r="T882" s="8">
        <f t="shared" si="90"/>
        <v>26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180</v>
      </c>
      <c r="AB882" s="9">
        <f t="shared" si="91"/>
        <v>0</v>
      </c>
      <c r="AC882" s="10" t="str">
        <f t="shared" si="87"/>
        <v>sin venta</v>
      </c>
      <c r="AD882" s="8" t="s">
        <v>109</v>
      </c>
      <c r="AE882" s="11">
        <v>26990</v>
      </c>
      <c r="AF882" s="11">
        <f t="shared" si="88"/>
        <v>701740</v>
      </c>
      <c r="AG882" s="12" t="s">
        <v>73</v>
      </c>
      <c r="AH882" s="8" t="s">
        <v>74</v>
      </c>
    </row>
    <row r="883" spans="1:34">
      <c r="A883" s="8" t="s">
        <v>1227</v>
      </c>
      <c r="B883" s="16" t="s">
        <v>2859</v>
      </c>
      <c r="C883" s="8" t="s">
        <v>377</v>
      </c>
      <c r="D883" s="8" t="s">
        <v>1226</v>
      </c>
      <c r="E883" s="8" t="str">
        <f t="shared" si="86"/>
        <v>CAFE</v>
      </c>
      <c r="H883" s="8" t="str">
        <f>VLOOKUP(A883,[1]BBDD!$B$1:$J$3274,9,FALSE)</f>
        <v>M</v>
      </c>
      <c r="I883" s="8" t="s">
        <v>2862</v>
      </c>
      <c r="J883" s="8" t="s">
        <v>2868</v>
      </c>
      <c r="L883" s="8" t="s">
        <v>71</v>
      </c>
      <c r="N883" s="8" t="s">
        <v>76</v>
      </c>
      <c r="O883" s="8" t="s">
        <v>76</v>
      </c>
      <c r="Q883" s="8" t="s">
        <v>45</v>
      </c>
      <c r="R883" s="8">
        <v>2</v>
      </c>
      <c r="S883" s="8">
        <v>5</v>
      </c>
      <c r="T883" s="8">
        <f t="shared" si="90"/>
        <v>7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180</v>
      </c>
      <c r="AB883" s="9">
        <f t="shared" si="91"/>
        <v>0</v>
      </c>
      <c r="AC883" s="10" t="str">
        <f t="shared" si="87"/>
        <v>sin venta</v>
      </c>
      <c r="AD883" s="8" t="s">
        <v>109</v>
      </c>
      <c r="AE883" s="11">
        <v>26990</v>
      </c>
      <c r="AF883" s="11">
        <f t="shared" si="88"/>
        <v>188930</v>
      </c>
      <c r="AG883" s="12" t="s">
        <v>73</v>
      </c>
      <c r="AH883" s="8" t="s">
        <v>35</v>
      </c>
    </row>
    <row r="884" spans="1:34">
      <c r="A884" s="8" t="s">
        <v>1228</v>
      </c>
      <c r="B884" s="16" t="s">
        <v>2859</v>
      </c>
      <c r="C884" s="8" t="s">
        <v>377</v>
      </c>
      <c r="D884" s="8" t="s">
        <v>1226</v>
      </c>
      <c r="E884" s="8" t="str">
        <f t="shared" si="86"/>
        <v>OXIDO</v>
      </c>
      <c r="H884" s="8" t="str">
        <f>VLOOKUP(A884,[1]BBDD!$B$1:$J$3274,9,FALSE)</f>
        <v>M</v>
      </c>
      <c r="I884" s="8" t="s">
        <v>2862</v>
      </c>
      <c r="J884" s="8" t="s">
        <v>2868</v>
      </c>
      <c r="L884" s="8" t="s">
        <v>71</v>
      </c>
      <c r="N884" s="8" t="s">
        <v>78</v>
      </c>
      <c r="O884" s="8" t="s">
        <v>78</v>
      </c>
      <c r="Q884" s="8" t="s">
        <v>45</v>
      </c>
      <c r="R884" s="8">
        <v>17</v>
      </c>
      <c r="S884" s="8">
        <v>6</v>
      </c>
      <c r="T884" s="8">
        <f t="shared" si="90"/>
        <v>23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180</v>
      </c>
      <c r="AB884" s="9">
        <f t="shared" si="91"/>
        <v>0</v>
      </c>
      <c r="AC884" s="10" t="str">
        <f t="shared" si="87"/>
        <v>sin venta</v>
      </c>
      <c r="AD884" s="8" t="s">
        <v>109</v>
      </c>
      <c r="AE884" s="11">
        <v>26990</v>
      </c>
      <c r="AF884" s="11">
        <f t="shared" si="88"/>
        <v>620770</v>
      </c>
      <c r="AG884" s="12" t="s">
        <v>73</v>
      </c>
      <c r="AH884" s="8" t="s">
        <v>74</v>
      </c>
    </row>
    <row r="885" spans="1:34">
      <c r="A885" s="8" t="s">
        <v>1229</v>
      </c>
      <c r="B885" s="16" t="s">
        <v>2859</v>
      </c>
      <c r="C885" s="8" t="s">
        <v>377</v>
      </c>
      <c r="D885" s="8" t="s">
        <v>1226</v>
      </c>
      <c r="E885" s="8" t="str">
        <f t="shared" si="86"/>
        <v>CARAMELO</v>
      </c>
      <c r="H885" s="8" t="str">
        <f>VLOOKUP(A885,[1]BBDD!$B$1:$J$3274,9,FALSE)</f>
        <v>M</v>
      </c>
      <c r="I885" s="8" t="s">
        <v>2862</v>
      </c>
      <c r="J885" s="8" t="s">
        <v>2868</v>
      </c>
      <c r="L885" s="8" t="s">
        <v>82</v>
      </c>
      <c r="N885" s="8" t="s">
        <v>62</v>
      </c>
      <c r="O885" s="8" t="s">
        <v>62</v>
      </c>
      <c r="Q885" s="8" t="s">
        <v>45</v>
      </c>
      <c r="R885" s="8">
        <v>6</v>
      </c>
      <c r="S885" s="8">
        <v>4</v>
      </c>
      <c r="T885" s="8">
        <f t="shared" si="90"/>
        <v>10</v>
      </c>
      <c r="U885" s="8">
        <v>0</v>
      </c>
      <c r="V885" s="8">
        <v>0</v>
      </c>
      <c r="W885" s="8">
        <v>1</v>
      </c>
      <c r="X885" s="8">
        <v>1</v>
      </c>
      <c r="Y885" s="8">
        <v>0</v>
      </c>
      <c r="Z885" s="8">
        <v>0</v>
      </c>
      <c r="AA885" s="8">
        <v>180</v>
      </c>
      <c r="AB885" s="9">
        <f t="shared" si="91"/>
        <v>0.33333333333333337</v>
      </c>
      <c r="AC885" s="10">
        <f t="shared" si="87"/>
        <v>29.999999999999996</v>
      </c>
      <c r="AD885" s="8" t="s">
        <v>109</v>
      </c>
      <c r="AE885" s="11">
        <v>26990</v>
      </c>
      <c r="AF885" s="11">
        <f t="shared" si="88"/>
        <v>269900</v>
      </c>
      <c r="AG885" s="12" t="s">
        <v>73</v>
      </c>
      <c r="AH885" s="8" t="s">
        <v>35</v>
      </c>
    </row>
    <row r="886" spans="1:34">
      <c r="A886" s="8" t="s">
        <v>1230</v>
      </c>
      <c r="B886" s="16" t="s">
        <v>2859</v>
      </c>
      <c r="C886" s="8" t="s">
        <v>377</v>
      </c>
      <c r="D886" s="8" t="s">
        <v>1226</v>
      </c>
      <c r="E886" s="8" t="str">
        <f t="shared" si="86"/>
        <v>ROJO</v>
      </c>
      <c r="H886" s="8" t="str">
        <f>VLOOKUP(A886,[1]BBDD!$B$1:$J$3274,9,FALSE)</f>
        <v>M</v>
      </c>
      <c r="I886" s="8" t="s">
        <v>2862</v>
      </c>
      <c r="J886" s="8" t="s">
        <v>2868</v>
      </c>
      <c r="L886" s="8" t="s">
        <v>82</v>
      </c>
      <c r="N886" s="8" t="s">
        <v>88</v>
      </c>
      <c r="O886" s="8" t="s">
        <v>88</v>
      </c>
      <c r="Q886" s="8" t="s">
        <v>45</v>
      </c>
      <c r="R886" s="8">
        <v>11</v>
      </c>
      <c r="S886" s="8">
        <v>5</v>
      </c>
      <c r="T886" s="8">
        <f t="shared" si="90"/>
        <v>16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180</v>
      </c>
      <c r="AB886" s="9">
        <f t="shared" si="91"/>
        <v>0</v>
      </c>
      <c r="AC886" s="10" t="str">
        <f t="shared" si="87"/>
        <v>sin venta</v>
      </c>
      <c r="AD886" s="8" t="s">
        <v>109</v>
      </c>
      <c r="AE886" s="11">
        <v>26990</v>
      </c>
      <c r="AF886" s="11">
        <f t="shared" si="88"/>
        <v>431840</v>
      </c>
      <c r="AG886" s="12" t="s">
        <v>73</v>
      </c>
      <c r="AH886" s="8" t="s">
        <v>65</v>
      </c>
    </row>
    <row r="887" spans="1:34">
      <c r="A887" s="8" t="s">
        <v>1231</v>
      </c>
      <c r="B887" s="16" t="s">
        <v>2859</v>
      </c>
      <c r="C887" s="8" t="s">
        <v>377</v>
      </c>
      <c r="D887" s="8" t="s">
        <v>1226</v>
      </c>
      <c r="E887" s="8" t="str">
        <f t="shared" si="86"/>
        <v>SUELA</v>
      </c>
      <c r="H887" s="8" t="str">
        <f>VLOOKUP(A887,[1]BBDD!$B$1:$J$3274,9,FALSE)</f>
        <v>M</v>
      </c>
      <c r="I887" s="8" t="s">
        <v>2862</v>
      </c>
      <c r="J887" s="8" t="s">
        <v>2868</v>
      </c>
      <c r="L887" s="8" t="s">
        <v>82</v>
      </c>
      <c r="N887" s="8" t="s">
        <v>90</v>
      </c>
      <c r="O887" s="8" t="s">
        <v>90</v>
      </c>
      <c r="Q887" s="8" t="s">
        <v>45</v>
      </c>
      <c r="R887" s="8">
        <v>1</v>
      </c>
      <c r="S887" s="8">
        <v>1</v>
      </c>
      <c r="T887" s="8">
        <f t="shared" si="90"/>
        <v>2</v>
      </c>
      <c r="U887" s="8">
        <v>0</v>
      </c>
      <c r="V887" s="8">
        <v>0</v>
      </c>
      <c r="W887" s="8">
        <v>1</v>
      </c>
      <c r="X887" s="8">
        <v>0</v>
      </c>
      <c r="Y887" s="8">
        <v>0</v>
      </c>
      <c r="Z887" s="8">
        <v>0</v>
      </c>
      <c r="AA887" s="8">
        <v>180</v>
      </c>
      <c r="AB887" s="9">
        <f t="shared" si="91"/>
        <v>0.16666666666666669</v>
      </c>
      <c r="AC887" s="10">
        <f t="shared" si="87"/>
        <v>11.999999999999998</v>
      </c>
      <c r="AD887" s="8" t="s">
        <v>109</v>
      </c>
      <c r="AE887" s="11">
        <v>26990</v>
      </c>
      <c r="AF887" s="11">
        <f t="shared" si="88"/>
        <v>53980</v>
      </c>
      <c r="AG887" s="12" t="s">
        <v>51</v>
      </c>
      <c r="AH887" s="8" t="s">
        <v>35</v>
      </c>
    </row>
    <row r="888" spans="1:34">
      <c r="A888" s="8" t="s">
        <v>1232</v>
      </c>
      <c r="B888" s="16" t="s">
        <v>2859</v>
      </c>
      <c r="C888" s="8" t="s">
        <v>377</v>
      </c>
      <c r="D888" s="8" t="s">
        <v>1226</v>
      </c>
      <c r="E888" s="8" t="str">
        <f t="shared" si="86"/>
        <v>VERDE</v>
      </c>
      <c r="H888" s="8" t="str">
        <f>VLOOKUP(A888,[1]BBDD!$B$1:$J$3274,9,FALSE)</f>
        <v>M</v>
      </c>
      <c r="I888" s="8" t="s">
        <v>2862</v>
      </c>
      <c r="J888" s="8" t="s">
        <v>2868</v>
      </c>
      <c r="L888" s="8" t="s">
        <v>82</v>
      </c>
      <c r="N888" s="8" t="s">
        <v>92</v>
      </c>
      <c r="O888" s="8" t="s">
        <v>92</v>
      </c>
      <c r="Q888" s="8" t="s">
        <v>45</v>
      </c>
      <c r="R888" s="8">
        <v>0</v>
      </c>
      <c r="S888" s="8">
        <v>1</v>
      </c>
      <c r="T888" s="8">
        <f t="shared" si="90"/>
        <v>1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180</v>
      </c>
      <c r="AB888" s="9">
        <f t="shared" si="91"/>
        <v>0</v>
      </c>
      <c r="AC888" s="10" t="str">
        <f t="shared" si="87"/>
        <v>sin venta</v>
      </c>
      <c r="AD888" s="8" t="s">
        <v>109</v>
      </c>
      <c r="AE888" s="11">
        <v>26990</v>
      </c>
      <c r="AF888" s="11">
        <f t="shared" si="88"/>
        <v>26990</v>
      </c>
      <c r="AG888" s="12" t="s">
        <v>73</v>
      </c>
      <c r="AH888" s="8" t="s">
        <v>35</v>
      </c>
    </row>
    <row r="889" spans="1:34">
      <c r="A889" s="8" t="s">
        <v>1233</v>
      </c>
      <c r="B889" s="16" t="s">
        <v>2859</v>
      </c>
      <c r="C889" s="8" t="s">
        <v>377</v>
      </c>
      <c r="D889" s="8" t="s">
        <v>1226</v>
      </c>
      <c r="E889" s="8" t="str">
        <f t="shared" si="86"/>
        <v>AZUL</v>
      </c>
      <c r="H889" s="8" t="str">
        <f>VLOOKUP(A889,[1]BBDD!$B$1:$J$3274,9,FALSE)</f>
        <v>U</v>
      </c>
      <c r="I889" s="8" t="s">
        <v>2861</v>
      </c>
      <c r="J889" s="8" t="s">
        <v>1234</v>
      </c>
      <c r="L889" s="8" t="s">
        <v>1235</v>
      </c>
      <c r="N889" s="8" t="s">
        <v>83</v>
      </c>
      <c r="O889" s="8" t="s">
        <v>83</v>
      </c>
      <c r="Q889" s="8" t="s">
        <v>32</v>
      </c>
      <c r="R889" s="8">
        <v>5</v>
      </c>
      <c r="S889" s="8">
        <v>7</v>
      </c>
      <c r="T889" s="8">
        <f t="shared" si="90"/>
        <v>12</v>
      </c>
      <c r="U889" s="8">
        <v>0</v>
      </c>
      <c r="V889" s="8">
        <v>0</v>
      </c>
      <c r="W889" s="8">
        <v>0</v>
      </c>
      <c r="X889" s="8">
        <v>1</v>
      </c>
      <c r="Y889" s="8">
        <v>0</v>
      </c>
      <c r="Z889" s="8">
        <v>0</v>
      </c>
      <c r="AA889" s="8">
        <v>180</v>
      </c>
      <c r="AB889" s="9">
        <f t="shared" si="91"/>
        <v>0.16666666666666669</v>
      </c>
      <c r="AC889" s="10">
        <f t="shared" si="87"/>
        <v>71.999999999999986</v>
      </c>
      <c r="AD889" s="8" t="s">
        <v>33</v>
      </c>
      <c r="AE889" s="11">
        <v>29990</v>
      </c>
      <c r="AF889" s="11">
        <f t="shared" si="88"/>
        <v>359880</v>
      </c>
      <c r="AG889" s="12" t="s">
        <v>73</v>
      </c>
      <c r="AH889" s="8" t="s">
        <v>65</v>
      </c>
    </row>
    <row r="890" spans="1:34">
      <c r="A890" s="8" t="s">
        <v>1236</v>
      </c>
      <c r="B890" s="16" t="s">
        <v>2859</v>
      </c>
      <c r="C890" s="8" t="s">
        <v>377</v>
      </c>
      <c r="D890" s="8" t="s">
        <v>1226</v>
      </c>
      <c r="E890" s="8" t="str">
        <f t="shared" si="86"/>
        <v>NEGRO</v>
      </c>
      <c r="H890" s="8" t="str">
        <f>VLOOKUP(A890,[1]BBDD!$B$1:$J$3274,9,FALSE)</f>
        <v>U</v>
      </c>
      <c r="I890" s="8" t="s">
        <v>2861</v>
      </c>
      <c r="J890" s="8" t="s">
        <v>1234</v>
      </c>
      <c r="L890" s="8" t="s">
        <v>1235</v>
      </c>
      <c r="N890" s="8" t="s">
        <v>44</v>
      </c>
      <c r="O890" s="8" t="s">
        <v>44</v>
      </c>
      <c r="Q890" s="8" t="s">
        <v>32</v>
      </c>
      <c r="R890" s="8">
        <v>7</v>
      </c>
      <c r="S890" s="8">
        <v>8</v>
      </c>
      <c r="T890" s="8">
        <f t="shared" si="90"/>
        <v>15</v>
      </c>
      <c r="U890" s="8">
        <v>0</v>
      </c>
      <c r="V890" s="8">
        <v>0</v>
      </c>
      <c r="W890" s="8">
        <v>1</v>
      </c>
      <c r="X890" s="8">
        <v>0</v>
      </c>
      <c r="Y890" s="8">
        <v>0</v>
      </c>
      <c r="Z890" s="8">
        <v>1</v>
      </c>
      <c r="AA890" s="8">
        <v>180</v>
      </c>
      <c r="AB890" s="9">
        <f t="shared" si="91"/>
        <v>0.33333333333333337</v>
      </c>
      <c r="AC890" s="10">
        <f t="shared" si="87"/>
        <v>44.999999999999993</v>
      </c>
      <c r="AD890" s="8" t="s">
        <v>33</v>
      </c>
      <c r="AE890" s="11">
        <v>29990</v>
      </c>
      <c r="AF890" s="11">
        <f t="shared" si="88"/>
        <v>449850</v>
      </c>
      <c r="AG890" s="12" t="s">
        <v>73</v>
      </c>
      <c r="AH890" s="8" t="s">
        <v>65</v>
      </c>
    </row>
    <row r="891" spans="1:34">
      <c r="A891" s="8" t="s">
        <v>1237</v>
      </c>
      <c r="B891" s="16" t="s">
        <v>2859</v>
      </c>
      <c r="C891" s="8" t="s">
        <v>377</v>
      </c>
      <c r="D891" s="8" t="s">
        <v>1226</v>
      </c>
      <c r="E891" s="8" t="str">
        <f t="shared" si="86"/>
        <v>ROJO</v>
      </c>
      <c r="H891" s="8" t="str">
        <f>VLOOKUP(A891,[1]BBDD!$B$1:$J$3274,9,FALSE)</f>
        <v>U</v>
      </c>
      <c r="I891" s="8" t="s">
        <v>2861</v>
      </c>
      <c r="J891" s="8" t="s">
        <v>1234</v>
      </c>
      <c r="L891" s="8" t="s">
        <v>1235</v>
      </c>
      <c r="N891" s="8" t="s">
        <v>88</v>
      </c>
      <c r="O891" s="8" t="s">
        <v>88</v>
      </c>
      <c r="Q891" s="8" t="s">
        <v>32</v>
      </c>
      <c r="R891" s="8">
        <v>13</v>
      </c>
      <c r="S891" s="8">
        <v>7</v>
      </c>
      <c r="T891" s="8">
        <f t="shared" si="90"/>
        <v>20</v>
      </c>
      <c r="U891" s="8">
        <v>1</v>
      </c>
      <c r="V891" s="8">
        <v>0</v>
      </c>
      <c r="W891" s="8">
        <v>1</v>
      </c>
      <c r="X891" s="8">
        <v>0</v>
      </c>
      <c r="Y891" s="8">
        <v>0</v>
      </c>
      <c r="Z891" s="8">
        <v>0</v>
      </c>
      <c r="AA891" s="8">
        <v>180</v>
      </c>
      <c r="AB891" s="9">
        <f t="shared" si="91"/>
        <v>0.33333333333333337</v>
      </c>
      <c r="AC891" s="10">
        <f t="shared" si="87"/>
        <v>59.999999999999993</v>
      </c>
      <c r="AD891" s="8" t="s">
        <v>33</v>
      </c>
      <c r="AE891" s="11">
        <v>29990</v>
      </c>
      <c r="AF891" s="11">
        <f t="shared" si="88"/>
        <v>599800</v>
      </c>
      <c r="AG891" s="12" t="s">
        <v>73</v>
      </c>
      <c r="AH891" s="8" t="s">
        <v>65</v>
      </c>
    </row>
    <row r="892" spans="1:34">
      <c r="A892" s="8" t="s">
        <v>1238</v>
      </c>
      <c r="B892" s="16" t="s">
        <v>2859</v>
      </c>
      <c r="C892" s="8" t="s">
        <v>377</v>
      </c>
      <c r="D892" s="8" t="s">
        <v>1226</v>
      </c>
      <c r="E892" s="8" t="str">
        <f t="shared" si="86"/>
        <v>VERDE</v>
      </c>
      <c r="H892" s="8" t="str">
        <f>VLOOKUP(A892,[1]BBDD!$B$1:$J$3274,9,FALSE)</f>
        <v>U</v>
      </c>
      <c r="I892" s="8" t="s">
        <v>2861</v>
      </c>
      <c r="J892" s="8" t="s">
        <v>1234</v>
      </c>
      <c r="L892" s="8" t="s">
        <v>1235</v>
      </c>
      <c r="N892" s="8" t="s">
        <v>92</v>
      </c>
      <c r="O892" s="8" t="s">
        <v>92</v>
      </c>
      <c r="Q892" s="8" t="s">
        <v>32</v>
      </c>
      <c r="R892" s="8">
        <v>12</v>
      </c>
      <c r="S892" s="8">
        <v>6</v>
      </c>
      <c r="T892" s="8">
        <f t="shared" si="90"/>
        <v>18</v>
      </c>
      <c r="U892" s="8">
        <v>1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180</v>
      </c>
      <c r="AB892" s="9">
        <f t="shared" si="91"/>
        <v>0.16666666666666669</v>
      </c>
      <c r="AC892" s="10">
        <f t="shared" si="87"/>
        <v>107.99999999999999</v>
      </c>
      <c r="AD892" s="8" t="s">
        <v>33</v>
      </c>
      <c r="AE892" s="11">
        <v>29990</v>
      </c>
      <c r="AF892" s="11">
        <f t="shared" si="88"/>
        <v>539820</v>
      </c>
      <c r="AG892" s="12" t="s">
        <v>73</v>
      </c>
      <c r="AH892" s="8" t="s">
        <v>65</v>
      </c>
    </row>
    <row r="893" spans="1:34">
      <c r="A893" s="8" t="s">
        <v>1239</v>
      </c>
      <c r="B893" s="16" t="s">
        <v>2859</v>
      </c>
      <c r="C893" s="8" t="s">
        <v>377</v>
      </c>
      <c r="D893" s="8" t="s">
        <v>1226</v>
      </c>
      <c r="E893" s="8" t="str">
        <f t="shared" si="86"/>
        <v>CARAMELO</v>
      </c>
      <c r="H893" s="8" t="str">
        <f>VLOOKUP(A893,[1]BBDD!$B$1:$J$3274,9,FALSE)</f>
        <v>U</v>
      </c>
      <c r="I893" s="8" t="s">
        <v>2861</v>
      </c>
      <c r="J893" s="8" t="s">
        <v>1234</v>
      </c>
      <c r="L893" s="8" t="s">
        <v>1235</v>
      </c>
      <c r="N893" s="8" t="s">
        <v>62</v>
      </c>
      <c r="O893" s="8" t="s">
        <v>62</v>
      </c>
      <c r="Q893" s="8" t="s">
        <v>45</v>
      </c>
      <c r="R893" s="8">
        <v>12</v>
      </c>
      <c r="S893" s="8">
        <v>8</v>
      </c>
      <c r="T893" s="8">
        <f t="shared" si="90"/>
        <v>20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180</v>
      </c>
      <c r="AB893" s="9">
        <f t="shared" si="91"/>
        <v>0</v>
      </c>
      <c r="AC893" s="10" t="str">
        <f t="shared" si="87"/>
        <v>sin venta</v>
      </c>
      <c r="AD893" s="8" t="s">
        <v>109</v>
      </c>
      <c r="AE893" s="11">
        <v>29990</v>
      </c>
      <c r="AF893" s="11">
        <f t="shared" si="88"/>
        <v>599800</v>
      </c>
      <c r="AG893" s="12" t="s">
        <v>73</v>
      </c>
      <c r="AH893" s="8" t="s">
        <v>65</v>
      </c>
    </row>
    <row r="894" spans="1:34">
      <c r="A894" s="8" t="s">
        <v>1240</v>
      </c>
      <c r="B894" s="16" t="s">
        <v>2859</v>
      </c>
      <c r="C894" s="8" t="s">
        <v>377</v>
      </c>
      <c r="D894" s="8" t="s">
        <v>1226</v>
      </c>
      <c r="E894" s="8" t="str">
        <f t="shared" si="86"/>
        <v>MALBEC</v>
      </c>
      <c r="H894" s="8" t="str">
        <f>VLOOKUP(A894,[1]BBDD!$B$1:$J$3274,9,FALSE)</f>
        <v>U</v>
      </c>
      <c r="I894" s="8" t="s">
        <v>2861</v>
      </c>
      <c r="J894" s="8" t="s">
        <v>1234</v>
      </c>
      <c r="L894" s="8" t="s">
        <v>1235</v>
      </c>
      <c r="N894" s="8" t="s">
        <v>69</v>
      </c>
      <c r="O894" s="8" t="s">
        <v>69</v>
      </c>
      <c r="Q894" s="8" t="s">
        <v>45</v>
      </c>
      <c r="R894" s="8">
        <v>11</v>
      </c>
      <c r="S894" s="8">
        <v>11</v>
      </c>
      <c r="T894" s="8">
        <f t="shared" si="90"/>
        <v>22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180</v>
      </c>
      <c r="AB894" s="9">
        <f t="shared" si="91"/>
        <v>0</v>
      </c>
      <c r="AC894" s="10" t="str">
        <f t="shared" si="87"/>
        <v>sin venta</v>
      </c>
      <c r="AD894" s="8" t="s">
        <v>109</v>
      </c>
      <c r="AE894" s="11">
        <v>29990</v>
      </c>
      <c r="AF894" s="11">
        <f t="shared" si="88"/>
        <v>659780</v>
      </c>
      <c r="AG894" s="12" t="s">
        <v>73</v>
      </c>
      <c r="AH894" s="8" t="s">
        <v>74</v>
      </c>
    </row>
    <row r="895" spans="1:34">
      <c r="A895" s="8" t="s">
        <v>1241</v>
      </c>
      <c r="B895" s="16" t="s">
        <v>2859</v>
      </c>
      <c r="C895" s="8" t="s">
        <v>377</v>
      </c>
      <c r="D895" s="8" t="s">
        <v>1226</v>
      </c>
      <c r="E895" s="8" t="str">
        <f t="shared" si="86"/>
        <v>TABACO</v>
      </c>
      <c r="H895" s="8" t="str">
        <f>VLOOKUP(A895,[1]BBDD!$B$1:$J$3274,9,FALSE)</f>
        <v>U</v>
      </c>
      <c r="I895" s="8" t="s">
        <v>2861</v>
      </c>
      <c r="J895" s="8" t="s">
        <v>1234</v>
      </c>
      <c r="L895" s="8" t="s">
        <v>1235</v>
      </c>
      <c r="N895" s="8" t="s">
        <v>67</v>
      </c>
      <c r="O895" s="8" t="s">
        <v>67</v>
      </c>
      <c r="Q895" s="8" t="s">
        <v>45</v>
      </c>
      <c r="R895" s="8">
        <v>15</v>
      </c>
      <c r="S895" s="8">
        <v>7</v>
      </c>
      <c r="T895" s="8">
        <f t="shared" ref="T895:T934" si="92">SUM(R895:S895)</f>
        <v>22</v>
      </c>
      <c r="U895" s="8">
        <v>0</v>
      </c>
      <c r="V895" s="8">
        <v>0</v>
      </c>
      <c r="W895" s="8">
        <v>1</v>
      </c>
      <c r="X895" s="8">
        <v>1</v>
      </c>
      <c r="Y895" s="8">
        <v>1</v>
      </c>
      <c r="Z895" s="8">
        <v>0</v>
      </c>
      <c r="AA895" s="8">
        <v>180</v>
      </c>
      <c r="AB895" s="9">
        <f t="shared" ref="AB895:AB934" si="93">SUM(U895:Z895)/AA895*30</f>
        <v>0.5</v>
      </c>
      <c r="AC895" s="10">
        <f t="shared" si="87"/>
        <v>44</v>
      </c>
      <c r="AD895" s="8" t="s">
        <v>109</v>
      </c>
      <c r="AE895" s="11">
        <v>29990</v>
      </c>
      <c r="AF895" s="11">
        <f t="shared" si="88"/>
        <v>659780</v>
      </c>
      <c r="AG895" s="12" t="s">
        <v>73</v>
      </c>
      <c r="AH895" s="8" t="s">
        <v>74</v>
      </c>
    </row>
    <row r="896" spans="1:34">
      <c r="A896" s="8" t="s">
        <v>1242</v>
      </c>
      <c r="B896" s="16" t="s">
        <v>2859</v>
      </c>
      <c r="C896" s="8" t="s">
        <v>377</v>
      </c>
      <c r="D896" s="8" t="s">
        <v>1226</v>
      </c>
      <c r="E896" s="8" t="str">
        <f t="shared" si="86"/>
        <v>CARAMELO</v>
      </c>
      <c r="H896" s="8" t="str">
        <f>VLOOKUP(A896,[1]BBDD!$B$1:$J$3274,9,FALSE)</f>
        <v>U</v>
      </c>
      <c r="I896" s="8" t="s">
        <v>2861</v>
      </c>
      <c r="J896" s="8" t="s">
        <v>1243</v>
      </c>
      <c r="L896" s="8" t="s">
        <v>1244</v>
      </c>
      <c r="N896" s="8" t="s">
        <v>62</v>
      </c>
      <c r="O896" s="8" t="s">
        <v>62</v>
      </c>
      <c r="Q896" s="8" t="s">
        <v>45</v>
      </c>
      <c r="R896" s="8">
        <v>11</v>
      </c>
      <c r="S896" s="8">
        <v>6</v>
      </c>
      <c r="T896" s="8">
        <f t="shared" si="92"/>
        <v>17</v>
      </c>
      <c r="U896" s="8">
        <v>0</v>
      </c>
      <c r="V896" s="8">
        <v>0</v>
      </c>
      <c r="W896" s="8">
        <v>0</v>
      </c>
      <c r="X896" s="8">
        <v>1</v>
      </c>
      <c r="Y896" s="8">
        <v>0</v>
      </c>
      <c r="Z896" s="8">
        <v>0</v>
      </c>
      <c r="AA896" s="8">
        <v>180</v>
      </c>
      <c r="AB896" s="9">
        <f t="shared" si="93"/>
        <v>0.16666666666666669</v>
      </c>
      <c r="AC896" s="10">
        <f t="shared" si="87"/>
        <v>101.99999999999999</v>
      </c>
      <c r="AD896" s="8" t="s">
        <v>109</v>
      </c>
      <c r="AE896" s="11">
        <v>26990</v>
      </c>
      <c r="AF896" s="11">
        <f t="shared" si="88"/>
        <v>458830</v>
      </c>
      <c r="AG896" s="12" t="s">
        <v>73</v>
      </c>
      <c r="AH896" s="8" t="s">
        <v>65</v>
      </c>
    </row>
    <row r="897" spans="1:34">
      <c r="A897" s="8" t="s">
        <v>1245</v>
      </c>
      <c r="B897" s="16" t="s">
        <v>2859</v>
      </c>
      <c r="C897" s="8" t="s">
        <v>377</v>
      </c>
      <c r="D897" s="8" t="s">
        <v>1226</v>
      </c>
      <c r="E897" s="8" t="str">
        <f t="shared" si="86"/>
        <v>NEGRO</v>
      </c>
      <c r="H897" s="8" t="str">
        <f>VLOOKUP(A897,[1]BBDD!$B$1:$J$3274,9,FALSE)</f>
        <v>U</v>
      </c>
      <c r="I897" s="8" t="s">
        <v>2861</v>
      </c>
      <c r="J897" s="8" t="s">
        <v>1243</v>
      </c>
      <c r="L897" s="8" t="s">
        <v>1244</v>
      </c>
      <c r="N897" s="8" t="s">
        <v>44</v>
      </c>
      <c r="O897" s="8" t="s">
        <v>44</v>
      </c>
      <c r="Q897" s="8" t="s">
        <v>45</v>
      </c>
      <c r="R897" s="8">
        <v>11</v>
      </c>
      <c r="S897" s="8">
        <v>7</v>
      </c>
      <c r="T897" s="8">
        <f t="shared" si="92"/>
        <v>18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180</v>
      </c>
      <c r="AB897" s="9">
        <f t="shared" si="93"/>
        <v>0</v>
      </c>
      <c r="AC897" s="10" t="str">
        <f t="shared" si="87"/>
        <v>sin venta</v>
      </c>
      <c r="AD897" s="8" t="s">
        <v>109</v>
      </c>
      <c r="AE897" s="11">
        <v>26990</v>
      </c>
      <c r="AF897" s="11">
        <f t="shared" si="88"/>
        <v>485820</v>
      </c>
      <c r="AG897" s="12" t="s">
        <v>73</v>
      </c>
      <c r="AH897" s="8" t="s">
        <v>65</v>
      </c>
    </row>
    <row r="898" spans="1:34">
      <c r="A898" s="8" t="s">
        <v>1246</v>
      </c>
      <c r="B898" s="16" t="s">
        <v>2859</v>
      </c>
      <c r="C898" s="8" t="s">
        <v>377</v>
      </c>
      <c r="D898" s="8" t="s">
        <v>1226</v>
      </c>
      <c r="E898" s="8" t="str">
        <f t="shared" si="86"/>
        <v>CARAMELO</v>
      </c>
      <c r="H898" s="8" t="str">
        <f>VLOOKUP(A898,[1]BBDD!$B$1:$J$3274,9,FALSE)</f>
        <v>U</v>
      </c>
      <c r="I898" s="8" t="s">
        <v>2861</v>
      </c>
      <c r="J898" s="8" t="s">
        <v>1247</v>
      </c>
      <c r="L898" s="8" t="s">
        <v>61</v>
      </c>
      <c r="N898" s="8" t="s">
        <v>62</v>
      </c>
      <c r="O898" s="8" t="s">
        <v>62</v>
      </c>
      <c r="Q898" s="8" t="s">
        <v>45</v>
      </c>
      <c r="R898" s="8">
        <v>2</v>
      </c>
      <c r="S898" s="8">
        <v>4</v>
      </c>
      <c r="T898" s="8">
        <f t="shared" si="92"/>
        <v>6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180</v>
      </c>
      <c r="AB898" s="9">
        <f t="shared" si="93"/>
        <v>0</v>
      </c>
      <c r="AC898" s="10" t="str">
        <f t="shared" si="87"/>
        <v>sin venta</v>
      </c>
      <c r="AD898" s="8" t="s">
        <v>109</v>
      </c>
      <c r="AE898" s="11">
        <v>24990</v>
      </c>
      <c r="AF898" s="11">
        <f t="shared" si="88"/>
        <v>149940</v>
      </c>
      <c r="AG898" s="12" t="s">
        <v>73</v>
      </c>
      <c r="AH898" s="8" t="s">
        <v>35</v>
      </c>
    </row>
    <row r="899" spans="1:34">
      <c r="A899" s="8" t="s">
        <v>1248</v>
      </c>
      <c r="B899" s="16" t="s">
        <v>2859</v>
      </c>
      <c r="C899" s="8" t="s">
        <v>377</v>
      </c>
      <c r="D899" s="8" t="s">
        <v>1226</v>
      </c>
      <c r="E899" s="8" t="str">
        <f t="shared" ref="E899:E962" si="94">TRIM(N899)</f>
        <v>AVELLANA</v>
      </c>
      <c r="H899" s="8" t="str">
        <f>VLOOKUP(A899,[1]BBDD!$B$1:$J$3274,9,FALSE)</f>
        <v>U</v>
      </c>
      <c r="I899" s="8" t="s">
        <v>2861</v>
      </c>
      <c r="J899" s="8" t="s">
        <v>1247</v>
      </c>
      <c r="L899" s="8" t="s">
        <v>71</v>
      </c>
      <c r="N899" s="8" t="s">
        <v>72</v>
      </c>
      <c r="O899" s="8" t="s">
        <v>72</v>
      </c>
      <c r="Q899" s="8" t="s">
        <v>45</v>
      </c>
      <c r="R899" s="8">
        <v>11</v>
      </c>
      <c r="S899" s="8">
        <v>3</v>
      </c>
      <c r="T899" s="8">
        <f t="shared" si="92"/>
        <v>14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180</v>
      </c>
      <c r="AB899" s="9">
        <f t="shared" si="93"/>
        <v>0</v>
      </c>
      <c r="AC899" s="10" t="str">
        <f t="shared" ref="AC899:AC962" si="95">IFERROR(T899/AB899,"sin venta")</f>
        <v>sin venta</v>
      </c>
      <c r="AD899" s="8" t="s">
        <v>109</v>
      </c>
      <c r="AE899" s="11">
        <v>24990</v>
      </c>
      <c r="AF899" s="11">
        <f t="shared" ref="AF899:AF962" si="96">IFERROR(AE899*T899,0)</f>
        <v>349860</v>
      </c>
      <c r="AG899" s="12" t="s">
        <v>73</v>
      </c>
      <c r="AH899" s="8" t="s">
        <v>65</v>
      </c>
    </row>
    <row r="900" spans="1:34">
      <c r="A900" s="8" t="s">
        <v>1249</v>
      </c>
      <c r="B900" s="16" t="s">
        <v>2859</v>
      </c>
      <c r="C900" s="8" t="s">
        <v>377</v>
      </c>
      <c r="D900" s="8" t="s">
        <v>1226</v>
      </c>
      <c r="E900" s="8" t="str">
        <f t="shared" si="94"/>
        <v>CAFE</v>
      </c>
      <c r="H900" s="8" t="str">
        <f>VLOOKUP(A900,[1]BBDD!$B$1:$J$3274,9,FALSE)</f>
        <v>U</v>
      </c>
      <c r="I900" s="8" t="s">
        <v>2861</v>
      </c>
      <c r="J900" s="8" t="s">
        <v>1247</v>
      </c>
      <c r="L900" s="8" t="s">
        <v>71</v>
      </c>
      <c r="N900" s="8" t="s">
        <v>76</v>
      </c>
      <c r="O900" s="8" t="s">
        <v>76</v>
      </c>
      <c r="Q900" s="8" t="s">
        <v>45</v>
      </c>
      <c r="R900" s="8">
        <v>4</v>
      </c>
      <c r="S900" s="8">
        <v>9</v>
      </c>
      <c r="T900" s="8">
        <f t="shared" si="92"/>
        <v>13</v>
      </c>
      <c r="U900" s="8">
        <v>0</v>
      </c>
      <c r="V900" s="8">
        <v>0</v>
      </c>
      <c r="W900" s="8">
        <v>1</v>
      </c>
      <c r="X900" s="8">
        <v>0</v>
      </c>
      <c r="Y900" s="8">
        <v>0</v>
      </c>
      <c r="Z900" s="8">
        <v>0</v>
      </c>
      <c r="AA900" s="8">
        <v>180</v>
      </c>
      <c r="AB900" s="9">
        <f t="shared" si="93"/>
        <v>0.16666666666666669</v>
      </c>
      <c r="AC900" s="10">
        <f t="shared" si="95"/>
        <v>77.999999999999986</v>
      </c>
      <c r="AD900" s="8" t="s">
        <v>109</v>
      </c>
      <c r="AE900" s="11">
        <v>24990</v>
      </c>
      <c r="AF900" s="11">
        <f t="shared" si="96"/>
        <v>324870</v>
      </c>
      <c r="AG900" s="12" t="s">
        <v>73</v>
      </c>
      <c r="AH900" s="8" t="s">
        <v>65</v>
      </c>
    </row>
    <row r="901" spans="1:34">
      <c r="A901" s="8" t="s">
        <v>1250</v>
      </c>
      <c r="B901" s="16" t="s">
        <v>2859</v>
      </c>
      <c r="C901" s="8" t="s">
        <v>377</v>
      </c>
      <c r="D901" s="8" t="s">
        <v>1226</v>
      </c>
      <c r="E901" s="8" t="str">
        <f t="shared" si="94"/>
        <v>OXIDO</v>
      </c>
      <c r="H901" s="8" t="str">
        <f>VLOOKUP(A901,[1]BBDD!$B$1:$J$3274,9,FALSE)</f>
        <v>U</v>
      </c>
      <c r="I901" s="8" t="s">
        <v>2861</v>
      </c>
      <c r="J901" s="8" t="s">
        <v>1247</v>
      </c>
      <c r="L901" s="8" t="s">
        <v>71</v>
      </c>
      <c r="N901" s="8" t="s">
        <v>78</v>
      </c>
      <c r="O901" s="8" t="s">
        <v>78</v>
      </c>
      <c r="Q901" s="8" t="s">
        <v>45</v>
      </c>
      <c r="R901" s="8">
        <v>5</v>
      </c>
      <c r="S901" s="8">
        <v>7</v>
      </c>
      <c r="T901" s="8">
        <f t="shared" si="92"/>
        <v>12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180</v>
      </c>
      <c r="AB901" s="9">
        <f t="shared" si="93"/>
        <v>0</v>
      </c>
      <c r="AC901" s="10" t="str">
        <f t="shared" si="95"/>
        <v>sin venta</v>
      </c>
      <c r="AD901" s="8" t="s">
        <v>109</v>
      </c>
      <c r="AE901" s="11">
        <v>24990</v>
      </c>
      <c r="AF901" s="11">
        <f t="shared" si="96"/>
        <v>299880</v>
      </c>
      <c r="AG901" s="12" t="s">
        <v>73</v>
      </c>
      <c r="AH901" s="8" t="s">
        <v>65</v>
      </c>
    </row>
    <row r="902" spans="1:34">
      <c r="A902" s="8" t="s">
        <v>1251</v>
      </c>
      <c r="B902" s="16" t="s">
        <v>2859</v>
      </c>
      <c r="C902" s="8" t="s">
        <v>377</v>
      </c>
      <c r="D902" s="8" t="s">
        <v>1226</v>
      </c>
      <c r="E902" s="8" t="str">
        <f t="shared" si="94"/>
        <v>CARAMELO</v>
      </c>
      <c r="H902" s="8" t="str">
        <f>VLOOKUP(A902,[1]BBDD!$B$1:$J$3274,9,FALSE)</f>
        <v>U</v>
      </c>
      <c r="I902" s="8" t="s">
        <v>2861</v>
      </c>
      <c r="J902" s="8" t="s">
        <v>1247</v>
      </c>
      <c r="L902" s="8" t="s">
        <v>238</v>
      </c>
      <c r="N902" s="8" t="s">
        <v>62</v>
      </c>
      <c r="O902" s="8" t="s">
        <v>62</v>
      </c>
      <c r="Q902" s="8" t="s">
        <v>45</v>
      </c>
      <c r="R902" s="8">
        <v>0</v>
      </c>
      <c r="S902" s="8">
        <v>5</v>
      </c>
      <c r="T902" s="8">
        <f t="shared" si="92"/>
        <v>5</v>
      </c>
      <c r="U902" s="8">
        <v>0</v>
      </c>
      <c r="V902" s="8">
        <v>1</v>
      </c>
      <c r="W902" s="8">
        <v>0</v>
      </c>
      <c r="X902" s="8">
        <v>0</v>
      </c>
      <c r="Y902" s="8">
        <v>0</v>
      </c>
      <c r="Z902" s="8">
        <v>1</v>
      </c>
      <c r="AA902" s="8">
        <v>180</v>
      </c>
      <c r="AB902" s="9">
        <f t="shared" si="93"/>
        <v>0.33333333333333337</v>
      </c>
      <c r="AC902" s="10">
        <f t="shared" si="95"/>
        <v>14.999999999999998</v>
      </c>
      <c r="AD902" s="8" t="s">
        <v>109</v>
      </c>
      <c r="AE902" s="11">
        <v>24990</v>
      </c>
      <c r="AF902" s="11">
        <f t="shared" si="96"/>
        <v>124950</v>
      </c>
      <c r="AG902" s="12" t="s">
        <v>64</v>
      </c>
      <c r="AH902" s="8" t="s">
        <v>35</v>
      </c>
    </row>
    <row r="903" spans="1:34">
      <c r="A903" s="8" t="s">
        <v>1252</v>
      </c>
      <c r="B903" s="16" t="s">
        <v>2859</v>
      </c>
      <c r="C903" s="8" t="s">
        <v>377</v>
      </c>
      <c r="D903" s="8" t="s">
        <v>1226</v>
      </c>
      <c r="E903" s="8" t="str">
        <f t="shared" si="94"/>
        <v>CARAMELO</v>
      </c>
      <c r="H903" s="8" t="str">
        <f>VLOOKUP(A903,[1]BBDD!$B$1:$J$3274,9,FALSE)</f>
        <v>U</v>
      </c>
      <c r="I903" s="8" t="s">
        <v>2861</v>
      </c>
      <c r="J903" s="8" t="s">
        <v>1247</v>
      </c>
      <c r="L903" s="8" t="s">
        <v>82</v>
      </c>
      <c r="N903" s="8" t="s">
        <v>62</v>
      </c>
      <c r="O903" s="8" t="s">
        <v>62</v>
      </c>
      <c r="Q903" s="8" t="s">
        <v>45</v>
      </c>
      <c r="R903" s="8">
        <v>8</v>
      </c>
      <c r="S903" s="8">
        <v>4</v>
      </c>
      <c r="T903" s="8">
        <f t="shared" si="92"/>
        <v>12</v>
      </c>
      <c r="U903" s="8">
        <v>0</v>
      </c>
      <c r="V903" s="8">
        <v>0</v>
      </c>
      <c r="W903" s="8">
        <v>0</v>
      </c>
      <c r="X903" s="8">
        <v>1</v>
      </c>
      <c r="Y903" s="8">
        <v>1</v>
      </c>
      <c r="Z903" s="8">
        <v>0</v>
      </c>
      <c r="AA903" s="8">
        <v>180</v>
      </c>
      <c r="AB903" s="9">
        <f t="shared" si="93"/>
        <v>0.33333333333333337</v>
      </c>
      <c r="AC903" s="10">
        <f t="shared" si="95"/>
        <v>35.999999999999993</v>
      </c>
      <c r="AD903" s="8" t="s">
        <v>109</v>
      </c>
      <c r="AE903" s="11">
        <v>24990</v>
      </c>
      <c r="AF903" s="11">
        <f t="shared" si="96"/>
        <v>299880</v>
      </c>
      <c r="AG903" s="12" t="s">
        <v>73</v>
      </c>
      <c r="AH903" s="8" t="s">
        <v>65</v>
      </c>
    </row>
    <row r="904" spans="1:34">
      <c r="A904" s="8" t="s">
        <v>1253</v>
      </c>
      <c r="B904" s="16" t="s">
        <v>2859</v>
      </c>
      <c r="C904" s="8" t="s">
        <v>377</v>
      </c>
      <c r="D904" s="8" t="s">
        <v>1226</v>
      </c>
      <c r="E904" s="8" t="str">
        <f t="shared" si="94"/>
        <v>NEGRO</v>
      </c>
      <c r="H904" s="8" t="str">
        <f>VLOOKUP(A904,[1]BBDD!$B$1:$J$3274,9,FALSE)</f>
        <v>U</v>
      </c>
      <c r="I904" s="8" t="s">
        <v>2861</v>
      </c>
      <c r="J904" s="8" t="s">
        <v>1247</v>
      </c>
      <c r="L904" s="8" t="s">
        <v>82</v>
      </c>
      <c r="N904" s="8" t="s">
        <v>44</v>
      </c>
      <c r="O904" s="8" t="s">
        <v>44</v>
      </c>
      <c r="Q904" s="8" t="s">
        <v>45</v>
      </c>
      <c r="R904" s="8">
        <v>2</v>
      </c>
      <c r="S904" s="8">
        <v>3</v>
      </c>
      <c r="T904" s="8">
        <f t="shared" si="92"/>
        <v>5</v>
      </c>
      <c r="U904" s="8">
        <v>3</v>
      </c>
      <c r="V904" s="8">
        <v>4</v>
      </c>
      <c r="W904" s="8">
        <v>0</v>
      </c>
      <c r="X904" s="8">
        <v>1</v>
      </c>
      <c r="Y904" s="8">
        <v>2</v>
      </c>
      <c r="Z904" s="8">
        <v>0</v>
      </c>
      <c r="AA904" s="8">
        <v>180</v>
      </c>
      <c r="AB904" s="9">
        <f t="shared" si="93"/>
        <v>1.6666666666666665</v>
      </c>
      <c r="AC904" s="10">
        <f t="shared" si="95"/>
        <v>3.0000000000000004</v>
      </c>
      <c r="AD904" s="8" t="s">
        <v>109</v>
      </c>
      <c r="AE904" s="11">
        <v>24990</v>
      </c>
      <c r="AF904" s="11">
        <f t="shared" si="96"/>
        <v>124950</v>
      </c>
      <c r="AG904" s="12" t="s">
        <v>34</v>
      </c>
      <c r="AH904" s="8" t="s">
        <v>35</v>
      </c>
    </row>
    <row r="905" spans="1:34">
      <c r="A905" s="8" t="s">
        <v>1254</v>
      </c>
      <c r="B905" s="16" t="s">
        <v>2859</v>
      </c>
      <c r="C905" s="8" t="s">
        <v>377</v>
      </c>
      <c r="D905" s="8" t="s">
        <v>1226</v>
      </c>
      <c r="E905" s="8" t="str">
        <f t="shared" si="94"/>
        <v>ROJO</v>
      </c>
      <c r="H905" s="8" t="str">
        <f>VLOOKUP(A905,[1]BBDD!$B$1:$J$3274,9,FALSE)</f>
        <v>U</v>
      </c>
      <c r="I905" s="8" t="s">
        <v>2861</v>
      </c>
      <c r="J905" s="8" t="s">
        <v>1247</v>
      </c>
      <c r="L905" s="8" t="s">
        <v>82</v>
      </c>
      <c r="N905" s="8" t="s">
        <v>88</v>
      </c>
      <c r="O905" s="8" t="s">
        <v>88</v>
      </c>
      <c r="Q905" s="8" t="s">
        <v>45</v>
      </c>
      <c r="R905" s="8">
        <v>15</v>
      </c>
      <c r="S905" s="8">
        <v>5</v>
      </c>
      <c r="T905" s="8">
        <f t="shared" si="92"/>
        <v>20</v>
      </c>
      <c r="U905" s="8">
        <v>0</v>
      </c>
      <c r="V905" s="8">
        <v>1</v>
      </c>
      <c r="W905" s="8">
        <v>0</v>
      </c>
      <c r="X905" s="8">
        <v>1</v>
      </c>
      <c r="Y905" s="8">
        <v>0</v>
      </c>
      <c r="Z905" s="8">
        <v>0</v>
      </c>
      <c r="AA905" s="8">
        <v>180</v>
      </c>
      <c r="AB905" s="9">
        <f t="shared" si="93"/>
        <v>0.33333333333333337</v>
      </c>
      <c r="AC905" s="10">
        <f t="shared" si="95"/>
        <v>59.999999999999993</v>
      </c>
      <c r="AD905" s="8" t="s">
        <v>109</v>
      </c>
      <c r="AE905" s="11">
        <v>24990</v>
      </c>
      <c r="AF905" s="11">
        <f t="shared" si="96"/>
        <v>499800</v>
      </c>
      <c r="AG905" s="12" t="s">
        <v>73</v>
      </c>
      <c r="AH905" s="8" t="s">
        <v>65</v>
      </c>
    </row>
    <row r="906" spans="1:34">
      <c r="A906" s="8" t="s">
        <v>1255</v>
      </c>
      <c r="B906" s="16" t="s">
        <v>2859</v>
      </c>
      <c r="C906" s="8" t="s">
        <v>377</v>
      </c>
      <c r="D906" s="8" t="s">
        <v>1226</v>
      </c>
      <c r="E906" s="8" t="str">
        <f t="shared" si="94"/>
        <v>SUELA</v>
      </c>
      <c r="H906" s="8" t="str">
        <f>VLOOKUP(A906,[1]BBDD!$B$1:$J$3274,9,FALSE)</f>
        <v>U</v>
      </c>
      <c r="I906" s="8" t="s">
        <v>2861</v>
      </c>
      <c r="J906" s="8" t="s">
        <v>1247</v>
      </c>
      <c r="L906" s="8" t="s">
        <v>82</v>
      </c>
      <c r="N906" s="8" t="s">
        <v>90</v>
      </c>
      <c r="O906" s="8" t="s">
        <v>90</v>
      </c>
      <c r="Q906" s="8" t="s">
        <v>45</v>
      </c>
      <c r="R906" s="8">
        <v>9</v>
      </c>
      <c r="S906" s="8">
        <v>6</v>
      </c>
      <c r="T906" s="8">
        <f t="shared" si="92"/>
        <v>15</v>
      </c>
      <c r="U906" s="8">
        <v>0</v>
      </c>
      <c r="V906" s="8">
        <v>1</v>
      </c>
      <c r="W906" s="8">
        <v>0</v>
      </c>
      <c r="X906" s="8">
        <v>0</v>
      </c>
      <c r="Y906" s="8">
        <v>0</v>
      </c>
      <c r="Z906" s="8">
        <v>0</v>
      </c>
      <c r="AA906" s="8">
        <v>180</v>
      </c>
      <c r="AB906" s="9">
        <f t="shared" si="93"/>
        <v>0.16666666666666669</v>
      </c>
      <c r="AC906" s="10">
        <f t="shared" si="95"/>
        <v>89.999999999999986</v>
      </c>
      <c r="AD906" s="8" t="s">
        <v>109</v>
      </c>
      <c r="AE906" s="11">
        <v>24990</v>
      </c>
      <c r="AF906" s="11">
        <f t="shared" si="96"/>
        <v>374850</v>
      </c>
      <c r="AG906" s="12" t="s">
        <v>73</v>
      </c>
      <c r="AH906" s="8" t="s">
        <v>65</v>
      </c>
    </row>
    <row r="907" spans="1:34">
      <c r="A907" s="8" t="s">
        <v>1256</v>
      </c>
      <c r="B907" s="16" t="s">
        <v>1286</v>
      </c>
      <c r="C907" s="8" t="s">
        <v>377</v>
      </c>
      <c r="D907" s="8" t="s">
        <v>1257</v>
      </c>
      <c r="E907" s="8" t="str">
        <f t="shared" si="94"/>
        <v>TABACO</v>
      </c>
      <c r="H907" s="8" t="str">
        <f>VLOOKUP(A907,[1]BBDD!$B$1:$J$3274,9,FALSE)</f>
        <v>U</v>
      </c>
      <c r="I907" s="8" t="s">
        <v>2861</v>
      </c>
      <c r="J907" s="13" t="s">
        <v>1258</v>
      </c>
      <c r="K907" s="13"/>
      <c r="L907" s="8" t="s">
        <v>479</v>
      </c>
      <c r="N907" s="8" t="s">
        <v>67</v>
      </c>
      <c r="O907" s="8" t="s">
        <v>67</v>
      </c>
      <c r="Q907" s="8" t="s">
        <v>32</v>
      </c>
      <c r="R907" s="8">
        <v>0</v>
      </c>
      <c r="S907" s="8">
        <v>4</v>
      </c>
      <c r="T907" s="8">
        <f t="shared" si="92"/>
        <v>4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8</v>
      </c>
      <c r="AA907" s="8">
        <v>180</v>
      </c>
      <c r="AB907" s="9">
        <f t="shared" si="93"/>
        <v>1.3333333333333335</v>
      </c>
      <c r="AC907" s="10">
        <f t="shared" si="95"/>
        <v>2.9999999999999996</v>
      </c>
      <c r="AD907" s="8" t="s">
        <v>33</v>
      </c>
      <c r="AE907" s="11">
        <v>24990</v>
      </c>
      <c r="AF907" s="11">
        <f t="shared" si="96"/>
        <v>99960</v>
      </c>
      <c r="AG907" s="12" t="s">
        <v>34</v>
      </c>
      <c r="AH907" s="8" t="s">
        <v>35</v>
      </c>
    </row>
    <row r="908" spans="1:34">
      <c r="A908" s="8" t="s">
        <v>1259</v>
      </c>
      <c r="B908" s="16" t="s">
        <v>2859</v>
      </c>
      <c r="C908" s="8" t="s">
        <v>377</v>
      </c>
      <c r="D908" s="8" t="s">
        <v>1260</v>
      </c>
      <c r="E908" s="8" t="str">
        <f t="shared" si="94"/>
        <v>CARAMELO</v>
      </c>
      <c r="G908" s="8" t="s">
        <v>2862</v>
      </c>
      <c r="H908" s="8" t="str">
        <f>VLOOKUP(A908,[1]BBDD!$B$1:$J$3274,9,FALSE)</f>
        <v>M</v>
      </c>
      <c r="I908" s="8" t="s">
        <v>2862</v>
      </c>
      <c r="J908" s="8" t="s">
        <v>1261</v>
      </c>
      <c r="L908" s="8" t="s">
        <v>238</v>
      </c>
      <c r="N908" s="8" t="s">
        <v>62</v>
      </c>
      <c r="O908" s="8" t="s">
        <v>62</v>
      </c>
      <c r="Q908" s="8" t="s">
        <v>32</v>
      </c>
      <c r="R908" s="8">
        <v>6</v>
      </c>
      <c r="S908" s="8">
        <v>12</v>
      </c>
      <c r="T908" s="8">
        <f t="shared" si="92"/>
        <v>18</v>
      </c>
      <c r="U908" s="8">
        <v>0</v>
      </c>
      <c r="V908" s="8">
        <v>4</v>
      </c>
      <c r="W908" s="8">
        <v>0</v>
      </c>
      <c r="X908" s="8">
        <v>2</v>
      </c>
      <c r="Y908" s="8">
        <v>0</v>
      </c>
      <c r="Z908" s="8">
        <v>2</v>
      </c>
      <c r="AA908" s="8">
        <v>159</v>
      </c>
      <c r="AB908" s="9">
        <f t="shared" si="93"/>
        <v>1.5094339622641511</v>
      </c>
      <c r="AC908" s="10">
        <f t="shared" si="95"/>
        <v>11.924999999999999</v>
      </c>
      <c r="AD908" s="8" t="s">
        <v>33</v>
      </c>
      <c r="AE908" s="11">
        <v>19990</v>
      </c>
      <c r="AF908" s="11">
        <f t="shared" si="96"/>
        <v>359820</v>
      </c>
      <c r="AG908" s="12" t="s">
        <v>51</v>
      </c>
      <c r="AH908" s="8" t="s">
        <v>65</v>
      </c>
    </row>
    <row r="909" spans="1:34">
      <c r="A909" s="8" t="s">
        <v>1262</v>
      </c>
      <c r="B909" s="16" t="s">
        <v>2859</v>
      </c>
      <c r="C909" s="8" t="s">
        <v>377</v>
      </c>
      <c r="D909" s="8" t="s">
        <v>1260</v>
      </c>
      <c r="E909" s="8" t="str">
        <f t="shared" si="94"/>
        <v>NEGRO</v>
      </c>
      <c r="G909" s="8" t="s">
        <v>2862</v>
      </c>
      <c r="H909" s="8" t="str">
        <f>VLOOKUP(A909,[1]BBDD!$B$1:$J$3274,9,FALSE)</f>
        <v>M</v>
      </c>
      <c r="I909" s="8" t="s">
        <v>2862</v>
      </c>
      <c r="J909" s="8" t="s">
        <v>1261</v>
      </c>
      <c r="L909" s="8" t="s">
        <v>238</v>
      </c>
      <c r="N909" s="8" t="s">
        <v>44</v>
      </c>
      <c r="O909" s="8" t="s">
        <v>44</v>
      </c>
      <c r="Q909" s="8" t="s">
        <v>32</v>
      </c>
      <c r="R909" s="8">
        <v>10</v>
      </c>
      <c r="S909" s="8">
        <v>12</v>
      </c>
      <c r="T909" s="8">
        <f t="shared" si="92"/>
        <v>22</v>
      </c>
      <c r="U909" s="8">
        <v>0</v>
      </c>
      <c r="V909" s="8">
        <v>0</v>
      </c>
      <c r="W909" s="8">
        <v>1</v>
      </c>
      <c r="X909" s="8">
        <v>1</v>
      </c>
      <c r="Y909" s="8">
        <v>0</v>
      </c>
      <c r="Z909" s="8">
        <v>1</v>
      </c>
      <c r="AA909" s="8">
        <v>159</v>
      </c>
      <c r="AB909" s="9">
        <f t="shared" si="93"/>
        <v>0.56603773584905659</v>
      </c>
      <c r="AC909" s="10">
        <f t="shared" si="95"/>
        <v>38.866666666666667</v>
      </c>
      <c r="AD909" s="8" t="s">
        <v>33</v>
      </c>
      <c r="AE909" s="11">
        <v>19990</v>
      </c>
      <c r="AF909" s="11">
        <f t="shared" si="96"/>
        <v>439780</v>
      </c>
      <c r="AG909" s="12" t="s">
        <v>73</v>
      </c>
      <c r="AH909" s="8" t="s">
        <v>74</v>
      </c>
    </row>
    <row r="910" spans="1:34">
      <c r="A910" s="8" t="s">
        <v>1263</v>
      </c>
      <c r="B910" s="16" t="s">
        <v>2859</v>
      </c>
      <c r="C910" s="8" t="s">
        <v>377</v>
      </c>
      <c r="D910" s="8" t="s">
        <v>1260</v>
      </c>
      <c r="E910" s="8" t="str">
        <f t="shared" si="94"/>
        <v>ROJO</v>
      </c>
      <c r="G910" s="8" t="s">
        <v>2862</v>
      </c>
      <c r="H910" s="8" t="str">
        <f>VLOOKUP(A910,[1]BBDD!$B$1:$J$3274,9,FALSE)</f>
        <v>M</v>
      </c>
      <c r="I910" s="8" t="s">
        <v>2862</v>
      </c>
      <c r="J910" s="8" t="s">
        <v>1261</v>
      </c>
      <c r="L910" s="8" t="s">
        <v>238</v>
      </c>
      <c r="N910" s="8" t="s">
        <v>88</v>
      </c>
      <c r="O910" s="8" t="s">
        <v>88</v>
      </c>
      <c r="Q910" s="8" t="s">
        <v>32</v>
      </c>
      <c r="R910" s="8">
        <v>6</v>
      </c>
      <c r="S910" s="8">
        <v>10</v>
      </c>
      <c r="T910" s="8">
        <f t="shared" si="92"/>
        <v>16</v>
      </c>
      <c r="U910" s="8">
        <v>0</v>
      </c>
      <c r="V910" s="8">
        <v>1</v>
      </c>
      <c r="W910" s="8">
        <v>2</v>
      </c>
      <c r="X910" s="8">
        <v>3</v>
      </c>
      <c r="Y910" s="8">
        <v>2</v>
      </c>
      <c r="Z910" s="8">
        <v>1</v>
      </c>
      <c r="AA910" s="8">
        <v>159</v>
      </c>
      <c r="AB910" s="9">
        <f t="shared" si="93"/>
        <v>1.6981132075471699</v>
      </c>
      <c r="AC910" s="10">
        <f t="shared" si="95"/>
        <v>9.4222222222222225</v>
      </c>
      <c r="AD910" s="8" t="s">
        <v>33</v>
      </c>
      <c r="AE910" s="11">
        <v>19990</v>
      </c>
      <c r="AF910" s="11">
        <f t="shared" si="96"/>
        <v>319840</v>
      </c>
      <c r="AG910" s="12" t="s">
        <v>51</v>
      </c>
      <c r="AH910" s="8" t="s">
        <v>65</v>
      </c>
    </row>
    <row r="911" spans="1:34">
      <c r="A911" s="8" t="s">
        <v>1264</v>
      </c>
      <c r="B911" s="16" t="s">
        <v>2859</v>
      </c>
      <c r="C911" s="8" t="s">
        <v>27</v>
      </c>
      <c r="D911" s="8" t="s">
        <v>1265</v>
      </c>
      <c r="E911" s="8" t="str">
        <f t="shared" si="94"/>
        <v>CEDRO</v>
      </c>
      <c r="G911" s="8" t="s">
        <v>2861</v>
      </c>
      <c r="H911" s="8" t="str">
        <f>VLOOKUP(A911,[1]BBDD!$B$1:$J$3274,9,FALSE)</f>
        <v>U</v>
      </c>
      <c r="I911" s="8" t="s">
        <v>2861</v>
      </c>
      <c r="J911" s="8" t="s">
        <v>1266</v>
      </c>
      <c r="L911" s="8" t="s">
        <v>112</v>
      </c>
      <c r="N911" s="8" t="s">
        <v>113</v>
      </c>
      <c r="O911" s="8" t="s">
        <v>113</v>
      </c>
      <c r="Q911" s="8" t="s">
        <v>32</v>
      </c>
      <c r="R911" s="8">
        <v>0</v>
      </c>
      <c r="S911" s="8">
        <v>2</v>
      </c>
      <c r="T911" s="8">
        <f t="shared" si="92"/>
        <v>2</v>
      </c>
      <c r="U911" s="8">
        <v>3</v>
      </c>
      <c r="V911" s="8">
        <v>1</v>
      </c>
      <c r="W911" s="8">
        <v>2</v>
      </c>
      <c r="X911" s="8">
        <v>1</v>
      </c>
      <c r="Y911" s="8">
        <v>1</v>
      </c>
      <c r="Z911" s="8">
        <v>2</v>
      </c>
      <c r="AA911" s="8">
        <v>180</v>
      </c>
      <c r="AB911" s="9">
        <f t="shared" si="93"/>
        <v>1.6666666666666665</v>
      </c>
      <c r="AC911" s="10">
        <f t="shared" si="95"/>
        <v>1.2000000000000002</v>
      </c>
      <c r="AD911" s="8" t="s">
        <v>33</v>
      </c>
      <c r="AE911" s="11">
        <v>116990</v>
      </c>
      <c r="AF911" s="11">
        <f t="shared" si="96"/>
        <v>233980</v>
      </c>
      <c r="AG911" s="12" t="s">
        <v>34</v>
      </c>
      <c r="AH911" s="8" t="s">
        <v>35</v>
      </c>
    </row>
    <row r="912" spans="1:34">
      <c r="A912" s="8" t="s">
        <v>1267</v>
      </c>
      <c r="B912" s="16" t="s">
        <v>2859</v>
      </c>
      <c r="C912" s="8" t="s">
        <v>27</v>
      </c>
      <c r="D912" s="8" t="s">
        <v>1265</v>
      </c>
      <c r="E912" s="8" t="str">
        <f t="shared" si="94"/>
        <v>NEGRO</v>
      </c>
      <c r="G912" s="8" t="s">
        <v>2861</v>
      </c>
      <c r="H912" s="8" t="str">
        <f>VLOOKUP(A912,[1]BBDD!$B$1:$J$3274,9,FALSE)</f>
        <v>U</v>
      </c>
      <c r="I912" s="8" t="s">
        <v>2861</v>
      </c>
      <c r="J912" s="8" t="s">
        <v>1266</v>
      </c>
      <c r="L912" s="8" t="s">
        <v>112</v>
      </c>
      <c r="N912" s="8" t="s">
        <v>44</v>
      </c>
      <c r="O912" s="8" t="s">
        <v>44</v>
      </c>
      <c r="Q912" s="8" t="s">
        <v>32</v>
      </c>
      <c r="R912" s="8">
        <v>4</v>
      </c>
      <c r="S912" s="8">
        <v>6</v>
      </c>
      <c r="T912" s="8">
        <f t="shared" si="92"/>
        <v>10</v>
      </c>
      <c r="U912" s="8">
        <v>0</v>
      </c>
      <c r="V912" s="8">
        <v>1</v>
      </c>
      <c r="W912" s="8">
        <v>0</v>
      </c>
      <c r="X912" s="8">
        <v>1</v>
      </c>
      <c r="Y912" s="8">
        <v>0</v>
      </c>
      <c r="Z912" s="8">
        <v>0</v>
      </c>
      <c r="AA912" s="8">
        <v>180</v>
      </c>
      <c r="AB912" s="9">
        <f t="shared" si="93"/>
        <v>0.33333333333333337</v>
      </c>
      <c r="AC912" s="10">
        <f t="shared" si="95"/>
        <v>29.999999999999996</v>
      </c>
      <c r="AD912" s="8" t="s">
        <v>33</v>
      </c>
      <c r="AE912" s="11">
        <v>116990</v>
      </c>
      <c r="AF912" s="11">
        <f t="shared" si="96"/>
        <v>1169900</v>
      </c>
      <c r="AG912" s="12" t="s">
        <v>73</v>
      </c>
      <c r="AH912" s="8" t="s">
        <v>35</v>
      </c>
    </row>
    <row r="913" spans="1:34">
      <c r="A913" s="8" t="s">
        <v>1268</v>
      </c>
      <c r="B913" s="16" t="s">
        <v>2859</v>
      </c>
      <c r="C913" s="8" t="s">
        <v>27</v>
      </c>
      <c r="D913" s="8" t="s">
        <v>1265</v>
      </c>
      <c r="E913" s="8" t="str">
        <f t="shared" si="94"/>
        <v>CEDRO</v>
      </c>
      <c r="G913" s="8" t="s">
        <v>2861</v>
      </c>
      <c r="H913" s="8" t="str">
        <f>VLOOKUP(A913,[1]BBDD!$B$1:$J$3274,9,FALSE)</f>
        <v>U</v>
      </c>
      <c r="I913" s="8" t="s">
        <v>2861</v>
      </c>
      <c r="J913" s="8" t="s">
        <v>1269</v>
      </c>
      <c r="L913" s="8" t="s">
        <v>112</v>
      </c>
      <c r="N913" s="8" t="s">
        <v>113</v>
      </c>
      <c r="O913" s="8" t="s">
        <v>113</v>
      </c>
      <c r="Q913" s="8" t="s">
        <v>32</v>
      </c>
      <c r="R913" s="8">
        <v>11</v>
      </c>
      <c r="S913" s="8">
        <v>3</v>
      </c>
      <c r="T913" s="8">
        <f t="shared" si="92"/>
        <v>14</v>
      </c>
      <c r="U913" s="8">
        <v>0</v>
      </c>
      <c r="V913" s="8">
        <v>4</v>
      </c>
      <c r="W913" s="8">
        <v>0</v>
      </c>
      <c r="X913" s="8">
        <v>1</v>
      </c>
      <c r="Y913" s="8">
        <v>0</v>
      </c>
      <c r="Z913" s="8">
        <v>3</v>
      </c>
      <c r="AA913" s="8">
        <v>180</v>
      </c>
      <c r="AB913" s="9">
        <f t="shared" si="93"/>
        <v>1.3333333333333335</v>
      </c>
      <c r="AC913" s="10">
        <f t="shared" si="95"/>
        <v>10.499999999999998</v>
      </c>
      <c r="AD913" s="8" t="s">
        <v>33</v>
      </c>
      <c r="AE913" s="11">
        <v>65990</v>
      </c>
      <c r="AF913" s="11">
        <f t="shared" si="96"/>
        <v>923860</v>
      </c>
      <c r="AG913" s="12" t="s">
        <v>51</v>
      </c>
      <c r="AH913" s="8" t="s">
        <v>65</v>
      </c>
    </row>
    <row r="914" spans="1:34">
      <c r="A914" s="8" t="s">
        <v>1270</v>
      </c>
      <c r="B914" s="16" t="s">
        <v>2859</v>
      </c>
      <c r="C914" s="8" t="s">
        <v>27</v>
      </c>
      <c r="D914" s="8" t="s">
        <v>1265</v>
      </c>
      <c r="E914" s="8" t="str">
        <f t="shared" si="94"/>
        <v>NEGRO</v>
      </c>
      <c r="G914" s="8" t="s">
        <v>2861</v>
      </c>
      <c r="H914" s="8" t="str">
        <f>VLOOKUP(A914,[1]BBDD!$B$1:$J$3274,9,FALSE)</f>
        <v>U</v>
      </c>
      <c r="I914" s="8" t="s">
        <v>2861</v>
      </c>
      <c r="J914" s="8" t="s">
        <v>1269</v>
      </c>
      <c r="L914" s="8" t="s">
        <v>112</v>
      </c>
      <c r="N914" s="8" t="s">
        <v>44</v>
      </c>
      <c r="O914" s="8" t="s">
        <v>44</v>
      </c>
      <c r="Q914" s="8" t="s">
        <v>32</v>
      </c>
      <c r="R914" s="8">
        <v>6</v>
      </c>
      <c r="S914" s="8">
        <v>5</v>
      </c>
      <c r="T914" s="8">
        <f t="shared" si="92"/>
        <v>11</v>
      </c>
      <c r="U914" s="8">
        <v>1</v>
      </c>
      <c r="V914" s="8">
        <v>2</v>
      </c>
      <c r="W914" s="8">
        <v>3</v>
      </c>
      <c r="X914" s="8">
        <v>0</v>
      </c>
      <c r="Y914" s="8">
        <v>0</v>
      </c>
      <c r="Z914" s="8">
        <v>2</v>
      </c>
      <c r="AA914" s="8">
        <v>180</v>
      </c>
      <c r="AB914" s="9">
        <f t="shared" si="93"/>
        <v>1.3333333333333335</v>
      </c>
      <c r="AC914" s="10">
        <f t="shared" si="95"/>
        <v>8.2499999999999982</v>
      </c>
      <c r="AD914" s="8" t="s">
        <v>33</v>
      </c>
      <c r="AE914" s="11">
        <v>65990</v>
      </c>
      <c r="AF914" s="11">
        <f t="shared" si="96"/>
        <v>725890</v>
      </c>
      <c r="AG914" s="12" t="s">
        <v>51</v>
      </c>
      <c r="AH914" s="8" t="s">
        <v>65</v>
      </c>
    </row>
    <row r="915" spans="1:34">
      <c r="A915" s="8" t="s">
        <v>1271</v>
      </c>
      <c r="B915" s="16" t="s">
        <v>2859</v>
      </c>
      <c r="C915" s="8" t="s">
        <v>27</v>
      </c>
      <c r="D915" s="8" t="s">
        <v>1265</v>
      </c>
      <c r="E915" s="8" t="str">
        <f t="shared" si="94"/>
        <v>MALBEC</v>
      </c>
      <c r="G915" s="8" t="s">
        <v>2861</v>
      </c>
      <c r="H915" s="8" t="str">
        <f>VLOOKUP(A915,[1]BBDD!$B$1:$J$3274,9,FALSE)</f>
        <v>U</v>
      </c>
      <c r="I915" s="8" t="s">
        <v>2861</v>
      </c>
      <c r="J915" s="8" t="s">
        <v>1272</v>
      </c>
      <c r="L915" s="8" t="s">
        <v>61</v>
      </c>
      <c r="N915" s="8" t="s">
        <v>69</v>
      </c>
      <c r="O915" s="8" t="s">
        <v>69</v>
      </c>
      <c r="Q915" s="8" t="s">
        <v>45</v>
      </c>
      <c r="R915" s="8">
        <v>4</v>
      </c>
      <c r="S915" s="8">
        <v>3</v>
      </c>
      <c r="T915" s="8">
        <f t="shared" si="92"/>
        <v>7</v>
      </c>
      <c r="U915" s="8">
        <v>1</v>
      </c>
      <c r="V915" s="8">
        <v>2</v>
      </c>
      <c r="W915" s="8">
        <v>0</v>
      </c>
      <c r="X915" s="8">
        <v>0</v>
      </c>
      <c r="Y915" s="8">
        <v>2</v>
      </c>
      <c r="Z915" s="8">
        <v>2</v>
      </c>
      <c r="AA915" s="8">
        <v>180</v>
      </c>
      <c r="AB915" s="9">
        <f t="shared" si="93"/>
        <v>1.1666666666666667</v>
      </c>
      <c r="AC915" s="10">
        <f t="shared" si="95"/>
        <v>6</v>
      </c>
      <c r="AD915" s="8" t="s">
        <v>109</v>
      </c>
      <c r="AE915" s="11">
        <v>36990</v>
      </c>
      <c r="AF915" s="11">
        <f t="shared" si="96"/>
        <v>258930</v>
      </c>
      <c r="AG915" s="12" t="s">
        <v>34</v>
      </c>
      <c r="AH915" s="8" t="s">
        <v>35</v>
      </c>
    </row>
    <row r="916" spans="1:34">
      <c r="A916" s="8" t="s">
        <v>1273</v>
      </c>
      <c r="B916" s="16" t="s">
        <v>2859</v>
      </c>
      <c r="C916" s="8" t="s">
        <v>27</v>
      </c>
      <c r="D916" s="8" t="s">
        <v>1265</v>
      </c>
      <c r="E916" s="8" t="str">
        <f t="shared" si="94"/>
        <v>CEDRO</v>
      </c>
      <c r="G916" s="8" t="s">
        <v>2861</v>
      </c>
      <c r="H916" s="8" t="str">
        <f>VLOOKUP(A916,[1]BBDD!$B$1:$J$3274,9,FALSE)</f>
        <v>U</v>
      </c>
      <c r="I916" s="8" t="s">
        <v>2861</v>
      </c>
      <c r="J916" s="8" t="s">
        <v>1272</v>
      </c>
      <c r="L916" s="8" t="s">
        <v>112</v>
      </c>
      <c r="N916" s="8" t="s">
        <v>113</v>
      </c>
      <c r="O916" s="8" t="s">
        <v>113</v>
      </c>
      <c r="Q916" s="8" t="s">
        <v>32</v>
      </c>
      <c r="R916" s="8">
        <v>3</v>
      </c>
      <c r="S916" s="8">
        <v>8</v>
      </c>
      <c r="T916" s="8">
        <f t="shared" si="92"/>
        <v>11</v>
      </c>
      <c r="U916" s="8">
        <v>0</v>
      </c>
      <c r="V916" s="8">
        <v>3</v>
      </c>
      <c r="W916" s="8">
        <v>2</v>
      </c>
      <c r="X916" s="8">
        <v>2</v>
      </c>
      <c r="Y916" s="8">
        <v>4</v>
      </c>
      <c r="Z916" s="8">
        <v>3</v>
      </c>
      <c r="AA916" s="8">
        <v>180</v>
      </c>
      <c r="AB916" s="9">
        <f t="shared" si="93"/>
        <v>2.3333333333333335</v>
      </c>
      <c r="AC916" s="10">
        <f t="shared" si="95"/>
        <v>4.7142857142857144</v>
      </c>
      <c r="AD916" s="8" t="s">
        <v>33</v>
      </c>
      <c r="AE916" s="11">
        <v>36990</v>
      </c>
      <c r="AF916" s="11">
        <f t="shared" si="96"/>
        <v>406890</v>
      </c>
      <c r="AG916" s="12" t="s">
        <v>34</v>
      </c>
      <c r="AH916" s="8" t="s">
        <v>65</v>
      </c>
    </row>
    <row r="917" spans="1:34">
      <c r="A917" s="8" t="s">
        <v>1274</v>
      </c>
      <c r="B917" s="16" t="s">
        <v>2859</v>
      </c>
      <c r="C917" s="8" t="s">
        <v>27</v>
      </c>
      <c r="D917" s="8" t="s">
        <v>1265</v>
      </c>
      <c r="E917" s="8" t="str">
        <f t="shared" si="94"/>
        <v>NEGRO</v>
      </c>
      <c r="G917" s="8" t="s">
        <v>2861</v>
      </c>
      <c r="H917" s="8" t="str">
        <f>VLOOKUP(A917,[1]BBDD!$B$1:$J$3274,9,FALSE)</f>
        <v>U</v>
      </c>
      <c r="I917" s="8" t="s">
        <v>2861</v>
      </c>
      <c r="J917" s="8" t="s">
        <v>1272</v>
      </c>
      <c r="L917" s="8" t="s">
        <v>112</v>
      </c>
      <c r="N917" s="8" t="s">
        <v>44</v>
      </c>
      <c r="O917" s="8" t="s">
        <v>44</v>
      </c>
      <c r="Q917" s="8" t="s">
        <v>32</v>
      </c>
      <c r="R917" s="8">
        <v>7</v>
      </c>
      <c r="S917" s="8">
        <v>7</v>
      </c>
      <c r="T917" s="8">
        <f t="shared" si="92"/>
        <v>14</v>
      </c>
      <c r="U917" s="8">
        <v>1</v>
      </c>
      <c r="V917" s="8">
        <v>0</v>
      </c>
      <c r="W917" s="8">
        <v>0</v>
      </c>
      <c r="X917" s="8">
        <v>1</v>
      </c>
      <c r="Y917" s="8">
        <v>1</v>
      </c>
      <c r="Z917" s="8">
        <v>0</v>
      </c>
      <c r="AA917" s="8">
        <v>180</v>
      </c>
      <c r="AB917" s="9">
        <f t="shared" si="93"/>
        <v>0.5</v>
      </c>
      <c r="AC917" s="10">
        <f t="shared" si="95"/>
        <v>28</v>
      </c>
      <c r="AD917" s="8" t="s">
        <v>33</v>
      </c>
      <c r="AE917" s="11">
        <v>36990</v>
      </c>
      <c r="AF917" s="11">
        <f t="shared" si="96"/>
        <v>517860</v>
      </c>
      <c r="AG917" s="12" t="s">
        <v>73</v>
      </c>
      <c r="AH917" s="8" t="s">
        <v>65</v>
      </c>
    </row>
    <row r="918" spans="1:34">
      <c r="A918" s="8" t="s">
        <v>1275</v>
      </c>
      <c r="B918" s="16" t="s">
        <v>505</v>
      </c>
      <c r="C918" s="8" t="s">
        <v>377</v>
      </c>
      <c r="D918" s="8" t="s">
        <v>1276</v>
      </c>
      <c r="E918" s="8" t="str">
        <f t="shared" si="94"/>
        <v>CRUDO</v>
      </c>
      <c r="H918" s="8" t="str">
        <f>VLOOKUP(A918,[1]BBDD!$B$1:$J$3274,9,FALSE)</f>
        <v>H</v>
      </c>
      <c r="I918" s="8" t="s">
        <v>2863</v>
      </c>
      <c r="J918" s="8" t="s">
        <v>1277</v>
      </c>
      <c r="L918" s="8" t="s">
        <v>508</v>
      </c>
      <c r="N918" s="8" t="s">
        <v>518</v>
      </c>
      <c r="O918" s="8" t="s">
        <v>518</v>
      </c>
      <c r="Q918" s="8" t="s">
        <v>45</v>
      </c>
      <c r="R918" s="8">
        <v>0</v>
      </c>
      <c r="S918" s="8">
        <v>3</v>
      </c>
      <c r="T918" s="8">
        <f t="shared" si="92"/>
        <v>3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180</v>
      </c>
      <c r="AB918" s="9">
        <f t="shared" si="93"/>
        <v>0</v>
      </c>
      <c r="AC918" s="10" t="str">
        <f t="shared" si="95"/>
        <v>sin venta</v>
      </c>
      <c r="AD918" s="8" t="s">
        <v>109</v>
      </c>
      <c r="AE918" s="11">
        <v>24990</v>
      </c>
      <c r="AF918" s="11">
        <f t="shared" si="96"/>
        <v>74970</v>
      </c>
      <c r="AG918" s="12" t="s">
        <v>73</v>
      </c>
      <c r="AH918" s="8" t="s">
        <v>35</v>
      </c>
    </row>
    <row r="919" spans="1:34">
      <c r="A919" s="8" t="s">
        <v>1278</v>
      </c>
      <c r="B919" s="16" t="s">
        <v>1279</v>
      </c>
      <c r="C919" s="8" t="s">
        <v>377</v>
      </c>
      <c r="D919" s="8" t="s">
        <v>1276</v>
      </c>
      <c r="E919" s="8" t="str">
        <f t="shared" si="94"/>
        <v>GRIS CLARO</v>
      </c>
      <c r="H919" s="8" t="str">
        <f>VLOOKUP(A919,[1]BBDD!$B$1:$J$3274,9,FALSE)</f>
        <v>H</v>
      </c>
      <c r="I919" s="8" t="s">
        <v>2863</v>
      </c>
      <c r="J919" s="8" t="s">
        <v>1280</v>
      </c>
      <c r="L919" s="8" t="s">
        <v>1281</v>
      </c>
      <c r="N919" s="8" t="s">
        <v>1282</v>
      </c>
      <c r="O919" s="8" t="s">
        <v>1282</v>
      </c>
      <c r="P919" s="18" t="str">
        <f>RIGHT(A919,LEN(A919)-FIND("-",A919))</f>
        <v>L</v>
      </c>
      <c r="Q919" s="8" t="s">
        <v>45</v>
      </c>
      <c r="R919" s="8">
        <v>0</v>
      </c>
      <c r="S919" s="8">
        <v>4</v>
      </c>
      <c r="T919" s="8">
        <f t="shared" si="92"/>
        <v>4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1</v>
      </c>
      <c r="AA919" s="8">
        <v>180</v>
      </c>
      <c r="AB919" s="9">
        <f t="shared" si="93"/>
        <v>0.16666666666666669</v>
      </c>
      <c r="AC919" s="10">
        <f t="shared" si="95"/>
        <v>23.999999999999996</v>
      </c>
      <c r="AD919" s="8" t="s">
        <v>46</v>
      </c>
      <c r="AE919" s="11">
        <v>9990</v>
      </c>
      <c r="AF919" s="11">
        <f t="shared" si="96"/>
        <v>39960</v>
      </c>
      <c r="AG919" s="12" t="s">
        <v>64</v>
      </c>
      <c r="AH919" s="8" t="s">
        <v>35</v>
      </c>
    </row>
    <row r="920" spans="1:34">
      <c r="A920" s="8" t="s">
        <v>1283</v>
      </c>
      <c r="B920" s="16" t="s">
        <v>1279</v>
      </c>
      <c r="C920" s="8" t="s">
        <v>377</v>
      </c>
      <c r="D920" s="8" t="s">
        <v>1276</v>
      </c>
      <c r="E920" s="8" t="str">
        <f t="shared" si="94"/>
        <v>GRIS CLARO</v>
      </c>
      <c r="H920" s="8" t="str">
        <f>VLOOKUP(A920,[1]BBDD!$B$1:$J$3274,9,FALSE)</f>
        <v>H</v>
      </c>
      <c r="I920" s="8" t="s">
        <v>2863</v>
      </c>
      <c r="J920" s="8" t="s">
        <v>1280</v>
      </c>
      <c r="L920" s="8" t="s">
        <v>1281</v>
      </c>
      <c r="N920" s="8" t="s">
        <v>1282</v>
      </c>
      <c r="O920" s="8" t="s">
        <v>1282</v>
      </c>
      <c r="P920" s="18" t="str">
        <f t="shared" ref="P920:P921" si="97">RIGHT(A920,LEN(A920)-FIND("-",A920))</f>
        <v>XL</v>
      </c>
      <c r="Q920" s="8" t="s">
        <v>45</v>
      </c>
      <c r="R920" s="8">
        <v>0</v>
      </c>
      <c r="S920" s="8">
        <v>8</v>
      </c>
      <c r="T920" s="8">
        <f t="shared" si="92"/>
        <v>8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180</v>
      </c>
      <c r="AB920" s="9">
        <f t="shared" si="93"/>
        <v>0</v>
      </c>
      <c r="AC920" s="10" t="str">
        <f t="shared" si="95"/>
        <v>sin venta</v>
      </c>
      <c r="AD920" s="8" t="s">
        <v>46</v>
      </c>
      <c r="AE920" s="11">
        <v>9990</v>
      </c>
      <c r="AF920" s="11">
        <f t="shared" si="96"/>
        <v>79920</v>
      </c>
      <c r="AG920" s="12" t="s">
        <v>73</v>
      </c>
      <c r="AH920" s="8" t="s">
        <v>35</v>
      </c>
    </row>
    <row r="921" spans="1:34">
      <c r="A921" s="8" t="s">
        <v>1284</v>
      </c>
      <c r="B921" s="16" t="s">
        <v>1279</v>
      </c>
      <c r="C921" s="8" t="s">
        <v>377</v>
      </c>
      <c r="D921" s="8" t="s">
        <v>1276</v>
      </c>
      <c r="E921" s="8" t="str">
        <f t="shared" si="94"/>
        <v>GRIS CLARO</v>
      </c>
      <c r="H921" s="8" t="str">
        <f>VLOOKUP(A921,[1]BBDD!$B$1:$J$3274,9,FALSE)</f>
        <v>H</v>
      </c>
      <c r="I921" s="8" t="s">
        <v>2863</v>
      </c>
      <c r="J921" s="8" t="s">
        <v>1280</v>
      </c>
      <c r="L921" s="8" t="s">
        <v>1281</v>
      </c>
      <c r="N921" s="8" t="s">
        <v>1282</v>
      </c>
      <c r="O921" s="8" t="s">
        <v>1282</v>
      </c>
      <c r="P921" s="18" t="str">
        <f t="shared" si="97"/>
        <v>XXL</v>
      </c>
      <c r="Q921" s="8" t="s">
        <v>45</v>
      </c>
      <c r="R921" s="8">
        <v>0</v>
      </c>
      <c r="S921" s="8">
        <v>2</v>
      </c>
      <c r="T921" s="8">
        <f t="shared" si="92"/>
        <v>2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180</v>
      </c>
      <c r="AB921" s="9">
        <f t="shared" si="93"/>
        <v>0</v>
      </c>
      <c r="AC921" s="10" t="str">
        <f t="shared" si="95"/>
        <v>sin venta</v>
      </c>
      <c r="AD921" s="8" t="s">
        <v>46</v>
      </c>
      <c r="AE921" s="11">
        <v>9990</v>
      </c>
      <c r="AF921" s="11">
        <f t="shared" si="96"/>
        <v>19980</v>
      </c>
      <c r="AG921" s="12" t="s">
        <v>73</v>
      </c>
      <c r="AH921" s="8" t="s">
        <v>35</v>
      </c>
    </row>
    <row r="922" spans="1:34">
      <c r="A922" s="8" t="s">
        <v>1285</v>
      </c>
      <c r="B922" s="16" t="s">
        <v>1286</v>
      </c>
      <c r="C922" s="8" t="s">
        <v>377</v>
      </c>
      <c r="D922" s="8" t="s">
        <v>1276</v>
      </c>
      <c r="E922" s="8" t="str">
        <f t="shared" si="94"/>
        <v>CRUDO</v>
      </c>
      <c r="H922" s="8" t="str">
        <f>VLOOKUP(A922,[1]BBDD!$B$1:$J$3274,9,FALSE)</f>
        <v>M</v>
      </c>
      <c r="I922" s="8" t="s">
        <v>2862</v>
      </c>
      <c r="J922" s="8" t="s">
        <v>1287</v>
      </c>
      <c r="L922" s="8" t="s">
        <v>1288</v>
      </c>
      <c r="N922" s="8" t="s">
        <v>518</v>
      </c>
      <c r="O922" s="8" t="s">
        <v>518</v>
      </c>
      <c r="Q922" s="8" t="s">
        <v>45</v>
      </c>
      <c r="R922" s="8">
        <v>3</v>
      </c>
      <c r="S922" s="8">
        <v>9</v>
      </c>
      <c r="T922" s="8">
        <f t="shared" si="92"/>
        <v>12</v>
      </c>
      <c r="U922" s="8">
        <v>2</v>
      </c>
      <c r="V922" s="8">
        <v>2</v>
      </c>
      <c r="W922" s="8">
        <v>3</v>
      </c>
      <c r="X922" s="8">
        <v>2</v>
      </c>
      <c r="Y922" s="8">
        <v>2</v>
      </c>
      <c r="Z922" s="8">
        <v>3</v>
      </c>
      <c r="AA922" s="8">
        <v>175</v>
      </c>
      <c r="AB922" s="9">
        <f t="shared" si="93"/>
        <v>2.4</v>
      </c>
      <c r="AC922" s="10">
        <f t="shared" si="95"/>
        <v>5</v>
      </c>
      <c r="AD922" s="8" t="s">
        <v>991</v>
      </c>
      <c r="AE922" s="11">
        <v>19990</v>
      </c>
      <c r="AF922" s="11">
        <f t="shared" si="96"/>
        <v>239880</v>
      </c>
      <c r="AG922" s="12" t="s">
        <v>34</v>
      </c>
      <c r="AH922" s="8" t="s">
        <v>65</v>
      </c>
    </row>
    <row r="923" spans="1:34">
      <c r="A923" s="8" t="s">
        <v>1289</v>
      </c>
      <c r="B923" s="16" t="s">
        <v>1286</v>
      </c>
      <c r="C923" s="8" t="s">
        <v>377</v>
      </c>
      <c r="D923" s="8" t="s">
        <v>1276</v>
      </c>
      <c r="E923" s="8" t="str">
        <f t="shared" si="94"/>
        <v>NEGRO</v>
      </c>
      <c r="H923" s="8" t="str">
        <f>VLOOKUP(A923,[1]BBDD!$B$1:$J$3274,9,FALSE)</f>
        <v>M</v>
      </c>
      <c r="I923" s="8" t="s">
        <v>2862</v>
      </c>
      <c r="J923" s="8" t="s">
        <v>1287</v>
      </c>
      <c r="L923" s="8" t="s">
        <v>1288</v>
      </c>
      <c r="N923" s="8" t="s">
        <v>44</v>
      </c>
      <c r="O923" s="8" t="s">
        <v>44</v>
      </c>
      <c r="Q923" s="8" t="s">
        <v>45</v>
      </c>
      <c r="R923" s="8">
        <v>12</v>
      </c>
      <c r="S923" s="8">
        <v>9</v>
      </c>
      <c r="T923" s="8">
        <f t="shared" si="92"/>
        <v>21</v>
      </c>
      <c r="U923" s="8">
        <v>1</v>
      </c>
      <c r="V923" s="8">
        <v>0</v>
      </c>
      <c r="W923" s="8">
        <v>3</v>
      </c>
      <c r="X923" s="8">
        <v>0</v>
      </c>
      <c r="Y923" s="8">
        <v>1</v>
      </c>
      <c r="Z923" s="8">
        <v>0</v>
      </c>
      <c r="AA923" s="8">
        <v>175</v>
      </c>
      <c r="AB923" s="9">
        <f t="shared" si="93"/>
        <v>0.8571428571428571</v>
      </c>
      <c r="AC923" s="10">
        <f t="shared" si="95"/>
        <v>24.5</v>
      </c>
      <c r="AD923" s="8" t="s">
        <v>991</v>
      </c>
      <c r="AE923" s="11">
        <v>19990</v>
      </c>
      <c r="AF923" s="11">
        <f t="shared" si="96"/>
        <v>419790</v>
      </c>
      <c r="AG923" s="12" t="s">
        <v>73</v>
      </c>
      <c r="AH923" s="8" t="s">
        <v>74</v>
      </c>
    </row>
    <row r="924" spans="1:34">
      <c r="A924" s="8" t="s">
        <v>1290</v>
      </c>
      <c r="B924" s="16" t="s">
        <v>376</v>
      </c>
      <c r="C924" s="8" t="s">
        <v>377</v>
      </c>
      <c r="D924" s="8" t="s">
        <v>1276</v>
      </c>
      <c r="E924" s="8" t="str">
        <f t="shared" si="94"/>
        <v>VISON - M</v>
      </c>
      <c r="H924" s="8" t="str">
        <f>VLOOKUP(A924,[1]BBDD!$B$1:$J$3274,9,FALSE)</f>
        <v>H</v>
      </c>
      <c r="I924" s="8" t="s">
        <v>2863</v>
      </c>
      <c r="J924" s="8" t="s">
        <v>1291</v>
      </c>
      <c r="L924" s="8" t="s">
        <v>380</v>
      </c>
      <c r="N924" s="8" t="s">
        <v>1292</v>
      </c>
      <c r="O924" s="20" t="s">
        <v>58</v>
      </c>
      <c r="P924" s="18" t="s">
        <v>2862</v>
      </c>
      <c r="Q924" s="8" t="s">
        <v>32</v>
      </c>
      <c r="R924" s="8">
        <v>144</v>
      </c>
      <c r="S924" s="8">
        <v>5</v>
      </c>
      <c r="T924" s="8">
        <f t="shared" si="92"/>
        <v>149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41</v>
      </c>
      <c r="AB924" s="9">
        <f t="shared" si="93"/>
        <v>0</v>
      </c>
      <c r="AC924" s="10" t="str">
        <f t="shared" si="95"/>
        <v>sin venta</v>
      </c>
      <c r="AD924" s="8" t="s">
        <v>991</v>
      </c>
      <c r="AE924" s="11">
        <v>33990</v>
      </c>
      <c r="AF924" s="11">
        <f t="shared" si="96"/>
        <v>5064510</v>
      </c>
      <c r="AG924" s="12" t="s">
        <v>73</v>
      </c>
      <c r="AH924" s="8" t="s">
        <v>74</v>
      </c>
    </row>
    <row r="925" spans="1:34">
      <c r="A925" s="8" t="s">
        <v>1293</v>
      </c>
      <c r="B925" s="16" t="s">
        <v>376</v>
      </c>
      <c r="C925" s="8" t="s">
        <v>377</v>
      </c>
      <c r="D925" s="8" t="s">
        <v>1276</v>
      </c>
      <c r="E925" s="8" t="str">
        <f t="shared" si="94"/>
        <v>VISON - L</v>
      </c>
      <c r="H925" s="8" t="str">
        <f>VLOOKUP(A925,[1]BBDD!$B$1:$J$3274,9,FALSE)</f>
        <v>H</v>
      </c>
      <c r="I925" s="8" t="s">
        <v>2863</v>
      </c>
      <c r="J925" s="8" t="s">
        <v>1291</v>
      </c>
      <c r="L925" s="8" t="s">
        <v>380</v>
      </c>
      <c r="N925" s="8" t="s">
        <v>1294</v>
      </c>
      <c r="O925" s="20" t="s">
        <v>58</v>
      </c>
      <c r="P925" s="18" t="s">
        <v>2874</v>
      </c>
      <c r="Q925" s="8" t="s">
        <v>32</v>
      </c>
      <c r="R925" s="8">
        <v>142</v>
      </c>
      <c r="S925" s="8">
        <v>7</v>
      </c>
      <c r="T925" s="8">
        <f t="shared" si="92"/>
        <v>149</v>
      </c>
      <c r="U925" s="8">
        <v>0</v>
      </c>
      <c r="V925" s="8">
        <v>0</v>
      </c>
      <c r="W925" s="8">
        <v>0</v>
      </c>
      <c r="X925" s="8">
        <v>0</v>
      </c>
      <c r="Y925" s="8">
        <v>1</v>
      </c>
      <c r="Z925" s="8">
        <v>0</v>
      </c>
      <c r="AA925" s="8">
        <v>41</v>
      </c>
      <c r="AB925" s="9">
        <f t="shared" si="93"/>
        <v>0.73170731707317072</v>
      </c>
      <c r="AC925" s="10">
        <f t="shared" si="95"/>
        <v>203.63333333333333</v>
      </c>
      <c r="AD925" s="8" t="s">
        <v>991</v>
      </c>
      <c r="AE925" s="11">
        <v>33990</v>
      </c>
      <c r="AF925" s="11">
        <f t="shared" si="96"/>
        <v>5064510</v>
      </c>
      <c r="AG925" s="12" t="s">
        <v>73</v>
      </c>
      <c r="AH925" s="8" t="s">
        <v>74</v>
      </c>
    </row>
    <row r="926" spans="1:34">
      <c r="A926" s="8" t="s">
        <v>1295</v>
      </c>
      <c r="B926" s="16" t="s">
        <v>1279</v>
      </c>
      <c r="C926" s="8" t="s">
        <v>377</v>
      </c>
      <c r="D926" s="8" t="s">
        <v>1276</v>
      </c>
      <c r="E926" s="8" t="str">
        <f t="shared" si="94"/>
        <v>AZUL MARINO</v>
      </c>
      <c r="H926" s="8" t="str">
        <f>VLOOKUP(A926,[1]BBDD!$B$1:$J$3274,9,FALSE)</f>
        <v>H</v>
      </c>
      <c r="I926" s="8" t="s">
        <v>2863</v>
      </c>
      <c r="J926" s="8" t="s">
        <v>1296</v>
      </c>
      <c r="L926" s="8" t="s">
        <v>1281</v>
      </c>
      <c r="N926" s="8" t="s">
        <v>1003</v>
      </c>
      <c r="O926" s="8" t="s">
        <v>1003</v>
      </c>
      <c r="P926" s="18" t="str">
        <f t="shared" ref="P926:P938" si="98">RIGHT(A926,LEN(A926)-FIND("-",A926))</f>
        <v>L</v>
      </c>
      <c r="Q926" s="8" t="s">
        <v>45</v>
      </c>
      <c r="R926" s="8">
        <v>0</v>
      </c>
      <c r="S926" s="8">
        <v>1</v>
      </c>
      <c r="T926" s="8">
        <f t="shared" si="92"/>
        <v>1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180</v>
      </c>
      <c r="AB926" s="9">
        <f t="shared" si="93"/>
        <v>0</v>
      </c>
      <c r="AC926" s="10" t="str">
        <f t="shared" si="95"/>
        <v>sin venta</v>
      </c>
      <c r="AD926" s="8" t="s">
        <v>109</v>
      </c>
      <c r="AE926" s="11">
        <v>49990</v>
      </c>
      <c r="AF926" s="11">
        <f t="shared" si="96"/>
        <v>49990</v>
      </c>
      <c r="AG926" s="12" t="s">
        <v>73</v>
      </c>
      <c r="AH926" s="8" t="s">
        <v>35</v>
      </c>
    </row>
    <row r="927" spans="1:34">
      <c r="A927" s="8" t="s">
        <v>1297</v>
      </c>
      <c r="B927" s="16" t="s">
        <v>1279</v>
      </c>
      <c r="C927" s="8" t="s">
        <v>377</v>
      </c>
      <c r="D927" s="8" t="s">
        <v>1276</v>
      </c>
      <c r="E927" s="8" t="str">
        <f t="shared" si="94"/>
        <v>AZUL MARINO</v>
      </c>
      <c r="H927" s="8" t="str">
        <f>VLOOKUP(A927,[1]BBDD!$B$1:$J$3274,9,FALSE)</f>
        <v>H</v>
      </c>
      <c r="I927" s="8" t="s">
        <v>2863</v>
      </c>
      <c r="J927" s="8" t="s">
        <v>1296</v>
      </c>
      <c r="L927" s="8" t="s">
        <v>1281</v>
      </c>
      <c r="N927" s="8" t="s">
        <v>1003</v>
      </c>
      <c r="O927" s="8" t="s">
        <v>1003</v>
      </c>
      <c r="P927" s="18" t="str">
        <f t="shared" si="98"/>
        <v>M</v>
      </c>
      <c r="Q927" s="8" t="s">
        <v>45</v>
      </c>
      <c r="R927" s="8">
        <v>0</v>
      </c>
      <c r="S927" s="8">
        <v>1</v>
      </c>
      <c r="T927" s="8">
        <f t="shared" si="92"/>
        <v>1</v>
      </c>
      <c r="U927" s="8">
        <v>0</v>
      </c>
      <c r="V927" s="8">
        <v>0</v>
      </c>
      <c r="W927" s="8">
        <v>1</v>
      </c>
      <c r="X927" s="8">
        <v>0</v>
      </c>
      <c r="Y927" s="8">
        <v>1</v>
      </c>
      <c r="Z927" s="8">
        <v>0</v>
      </c>
      <c r="AA927" s="8">
        <v>180</v>
      </c>
      <c r="AB927" s="9">
        <f t="shared" si="93"/>
        <v>0.33333333333333337</v>
      </c>
      <c r="AC927" s="10">
        <f t="shared" si="95"/>
        <v>2.9999999999999996</v>
      </c>
      <c r="AD927" s="8" t="s">
        <v>109</v>
      </c>
      <c r="AE927" s="11">
        <v>49990</v>
      </c>
      <c r="AF927" s="11">
        <f t="shared" si="96"/>
        <v>49990</v>
      </c>
      <c r="AG927" s="12" t="s">
        <v>34</v>
      </c>
      <c r="AH927" s="8" t="s">
        <v>35</v>
      </c>
    </row>
    <row r="928" spans="1:34">
      <c r="A928" s="8" t="s">
        <v>1298</v>
      </c>
      <c r="B928" s="16" t="s">
        <v>1279</v>
      </c>
      <c r="C928" s="8" t="s">
        <v>377</v>
      </c>
      <c r="D928" s="8" t="s">
        <v>1276</v>
      </c>
      <c r="E928" s="8" t="str">
        <f t="shared" si="94"/>
        <v>AZUL MARINO</v>
      </c>
      <c r="H928" s="8" t="str">
        <f>VLOOKUP(A928,[1]BBDD!$B$1:$J$3274,9,FALSE)</f>
        <v>H</v>
      </c>
      <c r="I928" s="8" t="s">
        <v>2863</v>
      </c>
      <c r="J928" s="8" t="s">
        <v>1296</v>
      </c>
      <c r="L928" s="8" t="s">
        <v>1281</v>
      </c>
      <c r="N928" s="8" t="s">
        <v>1003</v>
      </c>
      <c r="O928" s="8" t="s">
        <v>1003</v>
      </c>
      <c r="P928" s="18" t="str">
        <f t="shared" si="98"/>
        <v>S</v>
      </c>
      <c r="Q928" s="8" t="s">
        <v>45</v>
      </c>
      <c r="R928" s="8">
        <v>0</v>
      </c>
      <c r="S928" s="8">
        <v>1</v>
      </c>
      <c r="T928" s="8">
        <f t="shared" si="92"/>
        <v>1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180</v>
      </c>
      <c r="AB928" s="9">
        <f t="shared" si="93"/>
        <v>0</v>
      </c>
      <c r="AC928" s="10" t="str">
        <f t="shared" si="95"/>
        <v>sin venta</v>
      </c>
      <c r="AD928" s="8" t="s">
        <v>109</v>
      </c>
      <c r="AE928" s="11">
        <v>49990</v>
      </c>
      <c r="AF928" s="11">
        <f t="shared" si="96"/>
        <v>49990</v>
      </c>
      <c r="AG928" s="12" t="s">
        <v>73</v>
      </c>
      <c r="AH928" s="8" t="s">
        <v>35</v>
      </c>
    </row>
    <row r="929" spans="1:34">
      <c r="A929" s="8" t="s">
        <v>1299</v>
      </c>
      <c r="B929" s="16" t="s">
        <v>1279</v>
      </c>
      <c r="C929" s="8" t="s">
        <v>377</v>
      </c>
      <c r="D929" s="8" t="s">
        <v>1276</v>
      </c>
      <c r="E929" s="8" t="str">
        <f t="shared" si="94"/>
        <v>AZUL MARINO</v>
      </c>
      <c r="H929" s="8" t="str">
        <f>VLOOKUP(A929,[1]BBDD!$B$1:$J$3274,9,FALSE)</f>
        <v>H</v>
      </c>
      <c r="I929" s="8" t="s">
        <v>2863</v>
      </c>
      <c r="J929" s="8" t="s">
        <v>1296</v>
      </c>
      <c r="L929" s="8" t="s">
        <v>1281</v>
      </c>
      <c r="N929" s="8" t="s">
        <v>1003</v>
      </c>
      <c r="O929" s="8" t="s">
        <v>1003</v>
      </c>
      <c r="P929" s="18" t="str">
        <f t="shared" si="98"/>
        <v>XL</v>
      </c>
      <c r="Q929" s="8" t="s">
        <v>45</v>
      </c>
      <c r="R929" s="8">
        <v>1</v>
      </c>
      <c r="S929" s="8">
        <v>1</v>
      </c>
      <c r="T929" s="8">
        <f t="shared" si="92"/>
        <v>2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180</v>
      </c>
      <c r="AB929" s="9">
        <f t="shared" si="93"/>
        <v>0</v>
      </c>
      <c r="AC929" s="10" t="str">
        <f t="shared" si="95"/>
        <v>sin venta</v>
      </c>
      <c r="AD929" s="8" t="s">
        <v>109</v>
      </c>
      <c r="AE929" s="11">
        <v>49990</v>
      </c>
      <c r="AF929" s="11">
        <f t="shared" si="96"/>
        <v>99980</v>
      </c>
      <c r="AG929" s="12" t="s">
        <v>73</v>
      </c>
      <c r="AH929" s="8" t="s">
        <v>35</v>
      </c>
    </row>
    <row r="930" spans="1:34">
      <c r="A930" s="8" t="s">
        <v>1300</v>
      </c>
      <c r="B930" s="16" t="s">
        <v>1279</v>
      </c>
      <c r="C930" s="8" t="s">
        <v>377</v>
      </c>
      <c r="D930" s="8" t="s">
        <v>1276</v>
      </c>
      <c r="E930" s="8" t="str">
        <f t="shared" si="94"/>
        <v>AZUL MARINO</v>
      </c>
      <c r="H930" s="8" t="str">
        <f>VLOOKUP(A930,[1]BBDD!$B$1:$J$3274,9,FALSE)</f>
        <v>H</v>
      </c>
      <c r="I930" s="8" t="s">
        <v>2863</v>
      </c>
      <c r="J930" s="8" t="s">
        <v>1296</v>
      </c>
      <c r="L930" s="8" t="s">
        <v>1281</v>
      </c>
      <c r="N930" s="8" t="s">
        <v>1003</v>
      </c>
      <c r="O930" s="8" t="s">
        <v>1003</v>
      </c>
      <c r="P930" s="18" t="str">
        <f t="shared" si="98"/>
        <v>XXL</v>
      </c>
      <c r="Q930" s="8" t="s">
        <v>45</v>
      </c>
      <c r="R930" s="8">
        <v>0</v>
      </c>
      <c r="S930" s="8">
        <v>2</v>
      </c>
      <c r="T930" s="8">
        <f t="shared" si="92"/>
        <v>2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180</v>
      </c>
      <c r="AB930" s="9">
        <f t="shared" si="93"/>
        <v>0</v>
      </c>
      <c r="AC930" s="10" t="str">
        <f t="shared" si="95"/>
        <v>sin venta</v>
      </c>
      <c r="AD930" s="8" t="s">
        <v>109</v>
      </c>
      <c r="AE930" s="11">
        <v>49990</v>
      </c>
      <c r="AF930" s="11">
        <f t="shared" si="96"/>
        <v>99980</v>
      </c>
      <c r="AG930" s="12" t="s">
        <v>73</v>
      </c>
      <c r="AH930" s="8" t="s">
        <v>35</v>
      </c>
    </row>
    <row r="931" spans="1:34">
      <c r="A931" s="8" t="s">
        <v>1301</v>
      </c>
      <c r="B931" s="16" t="s">
        <v>1279</v>
      </c>
      <c r="C931" s="8" t="s">
        <v>377</v>
      </c>
      <c r="D931" s="8" t="s">
        <v>1276</v>
      </c>
      <c r="E931" s="8" t="str">
        <f t="shared" si="94"/>
        <v>GRIS TOPO</v>
      </c>
      <c r="H931" s="8" t="str">
        <f>VLOOKUP(A931,[1]BBDD!$B$1:$J$3274,9,FALSE)</f>
        <v>H</v>
      </c>
      <c r="I931" s="8" t="s">
        <v>2863</v>
      </c>
      <c r="J931" s="8" t="s">
        <v>1296</v>
      </c>
      <c r="L931" s="8" t="s">
        <v>1281</v>
      </c>
      <c r="N931" s="8" t="s">
        <v>714</v>
      </c>
      <c r="O931" s="8" t="s">
        <v>714</v>
      </c>
      <c r="P931" s="18" t="str">
        <f t="shared" si="98"/>
        <v>M</v>
      </c>
      <c r="Q931" s="8" t="s">
        <v>45</v>
      </c>
      <c r="R931" s="8">
        <v>2</v>
      </c>
      <c r="S931" s="8">
        <v>1</v>
      </c>
      <c r="T931" s="8">
        <f t="shared" si="92"/>
        <v>3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180</v>
      </c>
      <c r="AB931" s="9">
        <f t="shared" si="93"/>
        <v>0</v>
      </c>
      <c r="AC931" s="10" t="str">
        <f t="shared" si="95"/>
        <v>sin venta</v>
      </c>
      <c r="AD931" s="8" t="s">
        <v>109</v>
      </c>
      <c r="AE931" s="11">
        <v>49990</v>
      </c>
      <c r="AF931" s="11">
        <f t="shared" si="96"/>
        <v>149970</v>
      </c>
      <c r="AG931" s="12" t="s">
        <v>73</v>
      </c>
      <c r="AH931" s="8" t="s">
        <v>35</v>
      </c>
    </row>
    <row r="932" spans="1:34">
      <c r="A932" s="8" t="s">
        <v>1302</v>
      </c>
      <c r="B932" s="16" t="s">
        <v>1279</v>
      </c>
      <c r="C932" s="8" t="s">
        <v>377</v>
      </c>
      <c r="D932" s="8" t="s">
        <v>1276</v>
      </c>
      <c r="E932" s="8" t="str">
        <f t="shared" si="94"/>
        <v>GRIS TOPO</v>
      </c>
      <c r="H932" s="8" t="str">
        <f>VLOOKUP(A932,[1]BBDD!$B$1:$J$3274,9,FALSE)</f>
        <v>H</v>
      </c>
      <c r="I932" s="8" t="s">
        <v>2863</v>
      </c>
      <c r="J932" s="8" t="s">
        <v>1296</v>
      </c>
      <c r="L932" s="8" t="s">
        <v>1281</v>
      </c>
      <c r="N932" s="8" t="s">
        <v>714</v>
      </c>
      <c r="O932" s="8" t="s">
        <v>714</v>
      </c>
      <c r="P932" s="18" t="str">
        <f t="shared" si="98"/>
        <v>S</v>
      </c>
      <c r="Q932" s="8" t="s">
        <v>45</v>
      </c>
      <c r="R932" s="8">
        <v>2</v>
      </c>
      <c r="S932" s="8">
        <v>1</v>
      </c>
      <c r="T932" s="8">
        <f t="shared" si="92"/>
        <v>3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180</v>
      </c>
      <c r="AB932" s="9">
        <f t="shared" si="93"/>
        <v>0</v>
      </c>
      <c r="AC932" s="10" t="str">
        <f t="shared" si="95"/>
        <v>sin venta</v>
      </c>
      <c r="AD932" s="8" t="s">
        <v>109</v>
      </c>
      <c r="AE932" s="11">
        <v>49990</v>
      </c>
      <c r="AF932" s="11">
        <f t="shared" si="96"/>
        <v>149970</v>
      </c>
      <c r="AG932" s="12" t="s">
        <v>73</v>
      </c>
      <c r="AH932" s="8" t="s">
        <v>35</v>
      </c>
    </row>
    <row r="933" spans="1:34">
      <c r="A933" s="8" t="s">
        <v>1303</v>
      </c>
      <c r="B933" s="16" t="s">
        <v>1279</v>
      </c>
      <c r="C933" s="8" t="s">
        <v>377</v>
      </c>
      <c r="D933" s="8" t="s">
        <v>1276</v>
      </c>
      <c r="E933" s="8" t="str">
        <f t="shared" si="94"/>
        <v>GRIS TOPO</v>
      </c>
      <c r="H933" s="8" t="str">
        <f>VLOOKUP(A933,[1]BBDD!$B$1:$J$3274,9,FALSE)</f>
        <v>H</v>
      </c>
      <c r="I933" s="8" t="s">
        <v>2863</v>
      </c>
      <c r="J933" s="8" t="s">
        <v>1296</v>
      </c>
      <c r="L933" s="8" t="s">
        <v>1281</v>
      </c>
      <c r="N933" s="8" t="s">
        <v>714</v>
      </c>
      <c r="O933" s="8" t="s">
        <v>714</v>
      </c>
      <c r="P933" s="18" t="str">
        <f t="shared" si="98"/>
        <v>XL</v>
      </c>
      <c r="Q933" s="8" t="s">
        <v>45</v>
      </c>
      <c r="R933" s="8">
        <v>0</v>
      </c>
      <c r="S933" s="8">
        <v>1</v>
      </c>
      <c r="T933" s="8">
        <f t="shared" si="92"/>
        <v>1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180</v>
      </c>
      <c r="AB933" s="9">
        <f t="shared" si="93"/>
        <v>0</v>
      </c>
      <c r="AC933" s="10" t="str">
        <f t="shared" si="95"/>
        <v>sin venta</v>
      </c>
      <c r="AD933" s="8" t="s">
        <v>109</v>
      </c>
      <c r="AE933" s="11">
        <v>49990</v>
      </c>
      <c r="AF933" s="11">
        <f t="shared" si="96"/>
        <v>49990</v>
      </c>
      <c r="AG933" s="12" t="s">
        <v>73</v>
      </c>
      <c r="AH933" s="8" t="s">
        <v>35</v>
      </c>
    </row>
    <row r="934" spans="1:34">
      <c r="A934" s="8" t="s">
        <v>1304</v>
      </c>
      <c r="B934" s="16" t="s">
        <v>1279</v>
      </c>
      <c r="C934" s="8" t="s">
        <v>377</v>
      </c>
      <c r="D934" s="8" t="s">
        <v>1276</v>
      </c>
      <c r="E934" s="8" t="str">
        <f t="shared" si="94"/>
        <v>GRIS TOPO</v>
      </c>
      <c r="H934" s="8" t="str">
        <f>VLOOKUP(A934,[1]BBDD!$B$1:$J$3274,9,FALSE)</f>
        <v>H</v>
      </c>
      <c r="I934" s="8" t="s">
        <v>2863</v>
      </c>
      <c r="J934" s="8" t="s">
        <v>1296</v>
      </c>
      <c r="L934" s="8" t="s">
        <v>1281</v>
      </c>
      <c r="N934" s="8" t="s">
        <v>714</v>
      </c>
      <c r="O934" s="8" t="s">
        <v>714</v>
      </c>
      <c r="P934" s="18" t="str">
        <f t="shared" si="98"/>
        <v>XXL</v>
      </c>
      <c r="Q934" s="8" t="s">
        <v>45</v>
      </c>
      <c r="R934" s="8">
        <v>0</v>
      </c>
      <c r="S934" s="8">
        <v>2</v>
      </c>
      <c r="T934" s="8">
        <f t="shared" si="92"/>
        <v>2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180</v>
      </c>
      <c r="AB934" s="9">
        <f t="shared" si="93"/>
        <v>0</v>
      </c>
      <c r="AC934" s="10" t="str">
        <f t="shared" si="95"/>
        <v>sin venta</v>
      </c>
      <c r="AD934" s="8" t="s">
        <v>109</v>
      </c>
      <c r="AE934" s="11">
        <v>49990</v>
      </c>
      <c r="AF934" s="11">
        <f t="shared" si="96"/>
        <v>99980</v>
      </c>
      <c r="AG934" s="12" t="s">
        <v>73</v>
      </c>
      <c r="AH934" s="8" t="s">
        <v>35</v>
      </c>
    </row>
    <row r="935" spans="1:34">
      <c r="A935" s="8" t="s">
        <v>1305</v>
      </c>
      <c r="B935" s="16" t="s">
        <v>1279</v>
      </c>
      <c r="C935" s="8" t="s">
        <v>377</v>
      </c>
      <c r="D935" s="8" t="s">
        <v>1276</v>
      </c>
      <c r="E935" s="8" t="str">
        <f t="shared" si="94"/>
        <v>NEGRO</v>
      </c>
      <c r="H935" s="8" t="str">
        <f>VLOOKUP(A935,[1]BBDD!$B$1:$J$3274,9,FALSE)</f>
        <v>H</v>
      </c>
      <c r="I935" s="8" t="s">
        <v>2863</v>
      </c>
      <c r="J935" s="8" t="s">
        <v>1296</v>
      </c>
      <c r="L935" s="8" t="s">
        <v>1281</v>
      </c>
      <c r="N935" s="8" t="s">
        <v>44</v>
      </c>
      <c r="O935" s="8" t="s">
        <v>44</v>
      </c>
      <c r="P935" s="18" t="str">
        <f t="shared" si="98"/>
        <v>L</v>
      </c>
      <c r="Q935" s="8" t="s">
        <v>45</v>
      </c>
      <c r="R935" s="8">
        <v>0</v>
      </c>
      <c r="S935" s="8">
        <v>1</v>
      </c>
      <c r="T935" s="8">
        <f t="shared" ref="T935:T998" si="99">SUM(R935:S935)</f>
        <v>1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180</v>
      </c>
      <c r="AB935" s="9">
        <f t="shared" ref="AB935:AB998" si="100">SUM(U935:Z935)/AA935*30</f>
        <v>0</v>
      </c>
      <c r="AC935" s="10" t="str">
        <f t="shared" si="95"/>
        <v>sin venta</v>
      </c>
      <c r="AD935" s="8" t="s">
        <v>109</v>
      </c>
      <c r="AE935" s="11">
        <v>49990</v>
      </c>
      <c r="AF935" s="11">
        <f t="shared" si="96"/>
        <v>49990</v>
      </c>
      <c r="AG935" s="12" t="s">
        <v>73</v>
      </c>
      <c r="AH935" s="8" t="s">
        <v>35</v>
      </c>
    </row>
    <row r="936" spans="1:34">
      <c r="A936" s="8" t="s">
        <v>1306</v>
      </c>
      <c r="B936" s="16" t="s">
        <v>1279</v>
      </c>
      <c r="C936" s="8" t="s">
        <v>377</v>
      </c>
      <c r="D936" s="8" t="s">
        <v>1276</v>
      </c>
      <c r="E936" s="8" t="str">
        <f t="shared" si="94"/>
        <v>NEGRO</v>
      </c>
      <c r="H936" s="8" t="str">
        <f>VLOOKUP(A936,[1]BBDD!$B$1:$J$3274,9,FALSE)</f>
        <v>H</v>
      </c>
      <c r="I936" s="8" t="s">
        <v>2863</v>
      </c>
      <c r="J936" s="8" t="s">
        <v>1296</v>
      </c>
      <c r="L936" s="8" t="s">
        <v>1281</v>
      </c>
      <c r="N936" s="8" t="s">
        <v>44</v>
      </c>
      <c r="O936" s="8" t="s">
        <v>44</v>
      </c>
      <c r="P936" s="18" t="str">
        <f t="shared" si="98"/>
        <v>M</v>
      </c>
      <c r="Q936" s="8" t="s">
        <v>45</v>
      </c>
      <c r="R936" s="8">
        <v>0</v>
      </c>
      <c r="S936" s="8">
        <v>1</v>
      </c>
      <c r="T936" s="8">
        <f t="shared" si="99"/>
        <v>1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180</v>
      </c>
      <c r="AB936" s="9">
        <f t="shared" si="100"/>
        <v>0</v>
      </c>
      <c r="AC936" s="10" t="str">
        <f t="shared" si="95"/>
        <v>sin venta</v>
      </c>
      <c r="AD936" s="8" t="s">
        <v>109</v>
      </c>
      <c r="AE936" s="11">
        <v>49990</v>
      </c>
      <c r="AF936" s="11">
        <f t="shared" si="96"/>
        <v>49990</v>
      </c>
      <c r="AG936" s="12" t="s">
        <v>73</v>
      </c>
      <c r="AH936" s="8" t="s">
        <v>35</v>
      </c>
    </row>
    <row r="937" spans="1:34">
      <c r="A937" s="8" t="s">
        <v>1307</v>
      </c>
      <c r="B937" s="16" t="s">
        <v>1279</v>
      </c>
      <c r="C937" s="8" t="s">
        <v>377</v>
      </c>
      <c r="D937" s="8" t="s">
        <v>1276</v>
      </c>
      <c r="E937" s="8" t="str">
        <f t="shared" si="94"/>
        <v>NEGRO</v>
      </c>
      <c r="H937" s="8" t="str">
        <f>VLOOKUP(A937,[1]BBDD!$B$1:$J$3274,9,FALSE)</f>
        <v>H</v>
      </c>
      <c r="I937" s="8" t="s">
        <v>2863</v>
      </c>
      <c r="J937" s="8" t="s">
        <v>1296</v>
      </c>
      <c r="L937" s="8" t="s">
        <v>1281</v>
      </c>
      <c r="N937" s="8" t="s">
        <v>44</v>
      </c>
      <c r="O937" s="8" t="s">
        <v>44</v>
      </c>
      <c r="P937" s="18" t="str">
        <f t="shared" si="98"/>
        <v>XL</v>
      </c>
      <c r="Q937" s="8" t="s">
        <v>45</v>
      </c>
      <c r="R937" s="8">
        <v>1</v>
      </c>
      <c r="S937" s="8">
        <v>1</v>
      </c>
      <c r="T937" s="8">
        <f t="shared" si="99"/>
        <v>2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180</v>
      </c>
      <c r="AB937" s="9">
        <f t="shared" si="100"/>
        <v>0</v>
      </c>
      <c r="AC937" s="10" t="str">
        <f t="shared" si="95"/>
        <v>sin venta</v>
      </c>
      <c r="AD937" s="8" t="s">
        <v>109</v>
      </c>
      <c r="AE937" s="11">
        <v>49990</v>
      </c>
      <c r="AF937" s="11">
        <f t="shared" si="96"/>
        <v>99980</v>
      </c>
      <c r="AG937" s="12" t="s">
        <v>73</v>
      </c>
      <c r="AH937" s="8" t="s">
        <v>35</v>
      </c>
    </row>
    <row r="938" spans="1:34">
      <c r="A938" s="8" t="s">
        <v>1308</v>
      </c>
      <c r="B938" s="16" t="s">
        <v>1279</v>
      </c>
      <c r="C938" s="8" t="s">
        <v>377</v>
      </c>
      <c r="D938" s="8" t="s">
        <v>1276</v>
      </c>
      <c r="E938" s="8" t="str">
        <f t="shared" si="94"/>
        <v>NEGRO</v>
      </c>
      <c r="H938" s="8" t="str">
        <f>VLOOKUP(A938,[1]BBDD!$B$1:$J$3274,9,FALSE)</f>
        <v>H</v>
      </c>
      <c r="I938" s="8" t="s">
        <v>2863</v>
      </c>
      <c r="J938" s="8" t="s">
        <v>1296</v>
      </c>
      <c r="L938" s="8" t="s">
        <v>1281</v>
      </c>
      <c r="N938" s="8" t="s">
        <v>44</v>
      </c>
      <c r="O938" s="8" t="s">
        <v>44</v>
      </c>
      <c r="P938" s="18" t="str">
        <f t="shared" si="98"/>
        <v>XXL</v>
      </c>
      <c r="Q938" s="8" t="s">
        <v>45</v>
      </c>
      <c r="R938" s="8">
        <v>0</v>
      </c>
      <c r="S938" s="8">
        <v>1</v>
      </c>
      <c r="T938" s="8">
        <f t="shared" si="99"/>
        <v>1</v>
      </c>
      <c r="U938" s="8">
        <v>0</v>
      </c>
      <c r="V938" s="8">
        <v>0</v>
      </c>
      <c r="W938" s="8">
        <v>1</v>
      </c>
      <c r="X938" s="8">
        <v>0</v>
      </c>
      <c r="Y938" s="8">
        <v>0</v>
      </c>
      <c r="Z938" s="8">
        <v>1</v>
      </c>
      <c r="AA938" s="8">
        <v>180</v>
      </c>
      <c r="AB938" s="9">
        <f t="shared" si="100"/>
        <v>0.33333333333333337</v>
      </c>
      <c r="AC938" s="10">
        <f t="shared" si="95"/>
        <v>2.9999999999999996</v>
      </c>
      <c r="AD938" s="8" t="s">
        <v>109</v>
      </c>
      <c r="AE938" s="11">
        <v>49990</v>
      </c>
      <c r="AF938" s="11">
        <f t="shared" si="96"/>
        <v>49990</v>
      </c>
      <c r="AG938" s="12" t="s">
        <v>34</v>
      </c>
      <c r="AH938" s="8" t="s">
        <v>35</v>
      </c>
    </row>
    <row r="939" spans="1:34">
      <c r="A939" s="8" t="s">
        <v>1309</v>
      </c>
      <c r="B939" s="16" t="s">
        <v>376</v>
      </c>
      <c r="C939" s="8" t="s">
        <v>377</v>
      </c>
      <c r="D939" s="8" t="s">
        <v>1276</v>
      </c>
      <c r="E939" s="8" t="str">
        <f t="shared" si="94"/>
        <v>GRIS OSCURO -M</v>
      </c>
      <c r="H939" s="8" t="str">
        <f>VLOOKUP(A939,[1]BBDD!$B$1:$J$3274,9,FALSE)</f>
        <v>H</v>
      </c>
      <c r="I939" s="8" t="s">
        <v>2863</v>
      </c>
      <c r="J939" s="8" t="s">
        <v>1310</v>
      </c>
      <c r="L939" s="8" t="s">
        <v>380</v>
      </c>
      <c r="N939" s="8" t="s">
        <v>1311</v>
      </c>
      <c r="O939" s="20" t="s">
        <v>235</v>
      </c>
      <c r="P939" s="18" t="s">
        <v>2862</v>
      </c>
      <c r="Q939" s="8" t="s">
        <v>32</v>
      </c>
      <c r="R939" s="8">
        <v>145</v>
      </c>
      <c r="S939" s="8">
        <v>5</v>
      </c>
      <c r="T939" s="8">
        <f t="shared" si="99"/>
        <v>150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41</v>
      </c>
      <c r="AB939" s="9">
        <f t="shared" si="100"/>
        <v>0</v>
      </c>
      <c r="AC939" s="10" t="str">
        <f t="shared" si="95"/>
        <v>sin venta</v>
      </c>
      <c r="AD939" s="8" t="s">
        <v>991</v>
      </c>
      <c r="AE939" s="11">
        <v>36990</v>
      </c>
      <c r="AF939" s="11">
        <f t="shared" si="96"/>
        <v>5548500</v>
      </c>
      <c r="AG939" s="12" t="s">
        <v>73</v>
      </c>
      <c r="AH939" s="8" t="s">
        <v>74</v>
      </c>
    </row>
    <row r="940" spans="1:34">
      <c r="A940" s="8" t="s">
        <v>1312</v>
      </c>
      <c r="B940" s="16" t="s">
        <v>376</v>
      </c>
      <c r="C940" s="8" t="s">
        <v>377</v>
      </c>
      <c r="D940" s="8" t="s">
        <v>1276</v>
      </c>
      <c r="E940" s="8" t="str">
        <f t="shared" si="94"/>
        <v>GRIS OSCURO - L</v>
      </c>
      <c r="H940" s="8" t="str">
        <f>VLOOKUP(A940,[1]BBDD!$B$1:$J$3274,9,FALSE)</f>
        <v>H</v>
      </c>
      <c r="I940" s="8" t="s">
        <v>2863</v>
      </c>
      <c r="J940" s="8" t="s">
        <v>1310</v>
      </c>
      <c r="L940" s="8" t="s">
        <v>380</v>
      </c>
      <c r="N940" s="8" t="s">
        <v>1313</v>
      </c>
      <c r="O940" s="20" t="s">
        <v>235</v>
      </c>
      <c r="P940" s="18" t="s">
        <v>2874</v>
      </c>
      <c r="Q940" s="8" t="s">
        <v>32</v>
      </c>
      <c r="R940" s="8">
        <v>143</v>
      </c>
      <c r="S940" s="8">
        <v>5</v>
      </c>
      <c r="T940" s="8">
        <f t="shared" si="99"/>
        <v>148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1</v>
      </c>
      <c r="AA940" s="8">
        <v>41</v>
      </c>
      <c r="AB940" s="9">
        <f t="shared" si="100"/>
        <v>0.73170731707317072</v>
      </c>
      <c r="AC940" s="10">
        <f t="shared" si="95"/>
        <v>202.26666666666668</v>
      </c>
      <c r="AD940" s="8" t="s">
        <v>991</v>
      </c>
      <c r="AE940" s="11">
        <v>36990</v>
      </c>
      <c r="AF940" s="11">
        <f t="shared" si="96"/>
        <v>5474520</v>
      </c>
      <c r="AG940" s="12" t="s">
        <v>73</v>
      </c>
      <c r="AH940" s="8" t="s">
        <v>74</v>
      </c>
    </row>
    <row r="941" spans="1:34">
      <c r="A941" s="8" t="s">
        <v>1314</v>
      </c>
      <c r="B941" s="16" t="s">
        <v>376</v>
      </c>
      <c r="C941" s="8" t="s">
        <v>377</v>
      </c>
      <c r="D941" s="8" t="s">
        <v>1276</v>
      </c>
      <c r="E941" s="8" t="str">
        <f t="shared" si="94"/>
        <v>BEIGE - M</v>
      </c>
      <c r="H941" s="8" t="str">
        <f>VLOOKUP(A941,[1]BBDD!$B$1:$J$3274,9,FALSE)</f>
        <v>H</v>
      </c>
      <c r="I941" s="8" t="s">
        <v>2863</v>
      </c>
      <c r="J941" s="8" t="s">
        <v>1310</v>
      </c>
      <c r="L941" s="8" t="s">
        <v>380</v>
      </c>
      <c r="N941" s="8" t="s">
        <v>383</v>
      </c>
      <c r="O941" s="20" t="s">
        <v>516</v>
      </c>
      <c r="P941" s="18" t="s">
        <v>2862</v>
      </c>
      <c r="Q941" s="8" t="s">
        <v>32</v>
      </c>
      <c r="R941" s="8">
        <v>144</v>
      </c>
      <c r="S941" s="8">
        <v>5</v>
      </c>
      <c r="T941" s="8">
        <f t="shared" si="99"/>
        <v>149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41</v>
      </c>
      <c r="AB941" s="9">
        <f t="shared" si="100"/>
        <v>0</v>
      </c>
      <c r="AC941" s="10" t="str">
        <f t="shared" si="95"/>
        <v>sin venta</v>
      </c>
      <c r="AD941" s="8" t="s">
        <v>991</v>
      </c>
      <c r="AE941" s="11">
        <v>36990</v>
      </c>
      <c r="AF941" s="11">
        <f t="shared" si="96"/>
        <v>5511510</v>
      </c>
      <c r="AG941" s="12" t="s">
        <v>73</v>
      </c>
      <c r="AH941" s="8" t="s">
        <v>74</v>
      </c>
    </row>
    <row r="942" spans="1:34">
      <c r="A942" s="8" t="s">
        <v>1315</v>
      </c>
      <c r="B942" s="16" t="s">
        <v>376</v>
      </c>
      <c r="C942" s="8" t="s">
        <v>377</v>
      </c>
      <c r="D942" s="8" t="s">
        <v>1276</v>
      </c>
      <c r="E942" s="8" t="str">
        <f t="shared" si="94"/>
        <v>BEIGE - L</v>
      </c>
      <c r="H942" s="8" t="str">
        <f>VLOOKUP(A942,[1]BBDD!$B$1:$J$3274,9,FALSE)</f>
        <v>H</v>
      </c>
      <c r="I942" s="8" t="s">
        <v>2863</v>
      </c>
      <c r="J942" s="8" t="s">
        <v>1310</v>
      </c>
      <c r="L942" s="8" t="s">
        <v>380</v>
      </c>
      <c r="N942" s="8" t="s">
        <v>385</v>
      </c>
      <c r="O942" s="20" t="s">
        <v>516</v>
      </c>
      <c r="P942" s="18" t="s">
        <v>2874</v>
      </c>
      <c r="Q942" s="8" t="s">
        <v>32</v>
      </c>
      <c r="R942" s="8">
        <v>144</v>
      </c>
      <c r="S942" s="8">
        <v>4</v>
      </c>
      <c r="T942" s="8">
        <f t="shared" si="99"/>
        <v>148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2</v>
      </c>
      <c r="AA942" s="8">
        <v>41</v>
      </c>
      <c r="AB942" s="9">
        <f t="shared" si="100"/>
        <v>1.4634146341463414</v>
      </c>
      <c r="AC942" s="10">
        <f t="shared" si="95"/>
        <v>101.13333333333334</v>
      </c>
      <c r="AD942" s="8" t="s">
        <v>991</v>
      </c>
      <c r="AE942" s="11">
        <v>36990</v>
      </c>
      <c r="AF942" s="11">
        <f t="shared" si="96"/>
        <v>5474520</v>
      </c>
      <c r="AG942" s="12" t="s">
        <v>73</v>
      </c>
      <c r="AH942" s="8" t="s">
        <v>74</v>
      </c>
    </row>
    <row r="943" spans="1:34">
      <c r="A943" s="8" t="s">
        <v>1316</v>
      </c>
      <c r="B943" s="16" t="s">
        <v>505</v>
      </c>
      <c r="C943" s="8" t="s">
        <v>377</v>
      </c>
      <c r="D943" s="8" t="s">
        <v>1276</v>
      </c>
      <c r="E943" s="8" t="str">
        <f t="shared" si="94"/>
        <v>BEIGE</v>
      </c>
      <c r="H943" s="8" t="str">
        <f>VLOOKUP(A943,[1]BBDD!$B$1:$J$3274,9,FALSE)</f>
        <v>H</v>
      </c>
      <c r="I943" s="8" t="s">
        <v>2863</v>
      </c>
      <c r="J943" s="8" t="s">
        <v>1317</v>
      </c>
      <c r="L943" s="8" t="s">
        <v>527</v>
      </c>
      <c r="N943" s="8" t="s">
        <v>516</v>
      </c>
      <c r="O943" s="8" t="s">
        <v>516</v>
      </c>
      <c r="Q943" s="8" t="s">
        <v>32</v>
      </c>
      <c r="R943" s="8">
        <v>0</v>
      </c>
      <c r="S943" s="8">
        <v>0</v>
      </c>
      <c r="T943" s="8">
        <f t="shared" si="99"/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180</v>
      </c>
      <c r="AB943" s="9">
        <f t="shared" si="100"/>
        <v>0</v>
      </c>
      <c r="AC943" s="10" t="str">
        <f t="shared" si="95"/>
        <v>sin venta</v>
      </c>
      <c r="AD943" s="8" t="s">
        <v>33</v>
      </c>
      <c r="AE943" s="11">
        <v>19990</v>
      </c>
      <c r="AF943" s="11">
        <f t="shared" si="96"/>
        <v>0</v>
      </c>
      <c r="AG943" s="12" t="s">
        <v>73</v>
      </c>
      <c r="AH943" s="8" t="s">
        <v>35</v>
      </c>
    </row>
    <row r="944" spans="1:34">
      <c r="A944" s="8" t="s">
        <v>1318</v>
      </c>
      <c r="B944" s="16" t="s">
        <v>505</v>
      </c>
      <c r="C944" s="8" t="s">
        <v>377</v>
      </c>
      <c r="D944" s="8" t="s">
        <v>1276</v>
      </c>
      <c r="E944" s="8" t="str">
        <f t="shared" si="94"/>
        <v>CRUDO</v>
      </c>
      <c r="H944" s="8" t="str">
        <f>VLOOKUP(A944,[1]BBDD!$B$1:$J$3274,9,FALSE)</f>
        <v>H</v>
      </c>
      <c r="I944" s="8" t="s">
        <v>2863</v>
      </c>
      <c r="J944" s="8" t="s">
        <v>1317</v>
      </c>
      <c r="L944" s="8" t="s">
        <v>527</v>
      </c>
      <c r="N944" s="8" t="s">
        <v>518</v>
      </c>
      <c r="O944" s="8" t="s">
        <v>518</v>
      </c>
      <c r="Q944" s="8" t="s">
        <v>32</v>
      </c>
      <c r="R944" s="8">
        <v>32</v>
      </c>
      <c r="S944" s="8">
        <v>6</v>
      </c>
      <c r="T944" s="8">
        <f t="shared" si="99"/>
        <v>38</v>
      </c>
      <c r="U944" s="8">
        <v>1</v>
      </c>
      <c r="V944" s="8">
        <v>1</v>
      </c>
      <c r="W944" s="8">
        <v>0</v>
      </c>
      <c r="X944" s="8">
        <v>0</v>
      </c>
      <c r="Y944" s="8">
        <v>0</v>
      </c>
      <c r="Z944" s="8">
        <v>4</v>
      </c>
      <c r="AA944" s="8">
        <v>180</v>
      </c>
      <c r="AB944" s="9">
        <f t="shared" si="100"/>
        <v>1</v>
      </c>
      <c r="AC944" s="10">
        <f t="shared" si="95"/>
        <v>38</v>
      </c>
      <c r="AD944" s="8" t="s">
        <v>33</v>
      </c>
      <c r="AE944" s="11">
        <v>19990</v>
      </c>
      <c r="AF944" s="11">
        <f t="shared" si="96"/>
        <v>759620</v>
      </c>
      <c r="AG944" s="12" t="s">
        <v>73</v>
      </c>
      <c r="AH944" s="8" t="s">
        <v>74</v>
      </c>
    </row>
    <row r="945" spans="1:34">
      <c r="A945" s="8" t="s">
        <v>1319</v>
      </c>
      <c r="B945" s="16" t="s">
        <v>505</v>
      </c>
      <c r="C945" s="8" t="s">
        <v>377</v>
      </c>
      <c r="D945" s="8" t="s">
        <v>1276</v>
      </c>
      <c r="E945" s="8" t="str">
        <f t="shared" si="94"/>
        <v>VISON</v>
      </c>
      <c r="H945" s="8" t="str">
        <f>VLOOKUP(A945,[1]BBDD!$B$1:$J$3274,9,FALSE)</f>
        <v>H</v>
      </c>
      <c r="I945" s="8" t="s">
        <v>2863</v>
      </c>
      <c r="J945" s="8" t="s">
        <v>1317</v>
      </c>
      <c r="L945" s="8" t="s">
        <v>527</v>
      </c>
      <c r="N945" s="8" t="s">
        <v>58</v>
      </c>
      <c r="O945" s="8" t="s">
        <v>58</v>
      </c>
      <c r="Q945" s="8" t="s">
        <v>32</v>
      </c>
      <c r="R945" s="8">
        <v>42</v>
      </c>
      <c r="S945" s="8">
        <v>4</v>
      </c>
      <c r="T945" s="8">
        <f t="shared" si="99"/>
        <v>46</v>
      </c>
      <c r="U945" s="8">
        <v>0</v>
      </c>
      <c r="V945" s="8">
        <v>0</v>
      </c>
      <c r="W945" s="8">
        <v>0</v>
      </c>
      <c r="X945" s="8">
        <v>0</v>
      </c>
      <c r="Y945" s="8">
        <v>1</v>
      </c>
      <c r="Z945" s="8">
        <v>0</v>
      </c>
      <c r="AA945" s="8">
        <v>180</v>
      </c>
      <c r="AB945" s="9">
        <f t="shared" si="100"/>
        <v>0.16666666666666669</v>
      </c>
      <c r="AC945" s="10">
        <f t="shared" si="95"/>
        <v>275.99999999999994</v>
      </c>
      <c r="AD945" s="8" t="s">
        <v>33</v>
      </c>
      <c r="AE945" s="11">
        <v>19990</v>
      </c>
      <c r="AF945" s="11">
        <f t="shared" si="96"/>
        <v>919540</v>
      </c>
      <c r="AG945" s="12" t="s">
        <v>73</v>
      </c>
      <c r="AH945" s="8" t="s">
        <v>74</v>
      </c>
    </row>
    <row r="946" spans="1:34">
      <c r="A946" s="8" t="s">
        <v>1320</v>
      </c>
      <c r="B946" s="16" t="s">
        <v>505</v>
      </c>
      <c r="C946" s="8" t="s">
        <v>377</v>
      </c>
      <c r="D946" s="8" t="s">
        <v>1276</v>
      </c>
      <c r="E946" s="8" t="str">
        <f t="shared" si="94"/>
        <v>NEGRO</v>
      </c>
      <c r="H946" s="8" t="str">
        <f>VLOOKUP(A946,[1]BBDD!$B$1:$J$3274,9,FALSE)</f>
        <v>H</v>
      </c>
      <c r="I946" s="8" t="s">
        <v>2863</v>
      </c>
      <c r="J946" s="8" t="s">
        <v>1317</v>
      </c>
      <c r="L946" s="8" t="s">
        <v>527</v>
      </c>
      <c r="N946" s="8" t="s">
        <v>44</v>
      </c>
      <c r="O946" s="8" t="s">
        <v>44</v>
      </c>
      <c r="Q946" s="8" t="s">
        <v>32</v>
      </c>
      <c r="R946" s="8">
        <v>22</v>
      </c>
      <c r="S946" s="8">
        <v>14</v>
      </c>
      <c r="T946" s="8">
        <f t="shared" si="99"/>
        <v>36</v>
      </c>
      <c r="U946" s="8">
        <v>2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180</v>
      </c>
      <c r="AB946" s="9">
        <f t="shared" si="100"/>
        <v>0.33333333333333337</v>
      </c>
      <c r="AC946" s="10">
        <f t="shared" si="95"/>
        <v>107.99999999999999</v>
      </c>
      <c r="AD946" s="8" t="s">
        <v>33</v>
      </c>
      <c r="AE946" s="11">
        <v>19990</v>
      </c>
      <c r="AF946" s="11">
        <f t="shared" si="96"/>
        <v>719640</v>
      </c>
      <c r="AG946" s="12" t="s">
        <v>73</v>
      </c>
      <c r="AH946" s="8" t="s">
        <v>74</v>
      </c>
    </row>
    <row r="947" spans="1:34">
      <c r="A947" s="8" t="s">
        <v>1321</v>
      </c>
      <c r="B947" s="16" t="s">
        <v>505</v>
      </c>
      <c r="C947" s="8" t="s">
        <v>377</v>
      </c>
      <c r="D947" s="8" t="s">
        <v>1276</v>
      </c>
      <c r="E947" s="8" t="str">
        <f t="shared" si="94"/>
        <v>AZUL</v>
      </c>
      <c r="H947" s="8" t="str">
        <f>VLOOKUP(A947,[1]BBDD!$B$1:$J$3274,9,FALSE)</f>
        <v>H</v>
      </c>
      <c r="I947" s="8" t="s">
        <v>2863</v>
      </c>
      <c r="J947" s="8" t="s">
        <v>1322</v>
      </c>
      <c r="L947" s="8" t="s">
        <v>508</v>
      </c>
      <c r="N947" s="8" t="s">
        <v>83</v>
      </c>
      <c r="O947" s="8" t="s">
        <v>83</v>
      </c>
      <c r="Q947" s="8" t="s">
        <v>32</v>
      </c>
      <c r="R947" s="8">
        <v>0</v>
      </c>
      <c r="S947" s="8">
        <v>0</v>
      </c>
      <c r="T947" s="8">
        <f t="shared" si="99"/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180</v>
      </c>
      <c r="AB947" s="9">
        <f t="shared" si="100"/>
        <v>0</v>
      </c>
      <c r="AC947" s="10" t="str">
        <f t="shared" si="95"/>
        <v>sin venta</v>
      </c>
      <c r="AD947" s="8" t="s">
        <v>33</v>
      </c>
      <c r="AE947" s="11">
        <v>24990</v>
      </c>
      <c r="AF947" s="11">
        <f t="shared" si="96"/>
        <v>0</v>
      </c>
      <c r="AG947" s="12" t="s">
        <v>73</v>
      </c>
      <c r="AH947" s="8" t="s">
        <v>35</v>
      </c>
    </row>
    <row r="948" spans="1:34">
      <c r="A948" s="8" t="s">
        <v>1323</v>
      </c>
      <c r="B948" s="16" t="s">
        <v>505</v>
      </c>
      <c r="C948" s="8" t="s">
        <v>377</v>
      </c>
      <c r="D948" s="8" t="s">
        <v>1276</v>
      </c>
      <c r="E948" s="8" t="str">
        <f t="shared" si="94"/>
        <v>GRIS</v>
      </c>
      <c r="H948" s="8" t="str">
        <f>VLOOKUP(A948,[1]BBDD!$B$1:$J$3274,9,FALSE)</f>
        <v>H</v>
      </c>
      <c r="I948" s="8" t="s">
        <v>2863</v>
      </c>
      <c r="J948" s="8" t="s">
        <v>1322</v>
      </c>
      <c r="L948" s="8" t="s">
        <v>508</v>
      </c>
      <c r="N948" s="8" t="s">
        <v>510</v>
      </c>
      <c r="O948" s="8" t="s">
        <v>510</v>
      </c>
      <c r="Q948" s="8" t="s">
        <v>32</v>
      </c>
      <c r="R948" s="8">
        <v>74</v>
      </c>
      <c r="S948" s="8">
        <v>9</v>
      </c>
      <c r="T948" s="8">
        <f t="shared" si="99"/>
        <v>83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4</v>
      </c>
      <c r="AA948" s="8">
        <v>180</v>
      </c>
      <c r="AB948" s="9">
        <f t="shared" si="100"/>
        <v>0.66666666666666674</v>
      </c>
      <c r="AC948" s="10">
        <f t="shared" si="95"/>
        <v>124.49999999999999</v>
      </c>
      <c r="AD948" s="8" t="s">
        <v>33</v>
      </c>
      <c r="AE948" s="11">
        <v>24990</v>
      </c>
      <c r="AF948" s="11">
        <f t="shared" si="96"/>
        <v>2074170</v>
      </c>
      <c r="AG948" s="12" t="s">
        <v>73</v>
      </c>
      <c r="AH948" s="8" t="s">
        <v>74</v>
      </c>
    </row>
    <row r="949" spans="1:34">
      <c r="A949" s="8" t="s">
        <v>1324</v>
      </c>
      <c r="B949" s="16" t="s">
        <v>505</v>
      </c>
      <c r="C949" s="8" t="s">
        <v>377</v>
      </c>
      <c r="D949" s="8" t="s">
        <v>1276</v>
      </c>
      <c r="E949" s="8" t="str">
        <f t="shared" si="94"/>
        <v>NEGRO</v>
      </c>
      <c r="H949" s="8" t="str">
        <f>VLOOKUP(A949,[1]BBDD!$B$1:$J$3274,9,FALSE)</f>
        <v>H</v>
      </c>
      <c r="I949" s="8" t="s">
        <v>2863</v>
      </c>
      <c r="J949" s="8" t="s">
        <v>1322</v>
      </c>
      <c r="L949" s="8" t="s">
        <v>508</v>
      </c>
      <c r="N949" s="8" t="s">
        <v>44</v>
      </c>
      <c r="O949" s="8" t="s">
        <v>44</v>
      </c>
      <c r="Q949" s="8" t="s">
        <v>32</v>
      </c>
      <c r="R949" s="8">
        <v>53</v>
      </c>
      <c r="S949" s="8">
        <v>11</v>
      </c>
      <c r="T949" s="8">
        <f t="shared" si="99"/>
        <v>64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3</v>
      </c>
      <c r="AA949" s="8">
        <v>180</v>
      </c>
      <c r="AB949" s="9">
        <f t="shared" si="100"/>
        <v>0.5</v>
      </c>
      <c r="AC949" s="10">
        <f t="shared" si="95"/>
        <v>128</v>
      </c>
      <c r="AD949" s="8" t="s">
        <v>33</v>
      </c>
      <c r="AE949" s="11">
        <v>24990</v>
      </c>
      <c r="AF949" s="11">
        <f t="shared" si="96"/>
        <v>1599360</v>
      </c>
      <c r="AG949" s="12" t="s">
        <v>73</v>
      </c>
      <c r="AH949" s="8" t="s">
        <v>74</v>
      </c>
    </row>
    <row r="950" spans="1:34">
      <c r="A950" s="8" t="s">
        <v>1325</v>
      </c>
      <c r="B950" s="16" t="s">
        <v>505</v>
      </c>
      <c r="C950" s="8" t="s">
        <v>377</v>
      </c>
      <c r="D950" s="8" t="s">
        <v>1276</v>
      </c>
      <c r="E950" s="8" t="str">
        <f t="shared" si="94"/>
        <v>TOSTADO</v>
      </c>
      <c r="H950" s="8" t="str">
        <f>VLOOKUP(A950,[1]BBDD!$B$1:$J$3274,9,FALSE)</f>
        <v>H</v>
      </c>
      <c r="I950" s="8" t="s">
        <v>2863</v>
      </c>
      <c r="J950" s="8" t="s">
        <v>1322</v>
      </c>
      <c r="L950" s="8" t="s">
        <v>508</v>
      </c>
      <c r="N950" s="8" t="s">
        <v>513</v>
      </c>
      <c r="O950" s="8" t="s">
        <v>513</v>
      </c>
      <c r="Q950" s="8" t="s">
        <v>32</v>
      </c>
      <c r="R950" s="8">
        <v>9</v>
      </c>
      <c r="S950" s="8">
        <v>12</v>
      </c>
      <c r="T950" s="8">
        <f t="shared" si="99"/>
        <v>21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5</v>
      </c>
      <c r="AA950" s="8">
        <v>180</v>
      </c>
      <c r="AB950" s="9">
        <f t="shared" si="100"/>
        <v>0.83333333333333326</v>
      </c>
      <c r="AC950" s="10">
        <f t="shared" si="95"/>
        <v>25.200000000000003</v>
      </c>
      <c r="AD950" s="8" t="s">
        <v>33</v>
      </c>
      <c r="AE950" s="11">
        <v>24990</v>
      </c>
      <c r="AF950" s="11">
        <f t="shared" si="96"/>
        <v>524790</v>
      </c>
      <c r="AG950" s="12" t="s">
        <v>73</v>
      </c>
      <c r="AH950" s="8" t="s">
        <v>74</v>
      </c>
    </row>
    <row r="951" spans="1:34">
      <c r="A951" s="8" t="s">
        <v>1326</v>
      </c>
      <c r="B951" s="16" t="s">
        <v>505</v>
      </c>
      <c r="C951" s="8" t="s">
        <v>377</v>
      </c>
      <c r="D951" s="8" t="s">
        <v>1276</v>
      </c>
      <c r="E951" s="8" t="str">
        <f t="shared" si="94"/>
        <v>GRIS CLARO</v>
      </c>
      <c r="H951" s="8" t="str">
        <f>VLOOKUP(A951,[1]BBDD!$B$1:$J$3274,9,FALSE)</f>
        <v>H</v>
      </c>
      <c r="I951" s="8" t="s">
        <v>2863</v>
      </c>
      <c r="J951" s="8" t="s">
        <v>1322</v>
      </c>
      <c r="L951" s="8" t="s">
        <v>508</v>
      </c>
      <c r="N951" s="8" t="s">
        <v>1282</v>
      </c>
      <c r="O951" s="8" t="s">
        <v>1282</v>
      </c>
      <c r="Q951" s="8" t="s">
        <v>32</v>
      </c>
      <c r="R951" s="8">
        <v>5</v>
      </c>
      <c r="S951" s="8">
        <v>12</v>
      </c>
      <c r="T951" s="8">
        <f t="shared" si="99"/>
        <v>17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4</v>
      </c>
      <c r="AA951" s="8">
        <v>180</v>
      </c>
      <c r="AB951" s="9">
        <f t="shared" si="100"/>
        <v>0.66666666666666674</v>
      </c>
      <c r="AC951" s="10">
        <f t="shared" si="95"/>
        <v>25.499999999999996</v>
      </c>
      <c r="AD951" s="8" t="s">
        <v>33</v>
      </c>
      <c r="AE951" s="11">
        <v>24990</v>
      </c>
      <c r="AF951" s="11">
        <f t="shared" si="96"/>
        <v>424830</v>
      </c>
      <c r="AG951" s="12" t="s">
        <v>73</v>
      </c>
      <c r="AH951" s="8" t="s">
        <v>65</v>
      </c>
    </row>
    <row r="952" spans="1:34">
      <c r="A952" s="8" t="s">
        <v>1327</v>
      </c>
      <c r="B952" s="16" t="s">
        <v>505</v>
      </c>
      <c r="C952" s="8" t="s">
        <v>377</v>
      </c>
      <c r="D952" s="8" t="s">
        <v>1276</v>
      </c>
      <c r="E952" s="8" t="str">
        <f t="shared" si="94"/>
        <v>CHOCOLATE</v>
      </c>
      <c r="H952" s="8" t="str">
        <f>VLOOKUP(A952,[1]BBDD!$B$1:$J$3274,9,FALSE)</f>
        <v>H</v>
      </c>
      <c r="I952" s="8" t="s">
        <v>2863</v>
      </c>
      <c r="J952" s="8" t="s">
        <v>1322</v>
      </c>
      <c r="L952" s="8" t="s">
        <v>508</v>
      </c>
      <c r="N952" s="8" t="s">
        <v>252</v>
      </c>
      <c r="O952" s="8" t="s">
        <v>252</v>
      </c>
      <c r="Q952" s="8" t="s">
        <v>32</v>
      </c>
      <c r="R952" s="8">
        <v>36</v>
      </c>
      <c r="S952" s="8">
        <v>10</v>
      </c>
      <c r="T952" s="8">
        <f t="shared" si="99"/>
        <v>46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5</v>
      </c>
      <c r="AA952" s="8">
        <v>180</v>
      </c>
      <c r="AB952" s="9">
        <f t="shared" si="100"/>
        <v>0.83333333333333326</v>
      </c>
      <c r="AC952" s="10">
        <f t="shared" si="95"/>
        <v>55.2</v>
      </c>
      <c r="AD952" s="8" t="s">
        <v>33</v>
      </c>
      <c r="AE952" s="11">
        <v>24990</v>
      </c>
      <c r="AF952" s="11">
        <f t="shared" si="96"/>
        <v>1149540</v>
      </c>
      <c r="AG952" s="12" t="s">
        <v>73</v>
      </c>
      <c r="AH952" s="8" t="s">
        <v>74</v>
      </c>
    </row>
    <row r="953" spans="1:34">
      <c r="A953" s="8" t="s">
        <v>1328</v>
      </c>
      <c r="B953" s="16" t="s">
        <v>505</v>
      </c>
      <c r="C953" s="8" t="s">
        <v>377</v>
      </c>
      <c r="D953" s="8" t="s">
        <v>1276</v>
      </c>
      <c r="E953" s="8" t="str">
        <f t="shared" si="94"/>
        <v>BEIGE</v>
      </c>
      <c r="H953" s="8" t="str">
        <f>VLOOKUP(A953,[1]BBDD!$B$1:$J$3274,9,FALSE)</f>
        <v>H</v>
      </c>
      <c r="I953" s="8" t="s">
        <v>2863</v>
      </c>
      <c r="J953" s="8" t="s">
        <v>1322</v>
      </c>
      <c r="L953" s="8" t="s">
        <v>508</v>
      </c>
      <c r="N953" s="8" t="s">
        <v>516</v>
      </c>
      <c r="O953" s="8" t="s">
        <v>516</v>
      </c>
      <c r="Q953" s="8" t="s">
        <v>32</v>
      </c>
      <c r="R953" s="8">
        <v>27</v>
      </c>
      <c r="S953" s="8">
        <v>7</v>
      </c>
      <c r="T953" s="8">
        <f t="shared" si="99"/>
        <v>34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4</v>
      </c>
      <c r="AA953" s="8">
        <v>180</v>
      </c>
      <c r="AB953" s="9">
        <f t="shared" si="100"/>
        <v>0.66666666666666674</v>
      </c>
      <c r="AC953" s="10">
        <f t="shared" si="95"/>
        <v>50.999999999999993</v>
      </c>
      <c r="AD953" s="8" t="s">
        <v>33</v>
      </c>
      <c r="AE953" s="11">
        <v>24990</v>
      </c>
      <c r="AF953" s="11">
        <f t="shared" si="96"/>
        <v>849660</v>
      </c>
      <c r="AG953" s="12" t="s">
        <v>73</v>
      </c>
      <c r="AH953" s="8" t="s">
        <v>74</v>
      </c>
    </row>
    <row r="954" spans="1:34">
      <c r="A954" s="8" t="s">
        <v>1329</v>
      </c>
      <c r="B954" s="16" t="s">
        <v>505</v>
      </c>
      <c r="C954" s="8" t="s">
        <v>377</v>
      </c>
      <c r="D954" s="8" t="s">
        <v>1276</v>
      </c>
      <c r="E954" s="8" t="str">
        <f t="shared" si="94"/>
        <v>CRUDO</v>
      </c>
      <c r="H954" s="8" t="str">
        <f>VLOOKUP(A954,[1]BBDD!$B$1:$J$3274,9,FALSE)</f>
        <v>H</v>
      </c>
      <c r="I954" s="8" t="s">
        <v>2863</v>
      </c>
      <c r="J954" s="8" t="s">
        <v>1322</v>
      </c>
      <c r="L954" s="8" t="s">
        <v>508</v>
      </c>
      <c r="N954" s="8" t="s">
        <v>518</v>
      </c>
      <c r="O954" s="8" t="s">
        <v>518</v>
      </c>
      <c r="Q954" s="8" t="s">
        <v>45</v>
      </c>
      <c r="R954" s="8">
        <v>0</v>
      </c>
      <c r="S954" s="8">
        <v>1</v>
      </c>
      <c r="T954" s="8">
        <f t="shared" si="99"/>
        <v>1</v>
      </c>
      <c r="U954" s="8">
        <v>0</v>
      </c>
      <c r="V954" s="8">
        <v>0</v>
      </c>
      <c r="W954" s="8">
        <v>2</v>
      </c>
      <c r="X954" s="8">
        <v>0</v>
      </c>
      <c r="Y954" s="8">
        <v>0</v>
      </c>
      <c r="Z954" s="8">
        <v>1</v>
      </c>
      <c r="AA954" s="8">
        <v>180</v>
      </c>
      <c r="AB954" s="9">
        <f t="shared" si="100"/>
        <v>0.5</v>
      </c>
      <c r="AC954" s="10">
        <f t="shared" si="95"/>
        <v>2</v>
      </c>
      <c r="AD954" s="8" t="s">
        <v>109</v>
      </c>
      <c r="AE954" s="11">
        <v>24990</v>
      </c>
      <c r="AF954" s="11">
        <f t="shared" si="96"/>
        <v>24990</v>
      </c>
      <c r="AG954" s="12" t="s">
        <v>34</v>
      </c>
      <c r="AH954" s="8" t="s">
        <v>35</v>
      </c>
    </row>
    <row r="955" spans="1:34">
      <c r="A955" s="8" t="s">
        <v>1330</v>
      </c>
      <c r="B955" s="16" t="s">
        <v>661</v>
      </c>
      <c r="C955" s="8" t="s">
        <v>377</v>
      </c>
      <c r="D955" s="8" t="s">
        <v>1276</v>
      </c>
      <c r="E955" s="8" t="str">
        <f t="shared" si="94"/>
        <v>BEIGE</v>
      </c>
      <c r="H955" s="8" t="str">
        <f>VLOOKUP(A955,[1]BBDD!$B$1:$J$3274,9,FALSE)</f>
        <v>H</v>
      </c>
      <c r="I955" s="8" t="s">
        <v>2863</v>
      </c>
      <c r="J955" s="8" t="s">
        <v>1331</v>
      </c>
      <c r="L955" s="8" t="s">
        <v>1332</v>
      </c>
      <c r="N955" s="8" t="s">
        <v>516</v>
      </c>
      <c r="O955" s="8" t="s">
        <v>516</v>
      </c>
      <c r="P955" s="18" t="str">
        <f t="shared" ref="P955:P972" si="101">RIGHT(A955,LEN(A955)-FIND("-",A955))</f>
        <v>L</v>
      </c>
      <c r="Q955" s="8" t="s">
        <v>45</v>
      </c>
      <c r="R955" s="8">
        <v>2</v>
      </c>
      <c r="S955" s="8">
        <v>1</v>
      </c>
      <c r="T955" s="8">
        <f t="shared" si="99"/>
        <v>3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180</v>
      </c>
      <c r="AB955" s="9">
        <f t="shared" si="100"/>
        <v>0</v>
      </c>
      <c r="AC955" s="10" t="str">
        <f t="shared" si="95"/>
        <v>sin venta</v>
      </c>
      <c r="AD955" s="8" t="s">
        <v>109</v>
      </c>
      <c r="AE955" s="11">
        <v>49990</v>
      </c>
      <c r="AF955" s="11">
        <f t="shared" si="96"/>
        <v>149970</v>
      </c>
      <c r="AG955" s="12" t="s">
        <v>73</v>
      </c>
      <c r="AH955" s="8" t="s">
        <v>35</v>
      </c>
    </row>
    <row r="956" spans="1:34">
      <c r="A956" s="8" t="s">
        <v>1333</v>
      </c>
      <c r="B956" s="16" t="s">
        <v>661</v>
      </c>
      <c r="C956" s="8" t="s">
        <v>377</v>
      </c>
      <c r="D956" s="8" t="s">
        <v>1276</v>
      </c>
      <c r="E956" s="8" t="str">
        <f t="shared" si="94"/>
        <v>BEIGE</v>
      </c>
      <c r="H956" s="8" t="str">
        <f>VLOOKUP(A956,[1]BBDD!$B$1:$J$3274,9,FALSE)</f>
        <v>H</v>
      </c>
      <c r="I956" s="8" t="s">
        <v>2863</v>
      </c>
      <c r="J956" s="8" t="s">
        <v>1331</v>
      </c>
      <c r="L956" s="8" t="s">
        <v>1332</v>
      </c>
      <c r="N956" s="8" t="s">
        <v>516</v>
      </c>
      <c r="O956" s="8" t="s">
        <v>516</v>
      </c>
      <c r="P956" s="18" t="str">
        <f t="shared" si="101"/>
        <v>M</v>
      </c>
      <c r="Q956" s="8" t="s">
        <v>45</v>
      </c>
      <c r="R956" s="8">
        <v>0</v>
      </c>
      <c r="S956" s="8">
        <v>1</v>
      </c>
      <c r="T956" s="8">
        <f t="shared" si="99"/>
        <v>1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180</v>
      </c>
      <c r="AB956" s="9">
        <f t="shared" si="100"/>
        <v>0</v>
      </c>
      <c r="AC956" s="10" t="str">
        <f t="shared" si="95"/>
        <v>sin venta</v>
      </c>
      <c r="AD956" s="8" t="s">
        <v>109</v>
      </c>
      <c r="AE956" s="11">
        <v>49990</v>
      </c>
      <c r="AF956" s="11">
        <f t="shared" si="96"/>
        <v>49990</v>
      </c>
      <c r="AG956" s="12" t="s">
        <v>73</v>
      </c>
      <c r="AH956" s="8" t="s">
        <v>35</v>
      </c>
    </row>
    <row r="957" spans="1:34">
      <c r="A957" s="8" t="s">
        <v>1334</v>
      </c>
      <c r="B957" s="16" t="s">
        <v>661</v>
      </c>
      <c r="C957" s="8" t="s">
        <v>377</v>
      </c>
      <c r="D957" s="8" t="s">
        <v>1276</v>
      </c>
      <c r="E957" s="8" t="str">
        <f t="shared" si="94"/>
        <v>BEIGE</v>
      </c>
      <c r="H957" s="8" t="str">
        <f>VLOOKUP(A957,[1]BBDD!$B$1:$J$3274,9,FALSE)</f>
        <v>H</v>
      </c>
      <c r="I957" s="8" t="s">
        <v>2863</v>
      </c>
      <c r="J957" s="8" t="s">
        <v>1331</v>
      </c>
      <c r="L957" s="8" t="s">
        <v>1332</v>
      </c>
      <c r="N957" s="8" t="s">
        <v>516</v>
      </c>
      <c r="O957" s="8" t="s">
        <v>516</v>
      </c>
      <c r="P957" s="18" t="str">
        <f t="shared" si="101"/>
        <v>S</v>
      </c>
      <c r="Q957" s="8" t="s">
        <v>45</v>
      </c>
      <c r="R957" s="8">
        <v>0</v>
      </c>
      <c r="S957" s="8">
        <v>1</v>
      </c>
      <c r="T957" s="8">
        <f t="shared" si="99"/>
        <v>1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180</v>
      </c>
      <c r="AB957" s="9">
        <f t="shared" si="100"/>
        <v>0</v>
      </c>
      <c r="AC957" s="10" t="str">
        <f t="shared" si="95"/>
        <v>sin venta</v>
      </c>
      <c r="AD957" s="8" t="s">
        <v>109</v>
      </c>
      <c r="AE957" s="11">
        <v>49990</v>
      </c>
      <c r="AF957" s="11">
        <f t="shared" si="96"/>
        <v>49990</v>
      </c>
      <c r="AG957" s="12" t="s">
        <v>73</v>
      </c>
      <c r="AH957" s="8" t="s">
        <v>35</v>
      </c>
    </row>
    <row r="958" spans="1:34">
      <c r="A958" s="8" t="s">
        <v>1335</v>
      </c>
      <c r="B958" s="16" t="s">
        <v>661</v>
      </c>
      <c r="C958" s="8" t="s">
        <v>377</v>
      </c>
      <c r="D958" s="8" t="s">
        <v>1276</v>
      </c>
      <c r="E958" s="8" t="str">
        <f t="shared" si="94"/>
        <v>BEIGE</v>
      </c>
      <c r="H958" s="8" t="str">
        <f>VLOOKUP(A958,[1]BBDD!$B$1:$J$3274,9,FALSE)</f>
        <v>H</v>
      </c>
      <c r="I958" s="8" t="s">
        <v>2863</v>
      </c>
      <c r="J958" s="8" t="s">
        <v>1331</v>
      </c>
      <c r="L958" s="8" t="s">
        <v>1332</v>
      </c>
      <c r="N958" s="8" t="s">
        <v>516</v>
      </c>
      <c r="O958" s="8" t="s">
        <v>516</v>
      </c>
      <c r="P958" s="18" t="str">
        <f t="shared" si="101"/>
        <v>XL</v>
      </c>
      <c r="Q958" s="8" t="s">
        <v>45</v>
      </c>
      <c r="R958" s="8">
        <v>1</v>
      </c>
      <c r="S958" s="8">
        <v>2</v>
      </c>
      <c r="T958" s="8">
        <f t="shared" si="99"/>
        <v>3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180</v>
      </c>
      <c r="AB958" s="9">
        <f t="shared" si="100"/>
        <v>0</v>
      </c>
      <c r="AC958" s="10" t="str">
        <f t="shared" si="95"/>
        <v>sin venta</v>
      </c>
      <c r="AD958" s="8" t="s">
        <v>109</v>
      </c>
      <c r="AE958" s="11">
        <v>49990</v>
      </c>
      <c r="AF958" s="11">
        <f t="shared" si="96"/>
        <v>149970</v>
      </c>
      <c r="AG958" s="12" t="s">
        <v>73</v>
      </c>
      <c r="AH958" s="8" t="s">
        <v>35</v>
      </c>
    </row>
    <row r="959" spans="1:34">
      <c r="A959" s="8" t="s">
        <v>1336</v>
      </c>
      <c r="B959" s="16" t="s">
        <v>661</v>
      </c>
      <c r="C959" s="8" t="s">
        <v>377</v>
      </c>
      <c r="D959" s="8" t="s">
        <v>1276</v>
      </c>
      <c r="E959" s="8" t="str">
        <f t="shared" si="94"/>
        <v>BEIGE</v>
      </c>
      <c r="H959" s="8" t="str">
        <f>VLOOKUP(A959,[1]BBDD!$B$1:$J$3274,9,FALSE)</f>
        <v>H</v>
      </c>
      <c r="I959" s="8" t="s">
        <v>2863</v>
      </c>
      <c r="J959" s="8" t="s">
        <v>1331</v>
      </c>
      <c r="L959" s="8" t="s">
        <v>1332</v>
      </c>
      <c r="N959" s="8" t="s">
        <v>516</v>
      </c>
      <c r="O959" s="8" t="s">
        <v>516</v>
      </c>
      <c r="P959" s="18" t="str">
        <f t="shared" si="101"/>
        <v>XXL</v>
      </c>
      <c r="Q959" s="8" t="s">
        <v>45</v>
      </c>
      <c r="R959" s="8">
        <v>1</v>
      </c>
      <c r="S959" s="8">
        <v>1</v>
      </c>
      <c r="T959" s="8">
        <f t="shared" si="99"/>
        <v>2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180</v>
      </c>
      <c r="AB959" s="9">
        <f t="shared" si="100"/>
        <v>0</v>
      </c>
      <c r="AC959" s="10" t="str">
        <f t="shared" si="95"/>
        <v>sin venta</v>
      </c>
      <c r="AD959" s="8" t="s">
        <v>109</v>
      </c>
      <c r="AE959" s="11">
        <v>49990</v>
      </c>
      <c r="AF959" s="11">
        <f t="shared" si="96"/>
        <v>99980</v>
      </c>
      <c r="AG959" s="12" t="s">
        <v>73</v>
      </c>
      <c r="AH959" s="8" t="s">
        <v>35</v>
      </c>
    </row>
    <row r="960" spans="1:34">
      <c r="A960" s="8" t="s">
        <v>1337</v>
      </c>
      <c r="B960" s="16" t="s">
        <v>661</v>
      </c>
      <c r="C960" s="8" t="s">
        <v>377</v>
      </c>
      <c r="D960" s="8" t="s">
        <v>1276</v>
      </c>
      <c r="E960" s="8" t="str">
        <f t="shared" si="94"/>
        <v>GRIS</v>
      </c>
      <c r="H960" s="8" t="str">
        <f>VLOOKUP(A960,[1]BBDD!$B$1:$J$3274,9,FALSE)</f>
        <v>H</v>
      </c>
      <c r="I960" s="8" t="s">
        <v>2863</v>
      </c>
      <c r="J960" s="8" t="s">
        <v>1331</v>
      </c>
      <c r="L960" s="8" t="s">
        <v>1332</v>
      </c>
      <c r="N960" s="8" t="s">
        <v>510</v>
      </c>
      <c r="O960" s="8" t="s">
        <v>510</v>
      </c>
      <c r="P960" s="18" t="str">
        <f t="shared" si="101"/>
        <v>L</v>
      </c>
      <c r="Q960" s="8" t="s">
        <v>45</v>
      </c>
      <c r="R960" s="8">
        <v>0</v>
      </c>
      <c r="S960" s="8">
        <v>1</v>
      </c>
      <c r="T960" s="8">
        <f t="shared" si="99"/>
        <v>1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180</v>
      </c>
      <c r="AB960" s="9">
        <f t="shared" si="100"/>
        <v>0</v>
      </c>
      <c r="AC960" s="10" t="str">
        <f t="shared" si="95"/>
        <v>sin venta</v>
      </c>
      <c r="AD960" s="8" t="s">
        <v>109</v>
      </c>
      <c r="AE960" s="11">
        <v>49990</v>
      </c>
      <c r="AF960" s="11">
        <f t="shared" si="96"/>
        <v>49990</v>
      </c>
      <c r="AG960" s="12" t="s">
        <v>73</v>
      </c>
      <c r="AH960" s="8" t="s">
        <v>35</v>
      </c>
    </row>
    <row r="961" spans="1:34">
      <c r="A961" s="8" t="s">
        <v>1338</v>
      </c>
      <c r="B961" s="16" t="s">
        <v>661</v>
      </c>
      <c r="C961" s="8" t="s">
        <v>377</v>
      </c>
      <c r="D961" s="8" t="s">
        <v>1276</v>
      </c>
      <c r="E961" s="8" t="str">
        <f t="shared" si="94"/>
        <v>GRIS</v>
      </c>
      <c r="H961" s="8" t="str">
        <f>VLOOKUP(A961,[1]BBDD!$B$1:$J$3274,9,FALSE)</f>
        <v>H</v>
      </c>
      <c r="I961" s="8" t="s">
        <v>2863</v>
      </c>
      <c r="J961" s="8" t="s">
        <v>1331</v>
      </c>
      <c r="L961" s="8" t="s">
        <v>1332</v>
      </c>
      <c r="N961" s="8" t="s">
        <v>510</v>
      </c>
      <c r="O961" s="8" t="s">
        <v>510</v>
      </c>
      <c r="P961" s="18" t="str">
        <f t="shared" si="101"/>
        <v>M</v>
      </c>
      <c r="Q961" s="8" t="s">
        <v>45</v>
      </c>
      <c r="R961" s="8">
        <v>1</v>
      </c>
      <c r="S961" s="8">
        <v>1</v>
      </c>
      <c r="T961" s="8">
        <f t="shared" si="99"/>
        <v>2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180</v>
      </c>
      <c r="AB961" s="9">
        <f t="shared" si="100"/>
        <v>0</v>
      </c>
      <c r="AC961" s="10" t="str">
        <f t="shared" si="95"/>
        <v>sin venta</v>
      </c>
      <c r="AD961" s="8" t="s">
        <v>109</v>
      </c>
      <c r="AE961" s="11">
        <v>49990</v>
      </c>
      <c r="AF961" s="11">
        <f t="shared" si="96"/>
        <v>99980</v>
      </c>
      <c r="AG961" s="12" t="s">
        <v>73</v>
      </c>
      <c r="AH961" s="8" t="s">
        <v>35</v>
      </c>
    </row>
    <row r="962" spans="1:34">
      <c r="A962" s="8" t="s">
        <v>1339</v>
      </c>
      <c r="B962" s="16" t="s">
        <v>661</v>
      </c>
      <c r="C962" s="8" t="s">
        <v>377</v>
      </c>
      <c r="D962" s="8" t="s">
        <v>1276</v>
      </c>
      <c r="E962" s="8" t="str">
        <f t="shared" si="94"/>
        <v>GRIS</v>
      </c>
      <c r="H962" s="8" t="str">
        <f>VLOOKUP(A962,[1]BBDD!$B$1:$J$3274,9,FALSE)</f>
        <v>H</v>
      </c>
      <c r="I962" s="8" t="s">
        <v>2863</v>
      </c>
      <c r="J962" s="8" t="s">
        <v>1331</v>
      </c>
      <c r="L962" s="8" t="s">
        <v>1332</v>
      </c>
      <c r="N962" s="8" t="s">
        <v>510</v>
      </c>
      <c r="O962" s="8" t="s">
        <v>510</v>
      </c>
      <c r="P962" s="18" t="str">
        <f t="shared" si="101"/>
        <v>S</v>
      </c>
      <c r="Q962" s="8" t="s">
        <v>45</v>
      </c>
      <c r="R962" s="8">
        <v>0</v>
      </c>
      <c r="S962" s="8">
        <v>1</v>
      </c>
      <c r="T962" s="8">
        <f t="shared" si="99"/>
        <v>1</v>
      </c>
      <c r="U962" s="8">
        <v>0</v>
      </c>
      <c r="V962" s="8">
        <v>0</v>
      </c>
      <c r="W962" s="8">
        <v>1</v>
      </c>
      <c r="X962" s="8">
        <v>0</v>
      </c>
      <c r="Y962" s="8">
        <v>0</v>
      </c>
      <c r="Z962" s="8">
        <v>0</v>
      </c>
      <c r="AA962" s="8">
        <v>180</v>
      </c>
      <c r="AB962" s="9">
        <f t="shared" si="100"/>
        <v>0.16666666666666669</v>
      </c>
      <c r="AC962" s="10">
        <f t="shared" si="95"/>
        <v>5.9999999999999991</v>
      </c>
      <c r="AD962" s="8" t="s">
        <v>109</v>
      </c>
      <c r="AE962" s="11">
        <v>49990</v>
      </c>
      <c r="AF962" s="11">
        <f t="shared" si="96"/>
        <v>49990</v>
      </c>
      <c r="AG962" s="12" t="s">
        <v>34</v>
      </c>
      <c r="AH962" s="8" t="s">
        <v>35</v>
      </c>
    </row>
    <row r="963" spans="1:34">
      <c r="A963" s="8" t="s">
        <v>1340</v>
      </c>
      <c r="B963" s="16" t="s">
        <v>661</v>
      </c>
      <c r="C963" s="8" t="s">
        <v>377</v>
      </c>
      <c r="D963" s="8" t="s">
        <v>1276</v>
      </c>
      <c r="E963" s="8" t="str">
        <f t="shared" ref="E963:E1026" si="102">TRIM(N963)</f>
        <v>GRIS</v>
      </c>
      <c r="H963" s="8" t="str">
        <f>VLOOKUP(A963,[1]BBDD!$B$1:$J$3274,9,FALSE)</f>
        <v>H</v>
      </c>
      <c r="I963" s="8" t="s">
        <v>2863</v>
      </c>
      <c r="J963" s="8" t="s">
        <v>1331</v>
      </c>
      <c r="L963" s="8" t="s">
        <v>1332</v>
      </c>
      <c r="N963" s="8" t="s">
        <v>510</v>
      </c>
      <c r="O963" s="8" t="s">
        <v>510</v>
      </c>
      <c r="P963" s="18" t="str">
        <f t="shared" si="101"/>
        <v>XL</v>
      </c>
      <c r="Q963" s="8" t="s">
        <v>45</v>
      </c>
      <c r="R963" s="8">
        <v>1</v>
      </c>
      <c r="S963" s="8">
        <v>1</v>
      </c>
      <c r="T963" s="8">
        <f t="shared" si="99"/>
        <v>2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180</v>
      </c>
      <c r="AB963" s="9">
        <f t="shared" si="100"/>
        <v>0</v>
      </c>
      <c r="AC963" s="10" t="str">
        <f t="shared" ref="AC963:AC1026" si="103">IFERROR(T963/AB963,"sin venta")</f>
        <v>sin venta</v>
      </c>
      <c r="AD963" s="8" t="s">
        <v>109</v>
      </c>
      <c r="AE963" s="11">
        <v>49990</v>
      </c>
      <c r="AF963" s="11">
        <f t="shared" ref="AF963:AF1026" si="104">IFERROR(AE963*T963,0)</f>
        <v>99980</v>
      </c>
      <c r="AG963" s="12" t="s">
        <v>73</v>
      </c>
      <c r="AH963" s="8" t="s">
        <v>35</v>
      </c>
    </row>
    <row r="964" spans="1:34">
      <c r="A964" s="8" t="s">
        <v>1341</v>
      </c>
      <c r="B964" s="16" t="s">
        <v>661</v>
      </c>
      <c r="C964" s="8" t="s">
        <v>377</v>
      </c>
      <c r="D964" s="8" t="s">
        <v>1276</v>
      </c>
      <c r="E964" s="8" t="str">
        <f t="shared" si="102"/>
        <v>GRIS</v>
      </c>
      <c r="H964" s="8" t="str">
        <f>VLOOKUP(A964,[1]BBDD!$B$1:$J$3274,9,FALSE)</f>
        <v>H</v>
      </c>
      <c r="I964" s="8" t="s">
        <v>2863</v>
      </c>
      <c r="J964" s="8" t="s">
        <v>1331</v>
      </c>
      <c r="L964" s="8" t="s">
        <v>1332</v>
      </c>
      <c r="N964" s="8" t="s">
        <v>510</v>
      </c>
      <c r="O964" s="8" t="s">
        <v>510</v>
      </c>
      <c r="P964" s="18" t="str">
        <f t="shared" si="101"/>
        <v>XXL</v>
      </c>
      <c r="Q964" s="8" t="s">
        <v>45</v>
      </c>
      <c r="R964" s="8">
        <v>1</v>
      </c>
      <c r="S964" s="8">
        <v>1</v>
      </c>
      <c r="T964" s="8">
        <f t="shared" si="99"/>
        <v>2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180</v>
      </c>
      <c r="AB964" s="9">
        <f t="shared" si="100"/>
        <v>0</v>
      </c>
      <c r="AC964" s="10" t="str">
        <f t="shared" si="103"/>
        <v>sin venta</v>
      </c>
      <c r="AD964" s="8" t="s">
        <v>109</v>
      </c>
      <c r="AE964" s="11">
        <v>49990</v>
      </c>
      <c r="AF964" s="11">
        <f t="shared" si="104"/>
        <v>99980</v>
      </c>
      <c r="AG964" s="12" t="s">
        <v>73</v>
      </c>
      <c r="AH964" s="8" t="s">
        <v>35</v>
      </c>
    </row>
    <row r="965" spans="1:34">
      <c r="A965" s="8" t="s">
        <v>1342</v>
      </c>
      <c r="B965" s="16" t="s">
        <v>661</v>
      </c>
      <c r="C965" s="8" t="s">
        <v>377</v>
      </c>
      <c r="D965" s="8" t="s">
        <v>1276</v>
      </c>
      <c r="E965" s="8" t="str">
        <f t="shared" si="102"/>
        <v>NEGRO</v>
      </c>
      <c r="H965" s="8" t="str">
        <f>VLOOKUP(A965,[1]BBDD!$B$1:$J$3274,9,FALSE)</f>
        <v>H</v>
      </c>
      <c r="I965" s="8" t="s">
        <v>2863</v>
      </c>
      <c r="J965" s="8" t="s">
        <v>1331</v>
      </c>
      <c r="L965" s="8" t="s">
        <v>1332</v>
      </c>
      <c r="N965" s="8" t="s">
        <v>44</v>
      </c>
      <c r="O965" s="8" t="s">
        <v>44</v>
      </c>
      <c r="P965" s="18" t="str">
        <f t="shared" si="101"/>
        <v>L</v>
      </c>
      <c r="Q965" s="8" t="s">
        <v>45</v>
      </c>
      <c r="R965" s="8">
        <v>2</v>
      </c>
      <c r="S965" s="8">
        <v>1</v>
      </c>
      <c r="T965" s="8">
        <f t="shared" si="99"/>
        <v>3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180</v>
      </c>
      <c r="AB965" s="9">
        <f t="shared" si="100"/>
        <v>0</v>
      </c>
      <c r="AC965" s="10" t="str">
        <f t="shared" si="103"/>
        <v>sin venta</v>
      </c>
      <c r="AD965" s="8" t="s">
        <v>109</v>
      </c>
      <c r="AE965" s="11">
        <v>49990</v>
      </c>
      <c r="AF965" s="11">
        <f t="shared" si="104"/>
        <v>149970</v>
      </c>
      <c r="AG965" s="12" t="s">
        <v>73</v>
      </c>
      <c r="AH965" s="8" t="s">
        <v>35</v>
      </c>
    </row>
    <row r="966" spans="1:34">
      <c r="A966" s="8" t="s">
        <v>1343</v>
      </c>
      <c r="B966" s="16" t="s">
        <v>661</v>
      </c>
      <c r="C966" s="8" t="s">
        <v>377</v>
      </c>
      <c r="D966" s="8" t="s">
        <v>1276</v>
      </c>
      <c r="E966" s="8" t="str">
        <f t="shared" si="102"/>
        <v>NEGRO</v>
      </c>
      <c r="H966" s="8" t="str">
        <f>VLOOKUP(A966,[1]BBDD!$B$1:$J$3274,9,FALSE)</f>
        <v>H</v>
      </c>
      <c r="I966" s="8" t="s">
        <v>2863</v>
      </c>
      <c r="J966" s="8" t="s">
        <v>1331</v>
      </c>
      <c r="L966" s="8" t="s">
        <v>1332</v>
      </c>
      <c r="N966" s="8" t="s">
        <v>44</v>
      </c>
      <c r="O966" s="8" t="s">
        <v>44</v>
      </c>
      <c r="P966" s="18" t="str">
        <f t="shared" si="101"/>
        <v>M</v>
      </c>
      <c r="Q966" s="8" t="s">
        <v>45</v>
      </c>
      <c r="R966" s="8">
        <v>2</v>
      </c>
      <c r="S966" s="8">
        <v>1</v>
      </c>
      <c r="T966" s="8">
        <f t="shared" si="99"/>
        <v>3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180</v>
      </c>
      <c r="AB966" s="9">
        <f t="shared" si="100"/>
        <v>0</v>
      </c>
      <c r="AC966" s="10" t="str">
        <f t="shared" si="103"/>
        <v>sin venta</v>
      </c>
      <c r="AD966" s="8" t="s">
        <v>109</v>
      </c>
      <c r="AE966" s="11">
        <v>49990</v>
      </c>
      <c r="AF966" s="11">
        <f t="shared" si="104"/>
        <v>149970</v>
      </c>
      <c r="AG966" s="12" t="s">
        <v>73</v>
      </c>
      <c r="AH966" s="8" t="s">
        <v>35</v>
      </c>
    </row>
    <row r="967" spans="1:34">
      <c r="A967" s="8" t="s">
        <v>1344</v>
      </c>
      <c r="B967" s="16" t="s">
        <v>661</v>
      </c>
      <c r="C967" s="8" t="s">
        <v>377</v>
      </c>
      <c r="D967" s="8" t="s">
        <v>1276</v>
      </c>
      <c r="E967" s="8" t="str">
        <f t="shared" si="102"/>
        <v>NEGRO</v>
      </c>
      <c r="H967" s="8" t="str">
        <f>VLOOKUP(A967,[1]BBDD!$B$1:$J$3274,9,FALSE)</f>
        <v>H</v>
      </c>
      <c r="I967" s="8" t="s">
        <v>2863</v>
      </c>
      <c r="J967" s="8" t="s">
        <v>1331</v>
      </c>
      <c r="L967" s="8" t="s">
        <v>1332</v>
      </c>
      <c r="N967" s="8" t="s">
        <v>44</v>
      </c>
      <c r="O967" s="8" t="s">
        <v>44</v>
      </c>
      <c r="P967" s="18" t="str">
        <f t="shared" si="101"/>
        <v>S</v>
      </c>
      <c r="Q967" s="8" t="s">
        <v>45</v>
      </c>
      <c r="R967" s="8">
        <v>1</v>
      </c>
      <c r="S967" s="8">
        <v>1</v>
      </c>
      <c r="T967" s="8">
        <f t="shared" si="99"/>
        <v>2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180</v>
      </c>
      <c r="AB967" s="9">
        <f t="shared" si="100"/>
        <v>0</v>
      </c>
      <c r="AC967" s="10" t="str">
        <f t="shared" si="103"/>
        <v>sin venta</v>
      </c>
      <c r="AD967" s="8" t="s">
        <v>109</v>
      </c>
      <c r="AE967" s="11">
        <v>49990</v>
      </c>
      <c r="AF967" s="11">
        <f t="shared" si="104"/>
        <v>99980</v>
      </c>
      <c r="AG967" s="12" t="s">
        <v>73</v>
      </c>
      <c r="AH967" s="8" t="s">
        <v>35</v>
      </c>
    </row>
    <row r="968" spans="1:34">
      <c r="A968" s="8" t="s">
        <v>1345</v>
      </c>
      <c r="B968" s="16" t="s">
        <v>661</v>
      </c>
      <c r="C968" s="8" t="s">
        <v>377</v>
      </c>
      <c r="D968" s="8" t="s">
        <v>1276</v>
      </c>
      <c r="E968" s="8" t="str">
        <f t="shared" si="102"/>
        <v>NEGRO</v>
      </c>
      <c r="H968" s="8" t="str">
        <f>VLOOKUP(A968,[1]BBDD!$B$1:$J$3274,9,FALSE)</f>
        <v>H</v>
      </c>
      <c r="I968" s="8" t="s">
        <v>2863</v>
      </c>
      <c r="J968" s="8" t="s">
        <v>1331</v>
      </c>
      <c r="L968" s="8" t="s">
        <v>1332</v>
      </c>
      <c r="N968" s="8" t="s">
        <v>44</v>
      </c>
      <c r="O968" s="8" t="s">
        <v>44</v>
      </c>
      <c r="P968" s="18" t="str">
        <f t="shared" si="101"/>
        <v>XL</v>
      </c>
      <c r="Q968" s="8" t="s">
        <v>45</v>
      </c>
      <c r="R968" s="8">
        <v>1</v>
      </c>
      <c r="S968" s="8">
        <v>1</v>
      </c>
      <c r="T968" s="8">
        <f t="shared" si="99"/>
        <v>2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180</v>
      </c>
      <c r="AB968" s="9">
        <f t="shared" si="100"/>
        <v>0</v>
      </c>
      <c r="AC968" s="10" t="str">
        <f t="shared" si="103"/>
        <v>sin venta</v>
      </c>
      <c r="AD968" s="8" t="s">
        <v>109</v>
      </c>
      <c r="AE968" s="11">
        <v>49990</v>
      </c>
      <c r="AF968" s="11">
        <f t="shared" si="104"/>
        <v>99980</v>
      </c>
      <c r="AG968" s="12" t="s">
        <v>73</v>
      </c>
      <c r="AH968" s="8" t="s">
        <v>35</v>
      </c>
    </row>
    <row r="969" spans="1:34">
      <c r="A969" s="8" t="s">
        <v>1346</v>
      </c>
      <c r="B969" s="16" t="s">
        <v>661</v>
      </c>
      <c r="C969" s="8" t="s">
        <v>377</v>
      </c>
      <c r="D969" s="8" t="s">
        <v>1276</v>
      </c>
      <c r="E969" s="8" t="str">
        <f t="shared" si="102"/>
        <v>NEGRO</v>
      </c>
      <c r="H969" s="8" t="str">
        <f>VLOOKUP(A969,[1]BBDD!$B$1:$J$3274,9,FALSE)</f>
        <v>H</v>
      </c>
      <c r="I969" s="8" t="s">
        <v>2863</v>
      </c>
      <c r="J969" s="8" t="s">
        <v>1331</v>
      </c>
      <c r="L969" s="8" t="s">
        <v>1332</v>
      </c>
      <c r="N969" s="8" t="s">
        <v>44</v>
      </c>
      <c r="O969" s="8" t="s">
        <v>44</v>
      </c>
      <c r="P969" s="18" t="str">
        <f t="shared" si="101"/>
        <v>XXL</v>
      </c>
      <c r="Q969" s="8" t="s">
        <v>45</v>
      </c>
      <c r="R969" s="8">
        <v>1</v>
      </c>
      <c r="S969" s="8">
        <v>1</v>
      </c>
      <c r="T969" s="8">
        <f t="shared" si="99"/>
        <v>2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180</v>
      </c>
      <c r="AB969" s="9">
        <f t="shared" si="100"/>
        <v>0</v>
      </c>
      <c r="AC969" s="10" t="str">
        <f t="shared" si="103"/>
        <v>sin venta</v>
      </c>
      <c r="AD969" s="8" t="s">
        <v>109</v>
      </c>
      <c r="AE969" s="11">
        <v>49990</v>
      </c>
      <c r="AF969" s="11">
        <f t="shared" si="104"/>
        <v>99980</v>
      </c>
      <c r="AG969" s="12" t="s">
        <v>73</v>
      </c>
      <c r="AH969" s="8" t="s">
        <v>35</v>
      </c>
    </row>
    <row r="970" spans="1:34">
      <c r="A970" s="8" t="s">
        <v>1347</v>
      </c>
      <c r="B970" s="16" t="s">
        <v>661</v>
      </c>
      <c r="C970" s="8" t="s">
        <v>377</v>
      </c>
      <c r="D970" s="8" t="s">
        <v>1276</v>
      </c>
      <c r="E970" s="8" t="str">
        <f t="shared" si="102"/>
        <v>VERDE</v>
      </c>
      <c r="H970" s="8" t="str">
        <f>VLOOKUP(A970,[1]BBDD!$B$1:$J$3274,9,FALSE)</f>
        <v>H</v>
      </c>
      <c r="I970" s="8" t="s">
        <v>2863</v>
      </c>
      <c r="J970" s="8" t="s">
        <v>1331</v>
      </c>
      <c r="L970" s="8" t="s">
        <v>1332</v>
      </c>
      <c r="N970" s="8" t="s">
        <v>92</v>
      </c>
      <c r="O970" s="8" t="s">
        <v>92</v>
      </c>
      <c r="P970" s="18" t="str">
        <f t="shared" si="101"/>
        <v>M</v>
      </c>
      <c r="Q970" s="8" t="s">
        <v>45</v>
      </c>
      <c r="R970" s="8">
        <v>0</v>
      </c>
      <c r="S970" s="8">
        <v>1</v>
      </c>
      <c r="T970" s="8">
        <f t="shared" si="99"/>
        <v>1</v>
      </c>
      <c r="U970" s="8">
        <v>1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180</v>
      </c>
      <c r="AB970" s="9">
        <f t="shared" si="100"/>
        <v>0.16666666666666669</v>
      </c>
      <c r="AC970" s="10">
        <f t="shared" si="103"/>
        <v>5.9999999999999991</v>
      </c>
      <c r="AD970" s="8" t="s">
        <v>109</v>
      </c>
      <c r="AE970" s="11">
        <v>49990</v>
      </c>
      <c r="AF970" s="11">
        <f t="shared" si="104"/>
        <v>49990</v>
      </c>
      <c r="AG970" s="12" t="s">
        <v>34</v>
      </c>
      <c r="AH970" s="8" t="s">
        <v>35</v>
      </c>
    </row>
    <row r="971" spans="1:34">
      <c r="A971" s="8" t="s">
        <v>1348</v>
      </c>
      <c r="B971" s="16" t="s">
        <v>661</v>
      </c>
      <c r="C971" s="8" t="s">
        <v>377</v>
      </c>
      <c r="D971" s="8" t="s">
        <v>1276</v>
      </c>
      <c r="E971" s="8" t="str">
        <f t="shared" si="102"/>
        <v>VERDE</v>
      </c>
      <c r="H971" s="8" t="str">
        <f>VLOOKUP(A971,[1]BBDD!$B$1:$J$3274,9,FALSE)</f>
        <v>H</v>
      </c>
      <c r="I971" s="8" t="s">
        <v>2863</v>
      </c>
      <c r="J971" s="8" t="s">
        <v>1331</v>
      </c>
      <c r="L971" s="8" t="s">
        <v>1332</v>
      </c>
      <c r="N971" s="8" t="s">
        <v>92</v>
      </c>
      <c r="O971" s="8" t="s">
        <v>92</v>
      </c>
      <c r="P971" s="18" t="str">
        <f t="shared" si="101"/>
        <v>XL</v>
      </c>
      <c r="Q971" s="8" t="s">
        <v>45</v>
      </c>
      <c r="R971" s="8">
        <v>1</v>
      </c>
      <c r="S971" s="8">
        <v>1</v>
      </c>
      <c r="T971" s="8">
        <f t="shared" si="99"/>
        <v>2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180</v>
      </c>
      <c r="AB971" s="9">
        <f t="shared" si="100"/>
        <v>0</v>
      </c>
      <c r="AC971" s="10" t="str">
        <f t="shared" si="103"/>
        <v>sin venta</v>
      </c>
      <c r="AD971" s="8" t="s">
        <v>109</v>
      </c>
      <c r="AE971" s="11">
        <v>49990</v>
      </c>
      <c r="AF971" s="11">
        <f t="shared" si="104"/>
        <v>99980</v>
      </c>
      <c r="AG971" s="12" t="s">
        <v>73</v>
      </c>
      <c r="AH971" s="8" t="s">
        <v>35</v>
      </c>
    </row>
    <row r="972" spans="1:34">
      <c r="A972" s="8" t="s">
        <v>1349</v>
      </c>
      <c r="B972" s="16" t="s">
        <v>661</v>
      </c>
      <c r="C972" s="8" t="s">
        <v>377</v>
      </c>
      <c r="D972" s="8" t="s">
        <v>1276</v>
      </c>
      <c r="E972" s="8" t="str">
        <f t="shared" si="102"/>
        <v>VERDE</v>
      </c>
      <c r="H972" s="8" t="str">
        <f>VLOOKUP(A972,[1]BBDD!$B$1:$J$3274,9,FALSE)</f>
        <v>H</v>
      </c>
      <c r="I972" s="8" t="s">
        <v>2863</v>
      </c>
      <c r="J972" s="8" t="s">
        <v>1331</v>
      </c>
      <c r="L972" s="8" t="s">
        <v>1332</v>
      </c>
      <c r="N972" s="8" t="s">
        <v>92</v>
      </c>
      <c r="O972" s="8" t="s">
        <v>92</v>
      </c>
      <c r="P972" s="18" t="str">
        <f t="shared" si="101"/>
        <v>XXL</v>
      </c>
      <c r="Q972" s="8" t="s">
        <v>45</v>
      </c>
      <c r="R972" s="8">
        <v>1</v>
      </c>
      <c r="S972" s="8">
        <v>1</v>
      </c>
      <c r="T972" s="8">
        <f t="shared" si="99"/>
        <v>2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180</v>
      </c>
      <c r="AB972" s="9">
        <f t="shared" si="100"/>
        <v>0</v>
      </c>
      <c r="AC972" s="10" t="str">
        <f t="shared" si="103"/>
        <v>sin venta</v>
      </c>
      <c r="AD972" s="8" t="s">
        <v>109</v>
      </c>
      <c r="AE972" s="11">
        <v>49990</v>
      </c>
      <c r="AF972" s="11">
        <f t="shared" si="104"/>
        <v>99980</v>
      </c>
      <c r="AG972" s="12" t="s">
        <v>73</v>
      </c>
      <c r="AH972" s="8" t="s">
        <v>35</v>
      </c>
    </row>
    <row r="973" spans="1:34">
      <c r="A973" s="8" t="s">
        <v>1350</v>
      </c>
      <c r="B973" s="16" t="s">
        <v>505</v>
      </c>
      <c r="C973" s="8" t="s">
        <v>377</v>
      </c>
      <c r="D973" s="8" t="s">
        <v>1351</v>
      </c>
      <c r="E973" s="8" t="str">
        <f t="shared" si="102"/>
        <v>CRUDO</v>
      </c>
      <c r="G973" s="8" t="s">
        <v>2862</v>
      </c>
      <c r="H973" s="8" t="str">
        <f>VLOOKUP(A973,[1]BBDD!$B$1:$J$3274,9,FALSE)</f>
        <v>M</v>
      </c>
      <c r="I973" s="8" t="s">
        <v>2862</v>
      </c>
      <c r="J973" s="8" t="s">
        <v>1352</v>
      </c>
      <c r="L973" s="8" t="s">
        <v>527</v>
      </c>
      <c r="N973" s="8" t="s">
        <v>518</v>
      </c>
      <c r="O973" s="8" t="s">
        <v>518</v>
      </c>
      <c r="Q973" s="8" t="s">
        <v>32</v>
      </c>
      <c r="R973" s="8">
        <v>15</v>
      </c>
      <c r="S973" s="8">
        <v>9</v>
      </c>
      <c r="T973" s="8">
        <f t="shared" si="99"/>
        <v>24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3</v>
      </c>
      <c r="AA973" s="8">
        <v>180</v>
      </c>
      <c r="AB973" s="9">
        <f t="shared" si="100"/>
        <v>0.5</v>
      </c>
      <c r="AC973" s="10">
        <f t="shared" si="103"/>
        <v>48</v>
      </c>
      <c r="AD973" s="8" t="s">
        <v>33</v>
      </c>
      <c r="AE973" s="11">
        <v>29990</v>
      </c>
      <c r="AF973" s="11">
        <f t="shared" si="104"/>
        <v>719760</v>
      </c>
      <c r="AG973" s="12" t="s">
        <v>73</v>
      </c>
      <c r="AH973" s="8" t="s">
        <v>74</v>
      </c>
    </row>
    <row r="974" spans="1:34">
      <c r="A974" s="8" t="s">
        <v>1353</v>
      </c>
      <c r="B974" s="16" t="s">
        <v>505</v>
      </c>
      <c r="C974" s="8" t="s">
        <v>377</v>
      </c>
      <c r="D974" s="8" t="s">
        <v>1351</v>
      </c>
      <c r="E974" s="8" t="str">
        <f t="shared" si="102"/>
        <v>NEGRO</v>
      </c>
      <c r="G974" s="8" t="s">
        <v>2862</v>
      </c>
      <c r="H974" s="8" t="str">
        <f>VLOOKUP(A974,[1]BBDD!$B$1:$J$3274,9,FALSE)</f>
        <v>M</v>
      </c>
      <c r="I974" s="8" t="s">
        <v>2862</v>
      </c>
      <c r="J974" s="8" t="s">
        <v>1352</v>
      </c>
      <c r="L974" s="8" t="s">
        <v>527</v>
      </c>
      <c r="N974" s="8" t="s">
        <v>44</v>
      </c>
      <c r="O974" s="8" t="s">
        <v>44</v>
      </c>
      <c r="Q974" s="8" t="s">
        <v>32</v>
      </c>
      <c r="R974" s="8">
        <v>15</v>
      </c>
      <c r="S974" s="8">
        <v>9</v>
      </c>
      <c r="T974" s="8">
        <f t="shared" si="99"/>
        <v>24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3</v>
      </c>
      <c r="AA974" s="8">
        <v>180</v>
      </c>
      <c r="AB974" s="9">
        <f t="shared" si="100"/>
        <v>0.5</v>
      </c>
      <c r="AC974" s="10">
        <f t="shared" si="103"/>
        <v>48</v>
      </c>
      <c r="AD974" s="8" t="s">
        <v>33</v>
      </c>
      <c r="AE974" s="11">
        <v>29990</v>
      </c>
      <c r="AF974" s="11">
        <f t="shared" si="104"/>
        <v>719760</v>
      </c>
      <c r="AG974" s="12" t="s">
        <v>73</v>
      </c>
      <c r="AH974" s="8" t="s">
        <v>74</v>
      </c>
    </row>
    <row r="975" spans="1:34">
      <c r="A975" s="8" t="s">
        <v>1354</v>
      </c>
      <c r="B975" s="16" t="s">
        <v>505</v>
      </c>
      <c r="C975" s="8" t="s">
        <v>377</v>
      </c>
      <c r="D975" s="8" t="s">
        <v>1351</v>
      </c>
      <c r="E975" s="8" t="str">
        <f t="shared" si="102"/>
        <v>VISON</v>
      </c>
      <c r="G975" s="8" t="s">
        <v>2862</v>
      </c>
      <c r="H975" s="8" t="str">
        <f>VLOOKUP(A975,[1]BBDD!$B$1:$J$3274,9,FALSE)</f>
        <v>M</v>
      </c>
      <c r="I975" s="8" t="s">
        <v>2862</v>
      </c>
      <c r="J975" s="8" t="s">
        <v>1352</v>
      </c>
      <c r="L975" s="8" t="s">
        <v>527</v>
      </c>
      <c r="N975" s="8" t="s">
        <v>58</v>
      </c>
      <c r="O975" s="8" t="s">
        <v>58</v>
      </c>
      <c r="Q975" s="8" t="s">
        <v>32</v>
      </c>
      <c r="R975" s="8">
        <v>15</v>
      </c>
      <c r="S975" s="8">
        <v>9</v>
      </c>
      <c r="T975" s="8">
        <f t="shared" si="99"/>
        <v>24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180</v>
      </c>
      <c r="AB975" s="9">
        <f t="shared" si="100"/>
        <v>0</v>
      </c>
      <c r="AC975" s="10" t="str">
        <f t="shared" si="103"/>
        <v>sin venta</v>
      </c>
      <c r="AD975" s="8" t="s">
        <v>33</v>
      </c>
      <c r="AE975" s="11">
        <v>29990</v>
      </c>
      <c r="AF975" s="11">
        <f t="shared" si="104"/>
        <v>719760</v>
      </c>
      <c r="AG975" s="12" t="s">
        <v>73</v>
      </c>
      <c r="AH975" s="8" t="s">
        <v>74</v>
      </c>
    </row>
    <row r="976" spans="1:34">
      <c r="A976" s="8" t="s">
        <v>1355</v>
      </c>
      <c r="B976" s="16" t="s">
        <v>505</v>
      </c>
      <c r="C976" s="8" t="s">
        <v>377</v>
      </c>
      <c r="D976" s="8" t="s">
        <v>1351</v>
      </c>
      <c r="E976" s="8" t="str">
        <f t="shared" si="102"/>
        <v>NEGRO T.1</v>
      </c>
      <c r="G976" s="8" t="s">
        <v>2863</v>
      </c>
      <c r="H976" s="8" t="str">
        <f>VLOOKUP(A976,[1]BBDD!$B$1:$J$3274,9,FALSE)</f>
        <v>H</v>
      </c>
      <c r="I976" s="8" t="s">
        <v>2863</v>
      </c>
      <c r="J976" s="8" t="s">
        <v>1356</v>
      </c>
      <c r="L976" s="8" t="s">
        <v>527</v>
      </c>
      <c r="N976" s="8" t="s">
        <v>1357</v>
      </c>
      <c r="O976" s="20" t="s">
        <v>44</v>
      </c>
      <c r="P976" s="18">
        <v>1</v>
      </c>
      <c r="Q976" s="8" t="s">
        <v>32</v>
      </c>
      <c r="R976" s="8">
        <v>2</v>
      </c>
      <c r="S976" s="8">
        <v>6</v>
      </c>
      <c r="T976" s="8">
        <f t="shared" si="99"/>
        <v>8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180</v>
      </c>
      <c r="AB976" s="9">
        <f t="shared" si="100"/>
        <v>0</v>
      </c>
      <c r="AC976" s="10" t="str">
        <f t="shared" si="103"/>
        <v>sin venta</v>
      </c>
      <c r="AD976" s="8" t="s">
        <v>33</v>
      </c>
      <c r="AE976" s="11">
        <v>29990</v>
      </c>
      <c r="AF976" s="11">
        <f t="shared" si="104"/>
        <v>239920</v>
      </c>
      <c r="AG976" s="12" t="s">
        <v>73</v>
      </c>
      <c r="AH976" s="8" t="s">
        <v>35</v>
      </c>
    </row>
    <row r="977" spans="1:34">
      <c r="A977" s="8" t="s">
        <v>1358</v>
      </c>
      <c r="B977" s="16" t="s">
        <v>505</v>
      </c>
      <c r="C977" s="8" t="s">
        <v>377</v>
      </c>
      <c r="D977" s="8" t="s">
        <v>1351</v>
      </c>
      <c r="E977" s="8" t="str">
        <f t="shared" si="102"/>
        <v>VISON T.1</v>
      </c>
      <c r="G977" s="8" t="s">
        <v>2863</v>
      </c>
      <c r="H977" s="8" t="str">
        <f>VLOOKUP(A977,[1]BBDD!$B$1:$J$3274,9,FALSE)</f>
        <v>H</v>
      </c>
      <c r="I977" s="8" t="s">
        <v>2863</v>
      </c>
      <c r="J977" s="8" t="s">
        <v>1356</v>
      </c>
      <c r="L977" s="8" t="s">
        <v>527</v>
      </c>
      <c r="N977" s="8" t="s">
        <v>1359</v>
      </c>
      <c r="O977" s="20" t="s">
        <v>58</v>
      </c>
      <c r="P977" s="18">
        <v>1</v>
      </c>
      <c r="Q977" s="8" t="s">
        <v>32</v>
      </c>
      <c r="R977" s="8">
        <v>1</v>
      </c>
      <c r="S977" s="8">
        <v>6</v>
      </c>
      <c r="T977" s="8">
        <f t="shared" si="99"/>
        <v>7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180</v>
      </c>
      <c r="AB977" s="9">
        <f t="shared" si="100"/>
        <v>0</v>
      </c>
      <c r="AC977" s="10" t="str">
        <f t="shared" si="103"/>
        <v>sin venta</v>
      </c>
      <c r="AD977" s="8" t="s">
        <v>33</v>
      </c>
      <c r="AE977" s="11">
        <v>29990</v>
      </c>
      <c r="AF977" s="11">
        <f t="shared" si="104"/>
        <v>209930</v>
      </c>
      <c r="AG977" s="12" t="s">
        <v>73</v>
      </c>
      <c r="AH977" s="8" t="s">
        <v>35</v>
      </c>
    </row>
    <row r="978" spans="1:34">
      <c r="A978" s="8" t="s">
        <v>1360</v>
      </c>
      <c r="B978" s="16" t="s">
        <v>505</v>
      </c>
      <c r="C978" s="8" t="s">
        <v>377</v>
      </c>
      <c r="D978" s="8" t="s">
        <v>1351</v>
      </c>
      <c r="E978" s="8" t="str">
        <f t="shared" si="102"/>
        <v>NEGRO T.2</v>
      </c>
      <c r="G978" s="8" t="s">
        <v>2863</v>
      </c>
      <c r="H978" s="8" t="str">
        <f>VLOOKUP(A978,[1]BBDD!$B$1:$J$3274,9,FALSE)</f>
        <v>H</v>
      </c>
      <c r="I978" s="8" t="s">
        <v>2863</v>
      </c>
      <c r="J978" s="8" t="s">
        <v>1356</v>
      </c>
      <c r="L978" s="8" t="s">
        <v>527</v>
      </c>
      <c r="N978" s="8" t="s">
        <v>1361</v>
      </c>
      <c r="O978" s="20" t="s">
        <v>44</v>
      </c>
      <c r="P978" s="18">
        <v>2</v>
      </c>
      <c r="Q978" s="8" t="s">
        <v>32</v>
      </c>
      <c r="R978" s="8">
        <v>7</v>
      </c>
      <c r="S978" s="8">
        <v>9</v>
      </c>
      <c r="T978" s="8">
        <f t="shared" si="99"/>
        <v>16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180</v>
      </c>
      <c r="AB978" s="9">
        <f t="shared" si="100"/>
        <v>0</v>
      </c>
      <c r="AC978" s="10" t="str">
        <f t="shared" si="103"/>
        <v>sin venta</v>
      </c>
      <c r="AD978" s="8" t="s">
        <v>33</v>
      </c>
      <c r="AE978" s="11">
        <v>29990</v>
      </c>
      <c r="AF978" s="11">
        <f t="shared" si="104"/>
        <v>479840</v>
      </c>
      <c r="AG978" s="12" t="s">
        <v>73</v>
      </c>
      <c r="AH978" s="8" t="s">
        <v>65</v>
      </c>
    </row>
    <row r="979" spans="1:34">
      <c r="A979" s="8" t="s">
        <v>1362</v>
      </c>
      <c r="B979" s="16" t="s">
        <v>505</v>
      </c>
      <c r="C979" s="8" t="s">
        <v>377</v>
      </c>
      <c r="D979" s="8" t="s">
        <v>1351</v>
      </c>
      <c r="E979" s="8" t="str">
        <f t="shared" si="102"/>
        <v>VISON T.2</v>
      </c>
      <c r="G979" s="8" t="s">
        <v>2863</v>
      </c>
      <c r="H979" s="8" t="str">
        <f>VLOOKUP(A979,[1]BBDD!$B$1:$J$3274,9,FALSE)</f>
        <v>H</v>
      </c>
      <c r="I979" s="8" t="s">
        <v>2863</v>
      </c>
      <c r="J979" s="8" t="s">
        <v>1356</v>
      </c>
      <c r="L979" s="8" t="s">
        <v>527</v>
      </c>
      <c r="N979" s="8" t="s">
        <v>1363</v>
      </c>
      <c r="O979" s="20" t="s">
        <v>58</v>
      </c>
      <c r="P979" s="18">
        <v>2</v>
      </c>
      <c r="Q979" s="8" t="s">
        <v>32</v>
      </c>
      <c r="R979" s="8">
        <v>8</v>
      </c>
      <c r="S979" s="8">
        <v>9</v>
      </c>
      <c r="T979" s="8">
        <f t="shared" si="99"/>
        <v>17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180</v>
      </c>
      <c r="AB979" s="9">
        <f t="shared" si="100"/>
        <v>0</v>
      </c>
      <c r="AC979" s="10" t="str">
        <f t="shared" si="103"/>
        <v>sin venta</v>
      </c>
      <c r="AD979" s="8" t="s">
        <v>33</v>
      </c>
      <c r="AE979" s="11">
        <v>29990</v>
      </c>
      <c r="AF979" s="11">
        <f t="shared" si="104"/>
        <v>509830</v>
      </c>
      <c r="AG979" s="12" t="s">
        <v>73</v>
      </c>
      <c r="AH979" s="8" t="s">
        <v>65</v>
      </c>
    </row>
    <row r="980" spans="1:34">
      <c r="A980" s="8" t="s">
        <v>1364</v>
      </c>
      <c r="B980" s="16" t="s">
        <v>505</v>
      </c>
      <c r="C980" s="8" t="s">
        <v>377</v>
      </c>
      <c r="D980" s="8" t="s">
        <v>1351</v>
      </c>
      <c r="E980" s="8" t="str">
        <f t="shared" si="102"/>
        <v>CRUDO</v>
      </c>
      <c r="H980" s="8" t="str">
        <f>VLOOKUP(A980,[1]BBDD!$B$1:$J$3274,9,FALSE)</f>
        <v>U</v>
      </c>
      <c r="I980" s="8" t="s">
        <v>2861</v>
      </c>
      <c r="J980" s="8" t="s">
        <v>1365</v>
      </c>
      <c r="L980" s="8" t="s">
        <v>527</v>
      </c>
      <c r="N980" s="8" t="s">
        <v>518</v>
      </c>
      <c r="O980" s="8" t="s">
        <v>518</v>
      </c>
      <c r="Q980" s="8" t="s">
        <v>32</v>
      </c>
      <c r="R980" s="8">
        <v>0</v>
      </c>
      <c r="S980" s="8">
        <v>1</v>
      </c>
      <c r="T980" s="8">
        <f t="shared" si="99"/>
        <v>1</v>
      </c>
      <c r="U980" s="8">
        <v>1</v>
      </c>
      <c r="V980" s="8">
        <v>0</v>
      </c>
      <c r="W980" s="8">
        <v>0</v>
      </c>
      <c r="X980" s="8">
        <v>0</v>
      </c>
      <c r="Y980" s="8">
        <v>1</v>
      </c>
      <c r="Z980" s="8">
        <v>1</v>
      </c>
      <c r="AA980" s="8">
        <v>180</v>
      </c>
      <c r="AB980" s="9">
        <f t="shared" si="100"/>
        <v>0.5</v>
      </c>
      <c r="AC980" s="10">
        <f t="shared" si="103"/>
        <v>2</v>
      </c>
      <c r="AD980" s="8" t="s">
        <v>33</v>
      </c>
      <c r="AE980" s="11">
        <v>29990</v>
      </c>
      <c r="AF980" s="11">
        <f t="shared" si="104"/>
        <v>29990</v>
      </c>
      <c r="AG980" s="12" t="s">
        <v>34</v>
      </c>
      <c r="AH980" s="8" t="s">
        <v>35</v>
      </c>
    </row>
    <row r="981" spans="1:34">
      <c r="A981" s="8" t="s">
        <v>1366</v>
      </c>
      <c r="B981" s="16" t="s">
        <v>505</v>
      </c>
      <c r="C981" s="8" t="s">
        <v>377</v>
      </c>
      <c r="D981" s="8" t="s">
        <v>1351</v>
      </c>
      <c r="E981" s="8" t="str">
        <f t="shared" si="102"/>
        <v>VISON</v>
      </c>
      <c r="H981" s="8" t="str">
        <f>VLOOKUP(A981,[1]BBDD!$B$1:$J$3274,9,FALSE)</f>
        <v>U</v>
      </c>
      <c r="I981" s="8" t="s">
        <v>2861</v>
      </c>
      <c r="J981" s="8" t="s">
        <v>1365</v>
      </c>
      <c r="L981" s="8" t="s">
        <v>527</v>
      </c>
      <c r="N981" s="8" t="s">
        <v>58</v>
      </c>
      <c r="O981" s="8" t="s">
        <v>58</v>
      </c>
      <c r="Q981" s="8" t="s">
        <v>32</v>
      </c>
      <c r="R981" s="8">
        <v>12</v>
      </c>
      <c r="S981" s="8">
        <v>12</v>
      </c>
      <c r="T981" s="8">
        <f t="shared" si="99"/>
        <v>24</v>
      </c>
      <c r="U981" s="8">
        <v>3</v>
      </c>
      <c r="V981" s="8">
        <v>1</v>
      </c>
      <c r="W981" s="8">
        <v>1</v>
      </c>
      <c r="X981" s="8">
        <v>0</v>
      </c>
      <c r="Y981" s="8">
        <v>1</v>
      </c>
      <c r="Z981" s="8">
        <v>7</v>
      </c>
      <c r="AA981" s="8">
        <v>180</v>
      </c>
      <c r="AB981" s="9">
        <f t="shared" si="100"/>
        <v>2.1666666666666665</v>
      </c>
      <c r="AC981" s="10">
        <f t="shared" si="103"/>
        <v>11.076923076923078</v>
      </c>
      <c r="AD981" s="8" t="s">
        <v>33</v>
      </c>
      <c r="AE981" s="11">
        <v>29990</v>
      </c>
      <c r="AF981" s="11">
        <f t="shared" si="104"/>
        <v>719760</v>
      </c>
      <c r="AG981" s="12" t="s">
        <v>51</v>
      </c>
      <c r="AH981" s="8" t="s">
        <v>74</v>
      </c>
    </row>
    <row r="982" spans="1:34">
      <c r="A982" s="8" t="s">
        <v>1367</v>
      </c>
      <c r="B982" s="16" t="s">
        <v>505</v>
      </c>
      <c r="C982" s="8" t="s">
        <v>377</v>
      </c>
      <c r="D982" s="8" t="s">
        <v>1351</v>
      </c>
      <c r="E982" s="8" t="str">
        <f t="shared" si="102"/>
        <v>NEGRO</v>
      </c>
      <c r="H982" s="8" t="str">
        <f>VLOOKUP(A982,[1]BBDD!$B$1:$J$3274,9,FALSE)</f>
        <v>U</v>
      </c>
      <c r="I982" s="8" t="s">
        <v>2861</v>
      </c>
      <c r="J982" s="8" t="s">
        <v>1365</v>
      </c>
      <c r="L982" s="8" t="s">
        <v>527</v>
      </c>
      <c r="N982" s="8" t="s">
        <v>44</v>
      </c>
      <c r="O982" s="8" t="s">
        <v>44</v>
      </c>
      <c r="Q982" s="8" t="s">
        <v>32</v>
      </c>
      <c r="R982" s="8">
        <v>0</v>
      </c>
      <c r="S982" s="8">
        <v>0</v>
      </c>
      <c r="T982" s="8">
        <f t="shared" si="99"/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180</v>
      </c>
      <c r="AB982" s="9">
        <f t="shared" si="100"/>
        <v>0</v>
      </c>
      <c r="AC982" s="10" t="str">
        <f t="shared" si="103"/>
        <v>sin venta</v>
      </c>
      <c r="AD982" s="8" t="s">
        <v>33</v>
      </c>
      <c r="AE982" s="11">
        <v>29990</v>
      </c>
      <c r="AF982" s="11">
        <f t="shared" si="104"/>
        <v>0</v>
      </c>
      <c r="AG982" s="12" t="s">
        <v>73</v>
      </c>
      <c r="AH982" s="8" t="s">
        <v>35</v>
      </c>
    </row>
    <row r="983" spans="1:34">
      <c r="A983" s="8" t="s">
        <v>1368</v>
      </c>
      <c r="B983" s="16" t="s">
        <v>2859</v>
      </c>
      <c r="C983" s="8" t="s">
        <v>27</v>
      </c>
      <c r="D983" s="8" t="s">
        <v>1369</v>
      </c>
      <c r="E983" s="8" t="str">
        <f t="shared" si="102"/>
        <v>NEGRO</v>
      </c>
      <c r="G983" s="8" t="s">
        <v>2861</v>
      </c>
      <c r="H983" s="8" t="str">
        <f>VLOOKUP(A983,[1]BBDD!$B$1:$J$3274,9,FALSE)</f>
        <v>U</v>
      </c>
      <c r="I983" s="8" t="s">
        <v>2861</v>
      </c>
      <c r="J983" s="8" t="s">
        <v>1370</v>
      </c>
      <c r="L983" s="8" t="s">
        <v>61</v>
      </c>
      <c r="N983" s="8" t="s">
        <v>44</v>
      </c>
      <c r="O983" s="8" t="s">
        <v>44</v>
      </c>
      <c r="Q983" s="8" t="s">
        <v>32</v>
      </c>
      <c r="R983" s="8">
        <v>9</v>
      </c>
      <c r="S983" s="8">
        <v>4</v>
      </c>
      <c r="T983" s="8">
        <f t="shared" si="99"/>
        <v>13</v>
      </c>
      <c r="U983" s="8">
        <v>0</v>
      </c>
      <c r="V983" s="8">
        <v>0</v>
      </c>
      <c r="W983" s="8">
        <v>0</v>
      </c>
      <c r="X983" s="8">
        <v>1</v>
      </c>
      <c r="Y983" s="8">
        <v>0</v>
      </c>
      <c r="Z983" s="8">
        <v>0</v>
      </c>
      <c r="AA983" s="8">
        <v>180</v>
      </c>
      <c r="AB983" s="9">
        <f t="shared" si="100"/>
        <v>0.16666666666666669</v>
      </c>
      <c r="AC983" s="10">
        <f t="shared" si="103"/>
        <v>77.999999999999986</v>
      </c>
      <c r="AD983" s="8" t="s">
        <v>33</v>
      </c>
      <c r="AE983" s="11">
        <v>39990</v>
      </c>
      <c r="AF983" s="11">
        <f t="shared" si="104"/>
        <v>519870</v>
      </c>
      <c r="AG983" s="12" t="s">
        <v>73</v>
      </c>
      <c r="AH983" s="8" t="s">
        <v>65</v>
      </c>
    </row>
    <row r="984" spans="1:34">
      <c r="A984" s="8" t="s">
        <v>1371</v>
      </c>
      <c r="B984" s="16" t="s">
        <v>2859</v>
      </c>
      <c r="C984" s="8" t="s">
        <v>27</v>
      </c>
      <c r="D984" s="8" t="s">
        <v>1369</v>
      </c>
      <c r="E984" s="8" t="str">
        <f t="shared" si="102"/>
        <v>ROJO</v>
      </c>
      <c r="G984" s="8" t="s">
        <v>2861</v>
      </c>
      <c r="H984" s="8" t="str">
        <f>VLOOKUP(A984,[1]BBDD!$B$1:$J$3274,9,FALSE)</f>
        <v>U</v>
      </c>
      <c r="I984" s="8" t="s">
        <v>2861</v>
      </c>
      <c r="J984" s="8" t="s">
        <v>1370</v>
      </c>
      <c r="L984" s="8" t="s">
        <v>61</v>
      </c>
      <c r="N984" s="8" t="s">
        <v>88</v>
      </c>
      <c r="O984" s="8" t="s">
        <v>88</v>
      </c>
      <c r="Q984" s="8" t="s">
        <v>32</v>
      </c>
      <c r="R984" s="8">
        <v>8</v>
      </c>
      <c r="S984" s="8">
        <v>4</v>
      </c>
      <c r="T984" s="8">
        <f t="shared" si="99"/>
        <v>12</v>
      </c>
      <c r="U984" s="8">
        <v>0</v>
      </c>
      <c r="V984" s="8">
        <v>2</v>
      </c>
      <c r="W984" s="8">
        <v>0</v>
      </c>
      <c r="X984" s="8">
        <v>0</v>
      </c>
      <c r="Y984" s="8">
        <v>0</v>
      </c>
      <c r="Z984" s="8">
        <v>0</v>
      </c>
      <c r="AA984" s="8">
        <v>180</v>
      </c>
      <c r="AB984" s="9">
        <f t="shared" si="100"/>
        <v>0.33333333333333337</v>
      </c>
      <c r="AC984" s="10">
        <f t="shared" si="103"/>
        <v>35.999999999999993</v>
      </c>
      <c r="AD984" s="8" t="s">
        <v>33</v>
      </c>
      <c r="AE984" s="11">
        <v>39990</v>
      </c>
      <c r="AF984" s="11">
        <f t="shared" si="104"/>
        <v>479880</v>
      </c>
      <c r="AG984" s="12" t="s">
        <v>73</v>
      </c>
      <c r="AH984" s="8" t="s">
        <v>65</v>
      </c>
    </row>
    <row r="985" spans="1:34">
      <c r="A985" s="8" t="s">
        <v>1372</v>
      </c>
      <c r="B985" s="16" t="s">
        <v>2859</v>
      </c>
      <c r="C985" s="8" t="s">
        <v>27</v>
      </c>
      <c r="D985" s="8" t="s">
        <v>1369</v>
      </c>
      <c r="E985" s="8" t="str">
        <f t="shared" si="102"/>
        <v>TABACO</v>
      </c>
      <c r="G985" s="8" t="s">
        <v>2861</v>
      </c>
      <c r="H985" s="8" t="str">
        <f>VLOOKUP(A985,[1]BBDD!$B$1:$J$3274,9,FALSE)</f>
        <v>U</v>
      </c>
      <c r="I985" s="8" t="s">
        <v>2861</v>
      </c>
      <c r="J985" s="8" t="s">
        <v>1370</v>
      </c>
      <c r="L985" s="8" t="s">
        <v>61</v>
      </c>
      <c r="N985" s="8" t="s">
        <v>67</v>
      </c>
      <c r="O985" s="8" t="s">
        <v>67</v>
      </c>
      <c r="Q985" s="8" t="s">
        <v>32</v>
      </c>
      <c r="R985" s="8">
        <v>8</v>
      </c>
      <c r="S985" s="8">
        <v>4</v>
      </c>
      <c r="T985" s="8">
        <f t="shared" si="99"/>
        <v>12</v>
      </c>
      <c r="U985" s="8">
        <v>3</v>
      </c>
      <c r="V985" s="8">
        <v>0</v>
      </c>
      <c r="W985" s="8">
        <v>2</v>
      </c>
      <c r="X985" s="8">
        <v>0</v>
      </c>
      <c r="Y985" s="8">
        <v>0</v>
      </c>
      <c r="Z985" s="8">
        <v>1</v>
      </c>
      <c r="AA985" s="8">
        <v>180</v>
      </c>
      <c r="AB985" s="9">
        <f t="shared" si="100"/>
        <v>1</v>
      </c>
      <c r="AC985" s="10">
        <f t="shared" si="103"/>
        <v>12</v>
      </c>
      <c r="AD985" s="8" t="s">
        <v>33</v>
      </c>
      <c r="AE985" s="11">
        <v>39990</v>
      </c>
      <c r="AF985" s="11">
        <f t="shared" si="104"/>
        <v>479880</v>
      </c>
      <c r="AG985" s="12" t="s">
        <v>51</v>
      </c>
      <c r="AH985" s="8" t="s">
        <v>65</v>
      </c>
    </row>
    <row r="986" spans="1:34">
      <c r="A986" s="8" t="s">
        <v>1373</v>
      </c>
      <c r="B986" s="16" t="s">
        <v>2859</v>
      </c>
      <c r="C986" s="8" t="s">
        <v>27</v>
      </c>
      <c r="D986" s="8" t="s">
        <v>1369</v>
      </c>
      <c r="E986" s="8" t="str">
        <f t="shared" si="102"/>
        <v>CARAMELO</v>
      </c>
      <c r="G986" s="8" t="s">
        <v>2861</v>
      </c>
      <c r="H986" s="8" t="str">
        <f>VLOOKUP(A986,[1]BBDD!$B$1:$J$3274,9,FALSE)</f>
        <v>U</v>
      </c>
      <c r="I986" s="8" t="s">
        <v>2861</v>
      </c>
      <c r="J986" s="8" t="s">
        <v>1370</v>
      </c>
      <c r="L986" s="8" t="s">
        <v>82</v>
      </c>
      <c r="N986" s="8" t="s">
        <v>62</v>
      </c>
      <c r="O986" s="8" t="s">
        <v>62</v>
      </c>
      <c r="Q986" s="8" t="s">
        <v>32</v>
      </c>
      <c r="R986" s="8">
        <v>7</v>
      </c>
      <c r="S986" s="8">
        <v>4</v>
      </c>
      <c r="T986" s="8">
        <f t="shared" si="99"/>
        <v>11</v>
      </c>
      <c r="U986" s="8">
        <v>0</v>
      </c>
      <c r="V986" s="8">
        <v>0</v>
      </c>
      <c r="W986" s="8">
        <v>0</v>
      </c>
      <c r="X986" s="8">
        <v>1</v>
      </c>
      <c r="Y986" s="8">
        <v>0</v>
      </c>
      <c r="Z986" s="8">
        <v>0</v>
      </c>
      <c r="AA986" s="8">
        <v>180</v>
      </c>
      <c r="AB986" s="9">
        <f t="shared" si="100"/>
        <v>0.16666666666666669</v>
      </c>
      <c r="AC986" s="10">
        <f t="shared" si="103"/>
        <v>65.999999999999986</v>
      </c>
      <c r="AD986" s="8" t="s">
        <v>33</v>
      </c>
      <c r="AE986" s="11">
        <v>39990</v>
      </c>
      <c r="AF986" s="11">
        <f t="shared" si="104"/>
        <v>439890</v>
      </c>
      <c r="AG986" s="12" t="s">
        <v>73</v>
      </c>
      <c r="AH986" s="8" t="s">
        <v>65</v>
      </c>
    </row>
    <row r="987" spans="1:34">
      <c r="A987" s="8" t="s">
        <v>1374</v>
      </c>
      <c r="B987" s="16" t="s">
        <v>2859</v>
      </c>
      <c r="C987" s="8" t="s">
        <v>27</v>
      </c>
      <c r="D987" s="8" t="s">
        <v>1369</v>
      </c>
      <c r="E987" s="8" t="str">
        <f t="shared" si="102"/>
        <v>NEGRO</v>
      </c>
      <c r="G987" s="8" t="s">
        <v>2861</v>
      </c>
      <c r="H987" s="8" t="str">
        <f>VLOOKUP(A987,[1]BBDD!$B$1:$J$3274,9,FALSE)</f>
        <v>U</v>
      </c>
      <c r="I987" s="8" t="s">
        <v>2861</v>
      </c>
      <c r="J987" s="8" t="s">
        <v>1370</v>
      </c>
      <c r="L987" s="8" t="s">
        <v>82</v>
      </c>
      <c r="N987" s="8" t="s">
        <v>44</v>
      </c>
      <c r="O987" s="8" t="s">
        <v>44</v>
      </c>
      <c r="Q987" s="8" t="s">
        <v>32</v>
      </c>
      <c r="R987" s="8">
        <v>4</v>
      </c>
      <c r="S987" s="8">
        <v>2</v>
      </c>
      <c r="T987" s="8">
        <f t="shared" si="99"/>
        <v>6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180</v>
      </c>
      <c r="AB987" s="9">
        <f t="shared" si="100"/>
        <v>0</v>
      </c>
      <c r="AC987" s="10" t="str">
        <f t="shared" si="103"/>
        <v>sin venta</v>
      </c>
      <c r="AD987" s="8" t="s">
        <v>33</v>
      </c>
      <c r="AE987" s="11">
        <v>39990</v>
      </c>
      <c r="AF987" s="11">
        <f t="shared" si="104"/>
        <v>239940</v>
      </c>
      <c r="AG987" s="12" t="s">
        <v>73</v>
      </c>
      <c r="AH987" s="8" t="s">
        <v>35</v>
      </c>
    </row>
    <row r="988" spans="1:34">
      <c r="A988" s="8" t="s">
        <v>1375</v>
      </c>
      <c r="B988" s="16" t="s">
        <v>2859</v>
      </c>
      <c r="C988" s="8" t="s">
        <v>27</v>
      </c>
      <c r="D988" s="8" t="s">
        <v>1369</v>
      </c>
      <c r="E988" s="8" t="str">
        <f t="shared" si="102"/>
        <v>SUELA</v>
      </c>
      <c r="G988" s="8" t="s">
        <v>2861</v>
      </c>
      <c r="H988" s="8" t="str">
        <f>VLOOKUP(A988,[1]BBDD!$B$1:$J$3274,9,FALSE)</f>
        <v>U</v>
      </c>
      <c r="I988" s="8" t="s">
        <v>2861</v>
      </c>
      <c r="J988" s="8" t="s">
        <v>1370</v>
      </c>
      <c r="L988" s="8" t="s">
        <v>82</v>
      </c>
      <c r="N988" s="8" t="s">
        <v>90</v>
      </c>
      <c r="O988" s="8" t="s">
        <v>90</v>
      </c>
      <c r="Q988" s="8" t="s">
        <v>32</v>
      </c>
      <c r="R988" s="8">
        <v>0</v>
      </c>
      <c r="S988" s="8">
        <v>0</v>
      </c>
      <c r="T988" s="8">
        <f t="shared" si="99"/>
        <v>0</v>
      </c>
      <c r="U988" s="8">
        <v>0</v>
      </c>
      <c r="V988" s="8">
        <v>2</v>
      </c>
      <c r="W988" s="8">
        <v>1</v>
      </c>
      <c r="X988" s="8">
        <v>1</v>
      </c>
      <c r="Y988" s="8">
        <v>1</v>
      </c>
      <c r="Z988" s="8">
        <v>1</v>
      </c>
      <c r="AA988" s="8">
        <v>180</v>
      </c>
      <c r="AB988" s="9">
        <f t="shared" si="100"/>
        <v>1</v>
      </c>
      <c r="AC988" s="10">
        <f t="shared" si="103"/>
        <v>0</v>
      </c>
      <c r="AD988" s="8" t="s">
        <v>33</v>
      </c>
      <c r="AE988" s="11">
        <v>39990</v>
      </c>
      <c r="AF988" s="11">
        <f t="shared" si="104"/>
        <v>0</v>
      </c>
      <c r="AG988" s="12" t="s">
        <v>34</v>
      </c>
      <c r="AH988" s="8" t="s">
        <v>35</v>
      </c>
    </row>
    <row r="989" spans="1:34">
      <c r="A989" s="8" t="s">
        <v>1376</v>
      </c>
      <c r="B989" s="16" t="s">
        <v>2859</v>
      </c>
      <c r="C989" s="8" t="s">
        <v>27</v>
      </c>
      <c r="D989" s="8" t="s">
        <v>1369</v>
      </c>
      <c r="E989" s="8" t="str">
        <f t="shared" si="102"/>
        <v>TABACO</v>
      </c>
      <c r="G989" s="8" t="s">
        <v>2861</v>
      </c>
      <c r="H989" s="8" t="str">
        <f>VLOOKUP(A989,[1]BBDD!$B$1:$J$3274,9,FALSE)</f>
        <v>U</v>
      </c>
      <c r="I989" s="8" t="s">
        <v>2861</v>
      </c>
      <c r="J989" s="8" t="s">
        <v>1370</v>
      </c>
      <c r="L989" s="8" t="s">
        <v>82</v>
      </c>
      <c r="N989" s="8" t="s">
        <v>67</v>
      </c>
      <c r="O989" s="8" t="s">
        <v>67</v>
      </c>
      <c r="Q989" s="8" t="s">
        <v>32</v>
      </c>
      <c r="R989" s="8">
        <v>4</v>
      </c>
      <c r="S989" s="8">
        <v>2</v>
      </c>
      <c r="T989" s="8">
        <f t="shared" si="99"/>
        <v>6</v>
      </c>
      <c r="U989" s="8">
        <v>0</v>
      </c>
      <c r="V989" s="8">
        <v>0</v>
      </c>
      <c r="W989" s="8">
        <v>1</v>
      </c>
      <c r="X989" s="8">
        <v>0</v>
      </c>
      <c r="Y989" s="8">
        <v>1</v>
      </c>
      <c r="Z989" s="8">
        <v>0</v>
      </c>
      <c r="AA989" s="8">
        <v>180</v>
      </c>
      <c r="AB989" s="9">
        <f t="shared" si="100"/>
        <v>0.33333333333333337</v>
      </c>
      <c r="AC989" s="10">
        <f t="shared" si="103"/>
        <v>17.999999999999996</v>
      </c>
      <c r="AD989" s="8" t="s">
        <v>33</v>
      </c>
      <c r="AE989" s="11">
        <v>39990</v>
      </c>
      <c r="AF989" s="11">
        <f t="shared" si="104"/>
        <v>239940</v>
      </c>
      <c r="AG989" s="12" t="s">
        <v>64</v>
      </c>
      <c r="AH989" s="8" t="s">
        <v>35</v>
      </c>
    </row>
    <row r="990" spans="1:34">
      <c r="A990" s="8" t="s">
        <v>1377</v>
      </c>
      <c r="B990" s="16" t="s">
        <v>2859</v>
      </c>
      <c r="C990" s="8" t="s">
        <v>27</v>
      </c>
      <c r="D990" s="8" t="s">
        <v>1369</v>
      </c>
      <c r="E990" s="8" t="str">
        <f t="shared" si="102"/>
        <v>HEREFORD</v>
      </c>
      <c r="G990" s="8" t="s">
        <v>2861</v>
      </c>
      <c r="H990" s="8" t="str">
        <f>VLOOKUP(A990,[1]BBDD!$B$1:$J$3274,9,FALSE)</f>
        <v>U</v>
      </c>
      <c r="I990" s="8" t="s">
        <v>2861</v>
      </c>
      <c r="J990" s="8" t="s">
        <v>1378</v>
      </c>
      <c r="L990" s="8" t="s">
        <v>30</v>
      </c>
      <c r="N990" s="8" t="s">
        <v>37</v>
      </c>
      <c r="O990" s="8" t="s">
        <v>37</v>
      </c>
      <c r="Q990" s="8" t="s">
        <v>32</v>
      </c>
      <c r="R990" s="8">
        <v>0</v>
      </c>
      <c r="S990" s="8">
        <v>6</v>
      </c>
      <c r="T990" s="8">
        <f t="shared" si="99"/>
        <v>6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1</v>
      </c>
      <c r="AB990" s="9">
        <f t="shared" si="100"/>
        <v>0</v>
      </c>
      <c r="AC990" s="10" t="str">
        <f t="shared" si="103"/>
        <v>sin venta</v>
      </c>
      <c r="AD990" s="8" t="s">
        <v>33</v>
      </c>
      <c r="AE990" s="11">
        <v>95990</v>
      </c>
      <c r="AF990" s="11">
        <f t="shared" si="104"/>
        <v>575940</v>
      </c>
      <c r="AG990" s="12" t="s">
        <v>73</v>
      </c>
      <c r="AH990" s="8" t="s">
        <v>35</v>
      </c>
    </row>
    <row r="991" spans="1:34">
      <c r="A991" s="8" t="s">
        <v>1379</v>
      </c>
      <c r="B991" s="16" t="s">
        <v>2859</v>
      </c>
      <c r="C991" s="8" t="s">
        <v>27</v>
      </c>
      <c r="D991" s="8" t="s">
        <v>1369</v>
      </c>
      <c r="E991" s="8" t="str">
        <f t="shared" si="102"/>
        <v>HOLANDO</v>
      </c>
      <c r="G991" s="8" t="s">
        <v>2861</v>
      </c>
      <c r="H991" s="8" t="str">
        <f>VLOOKUP(A991,[1]BBDD!$B$1:$J$3274,9,FALSE)</f>
        <v>U</v>
      </c>
      <c r="I991" s="8" t="s">
        <v>2861</v>
      </c>
      <c r="J991" s="8" t="s">
        <v>1378</v>
      </c>
      <c r="L991" s="8" t="s">
        <v>30</v>
      </c>
      <c r="N991" s="8" t="s">
        <v>31</v>
      </c>
      <c r="O991" s="8" t="s">
        <v>31</v>
      </c>
      <c r="Q991" s="8" t="s">
        <v>32</v>
      </c>
      <c r="R991" s="8">
        <v>1</v>
      </c>
      <c r="S991" s="8">
        <v>6</v>
      </c>
      <c r="T991" s="8">
        <f t="shared" si="99"/>
        <v>7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1</v>
      </c>
      <c r="AB991" s="9">
        <f t="shared" si="100"/>
        <v>0</v>
      </c>
      <c r="AC991" s="10" t="str">
        <f t="shared" si="103"/>
        <v>sin venta</v>
      </c>
      <c r="AD991" s="8" t="s">
        <v>33</v>
      </c>
      <c r="AE991" s="11">
        <v>95990</v>
      </c>
      <c r="AF991" s="11">
        <f t="shared" si="104"/>
        <v>671930</v>
      </c>
      <c r="AG991" s="12" t="s">
        <v>73</v>
      </c>
      <c r="AH991" s="8" t="s">
        <v>35</v>
      </c>
    </row>
    <row r="992" spans="1:34">
      <c r="A992" s="8" t="s">
        <v>1380</v>
      </c>
      <c r="B992" s="16" t="s">
        <v>2859</v>
      </c>
      <c r="C992" s="8" t="s">
        <v>27</v>
      </c>
      <c r="D992" s="8" t="s">
        <v>1369</v>
      </c>
      <c r="E992" s="8" t="str">
        <f t="shared" si="102"/>
        <v>CARAMELO</v>
      </c>
      <c r="G992" s="8" t="s">
        <v>2861</v>
      </c>
      <c r="H992" s="8" t="str">
        <f>VLOOKUP(A992,[1]BBDD!$B$1:$J$3274,9,FALSE)</f>
        <v>U</v>
      </c>
      <c r="I992" s="8" t="s">
        <v>2861</v>
      </c>
      <c r="J992" s="8" t="s">
        <v>1381</v>
      </c>
      <c r="L992" s="8" t="s">
        <v>61</v>
      </c>
      <c r="N992" s="8" t="s">
        <v>62</v>
      </c>
      <c r="O992" s="8" t="s">
        <v>62</v>
      </c>
      <c r="Q992" s="8" t="s">
        <v>32</v>
      </c>
      <c r="R992" s="8">
        <v>0</v>
      </c>
      <c r="S992" s="8">
        <v>2</v>
      </c>
      <c r="T992" s="8">
        <f t="shared" si="99"/>
        <v>2</v>
      </c>
      <c r="U992" s="8">
        <v>0</v>
      </c>
      <c r="V992" s="8">
        <v>0</v>
      </c>
      <c r="W992" s="8">
        <v>1</v>
      </c>
      <c r="X992" s="8">
        <v>0</v>
      </c>
      <c r="Y992" s="8">
        <v>0</v>
      </c>
      <c r="Z992" s="8">
        <v>0</v>
      </c>
      <c r="AA992" s="8">
        <v>180</v>
      </c>
      <c r="AB992" s="9">
        <f t="shared" si="100"/>
        <v>0.16666666666666669</v>
      </c>
      <c r="AC992" s="10">
        <f t="shared" si="103"/>
        <v>11.999999999999998</v>
      </c>
      <c r="AD992" s="8" t="s">
        <v>33</v>
      </c>
      <c r="AE992" s="11">
        <v>39990</v>
      </c>
      <c r="AF992" s="11">
        <f t="shared" si="104"/>
        <v>79980</v>
      </c>
      <c r="AG992" s="12" t="s">
        <v>51</v>
      </c>
      <c r="AH992" s="8" t="s">
        <v>35</v>
      </c>
    </row>
    <row r="993" spans="1:34">
      <c r="A993" s="8" t="s">
        <v>1382</v>
      </c>
      <c r="B993" s="16" t="s">
        <v>2859</v>
      </c>
      <c r="C993" s="8" t="s">
        <v>27</v>
      </c>
      <c r="D993" s="8" t="s">
        <v>1369</v>
      </c>
      <c r="E993" s="8" t="str">
        <f t="shared" si="102"/>
        <v>NEGRO</v>
      </c>
      <c r="G993" s="8" t="s">
        <v>2861</v>
      </c>
      <c r="H993" s="8" t="str">
        <f>VLOOKUP(A993,[1]BBDD!$B$1:$J$3274,9,FALSE)</f>
        <v>U</v>
      </c>
      <c r="I993" s="8" t="s">
        <v>2861</v>
      </c>
      <c r="J993" s="8" t="s">
        <v>1381</v>
      </c>
      <c r="L993" s="8" t="s">
        <v>61</v>
      </c>
      <c r="N993" s="8" t="s">
        <v>44</v>
      </c>
      <c r="O993" s="8" t="s">
        <v>44</v>
      </c>
      <c r="Q993" s="8" t="s">
        <v>32</v>
      </c>
      <c r="R993" s="8">
        <v>5</v>
      </c>
      <c r="S993" s="8">
        <v>3</v>
      </c>
      <c r="T993" s="8">
        <f t="shared" si="99"/>
        <v>8</v>
      </c>
      <c r="U993" s="8">
        <v>1</v>
      </c>
      <c r="V993" s="8">
        <v>4</v>
      </c>
      <c r="W993" s="8">
        <v>2</v>
      </c>
      <c r="X993" s="8">
        <v>0</v>
      </c>
      <c r="Y993" s="8">
        <v>0</v>
      </c>
      <c r="Z993" s="8">
        <v>0</v>
      </c>
      <c r="AA993" s="8">
        <v>180</v>
      </c>
      <c r="AB993" s="9">
        <f t="shared" si="100"/>
        <v>1.1666666666666667</v>
      </c>
      <c r="AC993" s="10">
        <f t="shared" si="103"/>
        <v>6.8571428571428568</v>
      </c>
      <c r="AD993" s="8" t="s">
        <v>33</v>
      </c>
      <c r="AE993" s="11">
        <v>39990</v>
      </c>
      <c r="AF993" s="11">
        <f t="shared" si="104"/>
        <v>319920</v>
      </c>
      <c r="AG993" s="12" t="s">
        <v>51</v>
      </c>
      <c r="AH993" s="8" t="s">
        <v>35</v>
      </c>
    </row>
    <row r="994" spans="1:34">
      <c r="A994" s="8" t="s">
        <v>1383</v>
      </c>
      <c r="B994" s="16" t="s">
        <v>2859</v>
      </c>
      <c r="C994" s="8" t="s">
        <v>27</v>
      </c>
      <c r="D994" s="8" t="s">
        <v>1369</v>
      </c>
      <c r="E994" s="8" t="str">
        <f t="shared" si="102"/>
        <v>ROJO</v>
      </c>
      <c r="G994" s="8" t="s">
        <v>2861</v>
      </c>
      <c r="H994" s="8" t="str">
        <f>VLOOKUP(A994,[1]BBDD!$B$1:$J$3274,9,FALSE)</f>
        <v>U</v>
      </c>
      <c r="I994" s="8" t="s">
        <v>2861</v>
      </c>
      <c r="J994" s="8" t="s">
        <v>1381</v>
      </c>
      <c r="L994" s="8" t="s">
        <v>61</v>
      </c>
      <c r="N994" s="8" t="s">
        <v>88</v>
      </c>
      <c r="O994" s="8" t="s">
        <v>88</v>
      </c>
      <c r="Q994" s="8" t="s">
        <v>32</v>
      </c>
      <c r="R994" s="8">
        <v>6</v>
      </c>
      <c r="S994" s="8">
        <v>2</v>
      </c>
      <c r="T994" s="8">
        <f t="shared" si="99"/>
        <v>8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180</v>
      </c>
      <c r="AB994" s="9">
        <f t="shared" si="100"/>
        <v>0</v>
      </c>
      <c r="AC994" s="10" t="str">
        <f t="shared" si="103"/>
        <v>sin venta</v>
      </c>
      <c r="AD994" s="8" t="s">
        <v>33</v>
      </c>
      <c r="AE994" s="11">
        <v>39990</v>
      </c>
      <c r="AF994" s="11">
        <f t="shared" si="104"/>
        <v>319920</v>
      </c>
      <c r="AG994" s="12" t="s">
        <v>73</v>
      </c>
      <c r="AH994" s="8" t="s">
        <v>35</v>
      </c>
    </row>
    <row r="995" spans="1:34">
      <c r="A995" s="8" t="s">
        <v>1384</v>
      </c>
      <c r="B995" s="16" t="s">
        <v>2859</v>
      </c>
      <c r="C995" s="8" t="s">
        <v>27</v>
      </c>
      <c r="D995" s="8" t="s">
        <v>1369</v>
      </c>
      <c r="E995" s="8" t="str">
        <f t="shared" si="102"/>
        <v>TABACO</v>
      </c>
      <c r="G995" s="8" t="s">
        <v>2861</v>
      </c>
      <c r="H995" s="8" t="str">
        <f>VLOOKUP(A995,[1]BBDD!$B$1:$J$3274,9,FALSE)</f>
        <v>U</v>
      </c>
      <c r="I995" s="8" t="s">
        <v>2861</v>
      </c>
      <c r="J995" s="8" t="s">
        <v>1381</v>
      </c>
      <c r="L995" s="8" t="s">
        <v>61</v>
      </c>
      <c r="N995" s="8" t="s">
        <v>67</v>
      </c>
      <c r="O995" s="8" t="s">
        <v>67</v>
      </c>
      <c r="Q995" s="8" t="s">
        <v>32</v>
      </c>
      <c r="R995" s="8">
        <v>8</v>
      </c>
      <c r="S995" s="8">
        <v>1</v>
      </c>
      <c r="T995" s="8">
        <f t="shared" si="99"/>
        <v>9</v>
      </c>
      <c r="U995" s="8">
        <v>0</v>
      </c>
      <c r="V995" s="8">
        <v>0</v>
      </c>
      <c r="W995" s="8">
        <v>1</v>
      </c>
      <c r="X995" s="8">
        <v>1</v>
      </c>
      <c r="Y995" s="8">
        <v>1</v>
      </c>
      <c r="Z995" s="8">
        <v>1</v>
      </c>
      <c r="AA995" s="8">
        <v>180</v>
      </c>
      <c r="AB995" s="9">
        <f t="shared" si="100"/>
        <v>0.66666666666666674</v>
      </c>
      <c r="AC995" s="10">
        <f t="shared" si="103"/>
        <v>13.499999999999998</v>
      </c>
      <c r="AD995" s="8" t="s">
        <v>33</v>
      </c>
      <c r="AE995" s="11">
        <v>39990</v>
      </c>
      <c r="AF995" s="11">
        <f t="shared" si="104"/>
        <v>359910</v>
      </c>
      <c r="AG995" s="12" t="s">
        <v>64</v>
      </c>
      <c r="AH995" s="8" t="s">
        <v>35</v>
      </c>
    </row>
    <row r="996" spans="1:34">
      <c r="A996" s="8" t="s">
        <v>1385</v>
      </c>
      <c r="B996" s="16" t="s">
        <v>2859</v>
      </c>
      <c r="C996" s="8" t="s">
        <v>27</v>
      </c>
      <c r="D996" s="8" t="s">
        <v>1369</v>
      </c>
      <c r="E996" s="8" t="str">
        <f t="shared" si="102"/>
        <v>CARAMELO</v>
      </c>
      <c r="G996" s="8" t="s">
        <v>2861</v>
      </c>
      <c r="H996" s="8" t="str">
        <f>VLOOKUP(A996,[1]BBDD!$B$1:$J$3274,9,FALSE)</f>
        <v>U</v>
      </c>
      <c r="I996" s="8" t="s">
        <v>2861</v>
      </c>
      <c r="J996" s="8" t="s">
        <v>1381</v>
      </c>
      <c r="L996" s="8" t="s">
        <v>82</v>
      </c>
      <c r="N996" s="8" t="s">
        <v>62</v>
      </c>
      <c r="O996" s="8" t="s">
        <v>62</v>
      </c>
      <c r="Q996" s="8" t="s">
        <v>32</v>
      </c>
      <c r="R996" s="8">
        <v>5</v>
      </c>
      <c r="S996" s="8">
        <v>2</v>
      </c>
      <c r="T996" s="8">
        <f t="shared" si="99"/>
        <v>7</v>
      </c>
      <c r="U996" s="8">
        <v>1</v>
      </c>
      <c r="V996" s="8">
        <v>5</v>
      </c>
      <c r="W996" s="8">
        <v>0</v>
      </c>
      <c r="X996" s="8">
        <v>0</v>
      </c>
      <c r="Y996" s="8">
        <v>0</v>
      </c>
      <c r="Z996" s="8">
        <v>0</v>
      </c>
      <c r="AA996" s="8">
        <v>180</v>
      </c>
      <c r="AB996" s="9">
        <f t="shared" si="100"/>
        <v>1</v>
      </c>
      <c r="AC996" s="10">
        <f t="shared" si="103"/>
        <v>7</v>
      </c>
      <c r="AD996" s="8" t="s">
        <v>33</v>
      </c>
      <c r="AE996" s="11">
        <v>39990</v>
      </c>
      <c r="AF996" s="11">
        <f t="shared" si="104"/>
        <v>279930</v>
      </c>
      <c r="AG996" s="12" t="s">
        <v>51</v>
      </c>
      <c r="AH996" s="8" t="s">
        <v>35</v>
      </c>
    </row>
    <row r="997" spans="1:34">
      <c r="A997" s="8" t="s">
        <v>1386</v>
      </c>
      <c r="B997" s="16" t="s">
        <v>2859</v>
      </c>
      <c r="C997" s="8" t="s">
        <v>27</v>
      </c>
      <c r="D997" s="8" t="s">
        <v>1369</v>
      </c>
      <c r="E997" s="8" t="str">
        <f t="shared" si="102"/>
        <v>NEGRO</v>
      </c>
      <c r="G997" s="8" t="s">
        <v>2861</v>
      </c>
      <c r="H997" s="8" t="str">
        <f>VLOOKUP(A997,[1]BBDD!$B$1:$J$3274,9,FALSE)</f>
        <v>U</v>
      </c>
      <c r="I997" s="8" t="s">
        <v>2861</v>
      </c>
      <c r="J997" s="8" t="s">
        <v>1381</v>
      </c>
      <c r="L997" s="8" t="s">
        <v>82</v>
      </c>
      <c r="N997" s="8" t="s">
        <v>44</v>
      </c>
      <c r="O997" s="8" t="s">
        <v>44</v>
      </c>
      <c r="Q997" s="8" t="s">
        <v>32</v>
      </c>
      <c r="R997" s="8">
        <v>6</v>
      </c>
      <c r="S997" s="8">
        <v>2</v>
      </c>
      <c r="T997" s="8">
        <f t="shared" si="99"/>
        <v>8</v>
      </c>
      <c r="U997" s="8">
        <v>1</v>
      </c>
      <c r="V997" s="8">
        <v>1</v>
      </c>
      <c r="W997" s="8">
        <v>1</v>
      </c>
      <c r="X997" s="8">
        <v>1</v>
      </c>
      <c r="Y997" s="8">
        <v>0</v>
      </c>
      <c r="Z997" s="8">
        <v>0</v>
      </c>
      <c r="AA997" s="8">
        <v>180</v>
      </c>
      <c r="AB997" s="9">
        <f t="shared" si="100"/>
        <v>0.66666666666666674</v>
      </c>
      <c r="AC997" s="10">
        <f t="shared" si="103"/>
        <v>11.999999999999998</v>
      </c>
      <c r="AD997" s="8" t="s">
        <v>33</v>
      </c>
      <c r="AE997" s="11">
        <v>39990</v>
      </c>
      <c r="AF997" s="11">
        <f t="shared" si="104"/>
        <v>319920</v>
      </c>
      <c r="AG997" s="12" t="s">
        <v>51</v>
      </c>
      <c r="AH997" s="8" t="s">
        <v>35</v>
      </c>
    </row>
    <row r="998" spans="1:34">
      <c r="A998" s="8" t="s">
        <v>1387</v>
      </c>
      <c r="B998" s="16" t="s">
        <v>2859</v>
      </c>
      <c r="C998" s="8" t="s">
        <v>27</v>
      </c>
      <c r="D998" s="8" t="s">
        <v>1369</v>
      </c>
      <c r="E998" s="8" t="str">
        <f t="shared" si="102"/>
        <v>SUELA</v>
      </c>
      <c r="G998" s="8" t="s">
        <v>2861</v>
      </c>
      <c r="H998" s="8" t="str">
        <f>VLOOKUP(A998,[1]BBDD!$B$1:$J$3274,9,FALSE)</f>
        <v>U</v>
      </c>
      <c r="I998" s="8" t="s">
        <v>2861</v>
      </c>
      <c r="J998" s="8" t="s">
        <v>1381</v>
      </c>
      <c r="L998" s="8" t="s">
        <v>82</v>
      </c>
      <c r="N998" s="8" t="s">
        <v>90</v>
      </c>
      <c r="O998" s="8" t="s">
        <v>90</v>
      </c>
      <c r="Q998" s="8" t="s">
        <v>32</v>
      </c>
      <c r="R998" s="8">
        <v>5</v>
      </c>
      <c r="S998" s="8">
        <v>5</v>
      </c>
      <c r="T998" s="8">
        <f t="shared" si="99"/>
        <v>10</v>
      </c>
      <c r="U998" s="8">
        <v>1</v>
      </c>
      <c r="V998" s="8">
        <v>0</v>
      </c>
      <c r="W998" s="8">
        <v>4</v>
      </c>
      <c r="X998" s="8">
        <v>0</v>
      </c>
      <c r="Y998" s="8">
        <v>0</v>
      </c>
      <c r="Z998" s="8">
        <v>1</v>
      </c>
      <c r="AA998" s="8">
        <v>180</v>
      </c>
      <c r="AB998" s="9">
        <f t="shared" si="100"/>
        <v>1</v>
      </c>
      <c r="AC998" s="10">
        <f t="shared" si="103"/>
        <v>10</v>
      </c>
      <c r="AD998" s="8" t="s">
        <v>33</v>
      </c>
      <c r="AE998" s="11">
        <v>39990</v>
      </c>
      <c r="AF998" s="11">
        <f t="shared" si="104"/>
        <v>399900</v>
      </c>
      <c r="AG998" s="12" t="s">
        <v>51</v>
      </c>
      <c r="AH998" s="8" t="s">
        <v>35</v>
      </c>
    </row>
    <row r="999" spans="1:34">
      <c r="A999" s="8" t="s">
        <v>1388</v>
      </c>
      <c r="B999" s="16" t="s">
        <v>2859</v>
      </c>
      <c r="C999" s="8" t="s">
        <v>27</v>
      </c>
      <c r="D999" s="8" t="s">
        <v>1369</v>
      </c>
      <c r="E999" s="8" t="str">
        <f t="shared" si="102"/>
        <v>TABACO</v>
      </c>
      <c r="G999" s="8" t="s">
        <v>2861</v>
      </c>
      <c r="H999" s="8" t="str">
        <f>VLOOKUP(A999,[1]BBDD!$B$1:$J$3274,9,FALSE)</f>
        <v>U</v>
      </c>
      <c r="I999" s="8" t="s">
        <v>2861</v>
      </c>
      <c r="J999" s="8" t="s">
        <v>1381</v>
      </c>
      <c r="L999" s="8" t="s">
        <v>82</v>
      </c>
      <c r="N999" s="8" t="s">
        <v>67</v>
      </c>
      <c r="O999" s="8" t="s">
        <v>67</v>
      </c>
      <c r="Q999" s="8" t="s">
        <v>32</v>
      </c>
      <c r="R999" s="8">
        <v>0</v>
      </c>
      <c r="S999" s="8">
        <v>4</v>
      </c>
      <c r="T999" s="8">
        <f t="shared" ref="T999:T1062" si="105">SUM(R999:S999)</f>
        <v>4</v>
      </c>
      <c r="U999" s="8">
        <v>0</v>
      </c>
      <c r="V999" s="8">
        <v>0</v>
      </c>
      <c r="W999" s="8">
        <v>3</v>
      </c>
      <c r="X999" s="8">
        <v>0</v>
      </c>
      <c r="Y999" s="8">
        <v>0</v>
      </c>
      <c r="Z999" s="8">
        <v>0</v>
      </c>
      <c r="AA999" s="8">
        <v>180</v>
      </c>
      <c r="AB999" s="9">
        <f t="shared" ref="AB999:AB1062" si="106">SUM(U999:Z999)/AA999*30</f>
        <v>0.5</v>
      </c>
      <c r="AC999" s="10">
        <f t="shared" si="103"/>
        <v>8</v>
      </c>
      <c r="AD999" s="8" t="s">
        <v>33</v>
      </c>
      <c r="AE999" s="11">
        <v>39990</v>
      </c>
      <c r="AF999" s="11">
        <f t="shared" si="104"/>
        <v>159960</v>
      </c>
      <c r="AG999" s="12" t="s">
        <v>51</v>
      </c>
      <c r="AH999" s="8" t="s">
        <v>35</v>
      </c>
    </row>
    <row r="1000" spans="1:34">
      <c r="A1000" s="8" t="s">
        <v>1389</v>
      </c>
      <c r="B1000" s="16" t="s">
        <v>2859</v>
      </c>
      <c r="C1000" s="8" t="s">
        <v>377</v>
      </c>
      <c r="D1000" s="8" t="s">
        <v>1390</v>
      </c>
      <c r="E1000" s="8" t="str">
        <f t="shared" si="102"/>
        <v>MALBEC/AZUL</v>
      </c>
      <c r="G1000" s="8" t="s">
        <v>2861</v>
      </c>
      <c r="H1000" s="8" t="str">
        <f>VLOOKUP(A1000,[1]BBDD!$B$1:$J$3274,9,FALSE)</f>
        <v>U</v>
      </c>
      <c r="I1000" s="8" t="s">
        <v>2861</v>
      </c>
      <c r="J1000" s="8" t="s">
        <v>1391</v>
      </c>
      <c r="L1000" s="8" t="s">
        <v>1392</v>
      </c>
      <c r="N1000" s="8" t="s">
        <v>1393</v>
      </c>
      <c r="O1000" s="8" t="s">
        <v>1393</v>
      </c>
      <c r="Q1000" s="8" t="s">
        <v>32</v>
      </c>
      <c r="R1000" s="8">
        <v>0</v>
      </c>
      <c r="S1000" s="8">
        <v>0</v>
      </c>
      <c r="T1000" s="8">
        <f t="shared" si="105"/>
        <v>0</v>
      </c>
      <c r="U1000" s="8">
        <v>1</v>
      </c>
      <c r="V1000" s="8">
        <v>7</v>
      </c>
      <c r="W1000" s="8">
        <v>0</v>
      </c>
      <c r="X1000" s="8">
        <v>0</v>
      </c>
      <c r="Y1000" s="8">
        <v>0</v>
      </c>
      <c r="Z1000" s="8">
        <v>0</v>
      </c>
      <c r="AA1000" s="8">
        <v>180</v>
      </c>
      <c r="AB1000" s="9">
        <f t="shared" si="106"/>
        <v>1.3333333333333335</v>
      </c>
      <c r="AC1000" s="10">
        <f t="shared" si="103"/>
        <v>0</v>
      </c>
      <c r="AD1000" s="8" t="s">
        <v>33</v>
      </c>
      <c r="AE1000" s="11">
        <v>29990</v>
      </c>
      <c r="AF1000" s="11">
        <f t="shared" si="104"/>
        <v>0</v>
      </c>
      <c r="AG1000" s="12" t="s">
        <v>34</v>
      </c>
      <c r="AH1000" s="8" t="s">
        <v>35</v>
      </c>
    </row>
    <row r="1001" spans="1:34">
      <c r="A1001" s="8" t="s">
        <v>1394</v>
      </c>
      <c r="B1001" s="16" t="s">
        <v>2859</v>
      </c>
      <c r="C1001" s="8" t="s">
        <v>377</v>
      </c>
      <c r="D1001" s="8" t="s">
        <v>1390</v>
      </c>
      <c r="E1001" s="8" t="str">
        <f t="shared" si="102"/>
        <v>NEGRO/OXIDO</v>
      </c>
      <c r="G1001" s="8" t="s">
        <v>2861</v>
      </c>
      <c r="H1001" s="8" t="str">
        <f>VLOOKUP(A1001,[1]BBDD!$B$1:$J$3274,9,FALSE)</f>
        <v>U</v>
      </c>
      <c r="I1001" s="8" t="s">
        <v>2861</v>
      </c>
      <c r="J1001" s="8" t="s">
        <v>1391</v>
      </c>
      <c r="L1001" s="8" t="s">
        <v>1392</v>
      </c>
      <c r="N1001" s="8" t="s">
        <v>1395</v>
      </c>
      <c r="O1001" s="8" t="s">
        <v>1395</v>
      </c>
      <c r="Q1001" s="8" t="s">
        <v>32</v>
      </c>
      <c r="R1001" s="8">
        <v>0</v>
      </c>
      <c r="S1001" s="8">
        <v>3</v>
      </c>
      <c r="T1001" s="8">
        <f t="shared" si="105"/>
        <v>3</v>
      </c>
      <c r="U1001" s="8">
        <v>0</v>
      </c>
      <c r="V1001" s="8">
        <v>0</v>
      </c>
      <c r="W1001" s="8">
        <v>3</v>
      </c>
      <c r="X1001" s="8">
        <v>1</v>
      </c>
      <c r="Y1001" s="8">
        <v>0</v>
      </c>
      <c r="Z1001" s="8">
        <v>3</v>
      </c>
      <c r="AA1001" s="8">
        <v>180</v>
      </c>
      <c r="AB1001" s="9">
        <f t="shared" si="106"/>
        <v>1.1666666666666667</v>
      </c>
      <c r="AC1001" s="10">
        <f t="shared" si="103"/>
        <v>2.5714285714285712</v>
      </c>
      <c r="AD1001" s="8" t="s">
        <v>33</v>
      </c>
      <c r="AE1001" s="11">
        <v>29990</v>
      </c>
      <c r="AF1001" s="11">
        <f t="shared" si="104"/>
        <v>89970</v>
      </c>
      <c r="AG1001" s="12" t="s">
        <v>34</v>
      </c>
      <c r="AH1001" s="8" t="s">
        <v>35</v>
      </c>
    </row>
    <row r="1002" spans="1:34">
      <c r="A1002" s="8" t="s">
        <v>1396</v>
      </c>
      <c r="B1002" s="16" t="s">
        <v>2859</v>
      </c>
      <c r="C1002" s="8" t="s">
        <v>377</v>
      </c>
      <c r="D1002" s="8" t="s">
        <v>1390</v>
      </c>
      <c r="E1002" s="8" t="str">
        <f t="shared" si="102"/>
        <v>SUELA/OLIVE</v>
      </c>
      <c r="G1002" s="8" t="s">
        <v>2861</v>
      </c>
      <c r="H1002" s="8" t="str">
        <f>VLOOKUP(A1002,[1]BBDD!$B$1:$J$3274,9,FALSE)</f>
        <v>U</v>
      </c>
      <c r="I1002" s="8" t="s">
        <v>2861</v>
      </c>
      <c r="J1002" s="8" t="s">
        <v>1391</v>
      </c>
      <c r="L1002" s="8" t="s">
        <v>1392</v>
      </c>
      <c r="N1002" s="8" t="s">
        <v>1397</v>
      </c>
      <c r="O1002" s="8" t="s">
        <v>1397</v>
      </c>
      <c r="Q1002" s="8" t="s">
        <v>32</v>
      </c>
      <c r="R1002" s="8">
        <v>0</v>
      </c>
      <c r="S1002" s="8">
        <v>3</v>
      </c>
      <c r="T1002" s="8">
        <f t="shared" si="105"/>
        <v>3</v>
      </c>
      <c r="U1002" s="8">
        <v>0</v>
      </c>
      <c r="V1002" s="8">
        <v>0</v>
      </c>
      <c r="W1002" s="8">
        <v>0</v>
      </c>
      <c r="X1002" s="8">
        <v>0</v>
      </c>
      <c r="Y1002" s="8">
        <v>4</v>
      </c>
      <c r="Z1002" s="8">
        <v>3</v>
      </c>
      <c r="AA1002" s="8">
        <v>180</v>
      </c>
      <c r="AB1002" s="9">
        <f t="shared" si="106"/>
        <v>1.1666666666666667</v>
      </c>
      <c r="AC1002" s="10">
        <f t="shared" si="103"/>
        <v>2.5714285714285712</v>
      </c>
      <c r="AD1002" s="8" t="s">
        <v>33</v>
      </c>
      <c r="AE1002" s="11">
        <v>29990</v>
      </c>
      <c r="AF1002" s="11">
        <f t="shared" si="104"/>
        <v>89970</v>
      </c>
      <c r="AG1002" s="12" t="s">
        <v>34</v>
      </c>
      <c r="AH1002" s="8" t="s">
        <v>35</v>
      </c>
    </row>
    <row r="1003" spans="1:34">
      <c r="A1003" s="8" t="s">
        <v>1398</v>
      </c>
      <c r="B1003" s="16" t="s">
        <v>2859</v>
      </c>
      <c r="C1003" s="8" t="s">
        <v>377</v>
      </c>
      <c r="D1003" s="8" t="s">
        <v>1390</v>
      </c>
      <c r="E1003" s="8" t="str">
        <f t="shared" si="102"/>
        <v>CARAMELO/OXIDO</v>
      </c>
      <c r="G1003" s="8" t="s">
        <v>2861</v>
      </c>
      <c r="H1003" s="8" t="str">
        <f>VLOOKUP(A1003,[1]BBDD!$B$1:$J$3274,9,FALSE)</f>
        <v>U</v>
      </c>
      <c r="I1003" s="8" t="s">
        <v>2861</v>
      </c>
      <c r="J1003" s="8" t="s">
        <v>1391</v>
      </c>
      <c r="L1003" s="8" t="s">
        <v>1392</v>
      </c>
      <c r="N1003" s="8" t="s">
        <v>1399</v>
      </c>
      <c r="O1003" s="8" t="s">
        <v>1399</v>
      </c>
      <c r="Q1003" s="8" t="s">
        <v>32</v>
      </c>
      <c r="R1003" s="8">
        <v>0</v>
      </c>
      <c r="S1003" s="8">
        <v>5</v>
      </c>
      <c r="T1003" s="8">
        <f t="shared" si="105"/>
        <v>5</v>
      </c>
      <c r="U1003" s="8">
        <v>0</v>
      </c>
      <c r="V1003" s="8">
        <v>0</v>
      </c>
      <c r="W1003" s="8">
        <v>0</v>
      </c>
      <c r="X1003" s="8">
        <v>0</v>
      </c>
      <c r="Y1003" s="8">
        <v>1</v>
      </c>
      <c r="Z1003" s="8">
        <v>5</v>
      </c>
      <c r="AA1003" s="8">
        <v>180</v>
      </c>
      <c r="AB1003" s="9">
        <f t="shared" si="106"/>
        <v>1</v>
      </c>
      <c r="AC1003" s="10">
        <f t="shared" si="103"/>
        <v>5</v>
      </c>
      <c r="AD1003" s="8" t="s">
        <v>33</v>
      </c>
      <c r="AE1003" s="11">
        <v>29990</v>
      </c>
      <c r="AF1003" s="11">
        <f t="shared" si="104"/>
        <v>149950</v>
      </c>
      <c r="AG1003" s="12" t="s">
        <v>34</v>
      </c>
      <c r="AH1003" s="8" t="s">
        <v>35</v>
      </c>
    </row>
    <row r="1004" spans="1:34">
      <c r="A1004" s="8" t="s">
        <v>1400</v>
      </c>
      <c r="B1004" s="16" t="s">
        <v>2859</v>
      </c>
      <c r="C1004" s="8" t="s">
        <v>377</v>
      </c>
      <c r="D1004" s="8" t="s">
        <v>1390</v>
      </c>
      <c r="E1004" s="8" t="str">
        <f t="shared" si="102"/>
        <v>CARAMELO/OXIDO</v>
      </c>
      <c r="G1004" s="8" t="s">
        <v>2861</v>
      </c>
      <c r="H1004" s="8" t="str">
        <f>VLOOKUP(A1004,[1]BBDD!$B$1:$J$3274,9,FALSE)</f>
        <v>U</v>
      </c>
      <c r="I1004" s="8" t="s">
        <v>2861</v>
      </c>
      <c r="J1004" s="8" t="s">
        <v>1401</v>
      </c>
      <c r="L1004" s="8" t="s">
        <v>1392</v>
      </c>
      <c r="N1004" s="8" t="s">
        <v>1399</v>
      </c>
      <c r="O1004" s="8" t="s">
        <v>1399</v>
      </c>
      <c r="Q1004" s="8" t="s">
        <v>32</v>
      </c>
      <c r="R1004" s="8">
        <v>0</v>
      </c>
      <c r="S1004" s="8">
        <v>6</v>
      </c>
      <c r="T1004" s="8">
        <f t="shared" si="105"/>
        <v>6</v>
      </c>
      <c r="U1004" s="8">
        <v>0</v>
      </c>
      <c r="V1004" s="8">
        <v>3</v>
      </c>
      <c r="W1004" s="8">
        <v>0</v>
      </c>
      <c r="X1004" s="8">
        <v>0</v>
      </c>
      <c r="Y1004" s="8">
        <v>3</v>
      </c>
      <c r="Z1004" s="8">
        <v>0</v>
      </c>
      <c r="AA1004" s="8">
        <v>180</v>
      </c>
      <c r="AB1004" s="9">
        <f t="shared" si="106"/>
        <v>1</v>
      </c>
      <c r="AC1004" s="10">
        <f t="shared" si="103"/>
        <v>6</v>
      </c>
      <c r="AD1004" s="8" t="s">
        <v>33</v>
      </c>
      <c r="AE1004" s="11">
        <v>29990</v>
      </c>
      <c r="AF1004" s="11">
        <f t="shared" si="104"/>
        <v>179940</v>
      </c>
      <c r="AG1004" s="12" t="s">
        <v>34</v>
      </c>
      <c r="AH1004" s="8" t="s">
        <v>35</v>
      </c>
    </row>
    <row r="1005" spans="1:34">
      <c r="A1005" s="8" t="s">
        <v>1402</v>
      </c>
      <c r="B1005" s="16" t="s">
        <v>2859</v>
      </c>
      <c r="C1005" s="8" t="s">
        <v>377</v>
      </c>
      <c r="D1005" s="8" t="s">
        <v>1390</v>
      </c>
      <c r="E1005" s="8" t="str">
        <f t="shared" si="102"/>
        <v>SUELA/OLIVE</v>
      </c>
      <c r="G1005" s="8" t="s">
        <v>2861</v>
      </c>
      <c r="H1005" s="8" t="str">
        <f>VLOOKUP(A1005,[1]BBDD!$B$1:$J$3274,9,FALSE)</f>
        <v>U</v>
      </c>
      <c r="I1005" s="8" t="s">
        <v>2861</v>
      </c>
      <c r="J1005" s="8" t="s">
        <v>1401</v>
      </c>
      <c r="L1005" s="8" t="s">
        <v>1392</v>
      </c>
      <c r="N1005" s="8" t="s">
        <v>1397</v>
      </c>
      <c r="O1005" s="8" t="s">
        <v>1397</v>
      </c>
      <c r="Q1005" s="8" t="s">
        <v>32</v>
      </c>
      <c r="R1005" s="8">
        <v>0</v>
      </c>
      <c r="S1005" s="8">
        <v>6</v>
      </c>
      <c r="T1005" s="8">
        <f t="shared" si="105"/>
        <v>6</v>
      </c>
      <c r="U1005" s="8">
        <v>1</v>
      </c>
      <c r="V1005" s="8">
        <v>1</v>
      </c>
      <c r="W1005" s="8">
        <v>3</v>
      </c>
      <c r="X1005" s="8">
        <v>1</v>
      </c>
      <c r="Y1005" s="8">
        <v>1</v>
      </c>
      <c r="Z1005" s="8">
        <v>4</v>
      </c>
      <c r="AA1005" s="8">
        <v>180</v>
      </c>
      <c r="AB1005" s="9">
        <f t="shared" si="106"/>
        <v>1.8333333333333333</v>
      </c>
      <c r="AC1005" s="10">
        <f t="shared" si="103"/>
        <v>3.2727272727272729</v>
      </c>
      <c r="AD1005" s="8" t="s">
        <v>33</v>
      </c>
      <c r="AE1005" s="11">
        <v>29990</v>
      </c>
      <c r="AF1005" s="11">
        <f t="shared" si="104"/>
        <v>179940</v>
      </c>
      <c r="AG1005" s="12" t="s">
        <v>34</v>
      </c>
      <c r="AH1005" s="8" t="s">
        <v>35</v>
      </c>
    </row>
    <row r="1006" spans="1:34">
      <c r="A1006" s="8" t="s">
        <v>1403</v>
      </c>
      <c r="B1006" s="16" t="s">
        <v>2859</v>
      </c>
      <c r="C1006" s="8" t="s">
        <v>377</v>
      </c>
      <c r="D1006" s="8" t="s">
        <v>1390</v>
      </c>
      <c r="E1006" s="8" t="str">
        <f t="shared" si="102"/>
        <v>MALBEC/AZUL</v>
      </c>
      <c r="G1006" s="8" t="s">
        <v>2861</v>
      </c>
      <c r="H1006" s="8" t="str">
        <f>VLOOKUP(A1006,[1]BBDD!$B$1:$J$3274,9,FALSE)</f>
        <v>U</v>
      </c>
      <c r="I1006" s="8" t="s">
        <v>2861</v>
      </c>
      <c r="J1006" s="8" t="s">
        <v>1401</v>
      </c>
      <c r="L1006" s="8" t="s">
        <v>1392</v>
      </c>
      <c r="N1006" s="8" t="s">
        <v>1393</v>
      </c>
      <c r="O1006" s="8" t="s">
        <v>1393</v>
      </c>
      <c r="Q1006" s="8" t="s">
        <v>32</v>
      </c>
      <c r="R1006" s="8">
        <v>0</v>
      </c>
      <c r="S1006" s="8">
        <v>7</v>
      </c>
      <c r="T1006" s="8">
        <f t="shared" si="105"/>
        <v>7</v>
      </c>
      <c r="U1006" s="8">
        <v>0</v>
      </c>
      <c r="V1006" s="8">
        <v>4</v>
      </c>
      <c r="W1006" s="8">
        <v>1</v>
      </c>
      <c r="X1006" s="8">
        <v>1</v>
      </c>
      <c r="Y1006" s="8">
        <v>0</v>
      </c>
      <c r="Z1006" s="8">
        <v>1</v>
      </c>
      <c r="AA1006" s="8">
        <v>180</v>
      </c>
      <c r="AB1006" s="9">
        <f t="shared" si="106"/>
        <v>1.1666666666666667</v>
      </c>
      <c r="AC1006" s="10">
        <f t="shared" si="103"/>
        <v>6</v>
      </c>
      <c r="AD1006" s="8" t="s">
        <v>33</v>
      </c>
      <c r="AE1006" s="11">
        <v>29990</v>
      </c>
      <c r="AF1006" s="11">
        <f t="shared" si="104"/>
        <v>209930</v>
      </c>
      <c r="AG1006" s="12" t="s">
        <v>34</v>
      </c>
      <c r="AH1006" s="8" t="s">
        <v>35</v>
      </c>
    </row>
    <row r="1007" spans="1:34">
      <c r="A1007" s="8" t="s">
        <v>1404</v>
      </c>
      <c r="B1007" s="16" t="s">
        <v>2859</v>
      </c>
      <c r="C1007" s="8" t="s">
        <v>377</v>
      </c>
      <c r="D1007" s="8" t="s">
        <v>1390</v>
      </c>
      <c r="E1007" s="8" t="str">
        <f t="shared" si="102"/>
        <v>NEGRO/OXIDO</v>
      </c>
      <c r="G1007" s="8" t="s">
        <v>2861</v>
      </c>
      <c r="H1007" s="8" t="str">
        <f>VLOOKUP(A1007,[1]BBDD!$B$1:$J$3274,9,FALSE)</f>
        <v>U</v>
      </c>
      <c r="I1007" s="8" t="s">
        <v>2861</v>
      </c>
      <c r="J1007" s="8" t="s">
        <v>1405</v>
      </c>
      <c r="L1007" s="8" t="s">
        <v>1392</v>
      </c>
      <c r="N1007" s="8" t="s">
        <v>1395</v>
      </c>
      <c r="O1007" s="8" t="s">
        <v>1395</v>
      </c>
      <c r="Q1007" s="8" t="s">
        <v>32</v>
      </c>
      <c r="R1007" s="8">
        <v>7</v>
      </c>
      <c r="S1007" s="8">
        <v>7</v>
      </c>
      <c r="T1007" s="8">
        <f t="shared" si="105"/>
        <v>14</v>
      </c>
      <c r="U1007" s="8">
        <v>0</v>
      </c>
      <c r="V1007" s="8">
        <v>1</v>
      </c>
      <c r="W1007" s="8">
        <v>4</v>
      </c>
      <c r="X1007" s="8">
        <v>1</v>
      </c>
      <c r="Y1007" s="8">
        <v>0</v>
      </c>
      <c r="Z1007" s="8">
        <v>0</v>
      </c>
      <c r="AA1007" s="8">
        <v>180</v>
      </c>
      <c r="AB1007" s="9">
        <f t="shared" si="106"/>
        <v>1</v>
      </c>
      <c r="AC1007" s="10">
        <f t="shared" si="103"/>
        <v>14</v>
      </c>
      <c r="AD1007" s="8" t="s">
        <v>33</v>
      </c>
      <c r="AE1007" s="11">
        <v>29990</v>
      </c>
      <c r="AF1007" s="11">
        <f t="shared" si="104"/>
        <v>419860</v>
      </c>
      <c r="AG1007" s="12" t="s">
        <v>64</v>
      </c>
      <c r="AH1007" s="8" t="s">
        <v>65</v>
      </c>
    </row>
    <row r="1008" spans="1:34">
      <c r="A1008" s="8" t="s">
        <v>1406</v>
      </c>
      <c r="B1008" s="16" t="s">
        <v>2859</v>
      </c>
      <c r="C1008" s="8" t="s">
        <v>377</v>
      </c>
      <c r="D1008" s="8" t="s">
        <v>1390</v>
      </c>
      <c r="E1008" s="8" t="str">
        <f t="shared" si="102"/>
        <v>SUELA/OLIVE</v>
      </c>
      <c r="G1008" s="8" t="s">
        <v>2861</v>
      </c>
      <c r="H1008" s="8" t="str">
        <f>VLOOKUP(A1008,[1]BBDD!$B$1:$J$3274,9,FALSE)</f>
        <v>U</v>
      </c>
      <c r="I1008" s="8" t="s">
        <v>2861</v>
      </c>
      <c r="J1008" s="8" t="s">
        <v>1405</v>
      </c>
      <c r="L1008" s="8" t="s">
        <v>1392</v>
      </c>
      <c r="N1008" s="8" t="s">
        <v>1397</v>
      </c>
      <c r="O1008" s="8" t="s">
        <v>1397</v>
      </c>
      <c r="Q1008" s="8" t="s">
        <v>32</v>
      </c>
      <c r="R1008" s="8">
        <v>0</v>
      </c>
      <c r="S1008" s="8">
        <v>9</v>
      </c>
      <c r="T1008" s="8">
        <f t="shared" si="105"/>
        <v>9</v>
      </c>
      <c r="U1008" s="8">
        <v>0</v>
      </c>
      <c r="V1008" s="8">
        <v>0</v>
      </c>
      <c r="W1008" s="8">
        <v>1</v>
      </c>
      <c r="X1008" s="8">
        <v>3</v>
      </c>
      <c r="Y1008" s="8">
        <v>4</v>
      </c>
      <c r="Z1008" s="8">
        <v>1</v>
      </c>
      <c r="AA1008" s="8">
        <v>180</v>
      </c>
      <c r="AB1008" s="9">
        <f t="shared" si="106"/>
        <v>1.5</v>
      </c>
      <c r="AC1008" s="10">
        <f t="shared" si="103"/>
        <v>6</v>
      </c>
      <c r="AD1008" s="8" t="s">
        <v>33</v>
      </c>
      <c r="AE1008" s="11">
        <v>29990</v>
      </c>
      <c r="AF1008" s="11">
        <f t="shared" si="104"/>
        <v>269910</v>
      </c>
      <c r="AG1008" s="12" t="s">
        <v>34</v>
      </c>
      <c r="AH1008" s="8" t="s">
        <v>35</v>
      </c>
    </row>
    <row r="1009" spans="1:34">
      <c r="A1009" s="8" t="s">
        <v>1407</v>
      </c>
      <c r="B1009" s="16" t="s">
        <v>2859</v>
      </c>
      <c r="C1009" s="8" t="s">
        <v>377</v>
      </c>
      <c r="D1009" s="8" t="s">
        <v>1390</v>
      </c>
      <c r="E1009" s="8" t="str">
        <f t="shared" si="102"/>
        <v>MALBEC/AZUL</v>
      </c>
      <c r="G1009" s="8" t="s">
        <v>2861</v>
      </c>
      <c r="H1009" s="8" t="str">
        <f>VLOOKUP(A1009,[1]BBDD!$B$1:$J$3274,9,FALSE)</f>
        <v>U</v>
      </c>
      <c r="I1009" s="8" t="s">
        <v>2861</v>
      </c>
      <c r="J1009" s="8" t="s">
        <v>1405</v>
      </c>
      <c r="L1009" s="8" t="s">
        <v>1392</v>
      </c>
      <c r="N1009" s="8" t="s">
        <v>1393</v>
      </c>
      <c r="O1009" s="8" t="s">
        <v>1393</v>
      </c>
      <c r="Q1009" s="8" t="s">
        <v>32</v>
      </c>
      <c r="R1009" s="8">
        <v>6</v>
      </c>
      <c r="S1009" s="8">
        <v>6</v>
      </c>
      <c r="T1009" s="8">
        <f t="shared" si="105"/>
        <v>12</v>
      </c>
      <c r="U1009" s="8">
        <v>0</v>
      </c>
      <c r="V1009" s="8">
        <v>2</v>
      </c>
      <c r="W1009" s="8">
        <v>3</v>
      </c>
      <c r="X1009" s="8">
        <v>2</v>
      </c>
      <c r="Y1009" s="8">
        <v>1</v>
      </c>
      <c r="Z1009" s="8">
        <v>0</v>
      </c>
      <c r="AA1009" s="8">
        <v>180</v>
      </c>
      <c r="AB1009" s="9">
        <f t="shared" si="106"/>
        <v>1.3333333333333335</v>
      </c>
      <c r="AC1009" s="10">
        <f t="shared" si="103"/>
        <v>8.9999999999999982</v>
      </c>
      <c r="AD1009" s="8" t="s">
        <v>33</v>
      </c>
      <c r="AE1009" s="11">
        <v>29990</v>
      </c>
      <c r="AF1009" s="11">
        <f t="shared" si="104"/>
        <v>359880</v>
      </c>
      <c r="AG1009" s="12" t="s">
        <v>51</v>
      </c>
      <c r="AH1009" s="8" t="s">
        <v>65</v>
      </c>
    </row>
    <row r="1010" spans="1:34">
      <c r="A1010" s="8" t="s">
        <v>1408</v>
      </c>
      <c r="B1010" s="16" t="s">
        <v>2859</v>
      </c>
      <c r="C1010" s="8" t="s">
        <v>377</v>
      </c>
      <c r="D1010" s="8" t="s">
        <v>1390</v>
      </c>
      <c r="E1010" s="8" t="str">
        <f t="shared" si="102"/>
        <v>CARAMELO/OXIDO</v>
      </c>
      <c r="G1010" s="8" t="s">
        <v>2861</v>
      </c>
      <c r="H1010" s="8" t="str">
        <f>VLOOKUP(A1010,[1]BBDD!$B$1:$J$3274,9,FALSE)</f>
        <v>U</v>
      </c>
      <c r="I1010" s="8" t="s">
        <v>2861</v>
      </c>
      <c r="J1010" s="8" t="s">
        <v>1405</v>
      </c>
      <c r="L1010" s="8" t="s">
        <v>1392</v>
      </c>
      <c r="N1010" s="8" t="s">
        <v>1399</v>
      </c>
      <c r="O1010" s="8" t="s">
        <v>1399</v>
      </c>
      <c r="Q1010" s="8" t="s">
        <v>32</v>
      </c>
      <c r="R1010" s="8">
        <v>0</v>
      </c>
      <c r="S1010" s="8">
        <v>2</v>
      </c>
      <c r="T1010" s="8">
        <f t="shared" si="105"/>
        <v>2</v>
      </c>
      <c r="U1010" s="8">
        <v>0</v>
      </c>
      <c r="V1010" s="8">
        <v>2</v>
      </c>
      <c r="W1010" s="8">
        <v>4</v>
      </c>
      <c r="X1010" s="8">
        <v>1</v>
      </c>
      <c r="Y1010" s="8">
        <v>0</v>
      </c>
      <c r="Z1010" s="8">
        <v>0</v>
      </c>
      <c r="AA1010" s="8">
        <v>180</v>
      </c>
      <c r="AB1010" s="9">
        <f t="shared" si="106"/>
        <v>1.1666666666666667</v>
      </c>
      <c r="AC1010" s="10">
        <f t="shared" si="103"/>
        <v>1.7142857142857142</v>
      </c>
      <c r="AD1010" s="8" t="s">
        <v>33</v>
      </c>
      <c r="AE1010" s="11">
        <v>29990</v>
      </c>
      <c r="AF1010" s="11">
        <f t="shared" si="104"/>
        <v>59980</v>
      </c>
      <c r="AG1010" s="12" t="s">
        <v>34</v>
      </c>
      <c r="AH1010" s="8" t="s">
        <v>35</v>
      </c>
    </row>
    <row r="1011" spans="1:34">
      <c r="A1011" s="8" t="s">
        <v>1409</v>
      </c>
      <c r="B1011" s="16" t="s">
        <v>2859</v>
      </c>
      <c r="C1011" s="8" t="s">
        <v>377</v>
      </c>
      <c r="D1011" s="8" t="s">
        <v>1390</v>
      </c>
      <c r="E1011" s="8" t="str">
        <f t="shared" si="102"/>
        <v>CARAMELO/OLIVE</v>
      </c>
      <c r="G1011" s="8" t="s">
        <v>2861</v>
      </c>
      <c r="H1011" s="8" t="str">
        <f>VLOOKUP(A1011,[1]BBDD!$B$1:$J$3274,9,FALSE)</f>
        <v>U</v>
      </c>
      <c r="I1011" s="8" t="s">
        <v>2861</v>
      </c>
      <c r="J1011" s="8" t="s">
        <v>1405</v>
      </c>
      <c r="L1011" s="8" t="s">
        <v>1392</v>
      </c>
      <c r="N1011" s="8" t="s">
        <v>1410</v>
      </c>
      <c r="O1011" s="8" t="s">
        <v>1410</v>
      </c>
      <c r="Q1011" s="8" t="s">
        <v>32</v>
      </c>
      <c r="R1011" s="8">
        <v>0</v>
      </c>
      <c r="S1011" s="8">
        <v>8</v>
      </c>
      <c r="T1011" s="8">
        <f t="shared" si="105"/>
        <v>8</v>
      </c>
      <c r="U1011" s="8">
        <v>0</v>
      </c>
      <c r="V1011" s="8">
        <v>0</v>
      </c>
      <c r="W1011" s="8">
        <v>0</v>
      </c>
      <c r="X1011" s="8">
        <v>0</v>
      </c>
      <c r="Y1011" s="8">
        <v>1</v>
      </c>
      <c r="Z1011" s="8">
        <v>1</v>
      </c>
      <c r="AA1011" s="8">
        <v>180</v>
      </c>
      <c r="AB1011" s="9">
        <f t="shared" si="106"/>
        <v>0.33333333333333337</v>
      </c>
      <c r="AC1011" s="10">
        <f t="shared" si="103"/>
        <v>23.999999999999996</v>
      </c>
      <c r="AD1011" s="8" t="s">
        <v>33</v>
      </c>
      <c r="AE1011" s="11">
        <v>29990</v>
      </c>
      <c r="AF1011" s="11">
        <f t="shared" si="104"/>
        <v>239920</v>
      </c>
      <c r="AG1011" s="12" t="s">
        <v>64</v>
      </c>
      <c r="AH1011" s="8" t="s">
        <v>35</v>
      </c>
    </row>
    <row r="1012" spans="1:34">
      <c r="A1012" s="8" t="s">
        <v>1411</v>
      </c>
      <c r="B1012" s="16" t="s">
        <v>2859</v>
      </c>
      <c r="C1012" s="8" t="s">
        <v>377</v>
      </c>
      <c r="D1012" s="8" t="s">
        <v>1390</v>
      </c>
      <c r="E1012" s="8" t="str">
        <f t="shared" si="102"/>
        <v>NEGRO/OXIDO</v>
      </c>
      <c r="G1012" s="8" t="s">
        <v>2861</v>
      </c>
      <c r="H1012" s="8" t="str">
        <f>VLOOKUP(A1012,[1]BBDD!$B$1:$J$3274,9,FALSE)</f>
        <v>U</v>
      </c>
      <c r="I1012" s="8" t="s">
        <v>2861</v>
      </c>
      <c r="J1012" s="8" t="s">
        <v>1412</v>
      </c>
      <c r="L1012" s="8" t="s">
        <v>1392</v>
      </c>
      <c r="N1012" s="8" t="s">
        <v>1395</v>
      </c>
      <c r="O1012" s="8" t="s">
        <v>1395</v>
      </c>
      <c r="Q1012" s="8" t="s">
        <v>32</v>
      </c>
      <c r="R1012" s="8">
        <v>2</v>
      </c>
      <c r="S1012" s="8">
        <v>7</v>
      </c>
      <c r="T1012" s="8">
        <f t="shared" si="105"/>
        <v>9</v>
      </c>
      <c r="U1012" s="8">
        <v>0</v>
      </c>
      <c r="V1012" s="8">
        <v>1</v>
      </c>
      <c r="W1012" s="8">
        <v>0</v>
      </c>
      <c r="X1012" s="8">
        <v>0</v>
      </c>
      <c r="Y1012" s="8">
        <v>0</v>
      </c>
      <c r="Z1012" s="8">
        <v>1</v>
      </c>
      <c r="AA1012" s="8">
        <v>180</v>
      </c>
      <c r="AB1012" s="9">
        <f t="shared" si="106"/>
        <v>0.33333333333333337</v>
      </c>
      <c r="AC1012" s="10">
        <f t="shared" si="103"/>
        <v>26.999999999999996</v>
      </c>
      <c r="AD1012" s="8" t="s">
        <v>33</v>
      </c>
      <c r="AE1012" s="11">
        <v>29990</v>
      </c>
      <c r="AF1012" s="11">
        <f t="shared" si="104"/>
        <v>269910</v>
      </c>
      <c r="AG1012" s="12" t="s">
        <v>73</v>
      </c>
      <c r="AH1012" s="8" t="s">
        <v>35</v>
      </c>
    </row>
    <row r="1013" spans="1:34">
      <c r="A1013" s="8" t="s">
        <v>1413</v>
      </c>
      <c r="B1013" s="16" t="s">
        <v>2859</v>
      </c>
      <c r="C1013" s="8" t="s">
        <v>377</v>
      </c>
      <c r="D1013" s="8" t="s">
        <v>1390</v>
      </c>
      <c r="E1013" s="8" t="str">
        <f t="shared" si="102"/>
        <v>SUELA/OLIVE</v>
      </c>
      <c r="G1013" s="8" t="s">
        <v>2861</v>
      </c>
      <c r="H1013" s="8" t="str">
        <f>VLOOKUP(A1013,[1]BBDD!$B$1:$J$3274,9,FALSE)</f>
        <v>U</v>
      </c>
      <c r="I1013" s="8" t="s">
        <v>2861</v>
      </c>
      <c r="J1013" s="8" t="s">
        <v>1412</v>
      </c>
      <c r="L1013" s="8" t="s">
        <v>1392</v>
      </c>
      <c r="N1013" s="8" t="s">
        <v>1397</v>
      </c>
      <c r="O1013" s="8" t="s">
        <v>1397</v>
      </c>
      <c r="Q1013" s="8" t="s">
        <v>32</v>
      </c>
      <c r="R1013" s="8">
        <v>2</v>
      </c>
      <c r="S1013" s="8">
        <v>6</v>
      </c>
      <c r="T1013" s="8">
        <f t="shared" si="105"/>
        <v>8</v>
      </c>
      <c r="U1013" s="8">
        <v>0</v>
      </c>
      <c r="V1013" s="8">
        <v>0</v>
      </c>
      <c r="W1013" s="8">
        <v>1</v>
      </c>
      <c r="X1013" s="8">
        <v>1</v>
      </c>
      <c r="Y1013" s="8">
        <v>0</v>
      </c>
      <c r="Z1013" s="8">
        <v>0</v>
      </c>
      <c r="AA1013" s="8">
        <v>180</v>
      </c>
      <c r="AB1013" s="9">
        <f t="shared" si="106"/>
        <v>0.33333333333333337</v>
      </c>
      <c r="AC1013" s="10">
        <f t="shared" si="103"/>
        <v>23.999999999999996</v>
      </c>
      <c r="AD1013" s="8" t="s">
        <v>33</v>
      </c>
      <c r="AE1013" s="11">
        <v>29990</v>
      </c>
      <c r="AF1013" s="11">
        <f t="shared" si="104"/>
        <v>239920</v>
      </c>
      <c r="AG1013" s="12" t="s">
        <v>64</v>
      </c>
      <c r="AH1013" s="8" t="s">
        <v>35</v>
      </c>
    </row>
    <row r="1014" spans="1:34">
      <c r="A1014" s="8" t="s">
        <v>1414</v>
      </c>
      <c r="B1014" s="16" t="s">
        <v>2859</v>
      </c>
      <c r="C1014" s="8" t="s">
        <v>377</v>
      </c>
      <c r="D1014" s="8" t="s">
        <v>1390</v>
      </c>
      <c r="E1014" s="8" t="str">
        <f t="shared" si="102"/>
        <v>MALBEC/AZUL</v>
      </c>
      <c r="G1014" s="8" t="s">
        <v>2861</v>
      </c>
      <c r="H1014" s="8" t="str">
        <f>VLOOKUP(A1014,[1]BBDD!$B$1:$J$3274,9,FALSE)</f>
        <v>U</v>
      </c>
      <c r="I1014" s="8" t="s">
        <v>2861</v>
      </c>
      <c r="J1014" s="8" t="s">
        <v>1412</v>
      </c>
      <c r="L1014" s="8" t="s">
        <v>1392</v>
      </c>
      <c r="N1014" s="8" t="s">
        <v>1393</v>
      </c>
      <c r="O1014" s="8" t="s">
        <v>1393</v>
      </c>
      <c r="Q1014" s="8" t="s">
        <v>32</v>
      </c>
      <c r="R1014" s="8">
        <v>0</v>
      </c>
      <c r="S1014" s="8">
        <v>3</v>
      </c>
      <c r="T1014" s="8">
        <f t="shared" si="105"/>
        <v>3</v>
      </c>
      <c r="U1014" s="8">
        <v>0</v>
      </c>
      <c r="V1014" s="8">
        <v>2</v>
      </c>
      <c r="W1014" s="8">
        <v>2</v>
      </c>
      <c r="X1014" s="8">
        <v>2</v>
      </c>
      <c r="Y1014" s="8">
        <v>1</v>
      </c>
      <c r="Z1014" s="8">
        <v>0</v>
      </c>
      <c r="AA1014" s="8">
        <v>180</v>
      </c>
      <c r="AB1014" s="9">
        <f t="shared" si="106"/>
        <v>1.1666666666666667</v>
      </c>
      <c r="AC1014" s="10">
        <f t="shared" si="103"/>
        <v>2.5714285714285712</v>
      </c>
      <c r="AD1014" s="8" t="s">
        <v>33</v>
      </c>
      <c r="AE1014" s="11">
        <v>29990</v>
      </c>
      <c r="AF1014" s="11">
        <f t="shared" si="104"/>
        <v>89970</v>
      </c>
      <c r="AG1014" s="12" t="s">
        <v>34</v>
      </c>
      <c r="AH1014" s="8" t="s">
        <v>35</v>
      </c>
    </row>
    <row r="1015" spans="1:34">
      <c r="A1015" s="8" t="s">
        <v>1415</v>
      </c>
      <c r="B1015" s="16" t="s">
        <v>2859</v>
      </c>
      <c r="C1015" s="8" t="s">
        <v>377</v>
      </c>
      <c r="D1015" s="8" t="s">
        <v>1390</v>
      </c>
      <c r="E1015" s="8" t="str">
        <f t="shared" si="102"/>
        <v>CARAMELO/OXIDO</v>
      </c>
      <c r="G1015" s="8" t="s">
        <v>2861</v>
      </c>
      <c r="H1015" s="8" t="str">
        <f>VLOOKUP(A1015,[1]BBDD!$B$1:$J$3274,9,FALSE)</f>
        <v>U</v>
      </c>
      <c r="I1015" s="8" t="s">
        <v>2861</v>
      </c>
      <c r="J1015" s="8" t="s">
        <v>1412</v>
      </c>
      <c r="L1015" s="8" t="s">
        <v>1392</v>
      </c>
      <c r="N1015" s="8" t="s">
        <v>1399</v>
      </c>
      <c r="O1015" s="8" t="s">
        <v>1399</v>
      </c>
      <c r="Q1015" s="8" t="s">
        <v>32</v>
      </c>
      <c r="R1015" s="8">
        <v>0</v>
      </c>
      <c r="S1015" s="8">
        <v>6</v>
      </c>
      <c r="T1015" s="8">
        <f t="shared" si="105"/>
        <v>6</v>
      </c>
      <c r="U1015" s="8">
        <v>0</v>
      </c>
      <c r="V1015" s="8">
        <v>1</v>
      </c>
      <c r="W1015" s="8">
        <v>0</v>
      </c>
      <c r="X1015" s="8">
        <v>2</v>
      </c>
      <c r="Y1015" s="8">
        <v>0</v>
      </c>
      <c r="Z1015" s="8">
        <v>1</v>
      </c>
      <c r="AA1015" s="8">
        <v>180</v>
      </c>
      <c r="AB1015" s="9">
        <f t="shared" si="106"/>
        <v>0.66666666666666674</v>
      </c>
      <c r="AC1015" s="10">
        <f t="shared" si="103"/>
        <v>8.9999999999999982</v>
      </c>
      <c r="AD1015" s="8" t="s">
        <v>33</v>
      </c>
      <c r="AE1015" s="11">
        <v>29990</v>
      </c>
      <c r="AF1015" s="11">
        <f t="shared" si="104"/>
        <v>179940</v>
      </c>
      <c r="AG1015" s="12" t="s">
        <v>51</v>
      </c>
      <c r="AH1015" s="8" t="s">
        <v>35</v>
      </c>
    </row>
    <row r="1016" spans="1:34">
      <c r="A1016" s="8" t="s">
        <v>1416</v>
      </c>
      <c r="B1016" s="16" t="s">
        <v>2859</v>
      </c>
      <c r="C1016" s="8" t="s">
        <v>377</v>
      </c>
      <c r="D1016" s="8" t="s">
        <v>1390</v>
      </c>
      <c r="E1016" s="8" t="str">
        <f t="shared" si="102"/>
        <v>SUELA/OLIVE</v>
      </c>
      <c r="G1016" s="8" t="s">
        <v>2861</v>
      </c>
      <c r="H1016" s="8" t="str">
        <f>VLOOKUP(A1016,[1]BBDD!$B$1:$J$3274,9,FALSE)</f>
        <v>U</v>
      </c>
      <c r="I1016" s="8" t="s">
        <v>2861</v>
      </c>
      <c r="J1016" s="8" t="s">
        <v>1417</v>
      </c>
      <c r="L1016" s="8" t="s">
        <v>1392</v>
      </c>
      <c r="N1016" s="8" t="s">
        <v>1397</v>
      </c>
      <c r="O1016" s="8" t="s">
        <v>1397</v>
      </c>
      <c r="Q1016" s="8" t="s">
        <v>32</v>
      </c>
      <c r="R1016" s="8">
        <v>0</v>
      </c>
      <c r="S1016" s="8">
        <v>5</v>
      </c>
      <c r="T1016" s="8">
        <f t="shared" si="105"/>
        <v>5</v>
      </c>
      <c r="U1016" s="8">
        <v>0</v>
      </c>
      <c r="V1016" s="8">
        <v>0</v>
      </c>
      <c r="W1016" s="8">
        <v>0</v>
      </c>
      <c r="X1016" s="8">
        <v>0</v>
      </c>
      <c r="Y1016" s="8">
        <v>2</v>
      </c>
      <c r="Z1016" s="8">
        <v>3</v>
      </c>
      <c r="AA1016" s="8">
        <v>180</v>
      </c>
      <c r="AB1016" s="9">
        <f t="shared" si="106"/>
        <v>0.83333333333333326</v>
      </c>
      <c r="AC1016" s="10">
        <f t="shared" si="103"/>
        <v>6.0000000000000009</v>
      </c>
      <c r="AD1016" s="8" t="s">
        <v>33</v>
      </c>
      <c r="AE1016" s="11">
        <v>29990</v>
      </c>
      <c r="AF1016" s="11">
        <f t="shared" si="104"/>
        <v>149950</v>
      </c>
      <c r="AG1016" s="12" t="s">
        <v>34</v>
      </c>
      <c r="AH1016" s="8" t="s">
        <v>35</v>
      </c>
    </row>
    <row r="1017" spans="1:34">
      <c r="A1017" s="8" t="s">
        <v>1418</v>
      </c>
      <c r="B1017" s="16" t="s">
        <v>2859</v>
      </c>
      <c r="C1017" s="8" t="s">
        <v>377</v>
      </c>
      <c r="D1017" s="8" t="s">
        <v>1390</v>
      </c>
      <c r="E1017" s="8" t="str">
        <f t="shared" si="102"/>
        <v>NEGRO/OXIDO</v>
      </c>
      <c r="G1017" s="8" t="s">
        <v>2861</v>
      </c>
      <c r="H1017" s="8" t="str">
        <f>VLOOKUP(A1017,[1]BBDD!$B$1:$J$3274,9,FALSE)</f>
        <v>U</v>
      </c>
      <c r="I1017" s="8" t="s">
        <v>2861</v>
      </c>
      <c r="J1017" s="8" t="s">
        <v>1419</v>
      </c>
      <c r="L1017" s="8" t="s">
        <v>1392</v>
      </c>
      <c r="N1017" s="8" t="s">
        <v>1395</v>
      </c>
      <c r="O1017" s="8" t="s">
        <v>1395</v>
      </c>
      <c r="Q1017" s="8" t="s">
        <v>32</v>
      </c>
      <c r="R1017" s="8">
        <v>9</v>
      </c>
      <c r="S1017" s="8">
        <v>7</v>
      </c>
      <c r="T1017" s="8">
        <f t="shared" si="105"/>
        <v>16</v>
      </c>
      <c r="U1017" s="8">
        <v>1</v>
      </c>
      <c r="V1017" s="8">
        <v>0</v>
      </c>
      <c r="W1017" s="8">
        <v>1</v>
      </c>
      <c r="X1017" s="8">
        <v>0</v>
      </c>
      <c r="Y1017" s="8">
        <v>0</v>
      </c>
      <c r="Z1017" s="8">
        <v>0</v>
      </c>
      <c r="AA1017" s="8">
        <v>180</v>
      </c>
      <c r="AB1017" s="9">
        <f t="shared" si="106"/>
        <v>0.33333333333333337</v>
      </c>
      <c r="AC1017" s="10">
        <f t="shared" si="103"/>
        <v>47.999999999999993</v>
      </c>
      <c r="AD1017" s="8" t="s">
        <v>33</v>
      </c>
      <c r="AE1017" s="11">
        <v>29990</v>
      </c>
      <c r="AF1017" s="11">
        <f t="shared" si="104"/>
        <v>479840</v>
      </c>
      <c r="AG1017" s="12" t="s">
        <v>73</v>
      </c>
      <c r="AH1017" s="8" t="s">
        <v>65</v>
      </c>
    </row>
    <row r="1018" spans="1:34">
      <c r="A1018" s="8" t="s">
        <v>1420</v>
      </c>
      <c r="B1018" s="16" t="s">
        <v>2859</v>
      </c>
      <c r="C1018" s="8" t="s">
        <v>377</v>
      </c>
      <c r="D1018" s="8" t="s">
        <v>1390</v>
      </c>
      <c r="E1018" s="8" t="str">
        <f t="shared" si="102"/>
        <v>SUELA/OLIVE</v>
      </c>
      <c r="G1018" s="8" t="s">
        <v>2861</v>
      </c>
      <c r="H1018" s="8" t="str">
        <f>VLOOKUP(A1018,[1]BBDD!$B$1:$J$3274,9,FALSE)</f>
        <v>U</v>
      </c>
      <c r="I1018" s="8" t="s">
        <v>2861</v>
      </c>
      <c r="J1018" s="8" t="s">
        <v>1419</v>
      </c>
      <c r="L1018" s="8" t="s">
        <v>1392</v>
      </c>
      <c r="N1018" s="8" t="s">
        <v>1397</v>
      </c>
      <c r="O1018" s="8" t="s">
        <v>1397</v>
      </c>
      <c r="Q1018" s="8" t="s">
        <v>32</v>
      </c>
      <c r="R1018" s="8">
        <v>0</v>
      </c>
      <c r="S1018" s="8">
        <v>3</v>
      </c>
      <c r="T1018" s="8">
        <f t="shared" si="105"/>
        <v>3</v>
      </c>
      <c r="U1018" s="8">
        <v>0</v>
      </c>
      <c r="V1018" s="8">
        <v>0</v>
      </c>
      <c r="W1018" s="8">
        <v>1</v>
      </c>
      <c r="X1018" s="8">
        <v>2</v>
      </c>
      <c r="Y1018" s="8">
        <v>1</v>
      </c>
      <c r="Z1018" s="8">
        <v>2</v>
      </c>
      <c r="AA1018" s="8">
        <v>180</v>
      </c>
      <c r="AB1018" s="9">
        <f t="shared" si="106"/>
        <v>1</v>
      </c>
      <c r="AC1018" s="10">
        <f t="shared" si="103"/>
        <v>3</v>
      </c>
      <c r="AD1018" s="8" t="s">
        <v>33</v>
      </c>
      <c r="AE1018" s="11">
        <v>29990</v>
      </c>
      <c r="AF1018" s="11">
        <f t="shared" si="104"/>
        <v>89970</v>
      </c>
      <c r="AG1018" s="12" t="s">
        <v>34</v>
      </c>
      <c r="AH1018" s="8" t="s">
        <v>35</v>
      </c>
    </row>
    <row r="1019" spans="1:34">
      <c r="A1019" s="8" t="s">
        <v>1421</v>
      </c>
      <c r="B1019" s="16" t="s">
        <v>2859</v>
      </c>
      <c r="C1019" s="8" t="s">
        <v>377</v>
      </c>
      <c r="D1019" s="8" t="s">
        <v>1390</v>
      </c>
      <c r="E1019" s="8" t="str">
        <f t="shared" si="102"/>
        <v>MALBEC/AZUL</v>
      </c>
      <c r="G1019" s="8" t="s">
        <v>2861</v>
      </c>
      <c r="H1019" s="8" t="str">
        <f>VLOOKUP(A1019,[1]BBDD!$B$1:$J$3274,9,FALSE)</f>
        <v>U</v>
      </c>
      <c r="I1019" s="8" t="s">
        <v>2861</v>
      </c>
      <c r="J1019" s="8" t="s">
        <v>1419</v>
      </c>
      <c r="L1019" s="8" t="s">
        <v>1392</v>
      </c>
      <c r="N1019" s="8" t="s">
        <v>1393</v>
      </c>
      <c r="O1019" s="8" t="s">
        <v>1393</v>
      </c>
      <c r="Q1019" s="8" t="s">
        <v>32</v>
      </c>
      <c r="R1019" s="8">
        <v>14</v>
      </c>
      <c r="S1019" s="8">
        <v>4</v>
      </c>
      <c r="T1019" s="8">
        <f t="shared" si="105"/>
        <v>18</v>
      </c>
      <c r="U1019" s="8">
        <v>0</v>
      </c>
      <c r="V1019" s="8">
        <v>2</v>
      </c>
      <c r="W1019" s="8">
        <v>0</v>
      </c>
      <c r="X1019" s="8">
        <v>0</v>
      </c>
      <c r="Y1019" s="8">
        <v>0</v>
      </c>
      <c r="Z1019" s="8">
        <v>0</v>
      </c>
      <c r="AA1019" s="8">
        <v>180</v>
      </c>
      <c r="AB1019" s="9">
        <f t="shared" si="106"/>
        <v>0.33333333333333337</v>
      </c>
      <c r="AC1019" s="10">
        <f t="shared" si="103"/>
        <v>53.999999999999993</v>
      </c>
      <c r="AD1019" s="8" t="s">
        <v>33</v>
      </c>
      <c r="AE1019" s="11">
        <v>29990</v>
      </c>
      <c r="AF1019" s="11">
        <f t="shared" si="104"/>
        <v>539820</v>
      </c>
      <c r="AG1019" s="12" t="s">
        <v>73</v>
      </c>
      <c r="AH1019" s="8" t="s">
        <v>65</v>
      </c>
    </row>
    <row r="1020" spans="1:34">
      <c r="A1020" s="8" t="s">
        <v>1422</v>
      </c>
      <c r="B1020" s="16" t="s">
        <v>2859</v>
      </c>
      <c r="C1020" s="8" t="s">
        <v>377</v>
      </c>
      <c r="D1020" s="8" t="s">
        <v>1390</v>
      </c>
      <c r="E1020" s="8" t="str">
        <f t="shared" si="102"/>
        <v>CARAMELO/OXIDO</v>
      </c>
      <c r="G1020" s="8" t="s">
        <v>2861</v>
      </c>
      <c r="H1020" s="8" t="str">
        <f>VLOOKUP(A1020,[1]BBDD!$B$1:$J$3274,9,FALSE)</f>
        <v>U</v>
      </c>
      <c r="I1020" s="8" t="s">
        <v>2861</v>
      </c>
      <c r="J1020" s="8" t="s">
        <v>1419</v>
      </c>
      <c r="L1020" s="8" t="s">
        <v>1392</v>
      </c>
      <c r="N1020" s="8" t="s">
        <v>1399</v>
      </c>
      <c r="O1020" s="8" t="s">
        <v>1399</v>
      </c>
      <c r="Q1020" s="8" t="s">
        <v>32</v>
      </c>
      <c r="R1020" s="8">
        <v>0</v>
      </c>
      <c r="S1020" s="8">
        <v>5</v>
      </c>
      <c r="T1020" s="8">
        <f t="shared" si="105"/>
        <v>5</v>
      </c>
      <c r="U1020" s="8">
        <v>0</v>
      </c>
      <c r="V1020" s="8">
        <v>1</v>
      </c>
      <c r="W1020" s="8">
        <v>1</v>
      </c>
      <c r="X1020" s="8">
        <v>1</v>
      </c>
      <c r="Y1020" s="8">
        <v>0</v>
      </c>
      <c r="Z1020" s="8">
        <v>1</v>
      </c>
      <c r="AA1020" s="8">
        <v>180</v>
      </c>
      <c r="AB1020" s="9">
        <f t="shared" si="106"/>
        <v>0.66666666666666674</v>
      </c>
      <c r="AC1020" s="10">
        <f t="shared" si="103"/>
        <v>7.4999999999999991</v>
      </c>
      <c r="AD1020" s="8" t="s">
        <v>33</v>
      </c>
      <c r="AE1020" s="11">
        <v>29990</v>
      </c>
      <c r="AF1020" s="11">
        <f t="shared" si="104"/>
        <v>149950</v>
      </c>
      <c r="AG1020" s="12" t="s">
        <v>51</v>
      </c>
      <c r="AH1020" s="8" t="s">
        <v>35</v>
      </c>
    </row>
    <row r="1021" spans="1:34">
      <c r="A1021" s="8" t="s">
        <v>1423</v>
      </c>
      <c r="B1021" s="16" t="s">
        <v>2859</v>
      </c>
      <c r="C1021" s="8" t="s">
        <v>377</v>
      </c>
      <c r="D1021" s="8" t="s">
        <v>1390</v>
      </c>
      <c r="E1021" s="8" t="str">
        <f t="shared" si="102"/>
        <v>CARAMELO/OXIDO</v>
      </c>
      <c r="G1021" s="8" t="s">
        <v>2861</v>
      </c>
      <c r="H1021" s="8" t="str">
        <f>VLOOKUP(A1021,[1]BBDD!$B$1:$J$3274,9,FALSE)</f>
        <v>U</v>
      </c>
      <c r="I1021" s="8" t="s">
        <v>2861</v>
      </c>
      <c r="J1021" s="8" t="s">
        <v>1424</v>
      </c>
      <c r="L1021" s="8" t="s">
        <v>1392</v>
      </c>
      <c r="N1021" s="8" t="s">
        <v>1399</v>
      </c>
      <c r="O1021" s="8" t="s">
        <v>1399</v>
      </c>
      <c r="Q1021" s="8" t="s">
        <v>32</v>
      </c>
      <c r="R1021" s="8">
        <v>0</v>
      </c>
      <c r="S1021" s="8">
        <v>3</v>
      </c>
      <c r="T1021" s="8">
        <f t="shared" si="105"/>
        <v>3</v>
      </c>
      <c r="U1021" s="8">
        <v>0</v>
      </c>
      <c r="V1021" s="8">
        <v>0</v>
      </c>
      <c r="W1021" s="8">
        <v>5</v>
      </c>
      <c r="X1021" s="8">
        <v>2</v>
      </c>
      <c r="Y1021" s="8">
        <v>0</v>
      </c>
      <c r="Z1021" s="8">
        <v>0</v>
      </c>
      <c r="AA1021" s="8">
        <v>180</v>
      </c>
      <c r="AB1021" s="9">
        <f t="shared" si="106"/>
        <v>1.1666666666666667</v>
      </c>
      <c r="AC1021" s="10">
        <f t="shared" si="103"/>
        <v>2.5714285714285712</v>
      </c>
      <c r="AD1021" s="8" t="s">
        <v>33</v>
      </c>
      <c r="AE1021" s="11">
        <v>29990</v>
      </c>
      <c r="AF1021" s="11">
        <f t="shared" si="104"/>
        <v>89970</v>
      </c>
      <c r="AG1021" s="12" t="s">
        <v>34</v>
      </c>
      <c r="AH1021" s="8" t="s">
        <v>35</v>
      </c>
    </row>
    <row r="1022" spans="1:34">
      <c r="A1022" s="8" t="s">
        <v>1425</v>
      </c>
      <c r="B1022" s="16" t="s">
        <v>2859</v>
      </c>
      <c r="C1022" s="8" t="s">
        <v>377</v>
      </c>
      <c r="D1022" s="8" t="s">
        <v>1390</v>
      </c>
      <c r="E1022" s="8" t="str">
        <f t="shared" si="102"/>
        <v>NEGRO/OXIDO</v>
      </c>
      <c r="G1022" s="8" t="s">
        <v>2861</v>
      </c>
      <c r="H1022" s="8" t="str">
        <f>VLOOKUP(A1022,[1]BBDD!$B$1:$J$3274,9,FALSE)</f>
        <v>U</v>
      </c>
      <c r="I1022" s="8" t="s">
        <v>2861</v>
      </c>
      <c r="J1022" s="8" t="s">
        <v>1424</v>
      </c>
      <c r="L1022" s="8" t="s">
        <v>1392</v>
      </c>
      <c r="N1022" s="8" t="s">
        <v>1395</v>
      </c>
      <c r="O1022" s="8" t="s">
        <v>1395</v>
      </c>
      <c r="Q1022" s="8" t="s">
        <v>32</v>
      </c>
      <c r="R1022" s="8">
        <v>1</v>
      </c>
      <c r="S1022" s="8">
        <v>7</v>
      </c>
      <c r="T1022" s="8">
        <f t="shared" si="105"/>
        <v>8</v>
      </c>
      <c r="U1022" s="8">
        <v>0</v>
      </c>
      <c r="V1022" s="8">
        <v>1</v>
      </c>
      <c r="W1022" s="8">
        <v>0</v>
      </c>
      <c r="X1022" s="8">
        <v>1</v>
      </c>
      <c r="Y1022" s="8">
        <v>0</v>
      </c>
      <c r="Z1022" s="8">
        <v>0</v>
      </c>
      <c r="AA1022" s="8">
        <v>180</v>
      </c>
      <c r="AB1022" s="9">
        <f t="shared" si="106"/>
        <v>0.33333333333333337</v>
      </c>
      <c r="AC1022" s="10">
        <f t="shared" si="103"/>
        <v>23.999999999999996</v>
      </c>
      <c r="AD1022" s="8" t="s">
        <v>33</v>
      </c>
      <c r="AE1022" s="11">
        <v>29990</v>
      </c>
      <c r="AF1022" s="11">
        <f t="shared" si="104"/>
        <v>239920</v>
      </c>
      <c r="AG1022" s="12" t="s">
        <v>64</v>
      </c>
      <c r="AH1022" s="8" t="s">
        <v>35</v>
      </c>
    </row>
    <row r="1023" spans="1:34">
      <c r="A1023" s="8" t="s">
        <v>1426</v>
      </c>
      <c r="B1023" s="16" t="s">
        <v>2859</v>
      </c>
      <c r="C1023" s="8" t="s">
        <v>377</v>
      </c>
      <c r="D1023" s="8" t="s">
        <v>1390</v>
      </c>
      <c r="E1023" s="8" t="str">
        <f t="shared" si="102"/>
        <v>SUELA/OLIVE</v>
      </c>
      <c r="G1023" s="8" t="s">
        <v>2861</v>
      </c>
      <c r="H1023" s="8" t="str">
        <f>VLOOKUP(A1023,[1]BBDD!$B$1:$J$3274,9,FALSE)</f>
        <v>U</v>
      </c>
      <c r="I1023" s="8" t="s">
        <v>2861</v>
      </c>
      <c r="J1023" s="8" t="s">
        <v>1424</v>
      </c>
      <c r="L1023" s="8" t="s">
        <v>1392</v>
      </c>
      <c r="N1023" s="8" t="s">
        <v>1397</v>
      </c>
      <c r="O1023" s="8" t="s">
        <v>1397</v>
      </c>
      <c r="Q1023" s="8" t="s">
        <v>32</v>
      </c>
      <c r="R1023" s="8">
        <v>0</v>
      </c>
      <c r="S1023" s="8">
        <v>6</v>
      </c>
      <c r="T1023" s="8">
        <f t="shared" si="105"/>
        <v>6</v>
      </c>
      <c r="U1023" s="8">
        <v>0</v>
      </c>
      <c r="V1023" s="8">
        <v>0</v>
      </c>
      <c r="W1023" s="8">
        <v>0</v>
      </c>
      <c r="X1023" s="8">
        <v>0</v>
      </c>
      <c r="Y1023" s="8">
        <v>2</v>
      </c>
      <c r="Z1023" s="8">
        <v>2</v>
      </c>
      <c r="AA1023" s="8">
        <v>180</v>
      </c>
      <c r="AB1023" s="9">
        <f t="shared" si="106"/>
        <v>0.66666666666666674</v>
      </c>
      <c r="AC1023" s="10">
        <f t="shared" si="103"/>
        <v>8.9999999999999982</v>
      </c>
      <c r="AD1023" s="8" t="s">
        <v>33</v>
      </c>
      <c r="AE1023" s="11">
        <v>29990</v>
      </c>
      <c r="AF1023" s="11">
        <f t="shared" si="104"/>
        <v>179940</v>
      </c>
      <c r="AG1023" s="12" t="s">
        <v>51</v>
      </c>
      <c r="AH1023" s="8" t="s">
        <v>35</v>
      </c>
    </row>
    <row r="1024" spans="1:34">
      <c r="A1024" s="8" t="s">
        <v>1427</v>
      </c>
      <c r="B1024" s="16" t="s">
        <v>2859</v>
      </c>
      <c r="C1024" s="8" t="s">
        <v>377</v>
      </c>
      <c r="D1024" s="8" t="s">
        <v>1390</v>
      </c>
      <c r="E1024" s="8" t="str">
        <f t="shared" si="102"/>
        <v>MALBEC/AZUL</v>
      </c>
      <c r="G1024" s="8" t="s">
        <v>2861</v>
      </c>
      <c r="H1024" s="8" t="str">
        <f>VLOOKUP(A1024,[1]BBDD!$B$1:$J$3274,9,FALSE)</f>
        <v>U</v>
      </c>
      <c r="I1024" s="8" t="s">
        <v>2861</v>
      </c>
      <c r="J1024" s="8" t="s">
        <v>1424</v>
      </c>
      <c r="L1024" s="8" t="s">
        <v>1392</v>
      </c>
      <c r="N1024" s="8" t="s">
        <v>1393</v>
      </c>
      <c r="O1024" s="8" t="s">
        <v>1393</v>
      </c>
      <c r="Q1024" s="8" t="s">
        <v>32</v>
      </c>
      <c r="R1024" s="8">
        <v>0</v>
      </c>
      <c r="S1024" s="8">
        <v>4</v>
      </c>
      <c r="T1024" s="8">
        <f t="shared" si="105"/>
        <v>4</v>
      </c>
      <c r="U1024" s="8">
        <v>0</v>
      </c>
      <c r="V1024" s="8">
        <v>0</v>
      </c>
      <c r="W1024" s="8">
        <v>2</v>
      </c>
      <c r="X1024" s="8">
        <v>1</v>
      </c>
      <c r="Y1024" s="8">
        <v>1</v>
      </c>
      <c r="Z1024" s="8">
        <v>0</v>
      </c>
      <c r="AA1024" s="8">
        <v>180</v>
      </c>
      <c r="AB1024" s="9">
        <f t="shared" si="106"/>
        <v>0.66666666666666674</v>
      </c>
      <c r="AC1024" s="10">
        <f t="shared" si="103"/>
        <v>5.9999999999999991</v>
      </c>
      <c r="AD1024" s="8" t="s">
        <v>33</v>
      </c>
      <c r="AE1024" s="11">
        <v>29990</v>
      </c>
      <c r="AF1024" s="11">
        <f t="shared" si="104"/>
        <v>119960</v>
      </c>
      <c r="AG1024" s="12" t="s">
        <v>34</v>
      </c>
      <c r="AH1024" s="8" t="s">
        <v>35</v>
      </c>
    </row>
    <row r="1025" spans="1:34">
      <c r="A1025" s="8" t="s">
        <v>1428</v>
      </c>
      <c r="B1025" s="16" t="s">
        <v>2859</v>
      </c>
      <c r="C1025" s="8" t="s">
        <v>377</v>
      </c>
      <c r="D1025" s="8" t="s">
        <v>1390</v>
      </c>
      <c r="E1025" s="8" t="str">
        <f t="shared" si="102"/>
        <v>SUELA/OLIVE</v>
      </c>
      <c r="G1025" s="8" t="s">
        <v>2861</v>
      </c>
      <c r="H1025" s="8" t="str">
        <f>VLOOKUP(A1025,[1]BBDD!$B$1:$J$3274,9,FALSE)</f>
        <v>U</v>
      </c>
      <c r="I1025" s="8" t="s">
        <v>2861</v>
      </c>
      <c r="J1025" s="8" t="s">
        <v>1429</v>
      </c>
      <c r="L1025" s="8" t="s">
        <v>1392</v>
      </c>
      <c r="N1025" s="8" t="s">
        <v>1397</v>
      </c>
      <c r="O1025" s="8" t="s">
        <v>1397</v>
      </c>
      <c r="Q1025" s="8" t="s">
        <v>32</v>
      </c>
      <c r="R1025" s="8">
        <v>0</v>
      </c>
      <c r="S1025" s="8">
        <v>4</v>
      </c>
      <c r="T1025" s="8">
        <f t="shared" si="105"/>
        <v>4</v>
      </c>
      <c r="U1025" s="8">
        <v>0</v>
      </c>
      <c r="V1025" s="8">
        <v>0</v>
      </c>
      <c r="W1025" s="8">
        <v>0</v>
      </c>
      <c r="X1025" s="8">
        <v>0</v>
      </c>
      <c r="Y1025" s="8">
        <v>1</v>
      </c>
      <c r="Z1025" s="8">
        <v>1</v>
      </c>
      <c r="AA1025" s="8">
        <v>180</v>
      </c>
      <c r="AB1025" s="9">
        <f t="shared" si="106"/>
        <v>0.33333333333333337</v>
      </c>
      <c r="AC1025" s="10">
        <f t="shared" si="103"/>
        <v>11.999999999999998</v>
      </c>
      <c r="AD1025" s="8" t="s">
        <v>33</v>
      </c>
      <c r="AE1025" s="11">
        <v>29990</v>
      </c>
      <c r="AF1025" s="11">
        <f t="shared" si="104"/>
        <v>119960</v>
      </c>
      <c r="AG1025" s="12" t="s">
        <v>51</v>
      </c>
      <c r="AH1025" s="8" t="s">
        <v>35</v>
      </c>
    </row>
    <row r="1026" spans="1:34">
      <c r="A1026" s="8" t="s">
        <v>1430</v>
      </c>
      <c r="B1026" s="16" t="s">
        <v>2859</v>
      </c>
      <c r="C1026" s="8" t="s">
        <v>377</v>
      </c>
      <c r="D1026" s="8" t="s">
        <v>1390</v>
      </c>
      <c r="E1026" s="8" t="str">
        <f t="shared" si="102"/>
        <v>MALBEC/AZUL</v>
      </c>
      <c r="G1026" s="8" t="s">
        <v>2861</v>
      </c>
      <c r="H1026" s="8" t="str">
        <f>VLOOKUP(A1026,[1]BBDD!$B$1:$J$3274,9,FALSE)</f>
        <v>U</v>
      </c>
      <c r="I1026" s="8" t="s">
        <v>2861</v>
      </c>
      <c r="J1026" s="8" t="s">
        <v>1431</v>
      </c>
      <c r="L1026" s="8" t="s">
        <v>1392</v>
      </c>
      <c r="N1026" s="8" t="s">
        <v>1393</v>
      </c>
      <c r="O1026" s="8" t="s">
        <v>1393</v>
      </c>
      <c r="Q1026" s="8" t="s">
        <v>32</v>
      </c>
      <c r="R1026" s="8">
        <v>0</v>
      </c>
      <c r="S1026" s="8">
        <v>4</v>
      </c>
      <c r="T1026" s="8">
        <f t="shared" si="105"/>
        <v>4</v>
      </c>
      <c r="U1026" s="8">
        <v>0</v>
      </c>
      <c r="V1026" s="8">
        <v>5</v>
      </c>
      <c r="W1026" s="8">
        <v>1</v>
      </c>
      <c r="X1026" s="8">
        <v>0</v>
      </c>
      <c r="Y1026" s="8">
        <v>2</v>
      </c>
      <c r="Z1026" s="8">
        <v>3</v>
      </c>
      <c r="AA1026" s="8">
        <v>180</v>
      </c>
      <c r="AB1026" s="9">
        <f t="shared" si="106"/>
        <v>1.8333333333333333</v>
      </c>
      <c r="AC1026" s="10">
        <f t="shared" si="103"/>
        <v>2.1818181818181821</v>
      </c>
      <c r="AD1026" s="8" t="s">
        <v>33</v>
      </c>
      <c r="AE1026" s="11">
        <v>29990</v>
      </c>
      <c r="AF1026" s="11">
        <f t="shared" si="104"/>
        <v>119960</v>
      </c>
      <c r="AG1026" s="12" t="s">
        <v>34</v>
      </c>
      <c r="AH1026" s="8" t="s">
        <v>35</v>
      </c>
    </row>
    <row r="1027" spans="1:34">
      <c r="A1027" s="8" t="s">
        <v>1432</v>
      </c>
      <c r="B1027" s="16" t="s">
        <v>2859</v>
      </c>
      <c r="C1027" s="8" t="s">
        <v>377</v>
      </c>
      <c r="D1027" s="8" t="s">
        <v>1390</v>
      </c>
      <c r="E1027" s="8" t="str">
        <f t="shared" ref="E1027:E1090" si="107">TRIM(N1027)</f>
        <v>NEGRO/OXIDO</v>
      </c>
      <c r="G1027" s="8" t="s">
        <v>2861</v>
      </c>
      <c r="H1027" s="8" t="str">
        <f>VLOOKUP(A1027,[1]BBDD!$B$1:$J$3274,9,FALSE)</f>
        <v>U</v>
      </c>
      <c r="I1027" s="8" t="s">
        <v>2861</v>
      </c>
      <c r="J1027" s="8" t="s">
        <v>1431</v>
      </c>
      <c r="L1027" s="8" t="s">
        <v>1392</v>
      </c>
      <c r="N1027" s="8" t="s">
        <v>1395</v>
      </c>
      <c r="O1027" s="8" t="s">
        <v>1395</v>
      </c>
      <c r="Q1027" s="8" t="s">
        <v>32</v>
      </c>
      <c r="R1027" s="8">
        <v>0</v>
      </c>
      <c r="S1027" s="8">
        <v>3</v>
      </c>
      <c r="T1027" s="8">
        <f t="shared" si="105"/>
        <v>3</v>
      </c>
      <c r="U1027" s="8">
        <v>0</v>
      </c>
      <c r="V1027" s="8">
        <v>0</v>
      </c>
      <c r="W1027" s="8">
        <v>2</v>
      </c>
      <c r="X1027" s="8">
        <v>0</v>
      </c>
      <c r="Y1027" s="8">
        <v>4</v>
      </c>
      <c r="Z1027" s="8">
        <v>1</v>
      </c>
      <c r="AA1027" s="8">
        <v>180</v>
      </c>
      <c r="AB1027" s="9">
        <f t="shared" si="106"/>
        <v>1.1666666666666667</v>
      </c>
      <c r="AC1027" s="10">
        <f t="shared" ref="AC1027:AC1090" si="108">IFERROR(T1027/AB1027,"sin venta")</f>
        <v>2.5714285714285712</v>
      </c>
      <c r="AD1027" s="8" t="s">
        <v>33</v>
      </c>
      <c r="AE1027" s="11">
        <v>29990</v>
      </c>
      <c r="AF1027" s="11">
        <f t="shared" ref="AF1027:AF1090" si="109">IFERROR(AE1027*T1027,0)</f>
        <v>89970</v>
      </c>
      <c r="AG1027" s="12" t="s">
        <v>34</v>
      </c>
      <c r="AH1027" s="8" t="s">
        <v>35</v>
      </c>
    </row>
    <row r="1028" spans="1:34">
      <c r="A1028" s="8" t="s">
        <v>1433</v>
      </c>
      <c r="B1028" s="16" t="s">
        <v>2859</v>
      </c>
      <c r="C1028" s="8" t="s">
        <v>377</v>
      </c>
      <c r="D1028" s="8" t="s">
        <v>1390</v>
      </c>
      <c r="E1028" s="8" t="str">
        <f t="shared" si="107"/>
        <v>SUELA/OLIVE</v>
      </c>
      <c r="G1028" s="8" t="s">
        <v>2861</v>
      </c>
      <c r="H1028" s="8" t="str">
        <f>VLOOKUP(A1028,[1]BBDD!$B$1:$J$3274,9,FALSE)</f>
        <v>U</v>
      </c>
      <c r="I1028" s="8" t="s">
        <v>2861</v>
      </c>
      <c r="J1028" s="8" t="s">
        <v>1431</v>
      </c>
      <c r="L1028" s="8" t="s">
        <v>1392</v>
      </c>
      <c r="N1028" s="8" t="s">
        <v>1397</v>
      </c>
      <c r="O1028" s="8" t="s">
        <v>1397</v>
      </c>
      <c r="Q1028" s="8" t="s">
        <v>32</v>
      </c>
      <c r="R1028" s="8">
        <v>0</v>
      </c>
      <c r="S1028" s="8">
        <v>5</v>
      </c>
      <c r="T1028" s="8">
        <f t="shared" si="105"/>
        <v>5</v>
      </c>
      <c r="U1028" s="8">
        <v>0</v>
      </c>
      <c r="V1028" s="8">
        <v>0</v>
      </c>
      <c r="W1028" s="8">
        <v>2</v>
      </c>
      <c r="X1028" s="8">
        <v>2</v>
      </c>
      <c r="Y1028" s="8">
        <v>1</v>
      </c>
      <c r="Z1028" s="8">
        <v>1</v>
      </c>
      <c r="AA1028" s="8">
        <v>180</v>
      </c>
      <c r="AB1028" s="9">
        <f t="shared" si="106"/>
        <v>1</v>
      </c>
      <c r="AC1028" s="10">
        <f t="shared" si="108"/>
        <v>5</v>
      </c>
      <c r="AD1028" s="8" t="s">
        <v>33</v>
      </c>
      <c r="AE1028" s="11">
        <v>29990</v>
      </c>
      <c r="AF1028" s="11">
        <f t="shared" si="109"/>
        <v>149950</v>
      </c>
      <c r="AG1028" s="12" t="s">
        <v>34</v>
      </c>
      <c r="AH1028" s="8" t="s">
        <v>35</v>
      </c>
    </row>
    <row r="1029" spans="1:34">
      <c r="A1029" s="8" t="s">
        <v>1434</v>
      </c>
      <c r="B1029" s="16" t="s">
        <v>2859</v>
      </c>
      <c r="C1029" s="8" t="s">
        <v>377</v>
      </c>
      <c r="D1029" s="8" t="s">
        <v>1390</v>
      </c>
      <c r="E1029" s="8" t="str">
        <f t="shared" si="107"/>
        <v>CARAMELO/OXIDO</v>
      </c>
      <c r="G1029" s="8" t="s">
        <v>2861</v>
      </c>
      <c r="H1029" s="8" t="str">
        <f>VLOOKUP(A1029,[1]BBDD!$B$1:$J$3274,9,FALSE)</f>
        <v>U</v>
      </c>
      <c r="I1029" s="8" t="s">
        <v>2861</v>
      </c>
      <c r="J1029" s="8" t="s">
        <v>1431</v>
      </c>
      <c r="L1029" s="8" t="s">
        <v>1392</v>
      </c>
      <c r="N1029" s="8" t="s">
        <v>1399</v>
      </c>
      <c r="O1029" s="8" t="s">
        <v>1399</v>
      </c>
      <c r="Q1029" s="8" t="s">
        <v>32</v>
      </c>
      <c r="R1029" s="8">
        <v>0</v>
      </c>
      <c r="S1029" s="8">
        <v>3</v>
      </c>
      <c r="T1029" s="8">
        <f t="shared" si="105"/>
        <v>3</v>
      </c>
      <c r="U1029" s="8">
        <v>0</v>
      </c>
      <c r="V1029" s="8">
        <v>0</v>
      </c>
      <c r="W1029" s="8">
        <v>3</v>
      </c>
      <c r="X1029" s="8">
        <v>4</v>
      </c>
      <c r="Y1029" s="8">
        <v>0</v>
      </c>
      <c r="Z1029" s="8">
        <v>0</v>
      </c>
      <c r="AA1029" s="8">
        <v>180</v>
      </c>
      <c r="AB1029" s="9">
        <f t="shared" si="106"/>
        <v>1.1666666666666667</v>
      </c>
      <c r="AC1029" s="10">
        <f t="shared" si="108"/>
        <v>2.5714285714285712</v>
      </c>
      <c r="AD1029" s="8" t="s">
        <v>33</v>
      </c>
      <c r="AE1029" s="11">
        <v>29990</v>
      </c>
      <c r="AF1029" s="11">
        <f t="shared" si="109"/>
        <v>89970</v>
      </c>
      <c r="AG1029" s="12" t="s">
        <v>34</v>
      </c>
      <c r="AH1029" s="8" t="s">
        <v>35</v>
      </c>
    </row>
    <row r="1030" spans="1:34">
      <c r="A1030" s="8" t="s">
        <v>1435</v>
      </c>
      <c r="B1030" s="16" t="s">
        <v>2859</v>
      </c>
      <c r="C1030" s="8" t="s">
        <v>377</v>
      </c>
      <c r="D1030" s="8" t="s">
        <v>1390</v>
      </c>
      <c r="E1030" s="8" t="str">
        <f t="shared" si="107"/>
        <v>NEGRO/OXIDO</v>
      </c>
      <c r="G1030" s="8" t="s">
        <v>2861</v>
      </c>
      <c r="H1030" s="8" t="str">
        <f>VLOOKUP(A1030,[1]BBDD!$B$1:$J$3274,9,FALSE)</f>
        <v>U</v>
      </c>
      <c r="I1030" s="8" t="s">
        <v>2861</v>
      </c>
      <c r="J1030" s="8" t="s">
        <v>1436</v>
      </c>
      <c r="L1030" s="8" t="s">
        <v>1392</v>
      </c>
      <c r="N1030" s="8" t="s">
        <v>1395</v>
      </c>
      <c r="O1030" s="8" t="s">
        <v>1395</v>
      </c>
      <c r="Q1030" s="8" t="s">
        <v>32</v>
      </c>
      <c r="R1030" s="8">
        <v>3</v>
      </c>
      <c r="S1030" s="8">
        <v>4</v>
      </c>
      <c r="T1030" s="8">
        <f t="shared" si="105"/>
        <v>7</v>
      </c>
      <c r="U1030" s="8">
        <v>0</v>
      </c>
      <c r="V1030" s="8">
        <v>0</v>
      </c>
      <c r="W1030" s="8">
        <v>4</v>
      </c>
      <c r="X1030" s="8">
        <v>2</v>
      </c>
      <c r="Y1030" s="8">
        <v>0</v>
      </c>
      <c r="Z1030" s="8">
        <v>0</v>
      </c>
      <c r="AA1030" s="8">
        <v>180</v>
      </c>
      <c r="AB1030" s="9">
        <f t="shared" si="106"/>
        <v>1</v>
      </c>
      <c r="AC1030" s="10">
        <f t="shared" si="108"/>
        <v>7</v>
      </c>
      <c r="AD1030" s="8" t="s">
        <v>33</v>
      </c>
      <c r="AE1030" s="11">
        <v>29990</v>
      </c>
      <c r="AF1030" s="11">
        <f t="shared" si="109"/>
        <v>209930</v>
      </c>
      <c r="AG1030" s="12" t="s">
        <v>51</v>
      </c>
      <c r="AH1030" s="8" t="s">
        <v>35</v>
      </c>
    </row>
    <row r="1031" spans="1:34">
      <c r="A1031" s="8" t="s">
        <v>1437</v>
      </c>
      <c r="B1031" s="16" t="s">
        <v>2859</v>
      </c>
      <c r="C1031" s="8" t="s">
        <v>377</v>
      </c>
      <c r="D1031" s="8" t="s">
        <v>1390</v>
      </c>
      <c r="E1031" s="8" t="str">
        <f t="shared" si="107"/>
        <v>MALBEC/AZUL</v>
      </c>
      <c r="G1031" s="8" t="s">
        <v>2861</v>
      </c>
      <c r="H1031" s="8" t="str">
        <f>VLOOKUP(A1031,[1]BBDD!$B$1:$J$3274,9,FALSE)</f>
        <v>U</v>
      </c>
      <c r="I1031" s="8" t="s">
        <v>2861</v>
      </c>
      <c r="J1031" s="8" t="s">
        <v>1436</v>
      </c>
      <c r="L1031" s="8" t="s">
        <v>1392</v>
      </c>
      <c r="N1031" s="8" t="s">
        <v>1393</v>
      </c>
      <c r="O1031" s="8" t="s">
        <v>1393</v>
      </c>
      <c r="Q1031" s="8" t="s">
        <v>32</v>
      </c>
      <c r="R1031" s="8">
        <v>3</v>
      </c>
      <c r="S1031" s="8">
        <v>4</v>
      </c>
      <c r="T1031" s="8">
        <f t="shared" si="105"/>
        <v>7</v>
      </c>
      <c r="U1031" s="8">
        <v>0</v>
      </c>
      <c r="V1031" s="8">
        <v>0</v>
      </c>
      <c r="W1031" s="8">
        <v>2</v>
      </c>
      <c r="X1031" s="8">
        <v>4</v>
      </c>
      <c r="Y1031" s="8">
        <v>0</v>
      </c>
      <c r="Z1031" s="8">
        <v>0</v>
      </c>
      <c r="AA1031" s="8">
        <v>180</v>
      </c>
      <c r="AB1031" s="9">
        <f t="shared" si="106"/>
        <v>1</v>
      </c>
      <c r="AC1031" s="10">
        <f t="shared" si="108"/>
        <v>7</v>
      </c>
      <c r="AD1031" s="8" t="s">
        <v>33</v>
      </c>
      <c r="AE1031" s="11">
        <v>29990</v>
      </c>
      <c r="AF1031" s="11">
        <f t="shared" si="109"/>
        <v>209930</v>
      </c>
      <c r="AG1031" s="12" t="s">
        <v>51</v>
      </c>
      <c r="AH1031" s="8" t="s">
        <v>35</v>
      </c>
    </row>
    <row r="1032" spans="1:34">
      <c r="A1032" s="8" t="s">
        <v>1438</v>
      </c>
      <c r="B1032" s="16" t="s">
        <v>2859</v>
      </c>
      <c r="C1032" s="8" t="s">
        <v>377</v>
      </c>
      <c r="D1032" s="8" t="s">
        <v>1390</v>
      </c>
      <c r="E1032" s="8" t="str">
        <f t="shared" si="107"/>
        <v>SUELA/OLIVE</v>
      </c>
      <c r="G1032" s="8" t="s">
        <v>2861</v>
      </c>
      <c r="H1032" s="8" t="str">
        <f>VLOOKUP(A1032,[1]BBDD!$B$1:$J$3274,9,FALSE)</f>
        <v>U</v>
      </c>
      <c r="I1032" s="8" t="s">
        <v>2861</v>
      </c>
      <c r="J1032" s="8" t="s">
        <v>1436</v>
      </c>
      <c r="L1032" s="8" t="s">
        <v>1392</v>
      </c>
      <c r="N1032" s="8" t="s">
        <v>1397</v>
      </c>
      <c r="O1032" s="8" t="s">
        <v>1397</v>
      </c>
      <c r="Q1032" s="8" t="s">
        <v>32</v>
      </c>
      <c r="R1032" s="8">
        <v>3</v>
      </c>
      <c r="S1032" s="8">
        <v>3</v>
      </c>
      <c r="T1032" s="8">
        <f t="shared" si="105"/>
        <v>6</v>
      </c>
      <c r="U1032" s="8">
        <v>0</v>
      </c>
      <c r="V1032" s="8">
        <v>0</v>
      </c>
      <c r="W1032" s="8">
        <v>1</v>
      </c>
      <c r="X1032" s="8">
        <v>0</v>
      </c>
      <c r="Y1032" s="8">
        <v>0</v>
      </c>
      <c r="Z1032" s="8">
        <v>1</v>
      </c>
      <c r="AA1032" s="8">
        <v>180</v>
      </c>
      <c r="AB1032" s="9">
        <f t="shared" si="106"/>
        <v>0.33333333333333337</v>
      </c>
      <c r="AC1032" s="10">
        <f t="shared" si="108"/>
        <v>17.999999999999996</v>
      </c>
      <c r="AD1032" s="8" t="s">
        <v>33</v>
      </c>
      <c r="AE1032" s="11">
        <v>29990</v>
      </c>
      <c r="AF1032" s="11">
        <f t="shared" si="109"/>
        <v>179940</v>
      </c>
      <c r="AG1032" s="12" t="s">
        <v>64</v>
      </c>
      <c r="AH1032" s="8" t="s">
        <v>35</v>
      </c>
    </row>
    <row r="1033" spans="1:34">
      <c r="A1033" s="8" t="s">
        <v>1439</v>
      </c>
      <c r="B1033" s="16" t="s">
        <v>2859</v>
      </c>
      <c r="C1033" s="8" t="s">
        <v>377</v>
      </c>
      <c r="D1033" s="8" t="s">
        <v>1390</v>
      </c>
      <c r="E1033" s="8" t="str">
        <f t="shared" si="107"/>
        <v>CARAMELO/OXIDO</v>
      </c>
      <c r="G1033" s="8" t="s">
        <v>2861</v>
      </c>
      <c r="H1033" s="8" t="str">
        <f>VLOOKUP(A1033,[1]BBDD!$B$1:$J$3274,9,FALSE)</f>
        <v>U</v>
      </c>
      <c r="I1033" s="8" t="s">
        <v>2861</v>
      </c>
      <c r="J1033" s="8" t="s">
        <v>1436</v>
      </c>
      <c r="L1033" s="8" t="s">
        <v>1392</v>
      </c>
      <c r="N1033" s="8" t="s">
        <v>1399</v>
      </c>
      <c r="O1033" s="8" t="s">
        <v>1399</v>
      </c>
      <c r="Q1033" s="8" t="s">
        <v>32</v>
      </c>
      <c r="R1033" s="8">
        <v>1</v>
      </c>
      <c r="S1033" s="8">
        <v>5</v>
      </c>
      <c r="T1033" s="8">
        <f t="shared" si="105"/>
        <v>6</v>
      </c>
      <c r="U1033" s="8">
        <v>0</v>
      </c>
      <c r="V1033" s="8">
        <v>0</v>
      </c>
      <c r="W1033" s="8">
        <v>0</v>
      </c>
      <c r="X1033" s="8">
        <v>1</v>
      </c>
      <c r="Y1033" s="8">
        <v>0</v>
      </c>
      <c r="Z1033" s="8">
        <v>1</v>
      </c>
      <c r="AA1033" s="8">
        <v>180</v>
      </c>
      <c r="AB1033" s="9">
        <f t="shared" si="106"/>
        <v>0.33333333333333337</v>
      </c>
      <c r="AC1033" s="10">
        <f t="shared" si="108"/>
        <v>17.999999999999996</v>
      </c>
      <c r="AD1033" s="8" t="s">
        <v>33</v>
      </c>
      <c r="AE1033" s="11">
        <v>29990</v>
      </c>
      <c r="AF1033" s="11">
        <f t="shared" si="109"/>
        <v>179940</v>
      </c>
      <c r="AG1033" s="12" t="s">
        <v>64</v>
      </c>
      <c r="AH1033" s="8" t="s">
        <v>35</v>
      </c>
    </row>
    <row r="1034" spans="1:34">
      <c r="A1034" s="8" t="s">
        <v>1440</v>
      </c>
      <c r="B1034" s="16" t="s">
        <v>2859</v>
      </c>
      <c r="C1034" s="8" t="s">
        <v>377</v>
      </c>
      <c r="D1034" s="8" t="s">
        <v>1390</v>
      </c>
      <c r="E1034" s="8" t="str">
        <f t="shared" si="107"/>
        <v>NEGRO/OXIDO</v>
      </c>
      <c r="G1034" s="8" t="s">
        <v>2861</v>
      </c>
      <c r="H1034" s="8" t="str">
        <f>VLOOKUP(A1034,[1]BBDD!$B$1:$J$3274,9,FALSE)</f>
        <v>U</v>
      </c>
      <c r="I1034" s="8" t="s">
        <v>2861</v>
      </c>
      <c r="J1034" s="8" t="s">
        <v>1441</v>
      </c>
      <c r="L1034" s="8" t="s">
        <v>1392</v>
      </c>
      <c r="N1034" s="8" t="s">
        <v>1395</v>
      </c>
      <c r="O1034" s="8" t="s">
        <v>1395</v>
      </c>
      <c r="Q1034" s="8" t="s">
        <v>32</v>
      </c>
      <c r="R1034" s="8">
        <v>20</v>
      </c>
      <c r="S1034" s="8">
        <v>8</v>
      </c>
      <c r="T1034" s="8">
        <f t="shared" si="105"/>
        <v>28</v>
      </c>
      <c r="U1034" s="8">
        <v>0</v>
      </c>
      <c r="V1034" s="8">
        <v>0</v>
      </c>
      <c r="W1034" s="8">
        <v>0</v>
      </c>
      <c r="X1034" s="8">
        <v>1</v>
      </c>
      <c r="Y1034" s="8">
        <v>0</v>
      </c>
      <c r="Z1034" s="8">
        <v>0</v>
      </c>
      <c r="AA1034" s="8">
        <v>180</v>
      </c>
      <c r="AB1034" s="9">
        <f t="shared" si="106"/>
        <v>0.16666666666666669</v>
      </c>
      <c r="AC1034" s="10">
        <f t="shared" si="108"/>
        <v>167.99999999999997</v>
      </c>
      <c r="AD1034" s="8" t="s">
        <v>33</v>
      </c>
      <c r="AE1034" s="11">
        <v>29990</v>
      </c>
      <c r="AF1034" s="11">
        <f t="shared" si="109"/>
        <v>839720</v>
      </c>
      <c r="AG1034" s="12" t="s">
        <v>73</v>
      </c>
      <c r="AH1034" s="8" t="s">
        <v>74</v>
      </c>
    </row>
    <row r="1035" spans="1:34">
      <c r="A1035" s="8" t="s">
        <v>1442</v>
      </c>
      <c r="B1035" s="16" t="s">
        <v>2859</v>
      </c>
      <c r="C1035" s="8" t="s">
        <v>377</v>
      </c>
      <c r="D1035" s="8" t="s">
        <v>1390</v>
      </c>
      <c r="E1035" s="8" t="str">
        <f t="shared" si="107"/>
        <v>SUELA/OLIVE</v>
      </c>
      <c r="G1035" s="8" t="s">
        <v>2861</v>
      </c>
      <c r="H1035" s="8" t="str">
        <f>VLOOKUP(A1035,[1]BBDD!$B$1:$J$3274,9,FALSE)</f>
        <v>U</v>
      </c>
      <c r="I1035" s="8" t="s">
        <v>2861</v>
      </c>
      <c r="J1035" s="8" t="s">
        <v>1441</v>
      </c>
      <c r="L1035" s="8" t="s">
        <v>1392</v>
      </c>
      <c r="N1035" s="8" t="s">
        <v>1397</v>
      </c>
      <c r="O1035" s="8" t="s">
        <v>1397</v>
      </c>
      <c r="Q1035" s="8" t="s">
        <v>32</v>
      </c>
      <c r="R1035" s="8">
        <v>6</v>
      </c>
      <c r="S1035" s="8">
        <v>6</v>
      </c>
      <c r="T1035" s="8">
        <f t="shared" si="105"/>
        <v>12</v>
      </c>
      <c r="U1035" s="8">
        <v>0</v>
      </c>
      <c r="V1035" s="8">
        <v>0</v>
      </c>
      <c r="W1035" s="8">
        <v>1</v>
      </c>
      <c r="X1035" s="8">
        <v>1</v>
      </c>
      <c r="Y1035" s="8">
        <v>3</v>
      </c>
      <c r="Z1035" s="8">
        <v>3</v>
      </c>
      <c r="AA1035" s="8">
        <v>180</v>
      </c>
      <c r="AB1035" s="9">
        <f t="shared" si="106"/>
        <v>1.3333333333333335</v>
      </c>
      <c r="AC1035" s="10">
        <f t="shared" si="108"/>
        <v>8.9999999999999982</v>
      </c>
      <c r="AD1035" s="8" t="s">
        <v>33</v>
      </c>
      <c r="AE1035" s="11">
        <v>29990</v>
      </c>
      <c r="AF1035" s="11">
        <f t="shared" si="109"/>
        <v>359880</v>
      </c>
      <c r="AG1035" s="12" t="s">
        <v>51</v>
      </c>
      <c r="AH1035" s="8" t="s">
        <v>65</v>
      </c>
    </row>
    <row r="1036" spans="1:34">
      <c r="A1036" s="8" t="s">
        <v>1443</v>
      </c>
      <c r="B1036" s="16" t="s">
        <v>2859</v>
      </c>
      <c r="C1036" s="8" t="s">
        <v>377</v>
      </c>
      <c r="D1036" s="8" t="s">
        <v>1390</v>
      </c>
      <c r="E1036" s="8" t="str">
        <f t="shared" si="107"/>
        <v>MALBEC/AZUL</v>
      </c>
      <c r="G1036" s="8" t="s">
        <v>2861</v>
      </c>
      <c r="H1036" s="8" t="str">
        <f>VLOOKUP(A1036,[1]BBDD!$B$1:$J$3274,9,FALSE)</f>
        <v>U</v>
      </c>
      <c r="I1036" s="8" t="s">
        <v>2861</v>
      </c>
      <c r="J1036" s="8" t="s">
        <v>1441</v>
      </c>
      <c r="L1036" s="8" t="s">
        <v>1392</v>
      </c>
      <c r="N1036" s="8" t="s">
        <v>1393</v>
      </c>
      <c r="O1036" s="8" t="s">
        <v>1393</v>
      </c>
      <c r="Q1036" s="8" t="s">
        <v>32</v>
      </c>
      <c r="R1036" s="8">
        <v>1</v>
      </c>
      <c r="S1036" s="8">
        <v>6</v>
      </c>
      <c r="T1036" s="8">
        <f t="shared" si="105"/>
        <v>7</v>
      </c>
      <c r="U1036" s="8">
        <v>0</v>
      </c>
      <c r="V1036" s="8">
        <v>3</v>
      </c>
      <c r="W1036" s="8">
        <v>1</v>
      </c>
      <c r="X1036" s="8">
        <v>2</v>
      </c>
      <c r="Y1036" s="8">
        <v>3</v>
      </c>
      <c r="Z1036" s="8">
        <v>4</v>
      </c>
      <c r="AA1036" s="8">
        <v>180</v>
      </c>
      <c r="AB1036" s="9">
        <f t="shared" si="106"/>
        <v>2.1666666666666665</v>
      </c>
      <c r="AC1036" s="10">
        <f t="shared" si="108"/>
        <v>3.2307692307692308</v>
      </c>
      <c r="AD1036" s="8" t="s">
        <v>33</v>
      </c>
      <c r="AE1036" s="11">
        <v>29990</v>
      </c>
      <c r="AF1036" s="11">
        <f t="shared" si="109"/>
        <v>209930</v>
      </c>
      <c r="AG1036" s="12" t="s">
        <v>34</v>
      </c>
      <c r="AH1036" s="8" t="s">
        <v>35</v>
      </c>
    </row>
    <row r="1037" spans="1:34">
      <c r="A1037" s="8" t="s">
        <v>1444</v>
      </c>
      <c r="B1037" s="16" t="s">
        <v>2859</v>
      </c>
      <c r="C1037" s="8" t="s">
        <v>377</v>
      </c>
      <c r="D1037" s="8" t="s">
        <v>1390</v>
      </c>
      <c r="E1037" s="8" t="str">
        <f t="shared" si="107"/>
        <v>CARAMELO/OXIDO</v>
      </c>
      <c r="G1037" s="8" t="s">
        <v>2861</v>
      </c>
      <c r="H1037" s="8" t="str">
        <f>VLOOKUP(A1037,[1]BBDD!$B$1:$J$3274,9,FALSE)</f>
        <v>U</v>
      </c>
      <c r="I1037" s="8" t="s">
        <v>2861</v>
      </c>
      <c r="J1037" s="8" t="s">
        <v>1441</v>
      </c>
      <c r="L1037" s="8" t="s">
        <v>1392</v>
      </c>
      <c r="N1037" s="8" t="s">
        <v>1399</v>
      </c>
      <c r="O1037" s="8" t="s">
        <v>1399</v>
      </c>
      <c r="Q1037" s="8" t="s">
        <v>32</v>
      </c>
      <c r="R1037" s="8">
        <v>4</v>
      </c>
      <c r="S1037" s="8">
        <v>7</v>
      </c>
      <c r="T1037" s="8">
        <f t="shared" si="105"/>
        <v>11</v>
      </c>
      <c r="U1037" s="8">
        <v>0</v>
      </c>
      <c r="V1037" s="8">
        <v>1</v>
      </c>
      <c r="W1037" s="8">
        <v>2</v>
      </c>
      <c r="X1037" s="8">
        <v>1</v>
      </c>
      <c r="Y1037" s="8">
        <v>3</v>
      </c>
      <c r="Z1037" s="8">
        <v>3</v>
      </c>
      <c r="AA1037" s="8">
        <v>180</v>
      </c>
      <c r="AB1037" s="9">
        <f t="shared" si="106"/>
        <v>1.6666666666666665</v>
      </c>
      <c r="AC1037" s="10">
        <f t="shared" si="108"/>
        <v>6.6000000000000005</v>
      </c>
      <c r="AD1037" s="8" t="s">
        <v>33</v>
      </c>
      <c r="AE1037" s="11">
        <v>29990</v>
      </c>
      <c r="AF1037" s="11">
        <f t="shared" si="109"/>
        <v>329890</v>
      </c>
      <c r="AG1037" s="12" t="s">
        <v>51</v>
      </c>
      <c r="AH1037" s="8" t="s">
        <v>65</v>
      </c>
    </row>
    <row r="1038" spans="1:34">
      <c r="A1038" s="8" t="s">
        <v>1445</v>
      </c>
      <c r="B1038" s="16" t="s">
        <v>2859</v>
      </c>
      <c r="C1038" s="8" t="s">
        <v>377</v>
      </c>
      <c r="D1038" s="8" t="s">
        <v>1390</v>
      </c>
      <c r="E1038" s="8" t="str">
        <f t="shared" si="107"/>
        <v>MALBEC/AZUL</v>
      </c>
      <c r="G1038" s="8" t="s">
        <v>2861</v>
      </c>
      <c r="H1038" s="8" t="str">
        <f>VLOOKUP(A1038,[1]BBDD!$B$1:$J$3274,9,FALSE)</f>
        <v>U</v>
      </c>
      <c r="I1038" s="8" t="s">
        <v>2861</v>
      </c>
      <c r="J1038" s="8" t="s">
        <v>1446</v>
      </c>
      <c r="L1038" s="8" t="s">
        <v>1392</v>
      </c>
      <c r="N1038" s="8" t="s">
        <v>1393</v>
      </c>
      <c r="O1038" s="8" t="s">
        <v>1393</v>
      </c>
      <c r="Q1038" s="8" t="s">
        <v>32</v>
      </c>
      <c r="R1038" s="8">
        <v>0</v>
      </c>
      <c r="S1038" s="8">
        <v>3</v>
      </c>
      <c r="T1038" s="8">
        <f t="shared" si="105"/>
        <v>3</v>
      </c>
      <c r="U1038" s="8">
        <v>1</v>
      </c>
      <c r="V1038" s="8">
        <v>1</v>
      </c>
      <c r="W1038" s="8">
        <v>0</v>
      </c>
      <c r="X1038" s="8">
        <v>0</v>
      </c>
      <c r="Y1038" s="8">
        <v>2</v>
      </c>
      <c r="Z1038" s="8">
        <v>3</v>
      </c>
      <c r="AA1038" s="8">
        <v>180</v>
      </c>
      <c r="AB1038" s="9">
        <f t="shared" si="106"/>
        <v>1.1666666666666667</v>
      </c>
      <c r="AC1038" s="10">
        <f t="shared" si="108"/>
        <v>2.5714285714285712</v>
      </c>
      <c r="AD1038" s="8" t="s">
        <v>33</v>
      </c>
      <c r="AE1038" s="11">
        <v>29990</v>
      </c>
      <c r="AF1038" s="11">
        <f t="shared" si="109"/>
        <v>89970</v>
      </c>
      <c r="AG1038" s="12" t="s">
        <v>34</v>
      </c>
      <c r="AH1038" s="8" t="s">
        <v>35</v>
      </c>
    </row>
    <row r="1039" spans="1:34">
      <c r="A1039" s="8" t="s">
        <v>1447</v>
      </c>
      <c r="B1039" s="16" t="s">
        <v>2859</v>
      </c>
      <c r="C1039" s="8" t="s">
        <v>377</v>
      </c>
      <c r="D1039" s="8" t="s">
        <v>1390</v>
      </c>
      <c r="E1039" s="8" t="str">
        <f t="shared" si="107"/>
        <v>NEGRO/OXIDO</v>
      </c>
      <c r="G1039" s="8" t="s">
        <v>2861</v>
      </c>
      <c r="H1039" s="8" t="str">
        <f>VLOOKUP(A1039,[1]BBDD!$B$1:$J$3274,9,FALSE)</f>
        <v>U</v>
      </c>
      <c r="I1039" s="8" t="s">
        <v>2861</v>
      </c>
      <c r="J1039" s="8" t="s">
        <v>1446</v>
      </c>
      <c r="L1039" s="8" t="s">
        <v>1392</v>
      </c>
      <c r="N1039" s="8" t="s">
        <v>1395</v>
      </c>
      <c r="O1039" s="8" t="s">
        <v>1395</v>
      </c>
      <c r="Q1039" s="8" t="s">
        <v>32</v>
      </c>
      <c r="R1039" s="8">
        <v>1</v>
      </c>
      <c r="S1039" s="8">
        <v>6</v>
      </c>
      <c r="T1039" s="8">
        <f t="shared" si="105"/>
        <v>7</v>
      </c>
      <c r="U1039" s="8">
        <v>1</v>
      </c>
      <c r="V1039" s="8">
        <v>3</v>
      </c>
      <c r="W1039" s="8">
        <v>3</v>
      </c>
      <c r="X1039" s="8">
        <v>1</v>
      </c>
      <c r="Y1039" s="8">
        <v>0</v>
      </c>
      <c r="Z1039" s="8">
        <v>2</v>
      </c>
      <c r="AA1039" s="8">
        <v>180</v>
      </c>
      <c r="AB1039" s="9">
        <f t="shared" si="106"/>
        <v>1.6666666666666665</v>
      </c>
      <c r="AC1039" s="10">
        <f t="shared" si="108"/>
        <v>4.2</v>
      </c>
      <c r="AD1039" s="8" t="s">
        <v>33</v>
      </c>
      <c r="AE1039" s="11">
        <v>29990</v>
      </c>
      <c r="AF1039" s="11">
        <f t="shared" si="109"/>
        <v>209930</v>
      </c>
      <c r="AG1039" s="12" t="s">
        <v>34</v>
      </c>
      <c r="AH1039" s="8" t="s">
        <v>35</v>
      </c>
    </row>
    <row r="1040" spans="1:34">
      <c r="A1040" s="8" t="s">
        <v>1448</v>
      </c>
      <c r="B1040" s="16" t="s">
        <v>2859</v>
      </c>
      <c r="C1040" s="8" t="s">
        <v>377</v>
      </c>
      <c r="D1040" s="8" t="s">
        <v>1390</v>
      </c>
      <c r="E1040" s="8" t="str">
        <f t="shared" si="107"/>
        <v>SUELA/OLIVE</v>
      </c>
      <c r="G1040" s="8" t="s">
        <v>2861</v>
      </c>
      <c r="H1040" s="8" t="str">
        <f>VLOOKUP(A1040,[1]BBDD!$B$1:$J$3274,9,FALSE)</f>
        <v>U</v>
      </c>
      <c r="I1040" s="8" t="s">
        <v>2861</v>
      </c>
      <c r="J1040" s="8" t="s">
        <v>1446</v>
      </c>
      <c r="L1040" s="8" t="s">
        <v>1392</v>
      </c>
      <c r="N1040" s="8" t="s">
        <v>1397</v>
      </c>
      <c r="O1040" s="8" t="s">
        <v>1397</v>
      </c>
      <c r="Q1040" s="8" t="s">
        <v>32</v>
      </c>
      <c r="R1040" s="8">
        <v>0</v>
      </c>
      <c r="S1040" s="8">
        <v>8</v>
      </c>
      <c r="T1040" s="8">
        <f t="shared" si="105"/>
        <v>8</v>
      </c>
      <c r="U1040" s="8">
        <v>0</v>
      </c>
      <c r="V1040" s="8">
        <v>5</v>
      </c>
      <c r="W1040" s="8">
        <v>4</v>
      </c>
      <c r="X1040" s="8">
        <v>3</v>
      </c>
      <c r="Y1040" s="8">
        <v>1</v>
      </c>
      <c r="Z1040" s="8">
        <v>4</v>
      </c>
      <c r="AA1040" s="8">
        <v>180</v>
      </c>
      <c r="AB1040" s="9">
        <f t="shared" si="106"/>
        <v>2.833333333333333</v>
      </c>
      <c r="AC1040" s="10">
        <f t="shared" si="108"/>
        <v>2.8235294117647061</v>
      </c>
      <c r="AD1040" s="8" t="s">
        <v>33</v>
      </c>
      <c r="AE1040" s="11">
        <v>29990</v>
      </c>
      <c r="AF1040" s="11">
        <f t="shared" si="109"/>
        <v>239920</v>
      </c>
      <c r="AG1040" s="12" t="s">
        <v>34</v>
      </c>
      <c r="AH1040" s="8" t="s">
        <v>35</v>
      </c>
    </row>
    <row r="1041" spans="1:34">
      <c r="A1041" s="8" t="s">
        <v>1449</v>
      </c>
      <c r="B1041" s="16" t="s">
        <v>2859</v>
      </c>
      <c r="C1041" s="8" t="s">
        <v>377</v>
      </c>
      <c r="D1041" s="8" t="s">
        <v>1390</v>
      </c>
      <c r="E1041" s="8" t="str">
        <f t="shared" si="107"/>
        <v>CARAMELO/OXIDO</v>
      </c>
      <c r="G1041" s="8" t="s">
        <v>2861</v>
      </c>
      <c r="H1041" s="8" t="str">
        <f>VLOOKUP(A1041,[1]BBDD!$B$1:$J$3274,9,FALSE)</f>
        <v>U</v>
      </c>
      <c r="I1041" s="8" t="s">
        <v>2861</v>
      </c>
      <c r="J1041" s="8" t="s">
        <v>1446</v>
      </c>
      <c r="L1041" s="8" t="s">
        <v>1392</v>
      </c>
      <c r="N1041" s="8" t="s">
        <v>1399</v>
      </c>
      <c r="O1041" s="8" t="s">
        <v>1399</v>
      </c>
      <c r="Q1041" s="8" t="s">
        <v>32</v>
      </c>
      <c r="R1041" s="8">
        <v>2</v>
      </c>
      <c r="S1041" s="8">
        <v>4</v>
      </c>
      <c r="T1041" s="8">
        <f t="shared" si="105"/>
        <v>6</v>
      </c>
      <c r="U1041" s="8">
        <v>0</v>
      </c>
      <c r="V1041" s="8">
        <v>0</v>
      </c>
      <c r="W1041" s="8">
        <v>1</v>
      </c>
      <c r="X1041" s="8">
        <v>1</v>
      </c>
      <c r="Y1041" s="8">
        <v>1</v>
      </c>
      <c r="Z1041" s="8">
        <v>1</v>
      </c>
      <c r="AA1041" s="8">
        <v>180</v>
      </c>
      <c r="AB1041" s="9">
        <f t="shared" si="106"/>
        <v>0.66666666666666674</v>
      </c>
      <c r="AC1041" s="10">
        <f t="shared" si="108"/>
        <v>8.9999999999999982</v>
      </c>
      <c r="AD1041" s="8" t="s">
        <v>33</v>
      </c>
      <c r="AE1041" s="11">
        <v>29990</v>
      </c>
      <c r="AF1041" s="11">
        <f t="shared" si="109"/>
        <v>179940</v>
      </c>
      <c r="AG1041" s="12" t="s">
        <v>51</v>
      </c>
      <c r="AH1041" s="8" t="s">
        <v>35</v>
      </c>
    </row>
    <row r="1042" spans="1:34">
      <c r="A1042" s="8" t="s">
        <v>1450</v>
      </c>
      <c r="B1042" s="16" t="s">
        <v>2859</v>
      </c>
      <c r="C1042" s="8" t="s">
        <v>377</v>
      </c>
      <c r="D1042" s="8" t="s">
        <v>1390</v>
      </c>
      <c r="E1042" s="8" t="str">
        <f t="shared" si="107"/>
        <v>CARAMELO/OXIDO</v>
      </c>
      <c r="G1042" s="8" t="s">
        <v>2861</v>
      </c>
      <c r="H1042" s="8" t="str">
        <f>VLOOKUP(A1042,[1]BBDD!$B$1:$J$3274,9,FALSE)</f>
        <v>U</v>
      </c>
      <c r="I1042" s="8" t="s">
        <v>2861</v>
      </c>
      <c r="J1042" s="8" t="s">
        <v>1451</v>
      </c>
      <c r="L1042" s="8" t="s">
        <v>1392</v>
      </c>
      <c r="N1042" s="8" t="s">
        <v>1399</v>
      </c>
      <c r="O1042" s="8" t="s">
        <v>1399</v>
      </c>
      <c r="Q1042" s="8" t="s">
        <v>32</v>
      </c>
      <c r="R1042" s="8">
        <v>5</v>
      </c>
      <c r="S1042" s="8">
        <v>6</v>
      </c>
      <c r="T1042" s="8">
        <f t="shared" si="105"/>
        <v>11</v>
      </c>
      <c r="U1042" s="8">
        <v>0</v>
      </c>
      <c r="V1042" s="8">
        <v>3</v>
      </c>
      <c r="W1042" s="8">
        <v>3</v>
      </c>
      <c r="X1042" s="8">
        <v>0</v>
      </c>
      <c r="Y1042" s="8">
        <v>2</v>
      </c>
      <c r="Z1042" s="8">
        <v>0</v>
      </c>
      <c r="AA1042" s="8">
        <v>180</v>
      </c>
      <c r="AB1042" s="9">
        <f t="shared" si="106"/>
        <v>1.3333333333333335</v>
      </c>
      <c r="AC1042" s="10">
        <f t="shared" si="108"/>
        <v>8.2499999999999982</v>
      </c>
      <c r="AD1042" s="8" t="s">
        <v>33</v>
      </c>
      <c r="AE1042" s="11">
        <v>29990</v>
      </c>
      <c r="AF1042" s="11">
        <f t="shared" si="109"/>
        <v>329890</v>
      </c>
      <c r="AG1042" s="12" t="s">
        <v>51</v>
      </c>
      <c r="AH1042" s="8" t="s">
        <v>65</v>
      </c>
    </row>
    <row r="1043" spans="1:34">
      <c r="A1043" s="8" t="s">
        <v>1452</v>
      </c>
      <c r="B1043" s="16" t="s">
        <v>2859</v>
      </c>
      <c r="C1043" s="8" t="s">
        <v>377</v>
      </c>
      <c r="D1043" s="8" t="s">
        <v>1390</v>
      </c>
      <c r="E1043" s="8" t="str">
        <f t="shared" si="107"/>
        <v>MALBEC/AZUL</v>
      </c>
      <c r="G1043" s="8" t="s">
        <v>2861</v>
      </c>
      <c r="H1043" s="8" t="str">
        <f>VLOOKUP(A1043,[1]BBDD!$B$1:$J$3274,9,FALSE)</f>
        <v>U</v>
      </c>
      <c r="I1043" s="8" t="s">
        <v>2861</v>
      </c>
      <c r="J1043" s="8" t="s">
        <v>1451</v>
      </c>
      <c r="L1043" s="8" t="s">
        <v>1392</v>
      </c>
      <c r="N1043" s="8" t="s">
        <v>1393</v>
      </c>
      <c r="O1043" s="8" t="s">
        <v>1393</v>
      </c>
      <c r="Q1043" s="8" t="s">
        <v>32</v>
      </c>
      <c r="R1043" s="8">
        <v>3</v>
      </c>
      <c r="S1043" s="8">
        <v>5</v>
      </c>
      <c r="T1043" s="8">
        <f t="shared" si="105"/>
        <v>8</v>
      </c>
      <c r="U1043" s="8">
        <v>0</v>
      </c>
      <c r="V1043" s="8">
        <v>0</v>
      </c>
      <c r="W1043" s="8">
        <v>1</v>
      </c>
      <c r="X1043" s="8">
        <v>0</v>
      </c>
      <c r="Y1043" s="8">
        <v>1</v>
      </c>
      <c r="Z1043" s="8">
        <v>0</v>
      </c>
      <c r="AA1043" s="8">
        <v>180</v>
      </c>
      <c r="AB1043" s="9">
        <f t="shared" si="106"/>
        <v>0.33333333333333337</v>
      </c>
      <c r="AC1043" s="10">
        <f t="shared" si="108"/>
        <v>23.999999999999996</v>
      </c>
      <c r="AD1043" s="8" t="s">
        <v>33</v>
      </c>
      <c r="AE1043" s="11">
        <v>29990</v>
      </c>
      <c r="AF1043" s="11">
        <f t="shared" si="109"/>
        <v>239920</v>
      </c>
      <c r="AG1043" s="12" t="s">
        <v>64</v>
      </c>
      <c r="AH1043" s="8" t="s">
        <v>35</v>
      </c>
    </row>
    <row r="1044" spans="1:34">
      <c r="A1044" s="8" t="s">
        <v>1453</v>
      </c>
      <c r="B1044" s="16" t="s">
        <v>2859</v>
      </c>
      <c r="C1044" s="8" t="s">
        <v>377</v>
      </c>
      <c r="D1044" s="8" t="s">
        <v>1390</v>
      </c>
      <c r="E1044" s="8" t="str">
        <f t="shared" si="107"/>
        <v>NEGRO/OXIDO</v>
      </c>
      <c r="G1044" s="8" t="s">
        <v>2861</v>
      </c>
      <c r="H1044" s="8" t="str">
        <f>VLOOKUP(A1044,[1]BBDD!$B$1:$J$3274,9,FALSE)</f>
        <v>U</v>
      </c>
      <c r="I1044" s="8" t="s">
        <v>2861</v>
      </c>
      <c r="J1044" s="8" t="s">
        <v>1451</v>
      </c>
      <c r="L1044" s="8" t="s">
        <v>1392</v>
      </c>
      <c r="N1044" s="8" t="s">
        <v>1395</v>
      </c>
      <c r="O1044" s="8" t="s">
        <v>1395</v>
      </c>
      <c r="Q1044" s="8" t="s">
        <v>32</v>
      </c>
      <c r="R1044" s="8">
        <v>1</v>
      </c>
      <c r="S1044" s="8">
        <v>5</v>
      </c>
      <c r="T1044" s="8">
        <f t="shared" si="105"/>
        <v>6</v>
      </c>
      <c r="U1044" s="8">
        <v>0</v>
      </c>
      <c r="V1044" s="8">
        <v>0</v>
      </c>
      <c r="W1044" s="8">
        <v>1</v>
      </c>
      <c r="X1044" s="8">
        <v>1</v>
      </c>
      <c r="Y1044" s="8">
        <v>1</v>
      </c>
      <c r="Z1044" s="8">
        <v>1</v>
      </c>
      <c r="AA1044" s="8">
        <v>180</v>
      </c>
      <c r="AB1044" s="9">
        <f t="shared" si="106"/>
        <v>0.66666666666666674</v>
      </c>
      <c r="AC1044" s="10">
        <f t="shared" si="108"/>
        <v>8.9999999999999982</v>
      </c>
      <c r="AD1044" s="8" t="s">
        <v>33</v>
      </c>
      <c r="AE1044" s="11">
        <v>29990</v>
      </c>
      <c r="AF1044" s="11">
        <f t="shared" si="109"/>
        <v>179940</v>
      </c>
      <c r="AG1044" s="12" t="s">
        <v>51</v>
      </c>
      <c r="AH1044" s="8" t="s">
        <v>35</v>
      </c>
    </row>
    <row r="1045" spans="1:34">
      <c r="A1045" s="8" t="s">
        <v>1454</v>
      </c>
      <c r="B1045" s="16" t="s">
        <v>2859</v>
      </c>
      <c r="C1045" s="8" t="s">
        <v>377</v>
      </c>
      <c r="D1045" s="8" t="s">
        <v>1390</v>
      </c>
      <c r="E1045" s="8" t="str">
        <f t="shared" si="107"/>
        <v>SUELA/OLIVE</v>
      </c>
      <c r="G1045" s="8" t="s">
        <v>2861</v>
      </c>
      <c r="H1045" s="8" t="str">
        <f>VLOOKUP(A1045,[1]BBDD!$B$1:$J$3274,9,FALSE)</f>
        <v>U</v>
      </c>
      <c r="I1045" s="8" t="s">
        <v>2861</v>
      </c>
      <c r="J1045" s="8" t="s">
        <v>1451</v>
      </c>
      <c r="L1045" s="8" t="s">
        <v>1392</v>
      </c>
      <c r="N1045" s="8" t="s">
        <v>1397</v>
      </c>
      <c r="O1045" s="8" t="s">
        <v>1397</v>
      </c>
      <c r="Q1045" s="8" t="s">
        <v>32</v>
      </c>
      <c r="R1045" s="8">
        <v>1</v>
      </c>
      <c r="S1045" s="8">
        <v>4</v>
      </c>
      <c r="T1045" s="8">
        <f t="shared" si="105"/>
        <v>5</v>
      </c>
      <c r="U1045" s="8">
        <v>0</v>
      </c>
      <c r="V1045" s="8">
        <v>0</v>
      </c>
      <c r="W1045" s="8">
        <v>2</v>
      </c>
      <c r="X1045" s="8">
        <v>0</v>
      </c>
      <c r="Y1045" s="8">
        <v>2</v>
      </c>
      <c r="Z1045" s="8">
        <v>0</v>
      </c>
      <c r="AA1045" s="8">
        <v>180</v>
      </c>
      <c r="AB1045" s="9">
        <f t="shared" si="106"/>
        <v>0.66666666666666674</v>
      </c>
      <c r="AC1045" s="10">
        <f t="shared" si="108"/>
        <v>7.4999999999999991</v>
      </c>
      <c r="AD1045" s="8" t="s">
        <v>33</v>
      </c>
      <c r="AE1045" s="11">
        <v>29990</v>
      </c>
      <c r="AF1045" s="11">
        <f t="shared" si="109"/>
        <v>149950</v>
      </c>
      <c r="AG1045" s="12" t="s">
        <v>51</v>
      </c>
      <c r="AH1045" s="8" t="s">
        <v>35</v>
      </c>
    </row>
    <row r="1046" spans="1:34">
      <c r="A1046" s="8" t="s">
        <v>1455</v>
      </c>
      <c r="B1046" s="16" t="s">
        <v>2859</v>
      </c>
      <c r="C1046" s="8" t="s">
        <v>377</v>
      </c>
      <c r="D1046" s="8" t="s">
        <v>1390</v>
      </c>
      <c r="E1046" s="8" t="str">
        <f t="shared" si="107"/>
        <v>MALBEC/AZUL</v>
      </c>
      <c r="G1046" s="8" t="s">
        <v>2861</v>
      </c>
      <c r="H1046" s="8" t="str">
        <f>VLOOKUP(A1046,[1]BBDD!$B$1:$J$3274,9,FALSE)</f>
        <v>U</v>
      </c>
      <c r="I1046" s="8" t="s">
        <v>2861</v>
      </c>
      <c r="J1046" s="8" t="s">
        <v>1456</v>
      </c>
      <c r="L1046" s="8" t="s">
        <v>1392</v>
      </c>
      <c r="N1046" s="8" t="s">
        <v>1393</v>
      </c>
      <c r="O1046" s="8" t="s">
        <v>1393</v>
      </c>
      <c r="Q1046" s="8" t="s">
        <v>32</v>
      </c>
      <c r="R1046" s="8">
        <v>0</v>
      </c>
      <c r="S1046" s="8">
        <v>3</v>
      </c>
      <c r="T1046" s="8">
        <f t="shared" si="105"/>
        <v>3</v>
      </c>
      <c r="U1046" s="8">
        <v>0</v>
      </c>
      <c r="V1046" s="8">
        <v>2</v>
      </c>
      <c r="W1046" s="8">
        <v>3</v>
      </c>
      <c r="X1046" s="8">
        <v>0</v>
      </c>
      <c r="Y1046" s="8">
        <v>1</v>
      </c>
      <c r="Z1046" s="8">
        <v>0</v>
      </c>
      <c r="AA1046" s="8">
        <v>180</v>
      </c>
      <c r="AB1046" s="9">
        <f t="shared" si="106"/>
        <v>1</v>
      </c>
      <c r="AC1046" s="10">
        <f t="shared" si="108"/>
        <v>3</v>
      </c>
      <c r="AD1046" s="8" t="s">
        <v>33</v>
      </c>
      <c r="AE1046" s="11">
        <v>29990</v>
      </c>
      <c r="AF1046" s="11">
        <f t="shared" si="109"/>
        <v>89970</v>
      </c>
      <c r="AG1046" s="12" t="s">
        <v>34</v>
      </c>
      <c r="AH1046" s="8" t="s">
        <v>35</v>
      </c>
    </row>
    <row r="1047" spans="1:34">
      <c r="A1047" s="8" t="s">
        <v>1457</v>
      </c>
      <c r="B1047" s="16" t="s">
        <v>2859</v>
      </c>
      <c r="C1047" s="8" t="s">
        <v>377</v>
      </c>
      <c r="D1047" s="8" t="s">
        <v>1390</v>
      </c>
      <c r="E1047" s="8" t="str">
        <f t="shared" si="107"/>
        <v>NEGRO/OXIDO</v>
      </c>
      <c r="G1047" s="8" t="s">
        <v>2861</v>
      </c>
      <c r="H1047" s="8" t="str">
        <f>VLOOKUP(A1047,[1]BBDD!$B$1:$J$3274,9,FALSE)</f>
        <v>U</v>
      </c>
      <c r="I1047" s="8" t="s">
        <v>2861</v>
      </c>
      <c r="J1047" s="8" t="s">
        <v>1456</v>
      </c>
      <c r="L1047" s="8" t="s">
        <v>1392</v>
      </c>
      <c r="N1047" s="8" t="s">
        <v>1395</v>
      </c>
      <c r="O1047" s="8" t="s">
        <v>1395</v>
      </c>
      <c r="Q1047" s="8" t="s">
        <v>32</v>
      </c>
      <c r="R1047" s="8">
        <v>0</v>
      </c>
      <c r="S1047" s="8">
        <v>6</v>
      </c>
      <c r="T1047" s="8">
        <f t="shared" si="105"/>
        <v>6</v>
      </c>
      <c r="U1047" s="8">
        <v>0</v>
      </c>
      <c r="V1047" s="8">
        <v>1</v>
      </c>
      <c r="W1047" s="8">
        <v>0</v>
      </c>
      <c r="X1047" s="8">
        <v>0</v>
      </c>
      <c r="Y1047" s="8">
        <v>2</v>
      </c>
      <c r="Z1047" s="8">
        <v>1</v>
      </c>
      <c r="AA1047" s="8">
        <v>180</v>
      </c>
      <c r="AB1047" s="9">
        <f t="shared" si="106"/>
        <v>0.66666666666666674</v>
      </c>
      <c r="AC1047" s="10">
        <f t="shared" si="108"/>
        <v>8.9999999999999982</v>
      </c>
      <c r="AD1047" s="8" t="s">
        <v>33</v>
      </c>
      <c r="AE1047" s="11">
        <v>29990</v>
      </c>
      <c r="AF1047" s="11">
        <f t="shared" si="109"/>
        <v>179940</v>
      </c>
      <c r="AG1047" s="12" t="s">
        <v>51</v>
      </c>
      <c r="AH1047" s="8" t="s">
        <v>35</v>
      </c>
    </row>
    <row r="1048" spans="1:34">
      <c r="A1048" s="8" t="s">
        <v>1458</v>
      </c>
      <c r="B1048" s="16" t="s">
        <v>2859</v>
      </c>
      <c r="C1048" s="8" t="s">
        <v>377</v>
      </c>
      <c r="D1048" s="8" t="s">
        <v>1390</v>
      </c>
      <c r="E1048" s="8" t="str">
        <f t="shared" si="107"/>
        <v>CARAMELO/OXIDO</v>
      </c>
      <c r="G1048" s="8" t="s">
        <v>2861</v>
      </c>
      <c r="H1048" s="8" t="str">
        <f>VLOOKUP(A1048,[1]BBDD!$B$1:$J$3274,9,FALSE)</f>
        <v>U</v>
      </c>
      <c r="I1048" s="8" t="s">
        <v>2861</v>
      </c>
      <c r="J1048" s="8" t="s">
        <v>1456</v>
      </c>
      <c r="L1048" s="8" t="s">
        <v>1392</v>
      </c>
      <c r="N1048" s="8" t="s">
        <v>1399</v>
      </c>
      <c r="O1048" s="8" t="s">
        <v>1399</v>
      </c>
      <c r="Q1048" s="8" t="s">
        <v>32</v>
      </c>
      <c r="R1048" s="8">
        <v>0</v>
      </c>
      <c r="S1048" s="8">
        <v>5</v>
      </c>
      <c r="T1048" s="8">
        <f t="shared" si="105"/>
        <v>5</v>
      </c>
      <c r="U1048" s="8">
        <v>0</v>
      </c>
      <c r="V1048" s="8">
        <v>2</v>
      </c>
      <c r="W1048" s="8">
        <v>0</v>
      </c>
      <c r="X1048" s="8">
        <v>1</v>
      </c>
      <c r="Y1048" s="8">
        <v>1</v>
      </c>
      <c r="Z1048" s="8">
        <v>1</v>
      </c>
      <c r="AA1048" s="8">
        <v>180</v>
      </c>
      <c r="AB1048" s="9">
        <f t="shared" si="106"/>
        <v>0.83333333333333326</v>
      </c>
      <c r="AC1048" s="10">
        <f t="shared" si="108"/>
        <v>6.0000000000000009</v>
      </c>
      <c r="AD1048" s="8" t="s">
        <v>33</v>
      </c>
      <c r="AE1048" s="11">
        <v>29990</v>
      </c>
      <c r="AF1048" s="11">
        <f t="shared" si="109"/>
        <v>149950</v>
      </c>
      <c r="AG1048" s="12" t="s">
        <v>34</v>
      </c>
      <c r="AH1048" s="8" t="s">
        <v>35</v>
      </c>
    </row>
    <row r="1049" spans="1:34">
      <c r="A1049" s="8" t="s">
        <v>1459</v>
      </c>
      <c r="B1049" s="16" t="s">
        <v>2859</v>
      </c>
      <c r="C1049" s="8" t="s">
        <v>377</v>
      </c>
      <c r="D1049" s="8" t="s">
        <v>1390</v>
      </c>
      <c r="E1049" s="8" t="str">
        <f t="shared" si="107"/>
        <v>CARAMELO/OXIDO</v>
      </c>
      <c r="G1049" s="8" t="s">
        <v>2861</v>
      </c>
      <c r="H1049" s="8" t="str">
        <f>VLOOKUP(A1049,[1]BBDD!$B$1:$J$3274,9,FALSE)</f>
        <v>U</v>
      </c>
      <c r="I1049" s="8" t="s">
        <v>2861</v>
      </c>
      <c r="J1049" s="8" t="s">
        <v>1460</v>
      </c>
      <c r="L1049" s="8" t="s">
        <v>1392</v>
      </c>
      <c r="N1049" s="8" t="s">
        <v>1399</v>
      </c>
      <c r="O1049" s="8" t="s">
        <v>1399</v>
      </c>
      <c r="Q1049" s="8" t="s">
        <v>32</v>
      </c>
      <c r="R1049" s="8">
        <v>0</v>
      </c>
      <c r="S1049" s="8">
        <v>8</v>
      </c>
      <c r="T1049" s="8">
        <f t="shared" si="105"/>
        <v>8</v>
      </c>
      <c r="U1049" s="8">
        <v>0</v>
      </c>
      <c r="V1049" s="8">
        <v>2</v>
      </c>
      <c r="W1049" s="8">
        <v>2</v>
      </c>
      <c r="X1049" s="8">
        <v>3</v>
      </c>
      <c r="Y1049" s="8">
        <v>2</v>
      </c>
      <c r="Z1049" s="8">
        <v>5</v>
      </c>
      <c r="AA1049" s="8">
        <v>180</v>
      </c>
      <c r="AB1049" s="9">
        <f t="shared" si="106"/>
        <v>2.3333333333333335</v>
      </c>
      <c r="AC1049" s="10">
        <f t="shared" si="108"/>
        <v>3.4285714285714284</v>
      </c>
      <c r="AD1049" s="8" t="s">
        <v>33</v>
      </c>
      <c r="AE1049" s="11">
        <v>29990</v>
      </c>
      <c r="AF1049" s="11">
        <f t="shared" si="109"/>
        <v>239920</v>
      </c>
      <c r="AG1049" s="12" t="s">
        <v>34</v>
      </c>
      <c r="AH1049" s="8" t="s">
        <v>35</v>
      </c>
    </row>
    <row r="1050" spans="1:34">
      <c r="A1050" s="8" t="s">
        <v>1461</v>
      </c>
      <c r="B1050" s="16" t="s">
        <v>2859</v>
      </c>
      <c r="C1050" s="8" t="s">
        <v>377</v>
      </c>
      <c r="D1050" s="8" t="s">
        <v>1390</v>
      </c>
      <c r="E1050" s="8" t="str">
        <f t="shared" si="107"/>
        <v>NEGRO/OXIDO</v>
      </c>
      <c r="G1050" s="8" t="s">
        <v>2861</v>
      </c>
      <c r="H1050" s="8" t="str">
        <f>VLOOKUP(A1050,[1]BBDD!$B$1:$J$3274,9,FALSE)</f>
        <v>U</v>
      </c>
      <c r="I1050" s="8" t="s">
        <v>2861</v>
      </c>
      <c r="J1050" s="8" t="s">
        <v>1460</v>
      </c>
      <c r="L1050" s="8" t="s">
        <v>1392</v>
      </c>
      <c r="N1050" s="8" t="s">
        <v>1395</v>
      </c>
      <c r="O1050" s="8" t="s">
        <v>1395</v>
      </c>
      <c r="Q1050" s="8" t="s">
        <v>32</v>
      </c>
      <c r="R1050" s="8">
        <v>0</v>
      </c>
      <c r="S1050" s="8">
        <v>6</v>
      </c>
      <c r="T1050" s="8">
        <f t="shared" si="105"/>
        <v>6</v>
      </c>
      <c r="U1050" s="8">
        <v>0</v>
      </c>
      <c r="V1050" s="8">
        <v>0</v>
      </c>
      <c r="W1050" s="8">
        <v>3</v>
      </c>
      <c r="X1050" s="8">
        <v>0</v>
      </c>
      <c r="Y1050" s="8">
        <v>1</v>
      </c>
      <c r="Z1050" s="8">
        <v>0</v>
      </c>
      <c r="AA1050" s="8">
        <v>180</v>
      </c>
      <c r="AB1050" s="9">
        <f t="shared" si="106"/>
        <v>0.66666666666666674</v>
      </c>
      <c r="AC1050" s="10">
        <f t="shared" si="108"/>
        <v>8.9999999999999982</v>
      </c>
      <c r="AD1050" s="8" t="s">
        <v>33</v>
      </c>
      <c r="AE1050" s="11">
        <v>29990</v>
      </c>
      <c r="AF1050" s="11">
        <f t="shared" si="109"/>
        <v>179940</v>
      </c>
      <c r="AG1050" s="12" t="s">
        <v>51</v>
      </c>
      <c r="AH1050" s="8" t="s">
        <v>35</v>
      </c>
    </row>
    <row r="1051" spans="1:34">
      <c r="A1051" s="8" t="s">
        <v>1462</v>
      </c>
      <c r="B1051" s="16" t="s">
        <v>2859</v>
      </c>
      <c r="C1051" s="8" t="s">
        <v>377</v>
      </c>
      <c r="D1051" s="8" t="s">
        <v>1390</v>
      </c>
      <c r="E1051" s="8" t="str">
        <f t="shared" si="107"/>
        <v>SUELA/OLIVE</v>
      </c>
      <c r="G1051" s="8" t="s">
        <v>2861</v>
      </c>
      <c r="H1051" s="8" t="str">
        <f>VLOOKUP(A1051,[1]BBDD!$B$1:$J$3274,9,FALSE)</f>
        <v>U</v>
      </c>
      <c r="I1051" s="8" t="s">
        <v>2861</v>
      </c>
      <c r="J1051" s="8" t="s">
        <v>1460</v>
      </c>
      <c r="L1051" s="8" t="s">
        <v>1392</v>
      </c>
      <c r="N1051" s="8" t="s">
        <v>1397</v>
      </c>
      <c r="O1051" s="8" t="s">
        <v>1397</v>
      </c>
      <c r="Q1051" s="8" t="s">
        <v>32</v>
      </c>
      <c r="R1051" s="8">
        <v>0</v>
      </c>
      <c r="S1051" s="8">
        <v>5</v>
      </c>
      <c r="T1051" s="8">
        <f t="shared" si="105"/>
        <v>5</v>
      </c>
      <c r="U1051" s="8">
        <v>0</v>
      </c>
      <c r="V1051" s="8">
        <v>2</v>
      </c>
      <c r="W1051" s="8">
        <v>1</v>
      </c>
      <c r="X1051" s="8">
        <v>0</v>
      </c>
      <c r="Y1051" s="8">
        <v>2</v>
      </c>
      <c r="Z1051" s="8">
        <v>1</v>
      </c>
      <c r="AA1051" s="8">
        <v>180</v>
      </c>
      <c r="AB1051" s="9">
        <f t="shared" si="106"/>
        <v>1</v>
      </c>
      <c r="AC1051" s="10">
        <f t="shared" si="108"/>
        <v>5</v>
      </c>
      <c r="AD1051" s="8" t="s">
        <v>33</v>
      </c>
      <c r="AE1051" s="11">
        <v>29990</v>
      </c>
      <c r="AF1051" s="11">
        <f t="shared" si="109"/>
        <v>149950</v>
      </c>
      <c r="AG1051" s="12" t="s">
        <v>34</v>
      </c>
      <c r="AH1051" s="8" t="s">
        <v>35</v>
      </c>
    </row>
    <row r="1052" spans="1:34">
      <c r="A1052" s="8" t="s">
        <v>1463</v>
      </c>
      <c r="B1052" s="16" t="s">
        <v>2859</v>
      </c>
      <c r="C1052" s="8" t="s">
        <v>377</v>
      </c>
      <c r="D1052" s="8" t="s">
        <v>1390</v>
      </c>
      <c r="E1052" s="8" t="str">
        <f t="shared" si="107"/>
        <v>MALBEC/AZUL</v>
      </c>
      <c r="G1052" s="8" t="s">
        <v>2861</v>
      </c>
      <c r="H1052" s="8" t="str">
        <f>VLOOKUP(A1052,[1]BBDD!$B$1:$J$3274,9,FALSE)</f>
        <v>U</v>
      </c>
      <c r="I1052" s="8" t="s">
        <v>2861</v>
      </c>
      <c r="J1052" s="8" t="s">
        <v>1464</v>
      </c>
      <c r="L1052" s="8" t="s">
        <v>1392</v>
      </c>
      <c r="N1052" s="8" t="s">
        <v>1393</v>
      </c>
      <c r="O1052" s="8" t="s">
        <v>1393</v>
      </c>
      <c r="Q1052" s="8" t="s">
        <v>32</v>
      </c>
      <c r="R1052" s="8">
        <v>0</v>
      </c>
      <c r="S1052" s="8">
        <v>4</v>
      </c>
      <c r="T1052" s="8">
        <f t="shared" si="105"/>
        <v>4</v>
      </c>
      <c r="U1052" s="8">
        <v>2</v>
      </c>
      <c r="V1052" s="8">
        <v>2</v>
      </c>
      <c r="W1052" s="8">
        <v>1</v>
      </c>
      <c r="X1052" s="8">
        <v>1</v>
      </c>
      <c r="Y1052" s="8">
        <v>0</v>
      </c>
      <c r="Z1052" s="8">
        <v>2</v>
      </c>
      <c r="AA1052" s="8">
        <v>180</v>
      </c>
      <c r="AB1052" s="9">
        <f t="shared" si="106"/>
        <v>1.3333333333333335</v>
      </c>
      <c r="AC1052" s="10">
        <f t="shared" si="108"/>
        <v>2.9999999999999996</v>
      </c>
      <c r="AD1052" s="8" t="s">
        <v>33</v>
      </c>
      <c r="AE1052" s="11">
        <v>29990</v>
      </c>
      <c r="AF1052" s="11">
        <f t="shared" si="109"/>
        <v>119960</v>
      </c>
      <c r="AG1052" s="12" t="s">
        <v>34</v>
      </c>
      <c r="AH1052" s="8" t="s">
        <v>35</v>
      </c>
    </row>
    <row r="1053" spans="1:34">
      <c r="A1053" s="8" t="s">
        <v>1465</v>
      </c>
      <c r="B1053" s="16" t="s">
        <v>2859</v>
      </c>
      <c r="C1053" s="8" t="s">
        <v>377</v>
      </c>
      <c r="D1053" s="8" t="s">
        <v>1390</v>
      </c>
      <c r="E1053" s="8" t="str">
        <f t="shared" si="107"/>
        <v>NEGRO/OXIDO</v>
      </c>
      <c r="G1053" s="8" t="s">
        <v>2861</v>
      </c>
      <c r="H1053" s="8" t="str">
        <f>VLOOKUP(A1053,[1]BBDD!$B$1:$J$3274,9,FALSE)</f>
        <v>U</v>
      </c>
      <c r="I1053" s="8" t="s">
        <v>2861</v>
      </c>
      <c r="J1053" s="8" t="s">
        <v>1464</v>
      </c>
      <c r="L1053" s="8" t="s">
        <v>1392</v>
      </c>
      <c r="N1053" s="8" t="s">
        <v>1395</v>
      </c>
      <c r="O1053" s="8" t="s">
        <v>1395</v>
      </c>
      <c r="Q1053" s="8" t="s">
        <v>32</v>
      </c>
      <c r="R1053" s="8">
        <v>4</v>
      </c>
      <c r="S1053" s="8">
        <v>4</v>
      </c>
      <c r="T1053" s="8">
        <f t="shared" si="105"/>
        <v>8</v>
      </c>
      <c r="U1053" s="8">
        <v>0</v>
      </c>
      <c r="V1053" s="8">
        <v>4</v>
      </c>
      <c r="W1053" s="8">
        <v>2</v>
      </c>
      <c r="X1053" s="8">
        <v>1</v>
      </c>
      <c r="Y1053" s="8">
        <v>1</v>
      </c>
      <c r="Z1053" s="8">
        <v>1</v>
      </c>
      <c r="AA1053" s="8">
        <v>180</v>
      </c>
      <c r="AB1053" s="9">
        <f t="shared" si="106"/>
        <v>1.5</v>
      </c>
      <c r="AC1053" s="10">
        <f t="shared" si="108"/>
        <v>5.333333333333333</v>
      </c>
      <c r="AD1053" s="8" t="s">
        <v>33</v>
      </c>
      <c r="AE1053" s="11">
        <v>29990</v>
      </c>
      <c r="AF1053" s="11">
        <f t="shared" si="109"/>
        <v>239920</v>
      </c>
      <c r="AG1053" s="12" t="s">
        <v>34</v>
      </c>
      <c r="AH1053" s="8" t="s">
        <v>35</v>
      </c>
    </row>
    <row r="1054" spans="1:34">
      <c r="A1054" s="8" t="s">
        <v>1466</v>
      </c>
      <c r="B1054" s="16" t="s">
        <v>2859</v>
      </c>
      <c r="C1054" s="8" t="s">
        <v>377</v>
      </c>
      <c r="D1054" s="8" t="s">
        <v>1390</v>
      </c>
      <c r="E1054" s="8" t="str">
        <f t="shared" si="107"/>
        <v>NEGRO/OXIDO</v>
      </c>
      <c r="G1054" s="8" t="s">
        <v>2861</v>
      </c>
      <c r="H1054" s="8" t="str">
        <f>VLOOKUP(A1054,[1]BBDD!$B$1:$J$3274,9,FALSE)</f>
        <v>U</v>
      </c>
      <c r="I1054" s="8" t="s">
        <v>2861</v>
      </c>
      <c r="J1054" s="8" t="s">
        <v>1467</v>
      </c>
      <c r="L1054" s="8" t="s">
        <v>1392</v>
      </c>
      <c r="N1054" s="8" t="s">
        <v>1395</v>
      </c>
      <c r="O1054" s="8" t="s">
        <v>1395</v>
      </c>
      <c r="Q1054" s="8" t="s">
        <v>32</v>
      </c>
      <c r="R1054" s="8">
        <v>1</v>
      </c>
      <c r="S1054" s="8">
        <v>4</v>
      </c>
      <c r="T1054" s="8">
        <f t="shared" si="105"/>
        <v>5</v>
      </c>
      <c r="U1054" s="8">
        <v>0</v>
      </c>
      <c r="V1054" s="8">
        <v>0</v>
      </c>
      <c r="W1054" s="8">
        <v>0</v>
      </c>
      <c r="X1054" s="8">
        <v>0</v>
      </c>
      <c r="Y1054" s="8">
        <v>1</v>
      </c>
      <c r="Z1054" s="8">
        <v>0</v>
      </c>
      <c r="AA1054" s="8">
        <v>180</v>
      </c>
      <c r="AB1054" s="9">
        <f t="shared" si="106"/>
        <v>0.16666666666666669</v>
      </c>
      <c r="AC1054" s="10">
        <f t="shared" si="108"/>
        <v>29.999999999999996</v>
      </c>
      <c r="AD1054" s="8" t="s">
        <v>33</v>
      </c>
      <c r="AE1054" s="11">
        <v>29990</v>
      </c>
      <c r="AF1054" s="11">
        <f t="shared" si="109"/>
        <v>149950</v>
      </c>
      <c r="AG1054" s="12" t="s">
        <v>73</v>
      </c>
      <c r="AH1054" s="8" t="s">
        <v>35</v>
      </c>
    </row>
    <row r="1055" spans="1:34">
      <c r="A1055" s="8" t="s">
        <v>1468</v>
      </c>
      <c r="B1055" s="16" t="s">
        <v>2859</v>
      </c>
      <c r="C1055" s="8" t="s">
        <v>377</v>
      </c>
      <c r="D1055" s="8" t="s">
        <v>1390</v>
      </c>
      <c r="E1055" s="8" t="str">
        <f t="shared" si="107"/>
        <v>MALBEC/AZUL</v>
      </c>
      <c r="G1055" s="8" t="s">
        <v>2861</v>
      </c>
      <c r="H1055" s="8" t="str">
        <f>VLOOKUP(A1055,[1]BBDD!$B$1:$J$3274,9,FALSE)</f>
        <v>U</v>
      </c>
      <c r="I1055" s="8" t="s">
        <v>2861</v>
      </c>
      <c r="J1055" s="8" t="s">
        <v>1469</v>
      </c>
      <c r="L1055" s="8" t="s">
        <v>1392</v>
      </c>
      <c r="N1055" s="8" t="s">
        <v>1393</v>
      </c>
      <c r="O1055" s="8" t="s">
        <v>1393</v>
      </c>
      <c r="Q1055" s="8" t="s">
        <v>32</v>
      </c>
      <c r="R1055" s="8">
        <v>0</v>
      </c>
      <c r="S1055" s="8">
        <v>8</v>
      </c>
      <c r="T1055" s="8">
        <f t="shared" si="105"/>
        <v>8</v>
      </c>
      <c r="U1055" s="8">
        <v>0</v>
      </c>
      <c r="V1055" s="8">
        <v>0</v>
      </c>
      <c r="W1055" s="8">
        <v>1</v>
      </c>
      <c r="X1055" s="8">
        <v>1</v>
      </c>
      <c r="Y1055" s="8">
        <v>2</v>
      </c>
      <c r="Z1055" s="8">
        <v>3</v>
      </c>
      <c r="AA1055" s="8">
        <v>180</v>
      </c>
      <c r="AB1055" s="9">
        <f t="shared" si="106"/>
        <v>1.1666666666666667</v>
      </c>
      <c r="AC1055" s="10">
        <f t="shared" si="108"/>
        <v>6.8571428571428568</v>
      </c>
      <c r="AD1055" s="8" t="s">
        <v>33</v>
      </c>
      <c r="AE1055" s="11">
        <v>29990</v>
      </c>
      <c r="AF1055" s="11">
        <f t="shared" si="109"/>
        <v>239920</v>
      </c>
      <c r="AG1055" s="12" t="s">
        <v>51</v>
      </c>
      <c r="AH1055" s="8" t="s">
        <v>35</v>
      </c>
    </row>
    <row r="1056" spans="1:34">
      <c r="A1056" s="8" t="s">
        <v>1470</v>
      </c>
      <c r="B1056" s="16" t="s">
        <v>2859</v>
      </c>
      <c r="C1056" s="8" t="s">
        <v>377</v>
      </c>
      <c r="D1056" s="8" t="s">
        <v>1390</v>
      </c>
      <c r="E1056" s="8" t="str">
        <f t="shared" si="107"/>
        <v>NEGRO/OXIDO</v>
      </c>
      <c r="G1056" s="8" t="s">
        <v>2861</v>
      </c>
      <c r="H1056" s="8" t="str">
        <f>VLOOKUP(A1056,[1]BBDD!$B$1:$J$3274,9,FALSE)</f>
        <v>U</v>
      </c>
      <c r="I1056" s="8" t="s">
        <v>2861</v>
      </c>
      <c r="J1056" s="8" t="s">
        <v>1469</v>
      </c>
      <c r="L1056" s="8" t="s">
        <v>1392</v>
      </c>
      <c r="N1056" s="8" t="s">
        <v>1395</v>
      </c>
      <c r="O1056" s="8" t="s">
        <v>1395</v>
      </c>
      <c r="Q1056" s="8" t="s">
        <v>32</v>
      </c>
      <c r="R1056" s="8">
        <v>9</v>
      </c>
      <c r="S1056" s="8">
        <v>4</v>
      </c>
      <c r="T1056" s="8">
        <f t="shared" si="105"/>
        <v>13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180</v>
      </c>
      <c r="AB1056" s="9">
        <f t="shared" si="106"/>
        <v>0</v>
      </c>
      <c r="AC1056" s="10" t="str">
        <f t="shared" si="108"/>
        <v>sin venta</v>
      </c>
      <c r="AD1056" s="8" t="s">
        <v>33</v>
      </c>
      <c r="AE1056" s="11">
        <v>29990</v>
      </c>
      <c r="AF1056" s="11">
        <f t="shared" si="109"/>
        <v>389870</v>
      </c>
      <c r="AG1056" s="12" t="s">
        <v>73</v>
      </c>
      <c r="AH1056" s="8" t="s">
        <v>65</v>
      </c>
    </row>
    <row r="1057" spans="1:34">
      <c r="A1057" s="8" t="s">
        <v>1471</v>
      </c>
      <c r="B1057" s="16" t="s">
        <v>2859</v>
      </c>
      <c r="C1057" s="8" t="s">
        <v>377</v>
      </c>
      <c r="D1057" s="8" t="s">
        <v>1390</v>
      </c>
      <c r="E1057" s="8" t="str">
        <f t="shared" si="107"/>
        <v>CARAMELO/OXIDO</v>
      </c>
      <c r="G1057" s="8" t="s">
        <v>2861</v>
      </c>
      <c r="H1057" s="8" t="str">
        <f>VLOOKUP(A1057,[1]BBDD!$B$1:$J$3274,9,FALSE)</f>
        <v>U</v>
      </c>
      <c r="I1057" s="8" t="s">
        <v>2861</v>
      </c>
      <c r="J1057" s="8" t="s">
        <v>1469</v>
      </c>
      <c r="L1057" s="8" t="s">
        <v>1392</v>
      </c>
      <c r="N1057" s="8" t="s">
        <v>1399</v>
      </c>
      <c r="O1057" s="8" t="s">
        <v>1399</v>
      </c>
      <c r="Q1057" s="8" t="s">
        <v>32</v>
      </c>
      <c r="R1057" s="8">
        <v>0</v>
      </c>
      <c r="S1057" s="8">
        <v>4</v>
      </c>
      <c r="T1057" s="8">
        <f t="shared" si="105"/>
        <v>4</v>
      </c>
      <c r="U1057" s="8">
        <v>0</v>
      </c>
      <c r="V1057" s="8">
        <v>0</v>
      </c>
      <c r="W1057" s="8">
        <v>1</v>
      </c>
      <c r="X1057" s="8">
        <v>2</v>
      </c>
      <c r="Y1057" s="8">
        <v>2</v>
      </c>
      <c r="Z1057" s="8">
        <v>1</v>
      </c>
      <c r="AA1057" s="8">
        <v>180</v>
      </c>
      <c r="AB1057" s="9">
        <f t="shared" si="106"/>
        <v>1</v>
      </c>
      <c r="AC1057" s="10">
        <f t="shared" si="108"/>
        <v>4</v>
      </c>
      <c r="AD1057" s="8" t="s">
        <v>33</v>
      </c>
      <c r="AE1057" s="11">
        <v>29990</v>
      </c>
      <c r="AF1057" s="11">
        <f t="shared" si="109"/>
        <v>119960</v>
      </c>
      <c r="AG1057" s="12" t="s">
        <v>34</v>
      </c>
      <c r="AH1057" s="8" t="s">
        <v>35</v>
      </c>
    </row>
    <row r="1058" spans="1:34">
      <c r="A1058" s="8" t="s">
        <v>1472</v>
      </c>
      <c r="B1058" s="16" t="s">
        <v>2859</v>
      </c>
      <c r="C1058" s="8" t="s">
        <v>377</v>
      </c>
      <c r="D1058" s="8" t="s">
        <v>1390</v>
      </c>
      <c r="E1058" s="8" t="str">
        <f t="shared" si="107"/>
        <v>SUELA/OLIVE</v>
      </c>
      <c r="G1058" s="8" t="s">
        <v>2861</v>
      </c>
      <c r="H1058" s="8" t="str">
        <f>VLOOKUP(A1058,[1]BBDD!$B$1:$J$3274,9,FALSE)</f>
        <v>U</v>
      </c>
      <c r="I1058" s="8" t="s">
        <v>2861</v>
      </c>
      <c r="J1058" s="8" t="s">
        <v>1469</v>
      </c>
      <c r="L1058" s="8" t="s">
        <v>1392</v>
      </c>
      <c r="N1058" s="8" t="s">
        <v>1397</v>
      </c>
      <c r="O1058" s="8" t="s">
        <v>1397</v>
      </c>
      <c r="Q1058" s="8" t="s">
        <v>32</v>
      </c>
      <c r="R1058" s="8">
        <v>0</v>
      </c>
      <c r="S1058" s="8">
        <v>6</v>
      </c>
      <c r="T1058" s="8">
        <f t="shared" si="105"/>
        <v>6</v>
      </c>
      <c r="U1058" s="8">
        <v>0</v>
      </c>
      <c r="V1058" s="8">
        <v>0</v>
      </c>
      <c r="W1058" s="8">
        <v>1</v>
      </c>
      <c r="X1058" s="8">
        <v>0</v>
      </c>
      <c r="Y1058" s="8">
        <v>2</v>
      </c>
      <c r="Z1058" s="8">
        <v>1</v>
      </c>
      <c r="AA1058" s="8">
        <v>180</v>
      </c>
      <c r="AB1058" s="9">
        <f t="shared" si="106"/>
        <v>0.66666666666666674</v>
      </c>
      <c r="AC1058" s="10">
        <f t="shared" si="108"/>
        <v>8.9999999999999982</v>
      </c>
      <c r="AD1058" s="8" t="s">
        <v>33</v>
      </c>
      <c r="AE1058" s="11">
        <v>29990</v>
      </c>
      <c r="AF1058" s="11">
        <f t="shared" si="109"/>
        <v>179940</v>
      </c>
      <c r="AG1058" s="12" t="s">
        <v>51</v>
      </c>
      <c r="AH1058" s="8" t="s">
        <v>35</v>
      </c>
    </row>
    <row r="1059" spans="1:34">
      <c r="A1059" s="8" t="s">
        <v>1473</v>
      </c>
      <c r="B1059" s="16" t="s">
        <v>2859</v>
      </c>
      <c r="C1059" s="8" t="s">
        <v>377</v>
      </c>
      <c r="D1059" s="8" t="s">
        <v>1390</v>
      </c>
      <c r="E1059" s="8" t="str">
        <f t="shared" si="107"/>
        <v>NEGRO/OXIDO</v>
      </c>
      <c r="G1059" s="8" t="s">
        <v>2861</v>
      </c>
      <c r="H1059" s="8" t="str">
        <f>VLOOKUP(A1059,[1]BBDD!$B$1:$J$3274,9,FALSE)</f>
        <v>U</v>
      </c>
      <c r="I1059" s="8" t="s">
        <v>2861</v>
      </c>
      <c r="J1059" s="8" t="s">
        <v>1474</v>
      </c>
      <c r="L1059" s="8" t="s">
        <v>1392</v>
      </c>
      <c r="N1059" s="8" t="s">
        <v>1395</v>
      </c>
      <c r="O1059" s="8" t="s">
        <v>1395</v>
      </c>
      <c r="Q1059" s="8" t="s">
        <v>32</v>
      </c>
      <c r="R1059" s="8">
        <v>3</v>
      </c>
      <c r="S1059" s="8">
        <v>6</v>
      </c>
      <c r="T1059" s="8">
        <f t="shared" si="105"/>
        <v>9</v>
      </c>
      <c r="U1059" s="8">
        <v>0</v>
      </c>
      <c r="V1059" s="8">
        <v>0</v>
      </c>
      <c r="W1059" s="8">
        <v>1</v>
      </c>
      <c r="X1059" s="8">
        <v>0</v>
      </c>
      <c r="Y1059" s="8">
        <v>0</v>
      </c>
      <c r="Z1059" s="8">
        <v>0</v>
      </c>
      <c r="AA1059" s="8">
        <v>180</v>
      </c>
      <c r="AB1059" s="9">
        <f t="shared" si="106"/>
        <v>0.16666666666666669</v>
      </c>
      <c r="AC1059" s="10">
        <f t="shared" si="108"/>
        <v>53.999999999999993</v>
      </c>
      <c r="AD1059" s="8" t="s">
        <v>33</v>
      </c>
      <c r="AE1059" s="11">
        <v>29990</v>
      </c>
      <c r="AF1059" s="11">
        <f t="shared" si="109"/>
        <v>269910</v>
      </c>
      <c r="AG1059" s="12" t="s">
        <v>73</v>
      </c>
      <c r="AH1059" s="8" t="s">
        <v>35</v>
      </c>
    </row>
    <row r="1060" spans="1:34">
      <c r="A1060" s="8" t="s">
        <v>1475</v>
      </c>
      <c r="B1060" s="16" t="s">
        <v>2859</v>
      </c>
      <c r="C1060" s="8" t="s">
        <v>377</v>
      </c>
      <c r="D1060" s="8" t="s">
        <v>1390</v>
      </c>
      <c r="E1060" s="8" t="str">
        <f t="shared" si="107"/>
        <v>SUELA/OLIVE</v>
      </c>
      <c r="G1060" s="8" t="s">
        <v>2861</v>
      </c>
      <c r="H1060" s="8" t="str">
        <f>VLOOKUP(A1060,[1]BBDD!$B$1:$J$3274,9,FALSE)</f>
        <v>U</v>
      </c>
      <c r="I1060" s="8" t="s">
        <v>2861</v>
      </c>
      <c r="J1060" s="8" t="s">
        <v>1474</v>
      </c>
      <c r="L1060" s="8" t="s">
        <v>1392</v>
      </c>
      <c r="N1060" s="8" t="s">
        <v>1397</v>
      </c>
      <c r="O1060" s="8" t="s">
        <v>1397</v>
      </c>
      <c r="Q1060" s="8" t="s">
        <v>32</v>
      </c>
      <c r="R1060" s="8">
        <v>0</v>
      </c>
      <c r="S1060" s="8">
        <v>7</v>
      </c>
      <c r="T1060" s="8">
        <f t="shared" si="105"/>
        <v>7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3</v>
      </c>
      <c r="AA1060" s="8">
        <v>180</v>
      </c>
      <c r="AB1060" s="9">
        <f t="shared" si="106"/>
        <v>0.5</v>
      </c>
      <c r="AC1060" s="10">
        <f t="shared" si="108"/>
        <v>14</v>
      </c>
      <c r="AD1060" s="8" t="s">
        <v>33</v>
      </c>
      <c r="AE1060" s="11">
        <v>29990</v>
      </c>
      <c r="AF1060" s="11">
        <f t="shared" si="109"/>
        <v>209930</v>
      </c>
      <c r="AG1060" s="12" t="s">
        <v>64</v>
      </c>
      <c r="AH1060" s="8" t="s">
        <v>35</v>
      </c>
    </row>
    <row r="1061" spans="1:34">
      <c r="A1061" s="8" t="s">
        <v>1476</v>
      </c>
      <c r="B1061" s="16" t="s">
        <v>2859</v>
      </c>
      <c r="C1061" s="8" t="s">
        <v>377</v>
      </c>
      <c r="D1061" s="8" t="s">
        <v>1390</v>
      </c>
      <c r="E1061" s="8" t="str">
        <f t="shared" si="107"/>
        <v>MALBEC/AZUL</v>
      </c>
      <c r="G1061" s="8" t="s">
        <v>2861</v>
      </c>
      <c r="H1061" s="8" t="str">
        <f>VLOOKUP(A1061,[1]BBDD!$B$1:$J$3274,9,FALSE)</f>
        <v>U</v>
      </c>
      <c r="I1061" s="8" t="s">
        <v>2861</v>
      </c>
      <c r="J1061" s="8" t="s">
        <v>1474</v>
      </c>
      <c r="L1061" s="8" t="s">
        <v>1392</v>
      </c>
      <c r="N1061" s="8" t="s">
        <v>1393</v>
      </c>
      <c r="O1061" s="8" t="s">
        <v>1393</v>
      </c>
      <c r="Q1061" s="8" t="s">
        <v>32</v>
      </c>
      <c r="R1061" s="8">
        <v>3</v>
      </c>
      <c r="S1061" s="8">
        <v>6</v>
      </c>
      <c r="T1061" s="8">
        <f t="shared" si="105"/>
        <v>9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1</v>
      </c>
      <c r="AA1061" s="8">
        <v>180</v>
      </c>
      <c r="AB1061" s="9">
        <f t="shared" si="106"/>
        <v>0.16666666666666669</v>
      </c>
      <c r="AC1061" s="10">
        <f t="shared" si="108"/>
        <v>53.999999999999993</v>
      </c>
      <c r="AD1061" s="8" t="s">
        <v>33</v>
      </c>
      <c r="AE1061" s="11">
        <v>29990</v>
      </c>
      <c r="AF1061" s="11">
        <f t="shared" si="109"/>
        <v>269910</v>
      </c>
      <c r="AG1061" s="12" t="s">
        <v>73</v>
      </c>
      <c r="AH1061" s="8" t="s">
        <v>35</v>
      </c>
    </row>
    <row r="1062" spans="1:34">
      <c r="A1062" s="8" t="s">
        <v>1477</v>
      </c>
      <c r="B1062" s="16" t="s">
        <v>2859</v>
      </c>
      <c r="C1062" s="8" t="s">
        <v>377</v>
      </c>
      <c r="D1062" s="8" t="s">
        <v>1390</v>
      </c>
      <c r="E1062" s="8" t="str">
        <f t="shared" si="107"/>
        <v>CARAMELO/OXIDO</v>
      </c>
      <c r="G1062" s="8" t="s">
        <v>2861</v>
      </c>
      <c r="H1062" s="8" t="str">
        <f>VLOOKUP(A1062,[1]BBDD!$B$1:$J$3274,9,FALSE)</f>
        <v>U</v>
      </c>
      <c r="I1062" s="8" t="s">
        <v>2861</v>
      </c>
      <c r="J1062" s="8" t="s">
        <v>1474</v>
      </c>
      <c r="L1062" s="8" t="s">
        <v>1392</v>
      </c>
      <c r="N1062" s="8" t="s">
        <v>1399</v>
      </c>
      <c r="O1062" s="8" t="s">
        <v>1399</v>
      </c>
      <c r="Q1062" s="8" t="s">
        <v>32</v>
      </c>
      <c r="R1062" s="8">
        <v>3</v>
      </c>
      <c r="S1062" s="8">
        <v>6</v>
      </c>
      <c r="T1062" s="8">
        <f t="shared" si="105"/>
        <v>9</v>
      </c>
      <c r="U1062" s="8">
        <v>0</v>
      </c>
      <c r="V1062" s="8">
        <v>0</v>
      </c>
      <c r="W1062" s="8">
        <v>0</v>
      </c>
      <c r="X1062" s="8">
        <v>0</v>
      </c>
      <c r="Y1062" s="8">
        <v>1</v>
      </c>
      <c r="Z1062" s="8">
        <v>0</v>
      </c>
      <c r="AA1062" s="8">
        <v>180</v>
      </c>
      <c r="AB1062" s="9">
        <f t="shared" si="106"/>
        <v>0.16666666666666669</v>
      </c>
      <c r="AC1062" s="10">
        <f t="shared" si="108"/>
        <v>53.999999999999993</v>
      </c>
      <c r="AD1062" s="8" t="s">
        <v>33</v>
      </c>
      <c r="AE1062" s="11">
        <v>29990</v>
      </c>
      <c r="AF1062" s="11">
        <f t="shared" si="109"/>
        <v>269910</v>
      </c>
      <c r="AG1062" s="12" t="s">
        <v>73</v>
      </c>
      <c r="AH1062" s="8" t="s">
        <v>35</v>
      </c>
    </row>
    <row r="1063" spans="1:34">
      <c r="A1063" s="8" t="s">
        <v>1478</v>
      </c>
      <c r="B1063" s="16" t="s">
        <v>2859</v>
      </c>
      <c r="C1063" s="8" t="s">
        <v>377</v>
      </c>
      <c r="D1063" s="8" t="s">
        <v>1390</v>
      </c>
      <c r="E1063" s="8" t="str">
        <f t="shared" si="107"/>
        <v>OXIDO</v>
      </c>
      <c r="G1063" s="8" t="s">
        <v>2861</v>
      </c>
      <c r="H1063" s="8" t="str">
        <f>VLOOKUP(A1063,[1]BBDD!$B$1:$J$3274,9,FALSE)</f>
        <v>U</v>
      </c>
      <c r="I1063" s="8" t="s">
        <v>2861</v>
      </c>
      <c r="J1063" s="8" t="s">
        <v>1479</v>
      </c>
      <c r="L1063" s="8" t="s">
        <v>71</v>
      </c>
      <c r="N1063" s="8" t="s">
        <v>78</v>
      </c>
      <c r="O1063" s="8" t="s">
        <v>78</v>
      </c>
      <c r="Q1063" s="8" t="s">
        <v>45</v>
      </c>
      <c r="R1063" s="8">
        <v>0</v>
      </c>
      <c r="S1063" s="8">
        <v>2</v>
      </c>
      <c r="T1063" s="8">
        <f t="shared" ref="T1063:T1086" si="110">SUM(R1063:S1063)</f>
        <v>2</v>
      </c>
      <c r="U1063" s="8">
        <v>0</v>
      </c>
      <c r="V1063" s="8">
        <v>1</v>
      </c>
      <c r="W1063" s="8">
        <v>0</v>
      </c>
      <c r="X1063" s="8">
        <v>0</v>
      </c>
      <c r="Y1063" s="8">
        <v>0</v>
      </c>
      <c r="Z1063" s="8">
        <v>1</v>
      </c>
      <c r="AA1063" s="8">
        <v>180</v>
      </c>
      <c r="AB1063" s="9">
        <f t="shared" ref="AB1063:AB1086" si="111">SUM(U1063:Z1063)/AA1063*30</f>
        <v>0.33333333333333337</v>
      </c>
      <c r="AC1063" s="10">
        <f t="shared" si="108"/>
        <v>5.9999999999999991</v>
      </c>
      <c r="AD1063" s="8" t="s">
        <v>46</v>
      </c>
      <c r="AE1063" s="11">
        <v>11990</v>
      </c>
      <c r="AF1063" s="11">
        <f t="shared" si="109"/>
        <v>23980</v>
      </c>
      <c r="AG1063" s="12" t="s">
        <v>34</v>
      </c>
      <c r="AH1063" s="8" t="s">
        <v>35</v>
      </c>
    </row>
    <row r="1064" spans="1:34">
      <c r="A1064" s="8" t="s">
        <v>1480</v>
      </c>
      <c r="B1064" s="16" t="s">
        <v>2859</v>
      </c>
      <c r="C1064" s="8" t="s">
        <v>377</v>
      </c>
      <c r="D1064" s="8" t="s">
        <v>1390</v>
      </c>
      <c r="E1064" s="8" t="str">
        <f t="shared" si="107"/>
        <v>VESUBIO</v>
      </c>
      <c r="G1064" s="8" t="s">
        <v>2861</v>
      </c>
      <c r="H1064" s="8" t="str">
        <f>VLOOKUP(A1064,[1]BBDD!$B$1:$J$3274,9,FALSE)</f>
        <v>U</v>
      </c>
      <c r="I1064" s="8" t="s">
        <v>2861</v>
      </c>
      <c r="J1064" s="8" t="s">
        <v>1479</v>
      </c>
      <c r="L1064" s="8" t="s">
        <v>71</v>
      </c>
      <c r="N1064" s="8" t="s">
        <v>80</v>
      </c>
      <c r="O1064" s="8" t="s">
        <v>80</v>
      </c>
      <c r="Q1064" s="8" t="s">
        <v>45</v>
      </c>
      <c r="R1064" s="8">
        <v>0</v>
      </c>
      <c r="S1064" s="8">
        <v>0</v>
      </c>
      <c r="T1064" s="8">
        <f t="shared" si="110"/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1</v>
      </c>
      <c r="Z1064" s="8">
        <v>0</v>
      </c>
      <c r="AA1064" s="8">
        <v>180</v>
      </c>
      <c r="AB1064" s="9">
        <f t="shared" si="111"/>
        <v>0.16666666666666669</v>
      </c>
      <c r="AC1064" s="10">
        <f t="shared" si="108"/>
        <v>0</v>
      </c>
      <c r="AD1064" s="8" t="s">
        <v>46</v>
      </c>
      <c r="AE1064" s="11">
        <v>11990</v>
      </c>
      <c r="AF1064" s="11">
        <f t="shared" si="109"/>
        <v>0</v>
      </c>
      <c r="AG1064" s="12" t="s">
        <v>34</v>
      </c>
      <c r="AH1064" s="8" t="s">
        <v>35</v>
      </c>
    </row>
    <row r="1065" spans="1:34">
      <c r="A1065" s="8" t="s">
        <v>1481</v>
      </c>
      <c r="B1065" s="16" t="s">
        <v>2859</v>
      </c>
      <c r="C1065" s="8" t="s">
        <v>377</v>
      </c>
      <c r="D1065" s="8" t="s">
        <v>1390</v>
      </c>
      <c r="E1065" s="8" t="str">
        <f t="shared" si="107"/>
        <v>AVELLANA</v>
      </c>
      <c r="G1065" s="8" t="s">
        <v>2861</v>
      </c>
      <c r="H1065" s="8" t="str">
        <f>VLOOKUP(A1065,[1]BBDD!$B$1:$J$3274,9,FALSE)</f>
        <v>U</v>
      </c>
      <c r="I1065" s="8" t="s">
        <v>2861</v>
      </c>
      <c r="J1065" s="8" t="s">
        <v>1479</v>
      </c>
      <c r="L1065" s="8" t="s">
        <v>71</v>
      </c>
      <c r="N1065" s="8" t="s">
        <v>72</v>
      </c>
      <c r="O1065" s="8" t="s">
        <v>72</v>
      </c>
      <c r="Q1065" s="8" t="s">
        <v>45</v>
      </c>
      <c r="R1065" s="8">
        <v>0</v>
      </c>
      <c r="S1065" s="8">
        <v>2</v>
      </c>
      <c r="T1065" s="8">
        <f t="shared" si="110"/>
        <v>2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180</v>
      </c>
      <c r="AB1065" s="9">
        <f t="shared" si="111"/>
        <v>0</v>
      </c>
      <c r="AC1065" s="10" t="str">
        <f t="shared" si="108"/>
        <v>sin venta</v>
      </c>
      <c r="AD1065" s="8" t="s">
        <v>46</v>
      </c>
      <c r="AE1065" s="11">
        <v>11990</v>
      </c>
      <c r="AF1065" s="11">
        <f t="shared" si="109"/>
        <v>23980</v>
      </c>
      <c r="AG1065" s="12" t="s">
        <v>73</v>
      </c>
      <c r="AH1065" s="8" t="s">
        <v>35</v>
      </c>
    </row>
    <row r="1066" spans="1:34">
      <c r="A1066" s="8" t="s">
        <v>1482</v>
      </c>
      <c r="B1066" s="16" t="s">
        <v>2859</v>
      </c>
      <c r="C1066" s="8" t="s">
        <v>377</v>
      </c>
      <c r="D1066" s="8" t="s">
        <v>1390</v>
      </c>
      <c r="E1066" s="8" t="str">
        <f t="shared" si="107"/>
        <v>SUELA</v>
      </c>
      <c r="G1066" s="8" t="s">
        <v>2861</v>
      </c>
      <c r="H1066" s="8" t="str">
        <f>VLOOKUP(A1066,[1]BBDD!$B$1:$J$3274,9,FALSE)</f>
        <v>U</v>
      </c>
      <c r="I1066" s="8" t="s">
        <v>2861</v>
      </c>
      <c r="J1066" s="8" t="s">
        <v>1483</v>
      </c>
      <c r="L1066" s="8" t="s">
        <v>1211</v>
      </c>
      <c r="N1066" s="8" t="s">
        <v>90</v>
      </c>
      <c r="O1066" s="8" t="s">
        <v>90</v>
      </c>
      <c r="Q1066" s="8" t="s">
        <v>32</v>
      </c>
      <c r="R1066" s="8">
        <v>0</v>
      </c>
      <c r="S1066" s="8">
        <v>0</v>
      </c>
      <c r="T1066" s="8">
        <f t="shared" si="110"/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1</v>
      </c>
      <c r="Z1066" s="8">
        <v>0</v>
      </c>
      <c r="AA1066" s="8">
        <v>180</v>
      </c>
      <c r="AB1066" s="9">
        <f t="shared" si="111"/>
        <v>0.16666666666666669</v>
      </c>
      <c r="AC1066" s="10">
        <f t="shared" si="108"/>
        <v>0</v>
      </c>
      <c r="AD1066" s="8" t="s">
        <v>33</v>
      </c>
      <c r="AE1066" s="11">
        <v>23990</v>
      </c>
      <c r="AF1066" s="11">
        <f t="shared" si="109"/>
        <v>0</v>
      </c>
      <c r="AG1066" s="12" t="s">
        <v>34</v>
      </c>
      <c r="AH1066" s="8" t="s">
        <v>35</v>
      </c>
    </row>
    <row r="1067" spans="1:34">
      <c r="A1067" s="8" t="s">
        <v>1484</v>
      </c>
      <c r="B1067" s="16" t="s">
        <v>2859</v>
      </c>
      <c r="C1067" s="8" t="s">
        <v>377</v>
      </c>
      <c r="D1067" s="8" t="s">
        <v>1390</v>
      </c>
      <c r="E1067" s="8" t="str">
        <f t="shared" si="107"/>
        <v>SUELA</v>
      </c>
      <c r="G1067" s="8" t="s">
        <v>2861</v>
      </c>
      <c r="H1067" s="8" t="str">
        <f>VLOOKUP(A1067,[1]BBDD!$B$1:$J$3274,9,FALSE)</f>
        <v>U</v>
      </c>
      <c r="I1067" s="8" t="s">
        <v>2861</v>
      </c>
      <c r="J1067" s="8" t="s">
        <v>1485</v>
      </c>
      <c r="L1067" s="8" t="s">
        <v>1211</v>
      </c>
      <c r="N1067" s="8" t="s">
        <v>90</v>
      </c>
      <c r="O1067" s="8" t="s">
        <v>90</v>
      </c>
      <c r="Q1067" s="8" t="s">
        <v>32</v>
      </c>
      <c r="R1067" s="8">
        <v>0</v>
      </c>
      <c r="S1067" s="8">
        <v>1</v>
      </c>
      <c r="T1067" s="8">
        <f t="shared" si="110"/>
        <v>1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180</v>
      </c>
      <c r="AB1067" s="9">
        <f t="shared" si="111"/>
        <v>0</v>
      </c>
      <c r="AC1067" s="10" t="str">
        <f t="shared" si="108"/>
        <v>sin venta</v>
      </c>
      <c r="AD1067" s="8" t="s">
        <v>33</v>
      </c>
      <c r="AE1067" s="11">
        <v>23990</v>
      </c>
      <c r="AF1067" s="11">
        <f t="shared" si="109"/>
        <v>23990</v>
      </c>
      <c r="AG1067" s="12" t="s">
        <v>73</v>
      </c>
      <c r="AH1067" s="8" t="s">
        <v>35</v>
      </c>
    </row>
    <row r="1068" spans="1:34">
      <c r="A1068" s="8" t="s">
        <v>1486</v>
      </c>
      <c r="B1068" s="16" t="s">
        <v>2859</v>
      </c>
      <c r="C1068" s="8" t="s">
        <v>377</v>
      </c>
      <c r="D1068" s="8" t="s">
        <v>1390</v>
      </c>
      <c r="E1068" s="8" t="str">
        <f t="shared" si="107"/>
        <v>SUELA</v>
      </c>
      <c r="G1068" s="8" t="s">
        <v>2861</v>
      </c>
      <c r="H1068" s="8" t="str">
        <f>VLOOKUP(A1068,[1]BBDD!$B$1:$J$3274,9,FALSE)</f>
        <v>U</v>
      </c>
      <c r="I1068" s="8" t="s">
        <v>2861</v>
      </c>
      <c r="J1068" s="8" t="s">
        <v>1487</v>
      </c>
      <c r="L1068" s="8" t="s">
        <v>1211</v>
      </c>
      <c r="N1068" s="8" t="s">
        <v>90</v>
      </c>
      <c r="O1068" s="8" t="s">
        <v>90</v>
      </c>
      <c r="Q1068" s="8" t="s">
        <v>32</v>
      </c>
      <c r="R1068" s="8">
        <v>0</v>
      </c>
      <c r="S1068" s="8">
        <v>0</v>
      </c>
      <c r="T1068" s="8">
        <f t="shared" si="110"/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1</v>
      </c>
      <c r="Z1068" s="8">
        <v>0</v>
      </c>
      <c r="AA1068" s="8">
        <v>180</v>
      </c>
      <c r="AB1068" s="9">
        <f t="shared" si="111"/>
        <v>0.16666666666666669</v>
      </c>
      <c r="AC1068" s="10">
        <f t="shared" si="108"/>
        <v>0</v>
      </c>
      <c r="AD1068" s="8" t="s">
        <v>33</v>
      </c>
      <c r="AE1068" s="11">
        <v>23990</v>
      </c>
      <c r="AF1068" s="11">
        <f t="shared" si="109"/>
        <v>0</v>
      </c>
      <c r="AG1068" s="12" t="s">
        <v>34</v>
      </c>
      <c r="AH1068" s="8" t="s">
        <v>35</v>
      </c>
    </row>
    <row r="1069" spans="1:34">
      <c r="A1069" s="8" t="s">
        <v>1488</v>
      </c>
      <c r="B1069" s="16" t="s">
        <v>2859</v>
      </c>
      <c r="C1069" s="8" t="s">
        <v>377</v>
      </c>
      <c r="D1069" s="8" t="s">
        <v>1390</v>
      </c>
      <c r="E1069" s="8" t="str">
        <f t="shared" si="107"/>
        <v>SUELA</v>
      </c>
      <c r="G1069" s="8" t="s">
        <v>2861</v>
      </c>
      <c r="H1069" s="8" t="str">
        <f>VLOOKUP(A1069,[1]BBDD!$B$1:$J$3274,9,FALSE)</f>
        <v>U</v>
      </c>
      <c r="I1069" s="8" t="s">
        <v>2861</v>
      </c>
      <c r="J1069" s="8" t="s">
        <v>1489</v>
      </c>
      <c r="L1069" s="8" t="s">
        <v>1211</v>
      </c>
      <c r="N1069" s="8" t="s">
        <v>90</v>
      </c>
      <c r="O1069" s="8" t="s">
        <v>90</v>
      </c>
      <c r="Q1069" s="8" t="s">
        <v>32</v>
      </c>
      <c r="R1069" s="8">
        <v>0</v>
      </c>
      <c r="S1069" s="8">
        <v>1</v>
      </c>
      <c r="T1069" s="8">
        <f t="shared" si="110"/>
        <v>1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180</v>
      </c>
      <c r="AB1069" s="9">
        <f t="shared" si="111"/>
        <v>0</v>
      </c>
      <c r="AC1069" s="10" t="str">
        <f t="shared" si="108"/>
        <v>sin venta</v>
      </c>
      <c r="AD1069" s="8" t="s">
        <v>33</v>
      </c>
      <c r="AE1069" s="11">
        <v>23990</v>
      </c>
      <c r="AF1069" s="11">
        <f t="shared" si="109"/>
        <v>23990</v>
      </c>
      <c r="AG1069" s="12" t="s">
        <v>73</v>
      </c>
      <c r="AH1069" s="8" t="s">
        <v>35</v>
      </c>
    </row>
    <row r="1070" spans="1:34">
      <c r="A1070" s="8" t="s">
        <v>1490</v>
      </c>
      <c r="B1070" s="16" t="s">
        <v>2859</v>
      </c>
      <c r="C1070" s="8" t="s">
        <v>377</v>
      </c>
      <c r="D1070" s="8" t="s">
        <v>1390</v>
      </c>
      <c r="E1070" s="8" t="str">
        <f t="shared" si="107"/>
        <v>SUELA/CHOCOLATE</v>
      </c>
      <c r="G1070" s="8" t="s">
        <v>2861</v>
      </c>
      <c r="H1070" s="8" t="str">
        <f>VLOOKUP(A1070,[1]BBDD!$B$1:$J$3274,9,FALSE)</f>
        <v>U</v>
      </c>
      <c r="I1070" s="8" t="s">
        <v>2861</v>
      </c>
      <c r="J1070" s="8" t="s">
        <v>1491</v>
      </c>
      <c r="L1070" s="8" t="s">
        <v>1211</v>
      </c>
      <c r="N1070" s="8" t="s">
        <v>1492</v>
      </c>
      <c r="O1070" s="8" t="s">
        <v>1492</v>
      </c>
      <c r="Q1070" s="8" t="s">
        <v>32</v>
      </c>
      <c r="R1070" s="8">
        <v>0</v>
      </c>
      <c r="S1070" s="8">
        <v>1</v>
      </c>
      <c r="T1070" s="8">
        <f t="shared" si="110"/>
        <v>1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180</v>
      </c>
      <c r="AB1070" s="9">
        <f t="shared" si="111"/>
        <v>0</v>
      </c>
      <c r="AC1070" s="10" t="str">
        <f t="shared" si="108"/>
        <v>sin venta</v>
      </c>
      <c r="AD1070" s="8" t="s">
        <v>33</v>
      </c>
      <c r="AE1070" s="11">
        <v>23990</v>
      </c>
      <c r="AF1070" s="11">
        <f t="shared" si="109"/>
        <v>23990</v>
      </c>
      <c r="AG1070" s="12" t="s">
        <v>73</v>
      </c>
      <c r="AH1070" s="8" t="s">
        <v>35</v>
      </c>
    </row>
    <row r="1071" spans="1:34">
      <c r="A1071" s="8" t="s">
        <v>1493</v>
      </c>
      <c r="B1071" s="16" t="s">
        <v>2859</v>
      </c>
      <c r="C1071" s="8" t="s">
        <v>377</v>
      </c>
      <c r="D1071" s="8" t="s">
        <v>1390</v>
      </c>
      <c r="E1071" s="8" t="str">
        <f t="shared" si="107"/>
        <v>SUELA/GRIS</v>
      </c>
      <c r="G1071" s="8" t="s">
        <v>2861</v>
      </c>
      <c r="H1071" s="8" t="str">
        <f>VLOOKUP(A1071,[1]BBDD!$B$1:$J$3274,9,FALSE)</f>
        <v>U</v>
      </c>
      <c r="I1071" s="8" t="s">
        <v>2861</v>
      </c>
      <c r="J1071" s="8" t="s">
        <v>1494</v>
      </c>
      <c r="L1071" s="8" t="s">
        <v>1211</v>
      </c>
      <c r="N1071" s="8" t="s">
        <v>1495</v>
      </c>
      <c r="O1071" s="8" t="s">
        <v>1495</v>
      </c>
      <c r="Q1071" s="8" t="s">
        <v>32</v>
      </c>
      <c r="R1071" s="8">
        <v>0</v>
      </c>
      <c r="S1071" s="8">
        <v>0</v>
      </c>
      <c r="T1071" s="8">
        <f t="shared" si="110"/>
        <v>0</v>
      </c>
      <c r="U1071" s="8">
        <v>0</v>
      </c>
      <c r="V1071" s="8">
        <v>0</v>
      </c>
      <c r="W1071" s="8">
        <v>0</v>
      </c>
      <c r="X1071" s="8">
        <v>1</v>
      </c>
      <c r="Y1071" s="8">
        <v>0</v>
      </c>
      <c r="Z1071" s="8">
        <v>0</v>
      </c>
      <c r="AA1071" s="8">
        <v>180</v>
      </c>
      <c r="AB1071" s="9">
        <f t="shared" si="111"/>
        <v>0.16666666666666669</v>
      </c>
      <c r="AC1071" s="10">
        <f t="shared" si="108"/>
        <v>0</v>
      </c>
      <c r="AD1071" s="8" t="s">
        <v>33</v>
      </c>
      <c r="AE1071" s="11">
        <v>23990</v>
      </c>
      <c r="AF1071" s="11">
        <f t="shared" si="109"/>
        <v>0</v>
      </c>
      <c r="AG1071" s="12" t="s">
        <v>34</v>
      </c>
      <c r="AH1071" s="8" t="s">
        <v>35</v>
      </c>
    </row>
    <row r="1072" spans="1:34">
      <c r="A1072" s="8" t="s">
        <v>1496</v>
      </c>
      <c r="B1072" s="16" t="s">
        <v>2859</v>
      </c>
      <c r="C1072" s="8" t="s">
        <v>377</v>
      </c>
      <c r="D1072" s="8" t="s">
        <v>1390</v>
      </c>
      <c r="E1072" s="8" t="str">
        <f t="shared" si="107"/>
        <v>SUELA/CHOCOLATE</v>
      </c>
      <c r="G1072" s="8" t="s">
        <v>2861</v>
      </c>
      <c r="H1072" s="8" t="str">
        <f>VLOOKUP(A1072,[1]BBDD!$B$1:$J$3274,9,FALSE)</f>
        <v>U</v>
      </c>
      <c r="I1072" s="8" t="s">
        <v>2861</v>
      </c>
      <c r="J1072" s="8" t="s">
        <v>1497</v>
      </c>
      <c r="L1072" s="8" t="s">
        <v>1211</v>
      </c>
      <c r="N1072" s="8" t="s">
        <v>1492</v>
      </c>
      <c r="O1072" s="8" t="s">
        <v>1492</v>
      </c>
      <c r="Q1072" s="8" t="s">
        <v>32</v>
      </c>
      <c r="R1072" s="8">
        <v>0</v>
      </c>
      <c r="S1072" s="8">
        <v>0</v>
      </c>
      <c r="T1072" s="8">
        <f t="shared" si="110"/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1</v>
      </c>
      <c r="AA1072" s="8">
        <v>180</v>
      </c>
      <c r="AB1072" s="9">
        <f t="shared" si="111"/>
        <v>0.16666666666666669</v>
      </c>
      <c r="AC1072" s="10">
        <f t="shared" si="108"/>
        <v>0</v>
      </c>
      <c r="AD1072" s="8" t="s">
        <v>33</v>
      </c>
      <c r="AE1072" s="11">
        <v>23990</v>
      </c>
      <c r="AF1072" s="11">
        <f t="shared" si="109"/>
        <v>0</v>
      </c>
      <c r="AG1072" s="12" t="s">
        <v>34</v>
      </c>
      <c r="AH1072" s="8" t="s">
        <v>35</v>
      </c>
    </row>
    <row r="1073" spans="1:34">
      <c r="A1073" s="8" t="s">
        <v>1498</v>
      </c>
      <c r="B1073" s="16" t="s">
        <v>2859</v>
      </c>
      <c r="C1073" s="8" t="s">
        <v>377</v>
      </c>
      <c r="D1073" s="8" t="s">
        <v>1390</v>
      </c>
      <c r="E1073" s="8" t="str">
        <f t="shared" si="107"/>
        <v>SUELA/VERDE</v>
      </c>
      <c r="G1073" s="8" t="s">
        <v>2861</v>
      </c>
      <c r="H1073" s="8" t="str">
        <f>VLOOKUP(A1073,[1]BBDD!$B$1:$J$3274,9,FALSE)</f>
        <v>U</v>
      </c>
      <c r="I1073" s="8" t="s">
        <v>2861</v>
      </c>
      <c r="J1073" s="8" t="s">
        <v>1499</v>
      </c>
      <c r="L1073" s="8" t="s">
        <v>1211</v>
      </c>
      <c r="N1073" s="8" t="s">
        <v>1500</v>
      </c>
      <c r="O1073" s="8" t="s">
        <v>1500</v>
      </c>
      <c r="Q1073" s="8" t="s">
        <v>32</v>
      </c>
      <c r="R1073" s="8">
        <v>0</v>
      </c>
      <c r="S1073" s="8">
        <v>1</v>
      </c>
      <c r="T1073" s="8">
        <f t="shared" si="110"/>
        <v>1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180</v>
      </c>
      <c r="AB1073" s="9">
        <f t="shared" si="111"/>
        <v>0</v>
      </c>
      <c r="AC1073" s="10" t="str">
        <f t="shared" si="108"/>
        <v>sin venta</v>
      </c>
      <c r="AD1073" s="8" t="s">
        <v>33</v>
      </c>
      <c r="AE1073" s="11">
        <v>23990</v>
      </c>
      <c r="AF1073" s="11">
        <f t="shared" si="109"/>
        <v>23990</v>
      </c>
      <c r="AG1073" s="12" t="s">
        <v>73</v>
      </c>
      <c r="AH1073" s="8" t="s">
        <v>35</v>
      </c>
    </row>
    <row r="1074" spans="1:34">
      <c r="A1074" s="8" t="s">
        <v>1501</v>
      </c>
      <c r="B1074" s="16" t="s">
        <v>2859</v>
      </c>
      <c r="C1074" s="8" t="s">
        <v>377</v>
      </c>
      <c r="D1074" s="8" t="s">
        <v>1390</v>
      </c>
      <c r="E1074" s="8" t="str">
        <f t="shared" si="107"/>
        <v>SUELA/VERDE</v>
      </c>
      <c r="G1074" s="8" t="s">
        <v>2861</v>
      </c>
      <c r="H1074" s="8" t="str">
        <f>VLOOKUP(A1074,[1]BBDD!$B$1:$J$3274,9,FALSE)</f>
        <v>U</v>
      </c>
      <c r="I1074" s="8" t="s">
        <v>2861</v>
      </c>
      <c r="J1074" s="8" t="s">
        <v>1502</v>
      </c>
      <c r="L1074" s="8" t="s">
        <v>1211</v>
      </c>
      <c r="N1074" s="8" t="s">
        <v>1500</v>
      </c>
      <c r="O1074" s="8" t="s">
        <v>1500</v>
      </c>
      <c r="Q1074" s="8" t="s">
        <v>32</v>
      </c>
      <c r="R1074" s="8">
        <v>0</v>
      </c>
      <c r="S1074" s="8">
        <v>0</v>
      </c>
      <c r="T1074" s="8">
        <f t="shared" si="110"/>
        <v>0</v>
      </c>
      <c r="U1074" s="8">
        <v>0</v>
      </c>
      <c r="V1074" s="8">
        <v>0</v>
      </c>
      <c r="W1074" s="8">
        <v>0</v>
      </c>
      <c r="X1074" s="8">
        <v>1</v>
      </c>
      <c r="Y1074" s="8">
        <v>0</v>
      </c>
      <c r="Z1074" s="8">
        <v>0</v>
      </c>
      <c r="AA1074" s="8">
        <v>180</v>
      </c>
      <c r="AB1074" s="9">
        <f t="shared" si="111"/>
        <v>0.16666666666666669</v>
      </c>
      <c r="AC1074" s="10">
        <f t="shared" si="108"/>
        <v>0</v>
      </c>
      <c r="AD1074" s="8" t="s">
        <v>33</v>
      </c>
      <c r="AE1074" s="11">
        <v>23990</v>
      </c>
      <c r="AF1074" s="11">
        <f t="shared" si="109"/>
        <v>0</v>
      </c>
      <c r="AG1074" s="12" t="s">
        <v>34</v>
      </c>
      <c r="AH1074" s="8" t="s">
        <v>35</v>
      </c>
    </row>
    <row r="1075" spans="1:34">
      <c r="A1075" s="8" t="s">
        <v>1503</v>
      </c>
      <c r="B1075" s="16" t="s">
        <v>2859</v>
      </c>
      <c r="C1075" s="8" t="s">
        <v>377</v>
      </c>
      <c r="D1075" s="8" t="s">
        <v>1390</v>
      </c>
      <c r="E1075" s="8" t="str">
        <f t="shared" si="107"/>
        <v>NATURAL/TABACO</v>
      </c>
      <c r="G1075" s="8" t="s">
        <v>2861</v>
      </c>
      <c r="H1075" s="8" t="str">
        <f>VLOOKUP(A1075,[1]BBDD!$B$1:$J$3274,9,FALSE)</f>
        <v>U</v>
      </c>
      <c r="I1075" s="8" t="s">
        <v>2861</v>
      </c>
      <c r="J1075" s="8" t="s">
        <v>1504</v>
      </c>
      <c r="L1075" s="8" t="s">
        <v>1211</v>
      </c>
      <c r="N1075" s="8" t="s">
        <v>1505</v>
      </c>
      <c r="O1075" s="8" t="s">
        <v>1505</v>
      </c>
      <c r="Q1075" s="8" t="s">
        <v>32</v>
      </c>
      <c r="R1075" s="8">
        <v>0</v>
      </c>
      <c r="S1075" s="8">
        <v>1</v>
      </c>
      <c r="T1075" s="8">
        <f t="shared" si="110"/>
        <v>1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180</v>
      </c>
      <c r="AB1075" s="9">
        <f t="shared" si="111"/>
        <v>0</v>
      </c>
      <c r="AC1075" s="10" t="str">
        <f t="shared" si="108"/>
        <v>sin venta</v>
      </c>
      <c r="AD1075" s="8" t="s">
        <v>33</v>
      </c>
      <c r="AE1075" s="11">
        <v>23990</v>
      </c>
      <c r="AF1075" s="11">
        <f t="shared" si="109"/>
        <v>23990</v>
      </c>
      <c r="AG1075" s="12" t="s">
        <v>73</v>
      </c>
      <c r="AH1075" s="8" t="s">
        <v>35</v>
      </c>
    </row>
    <row r="1076" spans="1:34">
      <c r="A1076" s="8" t="s">
        <v>1506</v>
      </c>
      <c r="B1076" s="16" t="s">
        <v>2859</v>
      </c>
      <c r="C1076" s="8" t="s">
        <v>377</v>
      </c>
      <c r="D1076" s="8" t="s">
        <v>1390</v>
      </c>
      <c r="E1076" s="8" t="str">
        <f t="shared" si="107"/>
        <v>SUELA/ROJO</v>
      </c>
      <c r="G1076" s="8" t="s">
        <v>2861</v>
      </c>
      <c r="H1076" s="8" t="str">
        <f>VLOOKUP(A1076,[1]BBDD!$B$1:$J$3274,9,FALSE)</f>
        <v>U</v>
      </c>
      <c r="I1076" s="8" t="s">
        <v>2861</v>
      </c>
      <c r="J1076" s="8" t="s">
        <v>1507</v>
      </c>
      <c r="L1076" s="8" t="s">
        <v>1211</v>
      </c>
      <c r="N1076" s="8" t="s">
        <v>1508</v>
      </c>
      <c r="O1076" s="8" t="s">
        <v>1508</v>
      </c>
      <c r="Q1076" s="8" t="s">
        <v>32</v>
      </c>
      <c r="R1076" s="8">
        <v>0</v>
      </c>
      <c r="S1076" s="8">
        <v>1</v>
      </c>
      <c r="T1076" s="8">
        <f t="shared" si="110"/>
        <v>1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180</v>
      </c>
      <c r="AB1076" s="9">
        <f t="shared" si="111"/>
        <v>0</v>
      </c>
      <c r="AC1076" s="10" t="str">
        <f t="shared" si="108"/>
        <v>sin venta</v>
      </c>
      <c r="AD1076" s="8" t="s">
        <v>33</v>
      </c>
      <c r="AE1076" s="11">
        <v>23990</v>
      </c>
      <c r="AF1076" s="11">
        <f t="shared" si="109"/>
        <v>23990</v>
      </c>
      <c r="AG1076" s="12" t="s">
        <v>73</v>
      </c>
      <c r="AH1076" s="8" t="s">
        <v>35</v>
      </c>
    </row>
    <row r="1077" spans="1:34">
      <c r="A1077" s="8" t="s">
        <v>1509</v>
      </c>
      <c r="B1077" s="16" t="s">
        <v>2859</v>
      </c>
      <c r="C1077" s="8" t="s">
        <v>377</v>
      </c>
      <c r="D1077" s="8" t="s">
        <v>1390</v>
      </c>
      <c r="E1077" s="8" t="str">
        <f t="shared" si="107"/>
        <v>NATURAL/ROJO</v>
      </c>
      <c r="G1077" s="8" t="s">
        <v>2861</v>
      </c>
      <c r="H1077" s="8" t="str">
        <f>VLOOKUP(A1077,[1]BBDD!$B$1:$J$3274,9,FALSE)</f>
        <v>U</v>
      </c>
      <c r="I1077" s="8" t="s">
        <v>2861</v>
      </c>
      <c r="J1077" s="8" t="s">
        <v>1510</v>
      </c>
      <c r="L1077" s="8" t="s">
        <v>1211</v>
      </c>
      <c r="N1077" s="8" t="s">
        <v>1511</v>
      </c>
      <c r="O1077" s="8" t="s">
        <v>1511</v>
      </c>
      <c r="Q1077" s="8" t="s">
        <v>32</v>
      </c>
      <c r="R1077" s="8">
        <v>0</v>
      </c>
      <c r="S1077" s="8">
        <v>0</v>
      </c>
      <c r="T1077" s="8">
        <f t="shared" si="110"/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1</v>
      </c>
      <c r="Z1077" s="8">
        <v>0</v>
      </c>
      <c r="AA1077" s="8">
        <v>180</v>
      </c>
      <c r="AB1077" s="9">
        <f t="shared" si="111"/>
        <v>0.16666666666666669</v>
      </c>
      <c r="AC1077" s="10">
        <f t="shared" si="108"/>
        <v>0</v>
      </c>
      <c r="AD1077" s="8" t="s">
        <v>33</v>
      </c>
      <c r="AE1077" s="11">
        <v>23990</v>
      </c>
      <c r="AF1077" s="11">
        <f t="shared" si="109"/>
        <v>0</v>
      </c>
      <c r="AG1077" s="12" t="s">
        <v>34</v>
      </c>
      <c r="AH1077" s="8" t="s">
        <v>35</v>
      </c>
    </row>
    <row r="1078" spans="1:34">
      <c r="A1078" s="8" t="s">
        <v>1512</v>
      </c>
      <c r="B1078" s="16" t="s">
        <v>2859</v>
      </c>
      <c r="C1078" s="8" t="s">
        <v>377</v>
      </c>
      <c r="D1078" s="8" t="s">
        <v>1390</v>
      </c>
      <c r="E1078" s="8" t="str">
        <f t="shared" si="107"/>
        <v>SUELA/VERDE</v>
      </c>
      <c r="G1078" s="8" t="s">
        <v>2861</v>
      </c>
      <c r="H1078" s="8" t="str">
        <f>VLOOKUP(A1078,[1]BBDD!$B$1:$J$3274,9,FALSE)</f>
        <v>U</v>
      </c>
      <c r="I1078" s="8" t="s">
        <v>2861</v>
      </c>
      <c r="J1078" s="8" t="s">
        <v>1513</v>
      </c>
      <c r="L1078" s="8" t="s">
        <v>1211</v>
      </c>
      <c r="N1078" s="8" t="s">
        <v>1500</v>
      </c>
      <c r="O1078" s="8" t="s">
        <v>1500</v>
      </c>
      <c r="Q1078" s="8" t="s">
        <v>32</v>
      </c>
      <c r="R1078" s="8">
        <v>0</v>
      </c>
      <c r="S1078" s="8">
        <v>1</v>
      </c>
      <c r="T1078" s="8">
        <f t="shared" si="110"/>
        <v>1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180</v>
      </c>
      <c r="AB1078" s="9">
        <f t="shared" si="111"/>
        <v>0</v>
      </c>
      <c r="AC1078" s="10" t="str">
        <f t="shared" si="108"/>
        <v>sin venta</v>
      </c>
      <c r="AD1078" s="8" t="s">
        <v>33</v>
      </c>
      <c r="AE1078" s="11">
        <v>23990</v>
      </c>
      <c r="AF1078" s="11">
        <f t="shared" si="109"/>
        <v>23990</v>
      </c>
      <c r="AG1078" s="12" t="s">
        <v>73</v>
      </c>
      <c r="AH1078" s="8" t="s">
        <v>35</v>
      </c>
    </row>
    <row r="1079" spans="1:34">
      <c r="A1079" s="8" t="s">
        <v>1514</v>
      </c>
      <c r="B1079" s="16" t="s">
        <v>2859</v>
      </c>
      <c r="C1079" s="8" t="s">
        <v>377</v>
      </c>
      <c r="D1079" s="8" t="s">
        <v>1390</v>
      </c>
      <c r="E1079" s="8" t="str">
        <f t="shared" si="107"/>
        <v>SUELA/CHOCOLATE</v>
      </c>
      <c r="G1079" s="8" t="s">
        <v>2861</v>
      </c>
      <c r="H1079" s="8" t="str">
        <f>VLOOKUP(A1079,[1]BBDD!$B$1:$J$3274,9,FALSE)</f>
        <v>U</v>
      </c>
      <c r="I1079" s="8" t="s">
        <v>2861</v>
      </c>
      <c r="J1079" s="8" t="s">
        <v>1515</v>
      </c>
      <c r="L1079" s="8" t="s">
        <v>1211</v>
      </c>
      <c r="N1079" s="8" t="s">
        <v>1492</v>
      </c>
      <c r="O1079" s="8" t="s">
        <v>1492</v>
      </c>
      <c r="Q1079" s="8" t="s">
        <v>32</v>
      </c>
      <c r="R1079" s="8">
        <v>0</v>
      </c>
      <c r="S1079" s="8">
        <v>0</v>
      </c>
      <c r="T1079" s="8">
        <f t="shared" si="110"/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1</v>
      </c>
      <c r="Z1079" s="8">
        <v>0</v>
      </c>
      <c r="AA1079" s="8">
        <v>180</v>
      </c>
      <c r="AB1079" s="9">
        <f t="shared" si="111"/>
        <v>0.16666666666666669</v>
      </c>
      <c r="AC1079" s="10">
        <f t="shared" si="108"/>
        <v>0</v>
      </c>
      <c r="AD1079" s="8" t="s">
        <v>33</v>
      </c>
      <c r="AE1079" s="11">
        <v>23990</v>
      </c>
      <c r="AF1079" s="11">
        <f t="shared" si="109"/>
        <v>0</v>
      </c>
      <c r="AG1079" s="12" t="s">
        <v>34</v>
      </c>
      <c r="AH1079" s="8" t="s">
        <v>35</v>
      </c>
    </row>
    <row r="1080" spans="1:34">
      <c r="A1080" s="8" t="s">
        <v>1516</v>
      </c>
      <c r="B1080" s="16" t="s">
        <v>2859</v>
      </c>
      <c r="C1080" s="8" t="s">
        <v>377</v>
      </c>
      <c r="D1080" s="8" t="s">
        <v>1390</v>
      </c>
      <c r="E1080" s="8" t="str">
        <f t="shared" si="107"/>
        <v>SUELA/CHOCOLATE</v>
      </c>
      <c r="G1080" s="8" t="s">
        <v>2861</v>
      </c>
      <c r="H1080" s="8" t="str">
        <f>VLOOKUP(A1080,[1]BBDD!$B$1:$J$3274,9,FALSE)</f>
        <v>U</v>
      </c>
      <c r="I1080" s="8" t="s">
        <v>2861</v>
      </c>
      <c r="J1080" s="8" t="s">
        <v>1517</v>
      </c>
      <c r="L1080" s="8" t="s">
        <v>1211</v>
      </c>
      <c r="N1080" s="8" t="s">
        <v>1492</v>
      </c>
      <c r="O1080" s="8" t="s">
        <v>1492</v>
      </c>
      <c r="Q1080" s="8" t="s">
        <v>32</v>
      </c>
      <c r="R1080" s="8">
        <v>0</v>
      </c>
      <c r="S1080" s="8">
        <v>1</v>
      </c>
      <c r="T1080" s="8">
        <f t="shared" si="110"/>
        <v>1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1</v>
      </c>
      <c r="AA1080" s="8">
        <v>180</v>
      </c>
      <c r="AB1080" s="9">
        <f t="shared" si="111"/>
        <v>0.16666666666666669</v>
      </c>
      <c r="AC1080" s="10">
        <f t="shared" si="108"/>
        <v>5.9999999999999991</v>
      </c>
      <c r="AD1080" s="8" t="s">
        <v>33</v>
      </c>
      <c r="AE1080" s="11">
        <v>23990</v>
      </c>
      <c r="AF1080" s="11">
        <f t="shared" si="109"/>
        <v>23990</v>
      </c>
      <c r="AG1080" s="12" t="s">
        <v>34</v>
      </c>
      <c r="AH1080" s="8" t="s">
        <v>35</v>
      </c>
    </row>
    <row r="1081" spans="1:34">
      <c r="A1081" s="8" t="s">
        <v>1518</v>
      </c>
      <c r="B1081" s="16" t="s">
        <v>2859</v>
      </c>
      <c r="C1081" s="8" t="s">
        <v>377</v>
      </c>
      <c r="D1081" s="8" t="s">
        <v>1390</v>
      </c>
      <c r="E1081" s="8" t="str">
        <f t="shared" si="107"/>
        <v>NEGRO</v>
      </c>
      <c r="G1081" s="8" t="s">
        <v>2861</v>
      </c>
      <c r="H1081" s="8" t="str">
        <f>VLOOKUP(A1081,[1]BBDD!$B$1:$J$3274,9,FALSE)</f>
        <v>U</v>
      </c>
      <c r="I1081" s="8" t="s">
        <v>2861</v>
      </c>
      <c r="J1081" s="8" t="s">
        <v>1519</v>
      </c>
      <c r="L1081" s="8" t="s">
        <v>827</v>
      </c>
      <c r="N1081" s="8" t="s">
        <v>44</v>
      </c>
      <c r="O1081" s="8" t="s">
        <v>44</v>
      </c>
      <c r="Q1081" s="8" t="s">
        <v>45</v>
      </c>
      <c r="R1081" s="8">
        <v>0</v>
      </c>
      <c r="S1081" s="8">
        <v>1</v>
      </c>
      <c r="T1081" s="8">
        <f t="shared" si="110"/>
        <v>1</v>
      </c>
      <c r="U1081" s="8">
        <v>0</v>
      </c>
      <c r="V1081" s="8">
        <v>2</v>
      </c>
      <c r="W1081" s="8">
        <v>0</v>
      </c>
      <c r="X1081" s="8">
        <v>0</v>
      </c>
      <c r="Y1081" s="8">
        <v>0</v>
      </c>
      <c r="Z1081" s="8">
        <v>0</v>
      </c>
      <c r="AA1081" s="8">
        <v>180</v>
      </c>
      <c r="AB1081" s="9">
        <f t="shared" si="111"/>
        <v>0.33333333333333337</v>
      </c>
      <c r="AC1081" s="10">
        <f t="shared" si="108"/>
        <v>2.9999999999999996</v>
      </c>
      <c r="AD1081" s="8" t="s">
        <v>46</v>
      </c>
      <c r="AE1081" s="11">
        <v>14990</v>
      </c>
      <c r="AF1081" s="11">
        <f t="shared" si="109"/>
        <v>14990</v>
      </c>
      <c r="AG1081" s="12" t="s">
        <v>34</v>
      </c>
      <c r="AH1081" s="8" t="s">
        <v>35</v>
      </c>
    </row>
    <row r="1082" spans="1:34">
      <c r="A1082" s="8" t="s">
        <v>1520</v>
      </c>
      <c r="B1082" s="16" t="s">
        <v>2859</v>
      </c>
      <c r="C1082" s="8" t="s">
        <v>377</v>
      </c>
      <c r="D1082" s="8" t="s">
        <v>1390</v>
      </c>
      <c r="E1082" s="8" t="str">
        <f t="shared" si="107"/>
        <v>TABACO</v>
      </c>
      <c r="G1082" s="8" t="s">
        <v>2861</v>
      </c>
      <c r="H1082" s="8" t="str">
        <f>VLOOKUP(A1082,[1]BBDD!$B$1:$J$3274,9,FALSE)</f>
        <v>U</v>
      </c>
      <c r="I1082" s="8" t="s">
        <v>2861</v>
      </c>
      <c r="J1082" s="8" t="s">
        <v>1521</v>
      </c>
      <c r="L1082" s="8" t="s">
        <v>61</v>
      </c>
      <c r="N1082" s="8" t="s">
        <v>67</v>
      </c>
      <c r="O1082" s="8" t="s">
        <v>67</v>
      </c>
      <c r="Q1082" s="8" t="s">
        <v>32</v>
      </c>
      <c r="R1082" s="8">
        <v>31</v>
      </c>
      <c r="S1082" s="8">
        <v>16</v>
      </c>
      <c r="T1082" s="8">
        <f t="shared" si="110"/>
        <v>47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54</v>
      </c>
      <c r="AB1082" s="9">
        <f t="shared" si="111"/>
        <v>0</v>
      </c>
      <c r="AC1082" s="10" t="str">
        <f t="shared" si="108"/>
        <v>sin venta</v>
      </c>
      <c r="AD1082" s="8" t="s">
        <v>33</v>
      </c>
      <c r="AE1082" s="11">
        <v>16990</v>
      </c>
      <c r="AF1082" s="11">
        <f t="shared" si="109"/>
        <v>798530</v>
      </c>
      <c r="AG1082" s="12" t="s">
        <v>73</v>
      </c>
      <c r="AH1082" s="8" t="s">
        <v>74</v>
      </c>
    </row>
    <row r="1083" spans="1:34">
      <c r="A1083" s="8" t="s">
        <v>1522</v>
      </c>
      <c r="B1083" s="16" t="s">
        <v>2859</v>
      </c>
      <c r="C1083" s="8" t="s">
        <v>377</v>
      </c>
      <c r="D1083" s="8" t="s">
        <v>1390</v>
      </c>
      <c r="E1083" s="8" t="str">
        <f t="shared" si="107"/>
        <v>CARAMELO</v>
      </c>
      <c r="G1083" s="8" t="s">
        <v>2861</v>
      </c>
      <c r="H1083" s="8" t="str">
        <f>VLOOKUP(A1083,[1]BBDD!$B$1:$J$3274,9,FALSE)</f>
        <v>U</v>
      </c>
      <c r="I1083" s="8" t="s">
        <v>2861</v>
      </c>
      <c r="J1083" s="8" t="s">
        <v>1521</v>
      </c>
      <c r="L1083" s="8" t="s">
        <v>61</v>
      </c>
      <c r="N1083" s="8" t="s">
        <v>62</v>
      </c>
      <c r="O1083" s="8" t="s">
        <v>62</v>
      </c>
      <c r="Q1083" s="8" t="s">
        <v>32</v>
      </c>
      <c r="R1083" s="8">
        <v>4</v>
      </c>
      <c r="S1083" s="8">
        <v>9</v>
      </c>
      <c r="T1083" s="8">
        <f t="shared" si="110"/>
        <v>13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1</v>
      </c>
      <c r="AA1083" s="8">
        <v>54</v>
      </c>
      <c r="AB1083" s="9">
        <f t="shared" si="111"/>
        <v>0.55555555555555558</v>
      </c>
      <c r="AC1083" s="10">
        <f t="shared" si="108"/>
        <v>23.4</v>
      </c>
      <c r="AD1083" s="8" t="s">
        <v>33</v>
      </c>
      <c r="AE1083" s="11">
        <v>16990</v>
      </c>
      <c r="AF1083" s="11">
        <f t="shared" si="109"/>
        <v>220870</v>
      </c>
      <c r="AG1083" s="12" t="s">
        <v>64</v>
      </c>
      <c r="AH1083" s="8" t="s">
        <v>65</v>
      </c>
    </row>
    <row r="1084" spans="1:34">
      <c r="A1084" s="8" t="s">
        <v>1523</v>
      </c>
      <c r="B1084" s="16" t="s">
        <v>2859</v>
      </c>
      <c r="C1084" s="8" t="s">
        <v>377</v>
      </c>
      <c r="D1084" s="8" t="s">
        <v>1390</v>
      </c>
      <c r="E1084" s="8" t="str">
        <f t="shared" si="107"/>
        <v>CHOCOLATE</v>
      </c>
      <c r="G1084" s="8" t="s">
        <v>2861</v>
      </c>
      <c r="H1084" s="8" t="str">
        <f>VLOOKUP(A1084,[1]BBDD!$B$1:$J$3274,9,FALSE)</f>
        <v>U</v>
      </c>
      <c r="I1084" s="8" t="s">
        <v>2861</v>
      </c>
      <c r="J1084" s="8" t="s">
        <v>1524</v>
      </c>
      <c r="L1084" s="8" t="s">
        <v>82</v>
      </c>
      <c r="N1084" s="8" t="s">
        <v>252</v>
      </c>
      <c r="O1084" s="8" t="s">
        <v>252</v>
      </c>
      <c r="Q1084" s="8" t="s">
        <v>32</v>
      </c>
      <c r="R1084" s="8">
        <v>0</v>
      </c>
      <c r="S1084" s="8">
        <v>2</v>
      </c>
      <c r="T1084" s="8">
        <f t="shared" si="110"/>
        <v>2</v>
      </c>
      <c r="U1084" s="8">
        <v>3</v>
      </c>
      <c r="V1084" s="8">
        <v>0</v>
      </c>
      <c r="W1084" s="8">
        <v>2</v>
      </c>
      <c r="X1084" s="8">
        <v>2</v>
      </c>
      <c r="Y1084" s="8">
        <v>1</v>
      </c>
      <c r="Z1084" s="8">
        <v>0</v>
      </c>
      <c r="AA1084" s="8">
        <v>180</v>
      </c>
      <c r="AB1084" s="9">
        <f t="shared" si="111"/>
        <v>1.3333333333333335</v>
      </c>
      <c r="AC1084" s="10">
        <f t="shared" si="108"/>
        <v>1.4999999999999998</v>
      </c>
      <c r="AD1084" s="8" t="s">
        <v>33</v>
      </c>
      <c r="AE1084" s="11">
        <v>16990</v>
      </c>
      <c r="AF1084" s="11">
        <f t="shared" si="109"/>
        <v>33980</v>
      </c>
      <c r="AG1084" s="12" t="s">
        <v>34</v>
      </c>
      <c r="AH1084" s="8" t="s">
        <v>35</v>
      </c>
    </row>
    <row r="1085" spans="1:34">
      <c r="A1085" s="8" t="s">
        <v>1525</v>
      </c>
      <c r="B1085" s="16" t="s">
        <v>2859</v>
      </c>
      <c r="C1085" s="8" t="s">
        <v>377</v>
      </c>
      <c r="D1085" s="8" t="s">
        <v>1390</v>
      </c>
      <c r="E1085" s="8" t="str">
        <f t="shared" si="107"/>
        <v>NEGRO</v>
      </c>
      <c r="G1085" s="8" t="s">
        <v>2861</v>
      </c>
      <c r="H1085" s="8" t="str">
        <f>VLOOKUP(A1085,[1]BBDD!$B$1:$J$3274,9,FALSE)</f>
        <v>U</v>
      </c>
      <c r="I1085" s="8" t="s">
        <v>2861</v>
      </c>
      <c r="J1085" s="8" t="s">
        <v>1524</v>
      </c>
      <c r="L1085" s="8" t="s">
        <v>82</v>
      </c>
      <c r="N1085" s="8" t="s">
        <v>44</v>
      </c>
      <c r="O1085" s="8" t="s">
        <v>44</v>
      </c>
      <c r="Q1085" s="8" t="s">
        <v>32</v>
      </c>
      <c r="R1085" s="8">
        <v>0</v>
      </c>
      <c r="S1085" s="8">
        <v>1</v>
      </c>
      <c r="T1085" s="8">
        <f t="shared" si="110"/>
        <v>1</v>
      </c>
      <c r="U1085" s="8">
        <v>0</v>
      </c>
      <c r="V1085" s="8">
        <v>0</v>
      </c>
      <c r="W1085" s="8">
        <v>1</v>
      </c>
      <c r="X1085" s="8">
        <v>0</v>
      </c>
      <c r="Y1085" s="8">
        <v>0</v>
      </c>
      <c r="Z1085" s="8">
        <v>1</v>
      </c>
      <c r="AA1085" s="8">
        <v>180</v>
      </c>
      <c r="AB1085" s="9">
        <f t="shared" si="111"/>
        <v>0.33333333333333337</v>
      </c>
      <c r="AC1085" s="10">
        <f t="shared" si="108"/>
        <v>2.9999999999999996</v>
      </c>
      <c r="AD1085" s="8" t="s">
        <v>33</v>
      </c>
      <c r="AE1085" s="11">
        <v>16990</v>
      </c>
      <c r="AF1085" s="11">
        <f t="shared" si="109"/>
        <v>16990</v>
      </c>
      <c r="AG1085" s="12" t="s">
        <v>34</v>
      </c>
      <c r="AH1085" s="8" t="s">
        <v>35</v>
      </c>
    </row>
    <row r="1086" spans="1:34">
      <c r="A1086" s="8" t="s">
        <v>1526</v>
      </c>
      <c r="B1086" s="16" t="s">
        <v>2859</v>
      </c>
      <c r="C1086" s="8" t="s">
        <v>377</v>
      </c>
      <c r="D1086" s="8" t="s">
        <v>1390</v>
      </c>
      <c r="E1086" s="8" t="str">
        <f t="shared" si="107"/>
        <v>SUELA</v>
      </c>
      <c r="G1086" s="8" t="s">
        <v>2861</v>
      </c>
      <c r="H1086" s="8" t="str">
        <f>VLOOKUP(A1086,[1]BBDD!$B$1:$J$3274,9,FALSE)</f>
        <v>U</v>
      </c>
      <c r="I1086" s="8" t="s">
        <v>2861</v>
      </c>
      <c r="J1086" s="8" t="s">
        <v>1524</v>
      </c>
      <c r="L1086" s="8" t="s">
        <v>82</v>
      </c>
      <c r="N1086" s="8" t="s">
        <v>90</v>
      </c>
      <c r="O1086" s="8" t="s">
        <v>90</v>
      </c>
      <c r="Q1086" s="8" t="s">
        <v>32</v>
      </c>
      <c r="R1086" s="8">
        <v>0</v>
      </c>
      <c r="S1086" s="8">
        <v>0</v>
      </c>
      <c r="T1086" s="8">
        <f t="shared" si="110"/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1</v>
      </c>
      <c r="AA1086" s="8">
        <v>180</v>
      </c>
      <c r="AB1086" s="9">
        <f t="shared" si="111"/>
        <v>0.16666666666666669</v>
      </c>
      <c r="AC1086" s="10">
        <f t="shared" si="108"/>
        <v>0</v>
      </c>
      <c r="AD1086" s="8" t="s">
        <v>33</v>
      </c>
      <c r="AE1086" s="11">
        <v>16990</v>
      </c>
      <c r="AF1086" s="11">
        <f t="shared" si="109"/>
        <v>0</v>
      </c>
      <c r="AG1086" s="12" t="s">
        <v>34</v>
      </c>
      <c r="AH1086" s="8" t="s">
        <v>35</v>
      </c>
    </row>
    <row r="1087" spans="1:34">
      <c r="A1087" s="8" t="s">
        <v>1527</v>
      </c>
      <c r="B1087" s="16" t="s">
        <v>2859</v>
      </c>
      <c r="C1087" s="8" t="s">
        <v>377</v>
      </c>
      <c r="D1087" s="8" t="s">
        <v>1390</v>
      </c>
      <c r="E1087" s="8" t="str">
        <f t="shared" si="107"/>
        <v>CEDRO</v>
      </c>
      <c r="G1087" s="8" t="s">
        <v>2861</v>
      </c>
      <c r="H1087" s="8" t="str">
        <f>VLOOKUP(A1087,[1]BBDD!$B$1:$J$3274,9,FALSE)</f>
        <v>U</v>
      </c>
      <c r="I1087" s="8" t="s">
        <v>2861</v>
      </c>
      <c r="J1087" s="8" t="s">
        <v>1528</v>
      </c>
      <c r="L1087" s="8" t="s">
        <v>112</v>
      </c>
      <c r="N1087" s="8" t="s">
        <v>113</v>
      </c>
      <c r="O1087" s="8" t="s">
        <v>113</v>
      </c>
      <c r="Q1087" s="8" t="s">
        <v>32</v>
      </c>
      <c r="R1087" s="8">
        <v>0</v>
      </c>
      <c r="S1087" s="8">
        <v>0</v>
      </c>
      <c r="T1087" s="8">
        <f t="shared" ref="T1087:T1127" si="112">SUM(R1087:S1087)</f>
        <v>0</v>
      </c>
      <c r="U1087" s="8">
        <v>0</v>
      </c>
      <c r="V1087" s="8">
        <v>0</v>
      </c>
      <c r="W1087" s="8">
        <v>2</v>
      </c>
      <c r="X1087" s="8">
        <v>0</v>
      </c>
      <c r="Y1087" s="8">
        <v>0</v>
      </c>
      <c r="Z1087" s="8">
        <v>0</v>
      </c>
      <c r="AA1087" s="8">
        <v>180</v>
      </c>
      <c r="AB1087" s="9">
        <f t="shared" ref="AB1087:AB1127" si="113">SUM(U1087:Z1087)/AA1087*30</f>
        <v>0.33333333333333337</v>
      </c>
      <c r="AC1087" s="10">
        <f t="shared" si="108"/>
        <v>0</v>
      </c>
      <c r="AD1087" s="8" t="s">
        <v>33</v>
      </c>
      <c r="AE1087" s="11">
        <v>12990</v>
      </c>
      <c r="AF1087" s="11">
        <f t="shared" si="109"/>
        <v>0</v>
      </c>
      <c r="AG1087" s="12" t="s">
        <v>34</v>
      </c>
      <c r="AH1087" s="8" t="s">
        <v>35</v>
      </c>
    </row>
    <row r="1088" spans="1:34">
      <c r="A1088" s="8" t="s">
        <v>1529</v>
      </c>
      <c r="B1088" s="16" t="s">
        <v>2859</v>
      </c>
      <c r="C1088" s="8" t="s">
        <v>377</v>
      </c>
      <c r="D1088" s="8" t="s">
        <v>1390</v>
      </c>
      <c r="E1088" s="8" t="str">
        <f t="shared" si="107"/>
        <v>AZUL</v>
      </c>
      <c r="G1088" s="8" t="s">
        <v>2861</v>
      </c>
      <c r="H1088" s="8" t="str">
        <f>VLOOKUP(A1088,[1]BBDD!$B$1:$J$3274,9,FALSE)</f>
        <v>U</v>
      </c>
      <c r="I1088" s="8" t="s">
        <v>2861</v>
      </c>
      <c r="J1088" s="8" t="s">
        <v>1528</v>
      </c>
      <c r="L1088" s="8" t="s">
        <v>82</v>
      </c>
      <c r="N1088" s="8" t="s">
        <v>83</v>
      </c>
      <c r="O1088" s="8" t="s">
        <v>83</v>
      </c>
      <c r="Q1088" s="8" t="s">
        <v>32</v>
      </c>
      <c r="R1088" s="8">
        <v>0</v>
      </c>
      <c r="S1088" s="8">
        <v>0</v>
      </c>
      <c r="T1088" s="8">
        <f t="shared" si="112"/>
        <v>0</v>
      </c>
      <c r="U1088" s="8">
        <v>2</v>
      </c>
      <c r="V1088" s="8">
        <v>1</v>
      </c>
      <c r="W1088" s="8">
        <v>1</v>
      </c>
      <c r="X1088" s="8">
        <v>0</v>
      </c>
      <c r="Y1088" s="8">
        <v>0</v>
      </c>
      <c r="Z1088" s="8">
        <v>0</v>
      </c>
      <c r="AA1088" s="8">
        <v>180</v>
      </c>
      <c r="AB1088" s="9">
        <f t="shared" si="113"/>
        <v>0.66666666666666674</v>
      </c>
      <c r="AC1088" s="10">
        <f t="shared" si="108"/>
        <v>0</v>
      </c>
      <c r="AD1088" s="8" t="s">
        <v>33</v>
      </c>
      <c r="AE1088" s="11">
        <v>12990</v>
      </c>
      <c r="AF1088" s="11">
        <f t="shared" si="109"/>
        <v>0</v>
      </c>
      <c r="AG1088" s="12" t="s">
        <v>34</v>
      </c>
      <c r="AH1088" s="8" t="s">
        <v>35</v>
      </c>
    </row>
    <row r="1089" spans="1:34">
      <c r="A1089" s="8" t="s">
        <v>1530</v>
      </c>
      <c r="B1089" s="16" t="s">
        <v>2859</v>
      </c>
      <c r="C1089" s="8" t="s">
        <v>377</v>
      </c>
      <c r="D1089" s="8" t="s">
        <v>1390</v>
      </c>
      <c r="E1089" s="8" t="str">
        <f t="shared" si="107"/>
        <v>NEGRO</v>
      </c>
      <c r="G1089" s="8" t="s">
        <v>2861</v>
      </c>
      <c r="H1089" s="8" t="str">
        <f>VLOOKUP(A1089,[1]BBDD!$B$1:$J$3274,9,FALSE)</f>
        <v>U</v>
      </c>
      <c r="I1089" s="8" t="s">
        <v>2861</v>
      </c>
      <c r="J1089" s="8" t="s">
        <v>1528</v>
      </c>
      <c r="L1089" s="8" t="s">
        <v>82</v>
      </c>
      <c r="N1089" s="8" t="s">
        <v>44</v>
      </c>
      <c r="O1089" s="8" t="s">
        <v>44</v>
      </c>
      <c r="Q1089" s="8" t="s">
        <v>32</v>
      </c>
      <c r="R1089" s="8">
        <v>12</v>
      </c>
      <c r="S1089" s="8">
        <v>8</v>
      </c>
      <c r="T1089" s="8">
        <f t="shared" si="112"/>
        <v>20</v>
      </c>
      <c r="U1089" s="8">
        <v>0</v>
      </c>
      <c r="V1089" s="8">
        <v>0</v>
      </c>
      <c r="W1089" s="8">
        <v>1</v>
      </c>
      <c r="X1089" s="8">
        <v>0</v>
      </c>
      <c r="Y1089" s="8">
        <v>0</v>
      </c>
      <c r="Z1089" s="8">
        <v>0</v>
      </c>
      <c r="AA1089" s="8">
        <v>180</v>
      </c>
      <c r="AB1089" s="9">
        <f t="shared" si="113"/>
        <v>0.16666666666666669</v>
      </c>
      <c r="AC1089" s="10">
        <f t="shared" si="108"/>
        <v>119.99999999999999</v>
      </c>
      <c r="AD1089" s="8" t="s">
        <v>33</v>
      </c>
      <c r="AE1089" s="11">
        <v>12990</v>
      </c>
      <c r="AF1089" s="11">
        <f t="shared" si="109"/>
        <v>259800</v>
      </c>
      <c r="AG1089" s="12" t="s">
        <v>73</v>
      </c>
      <c r="AH1089" s="8" t="s">
        <v>65</v>
      </c>
    </row>
    <row r="1090" spans="1:34">
      <c r="A1090" s="8" t="s">
        <v>1531</v>
      </c>
      <c r="B1090" s="16" t="s">
        <v>2859</v>
      </c>
      <c r="C1090" s="8" t="s">
        <v>377</v>
      </c>
      <c r="D1090" s="8" t="s">
        <v>1390</v>
      </c>
      <c r="E1090" s="8" t="str">
        <f t="shared" si="107"/>
        <v>ROJO</v>
      </c>
      <c r="G1090" s="8" t="s">
        <v>2861</v>
      </c>
      <c r="H1090" s="8" t="str">
        <f>VLOOKUP(A1090,[1]BBDD!$B$1:$J$3274,9,FALSE)</f>
        <v>U</v>
      </c>
      <c r="I1090" s="8" t="s">
        <v>2861</v>
      </c>
      <c r="J1090" s="8" t="s">
        <v>1528</v>
      </c>
      <c r="L1090" s="8" t="s">
        <v>82</v>
      </c>
      <c r="N1090" s="8" t="s">
        <v>88</v>
      </c>
      <c r="O1090" s="8" t="s">
        <v>88</v>
      </c>
      <c r="Q1090" s="8" t="s">
        <v>32</v>
      </c>
      <c r="R1090" s="8">
        <v>12</v>
      </c>
      <c r="S1090" s="8">
        <v>6</v>
      </c>
      <c r="T1090" s="8">
        <f t="shared" si="112"/>
        <v>18</v>
      </c>
      <c r="U1090" s="8">
        <v>2</v>
      </c>
      <c r="V1090" s="8">
        <v>0</v>
      </c>
      <c r="W1090" s="8">
        <v>0</v>
      </c>
      <c r="X1090" s="8">
        <v>0</v>
      </c>
      <c r="Y1090" s="8">
        <v>0</v>
      </c>
      <c r="Z1090" s="8">
        <v>2</v>
      </c>
      <c r="AA1090" s="8">
        <v>180</v>
      </c>
      <c r="AB1090" s="9">
        <f t="shared" si="113"/>
        <v>0.66666666666666674</v>
      </c>
      <c r="AC1090" s="10">
        <f t="shared" si="108"/>
        <v>26.999999999999996</v>
      </c>
      <c r="AD1090" s="8" t="s">
        <v>33</v>
      </c>
      <c r="AE1090" s="11">
        <v>12990</v>
      </c>
      <c r="AF1090" s="11">
        <f t="shared" si="109"/>
        <v>233820</v>
      </c>
      <c r="AG1090" s="12" t="s">
        <v>73</v>
      </c>
      <c r="AH1090" s="8" t="s">
        <v>65</v>
      </c>
    </row>
    <row r="1091" spans="1:34">
      <c r="A1091" s="8" t="s">
        <v>1532</v>
      </c>
      <c r="B1091" s="16" t="s">
        <v>2859</v>
      </c>
      <c r="C1091" s="8" t="s">
        <v>377</v>
      </c>
      <c r="D1091" s="8" t="s">
        <v>1390</v>
      </c>
      <c r="E1091" s="8" t="str">
        <f t="shared" ref="E1091:E1154" si="114">TRIM(N1091)</f>
        <v>SUELA</v>
      </c>
      <c r="G1091" s="8" t="s">
        <v>2861</v>
      </c>
      <c r="H1091" s="8" t="str">
        <f>VLOOKUP(A1091,[1]BBDD!$B$1:$J$3274,9,FALSE)</f>
        <v>U</v>
      </c>
      <c r="I1091" s="8" t="s">
        <v>2861</v>
      </c>
      <c r="J1091" s="8" t="s">
        <v>1528</v>
      </c>
      <c r="L1091" s="8" t="s">
        <v>82</v>
      </c>
      <c r="N1091" s="8" t="s">
        <v>90</v>
      </c>
      <c r="O1091" s="8" t="s">
        <v>90</v>
      </c>
      <c r="Q1091" s="8" t="s">
        <v>32</v>
      </c>
      <c r="R1091" s="8">
        <v>12</v>
      </c>
      <c r="S1091" s="8">
        <v>6</v>
      </c>
      <c r="T1091" s="8">
        <f t="shared" si="112"/>
        <v>18</v>
      </c>
      <c r="U1091" s="8">
        <v>1</v>
      </c>
      <c r="V1091" s="8">
        <v>0</v>
      </c>
      <c r="W1091" s="8">
        <v>0</v>
      </c>
      <c r="X1091" s="8">
        <v>0</v>
      </c>
      <c r="Y1091" s="8">
        <v>0</v>
      </c>
      <c r="Z1091" s="8">
        <v>2</v>
      </c>
      <c r="AA1091" s="8">
        <v>180</v>
      </c>
      <c r="AB1091" s="9">
        <f t="shared" si="113"/>
        <v>0.5</v>
      </c>
      <c r="AC1091" s="10">
        <f t="shared" ref="AC1091:AC1154" si="115">IFERROR(T1091/AB1091,"sin venta")</f>
        <v>36</v>
      </c>
      <c r="AD1091" s="8" t="s">
        <v>33</v>
      </c>
      <c r="AE1091" s="11">
        <v>12990</v>
      </c>
      <c r="AF1091" s="11">
        <f t="shared" ref="AF1091:AF1154" si="116">IFERROR(AE1091*T1091,0)</f>
        <v>233820</v>
      </c>
      <c r="AG1091" s="12" t="s">
        <v>73</v>
      </c>
      <c r="AH1091" s="8" t="s">
        <v>65</v>
      </c>
    </row>
    <row r="1092" spans="1:34">
      <c r="A1092" s="8" t="s">
        <v>1533</v>
      </c>
      <c r="B1092" s="16" t="s">
        <v>2859</v>
      </c>
      <c r="C1092" s="8" t="s">
        <v>377</v>
      </c>
      <c r="D1092" s="8" t="s">
        <v>1390</v>
      </c>
      <c r="E1092" s="8" t="str">
        <f t="shared" si="114"/>
        <v>TABACO</v>
      </c>
      <c r="G1092" s="8" t="s">
        <v>2861</v>
      </c>
      <c r="H1092" s="8" t="str">
        <f>VLOOKUP(A1092,[1]BBDD!$B$1:$J$3274,9,FALSE)</f>
        <v>U</v>
      </c>
      <c r="I1092" s="8" t="s">
        <v>2861</v>
      </c>
      <c r="J1092" s="8" t="s">
        <v>1528</v>
      </c>
      <c r="L1092" s="8" t="s">
        <v>82</v>
      </c>
      <c r="N1092" s="8" t="s">
        <v>67</v>
      </c>
      <c r="O1092" s="8" t="s">
        <v>67</v>
      </c>
      <c r="Q1092" s="8" t="s">
        <v>32</v>
      </c>
      <c r="R1092" s="8">
        <v>0</v>
      </c>
      <c r="S1092" s="8">
        <v>0</v>
      </c>
      <c r="T1092" s="8">
        <f t="shared" si="112"/>
        <v>0</v>
      </c>
      <c r="U1092" s="8">
        <v>0</v>
      </c>
      <c r="V1092" s="8">
        <v>0</v>
      </c>
      <c r="W1092" s="8">
        <v>2</v>
      </c>
      <c r="X1092" s="8">
        <v>0</v>
      </c>
      <c r="Y1092" s="8">
        <v>0</v>
      </c>
      <c r="Z1092" s="8">
        <v>0</v>
      </c>
      <c r="AA1092" s="8">
        <v>180</v>
      </c>
      <c r="AB1092" s="9">
        <f t="shared" si="113"/>
        <v>0.33333333333333337</v>
      </c>
      <c r="AC1092" s="10">
        <f t="shared" si="115"/>
        <v>0</v>
      </c>
      <c r="AD1092" s="8" t="s">
        <v>33</v>
      </c>
      <c r="AE1092" s="11">
        <v>12990</v>
      </c>
      <c r="AF1092" s="11">
        <f t="shared" si="116"/>
        <v>0</v>
      </c>
      <c r="AG1092" s="12" t="s">
        <v>34</v>
      </c>
      <c r="AH1092" s="8" t="s">
        <v>35</v>
      </c>
    </row>
    <row r="1093" spans="1:34">
      <c r="A1093" s="8" t="s">
        <v>1534</v>
      </c>
      <c r="B1093" s="16" t="s">
        <v>2859</v>
      </c>
      <c r="C1093" s="8" t="s">
        <v>377</v>
      </c>
      <c r="D1093" s="8" t="s">
        <v>1390</v>
      </c>
      <c r="E1093" s="8" t="str">
        <f t="shared" si="114"/>
        <v>VERDE</v>
      </c>
      <c r="G1093" s="8" t="s">
        <v>2861</v>
      </c>
      <c r="H1093" s="8" t="str">
        <f>VLOOKUP(A1093,[1]BBDD!$B$1:$J$3274,9,FALSE)</f>
        <v>U</v>
      </c>
      <c r="I1093" s="8" t="s">
        <v>2861</v>
      </c>
      <c r="J1093" s="8" t="s">
        <v>1528</v>
      </c>
      <c r="L1093" s="8" t="s">
        <v>82</v>
      </c>
      <c r="N1093" s="8" t="s">
        <v>92</v>
      </c>
      <c r="O1093" s="8" t="s">
        <v>92</v>
      </c>
      <c r="Q1093" s="8" t="s">
        <v>32</v>
      </c>
      <c r="R1093" s="8">
        <v>12</v>
      </c>
      <c r="S1093" s="8">
        <v>8</v>
      </c>
      <c r="T1093" s="8">
        <f t="shared" si="112"/>
        <v>20</v>
      </c>
      <c r="U1093" s="8">
        <v>1</v>
      </c>
      <c r="V1093" s="8">
        <v>1</v>
      </c>
      <c r="W1093" s="8">
        <v>0</v>
      </c>
      <c r="X1093" s="8">
        <v>0</v>
      </c>
      <c r="Y1093" s="8">
        <v>0</v>
      </c>
      <c r="Z1093" s="8">
        <v>0</v>
      </c>
      <c r="AA1093" s="8">
        <v>180</v>
      </c>
      <c r="AB1093" s="9">
        <f t="shared" si="113"/>
        <v>0.33333333333333337</v>
      </c>
      <c r="AC1093" s="10">
        <f t="shared" si="115"/>
        <v>59.999999999999993</v>
      </c>
      <c r="AD1093" s="8" t="s">
        <v>33</v>
      </c>
      <c r="AE1093" s="11">
        <v>12990</v>
      </c>
      <c r="AF1093" s="11">
        <f t="shared" si="116"/>
        <v>259800</v>
      </c>
      <c r="AG1093" s="12" t="s">
        <v>73</v>
      </c>
      <c r="AH1093" s="8" t="s">
        <v>65</v>
      </c>
    </row>
    <row r="1094" spans="1:34">
      <c r="A1094" s="8" t="s">
        <v>1535</v>
      </c>
      <c r="B1094" s="16" t="s">
        <v>2859</v>
      </c>
      <c r="C1094" s="8" t="s">
        <v>377</v>
      </c>
      <c r="D1094" s="8" t="s">
        <v>1390</v>
      </c>
      <c r="E1094" s="8" t="str">
        <f t="shared" si="114"/>
        <v>MALBEC</v>
      </c>
      <c r="G1094" s="8" t="s">
        <v>2861</v>
      </c>
      <c r="H1094" s="8" t="str">
        <f>VLOOKUP(A1094,[1]BBDD!$B$1:$J$3274,9,FALSE)</f>
        <v>U</v>
      </c>
      <c r="I1094" s="8" t="s">
        <v>2861</v>
      </c>
      <c r="J1094" s="8" t="s">
        <v>1528</v>
      </c>
      <c r="L1094" s="8" t="s">
        <v>82</v>
      </c>
      <c r="N1094" s="8" t="s">
        <v>69</v>
      </c>
      <c r="O1094" s="8" t="s">
        <v>69</v>
      </c>
      <c r="Q1094" s="8" t="s">
        <v>32</v>
      </c>
      <c r="R1094" s="8">
        <v>4</v>
      </c>
      <c r="S1094" s="8">
        <v>10</v>
      </c>
      <c r="T1094" s="8">
        <f t="shared" si="112"/>
        <v>14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5</v>
      </c>
      <c r="AA1094" s="8">
        <v>180</v>
      </c>
      <c r="AB1094" s="9">
        <f t="shared" si="113"/>
        <v>0.83333333333333326</v>
      </c>
      <c r="AC1094" s="10">
        <f t="shared" si="115"/>
        <v>16.8</v>
      </c>
      <c r="AD1094" s="8" t="s">
        <v>33</v>
      </c>
      <c r="AE1094" s="11">
        <v>12990</v>
      </c>
      <c r="AF1094" s="11">
        <f t="shared" si="116"/>
        <v>181860</v>
      </c>
      <c r="AG1094" s="12" t="s">
        <v>64</v>
      </c>
      <c r="AH1094" s="8" t="s">
        <v>65</v>
      </c>
    </row>
    <row r="1095" spans="1:34">
      <c r="A1095" s="8" t="s">
        <v>1536</v>
      </c>
      <c r="B1095" s="16" t="s">
        <v>2859</v>
      </c>
      <c r="C1095" s="8" t="s">
        <v>377</v>
      </c>
      <c r="D1095" s="8" t="s">
        <v>1390</v>
      </c>
      <c r="E1095" s="8" t="str">
        <f t="shared" si="114"/>
        <v>CHOCOLATE</v>
      </c>
      <c r="G1095" s="8" t="s">
        <v>2861</v>
      </c>
      <c r="H1095" s="8" t="str">
        <f>VLOOKUP(A1095,[1]BBDD!$B$1:$J$3274,9,FALSE)</f>
        <v>U</v>
      </c>
      <c r="I1095" s="8" t="s">
        <v>2861</v>
      </c>
      <c r="J1095" s="8" t="s">
        <v>1537</v>
      </c>
      <c r="L1095" s="8" t="s">
        <v>82</v>
      </c>
      <c r="N1095" s="8" t="s">
        <v>252</v>
      </c>
      <c r="O1095" s="8" t="s">
        <v>252</v>
      </c>
      <c r="Q1095" s="8" t="s">
        <v>45</v>
      </c>
      <c r="R1095" s="8">
        <v>4</v>
      </c>
      <c r="S1095" s="8">
        <v>10</v>
      </c>
      <c r="T1095" s="8">
        <f t="shared" si="112"/>
        <v>14</v>
      </c>
      <c r="U1095" s="8">
        <v>1</v>
      </c>
      <c r="V1095" s="8">
        <v>3</v>
      </c>
      <c r="W1095" s="8">
        <v>1</v>
      </c>
      <c r="X1095" s="8">
        <v>2</v>
      </c>
      <c r="Y1095" s="8">
        <v>2</v>
      </c>
      <c r="Z1095" s="8">
        <v>3</v>
      </c>
      <c r="AA1095" s="8">
        <v>180</v>
      </c>
      <c r="AB1095" s="9">
        <f t="shared" si="113"/>
        <v>2</v>
      </c>
      <c r="AC1095" s="10">
        <f t="shared" si="115"/>
        <v>7</v>
      </c>
      <c r="AD1095" s="8" t="s">
        <v>109</v>
      </c>
      <c r="AE1095" s="11">
        <v>16990</v>
      </c>
      <c r="AF1095" s="11">
        <f t="shared" si="116"/>
        <v>237860</v>
      </c>
      <c r="AG1095" s="12" t="s">
        <v>51</v>
      </c>
      <c r="AH1095" s="8" t="s">
        <v>65</v>
      </c>
    </row>
    <row r="1096" spans="1:34">
      <c r="A1096" s="8" t="s">
        <v>1538</v>
      </c>
      <c r="B1096" s="16" t="s">
        <v>2859</v>
      </c>
      <c r="C1096" s="8" t="s">
        <v>377</v>
      </c>
      <c r="D1096" s="8" t="s">
        <v>1390</v>
      </c>
      <c r="E1096" s="8" t="str">
        <f t="shared" si="114"/>
        <v>NEGRO</v>
      </c>
      <c r="G1096" s="8" t="s">
        <v>2861</v>
      </c>
      <c r="H1096" s="8" t="str">
        <f>VLOOKUP(A1096,[1]BBDD!$B$1:$J$3274,9,FALSE)</f>
        <v>U</v>
      </c>
      <c r="I1096" s="8" t="s">
        <v>2861</v>
      </c>
      <c r="J1096" s="8" t="s">
        <v>1537</v>
      </c>
      <c r="L1096" s="8" t="s">
        <v>82</v>
      </c>
      <c r="N1096" s="8" t="s">
        <v>44</v>
      </c>
      <c r="O1096" s="8" t="s">
        <v>44</v>
      </c>
      <c r="Q1096" s="8" t="s">
        <v>45</v>
      </c>
      <c r="R1096" s="8">
        <v>13</v>
      </c>
      <c r="S1096" s="8">
        <v>8</v>
      </c>
      <c r="T1096" s="8">
        <f t="shared" si="112"/>
        <v>21</v>
      </c>
      <c r="U1096" s="8">
        <v>2</v>
      </c>
      <c r="V1096" s="8">
        <v>1</v>
      </c>
      <c r="W1096" s="8">
        <v>1</v>
      </c>
      <c r="X1096" s="8">
        <v>2</v>
      </c>
      <c r="Y1096" s="8">
        <v>2</v>
      </c>
      <c r="Z1096" s="8">
        <v>1</v>
      </c>
      <c r="AA1096" s="8">
        <v>180</v>
      </c>
      <c r="AB1096" s="9">
        <f t="shared" si="113"/>
        <v>1.5</v>
      </c>
      <c r="AC1096" s="10">
        <f t="shared" si="115"/>
        <v>14</v>
      </c>
      <c r="AD1096" s="8" t="s">
        <v>109</v>
      </c>
      <c r="AE1096" s="11">
        <v>16990</v>
      </c>
      <c r="AF1096" s="11">
        <f t="shared" si="116"/>
        <v>356790</v>
      </c>
      <c r="AG1096" s="12" t="s">
        <v>64</v>
      </c>
      <c r="AH1096" s="8" t="s">
        <v>74</v>
      </c>
    </row>
    <row r="1097" spans="1:34">
      <c r="A1097" s="8" t="s">
        <v>1539</v>
      </c>
      <c r="B1097" s="16" t="s">
        <v>2859</v>
      </c>
      <c r="C1097" s="8" t="s">
        <v>377</v>
      </c>
      <c r="D1097" s="8" t="s">
        <v>1390</v>
      </c>
      <c r="E1097" s="8" t="str">
        <f t="shared" si="114"/>
        <v>SUELA</v>
      </c>
      <c r="G1097" s="8" t="s">
        <v>2861</v>
      </c>
      <c r="H1097" s="8" t="str">
        <f>VLOOKUP(A1097,[1]BBDD!$B$1:$J$3274,9,FALSE)</f>
        <v>U</v>
      </c>
      <c r="I1097" s="8" t="s">
        <v>2861</v>
      </c>
      <c r="J1097" s="8" t="s">
        <v>1537</v>
      </c>
      <c r="L1097" s="8" t="s">
        <v>82</v>
      </c>
      <c r="N1097" s="8" t="s">
        <v>90</v>
      </c>
      <c r="O1097" s="8" t="s">
        <v>90</v>
      </c>
      <c r="Q1097" s="8" t="s">
        <v>45</v>
      </c>
      <c r="R1097" s="8">
        <v>0</v>
      </c>
      <c r="S1097" s="8">
        <v>1</v>
      </c>
      <c r="T1097" s="8">
        <f t="shared" si="112"/>
        <v>1</v>
      </c>
      <c r="U1097" s="8">
        <v>0</v>
      </c>
      <c r="V1097" s="8">
        <v>1</v>
      </c>
      <c r="W1097" s="8">
        <v>1</v>
      </c>
      <c r="X1097" s="8">
        <v>0</v>
      </c>
      <c r="Y1097" s="8">
        <v>1</v>
      </c>
      <c r="Z1097" s="8">
        <v>0</v>
      </c>
      <c r="AA1097" s="8">
        <v>180</v>
      </c>
      <c r="AB1097" s="9">
        <f t="shared" si="113"/>
        <v>0.5</v>
      </c>
      <c r="AC1097" s="10">
        <f t="shared" si="115"/>
        <v>2</v>
      </c>
      <c r="AD1097" s="8" t="s">
        <v>109</v>
      </c>
      <c r="AE1097" s="11">
        <v>16990</v>
      </c>
      <c r="AF1097" s="11">
        <f t="shared" si="116"/>
        <v>16990</v>
      </c>
      <c r="AG1097" s="12" t="s">
        <v>34</v>
      </c>
      <c r="AH1097" s="8" t="s">
        <v>35</v>
      </c>
    </row>
    <row r="1098" spans="1:34">
      <c r="A1098" s="8" t="s">
        <v>1540</v>
      </c>
      <c r="B1098" s="16" t="s">
        <v>2859</v>
      </c>
      <c r="C1098" s="8" t="s">
        <v>377</v>
      </c>
      <c r="D1098" s="8" t="s">
        <v>1390</v>
      </c>
      <c r="E1098" s="8" t="str">
        <f t="shared" si="114"/>
        <v>AZUL/AVELLANA</v>
      </c>
      <c r="G1098" s="8" t="s">
        <v>2861</v>
      </c>
      <c r="H1098" s="8" t="str">
        <f>VLOOKUP(A1098,[1]BBDD!$B$1:$J$3274,9,FALSE)</f>
        <v>U</v>
      </c>
      <c r="I1098" s="8" t="s">
        <v>2861</v>
      </c>
      <c r="J1098" s="8" t="s">
        <v>1541</v>
      </c>
      <c r="L1098" s="8" t="s">
        <v>1542</v>
      </c>
      <c r="N1098" s="8" t="s">
        <v>1543</v>
      </c>
      <c r="O1098" s="8" t="s">
        <v>1543</v>
      </c>
      <c r="Q1098" s="8" t="s">
        <v>32</v>
      </c>
      <c r="R1098" s="8">
        <v>0</v>
      </c>
      <c r="S1098" s="8">
        <v>9</v>
      </c>
      <c r="T1098" s="8">
        <f t="shared" si="112"/>
        <v>9</v>
      </c>
      <c r="U1098" s="8">
        <v>0</v>
      </c>
      <c r="V1098" s="8">
        <v>2</v>
      </c>
      <c r="W1098" s="8">
        <v>0</v>
      </c>
      <c r="X1098" s="8">
        <v>1</v>
      </c>
      <c r="Y1098" s="8">
        <v>0</v>
      </c>
      <c r="Z1098" s="8">
        <v>1</v>
      </c>
      <c r="AA1098" s="8">
        <v>180</v>
      </c>
      <c r="AB1098" s="9">
        <f t="shared" si="113"/>
        <v>0.66666666666666674</v>
      </c>
      <c r="AC1098" s="10">
        <f t="shared" si="115"/>
        <v>13.499999999999998</v>
      </c>
      <c r="AD1098" s="8" t="s">
        <v>33</v>
      </c>
      <c r="AE1098" s="11">
        <v>20990</v>
      </c>
      <c r="AF1098" s="11">
        <f t="shared" si="116"/>
        <v>188910</v>
      </c>
      <c r="AG1098" s="12" t="s">
        <v>64</v>
      </c>
      <c r="AH1098" s="8" t="s">
        <v>35</v>
      </c>
    </row>
    <row r="1099" spans="1:34">
      <c r="A1099" s="8" t="s">
        <v>1544</v>
      </c>
      <c r="B1099" s="16" t="s">
        <v>2859</v>
      </c>
      <c r="C1099" s="8" t="s">
        <v>377</v>
      </c>
      <c r="D1099" s="8" t="s">
        <v>1390</v>
      </c>
      <c r="E1099" s="8" t="str">
        <f t="shared" si="114"/>
        <v>AZUL/AZUL</v>
      </c>
      <c r="G1099" s="8" t="s">
        <v>2861</v>
      </c>
      <c r="H1099" s="8" t="str">
        <f>VLOOKUP(A1099,[1]BBDD!$B$1:$J$3274,9,FALSE)</f>
        <v>U</v>
      </c>
      <c r="I1099" s="8" t="s">
        <v>2861</v>
      </c>
      <c r="J1099" s="8" t="s">
        <v>1541</v>
      </c>
      <c r="L1099" s="8" t="s">
        <v>1542</v>
      </c>
      <c r="N1099" s="8" t="s">
        <v>1545</v>
      </c>
      <c r="O1099" s="8" t="s">
        <v>1545</v>
      </c>
      <c r="Q1099" s="8" t="s">
        <v>32</v>
      </c>
      <c r="R1099" s="8">
        <v>4</v>
      </c>
      <c r="S1099" s="8">
        <v>7</v>
      </c>
      <c r="T1099" s="8">
        <f t="shared" si="112"/>
        <v>11</v>
      </c>
      <c r="U1099" s="8">
        <v>2</v>
      </c>
      <c r="V1099" s="8">
        <v>0</v>
      </c>
      <c r="W1099" s="8">
        <v>3</v>
      </c>
      <c r="X1099" s="8">
        <v>0</v>
      </c>
      <c r="Y1099" s="8">
        <v>0</v>
      </c>
      <c r="Z1099" s="8">
        <v>0</v>
      </c>
      <c r="AA1099" s="8">
        <v>180</v>
      </c>
      <c r="AB1099" s="9">
        <f t="shared" si="113"/>
        <v>0.83333333333333326</v>
      </c>
      <c r="AC1099" s="10">
        <f t="shared" si="115"/>
        <v>13.200000000000001</v>
      </c>
      <c r="AD1099" s="8" t="s">
        <v>33</v>
      </c>
      <c r="AE1099" s="11">
        <v>20990</v>
      </c>
      <c r="AF1099" s="11">
        <f t="shared" si="116"/>
        <v>230890</v>
      </c>
      <c r="AG1099" s="12" t="s">
        <v>64</v>
      </c>
      <c r="AH1099" s="8" t="s">
        <v>65</v>
      </c>
    </row>
    <row r="1100" spans="1:34">
      <c r="A1100" s="8" t="s">
        <v>1546</v>
      </c>
      <c r="B1100" s="16" t="s">
        <v>2859</v>
      </c>
      <c r="C1100" s="8" t="s">
        <v>377</v>
      </c>
      <c r="D1100" s="8" t="s">
        <v>1390</v>
      </c>
      <c r="E1100" s="8" t="str">
        <f t="shared" si="114"/>
        <v>CARAMELO/AZUL</v>
      </c>
      <c r="G1100" s="8" t="s">
        <v>2861</v>
      </c>
      <c r="H1100" s="8" t="str">
        <f>VLOOKUP(A1100,[1]BBDD!$B$1:$J$3274,9,FALSE)</f>
        <v>U</v>
      </c>
      <c r="I1100" s="8" t="s">
        <v>2861</v>
      </c>
      <c r="J1100" s="8" t="s">
        <v>1541</v>
      </c>
      <c r="L1100" s="8" t="s">
        <v>1542</v>
      </c>
      <c r="N1100" s="8" t="s">
        <v>1547</v>
      </c>
      <c r="O1100" s="8" t="s">
        <v>1547</v>
      </c>
      <c r="Q1100" s="8" t="s">
        <v>32</v>
      </c>
      <c r="R1100" s="8">
        <v>9</v>
      </c>
      <c r="S1100" s="8">
        <v>8</v>
      </c>
      <c r="T1100" s="8">
        <f t="shared" si="112"/>
        <v>17</v>
      </c>
      <c r="U1100" s="8">
        <v>2</v>
      </c>
      <c r="V1100" s="8">
        <v>0</v>
      </c>
      <c r="W1100" s="8">
        <v>0</v>
      </c>
      <c r="X1100" s="8">
        <v>1</v>
      </c>
      <c r="Y1100" s="8">
        <v>0</v>
      </c>
      <c r="Z1100" s="8">
        <v>0</v>
      </c>
      <c r="AA1100" s="8">
        <v>180</v>
      </c>
      <c r="AB1100" s="9">
        <f t="shared" si="113"/>
        <v>0.5</v>
      </c>
      <c r="AC1100" s="10">
        <f t="shared" si="115"/>
        <v>34</v>
      </c>
      <c r="AD1100" s="8" t="s">
        <v>33</v>
      </c>
      <c r="AE1100" s="11">
        <v>20990</v>
      </c>
      <c r="AF1100" s="11">
        <f t="shared" si="116"/>
        <v>356830</v>
      </c>
      <c r="AG1100" s="12" t="s">
        <v>73</v>
      </c>
      <c r="AH1100" s="8" t="s">
        <v>65</v>
      </c>
    </row>
    <row r="1101" spans="1:34">
      <c r="A1101" s="8" t="s">
        <v>1548</v>
      </c>
      <c r="B1101" s="16" t="s">
        <v>2859</v>
      </c>
      <c r="C1101" s="8" t="s">
        <v>377</v>
      </c>
      <c r="D1101" s="8" t="s">
        <v>1390</v>
      </c>
      <c r="E1101" s="8" t="str">
        <f t="shared" si="114"/>
        <v>CARAMELO/OLIVE</v>
      </c>
      <c r="G1101" s="8" t="s">
        <v>2861</v>
      </c>
      <c r="H1101" s="8" t="str">
        <f>VLOOKUP(A1101,[1]BBDD!$B$1:$J$3274,9,FALSE)</f>
        <v>U</v>
      </c>
      <c r="I1101" s="8" t="s">
        <v>2861</v>
      </c>
      <c r="J1101" s="8" t="s">
        <v>1541</v>
      </c>
      <c r="L1101" s="8" t="s">
        <v>1542</v>
      </c>
      <c r="N1101" s="8" t="s">
        <v>1410</v>
      </c>
      <c r="O1101" s="8" t="s">
        <v>1410</v>
      </c>
      <c r="Q1101" s="8" t="s">
        <v>32</v>
      </c>
      <c r="R1101" s="8">
        <v>25</v>
      </c>
      <c r="S1101" s="8">
        <v>10</v>
      </c>
      <c r="T1101" s="8">
        <f t="shared" si="112"/>
        <v>35</v>
      </c>
      <c r="U1101" s="8">
        <v>0</v>
      </c>
      <c r="V1101" s="8">
        <v>1</v>
      </c>
      <c r="W1101" s="8">
        <v>0</v>
      </c>
      <c r="X1101" s="8">
        <v>1</v>
      </c>
      <c r="Y1101" s="8">
        <v>0</v>
      </c>
      <c r="Z1101" s="8">
        <v>1</v>
      </c>
      <c r="AA1101" s="8">
        <v>180</v>
      </c>
      <c r="AB1101" s="9">
        <f t="shared" si="113"/>
        <v>0.5</v>
      </c>
      <c r="AC1101" s="10">
        <f t="shared" si="115"/>
        <v>70</v>
      </c>
      <c r="AD1101" s="8" t="s">
        <v>33</v>
      </c>
      <c r="AE1101" s="11">
        <v>20990</v>
      </c>
      <c r="AF1101" s="11">
        <f t="shared" si="116"/>
        <v>734650</v>
      </c>
      <c r="AG1101" s="12" t="s">
        <v>73</v>
      </c>
      <c r="AH1101" s="8" t="s">
        <v>74</v>
      </c>
    </row>
    <row r="1102" spans="1:34">
      <c r="A1102" s="8" t="s">
        <v>1549</v>
      </c>
      <c r="B1102" s="16" t="s">
        <v>2859</v>
      </c>
      <c r="C1102" s="8" t="s">
        <v>377</v>
      </c>
      <c r="D1102" s="8" t="s">
        <v>1390</v>
      </c>
      <c r="E1102" s="8" t="str">
        <f t="shared" si="114"/>
        <v>MALBEC/AZUL</v>
      </c>
      <c r="G1102" s="8" t="s">
        <v>2861</v>
      </c>
      <c r="H1102" s="8" t="str">
        <f>VLOOKUP(A1102,[1]BBDD!$B$1:$J$3274,9,FALSE)</f>
        <v>U</v>
      </c>
      <c r="I1102" s="8" t="s">
        <v>2861</v>
      </c>
      <c r="J1102" s="8" t="s">
        <v>1541</v>
      </c>
      <c r="L1102" s="8" t="s">
        <v>1542</v>
      </c>
      <c r="N1102" s="8" t="s">
        <v>1393</v>
      </c>
      <c r="O1102" s="8" t="s">
        <v>1393</v>
      </c>
      <c r="Q1102" s="8" t="s">
        <v>32</v>
      </c>
      <c r="R1102" s="8">
        <v>0</v>
      </c>
      <c r="S1102" s="8">
        <v>7</v>
      </c>
      <c r="T1102" s="8">
        <f t="shared" si="112"/>
        <v>7</v>
      </c>
      <c r="U1102" s="8">
        <v>1</v>
      </c>
      <c r="V1102" s="8">
        <v>0</v>
      </c>
      <c r="W1102" s="8">
        <v>3</v>
      </c>
      <c r="X1102" s="8">
        <v>2</v>
      </c>
      <c r="Y1102" s="8">
        <v>2</v>
      </c>
      <c r="Z1102" s="8">
        <v>3</v>
      </c>
      <c r="AA1102" s="8">
        <v>180</v>
      </c>
      <c r="AB1102" s="9">
        <f t="shared" si="113"/>
        <v>1.8333333333333333</v>
      </c>
      <c r="AC1102" s="10">
        <f t="shared" si="115"/>
        <v>3.8181818181818183</v>
      </c>
      <c r="AD1102" s="8" t="s">
        <v>33</v>
      </c>
      <c r="AE1102" s="11">
        <v>20990</v>
      </c>
      <c r="AF1102" s="11">
        <f t="shared" si="116"/>
        <v>146930</v>
      </c>
      <c r="AG1102" s="12" t="s">
        <v>34</v>
      </c>
      <c r="AH1102" s="8" t="s">
        <v>35</v>
      </c>
    </row>
    <row r="1103" spans="1:34">
      <c r="A1103" s="8" t="s">
        <v>1550</v>
      </c>
      <c r="B1103" s="16" t="s">
        <v>2859</v>
      </c>
      <c r="C1103" s="8" t="s">
        <v>377</v>
      </c>
      <c r="D1103" s="8" t="s">
        <v>1390</v>
      </c>
      <c r="E1103" s="8" t="str">
        <f t="shared" si="114"/>
        <v>MALBEC/OXIDO</v>
      </c>
      <c r="G1103" s="8" t="s">
        <v>2861</v>
      </c>
      <c r="H1103" s="8" t="str">
        <f>VLOOKUP(A1103,[1]BBDD!$B$1:$J$3274,9,FALSE)</f>
        <v>U</v>
      </c>
      <c r="I1103" s="8" t="s">
        <v>2861</v>
      </c>
      <c r="J1103" s="8" t="s">
        <v>1541</v>
      </c>
      <c r="L1103" s="8" t="s">
        <v>1542</v>
      </c>
      <c r="N1103" s="8" t="s">
        <v>1551</v>
      </c>
      <c r="O1103" s="8" t="s">
        <v>1551</v>
      </c>
      <c r="Q1103" s="8" t="s">
        <v>32</v>
      </c>
      <c r="R1103" s="8">
        <v>9</v>
      </c>
      <c r="S1103" s="8">
        <v>9</v>
      </c>
      <c r="T1103" s="8">
        <f t="shared" si="112"/>
        <v>18</v>
      </c>
      <c r="U1103" s="8">
        <v>0</v>
      </c>
      <c r="V1103" s="8">
        <v>0</v>
      </c>
      <c r="W1103" s="8">
        <v>1</v>
      </c>
      <c r="X1103" s="8">
        <v>1</v>
      </c>
      <c r="Y1103" s="8">
        <v>0</v>
      </c>
      <c r="Z1103" s="8">
        <v>0</v>
      </c>
      <c r="AA1103" s="8">
        <v>180</v>
      </c>
      <c r="AB1103" s="9">
        <f t="shared" si="113"/>
        <v>0.33333333333333337</v>
      </c>
      <c r="AC1103" s="10">
        <f t="shared" si="115"/>
        <v>53.999999999999993</v>
      </c>
      <c r="AD1103" s="8" t="s">
        <v>33</v>
      </c>
      <c r="AE1103" s="11">
        <v>20990</v>
      </c>
      <c r="AF1103" s="11">
        <f t="shared" si="116"/>
        <v>377820</v>
      </c>
      <c r="AG1103" s="12" t="s">
        <v>73</v>
      </c>
      <c r="AH1103" s="8" t="s">
        <v>65</v>
      </c>
    </row>
    <row r="1104" spans="1:34">
      <c r="A1104" s="8" t="s">
        <v>1552</v>
      </c>
      <c r="B1104" s="16" t="s">
        <v>2859</v>
      </c>
      <c r="C1104" s="8" t="s">
        <v>377</v>
      </c>
      <c r="D1104" s="8" t="s">
        <v>1390</v>
      </c>
      <c r="E1104" s="8" t="str">
        <f t="shared" si="114"/>
        <v>NEGRO/GRIS MEDIO</v>
      </c>
      <c r="G1104" s="8" t="s">
        <v>2861</v>
      </c>
      <c r="H1104" s="8" t="str">
        <f>VLOOKUP(A1104,[1]BBDD!$B$1:$J$3274,9,FALSE)</f>
        <v>U</v>
      </c>
      <c r="I1104" s="8" t="s">
        <v>2861</v>
      </c>
      <c r="J1104" s="8" t="s">
        <v>1541</v>
      </c>
      <c r="L1104" s="8" t="s">
        <v>1542</v>
      </c>
      <c r="N1104" s="8" t="s">
        <v>1553</v>
      </c>
      <c r="O1104" s="8" t="s">
        <v>1553</v>
      </c>
      <c r="Q1104" s="8" t="s">
        <v>32</v>
      </c>
      <c r="R1104" s="8">
        <v>2</v>
      </c>
      <c r="S1104" s="8">
        <v>9</v>
      </c>
      <c r="T1104" s="8">
        <f t="shared" si="112"/>
        <v>11</v>
      </c>
      <c r="U1104" s="8">
        <v>1</v>
      </c>
      <c r="V1104" s="8">
        <v>0</v>
      </c>
      <c r="W1104" s="8">
        <v>1</v>
      </c>
      <c r="X1104" s="8">
        <v>1</v>
      </c>
      <c r="Y1104" s="8">
        <v>0</v>
      </c>
      <c r="Z1104" s="8">
        <v>0</v>
      </c>
      <c r="AA1104" s="8">
        <v>180</v>
      </c>
      <c r="AB1104" s="9">
        <f t="shared" si="113"/>
        <v>0.5</v>
      </c>
      <c r="AC1104" s="10">
        <f t="shared" si="115"/>
        <v>22</v>
      </c>
      <c r="AD1104" s="8" t="s">
        <v>33</v>
      </c>
      <c r="AE1104" s="11">
        <v>20990</v>
      </c>
      <c r="AF1104" s="11">
        <f t="shared" si="116"/>
        <v>230890</v>
      </c>
      <c r="AG1104" s="12" t="s">
        <v>64</v>
      </c>
      <c r="AH1104" s="8" t="s">
        <v>65</v>
      </c>
    </row>
    <row r="1105" spans="1:34">
      <c r="A1105" s="8" t="s">
        <v>1554</v>
      </c>
      <c r="B1105" s="16" t="s">
        <v>2859</v>
      </c>
      <c r="C1105" s="8" t="s">
        <v>377</v>
      </c>
      <c r="D1105" s="8" t="s">
        <v>1390</v>
      </c>
      <c r="E1105" s="8" t="str">
        <f t="shared" si="114"/>
        <v>NEGRO/GRIS OSCURO</v>
      </c>
      <c r="G1105" s="8" t="s">
        <v>2861</v>
      </c>
      <c r="H1105" s="8" t="str">
        <f>VLOOKUP(A1105,[1]BBDD!$B$1:$J$3274,9,FALSE)</f>
        <v>U</v>
      </c>
      <c r="I1105" s="8" t="s">
        <v>2861</v>
      </c>
      <c r="J1105" s="8" t="s">
        <v>1541</v>
      </c>
      <c r="L1105" s="8" t="s">
        <v>1542</v>
      </c>
      <c r="N1105" s="8" t="s">
        <v>1555</v>
      </c>
      <c r="O1105" s="8" t="s">
        <v>1555</v>
      </c>
      <c r="Q1105" s="8" t="s">
        <v>32</v>
      </c>
      <c r="R1105" s="8">
        <v>6</v>
      </c>
      <c r="S1105" s="8">
        <v>10</v>
      </c>
      <c r="T1105" s="8">
        <f t="shared" si="112"/>
        <v>16</v>
      </c>
      <c r="U1105" s="8">
        <v>0</v>
      </c>
      <c r="V1105" s="8">
        <v>1</v>
      </c>
      <c r="W1105" s="8">
        <v>2</v>
      </c>
      <c r="X1105" s="8">
        <v>0</v>
      </c>
      <c r="Y1105" s="8">
        <v>2</v>
      </c>
      <c r="Z1105" s="8">
        <v>0</v>
      </c>
      <c r="AA1105" s="8">
        <v>180</v>
      </c>
      <c r="AB1105" s="9">
        <f t="shared" si="113"/>
        <v>0.83333333333333326</v>
      </c>
      <c r="AC1105" s="10">
        <f t="shared" si="115"/>
        <v>19.200000000000003</v>
      </c>
      <c r="AD1105" s="8" t="s">
        <v>33</v>
      </c>
      <c r="AE1105" s="11">
        <v>20990</v>
      </c>
      <c r="AF1105" s="11">
        <f t="shared" si="116"/>
        <v>335840</v>
      </c>
      <c r="AG1105" s="12" t="s">
        <v>64</v>
      </c>
      <c r="AH1105" s="8" t="s">
        <v>65</v>
      </c>
    </row>
    <row r="1106" spans="1:34">
      <c r="A1106" s="8" t="s">
        <v>1556</v>
      </c>
      <c r="B1106" s="16" t="s">
        <v>2859</v>
      </c>
      <c r="C1106" s="8" t="s">
        <v>377</v>
      </c>
      <c r="D1106" s="8" t="s">
        <v>1390</v>
      </c>
      <c r="E1106" s="8" t="str">
        <f t="shared" si="114"/>
        <v>NEGRO/VESUBIO</v>
      </c>
      <c r="G1106" s="8" t="s">
        <v>2861</v>
      </c>
      <c r="H1106" s="8" t="str">
        <f>VLOOKUP(A1106,[1]BBDD!$B$1:$J$3274,9,FALSE)</f>
        <v>U</v>
      </c>
      <c r="I1106" s="8" t="s">
        <v>2861</v>
      </c>
      <c r="J1106" s="8" t="s">
        <v>1541</v>
      </c>
      <c r="L1106" s="8" t="s">
        <v>1542</v>
      </c>
      <c r="N1106" s="8" t="s">
        <v>1557</v>
      </c>
      <c r="O1106" s="8" t="s">
        <v>1557</v>
      </c>
      <c r="Q1106" s="8" t="s">
        <v>32</v>
      </c>
      <c r="R1106" s="8">
        <v>23</v>
      </c>
      <c r="S1106" s="8">
        <v>13</v>
      </c>
      <c r="T1106" s="8">
        <f t="shared" si="112"/>
        <v>36</v>
      </c>
      <c r="U1106" s="8">
        <v>1</v>
      </c>
      <c r="V1106" s="8">
        <v>1</v>
      </c>
      <c r="W1106" s="8">
        <v>1</v>
      </c>
      <c r="X1106" s="8">
        <v>0</v>
      </c>
      <c r="Y1106" s="8">
        <v>0</v>
      </c>
      <c r="Z1106" s="8">
        <v>2</v>
      </c>
      <c r="AA1106" s="8">
        <v>180</v>
      </c>
      <c r="AB1106" s="9">
        <f t="shared" si="113"/>
        <v>0.83333333333333326</v>
      </c>
      <c r="AC1106" s="10">
        <f t="shared" si="115"/>
        <v>43.2</v>
      </c>
      <c r="AD1106" s="8" t="s">
        <v>33</v>
      </c>
      <c r="AE1106" s="11">
        <v>20990</v>
      </c>
      <c r="AF1106" s="11">
        <f t="shared" si="116"/>
        <v>755640</v>
      </c>
      <c r="AG1106" s="12" t="s">
        <v>73</v>
      </c>
      <c r="AH1106" s="8" t="s">
        <v>74</v>
      </c>
    </row>
    <row r="1107" spans="1:34">
      <c r="A1107" s="8" t="s">
        <v>1558</v>
      </c>
      <c r="B1107" s="16" t="s">
        <v>2859</v>
      </c>
      <c r="C1107" s="8" t="s">
        <v>377</v>
      </c>
      <c r="D1107" s="8" t="s">
        <v>1390</v>
      </c>
      <c r="E1107" s="8" t="str">
        <f t="shared" si="114"/>
        <v>TABACO/AVELLANA</v>
      </c>
      <c r="G1107" s="8" t="s">
        <v>2861</v>
      </c>
      <c r="H1107" s="8" t="str">
        <f>VLOOKUP(A1107,[1]BBDD!$B$1:$J$3274,9,FALSE)</f>
        <v>U</v>
      </c>
      <c r="I1107" s="8" t="s">
        <v>2861</v>
      </c>
      <c r="J1107" s="8" t="s">
        <v>1541</v>
      </c>
      <c r="L1107" s="8" t="s">
        <v>1542</v>
      </c>
      <c r="N1107" s="8" t="s">
        <v>1559</v>
      </c>
      <c r="O1107" s="8" t="s">
        <v>1559</v>
      </c>
      <c r="Q1107" s="8" t="s">
        <v>32</v>
      </c>
      <c r="R1107" s="8">
        <v>0</v>
      </c>
      <c r="S1107" s="8">
        <v>3</v>
      </c>
      <c r="T1107" s="8">
        <f t="shared" si="112"/>
        <v>3</v>
      </c>
      <c r="U1107" s="8">
        <v>2</v>
      </c>
      <c r="V1107" s="8">
        <v>1</v>
      </c>
      <c r="W1107" s="8">
        <v>0</v>
      </c>
      <c r="X1107" s="8">
        <v>0</v>
      </c>
      <c r="Y1107" s="8">
        <v>0</v>
      </c>
      <c r="Z1107" s="8">
        <v>0</v>
      </c>
      <c r="AA1107" s="8">
        <v>180</v>
      </c>
      <c r="AB1107" s="9">
        <f t="shared" si="113"/>
        <v>0.5</v>
      </c>
      <c r="AC1107" s="10">
        <f t="shared" si="115"/>
        <v>6</v>
      </c>
      <c r="AD1107" s="8" t="s">
        <v>33</v>
      </c>
      <c r="AE1107" s="11">
        <v>20990</v>
      </c>
      <c r="AF1107" s="11">
        <f t="shared" si="116"/>
        <v>62970</v>
      </c>
      <c r="AG1107" s="12" t="s">
        <v>34</v>
      </c>
      <c r="AH1107" s="8" t="s">
        <v>35</v>
      </c>
    </row>
    <row r="1108" spans="1:34">
      <c r="A1108" s="8" t="s">
        <v>1560</v>
      </c>
      <c r="B1108" s="16" t="s">
        <v>2859</v>
      </c>
      <c r="C1108" s="8" t="s">
        <v>377</v>
      </c>
      <c r="D1108" s="8" t="s">
        <v>1390</v>
      </c>
      <c r="E1108" s="8" t="str">
        <f t="shared" si="114"/>
        <v>TABACO/OLIVE</v>
      </c>
      <c r="G1108" s="8" t="s">
        <v>2861</v>
      </c>
      <c r="H1108" s="8" t="str">
        <f>VLOOKUP(A1108,[1]BBDD!$B$1:$J$3274,9,FALSE)</f>
        <v>U</v>
      </c>
      <c r="I1108" s="8" t="s">
        <v>2861</v>
      </c>
      <c r="J1108" s="8" t="s">
        <v>1541</v>
      </c>
      <c r="L1108" s="8" t="s">
        <v>1542</v>
      </c>
      <c r="N1108" s="8" t="s">
        <v>1561</v>
      </c>
      <c r="O1108" s="8" t="s">
        <v>1561</v>
      </c>
      <c r="Q1108" s="8" t="s">
        <v>32</v>
      </c>
      <c r="R1108" s="8">
        <v>0</v>
      </c>
      <c r="S1108" s="8">
        <v>2</v>
      </c>
      <c r="T1108" s="8">
        <f t="shared" si="112"/>
        <v>2</v>
      </c>
      <c r="U1108" s="8">
        <v>2</v>
      </c>
      <c r="V1108" s="8">
        <v>2</v>
      </c>
      <c r="W1108" s="8">
        <v>1</v>
      </c>
      <c r="X1108" s="8">
        <v>1</v>
      </c>
      <c r="Y1108" s="8">
        <v>0</v>
      </c>
      <c r="Z1108" s="8">
        <v>0</v>
      </c>
      <c r="AA1108" s="8">
        <v>180</v>
      </c>
      <c r="AB1108" s="9">
        <f t="shared" si="113"/>
        <v>1</v>
      </c>
      <c r="AC1108" s="10">
        <f t="shared" si="115"/>
        <v>2</v>
      </c>
      <c r="AD1108" s="8" t="s">
        <v>33</v>
      </c>
      <c r="AE1108" s="11">
        <v>20990</v>
      </c>
      <c r="AF1108" s="11">
        <f t="shared" si="116"/>
        <v>41980</v>
      </c>
      <c r="AG1108" s="12" t="s">
        <v>34</v>
      </c>
      <c r="AH1108" s="8" t="s">
        <v>35</v>
      </c>
    </row>
    <row r="1109" spans="1:34">
      <c r="A1109" s="8" t="s">
        <v>1562</v>
      </c>
      <c r="B1109" s="16" t="s">
        <v>2859</v>
      </c>
      <c r="C1109" s="8" t="s">
        <v>377</v>
      </c>
      <c r="D1109" s="8" t="s">
        <v>1390</v>
      </c>
      <c r="E1109" s="8" t="str">
        <f t="shared" si="114"/>
        <v>VERDE/OLIVE</v>
      </c>
      <c r="G1109" s="8" t="s">
        <v>2861</v>
      </c>
      <c r="H1109" s="8" t="str">
        <f>VLOOKUP(A1109,[1]BBDD!$B$1:$J$3274,9,FALSE)</f>
        <v>U</v>
      </c>
      <c r="I1109" s="8" t="s">
        <v>2861</v>
      </c>
      <c r="J1109" s="8" t="s">
        <v>1541</v>
      </c>
      <c r="L1109" s="8" t="s">
        <v>1542</v>
      </c>
      <c r="N1109" s="8" t="s">
        <v>1563</v>
      </c>
      <c r="O1109" s="8" t="s">
        <v>1563</v>
      </c>
      <c r="Q1109" s="8" t="s">
        <v>32</v>
      </c>
      <c r="R1109" s="8">
        <v>0</v>
      </c>
      <c r="S1109" s="8">
        <v>4</v>
      </c>
      <c r="T1109" s="8">
        <f t="shared" si="112"/>
        <v>4</v>
      </c>
      <c r="U1109" s="8">
        <v>4</v>
      </c>
      <c r="V1109" s="8">
        <v>1</v>
      </c>
      <c r="W1109" s="8">
        <v>1</v>
      </c>
      <c r="X1109" s="8">
        <v>1</v>
      </c>
      <c r="Y1109" s="8">
        <v>2</v>
      </c>
      <c r="Z1109" s="8">
        <v>0</v>
      </c>
      <c r="AA1109" s="8">
        <v>180</v>
      </c>
      <c r="AB1109" s="9">
        <f t="shared" si="113"/>
        <v>1.5</v>
      </c>
      <c r="AC1109" s="10">
        <f t="shared" si="115"/>
        <v>2.6666666666666665</v>
      </c>
      <c r="AD1109" s="8" t="s">
        <v>33</v>
      </c>
      <c r="AE1109" s="11">
        <v>20990</v>
      </c>
      <c r="AF1109" s="11">
        <f t="shared" si="116"/>
        <v>83960</v>
      </c>
      <c r="AG1109" s="12" t="s">
        <v>34</v>
      </c>
      <c r="AH1109" s="8" t="s">
        <v>35</v>
      </c>
    </row>
    <row r="1110" spans="1:34">
      <c r="A1110" s="8" t="s">
        <v>1564</v>
      </c>
      <c r="B1110" s="16" t="s">
        <v>2859</v>
      </c>
      <c r="C1110" s="8" t="s">
        <v>377</v>
      </c>
      <c r="D1110" s="8" t="s">
        <v>1390</v>
      </c>
      <c r="E1110" s="8" t="str">
        <f t="shared" si="114"/>
        <v>AZUL/MARSALA</v>
      </c>
      <c r="G1110" s="8" t="s">
        <v>2861</v>
      </c>
      <c r="H1110" s="8" t="str">
        <f>VLOOKUP(A1110,[1]BBDD!$B$1:$J$3274,9,FALSE)</f>
        <v>U</v>
      </c>
      <c r="I1110" s="8" t="s">
        <v>2861</v>
      </c>
      <c r="J1110" s="8" t="s">
        <v>1541</v>
      </c>
      <c r="L1110" s="8" t="s">
        <v>1542</v>
      </c>
      <c r="N1110" s="8" t="s">
        <v>1565</v>
      </c>
      <c r="O1110" s="8" t="s">
        <v>1565</v>
      </c>
      <c r="Q1110" s="8" t="s">
        <v>45</v>
      </c>
      <c r="R1110" s="8">
        <v>24</v>
      </c>
      <c r="S1110" s="8">
        <v>11</v>
      </c>
      <c r="T1110" s="8">
        <f t="shared" si="112"/>
        <v>35</v>
      </c>
      <c r="U1110" s="8">
        <v>0</v>
      </c>
      <c r="V1110" s="8">
        <v>0</v>
      </c>
      <c r="W1110" s="8">
        <v>2</v>
      </c>
      <c r="X1110" s="8">
        <v>0</v>
      </c>
      <c r="Y1110" s="8">
        <v>0</v>
      </c>
      <c r="Z1110" s="8">
        <v>0</v>
      </c>
      <c r="AA1110" s="8">
        <v>180</v>
      </c>
      <c r="AB1110" s="9">
        <f t="shared" si="113"/>
        <v>0.33333333333333337</v>
      </c>
      <c r="AC1110" s="10">
        <f t="shared" si="115"/>
        <v>104.99999999999999</v>
      </c>
      <c r="AD1110" s="8" t="s">
        <v>109</v>
      </c>
      <c r="AE1110" s="11">
        <v>20990</v>
      </c>
      <c r="AF1110" s="11">
        <f t="shared" si="116"/>
        <v>734650</v>
      </c>
      <c r="AG1110" s="12" t="s">
        <v>73</v>
      </c>
      <c r="AH1110" s="8" t="s">
        <v>74</v>
      </c>
    </row>
    <row r="1111" spans="1:34">
      <c r="A1111" s="8" t="s">
        <v>1566</v>
      </c>
      <c r="B1111" s="16" t="s">
        <v>2859</v>
      </c>
      <c r="C1111" s="8" t="s">
        <v>377</v>
      </c>
      <c r="D1111" s="8" t="s">
        <v>1390</v>
      </c>
      <c r="E1111" s="8" t="str">
        <f t="shared" si="114"/>
        <v>AZUL/OXIDO</v>
      </c>
      <c r="G1111" s="8" t="s">
        <v>2861</v>
      </c>
      <c r="H1111" s="8" t="str">
        <f>VLOOKUP(A1111,[1]BBDD!$B$1:$J$3274,9,FALSE)</f>
        <v>U</v>
      </c>
      <c r="I1111" s="8" t="s">
        <v>2861</v>
      </c>
      <c r="J1111" s="8" t="s">
        <v>1541</v>
      </c>
      <c r="L1111" s="8" t="s">
        <v>1542</v>
      </c>
      <c r="N1111" s="8" t="s">
        <v>1567</v>
      </c>
      <c r="O1111" s="8" t="s">
        <v>1567</v>
      </c>
      <c r="Q1111" s="8" t="s">
        <v>45</v>
      </c>
      <c r="R1111" s="8">
        <v>16</v>
      </c>
      <c r="S1111" s="8">
        <v>10</v>
      </c>
      <c r="T1111" s="8">
        <f t="shared" si="112"/>
        <v>26</v>
      </c>
      <c r="U1111" s="8">
        <v>0</v>
      </c>
      <c r="V1111" s="8">
        <v>1</v>
      </c>
      <c r="W1111" s="8">
        <v>0</v>
      </c>
      <c r="X1111" s="8">
        <v>0</v>
      </c>
      <c r="Y1111" s="8">
        <v>0</v>
      </c>
      <c r="Z1111" s="8">
        <v>0</v>
      </c>
      <c r="AA1111" s="8">
        <v>180</v>
      </c>
      <c r="AB1111" s="9">
        <f t="shared" si="113"/>
        <v>0.16666666666666669</v>
      </c>
      <c r="AC1111" s="10">
        <f t="shared" si="115"/>
        <v>155.99999999999997</v>
      </c>
      <c r="AD1111" s="8" t="s">
        <v>109</v>
      </c>
      <c r="AE1111" s="11">
        <v>20990</v>
      </c>
      <c r="AF1111" s="11">
        <f t="shared" si="116"/>
        <v>545740</v>
      </c>
      <c r="AG1111" s="12" t="s">
        <v>73</v>
      </c>
      <c r="AH1111" s="8" t="s">
        <v>74</v>
      </c>
    </row>
    <row r="1112" spans="1:34">
      <c r="A1112" s="8" t="s">
        <v>1568</v>
      </c>
      <c r="B1112" s="16" t="s">
        <v>2859</v>
      </c>
      <c r="C1112" s="8" t="s">
        <v>377</v>
      </c>
      <c r="D1112" s="8" t="s">
        <v>1390</v>
      </c>
      <c r="E1112" s="8" t="str">
        <f t="shared" si="114"/>
        <v>AZUL/VERDE ESMERALDA</v>
      </c>
      <c r="G1112" s="8" t="s">
        <v>2861</v>
      </c>
      <c r="H1112" s="8" t="str">
        <f>VLOOKUP(A1112,[1]BBDD!$B$1:$J$3274,9,FALSE)</f>
        <v>U</v>
      </c>
      <c r="I1112" s="8" t="s">
        <v>2861</v>
      </c>
      <c r="J1112" s="8" t="s">
        <v>1541</v>
      </c>
      <c r="L1112" s="8" t="s">
        <v>1542</v>
      </c>
      <c r="N1112" s="8" t="s">
        <v>1569</v>
      </c>
      <c r="O1112" s="8" t="s">
        <v>1569</v>
      </c>
      <c r="Q1112" s="8" t="s">
        <v>45</v>
      </c>
      <c r="R1112" s="8">
        <v>0</v>
      </c>
      <c r="S1112" s="8">
        <v>1</v>
      </c>
      <c r="T1112" s="8">
        <f t="shared" si="112"/>
        <v>1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180</v>
      </c>
      <c r="AB1112" s="9">
        <f t="shared" si="113"/>
        <v>0</v>
      </c>
      <c r="AC1112" s="10" t="str">
        <f t="shared" si="115"/>
        <v>sin venta</v>
      </c>
      <c r="AD1112" s="8" t="s">
        <v>109</v>
      </c>
      <c r="AE1112" s="11">
        <v>20990</v>
      </c>
      <c r="AF1112" s="11">
        <f t="shared" si="116"/>
        <v>20990</v>
      </c>
      <c r="AG1112" s="12" t="s">
        <v>73</v>
      </c>
      <c r="AH1112" s="8" t="s">
        <v>35</v>
      </c>
    </row>
    <row r="1113" spans="1:34">
      <c r="A1113" s="8" t="s">
        <v>1570</v>
      </c>
      <c r="B1113" s="16" t="s">
        <v>2859</v>
      </c>
      <c r="C1113" s="8" t="s">
        <v>377</v>
      </c>
      <c r="D1113" s="8" t="s">
        <v>1390</v>
      </c>
      <c r="E1113" s="8" t="str">
        <f t="shared" si="114"/>
        <v>CARAMELO/AVELLANA</v>
      </c>
      <c r="G1113" s="8" t="s">
        <v>2861</v>
      </c>
      <c r="H1113" s="8" t="str">
        <f>VLOOKUP(A1113,[1]BBDD!$B$1:$J$3274,9,FALSE)</f>
        <v>U</v>
      </c>
      <c r="I1113" s="8" t="s">
        <v>2861</v>
      </c>
      <c r="J1113" s="8" t="s">
        <v>1541</v>
      </c>
      <c r="L1113" s="8" t="s">
        <v>1542</v>
      </c>
      <c r="N1113" s="8" t="s">
        <v>1571</v>
      </c>
      <c r="O1113" s="8" t="s">
        <v>1571</v>
      </c>
      <c r="Q1113" s="8" t="s">
        <v>45</v>
      </c>
      <c r="R1113" s="8">
        <v>0</v>
      </c>
      <c r="S1113" s="8">
        <v>5</v>
      </c>
      <c r="T1113" s="8">
        <f t="shared" si="112"/>
        <v>5</v>
      </c>
      <c r="U1113" s="8">
        <v>0</v>
      </c>
      <c r="V1113" s="8">
        <v>1</v>
      </c>
      <c r="W1113" s="8">
        <v>0</v>
      </c>
      <c r="X1113" s="8">
        <v>0</v>
      </c>
      <c r="Y1113" s="8">
        <v>0</v>
      </c>
      <c r="Z1113" s="8">
        <v>0</v>
      </c>
      <c r="AA1113" s="8">
        <v>180</v>
      </c>
      <c r="AB1113" s="9">
        <f t="shared" si="113"/>
        <v>0.16666666666666669</v>
      </c>
      <c r="AC1113" s="10">
        <f t="shared" si="115"/>
        <v>29.999999999999996</v>
      </c>
      <c r="AD1113" s="8" t="s">
        <v>109</v>
      </c>
      <c r="AE1113" s="11">
        <v>20990</v>
      </c>
      <c r="AF1113" s="11">
        <f t="shared" si="116"/>
        <v>104950</v>
      </c>
      <c r="AG1113" s="12" t="s">
        <v>73</v>
      </c>
      <c r="AH1113" s="8" t="s">
        <v>35</v>
      </c>
    </row>
    <row r="1114" spans="1:34">
      <c r="A1114" s="8" t="s">
        <v>1572</v>
      </c>
      <c r="B1114" s="16" t="s">
        <v>2859</v>
      </c>
      <c r="C1114" s="8" t="s">
        <v>377</v>
      </c>
      <c r="D1114" s="8" t="s">
        <v>1390</v>
      </c>
      <c r="E1114" s="8" t="str">
        <f t="shared" si="114"/>
        <v>CARAMELO/CAFE</v>
      </c>
      <c r="G1114" s="8" t="s">
        <v>2861</v>
      </c>
      <c r="H1114" s="8" t="str">
        <f>VLOOKUP(A1114,[1]BBDD!$B$1:$J$3274,9,FALSE)</f>
        <v>U</v>
      </c>
      <c r="I1114" s="8" t="s">
        <v>2861</v>
      </c>
      <c r="J1114" s="8" t="s">
        <v>1541</v>
      </c>
      <c r="L1114" s="8" t="s">
        <v>1542</v>
      </c>
      <c r="N1114" s="8" t="s">
        <v>1573</v>
      </c>
      <c r="O1114" s="8" t="s">
        <v>1573</v>
      </c>
      <c r="Q1114" s="8" t="s">
        <v>45</v>
      </c>
      <c r="R1114" s="8">
        <v>1</v>
      </c>
      <c r="S1114" s="8">
        <v>12</v>
      </c>
      <c r="T1114" s="8">
        <f t="shared" si="112"/>
        <v>13</v>
      </c>
      <c r="U1114" s="8">
        <v>1</v>
      </c>
      <c r="V1114" s="8">
        <v>0</v>
      </c>
      <c r="W1114" s="8">
        <v>1</v>
      </c>
      <c r="X1114" s="8">
        <v>0</v>
      </c>
      <c r="Y1114" s="8">
        <v>0</v>
      </c>
      <c r="Z1114" s="8">
        <v>1</v>
      </c>
      <c r="AA1114" s="8">
        <v>180</v>
      </c>
      <c r="AB1114" s="9">
        <f t="shared" si="113"/>
        <v>0.5</v>
      </c>
      <c r="AC1114" s="10">
        <f t="shared" si="115"/>
        <v>26</v>
      </c>
      <c r="AD1114" s="8" t="s">
        <v>109</v>
      </c>
      <c r="AE1114" s="11">
        <v>20990</v>
      </c>
      <c r="AF1114" s="11">
        <f t="shared" si="116"/>
        <v>272870</v>
      </c>
      <c r="AG1114" s="12" t="s">
        <v>73</v>
      </c>
      <c r="AH1114" s="8" t="s">
        <v>65</v>
      </c>
    </row>
    <row r="1115" spans="1:34">
      <c r="A1115" s="8" t="s">
        <v>1574</v>
      </c>
      <c r="B1115" s="16" t="s">
        <v>2859</v>
      </c>
      <c r="C1115" s="8" t="s">
        <v>377</v>
      </c>
      <c r="D1115" s="8" t="s">
        <v>1390</v>
      </c>
      <c r="E1115" s="8" t="str">
        <f t="shared" si="114"/>
        <v>CARAMELO/MARSALA</v>
      </c>
      <c r="G1115" s="8" t="s">
        <v>2861</v>
      </c>
      <c r="H1115" s="8" t="str">
        <f>VLOOKUP(A1115,[1]BBDD!$B$1:$J$3274,9,FALSE)</f>
        <v>U</v>
      </c>
      <c r="I1115" s="8" t="s">
        <v>2861</v>
      </c>
      <c r="J1115" s="8" t="s">
        <v>1541</v>
      </c>
      <c r="L1115" s="8" t="s">
        <v>1542</v>
      </c>
      <c r="N1115" s="8" t="s">
        <v>1575</v>
      </c>
      <c r="O1115" s="8" t="s">
        <v>1575</v>
      </c>
      <c r="Q1115" s="8" t="s">
        <v>45</v>
      </c>
      <c r="R1115" s="8">
        <v>0</v>
      </c>
      <c r="S1115" s="8">
        <v>4</v>
      </c>
      <c r="T1115" s="8">
        <f t="shared" si="112"/>
        <v>4</v>
      </c>
      <c r="U1115" s="8">
        <v>0</v>
      </c>
      <c r="V1115" s="8">
        <v>0</v>
      </c>
      <c r="W1115" s="8">
        <v>2</v>
      </c>
      <c r="X1115" s="8">
        <v>0</v>
      </c>
      <c r="Y1115" s="8">
        <v>0</v>
      </c>
      <c r="Z1115" s="8">
        <v>0</v>
      </c>
      <c r="AA1115" s="8">
        <v>180</v>
      </c>
      <c r="AB1115" s="9">
        <f t="shared" si="113"/>
        <v>0.33333333333333337</v>
      </c>
      <c r="AC1115" s="10">
        <f t="shared" si="115"/>
        <v>11.999999999999998</v>
      </c>
      <c r="AD1115" s="8" t="s">
        <v>109</v>
      </c>
      <c r="AE1115" s="11">
        <v>20990</v>
      </c>
      <c r="AF1115" s="11">
        <f t="shared" si="116"/>
        <v>83960</v>
      </c>
      <c r="AG1115" s="12" t="s">
        <v>51</v>
      </c>
      <c r="AH1115" s="8" t="s">
        <v>35</v>
      </c>
    </row>
    <row r="1116" spans="1:34">
      <c r="A1116" s="8" t="s">
        <v>1576</v>
      </c>
      <c r="B1116" s="16" t="s">
        <v>2859</v>
      </c>
      <c r="C1116" s="8" t="s">
        <v>377</v>
      </c>
      <c r="D1116" s="8" t="s">
        <v>1390</v>
      </c>
      <c r="E1116" s="8" t="str">
        <f t="shared" si="114"/>
        <v>CARAMELO/MOSTAZA</v>
      </c>
      <c r="G1116" s="8" t="s">
        <v>2861</v>
      </c>
      <c r="H1116" s="8" t="str">
        <f>VLOOKUP(A1116,[1]BBDD!$B$1:$J$3274,9,FALSE)</f>
        <v>U</v>
      </c>
      <c r="I1116" s="8" t="s">
        <v>2861</v>
      </c>
      <c r="J1116" s="8" t="s">
        <v>1541</v>
      </c>
      <c r="L1116" s="8" t="s">
        <v>1542</v>
      </c>
      <c r="N1116" s="8" t="s">
        <v>1577</v>
      </c>
      <c r="O1116" s="8" t="s">
        <v>1577</v>
      </c>
      <c r="Q1116" s="8" t="s">
        <v>45</v>
      </c>
      <c r="R1116" s="8">
        <v>0</v>
      </c>
      <c r="S1116" s="8">
        <v>1</v>
      </c>
      <c r="T1116" s="8">
        <f t="shared" si="112"/>
        <v>1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180</v>
      </c>
      <c r="AB1116" s="9">
        <f t="shared" si="113"/>
        <v>0</v>
      </c>
      <c r="AC1116" s="10" t="str">
        <f t="shared" si="115"/>
        <v>sin venta</v>
      </c>
      <c r="AD1116" s="8" t="s">
        <v>109</v>
      </c>
      <c r="AE1116" s="11">
        <v>20990</v>
      </c>
      <c r="AF1116" s="11">
        <f t="shared" si="116"/>
        <v>20990</v>
      </c>
      <c r="AG1116" s="12" t="s">
        <v>73</v>
      </c>
      <c r="AH1116" s="8" t="s">
        <v>35</v>
      </c>
    </row>
    <row r="1117" spans="1:34">
      <c r="A1117" s="8" t="s">
        <v>1578</v>
      </c>
      <c r="B1117" s="16" t="s">
        <v>2859</v>
      </c>
      <c r="C1117" s="8" t="s">
        <v>377</v>
      </c>
      <c r="D1117" s="8" t="s">
        <v>1390</v>
      </c>
      <c r="E1117" s="8" t="str">
        <f t="shared" si="114"/>
        <v>MALBEC/MARSALA</v>
      </c>
      <c r="G1117" s="8" t="s">
        <v>2861</v>
      </c>
      <c r="H1117" s="8" t="str">
        <f>VLOOKUP(A1117,[1]BBDD!$B$1:$J$3274,9,FALSE)</f>
        <v>U</v>
      </c>
      <c r="I1117" s="8" t="s">
        <v>2861</v>
      </c>
      <c r="J1117" s="8" t="s">
        <v>1541</v>
      </c>
      <c r="L1117" s="8" t="s">
        <v>1542</v>
      </c>
      <c r="N1117" s="8" t="s">
        <v>1579</v>
      </c>
      <c r="O1117" s="8" t="s">
        <v>1579</v>
      </c>
      <c r="Q1117" s="8" t="s">
        <v>45</v>
      </c>
      <c r="R1117" s="8">
        <v>9</v>
      </c>
      <c r="S1117" s="8">
        <v>10</v>
      </c>
      <c r="T1117" s="8">
        <f t="shared" si="112"/>
        <v>19</v>
      </c>
      <c r="U1117" s="8">
        <v>1</v>
      </c>
      <c r="V1117" s="8">
        <v>1</v>
      </c>
      <c r="W1117" s="8">
        <v>1</v>
      </c>
      <c r="X1117" s="8">
        <v>0</v>
      </c>
      <c r="Y1117" s="8">
        <v>1</v>
      </c>
      <c r="Z1117" s="8">
        <v>1</v>
      </c>
      <c r="AA1117" s="8">
        <v>180</v>
      </c>
      <c r="AB1117" s="9">
        <f t="shared" si="113"/>
        <v>0.83333333333333326</v>
      </c>
      <c r="AC1117" s="10">
        <f t="shared" si="115"/>
        <v>22.8</v>
      </c>
      <c r="AD1117" s="8" t="s">
        <v>109</v>
      </c>
      <c r="AE1117" s="11">
        <v>20990</v>
      </c>
      <c r="AF1117" s="11">
        <f t="shared" si="116"/>
        <v>398810</v>
      </c>
      <c r="AG1117" s="12" t="s">
        <v>64</v>
      </c>
      <c r="AH1117" s="8" t="s">
        <v>65</v>
      </c>
    </row>
    <row r="1118" spans="1:34">
      <c r="A1118" s="8" t="s">
        <v>1580</v>
      </c>
      <c r="B1118" s="16" t="s">
        <v>2859</v>
      </c>
      <c r="C1118" s="8" t="s">
        <v>377</v>
      </c>
      <c r="D1118" s="8" t="s">
        <v>1390</v>
      </c>
      <c r="E1118" s="8" t="str">
        <f t="shared" si="114"/>
        <v>NEGRO/AVELLANA</v>
      </c>
      <c r="G1118" s="8" t="s">
        <v>2861</v>
      </c>
      <c r="H1118" s="8" t="str">
        <f>VLOOKUP(A1118,[1]BBDD!$B$1:$J$3274,9,FALSE)</f>
        <v>U</v>
      </c>
      <c r="I1118" s="8" t="s">
        <v>2861</v>
      </c>
      <c r="J1118" s="8" t="s">
        <v>1541</v>
      </c>
      <c r="L1118" s="8" t="s">
        <v>1542</v>
      </c>
      <c r="N1118" s="8" t="s">
        <v>1581</v>
      </c>
      <c r="O1118" s="8" t="s">
        <v>1581</v>
      </c>
      <c r="Q1118" s="8" t="s">
        <v>45</v>
      </c>
      <c r="R1118" s="8">
        <v>0</v>
      </c>
      <c r="S1118" s="8">
        <v>4</v>
      </c>
      <c r="T1118" s="8">
        <f t="shared" si="112"/>
        <v>4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180</v>
      </c>
      <c r="AB1118" s="9">
        <f t="shared" si="113"/>
        <v>0</v>
      </c>
      <c r="AC1118" s="10" t="str">
        <f t="shared" si="115"/>
        <v>sin venta</v>
      </c>
      <c r="AD1118" s="8" t="s">
        <v>109</v>
      </c>
      <c r="AE1118" s="11">
        <v>20990</v>
      </c>
      <c r="AF1118" s="11">
        <f t="shared" si="116"/>
        <v>83960</v>
      </c>
      <c r="AG1118" s="12" t="s">
        <v>73</v>
      </c>
      <c r="AH1118" s="8" t="s">
        <v>35</v>
      </c>
    </row>
    <row r="1119" spans="1:34">
      <c r="A1119" s="8" t="s">
        <v>1582</v>
      </c>
      <c r="B1119" s="16" t="s">
        <v>2859</v>
      </c>
      <c r="C1119" s="8" t="s">
        <v>377</v>
      </c>
      <c r="D1119" s="8" t="s">
        <v>1390</v>
      </c>
      <c r="E1119" s="8" t="str">
        <f t="shared" si="114"/>
        <v>NEGRO/MOSTAZA</v>
      </c>
      <c r="G1119" s="8" t="s">
        <v>2861</v>
      </c>
      <c r="H1119" s="8" t="str">
        <f>VLOOKUP(A1119,[1]BBDD!$B$1:$J$3274,9,FALSE)</f>
        <v>U</v>
      </c>
      <c r="I1119" s="8" t="s">
        <v>2861</v>
      </c>
      <c r="J1119" s="8" t="s">
        <v>1541</v>
      </c>
      <c r="L1119" s="8" t="s">
        <v>1542</v>
      </c>
      <c r="N1119" s="8" t="s">
        <v>1583</v>
      </c>
      <c r="O1119" s="8" t="s">
        <v>1583</v>
      </c>
      <c r="Q1119" s="8" t="s">
        <v>45</v>
      </c>
      <c r="R1119" s="8">
        <v>0</v>
      </c>
      <c r="S1119" s="8">
        <v>1</v>
      </c>
      <c r="T1119" s="8">
        <f t="shared" si="112"/>
        <v>1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180</v>
      </c>
      <c r="AB1119" s="9">
        <f t="shared" si="113"/>
        <v>0</v>
      </c>
      <c r="AC1119" s="10" t="str">
        <f t="shared" si="115"/>
        <v>sin venta</v>
      </c>
      <c r="AD1119" s="8" t="s">
        <v>109</v>
      </c>
      <c r="AE1119" s="11">
        <v>20990</v>
      </c>
      <c r="AF1119" s="11">
        <f t="shared" si="116"/>
        <v>20990</v>
      </c>
      <c r="AG1119" s="12" t="s">
        <v>73</v>
      </c>
      <c r="AH1119" s="8" t="s">
        <v>35</v>
      </c>
    </row>
    <row r="1120" spans="1:34">
      <c r="A1120" s="8" t="s">
        <v>1584</v>
      </c>
      <c r="B1120" s="16" t="s">
        <v>2859</v>
      </c>
      <c r="C1120" s="8" t="s">
        <v>377</v>
      </c>
      <c r="D1120" s="8" t="s">
        <v>1390</v>
      </c>
      <c r="E1120" s="8" t="str">
        <f t="shared" si="114"/>
        <v>NEGRO/OXIDO</v>
      </c>
      <c r="G1120" s="8" t="s">
        <v>2861</v>
      </c>
      <c r="H1120" s="8" t="str">
        <f>VLOOKUP(A1120,[1]BBDD!$B$1:$J$3274,9,FALSE)</f>
        <v>U</v>
      </c>
      <c r="I1120" s="8" t="s">
        <v>2861</v>
      </c>
      <c r="J1120" s="8" t="s">
        <v>1541</v>
      </c>
      <c r="L1120" s="8" t="s">
        <v>1542</v>
      </c>
      <c r="N1120" s="8" t="s">
        <v>1395</v>
      </c>
      <c r="O1120" s="8" t="s">
        <v>1395</v>
      </c>
      <c r="Q1120" s="8" t="s">
        <v>45</v>
      </c>
      <c r="R1120" s="8">
        <v>36</v>
      </c>
      <c r="S1120" s="8">
        <v>8</v>
      </c>
      <c r="T1120" s="8">
        <f t="shared" si="112"/>
        <v>44</v>
      </c>
      <c r="U1120" s="8">
        <v>1</v>
      </c>
      <c r="V1120" s="8">
        <v>0</v>
      </c>
      <c r="W1120" s="8">
        <v>0</v>
      </c>
      <c r="X1120" s="8">
        <v>0</v>
      </c>
      <c r="Y1120" s="8">
        <v>0</v>
      </c>
      <c r="Z1120" s="8">
        <v>2</v>
      </c>
      <c r="AA1120" s="8">
        <v>180</v>
      </c>
      <c r="AB1120" s="9">
        <f t="shared" si="113"/>
        <v>0.5</v>
      </c>
      <c r="AC1120" s="10">
        <f t="shared" si="115"/>
        <v>88</v>
      </c>
      <c r="AD1120" s="8" t="s">
        <v>109</v>
      </c>
      <c r="AE1120" s="11">
        <v>20990</v>
      </c>
      <c r="AF1120" s="11">
        <f t="shared" si="116"/>
        <v>923560</v>
      </c>
      <c r="AG1120" s="12" t="s">
        <v>73</v>
      </c>
      <c r="AH1120" s="8" t="s">
        <v>74</v>
      </c>
    </row>
    <row r="1121" spans="1:34">
      <c r="A1121" s="8" t="s">
        <v>1585</v>
      </c>
      <c r="B1121" s="16" t="s">
        <v>2859</v>
      </c>
      <c r="C1121" s="8" t="s">
        <v>377</v>
      </c>
      <c r="D1121" s="8" t="s">
        <v>1390</v>
      </c>
      <c r="E1121" s="8" t="str">
        <f t="shared" si="114"/>
        <v>VERDE/OXIDO</v>
      </c>
      <c r="G1121" s="8" t="s">
        <v>2861</v>
      </c>
      <c r="H1121" s="8" t="str">
        <f>VLOOKUP(A1121,[1]BBDD!$B$1:$J$3274,9,FALSE)</f>
        <v>U</v>
      </c>
      <c r="I1121" s="8" t="s">
        <v>2861</v>
      </c>
      <c r="J1121" s="8" t="s">
        <v>1541</v>
      </c>
      <c r="L1121" s="8" t="s">
        <v>1542</v>
      </c>
      <c r="N1121" s="8" t="s">
        <v>1586</v>
      </c>
      <c r="O1121" s="8" t="s">
        <v>1586</v>
      </c>
      <c r="Q1121" s="8" t="s">
        <v>45</v>
      </c>
      <c r="R1121" s="8">
        <v>13</v>
      </c>
      <c r="S1121" s="8">
        <v>9</v>
      </c>
      <c r="T1121" s="8">
        <f t="shared" si="112"/>
        <v>22</v>
      </c>
      <c r="U1121" s="8">
        <v>1</v>
      </c>
      <c r="V1121" s="8">
        <v>0</v>
      </c>
      <c r="W1121" s="8">
        <v>1</v>
      </c>
      <c r="X1121" s="8">
        <v>1</v>
      </c>
      <c r="Y1121" s="8">
        <v>1</v>
      </c>
      <c r="Z1121" s="8">
        <v>1</v>
      </c>
      <c r="AA1121" s="8">
        <v>180</v>
      </c>
      <c r="AB1121" s="9">
        <f t="shared" si="113"/>
        <v>0.83333333333333326</v>
      </c>
      <c r="AC1121" s="10">
        <f t="shared" si="115"/>
        <v>26.400000000000002</v>
      </c>
      <c r="AD1121" s="8" t="s">
        <v>109</v>
      </c>
      <c r="AE1121" s="11">
        <v>20990</v>
      </c>
      <c r="AF1121" s="11">
        <f t="shared" si="116"/>
        <v>461780</v>
      </c>
      <c r="AG1121" s="12" t="s">
        <v>73</v>
      </c>
      <c r="AH1121" s="8" t="s">
        <v>74</v>
      </c>
    </row>
    <row r="1122" spans="1:34">
      <c r="A1122" s="8" t="s">
        <v>1587</v>
      </c>
      <c r="B1122" s="16" t="s">
        <v>2859</v>
      </c>
      <c r="C1122" s="8" t="s">
        <v>377</v>
      </c>
      <c r="D1122" s="8" t="s">
        <v>1390</v>
      </c>
      <c r="E1122" s="8" t="str">
        <f t="shared" si="114"/>
        <v>AZUL</v>
      </c>
      <c r="G1122" s="8" t="s">
        <v>2861</v>
      </c>
      <c r="H1122" s="8" t="str">
        <f>VLOOKUP(A1122,[1]BBDD!$B$1:$J$3274,9,FALSE)</f>
        <v>U</v>
      </c>
      <c r="I1122" s="8" t="s">
        <v>2861</v>
      </c>
      <c r="J1122" s="8" t="s">
        <v>1588</v>
      </c>
      <c r="L1122" s="8" t="s">
        <v>82</v>
      </c>
      <c r="N1122" s="8" t="s">
        <v>83</v>
      </c>
      <c r="O1122" s="8" t="s">
        <v>83</v>
      </c>
      <c r="Q1122" s="8" t="s">
        <v>45</v>
      </c>
      <c r="R1122" s="8">
        <v>10</v>
      </c>
      <c r="S1122" s="8">
        <v>5</v>
      </c>
      <c r="T1122" s="8">
        <f t="shared" si="112"/>
        <v>15</v>
      </c>
      <c r="U1122" s="8">
        <v>0</v>
      </c>
      <c r="V1122" s="8">
        <v>1</v>
      </c>
      <c r="W1122" s="8">
        <v>0</v>
      </c>
      <c r="X1122" s="8">
        <v>0</v>
      </c>
      <c r="Y1122" s="8">
        <v>1</v>
      </c>
      <c r="Z1122" s="8">
        <v>0</v>
      </c>
      <c r="AA1122" s="8">
        <v>180</v>
      </c>
      <c r="AB1122" s="9">
        <f t="shared" si="113"/>
        <v>0.33333333333333337</v>
      </c>
      <c r="AC1122" s="10">
        <f t="shared" si="115"/>
        <v>44.999999999999993</v>
      </c>
      <c r="AD1122" s="8" t="s">
        <v>46</v>
      </c>
      <c r="AE1122" s="11">
        <v>15990</v>
      </c>
      <c r="AF1122" s="11">
        <f t="shared" si="116"/>
        <v>239850</v>
      </c>
      <c r="AG1122" s="12" t="s">
        <v>73</v>
      </c>
      <c r="AH1122" s="8" t="s">
        <v>65</v>
      </c>
    </row>
    <row r="1123" spans="1:34">
      <c r="A1123" s="8" t="s">
        <v>1589</v>
      </c>
      <c r="B1123" s="16" t="s">
        <v>2859</v>
      </c>
      <c r="C1123" s="8" t="s">
        <v>377</v>
      </c>
      <c r="D1123" s="8" t="s">
        <v>1390</v>
      </c>
      <c r="E1123" s="8" t="str">
        <f t="shared" si="114"/>
        <v>CARAMELO</v>
      </c>
      <c r="G1123" s="8" t="s">
        <v>2861</v>
      </c>
      <c r="H1123" s="8" t="str">
        <f>VLOOKUP(A1123,[1]BBDD!$B$1:$J$3274,9,FALSE)</f>
        <v>U</v>
      </c>
      <c r="I1123" s="8" t="s">
        <v>2861</v>
      </c>
      <c r="J1123" s="8" t="s">
        <v>1588</v>
      </c>
      <c r="L1123" s="8" t="s">
        <v>82</v>
      </c>
      <c r="N1123" s="8" t="s">
        <v>62</v>
      </c>
      <c r="O1123" s="8" t="s">
        <v>62</v>
      </c>
      <c r="Q1123" s="8" t="s">
        <v>45</v>
      </c>
      <c r="R1123" s="8">
        <v>8</v>
      </c>
      <c r="S1123" s="8">
        <v>9</v>
      </c>
      <c r="T1123" s="8">
        <f t="shared" si="112"/>
        <v>17</v>
      </c>
      <c r="U1123" s="8">
        <v>0</v>
      </c>
      <c r="V1123" s="8">
        <v>0</v>
      </c>
      <c r="W1123" s="8">
        <v>0</v>
      </c>
      <c r="X1123" s="8">
        <v>2</v>
      </c>
      <c r="Y1123" s="8">
        <v>0</v>
      </c>
      <c r="Z1123" s="8">
        <v>0</v>
      </c>
      <c r="AA1123" s="8">
        <v>180</v>
      </c>
      <c r="AB1123" s="9">
        <f t="shared" si="113"/>
        <v>0.33333333333333337</v>
      </c>
      <c r="AC1123" s="10">
        <f t="shared" si="115"/>
        <v>50.999999999999993</v>
      </c>
      <c r="AD1123" s="8" t="s">
        <v>46</v>
      </c>
      <c r="AE1123" s="11">
        <v>15990</v>
      </c>
      <c r="AF1123" s="11">
        <f t="shared" si="116"/>
        <v>271830</v>
      </c>
      <c r="AG1123" s="12" t="s">
        <v>73</v>
      </c>
      <c r="AH1123" s="8" t="s">
        <v>65</v>
      </c>
    </row>
    <row r="1124" spans="1:34">
      <c r="A1124" s="8" t="s">
        <v>1590</v>
      </c>
      <c r="B1124" s="16" t="s">
        <v>2859</v>
      </c>
      <c r="C1124" s="8" t="s">
        <v>377</v>
      </c>
      <c r="D1124" s="8" t="s">
        <v>1390</v>
      </c>
      <c r="E1124" s="8" t="str">
        <f t="shared" si="114"/>
        <v>NEGRO</v>
      </c>
      <c r="G1124" s="8" t="s">
        <v>2861</v>
      </c>
      <c r="H1124" s="8" t="str">
        <f>VLOOKUP(A1124,[1]BBDD!$B$1:$J$3274,9,FALSE)</f>
        <v>U</v>
      </c>
      <c r="I1124" s="8" t="s">
        <v>2861</v>
      </c>
      <c r="J1124" s="8" t="s">
        <v>1588</v>
      </c>
      <c r="L1124" s="8" t="s">
        <v>82</v>
      </c>
      <c r="N1124" s="8" t="s">
        <v>44</v>
      </c>
      <c r="O1124" s="8" t="s">
        <v>44</v>
      </c>
      <c r="Q1124" s="8" t="s">
        <v>45</v>
      </c>
      <c r="R1124" s="8">
        <v>12</v>
      </c>
      <c r="S1124" s="8">
        <v>6</v>
      </c>
      <c r="T1124" s="8">
        <f t="shared" si="112"/>
        <v>18</v>
      </c>
      <c r="U1124" s="8">
        <v>0</v>
      </c>
      <c r="V1124" s="8">
        <v>0</v>
      </c>
      <c r="W1124" s="8">
        <v>1</v>
      </c>
      <c r="X1124" s="8">
        <v>0</v>
      </c>
      <c r="Y1124" s="8">
        <v>0</v>
      </c>
      <c r="Z1124" s="8">
        <v>0</v>
      </c>
      <c r="AA1124" s="8">
        <v>180</v>
      </c>
      <c r="AB1124" s="9">
        <f t="shared" si="113"/>
        <v>0.16666666666666669</v>
      </c>
      <c r="AC1124" s="10">
        <f t="shared" si="115"/>
        <v>107.99999999999999</v>
      </c>
      <c r="AD1124" s="8" t="s">
        <v>46</v>
      </c>
      <c r="AE1124" s="11">
        <v>15990</v>
      </c>
      <c r="AF1124" s="11">
        <f t="shared" si="116"/>
        <v>287820</v>
      </c>
      <c r="AG1124" s="12" t="s">
        <v>73</v>
      </c>
      <c r="AH1124" s="8" t="s">
        <v>65</v>
      </c>
    </row>
    <row r="1125" spans="1:34">
      <c r="A1125" s="8" t="s">
        <v>1591</v>
      </c>
      <c r="B1125" s="16" t="s">
        <v>2859</v>
      </c>
      <c r="C1125" s="8" t="s">
        <v>377</v>
      </c>
      <c r="D1125" s="8" t="s">
        <v>1390</v>
      </c>
      <c r="E1125" s="8" t="str">
        <f t="shared" si="114"/>
        <v>ROJO</v>
      </c>
      <c r="G1125" s="8" t="s">
        <v>2861</v>
      </c>
      <c r="H1125" s="8" t="str">
        <f>VLOOKUP(A1125,[1]BBDD!$B$1:$J$3274,9,FALSE)</f>
        <v>U</v>
      </c>
      <c r="I1125" s="8" t="s">
        <v>2861</v>
      </c>
      <c r="J1125" s="8" t="s">
        <v>1588</v>
      </c>
      <c r="L1125" s="8" t="s">
        <v>82</v>
      </c>
      <c r="N1125" s="8" t="s">
        <v>88</v>
      </c>
      <c r="O1125" s="8" t="s">
        <v>88</v>
      </c>
      <c r="Q1125" s="8" t="s">
        <v>45</v>
      </c>
      <c r="R1125" s="8">
        <v>9</v>
      </c>
      <c r="S1125" s="8">
        <v>7</v>
      </c>
      <c r="T1125" s="8">
        <f t="shared" si="112"/>
        <v>16</v>
      </c>
      <c r="U1125" s="8">
        <v>0</v>
      </c>
      <c r="V1125" s="8">
        <v>1</v>
      </c>
      <c r="W1125" s="8">
        <v>2</v>
      </c>
      <c r="X1125" s="8">
        <v>1</v>
      </c>
      <c r="Y1125" s="8">
        <v>0</v>
      </c>
      <c r="Z1125" s="8">
        <v>0</v>
      </c>
      <c r="AA1125" s="8">
        <v>180</v>
      </c>
      <c r="AB1125" s="9">
        <f t="shared" si="113"/>
        <v>0.66666666666666674</v>
      </c>
      <c r="AC1125" s="10">
        <f t="shared" si="115"/>
        <v>23.999999999999996</v>
      </c>
      <c r="AD1125" s="8" t="s">
        <v>46</v>
      </c>
      <c r="AE1125" s="11">
        <v>15990</v>
      </c>
      <c r="AF1125" s="11">
        <f t="shared" si="116"/>
        <v>255840</v>
      </c>
      <c r="AG1125" s="12" t="s">
        <v>64</v>
      </c>
      <c r="AH1125" s="8" t="s">
        <v>65</v>
      </c>
    </row>
    <row r="1126" spans="1:34">
      <c r="A1126" s="8" t="s">
        <v>1592</v>
      </c>
      <c r="B1126" s="16" t="s">
        <v>2859</v>
      </c>
      <c r="C1126" s="8" t="s">
        <v>377</v>
      </c>
      <c r="D1126" s="8" t="s">
        <v>1390</v>
      </c>
      <c r="E1126" s="8" t="str">
        <f t="shared" si="114"/>
        <v>SUELA</v>
      </c>
      <c r="G1126" s="8" t="s">
        <v>2861</v>
      </c>
      <c r="H1126" s="8" t="str">
        <f>VLOOKUP(A1126,[1]BBDD!$B$1:$J$3274,9,FALSE)</f>
        <v>U</v>
      </c>
      <c r="I1126" s="8" t="s">
        <v>2861</v>
      </c>
      <c r="J1126" s="8" t="s">
        <v>1588</v>
      </c>
      <c r="L1126" s="8" t="s">
        <v>82</v>
      </c>
      <c r="N1126" s="8" t="s">
        <v>90</v>
      </c>
      <c r="O1126" s="8" t="s">
        <v>90</v>
      </c>
      <c r="Q1126" s="8" t="s">
        <v>45</v>
      </c>
      <c r="R1126" s="8">
        <v>12</v>
      </c>
      <c r="S1126" s="8">
        <v>5</v>
      </c>
      <c r="T1126" s="8">
        <f t="shared" si="112"/>
        <v>17</v>
      </c>
      <c r="U1126" s="8">
        <v>0</v>
      </c>
      <c r="V1126" s="8">
        <v>0</v>
      </c>
      <c r="W1126" s="8">
        <v>0</v>
      </c>
      <c r="X1126" s="8">
        <v>2</v>
      </c>
      <c r="Y1126" s="8">
        <v>0</v>
      </c>
      <c r="Z1126" s="8">
        <v>0</v>
      </c>
      <c r="AA1126" s="8">
        <v>180</v>
      </c>
      <c r="AB1126" s="9">
        <f t="shared" si="113"/>
        <v>0.33333333333333337</v>
      </c>
      <c r="AC1126" s="10">
        <f t="shared" si="115"/>
        <v>50.999999999999993</v>
      </c>
      <c r="AD1126" s="8" t="s">
        <v>46</v>
      </c>
      <c r="AE1126" s="11">
        <v>15990</v>
      </c>
      <c r="AF1126" s="11">
        <f t="shared" si="116"/>
        <v>271830</v>
      </c>
      <c r="AG1126" s="12" t="s">
        <v>73</v>
      </c>
      <c r="AH1126" s="8" t="s">
        <v>65</v>
      </c>
    </row>
    <row r="1127" spans="1:34">
      <c r="A1127" s="8" t="s">
        <v>1593</v>
      </c>
      <c r="B1127" s="16" t="s">
        <v>2859</v>
      </c>
      <c r="C1127" s="8" t="s">
        <v>377</v>
      </c>
      <c r="D1127" s="8" t="s">
        <v>1390</v>
      </c>
      <c r="E1127" s="8" t="str">
        <f t="shared" si="114"/>
        <v>VERDE</v>
      </c>
      <c r="G1127" s="8" t="s">
        <v>2861</v>
      </c>
      <c r="H1127" s="8" t="str">
        <f>VLOOKUP(A1127,[1]BBDD!$B$1:$J$3274,9,FALSE)</f>
        <v>U</v>
      </c>
      <c r="I1127" s="8" t="s">
        <v>2861</v>
      </c>
      <c r="J1127" s="8" t="s">
        <v>1588</v>
      </c>
      <c r="L1127" s="8" t="s">
        <v>82</v>
      </c>
      <c r="N1127" s="8" t="s">
        <v>92</v>
      </c>
      <c r="O1127" s="8" t="s">
        <v>92</v>
      </c>
      <c r="Q1127" s="8" t="s">
        <v>45</v>
      </c>
      <c r="R1127" s="8">
        <v>11</v>
      </c>
      <c r="S1127" s="8">
        <v>7</v>
      </c>
      <c r="T1127" s="8">
        <f t="shared" si="112"/>
        <v>18</v>
      </c>
      <c r="U1127" s="8">
        <v>0</v>
      </c>
      <c r="V1127" s="8">
        <v>0</v>
      </c>
      <c r="W1127" s="8">
        <v>0</v>
      </c>
      <c r="X1127" s="8">
        <v>1</v>
      </c>
      <c r="Y1127" s="8">
        <v>0</v>
      </c>
      <c r="Z1127" s="8">
        <v>0</v>
      </c>
      <c r="AA1127" s="8">
        <v>180</v>
      </c>
      <c r="AB1127" s="9">
        <f t="shared" si="113"/>
        <v>0.16666666666666669</v>
      </c>
      <c r="AC1127" s="10">
        <f t="shared" si="115"/>
        <v>107.99999999999999</v>
      </c>
      <c r="AD1127" s="8" t="s">
        <v>46</v>
      </c>
      <c r="AE1127" s="11">
        <v>15990</v>
      </c>
      <c r="AF1127" s="11">
        <f t="shared" si="116"/>
        <v>287820</v>
      </c>
      <c r="AG1127" s="12" t="s">
        <v>73</v>
      </c>
      <c r="AH1127" s="8" t="s">
        <v>65</v>
      </c>
    </row>
    <row r="1128" spans="1:34">
      <c r="A1128" s="8" t="s">
        <v>1594</v>
      </c>
      <c r="B1128" s="16" t="s">
        <v>2859</v>
      </c>
      <c r="C1128" s="8" t="s">
        <v>377</v>
      </c>
      <c r="D1128" s="8" t="s">
        <v>1390</v>
      </c>
      <c r="E1128" s="8" t="str">
        <f t="shared" si="114"/>
        <v>TOSTADO</v>
      </c>
      <c r="G1128" s="8" t="s">
        <v>2861</v>
      </c>
      <c r="H1128" s="8" t="str">
        <f>VLOOKUP(A1128,[1]BBDD!$B$1:$J$3274,9,FALSE)</f>
        <v>U</v>
      </c>
      <c r="I1128" s="8" t="s">
        <v>2861</v>
      </c>
      <c r="J1128" s="8" t="s">
        <v>1595</v>
      </c>
      <c r="L1128" s="8" t="s">
        <v>1596</v>
      </c>
      <c r="N1128" s="8" t="s">
        <v>513</v>
      </c>
      <c r="O1128" s="8" t="s">
        <v>513</v>
      </c>
      <c r="Q1128" s="8" t="s">
        <v>45</v>
      </c>
      <c r="R1128" s="8">
        <v>10</v>
      </c>
      <c r="S1128" s="8">
        <v>10</v>
      </c>
      <c r="T1128" s="8">
        <f t="shared" ref="T1128:T1191" si="117">SUM(R1128:S1128)</f>
        <v>20</v>
      </c>
      <c r="U1128" s="8">
        <v>2</v>
      </c>
      <c r="V1128" s="8">
        <v>2</v>
      </c>
      <c r="W1128" s="8">
        <v>0</v>
      </c>
      <c r="X1128" s="8">
        <v>0</v>
      </c>
      <c r="Y1128" s="8">
        <v>1</v>
      </c>
      <c r="Z1128" s="8">
        <v>2</v>
      </c>
      <c r="AA1128" s="8">
        <v>180</v>
      </c>
      <c r="AB1128" s="9">
        <f t="shared" ref="AB1128:AB1191" si="118">SUM(U1128:Z1128)/AA1128*30</f>
        <v>1.1666666666666667</v>
      </c>
      <c r="AC1128" s="10">
        <f t="shared" si="115"/>
        <v>17.142857142857142</v>
      </c>
      <c r="AD1128" s="8" t="s">
        <v>109</v>
      </c>
      <c r="AE1128" s="11">
        <v>16990</v>
      </c>
      <c r="AF1128" s="11">
        <f t="shared" si="116"/>
        <v>339800</v>
      </c>
      <c r="AG1128" s="12" t="s">
        <v>64</v>
      </c>
      <c r="AH1128" s="8" t="s">
        <v>65</v>
      </c>
    </row>
    <row r="1129" spans="1:34">
      <c r="A1129" s="8" t="s">
        <v>1597</v>
      </c>
      <c r="B1129" s="16" t="s">
        <v>2859</v>
      </c>
      <c r="C1129" s="8" t="s">
        <v>377</v>
      </c>
      <c r="D1129" s="8" t="s">
        <v>1390</v>
      </c>
      <c r="E1129" s="8" t="str">
        <f t="shared" si="114"/>
        <v>VERDE</v>
      </c>
      <c r="G1129" s="8" t="s">
        <v>2861</v>
      </c>
      <c r="H1129" s="8" t="str">
        <f>VLOOKUP(A1129,[1]BBDD!$B$1:$J$3274,9,FALSE)</f>
        <v>U</v>
      </c>
      <c r="I1129" s="8" t="s">
        <v>2861</v>
      </c>
      <c r="J1129" s="8" t="s">
        <v>1595</v>
      </c>
      <c r="L1129" s="8" t="s">
        <v>1596</v>
      </c>
      <c r="N1129" s="8" t="s">
        <v>92</v>
      </c>
      <c r="O1129" s="8" t="s">
        <v>92</v>
      </c>
      <c r="Q1129" s="8" t="s">
        <v>45</v>
      </c>
      <c r="R1129" s="8">
        <v>2</v>
      </c>
      <c r="S1129" s="8">
        <v>7</v>
      </c>
      <c r="T1129" s="8">
        <f t="shared" si="117"/>
        <v>9</v>
      </c>
      <c r="U1129" s="8">
        <v>1</v>
      </c>
      <c r="V1129" s="8">
        <v>1</v>
      </c>
      <c r="W1129" s="8">
        <v>0</v>
      </c>
      <c r="X1129" s="8">
        <v>1</v>
      </c>
      <c r="Y1129" s="8">
        <v>2</v>
      </c>
      <c r="Z1129" s="8">
        <v>3</v>
      </c>
      <c r="AA1129" s="8">
        <v>180</v>
      </c>
      <c r="AB1129" s="9">
        <f t="shared" si="118"/>
        <v>1.3333333333333335</v>
      </c>
      <c r="AC1129" s="10">
        <f t="shared" si="115"/>
        <v>6.7499999999999991</v>
      </c>
      <c r="AD1129" s="8" t="s">
        <v>109</v>
      </c>
      <c r="AE1129" s="11">
        <v>16990</v>
      </c>
      <c r="AF1129" s="11">
        <f t="shared" si="116"/>
        <v>152910</v>
      </c>
      <c r="AG1129" s="12" t="s">
        <v>51</v>
      </c>
      <c r="AH1129" s="8" t="s">
        <v>35</v>
      </c>
    </row>
    <row r="1130" spans="1:34">
      <c r="A1130" s="8" t="s">
        <v>1598</v>
      </c>
      <c r="B1130" s="16" t="s">
        <v>2859</v>
      </c>
      <c r="C1130" s="8" t="s">
        <v>377</v>
      </c>
      <c r="D1130" s="8" t="s">
        <v>1390</v>
      </c>
      <c r="E1130" s="8" t="str">
        <f t="shared" si="114"/>
        <v>NEGRO</v>
      </c>
      <c r="G1130" s="8" t="s">
        <v>2861</v>
      </c>
      <c r="H1130" s="8" t="str">
        <f>VLOOKUP(A1130,[1]BBDD!$B$1:$J$3274,9,FALSE)</f>
        <v>U</v>
      </c>
      <c r="I1130" s="8" t="s">
        <v>2861</v>
      </c>
      <c r="J1130" s="8" t="s">
        <v>1599</v>
      </c>
      <c r="L1130" s="8" t="s">
        <v>61</v>
      </c>
      <c r="N1130" s="8" t="s">
        <v>44</v>
      </c>
      <c r="O1130" s="8" t="s">
        <v>44</v>
      </c>
      <c r="Q1130" s="8" t="s">
        <v>32</v>
      </c>
      <c r="R1130" s="8">
        <v>0</v>
      </c>
      <c r="S1130" s="8">
        <v>0</v>
      </c>
      <c r="T1130" s="8">
        <f t="shared" si="117"/>
        <v>0</v>
      </c>
      <c r="U1130" s="8">
        <v>7</v>
      </c>
      <c r="V1130" s="8">
        <v>4</v>
      </c>
      <c r="W1130" s="8">
        <v>2</v>
      </c>
      <c r="X1130" s="8">
        <v>0</v>
      </c>
      <c r="Y1130" s="8">
        <v>0</v>
      </c>
      <c r="Z1130" s="8">
        <v>0</v>
      </c>
      <c r="AA1130" s="8">
        <v>180</v>
      </c>
      <c r="AB1130" s="9">
        <f t="shared" si="118"/>
        <v>2.1666666666666665</v>
      </c>
      <c r="AC1130" s="10">
        <f t="shared" si="115"/>
        <v>0</v>
      </c>
      <c r="AD1130" s="8" t="s">
        <v>33</v>
      </c>
      <c r="AE1130" s="11">
        <v>15990</v>
      </c>
      <c r="AF1130" s="11">
        <f t="shared" si="116"/>
        <v>0</v>
      </c>
      <c r="AG1130" s="12" t="s">
        <v>34</v>
      </c>
      <c r="AH1130" s="8" t="s">
        <v>35</v>
      </c>
    </row>
    <row r="1131" spans="1:34">
      <c r="A1131" s="8" t="s">
        <v>1600</v>
      </c>
      <c r="B1131" s="16" t="s">
        <v>2859</v>
      </c>
      <c r="C1131" s="8" t="s">
        <v>377</v>
      </c>
      <c r="D1131" s="8" t="s">
        <v>1390</v>
      </c>
      <c r="E1131" s="8" t="str">
        <f t="shared" si="114"/>
        <v>ROJO</v>
      </c>
      <c r="G1131" s="8" t="s">
        <v>2861</v>
      </c>
      <c r="H1131" s="8" t="str">
        <f>VLOOKUP(A1131,[1]BBDD!$B$1:$J$3274,9,FALSE)</f>
        <v>U</v>
      </c>
      <c r="I1131" s="8" t="s">
        <v>2861</v>
      </c>
      <c r="J1131" s="8" t="s">
        <v>1599</v>
      </c>
      <c r="L1131" s="8" t="s">
        <v>61</v>
      </c>
      <c r="N1131" s="8" t="s">
        <v>88</v>
      </c>
      <c r="O1131" s="8" t="s">
        <v>88</v>
      </c>
      <c r="Q1131" s="8" t="s">
        <v>32</v>
      </c>
      <c r="R1131" s="8">
        <v>3</v>
      </c>
      <c r="S1131" s="8">
        <v>6</v>
      </c>
      <c r="T1131" s="8">
        <f t="shared" si="117"/>
        <v>9</v>
      </c>
      <c r="U1131" s="8">
        <v>1</v>
      </c>
      <c r="V1131" s="8">
        <v>7</v>
      </c>
      <c r="W1131" s="8">
        <v>6</v>
      </c>
      <c r="X1131" s="8">
        <v>1</v>
      </c>
      <c r="Y1131" s="8">
        <v>2</v>
      </c>
      <c r="Z1131" s="8">
        <v>3</v>
      </c>
      <c r="AA1131" s="8">
        <v>180</v>
      </c>
      <c r="AB1131" s="9">
        <f t="shared" si="118"/>
        <v>3.333333333333333</v>
      </c>
      <c r="AC1131" s="10">
        <f t="shared" si="115"/>
        <v>2.7</v>
      </c>
      <c r="AD1131" s="8" t="s">
        <v>33</v>
      </c>
      <c r="AE1131" s="11">
        <v>15990</v>
      </c>
      <c r="AF1131" s="11">
        <f t="shared" si="116"/>
        <v>143910</v>
      </c>
      <c r="AG1131" s="12" t="s">
        <v>34</v>
      </c>
      <c r="AH1131" s="8" t="s">
        <v>35</v>
      </c>
    </row>
    <row r="1132" spans="1:34">
      <c r="A1132" s="8" t="s">
        <v>1601</v>
      </c>
      <c r="B1132" s="16" t="s">
        <v>399</v>
      </c>
      <c r="C1132" s="8" t="s">
        <v>40</v>
      </c>
      <c r="D1132" s="8" t="s">
        <v>1602</v>
      </c>
      <c r="E1132" s="8" t="str">
        <f t="shared" si="114"/>
        <v>NEGRO</v>
      </c>
      <c r="G1132" s="8" t="s">
        <v>2861</v>
      </c>
      <c r="H1132" s="8" t="str">
        <f>VLOOKUP(A1132,[1]BBDD!$B$1:$J$3274,9,FALSE)</f>
        <v>H</v>
      </c>
      <c r="I1132" s="17" t="s">
        <v>2861</v>
      </c>
      <c r="J1132" s="8" t="s">
        <v>1603</v>
      </c>
      <c r="L1132" s="8" t="s">
        <v>61</v>
      </c>
      <c r="N1132" s="8" t="s">
        <v>44</v>
      </c>
      <c r="O1132" s="8" t="s">
        <v>44</v>
      </c>
      <c r="Q1132" s="8" t="s">
        <v>32</v>
      </c>
      <c r="R1132" s="8">
        <v>0</v>
      </c>
      <c r="S1132" s="8">
        <v>2</v>
      </c>
      <c r="T1132" s="8">
        <f t="shared" si="117"/>
        <v>2</v>
      </c>
      <c r="U1132" s="8">
        <v>0</v>
      </c>
      <c r="V1132" s="8">
        <v>1</v>
      </c>
      <c r="W1132" s="8">
        <v>0</v>
      </c>
      <c r="X1132" s="8">
        <v>0</v>
      </c>
      <c r="Y1132" s="8">
        <v>1</v>
      </c>
      <c r="Z1132" s="8">
        <v>0</v>
      </c>
      <c r="AA1132" s="8">
        <v>152</v>
      </c>
      <c r="AB1132" s="9">
        <f t="shared" si="118"/>
        <v>0.39473684210526316</v>
      </c>
      <c r="AC1132" s="10">
        <f t="shared" si="115"/>
        <v>5.0666666666666664</v>
      </c>
      <c r="AD1132" s="8" t="s">
        <v>33</v>
      </c>
      <c r="AE1132" s="11">
        <v>399990</v>
      </c>
      <c r="AF1132" s="11">
        <f t="shared" si="116"/>
        <v>799980</v>
      </c>
      <c r="AG1132" s="12" t="s">
        <v>34</v>
      </c>
      <c r="AH1132" s="8" t="s">
        <v>35</v>
      </c>
    </row>
    <row r="1133" spans="1:34">
      <c r="A1133" s="8" t="s">
        <v>1604</v>
      </c>
      <c r="B1133" s="16" t="s">
        <v>399</v>
      </c>
      <c r="C1133" s="8" t="s">
        <v>40</v>
      </c>
      <c r="D1133" s="8" t="s">
        <v>1602</v>
      </c>
      <c r="E1133" s="8" t="str">
        <f t="shared" si="114"/>
        <v>TABACO</v>
      </c>
      <c r="G1133" s="8" t="s">
        <v>2861</v>
      </c>
      <c r="H1133" s="8" t="str">
        <f>VLOOKUP(A1133,[1]BBDD!$B$1:$J$3274,9,FALSE)</f>
        <v>H</v>
      </c>
      <c r="I1133" s="17" t="s">
        <v>2861</v>
      </c>
      <c r="J1133" s="8" t="s">
        <v>1603</v>
      </c>
      <c r="L1133" s="8" t="s">
        <v>61</v>
      </c>
      <c r="N1133" s="8" t="s">
        <v>67</v>
      </c>
      <c r="O1133" s="8" t="s">
        <v>67</v>
      </c>
      <c r="Q1133" s="8" t="s">
        <v>32</v>
      </c>
      <c r="R1133" s="8">
        <v>0</v>
      </c>
      <c r="S1133" s="8">
        <v>3</v>
      </c>
      <c r="T1133" s="8">
        <f t="shared" si="117"/>
        <v>3</v>
      </c>
      <c r="U1133" s="8">
        <v>0</v>
      </c>
      <c r="V1133" s="8">
        <v>1</v>
      </c>
      <c r="W1133" s="8">
        <v>0</v>
      </c>
      <c r="X1133" s="8">
        <v>0</v>
      </c>
      <c r="Y1133" s="8">
        <v>0</v>
      </c>
      <c r="Z1133" s="8">
        <v>0</v>
      </c>
      <c r="AA1133" s="8">
        <v>152</v>
      </c>
      <c r="AB1133" s="9">
        <f t="shared" si="118"/>
        <v>0.19736842105263158</v>
      </c>
      <c r="AC1133" s="10">
        <f t="shared" si="115"/>
        <v>15.2</v>
      </c>
      <c r="AD1133" s="8" t="s">
        <v>33</v>
      </c>
      <c r="AE1133" s="11">
        <v>399990</v>
      </c>
      <c r="AF1133" s="11">
        <f t="shared" si="116"/>
        <v>1199970</v>
      </c>
      <c r="AG1133" s="12" t="s">
        <v>64</v>
      </c>
      <c r="AH1133" s="8" t="s">
        <v>35</v>
      </c>
    </row>
    <row r="1134" spans="1:34">
      <c r="A1134" s="8" t="s">
        <v>1605</v>
      </c>
      <c r="B1134" s="16" t="s">
        <v>1606</v>
      </c>
      <c r="C1134" s="8" t="s">
        <v>27</v>
      </c>
      <c r="D1134" s="8" t="s">
        <v>1607</v>
      </c>
      <c r="E1134" s="8" t="str">
        <f t="shared" si="114"/>
        <v>NEGRO</v>
      </c>
      <c r="G1134" s="8" t="s">
        <v>2861</v>
      </c>
      <c r="H1134" s="8" t="str">
        <f>VLOOKUP(A1134,[1]BBDD!$B$1:$J$3274,9,FALSE)</f>
        <v>U</v>
      </c>
      <c r="I1134" s="8" t="s">
        <v>2861</v>
      </c>
      <c r="J1134" s="8" t="s">
        <v>1608</v>
      </c>
      <c r="L1134" s="8" t="s">
        <v>61</v>
      </c>
      <c r="N1134" s="8" t="s">
        <v>44</v>
      </c>
      <c r="O1134" s="8" t="s">
        <v>44</v>
      </c>
      <c r="Q1134" s="8" t="s">
        <v>32</v>
      </c>
      <c r="R1134" s="8">
        <v>2</v>
      </c>
      <c r="S1134" s="8">
        <v>6</v>
      </c>
      <c r="T1134" s="8">
        <f t="shared" si="117"/>
        <v>8</v>
      </c>
      <c r="U1134" s="8">
        <v>0</v>
      </c>
      <c r="V1134" s="8">
        <v>0</v>
      </c>
      <c r="W1134" s="8">
        <v>1</v>
      </c>
      <c r="X1134" s="8">
        <v>1</v>
      </c>
      <c r="Y1134" s="8">
        <v>0</v>
      </c>
      <c r="Z1134" s="8">
        <v>0</v>
      </c>
      <c r="AA1134" s="8">
        <v>112</v>
      </c>
      <c r="AB1134" s="9">
        <f t="shared" si="118"/>
        <v>0.5357142857142857</v>
      </c>
      <c r="AC1134" s="10">
        <f t="shared" si="115"/>
        <v>14.933333333333334</v>
      </c>
      <c r="AD1134" s="8" t="s">
        <v>33</v>
      </c>
      <c r="AE1134" s="11">
        <v>199990</v>
      </c>
      <c r="AF1134" s="11">
        <f t="shared" si="116"/>
        <v>1599920</v>
      </c>
      <c r="AG1134" s="12" t="s">
        <v>64</v>
      </c>
      <c r="AH1134" s="8" t="s">
        <v>35</v>
      </c>
    </row>
    <row r="1135" spans="1:34">
      <c r="A1135" s="8" t="s">
        <v>1609</v>
      </c>
      <c r="B1135" s="16" t="s">
        <v>1606</v>
      </c>
      <c r="C1135" s="8" t="s">
        <v>27</v>
      </c>
      <c r="D1135" s="8" t="s">
        <v>1607</v>
      </c>
      <c r="E1135" s="8" t="str">
        <f t="shared" si="114"/>
        <v>MALBEC</v>
      </c>
      <c r="G1135" s="8" t="s">
        <v>2861</v>
      </c>
      <c r="H1135" s="8" t="str">
        <f>VLOOKUP(A1135,[1]BBDD!$B$1:$J$3274,9,FALSE)</f>
        <v>U</v>
      </c>
      <c r="I1135" s="8" t="s">
        <v>2861</v>
      </c>
      <c r="J1135" s="8" t="s">
        <v>1608</v>
      </c>
      <c r="L1135" s="8" t="s">
        <v>61</v>
      </c>
      <c r="N1135" s="8" t="s">
        <v>69</v>
      </c>
      <c r="O1135" s="8" t="s">
        <v>69</v>
      </c>
      <c r="Q1135" s="8" t="s">
        <v>32</v>
      </c>
      <c r="R1135" s="8">
        <v>0</v>
      </c>
      <c r="S1135" s="8">
        <v>2</v>
      </c>
      <c r="T1135" s="8">
        <f t="shared" si="117"/>
        <v>2</v>
      </c>
      <c r="U1135" s="8">
        <v>0</v>
      </c>
      <c r="V1135" s="8">
        <v>0</v>
      </c>
      <c r="W1135" s="8">
        <v>0</v>
      </c>
      <c r="X1135" s="8">
        <v>1</v>
      </c>
      <c r="Y1135" s="8">
        <v>0</v>
      </c>
      <c r="Z1135" s="8">
        <v>0</v>
      </c>
      <c r="AA1135" s="8">
        <v>112</v>
      </c>
      <c r="AB1135" s="9">
        <f t="shared" si="118"/>
        <v>0.26785714285714285</v>
      </c>
      <c r="AC1135" s="10">
        <f t="shared" si="115"/>
        <v>7.4666666666666668</v>
      </c>
      <c r="AD1135" s="8" t="s">
        <v>33</v>
      </c>
      <c r="AE1135" s="11">
        <v>199990</v>
      </c>
      <c r="AF1135" s="11">
        <f t="shared" si="116"/>
        <v>399980</v>
      </c>
      <c r="AG1135" s="12" t="s">
        <v>51</v>
      </c>
      <c r="AH1135" s="8" t="s">
        <v>35</v>
      </c>
    </row>
    <row r="1136" spans="1:34">
      <c r="A1136" s="8" t="s">
        <v>1610</v>
      </c>
      <c r="B1136" s="16" t="s">
        <v>1606</v>
      </c>
      <c r="C1136" s="8" t="s">
        <v>27</v>
      </c>
      <c r="D1136" s="8" t="s">
        <v>1607</v>
      </c>
      <c r="E1136" s="8" t="str">
        <f t="shared" si="114"/>
        <v>CHOCOLATE</v>
      </c>
      <c r="G1136" s="8" t="s">
        <v>2861</v>
      </c>
      <c r="H1136" s="8" t="str">
        <f>VLOOKUP(A1136,[1]BBDD!$B$1:$J$3274,9,FALSE)</f>
        <v>U</v>
      </c>
      <c r="I1136" s="8" t="s">
        <v>2861</v>
      </c>
      <c r="J1136" s="8" t="s">
        <v>1608</v>
      </c>
      <c r="L1136" s="8" t="s">
        <v>61</v>
      </c>
      <c r="N1136" s="8" t="s">
        <v>252</v>
      </c>
      <c r="O1136" s="8" t="s">
        <v>252</v>
      </c>
      <c r="Q1136" s="8" t="s">
        <v>32</v>
      </c>
      <c r="R1136" s="8">
        <v>1</v>
      </c>
      <c r="S1136" s="8">
        <v>7</v>
      </c>
      <c r="T1136" s="8">
        <f t="shared" si="117"/>
        <v>8</v>
      </c>
      <c r="U1136" s="8">
        <v>0</v>
      </c>
      <c r="V1136" s="8">
        <v>0</v>
      </c>
      <c r="W1136" s="8">
        <v>0</v>
      </c>
      <c r="X1136" s="8">
        <v>0</v>
      </c>
      <c r="Y1136" s="8">
        <v>1</v>
      </c>
      <c r="Z1136" s="8">
        <v>1</v>
      </c>
      <c r="AA1136" s="8">
        <v>112</v>
      </c>
      <c r="AB1136" s="9">
        <f t="shared" si="118"/>
        <v>0.5357142857142857</v>
      </c>
      <c r="AC1136" s="10">
        <f t="shared" si="115"/>
        <v>14.933333333333334</v>
      </c>
      <c r="AD1136" s="8" t="s">
        <v>33</v>
      </c>
      <c r="AE1136" s="11">
        <v>199990</v>
      </c>
      <c r="AF1136" s="11">
        <f t="shared" si="116"/>
        <v>1599920</v>
      </c>
      <c r="AG1136" s="12" t="s">
        <v>64</v>
      </c>
      <c r="AH1136" s="8" t="s">
        <v>35</v>
      </c>
    </row>
    <row r="1137" spans="1:34">
      <c r="A1137" s="8" t="s">
        <v>1611</v>
      </c>
      <c r="B1137" s="16" t="s">
        <v>1606</v>
      </c>
      <c r="C1137" s="8" t="s">
        <v>27</v>
      </c>
      <c r="D1137" s="8" t="s">
        <v>1607</v>
      </c>
      <c r="E1137" s="8" t="str">
        <f t="shared" si="114"/>
        <v>TABACO</v>
      </c>
      <c r="G1137" s="8" t="s">
        <v>2861</v>
      </c>
      <c r="H1137" s="8" t="str">
        <f>VLOOKUP(A1137,[1]BBDD!$B$1:$J$3274,9,FALSE)</f>
        <v>U</v>
      </c>
      <c r="I1137" s="8" t="s">
        <v>2861</v>
      </c>
      <c r="J1137" s="8" t="s">
        <v>1608</v>
      </c>
      <c r="L1137" s="8" t="s">
        <v>61</v>
      </c>
      <c r="N1137" s="8" t="s">
        <v>67</v>
      </c>
      <c r="O1137" s="8" t="s">
        <v>67</v>
      </c>
      <c r="Q1137" s="8" t="s">
        <v>32</v>
      </c>
      <c r="R1137" s="8">
        <v>4</v>
      </c>
      <c r="S1137" s="8">
        <v>5</v>
      </c>
      <c r="T1137" s="8">
        <f t="shared" si="117"/>
        <v>9</v>
      </c>
      <c r="U1137" s="8">
        <v>0</v>
      </c>
      <c r="V1137" s="8">
        <v>0</v>
      </c>
      <c r="W1137" s="8">
        <v>1</v>
      </c>
      <c r="X1137" s="8">
        <v>0</v>
      </c>
      <c r="Y1137" s="8">
        <v>0</v>
      </c>
      <c r="Z1137" s="8">
        <v>0</v>
      </c>
      <c r="AA1137" s="8">
        <v>112</v>
      </c>
      <c r="AB1137" s="9">
        <f t="shared" si="118"/>
        <v>0.26785714285714285</v>
      </c>
      <c r="AC1137" s="10">
        <f t="shared" si="115"/>
        <v>33.6</v>
      </c>
      <c r="AD1137" s="8" t="s">
        <v>33</v>
      </c>
      <c r="AE1137" s="11">
        <v>199990</v>
      </c>
      <c r="AF1137" s="11">
        <f t="shared" si="116"/>
        <v>1799910</v>
      </c>
      <c r="AG1137" s="12" t="s">
        <v>73</v>
      </c>
      <c r="AH1137" s="8" t="s">
        <v>35</v>
      </c>
    </row>
    <row r="1138" spans="1:34">
      <c r="A1138" s="8" t="s">
        <v>1612</v>
      </c>
      <c r="B1138" s="16" t="s">
        <v>1606</v>
      </c>
      <c r="C1138" s="8" t="s">
        <v>27</v>
      </c>
      <c r="D1138" s="8" t="s">
        <v>1607</v>
      </c>
      <c r="E1138" s="8" t="str">
        <f t="shared" si="114"/>
        <v>MARRON/TABACO</v>
      </c>
      <c r="G1138" s="8" t="s">
        <v>2861</v>
      </c>
      <c r="H1138" s="8" t="str">
        <f>VLOOKUP(A1138,[1]BBDD!$B$1:$J$3274,9,FALSE)</f>
        <v>U</v>
      </c>
      <c r="I1138" s="8" t="s">
        <v>2861</v>
      </c>
      <c r="J1138" s="8" t="s">
        <v>1608</v>
      </c>
      <c r="L1138" s="8" t="s">
        <v>456</v>
      </c>
      <c r="N1138" s="8" t="s">
        <v>1613</v>
      </c>
      <c r="O1138" s="8" t="s">
        <v>1613</v>
      </c>
      <c r="Q1138" s="8" t="s">
        <v>32</v>
      </c>
      <c r="R1138" s="8">
        <v>0</v>
      </c>
      <c r="S1138" s="8">
        <v>4</v>
      </c>
      <c r="T1138" s="8">
        <f t="shared" si="117"/>
        <v>4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112</v>
      </c>
      <c r="AB1138" s="9">
        <f t="shared" si="118"/>
        <v>0</v>
      </c>
      <c r="AC1138" s="10" t="str">
        <f t="shared" si="115"/>
        <v>sin venta</v>
      </c>
      <c r="AD1138" s="8" t="s">
        <v>33</v>
      </c>
      <c r="AE1138" s="11">
        <v>219990</v>
      </c>
      <c r="AF1138" s="11">
        <f t="shared" si="116"/>
        <v>879960</v>
      </c>
      <c r="AG1138" s="12" t="s">
        <v>73</v>
      </c>
      <c r="AH1138" s="8" t="s">
        <v>35</v>
      </c>
    </row>
    <row r="1139" spans="1:34">
      <c r="A1139" s="8" t="s">
        <v>1614</v>
      </c>
      <c r="B1139" s="16" t="s">
        <v>399</v>
      </c>
      <c r="C1139" s="8" t="s">
        <v>27</v>
      </c>
      <c r="D1139" s="8" t="s">
        <v>1607</v>
      </c>
      <c r="E1139" s="8" t="str">
        <f t="shared" si="114"/>
        <v>NEGRO</v>
      </c>
      <c r="G1139" s="8" t="s">
        <v>2861</v>
      </c>
      <c r="H1139" s="8" t="str">
        <f>VLOOKUP(A1139,[1]BBDD!$B$1:$J$3274,9,FALSE)</f>
        <v>U</v>
      </c>
      <c r="I1139" s="8" t="s">
        <v>2861</v>
      </c>
      <c r="J1139" s="8" t="s">
        <v>1615</v>
      </c>
      <c r="L1139" s="8" t="s">
        <v>61</v>
      </c>
      <c r="N1139" s="8" t="s">
        <v>44</v>
      </c>
      <c r="O1139" s="8" t="s">
        <v>44</v>
      </c>
      <c r="Q1139" s="8" t="s">
        <v>32</v>
      </c>
      <c r="R1139" s="8">
        <v>0</v>
      </c>
      <c r="S1139" s="8">
        <v>6</v>
      </c>
      <c r="T1139" s="8">
        <f t="shared" si="117"/>
        <v>6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179</v>
      </c>
      <c r="AB1139" s="9">
        <f t="shared" si="118"/>
        <v>0</v>
      </c>
      <c r="AC1139" s="10" t="str">
        <f t="shared" si="115"/>
        <v>sin venta</v>
      </c>
      <c r="AD1139" s="8" t="s">
        <v>33</v>
      </c>
      <c r="AE1139" s="11">
        <v>209990</v>
      </c>
      <c r="AF1139" s="11">
        <f t="shared" si="116"/>
        <v>1259940</v>
      </c>
      <c r="AG1139" s="12" t="s">
        <v>73</v>
      </c>
      <c r="AH1139" s="8" t="s">
        <v>35</v>
      </c>
    </row>
    <row r="1140" spans="1:34">
      <c r="A1140" s="8" t="s">
        <v>1616</v>
      </c>
      <c r="B1140" s="16" t="s">
        <v>1617</v>
      </c>
      <c r="C1140" s="8" t="s">
        <v>533</v>
      </c>
      <c r="D1140" s="8" t="s">
        <v>1618</v>
      </c>
      <c r="E1140" s="8" t="str">
        <f t="shared" si="114"/>
        <v>BEIGE</v>
      </c>
      <c r="G1140" s="8" t="s">
        <v>2863</v>
      </c>
      <c r="H1140" s="8" t="str">
        <f>VLOOKUP(A1140,[1]BBDD!$B$1:$J$3274,9,FALSE)</f>
        <v>H</v>
      </c>
      <c r="I1140" s="8" t="s">
        <v>2863</v>
      </c>
      <c r="J1140" s="8" t="s">
        <v>1619</v>
      </c>
      <c r="L1140" s="8" t="s">
        <v>566</v>
      </c>
      <c r="N1140" s="8" t="s">
        <v>516</v>
      </c>
      <c r="O1140" s="8" t="s">
        <v>516</v>
      </c>
      <c r="Q1140" s="8" t="s">
        <v>45</v>
      </c>
      <c r="R1140" s="8">
        <v>227</v>
      </c>
      <c r="S1140" s="8">
        <v>15</v>
      </c>
      <c r="T1140" s="8">
        <f t="shared" si="117"/>
        <v>242</v>
      </c>
      <c r="U1140" s="8">
        <v>3</v>
      </c>
      <c r="V1140" s="8">
        <v>0</v>
      </c>
      <c r="W1140" s="8">
        <v>0</v>
      </c>
      <c r="X1140" s="8">
        <v>3</v>
      </c>
      <c r="Y1140" s="8">
        <v>2</v>
      </c>
      <c r="Z1140" s="8">
        <v>9</v>
      </c>
      <c r="AA1140" s="8">
        <v>180</v>
      </c>
      <c r="AB1140" s="9">
        <f t="shared" si="118"/>
        <v>2.833333333333333</v>
      </c>
      <c r="AC1140" s="10">
        <f t="shared" si="115"/>
        <v>85.411764705882362</v>
      </c>
      <c r="AD1140" s="8" t="s">
        <v>109</v>
      </c>
      <c r="AE1140" s="11">
        <v>4990</v>
      </c>
      <c r="AF1140" s="11">
        <f t="shared" si="116"/>
        <v>1207580</v>
      </c>
      <c r="AG1140" s="12" t="s">
        <v>73</v>
      </c>
      <c r="AH1140" s="8" t="s">
        <v>74</v>
      </c>
    </row>
    <row r="1141" spans="1:34">
      <c r="A1141" s="8" t="s">
        <v>1620</v>
      </c>
      <c r="B1141" s="16" t="s">
        <v>1617</v>
      </c>
      <c r="C1141" s="8" t="s">
        <v>533</v>
      </c>
      <c r="D1141" s="8" t="s">
        <v>1618</v>
      </c>
      <c r="E1141" s="8" t="str">
        <f t="shared" si="114"/>
        <v>GRIS</v>
      </c>
      <c r="G1141" s="8" t="s">
        <v>2863</v>
      </c>
      <c r="H1141" s="8" t="str">
        <f>VLOOKUP(A1141,[1]BBDD!$B$1:$J$3274,9,FALSE)</f>
        <v>H</v>
      </c>
      <c r="I1141" s="8" t="s">
        <v>2863</v>
      </c>
      <c r="J1141" s="8" t="s">
        <v>1619</v>
      </c>
      <c r="L1141" s="8" t="s">
        <v>566</v>
      </c>
      <c r="N1141" s="8" t="s">
        <v>510</v>
      </c>
      <c r="O1141" s="8" t="s">
        <v>510</v>
      </c>
      <c r="Q1141" s="8" t="s">
        <v>45</v>
      </c>
      <c r="R1141" s="8">
        <v>296</v>
      </c>
      <c r="S1141" s="8">
        <v>17</v>
      </c>
      <c r="T1141" s="8">
        <f t="shared" si="117"/>
        <v>313</v>
      </c>
      <c r="U1141" s="8">
        <v>5</v>
      </c>
      <c r="V1141" s="8">
        <v>0</v>
      </c>
      <c r="W1141" s="8">
        <v>0</v>
      </c>
      <c r="X1141" s="8">
        <v>1</v>
      </c>
      <c r="Y1141" s="8">
        <v>1</v>
      </c>
      <c r="Z1141" s="8">
        <v>8</v>
      </c>
      <c r="AA1141" s="8">
        <v>180</v>
      </c>
      <c r="AB1141" s="9">
        <f t="shared" si="118"/>
        <v>2.5</v>
      </c>
      <c r="AC1141" s="10">
        <f t="shared" si="115"/>
        <v>125.2</v>
      </c>
      <c r="AD1141" s="8" t="s">
        <v>109</v>
      </c>
      <c r="AE1141" s="11">
        <v>4990</v>
      </c>
      <c r="AF1141" s="11">
        <f t="shared" si="116"/>
        <v>1561870</v>
      </c>
      <c r="AG1141" s="12" t="s">
        <v>73</v>
      </c>
      <c r="AH1141" s="8" t="s">
        <v>74</v>
      </c>
    </row>
    <row r="1142" spans="1:34">
      <c r="A1142" s="8" t="s">
        <v>1621</v>
      </c>
      <c r="B1142" s="16" t="s">
        <v>1617</v>
      </c>
      <c r="C1142" s="8" t="s">
        <v>533</v>
      </c>
      <c r="D1142" s="8" t="s">
        <v>1618</v>
      </c>
      <c r="E1142" s="8" t="str">
        <f t="shared" si="114"/>
        <v>VISON</v>
      </c>
      <c r="G1142" s="8" t="s">
        <v>2863</v>
      </c>
      <c r="H1142" s="8" t="str">
        <f>VLOOKUP(A1142,[1]BBDD!$B$1:$J$3274,9,FALSE)</f>
        <v>H</v>
      </c>
      <c r="I1142" s="8" t="s">
        <v>2863</v>
      </c>
      <c r="J1142" s="8" t="s">
        <v>1619</v>
      </c>
      <c r="L1142" s="8" t="s">
        <v>566</v>
      </c>
      <c r="N1142" s="8" t="s">
        <v>58</v>
      </c>
      <c r="O1142" s="8" t="s">
        <v>58</v>
      </c>
      <c r="Q1142" s="8" t="s">
        <v>45</v>
      </c>
      <c r="R1142" s="8">
        <v>308</v>
      </c>
      <c r="S1142" s="8">
        <v>17</v>
      </c>
      <c r="T1142" s="8">
        <f t="shared" si="117"/>
        <v>325</v>
      </c>
      <c r="U1142" s="8">
        <v>1</v>
      </c>
      <c r="V1142" s="8">
        <v>0</v>
      </c>
      <c r="W1142" s="8">
        <v>0</v>
      </c>
      <c r="X1142" s="8">
        <v>0</v>
      </c>
      <c r="Y1142" s="8">
        <v>2</v>
      </c>
      <c r="Z1142" s="8">
        <v>8</v>
      </c>
      <c r="AA1142" s="8">
        <v>180</v>
      </c>
      <c r="AB1142" s="9">
        <f t="shared" si="118"/>
        <v>1.8333333333333333</v>
      </c>
      <c r="AC1142" s="10">
        <f t="shared" si="115"/>
        <v>177.27272727272728</v>
      </c>
      <c r="AD1142" s="8" t="s">
        <v>109</v>
      </c>
      <c r="AE1142" s="11">
        <v>4990</v>
      </c>
      <c r="AF1142" s="11">
        <f t="shared" si="116"/>
        <v>1621750</v>
      </c>
      <c r="AG1142" s="12" t="s">
        <v>73</v>
      </c>
      <c r="AH1142" s="8" t="s">
        <v>74</v>
      </c>
    </row>
    <row r="1143" spans="1:34">
      <c r="A1143" s="8" t="s">
        <v>1622</v>
      </c>
      <c r="B1143" s="16" t="s">
        <v>1617</v>
      </c>
      <c r="C1143" s="8" t="s">
        <v>533</v>
      </c>
      <c r="D1143" s="8" t="s">
        <v>1618</v>
      </c>
      <c r="E1143" s="8" t="str">
        <f t="shared" si="114"/>
        <v>BLANCO</v>
      </c>
      <c r="G1143" s="8" t="s">
        <v>2863</v>
      </c>
      <c r="H1143" s="8" t="str">
        <f>VLOOKUP(A1143,[1]BBDD!$B$1:$J$3274,9,FALSE)</f>
        <v>H</v>
      </c>
      <c r="I1143" s="8" t="s">
        <v>2863</v>
      </c>
      <c r="J1143" s="8" t="s">
        <v>1619</v>
      </c>
      <c r="L1143" s="8" t="s">
        <v>566</v>
      </c>
      <c r="N1143" s="8" t="s">
        <v>646</v>
      </c>
      <c r="O1143" s="8" t="s">
        <v>646</v>
      </c>
      <c r="Q1143" s="8" t="s">
        <v>45</v>
      </c>
      <c r="R1143" s="8">
        <v>305</v>
      </c>
      <c r="S1143" s="8">
        <v>21</v>
      </c>
      <c r="T1143" s="8">
        <f t="shared" si="117"/>
        <v>326</v>
      </c>
      <c r="U1143" s="8">
        <v>1</v>
      </c>
      <c r="V1143" s="8">
        <v>0</v>
      </c>
      <c r="W1143" s="8">
        <v>0</v>
      </c>
      <c r="X1143" s="8">
        <v>0</v>
      </c>
      <c r="Y1143" s="8">
        <v>2</v>
      </c>
      <c r="Z1143" s="8">
        <v>4</v>
      </c>
      <c r="AA1143" s="8">
        <v>180</v>
      </c>
      <c r="AB1143" s="9">
        <f t="shared" si="118"/>
        <v>1.1666666666666667</v>
      </c>
      <c r="AC1143" s="10">
        <f t="shared" si="115"/>
        <v>279.42857142857139</v>
      </c>
      <c r="AD1143" s="8" t="s">
        <v>109</v>
      </c>
      <c r="AE1143" s="11">
        <v>4990</v>
      </c>
      <c r="AF1143" s="11">
        <f t="shared" si="116"/>
        <v>1626740</v>
      </c>
      <c r="AG1143" s="12" t="s">
        <v>73</v>
      </c>
      <c r="AH1143" s="8" t="s">
        <v>74</v>
      </c>
    </row>
    <row r="1144" spans="1:34">
      <c r="A1144" s="8" t="s">
        <v>1623</v>
      </c>
      <c r="B1144" s="16" t="s">
        <v>1617</v>
      </c>
      <c r="C1144" s="8" t="s">
        <v>533</v>
      </c>
      <c r="D1144" s="8" t="s">
        <v>1618</v>
      </c>
      <c r="E1144" s="8" t="str">
        <f t="shared" si="114"/>
        <v>NEGRO</v>
      </c>
      <c r="G1144" s="8" t="s">
        <v>2863</v>
      </c>
      <c r="H1144" s="8" t="str">
        <f>VLOOKUP(A1144,[1]BBDD!$B$1:$J$3274,9,FALSE)</f>
        <v>H</v>
      </c>
      <c r="I1144" s="8" t="s">
        <v>2863</v>
      </c>
      <c r="J1144" s="8" t="s">
        <v>1619</v>
      </c>
      <c r="L1144" s="8" t="s">
        <v>566</v>
      </c>
      <c r="N1144" s="8" t="s">
        <v>44</v>
      </c>
      <c r="O1144" s="8" t="s">
        <v>44</v>
      </c>
      <c r="Q1144" s="8" t="s">
        <v>45</v>
      </c>
      <c r="R1144" s="8">
        <v>313</v>
      </c>
      <c r="S1144" s="8">
        <v>20</v>
      </c>
      <c r="T1144" s="8">
        <f t="shared" si="117"/>
        <v>333</v>
      </c>
      <c r="U1144" s="8">
        <v>1</v>
      </c>
      <c r="V1144" s="8">
        <v>2</v>
      </c>
      <c r="W1144" s="8">
        <v>0</v>
      </c>
      <c r="X1144" s="8">
        <v>2</v>
      </c>
      <c r="Y1144" s="8">
        <v>1</v>
      </c>
      <c r="Z1144" s="8">
        <v>10</v>
      </c>
      <c r="AA1144" s="8">
        <v>180</v>
      </c>
      <c r="AB1144" s="9">
        <f t="shared" si="118"/>
        <v>2.666666666666667</v>
      </c>
      <c r="AC1144" s="10">
        <f t="shared" si="115"/>
        <v>124.87499999999999</v>
      </c>
      <c r="AD1144" s="8" t="s">
        <v>109</v>
      </c>
      <c r="AE1144" s="11">
        <v>4990</v>
      </c>
      <c r="AF1144" s="11">
        <f t="shared" si="116"/>
        <v>1661670</v>
      </c>
      <c r="AG1144" s="12" t="s">
        <v>73</v>
      </c>
      <c r="AH1144" s="8" t="s">
        <v>74</v>
      </c>
    </row>
    <row r="1145" spans="1:34">
      <c r="A1145" s="8" t="s">
        <v>1624</v>
      </c>
      <c r="B1145" s="16" t="s">
        <v>1625</v>
      </c>
      <c r="C1145" s="8" t="s">
        <v>533</v>
      </c>
      <c r="D1145" s="8" t="s">
        <v>1618</v>
      </c>
      <c r="E1145" s="8" t="str">
        <f t="shared" si="114"/>
        <v>AZUL MARINO</v>
      </c>
      <c r="G1145" s="8" t="s">
        <v>2863</v>
      </c>
      <c r="H1145" s="8" t="str">
        <f>VLOOKUP(A1145,[1]BBDD!$B$1:$J$3274,9,FALSE)</f>
        <v>H</v>
      </c>
      <c r="I1145" s="8" t="s">
        <v>2863</v>
      </c>
      <c r="J1145" s="8" t="s">
        <v>1626</v>
      </c>
      <c r="L1145" s="8" t="s">
        <v>566</v>
      </c>
      <c r="N1145" s="8" t="s">
        <v>1003</v>
      </c>
      <c r="O1145" s="8" t="s">
        <v>1003</v>
      </c>
      <c r="Q1145" s="8" t="s">
        <v>45</v>
      </c>
      <c r="R1145" s="8">
        <v>529</v>
      </c>
      <c r="S1145" s="8">
        <v>23</v>
      </c>
      <c r="T1145" s="8">
        <f t="shared" si="117"/>
        <v>552</v>
      </c>
      <c r="U1145" s="8">
        <v>6</v>
      </c>
      <c r="V1145" s="8">
        <v>6</v>
      </c>
      <c r="W1145" s="8">
        <v>8</v>
      </c>
      <c r="X1145" s="8">
        <v>4</v>
      </c>
      <c r="Y1145" s="8">
        <v>4</v>
      </c>
      <c r="Z1145" s="8">
        <v>20</v>
      </c>
      <c r="AA1145" s="8">
        <v>180</v>
      </c>
      <c r="AB1145" s="9">
        <f t="shared" si="118"/>
        <v>8</v>
      </c>
      <c r="AC1145" s="10">
        <f t="shared" si="115"/>
        <v>69</v>
      </c>
      <c r="AD1145" s="8" t="s">
        <v>109</v>
      </c>
      <c r="AE1145" s="11">
        <v>4990</v>
      </c>
      <c r="AF1145" s="11">
        <f t="shared" si="116"/>
        <v>2754480</v>
      </c>
      <c r="AG1145" s="12" t="s">
        <v>73</v>
      </c>
      <c r="AH1145" s="8" t="s">
        <v>74</v>
      </c>
    </row>
    <row r="1146" spans="1:34">
      <c r="A1146" s="8" t="s">
        <v>1627</v>
      </c>
      <c r="B1146" s="16" t="s">
        <v>1625</v>
      </c>
      <c r="C1146" s="8" t="s">
        <v>533</v>
      </c>
      <c r="D1146" s="8" t="s">
        <v>1618</v>
      </c>
      <c r="E1146" s="8" t="str">
        <f t="shared" si="114"/>
        <v>BLANCO</v>
      </c>
      <c r="G1146" s="8" t="s">
        <v>2863</v>
      </c>
      <c r="H1146" s="8" t="str">
        <f>VLOOKUP(A1146,[1]BBDD!$B$1:$J$3274,9,FALSE)</f>
        <v>H</v>
      </c>
      <c r="I1146" s="8" t="s">
        <v>2863</v>
      </c>
      <c r="J1146" s="8" t="s">
        <v>1626</v>
      </c>
      <c r="L1146" s="8" t="s">
        <v>566</v>
      </c>
      <c r="N1146" s="8" t="s">
        <v>646</v>
      </c>
      <c r="O1146" s="8" t="s">
        <v>646</v>
      </c>
      <c r="Q1146" s="8" t="s">
        <v>45</v>
      </c>
      <c r="R1146" s="8">
        <v>569</v>
      </c>
      <c r="S1146" s="8">
        <v>19</v>
      </c>
      <c r="T1146" s="8">
        <f t="shared" si="117"/>
        <v>588</v>
      </c>
      <c r="U1146" s="8">
        <v>1</v>
      </c>
      <c r="V1146" s="8">
        <v>0</v>
      </c>
      <c r="W1146" s="8">
        <v>0</v>
      </c>
      <c r="X1146" s="8">
        <v>0</v>
      </c>
      <c r="Y1146" s="8">
        <v>1</v>
      </c>
      <c r="Z1146" s="8">
        <v>4</v>
      </c>
      <c r="AA1146" s="8">
        <v>180</v>
      </c>
      <c r="AB1146" s="9">
        <f t="shared" si="118"/>
        <v>1</v>
      </c>
      <c r="AC1146" s="10">
        <f t="shared" si="115"/>
        <v>588</v>
      </c>
      <c r="AD1146" s="8" t="s">
        <v>109</v>
      </c>
      <c r="AE1146" s="11">
        <v>4990</v>
      </c>
      <c r="AF1146" s="11">
        <f t="shared" si="116"/>
        <v>2934120</v>
      </c>
      <c r="AG1146" s="12" t="s">
        <v>73</v>
      </c>
      <c r="AH1146" s="8" t="s">
        <v>74</v>
      </c>
    </row>
    <row r="1147" spans="1:34">
      <c r="A1147" s="8" t="s">
        <v>1628</v>
      </c>
      <c r="B1147" s="16" t="s">
        <v>1625</v>
      </c>
      <c r="C1147" s="8" t="s">
        <v>533</v>
      </c>
      <c r="D1147" s="8" t="s">
        <v>1618</v>
      </c>
      <c r="E1147" s="8" t="str">
        <f t="shared" si="114"/>
        <v>GRIS MELANGE 75</v>
      </c>
      <c r="G1147" s="8" t="s">
        <v>2863</v>
      </c>
      <c r="H1147" s="8" t="str">
        <f>VLOOKUP(A1147,[1]BBDD!$B$1:$J$3274,9,FALSE)</f>
        <v>H</v>
      </c>
      <c r="I1147" s="8" t="s">
        <v>2863</v>
      </c>
      <c r="J1147" s="8" t="s">
        <v>1626</v>
      </c>
      <c r="L1147" s="8" t="s">
        <v>566</v>
      </c>
      <c r="N1147" s="8" t="s">
        <v>1629</v>
      </c>
      <c r="O1147" s="8" t="s">
        <v>1629</v>
      </c>
      <c r="Q1147" s="8" t="s">
        <v>45</v>
      </c>
      <c r="R1147" s="8">
        <v>543</v>
      </c>
      <c r="S1147" s="8">
        <v>21</v>
      </c>
      <c r="T1147" s="8">
        <f t="shared" si="117"/>
        <v>564</v>
      </c>
      <c r="U1147" s="8">
        <v>4</v>
      </c>
      <c r="V1147" s="8">
        <v>7</v>
      </c>
      <c r="W1147" s="8">
        <v>6</v>
      </c>
      <c r="X1147" s="8">
        <v>5</v>
      </c>
      <c r="Y1147" s="8">
        <v>3</v>
      </c>
      <c r="Z1147" s="8">
        <v>10</v>
      </c>
      <c r="AA1147" s="8">
        <v>180</v>
      </c>
      <c r="AB1147" s="9">
        <f t="shared" si="118"/>
        <v>5.833333333333333</v>
      </c>
      <c r="AC1147" s="10">
        <f t="shared" si="115"/>
        <v>96.685714285714297</v>
      </c>
      <c r="AD1147" s="8" t="s">
        <v>109</v>
      </c>
      <c r="AE1147" s="11">
        <v>4990</v>
      </c>
      <c r="AF1147" s="11">
        <f t="shared" si="116"/>
        <v>2814360</v>
      </c>
      <c r="AG1147" s="12" t="s">
        <v>73</v>
      </c>
      <c r="AH1147" s="8" t="s">
        <v>74</v>
      </c>
    </row>
    <row r="1148" spans="1:34">
      <c r="A1148" s="8" t="s">
        <v>1630</v>
      </c>
      <c r="B1148" s="16" t="s">
        <v>1625</v>
      </c>
      <c r="C1148" s="8" t="s">
        <v>533</v>
      </c>
      <c r="D1148" s="8" t="s">
        <v>1618</v>
      </c>
      <c r="E1148" s="8" t="str">
        <f t="shared" si="114"/>
        <v>MELANGE 25</v>
      </c>
      <c r="G1148" s="8" t="s">
        <v>2863</v>
      </c>
      <c r="H1148" s="8" t="str">
        <f>VLOOKUP(A1148,[1]BBDD!$B$1:$J$3274,9,FALSE)</f>
        <v>H</v>
      </c>
      <c r="I1148" s="8" t="s">
        <v>2863</v>
      </c>
      <c r="J1148" s="8" t="s">
        <v>1626</v>
      </c>
      <c r="L1148" s="8" t="s">
        <v>566</v>
      </c>
      <c r="N1148" s="8" t="s">
        <v>1631</v>
      </c>
      <c r="O1148" s="8" t="s">
        <v>1631</v>
      </c>
      <c r="Q1148" s="8" t="s">
        <v>45</v>
      </c>
      <c r="R1148" s="8">
        <v>561</v>
      </c>
      <c r="S1148" s="8">
        <v>14</v>
      </c>
      <c r="T1148" s="8">
        <f t="shared" si="117"/>
        <v>575</v>
      </c>
      <c r="U1148" s="8">
        <v>5</v>
      </c>
      <c r="V1148" s="8">
        <v>5</v>
      </c>
      <c r="W1148" s="8">
        <v>4</v>
      </c>
      <c r="X1148" s="8">
        <v>3</v>
      </c>
      <c r="Y1148" s="8">
        <v>1</v>
      </c>
      <c r="Z1148" s="8">
        <v>8</v>
      </c>
      <c r="AA1148" s="8">
        <v>180</v>
      </c>
      <c r="AB1148" s="9">
        <f t="shared" si="118"/>
        <v>4.333333333333333</v>
      </c>
      <c r="AC1148" s="10">
        <f t="shared" si="115"/>
        <v>132.69230769230771</v>
      </c>
      <c r="AD1148" s="8" t="s">
        <v>109</v>
      </c>
      <c r="AE1148" s="11">
        <v>4990</v>
      </c>
      <c r="AF1148" s="11">
        <f t="shared" si="116"/>
        <v>2869250</v>
      </c>
      <c r="AG1148" s="12" t="s">
        <v>73</v>
      </c>
      <c r="AH1148" s="8" t="s">
        <v>74</v>
      </c>
    </row>
    <row r="1149" spans="1:34">
      <c r="A1149" s="8" t="s">
        <v>1632</v>
      </c>
      <c r="B1149" s="16" t="s">
        <v>1625</v>
      </c>
      <c r="C1149" s="8" t="s">
        <v>533</v>
      </c>
      <c r="D1149" s="8" t="s">
        <v>1618</v>
      </c>
      <c r="E1149" s="8" t="str">
        <f t="shared" si="114"/>
        <v>NEGRO</v>
      </c>
      <c r="G1149" s="8" t="s">
        <v>2863</v>
      </c>
      <c r="H1149" s="8" t="str">
        <f>VLOOKUP(A1149,[1]BBDD!$B$1:$J$3274,9,FALSE)</f>
        <v>H</v>
      </c>
      <c r="I1149" s="8" t="s">
        <v>2863</v>
      </c>
      <c r="J1149" s="8" t="s">
        <v>1626</v>
      </c>
      <c r="L1149" s="8" t="s">
        <v>566</v>
      </c>
      <c r="N1149" s="8" t="s">
        <v>44</v>
      </c>
      <c r="O1149" s="8" t="s">
        <v>44</v>
      </c>
      <c r="Q1149" s="8" t="s">
        <v>45</v>
      </c>
      <c r="R1149" s="8">
        <v>1135</v>
      </c>
      <c r="S1149" s="8">
        <v>31</v>
      </c>
      <c r="T1149" s="8">
        <f t="shared" si="117"/>
        <v>1166</v>
      </c>
      <c r="U1149" s="8">
        <v>4</v>
      </c>
      <c r="V1149" s="8">
        <v>3</v>
      </c>
      <c r="W1149" s="8">
        <v>4</v>
      </c>
      <c r="X1149" s="8">
        <v>6</v>
      </c>
      <c r="Y1149" s="8">
        <v>0</v>
      </c>
      <c r="Z1149" s="8">
        <v>12</v>
      </c>
      <c r="AA1149" s="8">
        <v>180</v>
      </c>
      <c r="AB1149" s="9">
        <f t="shared" si="118"/>
        <v>4.8333333333333339</v>
      </c>
      <c r="AC1149" s="10">
        <f t="shared" si="115"/>
        <v>241.2413793103448</v>
      </c>
      <c r="AD1149" s="8" t="s">
        <v>109</v>
      </c>
      <c r="AE1149" s="11">
        <v>4990</v>
      </c>
      <c r="AF1149" s="11">
        <f t="shared" si="116"/>
        <v>5818340</v>
      </c>
      <c r="AG1149" s="12" t="s">
        <v>73</v>
      </c>
      <c r="AH1149" s="8" t="s">
        <v>74</v>
      </c>
    </row>
    <row r="1150" spans="1:34">
      <c r="A1150" s="8" t="s">
        <v>1633</v>
      </c>
      <c r="B1150" s="16" t="s">
        <v>1625</v>
      </c>
      <c r="C1150" s="8" t="s">
        <v>533</v>
      </c>
      <c r="D1150" s="8" t="s">
        <v>1618</v>
      </c>
      <c r="E1150" s="8" t="str">
        <f t="shared" si="114"/>
        <v>NEGRO/GRIS MELANGE</v>
      </c>
      <c r="G1150" s="8" t="s">
        <v>2863</v>
      </c>
      <c r="H1150" s="8" t="str">
        <f>VLOOKUP(A1150,[1]BBDD!$B$1:$J$3274,9,FALSE)</f>
        <v>H</v>
      </c>
      <c r="I1150" s="8" t="s">
        <v>2863</v>
      </c>
      <c r="J1150" s="8" t="s">
        <v>1634</v>
      </c>
      <c r="L1150" s="8" t="s">
        <v>566</v>
      </c>
      <c r="N1150" s="8" t="s">
        <v>1635</v>
      </c>
      <c r="O1150" s="8" t="s">
        <v>1635</v>
      </c>
      <c r="Q1150" s="8" t="s">
        <v>45</v>
      </c>
      <c r="R1150" s="8">
        <v>566</v>
      </c>
      <c r="S1150" s="8">
        <v>16</v>
      </c>
      <c r="T1150" s="8">
        <f t="shared" si="117"/>
        <v>582</v>
      </c>
      <c r="U1150" s="8">
        <v>0</v>
      </c>
      <c r="V1150" s="8">
        <v>0</v>
      </c>
      <c r="W1150" s="8">
        <v>0</v>
      </c>
      <c r="X1150" s="8">
        <v>1</v>
      </c>
      <c r="Y1150" s="8">
        <v>5</v>
      </c>
      <c r="Z1150" s="8">
        <v>11</v>
      </c>
      <c r="AA1150" s="8">
        <v>180</v>
      </c>
      <c r="AB1150" s="9">
        <f t="shared" si="118"/>
        <v>2.833333333333333</v>
      </c>
      <c r="AC1150" s="10">
        <f t="shared" si="115"/>
        <v>205.41176470588238</v>
      </c>
      <c r="AD1150" s="8" t="s">
        <v>109</v>
      </c>
      <c r="AE1150" s="11">
        <v>4990</v>
      </c>
      <c r="AF1150" s="11">
        <f t="shared" si="116"/>
        <v>2904180</v>
      </c>
      <c r="AG1150" s="12" t="s">
        <v>73</v>
      </c>
      <c r="AH1150" s="8" t="s">
        <v>74</v>
      </c>
    </row>
    <row r="1151" spans="1:34">
      <c r="A1151" s="8" t="s">
        <v>1636</v>
      </c>
      <c r="B1151" s="16" t="s">
        <v>1625</v>
      </c>
      <c r="C1151" s="8" t="s">
        <v>533</v>
      </c>
      <c r="D1151" s="8" t="s">
        <v>1618</v>
      </c>
      <c r="E1151" s="8" t="str">
        <f t="shared" si="114"/>
        <v>GRIS OSCURO/GRIS CLARO</v>
      </c>
      <c r="G1151" s="8" t="s">
        <v>2863</v>
      </c>
      <c r="H1151" s="8" t="str">
        <f>VLOOKUP(A1151,[1]BBDD!$B$1:$J$3274,9,FALSE)</f>
        <v>H</v>
      </c>
      <c r="I1151" s="8" t="s">
        <v>2863</v>
      </c>
      <c r="J1151" s="8" t="s">
        <v>1634</v>
      </c>
      <c r="L1151" s="8" t="s">
        <v>566</v>
      </c>
      <c r="N1151" s="8" t="s">
        <v>1637</v>
      </c>
      <c r="O1151" s="8" t="s">
        <v>1637</v>
      </c>
      <c r="Q1151" s="8" t="s">
        <v>45</v>
      </c>
      <c r="R1151" s="8">
        <v>577</v>
      </c>
      <c r="S1151" s="8">
        <v>11</v>
      </c>
      <c r="T1151" s="8">
        <f t="shared" si="117"/>
        <v>588</v>
      </c>
      <c r="U1151" s="8">
        <v>0</v>
      </c>
      <c r="V1151" s="8">
        <v>0</v>
      </c>
      <c r="W1151" s="8">
        <v>0</v>
      </c>
      <c r="X1151" s="8">
        <v>1</v>
      </c>
      <c r="Y1151" s="8">
        <v>2</v>
      </c>
      <c r="Z1151" s="8">
        <v>8</v>
      </c>
      <c r="AA1151" s="8">
        <v>180</v>
      </c>
      <c r="AB1151" s="9">
        <f t="shared" si="118"/>
        <v>1.8333333333333333</v>
      </c>
      <c r="AC1151" s="10">
        <f t="shared" si="115"/>
        <v>320.72727272727275</v>
      </c>
      <c r="AD1151" s="8" t="s">
        <v>109</v>
      </c>
      <c r="AE1151" s="11">
        <v>4990</v>
      </c>
      <c r="AF1151" s="11">
        <f t="shared" si="116"/>
        <v>2934120</v>
      </c>
      <c r="AG1151" s="12" t="s">
        <v>73</v>
      </c>
      <c r="AH1151" s="8" t="s">
        <v>74</v>
      </c>
    </row>
    <row r="1152" spans="1:34">
      <c r="A1152" s="8" t="s">
        <v>1638</v>
      </c>
      <c r="B1152" s="16" t="s">
        <v>1625</v>
      </c>
      <c r="C1152" s="8" t="s">
        <v>533</v>
      </c>
      <c r="D1152" s="8" t="s">
        <v>1618</v>
      </c>
      <c r="E1152" s="8" t="str">
        <f t="shared" si="114"/>
        <v>NEGRO/ROJO</v>
      </c>
      <c r="G1152" s="8" t="s">
        <v>2863</v>
      </c>
      <c r="H1152" s="8" t="str">
        <f>VLOOKUP(A1152,[1]BBDD!$B$1:$J$3274,9,FALSE)</f>
        <v>H</v>
      </c>
      <c r="I1152" s="8" t="s">
        <v>2863</v>
      </c>
      <c r="J1152" s="8" t="s">
        <v>1639</v>
      </c>
      <c r="L1152" s="8" t="s">
        <v>566</v>
      </c>
      <c r="N1152" s="8" t="s">
        <v>1640</v>
      </c>
      <c r="O1152" s="8" t="s">
        <v>1640</v>
      </c>
      <c r="Q1152" s="8" t="s">
        <v>45</v>
      </c>
      <c r="R1152" s="8">
        <v>274</v>
      </c>
      <c r="S1152" s="8">
        <v>16</v>
      </c>
      <c r="T1152" s="8">
        <f t="shared" si="117"/>
        <v>290</v>
      </c>
      <c r="U1152" s="8">
        <v>0</v>
      </c>
      <c r="V1152" s="8">
        <v>0</v>
      </c>
      <c r="W1152" s="8">
        <v>0</v>
      </c>
      <c r="X1152" s="8">
        <v>1</v>
      </c>
      <c r="Y1152" s="8">
        <v>0</v>
      </c>
      <c r="Z1152" s="8">
        <v>10</v>
      </c>
      <c r="AA1152" s="8">
        <v>180</v>
      </c>
      <c r="AB1152" s="9">
        <f t="shared" si="118"/>
        <v>1.8333333333333333</v>
      </c>
      <c r="AC1152" s="10">
        <f t="shared" si="115"/>
        <v>158.18181818181819</v>
      </c>
      <c r="AD1152" s="8" t="s">
        <v>109</v>
      </c>
      <c r="AE1152" s="11">
        <v>4990</v>
      </c>
      <c r="AF1152" s="11">
        <f t="shared" si="116"/>
        <v>1447100</v>
      </c>
      <c r="AG1152" s="12" t="s">
        <v>73</v>
      </c>
      <c r="AH1152" s="8" t="s">
        <v>74</v>
      </c>
    </row>
    <row r="1153" spans="1:34">
      <c r="A1153" s="8" t="s">
        <v>1641</v>
      </c>
      <c r="B1153" s="16" t="s">
        <v>1625</v>
      </c>
      <c r="C1153" s="8" t="s">
        <v>533</v>
      </c>
      <c r="D1153" s="8" t="s">
        <v>1618</v>
      </c>
      <c r="E1153" s="8" t="str">
        <f t="shared" si="114"/>
        <v>CRUDO/CELESTE</v>
      </c>
      <c r="G1153" s="8" t="s">
        <v>2863</v>
      </c>
      <c r="H1153" s="8" t="str">
        <f>VLOOKUP(A1153,[1]BBDD!$B$1:$J$3274,9,FALSE)</f>
        <v>H</v>
      </c>
      <c r="I1153" s="8" t="s">
        <v>2863</v>
      </c>
      <c r="J1153" s="8" t="s">
        <v>1639</v>
      </c>
      <c r="L1153" s="8" t="s">
        <v>566</v>
      </c>
      <c r="N1153" s="8" t="s">
        <v>1642</v>
      </c>
      <c r="O1153" s="8" t="s">
        <v>1642</v>
      </c>
      <c r="Q1153" s="8" t="s">
        <v>45</v>
      </c>
      <c r="R1153" s="8">
        <v>264</v>
      </c>
      <c r="S1153" s="8">
        <v>22</v>
      </c>
      <c r="T1153" s="8">
        <f t="shared" si="117"/>
        <v>286</v>
      </c>
      <c r="U1153" s="8">
        <v>0</v>
      </c>
      <c r="V1153" s="8">
        <v>0</v>
      </c>
      <c r="W1153" s="8">
        <v>0</v>
      </c>
      <c r="X1153" s="8">
        <v>0</v>
      </c>
      <c r="Y1153" s="8">
        <v>1</v>
      </c>
      <c r="Z1153" s="8">
        <v>16</v>
      </c>
      <c r="AA1153" s="8">
        <v>180</v>
      </c>
      <c r="AB1153" s="9">
        <f t="shared" si="118"/>
        <v>2.833333333333333</v>
      </c>
      <c r="AC1153" s="10">
        <f t="shared" si="115"/>
        <v>100.94117647058825</v>
      </c>
      <c r="AD1153" s="8" t="s">
        <v>109</v>
      </c>
      <c r="AE1153" s="11">
        <v>4990</v>
      </c>
      <c r="AF1153" s="11">
        <f t="shared" si="116"/>
        <v>1427140</v>
      </c>
      <c r="AG1153" s="12" t="s">
        <v>73</v>
      </c>
      <c r="AH1153" s="8" t="s">
        <v>74</v>
      </c>
    </row>
    <row r="1154" spans="1:34">
      <c r="A1154" s="8" t="s">
        <v>1643</v>
      </c>
      <c r="B1154" s="16" t="s">
        <v>1625</v>
      </c>
      <c r="C1154" s="8" t="s">
        <v>533</v>
      </c>
      <c r="D1154" s="8" t="s">
        <v>1618</v>
      </c>
      <c r="E1154" s="8" t="str">
        <f t="shared" si="114"/>
        <v>GRIS OSCURO/GRIS CLARO</v>
      </c>
      <c r="G1154" s="8" t="s">
        <v>2863</v>
      </c>
      <c r="H1154" s="8" t="str">
        <f>VLOOKUP(A1154,[1]BBDD!$B$1:$J$3274,9,FALSE)</f>
        <v>H</v>
      </c>
      <c r="I1154" s="8" t="s">
        <v>2863</v>
      </c>
      <c r="J1154" s="8" t="s">
        <v>1644</v>
      </c>
      <c r="L1154" s="8" t="s">
        <v>566</v>
      </c>
      <c r="N1154" s="8" t="s">
        <v>1637</v>
      </c>
      <c r="O1154" s="8" t="s">
        <v>1637</v>
      </c>
      <c r="Q1154" s="8" t="s">
        <v>45</v>
      </c>
      <c r="R1154" s="8">
        <v>562</v>
      </c>
      <c r="S1154" s="8">
        <v>19</v>
      </c>
      <c r="T1154" s="8">
        <f t="shared" si="117"/>
        <v>581</v>
      </c>
      <c r="U1154" s="8">
        <v>0</v>
      </c>
      <c r="V1154" s="8">
        <v>0</v>
      </c>
      <c r="W1154" s="8">
        <v>0</v>
      </c>
      <c r="X1154" s="8">
        <v>0</v>
      </c>
      <c r="Y1154" s="8">
        <v>3</v>
      </c>
      <c r="Z1154" s="8">
        <v>15</v>
      </c>
      <c r="AA1154" s="8">
        <v>180</v>
      </c>
      <c r="AB1154" s="9">
        <f t="shared" si="118"/>
        <v>3</v>
      </c>
      <c r="AC1154" s="10">
        <f t="shared" si="115"/>
        <v>193.66666666666666</v>
      </c>
      <c r="AD1154" s="8" t="s">
        <v>109</v>
      </c>
      <c r="AE1154" s="11">
        <v>4990</v>
      </c>
      <c r="AF1154" s="11">
        <f t="shared" si="116"/>
        <v>2899190</v>
      </c>
      <c r="AG1154" s="12" t="s">
        <v>73</v>
      </c>
      <c r="AH1154" s="8" t="s">
        <v>74</v>
      </c>
    </row>
    <row r="1155" spans="1:34">
      <c r="A1155" s="8" t="s">
        <v>1645</v>
      </c>
      <c r="B1155" s="16" t="s">
        <v>1625</v>
      </c>
      <c r="C1155" s="8" t="s">
        <v>533</v>
      </c>
      <c r="D1155" s="8" t="s">
        <v>1618</v>
      </c>
      <c r="E1155" s="8" t="str">
        <f t="shared" ref="E1155:E1218" si="119">TRIM(N1155)</f>
        <v>GRIS CLARO/GRIS OSCURO</v>
      </c>
      <c r="G1155" s="8" t="s">
        <v>2863</v>
      </c>
      <c r="H1155" s="8" t="str">
        <f>VLOOKUP(A1155,[1]BBDD!$B$1:$J$3274,9,FALSE)</f>
        <v>H</v>
      </c>
      <c r="I1155" s="8" t="s">
        <v>2863</v>
      </c>
      <c r="J1155" s="8" t="s">
        <v>1644</v>
      </c>
      <c r="L1155" s="8" t="s">
        <v>566</v>
      </c>
      <c r="N1155" s="8" t="s">
        <v>1646</v>
      </c>
      <c r="O1155" s="8" t="s">
        <v>1646</v>
      </c>
      <c r="Q1155" s="8" t="s">
        <v>45</v>
      </c>
      <c r="R1155" s="8">
        <v>575</v>
      </c>
      <c r="S1155" s="8">
        <v>13</v>
      </c>
      <c r="T1155" s="8">
        <f t="shared" si="117"/>
        <v>588</v>
      </c>
      <c r="U1155" s="8">
        <v>0</v>
      </c>
      <c r="V1155" s="8">
        <v>0</v>
      </c>
      <c r="W1155" s="8">
        <v>0</v>
      </c>
      <c r="X1155" s="8">
        <v>0</v>
      </c>
      <c r="Y1155" s="8">
        <v>1</v>
      </c>
      <c r="Z1155" s="8">
        <v>11</v>
      </c>
      <c r="AA1155" s="8">
        <v>180</v>
      </c>
      <c r="AB1155" s="9">
        <f t="shared" si="118"/>
        <v>2</v>
      </c>
      <c r="AC1155" s="10">
        <f t="shared" ref="AC1155:AC1218" si="120">IFERROR(T1155/AB1155,"sin venta")</f>
        <v>294</v>
      </c>
      <c r="AD1155" s="8" t="s">
        <v>109</v>
      </c>
      <c r="AE1155" s="11">
        <v>4990</v>
      </c>
      <c r="AF1155" s="11">
        <f t="shared" ref="AF1155:AF1218" si="121">IFERROR(AE1155*T1155,0)</f>
        <v>2934120</v>
      </c>
      <c r="AG1155" s="12" t="s">
        <v>73</v>
      </c>
      <c r="AH1155" s="8" t="s">
        <v>74</v>
      </c>
    </row>
    <row r="1156" spans="1:34">
      <c r="A1156" s="8" t="s">
        <v>1647</v>
      </c>
      <c r="B1156" s="16" t="s">
        <v>1648</v>
      </c>
      <c r="C1156" s="8" t="s">
        <v>533</v>
      </c>
      <c r="D1156" s="8" t="s">
        <v>1618</v>
      </c>
      <c r="E1156" s="8" t="str">
        <f t="shared" si="119"/>
        <v>AZUL MARINO</v>
      </c>
      <c r="G1156" s="8" t="s">
        <v>2863</v>
      </c>
      <c r="H1156" s="8" t="str">
        <f>VLOOKUP(A1156,[1]BBDD!$B$1:$J$3274,9,FALSE)</f>
        <v>H</v>
      </c>
      <c r="I1156" s="8" t="s">
        <v>2863</v>
      </c>
      <c r="J1156" s="8" t="s">
        <v>1649</v>
      </c>
      <c r="L1156" s="8" t="s">
        <v>1650</v>
      </c>
      <c r="N1156" s="8" t="s">
        <v>1003</v>
      </c>
      <c r="O1156" s="8" t="s">
        <v>1003</v>
      </c>
      <c r="Q1156" s="8" t="s">
        <v>45</v>
      </c>
      <c r="R1156" s="8">
        <v>52</v>
      </c>
      <c r="S1156" s="8">
        <v>27</v>
      </c>
      <c r="T1156" s="8">
        <f t="shared" si="117"/>
        <v>79</v>
      </c>
      <c r="U1156" s="8">
        <v>3</v>
      </c>
      <c r="V1156" s="8">
        <v>6</v>
      </c>
      <c r="W1156" s="8">
        <v>3</v>
      </c>
      <c r="X1156" s="8">
        <v>3</v>
      </c>
      <c r="Y1156" s="8">
        <v>10</v>
      </c>
      <c r="Z1156" s="8">
        <v>11</v>
      </c>
      <c r="AA1156" s="8">
        <v>180</v>
      </c>
      <c r="AB1156" s="9">
        <f t="shared" si="118"/>
        <v>6</v>
      </c>
      <c r="AC1156" s="10">
        <f t="shared" si="120"/>
        <v>13.166666666666666</v>
      </c>
      <c r="AD1156" s="8" t="s">
        <v>109</v>
      </c>
      <c r="AE1156" s="11">
        <v>4990</v>
      </c>
      <c r="AF1156" s="11">
        <f t="shared" si="121"/>
        <v>394210</v>
      </c>
      <c r="AG1156" s="12" t="s">
        <v>64</v>
      </c>
      <c r="AH1156" s="8" t="s">
        <v>74</v>
      </c>
    </row>
    <row r="1157" spans="1:34">
      <c r="A1157" s="8" t="s">
        <v>1651</v>
      </c>
      <c r="B1157" s="16" t="s">
        <v>1648</v>
      </c>
      <c r="C1157" s="8" t="s">
        <v>533</v>
      </c>
      <c r="D1157" s="8" t="s">
        <v>1618</v>
      </c>
      <c r="E1157" s="8" t="str">
        <f t="shared" si="119"/>
        <v>CHOCOLATE</v>
      </c>
      <c r="G1157" s="8" t="s">
        <v>2863</v>
      </c>
      <c r="H1157" s="8" t="str">
        <f>VLOOKUP(A1157,[1]BBDD!$B$1:$J$3274,9,FALSE)</f>
        <v>H</v>
      </c>
      <c r="I1157" s="8" t="s">
        <v>2863</v>
      </c>
      <c r="J1157" s="8" t="s">
        <v>1649</v>
      </c>
      <c r="L1157" s="8" t="s">
        <v>1650</v>
      </c>
      <c r="N1157" s="8" t="s">
        <v>252</v>
      </c>
      <c r="O1157" s="8" t="s">
        <v>252</v>
      </c>
      <c r="Q1157" s="8" t="s">
        <v>45</v>
      </c>
      <c r="R1157" s="8">
        <v>66</v>
      </c>
      <c r="S1157" s="8">
        <v>25</v>
      </c>
      <c r="T1157" s="8">
        <f t="shared" si="117"/>
        <v>91</v>
      </c>
      <c r="U1157" s="8">
        <v>1</v>
      </c>
      <c r="V1157" s="8">
        <v>3</v>
      </c>
      <c r="W1157" s="8">
        <v>2</v>
      </c>
      <c r="X1157" s="8">
        <v>5</v>
      </c>
      <c r="Y1157" s="8">
        <v>6</v>
      </c>
      <c r="Z1157" s="8">
        <v>5</v>
      </c>
      <c r="AA1157" s="8">
        <v>180</v>
      </c>
      <c r="AB1157" s="9">
        <f t="shared" si="118"/>
        <v>3.6666666666666665</v>
      </c>
      <c r="AC1157" s="10">
        <f t="shared" si="120"/>
        <v>24.81818181818182</v>
      </c>
      <c r="AD1157" s="8" t="s">
        <v>109</v>
      </c>
      <c r="AE1157" s="11">
        <v>4990</v>
      </c>
      <c r="AF1157" s="11">
        <f t="shared" si="121"/>
        <v>454090</v>
      </c>
      <c r="AG1157" s="12" t="s">
        <v>73</v>
      </c>
      <c r="AH1157" s="8" t="s">
        <v>74</v>
      </c>
    </row>
    <row r="1158" spans="1:34">
      <c r="A1158" s="8" t="s">
        <v>1652</v>
      </c>
      <c r="B1158" s="16" t="s">
        <v>1648</v>
      </c>
      <c r="C1158" s="8" t="s">
        <v>533</v>
      </c>
      <c r="D1158" s="8" t="s">
        <v>1618</v>
      </c>
      <c r="E1158" s="8" t="str">
        <f t="shared" si="119"/>
        <v>NEGRO</v>
      </c>
      <c r="G1158" s="8" t="s">
        <v>2863</v>
      </c>
      <c r="H1158" s="8" t="str">
        <f>VLOOKUP(A1158,[1]BBDD!$B$1:$J$3274,9,FALSE)</f>
        <v>H</v>
      </c>
      <c r="I1158" s="8" t="s">
        <v>2863</v>
      </c>
      <c r="J1158" s="8" t="s">
        <v>1649</v>
      </c>
      <c r="L1158" s="8" t="s">
        <v>1650</v>
      </c>
      <c r="N1158" s="8" t="s">
        <v>44</v>
      </c>
      <c r="O1158" s="8" t="s">
        <v>44</v>
      </c>
      <c r="Q1158" s="8" t="s">
        <v>45</v>
      </c>
      <c r="R1158" s="8">
        <v>55</v>
      </c>
      <c r="S1158" s="8">
        <v>23</v>
      </c>
      <c r="T1158" s="8">
        <f t="shared" si="117"/>
        <v>78</v>
      </c>
      <c r="U1158" s="8">
        <v>5</v>
      </c>
      <c r="V1158" s="8">
        <v>8</v>
      </c>
      <c r="W1158" s="8">
        <v>5</v>
      </c>
      <c r="X1158" s="8">
        <v>8</v>
      </c>
      <c r="Y1158" s="8">
        <v>7</v>
      </c>
      <c r="Z1158" s="8">
        <v>5</v>
      </c>
      <c r="AA1158" s="8">
        <v>180</v>
      </c>
      <c r="AB1158" s="9">
        <f t="shared" si="118"/>
        <v>6.333333333333333</v>
      </c>
      <c r="AC1158" s="10">
        <f t="shared" si="120"/>
        <v>12.315789473684211</v>
      </c>
      <c r="AD1158" s="8" t="s">
        <v>109</v>
      </c>
      <c r="AE1158" s="11">
        <v>4990</v>
      </c>
      <c r="AF1158" s="11">
        <f t="shared" si="121"/>
        <v>389220</v>
      </c>
      <c r="AG1158" s="12" t="s">
        <v>51</v>
      </c>
      <c r="AH1158" s="8" t="s">
        <v>74</v>
      </c>
    </row>
    <row r="1159" spans="1:34">
      <c r="A1159" s="8" t="s">
        <v>1653</v>
      </c>
      <c r="B1159" s="16" t="s">
        <v>1648</v>
      </c>
      <c r="C1159" s="8" t="s">
        <v>533</v>
      </c>
      <c r="D1159" s="8" t="s">
        <v>1618</v>
      </c>
      <c r="E1159" s="8" t="str">
        <f t="shared" si="119"/>
        <v>NEGRO TALLE 1</v>
      </c>
      <c r="G1159" s="8" t="s">
        <v>2863</v>
      </c>
      <c r="H1159" s="8" t="str">
        <f>VLOOKUP(A1159,[1]BBDD!$B$1:$J$3274,9,FALSE)</f>
        <v>H</v>
      </c>
      <c r="I1159" s="8" t="s">
        <v>2863</v>
      </c>
      <c r="J1159" s="8" t="s">
        <v>1654</v>
      </c>
      <c r="K1159" s="20" t="s">
        <v>2885</v>
      </c>
      <c r="L1159" s="8" t="s">
        <v>566</v>
      </c>
      <c r="N1159" s="8" t="s">
        <v>1655</v>
      </c>
      <c r="O1159" s="20" t="s">
        <v>44</v>
      </c>
      <c r="P1159" s="18" t="s">
        <v>2883</v>
      </c>
      <c r="Q1159" s="8" t="s">
        <v>45</v>
      </c>
      <c r="R1159" s="8">
        <v>152</v>
      </c>
      <c r="S1159" s="8">
        <v>17</v>
      </c>
      <c r="T1159" s="8">
        <f t="shared" si="117"/>
        <v>169</v>
      </c>
      <c r="U1159" s="8">
        <v>1</v>
      </c>
      <c r="V1159" s="8">
        <v>1</v>
      </c>
      <c r="W1159" s="8">
        <v>0</v>
      </c>
      <c r="X1159" s="8">
        <v>4</v>
      </c>
      <c r="Y1159" s="8">
        <v>0</v>
      </c>
      <c r="Z1159" s="8">
        <v>4</v>
      </c>
      <c r="AA1159" s="8">
        <v>180</v>
      </c>
      <c r="AB1159" s="9">
        <f t="shared" si="118"/>
        <v>1.6666666666666665</v>
      </c>
      <c r="AC1159" s="10">
        <f t="shared" si="120"/>
        <v>101.4</v>
      </c>
      <c r="AD1159" s="8" t="s">
        <v>109</v>
      </c>
      <c r="AE1159" s="11">
        <v>4990</v>
      </c>
      <c r="AF1159" s="11">
        <f t="shared" si="121"/>
        <v>843310</v>
      </c>
      <c r="AG1159" s="12" t="s">
        <v>73</v>
      </c>
      <c r="AH1159" s="8" t="s">
        <v>74</v>
      </c>
    </row>
    <row r="1160" spans="1:34">
      <c r="A1160" s="8" t="s">
        <v>1656</v>
      </c>
      <c r="B1160" s="16" t="s">
        <v>1648</v>
      </c>
      <c r="C1160" s="8" t="s">
        <v>533</v>
      </c>
      <c r="D1160" s="8" t="s">
        <v>1618</v>
      </c>
      <c r="E1160" s="8" t="str">
        <f t="shared" si="119"/>
        <v>NEGRO TALLE 2</v>
      </c>
      <c r="G1160" s="8" t="s">
        <v>2863</v>
      </c>
      <c r="H1160" s="8" t="str">
        <f>VLOOKUP(A1160,[1]BBDD!$B$1:$J$3274,9,FALSE)</f>
        <v>H</v>
      </c>
      <c r="I1160" s="8" t="s">
        <v>2863</v>
      </c>
      <c r="J1160" s="8" t="s">
        <v>1657</v>
      </c>
      <c r="K1160" s="20" t="s">
        <v>2885</v>
      </c>
      <c r="L1160" s="8" t="s">
        <v>566</v>
      </c>
      <c r="N1160" s="8" t="s">
        <v>1658</v>
      </c>
      <c r="O1160" s="20" t="s">
        <v>44</v>
      </c>
      <c r="P1160" s="18" t="s">
        <v>2884</v>
      </c>
      <c r="Q1160" s="8" t="s">
        <v>45</v>
      </c>
      <c r="R1160" s="8">
        <v>163</v>
      </c>
      <c r="S1160" s="8">
        <v>16</v>
      </c>
      <c r="T1160" s="8">
        <f t="shared" si="117"/>
        <v>179</v>
      </c>
      <c r="U1160" s="8">
        <v>0</v>
      </c>
      <c r="V1160" s="8">
        <v>0</v>
      </c>
      <c r="W1160" s="8">
        <v>4</v>
      </c>
      <c r="X1160" s="8">
        <v>0</v>
      </c>
      <c r="Y1160" s="8">
        <v>4</v>
      </c>
      <c r="Z1160" s="8">
        <v>4</v>
      </c>
      <c r="AA1160" s="8">
        <v>180</v>
      </c>
      <c r="AB1160" s="9">
        <f t="shared" si="118"/>
        <v>2</v>
      </c>
      <c r="AC1160" s="10">
        <f t="shared" si="120"/>
        <v>89.5</v>
      </c>
      <c r="AD1160" s="8" t="s">
        <v>109</v>
      </c>
      <c r="AE1160" s="11">
        <v>4990</v>
      </c>
      <c r="AF1160" s="11">
        <f t="shared" si="121"/>
        <v>893210</v>
      </c>
      <c r="AG1160" s="12" t="s">
        <v>73</v>
      </c>
      <c r="AH1160" s="8" t="s">
        <v>74</v>
      </c>
    </row>
    <row r="1161" spans="1:34">
      <c r="A1161" s="8" t="s">
        <v>1659</v>
      </c>
      <c r="B1161" s="16" t="s">
        <v>481</v>
      </c>
      <c r="C1161" s="8" t="s">
        <v>476</v>
      </c>
      <c r="D1161" s="8" t="s">
        <v>1660</v>
      </c>
      <c r="E1161" s="8" t="str">
        <f t="shared" si="119"/>
        <v>NEGRO</v>
      </c>
      <c r="G1161" s="8" t="s">
        <v>2863</v>
      </c>
      <c r="H1161" s="8" t="str">
        <f>VLOOKUP(A1161,[1]BBDD!$B$1:$J$3274,9,FALSE)</f>
        <v>H</v>
      </c>
      <c r="I1161" s="8" t="s">
        <v>2863</v>
      </c>
      <c r="J1161" s="8" t="s">
        <v>1661</v>
      </c>
      <c r="L1161" s="8" t="s">
        <v>479</v>
      </c>
      <c r="N1161" s="8" t="s">
        <v>44</v>
      </c>
      <c r="O1161" s="8" t="s">
        <v>44</v>
      </c>
      <c r="P1161" s="18" t="str">
        <f t="shared" ref="P1161:P1177" si="122">RIGHT(A1161,2)</f>
        <v>39</v>
      </c>
      <c r="Q1161" s="8" t="s">
        <v>45</v>
      </c>
      <c r="R1161" s="8">
        <v>0</v>
      </c>
      <c r="S1161" s="8">
        <v>1</v>
      </c>
      <c r="T1161" s="8">
        <f t="shared" si="117"/>
        <v>1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180</v>
      </c>
      <c r="AB1161" s="9">
        <f t="shared" si="118"/>
        <v>0</v>
      </c>
      <c r="AC1161" s="10" t="str">
        <f t="shared" si="120"/>
        <v>sin venta</v>
      </c>
      <c r="AD1161" s="8" t="s">
        <v>46</v>
      </c>
      <c r="AE1161" s="11">
        <v>69990</v>
      </c>
      <c r="AF1161" s="11">
        <f t="shared" si="121"/>
        <v>69990</v>
      </c>
      <c r="AG1161" s="12" t="s">
        <v>73</v>
      </c>
      <c r="AH1161" s="8" t="s">
        <v>35</v>
      </c>
    </row>
    <row r="1162" spans="1:34">
      <c r="A1162" s="8" t="s">
        <v>1662</v>
      </c>
      <c r="B1162" s="16" t="s">
        <v>481</v>
      </c>
      <c r="C1162" s="8" t="s">
        <v>476</v>
      </c>
      <c r="D1162" s="8" t="s">
        <v>1660</v>
      </c>
      <c r="E1162" s="8" t="str">
        <f t="shared" si="119"/>
        <v>NEGRO</v>
      </c>
      <c r="G1162" s="8" t="s">
        <v>2863</v>
      </c>
      <c r="H1162" s="8" t="str">
        <f>VLOOKUP(A1162,[1]BBDD!$B$1:$J$3274,9,FALSE)</f>
        <v>H</v>
      </c>
      <c r="I1162" s="8" t="s">
        <v>2863</v>
      </c>
      <c r="J1162" s="8" t="s">
        <v>1661</v>
      </c>
      <c r="L1162" s="8" t="s">
        <v>479</v>
      </c>
      <c r="N1162" s="8" t="s">
        <v>44</v>
      </c>
      <c r="O1162" s="8" t="s">
        <v>44</v>
      </c>
      <c r="P1162" s="18" t="str">
        <f t="shared" si="122"/>
        <v>40</v>
      </c>
      <c r="Q1162" s="8" t="s">
        <v>45</v>
      </c>
      <c r="R1162" s="8">
        <v>0</v>
      </c>
      <c r="S1162" s="8">
        <v>2</v>
      </c>
      <c r="T1162" s="8">
        <f t="shared" si="117"/>
        <v>2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180</v>
      </c>
      <c r="AB1162" s="9">
        <f t="shared" si="118"/>
        <v>0</v>
      </c>
      <c r="AC1162" s="10" t="str">
        <f t="shared" si="120"/>
        <v>sin venta</v>
      </c>
      <c r="AD1162" s="8" t="s">
        <v>46</v>
      </c>
      <c r="AE1162" s="11">
        <v>69990</v>
      </c>
      <c r="AF1162" s="11">
        <f t="shared" si="121"/>
        <v>139980</v>
      </c>
      <c r="AG1162" s="12" t="s">
        <v>73</v>
      </c>
      <c r="AH1162" s="8" t="s">
        <v>35</v>
      </c>
    </row>
    <row r="1163" spans="1:34">
      <c r="A1163" s="8" t="s">
        <v>1663</v>
      </c>
      <c r="B1163" s="16" t="s">
        <v>481</v>
      </c>
      <c r="C1163" s="8" t="s">
        <v>476</v>
      </c>
      <c r="D1163" s="8" t="s">
        <v>1660</v>
      </c>
      <c r="E1163" s="8" t="str">
        <f t="shared" si="119"/>
        <v>NEGRO</v>
      </c>
      <c r="G1163" s="8" t="s">
        <v>2863</v>
      </c>
      <c r="H1163" s="8" t="str">
        <f>VLOOKUP(A1163,[1]BBDD!$B$1:$J$3274,9,FALSE)</f>
        <v>H</v>
      </c>
      <c r="I1163" s="8" t="s">
        <v>2863</v>
      </c>
      <c r="J1163" s="8" t="s">
        <v>1661</v>
      </c>
      <c r="L1163" s="8" t="s">
        <v>479</v>
      </c>
      <c r="N1163" s="8" t="s">
        <v>44</v>
      </c>
      <c r="O1163" s="8" t="s">
        <v>44</v>
      </c>
      <c r="P1163" s="18" t="str">
        <f t="shared" si="122"/>
        <v>42</v>
      </c>
      <c r="Q1163" s="8" t="s">
        <v>45</v>
      </c>
      <c r="R1163" s="8">
        <v>0</v>
      </c>
      <c r="S1163" s="8">
        <v>1</v>
      </c>
      <c r="T1163" s="8">
        <f t="shared" si="117"/>
        <v>1</v>
      </c>
      <c r="U1163" s="8">
        <v>0</v>
      </c>
      <c r="V1163" s="8">
        <v>0</v>
      </c>
      <c r="W1163" s="8">
        <v>0</v>
      </c>
      <c r="X1163" s="8">
        <v>1</v>
      </c>
      <c r="Y1163" s="8">
        <v>0</v>
      </c>
      <c r="Z1163" s="8">
        <v>0</v>
      </c>
      <c r="AA1163" s="8">
        <v>180</v>
      </c>
      <c r="AB1163" s="9">
        <f t="shared" si="118"/>
        <v>0.16666666666666669</v>
      </c>
      <c r="AC1163" s="10">
        <f t="shared" si="120"/>
        <v>5.9999999999999991</v>
      </c>
      <c r="AD1163" s="8" t="s">
        <v>46</v>
      </c>
      <c r="AE1163" s="11">
        <v>69990</v>
      </c>
      <c r="AF1163" s="11">
        <f t="shared" si="121"/>
        <v>69990</v>
      </c>
      <c r="AG1163" s="12" t="s">
        <v>34</v>
      </c>
      <c r="AH1163" s="8" t="s">
        <v>35</v>
      </c>
    </row>
    <row r="1164" spans="1:34">
      <c r="A1164" s="8" t="s">
        <v>1664</v>
      </c>
      <c r="B1164" s="16" t="s">
        <v>481</v>
      </c>
      <c r="C1164" s="8" t="s">
        <v>476</v>
      </c>
      <c r="D1164" s="8" t="s">
        <v>1660</v>
      </c>
      <c r="E1164" s="8" t="str">
        <f t="shared" si="119"/>
        <v>NEGRO</v>
      </c>
      <c r="G1164" s="8" t="s">
        <v>2863</v>
      </c>
      <c r="H1164" s="8" t="str">
        <f>VLOOKUP(A1164,[1]BBDD!$B$1:$J$3274,9,FALSE)</f>
        <v>H</v>
      </c>
      <c r="I1164" s="8" t="s">
        <v>2863</v>
      </c>
      <c r="J1164" s="8" t="s">
        <v>1661</v>
      </c>
      <c r="L1164" s="8" t="s">
        <v>479</v>
      </c>
      <c r="N1164" s="8" t="s">
        <v>44</v>
      </c>
      <c r="O1164" s="8" t="s">
        <v>44</v>
      </c>
      <c r="P1164" s="18" t="str">
        <f t="shared" si="122"/>
        <v>43</v>
      </c>
      <c r="Q1164" s="8" t="s">
        <v>45</v>
      </c>
      <c r="R1164" s="8">
        <v>0</v>
      </c>
      <c r="S1164" s="8">
        <v>2</v>
      </c>
      <c r="T1164" s="8">
        <f t="shared" si="117"/>
        <v>2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180</v>
      </c>
      <c r="AB1164" s="9">
        <f t="shared" si="118"/>
        <v>0</v>
      </c>
      <c r="AC1164" s="10" t="str">
        <f t="shared" si="120"/>
        <v>sin venta</v>
      </c>
      <c r="AD1164" s="8" t="s">
        <v>46</v>
      </c>
      <c r="AE1164" s="11">
        <v>69990</v>
      </c>
      <c r="AF1164" s="11">
        <f t="shared" si="121"/>
        <v>139980</v>
      </c>
      <c r="AG1164" s="12" t="s">
        <v>73</v>
      </c>
      <c r="AH1164" s="8" t="s">
        <v>35</v>
      </c>
    </row>
    <row r="1165" spans="1:34">
      <c r="A1165" s="8" t="s">
        <v>1665</v>
      </c>
      <c r="B1165" s="16" t="s">
        <v>481</v>
      </c>
      <c r="C1165" s="8" t="s">
        <v>476</v>
      </c>
      <c r="D1165" s="8" t="s">
        <v>1660</v>
      </c>
      <c r="E1165" s="8" t="str">
        <f t="shared" si="119"/>
        <v>NEGRO</v>
      </c>
      <c r="G1165" s="8" t="s">
        <v>2863</v>
      </c>
      <c r="H1165" s="8" t="str">
        <f>VLOOKUP(A1165,[1]BBDD!$B$1:$J$3274,9,FALSE)</f>
        <v>H</v>
      </c>
      <c r="I1165" s="8" t="s">
        <v>2863</v>
      </c>
      <c r="J1165" s="8" t="s">
        <v>1661</v>
      </c>
      <c r="L1165" s="8" t="s">
        <v>479</v>
      </c>
      <c r="N1165" s="8" t="s">
        <v>44</v>
      </c>
      <c r="O1165" s="8" t="s">
        <v>44</v>
      </c>
      <c r="P1165" s="18" t="str">
        <f t="shared" si="122"/>
        <v>44</v>
      </c>
      <c r="Q1165" s="8" t="s">
        <v>45</v>
      </c>
      <c r="R1165" s="8">
        <v>0</v>
      </c>
      <c r="S1165" s="8">
        <v>3</v>
      </c>
      <c r="T1165" s="8">
        <f t="shared" si="117"/>
        <v>3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180</v>
      </c>
      <c r="AB1165" s="9">
        <f t="shared" si="118"/>
        <v>0</v>
      </c>
      <c r="AC1165" s="10" t="str">
        <f t="shared" si="120"/>
        <v>sin venta</v>
      </c>
      <c r="AD1165" s="8" t="s">
        <v>46</v>
      </c>
      <c r="AE1165" s="11">
        <v>69990</v>
      </c>
      <c r="AF1165" s="11">
        <f t="shared" si="121"/>
        <v>209970</v>
      </c>
      <c r="AG1165" s="12" t="s">
        <v>73</v>
      </c>
      <c r="AH1165" s="8" t="s">
        <v>35</v>
      </c>
    </row>
    <row r="1166" spans="1:34">
      <c r="A1166" s="8" t="s">
        <v>1666</v>
      </c>
      <c r="B1166" s="16" t="s">
        <v>481</v>
      </c>
      <c r="C1166" s="8" t="s">
        <v>476</v>
      </c>
      <c r="D1166" s="8" t="s">
        <v>1660</v>
      </c>
      <c r="E1166" s="8" t="str">
        <f t="shared" si="119"/>
        <v>NEGRO</v>
      </c>
      <c r="G1166" s="8" t="s">
        <v>2863</v>
      </c>
      <c r="H1166" s="8" t="str">
        <f>VLOOKUP(A1166,[1]BBDD!$B$1:$J$3274,9,FALSE)</f>
        <v>H</v>
      </c>
      <c r="I1166" s="8" t="s">
        <v>2863</v>
      </c>
      <c r="J1166" s="8" t="s">
        <v>1661</v>
      </c>
      <c r="L1166" s="8" t="s">
        <v>479</v>
      </c>
      <c r="N1166" s="8" t="s">
        <v>44</v>
      </c>
      <c r="O1166" s="8" t="s">
        <v>44</v>
      </c>
      <c r="P1166" s="18" t="str">
        <f t="shared" si="122"/>
        <v>45</v>
      </c>
      <c r="Q1166" s="8" t="s">
        <v>45</v>
      </c>
      <c r="R1166" s="8">
        <v>0</v>
      </c>
      <c r="S1166" s="8">
        <v>2</v>
      </c>
      <c r="T1166" s="8">
        <f t="shared" si="117"/>
        <v>2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180</v>
      </c>
      <c r="AB1166" s="9">
        <f t="shared" si="118"/>
        <v>0</v>
      </c>
      <c r="AC1166" s="10" t="str">
        <f t="shared" si="120"/>
        <v>sin venta</v>
      </c>
      <c r="AD1166" s="8" t="s">
        <v>46</v>
      </c>
      <c r="AE1166" s="11">
        <v>69990</v>
      </c>
      <c r="AF1166" s="11">
        <f t="shared" si="121"/>
        <v>139980</v>
      </c>
      <c r="AG1166" s="12" t="s">
        <v>73</v>
      </c>
      <c r="AH1166" s="8" t="s">
        <v>35</v>
      </c>
    </row>
    <row r="1167" spans="1:34">
      <c r="A1167" s="8" t="s">
        <v>1667</v>
      </c>
      <c r="B1167" s="16" t="s">
        <v>481</v>
      </c>
      <c r="C1167" s="8" t="s">
        <v>476</v>
      </c>
      <c r="D1167" s="8" t="s">
        <v>1660</v>
      </c>
      <c r="E1167" s="8" t="str">
        <f t="shared" si="119"/>
        <v>TABACO</v>
      </c>
      <c r="G1167" s="8" t="s">
        <v>2863</v>
      </c>
      <c r="H1167" s="8" t="str">
        <f>VLOOKUP(A1167,[1]BBDD!$B$1:$J$3274,9,FALSE)</f>
        <v>H</v>
      </c>
      <c r="I1167" s="8" t="s">
        <v>2863</v>
      </c>
      <c r="J1167" s="8" t="s">
        <v>1661</v>
      </c>
      <c r="L1167" s="8" t="s">
        <v>479</v>
      </c>
      <c r="N1167" s="8" t="s">
        <v>67</v>
      </c>
      <c r="O1167" s="8" t="s">
        <v>67</v>
      </c>
      <c r="P1167" s="18" t="str">
        <f t="shared" si="122"/>
        <v>39</v>
      </c>
      <c r="Q1167" s="8" t="s">
        <v>45</v>
      </c>
      <c r="R1167" s="8">
        <v>0</v>
      </c>
      <c r="S1167" s="8">
        <v>2</v>
      </c>
      <c r="T1167" s="8">
        <f t="shared" si="117"/>
        <v>2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180</v>
      </c>
      <c r="AB1167" s="9">
        <f t="shared" si="118"/>
        <v>0</v>
      </c>
      <c r="AC1167" s="10" t="str">
        <f t="shared" si="120"/>
        <v>sin venta</v>
      </c>
      <c r="AD1167" s="8" t="s">
        <v>46</v>
      </c>
      <c r="AE1167" s="11">
        <v>69990</v>
      </c>
      <c r="AF1167" s="11">
        <f t="shared" si="121"/>
        <v>139980</v>
      </c>
      <c r="AG1167" s="12" t="s">
        <v>73</v>
      </c>
      <c r="AH1167" s="8" t="s">
        <v>35</v>
      </c>
    </row>
    <row r="1168" spans="1:34">
      <c r="A1168" s="8" t="s">
        <v>1668</v>
      </c>
      <c r="B1168" s="16" t="s">
        <v>481</v>
      </c>
      <c r="C1168" s="8" t="s">
        <v>476</v>
      </c>
      <c r="D1168" s="8" t="s">
        <v>1660</v>
      </c>
      <c r="E1168" s="8" t="str">
        <f t="shared" si="119"/>
        <v>TABACO</v>
      </c>
      <c r="G1168" s="8" t="s">
        <v>2863</v>
      </c>
      <c r="H1168" s="8" t="str">
        <f>VLOOKUP(A1168,[1]BBDD!$B$1:$J$3274,9,FALSE)</f>
        <v>H</v>
      </c>
      <c r="I1168" s="8" t="s">
        <v>2863</v>
      </c>
      <c r="J1168" s="8" t="s">
        <v>1661</v>
      </c>
      <c r="L1168" s="8" t="s">
        <v>479</v>
      </c>
      <c r="N1168" s="8" t="s">
        <v>67</v>
      </c>
      <c r="O1168" s="8" t="s">
        <v>67</v>
      </c>
      <c r="P1168" s="18" t="str">
        <f t="shared" si="122"/>
        <v>40</v>
      </c>
      <c r="Q1168" s="8" t="s">
        <v>45</v>
      </c>
      <c r="R1168" s="8">
        <v>0</v>
      </c>
      <c r="S1168" s="8">
        <v>1</v>
      </c>
      <c r="T1168" s="8">
        <f t="shared" si="117"/>
        <v>1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180</v>
      </c>
      <c r="AB1168" s="9">
        <f t="shared" si="118"/>
        <v>0</v>
      </c>
      <c r="AC1168" s="10" t="str">
        <f t="shared" si="120"/>
        <v>sin venta</v>
      </c>
      <c r="AD1168" s="8" t="s">
        <v>46</v>
      </c>
      <c r="AE1168" s="11">
        <v>69990</v>
      </c>
      <c r="AF1168" s="11">
        <f t="shared" si="121"/>
        <v>69990</v>
      </c>
      <c r="AG1168" s="12" t="s">
        <v>73</v>
      </c>
      <c r="AH1168" s="8" t="s">
        <v>35</v>
      </c>
    </row>
    <row r="1169" spans="1:34">
      <c r="A1169" s="8" t="s">
        <v>1669</v>
      </c>
      <c r="B1169" s="16" t="s">
        <v>481</v>
      </c>
      <c r="C1169" s="8" t="s">
        <v>476</v>
      </c>
      <c r="D1169" s="8" t="s">
        <v>1660</v>
      </c>
      <c r="E1169" s="8" t="str">
        <f t="shared" si="119"/>
        <v>TABACO</v>
      </c>
      <c r="G1169" s="8" t="s">
        <v>2863</v>
      </c>
      <c r="H1169" s="8" t="str">
        <f>VLOOKUP(A1169,[1]BBDD!$B$1:$J$3274,9,FALSE)</f>
        <v>H</v>
      </c>
      <c r="I1169" s="8" t="s">
        <v>2863</v>
      </c>
      <c r="J1169" s="8" t="s">
        <v>1661</v>
      </c>
      <c r="L1169" s="8" t="s">
        <v>479</v>
      </c>
      <c r="N1169" s="8" t="s">
        <v>67</v>
      </c>
      <c r="O1169" s="8" t="s">
        <v>67</v>
      </c>
      <c r="P1169" s="18" t="str">
        <f t="shared" si="122"/>
        <v>41</v>
      </c>
      <c r="Q1169" s="8" t="s">
        <v>45</v>
      </c>
      <c r="R1169" s="8">
        <v>0</v>
      </c>
      <c r="S1169" s="8">
        <v>2</v>
      </c>
      <c r="T1169" s="8">
        <f t="shared" si="117"/>
        <v>2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180</v>
      </c>
      <c r="AB1169" s="9">
        <f t="shared" si="118"/>
        <v>0</v>
      </c>
      <c r="AC1169" s="10" t="str">
        <f t="shared" si="120"/>
        <v>sin venta</v>
      </c>
      <c r="AD1169" s="8" t="s">
        <v>46</v>
      </c>
      <c r="AE1169" s="11">
        <v>69990</v>
      </c>
      <c r="AF1169" s="11">
        <f t="shared" si="121"/>
        <v>139980</v>
      </c>
      <c r="AG1169" s="12" t="s">
        <v>73</v>
      </c>
      <c r="AH1169" s="8" t="s">
        <v>35</v>
      </c>
    </row>
    <row r="1170" spans="1:34">
      <c r="A1170" s="8" t="s">
        <v>1670</v>
      </c>
      <c r="B1170" s="16" t="s">
        <v>481</v>
      </c>
      <c r="C1170" s="8" t="s">
        <v>476</v>
      </c>
      <c r="D1170" s="8" t="s">
        <v>1660</v>
      </c>
      <c r="E1170" s="8" t="str">
        <f t="shared" si="119"/>
        <v>TABACO</v>
      </c>
      <c r="G1170" s="8" t="s">
        <v>2863</v>
      </c>
      <c r="H1170" s="8" t="str">
        <f>VLOOKUP(A1170,[1]BBDD!$B$1:$J$3274,9,FALSE)</f>
        <v>H</v>
      </c>
      <c r="I1170" s="8" t="s">
        <v>2863</v>
      </c>
      <c r="J1170" s="8" t="s">
        <v>1661</v>
      </c>
      <c r="L1170" s="8" t="s">
        <v>479</v>
      </c>
      <c r="N1170" s="8" t="s">
        <v>67</v>
      </c>
      <c r="O1170" s="8" t="s">
        <v>67</v>
      </c>
      <c r="P1170" s="18" t="str">
        <f t="shared" si="122"/>
        <v>42</v>
      </c>
      <c r="Q1170" s="8" t="s">
        <v>45</v>
      </c>
      <c r="R1170" s="8">
        <v>0</v>
      </c>
      <c r="S1170" s="8">
        <v>2</v>
      </c>
      <c r="T1170" s="8">
        <f t="shared" si="117"/>
        <v>2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8">
        <v>180</v>
      </c>
      <c r="AB1170" s="9">
        <f t="shared" si="118"/>
        <v>0</v>
      </c>
      <c r="AC1170" s="10" t="str">
        <f t="shared" si="120"/>
        <v>sin venta</v>
      </c>
      <c r="AD1170" s="8" t="s">
        <v>46</v>
      </c>
      <c r="AE1170" s="11">
        <v>69990</v>
      </c>
      <c r="AF1170" s="11">
        <f t="shared" si="121"/>
        <v>139980</v>
      </c>
      <c r="AG1170" s="12" t="s">
        <v>73</v>
      </c>
      <c r="AH1170" s="8" t="s">
        <v>35</v>
      </c>
    </row>
    <row r="1171" spans="1:34">
      <c r="A1171" s="8" t="s">
        <v>1671</v>
      </c>
      <c r="B1171" s="16" t="s">
        <v>481</v>
      </c>
      <c r="C1171" s="8" t="s">
        <v>476</v>
      </c>
      <c r="D1171" s="8" t="s">
        <v>1660</v>
      </c>
      <c r="E1171" s="8" t="str">
        <f t="shared" si="119"/>
        <v>TABACO</v>
      </c>
      <c r="G1171" s="8" t="s">
        <v>2863</v>
      </c>
      <c r="H1171" s="8" t="str">
        <f>VLOOKUP(A1171,[1]BBDD!$B$1:$J$3274,9,FALSE)</f>
        <v>H</v>
      </c>
      <c r="I1171" s="8" t="s">
        <v>2863</v>
      </c>
      <c r="J1171" s="8" t="s">
        <v>1661</v>
      </c>
      <c r="L1171" s="8" t="s">
        <v>479</v>
      </c>
      <c r="N1171" s="8" t="s">
        <v>67</v>
      </c>
      <c r="O1171" s="8" t="s">
        <v>67</v>
      </c>
      <c r="P1171" s="18" t="str">
        <f t="shared" si="122"/>
        <v>45</v>
      </c>
      <c r="Q1171" s="8" t="s">
        <v>45</v>
      </c>
      <c r="R1171" s="8">
        <v>0</v>
      </c>
      <c r="S1171" s="8">
        <v>1</v>
      </c>
      <c r="T1171" s="8">
        <f t="shared" si="117"/>
        <v>1</v>
      </c>
      <c r="U1171" s="8">
        <v>0</v>
      </c>
      <c r="V1171" s="8">
        <v>0</v>
      </c>
      <c r="W1171" s="8">
        <v>0</v>
      </c>
      <c r="X1171" s="8">
        <v>0</v>
      </c>
      <c r="Y1171" s="8">
        <v>1</v>
      </c>
      <c r="Z1171" s="8">
        <v>0</v>
      </c>
      <c r="AA1171" s="8">
        <v>180</v>
      </c>
      <c r="AB1171" s="9">
        <f t="shared" si="118"/>
        <v>0.16666666666666669</v>
      </c>
      <c r="AC1171" s="10">
        <f t="shared" si="120"/>
        <v>5.9999999999999991</v>
      </c>
      <c r="AD1171" s="8" t="s">
        <v>46</v>
      </c>
      <c r="AE1171" s="11">
        <v>69990</v>
      </c>
      <c r="AF1171" s="11">
        <f t="shared" si="121"/>
        <v>69990</v>
      </c>
      <c r="AG1171" s="12" t="s">
        <v>34</v>
      </c>
      <c r="AH1171" s="8" t="s">
        <v>35</v>
      </c>
    </row>
    <row r="1172" spans="1:34">
      <c r="A1172" s="8" t="s">
        <v>1672</v>
      </c>
      <c r="B1172" s="16" t="s">
        <v>475</v>
      </c>
      <c r="C1172" s="8" t="s">
        <v>476</v>
      </c>
      <c r="D1172" s="8" t="s">
        <v>1660</v>
      </c>
      <c r="E1172" s="8" t="str">
        <f t="shared" si="119"/>
        <v>SUELA</v>
      </c>
      <c r="G1172" s="8" t="s">
        <v>2862</v>
      </c>
      <c r="H1172" s="8" t="str">
        <f>VLOOKUP(A1172,[1]BBDD!$B$1:$J$3274,9,FALSE)</f>
        <v>M</v>
      </c>
      <c r="I1172" s="8" t="s">
        <v>2862</v>
      </c>
      <c r="J1172" s="8" t="s">
        <v>1673</v>
      </c>
      <c r="L1172" s="8" t="s">
        <v>479</v>
      </c>
      <c r="N1172" s="8" t="s">
        <v>90</v>
      </c>
      <c r="O1172" s="8" t="s">
        <v>90</v>
      </c>
      <c r="P1172" s="18" t="str">
        <f t="shared" si="122"/>
        <v>36</v>
      </c>
      <c r="Q1172" s="8" t="s">
        <v>45</v>
      </c>
      <c r="R1172" s="8">
        <v>0</v>
      </c>
      <c r="S1172" s="8">
        <v>1</v>
      </c>
      <c r="T1172" s="8">
        <f t="shared" si="117"/>
        <v>1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180</v>
      </c>
      <c r="AB1172" s="9">
        <f t="shared" si="118"/>
        <v>0</v>
      </c>
      <c r="AC1172" s="10" t="str">
        <f t="shared" si="120"/>
        <v>sin venta</v>
      </c>
      <c r="AD1172" s="8" t="s">
        <v>46</v>
      </c>
      <c r="AE1172" s="11">
        <v>69990</v>
      </c>
      <c r="AF1172" s="11">
        <f t="shared" si="121"/>
        <v>69990</v>
      </c>
      <c r="AG1172" s="12" t="s">
        <v>73</v>
      </c>
      <c r="AH1172" s="8" t="s">
        <v>35</v>
      </c>
    </row>
    <row r="1173" spans="1:34">
      <c r="A1173" s="8" t="s">
        <v>1674</v>
      </c>
      <c r="B1173" s="16" t="s">
        <v>475</v>
      </c>
      <c r="C1173" s="8" t="s">
        <v>476</v>
      </c>
      <c r="D1173" s="8" t="s">
        <v>1660</v>
      </c>
      <c r="E1173" s="8" t="str">
        <f t="shared" si="119"/>
        <v>SUELA</v>
      </c>
      <c r="G1173" s="8" t="s">
        <v>2862</v>
      </c>
      <c r="H1173" s="8" t="str">
        <f>VLOOKUP(A1173,[1]BBDD!$B$1:$J$3274,9,FALSE)</f>
        <v>M</v>
      </c>
      <c r="I1173" s="8" t="s">
        <v>2862</v>
      </c>
      <c r="J1173" s="8" t="s">
        <v>1673</v>
      </c>
      <c r="L1173" s="8" t="s">
        <v>479</v>
      </c>
      <c r="N1173" s="8" t="s">
        <v>90</v>
      </c>
      <c r="O1173" s="8" t="s">
        <v>90</v>
      </c>
      <c r="P1173" s="18" t="str">
        <f t="shared" si="122"/>
        <v>40</v>
      </c>
      <c r="Q1173" s="8" t="s">
        <v>45</v>
      </c>
      <c r="R1173" s="8">
        <v>0</v>
      </c>
      <c r="S1173" s="8">
        <v>2</v>
      </c>
      <c r="T1173" s="8">
        <f t="shared" si="117"/>
        <v>2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180</v>
      </c>
      <c r="AB1173" s="9">
        <f t="shared" si="118"/>
        <v>0</v>
      </c>
      <c r="AC1173" s="10" t="str">
        <f t="shared" si="120"/>
        <v>sin venta</v>
      </c>
      <c r="AD1173" s="8" t="s">
        <v>46</v>
      </c>
      <c r="AE1173" s="11">
        <v>69990</v>
      </c>
      <c r="AF1173" s="11">
        <f t="shared" si="121"/>
        <v>139980</v>
      </c>
      <c r="AG1173" s="12" t="s">
        <v>73</v>
      </c>
      <c r="AH1173" s="8" t="s">
        <v>35</v>
      </c>
    </row>
    <row r="1174" spans="1:34">
      <c r="A1174" s="8" t="s">
        <v>1675</v>
      </c>
      <c r="B1174" s="16" t="s">
        <v>475</v>
      </c>
      <c r="C1174" s="8" t="s">
        <v>476</v>
      </c>
      <c r="D1174" s="8" t="s">
        <v>1660</v>
      </c>
      <c r="E1174" s="8" t="str">
        <f t="shared" si="119"/>
        <v>SUELA</v>
      </c>
      <c r="G1174" s="8" t="s">
        <v>2862</v>
      </c>
      <c r="H1174" s="8" t="str">
        <f>VLOOKUP(A1174,[1]BBDD!$B$1:$J$3274,9,FALSE)</f>
        <v>M</v>
      </c>
      <c r="I1174" s="8" t="s">
        <v>2862</v>
      </c>
      <c r="J1174" s="8" t="s">
        <v>1673</v>
      </c>
      <c r="L1174" s="8" t="s">
        <v>479</v>
      </c>
      <c r="N1174" s="8" t="s">
        <v>90</v>
      </c>
      <c r="O1174" s="8" t="s">
        <v>90</v>
      </c>
      <c r="P1174" s="18" t="str">
        <f t="shared" si="122"/>
        <v>41</v>
      </c>
      <c r="Q1174" s="8" t="s">
        <v>45</v>
      </c>
      <c r="R1174" s="8">
        <v>0</v>
      </c>
      <c r="S1174" s="8">
        <v>1</v>
      </c>
      <c r="T1174" s="8">
        <f t="shared" si="117"/>
        <v>1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180</v>
      </c>
      <c r="AB1174" s="9">
        <f t="shared" si="118"/>
        <v>0</v>
      </c>
      <c r="AC1174" s="10" t="str">
        <f t="shared" si="120"/>
        <v>sin venta</v>
      </c>
      <c r="AD1174" s="8" t="s">
        <v>46</v>
      </c>
      <c r="AE1174" s="11">
        <v>69990</v>
      </c>
      <c r="AF1174" s="11">
        <f t="shared" si="121"/>
        <v>69990</v>
      </c>
      <c r="AG1174" s="12" t="s">
        <v>73</v>
      </c>
      <c r="AH1174" s="8" t="s">
        <v>35</v>
      </c>
    </row>
    <row r="1175" spans="1:34">
      <c r="A1175" s="8" t="s">
        <v>1676</v>
      </c>
      <c r="B1175" s="16" t="s">
        <v>475</v>
      </c>
      <c r="C1175" s="8" t="s">
        <v>476</v>
      </c>
      <c r="D1175" s="8" t="s">
        <v>1660</v>
      </c>
      <c r="E1175" s="8" t="str">
        <f t="shared" si="119"/>
        <v>NUDE</v>
      </c>
      <c r="G1175" s="8" t="s">
        <v>2862</v>
      </c>
      <c r="H1175" s="8" t="str">
        <f>VLOOKUP(A1175,[1]BBDD!$B$1:$J$3274,9,FALSE)</f>
        <v>M</v>
      </c>
      <c r="I1175" s="8" t="s">
        <v>2862</v>
      </c>
      <c r="J1175" s="8" t="s">
        <v>1677</v>
      </c>
      <c r="L1175" s="8" t="s">
        <v>479</v>
      </c>
      <c r="N1175" s="8" t="s">
        <v>140</v>
      </c>
      <c r="O1175" s="8" t="s">
        <v>140</v>
      </c>
      <c r="P1175" s="18" t="str">
        <f t="shared" si="122"/>
        <v>37</v>
      </c>
      <c r="Q1175" s="8" t="s">
        <v>45</v>
      </c>
      <c r="R1175" s="8">
        <v>0</v>
      </c>
      <c r="S1175" s="8">
        <v>2</v>
      </c>
      <c r="T1175" s="8">
        <f t="shared" si="117"/>
        <v>2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180</v>
      </c>
      <c r="AB1175" s="9">
        <f t="shared" si="118"/>
        <v>0</v>
      </c>
      <c r="AC1175" s="10" t="str">
        <f t="shared" si="120"/>
        <v>sin venta</v>
      </c>
      <c r="AD1175" s="8" t="s">
        <v>46</v>
      </c>
      <c r="AE1175" s="11">
        <v>69990</v>
      </c>
      <c r="AF1175" s="11">
        <f t="shared" si="121"/>
        <v>139980</v>
      </c>
      <c r="AG1175" s="12" t="s">
        <v>73</v>
      </c>
      <c r="AH1175" s="8" t="s">
        <v>35</v>
      </c>
    </row>
    <row r="1176" spans="1:34">
      <c r="A1176" s="8" t="s">
        <v>1678</v>
      </c>
      <c r="B1176" s="16" t="s">
        <v>475</v>
      </c>
      <c r="C1176" s="8" t="s">
        <v>476</v>
      </c>
      <c r="D1176" s="8" t="s">
        <v>1660</v>
      </c>
      <c r="E1176" s="8" t="str">
        <f t="shared" si="119"/>
        <v>NUDE</v>
      </c>
      <c r="G1176" s="8" t="s">
        <v>2862</v>
      </c>
      <c r="H1176" s="8" t="str">
        <f>VLOOKUP(A1176,[1]BBDD!$B$1:$J$3274,9,FALSE)</f>
        <v>M</v>
      </c>
      <c r="I1176" s="8" t="s">
        <v>2862</v>
      </c>
      <c r="J1176" s="8" t="s">
        <v>1677</v>
      </c>
      <c r="L1176" s="8" t="s">
        <v>479</v>
      </c>
      <c r="N1176" s="8" t="s">
        <v>140</v>
      </c>
      <c r="O1176" s="8" t="s">
        <v>140</v>
      </c>
      <c r="P1176" s="18" t="str">
        <f t="shared" si="122"/>
        <v>38</v>
      </c>
      <c r="Q1176" s="8" t="s">
        <v>45</v>
      </c>
      <c r="R1176" s="8">
        <v>0</v>
      </c>
      <c r="S1176" s="8">
        <v>1</v>
      </c>
      <c r="T1176" s="8">
        <f t="shared" si="117"/>
        <v>1</v>
      </c>
      <c r="U1176" s="8">
        <v>0</v>
      </c>
      <c r="V1176" s="8">
        <v>0</v>
      </c>
      <c r="W1176" s="8">
        <v>1</v>
      </c>
      <c r="X1176" s="8">
        <v>0</v>
      </c>
      <c r="Y1176" s="8">
        <v>0</v>
      </c>
      <c r="Z1176" s="8">
        <v>0</v>
      </c>
      <c r="AA1176" s="8">
        <v>180</v>
      </c>
      <c r="AB1176" s="9">
        <f t="shared" si="118"/>
        <v>0.16666666666666669</v>
      </c>
      <c r="AC1176" s="10">
        <f t="shared" si="120"/>
        <v>5.9999999999999991</v>
      </c>
      <c r="AD1176" s="8" t="s">
        <v>46</v>
      </c>
      <c r="AE1176" s="11">
        <v>69990</v>
      </c>
      <c r="AF1176" s="11">
        <f t="shared" si="121"/>
        <v>69990</v>
      </c>
      <c r="AG1176" s="12" t="s">
        <v>34</v>
      </c>
      <c r="AH1176" s="8" t="s">
        <v>35</v>
      </c>
    </row>
    <row r="1177" spans="1:34">
      <c r="A1177" s="8" t="s">
        <v>1679</v>
      </c>
      <c r="B1177" s="16" t="s">
        <v>475</v>
      </c>
      <c r="C1177" s="8" t="s">
        <v>476</v>
      </c>
      <c r="D1177" s="8" t="s">
        <v>1660</v>
      </c>
      <c r="E1177" s="8" t="str">
        <f t="shared" si="119"/>
        <v>NUDE</v>
      </c>
      <c r="G1177" s="8" t="s">
        <v>2862</v>
      </c>
      <c r="H1177" s="8" t="str">
        <f>VLOOKUP(A1177,[1]BBDD!$B$1:$J$3274,9,FALSE)</f>
        <v>M</v>
      </c>
      <c r="I1177" s="8" t="s">
        <v>2862</v>
      </c>
      <c r="J1177" s="8" t="s">
        <v>1677</v>
      </c>
      <c r="L1177" s="8" t="s">
        <v>479</v>
      </c>
      <c r="N1177" s="8" t="s">
        <v>140</v>
      </c>
      <c r="O1177" s="8" t="s">
        <v>140</v>
      </c>
      <c r="P1177" s="18" t="str">
        <f t="shared" si="122"/>
        <v>40</v>
      </c>
      <c r="Q1177" s="8" t="s">
        <v>45</v>
      </c>
      <c r="R1177" s="8">
        <v>0</v>
      </c>
      <c r="S1177" s="8">
        <v>1</v>
      </c>
      <c r="T1177" s="8">
        <f t="shared" si="117"/>
        <v>1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180</v>
      </c>
      <c r="AB1177" s="9">
        <f t="shared" si="118"/>
        <v>0</v>
      </c>
      <c r="AC1177" s="10" t="str">
        <f t="shared" si="120"/>
        <v>sin venta</v>
      </c>
      <c r="AD1177" s="8" t="s">
        <v>46</v>
      </c>
      <c r="AE1177" s="11">
        <v>69990</v>
      </c>
      <c r="AF1177" s="11">
        <f t="shared" si="121"/>
        <v>69990</v>
      </c>
      <c r="AG1177" s="12" t="s">
        <v>73</v>
      </c>
      <c r="AH1177" s="8" t="s">
        <v>35</v>
      </c>
    </row>
    <row r="1178" spans="1:34">
      <c r="A1178" s="8" t="s">
        <v>1680</v>
      </c>
      <c r="B1178" s="16" t="s">
        <v>39</v>
      </c>
      <c r="C1178" s="8" t="s">
        <v>40</v>
      </c>
      <c r="D1178" s="8" t="s">
        <v>1681</v>
      </c>
      <c r="E1178" s="8" t="str">
        <f t="shared" si="119"/>
        <v>COTTON</v>
      </c>
      <c r="H1178" s="8" t="str">
        <f>VLOOKUP(A1178,[1]BBDD!$B$1:$J$3274,9,FALSE)</f>
        <v>M</v>
      </c>
      <c r="I1178" s="8" t="s">
        <v>2862</v>
      </c>
      <c r="J1178" s="8" t="s">
        <v>1682</v>
      </c>
      <c r="L1178" s="8" t="s">
        <v>43</v>
      </c>
      <c r="N1178" s="8" t="s">
        <v>95</v>
      </c>
      <c r="O1178" s="8" t="s">
        <v>95</v>
      </c>
      <c r="Q1178" s="8" t="s">
        <v>45</v>
      </c>
      <c r="R1178" s="8">
        <v>6</v>
      </c>
      <c r="S1178" s="8">
        <v>3</v>
      </c>
      <c r="T1178" s="8">
        <f t="shared" si="117"/>
        <v>9</v>
      </c>
      <c r="U1178" s="8">
        <v>0</v>
      </c>
      <c r="V1178" s="8">
        <v>1</v>
      </c>
      <c r="W1178" s="8">
        <v>1</v>
      </c>
      <c r="X1178" s="8">
        <v>1</v>
      </c>
      <c r="Y1178" s="8">
        <v>1</v>
      </c>
      <c r="Z1178" s="8">
        <v>0</v>
      </c>
      <c r="AA1178" s="8">
        <v>180</v>
      </c>
      <c r="AB1178" s="9">
        <f t="shared" si="118"/>
        <v>0.66666666666666674</v>
      </c>
      <c r="AC1178" s="10">
        <f t="shared" si="120"/>
        <v>13.499999999999998</v>
      </c>
      <c r="AD1178" s="8" t="s">
        <v>46</v>
      </c>
      <c r="AE1178" s="11">
        <v>149990</v>
      </c>
      <c r="AF1178" s="11">
        <f t="shared" si="121"/>
        <v>1349910</v>
      </c>
      <c r="AG1178" s="12" t="s">
        <v>64</v>
      </c>
      <c r="AH1178" s="8" t="s">
        <v>35</v>
      </c>
    </row>
    <row r="1179" spans="1:34">
      <c r="A1179" s="8" t="s">
        <v>1683</v>
      </c>
      <c r="B1179" s="16" t="s">
        <v>39</v>
      </c>
      <c r="C1179" s="8" t="s">
        <v>40</v>
      </c>
      <c r="D1179" s="8" t="s">
        <v>1681</v>
      </c>
      <c r="E1179" s="8" t="str">
        <f t="shared" si="119"/>
        <v>NEGRO</v>
      </c>
      <c r="H1179" s="8" t="str">
        <f>VLOOKUP(A1179,[1]BBDD!$B$1:$J$3274,9,FALSE)</f>
        <v>M</v>
      </c>
      <c r="I1179" s="8" t="s">
        <v>2862</v>
      </c>
      <c r="J1179" s="8" t="s">
        <v>1682</v>
      </c>
      <c r="L1179" s="8" t="s">
        <v>53</v>
      </c>
      <c r="N1179" s="8" t="s">
        <v>44</v>
      </c>
      <c r="O1179" s="8" t="s">
        <v>44</v>
      </c>
      <c r="Q1179" s="8" t="s">
        <v>45</v>
      </c>
      <c r="R1179" s="8">
        <v>2</v>
      </c>
      <c r="S1179" s="8">
        <v>3</v>
      </c>
      <c r="T1179" s="8">
        <f t="shared" si="117"/>
        <v>5</v>
      </c>
      <c r="U1179" s="8">
        <v>2</v>
      </c>
      <c r="V1179" s="8">
        <v>2</v>
      </c>
      <c r="W1179" s="8">
        <v>3</v>
      </c>
      <c r="X1179" s="8">
        <v>0</v>
      </c>
      <c r="Y1179" s="8">
        <v>0</v>
      </c>
      <c r="Z1179" s="8">
        <v>0</v>
      </c>
      <c r="AA1179" s="8">
        <v>180</v>
      </c>
      <c r="AB1179" s="9">
        <f t="shared" si="118"/>
        <v>1.1666666666666667</v>
      </c>
      <c r="AC1179" s="10">
        <f t="shared" si="120"/>
        <v>4.2857142857142856</v>
      </c>
      <c r="AD1179" s="8" t="s">
        <v>46</v>
      </c>
      <c r="AE1179" s="11">
        <v>149990</v>
      </c>
      <c r="AF1179" s="11">
        <f t="shared" si="121"/>
        <v>749950</v>
      </c>
      <c r="AG1179" s="12" t="s">
        <v>34</v>
      </c>
      <c r="AH1179" s="8" t="s">
        <v>35</v>
      </c>
    </row>
    <row r="1180" spans="1:34">
      <c r="A1180" s="8" t="s">
        <v>1684</v>
      </c>
      <c r="B1180" s="16" t="s">
        <v>39</v>
      </c>
      <c r="C1180" s="8" t="s">
        <v>40</v>
      </c>
      <c r="D1180" s="8" t="s">
        <v>1681</v>
      </c>
      <c r="E1180" s="8" t="str">
        <f t="shared" si="119"/>
        <v>SUELA</v>
      </c>
      <c r="H1180" s="8" t="str">
        <f>VLOOKUP(A1180,[1]BBDD!$B$1:$J$3274,9,FALSE)</f>
        <v>M</v>
      </c>
      <c r="I1180" s="8" t="s">
        <v>2862</v>
      </c>
      <c r="J1180" s="8" t="s">
        <v>1682</v>
      </c>
      <c r="L1180" s="8" t="s">
        <v>53</v>
      </c>
      <c r="N1180" s="8" t="s">
        <v>90</v>
      </c>
      <c r="O1180" s="8" t="s">
        <v>90</v>
      </c>
      <c r="Q1180" s="8" t="s">
        <v>45</v>
      </c>
      <c r="R1180" s="8">
        <v>0</v>
      </c>
      <c r="S1180" s="8">
        <v>4</v>
      </c>
      <c r="T1180" s="8">
        <f t="shared" si="117"/>
        <v>4</v>
      </c>
      <c r="U1180" s="8">
        <v>0</v>
      </c>
      <c r="V1180" s="8">
        <v>0</v>
      </c>
      <c r="W1180" s="8">
        <v>1</v>
      </c>
      <c r="X1180" s="8">
        <v>3</v>
      </c>
      <c r="Y1180" s="8">
        <v>0</v>
      </c>
      <c r="Z1180" s="8">
        <v>1</v>
      </c>
      <c r="AA1180" s="8">
        <v>180</v>
      </c>
      <c r="AB1180" s="9">
        <f t="shared" si="118"/>
        <v>0.83333333333333326</v>
      </c>
      <c r="AC1180" s="10">
        <f t="shared" si="120"/>
        <v>4.8000000000000007</v>
      </c>
      <c r="AD1180" s="8" t="s">
        <v>46</v>
      </c>
      <c r="AE1180" s="11">
        <v>149990</v>
      </c>
      <c r="AF1180" s="11">
        <f t="shared" si="121"/>
        <v>599960</v>
      </c>
      <c r="AG1180" s="12" t="s">
        <v>34</v>
      </c>
      <c r="AH1180" s="8" t="s">
        <v>35</v>
      </c>
    </row>
    <row r="1181" spans="1:34">
      <c r="A1181" s="8" t="s">
        <v>1685</v>
      </c>
      <c r="B1181" s="16" t="s">
        <v>2860</v>
      </c>
      <c r="C1181" s="8" t="s">
        <v>40</v>
      </c>
      <c r="D1181" s="8" t="s">
        <v>1681</v>
      </c>
      <c r="E1181" s="8" t="str">
        <f t="shared" si="119"/>
        <v>NEGRO</v>
      </c>
      <c r="H1181" s="8" t="str">
        <f>VLOOKUP(A1181,[1]BBDD!$B$1:$J$3274,9,FALSE)</f>
        <v>U</v>
      </c>
      <c r="I1181" s="8" t="s">
        <v>2861</v>
      </c>
      <c r="J1181" s="8" t="s">
        <v>1686</v>
      </c>
      <c r="L1181" s="8" t="s">
        <v>82</v>
      </c>
      <c r="N1181" s="8" t="s">
        <v>44</v>
      </c>
      <c r="O1181" s="8" t="s">
        <v>44</v>
      </c>
      <c r="Q1181" s="8" t="s">
        <v>32</v>
      </c>
      <c r="R1181" s="8">
        <v>8</v>
      </c>
      <c r="S1181" s="8">
        <v>5</v>
      </c>
      <c r="T1181" s="8">
        <f t="shared" si="117"/>
        <v>13</v>
      </c>
      <c r="U1181" s="8">
        <v>1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180</v>
      </c>
      <c r="AB1181" s="9">
        <f t="shared" si="118"/>
        <v>0.16666666666666669</v>
      </c>
      <c r="AC1181" s="10">
        <f t="shared" si="120"/>
        <v>77.999999999999986</v>
      </c>
      <c r="AD1181" s="8" t="s">
        <v>33</v>
      </c>
      <c r="AE1181" s="11">
        <v>310990</v>
      </c>
      <c r="AF1181" s="11">
        <f t="shared" si="121"/>
        <v>4042870</v>
      </c>
      <c r="AG1181" s="12" t="s">
        <v>73</v>
      </c>
      <c r="AH1181" s="8" t="s">
        <v>65</v>
      </c>
    </row>
    <row r="1182" spans="1:34">
      <c r="A1182" s="8" t="s">
        <v>1687</v>
      </c>
      <c r="B1182" s="16" t="s">
        <v>2860</v>
      </c>
      <c r="C1182" s="8" t="s">
        <v>40</v>
      </c>
      <c r="D1182" s="8" t="s">
        <v>1681</v>
      </c>
      <c r="E1182" s="8" t="str">
        <f t="shared" si="119"/>
        <v>NEGRO</v>
      </c>
      <c r="H1182" s="8" t="str">
        <f>VLOOKUP(A1182,[1]BBDD!$B$1:$J$3274,9,FALSE)</f>
        <v>U</v>
      </c>
      <c r="I1182" s="8" t="s">
        <v>2861</v>
      </c>
      <c r="J1182" s="8" t="s">
        <v>1688</v>
      </c>
      <c r="L1182" s="8" t="s">
        <v>82</v>
      </c>
      <c r="N1182" s="8" t="s">
        <v>44</v>
      </c>
      <c r="O1182" s="8" t="s">
        <v>44</v>
      </c>
      <c r="Q1182" s="8" t="s">
        <v>32</v>
      </c>
      <c r="R1182" s="8">
        <v>2</v>
      </c>
      <c r="S1182" s="8">
        <v>4</v>
      </c>
      <c r="T1182" s="8">
        <f t="shared" si="117"/>
        <v>6</v>
      </c>
      <c r="U1182" s="8">
        <v>0</v>
      </c>
      <c r="V1182" s="8">
        <v>0</v>
      </c>
      <c r="W1182" s="8">
        <v>0</v>
      </c>
      <c r="X1182" s="8">
        <v>1</v>
      </c>
      <c r="Y1182" s="8">
        <v>0</v>
      </c>
      <c r="Z1182" s="8">
        <v>0</v>
      </c>
      <c r="AA1182" s="8">
        <v>180</v>
      </c>
      <c r="AB1182" s="9">
        <f t="shared" si="118"/>
        <v>0.16666666666666669</v>
      </c>
      <c r="AC1182" s="10">
        <f t="shared" si="120"/>
        <v>35.999999999999993</v>
      </c>
      <c r="AD1182" s="8" t="s">
        <v>33</v>
      </c>
      <c r="AE1182" s="11">
        <v>335990</v>
      </c>
      <c r="AF1182" s="11">
        <f t="shared" si="121"/>
        <v>2015940</v>
      </c>
      <c r="AG1182" s="12" t="s">
        <v>73</v>
      </c>
      <c r="AH1182" s="8" t="s">
        <v>35</v>
      </c>
    </row>
    <row r="1183" spans="1:34">
      <c r="A1183" s="8" t="s">
        <v>1689</v>
      </c>
      <c r="B1183" s="16" t="s">
        <v>399</v>
      </c>
      <c r="C1183" s="8" t="s">
        <v>40</v>
      </c>
      <c r="D1183" s="8" t="s">
        <v>1681</v>
      </c>
      <c r="E1183" s="8" t="str">
        <f t="shared" si="119"/>
        <v>FULL BLACK</v>
      </c>
      <c r="H1183" s="8" t="str">
        <f>VLOOKUP(A1183,[1]BBDD!$B$1:$J$3274,9,FALSE)</f>
        <v>U</v>
      </c>
      <c r="I1183" s="8" t="s">
        <v>2861</v>
      </c>
      <c r="J1183" s="8" t="s">
        <v>1690</v>
      </c>
      <c r="L1183" s="8" t="s">
        <v>479</v>
      </c>
      <c r="N1183" s="8" t="s">
        <v>1691</v>
      </c>
      <c r="O1183" s="20" t="s">
        <v>1691</v>
      </c>
      <c r="Q1183" s="8" t="s">
        <v>32</v>
      </c>
      <c r="R1183" s="8">
        <v>0</v>
      </c>
      <c r="S1183" s="8">
        <v>4</v>
      </c>
      <c r="T1183" s="8">
        <f t="shared" si="117"/>
        <v>4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1</v>
      </c>
      <c r="AA1183" s="8">
        <v>8</v>
      </c>
      <c r="AB1183" s="9">
        <f t="shared" si="118"/>
        <v>3.75</v>
      </c>
      <c r="AC1183" s="10">
        <f t="shared" si="120"/>
        <v>1.0666666666666667</v>
      </c>
      <c r="AD1183" s="8" t="s">
        <v>33</v>
      </c>
      <c r="AE1183" s="11">
        <v>399990</v>
      </c>
      <c r="AF1183" s="11">
        <f t="shared" si="121"/>
        <v>1599960</v>
      </c>
      <c r="AG1183" s="12" t="s">
        <v>34</v>
      </c>
      <c r="AH1183" s="8" t="s">
        <v>35</v>
      </c>
    </row>
    <row r="1184" spans="1:34">
      <c r="A1184" s="8" t="s">
        <v>1692</v>
      </c>
      <c r="B1184" s="16" t="s">
        <v>399</v>
      </c>
      <c r="C1184" s="8" t="s">
        <v>40</v>
      </c>
      <c r="D1184" s="8" t="s">
        <v>1681</v>
      </c>
      <c r="E1184" s="8" t="str">
        <f t="shared" si="119"/>
        <v>CHOCOLATE</v>
      </c>
      <c r="H1184" s="8" t="str">
        <f>VLOOKUP(A1184,[1]BBDD!$B$1:$J$3274,9,FALSE)</f>
        <v>U</v>
      </c>
      <c r="I1184" s="8" t="s">
        <v>2861</v>
      </c>
      <c r="J1184" s="8" t="s">
        <v>1693</v>
      </c>
      <c r="L1184" s="8" t="s">
        <v>61</v>
      </c>
      <c r="N1184" s="8" t="s">
        <v>252</v>
      </c>
      <c r="O1184" s="8" t="s">
        <v>252</v>
      </c>
      <c r="Q1184" s="8" t="s">
        <v>32</v>
      </c>
      <c r="R1184" s="8">
        <v>0</v>
      </c>
      <c r="S1184" s="8">
        <v>4</v>
      </c>
      <c r="T1184" s="8">
        <f t="shared" si="117"/>
        <v>4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5</v>
      </c>
      <c r="AB1184" s="9">
        <f t="shared" si="118"/>
        <v>0</v>
      </c>
      <c r="AC1184" s="10" t="str">
        <f t="shared" si="120"/>
        <v>sin venta</v>
      </c>
      <c r="AD1184" s="8" t="s">
        <v>33</v>
      </c>
      <c r="AE1184" s="11">
        <v>359990</v>
      </c>
      <c r="AF1184" s="11">
        <f t="shared" si="121"/>
        <v>1439960</v>
      </c>
      <c r="AG1184" s="12" t="s">
        <v>73</v>
      </c>
      <c r="AH1184" s="8" t="s">
        <v>35</v>
      </c>
    </row>
    <row r="1185" spans="1:34">
      <c r="A1185" s="8" t="s">
        <v>1694</v>
      </c>
      <c r="B1185" s="16" t="s">
        <v>399</v>
      </c>
      <c r="C1185" s="8" t="s">
        <v>40</v>
      </c>
      <c r="D1185" s="8" t="s">
        <v>1681</v>
      </c>
      <c r="E1185" s="8" t="str">
        <f t="shared" si="119"/>
        <v>NEGRO</v>
      </c>
      <c r="H1185" s="8" t="str">
        <f>VLOOKUP(A1185,[1]BBDD!$B$1:$J$3274,9,FALSE)</f>
        <v>U</v>
      </c>
      <c r="I1185" s="8" t="s">
        <v>2861</v>
      </c>
      <c r="J1185" s="8" t="s">
        <v>1693</v>
      </c>
      <c r="L1185" s="8" t="s">
        <v>61</v>
      </c>
      <c r="N1185" s="8" t="s">
        <v>44</v>
      </c>
      <c r="O1185" s="8" t="s">
        <v>44</v>
      </c>
      <c r="Q1185" s="8" t="s">
        <v>32</v>
      </c>
      <c r="R1185" s="8">
        <v>0</v>
      </c>
      <c r="S1185" s="8">
        <v>4</v>
      </c>
      <c r="T1185" s="8">
        <f t="shared" si="117"/>
        <v>4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1</v>
      </c>
      <c r="AA1185" s="8">
        <v>5</v>
      </c>
      <c r="AB1185" s="9">
        <f t="shared" si="118"/>
        <v>6</v>
      </c>
      <c r="AC1185" s="10">
        <f t="shared" si="120"/>
        <v>0.66666666666666663</v>
      </c>
      <c r="AD1185" s="8" t="s">
        <v>33</v>
      </c>
      <c r="AE1185" s="11">
        <v>359990</v>
      </c>
      <c r="AF1185" s="11">
        <f t="shared" si="121"/>
        <v>1439960</v>
      </c>
      <c r="AG1185" s="12" t="s">
        <v>34</v>
      </c>
      <c r="AH1185" s="8" t="s">
        <v>35</v>
      </c>
    </row>
    <row r="1186" spans="1:34">
      <c r="A1186" s="8" t="s">
        <v>1695</v>
      </c>
      <c r="B1186" s="16" t="s">
        <v>399</v>
      </c>
      <c r="C1186" s="8" t="s">
        <v>40</v>
      </c>
      <c r="D1186" s="8" t="s">
        <v>1681</v>
      </c>
      <c r="E1186" s="8" t="str">
        <f t="shared" si="119"/>
        <v>TABACO</v>
      </c>
      <c r="H1186" s="8" t="str">
        <f>VLOOKUP(A1186,[1]BBDD!$B$1:$J$3274,9,FALSE)</f>
        <v>H</v>
      </c>
      <c r="I1186" s="17" t="s">
        <v>2861</v>
      </c>
      <c r="J1186" s="8" t="s">
        <v>1696</v>
      </c>
      <c r="L1186" s="8" t="s">
        <v>61</v>
      </c>
      <c r="N1186" s="8" t="s">
        <v>67</v>
      </c>
      <c r="O1186" s="8" t="s">
        <v>67</v>
      </c>
      <c r="Q1186" s="8" t="s">
        <v>32</v>
      </c>
      <c r="R1186" s="8">
        <v>0</v>
      </c>
      <c r="S1186" s="8">
        <v>3</v>
      </c>
      <c r="T1186" s="8">
        <f t="shared" si="117"/>
        <v>3</v>
      </c>
      <c r="U1186" s="8">
        <v>0</v>
      </c>
      <c r="V1186" s="8">
        <v>0</v>
      </c>
      <c r="W1186" s="8">
        <v>0</v>
      </c>
      <c r="X1186" s="8">
        <v>0</v>
      </c>
      <c r="Y1186" s="8">
        <v>2</v>
      </c>
      <c r="Z1186" s="8">
        <v>1</v>
      </c>
      <c r="AA1186" s="8">
        <v>179</v>
      </c>
      <c r="AB1186" s="9">
        <f t="shared" si="118"/>
        <v>0.5027932960893855</v>
      </c>
      <c r="AC1186" s="10">
        <f t="shared" si="120"/>
        <v>5.9666666666666668</v>
      </c>
      <c r="AD1186" s="8" t="s">
        <v>33</v>
      </c>
      <c r="AE1186" s="11">
        <v>349990</v>
      </c>
      <c r="AF1186" s="11">
        <f t="shared" si="121"/>
        <v>1049970</v>
      </c>
      <c r="AG1186" s="12" t="s">
        <v>34</v>
      </c>
      <c r="AH1186" s="8" t="s">
        <v>35</v>
      </c>
    </row>
    <row r="1187" spans="1:34">
      <c r="A1187" s="8" t="s">
        <v>1697</v>
      </c>
      <c r="B1187" s="16" t="s">
        <v>399</v>
      </c>
      <c r="C1187" s="8" t="s">
        <v>40</v>
      </c>
      <c r="D1187" s="8" t="s">
        <v>1681</v>
      </c>
      <c r="E1187" s="8" t="str">
        <f t="shared" si="119"/>
        <v>NEGRO</v>
      </c>
      <c r="H1187" s="8" t="str">
        <f>VLOOKUP(A1187,[1]BBDD!$B$1:$J$3274,9,FALSE)</f>
        <v>H</v>
      </c>
      <c r="I1187" s="17" t="s">
        <v>2861</v>
      </c>
      <c r="J1187" s="8" t="s">
        <v>1696</v>
      </c>
      <c r="L1187" s="8" t="s">
        <v>61</v>
      </c>
      <c r="N1187" s="8" t="s">
        <v>44</v>
      </c>
      <c r="O1187" s="8" t="s">
        <v>44</v>
      </c>
      <c r="Q1187" s="8" t="s">
        <v>45</v>
      </c>
      <c r="R1187" s="8">
        <v>1</v>
      </c>
      <c r="S1187" s="8">
        <v>4</v>
      </c>
      <c r="T1187" s="8">
        <f t="shared" si="117"/>
        <v>5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1</v>
      </c>
      <c r="AA1187" s="8">
        <v>179</v>
      </c>
      <c r="AB1187" s="9">
        <f t="shared" si="118"/>
        <v>0.16759776536312851</v>
      </c>
      <c r="AC1187" s="10">
        <f t="shared" si="120"/>
        <v>29.833333333333329</v>
      </c>
      <c r="AD1187" s="8" t="s">
        <v>109</v>
      </c>
      <c r="AE1187" s="11">
        <v>349990</v>
      </c>
      <c r="AF1187" s="11">
        <f t="shared" si="121"/>
        <v>1749950</v>
      </c>
      <c r="AG1187" s="12" t="s">
        <v>73</v>
      </c>
      <c r="AH1187" s="8" t="s">
        <v>35</v>
      </c>
    </row>
    <row r="1188" spans="1:34">
      <c r="A1188" s="8" t="s">
        <v>1698</v>
      </c>
      <c r="B1188" s="16" t="s">
        <v>39</v>
      </c>
      <c r="C1188" s="8" t="s">
        <v>40</v>
      </c>
      <c r="D1188" s="8" t="s">
        <v>1681</v>
      </c>
      <c r="E1188" s="8" t="str">
        <f t="shared" si="119"/>
        <v>COTTON</v>
      </c>
      <c r="H1188" s="8" t="str">
        <f>VLOOKUP(A1188,[1]BBDD!$B$1:$J$3274,9,FALSE)</f>
        <v>M</v>
      </c>
      <c r="I1188" s="8" t="s">
        <v>2862</v>
      </c>
      <c r="J1188" s="8" t="s">
        <v>1699</v>
      </c>
      <c r="L1188" s="8" t="s">
        <v>43</v>
      </c>
      <c r="N1188" s="8" t="s">
        <v>95</v>
      </c>
      <c r="O1188" s="8" t="s">
        <v>95</v>
      </c>
      <c r="Q1188" s="8" t="s">
        <v>45</v>
      </c>
      <c r="R1188" s="8">
        <v>8</v>
      </c>
      <c r="S1188" s="8">
        <v>3</v>
      </c>
      <c r="T1188" s="8">
        <f t="shared" si="117"/>
        <v>11</v>
      </c>
      <c r="U1188" s="8">
        <v>1</v>
      </c>
      <c r="V1188" s="8">
        <v>0</v>
      </c>
      <c r="W1188" s="8">
        <v>0</v>
      </c>
      <c r="X1188" s="8">
        <v>1</v>
      </c>
      <c r="Y1188" s="8">
        <v>0</v>
      </c>
      <c r="Z1188" s="8">
        <v>0</v>
      </c>
      <c r="AA1188" s="8">
        <v>180</v>
      </c>
      <c r="AB1188" s="9">
        <f t="shared" si="118"/>
        <v>0.33333333333333337</v>
      </c>
      <c r="AC1188" s="10">
        <f t="shared" si="120"/>
        <v>32.999999999999993</v>
      </c>
      <c r="AD1188" s="8" t="s">
        <v>46</v>
      </c>
      <c r="AE1188" s="11">
        <v>149990</v>
      </c>
      <c r="AF1188" s="11">
        <f t="shared" si="121"/>
        <v>1649890</v>
      </c>
      <c r="AG1188" s="12" t="s">
        <v>73</v>
      </c>
      <c r="AH1188" s="8" t="s">
        <v>65</v>
      </c>
    </row>
    <row r="1189" spans="1:34">
      <c r="A1189" s="8" t="s">
        <v>1700</v>
      </c>
      <c r="B1189" s="16" t="s">
        <v>39</v>
      </c>
      <c r="C1189" s="8" t="s">
        <v>40</v>
      </c>
      <c r="D1189" s="8" t="s">
        <v>1681</v>
      </c>
      <c r="E1189" s="8" t="str">
        <f t="shared" si="119"/>
        <v>NEGRO</v>
      </c>
      <c r="H1189" s="8" t="str">
        <f>VLOOKUP(A1189,[1]BBDD!$B$1:$J$3274,9,FALSE)</f>
        <v>M</v>
      </c>
      <c r="I1189" s="8" t="s">
        <v>2862</v>
      </c>
      <c r="J1189" s="8" t="s">
        <v>1699</v>
      </c>
      <c r="L1189" s="8" t="s">
        <v>53</v>
      </c>
      <c r="N1189" s="8" t="s">
        <v>44</v>
      </c>
      <c r="O1189" s="8" t="s">
        <v>44</v>
      </c>
      <c r="Q1189" s="8" t="s">
        <v>45</v>
      </c>
      <c r="R1189" s="8">
        <v>2</v>
      </c>
      <c r="S1189" s="8">
        <v>5</v>
      </c>
      <c r="T1189" s="8">
        <f t="shared" si="117"/>
        <v>7</v>
      </c>
      <c r="U1189" s="8">
        <v>0</v>
      </c>
      <c r="V1189" s="8">
        <v>4</v>
      </c>
      <c r="W1189" s="8">
        <v>0</v>
      </c>
      <c r="X1189" s="8">
        <v>3</v>
      </c>
      <c r="Y1189" s="8">
        <v>3</v>
      </c>
      <c r="Z1189" s="8">
        <v>0</v>
      </c>
      <c r="AA1189" s="8">
        <v>180</v>
      </c>
      <c r="AB1189" s="9">
        <f t="shared" si="118"/>
        <v>1.6666666666666665</v>
      </c>
      <c r="AC1189" s="10">
        <f t="shared" si="120"/>
        <v>4.2</v>
      </c>
      <c r="AD1189" s="8" t="s">
        <v>46</v>
      </c>
      <c r="AE1189" s="11">
        <v>149990</v>
      </c>
      <c r="AF1189" s="11">
        <f t="shared" si="121"/>
        <v>1049930</v>
      </c>
      <c r="AG1189" s="12" t="s">
        <v>34</v>
      </c>
      <c r="AH1189" s="8" t="s">
        <v>35</v>
      </c>
    </row>
    <row r="1190" spans="1:34">
      <c r="A1190" s="8" t="s">
        <v>1701</v>
      </c>
      <c r="B1190" s="16" t="s">
        <v>39</v>
      </c>
      <c r="C1190" s="8" t="s">
        <v>40</v>
      </c>
      <c r="D1190" s="8" t="s">
        <v>1681</v>
      </c>
      <c r="E1190" s="8" t="str">
        <f t="shared" si="119"/>
        <v>SUELA</v>
      </c>
      <c r="H1190" s="8" t="str">
        <f>VLOOKUP(A1190,[1]BBDD!$B$1:$J$3274,9,FALSE)</f>
        <v>M</v>
      </c>
      <c r="I1190" s="8" t="s">
        <v>2862</v>
      </c>
      <c r="J1190" s="8" t="s">
        <v>1699</v>
      </c>
      <c r="L1190" s="8" t="s">
        <v>53</v>
      </c>
      <c r="N1190" s="8" t="s">
        <v>90</v>
      </c>
      <c r="O1190" s="8" t="s">
        <v>90</v>
      </c>
      <c r="Q1190" s="8" t="s">
        <v>45</v>
      </c>
      <c r="R1190" s="8">
        <v>6</v>
      </c>
      <c r="S1190" s="8">
        <v>4</v>
      </c>
      <c r="T1190" s="8">
        <f t="shared" si="117"/>
        <v>10</v>
      </c>
      <c r="U1190" s="8">
        <v>0</v>
      </c>
      <c r="V1190" s="8">
        <v>0</v>
      </c>
      <c r="W1190" s="8">
        <v>0</v>
      </c>
      <c r="X1190" s="8">
        <v>1</v>
      </c>
      <c r="Y1190" s="8">
        <v>0</v>
      </c>
      <c r="Z1190" s="8">
        <v>1</v>
      </c>
      <c r="AA1190" s="8">
        <v>180</v>
      </c>
      <c r="AB1190" s="9">
        <f t="shared" si="118"/>
        <v>0.33333333333333337</v>
      </c>
      <c r="AC1190" s="10">
        <f t="shared" si="120"/>
        <v>29.999999999999996</v>
      </c>
      <c r="AD1190" s="8" t="s">
        <v>46</v>
      </c>
      <c r="AE1190" s="11">
        <v>149990</v>
      </c>
      <c r="AF1190" s="11">
        <f t="shared" si="121"/>
        <v>1499900</v>
      </c>
      <c r="AG1190" s="12" t="s">
        <v>73</v>
      </c>
      <c r="AH1190" s="8" t="s">
        <v>35</v>
      </c>
    </row>
    <row r="1191" spans="1:34">
      <c r="A1191" s="8" t="s">
        <v>1702</v>
      </c>
      <c r="B1191" s="16" t="s">
        <v>39</v>
      </c>
      <c r="C1191" s="8" t="s">
        <v>40</v>
      </c>
      <c r="D1191" s="8" t="s">
        <v>1681</v>
      </c>
      <c r="E1191" s="8" t="str">
        <f t="shared" si="119"/>
        <v>WHISKY</v>
      </c>
      <c r="H1191" s="8" t="str">
        <f>VLOOKUP(A1191,[1]BBDD!$B$1:$J$3274,9,FALSE)</f>
        <v>M</v>
      </c>
      <c r="I1191" s="8" t="s">
        <v>2862</v>
      </c>
      <c r="J1191" s="8" t="s">
        <v>1699</v>
      </c>
      <c r="L1191" s="8" t="s">
        <v>53</v>
      </c>
      <c r="N1191" s="8" t="s">
        <v>1703</v>
      </c>
      <c r="O1191" s="8" t="s">
        <v>1703</v>
      </c>
      <c r="Q1191" s="8" t="s">
        <v>45</v>
      </c>
      <c r="R1191" s="8">
        <v>0</v>
      </c>
      <c r="S1191" s="8">
        <v>3</v>
      </c>
      <c r="T1191" s="8">
        <f t="shared" si="117"/>
        <v>3</v>
      </c>
      <c r="U1191" s="8">
        <v>0</v>
      </c>
      <c r="V1191" s="8">
        <v>1</v>
      </c>
      <c r="W1191" s="8">
        <v>1</v>
      </c>
      <c r="X1191" s="8">
        <v>0</v>
      </c>
      <c r="Y1191" s="8">
        <v>1</v>
      </c>
      <c r="Z1191" s="8">
        <v>0</v>
      </c>
      <c r="AA1191" s="8">
        <v>180</v>
      </c>
      <c r="AB1191" s="9">
        <f t="shared" si="118"/>
        <v>0.5</v>
      </c>
      <c r="AC1191" s="10">
        <f t="shared" si="120"/>
        <v>6</v>
      </c>
      <c r="AD1191" s="8" t="s">
        <v>46</v>
      </c>
      <c r="AE1191" s="11">
        <v>149990</v>
      </c>
      <c r="AF1191" s="11">
        <f t="shared" si="121"/>
        <v>449970</v>
      </c>
      <c r="AG1191" s="12" t="s">
        <v>34</v>
      </c>
      <c r="AH1191" s="8" t="s">
        <v>35</v>
      </c>
    </row>
    <row r="1192" spans="1:34">
      <c r="A1192" s="8" t="s">
        <v>1704</v>
      </c>
      <c r="B1192" s="16" t="s">
        <v>39</v>
      </c>
      <c r="C1192" s="8" t="s">
        <v>40</v>
      </c>
      <c r="D1192" s="8" t="s">
        <v>1681</v>
      </c>
      <c r="E1192" s="8" t="str">
        <f t="shared" si="119"/>
        <v>CARAMELO</v>
      </c>
      <c r="H1192" s="8" t="str">
        <f>VLOOKUP(A1192,[1]BBDD!$B$1:$J$3274,9,FALSE)</f>
        <v>M</v>
      </c>
      <c r="I1192" s="8" t="s">
        <v>2862</v>
      </c>
      <c r="J1192" s="8" t="s">
        <v>1699</v>
      </c>
      <c r="L1192" s="8" t="s">
        <v>55</v>
      </c>
      <c r="N1192" s="8" t="s">
        <v>62</v>
      </c>
      <c r="O1192" s="8" t="s">
        <v>62</v>
      </c>
      <c r="Q1192" s="8" t="s">
        <v>45</v>
      </c>
      <c r="R1192" s="8">
        <v>2</v>
      </c>
      <c r="S1192" s="8">
        <v>3</v>
      </c>
      <c r="T1192" s="8">
        <f t="shared" ref="T1192:T1209" si="123">SUM(R1192:S1192)</f>
        <v>5</v>
      </c>
      <c r="U1192" s="8">
        <v>0</v>
      </c>
      <c r="V1192" s="8">
        <v>0</v>
      </c>
      <c r="W1192" s="8">
        <v>0</v>
      </c>
      <c r="X1192" s="8">
        <v>1</v>
      </c>
      <c r="Y1192" s="8">
        <v>0</v>
      </c>
      <c r="Z1192" s="8">
        <v>0</v>
      </c>
      <c r="AA1192" s="8">
        <v>180</v>
      </c>
      <c r="AB1192" s="9">
        <f t="shared" ref="AB1192:AB1209" si="124">SUM(U1192:Z1192)/AA1192*30</f>
        <v>0.16666666666666669</v>
      </c>
      <c r="AC1192" s="10">
        <f t="shared" si="120"/>
        <v>29.999999999999996</v>
      </c>
      <c r="AD1192" s="8" t="s">
        <v>46</v>
      </c>
      <c r="AE1192" s="11">
        <v>149990</v>
      </c>
      <c r="AF1192" s="11">
        <f t="shared" si="121"/>
        <v>749950</v>
      </c>
      <c r="AG1192" s="12" t="s">
        <v>73</v>
      </c>
      <c r="AH1192" s="8" t="s">
        <v>35</v>
      </c>
    </row>
    <row r="1193" spans="1:34">
      <c r="A1193" s="8" t="s">
        <v>1705</v>
      </c>
      <c r="B1193" s="16" t="s">
        <v>2860</v>
      </c>
      <c r="C1193" s="8" t="s">
        <v>40</v>
      </c>
      <c r="D1193" s="8" t="s">
        <v>1681</v>
      </c>
      <c r="E1193" s="8" t="str">
        <f t="shared" si="119"/>
        <v>CARAMELO</v>
      </c>
      <c r="H1193" s="8" t="str">
        <f>VLOOKUP(A1193,[1]BBDD!$B$1:$J$3274,9,FALSE)</f>
        <v>M</v>
      </c>
      <c r="I1193" s="8" t="s">
        <v>2862</v>
      </c>
      <c r="J1193" s="8" t="s">
        <v>1706</v>
      </c>
      <c r="L1193" s="8" t="s">
        <v>61</v>
      </c>
      <c r="N1193" s="8" t="s">
        <v>62</v>
      </c>
      <c r="O1193" s="8" t="s">
        <v>62</v>
      </c>
      <c r="Q1193" s="8" t="s">
        <v>32</v>
      </c>
      <c r="R1193" s="8">
        <v>3</v>
      </c>
      <c r="S1193" s="8">
        <v>7</v>
      </c>
      <c r="T1193" s="8">
        <f t="shared" si="123"/>
        <v>10</v>
      </c>
      <c r="U1193" s="8">
        <v>3</v>
      </c>
      <c r="V1193" s="8">
        <v>1</v>
      </c>
      <c r="W1193" s="8">
        <v>1</v>
      </c>
      <c r="X1193" s="8">
        <v>3</v>
      </c>
      <c r="Y1193" s="8">
        <v>0</v>
      </c>
      <c r="Z1193" s="8">
        <v>0</v>
      </c>
      <c r="AA1193" s="8">
        <v>180</v>
      </c>
      <c r="AB1193" s="9">
        <f t="shared" si="124"/>
        <v>1.3333333333333335</v>
      </c>
      <c r="AC1193" s="10">
        <f t="shared" si="120"/>
        <v>7.4999999999999991</v>
      </c>
      <c r="AD1193" s="8" t="s">
        <v>33</v>
      </c>
      <c r="AE1193" s="11">
        <v>279990</v>
      </c>
      <c r="AF1193" s="11">
        <f t="shared" si="121"/>
        <v>2799900</v>
      </c>
      <c r="AG1193" s="12" t="s">
        <v>51</v>
      </c>
      <c r="AH1193" s="8" t="s">
        <v>35</v>
      </c>
    </row>
    <row r="1194" spans="1:34">
      <c r="A1194" s="8" t="s">
        <v>1707</v>
      </c>
      <c r="B1194" s="16" t="s">
        <v>2860</v>
      </c>
      <c r="C1194" s="8" t="s">
        <v>40</v>
      </c>
      <c r="D1194" s="8" t="s">
        <v>1681</v>
      </c>
      <c r="E1194" s="8" t="str">
        <f t="shared" si="119"/>
        <v>MALBEC</v>
      </c>
      <c r="H1194" s="8" t="str">
        <f>VLOOKUP(A1194,[1]BBDD!$B$1:$J$3274,9,FALSE)</f>
        <v>M</v>
      </c>
      <c r="I1194" s="8" t="s">
        <v>2862</v>
      </c>
      <c r="J1194" s="8" t="s">
        <v>1706</v>
      </c>
      <c r="L1194" s="8" t="s">
        <v>61</v>
      </c>
      <c r="N1194" s="8" t="s">
        <v>69</v>
      </c>
      <c r="O1194" s="8" t="s">
        <v>69</v>
      </c>
      <c r="Q1194" s="8" t="s">
        <v>32</v>
      </c>
      <c r="R1194" s="8">
        <v>2</v>
      </c>
      <c r="S1194" s="8">
        <v>5</v>
      </c>
      <c r="T1194" s="8">
        <f t="shared" si="123"/>
        <v>7</v>
      </c>
      <c r="U1194" s="8">
        <v>3</v>
      </c>
      <c r="V1194" s="8">
        <v>0</v>
      </c>
      <c r="W1194" s="8">
        <v>0</v>
      </c>
      <c r="X1194" s="8">
        <v>0</v>
      </c>
      <c r="Y1194" s="8">
        <v>2</v>
      </c>
      <c r="Z1194" s="8">
        <v>0</v>
      </c>
      <c r="AA1194" s="8">
        <v>180</v>
      </c>
      <c r="AB1194" s="9">
        <f t="shared" si="124"/>
        <v>0.83333333333333326</v>
      </c>
      <c r="AC1194" s="10">
        <f t="shared" si="120"/>
        <v>8.4</v>
      </c>
      <c r="AD1194" s="8" t="s">
        <v>33</v>
      </c>
      <c r="AE1194" s="11">
        <v>279990</v>
      </c>
      <c r="AF1194" s="11">
        <f t="shared" si="121"/>
        <v>1959930</v>
      </c>
      <c r="AG1194" s="12" t="s">
        <v>51</v>
      </c>
      <c r="AH1194" s="8" t="s">
        <v>35</v>
      </c>
    </row>
    <row r="1195" spans="1:34">
      <c r="A1195" s="8" t="s">
        <v>1708</v>
      </c>
      <c r="B1195" s="16" t="s">
        <v>2860</v>
      </c>
      <c r="C1195" s="8" t="s">
        <v>40</v>
      </c>
      <c r="D1195" s="8" t="s">
        <v>1681</v>
      </c>
      <c r="E1195" s="8" t="str">
        <f t="shared" si="119"/>
        <v>NEGRO</v>
      </c>
      <c r="H1195" s="8" t="str">
        <f>VLOOKUP(A1195,[1]BBDD!$B$1:$J$3274,9,FALSE)</f>
        <v>M</v>
      </c>
      <c r="I1195" s="8" t="s">
        <v>2862</v>
      </c>
      <c r="J1195" s="8" t="s">
        <v>1706</v>
      </c>
      <c r="L1195" s="8" t="s">
        <v>61</v>
      </c>
      <c r="N1195" s="8" t="s">
        <v>44</v>
      </c>
      <c r="O1195" s="8" t="s">
        <v>44</v>
      </c>
      <c r="Q1195" s="8" t="s">
        <v>32</v>
      </c>
      <c r="R1195" s="8">
        <v>6</v>
      </c>
      <c r="S1195" s="8">
        <v>7</v>
      </c>
      <c r="T1195" s="8">
        <f t="shared" si="123"/>
        <v>13</v>
      </c>
      <c r="U1195" s="8">
        <v>1</v>
      </c>
      <c r="V1195" s="8">
        <v>1</v>
      </c>
      <c r="W1195" s="8">
        <v>1</v>
      </c>
      <c r="X1195" s="8">
        <v>1</v>
      </c>
      <c r="Y1195" s="8">
        <v>1</v>
      </c>
      <c r="Z1195" s="8">
        <v>1</v>
      </c>
      <c r="AA1195" s="8">
        <v>180</v>
      </c>
      <c r="AB1195" s="9">
        <f t="shared" si="124"/>
        <v>1</v>
      </c>
      <c r="AC1195" s="10">
        <f t="shared" si="120"/>
        <v>13</v>
      </c>
      <c r="AD1195" s="8" t="s">
        <v>33</v>
      </c>
      <c r="AE1195" s="11">
        <v>279990</v>
      </c>
      <c r="AF1195" s="11">
        <f t="shared" si="121"/>
        <v>3639870</v>
      </c>
      <c r="AG1195" s="12" t="s">
        <v>64</v>
      </c>
      <c r="AH1195" s="8" t="s">
        <v>65</v>
      </c>
    </row>
    <row r="1196" spans="1:34">
      <c r="A1196" s="8" t="s">
        <v>1709</v>
      </c>
      <c r="B1196" s="16" t="s">
        <v>2860</v>
      </c>
      <c r="C1196" s="8" t="s">
        <v>40</v>
      </c>
      <c r="D1196" s="8" t="s">
        <v>1681</v>
      </c>
      <c r="E1196" s="8" t="str">
        <f t="shared" si="119"/>
        <v>TABACO</v>
      </c>
      <c r="H1196" s="8" t="str">
        <f>VLOOKUP(A1196,[1]BBDD!$B$1:$J$3274,9,FALSE)</f>
        <v>M</v>
      </c>
      <c r="I1196" s="8" t="s">
        <v>2862</v>
      </c>
      <c r="J1196" s="8" t="s">
        <v>1706</v>
      </c>
      <c r="L1196" s="8" t="s">
        <v>61</v>
      </c>
      <c r="N1196" s="8" t="s">
        <v>67</v>
      </c>
      <c r="O1196" s="8" t="s">
        <v>67</v>
      </c>
      <c r="Q1196" s="8" t="s">
        <v>32</v>
      </c>
      <c r="R1196" s="8">
        <v>0</v>
      </c>
      <c r="S1196" s="8">
        <v>5</v>
      </c>
      <c r="T1196" s="8">
        <f t="shared" si="123"/>
        <v>5</v>
      </c>
      <c r="U1196" s="8">
        <v>2</v>
      </c>
      <c r="V1196" s="8">
        <v>2</v>
      </c>
      <c r="W1196" s="8">
        <v>0</v>
      </c>
      <c r="X1196" s="8">
        <v>0</v>
      </c>
      <c r="Y1196" s="8">
        <v>3</v>
      </c>
      <c r="Z1196" s="8">
        <v>0</v>
      </c>
      <c r="AA1196" s="8">
        <v>180</v>
      </c>
      <c r="AB1196" s="9">
        <f t="shared" si="124"/>
        <v>1.1666666666666667</v>
      </c>
      <c r="AC1196" s="10">
        <f t="shared" si="120"/>
        <v>4.2857142857142856</v>
      </c>
      <c r="AD1196" s="8" t="s">
        <v>33</v>
      </c>
      <c r="AE1196" s="11">
        <v>279990</v>
      </c>
      <c r="AF1196" s="11">
        <f t="shared" si="121"/>
        <v>1399950</v>
      </c>
      <c r="AG1196" s="12" t="s">
        <v>34</v>
      </c>
      <c r="AH1196" s="8" t="s">
        <v>35</v>
      </c>
    </row>
    <row r="1197" spans="1:34">
      <c r="A1197" s="8" t="s">
        <v>1710</v>
      </c>
      <c r="B1197" s="16" t="s">
        <v>2860</v>
      </c>
      <c r="C1197" s="8" t="s">
        <v>40</v>
      </c>
      <c r="D1197" s="8" t="s">
        <v>1681</v>
      </c>
      <c r="E1197" s="8" t="str">
        <f t="shared" si="119"/>
        <v>CHOCOLATE</v>
      </c>
      <c r="H1197" s="8" t="str">
        <f>VLOOKUP(A1197,[1]BBDD!$B$1:$J$3274,9,FALSE)</f>
        <v>U</v>
      </c>
      <c r="I1197" s="8" t="s">
        <v>2861</v>
      </c>
      <c r="J1197" s="8" t="s">
        <v>1711</v>
      </c>
      <c r="L1197" s="8" t="s">
        <v>61</v>
      </c>
      <c r="N1197" s="8" t="s">
        <v>252</v>
      </c>
      <c r="O1197" s="8" t="s">
        <v>252</v>
      </c>
      <c r="Q1197" s="8" t="s">
        <v>32</v>
      </c>
      <c r="R1197" s="8">
        <v>3</v>
      </c>
      <c r="S1197" s="8">
        <v>6</v>
      </c>
      <c r="T1197" s="8">
        <f t="shared" si="123"/>
        <v>9</v>
      </c>
      <c r="U1197" s="8">
        <v>0</v>
      </c>
      <c r="V1197" s="8">
        <v>0</v>
      </c>
      <c r="W1197" s="8">
        <v>1</v>
      </c>
      <c r="X1197" s="8">
        <v>0</v>
      </c>
      <c r="Y1197" s="8">
        <v>0</v>
      </c>
      <c r="Z1197" s="8">
        <v>1</v>
      </c>
      <c r="AA1197" s="8">
        <v>180</v>
      </c>
      <c r="AB1197" s="9">
        <f t="shared" si="124"/>
        <v>0.33333333333333337</v>
      </c>
      <c r="AC1197" s="10">
        <f t="shared" si="120"/>
        <v>26.999999999999996</v>
      </c>
      <c r="AD1197" s="8" t="s">
        <v>33</v>
      </c>
      <c r="AE1197" s="11">
        <v>389990</v>
      </c>
      <c r="AF1197" s="11">
        <f t="shared" si="121"/>
        <v>3509910</v>
      </c>
      <c r="AG1197" s="12" t="s">
        <v>73</v>
      </c>
      <c r="AH1197" s="8" t="s">
        <v>35</v>
      </c>
    </row>
    <row r="1198" spans="1:34">
      <c r="A1198" s="8" t="s">
        <v>1712</v>
      </c>
      <c r="B1198" s="16" t="s">
        <v>2860</v>
      </c>
      <c r="C1198" s="8" t="s">
        <v>40</v>
      </c>
      <c r="D1198" s="8" t="s">
        <v>1681</v>
      </c>
      <c r="E1198" s="8" t="str">
        <f t="shared" si="119"/>
        <v>NEGRO</v>
      </c>
      <c r="H1198" s="8" t="str">
        <f>VLOOKUP(A1198,[1]BBDD!$B$1:$J$3274,9,FALSE)</f>
        <v>U</v>
      </c>
      <c r="I1198" s="8" t="s">
        <v>2861</v>
      </c>
      <c r="J1198" s="8" t="s">
        <v>1711</v>
      </c>
      <c r="L1198" s="8" t="s">
        <v>61</v>
      </c>
      <c r="N1198" s="8" t="s">
        <v>44</v>
      </c>
      <c r="O1198" s="8" t="s">
        <v>44</v>
      </c>
      <c r="Q1198" s="8" t="s">
        <v>32</v>
      </c>
      <c r="R1198" s="8">
        <v>3</v>
      </c>
      <c r="S1198" s="8">
        <v>8</v>
      </c>
      <c r="T1198" s="8">
        <f t="shared" si="123"/>
        <v>11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180</v>
      </c>
      <c r="AB1198" s="9">
        <f t="shared" si="124"/>
        <v>0</v>
      </c>
      <c r="AC1198" s="10" t="str">
        <f t="shared" si="120"/>
        <v>sin venta</v>
      </c>
      <c r="AD1198" s="8" t="s">
        <v>33</v>
      </c>
      <c r="AE1198" s="11">
        <v>389990</v>
      </c>
      <c r="AF1198" s="11">
        <f t="shared" si="121"/>
        <v>4289890</v>
      </c>
      <c r="AG1198" s="12" t="s">
        <v>73</v>
      </c>
      <c r="AH1198" s="8" t="s">
        <v>65</v>
      </c>
    </row>
    <row r="1199" spans="1:34">
      <c r="A1199" s="8" t="s">
        <v>1713</v>
      </c>
      <c r="B1199" s="16" t="s">
        <v>2860</v>
      </c>
      <c r="C1199" s="8" t="s">
        <v>40</v>
      </c>
      <c r="D1199" s="8" t="s">
        <v>1681</v>
      </c>
      <c r="E1199" s="8" t="str">
        <f t="shared" si="119"/>
        <v>TABACO</v>
      </c>
      <c r="H1199" s="8" t="str">
        <f>VLOOKUP(A1199,[1]BBDD!$B$1:$J$3274,9,FALSE)</f>
        <v>U</v>
      </c>
      <c r="I1199" s="8" t="s">
        <v>2861</v>
      </c>
      <c r="J1199" s="8" t="s">
        <v>1711</v>
      </c>
      <c r="L1199" s="8" t="s">
        <v>61</v>
      </c>
      <c r="N1199" s="8" t="s">
        <v>67</v>
      </c>
      <c r="O1199" s="8" t="s">
        <v>67</v>
      </c>
      <c r="Q1199" s="8" t="s">
        <v>32</v>
      </c>
      <c r="R1199" s="8">
        <v>2</v>
      </c>
      <c r="S1199" s="8">
        <v>8</v>
      </c>
      <c r="T1199" s="8">
        <f t="shared" si="123"/>
        <v>10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180</v>
      </c>
      <c r="AB1199" s="9">
        <f t="shared" si="124"/>
        <v>0</v>
      </c>
      <c r="AC1199" s="10" t="str">
        <f t="shared" si="120"/>
        <v>sin venta</v>
      </c>
      <c r="AD1199" s="8" t="s">
        <v>33</v>
      </c>
      <c r="AE1199" s="11">
        <v>389990</v>
      </c>
      <c r="AF1199" s="11">
        <f t="shared" si="121"/>
        <v>3899900</v>
      </c>
      <c r="AG1199" s="12" t="s">
        <v>73</v>
      </c>
      <c r="AH1199" s="8" t="s">
        <v>35</v>
      </c>
    </row>
    <row r="1200" spans="1:34">
      <c r="A1200" s="8" t="s">
        <v>1714</v>
      </c>
      <c r="B1200" s="16" t="s">
        <v>2860</v>
      </c>
      <c r="C1200" s="8" t="s">
        <v>40</v>
      </c>
      <c r="D1200" s="8" t="s">
        <v>1681</v>
      </c>
      <c r="E1200" s="8" t="str">
        <f t="shared" si="119"/>
        <v>CARAMELO</v>
      </c>
      <c r="H1200" s="8" t="str">
        <f>VLOOKUP(A1200,[1]BBDD!$B$1:$J$3274,9,FALSE)</f>
        <v>U</v>
      </c>
      <c r="I1200" s="8" t="s">
        <v>2861</v>
      </c>
      <c r="J1200" s="8" t="s">
        <v>1711</v>
      </c>
      <c r="L1200" s="8" t="s">
        <v>61</v>
      </c>
      <c r="N1200" s="8" t="s">
        <v>62</v>
      </c>
      <c r="O1200" s="8" t="s">
        <v>62</v>
      </c>
      <c r="Q1200" s="8" t="s">
        <v>45</v>
      </c>
      <c r="R1200" s="8">
        <v>1</v>
      </c>
      <c r="S1200" s="8">
        <v>6</v>
      </c>
      <c r="T1200" s="8">
        <f t="shared" si="123"/>
        <v>7</v>
      </c>
      <c r="U1200" s="8">
        <v>0</v>
      </c>
      <c r="V1200" s="8">
        <v>0</v>
      </c>
      <c r="W1200" s="8">
        <v>0</v>
      </c>
      <c r="X1200" s="8">
        <v>0</v>
      </c>
      <c r="Y1200" s="8">
        <v>1</v>
      </c>
      <c r="Z1200" s="8">
        <v>0</v>
      </c>
      <c r="AA1200" s="8">
        <v>180</v>
      </c>
      <c r="AB1200" s="9">
        <f t="shared" si="124"/>
        <v>0.16666666666666669</v>
      </c>
      <c r="AC1200" s="10">
        <f t="shared" si="120"/>
        <v>41.999999999999993</v>
      </c>
      <c r="AD1200" s="8" t="s">
        <v>109</v>
      </c>
      <c r="AE1200" s="11">
        <v>389990</v>
      </c>
      <c r="AF1200" s="11">
        <f t="shared" si="121"/>
        <v>2729930</v>
      </c>
      <c r="AG1200" s="12" t="s">
        <v>73</v>
      </c>
      <c r="AH1200" s="8" t="s">
        <v>35</v>
      </c>
    </row>
    <row r="1201" spans="1:34">
      <c r="A1201" s="8" t="s">
        <v>1715</v>
      </c>
      <c r="B1201" s="16" t="s">
        <v>2860</v>
      </c>
      <c r="C1201" s="8" t="s">
        <v>40</v>
      </c>
      <c r="D1201" s="8" t="s">
        <v>1681</v>
      </c>
      <c r="E1201" s="8" t="str">
        <f t="shared" si="119"/>
        <v>NEGRO</v>
      </c>
      <c r="H1201" s="8" t="str">
        <f>VLOOKUP(A1201,[1]BBDD!$B$1:$J$3274,9,FALSE)</f>
        <v>U</v>
      </c>
      <c r="I1201" s="8" t="s">
        <v>2861</v>
      </c>
      <c r="J1201" s="8" t="s">
        <v>1711</v>
      </c>
      <c r="L1201" s="8" t="s">
        <v>82</v>
      </c>
      <c r="N1201" s="8" t="s">
        <v>44</v>
      </c>
      <c r="O1201" s="8" t="s">
        <v>44</v>
      </c>
      <c r="Q1201" s="8" t="s">
        <v>45</v>
      </c>
      <c r="R1201" s="8">
        <v>4</v>
      </c>
      <c r="S1201" s="8">
        <v>8</v>
      </c>
      <c r="T1201" s="8">
        <f t="shared" si="123"/>
        <v>12</v>
      </c>
      <c r="U1201" s="8">
        <v>0</v>
      </c>
      <c r="V1201" s="8">
        <v>0</v>
      </c>
      <c r="W1201" s="8">
        <v>0</v>
      </c>
      <c r="X1201" s="8">
        <v>1</v>
      </c>
      <c r="Y1201" s="8">
        <v>1</v>
      </c>
      <c r="Z1201" s="8">
        <v>0</v>
      </c>
      <c r="AA1201" s="8">
        <v>180</v>
      </c>
      <c r="AB1201" s="9">
        <f t="shared" si="124"/>
        <v>0.33333333333333337</v>
      </c>
      <c r="AC1201" s="10">
        <f t="shared" si="120"/>
        <v>35.999999999999993</v>
      </c>
      <c r="AD1201" s="8" t="s">
        <v>109</v>
      </c>
      <c r="AE1201" s="11">
        <v>389990</v>
      </c>
      <c r="AF1201" s="11">
        <f t="shared" si="121"/>
        <v>4679880</v>
      </c>
      <c r="AG1201" s="12" t="s">
        <v>73</v>
      </c>
      <c r="AH1201" s="8" t="s">
        <v>65</v>
      </c>
    </row>
    <row r="1202" spans="1:34">
      <c r="A1202" s="8" t="s">
        <v>1716</v>
      </c>
      <c r="B1202" s="16" t="s">
        <v>2860</v>
      </c>
      <c r="C1202" s="8" t="s">
        <v>40</v>
      </c>
      <c r="D1202" s="8" t="s">
        <v>1681</v>
      </c>
      <c r="E1202" s="8" t="str">
        <f t="shared" si="119"/>
        <v>SUELA</v>
      </c>
      <c r="H1202" s="8" t="str">
        <f>VLOOKUP(A1202,[1]BBDD!$B$1:$J$3274,9,FALSE)</f>
        <v>U</v>
      </c>
      <c r="I1202" s="8" t="s">
        <v>2861</v>
      </c>
      <c r="J1202" s="8" t="s">
        <v>1711</v>
      </c>
      <c r="L1202" s="8" t="s">
        <v>82</v>
      </c>
      <c r="N1202" s="8" t="s">
        <v>90</v>
      </c>
      <c r="O1202" s="8" t="s">
        <v>90</v>
      </c>
      <c r="Q1202" s="8" t="s">
        <v>45</v>
      </c>
      <c r="R1202" s="8">
        <v>1</v>
      </c>
      <c r="S1202" s="8">
        <v>7</v>
      </c>
      <c r="T1202" s="8">
        <f t="shared" si="123"/>
        <v>8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180</v>
      </c>
      <c r="AB1202" s="9">
        <f t="shared" si="124"/>
        <v>0</v>
      </c>
      <c r="AC1202" s="10" t="str">
        <f t="shared" si="120"/>
        <v>sin venta</v>
      </c>
      <c r="AD1202" s="8" t="s">
        <v>109</v>
      </c>
      <c r="AE1202" s="11">
        <v>389990</v>
      </c>
      <c r="AF1202" s="11">
        <f t="shared" si="121"/>
        <v>3119920</v>
      </c>
      <c r="AG1202" s="12" t="s">
        <v>73</v>
      </c>
      <c r="AH1202" s="8" t="s">
        <v>35</v>
      </c>
    </row>
    <row r="1203" spans="1:34">
      <c r="A1203" s="8" t="s">
        <v>1717</v>
      </c>
      <c r="B1203" s="16" t="s">
        <v>2860</v>
      </c>
      <c r="C1203" s="8" t="s">
        <v>40</v>
      </c>
      <c r="D1203" s="8" t="s">
        <v>1681</v>
      </c>
      <c r="E1203" s="8" t="str">
        <f t="shared" si="119"/>
        <v>NEGRO</v>
      </c>
      <c r="H1203" s="8" t="str">
        <f>VLOOKUP(A1203,[1]BBDD!$B$1:$J$3274,9,FALSE)</f>
        <v>U</v>
      </c>
      <c r="I1203" s="8" t="s">
        <v>2861</v>
      </c>
      <c r="J1203" s="8" t="s">
        <v>1711</v>
      </c>
      <c r="L1203" s="8" t="s">
        <v>827</v>
      </c>
      <c r="N1203" s="8" t="s">
        <v>44</v>
      </c>
      <c r="O1203" s="8" t="s">
        <v>44</v>
      </c>
      <c r="Q1203" s="8" t="s">
        <v>45</v>
      </c>
      <c r="R1203" s="8">
        <v>0</v>
      </c>
      <c r="S1203" s="8">
        <v>3</v>
      </c>
      <c r="T1203" s="8">
        <f t="shared" si="123"/>
        <v>3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180</v>
      </c>
      <c r="AB1203" s="9">
        <f t="shared" si="124"/>
        <v>0</v>
      </c>
      <c r="AC1203" s="10" t="str">
        <f t="shared" si="120"/>
        <v>sin venta</v>
      </c>
      <c r="AD1203" s="8" t="s">
        <v>109</v>
      </c>
      <c r="AE1203" s="11">
        <v>389990</v>
      </c>
      <c r="AF1203" s="11">
        <f t="shared" si="121"/>
        <v>1169970</v>
      </c>
      <c r="AG1203" s="12" t="s">
        <v>73</v>
      </c>
      <c r="AH1203" s="8" t="s">
        <v>35</v>
      </c>
    </row>
    <row r="1204" spans="1:34">
      <c r="A1204" s="8" t="s">
        <v>1718</v>
      </c>
      <c r="B1204" s="16" t="s">
        <v>2860</v>
      </c>
      <c r="C1204" s="8" t="s">
        <v>40</v>
      </c>
      <c r="D1204" s="8" t="s">
        <v>1681</v>
      </c>
      <c r="E1204" s="8" t="str">
        <f t="shared" si="119"/>
        <v>NEGRO</v>
      </c>
      <c r="H1204" s="8" t="str">
        <f>VLOOKUP(A1204,[1]BBDD!$B$1:$J$3274,9,FALSE)</f>
        <v>U</v>
      </c>
      <c r="I1204" s="8" t="s">
        <v>2861</v>
      </c>
      <c r="J1204" s="8" t="s">
        <v>1719</v>
      </c>
      <c r="L1204" s="8" t="s">
        <v>61</v>
      </c>
      <c r="N1204" s="8" t="s">
        <v>44</v>
      </c>
      <c r="O1204" s="8" t="s">
        <v>44</v>
      </c>
      <c r="Q1204" s="8" t="s">
        <v>45</v>
      </c>
      <c r="R1204" s="8">
        <v>3</v>
      </c>
      <c r="S1204" s="8">
        <v>4</v>
      </c>
      <c r="T1204" s="8">
        <f t="shared" si="123"/>
        <v>7</v>
      </c>
      <c r="U1204" s="8">
        <v>0</v>
      </c>
      <c r="V1204" s="8">
        <v>0</v>
      </c>
      <c r="W1204" s="8">
        <v>0</v>
      </c>
      <c r="X1204" s="8">
        <v>1</v>
      </c>
      <c r="Y1204" s="8">
        <v>0</v>
      </c>
      <c r="Z1204" s="8">
        <v>0</v>
      </c>
      <c r="AA1204" s="8">
        <v>180</v>
      </c>
      <c r="AB1204" s="9">
        <f t="shared" si="124"/>
        <v>0.16666666666666669</v>
      </c>
      <c r="AC1204" s="10">
        <f t="shared" si="120"/>
        <v>41.999999999999993</v>
      </c>
      <c r="AD1204" s="8" t="s">
        <v>109</v>
      </c>
      <c r="AE1204" s="11">
        <v>389990</v>
      </c>
      <c r="AF1204" s="11">
        <f t="shared" si="121"/>
        <v>2729930</v>
      </c>
      <c r="AG1204" s="12" t="s">
        <v>73</v>
      </c>
      <c r="AH1204" s="8" t="s">
        <v>35</v>
      </c>
    </row>
    <row r="1205" spans="1:34">
      <c r="A1205" s="8" t="s">
        <v>1720</v>
      </c>
      <c r="B1205" s="16" t="s">
        <v>2860</v>
      </c>
      <c r="C1205" s="8" t="s">
        <v>40</v>
      </c>
      <c r="D1205" s="8" t="s">
        <v>1681</v>
      </c>
      <c r="E1205" s="8" t="str">
        <f t="shared" si="119"/>
        <v>NEGRO</v>
      </c>
      <c r="H1205" s="8" t="str">
        <f>VLOOKUP(A1205,[1]BBDD!$B$1:$J$3274,9,FALSE)</f>
        <v>U</v>
      </c>
      <c r="I1205" s="8" t="s">
        <v>2861</v>
      </c>
      <c r="J1205" s="8" t="s">
        <v>1719</v>
      </c>
      <c r="L1205" s="8" t="s">
        <v>211</v>
      </c>
      <c r="N1205" s="8" t="s">
        <v>44</v>
      </c>
      <c r="O1205" s="8" t="s">
        <v>44</v>
      </c>
      <c r="Q1205" s="8" t="s">
        <v>45</v>
      </c>
      <c r="R1205" s="8">
        <v>0</v>
      </c>
      <c r="S1205" s="8">
        <v>3</v>
      </c>
      <c r="T1205" s="8">
        <f t="shared" si="123"/>
        <v>3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180</v>
      </c>
      <c r="AB1205" s="9">
        <f t="shared" si="124"/>
        <v>0</v>
      </c>
      <c r="AC1205" s="10" t="str">
        <f t="shared" si="120"/>
        <v>sin venta</v>
      </c>
      <c r="AD1205" s="8" t="s">
        <v>109</v>
      </c>
      <c r="AE1205" s="11">
        <v>389990</v>
      </c>
      <c r="AF1205" s="11">
        <f t="shared" si="121"/>
        <v>1169970</v>
      </c>
      <c r="AG1205" s="12" t="s">
        <v>73</v>
      </c>
      <c r="AH1205" s="8" t="s">
        <v>35</v>
      </c>
    </row>
    <row r="1206" spans="1:34">
      <c r="A1206" s="8" t="s">
        <v>1721</v>
      </c>
      <c r="B1206" s="16" t="s">
        <v>2860</v>
      </c>
      <c r="C1206" s="8" t="s">
        <v>40</v>
      </c>
      <c r="D1206" s="8" t="s">
        <v>1681</v>
      </c>
      <c r="E1206" s="8" t="str">
        <f t="shared" si="119"/>
        <v>NEGRO</v>
      </c>
      <c r="H1206" s="8" t="str">
        <f>VLOOKUP(A1206,[1]BBDD!$B$1:$J$3274,9,FALSE)</f>
        <v>U</v>
      </c>
      <c r="I1206" s="8" t="s">
        <v>2861</v>
      </c>
      <c r="J1206" s="8" t="s">
        <v>1719</v>
      </c>
      <c r="L1206" s="8" t="s">
        <v>82</v>
      </c>
      <c r="N1206" s="8" t="s">
        <v>44</v>
      </c>
      <c r="O1206" s="8" t="s">
        <v>44</v>
      </c>
      <c r="Q1206" s="8" t="s">
        <v>45</v>
      </c>
      <c r="R1206" s="8">
        <v>0</v>
      </c>
      <c r="S1206" s="8">
        <v>4</v>
      </c>
      <c r="T1206" s="8">
        <f t="shared" si="123"/>
        <v>4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1</v>
      </c>
      <c r="AA1206" s="8">
        <v>180</v>
      </c>
      <c r="AB1206" s="9">
        <f t="shared" si="124"/>
        <v>0.16666666666666669</v>
      </c>
      <c r="AC1206" s="10">
        <f t="shared" si="120"/>
        <v>23.999999999999996</v>
      </c>
      <c r="AD1206" s="8" t="s">
        <v>109</v>
      </c>
      <c r="AE1206" s="11">
        <v>389990</v>
      </c>
      <c r="AF1206" s="11">
        <f t="shared" si="121"/>
        <v>1559960</v>
      </c>
      <c r="AG1206" s="12" t="s">
        <v>64</v>
      </c>
      <c r="AH1206" s="8" t="s">
        <v>35</v>
      </c>
    </row>
    <row r="1207" spans="1:34">
      <c r="A1207" s="13" t="s">
        <v>1722</v>
      </c>
      <c r="B1207" s="16" t="s">
        <v>2860</v>
      </c>
      <c r="C1207" s="8" t="s">
        <v>40</v>
      </c>
      <c r="D1207" s="8" t="s">
        <v>1681</v>
      </c>
      <c r="E1207" s="8" t="str">
        <f t="shared" si="119"/>
        <v>NEGRO</v>
      </c>
      <c r="H1207" s="8" t="str">
        <f>VLOOKUP(A1207,[1]BBDD!$B$1:$J$3274,9,FALSE)</f>
        <v>U</v>
      </c>
      <c r="I1207" s="8" t="s">
        <v>2861</v>
      </c>
      <c r="J1207" s="13" t="s">
        <v>1723</v>
      </c>
      <c r="K1207" s="13"/>
      <c r="L1207" s="8" t="s">
        <v>61</v>
      </c>
      <c r="N1207" s="8" t="s">
        <v>44</v>
      </c>
      <c r="O1207" s="8" t="s">
        <v>44</v>
      </c>
      <c r="Q1207" s="8" t="s">
        <v>32</v>
      </c>
      <c r="R1207" s="8">
        <v>1</v>
      </c>
      <c r="S1207" s="8">
        <v>5</v>
      </c>
      <c r="T1207" s="8">
        <f t="shared" si="123"/>
        <v>6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14</v>
      </c>
      <c r="AB1207" s="9">
        <f t="shared" si="124"/>
        <v>0</v>
      </c>
      <c r="AC1207" s="10" t="str">
        <f t="shared" si="120"/>
        <v>sin venta</v>
      </c>
      <c r="AD1207" s="8" t="s">
        <v>33</v>
      </c>
      <c r="AE1207" s="11">
        <v>229990</v>
      </c>
      <c r="AF1207" s="11">
        <f t="shared" si="121"/>
        <v>1379940</v>
      </c>
      <c r="AG1207" s="12" t="s">
        <v>73</v>
      </c>
      <c r="AH1207" s="8" t="s">
        <v>35</v>
      </c>
    </row>
    <row r="1208" spans="1:34">
      <c r="A1208" s="13" t="s">
        <v>1724</v>
      </c>
      <c r="B1208" s="16" t="s">
        <v>2860</v>
      </c>
      <c r="C1208" s="8" t="s">
        <v>40</v>
      </c>
      <c r="D1208" s="8" t="s">
        <v>1681</v>
      </c>
      <c r="E1208" s="8" t="str">
        <f t="shared" si="119"/>
        <v>CHOCOLATE</v>
      </c>
      <c r="H1208" s="8" t="str">
        <f>VLOOKUP(A1208,[1]BBDD!$B$1:$J$3274,9,FALSE)</f>
        <v>U</v>
      </c>
      <c r="I1208" s="8" t="s">
        <v>2861</v>
      </c>
      <c r="J1208" s="13" t="s">
        <v>1723</v>
      </c>
      <c r="K1208" s="13"/>
      <c r="L1208" s="8" t="s">
        <v>61</v>
      </c>
      <c r="N1208" s="8" t="s">
        <v>252</v>
      </c>
      <c r="O1208" s="8" t="s">
        <v>252</v>
      </c>
      <c r="Q1208" s="8" t="s">
        <v>32</v>
      </c>
      <c r="R1208" s="8">
        <v>1</v>
      </c>
      <c r="S1208" s="8">
        <v>5</v>
      </c>
      <c r="T1208" s="8">
        <f t="shared" si="123"/>
        <v>6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14</v>
      </c>
      <c r="AB1208" s="9">
        <f t="shared" si="124"/>
        <v>0</v>
      </c>
      <c r="AC1208" s="10" t="str">
        <f t="shared" si="120"/>
        <v>sin venta</v>
      </c>
      <c r="AD1208" s="8" t="s">
        <v>33</v>
      </c>
      <c r="AE1208" s="11">
        <v>229990</v>
      </c>
      <c r="AF1208" s="11">
        <f t="shared" si="121"/>
        <v>1379940</v>
      </c>
      <c r="AG1208" s="12" t="s">
        <v>73</v>
      </c>
      <c r="AH1208" s="8" t="s">
        <v>35</v>
      </c>
    </row>
    <row r="1209" spans="1:34">
      <c r="A1209" s="13" t="s">
        <v>1725</v>
      </c>
      <c r="B1209" s="16" t="s">
        <v>2860</v>
      </c>
      <c r="C1209" s="8" t="s">
        <v>40</v>
      </c>
      <c r="D1209" s="8" t="s">
        <v>1681</v>
      </c>
      <c r="E1209" s="8" t="str">
        <f t="shared" si="119"/>
        <v>CARAMELO</v>
      </c>
      <c r="H1209" s="8" t="str">
        <f>VLOOKUP(A1209,[1]BBDD!$B$1:$J$3274,9,FALSE)</f>
        <v>U</v>
      </c>
      <c r="I1209" s="8" t="s">
        <v>2861</v>
      </c>
      <c r="J1209" s="13" t="s">
        <v>1723</v>
      </c>
      <c r="K1209" s="13"/>
      <c r="L1209" s="8" t="s">
        <v>61</v>
      </c>
      <c r="N1209" s="8" t="s">
        <v>62</v>
      </c>
      <c r="O1209" s="8" t="s">
        <v>62</v>
      </c>
      <c r="Q1209" s="8" t="s">
        <v>32</v>
      </c>
      <c r="R1209" s="8">
        <v>1</v>
      </c>
      <c r="S1209" s="8">
        <v>5</v>
      </c>
      <c r="T1209" s="8">
        <f t="shared" si="123"/>
        <v>6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14</v>
      </c>
      <c r="AB1209" s="9">
        <f t="shared" si="124"/>
        <v>0</v>
      </c>
      <c r="AC1209" s="10" t="str">
        <f t="shared" si="120"/>
        <v>sin venta</v>
      </c>
      <c r="AD1209" s="8" t="s">
        <v>33</v>
      </c>
      <c r="AE1209" s="11">
        <v>229990</v>
      </c>
      <c r="AF1209" s="11">
        <f t="shared" si="121"/>
        <v>1379940</v>
      </c>
      <c r="AG1209" s="12" t="s">
        <v>73</v>
      </c>
      <c r="AH1209" s="8" t="s">
        <v>35</v>
      </c>
    </row>
    <row r="1210" spans="1:34">
      <c r="A1210" s="8" t="s">
        <v>1726</v>
      </c>
      <c r="B1210" s="16" t="s">
        <v>2860</v>
      </c>
      <c r="C1210" s="8" t="s">
        <v>40</v>
      </c>
      <c r="D1210" s="8" t="s">
        <v>1681</v>
      </c>
      <c r="E1210" s="8" t="str">
        <f t="shared" si="119"/>
        <v>CHOCOLATE</v>
      </c>
      <c r="H1210" s="8" t="str">
        <f>VLOOKUP(A1210,[1]BBDD!$B$1:$J$3274,9,FALSE)</f>
        <v>M</v>
      </c>
      <c r="I1210" s="8" t="s">
        <v>2862</v>
      </c>
      <c r="J1210" s="8" t="s">
        <v>1727</v>
      </c>
      <c r="L1210" s="8" t="s">
        <v>61</v>
      </c>
      <c r="N1210" s="8" t="s">
        <v>252</v>
      </c>
      <c r="O1210" s="8" t="s">
        <v>252</v>
      </c>
      <c r="Q1210" s="8" t="s">
        <v>32</v>
      </c>
      <c r="R1210" s="8">
        <v>3</v>
      </c>
      <c r="S1210" s="8">
        <v>7</v>
      </c>
      <c r="T1210" s="8">
        <f t="shared" ref="T1210:T1256" si="125">SUM(R1210:S1210)</f>
        <v>10</v>
      </c>
      <c r="U1210" s="8">
        <v>1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180</v>
      </c>
      <c r="AB1210" s="9">
        <f t="shared" ref="AB1210:AB1256" si="126">SUM(U1210:Z1210)/AA1210*30</f>
        <v>0.16666666666666669</v>
      </c>
      <c r="AC1210" s="10">
        <f t="shared" si="120"/>
        <v>59.999999999999993</v>
      </c>
      <c r="AD1210" s="8" t="s">
        <v>33</v>
      </c>
      <c r="AE1210" s="11">
        <v>232990</v>
      </c>
      <c r="AF1210" s="11">
        <f t="shared" si="121"/>
        <v>2329900</v>
      </c>
      <c r="AG1210" s="12" t="s">
        <v>73</v>
      </c>
      <c r="AH1210" s="8" t="s">
        <v>35</v>
      </c>
    </row>
    <row r="1211" spans="1:34">
      <c r="A1211" s="8" t="s">
        <v>1728</v>
      </c>
      <c r="B1211" s="16" t="s">
        <v>2860</v>
      </c>
      <c r="C1211" s="8" t="s">
        <v>40</v>
      </c>
      <c r="D1211" s="8" t="s">
        <v>1681</v>
      </c>
      <c r="E1211" s="8" t="str">
        <f t="shared" si="119"/>
        <v>MALBEC</v>
      </c>
      <c r="H1211" s="8" t="str">
        <f>VLOOKUP(A1211,[1]BBDD!$B$1:$J$3274,9,FALSE)</f>
        <v>M</v>
      </c>
      <c r="I1211" s="8" t="s">
        <v>2862</v>
      </c>
      <c r="J1211" s="8" t="s">
        <v>1727</v>
      </c>
      <c r="L1211" s="8" t="s">
        <v>61</v>
      </c>
      <c r="N1211" s="8" t="s">
        <v>69</v>
      </c>
      <c r="O1211" s="8" t="s">
        <v>69</v>
      </c>
      <c r="Q1211" s="8" t="s">
        <v>32</v>
      </c>
      <c r="R1211" s="8">
        <v>3</v>
      </c>
      <c r="S1211" s="8">
        <v>8</v>
      </c>
      <c r="T1211" s="8">
        <f t="shared" si="125"/>
        <v>11</v>
      </c>
      <c r="U1211" s="8">
        <v>0</v>
      </c>
      <c r="V1211" s="8">
        <v>0</v>
      </c>
      <c r="W1211" s="8">
        <v>1</v>
      </c>
      <c r="X1211" s="8">
        <v>0</v>
      </c>
      <c r="Y1211" s="8">
        <v>1</v>
      </c>
      <c r="Z1211" s="8">
        <v>0</v>
      </c>
      <c r="AA1211" s="8">
        <v>180</v>
      </c>
      <c r="AB1211" s="9">
        <f t="shared" si="126"/>
        <v>0.33333333333333337</v>
      </c>
      <c r="AC1211" s="10">
        <f t="shared" si="120"/>
        <v>32.999999999999993</v>
      </c>
      <c r="AD1211" s="8" t="s">
        <v>33</v>
      </c>
      <c r="AE1211" s="11">
        <v>232990</v>
      </c>
      <c r="AF1211" s="11">
        <f t="shared" si="121"/>
        <v>2562890</v>
      </c>
      <c r="AG1211" s="12" t="s">
        <v>73</v>
      </c>
      <c r="AH1211" s="8" t="s">
        <v>65</v>
      </c>
    </row>
    <row r="1212" spans="1:34">
      <c r="A1212" s="8" t="s">
        <v>1729</v>
      </c>
      <c r="B1212" s="16" t="s">
        <v>2860</v>
      </c>
      <c r="C1212" s="8" t="s">
        <v>40</v>
      </c>
      <c r="D1212" s="8" t="s">
        <v>1681</v>
      </c>
      <c r="E1212" s="8" t="str">
        <f t="shared" si="119"/>
        <v>CARAMELO</v>
      </c>
      <c r="H1212" s="8" t="str">
        <f>VLOOKUP(A1212,[1]BBDD!$B$1:$J$3274,9,FALSE)</f>
        <v>M</v>
      </c>
      <c r="I1212" s="8" t="s">
        <v>2862</v>
      </c>
      <c r="J1212" s="8" t="s">
        <v>1727</v>
      </c>
      <c r="L1212" s="8" t="s">
        <v>61</v>
      </c>
      <c r="N1212" s="8" t="s">
        <v>62</v>
      </c>
      <c r="O1212" s="8" t="s">
        <v>62</v>
      </c>
      <c r="Q1212" s="8" t="s">
        <v>45</v>
      </c>
      <c r="R1212" s="8">
        <v>9</v>
      </c>
      <c r="S1212" s="8">
        <v>10</v>
      </c>
      <c r="T1212" s="8">
        <f t="shared" si="125"/>
        <v>19</v>
      </c>
      <c r="U1212" s="8">
        <v>1</v>
      </c>
      <c r="V1212" s="8">
        <v>0</v>
      </c>
      <c r="W1212" s="8">
        <v>1</v>
      </c>
      <c r="X1212" s="8">
        <v>0</v>
      </c>
      <c r="Y1212" s="8">
        <v>0</v>
      </c>
      <c r="Z1212" s="8">
        <v>0</v>
      </c>
      <c r="AA1212" s="8">
        <v>180</v>
      </c>
      <c r="AB1212" s="9">
        <f t="shared" si="126"/>
        <v>0.33333333333333337</v>
      </c>
      <c r="AC1212" s="10">
        <f t="shared" si="120"/>
        <v>56.999999999999993</v>
      </c>
      <c r="AD1212" s="8" t="s">
        <v>109</v>
      </c>
      <c r="AE1212" s="11">
        <v>232990</v>
      </c>
      <c r="AF1212" s="11">
        <f t="shared" si="121"/>
        <v>4426810</v>
      </c>
      <c r="AG1212" s="12" t="s">
        <v>73</v>
      </c>
      <c r="AH1212" s="8" t="s">
        <v>65</v>
      </c>
    </row>
    <row r="1213" spans="1:34">
      <c r="A1213" s="8" t="s">
        <v>1730</v>
      </c>
      <c r="B1213" s="16" t="s">
        <v>2860</v>
      </c>
      <c r="C1213" s="8" t="s">
        <v>40</v>
      </c>
      <c r="D1213" s="8" t="s">
        <v>1681</v>
      </c>
      <c r="E1213" s="8" t="str">
        <f t="shared" si="119"/>
        <v>NEGRO</v>
      </c>
      <c r="H1213" s="8" t="str">
        <f>VLOOKUP(A1213,[1]BBDD!$B$1:$J$3274,9,FALSE)</f>
        <v>M</v>
      </c>
      <c r="I1213" s="8" t="s">
        <v>2862</v>
      </c>
      <c r="J1213" s="8" t="s">
        <v>1727</v>
      </c>
      <c r="L1213" s="8" t="s">
        <v>61</v>
      </c>
      <c r="N1213" s="8" t="s">
        <v>44</v>
      </c>
      <c r="O1213" s="8" t="s">
        <v>44</v>
      </c>
      <c r="Q1213" s="8" t="s">
        <v>45</v>
      </c>
      <c r="R1213" s="8">
        <v>4</v>
      </c>
      <c r="S1213" s="8">
        <v>8</v>
      </c>
      <c r="T1213" s="8">
        <f t="shared" si="125"/>
        <v>12</v>
      </c>
      <c r="U1213" s="8">
        <v>1</v>
      </c>
      <c r="V1213" s="8">
        <v>1</v>
      </c>
      <c r="W1213" s="8">
        <v>0</v>
      </c>
      <c r="X1213" s="8">
        <v>0</v>
      </c>
      <c r="Y1213" s="8">
        <v>0</v>
      </c>
      <c r="Z1213" s="8">
        <v>0</v>
      </c>
      <c r="AA1213" s="8">
        <v>180</v>
      </c>
      <c r="AB1213" s="9">
        <f t="shared" si="126"/>
        <v>0.33333333333333337</v>
      </c>
      <c r="AC1213" s="10">
        <f t="shared" si="120"/>
        <v>35.999999999999993</v>
      </c>
      <c r="AD1213" s="8" t="s">
        <v>109</v>
      </c>
      <c r="AE1213" s="11">
        <v>232990</v>
      </c>
      <c r="AF1213" s="11">
        <f t="shared" si="121"/>
        <v>2795880</v>
      </c>
      <c r="AG1213" s="12" t="s">
        <v>73</v>
      </c>
      <c r="AH1213" s="8" t="s">
        <v>65</v>
      </c>
    </row>
    <row r="1214" spans="1:34">
      <c r="A1214" s="8" t="s">
        <v>1731</v>
      </c>
      <c r="B1214" s="16" t="s">
        <v>2860</v>
      </c>
      <c r="C1214" s="8" t="s">
        <v>40</v>
      </c>
      <c r="D1214" s="8" t="s">
        <v>1681</v>
      </c>
      <c r="E1214" s="8" t="str">
        <f t="shared" si="119"/>
        <v>ROJO</v>
      </c>
      <c r="H1214" s="8" t="str">
        <f>VLOOKUP(A1214,[1]BBDD!$B$1:$J$3274,9,FALSE)</f>
        <v>M</v>
      </c>
      <c r="I1214" s="8" t="s">
        <v>2862</v>
      </c>
      <c r="J1214" s="8" t="s">
        <v>1727</v>
      </c>
      <c r="L1214" s="8" t="s">
        <v>61</v>
      </c>
      <c r="N1214" s="8" t="s">
        <v>88</v>
      </c>
      <c r="O1214" s="8" t="s">
        <v>88</v>
      </c>
      <c r="Q1214" s="8" t="s">
        <v>45</v>
      </c>
      <c r="R1214" s="8">
        <v>5</v>
      </c>
      <c r="S1214" s="8">
        <v>7</v>
      </c>
      <c r="T1214" s="8">
        <f t="shared" si="125"/>
        <v>12</v>
      </c>
      <c r="U1214" s="8">
        <v>0</v>
      </c>
      <c r="V1214" s="8">
        <v>0</v>
      </c>
      <c r="W1214" s="8">
        <v>1</v>
      </c>
      <c r="X1214" s="8">
        <v>0</v>
      </c>
      <c r="Y1214" s="8">
        <v>0</v>
      </c>
      <c r="Z1214" s="8">
        <v>1</v>
      </c>
      <c r="AA1214" s="8">
        <v>180</v>
      </c>
      <c r="AB1214" s="9">
        <f t="shared" si="126"/>
        <v>0.33333333333333337</v>
      </c>
      <c r="AC1214" s="10">
        <f t="shared" si="120"/>
        <v>35.999999999999993</v>
      </c>
      <c r="AD1214" s="8" t="s">
        <v>109</v>
      </c>
      <c r="AE1214" s="11">
        <v>232990</v>
      </c>
      <c r="AF1214" s="11">
        <f t="shared" si="121"/>
        <v>2795880</v>
      </c>
      <c r="AG1214" s="12" t="s">
        <v>73</v>
      </c>
      <c r="AH1214" s="8" t="s">
        <v>65</v>
      </c>
    </row>
    <row r="1215" spans="1:34">
      <c r="A1215" s="8" t="s">
        <v>1732</v>
      </c>
      <c r="B1215" s="16" t="s">
        <v>2860</v>
      </c>
      <c r="C1215" s="8" t="s">
        <v>40</v>
      </c>
      <c r="D1215" s="8" t="s">
        <v>1681</v>
      </c>
      <c r="E1215" s="8" t="str">
        <f t="shared" si="119"/>
        <v>TABACO</v>
      </c>
      <c r="H1215" s="8" t="str">
        <f>VLOOKUP(A1215,[1]BBDD!$B$1:$J$3274,9,FALSE)</f>
        <v>M</v>
      </c>
      <c r="I1215" s="8" t="s">
        <v>2862</v>
      </c>
      <c r="J1215" s="8" t="s">
        <v>1727</v>
      </c>
      <c r="L1215" s="8" t="s">
        <v>61</v>
      </c>
      <c r="N1215" s="8" t="s">
        <v>67</v>
      </c>
      <c r="O1215" s="8" t="s">
        <v>67</v>
      </c>
      <c r="Q1215" s="8" t="s">
        <v>45</v>
      </c>
      <c r="R1215" s="8">
        <v>0</v>
      </c>
      <c r="S1215" s="8">
        <v>7</v>
      </c>
      <c r="T1215" s="8">
        <f t="shared" si="125"/>
        <v>7</v>
      </c>
      <c r="U1215" s="8">
        <v>0</v>
      </c>
      <c r="V1215" s="8">
        <v>1</v>
      </c>
      <c r="W1215" s="8">
        <v>1</v>
      </c>
      <c r="X1215" s="8">
        <v>0</v>
      </c>
      <c r="Y1215" s="8">
        <v>1</v>
      </c>
      <c r="Z1215" s="8">
        <v>1</v>
      </c>
      <c r="AA1215" s="8">
        <v>180</v>
      </c>
      <c r="AB1215" s="9">
        <f t="shared" si="126"/>
        <v>0.66666666666666674</v>
      </c>
      <c r="AC1215" s="10">
        <f t="shared" si="120"/>
        <v>10.499999999999998</v>
      </c>
      <c r="AD1215" s="8" t="s">
        <v>109</v>
      </c>
      <c r="AE1215" s="11">
        <v>232990</v>
      </c>
      <c r="AF1215" s="11">
        <f t="shared" si="121"/>
        <v>1630930</v>
      </c>
      <c r="AG1215" s="12" t="s">
        <v>51</v>
      </c>
      <c r="AH1215" s="8" t="s">
        <v>35</v>
      </c>
    </row>
    <row r="1216" spans="1:34">
      <c r="A1216" s="8" t="s">
        <v>1733</v>
      </c>
      <c r="B1216" s="16" t="s">
        <v>2860</v>
      </c>
      <c r="C1216" s="8" t="s">
        <v>40</v>
      </c>
      <c r="D1216" s="8" t="s">
        <v>1681</v>
      </c>
      <c r="E1216" s="8" t="str">
        <f t="shared" si="119"/>
        <v>BEIGE</v>
      </c>
      <c r="H1216" s="8" t="str">
        <f>VLOOKUP(A1216,[1]BBDD!$B$1:$J$3274,9,FALSE)</f>
        <v>M</v>
      </c>
      <c r="I1216" s="8" t="s">
        <v>2862</v>
      </c>
      <c r="J1216" s="8" t="s">
        <v>1727</v>
      </c>
      <c r="L1216" s="8" t="s">
        <v>765</v>
      </c>
      <c r="N1216" s="8" t="s">
        <v>516</v>
      </c>
      <c r="O1216" s="8" t="s">
        <v>516</v>
      </c>
      <c r="Q1216" s="8" t="s">
        <v>45</v>
      </c>
      <c r="R1216" s="8">
        <v>0</v>
      </c>
      <c r="S1216" s="8">
        <v>1</v>
      </c>
      <c r="T1216" s="8">
        <f t="shared" si="125"/>
        <v>1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180</v>
      </c>
      <c r="AB1216" s="9">
        <f t="shared" si="126"/>
        <v>0</v>
      </c>
      <c r="AC1216" s="10" t="str">
        <f t="shared" si="120"/>
        <v>sin venta</v>
      </c>
      <c r="AD1216" s="8" t="s">
        <v>109</v>
      </c>
      <c r="AE1216" s="11">
        <v>232990</v>
      </c>
      <c r="AF1216" s="11">
        <f t="shared" si="121"/>
        <v>232990</v>
      </c>
      <c r="AG1216" s="12" t="s">
        <v>73</v>
      </c>
      <c r="AH1216" s="8" t="s">
        <v>35</v>
      </c>
    </row>
    <row r="1217" spans="1:34">
      <c r="A1217" s="8" t="s">
        <v>1734</v>
      </c>
      <c r="B1217" s="16" t="s">
        <v>2860</v>
      </c>
      <c r="C1217" s="8" t="s">
        <v>40</v>
      </c>
      <c r="D1217" s="8" t="s">
        <v>1681</v>
      </c>
      <c r="E1217" s="8" t="str">
        <f t="shared" si="119"/>
        <v>BLACK</v>
      </c>
      <c r="H1217" s="8" t="str">
        <f>VLOOKUP(A1217,[1]BBDD!$B$1:$J$3274,9,FALSE)</f>
        <v>M</v>
      </c>
      <c r="I1217" s="8" t="s">
        <v>2862</v>
      </c>
      <c r="J1217" s="8" t="s">
        <v>1727</v>
      </c>
      <c r="L1217" s="8" t="s">
        <v>765</v>
      </c>
      <c r="N1217" s="8" t="s">
        <v>766</v>
      </c>
      <c r="O1217" s="20" t="s">
        <v>44</v>
      </c>
      <c r="Q1217" s="8" t="s">
        <v>45</v>
      </c>
      <c r="R1217" s="8">
        <v>0</v>
      </c>
      <c r="S1217" s="8">
        <v>2</v>
      </c>
      <c r="T1217" s="8">
        <f t="shared" si="125"/>
        <v>2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180</v>
      </c>
      <c r="AB1217" s="9">
        <f t="shared" si="126"/>
        <v>0</v>
      </c>
      <c r="AC1217" s="10" t="str">
        <f t="shared" si="120"/>
        <v>sin venta</v>
      </c>
      <c r="AD1217" s="8" t="s">
        <v>109</v>
      </c>
      <c r="AE1217" s="11">
        <v>232990</v>
      </c>
      <c r="AF1217" s="11">
        <f t="shared" si="121"/>
        <v>465980</v>
      </c>
      <c r="AG1217" s="12" t="s">
        <v>73</v>
      </c>
      <c r="AH1217" s="8" t="s">
        <v>35</v>
      </c>
    </row>
    <row r="1218" spans="1:34">
      <c r="A1218" s="8" t="s">
        <v>1735</v>
      </c>
      <c r="B1218" s="16" t="s">
        <v>2860</v>
      </c>
      <c r="C1218" s="8" t="s">
        <v>40</v>
      </c>
      <c r="D1218" s="8" t="s">
        <v>1681</v>
      </c>
      <c r="E1218" s="8" t="str">
        <f t="shared" si="119"/>
        <v>MALBORO</v>
      </c>
      <c r="H1218" s="8" t="str">
        <f>VLOOKUP(A1218,[1]BBDD!$B$1:$J$3274,9,FALSE)</f>
        <v>M</v>
      </c>
      <c r="I1218" s="8" t="s">
        <v>2862</v>
      </c>
      <c r="J1218" s="8" t="s">
        <v>1727</v>
      </c>
      <c r="L1218" s="8" t="s">
        <v>765</v>
      </c>
      <c r="N1218" s="8" t="s">
        <v>768</v>
      </c>
      <c r="O1218" s="8" t="s">
        <v>768</v>
      </c>
      <c r="Q1218" s="8" t="s">
        <v>45</v>
      </c>
      <c r="R1218" s="8">
        <v>0</v>
      </c>
      <c r="S1218" s="8">
        <v>2</v>
      </c>
      <c r="T1218" s="8">
        <f t="shared" si="125"/>
        <v>2</v>
      </c>
      <c r="U1218" s="8">
        <v>0</v>
      </c>
      <c r="V1218" s="8">
        <v>1</v>
      </c>
      <c r="W1218" s="8">
        <v>0</v>
      </c>
      <c r="X1218" s="8">
        <v>0</v>
      </c>
      <c r="Y1218" s="8">
        <v>0</v>
      </c>
      <c r="Z1218" s="8">
        <v>0</v>
      </c>
      <c r="AA1218" s="8">
        <v>180</v>
      </c>
      <c r="AB1218" s="9">
        <f t="shared" si="126"/>
        <v>0.16666666666666669</v>
      </c>
      <c r="AC1218" s="10">
        <f t="shared" si="120"/>
        <v>11.999999999999998</v>
      </c>
      <c r="AD1218" s="8" t="s">
        <v>109</v>
      </c>
      <c r="AE1218" s="11">
        <v>232990</v>
      </c>
      <c r="AF1218" s="11">
        <f t="shared" si="121"/>
        <v>465980</v>
      </c>
      <c r="AG1218" s="12" t="s">
        <v>51</v>
      </c>
      <c r="AH1218" s="8" t="s">
        <v>35</v>
      </c>
    </row>
    <row r="1219" spans="1:34">
      <c r="A1219" s="8" t="s">
        <v>1736</v>
      </c>
      <c r="B1219" s="16" t="s">
        <v>2860</v>
      </c>
      <c r="C1219" s="8" t="s">
        <v>40</v>
      </c>
      <c r="D1219" s="8" t="s">
        <v>1681</v>
      </c>
      <c r="E1219" s="8" t="str">
        <f t="shared" ref="E1219:E1282" si="127">TRIM(N1219)</f>
        <v>CEDRO</v>
      </c>
      <c r="H1219" s="8" t="str">
        <f>VLOOKUP(A1219,[1]BBDD!$B$1:$J$3274,9,FALSE)</f>
        <v>M</v>
      </c>
      <c r="I1219" s="8" t="s">
        <v>2862</v>
      </c>
      <c r="J1219" s="8" t="s">
        <v>1727</v>
      </c>
      <c r="L1219" s="8" t="s">
        <v>112</v>
      </c>
      <c r="N1219" s="8" t="s">
        <v>113</v>
      </c>
      <c r="Q1219" s="8" t="s">
        <v>32</v>
      </c>
      <c r="R1219" s="8">
        <v>7</v>
      </c>
      <c r="S1219" s="8">
        <v>6</v>
      </c>
      <c r="T1219" s="8">
        <f t="shared" si="125"/>
        <v>13</v>
      </c>
      <c r="U1219" s="8">
        <v>1</v>
      </c>
      <c r="V1219" s="8">
        <v>1</v>
      </c>
      <c r="W1219" s="8">
        <v>1</v>
      </c>
      <c r="X1219" s="8">
        <v>0</v>
      </c>
      <c r="Y1219" s="8">
        <v>0</v>
      </c>
      <c r="Z1219" s="8">
        <v>0</v>
      </c>
      <c r="AA1219" s="8">
        <v>180</v>
      </c>
      <c r="AB1219" s="9">
        <f t="shared" si="126"/>
        <v>0.5</v>
      </c>
      <c r="AC1219" s="10">
        <f t="shared" ref="AC1219:AC1282" si="128">IFERROR(T1219/AB1219,"sin venta")</f>
        <v>26</v>
      </c>
      <c r="AD1219" s="8" t="s">
        <v>33</v>
      </c>
      <c r="AE1219" s="11">
        <v>232990</v>
      </c>
      <c r="AF1219" s="11">
        <f t="shared" ref="AF1219:AF1282" si="129">IFERROR(AE1219*T1219,0)</f>
        <v>3028870</v>
      </c>
      <c r="AG1219" s="12" t="s">
        <v>73</v>
      </c>
      <c r="AH1219" s="8" t="s">
        <v>65</v>
      </c>
    </row>
    <row r="1220" spans="1:34">
      <c r="A1220" s="8" t="s">
        <v>1737</v>
      </c>
      <c r="B1220" s="16" t="s">
        <v>2860</v>
      </c>
      <c r="C1220" s="8" t="s">
        <v>40</v>
      </c>
      <c r="D1220" s="8" t="s">
        <v>1681</v>
      </c>
      <c r="E1220" s="8" t="str">
        <f t="shared" si="127"/>
        <v>NEGRO</v>
      </c>
      <c r="H1220" s="8" t="str">
        <f>VLOOKUP(A1220,[1]BBDD!$B$1:$J$3274,9,FALSE)</f>
        <v>M</v>
      </c>
      <c r="I1220" s="8" t="s">
        <v>2862</v>
      </c>
      <c r="J1220" s="8" t="s">
        <v>1727</v>
      </c>
      <c r="L1220" s="8" t="s">
        <v>112</v>
      </c>
      <c r="N1220" s="8" t="s">
        <v>44</v>
      </c>
      <c r="Q1220" s="8" t="s">
        <v>32</v>
      </c>
      <c r="R1220" s="8">
        <v>3</v>
      </c>
      <c r="S1220" s="8">
        <v>4</v>
      </c>
      <c r="T1220" s="8">
        <f t="shared" si="125"/>
        <v>7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180</v>
      </c>
      <c r="AB1220" s="9">
        <f t="shared" si="126"/>
        <v>0</v>
      </c>
      <c r="AC1220" s="10" t="str">
        <f t="shared" si="128"/>
        <v>sin venta</v>
      </c>
      <c r="AD1220" s="8" t="s">
        <v>33</v>
      </c>
      <c r="AE1220" s="11">
        <v>232990</v>
      </c>
      <c r="AF1220" s="11">
        <f t="shared" si="129"/>
        <v>1630930</v>
      </c>
      <c r="AG1220" s="12" t="s">
        <v>73</v>
      </c>
      <c r="AH1220" s="8" t="s">
        <v>35</v>
      </c>
    </row>
    <row r="1221" spans="1:34">
      <c r="A1221" s="8" t="s">
        <v>1738</v>
      </c>
      <c r="B1221" s="16" t="s">
        <v>2860</v>
      </c>
      <c r="C1221" s="8" t="s">
        <v>40</v>
      </c>
      <c r="D1221" s="8" t="s">
        <v>1681</v>
      </c>
      <c r="E1221" s="8" t="str">
        <f t="shared" si="127"/>
        <v>LIGHT</v>
      </c>
      <c r="H1221" s="8" t="str">
        <f>VLOOKUP(A1221,[1]BBDD!$B$1:$J$3274,9,FALSE)</f>
        <v>M</v>
      </c>
      <c r="I1221" s="8" t="s">
        <v>2862</v>
      </c>
      <c r="J1221" s="8" t="s">
        <v>1727</v>
      </c>
      <c r="L1221" s="8" t="s">
        <v>189</v>
      </c>
      <c r="N1221" s="8" t="s">
        <v>783</v>
      </c>
      <c r="Q1221" s="8" t="s">
        <v>32</v>
      </c>
      <c r="R1221" s="8">
        <v>0</v>
      </c>
      <c r="S1221" s="8">
        <v>0</v>
      </c>
      <c r="T1221" s="8">
        <f t="shared" si="125"/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180</v>
      </c>
      <c r="AB1221" s="9">
        <f t="shared" si="126"/>
        <v>0</v>
      </c>
      <c r="AC1221" s="10" t="str">
        <f t="shared" si="128"/>
        <v>sin venta</v>
      </c>
      <c r="AD1221" s="8" t="s">
        <v>33</v>
      </c>
      <c r="AE1221" s="11">
        <v>232990</v>
      </c>
      <c r="AF1221" s="11">
        <f t="shared" si="129"/>
        <v>0</v>
      </c>
      <c r="AG1221" s="12" t="s">
        <v>73</v>
      </c>
      <c r="AH1221" s="8" t="s">
        <v>35</v>
      </c>
    </row>
    <row r="1222" spans="1:34">
      <c r="A1222" s="8" t="s">
        <v>1739</v>
      </c>
      <c r="B1222" s="16" t="s">
        <v>2860</v>
      </c>
      <c r="C1222" s="8" t="s">
        <v>40</v>
      </c>
      <c r="D1222" s="8" t="s">
        <v>1681</v>
      </c>
      <c r="E1222" s="8" t="str">
        <f t="shared" si="127"/>
        <v>TABACO</v>
      </c>
      <c r="H1222" s="8" t="str">
        <f>VLOOKUP(A1222,[1]BBDD!$B$1:$J$3274,9,FALSE)</f>
        <v>H</v>
      </c>
      <c r="I1222" s="17" t="s">
        <v>2861</v>
      </c>
      <c r="J1222" s="8" t="s">
        <v>1740</v>
      </c>
      <c r="L1222" s="8" t="s">
        <v>61</v>
      </c>
      <c r="N1222" s="8" t="s">
        <v>67</v>
      </c>
      <c r="Q1222" s="8" t="s">
        <v>32</v>
      </c>
      <c r="R1222" s="8">
        <v>1</v>
      </c>
      <c r="S1222" s="8">
        <v>6</v>
      </c>
      <c r="T1222" s="8">
        <f t="shared" si="125"/>
        <v>7</v>
      </c>
      <c r="U1222" s="8">
        <v>1</v>
      </c>
      <c r="V1222" s="8">
        <v>0</v>
      </c>
      <c r="W1222" s="8">
        <v>1</v>
      </c>
      <c r="X1222" s="8">
        <v>1</v>
      </c>
      <c r="Y1222" s="8">
        <v>1</v>
      </c>
      <c r="Z1222" s="8">
        <v>0</v>
      </c>
      <c r="AA1222" s="8">
        <v>180</v>
      </c>
      <c r="AB1222" s="9">
        <f t="shared" si="126"/>
        <v>0.66666666666666674</v>
      </c>
      <c r="AC1222" s="10">
        <f t="shared" si="128"/>
        <v>10.499999999999998</v>
      </c>
      <c r="AD1222" s="8" t="s">
        <v>33</v>
      </c>
      <c r="AE1222" s="11">
        <v>399990</v>
      </c>
      <c r="AF1222" s="11">
        <f t="shared" si="129"/>
        <v>2799930</v>
      </c>
      <c r="AG1222" s="12" t="s">
        <v>51</v>
      </c>
      <c r="AH1222" s="8" t="s">
        <v>35</v>
      </c>
    </row>
    <row r="1223" spans="1:34">
      <c r="A1223" s="8" t="s">
        <v>1741</v>
      </c>
      <c r="B1223" s="16" t="s">
        <v>2860</v>
      </c>
      <c r="C1223" s="8" t="s">
        <v>40</v>
      </c>
      <c r="D1223" s="8" t="s">
        <v>1681</v>
      </c>
      <c r="E1223" s="8" t="str">
        <f t="shared" si="127"/>
        <v>CARAMELO</v>
      </c>
      <c r="H1223" s="8" t="str">
        <f>VLOOKUP(A1223,[1]BBDD!$B$1:$J$3274,9,FALSE)</f>
        <v>H</v>
      </c>
      <c r="I1223" s="17" t="s">
        <v>2861</v>
      </c>
      <c r="J1223" s="8" t="s">
        <v>1740</v>
      </c>
      <c r="L1223" s="8" t="s">
        <v>61</v>
      </c>
      <c r="N1223" s="8" t="s">
        <v>62</v>
      </c>
      <c r="Q1223" s="8" t="s">
        <v>45</v>
      </c>
      <c r="R1223" s="8">
        <v>1</v>
      </c>
      <c r="S1223" s="8">
        <v>5</v>
      </c>
      <c r="T1223" s="8">
        <f t="shared" si="125"/>
        <v>6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1</v>
      </c>
      <c r="AA1223" s="8">
        <v>180</v>
      </c>
      <c r="AB1223" s="9">
        <f t="shared" si="126"/>
        <v>0.16666666666666669</v>
      </c>
      <c r="AC1223" s="10">
        <f t="shared" si="128"/>
        <v>35.999999999999993</v>
      </c>
      <c r="AD1223" s="8" t="s">
        <v>109</v>
      </c>
      <c r="AE1223" s="11">
        <v>399990</v>
      </c>
      <c r="AF1223" s="11">
        <f t="shared" si="129"/>
        <v>2399940</v>
      </c>
      <c r="AG1223" s="12" t="s">
        <v>73</v>
      </c>
      <c r="AH1223" s="8" t="s">
        <v>35</v>
      </c>
    </row>
    <row r="1224" spans="1:34">
      <c r="A1224" s="8" t="s">
        <v>1742</v>
      </c>
      <c r="B1224" s="16" t="s">
        <v>2860</v>
      </c>
      <c r="C1224" s="8" t="s">
        <v>40</v>
      </c>
      <c r="D1224" s="8" t="s">
        <v>1681</v>
      </c>
      <c r="E1224" s="8" t="str">
        <f t="shared" si="127"/>
        <v>NEGRO</v>
      </c>
      <c r="H1224" s="8" t="str">
        <f>VLOOKUP(A1224,[1]BBDD!$B$1:$J$3274,9,FALSE)</f>
        <v>H</v>
      </c>
      <c r="I1224" s="17" t="s">
        <v>2861</v>
      </c>
      <c r="J1224" s="8" t="s">
        <v>1740</v>
      </c>
      <c r="L1224" s="8" t="s">
        <v>61</v>
      </c>
      <c r="N1224" s="8" t="s">
        <v>44</v>
      </c>
      <c r="Q1224" s="8" t="s">
        <v>45</v>
      </c>
      <c r="R1224" s="8">
        <v>0</v>
      </c>
      <c r="S1224" s="8">
        <v>7</v>
      </c>
      <c r="T1224" s="8">
        <f t="shared" si="125"/>
        <v>7</v>
      </c>
      <c r="U1224" s="8">
        <v>1</v>
      </c>
      <c r="V1224" s="8">
        <v>0</v>
      </c>
      <c r="W1224" s="8">
        <v>1</v>
      </c>
      <c r="X1224" s="8">
        <v>2</v>
      </c>
      <c r="Y1224" s="8">
        <v>1</v>
      </c>
      <c r="Z1224" s="8">
        <v>0</v>
      </c>
      <c r="AA1224" s="8">
        <v>180</v>
      </c>
      <c r="AB1224" s="9">
        <f t="shared" si="126"/>
        <v>0.83333333333333326</v>
      </c>
      <c r="AC1224" s="10">
        <f t="shared" si="128"/>
        <v>8.4</v>
      </c>
      <c r="AD1224" s="8" t="s">
        <v>109</v>
      </c>
      <c r="AE1224" s="11">
        <v>399990</v>
      </c>
      <c r="AF1224" s="11">
        <f t="shared" si="129"/>
        <v>2799930</v>
      </c>
      <c r="AG1224" s="12" t="s">
        <v>51</v>
      </c>
      <c r="AH1224" s="8" t="s">
        <v>35</v>
      </c>
    </row>
    <row r="1225" spans="1:34">
      <c r="A1225" s="8" t="s">
        <v>1743</v>
      </c>
      <c r="B1225" s="16" t="s">
        <v>2860</v>
      </c>
      <c r="C1225" s="8" t="s">
        <v>40</v>
      </c>
      <c r="D1225" s="8" t="s">
        <v>1681</v>
      </c>
      <c r="E1225" s="8" t="str">
        <f t="shared" si="127"/>
        <v>NEGRO</v>
      </c>
      <c r="H1225" s="8" t="str">
        <f>VLOOKUP(A1225,[1]BBDD!$B$1:$J$3274,9,FALSE)</f>
        <v>H</v>
      </c>
      <c r="I1225" s="17" t="s">
        <v>2861</v>
      </c>
      <c r="J1225" s="8" t="s">
        <v>1740</v>
      </c>
      <c r="L1225" s="8" t="s">
        <v>211</v>
      </c>
      <c r="N1225" s="8" t="s">
        <v>44</v>
      </c>
      <c r="Q1225" s="8" t="s">
        <v>32</v>
      </c>
      <c r="R1225" s="8">
        <v>0</v>
      </c>
      <c r="S1225" s="8">
        <v>4</v>
      </c>
      <c r="T1225" s="8">
        <f t="shared" si="125"/>
        <v>4</v>
      </c>
      <c r="U1225" s="8">
        <v>1</v>
      </c>
      <c r="V1225" s="8">
        <v>0</v>
      </c>
      <c r="W1225" s="8">
        <v>0</v>
      </c>
      <c r="X1225" s="8">
        <v>0</v>
      </c>
      <c r="Y1225" s="8">
        <v>0</v>
      </c>
      <c r="Z1225" s="8">
        <v>2</v>
      </c>
      <c r="AA1225" s="8">
        <v>180</v>
      </c>
      <c r="AB1225" s="9">
        <f t="shared" si="126"/>
        <v>0.5</v>
      </c>
      <c r="AC1225" s="10">
        <f t="shared" si="128"/>
        <v>8</v>
      </c>
      <c r="AD1225" s="8" t="s">
        <v>33</v>
      </c>
      <c r="AE1225" s="11">
        <v>399990</v>
      </c>
      <c r="AF1225" s="11">
        <f t="shared" si="129"/>
        <v>1599960</v>
      </c>
      <c r="AG1225" s="12" t="s">
        <v>51</v>
      </c>
      <c r="AH1225" s="8" t="s">
        <v>35</v>
      </c>
    </row>
    <row r="1226" spans="1:34">
      <c r="A1226" s="8" t="s">
        <v>1744</v>
      </c>
      <c r="B1226" s="16" t="s">
        <v>2860</v>
      </c>
      <c r="C1226" s="8" t="s">
        <v>40</v>
      </c>
      <c r="D1226" s="8" t="s">
        <v>1681</v>
      </c>
      <c r="E1226" s="8" t="str">
        <f t="shared" si="127"/>
        <v>CEDRO</v>
      </c>
      <c r="H1226" s="8" t="str">
        <f>VLOOKUP(A1226,[1]BBDD!$B$1:$J$3274,9,FALSE)</f>
        <v>H</v>
      </c>
      <c r="I1226" s="17" t="s">
        <v>2861</v>
      </c>
      <c r="J1226" s="8" t="s">
        <v>1740</v>
      </c>
      <c r="L1226" s="8" t="s">
        <v>112</v>
      </c>
      <c r="N1226" s="8" t="s">
        <v>113</v>
      </c>
      <c r="Q1226" s="8" t="s">
        <v>32</v>
      </c>
      <c r="R1226" s="8">
        <v>3</v>
      </c>
      <c r="S1226" s="8">
        <v>3</v>
      </c>
      <c r="T1226" s="8">
        <f t="shared" si="125"/>
        <v>6</v>
      </c>
      <c r="U1226" s="8">
        <v>1</v>
      </c>
      <c r="V1226" s="8">
        <v>0</v>
      </c>
      <c r="W1226" s="8">
        <v>0</v>
      </c>
      <c r="X1226" s="8">
        <v>2</v>
      </c>
      <c r="Y1226" s="8">
        <v>0</v>
      </c>
      <c r="Z1226" s="8">
        <v>0</v>
      </c>
      <c r="AA1226" s="8">
        <v>180</v>
      </c>
      <c r="AB1226" s="9">
        <f t="shared" si="126"/>
        <v>0.5</v>
      </c>
      <c r="AC1226" s="10">
        <f t="shared" si="128"/>
        <v>12</v>
      </c>
      <c r="AD1226" s="8" t="s">
        <v>33</v>
      </c>
      <c r="AE1226" s="11">
        <v>399990</v>
      </c>
      <c r="AF1226" s="11">
        <f t="shared" si="129"/>
        <v>2399940</v>
      </c>
      <c r="AG1226" s="12" t="s">
        <v>51</v>
      </c>
      <c r="AH1226" s="8" t="s">
        <v>35</v>
      </c>
    </row>
    <row r="1227" spans="1:34">
      <c r="A1227" s="8" t="s">
        <v>1745</v>
      </c>
      <c r="B1227" s="16" t="s">
        <v>2860</v>
      </c>
      <c r="C1227" s="8" t="s">
        <v>40</v>
      </c>
      <c r="D1227" s="8" t="s">
        <v>1681</v>
      </c>
      <c r="E1227" s="8" t="str">
        <f t="shared" si="127"/>
        <v>NEGRO</v>
      </c>
      <c r="H1227" s="8" t="str">
        <f>VLOOKUP(A1227,[1]BBDD!$B$1:$J$3274,9,FALSE)</f>
        <v>H</v>
      </c>
      <c r="I1227" s="17" t="s">
        <v>2861</v>
      </c>
      <c r="J1227" s="8" t="s">
        <v>1746</v>
      </c>
      <c r="L1227" s="8" t="s">
        <v>61</v>
      </c>
      <c r="N1227" s="8" t="s">
        <v>44</v>
      </c>
      <c r="Q1227" s="8" t="s">
        <v>32</v>
      </c>
      <c r="R1227" s="8">
        <v>0</v>
      </c>
      <c r="S1227" s="8">
        <v>6</v>
      </c>
      <c r="T1227" s="8">
        <f t="shared" si="125"/>
        <v>6</v>
      </c>
      <c r="U1227" s="8">
        <v>0</v>
      </c>
      <c r="V1227" s="8">
        <v>0</v>
      </c>
      <c r="W1227" s="8">
        <v>0</v>
      </c>
      <c r="X1227" s="8">
        <v>0</v>
      </c>
      <c r="Y1227" s="8">
        <v>1</v>
      </c>
      <c r="Z1227" s="8">
        <v>0</v>
      </c>
      <c r="AA1227" s="8">
        <v>180</v>
      </c>
      <c r="AB1227" s="9">
        <f t="shared" si="126"/>
        <v>0.16666666666666669</v>
      </c>
      <c r="AC1227" s="10">
        <f t="shared" si="128"/>
        <v>35.999999999999993</v>
      </c>
      <c r="AD1227" s="8" t="s">
        <v>33</v>
      </c>
      <c r="AE1227" s="11">
        <v>399990</v>
      </c>
      <c r="AF1227" s="11">
        <f t="shared" si="129"/>
        <v>2399940</v>
      </c>
      <c r="AG1227" s="12" t="s">
        <v>73</v>
      </c>
      <c r="AH1227" s="8" t="s">
        <v>35</v>
      </c>
    </row>
    <row r="1228" spans="1:34">
      <c r="A1228" s="8" t="s">
        <v>1747</v>
      </c>
      <c r="B1228" s="16" t="s">
        <v>2860</v>
      </c>
      <c r="C1228" s="8" t="s">
        <v>40</v>
      </c>
      <c r="D1228" s="8" t="s">
        <v>1681</v>
      </c>
      <c r="E1228" s="8" t="str">
        <f t="shared" si="127"/>
        <v>CARAMELO</v>
      </c>
      <c r="H1228" s="8" t="str">
        <f>VLOOKUP(A1228,[1]BBDD!$B$1:$J$3274,9,FALSE)</f>
        <v>U</v>
      </c>
      <c r="I1228" s="8" t="s">
        <v>2861</v>
      </c>
      <c r="J1228" s="8" t="s">
        <v>1748</v>
      </c>
      <c r="L1228" s="8" t="s">
        <v>61</v>
      </c>
      <c r="N1228" s="8" t="s">
        <v>62</v>
      </c>
      <c r="Q1228" s="8" t="s">
        <v>32</v>
      </c>
      <c r="R1228" s="8">
        <v>2</v>
      </c>
      <c r="S1228" s="8">
        <v>6</v>
      </c>
      <c r="T1228" s="8">
        <f t="shared" si="125"/>
        <v>8</v>
      </c>
      <c r="U1228" s="8">
        <v>1</v>
      </c>
      <c r="V1228" s="8">
        <v>0</v>
      </c>
      <c r="W1228" s="8">
        <v>0</v>
      </c>
      <c r="X1228" s="8">
        <v>2</v>
      </c>
      <c r="Y1228" s="8">
        <v>0</v>
      </c>
      <c r="Z1228" s="8">
        <v>3</v>
      </c>
      <c r="AA1228" s="8">
        <v>180</v>
      </c>
      <c r="AB1228" s="9">
        <f t="shared" si="126"/>
        <v>1</v>
      </c>
      <c r="AC1228" s="10">
        <f t="shared" si="128"/>
        <v>8</v>
      </c>
      <c r="AD1228" s="8" t="s">
        <v>33</v>
      </c>
      <c r="AE1228" s="11">
        <v>279990</v>
      </c>
      <c r="AF1228" s="11">
        <f t="shared" si="129"/>
        <v>2239920</v>
      </c>
      <c r="AG1228" s="12" t="s">
        <v>51</v>
      </c>
      <c r="AH1228" s="8" t="s">
        <v>35</v>
      </c>
    </row>
    <row r="1229" spans="1:34">
      <c r="A1229" s="8" t="s">
        <v>1749</v>
      </c>
      <c r="B1229" s="16" t="s">
        <v>2860</v>
      </c>
      <c r="C1229" s="8" t="s">
        <v>40</v>
      </c>
      <c r="D1229" s="8" t="s">
        <v>1681</v>
      </c>
      <c r="E1229" s="8" t="str">
        <f t="shared" si="127"/>
        <v>CHOCOLATE</v>
      </c>
      <c r="H1229" s="8" t="str">
        <f>VLOOKUP(A1229,[1]BBDD!$B$1:$J$3274,9,FALSE)</f>
        <v>U</v>
      </c>
      <c r="I1229" s="8" t="s">
        <v>2861</v>
      </c>
      <c r="J1229" s="8" t="s">
        <v>1748</v>
      </c>
      <c r="L1229" s="8" t="s">
        <v>61</v>
      </c>
      <c r="N1229" s="8" t="s">
        <v>252</v>
      </c>
      <c r="Q1229" s="8" t="s">
        <v>32</v>
      </c>
      <c r="R1229" s="8">
        <v>0</v>
      </c>
      <c r="S1229" s="8">
        <v>3</v>
      </c>
      <c r="T1229" s="8">
        <f t="shared" si="125"/>
        <v>3</v>
      </c>
      <c r="U1229" s="8">
        <v>0</v>
      </c>
      <c r="V1229" s="8">
        <v>0</v>
      </c>
      <c r="W1229" s="8">
        <v>2</v>
      </c>
      <c r="X1229" s="8">
        <v>1</v>
      </c>
      <c r="Y1229" s="8">
        <v>0</v>
      </c>
      <c r="Z1229" s="8">
        <v>1</v>
      </c>
      <c r="AA1229" s="8">
        <v>180</v>
      </c>
      <c r="AB1229" s="9">
        <f t="shared" si="126"/>
        <v>0.66666666666666674</v>
      </c>
      <c r="AC1229" s="10">
        <f t="shared" si="128"/>
        <v>4.4999999999999991</v>
      </c>
      <c r="AD1229" s="8" t="s">
        <v>33</v>
      </c>
      <c r="AE1229" s="11">
        <v>279990</v>
      </c>
      <c r="AF1229" s="11">
        <f t="shared" si="129"/>
        <v>839970</v>
      </c>
      <c r="AG1229" s="12" t="s">
        <v>34</v>
      </c>
      <c r="AH1229" s="8" t="s">
        <v>35</v>
      </c>
    </row>
    <row r="1230" spans="1:34">
      <c r="A1230" s="8" t="s">
        <v>1750</v>
      </c>
      <c r="B1230" s="16" t="s">
        <v>2860</v>
      </c>
      <c r="C1230" s="8" t="s">
        <v>40</v>
      </c>
      <c r="D1230" s="8" t="s">
        <v>1681</v>
      </c>
      <c r="E1230" s="8" t="str">
        <f t="shared" si="127"/>
        <v>NEGRO</v>
      </c>
      <c r="H1230" s="8" t="str">
        <f>VLOOKUP(A1230,[1]BBDD!$B$1:$J$3274,9,FALSE)</f>
        <v>U</v>
      </c>
      <c r="I1230" s="8" t="s">
        <v>2861</v>
      </c>
      <c r="J1230" s="8" t="s">
        <v>1748</v>
      </c>
      <c r="L1230" s="8" t="s">
        <v>61</v>
      </c>
      <c r="N1230" s="8" t="s">
        <v>44</v>
      </c>
      <c r="Q1230" s="8" t="s">
        <v>45</v>
      </c>
      <c r="R1230" s="8">
        <v>18</v>
      </c>
      <c r="S1230" s="8">
        <v>12</v>
      </c>
      <c r="T1230" s="8">
        <f t="shared" si="125"/>
        <v>30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180</v>
      </c>
      <c r="AB1230" s="9">
        <f t="shared" si="126"/>
        <v>0</v>
      </c>
      <c r="AC1230" s="10" t="str">
        <f t="shared" si="128"/>
        <v>sin venta</v>
      </c>
      <c r="AD1230" s="8" t="s">
        <v>109</v>
      </c>
      <c r="AE1230" s="11">
        <v>279990</v>
      </c>
      <c r="AF1230" s="11">
        <f t="shared" si="129"/>
        <v>8399700</v>
      </c>
      <c r="AG1230" s="12" t="s">
        <v>73</v>
      </c>
      <c r="AH1230" s="8" t="s">
        <v>74</v>
      </c>
    </row>
    <row r="1231" spans="1:34">
      <c r="A1231" s="8" t="s">
        <v>1751</v>
      </c>
      <c r="B1231" s="16" t="s">
        <v>2860</v>
      </c>
      <c r="C1231" s="8" t="s">
        <v>40</v>
      </c>
      <c r="D1231" s="8" t="s">
        <v>1681</v>
      </c>
      <c r="E1231" s="8" t="str">
        <f t="shared" si="127"/>
        <v>TABACO</v>
      </c>
      <c r="H1231" s="8" t="str">
        <f>VLOOKUP(A1231,[1]BBDD!$B$1:$J$3274,9,FALSE)</f>
        <v>U</v>
      </c>
      <c r="I1231" s="8" t="s">
        <v>2861</v>
      </c>
      <c r="J1231" s="8" t="s">
        <v>1748</v>
      </c>
      <c r="L1231" s="8" t="s">
        <v>61</v>
      </c>
      <c r="N1231" s="8" t="s">
        <v>67</v>
      </c>
      <c r="Q1231" s="8" t="s">
        <v>45</v>
      </c>
      <c r="R1231" s="8">
        <v>3</v>
      </c>
      <c r="S1231" s="8">
        <v>9</v>
      </c>
      <c r="T1231" s="8">
        <f t="shared" si="125"/>
        <v>12</v>
      </c>
      <c r="U1231" s="8">
        <v>0</v>
      </c>
      <c r="V1231" s="8">
        <v>1</v>
      </c>
      <c r="W1231" s="8">
        <v>2</v>
      </c>
      <c r="X1231" s="8">
        <v>2</v>
      </c>
      <c r="Y1231" s="8">
        <v>0</v>
      </c>
      <c r="Z1231" s="8">
        <v>0</v>
      </c>
      <c r="AA1231" s="8">
        <v>180</v>
      </c>
      <c r="AB1231" s="9">
        <f t="shared" si="126"/>
        <v>0.83333333333333326</v>
      </c>
      <c r="AC1231" s="10">
        <f t="shared" si="128"/>
        <v>14.400000000000002</v>
      </c>
      <c r="AD1231" s="8" t="s">
        <v>109</v>
      </c>
      <c r="AE1231" s="11">
        <v>279990</v>
      </c>
      <c r="AF1231" s="11">
        <f t="shared" si="129"/>
        <v>3359880</v>
      </c>
      <c r="AG1231" s="12" t="s">
        <v>64</v>
      </c>
      <c r="AH1231" s="8" t="s">
        <v>65</v>
      </c>
    </row>
    <row r="1232" spans="1:34">
      <c r="A1232" s="8" t="s">
        <v>1752</v>
      </c>
      <c r="B1232" s="16" t="s">
        <v>2860</v>
      </c>
      <c r="C1232" s="8" t="s">
        <v>40</v>
      </c>
      <c r="D1232" s="8" t="s">
        <v>1681</v>
      </c>
      <c r="E1232" s="8" t="str">
        <f t="shared" si="127"/>
        <v>NEGRO</v>
      </c>
      <c r="H1232" s="8" t="str">
        <f>VLOOKUP(A1232,[1]BBDD!$B$1:$J$3274,9,FALSE)</f>
        <v>U</v>
      </c>
      <c r="I1232" s="8" t="s">
        <v>2861</v>
      </c>
      <c r="J1232" s="8" t="s">
        <v>1748</v>
      </c>
      <c r="L1232" s="8" t="s">
        <v>82</v>
      </c>
      <c r="N1232" s="8" t="s">
        <v>44</v>
      </c>
      <c r="Q1232" s="8" t="s">
        <v>32</v>
      </c>
      <c r="R1232" s="8">
        <v>13</v>
      </c>
      <c r="S1232" s="8">
        <v>10</v>
      </c>
      <c r="T1232" s="8">
        <f t="shared" si="125"/>
        <v>23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180</v>
      </c>
      <c r="AB1232" s="9">
        <f t="shared" si="126"/>
        <v>0</v>
      </c>
      <c r="AC1232" s="10" t="str">
        <f t="shared" si="128"/>
        <v>sin venta</v>
      </c>
      <c r="AD1232" s="8" t="s">
        <v>33</v>
      </c>
      <c r="AE1232" s="11">
        <v>279990</v>
      </c>
      <c r="AF1232" s="11">
        <f t="shared" si="129"/>
        <v>6439770</v>
      </c>
      <c r="AG1232" s="12" t="s">
        <v>73</v>
      </c>
      <c r="AH1232" s="8" t="s">
        <v>74</v>
      </c>
    </row>
    <row r="1233" spans="1:34">
      <c r="A1233" s="8" t="s">
        <v>1753</v>
      </c>
      <c r="B1233" s="16" t="s">
        <v>2860</v>
      </c>
      <c r="C1233" s="8" t="s">
        <v>40</v>
      </c>
      <c r="D1233" s="8" t="s">
        <v>1681</v>
      </c>
      <c r="E1233" s="8" t="str">
        <f t="shared" si="127"/>
        <v>SUELA</v>
      </c>
      <c r="H1233" s="8" t="str">
        <f>VLOOKUP(A1233,[1]BBDD!$B$1:$J$3274,9,FALSE)</f>
        <v>U</v>
      </c>
      <c r="I1233" s="8" t="s">
        <v>2861</v>
      </c>
      <c r="J1233" s="8" t="s">
        <v>1748</v>
      </c>
      <c r="L1233" s="8" t="s">
        <v>82</v>
      </c>
      <c r="N1233" s="8" t="s">
        <v>90</v>
      </c>
      <c r="Q1233" s="8" t="s">
        <v>45</v>
      </c>
      <c r="R1233" s="8">
        <v>0</v>
      </c>
      <c r="S1233" s="8">
        <v>5</v>
      </c>
      <c r="T1233" s="8">
        <f t="shared" si="125"/>
        <v>5</v>
      </c>
      <c r="U1233" s="8">
        <v>1</v>
      </c>
      <c r="V1233" s="8">
        <v>0</v>
      </c>
      <c r="W1233" s="8">
        <v>1</v>
      </c>
      <c r="X1233" s="8">
        <v>1</v>
      </c>
      <c r="Y1233" s="8">
        <v>0</v>
      </c>
      <c r="Z1233" s="8">
        <v>1</v>
      </c>
      <c r="AA1233" s="8">
        <v>180</v>
      </c>
      <c r="AB1233" s="9">
        <f t="shared" si="126"/>
        <v>0.66666666666666674</v>
      </c>
      <c r="AC1233" s="10">
        <f t="shared" si="128"/>
        <v>7.4999999999999991</v>
      </c>
      <c r="AD1233" s="8" t="s">
        <v>109</v>
      </c>
      <c r="AE1233" s="11">
        <v>279990</v>
      </c>
      <c r="AF1233" s="11">
        <f t="shared" si="129"/>
        <v>1399950</v>
      </c>
      <c r="AG1233" s="12" t="s">
        <v>51</v>
      </c>
      <c r="AH1233" s="8" t="s">
        <v>35</v>
      </c>
    </row>
    <row r="1234" spans="1:34">
      <c r="A1234" s="8" t="s">
        <v>1754</v>
      </c>
      <c r="B1234" s="16" t="s">
        <v>2860</v>
      </c>
      <c r="C1234" s="8" t="s">
        <v>40</v>
      </c>
      <c r="D1234" s="8" t="s">
        <v>1681</v>
      </c>
      <c r="E1234" s="8" t="str">
        <f t="shared" si="127"/>
        <v>NEGRO</v>
      </c>
      <c r="H1234" s="8" t="str">
        <f>VLOOKUP(A1234,[1]BBDD!$B$1:$J$3274,9,FALSE)</f>
        <v>U</v>
      </c>
      <c r="I1234" s="8" t="s">
        <v>2861</v>
      </c>
      <c r="J1234" s="8" t="s">
        <v>1755</v>
      </c>
      <c r="L1234" s="8" t="s">
        <v>61</v>
      </c>
      <c r="N1234" s="8" t="s">
        <v>44</v>
      </c>
      <c r="Q1234" s="8" t="s">
        <v>32</v>
      </c>
      <c r="R1234" s="8">
        <v>2</v>
      </c>
      <c r="S1234" s="8">
        <v>5</v>
      </c>
      <c r="T1234" s="8">
        <f t="shared" si="125"/>
        <v>7</v>
      </c>
      <c r="U1234" s="8">
        <v>1</v>
      </c>
      <c r="V1234" s="8">
        <v>1</v>
      </c>
      <c r="W1234" s="8">
        <v>0</v>
      </c>
      <c r="X1234" s="8">
        <v>0</v>
      </c>
      <c r="Y1234" s="8">
        <v>1</v>
      </c>
      <c r="Z1234" s="8">
        <v>0</v>
      </c>
      <c r="AA1234" s="8">
        <v>180</v>
      </c>
      <c r="AB1234" s="9">
        <f t="shared" si="126"/>
        <v>0.5</v>
      </c>
      <c r="AC1234" s="10">
        <f t="shared" si="128"/>
        <v>14</v>
      </c>
      <c r="AD1234" s="8" t="s">
        <v>33</v>
      </c>
      <c r="AE1234" s="11">
        <v>279990</v>
      </c>
      <c r="AF1234" s="11">
        <f t="shared" si="129"/>
        <v>1959930</v>
      </c>
      <c r="AG1234" s="12" t="s">
        <v>64</v>
      </c>
      <c r="AH1234" s="8" t="s">
        <v>35</v>
      </c>
    </row>
    <row r="1235" spans="1:34">
      <c r="A1235" s="8" t="s">
        <v>1756</v>
      </c>
      <c r="B1235" s="16" t="s">
        <v>399</v>
      </c>
      <c r="C1235" s="8" t="s">
        <v>40</v>
      </c>
      <c r="D1235" s="8" t="s">
        <v>1681</v>
      </c>
      <c r="E1235" s="8" t="str">
        <f t="shared" si="127"/>
        <v>NEGRO</v>
      </c>
      <c r="H1235" s="8" t="str">
        <f>VLOOKUP(A1235,[1]BBDD!$B$1:$J$3274,9,FALSE)</f>
        <v>H</v>
      </c>
      <c r="I1235" s="17" t="s">
        <v>2861</v>
      </c>
      <c r="J1235" s="8" t="s">
        <v>1757</v>
      </c>
      <c r="L1235" s="8" t="s">
        <v>61</v>
      </c>
      <c r="N1235" s="8" t="s">
        <v>44</v>
      </c>
      <c r="Q1235" s="8" t="s">
        <v>32</v>
      </c>
      <c r="R1235" s="8">
        <v>5</v>
      </c>
      <c r="S1235" s="8">
        <v>5</v>
      </c>
      <c r="T1235" s="8">
        <f t="shared" si="125"/>
        <v>10</v>
      </c>
      <c r="U1235" s="8">
        <v>0</v>
      </c>
      <c r="V1235" s="8">
        <v>0</v>
      </c>
      <c r="W1235" s="8">
        <v>0</v>
      </c>
      <c r="X1235" s="8">
        <v>0</v>
      </c>
      <c r="Y1235" s="8">
        <v>2</v>
      </c>
      <c r="Z1235" s="8">
        <v>0</v>
      </c>
      <c r="AA1235" s="8">
        <v>152</v>
      </c>
      <c r="AB1235" s="9">
        <f t="shared" si="126"/>
        <v>0.39473684210526316</v>
      </c>
      <c r="AC1235" s="10">
        <f t="shared" si="128"/>
        <v>25.333333333333332</v>
      </c>
      <c r="AD1235" s="8" t="s">
        <v>33</v>
      </c>
      <c r="AE1235" s="11">
        <v>279990</v>
      </c>
      <c r="AF1235" s="11">
        <f t="shared" si="129"/>
        <v>2799900</v>
      </c>
      <c r="AG1235" s="12" t="s">
        <v>73</v>
      </c>
      <c r="AH1235" s="8" t="s">
        <v>35</v>
      </c>
    </row>
    <row r="1236" spans="1:34">
      <c r="A1236" s="8" t="s">
        <v>1758</v>
      </c>
      <c r="B1236" s="16" t="s">
        <v>376</v>
      </c>
      <c r="C1236" s="8" t="s">
        <v>40</v>
      </c>
      <c r="D1236" s="8" t="s">
        <v>1759</v>
      </c>
      <c r="E1236" s="8" t="str">
        <f t="shared" si="127"/>
        <v>NEGRO</v>
      </c>
      <c r="G1236" s="8" t="s">
        <v>2861</v>
      </c>
      <c r="H1236" s="8" t="str">
        <f>VLOOKUP(A1236,[1]BBDD!$B$1:$J$3274,9,FALSE)</f>
        <v>U</v>
      </c>
      <c r="I1236" s="8" t="s">
        <v>2861</v>
      </c>
      <c r="J1236" s="8" t="s">
        <v>1760</v>
      </c>
      <c r="L1236" s="8" t="s">
        <v>1761</v>
      </c>
      <c r="N1236" s="8" t="s">
        <v>44</v>
      </c>
      <c r="Q1236" s="8" t="s">
        <v>32</v>
      </c>
      <c r="R1236" s="8">
        <v>51</v>
      </c>
      <c r="S1236" s="8">
        <v>19</v>
      </c>
      <c r="T1236" s="8">
        <f t="shared" si="125"/>
        <v>70</v>
      </c>
      <c r="U1236" s="8">
        <v>0</v>
      </c>
      <c r="V1236" s="8">
        <v>0</v>
      </c>
      <c r="W1236" s="8">
        <v>0</v>
      </c>
      <c r="X1236" s="8">
        <v>0</v>
      </c>
      <c r="Y1236" s="8">
        <v>8</v>
      </c>
      <c r="Z1236" s="8">
        <v>1</v>
      </c>
      <c r="AA1236" s="8">
        <v>64</v>
      </c>
      <c r="AB1236" s="9">
        <f t="shared" si="126"/>
        <v>4.21875</v>
      </c>
      <c r="AC1236" s="10">
        <f t="shared" si="128"/>
        <v>16.592592592592592</v>
      </c>
      <c r="AD1236" s="8" t="s">
        <v>33</v>
      </c>
      <c r="AE1236" s="11">
        <v>69990</v>
      </c>
      <c r="AF1236" s="11">
        <f t="shared" si="129"/>
        <v>4899300</v>
      </c>
      <c r="AG1236" s="12" t="s">
        <v>64</v>
      </c>
      <c r="AH1236" s="8" t="s">
        <v>74</v>
      </c>
    </row>
    <row r="1237" spans="1:34">
      <c r="A1237" s="8" t="s">
        <v>1762</v>
      </c>
      <c r="B1237" s="16" t="s">
        <v>376</v>
      </c>
      <c r="C1237" s="8" t="s">
        <v>40</v>
      </c>
      <c r="D1237" s="8" t="s">
        <v>1759</v>
      </c>
      <c r="E1237" s="8" t="str">
        <f t="shared" si="127"/>
        <v>NEGRO</v>
      </c>
      <c r="G1237" s="8" t="s">
        <v>2861</v>
      </c>
      <c r="H1237" s="8" t="str">
        <f>VLOOKUP(A1237,[1]BBDD!$B$1:$J$3274,9,FALSE)</f>
        <v>U</v>
      </c>
      <c r="I1237" s="8" t="s">
        <v>2861</v>
      </c>
      <c r="J1237" s="8" t="s">
        <v>1763</v>
      </c>
      <c r="L1237" s="8" t="s">
        <v>1761</v>
      </c>
      <c r="N1237" s="8" t="s">
        <v>44</v>
      </c>
      <c r="Q1237" s="8" t="s">
        <v>32</v>
      </c>
      <c r="R1237" s="8">
        <v>59</v>
      </c>
      <c r="S1237" s="8">
        <v>13</v>
      </c>
      <c r="T1237" s="8">
        <f t="shared" si="125"/>
        <v>72</v>
      </c>
      <c r="U1237" s="8">
        <v>0</v>
      </c>
      <c r="V1237" s="8">
        <v>0</v>
      </c>
      <c r="W1237" s="8">
        <v>0</v>
      </c>
      <c r="X1237" s="8">
        <v>0</v>
      </c>
      <c r="Y1237" s="8">
        <v>3</v>
      </c>
      <c r="Z1237" s="8">
        <v>4</v>
      </c>
      <c r="AA1237" s="8">
        <v>64</v>
      </c>
      <c r="AB1237" s="9">
        <f t="shared" si="126"/>
        <v>3.28125</v>
      </c>
      <c r="AC1237" s="10">
        <f t="shared" si="128"/>
        <v>21.942857142857143</v>
      </c>
      <c r="AD1237" s="8" t="s">
        <v>33</v>
      </c>
      <c r="AE1237" s="11">
        <v>69990</v>
      </c>
      <c r="AF1237" s="11">
        <f t="shared" si="129"/>
        <v>5039280</v>
      </c>
      <c r="AG1237" s="12" t="s">
        <v>64</v>
      </c>
      <c r="AH1237" s="8" t="s">
        <v>74</v>
      </c>
    </row>
    <row r="1238" spans="1:34">
      <c r="A1238" s="8" t="s">
        <v>1764</v>
      </c>
      <c r="B1238" s="16" t="s">
        <v>376</v>
      </c>
      <c r="C1238" s="8" t="s">
        <v>40</v>
      </c>
      <c r="D1238" s="8" t="s">
        <v>1759</v>
      </c>
      <c r="E1238" s="8" t="str">
        <f t="shared" si="127"/>
        <v>NEGRO</v>
      </c>
      <c r="G1238" s="8" t="s">
        <v>2861</v>
      </c>
      <c r="H1238" s="8" t="str">
        <f>VLOOKUP(A1238,[1]BBDD!$B$1:$J$3274,9,FALSE)</f>
        <v>U</v>
      </c>
      <c r="I1238" s="8" t="s">
        <v>2861</v>
      </c>
      <c r="J1238" s="8" t="s">
        <v>1765</v>
      </c>
      <c r="L1238" s="8" t="s">
        <v>1761</v>
      </c>
      <c r="N1238" s="8" t="s">
        <v>44</v>
      </c>
      <c r="Q1238" s="8" t="s">
        <v>32</v>
      </c>
      <c r="R1238" s="8">
        <v>62</v>
      </c>
      <c r="S1238" s="8">
        <v>13</v>
      </c>
      <c r="T1238" s="8">
        <f t="shared" si="125"/>
        <v>75</v>
      </c>
      <c r="U1238" s="8">
        <v>0</v>
      </c>
      <c r="V1238" s="8">
        <v>0</v>
      </c>
      <c r="W1238" s="8">
        <v>0</v>
      </c>
      <c r="X1238" s="8">
        <v>0</v>
      </c>
      <c r="Y1238" s="8">
        <v>3</v>
      </c>
      <c r="Z1238" s="8">
        <v>1</v>
      </c>
      <c r="AA1238" s="8">
        <v>64</v>
      </c>
      <c r="AB1238" s="9">
        <f t="shared" si="126"/>
        <v>1.875</v>
      </c>
      <c r="AC1238" s="10">
        <f t="shared" si="128"/>
        <v>40</v>
      </c>
      <c r="AD1238" s="8" t="s">
        <v>33</v>
      </c>
      <c r="AE1238" s="11">
        <v>69990</v>
      </c>
      <c r="AF1238" s="11">
        <f t="shared" si="129"/>
        <v>5249250</v>
      </c>
      <c r="AG1238" s="12" t="s">
        <v>73</v>
      </c>
      <c r="AH1238" s="8" t="s">
        <v>74</v>
      </c>
    </row>
    <row r="1239" spans="1:34">
      <c r="A1239" s="8" t="s">
        <v>1766</v>
      </c>
      <c r="B1239" s="16" t="s">
        <v>376</v>
      </c>
      <c r="C1239" s="8" t="s">
        <v>40</v>
      </c>
      <c r="D1239" s="8" t="s">
        <v>1759</v>
      </c>
      <c r="E1239" s="8" t="str">
        <f t="shared" si="127"/>
        <v>AZUL</v>
      </c>
      <c r="G1239" s="8" t="s">
        <v>2861</v>
      </c>
      <c r="H1239" s="8" t="str">
        <f>VLOOKUP(A1239,[1]BBDD!$B$1:$J$3274,9,FALSE)</f>
        <v>U</v>
      </c>
      <c r="I1239" s="8" t="s">
        <v>2861</v>
      </c>
      <c r="J1239" s="8" t="s">
        <v>1767</v>
      </c>
      <c r="L1239" s="8" t="s">
        <v>1761</v>
      </c>
      <c r="N1239" s="8" t="s">
        <v>83</v>
      </c>
      <c r="Q1239" s="8" t="s">
        <v>32</v>
      </c>
      <c r="R1239" s="8">
        <v>0</v>
      </c>
      <c r="S1239" s="8">
        <v>3</v>
      </c>
      <c r="T1239" s="8">
        <f t="shared" si="125"/>
        <v>3</v>
      </c>
      <c r="U1239" s="8">
        <v>0</v>
      </c>
      <c r="V1239" s="8">
        <v>0</v>
      </c>
      <c r="W1239" s="8">
        <v>0</v>
      </c>
      <c r="X1239" s="8">
        <v>0</v>
      </c>
      <c r="Y1239" s="8">
        <v>4</v>
      </c>
      <c r="Z1239" s="8">
        <v>1</v>
      </c>
      <c r="AA1239" s="8">
        <v>64</v>
      </c>
      <c r="AB1239" s="9">
        <f t="shared" si="126"/>
        <v>2.34375</v>
      </c>
      <c r="AC1239" s="10">
        <f t="shared" si="128"/>
        <v>1.28</v>
      </c>
      <c r="AD1239" s="8" t="s">
        <v>33</v>
      </c>
      <c r="AE1239" s="11">
        <v>109990</v>
      </c>
      <c r="AF1239" s="11">
        <f t="shared" si="129"/>
        <v>329970</v>
      </c>
      <c r="AG1239" s="12" t="s">
        <v>34</v>
      </c>
      <c r="AH1239" s="8" t="s">
        <v>35</v>
      </c>
    </row>
    <row r="1240" spans="1:34">
      <c r="A1240" s="8" t="s">
        <v>1768</v>
      </c>
      <c r="B1240" s="16" t="s">
        <v>376</v>
      </c>
      <c r="C1240" s="8" t="s">
        <v>40</v>
      </c>
      <c r="D1240" s="8" t="s">
        <v>1759</v>
      </c>
      <c r="E1240" s="8" t="str">
        <f t="shared" si="127"/>
        <v>GRIS</v>
      </c>
      <c r="G1240" s="8" t="s">
        <v>2861</v>
      </c>
      <c r="H1240" s="8" t="str">
        <f>VLOOKUP(A1240,[1]BBDD!$B$1:$J$3274,9,FALSE)</f>
        <v>U</v>
      </c>
      <c r="I1240" s="8" t="s">
        <v>2861</v>
      </c>
      <c r="J1240" s="8" t="s">
        <v>1767</v>
      </c>
      <c r="L1240" s="8" t="s">
        <v>1761</v>
      </c>
      <c r="N1240" s="8" t="s">
        <v>510</v>
      </c>
      <c r="Q1240" s="8" t="s">
        <v>32</v>
      </c>
      <c r="R1240" s="8">
        <v>15</v>
      </c>
      <c r="S1240" s="8">
        <v>13</v>
      </c>
      <c r="T1240" s="8">
        <f t="shared" si="125"/>
        <v>28</v>
      </c>
      <c r="U1240" s="8">
        <v>0</v>
      </c>
      <c r="V1240" s="8">
        <v>0</v>
      </c>
      <c r="W1240" s="8">
        <v>0</v>
      </c>
      <c r="X1240" s="8">
        <v>0</v>
      </c>
      <c r="Y1240" s="8">
        <v>1</v>
      </c>
      <c r="Z1240" s="8">
        <v>0</v>
      </c>
      <c r="AA1240" s="8">
        <v>64</v>
      </c>
      <c r="AB1240" s="9">
        <f t="shared" si="126"/>
        <v>0.46875</v>
      </c>
      <c r="AC1240" s="10">
        <f t="shared" si="128"/>
        <v>59.733333333333334</v>
      </c>
      <c r="AD1240" s="8" t="s">
        <v>33</v>
      </c>
      <c r="AE1240" s="11">
        <v>109990</v>
      </c>
      <c r="AF1240" s="11">
        <f t="shared" si="129"/>
        <v>3079720</v>
      </c>
      <c r="AG1240" s="12" t="s">
        <v>73</v>
      </c>
      <c r="AH1240" s="8" t="s">
        <v>74</v>
      </c>
    </row>
    <row r="1241" spans="1:34">
      <c r="A1241" s="8" t="s">
        <v>1769</v>
      </c>
      <c r="B1241" s="16" t="s">
        <v>376</v>
      </c>
      <c r="C1241" s="8" t="s">
        <v>40</v>
      </c>
      <c r="D1241" s="8" t="s">
        <v>1759</v>
      </c>
      <c r="E1241" s="8" t="str">
        <f t="shared" si="127"/>
        <v>NEGRO</v>
      </c>
      <c r="G1241" s="8" t="s">
        <v>2861</v>
      </c>
      <c r="H1241" s="8" t="str">
        <f>VLOOKUP(A1241,[1]BBDD!$B$1:$J$3274,9,FALSE)</f>
        <v>U</v>
      </c>
      <c r="I1241" s="8" t="s">
        <v>2861</v>
      </c>
      <c r="J1241" s="8" t="s">
        <v>1767</v>
      </c>
      <c r="L1241" s="8" t="s">
        <v>1761</v>
      </c>
      <c r="N1241" s="8" t="s">
        <v>44</v>
      </c>
      <c r="Q1241" s="8" t="s">
        <v>32</v>
      </c>
      <c r="R1241" s="8">
        <v>16</v>
      </c>
      <c r="S1241" s="8">
        <v>11</v>
      </c>
      <c r="T1241" s="8">
        <f t="shared" si="125"/>
        <v>27</v>
      </c>
      <c r="U1241" s="8">
        <v>0</v>
      </c>
      <c r="V1241" s="8">
        <v>0</v>
      </c>
      <c r="W1241" s="8">
        <v>0</v>
      </c>
      <c r="X1241" s="8">
        <v>0</v>
      </c>
      <c r="Y1241" s="8">
        <v>1</v>
      </c>
      <c r="Z1241" s="8">
        <v>1</v>
      </c>
      <c r="AA1241" s="8">
        <v>64</v>
      </c>
      <c r="AB1241" s="9">
        <f t="shared" si="126"/>
        <v>0.9375</v>
      </c>
      <c r="AC1241" s="10">
        <f t="shared" si="128"/>
        <v>28.8</v>
      </c>
      <c r="AD1241" s="8" t="s">
        <v>33</v>
      </c>
      <c r="AE1241" s="11">
        <v>109990</v>
      </c>
      <c r="AF1241" s="11">
        <f t="shared" si="129"/>
        <v>2969730</v>
      </c>
      <c r="AG1241" s="12" t="s">
        <v>73</v>
      </c>
      <c r="AH1241" s="8" t="s">
        <v>74</v>
      </c>
    </row>
    <row r="1242" spans="1:34">
      <c r="A1242" s="8" t="s">
        <v>1770</v>
      </c>
      <c r="B1242" s="16" t="s">
        <v>376</v>
      </c>
      <c r="C1242" s="8" t="s">
        <v>40</v>
      </c>
      <c r="D1242" s="8" t="s">
        <v>1759</v>
      </c>
      <c r="E1242" s="8" t="str">
        <f t="shared" si="127"/>
        <v>NEGRO</v>
      </c>
      <c r="G1242" s="8" t="s">
        <v>2861</v>
      </c>
      <c r="H1242" s="8" t="str">
        <f>VLOOKUP(A1242,[1]BBDD!$B$1:$J$3274,9,FALSE)</f>
        <v>U</v>
      </c>
      <c r="I1242" s="8" t="s">
        <v>2861</v>
      </c>
      <c r="J1242" s="8" t="s">
        <v>1771</v>
      </c>
      <c r="L1242" s="8" t="s">
        <v>1761</v>
      </c>
      <c r="N1242" s="8" t="s">
        <v>44</v>
      </c>
      <c r="Q1242" s="8" t="s">
        <v>32</v>
      </c>
      <c r="R1242" s="8">
        <v>43</v>
      </c>
      <c r="S1242" s="8">
        <v>18</v>
      </c>
      <c r="T1242" s="8">
        <f t="shared" si="125"/>
        <v>61</v>
      </c>
      <c r="U1242" s="8">
        <v>0</v>
      </c>
      <c r="V1242" s="8">
        <v>0</v>
      </c>
      <c r="W1242" s="8">
        <v>0</v>
      </c>
      <c r="X1242" s="8">
        <v>0</v>
      </c>
      <c r="Y1242" s="8">
        <v>13</v>
      </c>
      <c r="Z1242" s="8">
        <v>7</v>
      </c>
      <c r="AA1242" s="8">
        <v>64</v>
      </c>
      <c r="AB1242" s="9">
        <f t="shared" si="126"/>
        <v>9.375</v>
      </c>
      <c r="AC1242" s="10">
        <f t="shared" si="128"/>
        <v>6.5066666666666668</v>
      </c>
      <c r="AD1242" s="8" t="s">
        <v>33</v>
      </c>
      <c r="AE1242" s="11">
        <v>84990</v>
      </c>
      <c r="AF1242" s="11">
        <f t="shared" si="129"/>
        <v>5184390</v>
      </c>
      <c r="AG1242" s="12" t="s">
        <v>51</v>
      </c>
      <c r="AH1242" s="8" t="s">
        <v>74</v>
      </c>
    </row>
    <row r="1243" spans="1:34">
      <c r="A1243" s="8" t="s">
        <v>1772</v>
      </c>
      <c r="B1243" s="16" t="s">
        <v>2860</v>
      </c>
      <c r="C1243" s="8" t="s">
        <v>40</v>
      </c>
      <c r="D1243" s="8" t="s">
        <v>1681</v>
      </c>
      <c r="E1243" s="8" t="str">
        <f t="shared" si="127"/>
        <v>NEGRO</v>
      </c>
      <c r="H1243" s="8" t="str">
        <f>VLOOKUP(A1243,[1]BBDD!$B$1:$J$3274,9,FALSE)</f>
        <v>H</v>
      </c>
      <c r="I1243" s="17" t="s">
        <v>2861</v>
      </c>
      <c r="J1243" s="8" t="s">
        <v>1773</v>
      </c>
      <c r="L1243" s="8" t="s">
        <v>61</v>
      </c>
      <c r="N1243" s="8" t="s">
        <v>44</v>
      </c>
      <c r="Q1243" s="8" t="s">
        <v>45</v>
      </c>
      <c r="R1243" s="8">
        <v>0</v>
      </c>
      <c r="S1243" s="8">
        <v>2</v>
      </c>
      <c r="T1243" s="8">
        <f t="shared" si="125"/>
        <v>2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180</v>
      </c>
      <c r="AB1243" s="9">
        <f t="shared" si="126"/>
        <v>0</v>
      </c>
      <c r="AC1243" s="10" t="str">
        <f t="shared" si="128"/>
        <v>sin venta</v>
      </c>
      <c r="AD1243" s="8" t="s">
        <v>109</v>
      </c>
      <c r="AE1243" s="11">
        <v>249990</v>
      </c>
      <c r="AF1243" s="11">
        <f t="shared" si="129"/>
        <v>499980</v>
      </c>
      <c r="AG1243" s="12" t="s">
        <v>73</v>
      </c>
      <c r="AH1243" s="8" t="s">
        <v>35</v>
      </c>
    </row>
    <row r="1244" spans="1:34">
      <c r="A1244" s="8" t="s">
        <v>1774</v>
      </c>
      <c r="B1244" s="16" t="s">
        <v>2859</v>
      </c>
      <c r="C1244" s="8" t="s">
        <v>248</v>
      </c>
      <c r="D1244" s="8" t="s">
        <v>1775</v>
      </c>
      <c r="E1244" s="8" t="str">
        <f t="shared" si="127"/>
        <v>NEGRO</v>
      </c>
      <c r="H1244" s="8" t="str">
        <f>VLOOKUP(A1244,[1]BBDD!$B$1:$J$3274,9,FALSE)</f>
        <v>U</v>
      </c>
      <c r="I1244" s="8" t="s">
        <v>2861</v>
      </c>
      <c r="J1244" s="8" t="s">
        <v>1776</v>
      </c>
      <c r="L1244" s="8" t="s">
        <v>211</v>
      </c>
      <c r="N1244" s="8" t="s">
        <v>44</v>
      </c>
      <c r="Q1244" s="8" t="s">
        <v>32</v>
      </c>
      <c r="R1244" s="8">
        <v>1</v>
      </c>
      <c r="S1244" s="8">
        <v>9</v>
      </c>
      <c r="T1244" s="8">
        <f t="shared" si="125"/>
        <v>10</v>
      </c>
      <c r="U1244" s="8">
        <v>0</v>
      </c>
      <c r="V1244" s="8">
        <v>0</v>
      </c>
      <c r="W1244" s="8">
        <v>1</v>
      </c>
      <c r="X1244" s="8">
        <v>0</v>
      </c>
      <c r="Y1244" s="8">
        <v>1</v>
      </c>
      <c r="Z1244" s="8">
        <v>1</v>
      </c>
      <c r="AA1244" s="8">
        <v>180</v>
      </c>
      <c r="AB1244" s="9">
        <f t="shared" si="126"/>
        <v>0.5</v>
      </c>
      <c r="AC1244" s="10">
        <f t="shared" si="128"/>
        <v>20</v>
      </c>
      <c r="AD1244" s="8" t="s">
        <v>33</v>
      </c>
      <c r="AE1244" s="11">
        <v>44990</v>
      </c>
      <c r="AF1244" s="11">
        <f t="shared" si="129"/>
        <v>449900</v>
      </c>
      <c r="AG1244" s="12" t="s">
        <v>64</v>
      </c>
      <c r="AH1244" s="8" t="s">
        <v>35</v>
      </c>
    </row>
    <row r="1245" spans="1:34">
      <c r="A1245" s="8" t="s">
        <v>1777</v>
      </c>
      <c r="B1245" s="16" t="s">
        <v>2859</v>
      </c>
      <c r="C1245" s="8" t="s">
        <v>248</v>
      </c>
      <c r="D1245" s="8" t="s">
        <v>1775</v>
      </c>
      <c r="E1245" s="8" t="str">
        <f t="shared" si="127"/>
        <v>CARAMELO</v>
      </c>
      <c r="H1245" s="8" t="str">
        <f>VLOOKUP(A1245,[1]BBDD!$B$1:$J$3274,9,FALSE)</f>
        <v>U</v>
      </c>
      <c r="I1245" s="8" t="s">
        <v>2861</v>
      </c>
      <c r="J1245" s="8" t="s">
        <v>1776</v>
      </c>
      <c r="L1245" s="8" t="s">
        <v>82</v>
      </c>
      <c r="N1245" s="8" t="s">
        <v>62</v>
      </c>
      <c r="Q1245" s="8" t="s">
        <v>32</v>
      </c>
      <c r="R1245" s="8">
        <v>2</v>
      </c>
      <c r="S1245" s="8">
        <v>9</v>
      </c>
      <c r="T1245" s="8">
        <f t="shared" si="125"/>
        <v>11</v>
      </c>
      <c r="U1245" s="8">
        <v>1</v>
      </c>
      <c r="V1245" s="8">
        <v>0</v>
      </c>
      <c r="W1245" s="8">
        <v>2</v>
      </c>
      <c r="X1245" s="8">
        <v>1</v>
      </c>
      <c r="Y1245" s="8">
        <v>2</v>
      </c>
      <c r="Z1245" s="8">
        <v>2</v>
      </c>
      <c r="AA1245" s="8">
        <v>180</v>
      </c>
      <c r="AB1245" s="9">
        <f t="shared" si="126"/>
        <v>1.3333333333333335</v>
      </c>
      <c r="AC1245" s="10">
        <f t="shared" si="128"/>
        <v>8.2499999999999982</v>
      </c>
      <c r="AD1245" s="8" t="s">
        <v>33</v>
      </c>
      <c r="AE1245" s="11">
        <v>44990</v>
      </c>
      <c r="AF1245" s="11">
        <f t="shared" si="129"/>
        <v>494890</v>
      </c>
      <c r="AG1245" s="12" t="s">
        <v>51</v>
      </c>
      <c r="AH1245" s="8" t="s">
        <v>65</v>
      </c>
    </row>
    <row r="1246" spans="1:34">
      <c r="A1246" s="8" t="s">
        <v>1778</v>
      </c>
      <c r="B1246" s="16" t="s">
        <v>2859</v>
      </c>
      <c r="C1246" s="8" t="s">
        <v>248</v>
      </c>
      <c r="D1246" s="8" t="s">
        <v>1775</v>
      </c>
      <c r="E1246" s="8" t="str">
        <f t="shared" si="127"/>
        <v>NEGRO</v>
      </c>
      <c r="H1246" s="8" t="str">
        <f>VLOOKUP(A1246,[1]BBDD!$B$1:$J$3274,9,FALSE)</f>
        <v>U</v>
      </c>
      <c r="I1246" s="8" t="s">
        <v>2861</v>
      </c>
      <c r="J1246" s="8" t="s">
        <v>1776</v>
      </c>
      <c r="L1246" s="8" t="s">
        <v>82</v>
      </c>
      <c r="N1246" s="8" t="s">
        <v>44</v>
      </c>
      <c r="Q1246" s="8" t="s">
        <v>32</v>
      </c>
      <c r="R1246" s="8">
        <v>3</v>
      </c>
      <c r="S1246" s="8">
        <v>11</v>
      </c>
      <c r="T1246" s="8">
        <f t="shared" si="125"/>
        <v>14</v>
      </c>
      <c r="U1246" s="8">
        <v>1</v>
      </c>
      <c r="V1246" s="8">
        <v>0</v>
      </c>
      <c r="W1246" s="8">
        <v>1</v>
      </c>
      <c r="X1246" s="8">
        <v>1</v>
      </c>
      <c r="Y1246" s="8">
        <v>0</v>
      </c>
      <c r="Z1246" s="8">
        <v>0</v>
      </c>
      <c r="AA1246" s="8">
        <v>180</v>
      </c>
      <c r="AB1246" s="9">
        <f t="shared" si="126"/>
        <v>0.5</v>
      </c>
      <c r="AC1246" s="10">
        <f t="shared" si="128"/>
        <v>28</v>
      </c>
      <c r="AD1246" s="8" t="s">
        <v>33</v>
      </c>
      <c r="AE1246" s="11">
        <v>44990</v>
      </c>
      <c r="AF1246" s="11">
        <f t="shared" si="129"/>
        <v>629860</v>
      </c>
      <c r="AG1246" s="12" t="s">
        <v>73</v>
      </c>
      <c r="AH1246" s="8" t="s">
        <v>65</v>
      </c>
    </row>
    <row r="1247" spans="1:34">
      <c r="A1247" s="8" t="s">
        <v>1779</v>
      </c>
      <c r="B1247" s="16" t="s">
        <v>2859</v>
      </c>
      <c r="C1247" s="8" t="s">
        <v>248</v>
      </c>
      <c r="D1247" s="8" t="s">
        <v>1775</v>
      </c>
      <c r="E1247" s="8" t="str">
        <f t="shared" si="127"/>
        <v>ROJO</v>
      </c>
      <c r="H1247" s="8" t="str">
        <f>VLOOKUP(A1247,[1]BBDD!$B$1:$J$3274,9,FALSE)</f>
        <v>U</v>
      </c>
      <c r="I1247" s="8" t="s">
        <v>2861</v>
      </c>
      <c r="J1247" s="8" t="s">
        <v>1776</v>
      </c>
      <c r="L1247" s="8" t="s">
        <v>82</v>
      </c>
      <c r="N1247" s="8" t="s">
        <v>88</v>
      </c>
      <c r="Q1247" s="8" t="s">
        <v>32</v>
      </c>
      <c r="R1247" s="8">
        <v>3</v>
      </c>
      <c r="S1247" s="8">
        <v>12</v>
      </c>
      <c r="T1247" s="8">
        <f t="shared" si="125"/>
        <v>15</v>
      </c>
      <c r="U1247" s="8">
        <v>0</v>
      </c>
      <c r="V1247" s="8">
        <v>2</v>
      </c>
      <c r="W1247" s="8">
        <v>5</v>
      </c>
      <c r="X1247" s="8">
        <v>0</v>
      </c>
      <c r="Y1247" s="8">
        <v>1</v>
      </c>
      <c r="Z1247" s="8">
        <v>2</v>
      </c>
      <c r="AA1247" s="8">
        <v>180</v>
      </c>
      <c r="AB1247" s="9">
        <f t="shared" si="126"/>
        <v>1.6666666666666665</v>
      </c>
      <c r="AC1247" s="10">
        <f t="shared" si="128"/>
        <v>9</v>
      </c>
      <c r="AD1247" s="8" t="s">
        <v>33</v>
      </c>
      <c r="AE1247" s="11">
        <v>44990</v>
      </c>
      <c r="AF1247" s="11">
        <f t="shared" si="129"/>
        <v>674850</v>
      </c>
      <c r="AG1247" s="12" t="s">
        <v>51</v>
      </c>
      <c r="AH1247" s="8" t="s">
        <v>65</v>
      </c>
    </row>
    <row r="1248" spans="1:34">
      <c r="A1248" s="8" t="s">
        <v>1780</v>
      </c>
      <c r="B1248" s="16" t="s">
        <v>2859</v>
      </c>
      <c r="C1248" s="8" t="s">
        <v>248</v>
      </c>
      <c r="D1248" s="8" t="s">
        <v>1775</v>
      </c>
      <c r="E1248" s="8" t="str">
        <f t="shared" si="127"/>
        <v>TABACO</v>
      </c>
      <c r="H1248" s="8" t="str">
        <f>VLOOKUP(A1248,[1]BBDD!$B$1:$J$3274,9,FALSE)</f>
        <v>U</v>
      </c>
      <c r="I1248" s="8" t="s">
        <v>2861</v>
      </c>
      <c r="J1248" s="8" t="s">
        <v>1776</v>
      </c>
      <c r="L1248" s="8" t="s">
        <v>82</v>
      </c>
      <c r="N1248" s="8" t="s">
        <v>67</v>
      </c>
      <c r="Q1248" s="8" t="s">
        <v>32</v>
      </c>
      <c r="R1248" s="8">
        <v>0</v>
      </c>
      <c r="S1248" s="8">
        <v>9</v>
      </c>
      <c r="T1248" s="8">
        <f t="shared" si="125"/>
        <v>9</v>
      </c>
      <c r="U1248" s="8">
        <v>0</v>
      </c>
      <c r="V1248" s="8">
        <v>0</v>
      </c>
      <c r="W1248" s="8">
        <v>3</v>
      </c>
      <c r="X1248" s="8">
        <v>0</v>
      </c>
      <c r="Y1248" s="8">
        <v>1</v>
      </c>
      <c r="Z1248" s="8">
        <v>0</v>
      </c>
      <c r="AA1248" s="8">
        <v>180</v>
      </c>
      <c r="AB1248" s="9">
        <f t="shared" si="126"/>
        <v>0.66666666666666674</v>
      </c>
      <c r="AC1248" s="10">
        <f t="shared" si="128"/>
        <v>13.499999999999998</v>
      </c>
      <c r="AD1248" s="8" t="s">
        <v>33</v>
      </c>
      <c r="AE1248" s="11">
        <v>44990</v>
      </c>
      <c r="AF1248" s="11">
        <f t="shared" si="129"/>
        <v>404910</v>
      </c>
      <c r="AG1248" s="12" t="s">
        <v>64</v>
      </c>
      <c r="AH1248" s="8" t="s">
        <v>35</v>
      </c>
    </row>
    <row r="1249" spans="1:34">
      <c r="A1249" s="8" t="s">
        <v>1781</v>
      </c>
      <c r="B1249" s="16" t="s">
        <v>2859</v>
      </c>
      <c r="C1249" s="8" t="s">
        <v>248</v>
      </c>
      <c r="D1249" s="8" t="s">
        <v>1775</v>
      </c>
      <c r="E1249" s="8" t="str">
        <f t="shared" si="127"/>
        <v>AZUL</v>
      </c>
      <c r="H1249" s="8" t="str">
        <f>VLOOKUP(A1249,[1]BBDD!$B$1:$J$3274,9,FALSE)</f>
        <v>U</v>
      </c>
      <c r="I1249" s="8" t="s">
        <v>2861</v>
      </c>
      <c r="J1249" s="8" t="s">
        <v>1776</v>
      </c>
      <c r="L1249" s="8" t="s">
        <v>82</v>
      </c>
      <c r="N1249" s="8" t="s">
        <v>83</v>
      </c>
      <c r="Q1249" s="8" t="s">
        <v>32</v>
      </c>
      <c r="R1249" s="8">
        <v>2</v>
      </c>
      <c r="S1249" s="8">
        <v>8</v>
      </c>
      <c r="T1249" s="8">
        <f t="shared" si="125"/>
        <v>10</v>
      </c>
      <c r="U1249" s="8">
        <v>0</v>
      </c>
      <c r="V1249" s="8">
        <v>0</v>
      </c>
      <c r="W1249" s="8">
        <v>0</v>
      </c>
      <c r="X1249" s="8">
        <v>1</v>
      </c>
      <c r="Y1249" s="8">
        <v>0</v>
      </c>
      <c r="Z1249" s="8">
        <v>0</v>
      </c>
      <c r="AA1249" s="8">
        <v>180</v>
      </c>
      <c r="AB1249" s="9">
        <f t="shared" si="126"/>
        <v>0.16666666666666669</v>
      </c>
      <c r="AC1249" s="10">
        <f t="shared" si="128"/>
        <v>59.999999999999993</v>
      </c>
      <c r="AD1249" s="8" t="s">
        <v>33</v>
      </c>
      <c r="AE1249" s="11">
        <v>44990</v>
      </c>
      <c r="AF1249" s="11">
        <f t="shared" si="129"/>
        <v>449900</v>
      </c>
      <c r="AG1249" s="12" t="s">
        <v>73</v>
      </c>
      <c r="AH1249" s="8" t="s">
        <v>35</v>
      </c>
    </row>
    <row r="1250" spans="1:34">
      <c r="A1250" s="8" t="s">
        <v>1782</v>
      </c>
      <c r="B1250" s="16" t="s">
        <v>2859</v>
      </c>
      <c r="C1250" s="8" t="s">
        <v>248</v>
      </c>
      <c r="D1250" s="8" t="s">
        <v>1775</v>
      </c>
      <c r="E1250" s="8" t="str">
        <f t="shared" si="127"/>
        <v>CARAMELO</v>
      </c>
      <c r="H1250" s="8" t="str">
        <f>VLOOKUP(A1250,[1]BBDD!$B$1:$J$3274,9,FALSE)</f>
        <v>M</v>
      </c>
      <c r="I1250" s="19" t="s">
        <v>2862</v>
      </c>
      <c r="J1250" s="8" t="s">
        <v>1783</v>
      </c>
      <c r="L1250" s="8" t="s">
        <v>238</v>
      </c>
      <c r="N1250" s="8" t="s">
        <v>62</v>
      </c>
      <c r="Q1250" s="8" t="s">
        <v>32</v>
      </c>
      <c r="R1250" s="8">
        <v>2</v>
      </c>
      <c r="S1250" s="8">
        <v>6</v>
      </c>
      <c r="T1250" s="8">
        <f t="shared" si="125"/>
        <v>8</v>
      </c>
      <c r="U1250" s="8">
        <v>1</v>
      </c>
      <c r="V1250" s="8">
        <v>1</v>
      </c>
      <c r="W1250" s="8">
        <v>0</v>
      </c>
      <c r="X1250" s="8">
        <v>1</v>
      </c>
      <c r="Y1250" s="8">
        <v>0</v>
      </c>
      <c r="Z1250" s="8">
        <v>2</v>
      </c>
      <c r="AA1250" s="8">
        <v>180</v>
      </c>
      <c r="AB1250" s="9">
        <f t="shared" si="126"/>
        <v>0.83333333333333326</v>
      </c>
      <c r="AC1250" s="10">
        <f t="shared" si="128"/>
        <v>9.6000000000000014</v>
      </c>
      <c r="AD1250" s="8" t="s">
        <v>33</v>
      </c>
      <c r="AE1250" s="11">
        <v>49990</v>
      </c>
      <c r="AF1250" s="11">
        <f t="shared" si="129"/>
        <v>399920</v>
      </c>
      <c r="AG1250" s="12" t="s">
        <v>51</v>
      </c>
      <c r="AH1250" s="8" t="s">
        <v>35</v>
      </c>
    </row>
    <row r="1251" spans="1:34">
      <c r="A1251" s="8" t="s">
        <v>1784</v>
      </c>
      <c r="B1251" s="16" t="s">
        <v>2859</v>
      </c>
      <c r="C1251" s="8" t="s">
        <v>248</v>
      </c>
      <c r="D1251" s="8" t="s">
        <v>1775</v>
      </c>
      <c r="E1251" s="8" t="str">
        <f t="shared" si="127"/>
        <v>ROJO</v>
      </c>
      <c r="H1251" s="8" t="str">
        <f>VLOOKUP(A1251,[1]BBDD!$B$1:$J$3274,9,FALSE)</f>
        <v>M</v>
      </c>
      <c r="I1251" s="19" t="s">
        <v>2862</v>
      </c>
      <c r="J1251" s="8" t="s">
        <v>1783</v>
      </c>
      <c r="L1251" s="8" t="s">
        <v>238</v>
      </c>
      <c r="N1251" s="8" t="s">
        <v>88</v>
      </c>
      <c r="Q1251" s="8" t="s">
        <v>32</v>
      </c>
      <c r="R1251" s="8">
        <v>0</v>
      </c>
      <c r="S1251" s="8">
        <v>5</v>
      </c>
      <c r="T1251" s="8">
        <f t="shared" si="125"/>
        <v>5</v>
      </c>
      <c r="U1251" s="8">
        <v>0</v>
      </c>
      <c r="V1251" s="8">
        <v>0</v>
      </c>
      <c r="W1251" s="8">
        <v>3</v>
      </c>
      <c r="X1251" s="8">
        <v>1</v>
      </c>
      <c r="Y1251" s="8">
        <v>4</v>
      </c>
      <c r="Z1251" s="8">
        <v>0</v>
      </c>
      <c r="AA1251" s="8">
        <v>180</v>
      </c>
      <c r="AB1251" s="9">
        <f t="shared" si="126"/>
        <v>1.3333333333333335</v>
      </c>
      <c r="AC1251" s="10">
        <f t="shared" si="128"/>
        <v>3.7499999999999996</v>
      </c>
      <c r="AD1251" s="8" t="s">
        <v>33</v>
      </c>
      <c r="AE1251" s="11">
        <v>49990</v>
      </c>
      <c r="AF1251" s="11">
        <f t="shared" si="129"/>
        <v>249950</v>
      </c>
      <c r="AG1251" s="12" t="s">
        <v>34</v>
      </c>
      <c r="AH1251" s="8" t="s">
        <v>35</v>
      </c>
    </row>
    <row r="1252" spans="1:34">
      <c r="A1252" s="8" t="s">
        <v>1785</v>
      </c>
      <c r="B1252" s="16" t="s">
        <v>2859</v>
      </c>
      <c r="C1252" s="8" t="s">
        <v>248</v>
      </c>
      <c r="D1252" s="8" t="s">
        <v>1775</v>
      </c>
      <c r="E1252" s="8" t="str">
        <f t="shared" si="127"/>
        <v>NEGRO</v>
      </c>
      <c r="H1252" s="8" t="str">
        <f>VLOOKUP(A1252,[1]BBDD!$B$1:$J$3274,9,FALSE)</f>
        <v>M</v>
      </c>
      <c r="I1252" s="19" t="s">
        <v>2862</v>
      </c>
      <c r="J1252" s="8" t="s">
        <v>1783</v>
      </c>
      <c r="L1252" s="8" t="s">
        <v>238</v>
      </c>
      <c r="N1252" s="8" t="s">
        <v>44</v>
      </c>
      <c r="Q1252" s="8" t="s">
        <v>45</v>
      </c>
      <c r="R1252" s="8">
        <v>7</v>
      </c>
      <c r="S1252" s="8">
        <v>5</v>
      </c>
      <c r="T1252" s="8">
        <f t="shared" si="125"/>
        <v>12</v>
      </c>
      <c r="U1252" s="8">
        <v>0</v>
      </c>
      <c r="V1252" s="8">
        <v>0</v>
      </c>
      <c r="W1252" s="8">
        <v>0</v>
      </c>
      <c r="X1252" s="8">
        <v>1</v>
      </c>
      <c r="Y1252" s="8">
        <v>1</v>
      </c>
      <c r="Z1252" s="8">
        <v>0</v>
      </c>
      <c r="AA1252" s="8">
        <v>180</v>
      </c>
      <c r="AB1252" s="9">
        <f t="shared" si="126"/>
        <v>0.33333333333333337</v>
      </c>
      <c r="AC1252" s="10">
        <f t="shared" si="128"/>
        <v>35.999999999999993</v>
      </c>
      <c r="AD1252" s="8" t="s">
        <v>109</v>
      </c>
      <c r="AE1252" s="11">
        <v>49990</v>
      </c>
      <c r="AF1252" s="11">
        <f t="shared" si="129"/>
        <v>599880</v>
      </c>
      <c r="AG1252" s="12" t="s">
        <v>73</v>
      </c>
      <c r="AH1252" s="8" t="s">
        <v>65</v>
      </c>
    </row>
    <row r="1253" spans="1:34">
      <c r="A1253" s="8" t="s">
        <v>1786</v>
      </c>
      <c r="B1253" s="16" t="s">
        <v>2859</v>
      </c>
      <c r="C1253" s="8" t="s">
        <v>248</v>
      </c>
      <c r="D1253" s="8" t="s">
        <v>1775</v>
      </c>
      <c r="E1253" s="8" t="str">
        <f t="shared" si="127"/>
        <v>LONDON</v>
      </c>
      <c r="H1253" s="8" t="str">
        <f>VLOOKUP(A1253,[1]BBDD!$B$1:$J$3274,9,FALSE)</f>
        <v>M</v>
      </c>
      <c r="I1253" s="19" t="s">
        <v>2862</v>
      </c>
      <c r="J1253" s="8" t="s">
        <v>1787</v>
      </c>
      <c r="L1253" s="8" t="s">
        <v>61</v>
      </c>
      <c r="N1253" s="8" t="s">
        <v>108</v>
      </c>
      <c r="Q1253" s="8" t="s">
        <v>45</v>
      </c>
      <c r="R1253" s="8">
        <v>0</v>
      </c>
      <c r="S1253" s="8">
        <v>7</v>
      </c>
      <c r="T1253" s="8">
        <f t="shared" si="125"/>
        <v>7</v>
      </c>
      <c r="U1253" s="8">
        <v>0</v>
      </c>
      <c r="V1253" s="8">
        <v>1</v>
      </c>
      <c r="W1253" s="8">
        <v>2</v>
      </c>
      <c r="X1253" s="8">
        <v>0</v>
      </c>
      <c r="Y1253" s="8">
        <v>2</v>
      </c>
      <c r="Z1253" s="8">
        <v>1</v>
      </c>
      <c r="AA1253" s="8">
        <v>180</v>
      </c>
      <c r="AB1253" s="9">
        <f t="shared" si="126"/>
        <v>1</v>
      </c>
      <c r="AC1253" s="10">
        <f t="shared" si="128"/>
        <v>7</v>
      </c>
      <c r="AD1253" s="8" t="s">
        <v>46</v>
      </c>
      <c r="AE1253" s="11">
        <v>14990</v>
      </c>
      <c r="AF1253" s="11">
        <f t="shared" si="129"/>
        <v>104930</v>
      </c>
      <c r="AG1253" s="12" t="s">
        <v>51</v>
      </c>
      <c r="AH1253" s="8" t="s">
        <v>35</v>
      </c>
    </row>
    <row r="1254" spans="1:34">
      <c r="A1254" s="8" t="s">
        <v>1788</v>
      </c>
      <c r="B1254" s="16" t="s">
        <v>2859</v>
      </c>
      <c r="C1254" s="8" t="s">
        <v>248</v>
      </c>
      <c r="D1254" s="8" t="s">
        <v>1775</v>
      </c>
      <c r="E1254" s="8" t="str">
        <f t="shared" si="127"/>
        <v>NEGRO</v>
      </c>
      <c r="H1254" s="8" t="str">
        <f>VLOOKUP(A1254,[1]BBDD!$B$1:$J$3274,9,FALSE)</f>
        <v>M</v>
      </c>
      <c r="I1254" s="19" t="s">
        <v>2862</v>
      </c>
      <c r="J1254" s="8" t="s">
        <v>1787</v>
      </c>
      <c r="L1254" s="8" t="s">
        <v>211</v>
      </c>
      <c r="N1254" s="8" t="s">
        <v>44</v>
      </c>
      <c r="Q1254" s="8" t="s">
        <v>45</v>
      </c>
      <c r="R1254" s="8">
        <v>41</v>
      </c>
      <c r="S1254" s="8">
        <v>17</v>
      </c>
      <c r="T1254" s="8">
        <f t="shared" si="125"/>
        <v>58</v>
      </c>
      <c r="U1254" s="8">
        <v>2</v>
      </c>
      <c r="V1254" s="8">
        <v>1</v>
      </c>
      <c r="W1254" s="8">
        <v>4</v>
      </c>
      <c r="X1254" s="8">
        <v>1</v>
      </c>
      <c r="Y1254" s="8">
        <v>1</v>
      </c>
      <c r="Z1254" s="8">
        <v>1</v>
      </c>
      <c r="AA1254" s="8">
        <v>180</v>
      </c>
      <c r="AB1254" s="9">
        <f t="shared" si="126"/>
        <v>1.6666666666666665</v>
      </c>
      <c r="AC1254" s="10">
        <f t="shared" si="128"/>
        <v>34.800000000000004</v>
      </c>
      <c r="AD1254" s="8" t="s">
        <v>46</v>
      </c>
      <c r="AE1254" s="11">
        <v>14990</v>
      </c>
      <c r="AF1254" s="11">
        <f t="shared" si="129"/>
        <v>869420</v>
      </c>
      <c r="AG1254" s="12" t="s">
        <v>73</v>
      </c>
      <c r="AH1254" s="8" t="s">
        <v>74</v>
      </c>
    </row>
    <row r="1255" spans="1:34">
      <c r="A1255" s="8" t="s">
        <v>1789</v>
      </c>
      <c r="B1255" s="16" t="s">
        <v>2859</v>
      </c>
      <c r="C1255" s="8" t="s">
        <v>248</v>
      </c>
      <c r="D1255" s="8" t="s">
        <v>1775</v>
      </c>
      <c r="E1255" s="8" t="str">
        <f t="shared" si="127"/>
        <v>CARAMELO</v>
      </c>
      <c r="H1255" s="8" t="str">
        <f>VLOOKUP(A1255,[1]BBDD!$B$1:$J$3274,9,FALSE)</f>
        <v>M</v>
      </c>
      <c r="I1255" s="19" t="s">
        <v>2862</v>
      </c>
      <c r="J1255" s="8" t="s">
        <v>1787</v>
      </c>
      <c r="L1255" s="8" t="s">
        <v>238</v>
      </c>
      <c r="N1255" s="8" t="s">
        <v>62</v>
      </c>
      <c r="Q1255" s="8" t="s">
        <v>45</v>
      </c>
      <c r="R1255" s="8">
        <v>27</v>
      </c>
      <c r="S1255" s="8">
        <v>18</v>
      </c>
      <c r="T1255" s="8">
        <f t="shared" si="125"/>
        <v>45</v>
      </c>
      <c r="U1255" s="8">
        <v>0</v>
      </c>
      <c r="V1255" s="8">
        <v>0</v>
      </c>
      <c r="W1255" s="8">
        <v>1</v>
      </c>
      <c r="X1255" s="8">
        <v>2</v>
      </c>
      <c r="Y1255" s="8">
        <v>3</v>
      </c>
      <c r="Z1255" s="8">
        <v>1</v>
      </c>
      <c r="AA1255" s="8">
        <v>180</v>
      </c>
      <c r="AB1255" s="9">
        <f t="shared" si="126"/>
        <v>1.1666666666666667</v>
      </c>
      <c r="AC1255" s="10">
        <f t="shared" si="128"/>
        <v>38.571428571428569</v>
      </c>
      <c r="AD1255" s="8" t="s">
        <v>46</v>
      </c>
      <c r="AE1255" s="11">
        <v>14990</v>
      </c>
      <c r="AF1255" s="11">
        <f t="shared" si="129"/>
        <v>674550</v>
      </c>
      <c r="AG1255" s="12" t="s">
        <v>73</v>
      </c>
      <c r="AH1255" s="8" t="s">
        <v>74</v>
      </c>
    </row>
    <row r="1256" spans="1:34">
      <c r="A1256" s="8" t="s">
        <v>1790</v>
      </c>
      <c r="B1256" s="16" t="s">
        <v>2859</v>
      </c>
      <c r="C1256" s="8" t="s">
        <v>248</v>
      </c>
      <c r="D1256" s="8" t="s">
        <v>1775</v>
      </c>
      <c r="E1256" s="8" t="str">
        <f t="shared" si="127"/>
        <v>NEGRO</v>
      </c>
      <c r="H1256" s="8" t="str">
        <f>VLOOKUP(A1256,[1]BBDD!$B$1:$J$3274,9,FALSE)</f>
        <v>M</v>
      </c>
      <c r="I1256" s="19" t="s">
        <v>2862</v>
      </c>
      <c r="J1256" s="8" t="s">
        <v>1787</v>
      </c>
      <c r="L1256" s="8" t="s">
        <v>238</v>
      </c>
      <c r="N1256" s="8" t="s">
        <v>44</v>
      </c>
      <c r="Q1256" s="8" t="s">
        <v>45</v>
      </c>
      <c r="R1256" s="8">
        <v>34</v>
      </c>
      <c r="S1256" s="8">
        <v>12</v>
      </c>
      <c r="T1256" s="8">
        <f t="shared" si="125"/>
        <v>46</v>
      </c>
      <c r="U1256" s="8">
        <v>1</v>
      </c>
      <c r="V1256" s="8">
        <v>0</v>
      </c>
      <c r="W1256" s="8">
        <v>2</v>
      </c>
      <c r="X1256" s="8">
        <v>0</v>
      </c>
      <c r="Y1256" s="8">
        <v>1</v>
      </c>
      <c r="Z1256" s="8">
        <v>0</v>
      </c>
      <c r="AA1256" s="8">
        <v>180</v>
      </c>
      <c r="AB1256" s="9">
        <f t="shared" si="126"/>
        <v>0.66666666666666674</v>
      </c>
      <c r="AC1256" s="10">
        <f t="shared" si="128"/>
        <v>68.999999999999986</v>
      </c>
      <c r="AD1256" s="8" t="s">
        <v>46</v>
      </c>
      <c r="AE1256" s="11">
        <v>14990</v>
      </c>
      <c r="AF1256" s="11">
        <f t="shared" si="129"/>
        <v>689540</v>
      </c>
      <c r="AG1256" s="12" t="s">
        <v>73</v>
      </c>
      <c r="AH1256" s="8" t="s">
        <v>74</v>
      </c>
    </row>
    <row r="1257" spans="1:34">
      <c r="A1257" s="8" t="s">
        <v>1791</v>
      </c>
      <c r="B1257" s="16" t="s">
        <v>2859</v>
      </c>
      <c r="C1257" s="8" t="s">
        <v>248</v>
      </c>
      <c r="D1257" s="8" t="s">
        <v>1775</v>
      </c>
      <c r="E1257" s="8" t="str">
        <f t="shared" si="127"/>
        <v>ROJO</v>
      </c>
      <c r="H1257" s="8" t="str">
        <f>VLOOKUP(A1257,[1]BBDD!$B$1:$J$3274,9,FALSE)</f>
        <v>M</v>
      </c>
      <c r="I1257" s="19" t="s">
        <v>2862</v>
      </c>
      <c r="J1257" s="8" t="s">
        <v>1787</v>
      </c>
      <c r="L1257" s="8" t="s">
        <v>238</v>
      </c>
      <c r="N1257" s="8" t="s">
        <v>88</v>
      </c>
      <c r="Q1257" s="8" t="s">
        <v>45</v>
      </c>
      <c r="R1257" s="8">
        <v>0</v>
      </c>
      <c r="S1257" s="8">
        <v>10</v>
      </c>
      <c r="T1257" s="8">
        <f t="shared" ref="T1257:T1320" si="130">SUM(R1257:S1257)</f>
        <v>10</v>
      </c>
      <c r="U1257" s="8">
        <v>0</v>
      </c>
      <c r="V1257" s="8">
        <v>1</v>
      </c>
      <c r="W1257" s="8">
        <v>3</v>
      </c>
      <c r="X1257" s="8">
        <v>3</v>
      </c>
      <c r="Y1257" s="8">
        <v>4</v>
      </c>
      <c r="Z1257" s="8">
        <v>5</v>
      </c>
      <c r="AA1257" s="8">
        <v>180</v>
      </c>
      <c r="AB1257" s="9">
        <f t="shared" ref="AB1257:AB1320" si="131">SUM(U1257:Z1257)/AA1257*30</f>
        <v>2.666666666666667</v>
      </c>
      <c r="AC1257" s="10">
        <f t="shared" si="128"/>
        <v>3.7499999999999996</v>
      </c>
      <c r="AD1257" s="8" t="s">
        <v>46</v>
      </c>
      <c r="AE1257" s="11">
        <v>14990</v>
      </c>
      <c r="AF1257" s="11">
        <f t="shared" si="129"/>
        <v>149900</v>
      </c>
      <c r="AG1257" s="12" t="s">
        <v>34</v>
      </c>
      <c r="AH1257" s="8" t="s">
        <v>35</v>
      </c>
    </row>
    <row r="1258" spans="1:34">
      <c r="A1258" s="8" t="s">
        <v>1792</v>
      </c>
      <c r="B1258" s="16" t="s">
        <v>2859</v>
      </c>
      <c r="C1258" s="8" t="s">
        <v>248</v>
      </c>
      <c r="D1258" s="8" t="s">
        <v>1775</v>
      </c>
      <c r="E1258" s="8" t="str">
        <f t="shared" si="127"/>
        <v>CARAMELO</v>
      </c>
      <c r="H1258" s="8" t="str">
        <f>VLOOKUP(A1258,[1]BBDD!$B$1:$J$3274,9,FALSE)</f>
        <v>M</v>
      </c>
      <c r="I1258" s="19" t="s">
        <v>2862</v>
      </c>
      <c r="J1258" s="8" t="s">
        <v>1787</v>
      </c>
      <c r="L1258" s="8" t="s">
        <v>82</v>
      </c>
      <c r="N1258" s="8" t="s">
        <v>62</v>
      </c>
      <c r="Q1258" s="8" t="s">
        <v>45</v>
      </c>
      <c r="R1258" s="8">
        <v>36</v>
      </c>
      <c r="S1258" s="8">
        <v>14</v>
      </c>
      <c r="T1258" s="8">
        <f t="shared" si="130"/>
        <v>50</v>
      </c>
      <c r="U1258" s="8">
        <v>1</v>
      </c>
      <c r="V1258" s="8">
        <v>0</v>
      </c>
      <c r="W1258" s="8">
        <v>1</v>
      </c>
      <c r="X1258" s="8">
        <v>1</v>
      </c>
      <c r="Y1258" s="8">
        <v>0</v>
      </c>
      <c r="Z1258" s="8">
        <v>1</v>
      </c>
      <c r="AA1258" s="8">
        <v>180</v>
      </c>
      <c r="AB1258" s="9">
        <f t="shared" si="131"/>
        <v>0.66666666666666674</v>
      </c>
      <c r="AC1258" s="10">
        <f t="shared" si="128"/>
        <v>74.999999999999986</v>
      </c>
      <c r="AD1258" s="8" t="s">
        <v>46</v>
      </c>
      <c r="AE1258" s="11">
        <v>14990</v>
      </c>
      <c r="AF1258" s="11">
        <f t="shared" si="129"/>
        <v>749500</v>
      </c>
      <c r="AG1258" s="12" t="s">
        <v>73</v>
      </c>
      <c r="AH1258" s="8" t="s">
        <v>74</v>
      </c>
    </row>
    <row r="1259" spans="1:34">
      <c r="A1259" s="8" t="s">
        <v>1793</v>
      </c>
      <c r="B1259" s="16" t="s">
        <v>2859</v>
      </c>
      <c r="C1259" s="8" t="s">
        <v>248</v>
      </c>
      <c r="D1259" s="8" t="s">
        <v>1775</v>
      </c>
      <c r="E1259" s="8" t="str">
        <f t="shared" si="127"/>
        <v>MALBEC</v>
      </c>
      <c r="H1259" s="8" t="str">
        <f>VLOOKUP(A1259,[1]BBDD!$B$1:$J$3274,9,FALSE)</f>
        <v>M</v>
      </c>
      <c r="I1259" s="19" t="s">
        <v>2862</v>
      </c>
      <c r="J1259" s="8" t="s">
        <v>1787</v>
      </c>
      <c r="L1259" s="8" t="s">
        <v>82</v>
      </c>
      <c r="N1259" s="8" t="s">
        <v>69</v>
      </c>
      <c r="Q1259" s="8" t="s">
        <v>45</v>
      </c>
      <c r="R1259" s="8">
        <v>6</v>
      </c>
      <c r="S1259" s="8">
        <v>10</v>
      </c>
      <c r="T1259" s="8">
        <f t="shared" si="130"/>
        <v>16</v>
      </c>
      <c r="U1259" s="8">
        <v>1</v>
      </c>
      <c r="V1259" s="8">
        <v>2</v>
      </c>
      <c r="W1259" s="8">
        <v>2</v>
      </c>
      <c r="X1259" s="8">
        <v>4</v>
      </c>
      <c r="Y1259" s="8">
        <v>1</v>
      </c>
      <c r="Z1259" s="8">
        <v>2</v>
      </c>
      <c r="AA1259" s="8">
        <v>180</v>
      </c>
      <c r="AB1259" s="9">
        <f t="shared" si="131"/>
        <v>2</v>
      </c>
      <c r="AC1259" s="10">
        <f t="shared" si="128"/>
        <v>8</v>
      </c>
      <c r="AD1259" s="8" t="s">
        <v>46</v>
      </c>
      <c r="AE1259" s="11">
        <v>14990</v>
      </c>
      <c r="AF1259" s="11">
        <f t="shared" si="129"/>
        <v>239840</v>
      </c>
      <c r="AG1259" s="12" t="s">
        <v>51</v>
      </c>
      <c r="AH1259" s="8" t="s">
        <v>65</v>
      </c>
    </row>
    <row r="1260" spans="1:34">
      <c r="A1260" s="8" t="s">
        <v>1794</v>
      </c>
      <c r="B1260" s="16" t="s">
        <v>2859</v>
      </c>
      <c r="C1260" s="8" t="s">
        <v>248</v>
      </c>
      <c r="D1260" s="8" t="s">
        <v>1775</v>
      </c>
      <c r="E1260" s="8" t="str">
        <f t="shared" si="127"/>
        <v>ROJO</v>
      </c>
      <c r="H1260" s="8" t="str">
        <f>VLOOKUP(A1260,[1]BBDD!$B$1:$J$3274,9,FALSE)</f>
        <v>M</v>
      </c>
      <c r="I1260" s="19" t="s">
        <v>2862</v>
      </c>
      <c r="J1260" s="8" t="s">
        <v>1787</v>
      </c>
      <c r="L1260" s="8" t="s">
        <v>82</v>
      </c>
      <c r="N1260" s="8" t="s">
        <v>88</v>
      </c>
      <c r="Q1260" s="8" t="s">
        <v>45</v>
      </c>
      <c r="R1260" s="8">
        <v>0</v>
      </c>
      <c r="S1260" s="8">
        <v>10</v>
      </c>
      <c r="T1260" s="8">
        <f t="shared" si="130"/>
        <v>10</v>
      </c>
      <c r="U1260" s="8">
        <v>2</v>
      </c>
      <c r="V1260" s="8">
        <v>3</v>
      </c>
      <c r="W1260" s="8">
        <v>6</v>
      </c>
      <c r="X1260" s="8">
        <v>1</v>
      </c>
      <c r="Y1260" s="8">
        <v>4</v>
      </c>
      <c r="Z1260" s="8">
        <v>2</v>
      </c>
      <c r="AA1260" s="8">
        <v>180</v>
      </c>
      <c r="AB1260" s="9">
        <f t="shared" si="131"/>
        <v>3</v>
      </c>
      <c r="AC1260" s="10">
        <f t="shared" si="128"/>
        <v>3.3333333333333335</v>
      </c>
      <c r="AD1260" s="8" t="s">
        <v>46</v>
      </c>
      <c r="AE1260" s="11">
        <v>14990</v>
      </c>
      <c r="AF1260" s="11">
        <f t="shared" si="129"/>
        <v>149900</v>
      </c>
      <c r="AG1260" s="12" t="s">
        <v>34</v>
      </c>
      <c r="AH1260" s="8" t="s">
        <v>35</v>
      </c>
    </row>
    <row r="1261" spans="1:34">
      <c r="A1261" s="8" t="s">
        <v>1795</v>
      </c>
      <c r="B1261" s="16" t="s">
        <v>2859</v>
      </c>
      <c r="C1261" s="8" t="s">
        <v>248</v>
      </c>
      <c r="D1261" s="8" t="s">
        <v>1775</v>
      </c>
      <c r="E1261" s="8" t="str">
        <f t="shared" si="127"/>
        <v>SUELA</v>
      </c>
      <c r="H1261" s="8" t="str">
        <f>VLOOKUP(A1261,[1]BBDD!$B$1:$J$3274,9,FALSE)</f>
        <v>M</v>
      </c>
      <c r="I1261" s="19" t="s">
        <v>2862</v>
      </c>
      <c r="J1261" s="8" t="s">
        <v>1787</v>
      </c>
      <c r="L1261" s="8" t="s">
        <v>82</v>
      </c>
      <c r="N1261" s="8" t="s">
        <v>90</v>
      </c>
      <c r="Q1261" s="8" t="s">
        <v>45</v>
      </c>
      <c r="R1261" s="8">
        <v>11</v>
      </c>
      <c r="S1261" s="8">
        <v>11</v>
      </c>
      <c r="T1261" s="8">
        <f t="shared" si="130"/>
        <v>22</v>
      </c>
      <c r="U1261" s="8">
        <v>1</v>
      </c>
      <c r="V1261" s="8">
        <v>4</v>
      </c>
      <c r="W1261" s="8">
        <v>2</v>
      </c>
      <c r="X1261" s="8">
        <v>0</v>
      </c>
      <c r="Y1261" s="8">
        <v>3</v>
      </c>
      <c r="Z1261" s="8">
        <v>2</v>
      </c>
      <c r="AA1261" s="8">
        <v>180</v>
      </c>
      <c r="AB1261" s="9">
        <f t="shared" si="131"/>
        <v>2</v>
      </c>
      <c r="AC1261" s="10">
        <f t="shared" si="128"/>
        <v>11</v>
      </c>
      <c r="AD1261" s="8" t="s">
        <v>46</v>
      </c>
      <c r="AE1261" s="11">
        <v>14990</v>
      </c>
      <c r="AF1261" s="11">
        <f t="shared" si="129"/>
        <v>329780</v>
      </c>
      <c r="AG1261" s="12" t="s">
        <v>51</v>
      </c>
      <c r="AH1261" s="8" t="s">
        <v>74</v>
      </c>
    </row>
    <row r="1262" spans="1:34">
      <c r="A1262" s="8" t="s">
        <v>1796</v>
      </c>
      <c r="B1262" s="16" t="s">
        <v>2859</v>
      </c>
      <c r="C1262" s="8" t="s">
        <v>248</v>
      </c>
      <c r="D1262" s="8" t="s">
        <v>1775</v>
      </c>
      <c r="E1262" s="8" t="str">
        <f t="shared" si="127"/>
        <v>MEDIO</v>
      </c>
      <c r="H1262" s="8" t="str">
        <f>VLOOKUP(A1262,[1]BBDD!$B$1:$J$3274,9,FALSE)</f>
        <v>M</v>
      </c>
      <c r="I1262" s="19" t="s">
        <v>2862</v>
      </c>
      <c r="J1262" s="8" t="s">
        <v>1787</v>
      </c>
      <c r="L1262" s="8" t="s">
        <v>189</v>
      </c>
      <c r="N1262" s="8" t="s">
        <v>190</v>
      </c>
      <c r="Q1262" s="8" t="s">
        <v>45</v>
      </c>
      <c r="R1262" s="8">
        <v>3</v>
      </c>
      <c r="S1262" s="8">
        <v>5</v>
      </c>
      <c r="T1262" s="8">
        <f t="shared" si="130"/>
        <v>8</v>
      </c>
      <c r="U1262" s="8">
        <v>2</v>
      </c>
      <c r="V1262" s="8">
        <v>1</v>
      </c>
      <c r="W1262" s="8">
        <v>0</v>
      </c>
      <c r="X1262" s="8">
        <v>0</v>
      </c>
      <c r="Y1262" s="8">
        <v>1</v>
      </c>
      <c r="Z1262" s="8">
        <v>1</v>
      </c>
      <c r="AA1262" s="8">
        <v>180</v>
      </c>
      <c r="AB1262" s="9">
        <f t="shared" si="131"/>
        <v>0.83333333333333326</v>
      </c>
      <c r="AC1262" s="10">
        <f t="shared" si="128"/>
        <v>9.6000000000000014</v>
      </c>
      <c r="AD1262" s="8" t="s">
        <v>46</v>
      </c>
      <c r="AE1262" s="11">
        <v>14990</v>
      </c>
      <c r="AF1262" s="11">
        <f t="shared" si="129"/>
        <v>119920</v>
      </c>
      <c r="AG1262" s="12" t="s">
        <v>51</v>
      </c>
      <c r="AH1262" s="8" t="s">
        <v>35</v>
      </c>
    </row>
    <row r="1263" spans="1:34">
      <c r="A1263" s="8" t="s">
        <v>1797</v>
      </c>
      <c r="B1263" s="16" t="s">
        <v>2859</v>
      </c>
      <c r="C1263" s="8" t="s">
        <v>248</v>
      </c>
      <c r="D1263" s="8" t="s">
        <v>1775</v>
      </c>
      <c r="E1263" s="8" t="str">
        <f t="shared" si="127"/>
        <v>CARAMELO</v>
      </c>
      <c r="H1263" s="8" t="str">
        <f>VLOOKUP(A1263,[1]BBDD!$B$1:$J$3274,9,FALSE)</f>
        <v>U</v>
      </c>
      <c r="I1263" s="8" t="s">
        <v>2861</v>
      </c>
      <c r="J1263" s="8" t="s">
        <v>1798</v>
      </c>
      <c r="L1263" s="8" t="s">
        <v>61</v>
      </c>
      <c r="N1263" s="8" t="s">
        <v>62</v>
      </c>
      <c r="Q1263" s="8" t="s">
        <v>32</v>
      </c>
      <c r="R1263" s="8">
        <v>3</v>
      </c>
      <c r="S1263" s="8">
        <v>12</v>
      </c>
      <c r="T1263" s="8">
        <f t="shared" si="130"/>
        <v>15</v>
      </c>
      <c r="U1263" s="8">
        <v>4</v>
      </c>
      <c r="V1263" s="8">
        <v>7</v>
      </c>
      <c r="W1263" s="8">
        <v>11</v>
      </c>
      <c r="X1263" s="8">
        <v>7</v>
      </c>
      <c r="Y1263" s="8">
        <v>7</v>
      </c>
      <c r="Z1263" s="8">
        <v>5</v>
      </c>
      <c r="AA1263" s="8">
        <v>180</v>
      </c>
      <c r="AB1263" s="9">
        <f t="shared" si="131"/>
        <v>6.833333333333333</v>
      </c>
      <c r="AC1263" s="10">
        <f t="shared" si="128"/>
        <v>2.1951219512195124</v>
      </c>
      <c r="AD1263" s="8" t="s">
        <v>33</v>
      </c>
      <c r="AE1263" s="11">
        <v>23990</v>
      </c>
      <c r="AF1263" s="11">
        <f t="shared" si="129"/>
        <v>359850</v>
      </c>
      <c r="AG1263" s="12" t="s">
        <v>34</v>
      </c>
      <c r="AH1263" s="8" t="s">
        <v>65</v>
      </c>
    </row>
    <row r="1264" spans="1:34">
      <c r="A1264" s="8" t="s">
        <v>1799</v>
      </c>
      <c r="B1264" s="16" t="s">
        <v>2859</v>
      </c>
      <c r="C1264" s="8" t="s">
        <v>248</v>
      </c>
      <c r="D1264" s="8" t="s">
        <v>1775</v>
      </c>
      <c r="E1264" s="8" t="str">
        <f t="shared" si="127"/>
        <v>MALBEC</v>
      </c>
      <c r="H1264" s="8" t="str">
        <f>VLOOKUP(A1264,[1]BBDD!$B$1:$J$3274,9,FALSE)</f>
        <v>U</v>
      </c>
      <c r="I1264" s="8" t="s">
        <v>2861</v>
      </c>
      <c r="J1264" s="8" t="s">
        <v>1798</v>
      </c>
      <c r="L1264" s="8" t="s">
        <v>61</v>
      </c>
      <c r="N1264" s="8" t="s">
        <v>69</v>
      </c>
      <c r="Q1264" s="8" t="s">
        <v>32</v>
      </c>
      <c r="R1264" s="8">
        <v>7</v>
      </c>
      <c r="S1264" s="8">
        <v>15</v>
      </c>
      <c r="T1264" s="8">
        <f t="shared" si="130"/>
        <v>22</v>
      </c>
      <c r="U1264" s="8">
        <v>3</v>
      </c>
      <c r="V1264" s="8">
        <v>4</v>
      </c>
      <c r="W1264" s="8">
        <v>5</v>
      </c>
      <c r="X1264" s="8">
        <v>5</v>
      </c>
      <c r="Y1264" s="8">
        <v>5</v>
      </c>
      <c r="Z1264" s="8">
        <v>2</v>
      </c>
      <c r="AA1264" s="8">
        <v>180</v>
      </c>
      <c r="AB1264" s="9">
        <f t="shared" si="131"/>
        <v>4</v>
      </c>
      <c r="AC1264" s="10">
        <f t="shared" si="128"/>
        <v>5.5</v>
      </c>
      <c r="AD1264" s="8" t="s">
        <v>33</v>
      </c>
      <c r="AE1264" s="11">
        <v>23990</v>
      </c>
      <c r="AF1264" s="11">
        <f t="shared" si="129"/>
        <v>527780</v>
      </c>
      <c r="AG1264" s="12" t="s">
        <v>34</v>
      </c>
      <c r="AH1264" s="8" t="s">
        <v>74</v>
      </c>
    </row>
    <row r="1265" spans="1:34">
      <c r="A1265" s="8" t="s">
        <v>1800</v>
      </c>
      <c r="B1265" s="16" t="s">
        <v>2859</v>
      </c>
      <c r="C1265" s="8" t="s">
        <v>248</v>
      </c>
      <c r="D1265" s="8" t="s">
        <v>1775</v>
      </c>
      <c r="E1265" s="8" t="str">
        <f t="shared" si="127"/>
        <v>NEGRO</v>
      </c>
      <c r="H1265" s="8" t="str">
        <f>VLOOKUP(A1265,[1]BBDD!$B$1:$J$3274,9,FALSE)</f>
        <v>U</v>
      </c>
      <c r="I1265" s="8" t="s">
        <v>2861</v>
      </c>
      <c r="J1265" s="8" t="s">
        <v>1798</v>
      </c>
      <c r="L1265" s="8" t="s">
        <v>61</v>
      </c>
      <c r="N1265" s="8" t="s">
        <v>44</v>
      </c>
      <c r="Q1265" s="8" t="s">
        <v>32</v>
      </c>
      <c r="R1265" s="8">
        <v>27</v>
      </c>
      <c r="S1265" s="8">
        <v>12</v>
      </c>
      <c r="T1265" s="8">
        <f t="shared" si="130"/>
        <v>39</v>
      </c>
      <c r="U1265" s="8">
        <v>4</v>
      </c>
      <c r="V1265" s="8">
        <v>2</v>
      </c>
      <c r="W1265" s="8">
        <v>1</v>
      </c>
      <c r="X1265" s="8">
        <v>2</v>
      </c>
      <c r="Y1265" s="8">
        <v>2</v>
      </c>
      <c r="Z1265" s="8">
        <v>3</v>
      </c>
      <c r="AA1265" s="8">
        <v>180</v>
      </c>
      <c r="AB1265" s="9">
        <f t="shared" si="131"/>
        <v>2.3333333333333335</v>
      </c>
      <c r="AC1265" s="10">
        <f t="shared" si="128"/>
        <v>16.714285714285712</v>
      </c>
      <c r="AD1265" s="8" t="s">
        <v>33</v>
      </c>
      <c r="AE1265" s="11">
        <v>23990</v>
      </c>
      <c r="AF1265" s="11">
        <f t="shared" si="129"/>
        <v>935610</v>
      </c>
      <c r="AG1265" s="12" t="s">
        <v>64</v>
      </c>
      <c r="AH1265" s="8" t="s">
        <v>74</v>
      </c>
    </row>
    <row r="1266" spans="1:34">
      <c r="A1266" s="8" t="s">
        <v>1801</v>
      </c>
      <c r="B1266" s="16" t="s">
        <v>2859</v>
      </c>
      <c r="C1266" s="8" t="s">
        <v>248</v>
      </c>
      <c r="D1266" s="8" t="s">
        <v>1775</v>
      </c>
      <c r="E1266" s="8" t="str">
        <f t="shared" si="127"/>
        <v>ROJO</v>
      </c>
      <c r="H1266" s="8" t="str">
        <f>VLOOKUP(A1266,[1]BBDD!$B$1:$J$3274,9,FALSE)</f>
        <v>U</v>
      </c>
      <c r="I1266" s="8" t="s">
        <v>2861</v>
      </c>
      <c r="J1266" s="8" t="s">
        <v>1798</v>
      </c>
      <c r="L1266" s="8" t="s">
        <v>61</v>
      </c>
      <c r="N1266" s="8" t="s">
        <v>88</v>
      </c>
      <c r="Q1266" s="8" t="s">
        <v>32</v>
      </c>
      <c r="R1266" s="8">
        <v>4</v>
      </c>
      <c r="S1266" s="8">
        <v>16</v>
      </c>
      <c r="T1266" s="8">
        <f t="shared" si="130"/>
        <v>20</v>
      </c>
      <c r="U1266" s="8">
        <v>4</v>
      </c>
      <c r="V1266" s="8">
        <v>7</v>
      </c>
      <c r="W1266" s="8">
        <v>5</v>
      </c>
      <c r="X1266" s="8">
        <v>3</v>
      </c>
      <c r="Y1266" s="8">
        <v>5</v>
      </c>
      <c r="Z1266" s="8">
        <v>4</v>
      </c>
      <c r="AA1266" s="8">
        <v>180</v>
      </c>
      <c r="AB1266" s="9">
        <f t="shared" si="131"/>
        <v>4.666666666666667</v>
      </c>
      <c r="AC1266" s="10">
        <f t="shared" si="128"/>
        <v>4.2857142857142856</v>
      </c>
      <c r="AD1266" s="8" t="s">
        <v>33</v>
      </c>
      <c r="AE1266" s="11">
        <v>23990</v>
      </c>
      <c r="AF1266" s="11">
        <f t="shared" si="129"/>
        <v>479800</v>
      </c>
      <c r="AG1266" s="12" t="s">
        <v>34</v>
      </c>
      <c r="AH1266" s="8" t="s">
        <v>65</v>
      </c>
    </row>
    <row r="1267" spans="1:34">
      <c r="A1267" s="8" t="s">
        <v>1802</v>
      </c>
      <c r="B1267" s="16" t="s">
        <v>2859</v>
      </c>
      <c r="C1267" s="8" t="s">
        <v>248</v>
      </c>
      <c r="D1267" s="8" t="s">
        <v>1775</v>
      </c>
      <c r="E1267" s="8" t="str">
        <f t="shared" si="127"/>
        <v>AZUL</v>
      </c>
      <c r="H1267" s="8" t="str">
        <f>VLOOKUP(A1267,[1]BBDD!$B$1:$J$3274,9,FALSE)</f>
        <v>U</v>
      </c>
      <c r="I1267" s="8" t="s">
        <v>2861</v>
      </c>
      <c r="J1267" s="8" t="s">
        <v>1798</v>
      </c>
      <c r="L1267" s="8" t="s">
        <v>61</v>
      </c>
      <c r="N1267" s="8" t="s">
        <v>83</v>
      </c>
      <c r="Q1267" s="8" t="s">
        <v>45</v>
      </c>
      <c r="R1267" s="8">
        <v>0</v>
      </c>
      <c r="S1267" s="8">
        <v>5</v>
      </c>
      <c r="T1267" s="8">
        <f t="shared" si="130"/>
        <v>5</v>
      </c>
      <c r="U1267" s="8">
        <v>2</v>
      </c>
      <c r="V1267" s="8">
        <v>0</v>
      </c>
      <c r="W1267" s="8">
        <v>0</v>
      </c>
      <c r="X1267" s="8">
        <v>1</v>
      </c>
      <c r="Y1267" s="8">
        <v>1</v>
      </c>
      <c r="Z1267" s="8">
        <v>0</v>
      </c>
      <c r="AA1267" s="8">
        <v>180</v>
      </c>
      <c r="AB1267" s="9">
        <f t="shared" si="131"/>
        <v>0.66666666666666674</v>
      </c>
      <c r="AC1267" s="10">
        <f t="shared" si="128"/>
        <v>7.4999999999999991</v>
      </c>
      <c r="AD1267" s="8" t="s">
        <v>109</v>
      </c>
      <c r="AE1267" s="11">
        <v>23990</v>
      </c>
      <c r="AF1267" s="11">
        <f t="shared" si="129"/>
        <v>119950</v>
      </c>
      <c r="AG1267" s="12" t="s">
        <v>51</v>
      </c>
      <c r="AH1267" s="8" t="s">
        <v>35</v>
      </c>
    </row>
    <row r="1268" spans="1:34">
      <c r="A1268" s="8" t="s">
        <v>1803</v>
      </c>
      <c r="B1268" s="16" t="s">
        <v>2859</v>
      </c>
      <c r="C1268" s="8" t="s">
        <v>248</v>
      </c>
      <c r="D1268" s="8" t="s">
        <v>1775</v>
      </c>
      <c r="E1268" s="8" t="str">
        <f t="shared" si="127"/>
        <v>CARAMELO</v>
      </c>
      <c r="H1268" s="8" t="str">
        <f>VLOOKUP(A1268,[1]BBDD!$B$1:$J$3274,9,FALSE)</f>
        <v>U</v>
      </c>
      <c r="I1268" s="8" t="s">
        <v>2861</v>
      </c>
      <c r="J1268" s="8" t="s">
        <v>1798</v>
      </c>
      <c r="L1268" s="8" t="s">
        <v>238</v>
      </c>
      <c r="N1268" s="8" t="s">
        <v>62</v>
      </c>
      <c r="Q1268" s="8" t="s">
        <v>32</v>
      </c>
      <c r="R1268" s="8">
        <v>0</v>
      </c>
      <c r="S1268" s="8">
        <v>7</v>
      </c>
      <c r="T1268" s="8">
        <f t="shared" si="130"/>
        <v>7</v>
      </c>
      <c r="U1268" s="8">
        <v>0</v>
      </c>
      <c r="V1268" s="8">
        <v>5</v>
      </c>
      <c r="W1268" s="8">
        <v>5</v>
      </c>
      <c r="X1268" s="8">
        <v>1</v>
      </c>
      <c r="Y1268" s="8">
        <v>0</v>
      </c>
      <c r="Z1268" s="8">
        <v>1</v>
      </c>
      <c r="AA1268" s="8">
        <v>180</v>
      </c>
      <c r="AB1268" s="9">
        <f t="shared" si="131"/>
        <v>2</v>
      </c>
      <c r="AC1268" s="10">
        <f t="shared" si="128"/>
        <v>3.5</v>
      </c>
      <c r="AD1268" s="8" t="s">
        <v>33</v>
      </c>
      <c r="AE1268" s="11">
        <v>24990</v>
      </c>
      <c r="AF1268" s="11">
        <f t="shared" si="129"/>
        <v>174930</v>
      </c>
      <c r="AG1268" s="12" t="s">
        <v>34</v>
      </c>
      <c r="AH1268" s="8" t="s">
        <v>35</v>
      </c>
    </row>
    <row r="1269" spans="1:34">
      <c r="A1269" s="8" t="s">
        <v>1804</v>
      </c>
      <c r="B1269" s="16" t="s">
        <v>2859</v>
      </c>
      <c r="C1269" s="8" t="s">
        <v>248</v>
      </c>
      <c r="D1269" s="8" t="s">
        <v>1775</v>
      </c>
      <c r="E1269" s="8" t="str">
        <f t="shared" si="127"/>
        <v>NEGRO</v>
      </c>
      <c r="H1269" s="8" t="str">
        <f>VLOOKUP(A1269,[1]BBDD!$B$1:$J$3274,9,FALSE)</f>
        <v>U</v>
      </c>
      <c r="I1269" s="8" t="s">
        <v>2861</v>
      </c>
      <c r="J1269" s="8" t="s">
        <v>1798</v>
      </c>
      <c r="L1269" s="8" t="s">
        <v>238</v>
      </c>
      <c r="N1269" s="8" t="s">
        <v>44</v>
      </c>
      <c r="Q1269" s="8" t="s">
        <v>32</v>
      </c>
      <c r="R1269" s="8">
        <v>13</v>
      </c>
      <c r="S1269" s="8">
        <v>13</v>
      </c>
      <c r="T1269" s="8">
        <f t="shared" si="130"/>
        <v>26</v>
      </c>
      <c r="U1269" s="8">
        <v>1</v>
      </c>
      <c r="V1269" s="8">
        <v>2</v>
      </c>
      <c r="W1269" s="8">
        <v>1</v>
      </c>
      <c r="X1269" s="8">
        <v>2</v>
      </c>
      <c r="Y1269" s="8">
        <v>2</v>
      </c>
      <c r="Z1269" s="8">
        <v>0</v>
      </c>
      <c r="AA1269" s="8">
        <v>180</v>
      </c>
      <c r="AB1269" s="9">
        <f t="shared" si="131"/>
        <v>1.3333333333333335</v>
      </c>
      <c r="AC1269" s="10">
        <f t="shared" si="128"/>
        <v>19.499999999999996</v>
      </c>
      <c r="AD1269" s="8" t="s">
        <v>33</v>
      </c>
      <c r="AE1269" s="11">
        <v>24990</v>
      </c>
      <c r="AF1269" s="11">
        <f t="shared" si="129"/>
        <v>649740</v>
      </c>
      <c r="AG1269" s="12" t="s">
        <v>64</v>
      </c>
      <c r="AH1269" s="8" t="s">
        <v>74</v>
      </c>
    </row>
    <row r="1270" spans="1:34">
      <c r="A1270" s="8" t="s">
        <v>1805</v>
      </c>
      <c r="B1270" s="16" t="s">
        <v>2859</v>
      </c>
      <c r="C1270" s="8" t="s">
        <v>248</v>
      </c>
      <c r="D1270" s="8" t="s">
        <v>1775</v>
      </c>
      <c r="E1270" s="8" t="str">
        <f t="shared" si="127"/>
        <v>ROJO</v>
      </c>
      <c r="H1270" s="8" t="str">
        <f>VLOOKUP(A1270,[1]BBDD!$B$1:$J$3274,9,FALSE)</f>
        <v>U</v>
      </c>
      <c r="I1270" s="8" t="s">
        <v>2861</v>
      </c>
      <c r="J1270" s="8" t="s">
        <v>1798</v>
      </c>
      <c r="L1270" s="8" t="s">
        <v>238</v>
      </c>
      <c r="N1270" s="8" t="s">
        <v>88</v>
      </c>
      <c r="Q1270" s="8" t="s">
        <v>32</v>
      </c>
      <c r="R1270" s="8">
        <v>0</v>
      </c>
      <c r="S1270" s="8">
        <v>11</v>
      </c>
      <c r="T1270" s="8">
        <f t="shared" si="130"/>
        <v>11</v>
      </c>
      <c r="U1270" s="8">
        <v>0</v>
      </c>
      <c r="V1270" s="8">
        <v>2</v>
      </c>
      <c r="W1270" s="8">
        <v>3</v>
      </c>
      <c r="X1270" s="8">
        <v>1</v>
      </c>
      <c r="Y1270" s="8">
        <v>0</v>
      </c>
      <c r="Z1270" s="8">
        <v>2</v>
      </c>
      <c r="AA1270" s="8">
        <v>180</v>
      </c>
      <c r="AB1270" s="9">
        <f t="shared" si="131"/>
        <v>1.3333333333333335</v>
      </c>
      <c r="AC1270" s="10">
        <f t="shared" si="128"/>
        <v>8.2499999999999982</v>
      </c>
      <c r="AD1270" s="8" t="s">
        <v>33</v>
      </c>
      <c r="AE1270" s="11">
        <v>24990</v>
      </c>
      <c r="AF1270" s="11">
        <f t="shared" si="129"/>
        <v>274890</v>
      </c>
      <c r="AG1270" s="12" t="s">
        <v>51</v>
      </c>
      <c r="AH1270" s="8" t="s">
        <v>65</v>
      </c>
    </row>
    <row r="1271" spans="1:34">
      <c r="A1271" s="8" t="s">
        <v>1806</v>
      </c>
      <c r="B1271" s="16" t="s">
        <v>2859</v>
      </c>
      <c r="C1271" s="8" t="s">
        <v>248</v>
      </c>
      <c r="D1271" s="8" t="s">
        <v>1775</v>
      </c>
      <c r="E1271" s="8" t="str">
        <f t="shared" si="127"/>
        <v>AZUL</v>
      </c>
      <c r="H1271" s="8" t="str">
        <f>VLOOKUP(A1271,[1]BBDD!$B$1:$J$3274,9,FALSE)</f>
        <v>U</v>
      </c>
      <c r="I1271" s="8" t="s">
        <v>2861</v>
      </c>
      <c r="J1271" s="8" t="s">
        <v>1798</v>
      </c>
      <c r="L1271" s="8" t="s">
        <v>238</v>
      </c>
      <c r="N1271" s="8" t="s">
        <v>83</v>
      </c>
      <c r="Q1271" s="8" t="s">
        <v>45</v>
      </c>
      <c r="R1271" s="8">
        <v>0</v>
      </c>
      <c r="S1271" s="8">
        <v>2</v>
      </c>
      <c r="T1271" s="8">
        <f t="shared" si="130"/>
        <v>2</v>
      </c>
      <c r="U1271" s="8">
        <v>0</v>
      </c>
      <c r="V1271" s="8">
        <v>1</v>
      </c>
      <c r="W1271" s="8">
        <v>0</v>
      </c>
      <c r="X1271" s="8">
        <v>0</v>
      </c>
      <c r="Y1271" s="8">
        <v>1</v>
      </c>
      <c r="Z1271" s="8">
        <v>0</v>
      </c>
      <c r="AA1271" s="8">
        <v>180</v>
      </c>
      <c r="AB1271" s="9">
        <f t="shared" si="131"/>
        <v>0.33333333333333337</v>
      </c>
      <c r="AC1271" s="10">
        <f t="shared" si="128"/>
        <v>5.9999999999999991</v>
      </c>
      <c r="AD1271" s="8" t="s">
        <v>109</v>
      </c>
      <c r="AE1271" s="11">
        <v>24990</v>
      </c>
      <c r="AF1271" s="11">
        <f t="shared" si="129"/>
        <v>49980</v>
      </c>
      <c r="AG1271" s="12" t="s">
        <v>34</v>
      </c>
      <c r="AH1271" s="8" t="s">
        <v>35</v>
      </c>
    </row>
    <row r="1272" spans="1:34">
      <c r="A1272" s="8" t="s">
        <v>1807</v>
      </c>
      <c r="B1272" s="16" t="s">
        <v>2859</v>
      </c>
      <c r="C1272" s="8" t="s">
        <v>248</v>
      </c>
      <c r="D1272" s="8" t="s">
        <v>1775</v>
      </c>
      <c r="E1272" s="8" t="str">
        <f t="shared" si="127"/>
        <v>AZUL</v>
      </c>
      <c r="H1272" s="8" t="str">
        <f>VLOOKUP(A1272,[1]BBDD!$B$1:$J$3274,9,FALSE)</f>
        <v>U</v>
      </c>
      <c r="I1272" s="8" t="s">
        <v>2861</v>
      </c>
      <c r="J1272" s="8" t="s">
        <v>1798</v>
      </c>
      <c r="L1272" s="8" t="s">
        <v>119</v>
      </c>
      <c r="N1272" s="8" t="s">
        <v>83</v>
      </c>
      <c r="Q1272" s="8" t="s">
        <v>32</v>
      </c>
      <c r="R1272" s="8">
        <v>0</v>
      </c>
      <c r="S1272" s="8">
        <v>3</v>
      </c>
      <c r="T1272" s="8">
        <f t="shared" si="130"/>
        <v>3</v>
      </c>
      <c r="U1272" s="8">
        <v>1</v>
      </c>
      <c r="V1272" s="8">
        <v>3</v>
      </c>
      <c r="W1272" s="8">
        <v>0</v>
      </c>
      <c r="X1272" s="8">
        <v>3</v>
      </c>
      <c r="Y1272" s="8">
        <v>2</v>
      </c>
      <c r="Z1272" s="8">
        <v>2</v>
      </c>
      <c r="AA1272" s="8">
        <v>180</v>
      </c>
      <c r="AB1272" s="9">
        <f t="shared" si="131"/>
        <v>1.8333333333333333</v>
      </c>
      <c r="AC1272" s="10">
        <f t="shared" si="128"/>
        <v>1.6363636363636365</v>
      </c>
      <c r="AD1272" s="8" t="s">
        <v>33</v>
      </c>
      <c r="AE1272" s="11">
        <v>23990</v>
      </c>
      <c r="AF1272" s="11">
        <f t="shared" si="129"/>
        <v>71970</v>
      </c>
      <c r="AG1272" s="12" t="s">
        <v>34</v>
      </c>
      <c r="AH1272" s="8" t="s">
        <v>35</v>
      </c>
    </row>
    <row r="1273" spans="1:34">
      <c r="A1273" s="8" t="s">
        <v>1808</v>
      </c>
      <c r="B1273" s="16" t="s">
        <v>2859</v>
      </c>
      <c r="C1273" s="8" t="s">
        <v>248</v>
      </c>
      <c r="D1273" s="8" t="s">
        <v>1775</v>
      </c>
      <c r="E1273" s="8" t="str">
        <f t="shared" si="127"/>
        <v>VERDE</v>
      </c>
      <c r="H1273" s="8" t="str">
        <f>VLOOKUP(A1273,[1]BBDD!$B$1:$J$3274,9,FALSE)</f>
        <v>U</v>
      </c>
      <c r="I1273" s="8" t="s">
        <v>2861</v>
      </c>
      <c r="J1273" s="8" t="s">
        <v>1798</v>
      </c>
      <c r="L1273" s="8" t="s">
        <v>119</v>
      </c>
      <c r="N1273" s="8" t="s">
        <v>92</v>
      </c>
      <c r="Q1273" s="8" t="s">
        <v>32</v>
      </c>
      <c r="R1273" s="8">
        <v>6</v>
      </c>
      <c r="S1273" s="8">
        <v>12</v>
      </c>
      <c r="T1273" s="8">
        <f t="shared" si="130"/>
        <v>18</v>
      </c>
      <c r="U1273" s="8">
        <v>0</v>
      </c>
      <c r="V1273" s="8">
        <v>6</v>
      </c>
      <c r="W1273" s="8">
        <v>3</v>
      </c>
      <c r="X1273" s="8">
        <v>4</v>
      </c>
      <c r="Y1273" s="8">
        <v>5</v>
      </c>
      <c r="Z1273" s="8">
        <v>6</v>
      </c>
      <c r="AA1273" s="8">
        <v>180</v>
      </c>
      <c r="AB1273" s="9">
        <f t="shared" si="131"/>
        <v>4</v>
      </c>
      <c r="AC1273" s="10">
        <f t="shared" si="128"/>
        <v>4.5</v>
      </c>
      <c r="AD1273" s="8" t="s">
        <v>33</v>
      </c>
      <c r="AE1273" s="11">
        <v>23990</v>
      </c>
      <c r="AF1273" s="11">
        <f t="shared" si="129"/>
        <v>431820</v>
      </c>
      <c r="AG1273" s="12" t="s">
        <v>34</v>
      </c>
      <c r="AH1273" s="8" t="s">
        <v>65</v>
      </c>
    </row>
    <row r="1274" spans="1:34">
      <c r="A1274" s="8" t="s">
        <v>1809</v>
      </c>
      <c r="B1274" s="16" t="s">
        <v>2859</v>
      </c>
      <c r="C1274" s="8" t="s">
        <v>248</v>
      </c>
      <c r="D1274" s="8" t="s">
        <v>1775</v>
      </c>
      <c r="E1274" s="8" t="str">
        <f t="shared" si="127"/>
        <v>AZUL</v>
      </c>
      <c r="H1274" s="8" t="str">
        <f>VLOOKUP(A1274,[1]BBDD!$B$1:$J$3274,9,FALSE)</f>
        <v>U</v>
      </c>
      <c r="I1274" s="8" t="s">
        <v>2861</v>
      </c>
      <c r="J1274" s="8" t="s">
        <v>1798</v>
      </c>
      <c r="L1274" s="8" t="s">
        <v>82</v>
      </c>
      <c r="N1274" s="8" t="s">
        <v>83</v>
      </c>
      <c r="Q1274" s="8" t="s">
        <v>45</v>
      </c>
      <c r="R1274" s="8">
        <v>0</v>
      </c>
      <c r="S1274" s="8">
        <v>2</v>
      </c>
      <c r="T1274" s="8">
        <f t="shared" si="130"/>
        <v>2</v>
      </c>
      <c r="U1274" s="8">
        <v>0</v>
      </c>
      <c r="V1274" s="8">
        <v>1</v>
      </c>
      <c r="W1274" s="8">
        <v>0</v>
      </c>
      <c r="X1274" s="8">
        <v>0</v>
      </c>
      <c r="Y1274" s="8">
        <v>0</v>
      </c>
      <c r="Z1274" s="8">
        <v>2</v>
      </c>
      <c r="AA1274" s="8">
        <v>180</v>
      </c>
      <c r="AB1274" s="9">
        <f t="shared" si="131"/>
        <v>0.5</v>
      </c>
      <c r="AC1274" s="10">
        <f t="shared" si="128"/>
        <v>4</v>
      </c>
      <c r="AD1274" s="8" t="s">
        <v>109</v>
      </c>
      <c r="AE1274" s="11">
        <v>23990</v>
      </c>
      <c r="AF1274" s="11">
        <f t="shared" si="129"/>
        <v>47980</v>
      </c>
      <c r="AG1274" s="12" t="s">
        <v>34</v>
      </c>
      <c r="AH1274" s="8" t="s">
        <v>35</v>
      </c>
    </row>
    <row r="1275" spans="1:34">
      <c r="A1275" s="8" t="s">
        <v>1810</v>
      </c>
      <c r="B1275" s="16" t="s">
        <v>2859</v>
      </c>
      <c r="C1275" s="8" t="s">
        <v>248</v>
      </c>
      <c r="D1275" s="8" t="s">
        <v>1775</v>
      </c>
      <c r="E1275" s="8" t="str">
        <f t="shared" si="127"/>
        <v>NEGRO</v>
      </c>
      <c r="H1275" s="8" t="str">
        <f>VLOOKUP(A1275,[1]BBDD!$B$1:$J$3274,9,FALSE)</f>
        <v>U</v>
      </c>
      <c r="I1275" s="8" t="s">
        <v>2861</v>
      </c>
      <c r="J1275" s="8" t="s">
        <v>1798</v>
      </c>
      <c r="L1275" s="8" t="s">
        <v>82</v>
      </c>
      <c r="N1275" s="8" t="s">
        <v>44</v>
      </c>
      <c r="Q1275" s="8" t="s">
        <v>45</v>
      </c>
      <c r="R1275" s="8">
        <v>0</v>
      </c>
      <c r="S1275" s="8">
        <v>4</v>
      </c>
      <c r="T1275" s="8">
        <f t="shared" si="130"/>
        <v>4</v>
      </c>
      <c r="U1275" s="8">
        <v>1</v>
      </c>
      <c r="V1275" s="8">
        <v>0</v>
      </c>
      <c r="W1275" s="8">
        <v>1</v>
      </c>
      <c r="X1275" s="8">
        <v>1</v>
      </c>
      <c r="Y1275" s="8">
        <v>0</v>
      </c>
      <c r="Z1275" s="8">
        <v>0</v>
      </c>
      <c r="AA1275" s="8">
        <v>180</v>
      </c>
      <c r="AB1275" s="9">
        <f t="shared" si="131"/>
        <v>0.5</v>
      </c>
      <c r="AC1275" s="10">
        <f t="shared" si="128"/>
        <v>8</v>
      </c>
      <c r="AD1275" s="8" t="s">
        <v>109</v>
      </c>
      <c r="AE1275" s="11">
        <v>23990</v>
      </c>
      <c r="AF1275" s="11">
        <f t="shared" si="129"/>
        <v>95960</v>
      </c>
      <c r="AG1275" s="12" t="s">
        <v>51</v>
      </c>
      <c r="AH1275" s="8" t="s">
        <v>35</v>
      </c>
    </row>
    <row r="1276" spans="1:34">
      <c r="A1276" s="8" t="s">
        <v>1811</v>
      </c>
      <c r="B1276" s="16" t="s">
        <v>2859</v>
      </c>
      <c r="C1276" s="8" t="s">
        <v>248</v>
      </c>
      <c r="D1276" s="8" t="s">
        <v>1775</v>
      </c>
      <c r="E1276" s="8" t="str">
        <f t="shared" si="127"/>
        <v>ROJO</v>
      </c>
      <c r="H1276" s="8" t="str">
        <f>VLOOKUP(A1276,[1]BBDD!$B$1:$J$3274,9,FALSE)</f>
        <v>U</v>
      </c>
      <c r="I1276" s="8" t="s">
        <v>2861</v>
      </c>
      <c r="J1276" s="8" t="s">
        <v>1798</v>
      </c>
      <c r="L1276" s="8" t="s">
        <v>82</v>
      </c>
      <c r="N1276" s="8" t="s">
        <v>88</v>
      </c>
      <c r="Q1276" s="8" t="s">
        <v>45</v>
      </c>
      <c r="R1276" s="8">
        <v>0</v>
      </c>
      <c r="S1276" s="8">
        <v>2</v>
      </c>
      <c r="T1276" s="8">
        <f t="shared" si="130"/>
        <v>2</v>
      </c>
      <c r="U1276" s="8">
        <v>0</v>
      </c>
      <c r="V1276" s="8">
        <v>1</v>
      </c>
      <c r="W1276" s="8">
        <v>1</v>
      </c>
      <c r="X1276" s="8">
        <v>2</v>
      </c>
      <c r="Y1276" s="8">
        <v>0</v>
      </c>
      <c r="Z1276" s="8">
        <v>0</v>
      </c>
      <c r="AA1276" s="8">
        <v>180</v>
      </c>
      <c r="AB1276" s="9">
        <f t="shared" si="131"/>
        <v>0.66666666666666674</v>
      </c>
      <c r="AC1276" s="10">
        <f t="shared" si="128"/>
        <v>2.9999999999999996</v>
      </c>
      <c r="AD1276" s="8" t="s">
        <v>109</v>
      </c>
      <c r="AE1276" s="11">
        <v>23990</v>
      </c>
      <c r="AF1276" s="11">
        <f t="shared" si="129"/>
        <v>47980</v>
      </c>
      <c r="AG1276" s="12" t="s">
        <v>34</v>
      </c>
      <c r="AH1276" s="8" t="s">
        <v>35</v>
      </c>
    </row>
    <row r="1277" spans="1:34">
      <c r="A1277" s="8" t="s">
        <v>1812</v>
      </c>
      <c r="B1277" s="16" t="s">
        <v>2859</v>
      </c>
      <c r="C1277" s="8" t="s">
        <v>248</v>
      </c>
      <c r="D1277" s="8" t="s">
        <v>1775</v>
      </c>
      <c r="E1277" s="8" t="str">
        <f t="shared" si="127"/>
        <v>DARK</v>
      </c>
      <c r="H1277" s="8" t="str">
        <f>VLOOKUP(A1277,[1]BBDD!$B$1:$J$3274,9,FALSE)</f>
        <v>U</v>
      </c>
      <c r="I1277" s="8" t="s">
        <v>2861</v>
      </c>
      <c r="J1277" s="8" t="s">
        <v>1798</v>
      </c>
      <c r="L1277" s="8" t="s">
        <v>189</v>
      </c>
      <c r="N1277" s="8" t="s">
        <v>246</v>
      </c>
      <c r="Q1277" s="8" t="s">
        <v>45</v>
      </c>
      <c r="R1277" s="8">
        <v>0</v>
      </c>
      <c r="S1277" s="8">
        <v>2</v>
      </c>
      <c r="T1277" s="8">
        <f t="shared" si="130"/>
        <v>2</v>
      </c>
      <c r="U1277" s="8">
        <v>0</v>
      </c>
      <c r="V1277" s="8">
        <v>3</v>
      </c>
      <c r="W1277" s="8">
        <v>1</v>
      </c>
      <c r="X1277" s="8">
        <v>4</v>
      </c>
      <c r="Y1277" s="8">
        <v>1</v>
      </c>
      <c r="Z1277" s="8">
        <v>1</v>
      </c>
      <c r="AA1277" s="8">
        <v>180</v>
      </c>
      <c r="AB1277" s="9">
        <f t="shared" si="131"/>
        <v>1.6666666666666665</v>
      </c>
      <c r="AC1277" s="10">
        <f t="shared" si="128"/>
        <v>1.2000000000000002</v>
      </c>
      <c r="AD1277" s="8" t="s">
        <v>109</v>
      </c>
      <c r="AE1277" s="11">
        <v>23990</v>
      </c>
      <c r="AF1277" s="11">
        <f t="shared" si="129"/>
        <v>47980</v>
      </c>
      <c r="AG1277" s="12" t="s">
        <v>34</v>
      </c>
      <c r="AH1277" s="8" t="s">
        <v>35</v>
      </c>
    </row>
    <row r="1278" spans="1:34">
      <c r="A1278" s="8" t="s">
        <v>1813</v>
      </c>
      <c r="B1278" s="16" t="s">
        <v>2859</v>
      </c>
      <c r="C1278" s="8" t="s">
        <v>248</v>
      </c>
      <c r="D1278" s="8" t="s">
        <v>1775</v>
      </c>
      <c r="E1278" s="8" t="str">
        <f t="shared" si="127"/>
        <v>MEDIO</v>
      </c>
      <c r="H1278" s="8" t="str">
        <f>VLOOKUP(A1278,[1]BBDD!$B$1:$J$3274,9,FALSE)</f>
        <v>U</v>
      </c>
      <c r="I1278" s="8" t="s">
        <v>2861</v>
      </c>
      <c r="J1278" s="8" t="s">
        <v>1798</v>
      </c>
      <c r="L1278" s="8" t="s">
        <v>189</v>
      </c>
      <c r="N1278" s="8" t="s">
        <v>190</v>
      </c>
      <c r="Q1278" s="8" t="s">
        <v>45</v>
      </c>
      <c r="R1278" s="8">
        <v>3</v>
      </c>
      <c r="S1278" s="8">
        <v>9</v>
      </c>
      <c r="T1278" s="8">
        <f t="shared" si="130"/>
        <v>12</v>
      </c>
      <c r="U1278" s="8">
        <v>4</v>
      </c>
      <c r="V1278" s="8">
        <v>4</v>
      </c>
      <c r="W1278" s="8">
        <v>1</v>
      </c>
      <c r="X1278" s="8">
        <v>1</v>
      </c>
      <c r="Y1278" s="8">
        <v>0</v>
      </c>
      <c r="Z1278" s="8">
        <v>2</v>
      </c>
      <c r="AA1278" s="8">
        <v>180</v>
      </c>
      <c r="AB1278" s="9">
        <f t="shared" si="131"/>
        <v>2</v>
      </c>
      <c r="AC1278" s="10">
        <f t="shared" si="128"/>
        <v>6</v>
      </c>
      <c r="AD1278" s="8" t="s">
        <v>109</v>
      </c>
      <c r="AE1278" s="11">
        <v>23990</v>
      </c>
      <c r="AF1278" s="11">
        <f t="shared" si="129"/>
        <v>287880</v>
      </c>
      <c r="AG1278" s="12" t="s">
        <v>34</v>
      </c>
      <c r="AH1278" s="8" t="s">
        <v>65</v>
      </c>
    </row>
    <row r="1279" spans="1:34">
      <c r="A1279" s="8" t="s">
        <v>1814</v>
      </c>
      <c r="B1279" s="16" t="s">
        <v>2859</v>
      </c>
      <c r="C1279" s="8" t="s">
        <v>248</v>
      </c>
      <c r="D1279" s="8" t="s">
        <v>1775</v>
      </c>
      <c r="E1279" s="8" t="str">
        <f t="shared" si="127"/>
        <v>MALBEC</v>
      </c>
      <c r="H1279" s="8" t="str">
        <f>VLOOKUP(A1279,[1]BBDD!$B$1:$J$3274,9,FALSE)</f>
        <v>M</v>
      </c>
      <c r="I1279" s="17" t="s">
        <v>2861</v>
      </c>
      <c r="J1279" s="8" t="s">
        <v>1815</v>
      </c>
      <c r="L1279" s="8" t="s">
        <v>61</v>
      </c>
      <c r="N1279" s="8" t="s">
        <v>69</v>
      </c>
      <c r="Q1279" s="8" t="s">
        <v>32</v>
      </c>
      <c r="R1279" s="8">
        <v>0</v>
      </c>
      <c r="S1279" s="8">
        <v>11</v>
      </c>
      <c r="T1279" s="8">
        <f t="shared" si="130"/>
        <v>11</v>
      </c>
      <c r="U1279" s="8">
        <v>4</v>
      </c>
      <c r="V1279" s="8">
        <v>0</v>
      </c>
      <c r="W1279" s="8">
        <v>4</v>
      </c>
      <c r="X1279" s="8">
        <v>1</v>
      </c>
      <c r="Y1279" s="8">
        <v>0</v>
      </c>
      <c r="Z1279" s="8">
        <v>0</v>
      </c>
      <c r="AA1279" s="8">
        <v>180</v>
      </c>
      <c r="AB1279" s="9">
        <f t="shared" si="131"/>
        <v>1.5</v>
      </c>
      <c r="AC1279" s="10">
        <f t="shared" si="128"/>
        <v>7.333333333333333</v>
      </c>
      <c r="AD1279" s="8" t="s">
        <v>33</v>
      </c>
      <c r="AE1279" s="11">
        <v>65990</v>
      </c>
      <c r="AF1279" s="11">
        <f t="shared" si="129"/>
        <v>725890</v>
      </c>
      <c r="AG1279" s="12" t="s">
        <v>51</v>
      </c>
      <c r="AH1279" s="8" t="s">
        <v>65</v>
      </c>
    </row>
    <row r="1280" spans="1:34">
      <c r="A1280" s="8" t="s">
        <v>1816</v>
      </c>
      <c r="B1280" s="16" t="s">
        <v>2859</v>
      </c>
      <c r="C1280" s="8" t="s">
        <v>248</v>
      </c>
      <c r="D1280" s="8" t="s">
        <v>1775</v>
      </c>
      <c r="E1280" s="8" t="str">
        <f t="shared" si="127"/>
        <v>NEGRO</v>
      </c>
      <c r="H1280" s="8" t="str">
        <f>VLOOKUP(A1280,[1]BBDD!$B$1:$J$3274,9,FALSE)</f>
        <v>M</v>
      </c>
      <c r="I1280" s="17" t="s">
        <v>2861</v>
      </c>
      <c r="J1280" s="8" t="s">
        <v>1815</v>
      </c>
      <c r="L1280" s="8" t="s">
        <v>61</v>
      </c>
      <c r="N1280" s="8" t="s">
        <v>44</v>
      </c>
      <c r="Q1280" s="8" t="s">
        <v>32</v>
      </c>
      <c r="R1280" s="8">
        <v>4</v>
      </c>
      <c r="S1280" s="8">
        <v>12</v>
      </c>
      <c r="T1280" s="8">
        <f t="shared" si="130"/>
        <v>16</v>
      </c>
      <c r="U1280" s="8">
        <v>3</v>
      </c>
      <c r="V1280" s="8">
        <v>0</v>
      </c>
      <c r="W1280" s="8">
        <v>1</v>
      </c>
      <c r="X1280" s="8">
        <v>0</v>
      </c>
      <c r="Y1280" s="8">
        <v>1</v>
      </c>
      <c r="Z1280" s="8">
        <v>1</v>
      </c>
      <c r="AA1280" s="8">
        <v>180</v>
      </c>
      <c r="AB1280" s="9">
        <f t="shared" si="131"/>
        <v>1</v>
      </c>
      <c r="AC1280" s="10">
        <f t="shared" si="128"/>
        <v>16</v>
      </c>
      <c r="AD1280" s="8" t="s">
        <v>33</v>
      </c>
      <c r="AE1280" s="11">
        <v>65990</v>
      </c>
      <c r="AF1280" s="11">
        <f t="shared" si="129"/>
        <v>1055840</v>
      </c>
      <c r="AG1280" s="12" t="s">
        <v>64</v>
      </c>
      <c r="AH1280" s="8" t="s">
        <v>65</v>
      </c>
    </row>
    <row r="1281" spans="1:34">
      <c r="A1281" s="8" t="s">
        <v>1817</v>
      </c>
      <c r="B1281" s="16" t="s">
        <v>2859</v>
      </c>
      <c r="C1281" s="8" t="s">
        <v>248</v>
      </c>
      <c r="D1281" s="8" t="s">
        <v>1775</v>
      </c>
      <c r="E1281" s="8" t="str">
        <f t="shared" si="127"/>
        <v>ROJO</v>
      </c>
      <c r="H1281" s="8" t="str">
        <f>VLOOKUP(A1281,[1]BBDD!$B$1:$J$3274,9,FALSE)</f>
        <v>M</v>
      </c>
      <c r="I1281" s="17" t="s">
        <v>2861</v>
      </c>
      <c r="J1281" s="8" t="s">
        <v>1815</v>
      </c>
      <c r="L1281" s="8" t="s">
        <v>61</v>
      </c>
      <c r="N1281" s="8" t="s">
        <v>88</v>
      </c>
      <c r="Q1281" s="8" t="s">
        <v>32</v>
      </c>
      <c r="R1281" s="8">
        <v>0</v>
      </c>
      <c r="S1281" s="8">
        <v>8</v>
      </c>
      <c r="T1281" s="8">
        <f t="shared" si="130"/>
        <v>8</v>
      </c>
      <c r="U1281" s="8">
        <v>4</v>
      </c>
      <c r="V1281" s="8">
        <v>0</v>
      </c>
      <c r="W1281" s="8">
        <v>9</v>
      </c>
      <c r="X1281" s="8">
        <v>3</v>
      </c>
      <c r="Y1281" s="8">
        <v>1</v>
      </c>
      <c r="Z1281" s="8">
        <v>2</v>
      </c>
      <c r="AA1281" s="8">
        <v>180</v>
      </c>
      <c r="AB1281" s="9">
        <f t="shared" si="131"/>
        <v>3.1666666666666665</v>
      </c>
      <c r="AC1281" s="10">
        <f t="shared" si="128"/>
        <v>2.5263157894736845</v>
      </c>
      <c r="AD1281" s="8" t="s">
        <v>33</v>
      </c>
      <c r="AE1281" s="11">
        <v>65990</v>
      </c>
      <c r="AF1281" s="11">
        <f t="shared" si="129"/>
        <v>527920</v>
      </c>
      <c r="AG1281" s="12" t="s">
        <v>34</v>
      </c>
      <c r="AH1281" s="8" t="s">
        <v>35</v>
      </c>
    </row>
    <row r="1282" spans="1:34">
      <c r="A1282" s="8" t="s">
        <v>1818</v>
      </c>
      <c r="B1282" s="16" t="s">
        <v>2859</v>
      </c>
      <c r="C1282" s="8" t="s">
        <v>248</v>
      </c>
      <c r="D1282" s="8" t="s">
        <v>1775</v>
      </c>
      <c r="E1282" s="8" t="str">
        <f t="shared" si="127"/>
        <v>TABACO</v>
      </c>
      <c r="H1282" s="8" t="str">
        <f>VLOOKUP(A1282,[1]BBDD!$B$1:$J$3274,9,FALSE)</f>
        <v>M</v>
      </c>
      <c r="I1282" s="17" t="s">
        <v>2861</v>
      </c>
      <c r="J1282" s="8" t="s">
        <v>1815</v>
      </c>
      <c r="L1282" s="8" t="s">
        <v>61</v>
      </c>
      <c r="N1282" s="8" t="s">
        <v>67</v>
      </c>
      <c r="Q1282" s="8" t="s">
        <v>32</v>
      </c>
      <c r="R1282" s="8">
        <v>2</v>
      </c>
      <c r="S1282" s="8">
        <v>11</v>
      </c>
      <c r="T1282" s="8">
        <f t="shared" si="130"/>
        <v>13</v>
      </c>
      <c r="U1282" s="8">
        <v>2</v>
      </c>
      <c r="V1282" s="8">
        <v>0</v>
      </c>
      <c r="W1282" s="8">
        <v>0</v>
      </c>
      <c r="X1282" s="8">
        <v>0</v>
      </c>
      <c r="Y1282" s="8">
        <v>2</v>
      </c>
      <c r="Z1282" s="8">
        <v>1</v>
      </c>
      <c r="AA1282" s="8">
        <v>180</v>
      </c>
      <c r="AB1282" s="9">
        <f t="shared" si="131"/>
        <v>0.83333333333333326</v>
      </c>
      <c r="AC1282" s="10">
        <f t="shared" si="128"/>
        <v>15.600000000000001</v>
      </c>
      <c r="AD1282" s="8" t="s">
        <v>33</v>
      </c>
      <c r="AE1282" s="11">
        <v>65990</v>
      </c>
      <c r="AF1282" s="11">
        <f t="shared" si="129"/>
        <v>857870</v>
      </c>
      <c r="AG1282" s="12" t="s">
        <v>64</v>
      </c>
      <c r="AH1282" s="8" t="s">
        <v>65</v>
      </c>
    </row>
    <row r="1283" spans="1:34">
      <c r="A1283" s="8" t="s">
        <v>1819</v>
      </c>
      <c r="B1283" s="16" t="s">
        <v>2859</v>
      </c>
      <c r="C1283" s="8" t="s">
        <v>248</v>
      </c>
      <c r="D1283" s="8" t="s">
        <v>1775</v>
      </c>
      <c r="E1283" s="8" t="str">
        <f t="shared" ref="E1283:E1346" si="132">TRIM(N1283)</f>
        <v>CARAMELO</v>
      </c>
      <c r="H1283" s="8" t="str">
        <f>VLOOKUP(A1283,[1]BBDD!$B$1:$J$3274,9,FALSE)</f>
        <v>M</v>
      </c>
      <c r="I1283" s="17" t="s">
        <v>2861</v>
      </c>
      <c r="J1283" s="8" t="s">
        <v>1815</v>
      </c>
      <c r="L1283" s="8" t="s">
        <v>61</v>
      </c>
      <c r="N1283" s="8" t="s">
        <v>62</v>
      </c>
      <c r="Q1283" s="8" t="s">
        <v>45</v>
      </c>
      <c r="R1283" s="8">
        <v>0</v>
      </c>
      <c r="S1283" s="8">
        <v>4</v>
      </c>
      <c r="T1283" s="8">
        <f t="shared" si="130"/>
        <v>4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180</v>
      </c>
      <c r="AB1283" s="9">
        <f t="shared" si="131"/>
        <v>0</v>
      </c>
      <c r="AC1283" s="10" t="str">
        <f t="shared" ref="AC1283:AC1346" si="133">IFERROR(T1283/AB1283,"sin venta")</f>
        <v>sin venta</v>
      </c>
      <c r="AD1283" s="8" t="s">
        <v>109</v>
      </c>
      <c r="AE1283" s="11">
        <v>65990</v>
      </c>
      <c r="AF1283" s="11">
        <f t="shared" ref="AF1283:AF1346" si="134">IFERROR(AE1283*T1283,0)</f>
        <v>263960</v>
      </c>
      <c r="AG1283" s="12" t="s">
        <v>73</v>
      </c>
      <c r="AH1283" s="8" t="s">
        <v>35</v>
      </c>
    </row>
    <row r="1284" spans="1:34">
      <c r="A1284" s="8" t="s">
        <v>1820</v>
      </c>
      <c r="B1284" s="16" t="s">
        <v>2859</v>
      </c>
      <c r="C1284" s="8" t="s">
        <v>248</v>
      </c>
      <c r="D1284" s="8" t="s">
        <v>1775</v>
      </c>
      <c r="E1284" s="8" t="str">
        <f t="shared" si="132"/>
        <v>CARAMELO</v>
      </c>
      <c r="H1284" s="8" t="str">
        <f>VLOOKUP(A1284,[1]BBDD!$B$1:$J$3274,9,FALSE)</f>
        <v>M</v>
      </c>
      <c r="I1284" s="17" t="s">
        <v>2861</v>
      </c>
      <c r="J1284" s="8" t="s">
        <v>1815</v>
      </c>
      <c r="L1284" s="8" t="s">
        <v>82</v>
      </c>
      <c r="N1284" s="8" t="s">
        <v>62</v>
      </c>
      <c r="Q1284" s="8" t="s">
        <v>32</v>
      </c>
      <c r="R1284" s="8">
        <v>0</v>
      </c>
      <c r="S1284" s="8">
        <v>12</v>
      </c>
      <c r="T1284" s="8">
        <f t="shared" si="130"/>
        <v>12</v>
      </c>
      <c r="U1284" s="8">
        <v>1</v>
      </c>
      <c r="V1284" s="8">
        <v>0</v>
      </c>
      <c r="W1284" s="8">
        <v>3</v>
      </c>
      <c r="X1284" s="8">
        <v>0</v>
      </c>
      <c r="Y1284" s="8">
        <v>0</v>
      </c>
      <c r="Z1284" s="8">
        <v>2</v>
      </c>
      <c r="AA1284" s="8">
        <v>180</v>
      </c>
      <c r="AB1284" s="9">
        <f t="shared" si="131"/>
        <v>1</v>
      </c>
      <c r="AC1284" s="10">
        <f t="shared" si="133"/>
        <v>12</v>
      </c>
      <c r="AD1284" s="8" t="s">
        <v>33</v>
      </c>
      <c r="AE1284" s="11">
        <v>65990</v>
      </c>
      <c r="AF1284" s="11">
        <f t="shared" si="134"/>
        <v>791880</v>
      </c>
      <c r="AG1284" s="12" t="s">
        <v>51</v>
      </c>
      <c r="AH1284" s="8" t="s">
        <v>65</v>
      </c>
    </row>
    <row r="1285" spans="1:34">
      <c r="A1285" s="8" t="s">
        <v>1821</v>
      </c>
      <c r="B1285" s="16" t="s">
        <v>2860</v>
      </c>
      <c r="C1285" s="8" t="s">
        <v>40</v>
      </c>
      <c r="D1285" s="8" t="s">
        <v>1822</v>
      </c>
      <c r="E1285" s="8" t="str">
        <f t="shared" si="132"/>
        <v>NEGRO</v>
      </c>
      <c r="H1285" s="8" t="str">
        <f>VLOOKUP(A1285,[1]BBDD!$B$1:$J$3274,9,FALSE)</f>
        <v>H</v>
      </c>
      <c r="I1285" s="19" t="s">
        <v>2863</v>
      </c>
      <c r="J1285" s="8" t="s">
        <v>1823</v>
      </c>
      <c r="L1285" s="8" t="s">
        <v>61</v>
      </c>
      <c r="N1285" s="8" t="s">
        <v>44</v>
      </c>
      <c r="Q1285" s="8" t="s">
        <v>32</v>
      </c>
      <c r="R1285" s="8">
        <v>3</v>
      </c>
      <c r="S1285" s="8">
        <v>5</v>
      </c>
      <c r="T1285" s="8">
        <f t="shared" si="130"/>
        <v>8</v>
      </c>
      <c r="U1285" s="8">
        <v>1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180</v>
      </c>
      <c r="AB1285" s="9">
        <f t="shared" si="131"/>
        <v>0.16666666666666669</v>
      </c>
      <c r="AC1285" s="10">
        <f t="shared" si="133"/>
        <v>47.999999999999993</v>
      </c>
      <c r="AD1285" s="8" t="s">
        <v>33</v>
      </c>
      <c r="AE1285" s="11">
        <v>284990</v>
      </c>
      <c r="AF1285" s="11">
        <f t="shared" si="134"/>
        <v>2279920</v>
      </c>
      <c r="AG1285" s="12" t="s">
        <v>73</v>
      </c>
      <c r="AH1285" s="8" t="s">
        <v>35</v>
      </c>
    </row>
    <row r="1286" spans="1:34">
      <c r="A1286" s="8" t="s">
        <v>1824</v>
      </c>
      <c r="B1286" s="16" t="s">
        <v>2860</v>
      </c>
      <c r="C1286" s="8" t="s">
        <v>40</v>
      </c>
      <c r="D1286" s="8" t="s">
        <v>1822</v>
      </c>
      <c r="E1286" s="8" t="str">
        <f t="shared" si="132"/>
        <v>TABACO</v>
      </c>
      <c r="H1286" s="8" t="str">
        <f>VLOOKUP(A1286,[1]BBDD!$B$1:$J$3274,9,FALSE)</f>
        <v>H</v>
      </c>
      <c r="I1286" s="19" t="s">
        <v>2863</v>
      </c>
      <c r="J1286" s="8" t="s">
        <v>1823</v>
      </c>
      <c r="L1286" s="8" t="s">
        <v>61</v>
      </c>
      <c r="N1286" s="8" t="s">
        <v>67</v>
      </c>
      <c r="Q1286" s="8" t="s">
        <v>32</v>
      </c>
      <c r="R1286" s="8">
        <v>0</v>
      </c>
      <c r="S1286" s="8">
        <v>5</v>
      </c>
      <c r="T1286" s="8">
        <f t="shared" si="130"/>
        <v>5</v>
      </c>
      <c r="U1286" s="8">
        <v>0</v>
      </c>
      <c r="V1286" s="8">
        <v>0</v>
      </c>
      <c r="W1286" s="8">
        <v>1</v>
      </c>
      <c r="X1286" s="8">
        <v>0</v>
      </c>
      <c r="Y1286" s="8">
        <v>0</v>
      </c>
      <c r="Z1286" s="8">
        <v>1</v>
      </c>
      <c r="AA1286" s="8">
        <v>180</v>
      </c>
      <c r="AB1286" s="9">
        <f t="shared" si="131"/>
        <v>0.33333333333333337</v>
      </c>
      <c r="AC1286" s="10">
        <f t="shared" si="133"/>
        <v>14.999999999999998</v>
      </c>
      <c r="AD1286" s="8" t="s">
        <v>33</v>
      </c>
      <c r="AE1286" s="11">
        <v>284990</v>
      </c>
      <c r="AF1286" s="11">
        <f t="shared" si="134"/>
        <v>1424950</v>
      </c>
      <c r="AG1286" s="12" t="s">
        <v>64</v>
      </c>
      <c r="AH1286" s="8" t="s">
        <v>35</v>
      </c>
    </row>
    <row r="1287" spans="1:34">
      <c r="A1287" s="8" t="s">
        <v>1825</v>
      </c>
      <c r="B1287" s="16" t="s">
        <v>2860</v>
      </c>
      <c r="C1287" s="8" t="s">
        <v>40</v>
      </c>
      <c r="D1287" s="8" t="s">
        <v>1822</v>
      </c>
      <c r="E1287" s="8" t="str">
        <f t="shared" si="132"/>
        <v>CARAMELO</v>
      </c>
      <c r="H1287" s="8" t="str">
        <f>VLOOKUP(A1287,[1]BBDD!$B$1:$J$3274,9,FALSE)</f>
        <v>H</v>
      </c>
      <c r="I1287" s="19" t="s">
        <v>2863</v>
      </c>
      <c r="J1287" s="8" t="s">
        <v>1823</v>
      </c>
      <c r="L1287" s="8" t="s">
        <v>61</v>
      </c>
      <c r="N1287" s="8" t="s">
        <v>62</v>
      </c>
      <c r="Q1287" s="8" t="s">
        <v>45</v>
      </c>
      <c r="R1287" s="8">
        <v>1</v>
      </c>
      <c r="S1287" s="8">
        <v>7</v>
      </c>
      <c r="T1287" s="8">
        <f t="shared" si="130"/>
        <v>8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180</v>
      </c>
      <c r="AB1287" s="9">
        <f t="shared" si="131"/>
        <v>0</v>
      </c>
      <c r="AC1287" s="10" t="str">
        <f t="shared" si="133"/>
        <v>sin venta</v>
      </c>
      <c r="AD1287" s="8" t="s">
        <v>109</v>
      </c>
      <c r="AE1287" s="11">
        <v>284990</v>
      </c>
      <c r="AF1287" s="11">
        <f t="shared" si="134"/>
        <v>2279920</v>
      </c>
      <c r="AG1287" s="12" t="s">
        <v>73</v>
      </c>
      <c r="AH1287" s="8" t="s">
        <v>35</v>
      </c>
    </row>
    <row r="1288" spans="1:34">
      <c r="A1288" s="8" t="s">
        <v>1826</v>
      </c>
      <c r="B1288" s="16" t="s">
        <v>2860</v>
      </c>
      <c r="C1288" s="8" t="s">
        <v>40</v>
      </c>
      <c r="D1288" s="8" t="s">
        <v>1822</v>
      </c>
      <c r="E1288" s="8" t="str">
        <f t="shared" si="132"/>
        <v>NEGRO</v>
      </c>
      <c r="H1288" s="8" t="str">
        <f>VLOOKUP(A1288,[1]BBDD!$B$1:$J$3274,9,FALSE)</f>
        <v>H</v>
      </c>
      <c r="I1288" s="19" t="s">
        <v>2863</v>
      </c>
      <c r="J1288" s="8" t="s">
        <v>1823</v>
      </c>
      <c r="L1288" s="8" t="s">
        <v>827</v>
      </c>
      <c r="N1288" s="8" t="s">
        <v>44</v>
      </c>
      <c r="Q1288" s="8" t="s">
        <v>45</v>
      </c>
      <c r="R1288" s="8">
        <v>0</v>
      </c>
      <c r="S1288" s="8">
        <v>4</v>
      </c>
      <c r="T1288" s="8">
        <f t="shared" si="130"/>
        <v>4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180</v>
      </c>
      <c r="AB1288" s="9">
        <f t="shared" si="131"/>
        <v>0</v>
      </c>
      <c r="AC1288" s="10" t="str">
        <f t="shared" si="133"/>
        <v>sin venta</v>
      </c>
      <c r="AD1288" s="8" t="s">
        <v>109</v>
      </c>
      <c r="AE1288" s="11">
        <v>284990</v>
      </c>
      <c r="AF1288" s="11">
        <f t="shared" si="134"/>
        <v>1139960</v>
      </c>
      <c r="AG1288" s="12" t="s">
        <v>73</v>
      </c>
      <c r="AH1288" s="8" t="s">
        <v>35</v>
      </c>
    </row>
    <row r="1289" spans="1:34">
      <c r="A1289" s="8" t="s">
        <v>1827</v>
      </c>
      <c r="B1289" s="16" t="s">
        <v>2860</v>
      </c>
      <c r="C1289" s="8" t="s">
        <v>40</v>
      </c>
      <c r="D1289" s="8" t="s">
        <v>1822</v>
      </c>
      <c r="E1289" s="8" t="str">
        <f t="shared" si="132"/>
        <v>SUELA</v>
      </c>
      <c r="H1289" s="8" t="str">
        <f>VLOOKUP(A1289,[1]BBDD!$B$1:$J$3274,9,FALSE)</f>
        <v>H</v>
      </c>
      <c r="I1289" s="19" t="s">
        <v>2863</v>
      </c>
      <c r="J1289" s="8" t="s">
        <v>1823</v>
      </c>
      <c r="L1289" s="8" t="s">
        <v>827</v>
      </c>
      <c r="N1289" s="8" t="s">
        <v>90</v>
      </c>
      <c r="Q1289" s="8" t="s">
        <v>45</v>
      </c>
      <c r="R1289" s="8">
        <v>0</v>
      </c>
      <c r="S1289" s="8">
        <v>1</v>
      </c>
      <c r="T1289" s="8">
        <f t="shared" si="130"/>
        <v>1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180</v>
      </c>
      <c r="AB1289" s="9">
        <f t="shared" si="131"/>
        <v>0</v>
      </c>
      <c r="AC1289" s="10" t="str">
        <f t="shared" si="133"/>
        <v>sin venta</v>
      </c>
      <c r="AD1289" s="8" t="s">
        <v>109</v>
      </c>
      <c r="AE1289" s="11">
        <v>284990</v>
      </c>
      <c r="AF1289" s="11">
        <f t="shared" si="134"/>
        <v>284990</v>
      </c>
      <c r="AG1289" s="12" t="s">
        <v>73</v>
      </c>
      <c r="AH1289" s="8" t="s">
        <v>35</v>
      </c>
    </row>
    <row r="1290" spans="1:34">
      <c r="A1290" s="8" t="s">
        <v>1828</v>
      </c>
      <c r="B1290" s="16" t="s">
        <v>2860</v>
      </c>
      <c r="C1290" s="8" t="s">
        <v>40</v>
      </c>
      <c r="D1290" s="8" t="s">
        <v>1822</v>
      </c>
      <c r="E1290" s="8" t="str">
        <f t="shared" si="132"/>
        <v>CHOCOLATE</v>
      </c>
      <c r="H1290" s="8" t="str">
        <f>VLOOKUP(A1290,[1]BBDD!$B$1:$J$3274,9,FALSE)</f>
        <v>H</v>
      </c>
      <c r="I1290" s="19" t="s">
        <v>2863</v>
      </c>
      <c r="J1290" s="8" t="s">
        <v>1829</v>
      </c>
      <c r="L1290" s="8" t="s">
        <v>61</v>
      </c>
      <c r="N1290" s="8" t="s">
        <v>252</v>
      </c>
      <c r="Q1290" s="8" t="s">
        <v>32</v>
      </c>
      <c r="R1290" s="8">
        <v>1</v>
      </c>
      <c r="S1290" s="8">
        <v>5</v>
      </c>
      <c r="T1290" s="8">
        <f t="shared" si="130"/>
        <v>6</v>
      </c>
      <c r="U1290" s="8">
        <v>2</v>
      </c>
      <c r="V1290" s="8">
        <v>2</v>
      </c>
      <c r="W1290" s="8">
        <v>0</v>
      </c>
      <c r="X1290" s="8">
        <v>0</v>
      </c>
      <c r="Y1290" s="8">
        <v>0</v>
      </c>
      <c r="Z1290" s="8">
        <v>0</v>
      </c>
      <c r="AA1290" s="8">
        <v>180</v>
      </c>
      <c r="AB1290" s="9">
        <f t="shared" si="131"/>
        <v>0.66666666666666674</v>
      </c>
      <c r="AC1290" s="10">
        <f t="shared" si="133"/>
        <v>8.9999999999999982</v>
      </c>
      <c r="AD1290" s="8" t="s">
        <v>33</v>
      </c>
      <c r="AE1290" s="11">
        <v>189990</v>
      </c>
      <c r="AF1290" s="11">
        <f t="shared" si="134"/>
        <v>1139940</v>
      </c>
      <c r="AG1290" s="12" t="s">
        <v>51</v>
      </c>
      <c r="AH1290" s="8" t="s">
        <v>35</v>
      </c>
    </row>
    <row r="1291" spans="1:34">
      <c r="A1291" s="8" t="s">
        <v>1830</v>
      </c>
      <c r="B1291" s="16" t="s">
        <v>2860</v>
      </c>
      <c r="C1291" s="8" t="s">
        <v>40</v>
      </c>
      <c r="D1291" s="8" t="s">
        <v>1822</v>
      </c>
      <c r="E1291" s="8" t="str">
        <f t="shared" si="132"/>
        <v>NEGRO</v>
      </c>
      <c r="H1291" s="8" t="str">
        <f>VLOOKUP(A1291,[1]BBDD!$B$1:$J$3274,9,FALSE)</f>
        <v>H</v>
      </c>
      <c r="I1291" s="19" t="s">
        <v>2863</v>
      </c>
      <c r="J1291" s="8" t="s">
        <v>1829</v>
      </c>
      <c r="L1291" s="8" t="s">
        <v>61</v>
      </c>
      <c r="N1291" s="8" t="s">
        <v>44</v>
      </c>
      <c r="Q1291" s="8" t="s">
        <v>32</v>
      </c>
      <c r="R1291" s="8">
        <v>2</v>
      </c>
      <c r="S1291" s="8">
        <v>7</v>
      </c>
      <c r="T1291" s="8">
        <f t="shared" si="130"/>
        <v>9</v>
      </c>
      <c r="U1291" s="8">
        <v>1</v>
      </c>
      <c r="V1291" s="8">
        <v>2</v>
      </c>
      <c r="W1291" s="8">
        <v>1</v>
      </c>
      <c r="X1291" s="8">
        <v>0</v>
      </c>
      <c r="Y1291" s="8">
        <v>0</v>
      </c>
      <c r="Z1291" s="8">
        <v>0</v>
      </c>
      <c r="AA1291" s="8">
        <v>180</v>
      </c>
      <c r="AB1291" s="9">
        <f t="shared" si="131"/>
        <v>0.66666666666666674</v>
      </c>
      <c r="AC1291" s="10">
        <f t="shared" si="133"/>
        <v>13.499999999999998</v>
      </c>
      <c r="AD1291" s="8" t="s">
        <v>33</v>
      </c>
      <c r="AE1291" s="11">
        <v>189990</v>
      </c>
      <c r="AF1291" s="11">
        <f t="shared" si="134"/>
        <v>1709910</v>
      </c>
      <c r="AG1291" s="12" t="s">
        <v>64</v>
      </c>
      <c r="AH1291" s="8" t="s">
        <v>35</v>
      </c>
    </row>
    <row r="1292" spans="1:34">
      <c r="A1292" s="8" t="s">
        <v>1831</v>
      </c>
      <c r="B1292" s="16" t="s">
        <v>2860</v>
      </c>
      <c r="C1292" s="8" t="s">
        <v>40</v>
      </c>
      <c r="D1292" s="8" t="s">
        <v>1822</v>
      </c>
      <c r="E1292" s="8" t="str">
        <f t="shared" si="132"/>
        <v>TABACO</v>
      </c>
      <c r="H1292" s="8" t="str">
        <f>VLOOKUP(A1292,[1]BBDD!$B$1:$J$3274,9,FALSE)</f>
        <v>H</v>
      </c>
      <c r="I1292" s="19" t="s">
        <v>2863</v>
      </c>
      <c r="J1292" s="8" t="s">
        <v>1829</v>
      </c>
      <c r="L1292" s="8" t="s">
        <v>61</v>
      </c>
      <c r="N1292" s="8" t="s">
        <v>67</v>
      </c>
      <c r="Q1292" s="8" t="s">
        <v>32</v>
      </c>
      <c r="R1292" s="8">
        <v>0</v>
      </c>
      <c r="S1292" s="8">
        <v>1</v>
      </c>
      <c r="T1292" s="8">
        <f t="shared" si="130"/>
        <v>1</v>
      </c>
      <c r="U1292" s="8">
        <v>0</v>
      </c>
      <c r="V1292" s="8">
        <v>0</v>
      </c>
      <c r="W1292" s="8">
        <v>3</v>
      </c>
      <c r="X1292" s="8">
        <v>0</v>
      </c>
      <c r="Y1292" s="8">
        <v>1</v>
      </c>
      <c r="Z1292" s="8">
        <v>1</v>
      </c>
      <c r="AA1292" s="8">
        <v>180</v>
      </c>
      <c r="AB1292" s="9">
        <f t="shared" si="131"/>
        <v>0.83333333333333326</v>
      </c>
      <c r="AC1292" s="10">
        <f t="shared" si="133"/>
        <v>1.2000000000000002</v>
      </c>
      <c r="AD1292" s="8" t="s">
        <v>33</v>
      </c>
      <c r="AE1292" s="11">
        <v>189990</v>
      </c>
      <c r="AF1292" s="11">
        <f t="shared" si="134"/>
        <v>189990</v>
      </c>
      <c r="AG1292" s="12" t="s">
        <v>34</v>
      </c>
      <c r="AH1292" s="8" t="s">
        <v>35</v>
      </c>
    </row>
    <row r="1293" spans="1:34">
      <c r="A1293" s="8" t="s">
        <v>1832</v>
      </c>
      <c r="B1293" s="16" t="s">
        <v>2860</v>
      </c>
      <c r="C1293" s="8" t="s">
        <v>40</v>
      </c>
      <c r="D1293" s="8" t="s">
        <v>1822</v>
      </c>
      <c r="E1293" s="8" t="str">
        <f t="shared" si="132"/>
        <v>AZUL</v>
      </c>
      <c r="H1293" s="8" t="str">
        <f>VLOOKUP(A1293,[1]BBDD!$B$1:$J$3274,9,FALSE)</f>
        <v>H</v>
      </c>
      <c r="I1293" s="19" t="s">
        <v>2863</v>
      </c>
      <c r="J1293" s="8" t="s">
        <v>1829</v>
      </c>
      <c r="L1293" s="8" t="s">
        <v>61</v>
      </c>
      <c r="N1293" s="8" t="s">
        <v>83</v>
      </c>
      <c r="Q1293" s="8" t="s">
        <v>45</v>
      </c>
      <c r="R1293" s="8">
        <v>0</v>
      </c>
      <c r="S1293" s="8">
        <v>4</v>
      </c>
      <c r="T1293" s="8">
        <f t="shared" si="130"/>
        <v>4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180</v>
      </c>
      <c r="AB1293" s="9">
        <f t="shared" si="131"/>
        <v>0</v>
      </c>
      <c r="AC1293" s="10" t="str">
        <f t="shared" si="133"/>
        <v>sin venta</v>
      </c>
      <c r="AD1293" s="8" t="s">
        <v>109</v>
      </c>
      <c r="AE1293" s="11">
        <v>189990</v>
      </c>
      <c r="AF1293" s="11">
        <f t="shared" si="134"/>
        <v>759960</v>
      </c>
      <c r="AG1293" s="12" t="s">
        <v>73</v>
      </c>
      <c r="AH1293" s="8" t="s">
        <v>35</v>
      </c>
    </row>
    <row r="1294" spans="1:34">
      <c r="A1294" s="8" t="s">
        <v>1833</v>
      </c>
      <c r="B1294" s="16" t="s">
        <v>2860</v>
      </c>
      <c r="C1294" s="8" t="s">
        <v>40</v>
      </c>
      <c r="D1294" s="8" t="s">
        <v>1822</v>
      </c>
      <c r="E1294" s="8" t="str">
        <f t="shared" si="132"/>
        <v>CARAMELO</v>
      </c>
      <c r="H1294" s="8" t="str">
        <f>VLOOKUP(A1294,[1]BBDD!$B$1:$J$3274,9,FALSE)</f>
        <v>H</v>
      </c>
      <c r="I1294" s="19" t="s">
        <v>2863</v>
      </c>
      <c r="J1294" s="8" t="s">
        <v>1829</v>
      </c>
      <c r="L1294" s="8" t="s">
        <v>61</v>
      </c>
      <c r="N1294" s="8" t="s">
        <v>62</v>
      </c>
      <c r="Q1294" s="8" t="s">
        <v>45</v>
      </c>
      <c r="R1294" s="8">
        <v>0</v>
      </c>
      <c r="S1294" s="8">
        <v>6</v>
      </c>
      <c r="T1294" s="8">
        <f t="shared" si="130"/>
        <v>6</v>
      </c>
      <c r="U1294" s="8">
        <v>0</v>
      </c>
      <c r="V1294" s="8">
        <v>0</v>
      </c>
      <c r="W1294" s="8">
        <v>2</v>
      </c>
      <c r="X1294" s="8">
        <v>1</v>
      </c>
      <c r="Y1294" s="8">
        <v>0</v>
      </c>
      <c r="Z1294" s="8">
        <v>1</v>
      </c>
      <c r="AA1294" s="8">
        <v>180</v>
      </c>
      <c r="AB1294" s="9">
        <f t="shared" si="131"/>
        <v>0.66666666666666674</v>
      </c>
      <c r="AC1294" s="10">
        <f t="shared" si="133"/>
        <v>8.9999999999999982</v>
      </c>
      <c r="AD1294" s="8" t="s">
        <v>109</v>
      </c>
      <c r="AE1294" s="11">
        <v>189990</v>
      </c>
      <c r="AF1294" s="11">
        <f t="shared" si="134"/>
        <v>1139940</v>
      </c>
      <c r="AG1294" s="12" t="s">
        <v>51</v>
      </c>
      <c r="AH1294" s="8" t="s">
        <v>35</v>
      </c>
    </row>
    <row r="1295" spans="1:34">
      <c r="A1295" s="8" t="s">
        <v>1834</v>
      </c>
      <c r="B1295" s="16" t="s">
        <v>2860</v>
      </c>
      <c r="C1295" s="8" t="s">
        <v>40</v>
      </c>
      <c r="D1295" s="8" t="s">
        <v>1822</v>
      </c>
      <c r="E1295" s="8" t="str">
        <f t="shared" si="132"/>
        <v>CAFE/TABACO</v>
      </c>
      <c r="H1295" s="8" t="str">
        <f>VLOOKUP(A1295,[1]BBDD!$B$1:$J$3274,9,FALSE)</f>
        <v>H</v>
      </c>
      <c r="I1295" s="19" t="s">
        <v>2863</v>
      </c>
      <c r="J1295" s="8" t="s">
        <v>1829</v>
      </c>
      <c r="L1295" s="8" t="s">
        <v>71</v>
      </c>
      <c r="N1295" s="8" t="s">
        <v>423</v>
      </c>
      <c r="Q1295" s="8" t="s">
        <v>45</v>
      </c>
      <c r="R1295" s="8">
        <v>0</v>
      </c>
      <c r="S1295" s="8">
        <v>3</v>
      </c>
      <c r="T1295" s="8">
        <f t="shared" si="130"/>
        <v>3</v>
      </c>
      <c r="U1295" s="8">
        <v>1</v>
      </c>
      <c r="V1295" s="8">
        <v>0</v>
      </c>
      <c r="W1295" s="8">
        <v>1</v>
      </c>
      <c r="X1295" s="8">
        <v>2</v>
      </c>
      <c r="Y1295" s="8">
        <v>0</v>
      </c>
      <c r="Z1295" s="8">
        <v>0</v>
      </c>
      <c r="AA1295" s="8">
        <v>180</v>
      </c>
      <c r="AB1295" s="9">
        <f t="shared" si="131"/>
        <v>0.66666666666666674</v>
      </c>
      <c r="AC1295" s="10">
        <f t="shared" si="133"/>
        <v>4.4999999999999991</v>
      </c>
      <c r="AD1295" s="8" t="s">
        <v>109</v>
      </c>
      <c r="AE1295" s="11">
        <v>189990</v>
      </c>
      <c r="AF1295" s="11">
        <f t="shared" si="134"/>
        <v>569970</v>
      </c>
      <c r="AG1295" s="12" t="s">
        <v>34</v>
      </c>
      <c r="AH1295" s="8" t="s">
        <v>35</v>
      </c>
    </row>
    <row r="1296" spans="1:34">
      <c r="A1296" s="8" t="s">
        <v>1835</v>
      </c>
      <c r="B1296" s="16" t="s">
        <v>2860</v>
      </c>
      <c r="C1296" s="8" t="s">
        <v>40</v>
      </c>
      <c r="D1296" s="8" t="s">
        <v>1822</v>
      </c>
      <c r="E1296" s="8" t="str">
        <f t="shared" si="132"/>
        <v>VESUBIO/TABACO</v>
      </c>
      <c r="H1296" s="8" t="str">
        <f>VLOOKUP(A1296,[1]BBDD!$B$1:$J$3274,9,FALSE)</f>
        <v>H</v>
      </c>
      <c r="I1296" s="19" t="s">
        <v>2863</v>
      </c>
      <c r="J1296" s="8" t="s">
        <v>1829</v>
      </c>
      <c r="L1296" s="8" t="s">
        <v>71</v>
      </c>
      <c r="N1296" s="8" t="s">
        <v>161</v>
      </c>
      <c r="Q1296" s="8" t="s">
        <v>45</v>
      </c>
      <c r="R1296" s="8">
        <v>0</v>
      </c>
      <c r="S1296" s="8">
        <v>4</v>
      </c>
      <c r="T1296" s="8">
        <f t="shared" si="130"/>
        <v>4</v>
      </c>
      <c r="U1296" s="8">
        <v>1</v>
      </c>
      <c r="V1296" s="8">
        <v>0</v>
      </c>
      <c r="W1296" s="8">
        <v>0</v>
      </c>
      <c r="X1296" s="8">
        <v>1</v>
      </c>
      <c r="Y1296" s="8">
        <v>0</v>
      </c>
      <c r="Z1296" s="8">
        <v>0</v>
      </c>
      <c r="AA1296" s="8">
        <v>180</v>
      </c>
      <c r="AB1296" s="9">
        <f t="shared" si="131"/>
        <v>0.33333333333333337</v>
      </c>
      <c r="AC1296" s="10">
        <f t="shared" si="133"/>
        <v>11.999999999999998</v>
      </c>
      <c r="AD1296" s="8" t="s">
        <v>109</v>
      </c>
      <c r="AE1296" s="11">
        <v>189990</v>
      </c>
      <c r="AF1296" s="11">
        <f t="shared" si="134"/>
        <v>759960</v>
      </c>
      <c r="AG1296" s="12" t="s">
        <v>51</v>
      </c>
      <c r="AH1296" s="8" t="s">
        <v>35</v>
      </c>
    </row>
    <row r="1297" spans="1:34">
      <c r="A1297" s="8" t="s">
        <v>1836</v>
      </c>
      <c r="B1297" s="16" t="s">
        <v>2860</v>
      </c>
      <c r="C1297" s="8" t="s">
        <v>40</v>
      </c>
      <c r="D1297" s="8" t="s">
        <v>1822</v>
      </c>
      <c r="E1297" s="8" t="str">
        <f t="shared" si="132"/>
        <v>CARAMELO</v>
      </c>
      <c r="H1297" s="8" t="str">
        <f>VLOOKUP(A1297,[1]BBDD!$B$1:$J$3274,9,FALSE)</f>
        <v>H</v>
      </c>
      <c r="I1297" s="19" t="s">
        <v>2863</v>
      </c>
      <c r="J1297" s="8" t="s">
        <v>1837</v>
      </c>
      <c r="L1297" s="8" t="s">
        <v>61</v>
      </c>
      <c r="N1297" s="8" t="s">
        <v>62</v>
      </c>
      <c r="Q1297" s="8" t="s">
        <v>45</v>
      </c>
      <c r="R1297" s="8">
        <v>1</v>
      </c>
      <c r="S1297" s="8">
        <v>6</v>
      </c>
      <c r="T1297" s="8">
        <f t="shared" si="130"/>
        <v>7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180</v>
      </c>
      <c r="AB1297" s="9">
        <f t="shared" si="131"/>
        <v>0</v>
      </c>
      <c r="AC1297" s="10" t="str">
        <f t="shared" si="133"/>
        <v>sin venta</v>
      </c>
      <c r="AD1297" s="8" t="s">
        <v>109</v>
      </c>
      <c r="AE1297" s="11">
        <v>219990</v>
      </c>
      <c r="AF1297" s="11">
        <f t="shared" si="134"/>
        <v>1539930</v>
      </c>
      <c r="AG1297" s="12" t="s">
        <v>73</v>
      </c>
      <c r="AH1297" s="8" t="s">
        <v>35</v>
      </c>
    </row>
    <row r="1298" spans="1:34">
      <c r="A1298" s="8" t="s">
        <v>1838</v>
      </c>
      <c r="B1298" s="16" t="s">
        <v>2860</v>
      </c>
      <c r="C1298" s="8" t="s">
        <v>40</v>
      </c>
      <c r="D1298" s="8" t="s">
        <v>1822</v>
      </c>
      <c r="E1298" s="8" t="str">
        <f t="shared" si="132"/>
        <v>CHOCOLATE</v>
      </c>
      <c r="H1298" s="8" t="str">
        <f>VLOOKUP(A1298,[1]BBDD!$B$1:$J$3274,9,FALSE)</f>
        <v>H</v>
      </c>
      <c r="I1298" s="19" t="s">
        <v>2863</v>
      </c>
      <c r="J1298" s="8" t="s">
        <v>1837</v>
      </c>
      <c r="L1298" s="8" t="s">
        <v>61</v>
      </c>
      <c r="N1298" s="8" t="s">
        <v>252</v>
      </c>
      <c r="Q1298" s="8" t="s">
        <v>45</v>
      </c>
      <c r="R1298" s="8">
        <v>1</v>
      </c>
      <c r="S1298" s="8">
        <v>3</v>
      </c>
      <c r="T1298" s="8">
        <f t="shared" si="130"/>
        <v>4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2</v>
      </c>
      <c r="AA1298" s="8">
        <v>180</v>
      </c>
      <c r="AB1298" s="9">
        <f t="shared" si="131"/>
        <v>0.33333333333333337</v>
      </c>
      <c r="AC1298" s="10">
        <f t="shared" si="133"/>
        <v>11.999999999999998</v>
      </c>
      <c r="AD1298" s="8" t="s">
        <v>109</v>
      </c>
      <c r="AE1298" s="11">
        <v>219990</v>
      </c>
      <c r="AF1298" s="11">
        <f t="shared" si="134"/>
        <v>879960</v>
      </c>
      <c r="AG1298" s="12" t="s">
        <v>51</v>
      </c>
      <c r="AH1298" s="8" t="s">
        <v>35</v>
      </c>
    </row>
    <row r="1299" spans="1:34">
      <c r="A1299" s="8" t="s">
        <v>1839</v>
      </c>
      <c r="B1299" s="16" t="s">
        <v>2860</v>
      </c>
      <c r="C1299" s="8" t="s">
        <v>40</v>
      </c>
      <c r="D1299" s="8" t="s">
        <v>1822</v>
      </c>
      <c r="E1299" s="8" t="str">
        <f t="shared" si="132"/>
        <v>NEGRO</v>
      </c>
      <c r="H1299" s="8" t="str">
        <f>VLOOKUP(A1299,[1]BBDD!$B$1:$J$3274,9,FALSE)</f>
        <v>H</v>
      </c>
      <c r="I1299" s="19" t="s">
        <v>2863</v>
      </c>
      <c r="J1299" s="8" t="s">
        <v>1837</v>
      </c>
      <c r="L1299" s="8" t="s">
        <v>61</v>
      </c>
      <c r="N1299" s="8" t="s">
        <v>44</v>
      </c>
      <c r="Q1299" s="8" t="s">
        <v>45</v>
      </c>
      <c r="R1299" s="8">
        <v>0</v>
      </c>
      <c r="S1299" s="8">
        <v>4</v>
      </c>
      <c r="T1299" s="8">
        <f t="shared" si="130"/>
        <v>4</v>
      </c>
      <c r="U1299" s="8">
        <v>0</v>
      </c>
      <c r="V1299" s="8">
        <v>0</v>
      </c>
      <c r="W1299" s="8">
        <v>0</v>
      </c>
      <c r="X1299" s="8">
        <v>1</v>
      </c>
      <c r="Y1299" s="8">
        <v>0</v>
      </c>
      <c r="Z1299" s="8">
        <v>1</v>
      </c>
      <c r="AA1299" s="8">
        <v>180</v>
      </c>
      <c r="AB1299" s="9">
        <f t="shared" si="131"/>
        <v>0.33333333333333337</v>
      </c>
      <c r="AC1299" s="10">
        <f t="shared" si="133"/>
        <v>11.999999999999998</v>
      </c>
      <c r="AD1299" s="8" t="s">
        <v>109</v>
      </c>
      <c r="AE1299" s="11">
        <v>219990</v>
      </c>
      <c r="AF1299" s="11">
        <f t="shared" si="134"/>
        <v>879960</v>
      </c>
      <c r="AG1299" s="12" t="s">
        <v>51</v>
      </c>
      <c r="AH1299" s="8" t="s">
        <v>35</v>
      </c>
    </row>
    <row r="1300" spans="1:34">
      <c r="A1300" s="8" t="s">
        <v>1840</v>
      </c>
      <c r="B1300" s="16" t="s">
        <v>2860</v>
      </c>
      <c r="C1300" s="8" t="s">
        <v>40</v>
      </c>
      <c r="D1300" s="8" t="s">
        <v>1822</v>
      </c>
      <c r="E1300" s="8" t="str">
        <f t="shared" si="132"/>
        <v>TABACO</v>
      </c>
      <c r="H1300" s="8" t="str">
        <f>VLOOKUP(A1300,[1]BBDD!$B$1:$J$3274,9,FALSE)</f>
        <v>H</v>
      </c>
      <c r="I1300" s="19" t="s">
        <v>2863</v>
      </c>
      <c r="J1300" s="8" t="s">
        <v>1837</v>
      </c>
      <c r="L1300" s="8" t="s">
        <v>61</v>
      </c>
      <c r="N1300" s="8" t="s">
        <v>67</v>
      </c>
      <c r="Q1300" s="8" t="s">
        <v>45</v>
      </c>
      <c r="R1300" s="8">
        <v>1</v>
      </c>
      <c r="S1300" s="8">
        <v>3</v>
      </c>
      <c r="T1300" s="8">
        <f t="shared" si="130"/>
        <v>4</v>
      </c>
      <c r="U1300" s="8">
        <v>0</v>
      </c>
      <c r="V1300" s="8">
        <v>1</v>
      </c>
      <c r="W1300" s="8">
        <v>0</v>
      </c>
      <c r="X1300" s="8">
        <v>0</v>
      </c>
      <c r="Y1300" s="8">
        <v>1</v>
      </c>
      <c r="Z1300" s="8">
        <v>0</v>
      </c>
      <c r="AA1300" s="8">
        <v>180</v>
      </c>
      <c r="AB1300" s="9">
        <f t="shared" si="131"/>
        <v>0.33333333333333337</v>
      </c>
      <c r="AC1300" s="10">
        <f t="shared" si="133"/>
        <v>11.999999999999998</v>
      </c>
      <c r="AD1300" s="8" t="s">
        <v>109</v>
      </c>
      <c r="AE1300" s="11">
        <v>219990</v>
      </c>
      <c r="AF1300" s="11">
        <f t="shared" si="134"/>
        <v>879960</v>
      </c>
      <c r="AG1300" s="12" t="s">
        <v>51</v>
      </c>
      <c r="AH1300" s="8" t="s">
        <v>35</v>
      </c>
    </row>
    <row r="1301" spans="1:34">
      <c r="A1301" s="8" t="s">
        <v>1841</v>
      </c>
      <c r="B1301" s="16" t="s">
        <v>2860</v>
      </c>
      <c r="C1301" s="8" t="s">
        <v>40</v>
      </c>
      <c r="D1301" s="8" t="s">
        <v>1822</v>
      </c>
      <c r="E1301" s="8" t="str">
        <f t="shared" si="132"/>
        <v>CARAMELO</v>
      </c>
      <c r="H1301" s="8" t="str">
        <f>VLOOKUP(A1301,[1]BBDD!$B$1:$J$3274,9,FALSE)</f>
        <v>H</v>
      </c>
      <c r="I1301" s="19" t="s">
        <v>2863</v>
      </c>
      <c r="J1301" s="8" t="s">
        <v>1842</v>
      </c>
      <c r="L1301" s="8" t="s">
        <v>61</v>
      </c>
      <c r="N1301" s="8" t="s">
        <v>62</v>
      </c>
      <c r="Q1301" s="8" t="s">
        <v>32</v>
      </c>
      <c r="R1301" s="8">
        <v>0</v>
      </c>
      <c r="S1301" s="8">
        <v>6</v>
      </c>
      <c r="T1301" s="8">
        <f t="shared" si="130"/>
        <v>6</v>
      </c>
      <c r="U1301" s="8">
        <v>1</v>
      </c>
      <c r="V1301" s="8">
        <v>0</v>
      </c>
      <c r="W1301" s="8">
        <v>1</v>
      </c>
      <c r="X1301" s="8">
        <v>0</v>
      </c>
      <c r="Y1301" s="8">
        <v>0</v>
      </c>
      <c r="Z1301" s="8">
        <v>1</v>
      </c>
      <c r="AA1301" s="8">
        <v>180</v>
      </c>
      <c r="AB1301" s="9">
        <f t="shared" si="131"/>
        <v>0.5</v>
      </c>
      <c r="AC1301" s="10">
        <f t="shared" si="133"/>
        <v>12</v>
      </c>
      <c r="AD1301" s="8" t="s">
        <v>33</v>
      </c>
      <c r="AE1301" s="11">
        <v>275990</v>
      </c>
      <c r="AF1301" s="11">
        <f t="shared" si="134"/>
        <v>1655940</v>
      </c>
      <c r="AG1301" s="12" t="s">
        <v>51</v>
      </c>
      <c r="AH1301" s="8" t="s">
        <v>35</v>
      </c>
    </row>
    <row r="1302" spans="1:34">
      <c r="A1302" s="8" t="s">
        <v>1843</v>
      </c>
      <c r="B1302" s="16" t="s">
        <v>2860</v>
      </c>
      <c r="C1302" s="8" t="s">
        <v>40</v>
      </c>
      <c r="D1302" s="8" t="s">
        <v>1822</v>
      </c>
      <c r="E1302" s="8" t="str">
        <f t="shared" si="132"/>
        <v>CHOCOLATE</v>
      </c>
      <c r="H1302" s="8" t="str">
        <f>VLOOKUP(A1302,[1]BBDD!$B$1:$J$3274,9,FALSE)</f>
        <v>H</v>
      </c>
      <c r="I1302" s="19" t="s">
        <v>2863</v>
      </c>
      <c r="J1302" s="8" t="s">
        <v>1842</v>
      </c>
      <c r="L1302" s="8" t="s">
        <v>61</v>
      </c>
      <c r="N1302" s="8" t="s">
        <v>252</v>
      </c>
      <c r="Q1302" s="8" t="s">
        <v>32</v>
      </c>
      <c r="R1302" s="8">
        <v>0</v>
      </c>
      <c r="S1302" s="8">
        <v>3</v>
      </c>
      <c r="T1302" s="8">
        <f t="shared" si="130"/>
        <v>3</v>
      </c>
      <c r="U1302" s="8">
        <v>0</v>
      </c>
      <c r="V1302" s="8">
        <v>1</v>
      </c>
      <c r="W1302" s="8">
        <v>1</v>
      </c>
      <c r="X1302" s="8">
        <v>0</v>
      </c>
      <c r="Y1302" s="8">
        <v>0</v>
      </c>
      <c r="Z1302" s="8">
        <v>0</v>
      </c>
      <c r="AA1302" s="8">
        <v>180</v>
      </c>
      <c r="AB1302" s="9">
        <f t="shared" si="131"/>
        <v>0.33333333333333337</v>
      </c>
      <c r="AC1302" s="10">
        <f t="shared" si="133"/>
        <v>8.9999999999999982</v>
      </c>
      <c r="AD1302" s="8" t="s">
        <v>33</v>
      </c>
      <c r="AE1302" s="11">
        <v>275990</v>
      </c>
      <c r="AF1302" s="11">
        <f t="shared" si="134"/>
        <v>827970</v>
      </c>
      <c r="AG1302" s="12" t="s">
        <v>51</v>
      </c>
      <c r="AH1302" s="8" t="s">
        <v>35</v>
      </c>
    </row>
    <row r="1303" spans="1:34">
      <c r="A1303" s="8" t="s">
        <v>1844</v>
      </c>
      <c r="B1303" s="16" t="s">
        <v>2860</v>
      </c>
      <c r="C1303" s="8" t="s">
        <v>40</v>
      </c>
      <c r="D1303" s="8" t="s">
        <v>1822</v>
      </c>
      <c r="E1303" s="8" t="str">
        <f t="shared" si="132"/>
        <v>NEGRO</v>
      </c>
      <c r="H1303" s="8" t="str">
        <f>VLOOKUP(A1303,[1]BBDD!$B$1:$J$3274,9,FALSE)</f>
        <v>H</v>
      </c>
      <c r="I1303" s="19" t="s">
        <v>2863</v>
      </c>
      <c r="J1303" s="8" t="s">
        <v>1842</v>
      </c>
      <c r="L1303" s="8" t="s">
        <v>61</v>
      </c>
      <c r="N1303" s="8" t="s">
        <v>44</v>
      </c>
      <c r="Q1303" s="8" t="s">
        <v>45</v>
      </c>
      <c r="R1303" s="8">
        <v>5</v>
      </c>
      <c r="S1303" s="8">
        <v>10</v>
      </c>
      <c r="T1303" s="8">
        <f t="shared" si="130"/>
        <v>15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180</v>
      </c>
      <c r="AB1303" s="9">
        <f t="shared" si="131"/>
        <v>0</v>
      </c>
      <c r="AC1303" s="10" t="str">
        <f t="shared" si="133"/>
        <v>sin venta</v>
      </c>
      <c r="AD1303" s="8" t="s">
        <v>109</v>
      </c>
      <c r="AE1303" s="11">
        <v>275990</v>
      </c>
      <c r="AF1303" s="11">
        <f t="shared" si="134"/>
        <v>4139850</v>
      </c>
      <c r="AG1303" s="12" t="s">
        <v>73</v>
      </c>
      <c r="AH1303" s="8" t="s">
        <v>65</v>
      </c>
    </row>
    <row r="1304" spans="1:34">
      <c r="A1304" s="8" t="s">
        <v>1845</v>
      </c>
      <c r="B1304" s="16" t="s">
        <v>2860</v>
      </c>
      <c r="C1304" s="8" t="s">
        <v>40</v>
      </c>
      <c r="D1304" s="8" t="s">
        <v>1822</v>
      </c>
      <c r="E1304" s="8" t="str">
        <f t="shared" si="132"/>
        <v>TABACO</v>
      </c>
      <c r="H1304" s="8" t="str">
        <f>VLOOKUP(A1304,[1]BBDD!$B$1:$J$3274,9,FALSE)</f>
        <v>H</v>
      </c>
      <c r="I1304" s="19" t="s">
        <v>2863</v>
      </c>
      <c r="J1304" s="8" t="s">
        <v>1842</v>
      </c>
      <c r="L1304" s="8" t="s">
        <v>61</v>
      </c>
      <c r="N1304" s="8" t="s">
        <v>67</v>
      </c>
      <c r="Q1304" s="8" t="s">
        <v>45</v>
      </c>
      <c r="R1304" s="8">
        <v>4</v>
      </c>
      <c r="S1304" s="8">
        <v>6</v>
      </c>
      <c r="T1304" s="8">
        <f t="shared" si="130"/>
        <v>10</v>
      </c>
      <c r="U1304" s="8">
        <v>0</v>
      </c>
      <c r="V1304" s="8">
        <v>0</v>
      </c>
      <c r="W1304" s="8">
        <v>1</v>
      </c>
      <c r="X1304" s="8">
        <v>0</v>
      </c>
      <c r="Y1304" s="8">
        <v>0</v>
      </c>
      <c r="Z1304" s="8">
        <v>0</v>
      </c>
      <c r="AA1304" s="8">
        <v>180</v>
      </c>
      <c r="AB1304" s="9">
        <f t="shared" si="131"/>
        <v>0.16666666666666669</v>
      </c>
      <c r="AC1304" s="10">
        <f t="shared" si="133"/>
        <v>59.999999999999993</v>
      </c>
      <c r="AD1304" s="8" t="s">
        <v>109</v>
      </c>
      <c r="AE1304" s="11">
        <v>275990</v>
      </c>
      <c r="AF1304" s="11">
        <f t="shared" si="134"/>
        <v>2759900</v>
      </c>
      <c r="AG1304" s="12" t="s">
        <v>73</v>
      </c>
      <c r="AH1304" s="8" t="s">
        <v>35</v>
      </c>
    </row>
    <row r="1305" spans="1:34">
      <c r="A1305" s="8" t="s">
        <v>1846</v>
      </c>
      <c r="B1305" s="16" t="s">
        <v>2860</v>
      </c>
      <c r="C1305" s="8" t="s">
        <v>40</v>
      </c>
      <c r="D1305" s="8" t="s">
        <v>1822</v>
      </c>
      <c r="E1305" s="8" t="str">
        <f t="shared" si="132"/>
        <v>AZUL</v>
      </c>
      <c r="H1305" s="8" t="str">
        <f>VLOOKUP(A1305,[1]BBDD!$B$1:$J$3274,9,FALSE)</f>
        <v>H</v>
      </c>
      <c r="I1305" s="19" t="s">
        <v>2863</v>
      </c>
      <c r="J1305" s="8" t="s">
        <v>1847</v>
      </c>
      <c r="L1305" s="8" t="s">
        <v>61</v>
      </c>
      <c r="N1305" s="8" t="s">
        <v>83</v>
      </c>
      <c r="Q1305" s="8" t="s">
        <v>45</v>
      </c>
      <c r="R1305" s="8">
        <v>0</v>
      </c>
      <c r="S1305" s="8">
        <v>2</v>
      </c>
      <c r="T1305" s="8">
        <f t="shared" si="130"/>
        <v>2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180</v>
      </c>
      <c r="AB1305" s="9">
        <f t="shared" si="131"/>
        <v>0</v>
      </c>
      <c r="AC1305" s="10" t="str">
        <f t="shared" si="133"/>
        <v>sin venta</v>
      </c>
      <c r="AD1305" s="8" t="s">
        <v>109</v>
      </c>
      <c r="AE1305" s="11">
        <v>224990</v>
      </c>
      <c r="AF1305" s="11">
        <f t="shared" si="134"/>
        <v>449980</v>
      </c>
      <c r="AG1305" s="12" t="s">
        <v>73</v>
      </c>
      <c r="AH1305" s="8" t="s">
        <v>35</v>
      </c>
    </row>
    <row r="1306" spans="1:34">
      <c r="A1306" s="8" t="s">
        <v>1848</v>
      </c>
      <c r="B1306" s="16" t="s">
        <v>2860</v>
      </c>
      <c r="C1306" s="8" t="s">
        <v>40</v>
      </c>
      <c r="D1306" s="8" t="s">
        <v>1822</v>
      </c>
      <c r="E1306" s="8" t="str">
        <f t="shared" si="132"/>
        <v>CARAMELO</v>
      </c>
      <c r="H1306" s="8" t="str">
        <f>VLOOKUP(A1306,[1]BBDD!$B$1:$J$3274,9,FALSE)</f>
        <v>H</v>
      </c>
      <c r="I1306" s="19" t="s">
        <v>2863</v>
      </c>
      <c r="J1306" s="8" t="s">
        <v>1847</v>
      </c>
      <c r="L1306" s="8" t="s">
        <v>61</v>
      </c>
      <c r="N1306" s="8" t="s">
        <v>62</v>
      </c>
      <c r="Q1306" s="8" t="s">
        <v>45</v>
      </c>
      <c r="R1306" s="8">
        <v>0</v>
      </c>
      <c r="S1306" s="8">
        <v>9</v>
      </c>
      <c r="T1306" s="8">
        <f t="shared" si="130"/>
        <v>9</v>
      </c>
      <c r="U1306" s="8">
        <v>0</v>
      </c>
      <c r="V1306" s="8">
        <v>1</v>
      </c>
      <c r="W1306" s="8">
        <v>0</v>
      </c>
      <c r="X1306" s="8">
        <v>0</v>
      </c>
      <c r="Y1306" s="8">
        <v>0</v>
      </c>
      <c r="Z1306" s="8">
        <v>0</v>
      </c>
      <c r="AA1306" s="8">
        <v>180</v>
      </c>
      <c r="AB1306" s="9">
        <f t="shared" si="131"/>
        <v>0.16666666666666669</v>
      </c>
      <c r="AC1306" s="10">
        <f t="shared" si="133"/>
        <v>53.999999999999993</v>
      </c>
      <c r="AD1306" s="8" t="s">
        <v>109</v>
      </c>
      <c r="AE1306" s="11">
        <v>224990</v>
      </c>
      <c r="AF1306" s="11">
        <f t="shared" si="134"/>
        <v>2024910</v>
      </c>
      <c r="AG1306" s="12" t="s">
        <v>73</v>
      </c>
      <c r="AH1306" s="8" t="s">
        <v>35</v>
      </c>
    </row>
    <row r="1307" spans="1:34">
      <c r="A1307" s="8" t="s">
        <v>1849</v>
      </c>
      <c r="B1307" s="16" t="s">
        <v>2860</v>
      </c>
      <c r="C1307" s="8" t="s">
        <v>40</v>
      </c>
      <c r="D1307" s="8" t="s">
        <v>1822</v>
      </c>
      <c r="E1307" s="8" t="str">
        <f t="shared" si="132"/>
        <v>CHOCOLATE</v>
      </c>
      <c r="H1307" s="8" t="str">
        <f>VLOOKUP(A1307,[1]BBDD!$B$1:$J$3274,9,FALSE)</f>
        <v>H</v>
      </c>
      <c r="I1307" s="19" t="s">
        <v>2863</v>
      </c>
      <c r="J1307" s="8" t="s">
        <v>1847</v>
      </c>
      <c r="L1307" s="8" t="s">
        <v>61</v>
      </c>
      <c r="N1307" s="8" t="s">
        <v>252</v>
      </c>
      <c r="Q1307" s="8" t="s">
        <v>45</v>
      </c>
      <c r="R1307" s="8">
        <v>0</v>
      </c>
      <c r="S1307" s="8">
        <v>2</v>
      </c>
      <c r="T1307" s="8">
        <f t="shared" si="130"/>
        <v>2</v>
      </c>
      <c r="U1307" s="8">
        <v>0</v>
      </c>
      <c r="V1307" s="8">
        <v>0</v>
      </c>
      <c r="W1307" s="8">
        <v>1</v>
      </c>
      <c r="X1307" s="8">
        <v>0</v>
      </c>
      <c r="Y1307" s="8">
        <v>0</v>
      </c>
      <c r="Z1307" s="8">
        <v>0</v>
      </c>
      <c r="AA1307" s="8">
        <v>180</v>
      </c>
      <c r="AB1307" s="9">
        <f t="shared" si="131"/>
        <v>0.16666666666666669</v>
      </c>
      <c r="AC1307" s="10">
        <f t="shared" si="133"/>
        <v>11.999999999999998</v>
      </c>
      <c r="AD1307" s="8" t="s">
        <v>109</v>
      </c>
      <c r="AE1307" s="11">
        <v>224990</v>
      </c>
      <c r="AF1307" s="11">
        <f t="shared" si="134"/>
        <v>449980</v>
      </c>
      <c r="AG1307" s="12" t="s">
        <v>51</v>
      </c>
      <c r="AH1307" s="8" t="s">
        <v>35</v>
      </c>
    </row>
    <row r="1308" spans="1:34">
      <c r="A1308" s="8" t="s">
        <v>1850</v>
      </c>
      <c r="B1308" s="16" t="s">
        <v>2860</v>
      </c>
      <c r="C1308" s="8" t="s">
        <v>40</v>
      </c>
      <c r="D1308" s="8" t="s">
        <v>1822</v>
      </c>
      <c r="E1308" s="8" t="str">
        <f t="shared" si="132"/>
        <v>NEGRO</v>
      </c>
      <c r="H1308" s="8" t="str">
        <f>VLOOKUP(A1308,[1]BBDD!$B$1:$J$3274,9,FALSE)</f>
        <v>H</v>
      </c>
      <c r="I1308" s="19" t="s">
        <v>2863</v>
      </c>
      <c r="J1308" s="8" t="s">
        <v>1847</v>
      </c>
      <c r="L1308" s="8" t="s">
        <v>61</v>
      </c>
      <c r="N1308" s="8" t="s">
        <v>44</v>
      </c>
      <c r="Q1308" s="8" t="s">
        <v>45</v>
      </c>
      <c r="R1308" s="8">
        <v>3</v>
      </c>
      <c r="S1308" s="8">
        <v>8</v>
      </c>
      <c r="T1308" s="8">
        <f t="shared" si="130"/>
        <v>11</v>
      </c>
      <c r="U1308" s="8">
        <v>0</v>
      </c>
      <c r="V1308" s="8">
        <v>2</v>
      </c>
      <c r="W1308" s="8">
        <v>1</v>
      </c>
      <c r="X1308" s="8">
        <v>0</v>
      </c>
      <c r="Y1308" s="8">
        <v>0</v>
      </c>
      <c r="Z1308" s="8">
        <v>1</v>
      </c>
      <c r="AA1308" s="8">
        <v>180</v>
      </c>
      <c r="AB1308" s="9">
        <f t="shared" si="131"/>
        <v>0.66666666666666674</v>
      </c>
      <c r="AC1308" s="10">
        <f t="shared" si="133"/>
        <v>16.499999999999996</v>
      </c>
      <c r="AD1308" s="8" t="s">
        <v>109</v>
      </c>
      <c r="AE1308" s="11">
        <v>224990</v>
      </c>
      <c r="AF1308" s="11">
        <f t="shared" si="134"/>
        <v>2474890</v>
      </c>
      <c r="AG1308" s="12" t="s">
        <v>64</v>
      </c>
      <c r="AH1308" s="8" t="s">
        <v>65</v>
      </c>
    </row>
    <row r="1309" spans="1:34">
      <c r="A1309" s="8" t="s">
        <v>1851</v>
      </c>
      <c r="B1309" s="16" t="s">
        <v>2860</v>
      </c>
      <c r="C1309" s="8" t="s">
        <v>40</v>
      </c>
      <c r="D1309" s="8" t="s">
        <v>1822</v>
      </c>
      <c r="E1309" s="8" t="str">
        <f t="shared" si="132"/>
        <v>TABACO</v>
      </c>
      <c r="H1309" s="8" t="str">
        <f>VLOOKUP(A1309,[1]BBDD!$B$1:$J$3274,9,FALSE)</f>
        <v>H</v>
      </c>
      <c r="I1309" s="19" t="s">
        <v>2863</v>
      </c>
      <c r="J1309" s="8" t="s">
        <v>1847</v>
      </c>
      <c r="L1309" s="8" t="s">
        <v>61</v>
      </c>
      <c r="N1309" s="8" t="s">
        <v>67</v>
      </c>
      <c r="Q1309" s="8" t="s">
        <v>45</v>
      </c>
      <c r="R1309" s="8">
        <v>1</v>
      </c>
      <c r="S1309" s="8">
        <v>7</v>
      </c>
      <c r="T1309" s="8">
        <f t="shared" si="130"/>
        <v>8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180</v>
      </c>
      <c r="AB1309" s="9">
        <f t="shared" si="131"/>
        <v>0</v>
      </c>
      <c r="AC1309" s="10" t="str">
        <f t="shared" si="133"/>
        <v>sin venta</v>
      </c>
      <c r="AD1309" s="8" t="s">
        <v>109</v>
      </c>
      <c r="AE1309" s="11">
        <v>224990</v>
      </c>
      <c r="AF1309" s="11">
        <f t="shared" si="134"/>
        <v>1799920</v>
      </c>
      <c r="AG1309" s="12" t="s">
        <v>73</v>
      </c>
      <c r="AH1309" s="8" t="s">
        <v>35</v>
      </c>
    </row>
    <row r="1310" spans="1:34">
      <c r="A1310" s="8" t="s">
        <v>1852</v>
      </c>
      <c r="B1310" s="16" t="s">
        <v>2860</v>
      </c>
      <c r="C1310" s="8" t="s">
        <v>40</v>
      </c>
      <c r="D1310" s="8" t="s">
        <v>1822</v>
      </c>
      <c r="E1310" s="8" t="str">
        <f t="shared" si="132"/>
        <v>CARAMELO</v>
      </c>
      <c r="H1310" s="8" t="str">
        <f>VLOOKUP(A1310,[1]BBDD!$B$1:$J$3274,9,FALSE)</f>
        <v>H</v>
      </c>
      <c r="I1310" s="19" t="s">
        <v>2863</v>
      </c>
      <c r="J1310" s="8" t="s">
        <v>1853</v>
      </c>
      <c r="L1310" s="8" t="s">
        <v>61</v>
      </c>
      <c r="N1310" s="8" t="s">
        <v>62</v>
      </c>
      <c r="Q1310" s="8" t="s">
        <v>45</v>
      </c>
      <c r="R1310" s="8">
        <v>1</v>
      </c>
      <c r="S1310" s="8">
        <v>6</v>
      </c>
      <c r="T1310" s="8">
        <f t="shared" si="130"/>
        <v>7</v>
      </c>
      <c r="U1310" s="8">
        <v>0</v>
      </c>
      <c r="V1310" s="8">
        <v>0</v>
      </c>
      <c r="W1310" s="8">
        <v>1</v>
      </c>
      <c r="X1310" s="8">
        <v>0</v>
      </c>
      <c r="Y1310" s="8">
        <v>0</v>
      </c>
      <c r="Z1310" s="8">
        <v>0</v>
      </c>
      <c r="AA1310" s="8">
        <v>180</v>
      </c>
      <c r="AB1310" s="9">
        <f t="shared" si="131"/>
        <v>0.16666666666666669</v>
      </c>
      <c r="AC1310" s="10">
        <f t="shared" si="133"/>
        <v>41.999999999999993</v>
      </c>
      <c r="AD1310" s="8" t="s">
        <v>109</v>
      </c>
      <c r="AE1310" s="11">
        <v>244990</v>
      </c>
      <c r="AF1310" s="11">
        <f t="shared" si="134"/>
        <v>1714930</v>
      </c>
      <c r="AG1310" s="12" t="s">
        <v>73</v>
      </c>
      <c r="AH1310" s="8" t="s">
        <v>35</v>
      </c>
    </row>
    <row r="1311" spans="1:34">
      <c r="A1311" s="8" t="s">
        <v>1854</v>
      </c>
      <c r="B1311" s="16" t="s">
        <v>2860</v>
      </c>
      <c r="C1311" s="8" t="s">
        <v>40</v>
      </c>
      <c r="D1311" s="8" t="s">
        <v>1822</v>
      </c>
      <c r="E1311" s="8" t="str">
        <f t="shared" si="132"/>
        <v>NEGRO</v>
      </c>
      <c r="H1311" s="8" t="str">
        <f>VLOOKUP(A1311,[1]BBDD!$B$1:$J$3274,9,FALSE)</f>
        <v>H</v>
      </c>
      <c r="I1311" s="19" t="s">
        <v>2863</v>
      </c>
      <c r="J1311" s="8" t="s">
        <v>1853</v>
      </c>
      <c r="L1311" s="8" t="s">
        <v>61</v>
      </c>
      <c r="N1311" s="8" t="s">
        <v>44</v>
      </c>
      <c r="Q1311" s="8" t="s">
        <v>45</v>
      </c>
      <c r="R1311" s="8">
        <v>2</v>
      </c>
      <c r="S1311" s="8">
        <v>7</v>
      </c>
      <c r="T1311" s="8">
        <f t="shared" si="130"/>
        <v>9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180</v>
      </c>
      <c r="AB1311" s="9">
        <f t="shared" si="131"/>
        <v>0</v>
      </c>
      <c r="AC1311" s="10" t="str">
        <f t="shared" si="133"/>
        <v>sin venta</v>
      </c>
      <c r="AD1311" s="8" t="s">
        <v>109</v>
      </c>
      <c r="AE1311" s="11">
        <v>244990</v>
      </c>
      <c r="AF1311" s="11">
        <f t="shared" si="134"/>
        <v>2204910</v>
      </c>
      <c r="AG1311" s="12" t="s">
        <v>73</v>
      </c>
      <c r="AH1311" s="8" t="s">
        <v>35</v>
      </c>
    </row>
    <row r="1312" spans="1:34">
      <c r="A1312" s="8" t="s">
        <v>1855</v>
      </c>
      <c r="B1312" s="16" t="s">
        <v>2860</v>
      </c>
      <c r="C1312" s="8" t="s">
        <v>40</v>
      </c>
      <c r="D1312" s="8" t="s">
        <v>1822</v>
      </c>
      <c r="E1312" s="8" t="str">
        <f t="shared" si="132"/>
        <v>TABACO</v>
      </c>
      <c r="H1312" s="8" t="str">
        <f>VLOOKUP(A1312,[1]BBDD!$B$1:$J$3274,9,FALSE)</f>
        <v>H</v>
      </c>
      <c r="I1312" s="19" t="s">
        <v>2863</v>
      </c>
      <c r="J1312" s="8" t="s">
        <v>1853</v>
      </c>
      <c r="L1312" s="8" t="s">
        <v>61</v>
      </c>
      <c r="N1312" s="8" t="s">
        <v>67</v>
      </c>
      <c r="Q1312" s="8" t="s">
        <v>45</v>
      </c>
      <c r="R1312" s="8">
        <v>0</v>
      </c>
      <c r="S1312" s="8">
        <v>7</v>
      </c>
      <c r="T1312" s="8">
        <f t="shared" si="130"/>
        <v>7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180</v>
      </c>
      <c r="AB1312" s="9">
        <f t="shared" si="131"/>
        <v>0</v>
      </c>
      <c r="AC1312" s="10" t="str">
        <f t="shared" si="133"/>
        <v>sin venta</v>
      </c>
      <c r="AD1312" s="8" t="s">
        <v>109</v>
      </c>
      <c r="AE1312" s="11">
        <v>244990</v>
      </c>
      <c r="AF1312" s="11">
        <f t="shared" si="134"/>
        <v>1714930</v>
      </c>
      <c r="AG1312" s="12" t="s">
        <v>73</v>
      </c>
      <c r="AH1312" s="8" t="s">
        <v>35</v>
      </c>
    </row>
    <row r="1313" spans="1:34">
      <c r="A1313" s="8" t="s">
        <v>1856</v>
      </c>
      <c r="B1313" s="16" t="s">
        <v>2860</v>
      </c>
      <c r="C1313" s="8" t="s">
        <v>40</v>
      </c>
      <c r="D1313" s="8" t="s">
        <v>1822</v>
      </c>
      <c r="E1313" s="8" t="str">
        <f t="shared" si="132"/>
        <v>CARAMELO</v>
      </c>
      <c r="H1313" s="8" t="str">
        <f>VLOOKUP(A1313,[1]BBDD!$B$1:$J$3274,9,FALSE)</f>
        <v>H</v>
      </c>
      <c r="I1313" s="19" t="s">
        <v>2863</v>
      </c>
      <c r="J1313" s="8" t="s">
        <v>1857</v>
      </c>
      <c r="L1313" s="8" t="s">
        <v>61</v>
      </c>
      <c r="N1313" s="8" t="s">
        <v>62</v>
      </c>
      <c r="Q1313" s="8" t="s">
        <v>32</v>
      </c>
      <c r="R1313" s="8">
        <v>0</v>
      </c>
      <c r="S1313" s="8">
        <v>4</v>
      </c>
      <c r="T1313" s="8">
        <f t="shared" si="130"/>
        <v>4</v>
      </c>
      <c r="U1313" s="8">
        <v>2</v>
      </c>
      <c r="V1313" s="8">
        <v>1</v>
      </c>
      <c r="W1313" s="8">
        <v>0</v>
      </c>
      <c r="X1313" s="8">
        <v>0</v>
      </c>
      <c r="Y1313" s="8">
        <v>2</v>
      </c>
      <c r="Z1313" s="8">
        <v>0</v>
      </c>
      <c r="AA1313" s="8">
        <v>180</v>
      </c>
      <c r="AB1313" s="9">
        <f t="shared" si="131"/>
        <v>0.83333333333333326</v>
      </c>
      <c r="AC1313" s="10">
        <f t="shared" si="133"/>
        <v>4.8000000000000007</v>
      </c>
      <c r="AD1313" s="8" t="s">
        <v>33</v>
      </c>
      <c r="AE1313" s="11">
        <v>189990</v>
      </c>
      <c r="AF1313" s="11">
        <f t="shared" si="134"/>
        <v>759960</v>
      </c>
      <c r="AG1313" s="12" t="s">
        <v>34</v>
      </c>
      <c r="AH1313" s="8" t="s">
        <v>35</v>
      </c>
    </row>
    <row r="1314" spans="1:34">
      <c r="A1314" s="8" t="s">
        <v>1858</v>
      </c>
      <c r="B1314" s="16" t="s">
        <v>2860</v>
      </c>
      <c r="C1314" s="8" t="s">
        <v>40</v>
      </c>
      <c r="D1314" s="8" t="s">
        <v>1822</v>
      </c>
      <c r="E1314" s="8" t="str">
        <f t="shared" si="132"/>
        <v>NEGRO</v>
      </c>
      <c r="H1314" s="8" t="str">
        <f>VLOOKUP(A1314,[1]BBDD!$B$1:$J$3274,9,FALSE)</f>
        <v>H</v>
      </c>
      <c r="I1314" s="19" t="s">
        <v>2863</v>
      </c>
      <c r="J1314" s="8" t="s">
        <v>1857</v>
      </c>
      <c r="L1314" s="8" t="s">
        <v>61</v>
      </c>
      <c r="N1314" s="8" t="s">
        <v>44</v>
      </c>
      <c r="Q1314" s="8" t="s">
        <v>32</v>
      </c>
      <c r="R1314" s="8">
        <v>0</v>
      </c>
      <c r="S1314" s="8">
        <v>7</v>
      </c>
      <c r="T1314" s="8">
        <f t="shared" si="130"/>
        <v>7</v>
      </c>
      <c r="U1314" s="8">
        <v>0</v>
      </c>
      <c r="V1314" s="8">
        <v>1</v>
      </c>
      <c r="W1314" s="8">
        <v>1</v>
      </c>
      <c r="X1314" s="8">
        <v>1</v>
      </c>
      <c r="Y1314" s="8">
        <v>0</v>
      </c>
      <c r="Z1314" s="8">
        <v>2</v>
      </c>
      <c r="AA1314" s="8">
        <v>180</v>
      </c>
      <c r="AB1314" s="9">
        <f t="shared" si="131"/>
        <v>0.83333333333333326</v>
      </c>
      <c r="AC1314" s="10">
        <f t="shared" si="133"/>
        <v>8.4</v>
      </c>
      <c r="AD1314" s="8" t="s">
        <v>33</v>
      </c>
      <c r="AE1314" s="11">
        <v>189990</v>
      </c>
      <c r="AF1314" s="11">
        <f t="shared" si="134"/>
        <v>1329930</v>
      </c>
      <c r="AG1314" s="12" t="s">
        <v>51</v>
      </c>
      <c r="AH1314" s="8" t="s">
        <v>35</v>
      </c>
    </row>
    <row r="1315" spans="1:34">
      <c r="A1315" s="8" t="s">
        <v>1859</v>
      </c>
      <c r="B1315" s="16" t="s">
        <v>2860</v>
      </c>
      <c r="C1315" s="8" t="s">
        <v>40</v>
      </c>
      <c r="D1315" s="8" t="s">
        <v>1822</v>
      </c>
      <c r="E1315" s="8" t="str">
        <f t="shared" si="132"/>
        <v>TABACO</v>
      </c>
      <c r="H1315" s="8" t="str">
        <f>VLOOKUP(A1315,[1]BBDD!$B$1:$J$3274,9,FALSE)</f>
        <v>H</v>
      </c>
      <c r="I1315" s="19" t="s">
        <v>2863</v>
      </c>
      <c r="J1315" s="8" t="s">
        <v>1857</v>
      </c>
      <c r="L1315" s="8" t="s">
        <v>61</v>
      </c>
      <c r="N1315" s="8" t="s">
        <v>67</v>
      </c>
      <c r="Q1315" s="8" t="s">
        <v>32</v>
      </c>
      <c r="R1315" s="8">
        <v>0</v>
      </c>
      <c r="S1315" s="8">
        <v>7</v>
      </c>
      <c r="T1315" s="8">
        <f t="shared" si="130"/>
        <v>7</v>
      </c>
      <c r="U1315" s="8">
        <v>0</v>
      </c>
      <c r="V1315" s="8">
        <v>0</v>
      </c>
      <c r="W1315" s="8">
        <v>0</v>
      </c>
      <c r="X1315" s="8">
        <v>0</v>
      </c>
      <c r="Y1315" s="8">
        <v>1</v>
      </c>
      <c r="Z1315" s="8">
        <v>0</v>
      </c>
      <c r="AA1315" s="8">
        <v>180</v>
      </c>
      <c r="AB1315" s="9">
        <f t="shared" si="131"/>
        <v>0.16666666666666669</v>
      </c>
      <c r="AC1315" s="10">
        <f t="shared" si="133"/>
        <v>41.999999999999993</v>
      </c>
      <c r="AD1315" s="8" t="s">
        <v>33</v>
      </c>
      <c r="AE1315" s="11">
        <v>189990</v>
      </c>
      <c r="AF1315" s="11">
        <f t="shared" si="134"/>
        <v>1329930</v>
      </c>
      <c r="AG1315" s="12" t="s">
        <v>73</v>
      </c>
      <c r="AH1315" s="8" t="s">
        <v>35</v>
      </c>
    </row>
    <row r="1316" spans="1:34">
      <c r="A1316" s="8" t="s">
        <v>1860</v>
      </c>
      <c r="B1316" s="16" t="s">
        <v>2860</v>
      </c>
      <c r="C1316" s="8" t="s">
        <v>40</v>
      </c>
      <c r="D1316" s="8" t="s">
        <v>1822</v>
      </c>
      <c r="E1316" s="8" t="str">
        <f t="shared" si="132"/>
        <v>CHOCOLATE</v>
      </c>
      <c r="H1316" s="8" t="str">
        <f>VLOOKUP(A1316,[1]BBDD!$B$1:$J$3274,9,FALSE)</f>
        <v>H</v>
      </c>
      <c r="I1316" s="19" t="s">
        <v>2863</v>
      </c>
      <c r="J1316" s="8" t="s">
        <v>1857</v>
      </c>
      <c r="L1316" s="8" t="s">
        <v>61</v>
      </c>
      <c r="N1316" s="8" t="s">
        <v>252</v>
      </c>
      <c r="Q1316" s="8" t="s">
        <v>45</v>
      </c>
      <c r="R1316" s="8">
        <v>0</v>
      </c>
      <c r="S1316" s="8">
        <v>2</v>
      </c>
      <c r="T1316" s="8">
        <f t="shared" si="130"/>
        <v>2</v>
      </c>
      <c r="U1316" s="8">
        <v>0</v>
      </c>
      <c r="V1316" s="8">
        <v>1</v>
      </c>
      <c r="W1316" s="8">
        <v>4</v>
      </c>
      <c r="X1316" s="8">
        <v>1</v>
      </c>
      <c r="Y1316" s="8">
        <v>3</v>
      </c>
      <c r="Z1316" s="8">
        <v>0</v>
      </c>
      <c r="AA1316" s="8">
        <v>180</v>
      </c>
      <c r="AB1316" s="9">
        <f t="shared" si="131"/>
        <v>1.5</v>
      </c>
      <c r="AC1316" s="10">
        <f t="shared" si="133"/>
        <v>1.3333333333333333</v>
      </c>
      <c r="AD1316" s="8" t="s">
        <v>109</v>
      </c>
      <c r="AE1316" s="11">
        <v>189990</v>
      </c>
      <c r="AF1316" s="11">
        <f t="shared" si="134"/>
        <v>379980</v>
      </c>
      <c r="AG1316" s="12" t="s">
        <v>34</v>
      </c>
      <c r="AH1316" s="8" t="s">
        <v>35</v>
      </c>
    </row>
    <row r="1317" spans="1:34">
      <c r="A1317" s="8" t="s">
        <v>1861</v>
      </c>
      <c r="B1317" s="16" t="s">
        <v>2860</v>
      </c>
      <c r="C1317" s="8" t="s">
        <v>40</v>
      </c>
      <c r="D1317" s="8" t="s">
        <v>1822</v>
      </c>
      <c r="E1317" s="8" t="str">
        <f t="shared" si="132"/>
        <v>CEDRO</v>
      </c>
      <c r="H1317" s="8" t="str">
        <f>VLOOKUP(A1317,[1]BBDD!$B$1:$J$3274,9,FALSE)</f>
        <v>H</v>
      </c>
      <c r="I1317" s="19" t="s">
        <v>2863</v>
      </c>
      <c r="J1317" s="8" t="s">
        <v>1857</v>
      </c>
      <c r="L1317" s="8" t="s">
        <v>112</v>
      </c>
      <c r="N1317" s="8" t="s">
        <v>113</v>
      </c>
      <c r="Q1317" s="8" t="s">
        <v>45</v>
      </c>
      <c r="R1317" s="8">
        <v>0</v>
      </c>
      <c r="S1317" s="8">
        <v>3</v>
      </c>
      <c r="T1317" s="8">
        <f t="shared" si="130"/>
        <v>3</v>
      </c>
      <c r="U1317" s="8">
        <v>0</v>
      </c>
      <c r="V1317" s="8">
        <v>0</v>
      </c>
      <c r="W1317" s="8">
        <v>0</v>
      </c>
      <c r="X1317" s="8">
        <v>1</v>
      </c>
      <c r="Y1317" s="8">
        <v>0</v>
      </c>
      <c r="Z1317" s="8">
        <v>0</v>
      </c>
      <c r="AA1317" s="8">
        <v>180</v>
      </c>
      <c r="AB1317" s="9">
        <f t="shared" si="131"/>
        <v>0.16666666666666669</v>
      </c>
      <c r="AC1317" s="10">
        <f t="shared" si="133"/>
        <v>17.999999999999996</v>
      </c>
      <c r="AD1317" s="8" t="s">
        <v>109</v>
      </c>
      <c r="AE1317" s="11">
        <v>189990</v>
      </c>
      <c r="AF1317" s="11">
        <f t="shared" si="134"/>
        <v>569970</v>
      </c>
      <c r="AG1317" s="12" t="s">
        <v>64</v>
      </c>
      <c r="AH1317" s="8" t="s">
        <v>35</v>
      </c>
    </row>
    <row r="1318" spans="1:34">
      <c r="A1318" s="8" t="s">
        <v>1862</v>
      </c>
      <c r="B1318" s="16" t="s">
        <v>2860</v>
      </c>
      <c r="C1318" s="8" t="s">
        <v>40</v>
      </c>
      <c r="D1318" s="8" t="s">
        <v>1822</v>
      </c>
      <c r="E1318" s="8" t="str">
        <f t="shared" si="132"/>
        <v>SUELA</v>
      </c>
      <c r="H1318" s="8" t="str">
        <f>VLOOKUP(A1318,[1]BBDD!$B$1:$J$3274,9,FALSE)</f>
        <v>H</v>
      </c>
      <c r="I1318" s="19" t="s">
        <v>2863</v>
      </c>
      <c r="J1318" s="8" t="s">
        <v>1857</v>
      </c>
      <c r="L1318" s="8" t="s">
        <v>827</v>
      </c>
      <c r="N1318" s="8" t="s">
        <v>90</v>
      </c>
      <c r="Q1318" s="8" t="s">
        <v>45</v>
      </c>
      <c r="R1318" s="8">
        <v>0</v>
      </c>
      <c r="S1318" s="8">
        <v>2</v>
      </c>
      <c r="T1318" s="8">
        <f t="shared" si="130"/>
        <v>2</v>
      </c>
      <c r="U1318" s="8">
        <v>0</v>
      </c>
      <c r="V1318" s="8">
        <v>0</v>
      </c>
      <c r="W1318" s="8">
        <v>0</v>
      </c>
      <c r="X1318" s="8">
        <v>1</v>
      </c>
      <c r="Y1318" s="8">
        <v>0</v>
      </c>
      <c r="Z1318" s="8">
        <v>0</v>
      </c>
      <c r="AA1318" s="8">
        <v>180</v>
      </c>
      <c r="AB1318" s="9">
        <f t="shared" si="131"/>
        <v>0.16666666666666669</v>
      </c>
      <c r="AC1318" s="10">
        <f t="shared" si="133"/>
        <v>11.999999999999998</v>
      </c>
      <c r="AD1318" s="8" t="s">
        <v>109</v>
      </c>
      <c r="AE1318" s="11">
        <v>189990</v>
      </c>
      <c r="AF1318" s="11">
        <f t="shared" si="134"/>
        <v>379980</v>
      </c>
      <c r="AG1318" s="12" t="s">
        <v>51</v>
      </c>
      <c r="AH1318" s="8" t="s">
        <v>35</v>
      </c>
    </row>
    <row r="1319" spans="1:34">
      <c r="A1319" s="8" t="s">
        <v>1863</v>
      </c>
      <c r="B1319" s="16" t="s">
        <v>2859</v>
      </c>
      <c r="C1319" s="8" t="s">
        <v>27</v>
      </c>
      <c r="D1319" s="8" t="s">
        <v>1864</v>
      </c>
      <c r="E1319" s="8" t="str">
        <f t="shared" si="132"/>
        <v>CARAMELO</v>
      </c>
      <c r="G1319" s="8" t="s">
        <v>2861</v>
      </c>
      <c r="H1319" s="8" t="str">
        <f>VLOOKUP(A1319,[1]BBDD!$B$1:$J$3274,9,FALSE)</f>
        <v>U</v>
      </c>
      <c r="I1319" s="8" t="s">
        <v>2861</v>
      </c>
      <c r="J1319" s="8" t="s">
        <v>1864</v>
      </c>
      <c r="L1319" s="8" t="s">
        <v>61</v>
      </c>
      <c r="N1319" s="8" t="s">
        <v>62</v>
      </c>
      <c r="Q1319" s="8" t="s">
        <v>32</v>
      </c>
      <c r="R1319" s="8">
        <v>0</v>
      </c>
      <c r="S1319" s="8">
        <v>2</v>
      </c>
      <c r="T1319" s="8">
        <f t="shared" si="130"/>
        <v>2</v>
      </c>
      <c r="U1319" s="8">
        <v>2</v>
      </c>
      <c r="V1319" s="8">
        <v>3</v>
      </c>
      <c r="W1319" s="8">
        <v>2</v>
      </c>
      <c r="X1319" s="8">
        <v>1</v>
      </c>
      <c r="Y1319" s="8">
        <v>0</v>
      </c>
      <c r="Z1319" s="8">
        <v>0</v>
      </c>
      <c r="AA1319" s="8">
        <v>180</v>
      </c>
      <c r="AB1319" s="9">
        <f t="shared" si="131"/>
        <v>1.3333333333333335</v>
      </c>
      <c r="AC1319" s="10">
        <f t="shared" si="133"/>
        <v>1.4999999999999998</v>
      </c>
      <c r="AD1319" s="8" t="s">
        <v>33</v>
      </c>
      <c r="AE1319" s="11">
        <v>16990</v>
      </c>
      <c r="AF1319" s="11">
        <f t="shared" si="134"/>
        <v>33980</v>
      </c>
      <c r="AG1319" s="12" t="s">
        <v>34</v>
      </c>
      <c r="AH1319" s="8" t="s">
        <v>35</v>
      </c>
    </row>
    <row r="1320" spans="1:34">
      <c r="A1320" s="8" t="s">
        <v>1865</v>
      </c>
      <c r="B1320" s="16" t="s">
        <v>2859</v>
      </c>
      <c r="C1320" s="8" t="s">
        <v>27</v>
      </c>
      <c r="D1320" s="8" t="s">
        <v>1864</v>
      </c>
      <c r="E1320" s="8" t="str">
        <f t="shared" si="132"/>
        <v>NEGRO</v>
      </c>
      <c r="G1320" s="8" t="s">
        <v>2861</v>
      </c>
      <c r="H1320" s="8" t="str">
        <f>VLOOKUP(A1320,[1]BBDD!$B$1:$J$3274,9,FALSE)</f>
        <v>U</v>
      </c>
      <c r="I1320" s="8" t="s">
        <v>2861</v>
      </c>
      <c r="J1320" s="8" t="s">
        <v>1864</v>
      </c>
      <c r="L1320" s="8" t="s">
        <v>61</v>
      </c>
      <c r="N1320" s="8" t="s">
        <v>44</v>
      </c>
      <c r="Q1320" s="8" t="s">
        <v>32</v>
      </c>
      <c r="R1320" s="8">
        <v>2</v>
      </c>
      <c r="S1320" s="8">
        <v>7</v>
      </c>
      <c r="T1320" s="8">
        <f t="shared" si="130"/>
        <v>9</v>
      </c>
      <c r="U1320" s="8">
        <v>1</v>
      </c>
      <c r="V1320" s="8">
        <v>2</v>
      </c>
      <c r="W1320" s="8">
        <v>5</v>
      </c>
      <c r="X1320" s="8">
        <v>3</v>
      </c>
      <c r="Y1320" s="8">
        <v>3</v>
      </c>
      <c r="Z1320" s="8">
        <v>1</v>
      </c>
      <c r="AA1320" s="8">
        <v>180</v>
      </c>
      <c r="AB1320" s="9">
        <f t="shared" si="131"/>
        <v>2.5</v>
      </c>
      <c r="AC1320" s="10">
        <f t="shared" si="133"/>
        <v>3.6</v>
      </c>
      <c r="AD1320" s="8" t="s">
        <v>33</v>
      </c>
      <c r="AE1320" s="11">
        <v>16990</v>
      </c>
      <c r="AF1320" s="11">
        <f t="shared" si="134"/>
        <v>152910</v>
      </c>
      <c r="AG1320" s="12" t="s">
        <v>34</v>
      </c>
      <c r="AH1320" s="8" t="s">
        <v>35</v>
      </c>
    </row>
    <row r="1321" spans="1:34">
      <c r="A1321" s="8" t="s">
        <v>1866</v>
      </c>
      <c r="B1321" s="16" t="s">
        <v>2859</v>
      </c>
      <c r="C1321" s="8" t="s">
        <v>27</v>
      </c>
      <c r="D1321" s="8" t="s">
        <v>1864</v>
      </c>
      <c r="E1321" s="8" t="str">
        <f t="shared" si="132"/>
        <v>ROJO</v>
      </c>
      <c r="G1321" s="8" t="s">
        <v>2861</v>
      </c>
      <c r="H1321" s="8" t="str">
        <f>VLOOKUP(A1321,[1]BBDD!$B$1:$J$3274,9,FALSE)</f>
        <v>U</v>
      </c>
      <c r="I1321" s="8" t="s">
        <v>2861</v>
      </c>
      <c r="J1321" s="8" t="s">
        <v>1864</v>
      </c>
      <c r="L1321" s="8" t="s">
        <v>61</v>
      </c>
      <c r="N1321" s="8" t="s">
        <v>88</v>
      </c>
      <c r="Q1321" s="8" t="s">
        <v>32</v>
      </c>
      <c r="R1321" s="8">
        <v>0</v>
      </c>
      <c r="S1321" s="8">
        <v>2</v>
      </c>
      <c r="T1321" s="8">
        <f t="shared" ref="T1321:T1339" si="135">SUM(R1321:S1321)</f>
        <v>2</v>
      </c>
      <c r="U1321" s="8">
        <v>3</v>
      </c>
      <c r="V1321" s="8">
        <v>0</v>
      </c>
      <c r="W1321" s="8">
        <v>1</v>
      </c>
      <c r="X1321" s="8">
        <v>1</v>
      </c>
      <c r="Y1321" s="8">
        <v>1</v>
      </c>
      <c r="Z1321" s="8">
        <v>3</v>
      </c>
      <c r="AA1321" s="8">
        <v>180</v>
      </c>
      <c r="AB1321" s="9">
        <f t="shared" ref="AB1321:AB1339" si="136">SUM(U1321:Z1321)/AA1321*30</f>
        <v>1.5</v>
      </c>
      <c r="AC1321" s="10">
        <f t="shared" si="133"/>
        <v>1.3333333333333333</v>
      </c>
      <c r="AD1321" s="8" t="s">
        <v>33</v>
      </c>
      <c r="AE1321" s="11">
        <v>16990</v>
      </c>
      <c r="AF1321" s="11">
        <f t="shared" si="134"/>
        <v>33980</v>
      </c>
      <c r="AG1321" s="12" t="s">
        <v>34</v>
      </c>
      <c r="AH1321" s="8" t="s">
        <v>35</v>
      </c>
    </row>
    <row r="1322" spans="1:34">
      <c r="A1322" s="8" t="s">
        <v>1867</v>
      </c>
      <c r="B1322" s="16" t="s">
        <v>2859</v>
      </c>
      <c r="C1322" s="8" t="s">
        <v>27</v>
      </c>
      <c r="D1322" s="8" t="s">
        <v>1864</v>
      </c>
      <c r="E1322" s="8" t="str">
        <f t="shared" si="132"/>
        <v>TABACO</v>
      </c>
      <c r="G1322" s="8" t="s">
        <v>2861</v>
      </c>
      <c r="H1322" s="8" t="str">
        <f>VLOOKUP(A1322,[1]BBDD!$B$1:$J$3274,9,FALSE)</f>
        <v>U</v>
      </c>
      <c r="I1322" s="8" t="s">
        <v>2861</v>
      </c>
      <c r="J1322" s="8" t="s">
        <v>1864</v>
      </c>
      <c r="L1322" s="8" t="s">
        <v>61</v>
      </c>
      <c r="N1322" s="8" t="s">
        <v>67</v>
      </c>
      <c r="Q1322" s="8" t="s">
        <v>32</v>
      </c>
      <c r="R1322" s="8">
        <v>3</v>
      </c>
      <c r="S1322" s="8">
        <v>5</v>
      </c>
      <c r="T1322" s="8">
        <f t="shared" si="135"/>
        <v>8</v>
      </c>
      <c r="U1322" s="8">
        <v>4</v>
      </c>
      <c r="V1322" s="8">
        <v>0</v>
      </c>
      <c r="W1322" s="8">
        <v>2</v>
      </c>
      <c r="X1322" s="8">
        <v>6</v>
      </c>
      <c r="Y1322" s="8">
        <v>3</v>
      </c>
      <c r="Z1322" s="8">
        <v>2</v>
      </c>
      <c r="AA1322" s="8">
        <v>180</v>
      </c>
      <c r="AB1322" s="9">
        <f t="shared" si="136"/>
        <v>2.833333333333333</v>
      </c>
      <c r="AC1322" s="10">
        <f t="shared" si="133"/>
        <v>2.8235294117647061</v>
      </c>
      <c r="AD1322" s="8" t="s">
        <v>33</v>
      </c>
      <c r="AE1322" s="11">
        <v>16990</v>
      </c>
      <c r="AF1322" s="11">
        <f t="shared" si="134"/>
        <v>135920</v>
      </c>
      <c r="AG1322" s="12" t="s">
        <v>34</v>
      </c>
      <c r="AH1322" s="8" t="s">
        <v>35</v>
      </c>
    </row>
    <row r="1323" spans="1:34">
      <c r="A1323" s="8" t="s">
        <v>1868</v>
      </c>
      <c r="B1323" s="16" t="s">
        <v>2859</v>
      </c>
      <c r="C1323" s="8" t="s">
        <v>27</v>
      </c>
      <c r="D1323" s="8" t="s">
        <v>1864</v>
      </c>
      <c r="E1323" s="8" t="str">
        <f t="shared" si="132"/>
        <v>CARAMELO</v>
      </c>
      <c r="G1323" s="8" t="s">
        <v>2861</v>
      </c>
      <c r="H1323" s="8" t="str">
        <f>VLOOKUP(A1323,[1]BBDD!$B$1:$J$3274,9,FALSE)</f>
        <v>U</v>
      </c>
      <c r="I1323" s="8" t="s">
        <v>2861</v>
      </c>
      <c r="J1323" s="8" t="s">
        <v>1864</v>
      </c>
      <c r="L1323" s="8" t="s">
        <v>82</v>
      </c>
      <c r="N1323" s="8" t="s">
        <v>62</v>
      </c>
      <c r="Q1323" s="8" t="s">
        <v>32</v>
      </c>
      <c r="R1323" s="8">
        <v>4</v>
      </c>
      <c r="S1323" s="8">
        <v>7</v>
      </c>
      <c r="T1323" s="8">
        <f t="shared" si="135"/>
        <v>11</v>
      </c>
      <c r="U1323" s="8">
        <v>5</v>
      </c>
      <c r="V1323" s="8">
        <v>2</v>
      </c>
      <c r="W1323" s="8">
        <v>6</v>
      </c>
      <c r="X1323" s="8">
        <v>2</v>
      </c>
      <c r="Y1323" s="8">
        <v>1</v>
      </c>
      <c r="Z1323" s="8">
        <v>0</v>
      </c>
      <c r="AA1323" s="8">
        <v>180</v>
      </c>
      <c r="AB1323" s="9">
        <f t="shared" si="136"/>
        <v>2.666666666666667</v>
      </c>
      <c r="AC1323" s="10">
        <f t="shared" si="133"/>
        <v>4.1249999999999991</v>
      </c>
      <c r="AD1323" s="8" t="s">
        <v>33</v>
      </c>
      <c r="AE1323" s="11">
        <v>16990</v>
      </c>
      <c r="AF1323" s="11">
        <f t="shared" si="134"/>
        <v>186890</v>
      </c>
      <c r="AG1323" s="12" t="s">
        <v>34</v>
      </c>
      <c r="AH1323" s="8" t="s">
        <v>65</v>
      </c>
    </row>
    <row r="1324" spans="1:34">
      <c r="A1324" s="8" t="s">
        <v>1869</v>
      </c>
      <c r="B1324" s="16" t="s">
        <v>2859</v>
      </c>
      <c r="C1324" s="8" t="s">
        <v>27</v>
      </c>
      <c r="D1324" s="8" t="s">
        <v>1864</v>
      </c>
      <c r="E1324" s="8" t="str">
        <f t="shared" si="132"/>
        <v>NEGRO</v>
      </c>
      <c r="G1324" s="8" t="s">
        <v>2861</v>
      </c>
      <c r="H1324" s="8" t="str">
        <f>VLOOKUP(A1324,[1]BBDD!$B$1:$J$3274,9,FALSE)</f>
        <v>U</v>
      </c>
      <c r="I1324" s="8" t="s">
        <v>2861</v>
      </c>
      <c r="J1324" s="8" t="s">
        <v>1864</v>
      </c>
      <c r="L1324" s="8" t="s">
        <v>82</v>
      </c>
      <c r="N1324" s="8" t="s">
        <v>44</v>
      </c>
      <c r="Q1324" s="8" t="s">
        <v>32</v>
      </c>
      <c r="R1324" s="8">
        <v>15</v>
      </c>
      <c r="S1324" s="8">
        <v>14</v>
      </c>
      <c r="T1324" s="8">
        <f t="shared" si="135"/>
        <v>29</v>
      </c>
      <c r="U1324" s="8">
        <v>5</v>
      </c>
      <c r="V1324" s="8">
        <v>1</v>
      </c>
      <c r="W1324" s="8">
        <v>3</v>
      </c>
      <c r="X1324" s="8">
        <v>1</v>
      </c>
      <c r="Y1324" s="8">
        <v>0</v>
      </c>
      <c r="Z1324" s="8">
        <v>0</v>
      </c>
      <c r="AA1324" s="8">
        <v>180</v>
      </c>
      <c r="AB1324" s="9">
        <f t="shared" si="136"/>
        <v>1.6666666666666665</v>
      </c>
      <c r="AC1324" s="10">
        <f t="shared" si="133"/>
        <v>17.400000000000002</v>
      </c>
      <c r="AD1324" s="8" t="s">
        <v>33</v>
      </c>
      <c r="AE1324" s="11">
        <v>16990</v>
      </c>
      <c r="AF1324" s="11">
        <f t="shared" si="134"/>
        <v>492710</v>
      </c>
      <c r="AG1324" s="12" t="s">
        <v>64</v>
      </c>
      <c r="AH1324" s="8" t="s">
        <v>74</v>
      </c>
    </row>
    <row r="1325" spans="1:34">
      <c r="A1325" s="8" t="s">
        <v>1870</v>
      </c>
      <c r="B1325" s="16" t="s">
        <v>2859</v>
      </c>
      <c r="C1325" s="8" t="s">
        <v>27</v>
      </c>
      <c r="D1325" s="8" t="s">
        <v>1864</v>
      </c>
      <c r="E1325" s="8" t="str">
        <f t="shared" si="132"/>
        <v>ROJO</v>
      </c>
      <c r="G1325" s="8" t="s">
        <v>2861</v>
      </c>
      <c r="H1325" s="8" t="str">
        <f>VLOOKUP(A1325,[1]BBDD!$B$1:$J$3274,9,FALSE)</f>
        <v>U</v>
      </c>
      <c r="I1325" s="8" t="s">
        <v>2861</v>
      </c>
      <c r="J1325" s="8" t="s">
        <v>1864</v>
      </c>
      <c r="L1325" s="8" t="s">
        <v>82</v>
      </c>
      <c r="N1325" s="8" t="s">
        <v>88</v>
      </c>
      <c r="Q1325" s="8" t="s">
        <v>32</v>
      </c>
      <c r="R1325" s="8">
        <v>5</v>
      </c>
      <c r="S1325" s="8">
        <v>4</v>
      </c>
      <c r="T1325" s="8">
        <f t="shared" si="135"/>
        <v>9</v>
      </c>
      <c r="U1325" s="8">
        <v>5</v>
      </c>
      <c r="V1325" s="8">
        <v>2</v>
      </c>
      <c r="W1325" s="8">
        <v>3</v>
      </c>
      <c r="X1325" s="8">
        <v>0</v>
      </c>
      <c r="Y1325" s="8">
        <v>0</v>
      </c>
      <c r="Z1325" s="8">
        <v>0</v>
      </c>
      <c r="AA1325" s="8">
        <v>180</v>
      </c>
      <c r="AB1325" s="9">
        <f t="shared" si="136"/>
        <v>1.6666666666666665</v>
      </c>
      <c r="AC1325" s="10">
        <f t="shared" si="133"/>
        <v>5.4</v>
      </c>
      <c r="AD1325" s="8" t="s">
        <v>33</v>
      </c>
      <c r="AE1325" s="11">
        <v>16990</v>
      </c>
      <c r="AF1325" s="11">
        <f t="shared" si="134"/>
        <v>152910</v>
      </c>
      <c r="AG1325" s="12" t="s">
        <v>34</v>
      </c>
      <c r="AH1325" s="8" t="s">
        <v>35</v>
      </c>
    </row>
    <row r="1326" spans="1:34">
      <c r="A1326" s="8" t="s">
        <v>1871</v>
      </c>
      <c r="B1326" s="16" t="s">
        <v>2859</v>
      </c>
      <c r="C1326" s="8" t="s">
        <v>27</v>
      </c>
      <c r="D1326" s="8" t="s">
        <v>1864</v>
      </c>
      <c r="E1326" s="8" t="str">
        <f t="shared" si="132"/>
        <v>SUELA</v>
      </c>
      <c r="G1326" s="8" t="s">
        <v>2861</v>
      </c>
      <c r="H1326" s="8" t="str">
        <f>VLOOKUP(A1326,[1]BBDD!$B$1:$J$3274,9,FALSE)</f>
        <v>U</v>
      </c>
      <c r="I1326" s="8" t="s">
        <v>2861</v>
      </c>
      <c r="J1326" s="8" t="s">
        <v>1864</v>
      </c>
      <c r="L1326" s="8" t="s">
        <v>82</v>
      </c>
      <c r="N1326" s="8" t="s">
        <v>90</v>
      </c>
      <c r="Q1326" s="8" t="s">
        <v>32</v>
      </c>
      <c r="R1326" s="8">
        <v>6</v>
      </c>
      <c r="S1326" s="8">
        <v>8</v>
      </c>
      <c r="T1326" s="8">
        <f t="shared" si="135"/>
        <v>14</v>
      </c>
      <c r="U1326" s="8">
        <v>3</v>
      </c>
      <c r="V1326" s="8">
        <v>3</v>
      </c>
      <c r="W1326" s="8">
        <v>1</v>
      </c>
      <c r="X1326" s="8">
        <v>3</v>
      </c>
      <c r="Y1326" s="8">
        <v>0</v>
      </c>
      <c r="Z1326" s="8">
        <v>1</v>
      </c>
      <c r="AA1326" s="8">
        <v>180</v>
      </c>
      <c r="AB1326" s="9">
        <f t="shared" si="136"/>
        <v>1.8333333333333333</v>
      </c>
      <c r="AC1326" s="10">
        <f t="shared" si="133"/>
        <v>7.6363636363636367</v>
      </c>
      <c r="AD1326" s="8" t="s">
        <v>33</v>
      </c>
      <c r="AE1326" s="11">
        <v>16990</v>
      </c>
      <c r="AF1326" s="11">
        <f t="shared" si="134"/>
        <v>237860</v>
      </c>
      <c r="AG1326" s="12" t="s">
        <v>51</v>
      </c>
      <c r="AH1326" s="8" t="s">
        <v>65</v>
      </c>
    </row>
    <row r="1327" spans="1:34">
      <c r="A1327" s="8" t="s">
        <v>1872</v>
      </c>
      <c r="B1327" s="16" t="s">
        <v>2859</v>
      </c>
      <c r="C1327" s="8" t="s">
        <v>27</v>
      </c>
      <c r="D1327" s="8" t="s">
        <v>1864</v>
      </c>
      <c r="E1327" s="8" t="str">
        <f t="shared" si="132"/>
        <v>TABACO</v>
      </c>
      <c r="G1327" s="8" t="s">
        <v>2861</v>
      </c>
      <c r="H1327" s="8" t="str">
        <f>VLOOKUP(A1327,[1]BBDD!$B$1:$J$3274,9,FALSE)</f>
        <v>U</v>
      </c>
      <c r="I1327" s="8" t="s">
        <v>2861</v>
      </c>
      <c r="J1327" s="8" t="s">
        <v>1864</v>
      </c>
      <c r="L1327" s="8" t="s">
        <v>82</v>
      </c>
      <c r="N1327" s="8" t="s">
        <v>67</v>
      </c>
      <c r="Q1327" s="8" t="s">
        <v>32</v>
      </c>
      <c r="R1327" s="8">
        <v>5</v>
      </c>
      <c r="S1327" s="8">
        <v>9</v>
      </c>
      <c r="T1327" s="8">
        <f t="shared" si="135"/>
        <v>14</v>
      </c>
      <c r="U1327" s="8">
        <v>0</v>
      </c>
      <c r="V1327" s="8">
        <v>1</v>
      </c>
      <c r="W1327" s="8">
        <v>5</v>
      </c>
      <c r="X1327" s="8">
        <v>3</v>
      </c>
      <c r="Y1327" s="8">
        <v>5</v>
      </c>
      <c r="Z1327" s="8">
        <v>0</v>
      </c>
      <c r="AA1327" s="8">
        <v>180</v>
      </c>
      <c r="AB1327" s="9">
        <f t="shared" si="136"/>
        <v>2.3333333333333335</v>
      </c>
      <c r="AC1327" s="10">
        <f t="shared" si="133"/>
        <v>6</v>
      </c>
      <c r="AD1327" s="8" t="s">
        <v>33</v>
      </c>
      <c r="AE1327" s="11">
        <v>16990</v>
      </c>
      <c r="AF1327" s="11">
        <f t="shared" si="134"/>
        <v>237860</v>
      </c>
      <c r="AG1327" s="12" t="s">
        <v>34</v>
      </c>
      <c r="AH1327" s="8" t="s">
        <v>65</v>
      </c>
    </row>
    <row r="1328" spans="1:34">
      <c r="A1328" s="8" t="s">
        <v>1873</v>
      </c>
      <c r="B1328" s="16" t="s">
        <v>2860</v>
      </c>
      <c r="C1328" s="8" t="s">
        <v>248</v>
      </c>
      <c r="D1328" s="8" t="s">
        <v>490</v>
      </c>
      <c r="E1328" s="8" t="str">
        <f t="shared" si="132"/>
        <v>CARAMELO</v>
      </c>
      <c r="H1328" s="8" t="str">
        <f>VLOOKUP(A1328,[1]BBDD!$B$1:$J$3274,9,FALSE)</f>
        <v>U</v>
      </c>
      <c r="I1328" s="8" t="s">
        <v>2861</v>
      </c>
      <c r="J1328" s="8" t="s">
        <v>490</v>
      </c>
      <c r="L1328" s="8" t="s">
        <v>61</v>
      </c>
      <c r="N1328" s="8" t="s">
        <v>62</v>
      </c>
      <c r="Q1328" s="8" t="s">
        <v>32</v>
      </c>
      <c r="R1328" s="8">
        <v>2</v>
      </c>
      <c r="S1328" s="8">
        <v>5</v>
      </c>
      <c r="T1328" s="8">
        <f t="shared" si="135"/>
        <v>7</v>
      </c>
      <c r="U1328" s="8">
        <v>1</v>
      </c>
      <c r="V1328" s="8">
        <v>2</v>
      </c>
      <c r="W1328" s="8">
        <v>0</v>
      </c>
      <c r="X1328" s="8">
        <v>0</v>
      </c>
      <c r="Y1328" s="8">
        <v>1</v>
      </c>
      <c r="Z1328" s="8">
        <v>0</v>
      </c>
      <c r="AA1328" s="8">
        <v>180</v>
      </c>
      <c r="AB1328" s="9">
        <f t="shared" si="136"/>
        <v>0.66666666666666674</v>
      </c>
      <c r="AC1328" s="10">
        <f t="shared" si="133"/>
        <v>10.499999999999998</v>
      </c>
      <c r="AD1328" s="8" t="s">
        <v>33</v>
      </c>
      <c r="AE1328" s="11">
        <v>119990</v>
      </c>
      <c r="AF1328" s="11">
        <f t="shared" si="134"/>
        <v>839930</v>
      </c>
      <c r="AG1328" s="12" t="s">
        <v>51</v>
      </c>
      <c r="AH1328" s="8" t="s">
        <v>35</v>
      </c>
    </row>
    <row r="1329" spans="1:34">
      <c r="A1329" s="8" t="s">
        <v>1874</v>
      </c>
      <c r="B1329" s="16" t="s">
        <v>2860</v>
      </c>
      <c r="C1329" s="8" t="s">
        <v>248</v>
      </c>
      <c r="D1329" s="8" t="s">
        <v>490</v>
      </c>
      <c r="E1329" s="8" t="str">
        <f t="shared" si="132"/>
        <v>NEGRO</v>
      </c>
      <c r="H1329" s="8" t="str">
        <f>VLOOKUP(A1329,[1]BBDD!$B$1:$J$3274,9,FALSE)</f>
        <v>U</v>
      </c>
      <c r="I1329" s="8" t="s">
        <v>2861</v>
      </c>
      <c r="J1329" s="8" t="s">
        <v>490</v>
      </c>
      <c r="L1329" s="8" t="s">
        <v>61</v>
      </c>
      <c r="N1329" s="8" t="s">
        <v>44</v>
      </c>
      <c r="Q1329" s="8" t="s">
        <v>32</v>
      </c>
      <c r="R1329" s="8">
        <v>4</v>
      </c>
      <c r="S1329" s="8">
        <v>3</v>
      </c>
      <c r="T1329" s="8">
        <f t="shared" si="135"/>
        <v>7</v>
      </c>
      <c r="U1329" s="8">
        <v>4</v>
      </c>
      <c r="V1329" s="8">
        <v>0</v>
      </c>
      <c r="W1329" s="8">
        <v>0</v>
      </c>
      <c r="X1329" s="8">
        <v>1</v>
      </c>
      <c r="Y1329" s="8">
        <v>0</v>
      </c>
      <c r="Z1329" s="8">
        <v>1</v>
      </c>
      <c r="AA1329" s="8">
        <v>180</v>
      </c>
      <c r="AB1329" s="9">
        <f t="shared" si="136"/>
        <v>1</v>
      </c>
      <c r="AC1329" s="10">
        <f t="shared" si="133"/>
        <v>7</v>
      </c>
      <c r="AD1329" s="8" t="s">
        <v>33</v>
      </c>
      <c r="AE1329" s="11">
        <v>119990</v>
      </c>
      <c r="AF1329" s="11">
        <f t="shared" si="134"/>
        <v>839930</v>
      </c>
      <c r="AG1329" s="12" t="s">
        <v>51</v>
      </c>
      <c r="AH1329" s="8" t="s">
        <v>35</v>
      </c>
    </row>
    <row r="1330" spans="1:34">
      <c r="A1330" s="8" t="s">
        <v>1875</v>
      </c>
      <c r="B1330" s="16" t="s">
        <v>2860</v>
      </c>
      <c r="C1330" s="8" t="s">
        <v>248</v>
      </c>
      <c r="D1330" s="8" t="s">
        <v>490</v>
      </c>
      <c r="E1330" s="8" t="str">
        <f t="shared" si="132"/>
        <v>TABACO</v>
      </c>
      <c r="H1330" s="8" t="str">
        <f>VLOOKUP(A1330,[1]BBDD!$B$1:$J$3274,9,FALSE)</f>
        <v>U</v>
      </c>
      <c r="I1330" s="8" t="s">
        <v>2861</v>
      </c>
      <c r="J1330" s="8" t="s">
        <v>490</v>
      </c>
      <c r="L1330" s="8" t="s">
        <v>61</v>
      </c>
      <c r="N1330" s="8" t="s">
        <v>67</v>
      </c>
      <c r="Q1330" s="8" t="s">
        <v>32</v>
      </c>
      <c r="R1330" s="8">
        <v>3</v>
      </c>
      <c r="S1330" s="8">
        <v>4</v>
      </c>
      <c r="T1330" s="8">
        <f t="shared" si="135"/>
        <v>7</v>
      </c>
      <c r="U1330" s="8">
        <v>4</v>
      </c>
      <c r="V1330" s="8">
        <v>0</v>
      </c>
      <c r="W1330" s="8">
        <v>0</v>
      </c>
      <c r="X1330" s="8">
        <v>0</v>
      </c>
      <c r="Y1330" s="8">
        <v>0</v>
      </c>
      <c r="Z1330" s="8">
        <v>1</v>
      </c>
      <c r="AA1330" s="8">
        <v>180</v>
      </c>
      <c r="AB1330" s="9">
        <f t="shared" si="136"/>
        <v>0.83333333333333326</v>
      </c>
      <c r="AC1330" s="10">
        <f t="shared" si="133"/>
        <v>8.4</v>
      </c>
      <c r="AD1330" s="8" t="s">
        <v>33</v>
      </c>
      <c r="AE1330" s="11">
        <v>119990</v>
      </c>
      <c r="AF1330" s="11">
        <f t="shared" si="134"/>
        <v>839930</v>
      </c>
      <c r="AG1330" s="12" t="s">
        <v>51</v>
      </c>
      <c r="AH1330" s="8" t="s">
        <v>35</v>
      </c>
    </row>
    <row r="1331" spans="1:34">
      <c r="A1331" s="8" t="s">
        <v>1876</v>
      </c>
      <c r="B1331" s="16" t="s">
        <v>2860</v>
      </c>
      <c r="C1331" s="8" t="s">
        <v>248</v>
      </c>
      <c r="D1331" s="8" t="s">
        <v>490</v>
      </c>
      <c r="E1331" s="8" t="str">
        <f t="shared" si="132"/>
        <v>SUELA</v>
      </c>
      <c r="H1331" s="8" t="str">
        <f>VLOOKUP(A1331,[1]BBDD!$B$1:$J$3274,9,FALSE)</f>
        <v>U</v>
      </c>
      <c r="I1331" s="8" t="s">
        <v>2861</v>
      </c>
      <c r="J1331" s="8" t="s">
        <v>490</v>
      </c>
      <c r="L1331" s="8" t="s">
        <v>61</v>
      </c>
      <c r="N1331" s="8" t="s">
        <v>90</v>
      </c>
      <c r="Q1331" s="8" t="s">
        <v>45</v>
      </c>
      <c r="R1331" s="8">
        <v>0</v>
      </c>
      <c r="S1331" s="8">
        <v>4</v>
      </c>
      <c r="T1331" s="8">
        <f t="shared" si="135"/>
        <v>4</v>
      </c>
      <c r="U1331" s="8">
        <v>1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180</v>
      </c>
      <c r="AB1331" s="9">
        <f t="shared" si="136"/>
        <v>0.16666666666666669</v>
      </c>
      <c r="AC1331" s="10">
        <f t="shared" si="133"/>
        <v>23.999999999999996</v>
      </c>
      <c r="AD1331" s="8" t="s">
        <v>109</v>
      </c>
      <c r="AE1331" s="11">
        <v>119990</v>
      </c>
      <c r="AF1331" s="11">
        <f t="shared" si="134"/>
        <v>479960</v>
      </c>
      <c r="AG1331" s="12" t="s">
        <v>64</v>
      </c>
      <c r="AH1331" s="8" t="s">
        <v>35</v>
      </c>
    </row>
    <row r="1332" spans="1:34">
      <c r="A1332" s="8" t="s">
        <v>1877</v>
      </c>
      <c r="B1332" s="16" t="s">
        <v>2859</v>
      </c>
      <c r="C1332" s="8" t="s">
        <v>248</v>
      </c>
      <c r="D1332" s="8" t="s">
        <v>490</v>
      </c>
      <c r="E1332" s="8" t="str">
        <f t="shared" si="132"/>
        <v>ROJO</v>
      </c>
      <c r="H1332" s="8" t="str">
        <f>VLOOKUP(A1332,[1]BBDD!$B$1:$J$3274,9,FALSE)</f>
        <v>M</v>
      </c>
      <c r="I1332" s="19" t="s">
        <v>2862</v>
      </c>
      <c r="J1332" s="8" t="s">
        <v>1878</v>
      </c>
      <c r="L1332" s="8" t="s">
        <v>61</v>
      </c>
      <c r="N1332" s="8" t="s">
        <v>88</v>
      </c>
      <c r="Q1332" s="8" t="s">
        <v>32</v>
      </c>
      <c r="R1332" s="8">
        <v>2</v>
      </c>
      <c r="S1332" s="8">
        <v>4</v>
      </c>
      <c r="T1332" s="8">
        <f t="shared" si="135"/>
        <v>6</v>
      </c>
      <c r="U1332" s="8">
        <v>1</v>
      </c>
      <c r="V1332" s="8">
        <v>1</v>
      </c>
      <c r="W1332" s="8">
        <v>1</v>
      </c>
      <c r="X1332" s="8">
        <v>0</v>
      </c>
      <c r="Y1332" s="8">
        <v>0</v>
      </c>
      <c r="Z1332" s="8">
        <v>0</v>
      </c>
      <c r="AA1332" s="8">
        <v>180</v>
      </c>
      <c r="AB1332" s="9">
        <f t="shared" si="136"/>
        <v>0.5</v>
      </c>
      <c r="AC1332" s="10">
        <f t="shared" si="133"/>
        <v>12</v>
      </c>
      <c r="AD1332" s="8" t="s">
        <v>33</v>
      </c>
      <c r="AE1332" s="11">
        <v>64990</v>
      </c>
      <c r="AF1332" s="11">
        <f t="shared" si="134"/>
        <v>389940</v>
      </c>
      <c r="AG1332" s="12" t="s">
        <v>51</v>
      </c>
      <c r="AH1332" s="8" t="s">
        <v>35</v>
      </c>
    </row>
    <row r="1333" spans="1:34">
      <c r="A1333" s="8" t="s">
        <v>1879</v>
      </c>
      <c r="B1333" s="16" t="s">
        <v>2859</v>
      </c>
      <c r="C1333" s="8" t="s">
        <v>248</v>
      </c>
      <c r="D1333" s="8" t="s">
        <v>490</v>
      </c>
      <c r="E1333" s="8" t="str">
        <f t="shared" si="132"/>
        <v>TABACO</v>
      </c>
      <c r="H1333" s="8" t="str">
        <f>VLOOKUP(A1333,[1]BBDD!$B$1:$J$3274,9,FALSE)</f>
        <v>M</v>
      </c>
      <c r="I1333" s="19" t="s">
        <v>2862</v>
      </c>
      <c r="J1333" s="8" t="s">
        <v>1878</v>
      </c>
      <c r="L1333" s="8" t="s">
        <v>61</v>
      </c>
      <c r="N1333" s="8" t="s">
        <v>67</v>
      </c>
      <c r="Q1333" s="8" t="s">
        <v>32</v>
      </c>
      <c r="R1333" s="8">
        <v>0</v>
      </c>
      <c r="S1333" s="8">
        <v>4</v>
      </c>
      <c r="T1333" s="8">
        <f t="shared" si="135"/>
        <v>4</v>
      </c>
      <c r="U1333" s="8">
        <v>0</v>
      </c>
      <c r="V1333" s="8">
        <v>1</v>
      </c>
      <c r="W1333" s="8">
        <v>0</v>
      </c>
      <c r="X1333" s="8">
        <v>0</v>
      </c>
      <c r="Y1333" s="8">
        <v>0</v>
      </c>
      <c r="Z1333" s="8">
        <v>0</v>
      </c>
      <c r="AA1333" s="8">
        <v>180</v>
      </c>
      <c r="AB1333" s="9">
        <f t="shared" si="136"/>
        <v>0.16666666666666669</v>
      </c>
      <c r="AC1333" s="10">
        <f t="shared" si="133"/>
        <v>23.999999999999996</v>
      </c>
      <c r="AD1333" s="8" t="s">
        <v>33</v>
      </c>
      <c r="AE1333" s="11">
        <v>64990</v>
      </c>
      <c r="AF1333" s="11">
        <f t="shared" si="134"/>
        <v>259960</v>
      </c>
      <c r="AG1333" s="12" t="s">
        <v>64</v>
      </c>
      <c r="AH1333" s="8" t="s">
        <v>35</v>
      </c>
    </row>
    <row r="1334" spans="1:34">
      <c r="A1334" s="8" t="s">
        <v>1880</v>
      </c>
      <c r="B1334" s="16" t="s">
        <v>2859</v>
      </c>
      <c r="C1334" s="8" t="s">
        <v>248</v>
      </c>
      <c r="D1334" s="8" t="s">
        <v>490</v>
      </c>
      <c r="E1334" s="8" t="str">
        <f t="shared" si="132"/>
        <v>CARAMELO</v>
      </c>
      <c r="H1334" s="8" t="str">
        <f>VLOOKUP(A1334,[1]BBDD!$B$1:$J$3274,9,FALSE)</f>
        <v>M</v>
      </c>
      <c r="I1334" s="19" t="s">
        <v>2862</v>
      </c>
      <c r="J1334" s="8" t="s">
        <v>1878</v>
      </c>
      <c r="L1334" s="8" t="s">
        <v>61</v>
      </c>
      <c r="N1334" s="8" t="s">
        <v>62</v>
      </c>
      <c r="Q1334" s="8" t="s">
        <v>45</v>
      </c>
      <c r="R1334" s="8">
        <v>0</v>
      </c>
      <c r="S1334" s="8">
        <v>9</v>
      </c>
      <c r="T1334" s="8">
        <f t="shared" si="135"/>
        <v>9</v>
      </c>
      <c r="U1334" s="8">
        <v>2</v>
      </c>
      <c r="V1334" s="8">
        <v>0</v>
      </c>
      <c r="W1334" s="8">
        <v>0</v>
      </c>
      <c r="X1334" s="8">
        <v>2</v>
      </c>
      <c r="Y1334" s="8">
        <v>0</v>
      </c>
      <c r="Z1334" s="8">
        <v>0</v>
      </c>
      <c r="AA1334" s="8">
        <v>180</v>
      </c>
      <c r="AB1334" s="9">
        <f t="shared" si="136"/>
        <v>0.66666666666666674</v>
      </c>
      <c r="AC1334" s="10">
        <f t="shared" si="133"/>
        <v>13.499999999999998</v>
      </c>
      <c r="AD1334" s="8" t="s">
        <v>109</v>
      </c>
      <c r="AE1334" s="11">
        <v>64990</v>
      </c>
      <c r="AF1334" s="11">
        <f t="shared" si="134"/>
        <v>584910</v>
      </c>
      <c r="AG1334" s="12" t="s">
        <v>64</v>
      </c>
      <c r="AH1334" s="8" t="s">
        <v>35</v>
      </c>
    </row>
    <row r="1335" spans="1:34">
      <c r="A1335" s="8" t="s">
        <v>1881</v>
      </c>
      <c r="B1335" s="16" t="s">
        <v>2859</v>
      </c>
      <c r="C1335" s="8" t="s">
        <v>248</v>
      </c>
      <c r="D1335" s="8" t="s">
        <v>490</v>
      </c>
      <c r="E1335" s="8" t="str">
        <f t="shared" si="132"/>
        <v>NEGRO</v>
      </c>
      <c r="H1335" s="8" t="str">
        <f>VLOOKUP(A1335,[1]BBDD!$B$1:$J$3274,9,FALSE)</f>
        <v>M</v>
      </c>
      <c r="I1335" s="19" t="s">
        <v>2862</v>
      </c>
      <c r="J1335" s="8" t="s">
        <v>1878</v>
      </c>
      <c r="L1335" s="8" t="s">
        <v>61</v>
      </c>
      <c r="N1335" s="8" t="s">
        <v>44</v>
      </c>
      <c r="Q1335" s="8" t="s">
        <v>45</v>
      </c>
      <c r="R1335" s="8">
        <v>2</v>
      </c>
      <c r="S1335" s="8">
        <v>6</v>
      </c>
      <c r="T1335" s="8">
        <f t="shared" si="135"/>
        <v>8</v>
      </c>
      <c r="U1335" s="8">
        <v>1</v>
      </c>
      <c r="V1335" s="8">
        <v>1</v>
      </c>
      <c r="W1335" s="8">
        <v>1</v>
      </c>
      <c r="X1335" s="8">
        <v>1</v>
      </c>
      <c r="Y1335" s="8">
        <v>0</v>
      </c>
      <c r="Z1335" s="8">
        <v>0</v>
      </c>
      <c r="AA1335" s="8">
        <v>180</v>
      </c>
      <c r="AB1335" s="9">
        <f t="shared" si="136"/>
        <v>0.66666666666666674</v>
      </c>
      <c r="AC1335" s="10">
        <f t="shared" si="133"/>
        <v>11.999999999999998</v>
      </c>
      <c r="AD1335" s="8" t="s">
        <v>109</v>
      </c>
      <c r="AE1335" s="11">
        <v>64990</v>
      </c>
      <c r="AF1335" s="11">
        <f t="shared" si="134"/>
        <v>519920</v>
      </c>
      <c r="AG1335" s="12" t="s">
        <v>51</v>
      </c>
      <c r="AH1335" s="8" t="s">
        <v>35</v>
      </c>
    </row>
    <row r="1336" spans="1:34">
      <c r="A1336" s="8" t="s">
        <v>1882</v>
      </c>
      <c r="B1336" s="16" t="s">
        <v>2859</v>
      </c>
      <c r="C1336" s="8" t="s">
        <v>248</v>
      </c>
      <c r="D1336" s="8" t="s">
        <v>490</v>
      </c>
      <c r="E1336" s="8" t="str">
        <f t="shared" si="132"/>
        <v>CARAMELO</v>
      </c>
      <c r="H1336" s="8" t="str">
        <f>VLOOKUP(A1336,[1]BBDD!$B$1:$J$3274,9,FALSE)</f>
        <v>M</v>
      </c>
      <c r="I1336" s="19" t="s">
        <v>2862</v>
      </c>
      <c r="J1336" s="8" t="s">
        <v>1878</v>
      </c>
      <c r="L1336" s="8" t="s">
        <v>238</v>
      </c>
      <c r="N1336" s="8" t="s">
        <v>62</v>
      </c>
      <c r="Q1336" s="8" t="s">
        <v>32</v>
      </c>
      <c r="R1336" s="8">
        <v>0</v>
      </c>
      <c r="S1336" s="8">
        <v>3</v>
      </c>
      <c r="T1336" s="8">
        <f t="shared" si="135"/>
        <v>3</v>
      </c>
      <c r="U1336" s="8">
        <v>1</v>
      </c>
      <c r="V1336" s="8">
        <v>2</v>
      </c>
      <c r="W1336" s="8">
        <v>1</v>
      </c>
      <c r="X1336" s="8">
        <v>2</v>
      </c>
      <c r="Y1336" s="8">
        <v>0</v>
      </c>
      <c r="Z1336" s="8">
        <v>1</v>
      </c>
      <c r="AA1336" s="8">
        <v>180</v>
      </c>
      <c r="AB1336" s="9">
        <f t="shared" si="136"/>
        <v>1.1666666666666667</v>
      </c>
      <c r="AC1336" s="10">
        <f t="shared" si="133"/>
        <v>2.5714285714285712</v>
      </c>
      <c r="AD1336" s="8" t="s">
        <v>33</v>
      </c>
      <c r="AE1336" s="11">
        <v>64990</v>
      </c>
      <c r="AF1336" s="11">
        <f t="shared" si="134"/>
        <v>194970</v>
      </c>
      <c r="AG1336" s="12" t="s">
        <v>34</v>
      </c>
      <c r="AH1336" s="8" t="s">
        <v>35</v>
      </c>
    </row>
    <row r="1337" spans="1:34">
      <c r="A1337" s="8" t="s">
        <v>1883</v>
      </c>
      <c r="B1337" s="16" t="s">
        <v>2859</v>
      </c>
      <c r="C1337" s="8" t="s">
        <v>248</v>
      </c>
      <c r="D1337" s="8" t="s">
        <v>490</v>
      </c>
      <c r="E1337" s="8" t="str">
        <f t="shared" si="132"/>
        <v>NEGRO</v>
      </c>
      <c r="H1337" s="8" t="str">
        <f>VLOOKUP(A1337,[1]BBDD!$B$1:$J$3274,9,FALSE)</f>
        <v>M</v>
      </c>
      <c r="I1337" s="19" t="s">
        <v>2862</v>
      </c>
      <c r="J1337" s="8" t="s">
        <v>1878</v>
      </c>
      <c r="L1337" s="8" t="s">
        <v>238</v>
      </c>
      <c r="N1337" s="8" t="s">
        <v>44</v>
      </c>
      <c r="Q1337" s="8" t="s">
        <v>32</v>
      </c>
      <c r="R1337" s="8">
        <v>1</v>
      </c>
      <c r="S1337" s="8">
        <v>8</v>
      </c>
      <c r="T1337" s="8">
        <f t="shared" si="135"/>
        <v>9</v>
      </c>
      <c r="U1337" s="8">
        <v>0</v>
      </c>
      <c r="V1337" s="8">
        <v>1</v>
      </c>
      <c r="W1337" s="8">
        <v>0</v>
      </c>
      <c r="X1337" s="8">
        <v>0</v>
      </c>
      <c r="Y1337" s="8">
        <v>0</v>
      </c>
      <c r="Z1337" s="8">
        <v>0</v>
      </c>
      <c r="AA1337" s="8">
        <v>180</v>
      </c>
      <c r="AB1337" s="9">
        <f t="shared" si="136"/>
        <v>0.16666666666666669</v>
      </c>
      <c r="AC1337" s="10">
        <f t="shared" si="133"/>
        <v>53.999999999999993</v>
      </c>
      <c r="AD1337" s="8" t="s">
        <v>33</v>
      </c>
      <c r="AE1337" s="11">
        <v>64990</v>
      </c>
      <c r="AF1337" s="11">
        <f t="shared" si="134"/>
        <v>584910</v>
      </c>
      <c r="AG1337" s="12" t="s">
        <v>73</v>
      </c>
      <c r="AH1337" s="8" t="s">
        <v>35</v>
      </c>
    </row>
    <row r="1338" spans="1:34">
      <c r="A1338" s="8" t="s">
        <v>1884</v>
      </c>
      <c r="B1338" s="16" t="s">
        <v>2859</v>
      </c>
      <c r="C1338" s="8" t="s">
        <v>248</v>
      </c>
      <c r="D1338" s="8" t="s">
        <v>490</v>
      </c>
      <c r="E1338" s="8" t="str">
        <f t="shared" si="132"/>
        <v>ROJO</v>
      </c>
      <c r="H1338" s="8" t="str">
        <f>VLOOKUP(A1338,[1]BBDD!$B$1:$J$3274,9,FALSE)</f>
        <v>M</v>
      </c>
      <c r="I1338" s="19" t="s">
        <v>2862</v>
      </c>
      <c r="J1338" s="8" t="s">
        <v>1878</v>
      </c>
      <c r="L1338" s="8" t="s">
        <v>238</v>
      </c>
      <c r="N1338" s="8" t="s">
        <v>88</v>
      </c>
      <c r="Q1338" s="8" t="s">
        <v>32</v>
      </c>
      <c r="R1338" s="8">
        <v>0</v>
      </c>
      <c r="S1338" s="8">
        <v>1</v>
      </c>
      <c r="T1338" s="8">
        <f t="shared" si="135"/>
        <v>1</v>
      </c>
      <c r="U1338" s="8">
        <v>1</v>
      </c>
      <c r="V1338" s="8">
        <v>1</v>
      </c>
      <c r="W1338" s="8">
        <v>6</v>
      </c>
      <c r="X1338" s="8">
        <v>1</v>
      </c>
      <c r="Y1338" s="8">
        <v>1</v>
      </c>
      <c r="Z1338" s="8">
        <v>1</v>
      </c>
      <c r="AA1338" s="8">
        <v>180</v>
      </c>
      <c r="AB1338" s="9">
        <f t="shared" si="136"/>
        <v>1.8333333333333333</v>
      </c>
      <c r="AC1338" s="10">
        <f t="shared" si="133"/>
        <v>0.54545454545454553</v>
      </c>
      <c r="AD1338" s="8" t="s">
        <v>33</v>
      </c>
      <c r="AE1338" s="11">
        <v>64990</v>
      </c>
      <c r="AF1338" s="11">
        <f t="shared" si="134"/>
        <v>64990</v>
      </c>
      <c r="AG1338" s="12" t="s">
        <v>34</v>
      </c>
      <c r="AH1338" s="8" t="s">
        <v>35</v>
      </c>
    </row>
    <row r="1339" spans="1:34">
      <c r="A1339" s="8" t="s">
        <v>1885</v>
      </c>
      <c r="B1339" s="16" t="s">
        <v>2859</v>
      </c>
      <c r="C1339" s="8" t="s">
        <v>248</v>
      </c>
      <c r="D1339" s="8" t="s">
        <v>490</v>
      </c>
      <c r="E1339" s="8" t="str">
        <f t="shared" si="132"/>
        <v>ROJO</v>
      </c>
      <c r="H1339" s="8" t="str">
        <f>VLOOKUP(A1339,[1]BBDD!$B$1:$J$3274,9,FALSE)</f>
        <v>M</v>
      </c>
      <c r="I1339" s="19" t="s">
        <v>2862</v>
      </c>
      <c r="J1339" s="8" t="s">
        <v>1886</v>
      </c>
      <c r="L1339" s="8" t="s">
        <v>61</v>
      </c>
      <c r="N1339" s="8" t="s">
        <v>88</v>
      </c>
      <c r="Q1339" s="8" t="s">
        <v>45</v>
      </c>
      <c r="R1339" s="8">
        <v>2</v>
      </c>
      <c r="S1339" s="8">
        <v>7</v>
      </c>
      <c r="T1339" s="8">
        <f t="shared" si="135"/>
        <v>9</v>
      </c>
      <c r="U1339" s="8">
        <v>0</v>
      </c>
      <c r="V1339" s="8">
        <v>0</v>
      </c>
      <c r="W1339" s="8">
        <v>0</v>
      </c>
      <c r="X1339" s="8">
        <v>0</v>
      </c>
      <c r="Y1339" s="8">
        <v>1</v>
      </c>
      <c r="Z1339" s="8">
        <v>0</v>
      </c>
      <c r="AA1339" s="8">
        <v>180</v>
      </c>
      <c r="AB1339" s="9">
        <f t="shared" si="136"/>
        <v>0.16666666666666669</v>
      </c>
      <c r="AC1339" s="10">
        <f t="shared" si="133"/>
        <v>53.999999999999993</v>
      </c>
      <c r="AD1339" s="8" t="s">
        <v>109</v>
      </c>
      <c r="AE1339" s="11">
        <v>94990</v>
      </c>
      <c r="AF1339" s="11">
        <f t="shared" si="134"/>
        <v>854910</v>
      </c>
      <c r="AG1339" s="12" t="s">
        <v>73</v>
      </c>
      <c r="AH1339" s="8" t="s">
        <v>35</v>
      </c>
    </row>
    <row r="1340" spans="1:34">
      <c r="A1340" s="8" t="s">
        <v>1887</v>
      </c>
      <c r="B1340" s="16" t="s">
        <v>2860</v>
      </c>
      <c r="C1340" s="8" t="s">
        <v>248</v>
      </c>
      <c r="D1340" s="8" t="s">
        <v>490</v>
      </c>
      <c r="E1340" s="8" t="str">
        <f t="shared" si="132"/>
        <v>CARAMELO</v>
      </c>
      <c r="H1340" s="8" t="str">
        <f>VLOOKUP(A1340,[1]BBDD!$B$1:$J$3274,9,FALSE)</f>
        <v>U</v>
      </c>
      <c r="I1340" s="8" t="s">
        <v>2861</v>
      </c>
      <c r="J1340" s="8" t="s">
        <v>1888</v>
      </c>
      <c r="L1340" s="8" t="s">
        <v>61</v>
      </c>
      <c r="N1340" s="8" t="s">
        <v>62</v>
      </c>
      <c r="Q1340" s="8" t="s">
        <v>32</v>
      </c>
      <c r="R1340" s="8">
        <v>3</v>
      </c>
      <c r="S1340" s="8">
        <v>8</v>
      </c>
      <c r="T1340" s="8">
        <f t="shared" ref="T1340:T1375" si="137">SUM(R1340:S1340)</f>
        <v>11</v>
      </c>
      <c r="U1340" s="8">
        <v>5</v>
      </c>
      <c r="V1340" s="8">
        <v>1</v>
      </c>
      <c r="W1340" s="8">
        <v>4</v>
      </c>
      <c r="X1340" s="8">
        <v>0</v>
      </c>
      <c r="Y1340" s="8">
        <v>2</v>
      </c>
      <c r="Z1340" s="8">
        <v>0</v>
      </c>
      <c r="AA1340" s="8">
        <v>180</v>
      </c>
      <c r="AB1340" s="9">
        <f t="shared" ref="AB1340:AB1375" si="138">SUM(U1340:Z1340)/AA1340*30</f>
        <v>2</v>
      </c>
      <c r="AC1340" s="10">
        <f t="shared" si="133"/>
        <v>5.5</v>
      </c>
      <c r="AD1340" s="8" t="s">
        <v>33</v>
      </c>
      <c r="AE1340" s="11">
        <v>94990</v>
      </c>
      <c r="AF1340" s="11">
        <f t="shared" si="134"/>
        <v>1044890</v>
      </c>
      <c r="AG1340" s="12" t="s">
        <v>34</v>
      </c>
      <c r="AH1340" s="8" t="s">
        <v>65</v>
      </c>
    </row>
    <row r="1341" spans="1:34">
      <c r="A1341" s="8" t="s">
        <v>1889</v>
      </c>
      <c r="B1341" s="16" t="s">
        <v>2860</v>
      </c>
      <c r="C1341" s="8" t="s">
        <v>248</v>
      </c>
      <c r="D1341" s="8" t="s">
        <v>490</v>
      </c>
      <c r="E1341" s="8" t="str">
        <f t="shared" si="132"/>
        <v>NEGRO</v>
      </c>
      <c r="H1341" s="8" t="str">
        <f>VLOOKUP(A1341,[1]BBDD!$B$1:$J$3274,9,FALSE)</f>
        <v>U</v>
      </c>
      <c r="I1341" s="8" t="s">
        <v>2861</v>
      </c>
      <c r="J1341" s="8" t="s">
        <v>1888</v>
      </c>
      <c r="L1341" s="8" t="s">
        <v>61</v>
      </c>
      <c r="N1341" s="8" t="s">
        <v>44</v>
      </c>
      <c r="Q1341" s="8" t="s">
        <v>32</v>
      </c>
      <c r="R1341" s="8">
        <v>13</v>
      </c>
      <c r="S1341" s="8">
        <v>6</v>
      </c>
      <c r="T1341" s="8">
        <f t="shared" si="137"/>
        <v>19</v>
      </c>
      <c r="U1341" s="8">
        <v>1</v>
      </c>
      <c r="V1341" s="8">
        <v>2</v>
      </c>
      <c r="W1341" s="8">
        <v>0</v>
      </c>
      <c r="X1341" s="8">
        <v>2</v>
      </c>
      <c r="Y1341" s="8">
        <v>0</v>
      </c>
      <c r="Z1341" s="8">
        <v>1</v>
      </c>
      <c r="AA1341" s="8">
        <v>180</v>
      </c>
      <c r="AB1341" s="9">
        <f t="shared" si="138"/>
        <v>1</v>
      </c>
      <c r="AC1341" s="10">
        <f t="shared" si="133"/>
        <v>19</v>
      </c>
      <c r="AD1341" s="8" t="s">
        <v>33</v>
      </c>
      <c r="AE1341" s="11">
        <v>94990</v>
      </c>
      <c r="AF1341" s="11">
        <f t="shared" si="134"/>
        <v>1804810</v>
      </c>
      <c r="AG1341" s="12" t="s">
        <v>64</v>
      </c>
      <c r="AH1341" s="8" t="s">
        <v>65</v>
      </c>
    </row>
    <row r="1342" spans="1:34">
      <c r="A1342" s="8" t="s">
        <v>1890</v>
      </c>
      <c r="B1342" s="16" t="s">
        <v>2860</v>
      </c>
      <c r="C1342" s="8" t="s">
        <v>248</v>
      </c>
      <c r="D1342" s="8" t="s">
        <v>490</v>
      </c>
      <c r="E1342" s="8" t="str">
        <f t="shared" si="132"/>
        <v>TABACO</v>
      </c>
      <c r="H1342" s="8" t="str">
        <f>VLOOKUP(A1342,[1]BBDD!$B$1:$J$3274,9,FALSE)</f>
        <v>U</v>
      </c>
      <c r="I1342" s="8" t="s">
        <v>2861</v>
      </c>
      <c r="J1342" s="8" t="s">
        <v>1888</v>
      </c>
      <c r="L1342" s="8" t="s">
        <v>61</v>
      </c>
      <c r="N1342" s="8" t="s">
        <v>67</v>
      </c>
      <c r="Q1342" s="8" t="s">
        <v>32</v>
      </c>
      <c r="R1342" s="8">
        <v>0</v>
      </c>
      <c r="S1342" s="8">
        <v>4</v>
      </c>
      <c r="T1342" s="8">
        <f t="shared" si="137"/>
        <v>4</v>
      </c>
      <c r="U1342" s="8">
        <v>2</v>
      </c>
      <c r="V1342" s="8">
        <v>2</v>
      </c>
      <c r="W1342" s="8">
        <v>4</v>
      </c>
      <c r="X1342" s="8">
        <v>1</v>
      </c>
      <c r="Y1342" s="8">
        <v>2</v>
      </c>
      <c r="Z1342" s="8">
        <v>2</v>
      </c>
      <c r="AA1342" s="8">
        <v>180</v>
      </c>
      <c r="AB1342" s="9">
        <f t="shared" si="138"/>
        <v>2.1666666666666665</v>
      </c>
      <c r="AC1342" s="10">
        <f t="shared" si="133"/>
        <v>1.8461538461538463</v>
      </c>
      <c r="AD1342" s="8" t="s">
        <v>33</v>
      </c>
      <c r="AE1342" s="11">
        <v>94990</v>
      </c>
      <c r="AF1342" s="11">
        <f t="shared" si="134"/>
        <v>379960</v>
      </c>
      <c r="AG1342" s="12" t="s">
        <v>34</v>
      </c>
      <c r="AH1342" s="8" t="s">
        <v>35</v>
      </c>
    </row>
    <row r="1343" spans="1:34">
      <c r="A1343" s="8" t="s">
        <v>1891</v>
      </c>
      <c r="B1343" s="16" t="s">
        <v>2860</v>
      </c>
      <c r="C1343" s="8" t="s">
        <v>248</v>
      </c>
      <c r="D1343" s="8" t="s">
        <v>490</v>
      </c>
      <c r="E1343" s="8" t="str">
        <f t="shared" si="132"/>
        <v>CEDRO</v>
      </c>
      <c r="H1343" s="8" t="str">
        <f>VLOOKUP(A1343,[1]BBDD!$B$1:$J$3274,9,FALSE)</f>
        <v>U</v>
      </c>
      <c r="I1343" s="8" t="s">
        <v>2861</v>
      </c>
      <c r="J1343" s="8" t="s">
        <v>1888</v>
      </c>
      <c r="L1343" s="8" t="s">
        <v>112</v>
      </c>
      <c r="N1343" s="8" t="s">
        <v>113</v>
      </c>
      <c r="Q1343" s="8" t="s">
        <v>32</v>
      </c>
      <c r="R1343" s="8">
        <v>2</v>
      </c>
      <c r="S1343" s="8">
        <v>5</v>
      </c>
      <c r="T1343" s="8">
        <f t="shared" si="137"/>
        <v>7</v>
      </c>
      <c r="U1343" s="8">
        <v>3</v>
      </c>
      <c r="V1343" s="8">
        <v>0</v>
      </c>
      <c r="W1343" s="8">
        <v>4</v>
      </c>
      <c r="X1343" s="8">
        <v>1</v>
      </c>
      <c r="Y1343" s="8">
        <v>2</v>
      </c>
      <c r="Z1343" s="8">
        <v>3</v>
      </c>
      <c r="AA1343" s="8">
        <v>180</v>
      </c>
      <c r="AB1343" s="9">
        <f t="shared" si="138"/>
        <v>2.1666666666666665</v>
      </c>
      <c r="AC1343" s="10">
        <f t="shared" si="133"/>
        <v>3.2307692307692308</v>
      </c>
      <c r="AD1343" s="8" t="s">
        <v>33</v>
      </c>
      <c r="AE1343" s="11">
        <v>94990</v>
      </c>
      <c r="AF1343" s="11">
        <f t="shared" si="134"/>
        <v>664930</v>
      </c>
      <c r="AG1343" s="12" t="s">
        <v>34</v>
      </c>
      <c r="AH1343" s="8" t="s">
        <v>35</v>
      </c>
    </row>
    <row r="1344" spans="1:34">
      <c r="A1344" s="8" t="s">
        <v>1892</v>
      </c>
      <c r="B1344" s="16" t="s">
        <v>2860</v>
      </c>
      <c r="C1344" s="8" t="s">
        <v>248</v>
      </c>
      <c r="D1344" s="8" t="s">
        <v>490</v>
      </c>
      <c r="E1344" s="8" t="str">
        <f t="shared" si="132"/>
        <v>NEGRO</v>
      </c>
      <c r="H1344" s="8" t="str">
        <f>VLOOKUP(A1344,[1]BBDD!$B$1:$J$3274,9,FALSE)</f>
        <v>U</v>
      </c>
      <c r="I1344" s="8" t="s">
        <v>2861</v>
      </c>
      <c r="J1344" s="8" t="s">
        <v>1893</v>
      </c>
      <c r="L1344" s="8" t="s">
        <v>61</v>
      </c>
      <c r="N1344" s="8" t="s">
        <v>44</v>
      </c>
      <c r="Q1344" s="8" t="s">
        <v>32</v>
      </c>
      <c r="R1344" s="8">
        <v>10</v>
      </c>
      <c r="S1344" s="8">
        <v>6</v>
      </c>
      <c r="T1344" s="8">
        <f t="shared" si="137"/>
        <v>16</v>
      </c>
      <c r="U1344" s="8">
        <v>2</v>
      </c>
      <c r="V1344" s="8">
        <v>0</v>
      </c>
      <c r="W1344" s="8">
        <v>2</v>
      </c>
      <c r="X1344" s="8">
        <v>2</v>
      </c>
      <c r="Y1344" s="8">
        <v>1</v>
      </c>
      <c r="Z1344" s="8">
        <v>2</v>
      </c>
      <c r="AA1344" s="8">
        <v>180</v>
      </c>
      <c r="AB1344" s="9">
        <f t="shared" si="138"/>
        <v>1.5</v>
      </c>
      <c r="AC1344" s="10">
        <f t="shared" si="133"/>
        <v>10.666666666666666</v>
      </c>
      <c r="AD1344" s="8" t="s">
        <v>33</v>
      </c>
      <c r="AE1344" s="11">
        <v>94990</v>
      </c>
      <c r="AF1344" s="11">
        <f t="shared" si="134"/>
        <v>1519840</v>
      </c>
      <c r="AG1344" s="12" t="s">
        <v>51</v>
      </c>
      <c r="AH1344" s="8" t="s">
        <v>65</v>
      </c>
    </row>
    <row r="1345" spans="1:34">
      <c r="A1345" s="8" t="s">
        <v>1894</v>
      </c>
      <c r="B1345" s="16" t="s">
        <v>2859</v>
      </c>
      <c r="C1345" s="8" t="s">
        <v>248</v>
      </c>
      <c r="D1345" s="8" t="s">
        <v>490</v>
      </c>
      <c r="E1345" s="8" t="str">
        <f t="shared" si="132"/>
        <v>CARAMELO</v>
      </c>
      <c r="H1345" s="8" t="str">
        <f>VLOOKUP(A1345,[1]BBDD!$B$1:$J$3274,9,FALSE)</f>
        <v>M</v>
      </c>
      <c r="I1345" s="19" t="s">
        <v>2862</v>
      </c>
      <c r="J1345" s="8" t="s">
        <v>1895</v>
      </c>
      <c r="L1345" s="8" t="s">
        <v>61</v>
      </c>
      <c r="N1345" s="8" t="s">
        <v>62</v>
      </c>
      <c r="Q1345" s="8" t="s">
        <v>45</v>
      </c>
      <c r="R1345" s="8">
        <v>6</v>
      </c>
      <c r="S1345" s="8">
        <v>10</v>
      </c>
      <c r="T1345" s="8">
        <f t="shared" si="137"/>
        <v>16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180</v>
      </c>
      <c r="AB1345" s="9">
        <f t="shared" si="138"/>
        <v>0</v>
      </c>
      <c r="AC1345" s="10" t="str">
        <f t="shared" si="133"/>
        <v>sin venta</v>
      </c>
      <c r="AD1345" s="8" t="s">
        <v>109</v>
      </c>
      <c r="AE1345" s="11">
        <v>59990</v>
      </c>
      <c r="AF1345" s="11">
        <f t="shared" si="134"/>
        <v>959840</v>
      </c>
      <c r="AG1345" s="12" t="s">
        <v>73</v>
      </c>
      <c r="AH1345" s="8" t="s">
        <v>65</v>
      </c>
    </row>
    <row r="1346" spans="1:34">
      <c r="A1346" s="8" t="s">
        <v>1896</v>
      </c>
      <c r="B1346" s="16" t="s">
        <v>2859</v>
      </c>
      <c r="C1346" s="8" t="s">
        <v>248</v>
      </c>
      <c r="D1346" s="8" t="s">
        <v>490</v>
      </c>
      <c r="E1346" s="8" t="str">
        <f t="shared" si="132"/>
        <v>MALBEC</v>
      </c>
      <c r="H1346" s="8" t="str">
        <f>VLOOKUP(A1346,[1]BBDD!$B$1:$J$3274,9,FALSE)</f>
        <v>M</v>
      </c>
      <c r="I1346" s="19" t="s">
        <v>2862</v>
      </c>
      <c r="J1346" s="8" t="s">
        <v>1895</v>
      </c>
      <c r="L1346" s="8" t="s">
        <v>61</v>
      </c>
      <c r="N1346" s="8" t="s">
        <v>69</v>
      </c>
      <c r="Q1346" s="8" t="s">
        <v>45</v>
      </c>
      <c r="R1346" s="8">
        <v>0</v>
      </c>
      <c r="S1346" s="8">
        <v>6</v>
      </c>
      <c r="T1346" s="8">
        <f t="shared" si="137"/>
        <v>6</v>
      </c>
      <c r="U1346" s="8">
        <v>1</v>
      </c>
      <c r="V1346" s="8">
        <v>0</v>
      </c>
      <c r="W1346" s="8">
        <v>1</v>
      </c>
      <c r="X1346" s="8">
        <v>0</v>
      </c>
      <c r="Y1346" s="8">
        <v>1</v>
      </c>
      <c r="Z1346" s="8">
        <v>1</v>
      </c>
      <c r="AA1346" s="8">
        <v>180</v>
      </c>
      <c r="AB1346" s="9">
        <f t="shared" si="138"/>
        <v>0.66666666666666674</v>
      </c>
      <c r="AC1346" s="10">
        <f t="shared" si="133"/>
        <v>8.9999999999999982</v>
      </c>
      <c r="AD1346" s="8" t="s">
        <v>109</v>
      </c>
      <c r="AE1346" s="11">
        <v>59990</v>
      </c>
      <c r="AF1346" s="11">
        <f t="shared" si="134"/>
        <v>359940</v>
      </c>
      <c r="AG1346" s="12" t="s">
        <v>51</v>
      </c>
      <c r="AH1346" s="8" t="s">
        <v>35</v>
      </c>
    </row>
    <row r="1347" spans="1:34">
      <c r="A1347" s="8" t="s">
        <v>1897</v>
      </c>
      <c r="B1347" s="16" t="s">
        <v>2859</v>
      </c>
      <c r="C1347" s="8" t="s">
        <v>248</v>
      </c>
      <c r="D1347" s="8" t="s">
        <v>490</v>
      </c>
      <c r="E1347" s="8" t="str">
        <f t="shared" ref="E1347:E1410" si="139">TRIM(N1347)</f>
        <v>NEGRO</v>
      </c>
      <c r="H1347" s="8" t="str">
        <f>VLOOKUP(A1347,[1]BBDD!$B$1:$J$3274,9,FALSE)</f>
        <v>M</v>
      </c>
      <c r="I1347" s="19" t="s">
        <v>2862</v>
      </c>
      <c r="J1347" s="8" t="s">
        <v>1895</v>
      </c>
      <c r="L1347" s="8" t="s">
        <v>61</v>
      </c>
      <c r="N1347" s="8" t="s">
        <v>44</v>
      </c>
      <c r="Q1347" s="8" t="s">
        <v>45</v>
      </c>
      <c r="R1347" s="8">
        <v>7</v>
      </c>
      <c r="S1347" s="8">
        <v>9</v>
      </c>
      <c r="T1347" s="8">
        <f t="shared" si="137"/>
        <v>16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180</v>
      </c>
      <c r="AB1347" s="9">
        <f t="shared" si="138"/>
        <v>0</v>
      </c>
      <c r="AC1347" s="10" t="str">
        <f t="shared" ref="AC1347:AC1410" si="140">IFERROR(T1347/AB1347,"sin venta")</f>
        <v>sin venta</v>
      </c>
      <c r="AD1347" s="8" t="s">
        <v>109</v>
      </c>
      <c r="AE1347" s="11">
        <v>59990</v>
      </c>
      <c r="AF1347" s="11">
        <f t="shared" ref="AF1347:AF1410" si="141">IFERROR(AE1347*T1347,0)</f>
        <v>959840</v>
      </c>
      <c r="AG1347" s="12" t="s">
        <v>73</v>
      </c>
      <c r="AH1347" s="8" t="s">
        <v>65</v>
      </c>
    </row>
    <row r="1348" spans="1:34">
      <c r="A1348" s="8" t="s">
        <v>1898</v>
      </c>
      <c r="B1348" s="16" t="s">
        <v>2859</v>
      </c>
      <c r="C1348" s="8" t="s">
        <v>248</v>
      </c>
      <c r="D1348" s="8" t="s">
        <v>490</v>
      </c>
      <c r="E1348" s="8" t="str">
        <f t="shared" si="139"/>
        <v>CEDRO</v>
      </c>
      <c r="H1348" s="8" t="str">
        <f>VLOOKUP(A1348,[1]BBDD!$B$1:$J$3274,9,FALSE)</f>
        <v>M</v>
      </c>
      <c r="I1348" s="19" t="s">
        <v>2862</v>
      </c>
      <c r="J1348" s="8" t="s">
        <v>1895</v>
      </c>
      <c r="L1348" s="8" t="s">
        <v>112</v>
      </c>
      <c r="N1348" s="8" t="s">
        <v>113</v>
      </c>
      <c r="Q1348" s="8" t="s">
        <v>45</v>
      </c>
      <c r="R1348" s="8">
        <v>6</v>
      </c>
      <c r="S1348" s="8">
        <v>8</v>
      </c>
      <c r="T1348" s="8">
        <f t="shared" si="137"/>
        <v>14</v>
      </c>
      <c r="U1348" s="8">
        <v>0</v>
      </c>
      <c r="V1348" s="8">
        <v>1</v>
      </c>
      <c r="W1348" s="8">
        <v>0</v>
      </c>
      <c r="X1348" s="8">
        <v>0</v>
      </c>
      <c r="Y1348" s="8">
        <v>1</v>
      </c>
      <c r="Z1348" s="8">
        <v>0</v>
      </c>
      <c r="AA1348" s="8">
        <v>180</v>
      </c>
      <c r="AB1348" s="9">
        <f t="shared" si="138"/>
        <v>0.33333333333333337</v>
      </c>
      <c r="AC1348" s="10">
        <f t="shared" si="140"/>
        <v>41.999999999999993</v>
      </c>
      <c r="AD1348" s="8" t="s">
        <v>109</v>
      </c>
      <c r="AE1348" s="11">
        <v>59990</v>
      </c>
      <c r="AF1348" s="11">
        <f t="shared" si="141"/>
        <v>839860</v>
      </c>
      <c r="AG1348" s="12" t="s">
        <v>73</v>
      </c>
      <c r="AH1348" s="8" t="s">
        <v>65</v>
      </c>
    </row>
    <row r="1349" spans="1:34">
      <c r="A1349" s="8" t="s">
        <v>1899</v>
      </c>
      <c r="B1349" s="16" t="s">
        <v>2859</v>
      </c>
      <c r="C1349" s="8" t="s">
        <v>248</v>
      </c>
      <c r="D1349" s="8" t="s">
        <v>490</v>
      </c>
      <c r="E1349" s="8" t="str">
        <f t="shared" si="139"/>
        <v>CARAMELO</v>
      </c>
      <c r="H1349" s="8" t="str">
        <f>VLOOKUP(A1349,[1]BBDD!$B$1:$J$3274,9,FALSE)</f>
        <v>M</v>
      </c>
      <c r="I1349" s="19" t="s">
        <v>2862</v>
      </c>
      <c r="J1349" s="8" t="s">
        <v>1895</v>
      </c>
      <c r="L1349" s="8" t="s">
        <v>238</v>
      </c>
      <c r="N1349" s="8" t="s">
        <v>62</v>
      </c>
      <c r="Q1349" s="8" t="s">
        <v>32</v>
      </c>
      <c r="R1349" s="8">
        <v>1</v>
      </c>
      <c r="S1349" s="8">
        <v>11</v>
      </c>
      <c r="T1349" s="8">
        <f t="shared" si="137"/>
        <v>12</v>
      </c>
      <c r="U1349" s="8">
        <v>0</v>
      </c>
      <c r="V1349" s="8">
        <v>0</v>
      </c>
      <c r="W1349" s="8">
        <v>2</v>
      </c>
      <c r="X1349" s="8">
        <v>2</v>
      </c>
      <c r="Y1349" s="8">
        <v>2</v>
      </c>
      <c r="Z1349" s="8">
        <v>2</v>
      </c>
      <c r="AA1349" s="8">
        <v>180</v>
      </c>
      <c r="AB1349" s="9">
        <f t="shared" si="138"/>
        <v>1.3333333333333335</v>
      </c>
      <c r="AC1349" s="10">
        <f t="shared" si="140"/>
        <v>8.9999999999999982</v>
      </c>
      <c r="AD1349" s="8" t="s">
        <v>33</v>
      </c>
      <c r="AE1349" s="11">
        <v>59990</v>
      </c>
      <c r="AF1349" s="11">
        <f t="shared" si="141"/>
        <v>719880</v>
      </c>
      <c r="AG1349" s="12" t="s">
        <v>51</v>
      </c>
      <c r="AH1349" s="8" t="s">
        <v>65</v>
      </c>
    </row>
    <row r="1350" spans="1:34">
      <c r="A1350" s="8" t="s">
        <v>1900</v>
      </c>
      <c r="B1350" s="16" t="s">
        <v>2859</v>
      </c>
      <c r="C1350" s="8" t="s">
        <v>248</v>
      </c>
      <c r="D1350" s="8" t="s">
        <v>490</v>
      </c>
      <c r="E1350" s="8" t="str">
        <f t="shared" si="139"/>
        <v>ROJO</v>
      </c>
      <c r="H1350" s="8" t="str">
        <f>VLOOKUP(A1350,[1]BBDD!$B$1:$J$3274,9,FALSE)</f>
        <v>M</v>
      </c>
      <c r="I1350" s="19" t="s">
        <v>2862</v>
      </c>
      <c r="J1350" s="8" t="s">
        <v>1895</v>
      </c>
      <c r="L1350" s="8" t="s">
        <v>238</v>
      </c>
      <c r="N1350" s="8" t="s">
        <v>88</v>
      </c>
      <c r="Q1350" s="8" t="s">
        <v>32</v>
      </c>
      <c r="R1350" s="8">
        <v>3</v>
      </c>
      <c r="S1350" s="8">
        <v>9</v>
      </c>
      <c r="T1350" s="8">
        <f t="shared" si="137"/>
        <v>12</v>
      </c>
      <c r="U1350" s="8">
        <v>0</v>
      </c>
      <c r="V1350" s="8">
        <v>2</v>
      </c>
      <c r="W1350" s="8">
        <v>2</v>
      </c>
      <c r="X1350" s="8">
        <v>2</v>
      </c>
      <c r="Y1350" s="8">
        <v>0</v>
      </c>
      <c r="Z1350" s="8">
        <v>0</v>
      </c>
      <c r="AA1350" s="8">
        <v>180</v>
      </c>
      <c r="AB1350" s="9">
        <f t="shared" si="138"/>
        <v>1</v>
      </c>
      <c r="AC1350" s="10">
        <f t="shared" si="140"/>
        <v>12</v>
      </c>
      <c r="AD1350" s="8" t="s">
        <v>33</v>
      </c>
      <c r="AE1350" s="11">
        <v>59990</v>
      </c>
      <c r="AF1350" s="11">
        <f t="shared" si="141"/>
        <v>719880</v>
      </c>
      <c r="AG1350" s="12" t="s">
        <v>51</v>
      </c>
      <c r="AH1350" s="8" t="s">
        <v>65</v>
      </c>
    </row>
    <row r="1351" spans="1:34">
      <c r="A1351" s="8" t="s">
        <v>1901</v>
      </c>
      <c r="B1351" s="16" t="s">
        <v>2859</v>
      </c>
      <c r="C1351" s="8" t="s">
        <v>248</v>
      </c>
      <c r="D1351" s="8" t="s">
        <v>490</v>
      </c>
      <c r="E1351" s="8" t="str">
        <f t="shared" si="139"/>
        <v>NEGRO</v>
      </c>
      <c r="H1351" s="8" t="str">
        <f>VLOOKUP(A1351,[1]BBDD!$B$1:$J$3274,9,FALSE)</f>
        <v>M</v>
      </c>
      <c r="I1351" s="19" t="s">
        <v>2862</v>
      </c>
      <c r="J1351" s="8" t="s">
        <v>1895</v>
      </c>
      <c r="L1351" s="8" t="s">
        <v>238</v>
      </c>
      <c r="N1351" s="8" t="s">
        <v>44</v>
      </c>
      <c r="Q1351" s="8" t="s">
        <v>45</v>
      </c>
      <c r="R1351" s="8">
        <v>12</v>
      </c>
      <c r="S1351" s="8">
        <v>11</v>
      </c>
      <c r="T1351" s="8">
        <f t="shared" si="137"/>
        <v>23</v>
      </c>
      <c r="U1351" s="8">
        <v>2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180</v>
      </c>
      <c r="AB1351" s="9">
        <f t="shared" si="138"/>
        <v>0.33333333333333337</v>
      </c>
      <c r="AC1351" s="10">
        <f t="shared" si="140"/>
        <v>68.999999999999986</v>
      </c>
      <c r="AD1351" s="8" t="s">
        <v>109</v>
      </c>
      <c r="AE1351" s="11">
        <v>59990</v>
      </c>
      <c r="AF1351" s="11">
        <f t="shared" si="141"/>
        <v>1379770</v>
      </c>
      <c r="AG1351" s="12" t="s">
        <v>73</v>
      </c>
      <c r="AH1351" s="8" t="s">
        <v>74</v>
      </c>
    </row>
    <row r="1352" spans="1:34">
      <c r="A1352" s="8" t="s">
        <v>1902</v>
      </c>
      <c r="B1352" s="16" t="s">
        <v>2860</v>
      </c>
      <c r="C1352" s="8" t="s">
        <v>248</v>
      </c>
      <c r="D1352" s="8" t="s">
        <v>490</v>
      </c>
      <c r="E1352" s="8" t="str">
        <f t="shared" si="139"/>
        <v>CHOCOLATE</v>
      </c>
      <c r="H1352" s="8" t="str">
        <f>VLOOKUP(A1352,[1]BBDD!$B$1:$J$3274,9,FALSE)</f>
        <v>U</v>
      </c>
      <c r="I1352" s="8" t="s">
        <v>2861</v>
      </c>
      <c r="J1352" s="8" t="s">
        <v>1903</v>
      </c>
      <c r="L1352" s="8" t="s">
        <v>61</v>
      </c>
      <c r="N1352" s="8" t="s">
        <v>252</v>
      </c>
      <c r="Q1352" s="8" t="s">
        <v>32</v>
      </c>
      <c r="R1352" s="8">
        <v>1</v>
      </c>
      <c r="S1352" s="8">
        <v>9</v>
      </c>
      <c r="T1352" s="8">
        <f t="shared" si="137"/>
        <v>10</v>
      </c>
      <c r="U1352" s="8">
        <v>1</v>
      </c>
      <c r="V1352" s="8">
        <v>4</v>
      </c>
      <c r="W1352" s="8">
        <v>0</v>
      </c>
      <c r="X1352" s="8">
        <v>1</v>
      </c>
      <c r="Y1352" s="8">
        <v>5</v>
      </c>
      <c r="Z1352" s="8">
        <v>1</v>
      </c>
      <c r="AA1352" s="8">
        <v>180</v>
      </c>
      <c r="AB1352" s="9">
        <f t="shared" si="138"/>
        <v>2</v>
      </c>
      <c r="AC1352" s="10">
        <f t="shared" si="140"/>
        <v>5</v>
      </c>
      <c r="AD1352" s="8" t="s">
        <v>33</v>
      </c>
      <c r="AE1352" s="11">
        <v>99990</v>
      </c>
      <c r="AF1352" s="11">
        <f t="shared" si="141"/>
        <v>999900</v>
      </c>
      <c r="AG1352" s="12" t="s">
        <v>34</v>
      </c>
      <c r="AH1352" s="8" t="s">
        <v>35</v>
      </c>
    </row>
    <row r="1353" spans="1:34">
      <c r="A1353" s="8" t="s">
        <v>1904</v>
      </c>
      <c r="B1353" s="16" t="s">
        <v>2860</v>
      </c>
      <c r="C1353" s="8" t="s">
        <v>248</v>
      </c>
      <c r="D1353" s="8" t="s">
        <v>490</v>
      </c>
      <c r="E1353" s="8" t="str">
        <f t="shared" si="139"/>
        <v>TABACO</v>
      </c>
      <c r="H1353" s="8" t="str">
        <f>VLOOKUP(A1353,[1]BBDD!$B$1:$J$3274,9,FALSE)</f>
        <v>U</v>
      </c>
      <c r="I1353" s="8" t="s">
        <v>2861</v>
      </c>
      <c r="J1353" s="8" t="s">
        <v>1903</v>
      </c>
      <c r="L1353" s="8" t="s">
        <v>61</v>
      </c>
      <c r="N1353" s="8" t="s">
        <v>67</v>
      </c>
      <c r="Q1353" s="8" t="s">
        <v>32</v>
      </c>
      <c r="R1353" s="8">
        <v>0</v>
      </c>
      <c r="S1353" s="8">
        <v>5</v>
      </c>
      <c r="T1353" s="8">
        <f t="shared" si="137"/>
        <v>5</v>
      </c>
      <c r="U1353" s="8">
        <v>4</v>
      </c>
      <c r="V1353" s="8">
        <v>0</v>
      </c>
      <c r="W1353" s="8">
        <v>0</v>
      </c>
      <c r="X1353" s="8">
        <v>2</v>
      </c>
      <c r="Y1353" s="8">
        <v>0</v>
      </c>
      <c r="Z1353" s="8">
        <v>0</v>
      </c>
      <c r="AA1353" s="8">
        <v>180</v>
      </c>
      <c r="AB1353" s="9">
        <f t="shared" si="138"/>
        <v>1</v>
      </c>
      <c r="AC1353" s="10">
        <f t="shared" si="140"/>
        <v>5</v>
      </c>
      <c r="AD1353" s="8" t="s">
        <v>33</v>
      </c>
      <c r="AE1353" s="11">
        <v>99990</v>
      </c>
      <c r="AF1353" s="11">
        <f t="shared" si="141"/>
        <v>499950</v>
      </c>
      <c r="AG1353" s="12" t="s">
        <v>34</v>
      </c>
      <c r="AH1353" s="8" t="s">
        <v>35</v>
      </c>
    </row>
    <row r="1354" spans="1:34">
      <c r="A1354" s="8" t="s">
        <v>1905</v>
      </c>
      <c r="B1354" s="16" t="s">
        <v>2860</v>
      </c>
      <c r="C1354" s="8" t="s">
        <v>248</v>
      </c>
      <c r="D1354" s="8" t="s">
        <v>490</v>
      </c>
      <c r="E1354" s="8" t="str">
        <f t="shared" si="139"/>
        <v>AZUL</v>
      </c>
      <c r="H1354" s="8" t="str">
        <f>VLOOKUP(A1354,[1]BBDD!$B$1:$J$3274,9,FALSE)</f>
        <v>U</v>
      </c>
      <c r="I1354" s="8" t="s">
        <v>2861</v>
      </c>
      <c r="J1354" s="8" t="s">
        <v>1903</v>
      </c>
      <c r="L1354" s="8" t="s">
        <v>61</v>
      </c>
      <c r="N1354" s="8" t="s">
        <v>83</v>
      </c>
      <c r="Q1354" s="8" t="s">
        <v>45</v>
      </c>
      <c r="R1354" s="8">
        <v>0</v>
      </c>
      <c r="S1354" s="8">
        <v>3</v>
      </c>
      <c r="T1354" s="8">
        <f t="shared" si="137"/>
        <v>3</v>
      </c>
      <c r="U1354" s="8">
        <v>3</v>
      </c>
      <c r="V1354" s="8">
        <v>0</v>
      </c>
      <c r="W1354" s="8">
        <v>1</v>
      </c>
      <c r="X1354" s="8">
        <v>0</v>
      </c>
      <c r="Y1354" s="8">
        <v>0</v>
      </c>
      <c r="Z1354" s="8">
        <v>0</v>
      </c>
      <c r="AA1354" s="8">
        <v>180</v>
      </c>
      <c r="AB1354" s="9">
        <f t="shared" si="138"/>
        <v>0.66666666666666674</v>
      </c>
      <c r="AC1354" s="10">
        <f t="shared" si="140"/>
        <v>4.4999999999999991</v>
      </c>
      <c r="AD1354" s="8" t="s">
        <v>109</v>
      </c>
      <c r="AE1354" s="11">
        <v>99990</v>
      </c>
      <c r="AF1354" s="11">
        <f t="shared" si="141"/>
        <v>299970</v>
      </c>
      <c r="AG1354" s="12" t="s">
        <v>34</v>
      </c>
      <c r="AH1354" s="8" t="s">
        <v>35</v>
      </c>
    </row>
    <row r="1355" spans="1:34">
      <c r="A1355" s="8" t="s">
        <v>1906</v>
      </c>
      <c r="B1355" s="16" t="s">
        <v>2860</v>
      </c>
      <c r="C1355" s="8" t="s">
        <v>248</v>
      </c>
      <c r="D1355" s="8" t="s">
        <v>490</v>
      </c>
      <c r="E1355" s="8" t="str">
        <f t="shared" si="139"/>
        <v>CARAMELO</v>
      </c>
      <c r="H1355" s="8" t="str">
        <f>VLOOKUP(A1355,[1]BBDD!$B$1:$J$3274,9,FALSE)</f>
        <v>U</v>
      </c>
      <c r="I1355" s="8" t="s">
        <v>2861</v>
      </c>
      <c r="J1355" s="8" t="s">
        <v>1903</v>
      </c>
      <c r="L1355" s="8" t="s">
        <v>61</v>
      </c>
      <c r="N1355" s="8" t="s">
        <v>62</v>
      </c>
      <c r="Q1355" s="8" t="s">
        <v>45</v>
      </c>
      <c r="R1355" s="8">
        <v>16</v>
      </c>
      <c r="S1355" s="8">
        <v>7</v>
      </c>
      <c r="T1355" s="8">
        <f t="shared" si="137"/>
        <v>23</v>
      </c>
      <c r="U1355" s="8">
        <v>1</v>
      </c>
      <c r="V1355" s="8">
        <v>0</v>
      </c>
      <c r="W1355" s="8">
        <v>1</v>
      </c>
      <c r="X1355" s="8">
        <v>0</v>
      </c>
      <c r="Y1355" s="8">
        <v>1</v>
      </c>
      <c r="Z1355" s="8">
        <v>0</v>
      </c>
      <c r="AA1355" s="8">
        <v>180</v>
      </c>
      <c r="AB1355" s="9">
        <f t="shared" si="138"/>
        <v>0.5</v>
      </c>
      <c r="AC1355" s="10">
        <f t="shared" si="140"/>
        <v>46</v>
      </c>
      <c r="AD1355" s="8" t="s">
        <v>109</v>
      </c>
      <c r="AE1355" s="11">
        <v>99990</v>
      </c>
      <c r="AF1355" s="11">
        <f t="shared" si="141"/>
        <v>2299770</v>
      </c>
      <c r="AG1355" s="12" t="s">
        <v>73</v>
      </c>
      <c r="AH1355" s="8" t="s">
        <v>74</v>
      </c>
    </row>
    <row r="1356" spans="1:34">
      <c r="A1356" s="8" t="s">
        <v>1907</v>
      </c>
      <c r="B1356" s="16" t="s">
        <v>2860</v>
      </c>
      <c r="C1356" s="8" t="s">
        <v>248</v>
      </c>
      <c r="D1356" s="8" t="s">
        <v>490</v>
      </c>
      <c r="E1356" s="8" t="str">
        <f t="shared" si="139"/>
        <v>NEGRO</v>
      </c>
      <c r="H1356" s="8" t="str">
        <f>VLOOKUP(A1356,[1]BBDD!$B$1:$J$3274,9,FALSE)</f>
        <v>U</v>
      </c>
      <c r="I1356" s="8" t="s">
        <v>2861</v>
      </c>
      <c r="J1356" s="8" t="s">
        <v>1903</v>
      </c>
      <c r="L1356" s="8" t="s">
        <v>61</v>
      </c>
      <c r="N1356" s="8" t="s">
        <v>44</v>
      </c>
      <c r="Q1356" s="8" t="s">
        <v>45</v>
      </c>
      <c r="R1356" s="8">
        <v>19</v>
      </c>
      <c r="S1356" s="8">
        <v>9</v>
      </c>
      <c r="T1356" s="8">
        <f t="shared" si="137"/>
        <v>28</v>
      </c>
      <c r="U1356" s="8">
        <v>0</v>
      </c>
      <c r="V1356" s="8">
        <v>0</v>
      </c>
      <c r="W1356" s="8">
        <v>1</v>
      </c>
      <c r="X1356" s="8">
        <v>0</v>
      </c>
      <c r="Y1356" s="8">
        <v>0</v>
      </c>
      <c r="Z1356" s="8">
        <v>0</v>
      </c>
      <c r="AA1356" s="8">
        <v>180</v>
      </c>
      <c r="AB1356" s="9">
        <f t="shared" si="138"/>
        <v>0.16666666666666669</v>
      </c>
      <c r="AC1356" s="10">
        <f t="shared" si="140"/>
        <v>167.99999999999997</v>
      </c>
      <c r="AD1356" s="8" t="s">
        <v>109</v>
      </c>
      <c r="AE1356" s="11">
        <v>99990</v>
      </c>
      <c r="AF1356" s="11">
        <f t="shared" si="141"/>
        <v>2799720</v>
      </c>
      <c r="AG1356" s="12" t="s">
        <v>73</v>
      </c>
      <c r="AH1356" s="8" t="s">
        <v>74</v>
      </c>
    </row>
    <row r="1357" spans="1:34">
      <c r="A1357" s="8" t="s">
        <v>1908</v>
      </c>
      <c r="B1357" s="16" t="s">
        <v>2860</v>
      </c>
      <c r="C1357" s="8" t="s">
        <v>248</v>
      </c>
      <c r="D1357" s="8" t="s">
        <v>490</v>
      </c>
      <c r="E1357" s="8" t="str">
        <f t="shared" si="139"/>
        <v>ROJO</v>
      </c>
      <c r="H1357" s="8" t="str">
        <f>VLOOKUP(A1357,[1]BBDD!$B$1:$J$3274,9,FALSE)</f>
        <v>U</v>
      </c>
      <c r="I1357" s="8" t="s">
        <v>2861</v>
      </c>
      <c r="J1357" s="8" t="s">
        <v>1903</v>
      </c>
      <c r="L1357" s="8" t="s">
        <v>61</v>
      </c>
      <c r="N1357" s="8" t="s">
        <v>88</v>
      </c>
      <c r="Q1357" s="8" t="s">
        <v>45</v>
      </c>
      <c r="R1357" s="8">
        <v>5</v>
      </c>
      <c r="S1357" s="8">
        <v>8</v>
      </c>
      <c r="T1357" s="8">
        <f t="shared" si="137"/>
        <v>13</v>
      </c>
      <c r="U1357" s="8">
        <v>2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180</v>
      </c>
      <c r="AB1357" s="9">
        <f t="shared" si="138"/>
        <v>0.33333333333333337</v>
      </c>
      <c r="AC1357" s="10">
        <f t="shared" si="140"/>
        <v>38.999999999999993</v>
      </c>
      <c r="AD1357" s="8" t="s">
        <v>109</v>
      </c>
      <c r="AE1357" s="11">
        <v>99990</v>
      </c>
      <c r="AF1357" s="11">
        <f t="shared" si="141"/>
        <v>1299870</v>
      </c>
      <c r="AG1357" s="12" t="s">
        <v>73</v>
      </c>
      <c r="AH1357" s="8" t="s">
        <v>65</v>
      </c>
    </row>
    <row r="1358" spans="1:34">
      <c r="A1358" s="8" t="s">
        <v>1909</v>
      </c>
      <c r="B1358" s="16" t="s">
        <v>2860</v>
      </c>
      <c r="C1358" s="8" t="s">
        <v>248</v>
      </c>
      <c r="D1358" s="8" t="s">
        <v>490</v>
      </c>
      <c r="E1358" s="8" t="str">
        <f t="shared" si="139"/>
        <v>VERDE</v>
      </c>
      <c r="H1358" s="8" t="str">
        <f>VLOOKUP(A1358,[1]BBDD!$B$1:$J$3274,9,FALSE)</f>
        <v>U</v>
      </c>
      <c r="I1358" s="8" t="s">
        <v>2861</v>
      </c>
      <c r="J1358" s="8" t="s">
        <v>1903</v>
      </c>
      <c r="L1358" s="8" t="s">
        <v>61</v>
      </c>
      <c r="N1358" s="8" t="s">
        <v>92</v>
      </c>
      <c r="Q1358" s="8" t="s">
        <v>45</v>
      </c>
      <c r="R1358" s="8">
        <v>0</v>
      </c>
      <c r="S1358" s="8">
        <v>3</v>
      </c>
      <c r="T1358" s="8">
        <f t="shared" si="137"/>
        <v>3</v>
      </c>
      <c r="U1358" s="8">
        <v>1</v>
      </c>
      <c r="V1358" s="8">
        <v>2</v>
      </c>
      <c r="W1358" s="8">
        <v>0</v>
      </c>
      <c r="X1358" s="8">
        <v>2</v>
      </c>
      <c r="Y1358" s="8">
        <v>0</v>
      </c>
      <c r="Z1358" s="8">
        <v>1</v>
      </c>
      <c r="AA1358" s="8">
        <v>180</v>
      </c>
      <c r="AB1358" s="9">
        <f t="shared" si="138"/>
        <v>1</v>
      </c>
      <c r="AC1358" s="10">
        <f t="shared" si="140"/>
        <v>3</v>
      </c>
      <c r="AD1358" s="8" t="s">
        <v>109</v>
      </c>
      <c r="AE1358" s="11">
        <v>99990</v>
      </c>
      <c r="AF1358" s="11">
        <f t="shared" si="141"/>
        <v>299970</v>
      </c>
      <c r="AG1358" s="12" t="s">
        <v>34</v>
      </c>
      <c r="AH1358" s="8" t="s">
        <v>35</v>
      </c>
    </row>
    <row r="1359" spans="1:34">
      <c r="A1359" s="8" t="s">
        <v>1910</v>
      </c>
      <c r="B1359" s="16" t="s">
        <v>2860</v>
      </c>
      <c r="C1359" s="8" t="s">
        <v>248</v>
      </c>
      <c r="D1359" s="8" t="s">
        <v>490</v>
      </c>
      <c r="E1359" s="8" t="str">
        <f t="shared" si="139"/>
        <v>CEDRO</v>
      </c>
      <c r="H1359" s="8" t="str">
        <f>VLOOKUP(A1359,[1]BBDD!$B$1:$J$3274,9,FALSE)</f>
        <v>U</v>
      </c>
      <c r="I1359" s="8" t="s">
        <v>2861</v>
      </c>
      <c r="J1359" s="8" t="s">
        <v>1903</v>
      </c>
      <c r="L1359" s="8" t="s">
        <v>112</v>
      </c>
      <c r="N1359" s="8" t="s">
        <v>113</v>
      </c>
      <c r="Q1359" s="8" t="s">
        <v>45</v>
      </c>
      <c r="R1359" s="8">
        <v>4</v>
      </c>
      <c r="S1359" s="8">
        <v>5</v>
      </c>
      <c r="T1359" s="8">
        <f t="shared" si="137"/>
        <v>9</v>
      </c>
      <c r="U1359" s="8">
        <v>1</v>
      </c>
      <c r="V1359" s="8">
        <v>1</v>
      </c>
      <c r="W1359" s="8">
        <v>0</v>
      </c>
      <c r="X1359" s="8">
        <v>0</v>
      </c>
      <c r="Y1359" s="8">
        <v>1</v>
      </c>
      <c r="Z1359" s="8">
        <v>2</v>
      </c>
      <c r="AA1359" s="8">
        <v>180</v>
      </c>
      <c r="AB1359" s="9">
        <f t="shared" si="138"/>
        <v>0.83333333333333326</v>
      </c>
      <c r="AC1359" s="10">
        <f t="shared" si="140"/>
        <v>10.8</v>
      </c>
      <c r="AD1359" s="8" t="s">
        <v>109</v>
      </c>
      <c r="AE1359" s="11">
        <v>99990</v>
      </c>
      <c r="AF1359" s="11">
        <f t="shared" si="141"/>
        <v>899910</v>
      </c>
      <c r="AG1359" s="12" t="s">
        <v>51</v>
      </c>
      <c r="AH1359" s="8" t="s">
        <v>35</v>
      </c>
    </row>
    <row r="1360" spans="1:34">
      <c r="A1360" s="8" t="s">
        <v>1911</v>
      </c>
      <c r="B1360" s="16" t="s">
        <v>2860</v>
      </c>
      <c r="C1360" s="8" t="s">
        <v>248</v>
      </c>
      <c r="D1360" s="8" t="s">
        <v>490</v>
      </c>
      <c r="E1360" s="8" t="str">
        <f t="shared" si="139"/>
        <v>AZUL</v>
      </c>
      <c r="H1360" s="8" t="str">
        <f>VLOOKUP(A1360,[1]BBDD!$B$1:$J$3274,9,FALSE)</f>
        <v>U</v>
      </c>
      <c r="I1360" s="8" t="s">
        <v>2861</v>
      </c>
      <c r="J1360" s="8" t="s">
        <v>1903</v>
      </c>
      <c r="L1360" s="8" t="s">
        <v>119</v>
      </c>
      <c r="N1360" s="8" t="s">
        <v>83</v>
      </c>
      <c r="Q1360" s="8" t="s">
        <v>32</v>
      </c>
      <c r="R1360" s="8">
        <v>0</v>
      </c>
      <c r="S1360" s="8">
        <v>4</v>
      </c>
      <c r="T1360" s="8">
        <f t="shared" si="137"/>
        <v>4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180</v>
      </c>
      <c r="AB1360" s="9">
        <f t="shared" si="138"/>
        <v>0</v>
      </c>
      <c r="AC1360" s="10" t="str">
        <f t="shared" si="140"/>
        <v>sin venta</v>
      </c>
      <c r="AD1360" s="8" t="s">
        <v>33</v>
      </c>
      <c r="AE1360" s="11">
        <v>99990</v>
      </c>
      <c r="AF1360" s="11">
        <f t="shared" si="141"/>
        <v>399960</v>
      </c>
      <c r="AG1360" s="12" t="s">
        <v>73</v>
      </c>
      <c r="AH1360" s="8" t="s">
        <v>35</v>
      </c>
    </row>
    <row r="1361" spans="1:34">
      <c r="A1361" s="8" t="s">
        <v>1912</v>
      </c>
      <c r="B1361" s="16" t="s">
        <v>2860</v>
      </c>
      <c r="C1361" s="8" t="s">
        <v>248</v>
      </c>
      <c r="D1361" s="8" t="s">
        <v>490</v>
      </c>
      <c r="E1361" s="8" t="str">
        <f t="shared" si="139"/>
        <v>VERDE</v>
      </c>
      <c r="H1361" s="8" t="str">
        <f>VLOOKUP(A1361,[1]BBDD!$B$1:$J$3274,9,FALSE)</f>
        <v>U</v>
      </c>
      <c r="I1361" s="8" t="s">
        <v>2861</v>
      </c>
      <c r="J1361" s="8" t="s">
        <v>1903</v>
      </c>
      <c r="L1361" s="8" t="s">
        <v>119</v>
      </c>
      <c r="N1361" s="8" t="s">
        <v>92</v>
      </c>
      <c r="Q1361" s="8" t="s">
        <v>32</v>
      </c>
      <c r="R1361" s="8">
        <v>0</v>
      </c>
      <c r="S1361" s="8">
        <v>0</v>
      </c>
      <c r="T1361" s="8">
        <f t="shared" si="137"/>
        <v>0</v>
      </c>
      <c r="U1361" s="8">
        <v>0</v>
      </c>
      <c r="V1361" s="8">
        <v>0</v>
      </c>
      <c r="W1361" s="8">
        <v>0</v>
      </c>
      <c r="X1361" s="8">
        <v>1</v>
      </c>
      <c r="Y1361" s="8">
        <v>1</v>
      </c>
      <c r="Z1361" s="8">
        <v>0</v>
      </c>
      <c r="AA1361" s="8">
        <v>180</v>
      </c>
      <c r="AB1361" s="9">
        <f t="shared" si="138"/>
        <v>0.33333333333333337</v>
      </c>
      <c r="AC1361" s="10">
        <f t="shared" si="140"/>
        <v>0</v>
      </c>
      <c r="AD1361" s="8" t="s">
        <v>33</v>
      </c>
      <c r="AE1361" s="11">
        <v>99990</v>
      </c>
      <c r="AF1361" s="11">
        <f t="shared" si="141"/>
        <v>0</v>
      </c>
      <c r="AG1361" s="12" t="s">
        <v>34</v>
      </c>
      <c r="AH1361" s="8" t="s">
        <v>35</v>
      </c>
    </row>
    <row r="1362" spans="1:34">
      <c r="A1362" s="8" t="s">
        <v>1913</v>
      </c>
      <c r="B1362" s="16" t="s">
        <v>2860</v>
      </c>
      <c r="C1362" s="8" t="s">
        <v>248</v>
      </c>
      <c r="D1362" s="8" t="s">
        <v>490</v>
      </c>
      <c r="E1362" s="8" t="str">
        <f t="shared" si="139"/>
        <v>NEGRO</v>
      </c>
      <c r="H1362" s="8" t="str">
        <f>VLOOKUP(A1362,[1]BBDD!$B$1:$J$3274,9,FALSE)</f>
        <v>U</v>
      </c>
      <c r="I1362" s="8" t="s">
        <v>2861</v>
      </c>
      <c r="J1362" s="8" t="s">
        <v>1914</v>
      </c>
      <c r="L1362" s="8" t="s">
        <v>61</v>
      </c>
      <c r="N1362" s="8" t="s">
        <v>44</v>
      </c>
      <c r="Q1362" s="8" t="s">
        <v>32</v>
      </c>
      <c r="R1362" s="8">
        <v>6</v>
      </c>
      <c r="S1362" s="8">
        <v>7</v>
      </c>
      <c r="T1362" s="8">
        <f t="shared" si="137"/>
        <v>13</v>
      </c>
      <c r="U1362" s="8">
        <v>1</v>
      </c>
      <c r="V1362" s="8">
        <v>1</v>
      </c>
      <c r="W1362" s="8">
        <v>2</v>
      </c>
      <c r="X1362" s="8">
        <v>1</v>
      </c>
      <c r="Y1362" s="8">
        <v>0</v>
      </c>
      <c r="Z1362" s="8">
        <v>1</v>
      </c>
      <c r="AA1362" s="8">
        <v>180</v>
      </c>
      <c r="AB1362" s="9">
        <f t="shared" si="138"/>
        <v>1</v>
      </c>
      <c r="AC1362" s="10">
        <f t="shared" si="140"/>
        <v>13</v>
      </c>
      <c r="AD1362" s="8" t="s">
        <v>33</v>
      </c>
      <c r="AE1362" s="11">
        <v>99990</v>
      </c>
      <c r="AF1362" s="11">
        <f t="shared" si="141"/>
        <v>1299870</v>
      </c>
      <c r="AG1362" s="12" t="s">
        <v>64</v>
      </c>
      <c r="AH1362" s="8" t="s">
        <v>65</v>
      </c>
    </row>
    <row r="1363" spans="1:34">
      <c r="A1363" s="8" t="s">
        <v>1915</v>
      </c>
      <c r="B1363" s="16" t="s">
        <v>2859</v>
      </c>
      <c r="C1363" s="8" t="s">
        <v>248</v>
      </c>
      <c r="D1363" s="8" t="s">
        <v>490</v>
      </c>
      <c r="E1363" s="8" t="str">
        <f t="shared" si="139"/>
        <v>CARAMELO</v>
      </c>
      <c r="H1363" s="8" t="str">
        <f>VLOOKUP(A1363,[1]BBDD!$B$1:$J$3274,9,FALSE)</f>
        <v>U</v>
      </c>
      <c r="I1363" s="8" t="s">
        <v>2861</v>
      </c>
      <c r="J1363" s="8" t="s">
        <v>1916</v>
      </c>
      <c r="L1363" s="8" t="s">
        <v>61</v>
      </c>
      <c r="N1363" s="8" t="s">
        <v>62</v>
      </c>
      <c r="Q1363" s="8" t="s">
        <v>32</v>
      </c>
      <c r="R1363" s="8">
        <v>1</v>
      </c>
      <c r="S1363" s="8">
        <v>6</v>
      </c>
      <c r="T1363" s="8">
        <f t="shared" si="137"/>
        <v>7</v>
      </c>
      <c r="U1363" s="8">
        <v>4</v>
      </c>
      <c r="V1363" s="8">
        <v>1</v>
      </c>
      <c r="W1363" s="8">
        <v>1</v>
      </c>
      <c r="X1363" s="8">
        <v>1</v>
      </c>
      <c r="Y1363" s="8">
        <v>2</v>
      </c>
      <c r="Z1363" s="8">
        <v>1</v>
      </c>
      <c r="AA1363" s="8">
        <v>180</v>
      </c>
      <c r="AB1363" s="9">
        <f t="shared" si="138"/>
        <v>1.6666666666666665</v>
      </c>
      <c r="AC1363" s="10">
        <f t="shared" si="140"/>
        <v>4.2</v>
      </c>
      <c r="AD1363" s="8" t="s">
        <v>33</v>
      </c>
      <c r="AE1363" s="11">
        <v>51990</v>
      </c>
      <c r="AF1363" s="11">
        <f t="shared" si="141"/>
        <v>363930</v>
      </c>
      <c r="AG1363" s="12" t="s">
        <v>34</v>
      </c>
      <c r="AH1363" s="8" t="s">
        <v>35</v>
      </c>
    </row>
    <row r="1364" spans="1:34">
      <c r="A1364" s="8" t="s">
        <v>1917</v>
      </c>
      <c r="B1364" s="16" t="s">
        <v>2859</v>
      </c>
      <c r="C1364" s="8" t="s">
        <v>248</v>
      </c>
      <c r="D1364" s="8" t="s">
        <v>490</v>
      </c>
      <c r="E1364" s="8" t="str">
        <f t="shared" si="139"/>
        <v>CHOCOLATE</v>
      </c>
      <c r="H1364" s="8" t="str">
        <f>VLOOKUP(A1364,[1]BBDD!$B$1:$J$3274,9,FALSE)</f>
        <v>U</v>
      </c>
      <c r="I1364" s="8" t="s">
        <v>2861</v>
      </c>
      <c r="J1364" s="8" t="s">
        <v>1916</v>
      </c>
      <c r="L1364" s="8" t="s">
        <v>61</v>
      </c>
      <c r="N1364" s="8" t="s">
        <v>252</v>
      </c>
      <c r="Q1364" s="8" t="s">
        <v>32</v>
      </c>
      <c r="R1364" s="8">
        <v>1</v>
      </c>
      <c r="S1364" s="8">
        <v>4</v>
      </c>
      <c r="T1364" s="8">
        <f t="shared" si="137"/>
        <v>5</v>
      </c>
      <c r="U1364" s="8">
        <v>1</v>
      </c>
      <c r="V1364" s="8">
        <v>0</v>
      </c>
      <c r="W1364" s="8">
        <v>1</v>
      </c>
      <c r="X1364" s="8">
        <v>4</v>
      </c>
      <c r="Y1364" s="8">
        <v>2</v>
      </c>
      <c r="Z1364" s="8">
        <v>1</v>
      </c>
      <c r="AA1364" s="8">
        <v>180</v>
      </c>
      <c r="AB1364" s="9">
        <f t="shared" si="138"/>
        <v>1.5</v>
      </c>
      <c r="AC1364" s="10">
        <f t="shared" si="140"/>
        <v>3.3333333333333335</v>
      </c>
      <c r="AD1364" s="8" t="s">
        <v>33</v>
      </c>
      <c r="AE1364" s="11">
        <v>51990</v>
      </c>
      <c r="AF1364" s="11">
        <f t="shared" si="141"/>
        <v>259950</v>
      </c>
      <c r="AG1364" s="12" t="s">
        <v>34</v>
      </c>
      <c r="AH1364" s="8" t="s">
        <v>35</v>
      </c>
    </row>
    <row r="1365" spans="1:34">
      <c r="A1365" s="8" t="s">
        <v>1918</v>
      </c>
      <c r="B1365" s="16" t="s">
        <v>2859</v>
      </c>
      <c r="C1365" s="8" t="s">
        <v>248</v>
      </c>
      <c r="D1365" s="8" t="s">
        <v>490</v>
      </c>
      <c r="E1365" s="8" t="str">
        <f t="shared" si="139"/>
        <v>NEGRO</v>
      </c>
      <c r="H1365" s="8" t="str">
        <f>VLOOKUP(A1365,[1]BBDD!$B$1:$J$3274,9,FALSE)</f>
        <v>U</v>
      </c>
      <c r="I1365" s="8" t="s">
        <v>2861</v>
      </c>
      <c r="J1365" s="8" t="s">
        <v>1916</v>
      </c>
      <c r="L1365" s="8" t="s">
        <v>61</v>
      </c>
      <c r="N1365" s="8" t="s">
        <v>44</v>
      </c>
      <c r="Q1365" s="8" t="s">
        <v>32</v>
      </c>
      <c r="R1365" s="8">
        <v>1</v>
      </c>
      <c r="S1365" s="8">
        <v>7</v>
      </c>
      <c r="T1365" s="8">
        <f t="shared" si="137"/>
        <v>8</v>
      </c>
      <c r="U1365" s="8">
        <v>0</v>
      </c>
      <c r="V1365" s="8">
        <v>2</v>
      </c>
      <c r="W1365" s="8">
        <v>1</v>
      </c>
      <c r="X1365" s="8">
        <v>0</v>
      </c>
      <c r="Y1365" s="8">
        <v>1</v>
      </c>
      <c r="Z1365" s="8">
        <v>3</v>
      </c>
      <c r="AA1365" s="8">
        <v>180</v>
      </c>
      <c r="AB1365" s="9">
        <f t="shared" si="138"/>
        <v>1.1666666666666667</v>
      </c>
      <c r="AC1365" s="10">
        <f t="shared" si="140"/>
        <v>6.8571428571428568</v>
      </c>
      <c r="AD1365" s="8" t="s">
        <v>33</v>
      </c>
      <c r="AE1365" s="11">
        <v>51990</v>
      </c>
      <c r="AF1365" s="11">
        <f t="shared" si="141"/>
        <v>415920</v>
      </c>
      <c r="AG1365" s="12" t="s">
        <v>51</v>
      </c>
      <c r="AH1365" s="8" t="s">
        <v>35</v>
      </c>
    </row>
    <row r="1366" spans="1:34">
      <c r="A1366" s="8" t="s">
        <v>1919</v>
      </c>
      <c r="B1366" s="16" t="s">
        <v>2859</v>
      </c>
      <c r="C1366" s="8" t="s">
        <v>248</v>
      </c>
      <c r="D1366" s="8" t="s">
        <v>490</v>
      </c>
      <c r="E1366" s="8" t="str">
        <f t="shared" si="139"/>
        <v>TABACO</v>
      </c>
      <c r="H1366" s="8" t="str">
        <f>VLOOKUP(A1366,[1]BBDD!$B$1:$J$3274,9,FALSE)</f>
        <v>U</v>
      </c>
      <c r="I1366" s="8" t="s">
        <v>2861</v>
      </c>
      <c r="J1366" s="8" t="s">
        <v>1916</v>
      </c>
      <c r="L1366" s="8" t="s">
        <v>61</v>
      </c>
      <c r="N1366" s="8" t="s">
        <v>67</v>
      </c>
      <c r="Q1366" s="8" t="s">
        <v>32</v>
      </c>
      <c r="R1366" s="8">
        <v>0</v>
      </c>
      <c r="S1366" s="8">
        <v>1</v>
      </c>
      <c r="T1366" s="8">
        <f t="shared" si="137"/>
        <v>1</v>
      </c>
      <c r="U1366" s="8">
        <v>3</v>
      </c>
      <c r="V1366" s="8">
        <v>1</v>
      </c>
      <c r="W1366" s="8">
        <v>5</v>
      </c>
      <c r="X1366" s="8">
        <v>1</v>
      </c>
      <c r="Y1366" s="8">
        <v>4</v>
      </c>
      <c r="Z1366" s="8">
        <v>1</v>
      </c>
      <c r="AA1366" s="8">
        <v>180</v>
      </c>
      <c r="AB1366" s="9">
        <f t="shared" si="138"/>
        <v>2.5</v>
      </c>
      <c r="AC1366" s="10">
        <f t="shared" si="140"/>
        <v>0.4</v>
      </c>
      <c r="AD1366" s="8" t="s">
        <v>33</v>
      </c>
      <c r="AE1366" s="11">
        <v>51990</v>
      </c>
      <c r="AF1366" s="11">
        <f t="shared" si="141"/>
        <v>51990</v>
      </c>
      <c r="AG1366" s="12" t="s">
        <v>34</v>
      </c>
      <c r="AH1366" s="8" t="s">
        <v>35</v>
      </c>
    </row>
    <row r="1367" spans="1:34">
      <c r="A1367" s="8" t="s">
        <v>1920</v>
      </c>
      <c r="B1367" s="16" t="s">
        <v>2859</v>
      </c>
      <c r="C1367" s="8" t="s">
        <v>248</v>
      </c>
      <c r="D1367" s="8" t="s">
        <v>490</v>
      </c>
      <c r="E1367" s="8" t="str">
        <f t="shared" si="139"/>
        <v>ROJO</v>
      </c>
      <c r="H1367" s="8" t="str">
        <f>VLOOKUP(A1367,[1]BBDD!$B$1:$J$3274,9,FALSE)</f>
        <v>U</v>
      </c>
      <c r="I1367" s="8" t="s">
        <v>2861</v>
      </c>
      <c r="J1367" s="8" t="s">
        <v>1916</v>
      </c>
      <c r="L1367" s="8" t="s">
        <v>61</v>
      </c>
      <c r="N1367" s="8" t="s">
        <v>88</v>
      </c>
      <c r="Q1367" s="8" t="s">
        <v>45</v>
      </c>
      <c r="R1367" s="8">
        <v>6</v>
      </c>
      <c r="S1367" s="8">
        <v>6</v>
      </c>
      <c r="T1367" s="8">
        <f t="shared" si="137"/>
        <v>12</v>
      </c>
      <c r="U1367" s="8">
        <v>0</v>
      </c>
      <c r="V1367" s="8">
        <v>2</v>
      </c>
      <c r="W1367" s="8">
        <v>1</v>
      </c>
      <c r="X1367" s="8">
        <v>0</v>
      </c>
      <c r="Y1367" s="8">
        <v>0</v>
      </c>
      <c r="Z1367" s="8">
        <v>0</v>
      </c>
      <c r="AA1367" s="8">
        <v>180</v>
      </c>
      <c r="AB1367" s="9">
        <f t="shared" si="138"/>
        <v>0.5</v>
      </c>
      <c r="AC1367" s="10">
        <f t="shared" si="140"/>
        <v>24</v>
      </c>
      <c r="AD1367" s="8" t="s">
        <v>109</v>
      </c>
      <c r="AE1367" s="11">
        <v>51990</v>
      </c>
      <c r="AF1367" s="11">
        <f t="shared" si="141"/>
        <v>623880</v>
      </c>
      <c r="AG1367" s="12" t="s">
        <v>64</v>
      </c>
      <c r="AH1367" s="8" t="s">
        <v>65</v>
      </c>
    </row>
    <row r="1368" spans="1:34">
      <c r="A1368" s="8" t="s">
        <v>1921</v>
      </c>
      <c r="B1368" s="16" t="s">
        <v>2859</v>
      </c>
      <c r="C1368" s="8" t="s">
        <v>248</v>
      </c>
      <c r="D1368" s="8" t="s">
        <v>490</v>
      </c>
      <c r="E1368" s="8" t="str">
        <f t="shared" si="139"/>
        <v>NEGRO</v>
      </c>
      <c r="H1368" s="8" t="str">
        <f>VLOOKUP(A1368,[1]BBDD!$B$1:$J$3274,9,FALSE)</f>
        <v>U</v>
      </c>
      <c r="I1368" s="8" t="s">
        <v>2861</v>
      </c>
      <c r="J1368" s="8" t="s">
        <v>1916</v>
      </c>
      <c r="L1368" s="8" t="s">
        <v>211</v>
      </c>
      <c r="N1368" s="8" t="s">
        <v>44</v>
      </c>
      <c r="Q1368" s="8" t="s">
        <v>45</v>
      </c>
      <c r="R1368" s="8">
        <v>0</v>
      </c>
      <c r="S1368" s="8">
        <v>4</v>
      </c>
      <c r="T1368" s="8">
        <f t="shared" si="137"/>
        <v>4</v>
      </c>
      <c r="U1368" s="8">
        <v>2</v>
      </c>
      <c r="V1368" s="8">
        <v>3</v>
      </c>
      <c r="W1368" s="8">
        <v>1</v>
      </c>
      <c r="X1368" s="8">
        <v>0</v>
      </c>
      <c r="Y1368" s="8">
        <v>1</v>
      </c>
      <c r="Z1368" s="8">
        <v>1</v>
      </c>
      <c r="AA1368" s="8">
        <v>180</v>
      </c>
      <c r="AB1368" s="9">
        <f t="shared" si="138"/>
        <v>1.3333333333333335</v>
      </c>
      <c r="AC1368" s="10">
        <f t="shared" si="140"/>
        <v>2.9999999999999996</v>
      </c>
      <c r="AD1368" s="8" t="s">
        <v>109</v>
      </c>
      <c r="AE1368" s="11">
        <v>51990</v>
      </c>
      <c r="AF1368" s="11">
        <f t="shared" si="141"/>
        <v>207960</v>
      </c>
      <c r="AG1368" s="12" t="s">
        <v>34</v>
      </c>
      <c r="AH1368" s="8" t="s">
        <v>35</v>
      </c>
    </row>
    <row r="1369" spans="1:34">
      <c r="A1369" s="8" t="s">
        <v>1922</v>
      </c>
      <c r="B1369" s="16" t="s">
        <v>2859</v>
      </c>
      <c r="C1369" s="8" t="s">
        <v>40</v>
      </c>
      <c r="D1369" s="8" t="s">
        <v>1923</v>
      </c>
      <c r="E1369" s="8" t="str">
        <f t="shared" si="139"/>
        <v>CARAMELO</v>
      </c>
      <c r="G1369" s="8" t="s">
        <v>2861</v>
      </c>
      <c r="H1369" s="8" t="str">
        <f>VLOOKUP(A1369,[1]BBDD!$B$1:$J$3274,9,FALSE)</f>
        <v>U</v>
      </c>
      <c r="I1369" s="8" t="s">
        <v>2861</v>
      </c>
      <c r="J1369" s="8" t="s">
        <v>1924</v>
      </c>
      <c r="L1369" s="8" t="s">
        <v>61</v>
      </c>
      <c r="N1369" s="8" t="s">
        <v>62</v>
      </c>
      <c r="Q1369" s="8" t="s">
        <v>32</v>
      </c>
      <c r="R1369" s="8">
        <v>0</v>
      </c>
      <c r="S1369" s="8">
        <v>7</v>
      </c>
      <c r="T1369" s="8">
        <f t="shared" si="137"/>
        <v>7</v>
      </c>
      <c r="U1369" s="8">
        <v>2</v>
      </c>
      <c r="V1369" s="8">
        <v>2</v>
      </c>
      <c r="W1369" s="8">
        <v>4</v>
      </c>
      <c r="X1369" s="8">
        <v>3</v>
      </c>
      <c r="Y1369" s="8">
        <v>1</v>
      </c>
      <c r="Z1369" s="8">
        <v>3</v>
      </c>
      <c r="AA1369" s="8">
        <v>180</v>
      </c>
      <c r="AB1369" s="9">
        <f t="shared" si="138"/>
        <v>2.5</v>
      </c>
      <c r="AC1369" s="10">
        <f t="shared" si="140"/>
        <v>2.8</v>
      </c>
      <c r="AD1369" s="8" t="s">
        <v>33</v>
      </c>
      <c r="AE1369" s="11">
        <v>39990</v>
      </c>
      <c r="AF1369" s="11">
        <f t="shared" si="141"/>
        <v>279930</v>
      </c>
      <c r="AG1369" s="12" t="s">
        <v>34</v>
      </c>
      <c r="AH1369" s="8" t="s">
        <v>35</v>
      </c>
    </row>
    <row r="1370" spans="1:34">
      <c r="A1370" s="8" t="s">
        <v>1925</v>
      </c>
      <c r="B1370" s="16" t="s">
        <v>2859</v>
      </c>
      <c r="C1370" s="8" t="s">
        <v>40</v>
      </c>
      <c r="D1370" s="8" t="s">
        <v>1923</v>
      </c>
      <c r="E1370" s="8" t="str">
        <f t="shared" si="139"/>
        <v>NEGRO</v>
      </c>
      <c r="G1370" s="8" t="s">
        <v>2861</v>
      </c>
      <c r="H1370" s="8" t="str">
        <f>VLOOKUP(A1370,[1]BBDD!$B$1:$J$3274,9,FALSE)</f>
        <v>U</v>
      </c>
      <c r="I1370" s="8" t="s">
        <v>2861</v>
      </c>
      <c r="J1370" s="8" t="s">
        <v>1924</v>
      </c>
      <c r="L1370" s="8" t="s">
        <v>61</v>
      </c>
      <c r="N1370" s="8" t="s">
        <v>44</v>
      </c>
      <c r="Q1370" s="8" t="s">
        <v>32</v>
      </c>
      <c r="R1370" s="8">
        <v>0</v>
      </c>
      <c r="S1370" s="8">
        <v>11</v>
      </c>
      <c r="T1370" s="8">
        <f t="shared" si="137"/>
        <v>11</v>
      </c>
      <c r="U1370" s="8">
        <v>3</v>
      </c>
      <c r="V1370" s="8">
        <v>3</v>
      </c>
      <c r="W1370" s="8">
        <v>1</v>
      </c>
      <c r="X1370" s="8">
        <v>0</v>
      </c>
      <c r="Y1370" s="8">
        <v>4</v>
      </c>
      <c r="Z1370" s="8">
        <v>3</v>
      </c>
      <c r="AA1370" s="8">
        <v>180</v>
      </c>
      <c r="AB1370" s="9">
        <f t="shared" si="138"/>
        <v>2.3333333333333335</v>
      </c>
      <c r="AC1370" s="10">
        <f t="shared" si="140"/>
        <v>4.7142857142857144</v>
      </c>
      <c r="AD1370" s="8" t="s">
        <v>33</v>
      </c>
      <c r="AE1370" s="11">
        <v>39990</v>
      </c>
      <c r="AF1370" s="11">
        <f t="shared" si="141"/>
        <v>439890</v>
      </c>
      <c r="AG1370" s="12" t="s">
        <v>34</v>
      </c>
      <c r="AH1370" s="8" t="s">
        <v>65</v>
      </c>
    </row>
    <row r="1371" spans="1:34">
      <c r="A1371" s="8" t="s">
        <v>1926</v>
      </c>
      <c r="B1371" s="16" t="s">
        <v>2859</v>
      </c>
      <c r="C1371" s="8" t="s">
        <v>40</v>
      </c>
      <c r="D1371" s="8" t="s">
        <v>1923</v>
      </c>
      <c r="E1371" s="8" t="str">
        <f t="shared" si="139"/>
        <v>ROJO</v>
      </c>
      <c r="G1371" s="8" t="s">
        <v>2861</v>
      </c>
      <c r="H1371" s="8" t="str">
        <f>VLOOKUP(A1371,[1]BBDD!$B$1:$J$3274,9,FALSE)</f>
        <v>U</v>
      </c>
      <c r="I1371" s="8" t="s">
        <v>2861</v>
      </c>
      <c r="J1371" s="8" t="s">
        <v>1924</v>
      </c>
      <c r="L1371" s="8" t="s">
        <v>61</v>
      </c>
      <c r="N1371" s="8" t="s">
        <v>88</v>
      </c>
      <c r="Q1371" s="8" t="s">
        <v>32</v>
      </c>
      <c r="R1371" s="8">
        <v>1</v>
      </c>
      <c r="S1371" s="8">
        <v>9</v>
      </c>
      <c r="T1371" s="8">
        <f t="shared" si="137"/>
        <v>10</v>
      </c>
      <c r="U1371" s="8">
        <v>4</v>
      </c>
      <c r="V1371" s="8">
        <v>2</v>
      </c>
      <c r="W1371" s="8">
        <v>2</v>
      </c>
      <c r="X1371" s="8">
        <v>1</v>
      </c>
      <c r="Y1371" s="8">
        <v>3</v>
      </c>
      <c r="Z1371" s="8">
        <v>3</v>
      </c>
      <c r="AA1371" s="8">
        <v>180</v>
      </c>
      <c r="AB1371" s="9">
        <f t="shared" si="138"/>
        <v>2.5</v>
      </c>
      <c r="AC1371" s="10">
        <f t="shared" si="140"/>
        <v>4</v>
      </c>
      <c r="AD1371" s="8" t="s">
        <v>33</v>
      </c>
      <c r="AE1371" s="11">
        <v>39990</v>
      </c>
      <c r="AF1371" s="11">
        <f t="shared" si="141"/>
        <v>399900</v>
      </c>
      <c r="AG1371" s="12" t="s">
        <v>34</v>
      </c>
      <c r="AH1371" s="8" t="s">
        <v>35</v>
      </c>
    </row>
    <row r="1372" spans="1:34">
      <c r="A1372" s="8" t="s">
        <v>1927</v>
      </c>
      <c r="B1372" s="16" t="s">
        <v>2859</v>
      </c>
      <c r="C1372" s="8" t="s">
        <v>40</v>
      </c>
      <c r="D1372" s="8" t="s">
        <v>1923</v>
      </c>
      <c r="E1372" s="8" t="str">
        <f t="shared" si="139"/>
        <v>TABACO</v>
      </c>
      <c r="G1372" s="8" t="s">
        <v>2861</v>
      </c>
      <c r="H1372" s="8" t="str">
        <f>VLOOKUP(A1372,[1]BBDD!$B$1:$J$3274,9,FALSE)</f>
        <v>U</v>
      </c>
      <c r="I1372" s="8" t="s">
        <v>2861</v>
      </c>
      <c r="J1372" s="8" t="s">
        <v>1924</v>
      </c>
      <c r="L1372" s="8" t="s">
        <v>61</v>
      </c>
      <c r="N1372" s="8" t="s">
        <v>67</v>
      </c>
      <c r="Q1372" s="8" t="s">
        <v>32</v>
      </c>
      <c r="R1372" s="8">
        <v>0</v>
      </c>
      <c r="S1372" s="8">
        <v>9</v>
      </c>
      <c r="T1372" s="8">
        <f t="shared" si="137"/>
        <v>9</v>
      </c>
      <c r="U1372" s="8">
        <v>4</v>
      </c>
      <c r="V1372" s="8">
        <v>2</v>
      </c>
      <c r="W1372" s="8">
        <v>0</v>
      </c>
      <c r="X1372" s="8">
        <v>0</v>
      </c>
      <c r="Y1372" s="8">
        <v>4</v>
      </c>
      <c r="Z1372" s="8">
        <v>1</v>
      </c>
      <c r="AA1372" s="8">
        <v>180</v>
      </c>
      <c r="AB1372" s="9">
        <f t="shared" si="138"/>
        <v>1.8333333333333333</v>
      </c>
      <c r="AC1372" s="10">
        <f t="shared" si="140"/>
        <v>4.9090909090909092</v>
      </c>
      <c r="AD1372" s="8" t="s">
        <v>33</v>
      </c>
      <c r="AE1372" s="11">
        <v>39990</v>
      </c>
      <c r="AF1372" s="11">
        <f t="shared" si="141"/>
        <v>359910</v>
      </c>
      <c r="AG1372" s="12" t="s">
        <v>34</v>
      </c>
      <c r="AH1372" s="8" t="s">
        <v>35</v>
      </c>
    </row>
    <row r="1373" spans="1:34">
      <c r="A1373" s="8" t="s">
        <v>1928</v>
      </c>
      <c r="B1373" s="16" t="s">
        <v>2859</v>
      </c>
      <c r="C1373" s="8" t="s">
        <v>40</v>
      </c>
      <c r="D1373" s="8" t="s">
        <v>1923</v>
      </c>
      <c r="E1373" s="8" t="str">
        <f t="shared" si="139"/>
        <v>AZUL</v>
      </c>
      <c r="G1373" s="8" t="s">
        <v>2861</v>
      </c>
      <c r="H1373" s="8" t="str">
        <f>VLOOKUP(A1373,[1]BBDD!$B$1:$J$3274,9,FALSE)</f>
        <v>U</v>
      </c>
      <c r="I1373" s="8" t="s">
        <v>2861</v>
      </c>
      <c r="J1373" s="8" t="s">
        <v>1924</v>
      </c>
      <c r="L1373" s="8" t="s">
        <v>71</v>
      </c>
      <c r="N1373" s="8" t="s">
        <v>83</v>
      </c>
      <c r="Q1373" s="8" t="s">
        <v>32</v>
      </c>
      <c r="R1373" s="8">
        <v>1</v>
      </c>
      <c r="S1373" s="8">
        <v>12</v>
      </c>
      <c r="T1373" s="8">
        <f t="shared" si="137"/>
        <v>13</v>
      </c>
      <c r="U1373" s="8">
        <v>2</v>
      </c>
      <c r="V1373" s="8">
        <v>2</v>
      </c>
      <c r="W1373" s="8">
        <v>1</v>
      </c>
      <c r="X1373" s="8">
        <v>1</v>
      </c>
      <c r="Y1373" s="8">
        <v>0</v>
      </c>
      <c r="Z1373" s="8">
        <v>1</v>
      </c>
      <c r="AA1373" s="8">
        <v>180</v>
      </c>
      <c r="AB1373" s="9">
        <f t="shared" si="138"/>
        <v>1.1666666666666667</v>
      </c>
      <c r="AC1373" s="10">
        <f t="shared" si="140"/>
        <v>11.142857142857142</v>
      </c>
      <c r="AD1373" s="8" t="s">
        <v>33</v>
      </c>
      <c r="AE1373" s="11">
        <v>39990</v>
      </c>
      <c r="AF1373" s="11">
        <f t="shared" si="141"/>
        <v>519870</v>
      </c>
      <c r="AG1373" s="12" t="s">
        <v>51</v>
      </c>
      <c r="AH1373" s="8" t="s">
        <v>65</v>
      </c>
    </row>
    <row r="1374" spans="1:34">
      <c r="A1374" s="8" t="s">
        <v>1929</v>
      </c>
      <c r="B1374" s="16" t="s">
        <v>2859</v>
      </c>
      <c r="C1374" s="8" t="s">
        <v>40</v>
      </c>
      <c r="D1374" s="8" t="s">
        <v>1923</v>
      </c>
      <c r="E1374" s="8" t="str">
        <f t="shared" si="139"/>
        <v>CAFE</v>
      </c>
      <c r="G1374" s="8" t="s">
        <v>2861</v>
      </c>
      <c r="H1374" s="8" t="str">
        <f>VLOOKUP(A1374,[1]BBDD!$B$1:$J$3274,9,FALSE)</f>
        <v>U</v>
      </c>
      <c r="I1374" s="8" t="s">
        <v>2861</v>
      </c>
      <c r="J1374" s="8" t="s">
        <v>1924</v>
      </c>
      <c r="L1374" s="8" t="s">
        <v>71</v>
      </c>
      <c r="N1374" s="8" t="s">
        <v>76</v>
      </c>
      <c r="Q1374" s="8" t="s">
        <v>32</v>
      </c>
      <c r="R1374" s="8">
        <v>5</v>
      </c>
      <c r="S1374" s="8">
        <v>10</v>
      </c>
      <c r="T1374" s="8">
        <f t="shared" si="137"/>
        <v>15</v>
      </c>
      <c r="U1374" s="8">
        <v>3</v>
      </c>
      <c r="V1374" s="8">
        <v>0</v>
      </c>
      <c r="W1374" s="8">
        <v>2</v>
      </c>
      <c r="X1374" s="8">
        <v>1</v>
      </c>
      <c r="Y1374" s="8">
        <v>1</v>
      </c>
      <c r="Z1374" s="8">
        <v>2</v>
      </c>
      <c r="AA1374" s="8">
        <v>180</v>
      </c>
      <c r="AB1374" s="9">
        <f t="shared" si="138"/>
        <v>1.5</v>
      </c>
      <c r="AC1374" s="10">
        <f t="shared" si="140"/>
        <v>10</v>
      </c>
      <c r="AD1374" s="8" t="s">
        <v>33</v>
      </c>
      <c r="AE1374" s="11">
        <v>39990</v>
      </c>
      <c r="AF1374" s="11">
        <f t="shared" si="141"/>
        <v>599850</v>
      </c>
      <c r="AG1374" s="12" t="s">
        <v>51</v>
      </c>
      <c r="AH1374" s="8" t="s">
        <v>65</v>
      </c>
    </row>
    <row r="1375" spans="1:34">
      <c r="A1375" s="8" t="s">
        <v>1930</v>
      </c>
      <c r="B1375" s="16" t="s">
        <v>2859</v>
      </c>
      <c r="C1375" s="8" t="s">
        <v>40</v>
      </c>
      <c r="D1375" s="8" t="s">
        <v>1923</v>
      </c>
      <c r="E1375" s="8" t="str">
        <f t="shared" si="139"/>
        <v>OLIVE</v>
      </c>
      <c r="G1375" s="8" t="s">
        <v>2861</v>
      </c>
      <c r="H1375" s="8" t="str">
        <f>VLOOKUP(A1375,[1]BBDD!$B$1:$J$3274,9,FALSE)</f>
        <v>U</v>
      </c>
      <c r="I1375" s="8" t="s">
        <v>2861</v>
      </c>
      <c r="J1375" s="8" t="s">
        <v>1924</v>
      </c>
      <c r="L1375" s="8" t="s">
        <v>71</v>
      </c>
      <c r="N1375" s="8" t="s">
        <v>159</v>
      </c>
      <c r="Q1375" s="8" t="s">
        <v>32</v>
      </c>
      <c r="R1375" s="8">
        <v>0</v>
      </c>
      <c r="S1375" s="8">
        <v>6</v>
      </c>
      <c r="T1375" s="8">
        <f t="shared" si="137"/>
        <v>6</v>
      </c>
      <c r="U1375" s="8">
        <v>6</v>
      </c>
      <c r="V1375" s="8">
        <v>1</v>
      </c>
      <c r="W1375" s="8">
        <v>4</v>
      </c>
      <c r="X1375" s="8">
        <v>3</v>
      </c>
      <c r="Y1375" s="8">
        <v>1</v>
      </c>
      <c r="Z1375" s="8">
        <v>0</v>
      </c>
      <c r="AA1375" s="8">
        <v>180</v>
      </c>
      <c r="AB1375" s="9">
        <f t="shared" si="138"/>
        <v>2.5</v>
      </c>
      <c r="AC1375" s="10">
        <f t="shared" si="140"/>
        <v>2.4</v>
      </c>
      <c r="AD1375" s="8" t="s">
        <v>33</v>
      </c>
      <c r="AE1375" s="11">
        <v>39990</v>
      </c>
      <c r="AF1375" s="11">
        <f t="shared" si="141"/>
        <v>239940</v>
      </c>
      <c r="AG1375" s="12" t="s">
        <v>34</v>
      </c>
      <c r="AH1375" s="8" t="s">
        <v>35</v>
      </c>
    </row>
    <row r="1376" spans="1:34">
      <c r="A1376" s="8" t="s">
        <v>1931</v>
      </c>
      <c r="B1376" s="16" t="s">
        <v>2859</v>
      </c>
      <c r="C1376" s="8" t="s">
        <v>40</v>
      </c>
      <c r="D1376" s="8" t="s">
        <v>1923</v>
      </c>
      <c r="E1376" s="8" t="str">
        <f t="shared" si="139"/>
        <v>VESUBIO</v>
      </c>
      <c r="G1376" s="8" t="s">
        <v>2861</v>
      </c>
      <c r="H1376" s="8" t="str">
        <f>VLOOKUP(A1376,[1]BBDD!$B$1:$J$3274,9,FALSE)</f>
        <v>U</v>
      </c>
      <c r="I1376" s="8" t="s">
        <v>2861</v>
      </c>
      <c r="J1376" s="8" t="s">
        <v>1924</v>
      </c>
      <c r="L1376" s="8" t="s">
        <v>71</v>
      </c>
      <c r="N1376" s="8" t="s">
        <v>80</v>
      </c>
      <c r="Q1376" s="8" t="s">
        <v>32</v>
      </c>
      <c r="R1376" s="8">
        <v>1</v>
      </c>
      <c r="S1376" s="8">
        <v>9</v>
      </c>
      <c r="T1376" s="8">
        <f t="shared" ref="T1376:T1439" si="142">SUM(R1376:S1376)</f>
        <v>10</v>
      </c>
      <c r="U1376" s="8">
        <v>3</v>
      </c>
      <c r="V1376" s="8">
        <v>3</v>
      </c>
      <c r="W1376" s="8">
        <v>0</v>
      </c>
      <c r="X1376" s="8">
        <v>3</v>
      </c>
      <c r="Y1376" s="8">
        <v>2</v>
      </c>
      <c r="Z1376" s="8">
        <v>2</v>
      </c>
      <c r="AA1376" s="8">
        <v>180</v>
      </c>
      <c r="AB1376" s="9">
        <f t="shared" ref="AB1376:AB1439" si="143">SUM(U1376:Z1376)/AA1376*30</f>
        <v>2.1666666666666665</v>
      </c>
      <c r="AC1376" s="10">
        <f t="shared" si="140"/>
        <v>4.6153846153846159</v>
      </c>
      <c r="AD1376" s="8" t="s">
        <v>33</v>
      </c>
      <c r="AE1376" s="11">
        <v>39990</v>
      </c>
      <c r="AF1376" s="11">
        <f t="shared" si="141"/>
        <v>399900</v>
      </c>
      <c r="AG1376" s="12" t="s">
        <v>34</v>
      </c>
      <c r="AH1376" s="8" t="s">
        <v>35</v>
      </c>
    </row>
    <row r="1377" spans="1:34">
      <c r="A1377" s="8" t="s">
        <v>1932</v>
      </c>
      <c r="B1377" s="16" t="s">
        <v>2859</v>
      </c>
      <c r="C1377" s="8" t="s">
        <v>40</v>
      </c>
      <c r="D1377" s="8" t="s">
        <v>1923</v>
      </c>
      <c r="E1377" s="8" t="str">
        <f t="shared" si="139"/>
        <v>GRIS MEDIO</v>
      </c>
      <c r="G1377" s="8" t="s">
        <v>2861</v>
      </c>
      <c r="H1377" s="8" t="str">
        <f>VLOOKUP(A1377,[1]BBDD!$B$1:$J$3274,9,FALSE)</f>
        <v>U</v>
      </c>
      <c r="I1377" s="8" t="s">
        <v>2861</v>
      </c>
      <c r="J1377" s="8" t="s">
        <v>1924</v>
      </c>
      <c r="L1377" s="8" t="s">
        <v>71</v>
      </c>
      <c r="N1377" s="8" t="s">
        <v>157</v>
      </c>
      <c r="Q1377" s="8" t="s">
        <v>45</v>
      </c>
      <c r="R1377" s="8">
        <v>0</v>
      </c>
      <c r="S1377" s="8">
        <v>8</v>
      </c>
      <c r="T1377" s="8">
        <f t="shared" si="142"/>
        <v>8</v>
      </c>
      <c r="U1377" s="8">
        <v>1</v>
      </c>
      <c r="V1377" s="8">
        <v>1</v>
      </c>
      <c r="W1377" s="8">
        <v>1</v>
      </c>
      <c r="X1377" s="8">
        <v>0</v>
      </c>
      <c r="Y1377" s="8">
        <v>0</v>
      </c>
      <c r="Z1377" s="8">
        <v>1</v>
      </c>
      <c r="AA1377" s="8">
        <v>180</v>
      </c>
      <c r="AB1377" s="9">
        <f t="shared" si="143"/>
        <v>0.66666666666666674</v>
      </c>
      <c r="AC1377" s="10">
        <f t="shared" si="140"/>
        <v>11.999999999999998</v>
      </c>
      <c r="AD1377" s="8" t="s">
        <v>109</v>
      </c>
      <c r="AE1377" s="11">
        <v>39990</v>
      </c>
      <c r="AF1377" s="11">
        <f t="shared" si="141"/>
        <v>319920</v>
      </c>
      <c r="AG1377" s="12" t="s">
        <v>51</v>
      </c>
      <c r="AH1377" s="8" t="s">
        <v>35</v>
      </c>
    </row>
    <row r="1378" spans="1:34">
      <c r="A1378" s="8" t="s">
        <v>1933</v>
      </c>
      <c r="B1378" s="16" t="s">
        <v>2859</v>
      </c>
      <c r="C1378" s="8" t="s">
        <v>40</v>
      </c>
      <c r="D1378" s="8" t="s">
        <v>1923</v>
      </c>
      <c r="E1378" s="8" t="str">
        <f t="shared" si="139"/>
        <v>OXIDO</v>
      </c>
      <c r="G1378" s="8" t="s">
        <v>2861</v>
      </c>
      <c r="H1378" s="8" t="str">
        <f>VLOOKUP(A1378,[1]BBDD!$B$1:$J$3274,9,FALSE)</f>
        <v>U</v>
      </c>
      <c r="I1378" s="8" t="s">
        <v>2861</v>
      </c>
      <c r="J1378" s="8" t="s">
        <v>1924</v>
      </c>
      <c r="L1378" s="8" t="s">
        <v>71</v>
      </c>
      <c r="N1378" s="8" t="s">
        <v>78</v>
      </c>
      <c r="Q1378" s="8" t="s">
        <v>45</v>
      </c>
      <c r="R1378" s="8">
        <v>0</v>
      </c>
      <c r="S1378" s="8">
        <v>2</v>
      </c>
      <c r="T1378" s="8">
        <f t="shared" si="142"/>
        <v>2</v>
      </c>
      <c r="U1378" s="8">
        <v>1</v>
      </c>
      <c r="V1378" s="8">
        <v>1</v>
      </c>
      <c r="W1378" s="8">
        <v>1</v>
      </c>
      <c r="X1378" s="8">
        <v>0</v>
      </c>
      <c r="Y1378" s="8">
        <v>0</v>
      </c>
      <c r="Z1378" s="8">
        <v>0</v>
      </c>
      <c r="AA1378" s="8">
        <v>180</v>
      </c>
      <c r="AB1378" s="9">
        <f t="shared" si="143"/>
        <v>0.5</v>
      </c>
      <c r="AC1378" s="10">
        <f t="shared" si="140"/>
        <v>4</v>
      </c>
      <c r="AD1378" s="8" t="s">
        <v>109</v>
      </c>
      <c r="AE1378" s="11">
        <v>39990</v>
      </c>
      <c r="AF1378" s="11">
        <f t="shared" si="141"/>
        <v>79980</v>
      </c>
      <c r="AG1378" s="12" t="s">
        <v>34</v>
      </c>
      <c r="AH1378" s="8" t="s">
        <v>35</v>
      </c>
    </row>
    <row r="1379" spans="1:34">
      <c r="A1379" s="8" t="s">
        <v>1934</v>
      </c>
      <c r="B1379" s="16" t="s">
        <v>2859</v>
      </c>
      <c r="C1379" s="8" t="s">
        <v>40</v>
      </c>
      <c r="D1379" s="8" t="s">
        <v>1923</v>
      </c>
      <c r="E1379" s="8" t="str">
        <f t="shared" si="139"/>
        <v>OXIDO/CARAMELO</v>
      </c>
      <c r="G1379" s="8" t="s">
        <v>2861</v>
      </c>
      <c r="H1379" s="8" t="str">
        <f>VLOOKUP(A1379,[1]BBDD!$B$1:$J$3274,9,FALSE)</f>
        <v>U</v>
      </c>
      <c r="I1379" s="8" t="s">
        <v>2861</v>
      </c>
      <c r="J1379" s="8" t="s">
        <v>1924</v>
      </c>
      <c r="L1379" s="8" t="s">
        <v>71</v>
      </c>
      <c r="N1379" s="8" t="s">
        <v>1935</v>
      </c>
      <c r="Q1379" s="8" t="s">
        <v>45</v>
      </c>
      <c r="R1379" s="8">
        <v>0</v>
      </c>
      <c r="S1379" s="8">
        <v>6</v>
      </c>
      <c r="T1379" s="8">
        <f t="shared" si="142"/>
        <v>6</v>
      </c>
      <c r="U1379" s="8">
        <v>0</v>
      </c>
      <c r="V1379" s="8">
        <v>1</v>
      </c>
      <c r="W1379" s="8">
        <v>0</v>
      </c>
      <c r="X1379" s="8">
        <v>0</v>
      </c>
      <c r="Y1379" s="8">
        <v>0</v>
      </c>
      <c r="Z1379" s="8">
        <v>1</v>
      </c>
      <c r="AA1379" s="8">
        <v>180</v>
      </c>
      <c r="AB1379" s="9">
        <f t="shared" si="143"/>
        <v>0.33333333333333337</v>
      </c>
      <c r="AC1379" s="10">
        <f t="shared" si="140"/>
        <v>17.999999999999996</v>
      </c>
      <c r="AD1379" s="8" t="s">
        <v>109</v>
      </c>
      <c r="AE1379" s="11">
        <v>39990</v>
      </c>
      <c r="AF1379" s="11">
        <f t="shared" si="141"/>
        <v>239940</v>
      </c>
      <c r="AG1379" s="12" t="s">
        <v>64</v>
      </c>
      <c r="AH1379" s="8" t="s">
        <v>35</v>
      </c>
    </row>
    <row r="1380" spans="1:34">
      <c r="A1380" s="8" t="s">
        <v>1936</v>
      </c>
      <c r="B1380" s="16" t="s">
        <v>2859</v>
      </c>
      <c r="C1380" s="8" t="s">
        <v>40</v>
      </c>
      <c r="D1380" s="8" t="s">
        <v>1923</v>
      </c>
      <c r="E1380" s="8" t="str">
        <f t="shared" si="139"/>
        <v>BEIGE</v>
      </c>
      <c r="G1380" s="8" t="s">
        <v>2861</v>
      </c>
      <c r="H1380" s="8" t="str">
        <f>VLOOKUP(A1380,[1]BBDD!$B$1:$J$3274,9,FALSE)</f>
        <v>U</v>
      </c>
      <c r="I1380" s="8" t="s">
        <v>2861</v>
      </c>
      <c r="J1380" s="8" t="s">
        <v>1924</v>
      </c>
      <c r="L1380" s="8" t="s">
        <v>30</v>
      </c>
      <c r="N1380" s="8" t="s">
        <v>516</v>
      </c>
      <c r="Q1380" s="8" t="s">
        <v>32</v>
      </c>
      <c r="R1380" s="8">
        <v>0</v>
      </c>
      <c r="S1380" s="8">
        <v>1</v>
      </c>
      <c r="T1380" s="8">
        <f t="shared" si="142"/>
        <v>1</v>
      </c>
      <c r="U1380" s="8">
        <v>0</v>
      </c>
      <c r="V1380" s="8">
        <v>1</v>
      </c>
      <c r="W1380" s="8">
        <v>0</v>
      </c>
      <c r="X1380" s="8">
        <v>3</v>
      </c>
      <c r="Y1380" s="8">
        <v>1</v>
      </c>
      <c r="Z1380" s="8">
        <v>1</v>
      </c>
      <c r="AA1380" s="8">
        <v>180</v>
      </c>
      <c r="AB1380" s="9">
        <f t="shared" si="143"/>
        <v>1</v>
      </c>
      <c r="AC1380" s="10">
        <f t="shared" si="140"/>
        <v>1</v>
      </c>
      <c r="AD1380" s="8" t="s">
        <v>33</v>
      </c>
      <c r="AE1380" s="11">
        <v>39990</v>
      </c>
      <c r="AF1380" s="11">
        <f t="shared" si="141"/>
        <v>39990</v>
      </c>
      <c r="AG1380" s="12" t="s">
        <v>34</v>
      </c>
      <c r="AH1380" s="8" t="s">
        <v>35</v>
      </c>
    </row>
    <row r="1381" spans="1:34">
      <c r="A1381" s="8" t="s">
        <v>1937</v>
      </c>
      <c r="B1381" s="16" t="s">
        <v>2859</v>
      </c>
      <c r="C1381" s="8" t="s">
        <v>40</v>
      </c>
      <c r="D1381" s="8" t="s">
        <v>1923</v>
      </c>
      <c r="E1381" s="8" t="str">
        <f t="shared" si="139"/>
        <v>MARRON</v>
      </c>
      <c r="G1381" s="8" t="s">
        <v>2861</v>
      </c>
      <c r="H1381" s="8" t="str">
        <f>VLOOKUP(A1381,[1]BBDD!$B$1:$J$3274,9,FALSE)</f>
        <v>U</v>
      </c>
      <c r="I1381" s="8" t="s">
        <v>2861</v>
      </c>
      <c r="J1381" s="8" t="s">
        <v>1924</v>
      </c>
      <c r="L1381" s="8" t="s">
        <v>30</v>
      </c>
      <c r="N1381" s="8" t="s">
        <v>452</v>
      </c>
      <c r="Q1381" s="8" t="s">
        <v>32</v>
      </c>
      <c r="R1381" s="8">
        <v>0</v>
      </c>
      <c r="S1381" s="8">
        <v>0</v>
      </c>
      <c r="T1381" s="8">
        <f t="shared" si="142"/>
        <v>0</v>
      </c>
      <c r="U1381" s="8">
        <v>3</v>
      </c>
      <c r="V1381" s="8">
        <v>3</v>
      </c>
      <c r="W1381" s="8">
        <v>0</v>
      </c>
      <c r="X1381" s="8">
        <v>3</v>
      </c>
      <c r="Y1381" s="8">
        <v>0</v>
      </c>
      <c r="Z1381" s="8">
        <v>1</v>
      </c>
      <c r="AA1381" s="8">
        <v>180</v>
      </c>
      <c r="AB1381" s="9">
        <f t="shared" si="143"/>
        <v>1.6666666666666665</v>
      </c>
      <c r="AC1381" s="10">
        <f t="shared" si="140"/>
        <v>0</v>
      </c>
      <c r="AD1381" s="8" t="s">
        <v>33</v>
      </c>
      <c r="AE1381" s="11">
        <v>39990</v>
      </c>
      <c r="AF1381" s="11">
        <f t="shared" si="141"/>
        <v>0</v>
      </c>
      <c r="AG1381" s="12" t="s">
        <v>34</v>
      </c>
      <c r="AH1381" s="8" t="s">
        <v>35</v>
      </c>
    </row>
    <row r="1382" spans="1:34">
      <c r="A1382" s="8" t="s">
        <v>1938</v>
      </c>
      <c r="B1382" s="16" t="s">
        <v>2860</v>
      </c>
      <c r="C1382" s="8" t="s">
        <v>40</v>
      </c>
      <c r="D1382" s="8" t="s">
        <v>1923</v>
      </c>
      <c r="E1382" s="8" t="str">
        <f t="shared" si="139"/>
        <v>CHOCOLATE</v>
      </c>
      <c r="G1382" s="8" t="s">
        <v>2861</v>
      </c>
      <c r="H1382" s="8" t="str">
        <f>VLOOKUP(A1382,[1]BBDD!$B$1:$J$3274,9,FALSE)</f>
        <v>U</v>
      </c>
      <c r="I1382" s="8" t="s">
        <v>2861</v>
      </c>
      <c r="J1382" s="8" t="s">
        <v>1939</v>
      </c>
      <c r="L1382" s="8" t="s">
        <v>61</v>
      </c>
      <c r="N1382" s="8" t="s">
        <v>252</v>
      </c>
      <c r="Q1382" s="8" t="s">
        <v>32</v>
      </c>
      <c r="R1382" s="8">
        <v>9</v>
      </c>
      <c r="S1382" s="8">
        <v>8</v>
      </c>
      <c r="T1382" s="8">
        <f t="shared" si="142"/>
        <v>17</v>
      </c>
      <c r="U1382" s="8">
        <v>1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180</v>
      </c>
      <c r="AB1382" s="9">
        <f t="shared" si="143"/>
        <v>0.16666666666666669</v>
      </c>
      <c r="AC1382" s="10">
        <f t="shared" si="140"/>
        <v>101.99999999999999</v>
      </c>
      <c r="AD1382" s="8" t="s">
        <v>33</v>
      </c>
      <c r="AE1382" s="11">
        <v>88990</v>
      </c>
      <c r="AF1382" s="11">
        <f t="shared" si="141"/>
        <v>1512830</v>
      </c>
      <c r="AG1382" s="12" t="s">
        <v>73</v>
      </c>
      <c r="AH1382" s="8" t="s">
        <v>65</v>
      </c>
    </row>
    <row r="1383" spans="1:34">
      <c r="A1383" s="8" t="s">
        <v>1940</v>
      </c>
      <c r="B1383" s="16" t="s">
        <v>2860</v>
      </c>
      <c r="C1383" s="8" t="s">
        <v>40</v>
      </c>
      <c r="D1383" s="8" t="s">
        <v>1923</v>
      </c>
      <c r="E1383" s="8" t="str">
        <f t="shared" si="139"/>
        <v>NEGRO</v>
      </c>
      <c r="G1383" s="8" t="s">
        <v>2861</v>
      </c>
      <c r="H1383" s="8" t="str">
        <f>VLOOKUP(A1383,[1]BBDD!$B$1:$J$3274,9,FALSE)</f>
        <v>U</v>
      </c>
      <c r="I1383" s="8" t="s">
        <v>2861</v>
      </c>
      <c r="J1383" s="8" t="s">
        <v>1939</v>
      </c>
      <c r="L1383" s="8" t="s">
        <v>61</v>
      </c>
      <c r="N1383" s="8" t="s">
        <v>44</v>
      </c>
      <c r="Q1383" s="8" t="s">
        <v>32</v>
      </c>
      <c r="R1383" s="8">
        <v>3</v>
      </c>
      <c r="S1383" s="8">
        <v>8</v>
      </c>
      <c r="T1383" s="8">
        <f t="shared" si="142"/>
        <v>11</v>
      </c>
      <c r="U1383" s="8">
        <v>3</v>
      </c>
      <c r="V1383" s="8">
        <v>1</v>
      </c>
      <c r="W1383" s="8">
        <v>2</v>
      </c>
      <c r="X1383" s="8">
        <v>1</v>
      </c>
      <c r="Y1383" s="8">
        <v>0</v>
      </c>
      <c r="Z1383" s="8">
        <v>0</v>
      </c>
      <c r="AA1383" s="8">
        <v>180</v>
      </c>
      <c r="AB1383" s="9">
        <f t="shared" si="143"/>
        <v>1.1666666666666667</v>
      </c>
      <c r="AC1383" s="10">
        <f t="shared" si="140"/>
        <v>9.4285714285714288</v>
      </c>
      <c r="AD1383" s="8" t="s">
        <v>33</v>
      </c>
      <c r="AE1383" s="11">
        <v>88990</v>
      </c>
      <c r="AF1383" s="11">
        <f t="shared" si="141"/>
        <v>978890</v>
      </c>
      <c r="AG1383" s="12" t="s">
        <v>51</v>
      </c>
      <c r="AH1383" s="8" t="s">
        <v>65</v>
      </c>
    </row>
    <row r="1384" spans="1:34">
      <c r="A1384" s="8" t="s">
        <v>1941</v>
      </c>
      <c r="B1384" s="16" t="s">
        <v>2860</v>
      </c>
      <c r="C1384" s="8" t="s">
        <v>40</v>
      </c>
      <c r="D1384" s="8" t="s">
        <v>1923</v>
      </c>
      <c r="E1384" s="8" t="str">
        <f t="shared" si="139"/>
        <v>TABACO</v>
      </c>
      <c r="G1384" s="8" t="s">
        <v>2861</v>
      </c>
      <c r="H1384" s="8" t="str">
        <f>VLOOKUP(A1384,[1]BBDD!$B$1:$J$3274,9,FALSE)</f>
        <v>U</v>
      </c>
      <c r="I1384" s="8" t="s">
        <v>2861</v>
      </c>
      <c r="J1384" s="8" t="s">
        <v>1939</v>
      </c>
      <c r="L1384" s="8" t="s">
        <v>61</v>
      </c>
      <c r="N1384" s="8" t="s">
        <v>67</v>
      </c>
      <c r="Q1384" s="8" t="s">
        <v>32</v>
      </c>
      <c r="R1384" s="8">
        <v>3</v>
      </c>
      <c r="S1384" s="8">
        <v>7</v>
      </c>
      <c r="T1384" s="8">
        <f t="shared" si="142"/>
        <v>10</v>
      </c>
      <c r="U1384" s="8">
        <v>1</v>
      </c>
      <c r="V1384" s="8">
        <v>0</v>
      </c>
      <c r="W1384" s="8">
        <v>1</v>
      </c>
      <c r="X1384" s="8">
        <v>2</v>
      </c>
      <c r="Y1384" s="8">
        <v>0</v>
      </c>
      <c r="Z1384" s="8">
        <v>1</v>
      </c>
      <c r="AA1384" s="8">
        <v>180</v>
      </c>
      <c r="AB1384" s="9">
        <f t="shared" si="143"/>
        <v>0.83333333333333326</v>
      </c>
      <c r="AC1384" s="10">
        <f t="shared" si="140"/>
        <v>12.000000000000002</v>
      </c>
      <c r="AD1384" s="8" t="s">
        <v>33</v>
      </c>
      <c r="AE1384" s="11">
        <v>88990</v>
      </c>
      <c r="AF1384" s="11">
        <f t="shared" si="141"/>
        <v>889900</v>
      </c>
      <c r="AG1384" s="12" t="s">
        <v>51</v>
      </c>
      <c r="AH1384" s="8" t="s">
        <v>35</v>
      </c>
    </row>
    <row r="1385" spans="1:34">
      <c r="A1385" s="8" t="s">
        <v>1942</v>
      </c>
      <c r="B1385" s="16" t="s">
        <v>2860</v>
      </c>
      <c r="C1385" s="8" t="s">
        <v>40</v>
      </c>
      <c r="D1385" s="8" t="s">
        <v>1923</v>
      </c>
      <c r="E1385" s="8" t="str">
        <f t="shared" si="139"/>
        <v>CARAMELO</v>
      </c>
      <c r="G1385" s="8" t="s">
        <v>2861</v>
      </c>
      <c r="H1385" s="8" t="str">
        <f>VLOOKUP(A1385,[1]BBDD!$B$1:$J$3274,9,FALSE)</f>
        <v>U</v>
      </c>
      <c r="I1385" s="8" t="s">
        <v>2861</v>
      </c>
      <c r="J1385" s="8" t="s">
        <v>1939</v>
      </c>
      <c r="L1385" s="8" t="s">
        <v>61</v>
      </c>
      <c r="N1385" s="8" t="s">
        <v>62</v>
      </c>
      <c r="Q1385" s="8" t="s">
        <v>45</v>
      </c>
      <c r="R1385" s="8">
        <v>0</v>
      </c>
      <c r="S1385" s="8">
        <v>8</v>
      </c>
      <c r="T1385" s="8">
        <f t="shared" si="142"/>
        <v>8</v>
      </c>
      <c r="U1385" s="8">
        <v>0</v>
      </c>
      <c r="V1385" s="8">
        <v>0</v>
      </c>
      <c r="W1385" s="8">
        <v>1</v>
      </c>
      <c r="X1385" s="8">
        <v>3</v>
      </c>
      <c r="Y1385" s="8">
        <v>0</v>
      </c>
      <c r="Z1385" s="8">
        <v>0</v>
      </c>
      <c r="AA1385" s="8">
        <v>180</v>
      </c>
      <c r="AB1385" s="9">
        <f t="shared" si="143"/>
        <v>0.66666666666666674</v>
      </c>
      <c r="AC1385" s="10">
        <f t="shared" si="140"/>
        <v>11.999999999999998</v>
      </c>
      <c r="AD1385" s="8" t="s">
        <v>109</v>
      </c>
      <c r="AE1385" s="11">
        <v>88990</v>
      </c>
      <c r="AF1385" s="11">
        <f t="shared" si="141"/>
        <v>711920</v>
      </c>
      <c r="AG1385" s="12" t="s">
        <v>51</v>
      </c>
      <c r="AH1385" s="8" t="s">
        <v>35</v>
      </c>
    </row>
    <row r="1386" spans="1:34">
      <c r="A1386" s="8" t="s">
        <v>1943</v>
      </c>
      <c r="B1386" s="16" t="s">
        <v>2860</v>
      </c>
      <c r="C1386" s="8" t="s">
        <v>40</v>
      </c>
      <c r="D1386" s="8" t="s">
        <v>1923</v>
      </c>
      <c r="E1386" s="8" t="str">
        <f t="shared" si="139"/>
        <v>SUELA</v>
      </c>
      <c r="G1386" s="8" t="s">
        <v>2861</v>
      </c>
      <c r="H1386" s="8" t="str">
        <f>VLOOKUP(A1386,[1]BBDD!$B$1:$J$3274,9,FALSE)</f>
        <v>U</v>
      </c>
      <c r="I1386" s="8" t="s">
        <v>2861</v>
      </c>
      <c r="J1386" s="8" t="s">
        <v>1939</v>
      </c>
      <c r="L1386" s="8" t="s">
        <v>61</v>
      </c>
      <c r="N1386" s="8" t="s">
        <v>90</v>
      </c>
      <c r="Q1386" s="8" t="s">
        <v>45</v>
      </c>
      <c r="R1386" s="8">
        <v>0</v>
      </c>
      <c r="S1386" s="8">
        <v>4</v>
      </c>
      <c r="T1386" s="8">
        <f t="shared" si="142"/>
        <v>4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180</v>
      </c>
      <c r="AB1386" s="9">
        <f t="shared" si="143"/>
        <v>0</v>
      </c>
      <c r="AC1386" s="10" t="str">
        <f t="shared" si="140"/>
        <v>sin venta</v>
      </c>
      <c r="AD1386" s="8" t="s">
        <v>109</v>
      </c>
      <c r="AE1386" s="11">
        <v>88990</v>
      </c>
      <c r="AF1386" s="11">
        <f t="shared" si="141"/>
        <v>355960</v>
      </c>
      <c r="AG1386" s="12" t="s">
        <v>73</v>
      </c>
      <c r="AH1386" s="8" t="s">
        <v>35</v>
      </c>
    </row>
    <row r="1387" spans="1:34">
      <c r="A1387" s="8" t="s">
        <v>1944</v>
      </c>
      <c r="B1387" s="16" t="s">
        <v>2860</v>
      </c>
      <c r="C1387" s="8" t="s">
        <v>40</v>
      </c>
      <c r="D1387" s="8" t="s">
        <v>1923</v>
      </c>
      <c r="E1387" s="8" t="str">
        <f t="shared" si="139"/>
        <v>NEGRO</v>
      </c>
      <c r="G1387" s="8" t="s">
        <v>2861</v>
      </c>
      <c r="H1387" s="8" t="str">
        <f>VLOOKUP(A1387,[1]BBDD!$B$1:$J$3274,9,FALSE)</f>
        <v>U</v>
      </c>
      <c r="I1387" s="8" t="s">
        <v>2861</v>
      </c>
      <c r="J1387" s="8" t="s">
        <v>1945</v>
      </c>
      <c r="L1387" s="8" t="s">
        <v>61</v>
      </c>
      <c r="N1387" s="8" t="s">
        <v>44</v>
      </c>
      <c r="Q1387" s="8" t="s">
        <v>32</v>
      </c>
      <c r="R1387" s="8">
        <v>1</v>
      </c>
      <c r="S1387" s="8">
        <v>9</v>
      </c>
      <c r="T1387" s="8">
        <f t="shared" si="142"/>
        <v>10</v>
      </c>
      <c r="U1387" s="8">
        <v>1</v>
      </c>
      <c r="V1387" s="8">
        <v>1</v>
      </c>
      <c r="W1387" s="8">
        <v>2</v>
      </c>
      <c r="X1387" s="8">
        <v>2</v>
      </c>
      <c r="Y1387" s="8">
        <v>1</v>
      </c>
      <c r="Z1387" s="8">
        <v>3</v>
      </c>
      <c r="AA1387" s="8">
        <v>180</v>
      </c>
      <c r="AB1387" s="9">
        <f t="shared" si="143"/>
        <v>1.6666666666666665</v>
      </c>
      <c r="AC1387" s="10">
        <f t="shared" si="140"/>
        <v>6.0000000000000009</v>
      </c>
      <c r="AD1387" s="8" t="s">
        <v>33</v>
      </c>
      <c r="AE1387" s="11">
        <v>88990</v>
      </c>
      <c r="AF1387" s="11">
        <f t="shared" si="141"/>
        <v>889900</v>
      </c>
      <c r="AG1387" s="12" t="s">
        <v>34</v>
      </c>
      <c r="AH1387" s="8" t="s">
        <v>35</v>
      </c>
    </row>
    <row r="1388" spans="1:34">
      <c r="A1388" s="8" t="s">
        <v>1946</v>
      </c>
      <c r="B1388" s="16" t="s">
        <v>1286</v>
      </c>
      <c r="C1388" s="8" t="s">
        <v>377</v>
      </c>
      <c r="D1388" s="8" t="s">
        <v>1947</v>
      </c>
      <c r="E1388" s="8" t="str">
        <f t="shared" si="139"/>
        <v>NEGRO</v>
      </c>
      <c r="H1388" s="8" t="str">
        <f>VLOOKUP(A1388,[1]BBDD!$B$1:$J$3274,9,FALSE)</f>
        <v>M</v>
      </c>
      <c r="I1388" s="8" t="s">
        <v>2862</v>
      </c>
      <c r="J1388" s="8" t="s">
        <v>1948</v>
      </c>
      <c r="L1388" s="8" t="s">
        <v>1288</v>
      </c>
      <c r="N1388" s="8" t="s">
        <v>44</v>
      </c>
      <c r="Q1388" s="8" t="s">
        <v>32</v>
      </c>
      <c r="R1388" s="8">
        <v>3</v>
      </c>
      <c r="S1388" s="8">
        <v>11</v>
      </c>
      <c r="T1388" s="8">
        <f t="shared" si="142"/>
        <v>14</v>
      </c>
      <c r="U1388" s="8">
        <v>1</v>
      </c>
      <c r="V1388" s="8">
        <v>1</v>
      </c>
      <c r="W1388" s="8">
        <v>5</v>
      </c>
      <c r="X1388" s="8">
        <v>4</v>
      </c>
      <c r="Y1388" s="8">
        <v>0</v>
      </c>
      <c r="Z1388" s="8">
        <v>0</v>
      </c>
      <c r="AA1388" s="8">
        <v>175</v>
      </c>
      <c r="AB1388" s="9">
        <f t="shared" si="143"/>
        <v>1.8857142857142859</v>
      </c>
      <c r="AC1388" s="10">
        <f t="shared" si="140"/>
        <v>7.4242424242424239</v>
      </c>
      <c r="AD1388" s="8" t="s">
        <v>991</v>
      </c>
      <c r="AE1388" s="11">
        <v>19990</v>
      </c>
      <c r="AF1388" s="11">
        <f t="shared" si="141"/>
        <v>279860</v>
      </c>
      <c r="AG1388" s="12" t="s">
        <v>51</v>
      </c>
      <c r="AH1388" s="8" t="s">
        <v>65</v>
      </c>
    </row>
    <row r="1389" spans="1:34">
      <c r="A1389" s="8" t="s">
        <v>1949</v>
      </c>
      <c r="B1389" s="16" t="s">
        <v>1286</v>
      </c>
      <c r="C1389" s="8" t="s">
        <v>377</v>
      </c>
      <c r="D1389" s="8" t="s">
        <v>1947</v>
      </c>
      <c r="E1389" s="8" t="str">
        <f t="shared" si="139"/>
        <v>CRUDO</v>
      </c>
      <c r="H1389" s="8" t="str">
        <f>VLOOKUP(A1389,[1]BBDD!$B$1:$J$3274,9,FALSE)</f>
        <v>M</v>
      </c>
      <c r="I1389" s="8" t="s">
        <v>2862</v>
      </c>
      <c r="J1389" s="8" t="s">
        <v>1948</v>
      </c>
      <c r="L1389" s="8" t="s">
        <v>1288</v>
      </c>
      <c r="N1389" s="8" t="s">
        <v>518</v>
      </c>
      <c r="Q1389" s="8" t="s">
        <v>32</v>
      </c>
      <c r="R1389" s="8">
        <v>0</v>
      </c>
      <c r="S1389" s="8">
        <v>4</v>
      </c>
      <c r="T1389" s="8">
        <f t="shared" si="142"/>
        <v>4</v>
      </c>
      <c r="U1389" s="8">
        <v>4</v>
      </c>
      <c r="V1389" s="8">
        <v>8</v>
      </c>
      <c r="W1389" s="8">
        <v>10</v>
      </c>
      <c r="X1389" s="8">
        <v>0</v>
      </c>
      <c r="Y1389" s="8">
        <v>1</v>
      </c>
      <c r="Z1389" s="8">
        <v>0</v>
      </c>
      <c r="AA1389" s="8">
        <v>175</v>
      </c>
      <c r="AB1389" s="9">
        <f t="shared" si="143"/>
        <v>3.9428571428571426</v>
      </c>
      <c r="AC1389" s="10">
        <f t="shared" si="140"/>
        <v>1.0144927536231885</v>
      </c>
      <c r="AD1389" s="8" t="s">
        <v>991</v>
      </c>
      <c r="AE1389" s="11">
        <v>19990</v>
      </c>
      <c r="AF1389" s="11">
        <f t="shared" si="141"/>
        <v>79960</v>
      </c>
      <c r="AG1389" s="12" t="s">
        <v>34</v>
      </c>
      <c r="AH1389" s="8" t="s">
        <v>35</v>
      </c>
    </row>
    <row r="1390" spans="1:34">
      <c r="A1390" s="8" t="s">
        <v>1950</v>
      </c>
      <c r="B1390" s="16" t="s">
        <v>2859</v>
      </c>
      <c r="C1390" s="8" t="s">
        <v>248</v>
      </c>
      <c r="D1390" s="8" t="s">
        <v>490</v>
      </c>
      <c r="E1390" s="8" t="str">
        <f t="shared" si="139"/>
        <v>AZUL</v>
      </c>
      <c r="H1390" s="8" t="str">
        <f>VLOOKUP(A1390,[1]BBDD!$B$1:$J$3274,9,FALSE)</f>
        <v>U</v>
      </c>
      <c r="I1390" s="8" t="s">
        <v>2861</v>
      </c>
      <c r="J1390" s="8" t="s">
        <v>1951</v>
      </c>
      <c r="L1390" s="8" t="s">
        <v>119</v>
      </c>
      <c r="N1390" s="8" t="s">
        <v>83</v>
      </c>
      <c r="Q1390" s="8" t="s">
        <v>32</v>
      </c>
      <c r="R1390" s="8">
        <v>0</v>
      </c>
      <c r="S1390" s="8">
        <v>3</v>
      </c>
      <c r="T1390" s="8">
        <f t="shared" si="142"/>
        <v>3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180</v>
      </c>
      <c r="AB1390" s="9">
        <f t="shared" si="143"/>
        <v>0</v>
      </c>
      <c r="AC1390" s="10" t="str">
        <f t="shared" si="140"/>
        <v>sin venta</v>
      </c>
      <c r="AD1390" s="8" t="s">
        <v>33</v>
      </c>
      <c r="AE1390" s="11">
        <v>51990</v>
      </c>
      <c r="AF1390" s="11">
        <f t="shared" si="141"/>
        <v>155970</v>
      </c>
      <c r="AG1390" s="12" t="s">
        <v>73</v>
      </c>
      <c r="AH1390" s="8" t="s">
        <v>35</v>
      </c>
    </row>
    <row r="1391" spans="1:34">
      <c r="A1391" s="8" t="s">
        <v>1952</v>
      </c>
      <c r="B1391" s="16" t="s">
        <v>2859</v>
      </c>
      <c r="C1391" s="8" t="s">
        <v>248</v>
      </c>
      <c r="D1391" s="8" t="s">
        <v>490</v>
      </c>
      <c r="E1391" s="8" t="str">
        <f t="shared" si="139"/>
        <v>VERDE</v>
      </c>
      <c r="H1391" s="8" t="str">
        <f>VLOOKUP(A1391,[1]BBDD!$B$1:$J$3274,9,FALSE)</f>
        <v>U</v>
      </c>
      <c r="I1391" s="8" t="s">
        <v>2861</v>
      </c>
      <c r="J1391" s="8" t="s">
        <v>1951</v>
      </c>
      <c r="L1391" s="8" t="s">
        <v>119</v>
      </c>
      <c r="N1391" s="8" t="s">
        <v>92</v>
      </c>
      <c r="Q1391" s="8" t="s">
        <v>32</v>
      </c>
      <c r="R1391" s="8">
        <v>0</v>
      </c>
      <c r="S1391" s="8">
        <v>3</v>
      </c>
      <c r="T1391" s="8">
        <f t="shared" si="142"/>
        <v>3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180</v>
      </c>
      <c r="AB1391" s="9">
        <f t="shared" si="143"/>
        <v>0</v>
      </c>
      <c r="AC1391" s="10" t="str">
        <f t="shared" si="140"/>
        <v>sin venta</v>
      </c>
      <c r="AD1391" s="8" t="s">
        <v>33</v>
      </c>
      <c r="AE1391" s="11">
        <v>51990</v>
      </c>
      <c r="AF1391" s="11">
        <f t="shared" si="141"/>
        <v>155970</v>
      </c>
      <c r="AG1391" s="12" t="s">
        <v>73</v>
      </c>
      <c r="AH1391" s="8" t="s">
        <v>35</v>
      </c>
    </row>
    <row r="1392" spans="1:34">
      <c r="A1392" s="8" t="s">
        <v>1953</v>
      </c>
      <c r="B1392" s="16" t="s">
        <v>2859</v>
      </c>
      <c r="C1392" s="8" t="s">
        <v>248</v>
      </c>
      <c r="D1392" s="8" t="s">
        <v>490</v>
      </c>
      <c r="E1392" s="8" t="str">
        <f t="shared" si="139"/>
        <v>NEGRO</v>
      </c>
      <c r="H1392" s="8" t="str">
        <f>VLOOKUP(A1392,[1]BBDD!$B$1:$J$3274,9,FALSE)</f>
        <v>U</v>
      </c>
      <c r="I1392" s="8" t="s">
        <v>2861</v>
      </c>
      <c r="J1392" s="8" t="s">
        <v>1951</v>
      </c>
      <c r="L1392" s="8" t="s">
        <v>61</v>
      </c>
      <c r="N1392" s="8" t="s">
        <v>44</v>
      </c>
      <c r="Q1392" s="8" t="s">
        <v>32</v>
      </c>
      <c r="R1392" s="8">
        <v>9</v>
      </c>
      <c r="S1392" s="8">
        <v>7</v>
      </c>
      <c r="T1392" s="8">
        <f t="shared" si="142"/>
        <v>16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180</v>
      </c>
      <c r="AB1392" s="9">
        <f t="shared" si="143"/>
        <v>0</v>
      </c>
      <c r="AC1392" s="10" t="str">
        <f t="shared" si="140"/>
        <v>sin venta</v>
      </c>
      <c r="AD1392" s="8" t="s">
        <v>33</v>
      </c>
      <c r="AE1392" s="11">
        <v>51990</v>
      </c>
      <c r="AF1392" s="11">
        <f t="shared" si="141"/>
        <v>831840</v>
      </c>
      <c r="AG1392" s="12" t="s">
        <v>73</v>
      </c>
      <c r="AH1392" s="8" t="s">
        <v>65</v>
      </c>
    </row>
    <row r="1393" spans="1:34">
      <c r="A1393" s="8" t="s">
        <v>1954</v>
      </c>
      <c r="B1393" s="16" t="s">
        <v>2859</v>
      </c>
      <c r="C1393" s="8" t="s">
        <v>248</v>
      </c>
      <c r="D1393" s="8" t="s">
        <v>490</v>
      </c>
      <c r="E1393" s="8" t="str">
        <f t="shared" si="139"/>
        <v>TABACO</v>
      </c>
      <c r="H1393" s="8" t="str">
        <f>VLOOKUP(A1393,[1]BBDD!$B$1:$J$3274,9,FALSE)</f>
        <v>U</v>
      </c>
      <c r="I1393" s="8" t="s">
        <v>2861</v>
      </c>
      <c r="J1393" s="8" t="s">
        <v>1951</v>
      </c>
      <c r="L1393" s="8" t="s">
        <v>61</v>
      </c>
      <c r="N1393" s="8" t="s">
        <v>67</v>
      </c>
      <c r="Q1393" s="8" t="s">
        <v>32</v>
      </c>
      <c r="R1393" s="8">
        <v>2</v>
      </c>
      <c r="S1393" s="8">
        <v>8</v>
      </c>
      <c r="T1393" s="8">
        <f t="shared" si="142"/>
        <v>10</v>
      </c>
      <c r="U1393" s="8">
        <v>4</v>
      </c>
      <c r="V1393" s="8">
        <v>3</v>
      </c>
      <c r="W1393" s="8">
        <v>0</v>
      </c>
      <c r="X1393" s="8">
        <v>2</v>
      </c>
      <c r="Y1393" s="8">
        <v>0</v>
      </c>
      <c r="Z1393" s="8">
        <v>0</v>
      </c>
      <c r="AA1393" s="8">
        <v>180</v>
      </c>
      <c r="AB1393" s="9">
        <f t="shared" si="143"/>
        <v>1.5</v>
      </c>
      <c r="AC1393" s="10">
        <f t="shared" si="140"/>
        <v>6.666666666666667</v>
      </c>
      <c r="AD1393" s="8" t="s">
        <v>33</v>
      </c>
      <c r="AE1393" s="11">
        <v>51990</v>
      </c>
      <c r="AF1393" s="11">
        <f t="shared" si="141"/>
        <v>519900</v>
      </c>
      <c r="AG1393" s="12" t="s">
        <v>51</v>
      </c>
      <c r="AH1393" s="8" t="s">
        <v>35</v>
      </c>
    </row>
    <row r="1394" spans="1:34">
      <c r="A1394" s="8" t="s">
        <v>1955</v>
      </c>
      <c r="B1394" s="16" t="s">
        <v>2859</v>
      </c>
      <c r="C1394" s="8" t="s">
        <v>248</v>
      </c>
      <c r="D1394" s="8" t="s">
        <v>490</v>
      </c>
      <c r="E1394" s="8" t="str">
        <f t="shared" si="139"/>
        <v>AZUL</v>
      </c>
      <c r="H1394" s="8" t="str">
        <f>VLOOKUP(A1394,[1]BBDD!$B$1:$J$3274,9,FALSE)</f>
        <v>U</v>
      </c>
      <c r="I1394" s="8" t="s">
        <v>2861</v>
      </c>
      <c r="J1394" s="8" t="s">
        <v>1951</v>
      </c>
      <c r="L1394" s="8" t="s">
        <v>61</v>
      </c>
      <c r="N1394" s="8" t="s">
        <v>83</v>
      </c>
      <c r="Q1394" s="8" t="s">
        <v>32</v>
      </c>
      <c r="R1394" s="8">
        <v>0</v>
      </c>
      <c r="S1394" s="8">
        <v>4</v>
      </c>
      <c r="T1394" s="8">
        <f t="shared" si="142"/>
        <v>4</v>
      </c>
      <c r="U1394" s="8">
        <v>3</v>
      </c>
      <c r="V1394" s="8">
        <v>1</v>
      </c>
      <c r="W1394" s="8">
        <v>2</v>
      </c>
      <c r="X1394" s="8">
        <v>0</v>
      </c>
      <c r="Y1394" s="8">
        <v>0</v>
      </c>
      <c r="Z1394" s="8">
        <v>1</v>
      </c>
      <c r="AA1394" s="8">
        <v>180</v>
      </c>
      <c r="AB1394" s="9">
        <f t="shared" si="143"/>
        <v>1.1666666666666667</v>
      </c>
      <c r="AC1394" s="10">
        <f t="shared" si="140"/>
        <v>3.4285714285714284</v>
      </c>
      <c r="AD1394" s="8" t="s">
        <v>33</v>
      </c>
      <c r="AE1394" s="11">
        <v>51990</v>
      </c>
      <c r="AF1394" s="11">
        <f t="shared" si="141"/>
        <v>207960</v>
      </c>
      <c r="AG1394" s="12" t="s">
        <v>34</v>
      </c>
      <c r="AH1394" s="8" t="s">
        <v>35</v>
      </c>
    </row>
    <row r="1395" spans="1:34">
      <c r="A1395" s="8" t="s">
        <v>1956</v>
      </c>
      <c r="B1395" s="16" t="s">
        <v>2859</v>
      </c>
      <c r="C1395" s="8" t="s">
        <v>248</v>
      </c>
      <c r="D1395" s="8" t="s">
        <v>490</v>
      </c>
      <c r="E1395" s="8" t="str">
        <f t="shared" si="139"/>
        <v>CARAMELO</v>
      </c>
      <c r="H1395" s="8" t="str">
        <f>VLOOKUP(A1395,[1]BBDD!$B$1:$J$3274,9,FALSE)</f>
        <v>U</v>
      </c>
      <c r="I1395" s="8" t="s">
        <v>2861</v>
      </c>
      <c r="J1395" s="8" t="s">
        <v>1951</v>
      </c>
      <c r="L1395" s="8" t="s">
        <v>61</v>
      </c>
      <c r="N1395" s="8" t="s">
        <v>62</v>
      </c>
      <c r="Q1395" s="8" t="s">
        <v>32</v>
      </c>
      <c r="R1395" s="8">
        <v>3</v>
      </c>
      <c r="S1395" s="8">
        <v>6</v>
      </c>
      <c r="T1395" s="8">
        <f t="shared" si="142"/>
        <v>9</v>
      </c>
      <c r="U1395" s="8">
        <v>1</v>
      </c>
      <c r="V1395" s="8">
        <v>0</v>
      </c>
      <c r="W1395" s="8">
        <v>1</v>
      </c>
      <c r="X1395" s="8">
        <v>2</v>
      </c>
      <c r="Y1395" s="8">
        <v>1</v>
      </c>
      <c r="Z1395" s="8">
        <v>1</v>
      </c>
      <c r="AA1395" s="8">
        <v>180</v>
      </c>
      <c r="AB1395" s="9">
        <f t="shared" si="143"/>
        <v>1</v>
      </c>
      <c r="AC1395" s="10">
        <f t="shared" si="140"/>
        <v>9</v>
      </c>
      <c r="AD1395" s="8" t="s">
        <v>33</v>
      </c>
      <c r="AE1395" s="11">
        <v>51990</v>
      </c>
      <c r="AF1395" s="11">
        <f t="shared" si="141"/>
        <v>467910</v>
      </c>
      <c r="AG1395" s="12" t="s">
        <v>51</v>
      </c>
      <c r="AH1395" s="8" t="s">
        <v>35</v>
      </c>
    </row>
    <row r="1396" spans="1:34">
      <c r="A1396" s="8" t="s">
        <v>1957</v>
      </c>
      <c r="B1396" s="16" t="s">
        <v>2859</v>
      </c>
      <c r="C1396" s="8" t="s">
        <v>248</v>
      </c>
      <c r="D1396" s="8" t="s">
        <v>490</v>
      </c>
      <c r="E1396" s="8" t="str">
        <f t="shared" si="139"/>
        <v>VERDE</v>
      </c>
      <c r="H1396" s="8" t="str">
        <f>VLOOKUP(A1396,[1]BBDD!$B$1:$J$3274,9,FALSE)</f>
        <v>U</v>
      </c>
      <c r="I1396" s="8" t="s">
        <v>2861</v>
      </c>
      <c r="J1396" s="8" t="s">
        <v>1951</v>
      </c>
      <c r="L1396" s="8" t="s">
        <v>61</v>
      </c>
      <c r="N1396" s="8" t="s">
        <v>92</v>
      </c>
      <c r="Q1396" s="8" t="s">
        <v>32</v>
      </c>
      <c r="R1396" s="8">
        <v>0</v>
      </c>
      <c r="S1396" s="8">
        <v>3</v>
      </c>
      <c r="T1396" s="8">
        <f t="shared" si="142"/>
        <v>3</v>
      </c>
      <c r="U1396" s="8">
        <v>1</v>
      </c>
      <c r="V1396" s="8">
        <v>1</v>
      </c>
      <c r="W1396" s="8">
        <v>0</v>
      </c>
      <c r="X1396" s="8">
        <v>2</v>
      </c>
      <c r="Y1396" s="8">
        <v>1</v>
      </c>
      <c r="Z1396" s="8">
        <v>1</v>
      </c>
      <c r="AA1396" s="8">
        <v>180</v>
      </c>
      <c r="AB1396" s="9">
        <f t="shared" si="143"/>
        <v>1</v>
      </c>
      <c r="AC1396" s="10">
        <f t="shared" si="140"/>
        <v>3</v>
      </c>
      <c r="AD1396" s="8" t="s">
        <v>33</v>
      </c>
      <c r="AE1396" s="11">
        <v>51990</v>
      </c>
      <c r="AF1396" s="11">
        <f t="shared" si="141"/>
        <v>155970</v>
      </c>
      <c r="AG1396" s="12" t="s">
        <v>34</v>
      </c>
      <c r="AH1396" s="8" t="s">
        <v>35</v>
      </c>
    </row>
    <row r="1397" spans="1:34">
      <c r="A1397" s="8" t="s">
        <v>1958</v>
      </c>
      <c r="B1397" s="16" t="s">
        <v>2859</v>
      </c>
      <c r="C1397" s="8" t="s">
        <v>248</v>
      </c>
      <c r="D1397" s="8" t="s">
        <v>490</v>
      </c>
      <c r="E1397" s="8" t="str">
        <f t="shared" si="139"/>
        <v>CEDRO</v>
      </c>
      <c r="H1397" s="8" t="str">
        <f>VLOOKUP(A1397,[1]BBDD!$B$1:$J$3274,9,FALSE)</f>
        <v>U</v>
      </c>
      <c r="I1397" s="8" t="s">
        <v>2861</v>
      </c>
      <c r="J1397" s="8" t="s">
        <v>1951</v>
      </c>
      <c r="L1397" s="8" t="s">
        <v>112</v>
      </c>
      <c r="N1397" s="8" t="s">
        <v>113</v>
      </c>
      <c r="Q1397" s="8" t="s">
        <v>32</v>
      </c>
      <c r="R1397" s="8">
        <v>2</v>
      </c>
      <c r="S1397" s="8">
        <v>7</v>
      </c>
      <c r="T1397" s="8">
        <f t="shared" si="142"/>
        <v>9</v>
      </c>
      <c r="U1397" s="8">
        <v>2</v>
      </c>
      <c r="V1397" s="8">
        <v>2</v>
      </c>
      <c r="W1397" s="8">
        <v>0</v>
      </c>
      <c r="X1397" s="8">
        <v>0</v>
      </c>
      <c r="Y1397" s="8">
        <v>2</v>
      </c>
      <c r="Z1397" s="8">
        <v>1</v>
      </c>
      <c r="AA1397" s="8">
        <v>180</v>
      </c>
      <c r="AB1397" s="9">
        <f t="shared" si="143"/>
        <v>1.1666666666666667</v>
      </c>
      <c r="AC1397" s="10">
        <f t="shared" si="140"/>
        <v>7.7142857142857135</v>
      </c>
      <c r="AD1397" s="8" t="s">
        <v>33</v>
      </c>
      <c r="AE1397" s="11">
        <v>51990</v>
      </c>
      <c r="AF1397" s="11">
        <f t="shared" si="141"/>
        <v>467910</v>
      </c>
      <c r="AG1397" s="12" t="s">
        <v>51</v>
      </c>
      <c r="AH1397" s="8" t="s">
        <v>35</v>
      </c>
    </row>
    <row r="1398" spans="1:34">
      <c r="A1398" s="8" t="s">
        <v>1959</v>
      </c>
      <c r="B1398" s="16" t="s">
        <v>2859</v>
      </c>
      <c r="C1398" s="8" t="s">
        <v>248</v>
      </c>
      <c r="D1398" s="8" t="s">
        <v>1960</v>
      </c>
      <c r="E1398" s="8" t="str">
        <f t="shared" si="139"/>
        <v>NEGRO</v>
      </c>
      <c r="G1398" s="8" t="s">
        <v>2861</v>
      </c>
      <c r="H1398" s="8" t="str">
        <f>VLOOKUP(A1398,[1]BBDD!$B$1:$J$3274,9,FALSE)</f>
        <v>U</v>
      </c>
      <c r="I1398" s="8" t="s">
        <v>2861</v>
      </c>
      <c r="J1398" s="8" t="s">
        <v>1960</v>
      </c>
      <c r="L1398" s="8" t="s">
        <v>112</v>
      </c>
      <c r="N1398" s="8" t="s">
        <v>44</v>
      </c>
      <c r="Q1398" s="8" t="s">
        <v>45</v>
      </c>
      <c r="R1398" s="8">
        <v>3</v>
      </c>
      <c r="S1398" s="8">
        <v>3</v>
      </c>
      <c r="T1398" s="8">
        <f t="shared" si="142"/>
        <v>6</v>
      </c>
      <c r="U1398" s="8">
        <v>1</v>
      </c>
      <c r="V1398" s="8">
        <v>0</v>
      </c>
      <c r="W1398" s="8">
        <v>0</v>
      </c>
      <c r="X1398" s="8">
        <v>0</v>
      </c>
      <c r="Y1398" s="8">
        <v>1</v>
      </c>
      <c r="Z1398" s="8">
        <v>1</v>
      </c>
      <c r="AA1398" s="8">
        <v>180</v>
      </c>
      <c r="AB1398" s="9">
        <f t="shared" si="143"/>
        <v>0.5</v>
      </c>
      <c r="AC1398" s="10">
        <f t="shared" si="140"/>
        <v>12</v>
      </c>
      <c r="AD1398" s="8" t="s">
        <v>46</v>
      </c>
      <c r="AE1398" s="11">
        <v>34990</v>
      </c>
      <c r="AF1398" s="11">
        <f t="shared" si="141"/>
        <v>209940</v>
      </c>
      <c r="AG1398" s="12" t="s">
        <v>51</v>
      </c>
      <c r="AH1398" s="8" t="s">
        <v>35</v>
      </c>
    </row>
    <row r="1399" spans="1:34">
      <c r="A1399" s="8" t="s">
        <v>1961</v>
      </c>
      <c r="B1399" s="16" t="s">
        <v>2859</v>
      </c>
      <c r="C1399" s="8" t="s">
        <v>248</v>
      </c>
      <c r="D1399" s="8" t="s">
        <v>1962</v>
      </c>
      <c r="E1399" s="8" t="str">
        <f t="shared" si="139"/>
        <v>CARAMELO</v>
      </c>
      <c r="G1399" s="8" t="s">
        <v>2861</v>
      </c>
      <c r="H1399" s="8" t="str">
        <f>VLOOKUP(A1399,[1]BBDD!$B$1:$J$3274,9,FALSE)</f>
        <v>U</v>
      </c>
      <c r="I1399" s="8" t="s">
        <v>2861</v>
      </c>
      <c r="J1399" s="8" t="s">
        <v>1963</v>
      </c>
      <c r="L1399" s="8" t="s">
        <v>61</v>
      </c>
      <c r="N1399" s="8" t="s">
        <v>62</v>
      </c>
      <c r="Q1399" s="8" t="s">
        <v>32</v>
      </c>
      <c r="R1399" s="8">
        <v>0</v>
      </c>
      <c r="S1399" s="8">
        <v>0</v>
      </c>
      <c r="T1399" s="8">
        <f t="shared" si="142"/>
        <v>0</v>
      </c>
      <c r="U1399" s="8">
        <v>2</v>
      </c>
      <c r="V1399" s="8">
        <v>0</v>
      </c>
      <c r="W1399" s="8">
        <v>1</v>
      </c>
      <c r="X1399" s="8">
        <v>1</v>
      </c>
      <c r="Y1399" s="8">
        <v>1</v>
      </c>
      <c r="Z1399" s="8">
        <v>0</v>
      </c>
      <c r="AA1399" s="8">
        <v>180</v>
      </c>
      <c r="AB1399" s="9">
        <f t="shared" si="143"/>
        <v>0.83333333333333326</v>
      </c>
      <c r="AC1399" s="10">
        <f t="shared" si="140"/>
        <v>0</v>
      </c>
      <c r="AD1399" s="8" t="s">
        <v>33</v>
      </c>
      <c r="AE1399" s="11">
        <v>39990</v>
      </c>
      <c r="AF1399" s="11">
        <f t="shared" si="141"/>
        <v>0</v>
      </c>
      <c r="AG1399" s="12" t="s">
        <v>34</v>
      </c>
      <c r="AH1399" s="8" t="s">
        <v>35</v>
      </c>
    </row>
    <row r="1400" spans="1:34">
      <c r="A1400" s="8" t="s">
        <v>1964</v>
      </c>
      <c r="B1400" s="16" t="s">
        <v>2859</v>
      </c>
      <c r="C1400" s="8" t="s">
        <v>248</v>
      </c>
      <c r="D1400" s="8" t="s">
        <v>1962</v>
      </c>
      <c r="E1400" s="8" t="str">
        <f t="shared" si="139"/>
        <v>MALBEC</v>
      </c>
      <c r="G1400" s="8" t="s">
        <v>2861</v>
      </c>
      <c r="H1400" s="8" t="str">
        <f>VLOOKUP(A1400,[1]BBDD!$B$1:$J$3274,9,FALSE)</f>
        <v>U</v>
      </c>
      <c r="I1400" s="8" t="s">
        <v>2861</v>
      </c>
      <c r="J1400" s="8" t="s">
        <v>1963</v>
      </c>
      <c r="L1400" s="8" t="s">
        <v>61</v>
      </c>
      <c r="N1400" s="8" t="s">
        <v>69</v>
      </c>
      <c r="Q1400" s="8" t="s">
        <v>32</v>
      </c>
      <c r="R1400" s="8">
        <v>0</v>
      </c>
      <c r="S1400" s="8">
        <v>0</v>
      </c>
      <c r="T1400" s="8">
        <f t="shared" si="142"/>
        <v>0</v>
      </c>
      <c r="U1400" s="8">
        <v>1</v>
      </c>
      <c r="V1400" s="8">
        <v>0</v>
      </c>
      <c r="W1400" s="8">
        <v>0</v>
      </c>
      <c r="X1400" s="8">
        <v>1</v>
      </c>
      <c r="Y1400" s="8">
        <v>1</v>
      </c>
      <c r="Z1400" s="8">
        <v>0</v>
      </c>
      <c r="AA1400" s="8">
        <v>180</v>
      </c>
      <c r="AB1400" s="9">
        <f t="shared" si="143"/>
        <v>0.5</v>
      </c>
      <c r="AC1400" s="10">
        <f t="shared" si="140"/>
        <v>0</v>
      </c>
      <c r="AD1400" s="8" t="s">
        <v>33</v>
      </c>
      <c r="AE1400" s="11">
        <v>39990</v>
      </c>
      <c r="AF1400" s="11">
        <f t="shared" si="141"/>
        <v>0</v>
      </c>
      <c r="AG1400" s="12" t="s">
        <v>34</v>
      </c>
      <c r="AH1400" s="8" t="s">
        <v>35</v>
      </c>
    </row>
    <row r="1401" spans="1:34">
      <c r="A1401" s="8" t="s">
        <v>1965</v>
      </c>
      <c r="B1401" s="16" t="s">
        <v>2859</v>
      </c>
      <c r="C1401" s="8" t="s">
        <v>248</v>
      </c>
      <c r="D1401" s="8" t="s">
        <v>1962</v>
      </c>
      <c r="E1401" s="8" t="str">
        <f t="shared" si="139"/>
        <v>NEGRO</v>
      </c>
      <c r="G1401" s="8" t="s">
        <v>2861</v>
      </c>
      <c r="H1401" s="8" t="str">
        <f>VLOOKUP(A1401,[1]BBDD!$B$1:$J$3274,9,FALSE)</f>
        <v>U</v>
      </c>
      <c r="I1401" s="8" t="s">
        <v>2861</v>
      </c>
      <c r="J1401" s="8" t="s">
        <v>1963</v>
      </c>
      <c r="L1401" s="8" t="s">
        <v>61</v>
      </c>
      <c r="N1401" s="8" t="s">
        <v>44</v>
      </c>
      <c r="Q1401" s="8" t="s">
        <v>32</v>
      </c>
      <c r="R1401" s="8">
        <v>0</v>
      </c>
      <c r="S1401" s="8">
        <v>0</v>
      </c>
      <c r="T1401" s="8">
        <f t="shared" si="142"/>
        <v>0</v>
      </c>
      <c r="U1401" s="8">
        <v>1</v>
      </c>
      <c r="V1401" s="8">
        <v>1</v>
      </c>
      <c r="W1401" s="8">
        <v>0</v>
      </c>
      <c r="X1401" s="8">
        <v>1</v>
      </c>
      <c r="Y1401" s="8">
        <v>1</v>
      </c>
      <c r="Z1401" s="8">
        <v>0</v>
      </c>
      <c r="AA1401" s="8">
        <v>180</v>
      </c>
      <c r="AB1401" s="9">
        <f t="shared" si="143"/>
        <v>0.66666666666666674</v>
      </c>
      <c r="AC1401" s="10">
        <f t="shared" si="140"/>
        <v>0</v>
      </c>
      <c r="AD1401" s="8" t="s">
        <v>33</v>
      </c>
      <c r="AE1401" s="11">
        <v>39990</v>
      </c>
      <c r="AF1401" s="11">
        <f t="shared" si="141"/>
        <v>0</v>
      </c>
      <c r="AG1401" s="12" t="s">
        <v>34</v>
      </c>
      <c r="AH1401" s="8" t="s">
        <v>35</v>
      </c>
    </row>
    <row r="1402" spans="1:34">
      <c r="A1402" s="8" t="s">
        <v>1966</v>
      </c>
      <c r="B1402" s="16" t="s">
        <v>2859</v>
      </c>
      <c r="C1402" s="8" t="s">
        <v>248</v>
      </c>
      <c r="D1402" s="8" t="s">
        <v>1962</v>
      </c>
      <c r="E1402" s="8" t="str">
        <f t="shared" si="139"/>
        <v>ROJO</v>
      </c>
      <c r="G1402" s="8" t="s">
        <v>2861</v>
      </c>
      <c r="H1402" s="8" t="str">
        <f>VLOOKUP(A1402,[1]BBDD!$B$1:$J$3274,9,FALSE)</f>
        <v>U</v>
      </c>
      <c r="I1402" s="8" t="s">
        <v>2861</v>
      </c>
      <c r="J1402" s="8" t="s">
        <v>1963</v>
      </c>
      <c r="L1402" s="8" t="s">
        <v>61</v>
      </c>
      <c r="N1402" s="8" t="s">
        <v>88</v>
      </c>
      <c r="Q1402" s="8" t="s">
        <v>32</v>
      </c>
      <c r="R1402" s="8">
        <v>0</v>
      </c>
      <c r="S1402" s="8">
        <v>5</v>
      </c>
      <c r="T1402" s="8">
        <f t="shared" si="142"/>
        <v>5</v>
      </c>
      <c r="U1402" s="8">
        <v>0</v>
      </c>
      <c r="V1402" s="8">
        <v>1</v>
      </c>
      <c r="W1402" s="8">
        <v>2</v>
      </c>
      <c r="X1402" s="8">
        <v>1</v>
      </c>
      <c r="Y1402" s="8">
        <v>0</v>
      </c>
      <c r="Z1402" s="8">
        <v>3</v>
      </c>
      <c r="AA1402" s="8">
        <v>180</v>
      </c>
      <c r="AB1402" s="9">
        <f t="shared" si="143"/>
        <v>1.1666666666666667</v>
      </c>
      <c r="AC1402" s="10">
        <f t="shared" si="140"/>
        <v>4.2857142857142856</v>
      </c>
      <c r="AD1402" s="8" t="s">
        <v>33</v>
      </c>
      <c r="AE1402" s="11">
        <v>39990</v>
      </c>
      <c r="AF1402" s="11">
        <f t="shared" si="141"/>
        <v>199950</v>
      </c>
      <c r="AG1402" s="12" t="s">
        <v>34</v>
      </c>
      <c r="AH1402" s="8" t="s">
        <v>35</v>
      </c>
    </row>
    <row r="1403" spans="1:34">
      <c r="A1403" s="8" t="s">
        <v>1967</v>
      </c>
      <c r="B1403" s="16" t="s">
        <v>2859</v>
      </c>
      <c r="C1403" s="8" t="s">
        <v>248</v>
      </c>
      <c r="D1403" s="8" t="s">
        <v>1962</v>
      </c>
      <c r="E1403" s="8" t="str">
        <f t="shared" si="139"/>
        <v>TABACO</v>
      </c>
      <c r="G1403" s="8" t="s">
        <v>2861</v>
      </c>
      <c r="H1403" s="8" t="str">
        <f>VLOOKUP(A1403,[1]BBDD!$B$1:$J$3274,9,FALSE)</f>
        <v>U</v>
      </c>
      <c r="I1403" s="8" t="s">
        <v>2861</v>
      </c>
      <c r="J1403" s="8" t="s">
        <v>1963</v>
      </c>
      <c r="L1403" s="8" t="s">
        <v>61</v>
      </c>
      <c r="N1403" s="8" t="s">
        <v>67</v>
      </c>
      <c r="Q1403" s="8" t="s">
        <v>32</v>
      </c>
      <c r="R1403" s="8">
        <v>0</v>
      </c>
      <c r="S1403" s="8">
        <v>0</v>
      </c>
      <c r="T1403" s="8">
        <f t="shared" si="142"/>
        <v>0</v>
      </c>
      <c r="U1403" s="8">
        <v>1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180</v>
      </c>
      <c r="AB1403" s="9">
        <f t="shared" si="143"/>
        <v>0.16666666666666669</v>
      </c>
      <c r="AC1403" s="10">
        <f t="shared" si="140"/>
        <v>0</v>
      </c>
      <c r="AD1403" s="8" t="s">
        <v>33</v>
      </c>
      <c r="AE1403" s="11">
        <v>39990</v>
      </c>
      <c r="AF1403" s="11">
        <f t="shared" si="141"/>
        <v>0</v>
      </c>
      <c r="AG1403" s="12" t="s">
        <v>34</v>
      </c>
      <c r="AH1403" s="8" t="s">
        <v>35</v>
      </c>
    </row>
    <row r="1404" spans="1:34">
      <c r="A1404" s="8" t="s">
        <v>1968</v>
      </c>
      <c r="B1404" s="16" t="s">
        <v>2859</v>
      </c>
      <c r="C1404" s="8" t="s">
        <v>248</v>
      </c>
      <c r="D1404" s="8" t="s">
        <v>1962</v>
      </c>
      <c r="E1404" s="8" t="str">
        <f t="shared" si="139"/>
        <v>AZUL</v>
      </c>
      <c r="G1404" s="8" t="s">
        <v>2861</v>
      </c>
      <c r="H1404" s="8" t="str">
        <f>VLOOKUP(A1404,[1]BBDD!$B$1:$J$3274,9,FALSE)</f>
        <v>U</v>
      </c>
      <c r="I1404" s="8" t="s">
        <v>2861</v>
      </c>
      <c r="J1404" s="8" t="s">
        <v>1969</v>
      </c>
      <c r="L1404" s="8" t="s">
        <v>82</v>
      </c>
      <c r="N1404" s="8" t="s">
        <v>83</v>
      </c>
      <c r="Q1404" s="8" t="s">
        <v>32</v>
      </c>
      <c r="R1404" s="8">
        <v>0</v>
      </c>
      <c r="S1404" s="8">
        <v>0</v>
      </c>
      <c r="T1404" s="8">
        <f t="shared" si="142"/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180</v>
      </c>
      <c r="AB1404" s="9">
        <f t="shared" si="143"/>
        <v>0</v>
      </c>
      <c r="AC1404" s="10" t="str">
        <f t="shared" si="140"/>
        <v>sin venta</v>
      </c>
      <c r="AD1404" s="8" t="s">
        <v>33</v>
      </c>
      <c r="AE1404" s="11">
        <v>28990</v>
      </c>
      <c r="AF1404" s="11">
        <f t="shared" si="141"/>
        <v>0</v>
      </c>
      <c r="AG1404" s="12" t="s">
        <v>73</v>
      </c>
      <c r="AH1404" s="8" t="s">
        <v>35</v>
      </c>
    </row>
    <row r="1405" spans="1:34">
      <c r="A1405" s="8" t="s">
        <v>1970</v>
      </c>
      <c r="B1405" s="16" t="s">
        <v>2859</v>
      </c>
      <c r="C1405" s="8" t="s">
        <v>248</v>
      </c>
      <c r="D1405" s="8" t="s">
        <v>1962</v>
      </c>
      <c r="E1405" s="8" t="str">
        <f t="shared" si="139"/>
        <v>CARAMELO</v>
      </c>
      <c r="G1405" s="8" t="s">
        <v>2861</v>
      </c>
      <c r="H1405" s="8" t="str">
        <f>VLOOKUP(A1405,[1]BBDD!$B$1:$J$3274,9,FALSE)</f>
        <v>U</v>
      </c>
      <c r="I1405" s="8" t="s">
        <v>2861</v>
      </c>
      <c r="J1405" s="8" t="s">
        <v>1969</v>
      </c>
      <c r="L1405" s="8" t="s">
        <v>82</v>
      </c>
      <c r="N1405" s="8" t="s">
        <v>62</v>
      </c>
      <c r="Q1405" s="8" t="s">
        <v>32</v>
      </c>
      <c r="R1405" s="8">
        <v>0</v>
      </c>
      <c r="S1405" s="8">
        <v>0</v>
      </c>
      <c r="T1405" s="8">
        <f t="shared" si="142"/>
        <v>0</v>
      </c>
      <c r="U1405" s="8">
        <v>1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180</v>
      </c>
      <c r="AB1405" s="9">
        <f t="shared" si="143"/>
        <v>0.16666666666666669</v>
      </c>
      <c r="AC1405" s="10">
        <f t="shared" si="140"/>
        <v>0</v>
      </c>
      <c r="AD1405" s="8" t="s">
        <v>33</v>
      </c>
      <c r="AE1405" s="11">
        <v>28990</v>
      </c>
      <c r="AF1405" s="11">
        <f t="shared" si="141"/>
        <v>0</v>
      </c>
      <c r="AG1405" s="12" t="s">
        <v>34</v>
      </c>
      <c r="AH1405" s="8" t="s">
        <v>35</v>
      </c>
    </row>
    <row r="1406" spans="1:34">
      <c r="A1406" s="8" t="s">
        <v>1971</v>
      </c>
      <c r="B1406" s="16" t="s">
        <v>2859</v>
      </c>
      <c r="C1406" s="8" t="s">
        <v>248</v>
      </c>
      <c r="D1406" s="8" t="s">
        <v>1962</v>
      </c>
      <c r="E1406" s="8" t="str">
        <f t="shared" si="139"/>
        <v>NEGRO</v>
      </c>
      <c r="G1406" s="8" t="s">
        <v>2861</v>
      </c>
      <c r="H1406" s="8" t="str">
        <f>VLOOKUP(A1406,[1]BBDD!$B$1:$J$3274,9,FALSE)</f>
        <v>U</v>
      </c>
      <c r="I1406" s="8" t="s">
        <v>2861</v>
      </c>
      <c r="J1406" s="8" t="s">
        <v>1969</v>
      </c>
      <c r="L1406" s="8" t="s">
        <v>82</v>
      </c>
      <c r="N1406" s="8" t="s">
        <v>44</v>
      </c>
      <c r="Q1406" s="8" t="s">
        <v>32</v>
      </c>
      <c r="R1406" s="8">
        <v>0</v>
      </c>
      <c r="S1406" s="8">
        <v>0</v>
      </c>
      <c r="T1406" s="8">
        <f t="shared" si="142"/>
        <v>0</v>
      </c>
      <c r="U1406" s="8">
        <v>2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180</v>
      </c>
      <c r="AB1406" s="9">
        <f t="shared" si="143"/>
        <v>0.33333333333333337</v>
      </c>
      <c r="AC1406" s="10">
        <f t="shared" si="140"/>
        <v>0</v>
      </c>
      <c r="AD1406" s="8" t="s">
        <v>33</v>
      </c>
      <c r="AE1406" s="11">
        <v>28990</v>
      </c>
      <c r="AF1406" s="11">
        <f t="shared" si="141"/>
        <v>0</v>
      </c>
      <c r="AG1406" s="12" t="s">
        <v>34</v>
      </c>
      <c r="AH1406" s="8" t="s">
        <v>35</v>
      </c>
    </row>
    <row r="1407" spans="1:34">
      <c r="A1407" s="8" t="s">
        <v>1972</v>
      </c>
      <c r="B1407" s="16" t="s">
        <v>2859</v>
      </c>
      <c r="C1407" s="8" t="s">
        <v>248</v>
      </c>
      <c r="D1407" s="8" t="s">
        <v>1962</v>
      </c>
      <c r="E1407" s="8" t="str">
        <f t="shared" si="139"/>
        <v>SUELA</v>
      </c>
      <c r="G1407" s="8" t="s">
        <v>2861</v>
      </c>
      <c r="H1407" s="8" t="str">
        <f>VLOOKUP(A1407,[1]BBDD!$B$1:$J$3274,9,FALSE)</f>
        <v>U</v>
      </c>
      <c r="I1407" s="8" t="s">
        <v>2861</v>
      </c>
      <c r="J1407" s="8" t="s">
        <v>1969</v>
      </c>
      <c r="L1407" s="8" t="s">
        <v>82</v>
      </c>
      <c r="N1407" s="8" t="s">
        <v>90</v>
      </c>
      <c r="Q1407" s="8" t="s">
        <v>32</v>
      </c>
      <c r="R1407" s="8">
        <v>0</v>
      </c>
      <c r="S1407" s="8">
        <v>0</v>
      </c>
      <c r="T1407" s="8">
        <f t="shared" si="142"/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180</v>
      </c>
      <c r="AB1407" s="9">
        <f t="shared" si="143"/>
        <v>0</v>
      </c>
      <c r="AC1407" s="10" t="str">
        <f t="shared" si="140"/>
        <v>sin venta</v>
      </c>
      <c r="AD1407" s="8" t="s">
        <v>33</v>
      </c>
      <c r="AE1407" s="11">
        <v>28990</v>
      </c>
      <c r="AF1407" s="11">
        <f t="shared" si="141"/>
        <v>0</v>
      </c>
      <c r="AG1407" s="12" t="s">
        <v>73</v>
      </c>
      <c r="AH1407" s="8" t="s">
        <v>35</v>
      </c>
    </row>
    <row r="1408" spans="1:34">
      <c r="A1408" s="8" t="s">
        <v>1973</v>
      </c>
      <c r="B1408" s="16" t="s">
        <v>2859</v>
      </c>
      <c r="C1408" s="8" t="s">
        <v>248</v>
      </c>
      <c r="D1408" s="8" t="s">
        <v>1962</v>
      </c>
      <c r="E1408" s="8" t="str">
        <f t="shared" si="139"/>
        <v>TABACO</v>
      </c>
      <c r="G1408" s="8" t="s">
        <v>2861</v>
      </c>
      <c r="H1408" s="8" t="str">
        <f>VLOOKUP(A1408,[1]BBDD!$B$1:$J$3274,9,FALSE)</f>
        <v>U</v>
      </c>
      <c r="I1408" s="8" t="s">
        <v>2861</v>
      </c>
      <c r="J1408" s="8" t="s">
        <v>1969</v>
      </c>
      <c r="L1408" s="8" t="s">
        <v>82</v>
      </c>
      <c r="N1408" s="8" t="s">
        <v>67</v>
      </c>
      <c r="Q1408" s="8" t="s">
        <v>32</v>
      </c>
      <c r="R1408" s="8">
        <v>0</v>
      </c>
      <c r="S1408" s="8">
        <v>0</v>
      </c>
      <c r="T1408" s="8">
        <f t="shared" si="142"/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180</v>
      </c>
      <c r="AB1408" s="9">
        <f t="shared" si="143"/>
        <v>0</v>
      </c>
      <c r="AC1408" s="10" t="str">
        <f t="shared" si="140"/>
        <v>sin venta</v>
      </c>
      <c r="AD1408" s="8" t="s">
        <v>33</v>
      </c>
      <c r="AE1408" s="11">
        <v>28990</v>
      </c>
      <c r="AF1408" s="11">
        <f t="shared" si="141"/>
        <v>0</v>
      </c>
      <c r="AG1408" s="12" t="s">
        <v>73</v>
      </c>
      <c r="AH1408" s="8" t="s">
        <v>35</v>
      </c>
    </row>
    <row r="1409" spans="1:34">
      <c r="A1409" s="8" t="s">
        <v>1974</v>
      </c>
      <c r="B1409" s="16" t="s">
        <v>2859</v>
      </c>
      <c r="C1409" s="8" t="s">
        <v>248</v>
      </c>
      <c r="D1409" s="8" t="s">
        <v>1962</v>
      </c>
      <c r="E1409" s="8" t="str">
        <f t="shared" si="139"/>
        <v>VERDE</v>
      </c>
      <c r="G1409" s="8" t="s">
        <v>2861</v>
      </c>
      <c r="H1409" s="8" t="str">
        <f>VLOOKUP(A1409,[1]BBDD!$B$1:$J$3274,9,FALSE)</f>
        <v>U</v>
      </c>
      <c r="I1409" s="8" t="s">
        <v>2861</v>
      </c>
      <c r="J1409" s="8" t="s">
        <v>1969</v>
      </c>
      <c r="L1409" s="8" t="s">
        <v>82</v>
      </c>
      <c r="N1409" s="8" t="s">
        <v>92</v>
      </c>
      <c r="Q1409" s="8" t="s">
        <v>32</v>
      </c>
      <c r="R1409" s="8">
        <v>0</v>
      </c>
      <c r="S1409" s="8">
        <v>0</v>
      </c>
      <c r="T1409" s="8">
        <f t="shared" si="142"/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180</v>
      </c>
      <c r="AB1409" s="9">
        <f t="shared" si="143"/>
        <v>0</v>
      </c>
      <c r="AC1409" s="10" t="str">
        <f t="shared" si="140"/>
        <v>sin venta</v>
      </c>
      <c r="AD1409" s="8" t="s">
        <v>33</v>
      </c>
      <c r="AE1409" s="11">
        <v>28990</v>
      </c>
      <c r="AF1409" s="11">
        <f t="shared" si="141"/>
        <v>0</v>
      </c>
      <c r="AG1409" s="12" t="s">
        <v>73</v>
      </c>
      <c r="AH1409" s="8" t="s">
        <v>35</v>
      </c>
    </row>
    <row r="1410" spans="1:34">
      <c r="A1410" s="8" t="s">
        <v>1975</v>
      </c>
      <c r="B1410" s="16" t="s">
        <v>2859</v>
      </c>
      <c r="C1410" s="8" t="s">
        <v>27</v>
      </c>
      <c r="D1410" s="8" t="s">
        <v>1976</v>
      </c>
      <c r="E1410" s="8" t="str">
        <f t="shared" si="139"/>
        <v>CEDRO</v>
      </c>
      <c r="G1410" s="8" t="s">
        <v>2861</v>
      </c>
      <c r="H1410" s="8" t="str">
        <f>VLOOKUP(A1410,[1]BBDD!$B$1:$J$3274,9,FALSE)</f>
        <v>U</v>
      </c>
      <c r="I1410" s="8" t="s">
        <v>2861</v>
      </c>
      <c r="J1410" s="8" t="s">
        <v>1977</v>
      </c>
      <c r="L1410" s="8" t="s">
        <v>112</v>
      </c>
      <c r="N1410" s="8" t="s">
        <v>113</v>
      </c>
      <c r="Q1410" s="8" t="s">
        <v>32</v>
      </c>
      <c r="R1410" s="8">
        <v>5</v>
      </c>
      <c r="S1410" s="8">
        <v>14</v>
      </c>
      <c r="T1410" s="8">
        <f t="shared" si="142"/>
        <v>19</v>
      </c>
      <c r="U1410" s="8">
        <v>1</v>
      </c>
      <c r="V1410" s="8">
        <v>0</v>
      </c>
      <c r="W1410" s="8">
        <v>0</v>
      </c>
      <c r="X1410" s="8">
        <v>4</v>
      </c>
      <c r="Y1410" s="8">
        <v>2</v>
      </c>
      <c r="Z1410" s="8">
        <v>2</v>
      </c>
      <c r="AA1410" s="8">
        <v>180</v>
      </c>
      <c r="AB1410" s="9">
        <f t="shared" si="143"/>
        <v>1.5</v>
      </c>
      <c r="AC1410" s="10">
        <f t="shared" si="140"/>
        <v>12.666666666666666</v>
      </c>
      <c r="AD1410" s="8" t="s">
        <v>33</v>
      </c>
      <c r="AE1410" s="11">
        <v>5990</v>
      </c>
      <c r="AF1410" s="11">
        <f t="shared" si="141"/>
        <v>113810</v>
      </c>
      <c r="AG1410" s="12" t="s">
        <v>64</v>
      </c>
      <c r="AH1410" s="8" t="s">
        <v>65</v>
      </c>
    </row>
    <row r="1411" spans="1:34">
      <c r="A1411" s="8" t="s">
        <v>1978</v>
      </c>
      <c r="B1411" s="16" t="s">
        <v>2859</v>
      </c>
      <c r="C1411" s="8" t="s">
        <v>27</v>
      </c>
      <c r="D1411" s="8" t="s">
        <v>1976</v>
      </c>
      <c r="E1411" s="8" t="str">
        <f t="shared" ref="E1411:E1474" si="144">TRIM(N1411)</f>
        <v>NEGRO</v>
      </c>
      <c r="G1411" s="8" t="s">
        <v>2861</v>
      </c>
      <c r="H1411" s="8" t="str">
        <f>VLOOKUP(A1411,[1]BBDD!$B$1:$J$3274,9,FALSE)</f>
        <v>U</v>
      </c>
      <c r="I1411" s="8" t="s">
        <v>2861</v>
      </c>
      <c r="J1411" s="8" t="s">
        <v>1977</v>
      </c>
      <c r="L1411" s="8" t="s">
        <v>119</v>
      </c>
      <c r="N1411" s="8" t="s">
        <v>44</v>
      </c>
      <c r="Q1411" s="8" t="s">
        <v>32</v>
      </c>
      <c r="R1411" s="8">
        <v>15</v>
      </c>
      <c r="S1411" s="8">
        <v>14</v>
      </c>
      <c r="T1411" s="8">
        <f t="shared" si="142"/>
        <v>29</v>
      </c>
      <c r="U1411" s="8">
        <v>1</v>
      </c>
      <c r="V1411" s="8">
        <v>2</v>
      </c>
      <c r="W1411" s="8">
        <v>2</v>
      </c>
      <c r="X1411" s="8">
        <v>1</v>
      </c>
      <c r="Y1411" s="8">
        <v>0</v>
      </c>
      <c r="Z1411" s="8">
        <v>0</v>
      </c>
      <c r="AA1411" s="8">
        <v>180</v>
      </c>
      <c r="AB1411" s="9">
        <f t="shared" si="143"/>
        <v>1</v>
      </c>
      <c r="AC1411" s="10">
        <f t="shared" ref="AC1411:AC1474" si="145">IFERROR(T1411/AB1411,"sin venta")</f>
        <v>29</v>
      </c>
      <c r="AD1411" s="8" t="s">
        <v>33</v>
      </c>
      <c r="AE1411" s="11">
        <v>5990</v>
      </c>
      <c r="AF1411" s="11">
        <f t="shared" ref="AF1411:AF1474" si="146">IFERROR(AE1411*T1411,0)</f>
        <v>173710</v>
      </c>
      <c r="AG1411" s="12" t="s">
        <v>73</v>
      </c>
      <c r="AH1411" s="8" t="s">
        <v>74</v>
      </c>
    </row>
    <row r="1412" spans="1:34">
      <c r="A1412" s="8" t="s">
        <v>1979</v>
      </c>
      <c r="B1412" s="16" t="s">
        <v>2859</v>
      </c>
      <c r="C1412" s="8" t="s">
        <v>27</v>
      </c>
      <c r="D1412" s="8" t="s">
        <v>1976</v>
      </c>
      <c r="E1412" s="8" t="str">
        <f t="shared" si="144"/>
        <v>CHOCOLATE</v>
      </c>
      <c r="G1412" s="8" t="s">
        <v>2861</v>
      </c>
      <c r="H1412" s="8" t="str">
        <f>VLOOKUP(A1412,[1]BBDD!$B$1:$J$3274,9,FALSE)</f>
        <v>U</v>
      </c>
      <c r="I1412" s="8" t="s">
        <v>2861</v>
      </c>
      <c r="J1412" s="8" t="s">
        <v>1977</v>
      </c>
      <c r="L1412" s="8" t="s">
        <v>1211</v>
      </c>
      <c r="N1412" s="8" t="s">
        <v>252</v>
      </c>
      <c r="Q1412" s="8" t="s">
        <v>45</v>
      </c>
      <c r="R1412" s="8">
        <v>4</v>
      </c>
      <c r="S1412" s="8">
        <v>6</v>
      </c>
      <c r="T1412" s="8">
        <f t="shared" si="142"/>
        <v>10</v>
      </c>
      <c r="U1412" s="8">
        <v>0</v>
      </c>
      <c r="V1412" s="8">
        <v>1</v>
      </c>
      <c r="W1412" s="8">
        <v>1</v>
      </c>
      <c r="X1412" s="8">
        <v>3</v>
      </c>
      <c r="Y1412" s="8">
        <v>3</v>
      </c>
      <c r="Z1412" s="8">
        <v>2</v>
      </c>
      <c r="AA1412" s="8">
        <v>180</v>
      </c>
      <c r="AB1412" s="9">
        <f t="shared" si="143"/>
        <v>1.6666666666666665</v>
      </c>
      <c r="AC1412" s="10">
        <f t="shared" si="145"/>
        <v>6.0000000000000009</v>
      </c>
      <c r="AD1412" s="8" t="s">
        <v>109</v>
      </c>
      <c r="AE1412" s="11">
        <v>5990</v>
      </c>
      <c r="AF1412" s="11">
        <f t="shared" si="146"/>
        <v>59900</v>
      </c>
      <c r="AG1412" s="12" t="s">
        <v>34</v>
      </c>
      <c r="AH1412" s="8" t="s">
        <v>35</v>
      </c>
    </row>
    <row r="1413" spans="1:34">
      <c r="A1413" s="8" t="s">
        <v>1980</v>
      </c>
      <c r="B1413" s="16" t="s">
        <v>2859</v>
      </c>
      <c r="C1413" s="8" t="s">
        <v>27</v>
      </c>
      <c r="D1413" s="8" t="s">
        <v>1976</v>
      </c>
      <c r="E1413" s="8" t="str">
        <f t="shared" si="144"/>
        <v>DULCE DE LECHE</v>
      </c>
      <c r="G1413" s="8" t="s">
        <v>2861</v>
      </c>
      <c r="H1413" s="8" t="str">
        <f>VLOOKUP(A1413,[1]BBDD!$B$1:$J$3274,9,FALSE)</f>
        <v>U</v>
      </c>
      <c r="I1413" s="8" t="s">
        <v>2861</v>
      </c>
      <c r="J1413" s="8" t="s">
        <v>1977</v>
      </c>
      <c r="L1413" s="8" t="s">
        <v>1211</v>
      </c>
      <c r="N1413" s="8" t="s">
        <v>1981</v>
      </c>
      <c r="Q1413" s="8" t="s">
        <v>45</v>
      </c>
      <c r="R1413" s="8">
        <v>13</v>
      </c>
      <c r="S1413" s="8">
        <v>5</v>
      </c>
      <c r="T1413" s="8">
        <f t="shared" si="142"/>
        <v>18</v>
      </c>
      <c r="U1413" s="8">
        <v>1</v>
      </c>
      <c r="V1413" s="8">
        <v>0</v>
      </c>
      <c r="W1413" s="8">
        <v>1</v>
      </c>
      <c r="X1413" s="8">
        <v>1</v>
      </c>
      <c r="Y1413" s="8">
        <v>1</v>
      </c>
      <c r="Z1413" s="8">
        <v>2</v>
      </c>
      <c r="AA1413" s="8">
        <v>180</v>
      </c>
      <c r="AB1413" s="9">
        <f t="shared" si="143"/>
        <v>1</v>
      </c>
      <c r="AC1413" s="10">
        <f t="shared" si="145"/>
        <v>18</v>
      </c>
      <c r="AD1413" s="8" t="s">
        <v>109</v>
      </c>
      <c r="AE1413" s="11">
        <v>5990</v>
      </c>
      <c r="AF1413" s="11">
        <f t="shared" si="146"/>
        <v>107820</v>
      </c>
      <c r="AG1413" s="12" t="s">
        <v>64</v>
      </c>
      <c r="AH1413" s="8" t="s">
        <v>65</v>
      </c>
    </row>
    <row r="1414" spans="1:34">
      <c r="A1414" s="8" t="s">
        <v>1982</v>
      </c>
      <c r="B1414" s="16" t="s">
        <v>2859</v>
      </c>
      <c r="C1414" s="8" t="s">
        <v>27</v>
      </c>
      <c r="D1414" s="8" t="s">
        <v>1976</v>
      </c>
      <c r="E1414" s="8" t="str">
        <f t="shared" si="144"/>
        <v>NATURAL</v>
      </c>
      <c r="G1414" s="8" t="s">
        <v>2861</v>
      </c>
      <c r="H1414" s="8" t="str">
        <f>VLOOKUP(A1414,[1]BBDD!$B$1:$J$3274,9,FALSE)</f>
        <v>U</v>
      </c>
      <c r="I1414" s="8" t="s">
        <v>2861</v>
      </c>
      <c r="J1414" s="8" t="s">
        <v>1977</v>
      </c>
      <c r="L1414" s="8" t="s">
        <v>1211</v>
      </c>
      <c r="N1414" s="8" t="s">
        <v>1983</v>
      </c>
      <c r="Q1414" s="8" t="s">
        <v>45</v>
      </c>
      <c r="R1414" s="8">
        <v>6</v>
      </c>
      <c r="S1414" s="8">
        <v>9</v>
      </c>
      <c r="T1414" s="8">
        <f t="shared" si="142"/>
        <v>15</v>
      </c>
      <c r="U1414" s="8">
        <v>1</v>
      </c>
      <c r="V1414" s="8">
        <v>0</v>
      </c>
      <c r="W1414" s="8">
        <v>2</v>
      </c>
      <c r="X1414" s="8">
        <v>0</v>
      </c>
      <c r="Y1414" s="8">
        <v>2</v>
      </c>
      <c r="Z1414" s="8">
        <v>1</v>
      </c>
      <c r="AA1414" s="8">
        <v>180</v>
      </c>
      <c r="AB1414" s="9">
        <f t="shared" si="143"/>
        <v>1</v>
      </c>
      <c r="AC1414" s="10">
        <f t="shared" si="145"/>
        <v>15</v>
      </c>
      <c r="AD1414" s="8" t="s">
        <v>109</v>
      </c>
      <c r="AE1414" s="11">
        <v>5990</v>
      </c>
      <c r="AF1414" s="11">
        <f t="shared" si="146"/>
        <v>89850</v>
      </c>
      <c r="AG1414" s="12" t="s">
        <v>64</v>
      </c>
      <c r="AH1414" s="8" t="s">
        <v>65</v>
      </c>
    </row>
    <row r="1415" spans="1:34">
      <c r="A1415" s="8" t="s">
        <v>1984</v>
      </c>
      <c r="B1415" s="16" t="s">
        <v>2859</v>
      </c>
      <c r="C1415" s="8" t="s">
        <v>27</v>
      </c>
      <c r="D1415" s="8" t="s">
        <v>1976</v>
      </c>
      <c r="E1415" s="8" t="str">
        <f t="shared" si="144"/>
        <v>SUELA</v>
      </c>
      <c r="G1415" s="8" t="s">
        <v>2861</v>
      </c>
      <c r="H1415" s="8" t="str">
        <f>VLOOKUP(A1415,[1]BBDD!$B$1:$J$3274,9,FALSE)</f>
        <v>U</v>
      </c>
      <c r="I1415" s="8" t="s">
        <v>2861</v>
      </c>
      <c r="J1415" s="8" t="s">
        <v>1977</v>
      </c>
      <c r="L1415" s="8" t="s">
        <v>1211</v>
      </c>
      <c r="N1415" s="8" t="s">
        <v>90</v>
      </c>
      <c r="Q1415" s="8" t="s">
        <v>45</v>
      </c>
      <c r="R1415" s="8">
        <v>4</v>
      </c>
      <c r="S1415" s="8">
        <v>6</v>
      </c>
      <c r="T1415" s="8">
        <f t="shared" si="142"/>
        <v>10</v>
      </c>
      <c r="U1415" s="8">
        <v>1</v>
      </c>
      <c r="V1415" s="8">
        <v>1</v>
      </c>
      <c r="W1415" s="8">
        <v>6</v>
      </c>
      <c r="X1415" s="8">
        <v>3</v>
      </c>
      <c r="Y1415" s="8">
        <v>2</v>
      </c>
      <c r="Z1415" s="8">
        <v>1</v>
      </c>
      <c r="AA1415" s="8">
        <v>180</v>
      </c>
      <c r="AB1415" s="9">
        <f t="shared" si="143"/>
        <v>2.3333333333333335</v>
      </c>
      <c r="AC1415" s="10">
        <f t="shared" si="145"/>
        <v>4.2857142857142856</v>
      </c>
      <c r="AD1415" s="8" t="s">
        <v>109</v>
      </c>
      <c r="AE1415" s="11">
        <v>5990</v>
      </c>
      <c r="AF1415" s="11">
        <f t="shared" si="146"/>
        <v>59900</v>
      </c>
      <c r="AG1415" s="12" t="s">
        <v>34</v>
      </c>
      <c r="AH1415" s="8" t="s">
        <v>35</v>
      </c>
    </row>
    <row r="1416" spans="1:34">
      <c r="A1416" s="8" t="s">
        <v>1985</v>
      </c>
      <c r="B1416" s="16" t="s">
        <v>2859</v>
      </c>
      <c r="C1416" s="8" t="s">
        <v>27</v>
      </c>
      <c r="D1416" s="8" t="s">
        <v>1976</v>
      </c>
      <c r="E1416" s="8" t="str">
        <f t="shared" si="144"/>
        <v>CEDRO</v>
      </c>
      <c r="G1416" s="8" t="s">
        <v>2861</v>
      </c>
      <c r="H1416" s="8" t="str">
        <f>VLOOKUP(A1416,[1]BBDD!$B$1:$J$3274,9,FALSE)</f>
        <v>U</v>
      </c>
      <c r="I1416" s="8" t="s">
        <v>2861</v>
      </c>
      <c r="J1416" s="8" t="s">
        <v>1986</v>
      </c>
      <c r="L1416" s="8" t="s">
        <v>112</v>
      </c>
      <c r="N1416" s="8" t="s">
        <v>113</v>
      </c>
      <c r="Q1416" s="8" t="s">
        <v>32</v>
      </c>
      <c r="R1416" s="8">
        <v>6</v>
      </c>
      <c r="S1416" s="8">
        <v>16</v>
      </c>
      <c r="T1416" s="8">
        <f t="shared" si="142"/>
        <v>22</v>
      </c>
      <c r="U1416" s="8">
        <v>1</v>
      </c>
      <c r="V1416" s="8">
        <v>1</v>
      </c>
      <c r="W1416" s="8">
        <v>3</v>
      </c>
      <c r="X1416" s="8">
        <v>1</v>
      </c>
      <c r="Y1416" s="8">
        <v>3</v>
      </c>
      <c r="Z1416" s="8">
        <v>2</v>
      </c>
      <c r="AA1416" s="8">
        <v>180</v>
      </c>
      <c r="AB1416" s="9">
        <f t="shared" si="143"/>
        <v>1.8333333333333333</v>
      </c>
      <c r="AC1416" s="10">
        <f t="shared" si="145"/>
        <v>12</v>
      </c>
      <c r="AD1416" s="8" t="s">
        <v>33</v>
      </c>
      <c r="AE1416" s="11">
        <v>7990</v>
      </c>
      <c r="AF1416" s="11">
        <f t="shared" si="146"/>
        <v>175780</v>
      </c>
      <c r="AG1416" s="12" t="s">
        <v>51</v>
      </c>
      <c r="AH1416" s="8" t="s">
        <v>74</v>
      </c>
    </row>
    <row r="1417" spans="1:34">
      <c r="A1417" s="8" t="s">
        <v>1987</v>
      </c>
      <c r="B1417" s="16" t="s">
        <v>2859</v>
      </c>
      <c r="C1417" s="8" t="s">
        <v>27</v>
      </c>
      <c r="D1417" s="8" t="s">
        <v>1976</v>
      </c>
      <c r="E1417" s="8" t="str">
        <f t="shared" si="144"/>
        <v>NEGRO</v>
      </c>
      <c r="G1417" s="8" t="s">
        <v>2861</v>
      </c>
      <c r="H1417" s="8" t="str">
        <f>VLOOKUP(A1417,[1]BBDD!$B$1:$J$3274,9,FALSE)</f>
        <v>U</v>
      </c>
      <c r="I1417" s="8" t="s">
        <v>2861</v>
      </c>
      <c r="J1417" s="8" t="s">
        <v>1986</v>
      </c>
      <c r="L1417" s="8" t="s">
        <v>119</v>
      </c>
      <c r="N1417" s="8" t="s">
        <v>44</v>
      </c>
      <c r="Q1417" s="8" t="s">
        <v>45</v>
      </c>
      <c r="R1417" s="8">
        <v>6</v>
      </c>
      <c r="S1417" s="8">
        <v>8</v>
      </c>
      <c r="T1417" s="8">
        <f t="shared" si="142"/>
        <v>14</v>
      </c>
      <c r="U1417" s="8">
        <v>0</v>
      </c>
      <c r="V1417" s="8">
        <v>1</v>
      </c>
      <c r="W1417" s="8">
        <v>0</v>
      </c>
      <c r="X1417" s="8">
        <v>2</v>
      </c>
      <c r="Y1417" s="8">
        <v>1</v>
      </c>
      <c r="Z1417" s="8">
        <v>0</v>
      </c>
      <c r="AA1417" s="8">
        <v>180</v>
      </c>
      <c r="AB1417" s="9">
        <f t="shared" si="143"/>
        <v>0.66666666666666674</v>
      </c>
      <c r="AC1417" s="10">
        <f t="shared" si="145"/>
        <v>20.999999999999996</v>
      </c>
      <c r="AD1417" s="8" t="s">
        <v>109</v>
      </c>
      <c r="AE1417" s="11">
        <v>7990</v>
      </c>
      <c r="AF1417" s="11">
        <f t="shared" si="146"/>
        <v>111860</v>
      </c>
      <c r="AG1417" s="12" t="s">
        <v>64</v>
      </c>
      <c r="AH1417" s="8" t="s">
        <v>65</v>
      </c>
    </row>
    <row r="1418" spans="1:34">
      <c r="A1418" s="8" t="s">
        <v>1988</v>
      </c>
      <c r="B1418" s="16" t="s">
        <v>2859</v>
      </c>
      <c r="C1418" s="8" t="s">
        <v>27</v>
      </c>
      <c r="D1418" s="8" t="s">
        <v>1976</v>
      </c>
      <c r="E1418" s="8" t="str">
        <f t="shared" si="144"/>
        <v>CHOCOLATE</v>
      </c>
      <c r="G1418" s="8" t="s">
        <v>2861</v>
      </c>
      <c r="H1418" s="8" t="str">
        <f>VLOOKUP(A1418,[1]BBDD!$B$1:$J$3274,9,FALSE)</f>
        <v>U</v>
      </c>
      <c r="I1418" s="8" t="s">
        <v>2861</v>
      </c>
      <c r="J1418" s="8" t="s">
        <v>1986</v>
      </c>
      <c r="L1418" s="8" t="s">
        <v>1211</v>
      </c>
      <c r="N1418" s="8" t="s">
        <v>252</v>
      </c>
      <c r="Q1418" s="8" t="s">
        <v>45</v>
      </c>
      <c r="R1418" s="8">
        <v>0</v>
      </c>
      <c r="S1418" s="8">
        <v>6</v>
      </c>
      <c r="T1418" s="8">
        <f t="shared" si="142"/>
        <v>6</v>
      </c>
      <c r="U1418" s="8">
        <v>0</v>
      </c>
      <c r="V1418" s="8">
        <v>0</v>
      </c>
      <c r="W1418" s="8">
        <v>1</v>
      </c>
      <c r="X1418" s="8">
        <v>0</v>
      </c>
      <c r="Y1418" s="8">
        <v>2</v>
      </c>
      <c r="Z1418" s="8">
        <v>1</v>
      </c>
      <c r="AA1418" s="8">
        <v>180</v>
      </c>
      <c r="AB1418" s="9">
        <f t="shared" si="143"/>
        <v>0.66666666666666674</v>
      </c>
      <c r="AC1418" s="10">
        <f t="shared" si="145"/>
        <v>8.9999999999999982</v>
      </c>
      <c r="AD1418" s="8" t="s">
        <v>109</v>
      </c>
      <c r="AE1418" s="11">
        <v>7990</v>
      </c>
      <c r="AF1418" s="11">
        <f t="shared" si="146"/>
        <v>47940</v>
      </c>
      <c r="AG1418" s="12" t="s">
        <v>51</v>
      </c>
      <c r="AH1418" s="8" t="s">
        <v>35</v>
      </c>
    </row>
    <row r="1419" spans="1:34">
      <c r="A1419" s="8" t="s">
        <v>1989</v>
      </c>
      <c r="B1419" s="16" t="s">
        <v>2859</v>
      </c>
      <c r="C1419" s="8" t="s">
        <v>27</v>
      </c>
      <c r="D1419" s="8" t="s">
        <v>1976</v>
      </c>
      <c r="E1419" s="8" t="str">
        <f t="shared" si="144"/>
        <v>DULCE DE LECHE</v>
      </c>
      <c r="G1419" s="8" t="s">
        <v>2861</v>
      </c>
      <c r="H1419" s="8" t="str">
        <f>VLOOKUP(A1419,[1]BBDD!$B$1:$J$3274,9,FALSE)</f>
        <v>U</v>
      </c>
      <c r="I1419" s="8" t="s">
        <v>2861</v>
      </c>
      <c r="J1419" s="8" t="s">
        <v>1986</v>
      </c>
      <c r="L1419" s="8" t="s">
        <v>1211</v>
      </c>
      <c r="N1419" s="8" t="s">
        <v>1981</v>
      </c>
      <c r="Q1419" s="8" t="s">
        <v>45</v>
      </c>
      <c r="R1419" s="8">
        <v>7</v>
      </c>
      <c r="S1419" s="8">
        <v>3</v>
      </c>
      <c r="T1419" s="8">
        <f t="shared" si="142"/>
        <v>10</v>
      </c>
      <c r="U1419" s="8">
        <v>0</v>
      </c>
      <c r="V1419" s="8">
        <v>0</v>
      </c>
      <c r="W1419" s="8">
        <v>1</v>
      </c>
      <c r="X1419" s="8">
        <v>1</v>
      </c>
      <c r="Y1419" s="8">
        <v>0</v>
      </c>
      <c r="Z1419" s="8">
        <v>0</v>
      </c>
      <c r="AA1419" s="8">
        <v>180</v>
      </c>
      <c r="AB1419" s="9">
        <f t="shared" si="143"/>
        <v>0.33333333333333337</v>
      </c>
      <c r="AC1419" s="10">
        <f t="shared" si="145"/>
        <v>29.999999999999996</v>
      </c>
      <c r="AD1419" s="8" t="s">
        <v>109</v>
      </c>
      <c r="AE1419" s="11">
        <v>7990</v>
      </c>
      <c r="AF1419" s="11">
        <f t="shared" si="146"/>
        <v>79900</v>
      </c>
      <c r="AG1419" s="12" t="s">
        <v>73</v>
      </c>
      <c r="AH1419" s="8" t="s">
        <v>35</v>
      </c>
    </row>
    <row r="1420" spans="1:34">
      <c r="A1420" s="8" t="s">
        <v>1990</v>
      </c>
      <c r="B1420" s="16" t="s">
        <v>2859</v>
      </c>
      <c r="C1420" s="8" t="s">
        <v>27</v>
      </c>
      <c r="D1420" s="8" t="s">
        <v>1976</v>
      </c>
      <c r="E1420" s="8" t="str">
        <f t="shared" si="144"/>
        <v>NATURAL</v>
      </c>
      <c r="G1420" s="8" t="s">
        <v>2861</v>
      </c>
      <c r="H1420" s="8" t="str">
        <f>VLOOKUP(A1420,[1]BBDD!$B$1:$J$3274,9,FALSE)</f>
        <v>U</v>
      </c>
      <c r="I1420" s="8" t="s">
        <v>2861</v>
      </c>
      <c r="J1420" s="8" t="s">
        <v>1986</v>
      </c>
      <c r="L1420" s="8" t="s">
        <v>1211</v>
      </c>
      <c r="N1420" s="8" t="s">
        <v>1983</v>
      </c>
      <c r="Q1420" s="8" t="s">
        <v>45</v>
      </c>
      <c r="R1420" s="8">
        <v>0</v>
      </c>
      <c r="S1420" s="8">
        <v>3</v>
      </c>
      <c r="T1420" s="8">
        <f t="shared" si="142"/>
        <v>3</v>
      </c>
      <c r="U1420" s="8">
        <v>0</v>
      </c>
      <c r="V1420" s="8">
        <v>0</v>
      </c>
      <c r="W1420" s="8">
        <v>0</v>
      </c>
      <c r="X1420" s="8">
        <v>1</v>
      </c>
      <c r="Y1420" s="8">
        <v>2</v>
      </c>
      <c r="Z1420" s="8">
        <v>1</v>
      </c>
      <c r="AA1420" s="8">
        <v>180</v>
      </c>
      <c r="AB1420" s="9">
        <f t="shared" si="143"/>
        <v>0.66666666666666674</v>
      </c>
      <c r="AC1420" s="10">
        <f t="shared" si="145"/>
        <v>4.4999999999999991</v>
      </c>
      <c r="AD1420" s="8" t="s">
        <v>109</v>
      </c>
      <c r="AE1420" s="11">
        <v>7990</v>
      </c>
      <c r="AF1420" s="11">
        <f t="shared" si="146"/>
        <v>23970</v>
      </c>
      <c r="AG1420" s="12" t="s">
        <v>34</v>
      </c>
      <c r="AH1420" s="8" t="s">
        <v>35</v>
      </c>
    </row>
    <row r="1421" spans="1:34">
      <c r="A1421" s="8" t="s">
        <v>1991</v>
      </c>
      <c r="B1421" s="16" t="s">
        <v>2859</v>
      </c>
      <c r="C1421" s="8" t="s">
        <v>27</v>
      </c>
      <c r="D1421" s="8" t="s">
        <v>1976</v>
      </c>
      <c r="E1421" s="8" t="str">
        <f t="shared" si="144"/>
        <v>NEGRO</v>
      </c>
      <c r="G1421" s="8" t="s">
        <v>2861</v>
      </c>
      <c r="H1421" s="8" t="str">
        <f>VLOOKUP(A1421,[1]BBDD!$B$1:$J$3274,9,FALSE)</f>
        <v>U</v>
      </c>
      <c r="I1421" s="8" t="s">
        <v>2861</v>
      </c>
      <c r="J1421" s="8" t="s">
        <v>1986</v>
      </c>
      <c r="L1421" s="8" t="s">
        <v>1211</v>
      </c>
      <c r="N1421" s="8" t="s">
        <v>44</v>
      </c>
      <c r="Q1421" s="8" t="s">
        <v>45</v>
      </c>
      <c r="R1421" s="8">
        <v>6</v>
      </c>
      <c r="S1421" s="8">
        <v>3</v>
      </c>
      <c r="T1421" s="8">
        <f t="shared" si="142"/>
        <v>9</v>
      </c>
      <c r="U1421" s="8">
        <v>2</v>
      </c>
      <c r="V1421" s="8">
        <v>1</v>
      </c>
      <c r="W1421" s="8">
        <v>1</v>
      </c>
      <c r="X1421" s="8">
        <v>3</v>
      </c>
      <c r="Y1421" s="8">
        <v>2</v>
      </c>
      <c r="Z1421" s="8">
        <v>0</v>
      </c>
      <c r="AA1421" s="8">
        <v>180</v>
      </c>
      <c r="AB1421" s="9">
        <f t="shared" si="143"/>
        <v>1.5</v>
      </c>
      <c r="AC1421" s="10">
        <f t="shared" si="145"/>
        <v>6</v>
      </c>
      <c r="AD1421" s="8" t="s">
        <v>109</v>
      </c>
      <c r="AE1421" s="11">
        <v>7990</v>
      </c>
      <c r="AF1421" s="11">
        <f t="shared" si="146"/>
        <v>71910</v>
      </c>
      <c r="AG1421" s="12" t="s">
        <v>34</v>
      </c>
      <c r="AH1421" s="8" t="s">
        <v>35</v>
      </c>
    </row>
    <row r="1422" spans="1:34">
      <c r="A1422" s="8" t="s">
        <v>1992</v>
      </c>
      <c r="B1422" s="16" t="s">
        <v>2859</v>
      </c>
      <c r="C1422" s="8" t="s">
        <v>27</v>
      </c>
      <c r="D1422" s="8" t="s">
        <v>1976</v>
      </c>
      <c r="E1422" s="8" t="str">
        <f t="shared" si="144"/>
        <v>SUELA</v>
      </c>
      <c r="G1422" s="8" t="s">
        <v>2861</v>
      </c>
      <c r="H1422" s="8" t="str">
        <f>VLOOKUP(A1422,[1]BBDD!$B$1:$J$3274,9,FALSE)</f>
        <v>U</v>
      </c>
      <c r="I1422" s="8" t="s">
        <v>2861</v>
      </c>
      <c r="J1422" s="8" t="s">
        <v>1986</v>
      </c>
      <c r="L1422" s="8" t="s">
        <v>1211</v>
      </c>
      <c r="N1422" s="8" t="s">
        <v>90</v>
      </c>
      <c r="Q1422" s="8" t="s">
        <v>45</v>
      </c>
      <c r="R1422" s="8">
        <v>8</v>
      </c>
      <c r="S1422" s="8">
        <v>3</v>
      </c>
      <c r="T1422" s="8">
        <f t="shared" si="142"/>
        <v>11</v>
      </c>
      <c r="U1422" s="8">
        <v>1</v>
      </c>
      <c r="V1422" s="8">
        <v>0</v>
      </c>
      <c r="W1422" s="8">
        <v>0</v>
      </c>
      <c r="X1422" s="8">
        <v>2</v>
      </c>
      <c r="Y1422" s="8">
        <v>2</v>
      </c>
      <c r="Z1422" s="8">
        <v>1</v>
      </c>
      <c r="AA1422" s="8">
        <v>180</v>
      </c>
      <c r="AB1422" s="9">
        <f t="shared" si="143"/>
        <v>1</v>
      </c>
      <c r="AC1422" s="10">
        <f t="shared" si="145"/>
        <v>11</v>
      </c>
      <c r="AD1422" s="8" t="s">
        <v>109</v>
      </c>
      <c r="AE1422" s="11">
        <v>7990</v>
      </c>
      <c r="AF1422" s="11">
        <f t="shared" si="146"/>
        <v>87890</v>
      </c>
      <c r="AG1422" s="12" t="s">
        <v>51</v>
      </c>
      <c r="AH1422" s="8" t="s">
        <v>65</v>
      </c>
    </row>
    <row r="1423" spans="1:34">
      <c r="A1423" s="8" t="s">
        <v>1993</v>
      </c>
      <c r="B1423" s="16" t="s">
        <v>2859</v>
      </c>
      <c r="C1423" s="8" t="s">
        <v>27</v>
      </c>
      <c r="D1423" s="8" t="s">
        <v>1976</v>
      </c>
      <c r="E1423" s="8" t="str">
        <f t="shared" si="144"/>
        <v>DARK</v>
      </c>
      <c r="G1423" s="8" t="s">
        <v>2861</v>
      </c>
      <c r="H1423" s="8" t="str">
        <f>VLOOKUP(A1423,[1]BBDD!$B$1:$J$3274,9,FALSE)</f>
        <v>U</v>
      </c>
      <c r="I1423" s="8" t="s">
        <v>2861</v>
      </c>
      <c r="J1423" s="8" t="s">
        <v>1986</v>
      </c>
      <c r="L1423" s="8" t="s">
        <v>189</v>
      </c>
      <c r="N1423" s="8" t="s">
        <v>246</v>
      </c>
      <c r="Q1423" s="8" t="s">
        <v>32</v>
      </c>
      <c r="R1423" s="8">
        <v>0</v>
      </c>
      <c r="S1423" s="8">
        <v>0</v>
      </c>
      <c r="T1423" s="8">
        <f t="shared" si="142"/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180</v>
      </c>
      <c r="AB1423" s="9">
        <f t="shared" si="143"/>
        <v>0</v>
      </c>
      <c r="AC1423" s="10" t="str">
        <f t="shared" si="145"/>
        <v>sin venta</v>
      </c>
      <c r="AD1423" s="8" t="s">
        <v>33</v>
      </c>
      <c r="AE1423" s="11">
        <v>7990</v>
      </c>
      <c r="AF1423" s="11">
        <f t="shared" si="146"/>
        <v>0</v>
      </c>
      <c r="AG1423" s="12" t="s">
        <v>73</v>
      </c>
      <c r="AH1423" s="8" t="s">
        <v>35</v>
      </c>
    </row>
    <row r="1424" spans="1:34">
      <c r="A1424" s="8" t="s">
        <v>1994</v>
      </c>
      <c r="B1424" s="16" t="s">
        <v>2859</v>
      </c>
      <c r="C1424" s="8" t="s">
        <v>27</v>
      </c>
      <c r="D1424" s="8" t="s">
        <v>1976</v>
      </c>
      <c r="E1424" s="8" t="str">
        <f t="shared" si="144"/>
        <v>LIGHT</v>
      </c>
      <c r="G1424" s="8" t="s">
        <v>2861</v>
      </c>
      <c r="H1424" s="8" t="str">
        <f>VLOOKUP(A1424,[1]BBDD!$B$1:$J$3274,9,FALSE)</f>
        <v>U</v>
      </c>
      <c r="I1424" s="8" t="s">
        <v>2861</v>
      </c>
      <c r="J1424" s="8" t="s">
        <v>1986</v>
      </c>
      <c r="L1424" s="8" t="s">
        <v>189</v>
      </c>
      <c r="N1424" s="8" t="s">
        <v>783</v>
      </c>
      <c r="Q1424" s="8" t="s">
        <v>32</v>
      </c>
      <c r="R1424" s="8">
        <v>0</v>
      </c>
      <c r="S1424" s="8">
        <v>0</v>
      </c>
      <c r="T1424" s="8">
        <f t="shared" si="142"/>
        <v>0</v>
      </c>
      <c r="U1424" s="8">
        <v>0</v>
      </c>
      <c r="V1424" s="8">
        <v>1</v>
      </c>
      <c r="W1424" s="8">
        <v>1</v>
      </c>
      <c r="X1424" s="8">
        <v>0</v>
      </c>
      <c r="Y1424" s="8">
        <v>0</v>
      </c>
      <c r="Z1424" s="8">
        <v>0</v>
      </c>
      <c r="AA1424" s="8">
        <v>180</v>
      </c>
      <c r="AB1424" s="9">
        <f t="shared" si="143"/>
        <v>0.33333333333333337</v>
      </c>
      <c r="AC1424" s="10">
        <f t="shared" si="145"/>
        <v>0</v>
      </c>
      <c r="AD1424" s="8" t="s">
        <v>33</v>
      </c>
      <c r="AE1424" s="11">
        <v>7990</v>
      </c>
      <c r="AF1424" s="11">
        <f t="shared" si="146"/>
        <v>0</v>
      </c>
      <c r="AG1424" s="12" t="s">
        <v>34</v>
      </c>
      <c r="AH1424" s="8" t="s">
        <v>35</v>
      </c>
    </row>
    <row r="1425" spans="1:34">
      <c r="A1425" s="8" t="s">
        <v>1995</v>
      </c>
      <c r="B1425" s="16" t="s">
        <v>2859</v>
      </c>
      <c r="C1425" s="8" t="s">
        <v>27</v>
      </c>
      <c r="D1425" s="8" t="s">
        <v>1976</v>
      </c>
      <c r="E1425" s="8" t="str">
        <f t="shared" si="144"/>
        <v>MEDIO</v>
      </c>
      <c r="G1425" s="8" t="s">
        <v>2861</v>
      </c>
      <c r="H1425" s="8" t="str">
        <f>VLOOKUP(A1425,[1]BBDD!$B$1:$J$3274,9,FALSE)</f>
        <v>U</v>
      </c>
      <c r="I1425" s="8" t="s">
        <v>2861</v>
      </c>
      <c r="J1425" s="8" t="s">
        <v>1986</v>
      </c>
      <c r="L1425" s="8" t="s">
        <v>189</v>
      </c>
      <c r="N1425" s="8" t="s">
        <v>190</v>
      </c>
      <c r="Q1425" s="8" t="s">
        <v>45</v>
      </c>
      <c r="R1425" s="8">
        <v>2</v>
      </c>
      <c r="S1425" s="8">
        <v>5</v>
      </c>
      <c r="T1425" s="8">
        <f t="shared" si="142"/>
        <v>7</v>
      </c>
      <c r="U1425" s="8">
        <v>0</v>
      </c>
      <c r="V1425" s="8">
        <v>1</v>
      </c>
      <c r="W1425" s="8">
        <v>0</v>
      </c>
      <c r="X1425" s="8">
        <v>1</v>
      </c>
      <c r="Y1425" s="8">
        <v>0</v>
      </c>
      <c r="Z1425" s="8">
        <v>0</v>
      </c>
      <c r="AA1425" s="8">
        <v>180</v>
      </c>
      <c r="AB1425" s="9">
        <f t="shared" si="143"/>
        <v>0.33333333333333337</v>
      </c>
      <c r="AC1425" s="10">
        <f t="shared" si="145"/>
        <v>20.999999999999996</v>
      </c>
      <c r="AD1425" s="8" t="s">
        <v>109</v>
      </c>
      <c r="AE1425" s="11">
        <v>7990</v>
      </c>
      <c r="AF1425" s="11">
        <f t="shared" si="146"/>
        <v>55930</v>
      </c>
      <c r="AG1425" s="12" t="s">
        <v>64</v>
      </c>
      <c r="AH1425" s="8" t="s">
        <v>35</v>
      </c>
    </row>
    <row r="1426" spans="1:34">
      <c r="A1426" s="8" t="s">
        <v>1996</v>
      </c>
      <c r="B1426" s="16" t="s">
        <v>2859</v>
      </c>
      <c r="C1426" s="8" t="s">
        <v>27</v>
      </c>
      <c r="D1426" s="8" t="s">
        <v>1976</v>
      </c>
      <c r="E1426" s="8" t="str">
        <f t="shared" si="144"/>
        <v>CEDRO</v>
      </c>
      <c r="G1426" s="8" t="s">
        <v>2861</v>
      </c>
      <c r="H1426" s="8" t="str">
        <f>VLOOKUP(A1426,[1]BBDD!$B$1:$J$3274,9,FALSE)</f>
        <v>U</v>
      </c>
      <c r="I1426" s="8" t="s">
        <v>2861</v>
      </c>
      <c r="J1426" s="8" t="s">
        <v>1997</v>
      </c>
      <c r="L1426" s="8" t="s">
        <v>112</v>
      </c>
      <c r="N1426" s="8" t="s">
        <v>113</v>
      </c>
      <c r="Q1426" s="8" t="s">
        <v>32</v>
      </c>
      <c r="R1426" s="8">
        <v>4</v>
      </c>
      <c r="S1426" s="8">
        <v>14</v>
      </c>
      <c r="T1426" s="8">
        <f t="shared" si="142"/>
        <v>18</v>
      </c>
      <c r="U1426" s="8">
        <v>9</v>
      </c>
      <c r="V1426" s="8">
        <v>5</v>
      </c>
      <c r="W1426" s="8">
        <v>8</v>
      </c>
      <c r="X1426" s="8">
        <v>5</v>
      </c>
      <c r="Y1426" s="8">
        <v>7</v>
      </c>
      <c r="Z1426" s="8">
        <v>10</v>
      </c>
      <c r="AA1426" s="8">
        <v>180</v>
      </c>
      <c r="AB1426" s="9">
        <f t="shared" si="143"/>
        <v>7.333333333333333</v>
      </c>
      <c r="AC1426" s="10">
        <f t="shared" si="145"/>
        <v>2.4545454545454546</v>
      </c>
      <c r="AD1426" s="8" t="s">
        <v>33</v>
      </c>
      <c r="AE1426" s="11">
        <v>4990</v>
      </c>
      <c r="AF1426" s="11">
        <f t="shared" si="146"/>
        <v>89820</v>
      </c>
      <c r="AG1426" s="12" t="s">
        <v>34</v>
      </c>
      <c r="AH1426" s="8" t="s">
        <v>65</v>
      </c>
    </row>
    <row r="1427" spans="1:34">
      <c r="A1427" s="8" t="s">
        <v>1998</v>
      </c>
      <c r="B1427" s="16" t="s">
        <v>2859</v>
      </c>
      <c r="C1427" s="8" t="s">
        <v>27</v>
      </c>
      <c r="D1427" s="8" t="s">
        <v>1976</v>
      </c>
      <c r="E1427" s="8" t="str">
        <f t="shared" si="144"/>
        <v>NEGRO</v>
      </c>
      <c r="G1427" s="8" t="s">
        <v>2861</v>
      </c>
      <c r="H1427" s="8" t="str">
        <f>VLOOKUP(A1427,[1]BBDD!$B$1:$J$3274,9,FALSE)</f>
        <v>U</v>
      </c>
      <c r="I1427" s="8" t="s">
        <v>2861</v>
      </c>
      <c r="J1427" s="8" t="s">
        <v>1997</v>
      </c>
      <c r="L1427" s="8" t="s">
        <v>119</v>
      </c>
      <c r="N1427" s="8" t="s">
        <v>44</v>
      </c>
      <c r="Q1427" s="8" t="s">
        <v>32</v>
      </c>
      <c r="R1427" s="8">
        <v>0</v>
      </c>
      <c r="S1427" s="8">
        <v>12</v>
      </c>
      <c r="T1427" s="8">
        <f t="shared" si="142"/>
        <v>12</v>
      </c>
      <c r="U1427" s="8">
        <v>1</v>
      </c>
      <c r="V1427" s="8">
        <v>8</v>
      </c>
      <c r="W1427" s="8">
        <v>8</v>
      </c>
      <c r="X1427" s="8">
        <v>6</v>
      </c>
      <c r="Y1427" s="8">
        <v>3</v>
      </c>
      <c r="Z1427" s="8">
        <v>2</v>
      </c>
      <c r="AA1427" s="8">
        <v>180</v>
      </c>
      <c r="AB1427" s="9">
        <f t="shared" si="143"/>
        <v>4.666666666666667</v>
      </c>
      <c r="AC1427" s="10">
        <f t="shared" si="145"/>
        <v>2.5714285714285712</v>
      </c>
      <c r="AD1427" s="8" t="s">
        <v>33</v>
      </c>
      <c r="AE1427" s="11">
        <v>4990</v>
      </c>
      <c r="AF1427" s="11">
        <f t="shared" si="146"/>
        <v>59880</v>
      </c>
      <c r="AG1427" s="12" t="s">
        <v>34</v>
      </c>
      <c r="AH1427" s="8" t="s">
        <v>65</v>
      </c>
    </row>
    <row r="1428" spans="1:34">
      <c r="A1428" s="8" t="s">
        <v>1999</v>
      </c>
      <c r="B1428" s="16" t="s">
        <v>2859</v>
      </c>
      <c r="C1428" s="8" t="s">
        <v>27</v>
      </c>
      <c r="D1428" s="8" t="s">
        <v>1976</v>
      </c>
      <c r="E1428" s="8" t="str">
        <f t="shared" si="144"/>
        <v>DULCE DE LECHE</v>
      </c>
      <c r="G1428" s="8" t="s">
        <v>2861</v>
      </c>
      <c r="H1428" s="8" t="str">
        <f>VLOOKUP(A1428,[1]BBDD!$B$1:$J$3274,9,FALSE)</f>
        <v>U</v>
      </c>
      <c r="I1428" s="8" t="s">
        <v>2861</v>
      </c>
      <c r="J1428" s="8" t="s">
        <v>1997</v>
      </c>
      <c r="L1428" s="8" t="s">
        <v>1211</v>
      </c>
      <c r="N1428" s="8" t="s">
        <v>1981</v>
      </c>
      <c r="Q1428" s="8" t="s">
        <v>45</v>
      </c>
      <c r="R1428" s="8">
        <v>0</v>
      </c>
      <c r="S1428" s="8">
        <v>1</v>
      </c>
      <c r="T1428" s="8">
        <f t="shared" si="142"/>
        <v>1</v>
      </c>
      <c r="U1428" s="8">
        <v>2</v>
      </c>
      <c r="V1428" s="8">
        <v>1</v>
      </c>
      <c r="W1428" s="8">
        <v>0</v>
      </c>
      <c r="X1428" s="8">
        <v>0</v>
      </c>
      <c r="Y1428" s="8">
        <v>0</v>
      </c>
      <c r="Z1428" s="8">
        <v>0</v>
      </c>
      <c r="AA1428" s="8">
        <v>180</v>
      </c>
      <c r="AB1428" s="9">
        <f t="shared" si="143"/>
        <v>0.5</v>
      </c>
      <c r="AC1428" s="10">
        <f t="shared" si="145"/>
        <v>2</v>
      </c>
      <c r="AD1428" s="8" t="s">
        <v>109</v>
      </c>
      <c r="AE1428" s="11">
        <v>4990</v>
      </c>
      <c r="AF1428" s="11">
        <f t="shared" si="146"/>
        <v>4990</v>
      </c>
      <c r="AG1428" s="12" t="s">
        <v>34</v>
      </c>
      <c r="AH1428" s="8" t="s">
        <v>35</v>
      </c>
    </row>
    <row r="1429" spans="1:34">
      <c r="A1429" s="8" t="s">
        <v>2000</v>
      </c>
      <c r="B1429" s="16" t="s">
        <v>2859</v>
      </c>
      <c r="C1429" s="8" t="s">
        <v>27</v>
      </c>
      <c r="D1429" s="8" t="s">
        <v>1976</v>
      </c>
      <c r="E1429" s="8" t="str">
        <f t="shared" si="144"/>
        <v>NATURAL</v>
      </c>
      <c r="G1429" s="8" t="s">
        <v>2861</v>
      </c>
      <c r="H1429" s="8" t="str">
        <f>VLOOKUP(A1429,[1]BBDD!$B$1:$J$3274,9,FALSE)</f>
        <v>U</v>
      </c>
      <c r="I1429" s="8" t="s">
        <v>2861</v>
      </c>
      <c r="J1429" s="8" t="s">
        <v>1997</v>
      </c>
      <c r="L1429" s="8" t="s">
        <v>1211</v>
      </c>
      <c r="N1429" s="8" t="s">
        <v>1983</v>
      </c>
      <c r="Q1429" s="8" t="s">
        <v>45</v>
      </c>
      <c r="R1429" s="8">
        <v>0</v>
      </c>
      <c r="S1429" s="8">
        <v>8</v>
      </c>
      <c r="T1429" s="8">
        <f t="shared" si="142"/>
        <v>8</v>
      </c>
      <c r="U1429" s="8">
        <v>1</v>
      </c>
      <c r="V1429" s="8">
        <v>2</v>
      </c>
      <c r="W1429" s="8">
        <v>1</v>
      </c>
      <c r="X1429" s="8">
        <v>3</v>
      </c>
      <c r="Y1429" s="8">
        <v>1</v>
      </c>
      <c r="Z1429" s="8">
        <v>4</v>
      </c>
      <c r="AA1429" s="8">
        <v>180</v>
      </c>
      <c r="AB1429" s="9">
        <f t="shared" si="143"/>
        <v>2</v>
      </c>
      <c r="AC1429" s="10">
        <f t="shared" si="145"/>
        <v>4</v>
      </c>
      <c r="AD1429" s="8" t="s">
        <v>109</v>
      </c>
      <c r="AE1429" s="11">
        <v>4990</v>
      </c>
      <c r="AF1429" s="11">
        <f t="shared" si="146"/>
        <v>39920</v>
      </c>
      <c r="AG1429" s="12" t="s">
        <v>34</v>
      </c>
      <c r="AH1429" s="8" t="s">
        <v>35</v>
      </c>
    </row>
    <row r="1430" spans="1:34">
      <c r="A1430" s="8" t="s">
        <v>2001</v>
      </c>
      <c r="B1430" s="16" t="s">
        <v>2859</v>
      </c>
      <c r="C1430" s="8" t="s">
        <v>27</v>
      </c>
      <c r="D1430" s="8" t="s">
        <v>1976</v>
      </c>
      <c r="E1430" s="8" t="str">
        <f t="shared" si="144"/>
        <v>MEDIO</v>
      </c>
      <c r="G1430" s="8" t="s">
        <v>2861</v>
      </c>
      <c r="H1430" s="8" t="str">
        <f>VLOOKUP(A1430,[1]BBDD!$B$1:$J$3274,9,FALSE)</f>
        <v>U</v>
      </c>
      <c r="I1430" s="8" t="s">
        <v>2861</v>
      </c>
      <c r="J1430" s="8" t="s">
        <v>1997</v>
      </c>
      <c r="L1430" s="8" t="s">
        <v>189</v>
      </c>
      <c r="N1430" s="8" t="s">
        <v>190</v>
      </c>
      <c r="Q1430" s="8" t="s">
        <v>45</v>
      </c>
      <c r="R1430" s="8">
        <v>0</v>
      </c>
      <c r="S1430" s="8">
        <v>1</v>
      </c>
      <c r="T1430" s="8">
        <f t="shared" si="142"/>
        <v>1</v>
      </c>
      <c r="U1430" s="8">
        <v>5</v>
      </c>
      <c r="V1430" s="8">
        <v>0</v>
      </c>
      <c r="W1430" s="8">
        <v>4</v>
      </c>
      <c r="X1430" s="8">
        <v>1</v>
      </c>
      <c r="Y1430" s="8">
        <v>1</v>
      </c>
      <c r="Z1430" s="8">
        <v>1</v>
      </c>
      <c r="AA1430" s="8">
        <v>180</v>
      </c>
      <c r="AB1430" s="9">
        <f t="shared" si="143"/>
        <v>2</v>
      </c>
      <c r="AC1430" s="10">
        <f t="shared" si="145"/>
        <v>0.5</v>
      </c>
      <c r="AD1430" s="8" t="s">
        <v>109</v>
      </c>
      <c r="AE1430" s="11">
        <v>4990</v>
      </c>
      <c r="AF1430" s="11">
        <f t="shared" si="146"/>
        <v>4990</v>
      </c>
      <c r="AG1430" s="12" t="s">
        <v>34</v>
      </c>
      <c r="AH1430" s="8" t="s">
        <v>35</v>
      </c>
    </row>
    <row r="1431" spans="1:34">
      <c r="A1431" s="8" t="s">
        <v>2002</v>
      </c>
      <c r="B1431" s="16" t="s">
        <v>2859</v>
      </c>
      <c r="C1431" s="8" t="s">
        <v>248</v>
      </c>
      <c r="D1431" s="8" t="s">
        <v>2003</v>
      </c>
      <c r="E1431" s="8" t="str">
        <f t="shared" si="144"/>
        <v>NEGRO</v>
      </c>
      <c r="H1431" s="8" t="str">
        <f>VLOOKUP(A1431,[1]BBDD!$B$1:$J$3274,9,FALSE)</f>
        <v>H</v>
      </c>
      <c r="I1431" s="18" t="s">
        <v>2863</v>
      </c>
      <c r="J1431" s="8" t="s">
        <v>2004</v>
      </c>
      <c r="L1431" s="8" t="s">
        <v>61</v>
      </c>
      <c r="N1431" s="8" t="s">
        <v>44</v>
      </c>
      <c r="Q1431" s="8" t="s">
        <v>32</v>
      </c>
      <c r="R1431" s="8">
        <v>4</v>
      </c>
      <c r="S1431" s="8">
        <v>11</v>
      </c>
      <c r="T1431" s="8">
        <f t="shared" si="142"/>
        <v>15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180</v>
      </c>
      <c r="AB1431" s="9">
        <f t="shared" si="143"/>
        <v>0</v>
      </c>
      <c r="AC1431" s="10" t="str">
        <f t="shared" si="145"/>
        <v>sin venta</v>
      </c>
      <c r="AD1431" s="8" t="s">
        <v>33</v>
      </c>
      <c r="AE1431" s="11">
        <v>16990</v>
      </c>
      <c r="AF1431" s="11">
        <f t="shared" si="146"/>
        <v>254850</v>
      </c>
      <c r="AG1431" s="12" t="s">
        <v>73</v>
      </c>
      <c r="AH1431" s="8" t="s">
        <v>65</v>
      </c>
    </row>
    <row r="1432" spans="1:34">
      <c r="A1432" s="8" t="s">
        <v>2005</v>
      </c>
      <c r="B1432" s="16" t="s">
        <v>2859</v>
      </c>
      <c r="C1432" s="8" t="s">
        <v>248</v>
      </c>
      <c r="D1432" s="8" t="s">
        <v>2003</v>
      </c>
      <c r="E1432" s="8" t="str">
        <f t="shared" si="144"/>
        <v>TABACO</v>
      </c>
      <c r="H1432" s="8" t="str">
        <f>VLOOKUP(A1432,[1]BBDD!$B$1:$J$3274,9,FALSE)</f>
        <v>H</v>
      </c>
      <c r="I1432" s="18" t="s">
        <v>2863</v>
      </c>
      <c r="J1432" s="8" t="s">
        <v>2004</v>
      </c>
      <c r="L1432" s="8" t="s">
        <v>61</v>
      </c>
      <c r="N1432" s="8" t="s">
        <v>67</v>
      </c>
      <c r="Q1432" s="8" t="s">
        <v>45</v>
      </c>
      <c r="R1432" s="8">
        <v>7</v>
      </c>
      <c r="S1432" s="8">
        <v>10</v>
      </c>
      <c r="T1432" s="8">
        <f t="shared" si="142"/>
        <v>17</v>
      </c>
      <c r="U1432" s="8">
        <v>0</v>
      </c>
      <c r="V1432" s="8">
        <v>1</v>
      </c>
      <c r="W1432" s="8">
        <v>0</v>
      </c>
      <c r="X1432" s="8">
        <v>0</v>
      </c>
      <c r="Y1432" s="8">
        <v>0</v>
      </c>
      <c r="Z1432" s="8">
        <v>0</v>
      </c>
      <c r="AA1432" s="8">
        <v>180</v>
      </c>
      <c r="AB1432" s="9">
        <f t="shared" si="143"/>
        <v>0.16666666666666669</v>
      </c>
      <c r="AC1432" s="10">
        <f t="shared" si="145"/>
        <v>101.99999999999999</v>
      </c>
      <c r="AD1432" s="8" t="s">
        <v>109</v>
      </c>
      <c r="AE1432" s="11">
        <v>16990</v>
      </c>
      <c r="AF1432" s="11">
        <f t="shared" si="146"/>
        <v>288830</v>
      </c>
      <c r="AG1432" s="12" t="s">
        <v>73</v>
      </c>
      <c r="AH1432" s="8" t="s">
        <v>65</v>
      </c>
    </row>
    <row r="1433" spans="1:34">
      <c r="A1433" s="8" t="s">
        <v>2006</v>
      </c>
      <c r="B1433" s="16" t="s">
        <v>2859</v>
      </c>
      <c r="C1433" s="8" t="s">
        <v>248</v>
      </c>
      <c r="D1433" s="8" t="s">
        <v>2003</v>
      </c>
      <c r="E1433" s="8" t="str">
        <f t="shared" si="144"/>
        <v>CEDRO</v>
      </c>
      <c r="H1433" s="8" t="str">
        <f>VLOOKUP(A1433,[1]BBDD!$B$1:$J$3274,9,FALSE)</f>
        <v>H</v>
      </c>
      <c r="I1433" s="18" t="s">
        <v>2863</v>
      </c>
      <c r="J1433" s="8" t="s">
        <v>2004</v>
      </c>
      <c r="L1433" s="8" t="s">
        <v>112</v>
      </c>
      <c r="N1433" s="8" t="s">
        <v>113</v>
      </c>
      <c r="Q1433" s="8" t="s">
        <v>32</v>
      </c>
      <c r="R1433" s="8">
        <v>14</v>
      </c>
      <c r="S1433" s="8">
        <v>10</v>
      </c>
      <c r="T1433" s="8">
        <f t="shared" si="142"/>
        <v>24</v>
      </c>
      <c r="U1433" s="8">
        <v>2</v>
      </c>
      <c r="V1433" s="8">
        <v>0</v>
      </c>
      <c r="W1433" s="8">
        <v>0</v>
      </c>
      <c r="X1433" s="8">
        <v>0</v>
      </c>
      <c r="Y1433" s="8">
        <v>1</v>
      </c>
      <c r="Z1433" s="8">
        <v>0</v>
      </c>
      <c r="AA1433" s="8">
        <v>180</v>
      </c>
      <c r="AB1433" s="9">
        <f t="shared" si="143"/>
        <v>0.5</v>
      </c>
      <c r="AC1433" s="10">
        <f t="shared" si="145"/>
        <v>48</v>
      </c>
      <c r="AD1433" s="8" t="s">
        <v>33</v>
      </c>
      <c r="AE1433" s="11">
        <v>16990</v>
      </c>
      <c r="AF1433" s="11">
        <f t="shared" si="146"/>
        <v>407760</v>
      </c>
      <c r="AG1433" s="12" t="s">
        <v>73</v>
      </c>
      <c r="AH1433" s="8" t="s">
        <v>74</v>
      </c>
    </row>
    <row r="1434" spans="1:34">
      <c r="A1434" s="8" t="s">
        <v>2007</v>
      </c>
      <c r="B1434" s="16" t="s">
        <v>2859</v>
      </c>
      <c r="C1434" s="8" t="s">
        <v>248</v>
      </c>
      <c r="D1434" s="8" t="s">
        <v>2003</v>
      </c>
      <c r="E1434" s="8" t="str">
        <f t="shared" si="144"/>
        <v>TABACO</v>
      </c>
      <c r="H1434" s="8" t="str">
        <f>VLOOKUP(A1434,[1]BBDD!$B$1:$J$3274,9,FALSE)</f>
        <v>H</v>
      </c>
      <c r="I1434" s="18" t="s">
        <v>2863</v>
      </c>
      <c r="J1434" s="8" t="s">
        <v>2004</v>
      </c>
      <c r="L1434" s="8" t="s">
        <v>119</v>
      </c>
      <c r="N1434" s="8" t="s">
        <v>67</v>
      </c>
      <c r="Q1434" s="8" t="s">
        <v>45</v>
      </c>
      <c r="R1434" s="8">
        <v>15</v>
      </c>
      <c r="S1434" s="8">
        <v>13</v>
      </c>
      <c r="T1434" s="8">
        <f t="shared" si="142"/>
        <v>28</v>
      </c>
      <c r="U1434" s="8">
        <v>1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180</v>
      </c>
      <c r="AB1434" s="9">
        <f t="shared" si="143"/>
        <v>0.16666666666666669</v>
      </c>
      <c r="AC1434" s="10">
        <f t="shared" si="145"/>
        <v>167.99999999999997</v>
      </c>
      <c r="AD1434" s="8" t="s">
        <v>109</v>
      </c>
      <c r="AE1434" s="11">
        <v>16990</v>
      </c>
      <c r="AF1434" s="11">
        <f t="shared" si="146"/>
        <v>475720</v>
      </c>
      <c r="AG1434" s="12" t="s">
        <v>73</v>
      </c>
      <c r="AH1434" s="8" t="s">
        <v>74</v>
      </c>
    </row>
    <row r="1435" spans="1:34">
      <c r="A1435" s="8" t="s">
        <v>2008</v>
      </c>
      <c r="B1435" s="16" t="s">
        <v>2859</v>
      </c>
      <c r="C1435" s="8" t="s">
        <v>248</v>
      </c>
      <c r="D1435" s="8" t="s">
        <v>2003</v>
      </c>
      <c r="E1435" s="8" t="str">
        <f t="shared" si="144"/>
        <v>NEGRO</v>
      </c>
      <c r="H1435" s="8" t="str">
        <f>VLOOKUP(A1435,[1]BBDD!$B$1:$J$3274,9,FALSE)</f>
        <v>H</v>
      </c>
      <c r="I1435" s="18" t="s">
        <v>2863</v>
      </c>
      <c r="J1435" s="8" t="s">
        <v>2004</v>
      </c>
      <c r="L1435" s="8" t="s">
        <v>119</v>
      </c>
      <c r="N1435" s="8" t="s">
        <v>44</v>
      </c>
      <c r="Q1435" s="8" t="s">
        <v>45</v>
      </c>
      <c r="R1435" s="8">
        <v>12</v>
      </c>
      <c r="S1435" s="8">
        <v>10</v>
      </c>
      <c r="T1435" s="8">
        <f t="shared" si="142"/>
        <v>22</v>
      </c>
      <c r="U1435" s="8">
        <v>0</v>
      </c>
      <c r="V1435" s="8">
        <v>0</v>
      </c>
      <c r="W1435" s="8">
        <v>0</v>
      </c>
      <c r="X1435" s="8">
        <v>1</v>
      </c>
      <c r="Y1435" s="8">
        <v>1</v>
      </c>
      <c r="Z1435" s="8">
        <v>0</v>
      </c>
      <c r="AA1435" s="8">
        <v>180</v>
      </c>
      <c r="AB1435" s="9">
        <f t="shared" si="143"/>
        <v>0.33333333333333337</v>
      </c>
      <c r="AC1435" s="10">
        <f t="shared" si="145"/>
        <v>65.999999999999986</v>
      </c>
      <c r="AD1435" s="8" t="s">
        <v>109</v>
      </c>
      <c r="AE1435" s="11">
        <v>16990</v>
      </c>
      <c r="AF1435" s="11">
        <f t="shared" si="146"/>
        <v>373780</v>
      </c>
      <c r="AG1435" s="12" t="s">
        <v>73</v>
      </c>
      <c r="AH1435" s="8" t="s">
        <v>74</v>
      </c>
    </row>
    <row r="1436" spans="1:34">
      <c r="A1436" s="8" t="s">
        <v>2009</v>
      </c>
      <c r="B1436" s="16" t="s">
        <v>2859</v>
      </c>
      <c r="C1436" s="8" t="s">
        <v>248</v>
      </c>
      <c r="D1436" s="8" t="s">
        <v>2003</v>
      </c>
      <c r="E1436" s="8" t="str">
        <f t="shared" si="144"/>
        <v>NEGRO</v>
      </c>
      <c r="H1436" s="8" t="str">
        <f>VLOOKUP(A1436,[1]BBDD!$B$1:$J$3274,9,FALSE)</f>
        <v>H</v>
      </c>
      <c r="I1436" s="18" t="s">
        <v>2863</v>
      </c>
      <c r="J1436" s="8" t="s">
        <v>2010</v>
      </c>
      <c r="L1436" s="8" t="s">
        <v>61</v>
      </c>
      <c r="N1436" s="8" t="s">
        <v>44</v>
      </c>
      <c r="Q1436" s="8" t="s">
        <v>32</v>
      </c>
      <c r="R1436" s="8">
        <v>3</v>
      </c>
      <c r="S1436" s="8">
        <v>6</v>
      </c>
      <c r="T1436" s="8">
        <f t="shared" si="142"/>
        <v>9</v>
      </c>
      <c r="U1436" s="8">
        <v>1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180</v>
      </c>
      <c r="AB1436" s="9">
        <f t="shared" si="143"/>
        <v>0.16666666666666669</v>
      </c>
      <c r="AC1436" s="10">
        <f t="shared" si="145"/>
        <v>53.999999999999993</v>
      </c>
      <c r="AD1436" s="8" t="s">
        <v>33</v>
      </c>
      <c r="AE1436" s="11">
        <v>19990</v>
      </c>
      <c r="AF1436" s="11">
        <f t="shared" si="146"/>
        <v>179910</v>
      </c>
      <c r="AG1436" s="12" t="s">
        <v>73</v>
      </c>
      <c r="AH1436" s="8" t="s">
        <v>35</v>
      </c>
    </row>
    <row r="1437" spans="1:34">
      <c r="A1437" s="8" t="s">
        <v>2011</v>
      </c>
      <c r="B1437" s="16" t="s">
        <v>2859</v>
      </c>
      <c r="C1437" s="8" t="s">
        <v>248</v>
      </c>
      <c r="D1437" s="8" t="s">
        <v>2003</v>
      </c>
      <c r="E1437" s="8" t="str">
        <f t="shared" si="144"/>
        <v>TABACO</v>
      </c>
      <c r="H1437" s="8" t="str">
        <f>VLOOKUP(A1437,[1]BBDD!$B$1:$J$3274,9,FALSE)</f>
        <v>H</v>
      </c>
      <c r="I1437" s="18" t="s">
        <v>2863</v>
      </c>
      <c r="J1437" s="8" t="s">
        <v>2010</v>
      </c>
      <c r="L1437" s="8" t="s">
        <v>61</v>
      </c>
      <c r="N1437" s="8" t="s">
        <v>67</v>
      </c>
      <c r="Q1437" s="8" t="s">
        <v>32</v>
      </c>
      <c r="R1437" s="8">
        <v>5</v>
      </c>
      <c r="S1437" s="8">
        <v>7</v>
      </c>
      <c r="T1437" s="8">
        <f t="shared" si="142"/>
        <v>12</v>
      </c>
      <c r="U1437" s="8">
        <v>1</v>
      </c>
      <c r="V1437" s="8">
        <v>1</v>
      </c>
      <c r="W1437" s="8">
        <v>0</v>
      </c>
      <c r="X1437" s="8">
        <v>0</v>
      </c>
      <c r="Y1437" s="8">
        <v>0</v>
      </c>
      <c r="Z1437" s="8">
        <v>0</v>
      </c>
      <c r="AA1437" s="8">
        <v>180</v>
      </c>
      <c r="AB1437" s="9">
        <f t="shared" si="143"/>
        <v>0.33333333333333337</v>
      </c>
      <c r="AC1437" s="10">
        <f t="shared" si="145"/>
        <v>35.999999999999993</v>
      </c>
      <c r="AD1437" s="8" t="s">
        <v>33</v>
      </c>
      <c r="AE1437" s="11">
        <v>19990</v>
      </c>
      <c r="AF1437" s="11">
        <f t="shared" si="146"/>
        <v>239880</v>
      </c>
      <c r="AG1437" s="12" t="s">
        <v>73</v>
      </c>
      <c r="AH1437" s="8" t="s">
        <v>65</v>
      </c>
    </row>
    <row r="1438" spans="1:34">
      <c r="A1438" s="8" t="s">
        <v>2012</v>
      </c>
      <c r="B1438" s="16" t="s">
        <v>2859</v>
      </c>
      <c r="C1438" s="8" t="s">
        <v>248</v>
      </c>
      <c r="D1438" s="8" t="s">
        <v>2003</v>
      </c>
      <c r="E1438" s="8" t="str">
        <f t="shared" si="144"/>
        <v>CEDRO</v>
      </c>
      <c r="H1438" s="8" t="str">
        <f>VLOOKUP(A1438,[1]BBDD!$B$1:$J$3274,9,FALSE)</f>
        <v>H</v>
      </c>
      <c r="I1438" s="18" t="s">
        <v>2863</v>
      </c>
      <c r="J1438" s="8" t="s">
        <v>2010</v>
      </c>
      <c r="L1438" s="8" t="s">
        <v>112</v>
      </c>
      <c r="N1438" s="8" t="s">
        <v>113</v>
      </c>
      <c r="Q1438" s="8" t="s">
        <v>45</v>
      </c>
      <c r="R1438" s="8">
        <v>12</v>
      </c>
      <c r="S1438" s="8">
        <v>9</v>
      </c>
      <c r="T1438" s="8">
        <f t="shared" si="142"/>
        <v>21</v>
      </c>
      <c r="U1438" s="8">
        <v>1</v>
      </c>
      <c r="V1438" s="8">
        <v>0</v>
      </c>
      <c r="W1438" s="8">
        <v>1</v>
      </c>
      <c r="X1438" s="8">
        <v>1</v>
      </c>
      <c r="Y1438" s="8">
        <v>0</v>
      </c>
      <c r="Z1438" s="8">
        <v>0</v>
      </c>
      <c r="AA1438" s="8">
        <v>180</v>
      </c>
      <c r="AB1438" s="9">
        <f t="shared" si="143"/>
        <v>0.5</v>
      </c>
      <c r="AC1438" s="10">
        <f t="shared" si="145"/>
        <v>42</v>
      </c>
      <c r="AD1438" s="8" t="s">
        <v>109</v>
      </c>
      <c r="AE1438" s="11">
        <v>19990</v>
      </c>
      <c r="AF1438" s="11">
        <f t="shared" si="146"/>
        <v>419790</v>
      </c>
      <c r="AG1438" s="12" t="s">
        <v>73</v>
      </c>
      <c r="AH1438" s="8" t="s">
        <v>74</v>
      </c>
    </row>
    <row r="1439" spans="1:34">
      <c r="A1439" s="8" t="s">
        <v>2013</v>
      </c>
      <c r="B1439" s="16" t="s">
        <v>2859</v>
      </c>
      <c r="C1439" s="8" t="s">
        <v>248</v>
      </c>
      <c r="D1439" s="8" t="s">
        <v>2003</v>
      </c>
      <c r="E1439" s="8" t="str">
        <f t="shared" si="144"/>
        <v>NEGRO</v>
      </c>
      <c r="H1439" s="8" t="str">
        <f>VLOOKUP(A1439,[1]BBDD!$B$1:$J$3274,9,FALSE)</f>
        <v>H</v>
      </c>
      <c r="I1439" s="18" t="s">
        <v>2863</v>
      </c>
      <c r="J1439" s="8" t="s">
        <v>2010</v>
      </c>
      <c r="L1439" s="8" t="s">
        <v>119</v>
      </c>
      <c r="N1439" s="8" t="s">
        <v>44</v>
      </c>
      <c r="Q1439" s="8" t="s">
        <v>45</v>
      </c>
      <c r="R1439" s="8">
        <v>4</v>
      </c>
      <c r="S1439" s="8">
        <v>11</v>
      </c>
      <c r="T1439" s="8">
        <f t="shared" si="142"/>
        <v>15</v>
      </c>
      <c r="U1439" s="8">
        <v>1</v>
      </c>
      <c r="V1439" s="8">
        <v>0</v>
      </c>
      <c r="W1439" s="8">
        <v>1</v>
      </c>
      <c r="X1439" s="8">
        <v>1</v>
      </c>
      <c r="Y1439" s="8">
        <v>0</v>
      </c>
      <c r="Z1439" s="8">
        <v>1</v>
      </c>
      <c r="AA1439" s="8">
        <v>180</v>
      </c>
      <c r="AB1439" s="9">
        <f t="shared" si="143"/>
        <v>0.66666666666666674</v>
      </c>
      <c r="AC1439" s="10">
        <f t="shared" si="145"/>
        <v>22.499999999999996</v>
      </c>
      <c r="AD1439" s="8" t="s">
        <v>109</v>
      </c>
      <c r="AE1439" s="11">
        <v>19990</v>
      </c>
      <c r="AF1439" s="11">
        <f t="shared" si="146"/>
        <v>299850</v>
      </c>
      <c r="AG1439" s="12" t="s">
        <v>64</v>
      </c>
      <c r="AH1439" s="8" t="s">
        <v>65</v>
      </c>
    </row>
    <row r="1440" spans="1:34">
      <c r="A1440" s="8" t="s">
        <v>2014</v>
      </c>
      <c r="B1440" s="16" t="s">
        <v>2859</v>
      </c>
      <c r="C1440" s="8" t="s">
        <v>248</v>
      </c>
      <c r="D1440" s="8" t="s">
        <v>2003</v>
      </c>
      <c r="E1440" s="8" t="str">
        <f t="shared" si="144"/>
        <v>TABACO</v>
      </c>
      <c r="H1440" s="8" t="str">
        <f>VLOOKUP(A1440,[1]BBDD!$B$1:$J$3274,9,FALSE)</f>
        <v>H</v>
      </c>
      <c r="I1440" s="18" t="s">
        <v>2863</v>
      </c>
      <c r="J1440" s="8" t="s">
        <v>2010</v>
      </c>
      <c r="L1440" s="8" t="s">
        <v>119</v>
      </c>
      <c r="N1440" s="8" t="s">
        <v>67</v>
      </c>
      <c r="Q1440" s="8" t="s">
        <v>45</v>
      </c>
      <c r="R1440" s="8">
        <v>7</v>
      </c>
      <c r="S1440" s="8">
        <v>7</v>
      </c>
      <c r="T1440" s="8">
        <f t="shared" ref="T1440:T1468" si="147">SUM(R1440:S1440)</f>
        <v>14</v>
      </c>
      <c r="U1440" s="8">
        <v>1</v>
      </c>
      <c r="V1440" s="8">
        <v>1</v>
      </c>
      <c r="W1440" s="8">
        <v>1</v>
      </c>
      <c r="X1440" s="8">
        <v>0</v>
      </c>
      <c r="Y1440" s="8">
        <v>0</v>
      </c>
      <c r="Z1440" s="8">
        <v>0</v>
      </c>
      <c r="AA1440" s="8">
        <v>180</v>
      </c>
      <c r="AB1440" s="9">
        <f t="shared" ref="AB1440:AB1468" si="148">SUM(U1440:Z1440)/AA1440*30</f>
        <v>0.5</v>
      </c>
      <c r="AC1440" s="10">
        <f t="shared" si="145"/>
        <v>28</v>
      </c>
      <c r="AD1440" s="8" t="s">
        <v>109</v>
      </c>
      <c r="AE1440" s="11">
        <v>19990</v>
      </c>
      <c r="AF1440" s="11">
        <f t="shared" si="146"/>
        <v>279860</v>
      </c>
      <c r="AG1440" s="12" t="s">
        <v>73</v>
      </c>
      <c r="AH1440" s="8" t="s">
        <v>65</v>
      </c>
    </row>
    <row r="1441" spans="1:34">
      <c r="A1441" s="8" t="s">
        <v>2015</v>
      </c>
      <c r="B1441" s="16" t="s">
        <v>399</v>
      </c>
      <c r="C1441" s="8" t="s">
        <v>40</v>
      </c>
      <c r="D1441" s="8" t="s">
        <v>2016</v>
      </c>
      <c r="E1441" s="8" t="str">
        <f t="shared" si="144"/>
        <v>NEGRO</v>
      </c>
      <c r="G1441" s="8" t="s">
        <v>2861</v>
      </c>
      <c r="H1441" s="8" t="str">
        <f>VLOOKUP(A1441,[1]BBDD!$B$1:$J$3274,9,FALSE)</f>
        <v>H</v>
      </c>
      <c r="I1441" s="19" t="s">
        <v>2861</v>
      </c>
      <c r="J1441" s="8" t="s">
        <v>2017</v>
      </c>
      <c r="L1441" s="8" t="s">
        <v>61</v>
      </c>
      <c r="N1441" s="8" t="s">
        <v>44</v>
      </c>
      <c r="Q1441" s="8" t="s">
        <v>32</v>
      </c>
      <c r="R1441" s="8">
        <v>0</v>
      </c>
      <c r="S1441" s="8">
        <v>2</v>
      </c>
      <c r="T1441" s="8">
        <f t="shared" si="147"/>
        <v>2</v>
      </c>
      <c r="U1441" s="8">
        <v>0</v>
      </c>
      <c r="V1441" s="8">
        <v>0</v>
      </c>
      <c r="W1441" s="8">
        <v>1</v>
      </c>
      <c r="X1441" s="8">
        <v>1</v>
      </c>
      <c r="Y1441" s="8">
        <v>0</v>
      </c>
      <c r="Z1441" s="8">
        <v>0</v>
      </c>
      <c r="AA1441" s="8">
        <v>179</v>
      </c>
      <c r="AB1441" s="9">
        <f t="shared" si="148"/>
        <v>0.33519553072625702</v>
      </c>
      <c r="AC1441" s="10">
        <f t="shared" si="145"/>
        <v>5.9666666666666659</v>
      </c>
      <c r="AD1441" s="8" t="s">
        <v>33</v>
      </c>
      <c r="AE1441" s="11">
        <v>349990</v>
      </c>
      <c r="AF1441" s="11">
        <f t="shared" si="146"/>
        <v>699980</v>
      </c>
      <c r="AG1441" s="12" t="s">
        <v>34</v>
      </c>
      <c r="AH1441" s="8" t="s">
        <v>35</v>
      </c>
    </row>
    <row r="1442" spans="1:34">
      <c r="A1442" s="8" t="s">
        <v>2018</v>
      </c>
      <c r="B1442" s="16" t="s">
        <v>399</v>
      </c>
      <c r="C1442" s="8" t="s">
        <v>40</v>
      </c>
      <c r="D1442" s="8" t="s">
        <v>2016</v>
      </c>
      <c r="E1442" s="8" t="str">
        <f t="shared" si="144"/>
        <v>TABACO</v>
      </c>
      <c r="G1442" s="8" t="s">
        <v>2861</v>
      </c>
      <c r="H1442" s="8" t="str">
        <f>VLOOKUP(A1442,[1]BBDD!$B$1:$J$3274,9,FALSE)</f>
        <v>H</v>
      </c>
      <c r="I1442" s="19" t="s">
        <v>2861</v>
      </c>
      <c r="J1442" s="8" t="s">
        <v>2017</v>
      </c>
      <c r="L1442" s="8" t="s">
        <v>61</v>
      </c>
      <c r="N1442" s="8" t="s">
        <v>67</v>
      </c>
      <c r="Q1442" s="8" t="s">
        <v>32</v>
      </c>
      <c r="R1442" s="8">
        <v>0</v>
      </c>
      <c r="S1442" s="8">
        <v>1</v>
      </c>
      <c r="T1442" s="8">
        <f t="shared" si="147"/>
        <v>1</v>
      </c>
      <c r="U1442" s="8">
        <v>0</v>
      </c>
      <c r="V1442" s="8">
        <v>0</v>
      </c>
      <c r="W1442" s="8">
        <v>1</v>
      </c>
      <c r="X1442" s="8">
        <v>1</v>
      </c>
      <c r="Y1442" s="8">
        <v>1</v>
      </c>
      <c r="Z1442" s="8">
        <v>0</v>
      </c>
      <c r="AA1442" s="8">
        <v>179</v>
      </c>
      <c r="AB1442" s="9">
        <f t="shared" si="148"/>
        <v>0.5027932960893855</v>
      </c>
      <c r="AC1442" s="10">
        <f t="shared" si="145"/>
        <v>1.9888888888888887</v>
      </c>
      <c r="AD1442" s="8" t="s">
        <v>33</v>
      </c>
      <c r="AE1442" s="11">
        <v>349990</v>
      </c>
      <c r="AF1442" s="11">
        <f t="shared" si="146"/>
        <v>349990</v>
      </c>
      <c r="AG1442" s="12" t="s">
        <v>34</v>
      </c>
      <c r="AH1442" s="8" t="s">
        <v>35</v>
      </c>
    </row>
    <row r="1443" spans="1:34">
      <c r="A1443" s="8" t="s">
        <v>2019</v>
      </c>
      <c r="B1443" s="16" t="s">
        <v>2860</v>
      </c>
      <c r="C1443" s="8" t="s">
        <v>40</v>
      </c>
      <c r="D1443" s="8" t="s">
        <v>2016</v>
      </c>
      <c r="E1443" s="8" t="str">
        <f t="shared" si="144"/>
        <v>CHOCOLATE</v>
      </c>
      <c r="G1443" s="8" t="s">
        <v>2861</v>
      </c>
      <c r="H1443" s="8" t="str">
        <f>VLOOKUP(A1443,[1]BBDD!$B$1:$J$3274,9,FALSE)</f>
        <v>U</v>
      </c>
      <c r="I1443" s="8" t="s">
        <v>2861</v>
      </c>
      <c r="J1443" s="8" t="s">
        <v>2020</v>
      </c>
      <c r="L1443" s="8" t="s">
        <v>61</v>
      </c>
      <c r="N1443" s="8" t="s">
        <v>252</v>
      </c>
      <c r="Q1443" s="8" t="s">
        <v>32</v>
      </c>
      <c r="R1443" s="8">
        <v>0</v>
      </c>
      <c r="S1443" s="8">
        <v>6</v>
      </c>
      <c r="T1443" s="8">
        <f t="shared" si="147"/>
        <v>6</v>
      </c>
      <c r="U1443" s="8">
        <v>3</v>
      </c>
      <c r="V1443" s="8">
        <v>1</v>
      </c>
      <c r="W1443" s="8">
        <v>2</v>
      </c>
      <c r="X1443" s="8">
        <v>0</v>
      </c>
      <c r="Y1443" s="8">
        <v>0</v>
      </c>
      <c r="Z1443" s="8">
        <v>2</v>
      </c>
      <c r="AA1443" s="8">
        <v>180</v>
      </c>
      <c r="AB1443" s="9">
        <f t="shared" si="148"/>
        <v>1.3333333333333335</v>
      </c>
      <c r="AC1443" s="10">
        <f t="shared" si="145"/>
        <v>4.4999999999999991</v>
      </c>
      <c r="AD1443" s="8" t="s">
        <v>33</v>
      </c>
      <c r="AE1443" s="11">
        <v>239990</v>
      </c>
      <c r="AF1443" s="11">
        <f t="shared" si="146"/>
        <v>1439940</v>
      </c>
      <c r="AG1443" s="12" t="s">
        <v>34</v>
      </c>
      <c r="AH1443" s="8" t="s">
        <v>35</v>
      </c>
    </row>
    <row r="1444" spans="1:34">
      <c r="A1444" s="8" t="s">
        <v>2021</v>
      </c>
      <c r="B1444" s="16" t="s">
        <v>2860</v>
      </c>
      <c r="C1444" s="8" t="s">
        <v>40</v>
      </c>
      <c r="D1444" s="8" t="s">
        <v>2016</v>
      </c>
      <c r="E1444" s="8" t="str">
        <f t="shared" si="144"/>
        <v>NEGRO</v>
      </c>
      <c r="G1444" s="8" t="s">
        <v>2861</v>
      </c>
      <c r="H1444" s="8" t="str">
        <f>VLOOKUP(A1444,[1]BBDD!$B$1:$J$3274,9,FALSE)</f>
        <v>U</v>
      </c>
      <c r="I1444" s="8" t="s">
        <v>2861</v>
      </c>
      <c r="J1444" s="8" t="s">
        <v>2020</v>
      </c>
      <c r="L1444" s="8" t="s">
        <v>61</v>
      </c>
      <c r="N1444" s="8" t="s">
        <v>44</v>
      </c>
      <c r="Q1444" s="8" t="s">
        <v>32</v>
      </c>
      <c r="R1444" s="8">
        <v>2</v>
      </c>
      <c r="S1444" s="8">
        <v>5</v>
      </c>
      <c r="T1444" s="8">
        <f t="shared" si="147"/>
        <v>7</v>
      </c>
      <c r="U1444" s="8">
        <v>0</v>
      </c>
      <c r="V1444" s="8">
        <v>0</v>
      </c>
      <c r="W1444" s="8">
        <v>1</v>
      </c>
      <c r="X1444" s="8">
        <v>0</v>
      </c>
      <c r="Y1444" s="8">
        <v>1</v>
      </c>
      <c r="Z1444" s="8">
        <v>0</v>
      </c>
      <c r="AA1444" s="8">
        <v>180</v>
      </c>
      <c r="AB1444" s="9">
        <f t="shared" si="148"/>
        <v>0.33333333333333337</v>
      </c>
      <c r="AC1444" s="10">
        <f t="shared" si="145"/>
        <v>20.999999999999996</v>
      </c>
      <c r="AD1444" s="8" t="s">
        <v>33</v>
      </c>
      <c r="AE1444" s="11">
        <v>239990</v>
      </c>
      <c r="AF1444" s="11">
        <f t="shared" si="146"/>
        <v>1679930</v>
      </c>
      <c r="AG1444" s="12" t="s">
        <v>64</v>
      </c>
      <c r="AH1444" s="8" t="s">
        <v>35</v>
      </c>
    </row>
    <row r="1445" spans="1:34">
      <c r="A1445" s="8" t="s">
        <v>2022</v>
      </c>
      <c r="B1445" s="16" t="s">
        <v>2860</v>
      </c>
      <c r="C1445" s="8" t="s">
        <v>40</v>
      </c>
      <c r="D1445" s="8" t="s">
        <v>2016</v>
      </c>
      <c r="E1445" s="8" t="str">
        <f t="shared" si="144"/>
        <v>TABACO</v>
      </c>
      <c r="G1445" s="8" t="s">
        <v>2861</v>
      </c>
      <c r="H1445" s="8" t="str">
        <f>VLOOKUP(A1445,[1]BBDD!$B$1:$J$3274,9,FALSE)</f>
        <v>U</v>
      </c>
      <c r="I1445" s="8" t="s">
        <v>2861</v>
      </c>
      <c r="J1445" s="8" t="s">
        <v>2020</v>
      </c>
      <c r="L1445" s="8" t="s">
        <v>61</v>
      </c>
      <c r="N1445" s="8" t="s">
        <v>67</v>
      </c>
      <c r="Q1445" s="8" t="s">
        <v>32</v>
      </c>
      <c r="R1445" s="8">
        <v>0</v>
      </c>
      <c r="S1445" s="8">
        <v>2</v>
      </c>
      <c r="T1445" s="8">
        <f t="shared" si="147"/>
        <v>2</v>
      </c>
      <c r="U1445" s="8">
        <v>2</v>
      </c>
      <c r="V1445" s="8">
        <v>1</v>
      </c>
      <c r="W1445" s="8">
        <v>2</v>
      </c>
      <c r="X1445" s="8">
        <v>1</v>
      </c>
      <c r="Y1445" s="8">
        <v>0</v>
      </c>
      <c r="Z1445" s="8">
        <v>0</v>
      </c>
      <c r="AA1445" s="8">
        <v>180</v>
      </c>
      <c r="AB1445" s="9">
        <f t="shared" si="148"/>
        <v>1</v>
      </c>
      <c r="AC1445" s="10">
        <f t="shared" si="145"/>
        <v>2</v>
      </c>
      <c r="AD1445" s="8" t="s">
        <v>33</v>
      </c>
      <c r="AE1445" s="11">
        <v>239990</v>
      </c>
      <c r="AF1445" s="11">
        <f t="shared" si="146"/>
        <v>479980</v>
      </c>
      <c r="AG1445" s="12" t="s">
        <v>34</v>
      </c>
      <c r="AH1445" s="8" t="s">
        <v>35</v>
      </c>
    </row>
    <row r="1446" spans="1:34">
      <c r="A1446" s="8" t="s">
        <v>2023</v>
      </c>
      <c r="B1446" s="16" t="s">
        <v>2860</v>
      </c>
      <c r="C1446" s="8" t="s">
        <v>40</v>
      </c>
      <c r="D1446" s="8" t="s">
        <v>2016</v>
      </c>
      <c r="E1446" s="8" t="str">
        <f t="shared" si="144"/>
        <v>CARAMELO</v>
      </c>
      <c r="G1446" s="8" t="s">
        <v>2861</v>
      </c>
      <c r="H1446" s="8" t="str">
        <f>VLOOKUP(A1446,[1]BBDD!$B$1:$J$3274,9,FALSE)</f>
        <v>U</v>
      </c>
      <c r="I1446" s="8" t="s">
        <v>2861</v>
      </c>
      <c r="J1446" s="8" t="s">
        <v>2020</v>
      </c>
      <c r="L1446" s="8" t="s">
        <v>61</v>
      </c>
      <c r="N1446" s="8" t="s">
        <v>62</v>
      </c>
      <c r="Q1446" s="8" t="s">
        <v>45</v>
      </c>
      <c r="R1446" s="8">
        <v>7</v>
      </c>
      <c r="S1446" s="8">
        <v>5</v>
      </c>
      <c r="T1446" s="8">
        <f t="shared" si="147"/>
        <v>12</v>
      </c>
      <c r="U1446" s="8">
        <v>0</v>
      </c>
      <c r="V1446" s="8">
        <v>0</v>
      </c>
      <c r="W1446" s="8">
        <v>1</v>
      </c>
      <c r="X1446" s="8">
        <v>0</v>
      </c>
      <c r="Y1446" s="8">
        <v>1</v>
      </c>
      <c r="Z1446" s="8">
        <v>0</v>
      </c>
      <c r="AA1446" s="8">
        <v>180</v>
      </c>
      <c r="AB1446" s="9">
        <f t="shared" si="148"/>
        <v>0.33333333333333337</v>
      </c>
      <c r="AC1446" s="10">
        <f t="shared" si="145"/>
        <v>35.999999999999993</v>
      </c>
      <c r="AD1446" s="8" t="s">
        <v>109</v>
      </c>
      <c r="AE1446" s="11">
        <v>239990</v>
      </c>
      <c r="AF1446" s="11">
        <f t="shared" si="146"/>
        <v>2879880</v>
      </c>
      <c r="AG1446" s="12" t="s">
        <v>73</v>
      </c>
      <c r="AH1446" s="8" t="s">
        <v>65</v>
      </c>
    </row>
    <row r="1447" spans="1:34">
      <c r="A1447" s="8" t="s">
        <v>2024</v>
      </c>
      <c r="B1447" s="16" t="s">
        <v>2860</v>
      </c>
      <c r="C1447" s="8" t="s">
        <v>40</v>
      </c>
      <c r="D1447" s="8" t="s">
        <v>2016</v>
      </c>
      <c r="E1447" s="8" t="str">
        <f t="shared" si="144"/>
        <v>MALBEC</v>
      </c>
      <c r="G1447" s="8" t="s">
        <v>2861</v>
      </c>
      <c r="H1447" s="8" t="str">
        <f>VLOOKUP(A1447,[1]BBDD!$B$1:$J$3274,9,FALSE)</f>
        <v>U</v>
      </c>
      <c r="I1447" s="8" t="s">
        <v>2861</v>
      </c>
      <c r="J1447" s="8" t="s">
        <v>2020</v>
      </c>
      <c r="L1447" s="8" t="s">
        <v>61</v>
      </c>
      <c r="N1447" s="8" t="s">
        <v>69</v>
      </c>
      <c r="Q1447" s="8" t="s">
        <v>45</v>
      </c>
      <c r="R1447" s="8">
        <v>5</v>
      </c>
      <c r="S1447" s="8">
        <v>7</v>
      </c>
      <c r="T1447" s="8">
        <f t="shared" si="147"/>
        <v>12</v>
      </c>
      <c r="U1447" s="8">
        <v>0</v>
      </c>
      <c r="V1447" s="8">
        <v>0</v>
      </c>
      <c r="W1447" s="8">
        <v>2</v>
      </c>
      <c r="X1447" s="8">
        <v>0</v>
      </c>
      <c r="Y1447" s="8">
        <v>0</v>
      </c>
      <c r="Z1447" s="8">
        <v>0</v>
      </c>
      <c r="AA1447" s="8">
        <v>180</v>
      </c>
      <c r="AB1447" s="9">
        <f t="shared" si="148"/>
        <v>0.33333333333333337</v>
      </c>
      <c r="AC1447" s="10">
        <f t="shared" si="145"/>
        <v>35.999999999999993</v>
      </c>
      <c r="AD1447" s="8" t="s">
        <v>109</v>
      </c>
      <c r="AE1447" s="11">
        <v>239990</v>
      </c>
      <c r="AF1447" s="11">
        <f t="shared" si="146"/>
        <v>2879880</v>
      </c>
      <c r="AG1447" s="12" t="s">
        <v>73</v>
      </c>
      <c r="AH1447" s="8" t="s">
        <v>65</v>
      </c>
    </row>
    <row r="1448" spans="1:34">
      <c r="A1448" s="8" t="s">
        <v>2025</v>
      </c>
      <c r="B1448" s="16" t="s">
        <v>2860</v>
      </c>
      <c r="C1448" s="8" t="s">
        <v>40</v>
      </c>
      <c r="D1448" s="8" t="s">
        <v>2016</v>
      </c>
      <c r="E1448" s="8" t="str">
        <f t="shared" si="144"/>
        <v>CEDRO</v>
      </c>
      <c r="G1448" s="8" t="s">
        <v>2861</v>
      </c>
      <c r="H1448" s="8" t="str">
        <f>VLOOKUP(A1448,[1]BBDD!$B$1:$J$3274,9,FALSE)</f>
        <v>U</v>
      </c>
      <c r="I1448" s="8" t="s">
        <v>2861</v>
      </c>
      <c r="J1448" s="8" t="s">
        <v>2020</v>
      </c>
      <c r="L1448" s="8" t="s">
        <v>112</v>
      </c>
      <c r="N1448" s="8" t="s">
        <v>113</v>
      </c>
      <c r="Q1448" s="8" t="s">
        <v>45</v>
      </c>
      <c r="R1448" s="8">
        <v>0</v>
      </c>
      <c r="S1448" s="8">
        <v>3</v>
      </c>
      <c r="T1448" s="8">
        <f t="shared" si="147"/>
        <v>3</v>
      </c>
      <c r="U1448" s="8">
        <v>0</v>
      </c>
      <c r="V1448" s="8">
        <v>1</v>
      </c>
      <c r="W1448" s="8">
        <v>1</v>
      </c>
      <c r="X1448" s="8">
        <v>0</v>
      </c>
      <c r="Y1448" s="8">
        <v>0</v>
      </c>
      <c r="Z1448" s="8">
        <v>0</v>
      </c>
      <c r="AA1448" s="8">
        <v>180</v>
      </c>
      <c r="AB1448" s="9">
        <f t="shared" si="148"/>
        <v>0.33333333333333337</v>
      </c>
      <c r="AC1448" s="10">
        <f t="shared" si="145"/>
        <v>8.9999999999999982</v>
      </c>
      <c r="AD1448" s="8" t="s">
        <v>109</v>
      </c>
      <c r="AE1448" s="11">
        <v>239990</v>
      </c>
      <c r="AF1448" s="11">
        <f t="shared" si="146"/>
        <v>719970</v>
      </c>
      <c r="AG1448" s="12" t="s">
        <v>51</v>
      </c>
      <c r="AH1448" s="8" t="s">
        <v>35</v>
      </c>
    </row>
    <row r="1449" spans="1:34">
      <c r="A1449" s="8" t="s">
        <v>2026</v>
      </c>
      <c r="B1449" s="16" t="s">
        <v>2860</v>
      </c>
      <c r="C1449" s="8" t="s">
        <v>40</v>
      </c>
      <c r="D1449" s="8" t="s">
        <v>2016</v>
      </c>
      <c r="E1449" s="8" t="str">
        <f t="shared" si="144"/>
        <v>CHOCOLATE</v>
      </c>
      <c r="G1449" s="8" t="s">
        <v>2861</v>
      </c>
      <c r="H1449" s="8" t="str">
        <f>VLOOKUP(A1449,[1]BBDD!$B$1:$J$3274,9,FALSE)</f>
        <v>U</v>
      </c>
      <c r="I1449" s="8" t="s">
        <v>2861</v>
      </c>
      <c r="J1449" s="8" t="s">
        <v>2027</v>
      </c>
      <c r="L1449" s="8" t="s">
        <v>61</v>
      </c>
      <c r="N1449" s="8" t="s">
        <v>252</v>
      </c>
      <c r="Q1449" s="8" t="s">
        <v>32</v>
      </c>
      <c r="R1449" s="8">
        <v>1</v>
      </c>
      <c r="S1449" s="8">
        <v>4</v>
      </c>
      <c r="T1449" s="8">
        <f t="shared" si="147"/>
        <v>5</v>
      </c>
      <c r="U1449" s="8">
        <v>0</v>
      </c>
      <c r="V1449" s="8">
        <v>0</v>
      </c>
      <c r="W1449" s="8">
        <v>0</v>
      </c>
      <c r="X1449" s="8">
        <v>1</v>
      </c>
      <c r="Y1449" s="8">
        <v>0</v>
      </c>
      <c r="Z1449" s="8">
        <v>0</v>
      </c>
      <c r="AA1449" s="8">
        <v>180</v>
      </c>
      <c r="AB1449" s="9">
        <f t="shared" si="148"/>
        <v>0.16666666666666669</v>
      </c>
      <c r="AC1449" s="10">
        <f t="shared" si="145"/>
        <v>29.999999999999996</v>
      </c>
      <c r="AD1449" s="8" t="s">
        <v>33</v>
      </c>
      <c r="AE1449" s="11">
        <v>399990</v>
      </c>
      <c r="AF1449" s="11">
        <f t="shared" si="146"/>
        <v>1999950</v>
      </c>
      <c r="AG1449" s="12" t="s">
        <v>73</v>
      </c>
      <c r="AH1449" s="8" t="s">
        <v>35</v>
      </c>
    </row>
    <row r="1450" spans="1:34">
      <c r="A1450" s="8" t="s">
        <v>2028</v>
      </c>
      <c r="B1450" s="16" t="s">
        <v>2860</v>
      </c>
      <c r="C1450" s="8" t="s">
        <v>40</v>
      </c>
      <c r="D1450" s="8" t="s">
        <v>2016</v>
      </c>
      <c r="E1450" s="8" t="str">
        <f t="shared" si="144"/>
        <v>NEGRO</v>
      </c>
      <c r="G1450" s="8" t="s">
        <v>2861</v>
      </c>
      <c r="H1450" s="8" t="str">
        <f>VLOOKUP(A1450,[1]BBDD!$B$1:$J$3274,9,FALSE)</f>
        <v>U</v>
      </c>
      <c r="I1450" s="8" t="s">
        <v>2861</v>
      </c>
      <c r="J1450" s="8" t="s">
        <v>2027</v>
      </c>
      <c r="L1450" s="8" t="s">
        <v>61</v>
      </c>
      <c r="N1450" s="8" t="s">
        <v>44</v>
      </c>
      <c r="Q1450" s="8" t="s">
        <v>32</v>
      </c>
      <c r="R1450" s="8">
        <v>15</v>
      </c>
      <c r="S1450" s="8">
        <v>6</v>
      </c>
      <c r="T1450" s="8">
        <f t="shared" si="147"/>
        <v>21</v>
      </c>
      <c r="U1450" s="8">
        <v>0</v>
      </c>
      <c r="V1450" s="8">
        <v>0</v>
      </c>
      <c r="W1450" s="8">
        <v>1</v>
      </c>
      <c r="X1450" s="8">
        <v>0</v>
      </c>
      <c r="Y1450" s="8">
        <v>1</v>
      </c>
      <c r="Z1450" s="8">
        <v>0</v>
      </c>
      <c r="AA1450" s="8">
        <v>180</v>
      </c>
      <c r="AB1450" s="9">
        <f t="shared" si="148"/>
        <v>0.33333333333333337</v>
      </c>
      <c r="AC1450" s="10">
        <f t="shared" si="145"/>
        <v>62.999999999999993</v>
      </c>
      <c r="AD1450" s="8" t="s">
        <v>33</v>
      </c>
      <c r="AE1450" s="11">
        <v>399990</v>
      </c>
      <c r="AF1450" s="11">
        <f t="shared" si="146"/>
        <v>8399790</v>
      </c>
      <c r="AG1450" s="12" t="s">
        <v>73</v>
      </c>
      <c r="AH1450" s="8" t="s">
        <v>74</v>
      </c>
    </row>
    <row r="1451" spans="1:34">
      <c r="A1451" s="8" t="s">
        <v>2029</v>
      </c>
      <c r="B1451" s="16" t="s">
        <v>2860</v>
      </c>
      <c r="C1451" s="8" t="s">
        <v>40</v>
      </c>
      <c r="D1451" s="8" t="s">
        <v>2016</v>
      </c>
      <c r="E1451" s="8" t="str">
        <f t="shared" si="144"/>
        <v>TABACO</v>
      </c>
      <c r="G1451" s="8" t="s">
        <v>2861</v>
      </c>
      <c r="H1451" s="8" t="str">
        <f>VLOOKUP(A1451,[1]BBDD!$B$1:$J$3274,9,FALSE)</f>
        <v>U</v>
      </c>
      <c r="I1451" s="8" t="s">
        <v>2861</v>
      </c>
      <c r="J1451" s="8" t="s">
        <v>2027</v>
      </c>
      <c r="L1451" s="8" t="s">
        <v>61</v>
      </c>
      <c r="N1451" s="8" t="s">
        <v>67</v>
      </c>
      <c r="Q1451" s="8" t="s">
        <v>32</v>
      </c>
      <c r="R1451" s="8">
        <v>0</v>
      </c>
      <c r="S1451" s="8">
        <v>5</v>
      </c>
      <c r="T1451" s="8">
        <f t="shared" si="147"/>
        <v>5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8">
        <v>180</v>
      </c>
      <c r="AB1451" s="9">
        <f t="shared" si="148"/>
        <v>0</v>
      </c>
      <c r="AC1451" s="10" t="str">
        <f t="shared" si="145"/>
        <v>sin venta</v>
      </c>
      <c r="AD1451" s="8" t="s">
        <v>33</v>
      </c>
      <c r="AE1451" s="11">
        <v>399990</v>
      </c>
      <c r="AF1451" s="11">
        <f t="shared" si="146"/>
        <v>1999950</v>
      </c>
      <c r="AG1451" s="12" t="s">
        <v>73</v>
      </c>
      <c r="AH1451" s="8" t="s">
        <v>35</v>
      </c>
    </row>
    <row r="1452" spans="1:34">
      <c r="A1452" s="8" t="s">
        <v>2030</v>
      </c>
      <c r="B1452" s="16" t="s">
        <v>2860</v>
      </c>
      <c r="C1452" s="8" t="s">
        <v>40</v>
      </c>
      <c r="D1452" s="8" t="s">
        <v>2016</v>
      </c>
      <c r="E1452" s="8" t="str">
        <f t="shared" si="144"/>
        <v>CARAMELO</v>
      </c>
      <c r="G1452" s="8" t="s">
        <v>2861</v>
      </c>
      <c r="H1452" s="8" t="str">
        <f>VLOOKUP(A1452,[1]BBDD!$B$1:$J$3274,9,FALSE)</f>
        <v>U</v>
      </c>
      <c r="I1452" s="8" t="s">
        <v>2861</v>
      </c>
      <c r="J1452" s="8" t="s">
        <v>2027</v>
      </c>
      <c r="L1452" s="8" t="s">
        <v>61</v>
      </c>
      <c r="N1452" s="8" t="s">
        <v>62</v>
      </c>
      <c r="Q1452" s="8" t="s">
        <v>45</v>
      </c>
      <c r="R1452" s="8">
        <v>4</v>
      </c>
      <c r="S1452" s="8">
        <v>5</v>
      </c>
      <c r="T1452" s="8">
        <f t="shared" si="147"/>
        <v>9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180</v>
      </c>
      <c r="AB1452" s="9">
        <f t="shared" si="148"/>
        <v>0</v>
      </c>
      <c r="AC1452" s="10" t="str">
        <f t="shared" si="145"/>
        <v>sin venta</v>
      </c>
      <c r="AD1452" s="8" t="s">
        <v>109</v>
      </c>
      <c r="AE1452" s="11">
        <v>399990</v>
      </c>
      <c r="AF1452" s="11">
        <f t="shared" si="146"/>
        <v>3599910</v>
      </c>
      <c r="AG1452" s="12" t="s">
        <v>73</v>
      </c>
      <c r="AH1452" s="8" t="s">
        <v>35</v>
      </c>
    </row>
    <row r="1453" spans="1:34">
      <c r="A1453" s="8" t="s">
        <v>2031</v>
      </c>
      <c r="B1453" s="16" t="s">
        <v>2860</v>
      </c>
      <c r="C1453" s="8" t="s">
        <v>40</v>
      </c>
      <c r="D1453" s="8" t="s">
        <v>2016</v>
      </c>
      <c r="E1453" s="8" t="str">
        <f t="shared" si="144"/>
        <v>CEDRO</v>
      </c>
      <c r="G1453" s="8" t="s">
        <v>2861</v>
      </c>
      <c r="H1453" s="8" t="str">
        <f>VLOOKUP(A1453,[1]BBDD!$B$1:$J$3274,9,FALSE)</f>
        <v>U</v>
      </c>
      <c r="I1453" s="8" t="s">
        <v>2861</v>
      </c>
      <c r="J1453" s="8" t="s">
        <v>2027</v>
      </c>
      <c r="L1453" s="8" t="s">
        <v>112</v>
      </c>
      <c r="N1453" s="8" t="s">
        <v>113</v>
      </c>
      <c r="Q1453" s="8" t="s">
        <v>32</v>
      </c>
      <c r="R1453" s="8">
        <v>0</v>
      </c>
      <c r="S1453" s="8">
        <v>1</v>
      </c>
      <c r="T1453" s="8">
        <f t="shared" si="147"/>
        <v>1</v>
      </c>
      <c r="U1453" s="8">
        <v>0</v>
      </c>
      <c r="V1453" s="8">
        <v>0</v>
      </c>
      <c r="W1453" s="8">
        <v>0</v>
      </c>
      <c r="X1453" s="8">
        <v>0</v>
      </c>
      <c r="Y1453" s="8">
        <v>1</v>
      </c>
      <c r="Z1453" s="8">
        <v>0</v>
      </c>
      <c r="AA1453" s="8">
        <v>180</v>
      </c>
      <c r="AB1453" s="9">
        <f t="shared" si="148"/>
        <v>0.16666666666666669</v>
      </c>
      <c r="AC1453" s="10">
        <f t="shared" si="145"/>
        <v>5.9999999999999991</v>
      </c>
      <c r="AD1453" s="8" t="s">
        <v>33</v>
      </c>
      <c r="AE1453" s="11">
        <v>399990</v>
      </c>
      <c r="AF1453" s="11">
        <f t="shared" si="146"/>
        <v>399990</v>
      </c>
      <c r="AG1453" s="12" t="s">
        <v>34</v>
      </c>
      <c r="AH1453" s="8" t="s">
        <v>35</v>
      </c>
    </row>
    <row r="1454" spans="1:34">
      <c r="A1454" s="8" t="s">
        <v>2032</v>
      </c>
      <c r="B1454" s="16" t="s">
        <v>2860</v>
      </c>
      <c r="C1454" s="8" t="s">
        <v>40</v>
      </c>
      <c r="D1454" s="8" t="s">
        <v>2016</v>
      </c>
      <c r="E1454" s="8" t="str">
        <f t="shared" si="144"/>
        <v>SUELA</v>
      </c>
      <c r="G1454" s="8" t="s">
        <v>2861</v>
      </c>
      <c r="H1454" s="8" t="str">
        <f>VLOOKUP(A1454,[1]BBDD!$B$1:$J$3274,9,FALSE)</f>
        <v>U</v>
      </c>
      <c r="I1454" s="8" t="s">
        <v>2861</v>
      </c>
      <c r="J1454" s="8" t="s">
        <v>2027</v>
      </c>
      <c r="L1454" s="8" t="s">
        <v>827</v>
      </c>
      <c r="N1454" s="8" t="s">
        <v>90</v>
      </c>
      <c r="Q1454" s="8" t="s">
        <v>45</v>
      </c>
      <c r="R1454" s="8">
        <v>0</v>
      </c>
      <c r="S1454" s="8">
        <v>7</v>
      </c>
      <c r="T1454" s="8">
        <f t="shared" si="147"/>
        <v>7</v>
      </c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180</v>
      </c>
      <c r="AB1454" s="9">
        <f t="shared" si="148"/>
        <v>0</v>
      </c>
      <c r="AC1454" s="10" t="str">
        <f t="shared" si="145"/>
        <v>sin venta</v>
      </c>
      <c r="AD1454" s="8" t="s">
        <v>109</v>
      </c>
      <c r="AE1454" s="11">
        <v>399990</v>
      </c>
      <c r="AF1454" s="11">
        <f t="shared" si="146"/>
        <v>2799930</v>
      </c>
      <c r="AG1454" s="12" t="s">
        <v>73</v>
      </c>
      <c r="AH1454" s="8" t="s">
        <v>35</v>
      </c>
    </row>
    <row r="1455" spans="1:34">
      <c r="A1455" s="8" t="s">
        <v>2033</v>
      </c>
      <c r="B1455" s="16" t="s">
        <v>2860</v>
      </c>
      <c r="C1455" s="8" t="s">
        <v>40</v>
      </c>
      <c r="D1455" s="8" t="s">
        <v>2016</v>
      </c>
      <c r="E1455" s="8" t="str">
        <f t="shared" si="144"/>
        <v>CHOCOLATE</v>
      </c>
      <c r="G1455" s="8" t="s">
        <v>2861</v>
      </c>
      <c r="H1455" s="8" t="str">
        <f>VLOOKUP(A1455,[1]BBDD!$B$1:$J$3274,9,FALSE)</f>
        <v>H</v>
      </c>
      <c r="I1455" s="19" t="s">
        <v>2861</v>
      </c>
      <c r="J1455" s="8" t="s">
        <v>2034</v>
      </c>
      <c r="L1455" s="8" t="s">
        <v>61</v>
      </c>
      <c r="N1455" s="8" t="s">
        <v>252</v>
      </c>
      <c r="Q1455" s="8" t="s">
        <v>32</v>
      </c>
      <c r="R1455" s="8">
        <v>2</v>
      </c>
      <c r="S1455" s="8">
        <v>5</v>
      </c>
      <c r="T1455" s="8">
        <f t="shared" si="147"/>
        <v>7</v>
      </c>
      <c r="U1455" s="8">
        <v>1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180</v>
      </c>
      <c r="AB1455" s="9">
        <f t="shared" si="148"/>
        <v>0.16666666666666669</v>
      </c>
      <c r="AC1455" s="10">
        <f t="shared" si="145"/>
        <v>41.999999999999993</v>
      </c>
      <c r="AD1455" s="8" t="s">
        <v>33</v>
      </c>
      <c r="AE1455" s="11">
        <v>325990</v>
      </c>
      <c r="AF1455" s="11">
        <f t="shared" si="146"/>
        <v>2281930</v>
      </c>
      <c r="AG1455" s="12" t="s">
        <v>73</v>
      </c>
      <c r="AH1455" s="8" t="s">
        <v>35</v>
      </c>
    </row>
    <row r="1456" spans="1:34">
      <c r="A1456" s="8" t="s">
        <v>2035</v>
      </c>
      <c r="B1456" s="16" t="s">
        <v>2860</v>
      </c>
      <c r="C1456" s="8" t="s">
        <v>40</v>
      </c>
      <c r="D1456" s="8" t="s">
        <v>2016</v>
      </c>
      <c r="E1456" s="8" t="str">
        <f t="shared" si="144"/>
        <v>NEGRO</v>
      </c>
      <c r="G1456" s="8" t="s">
        <v>2861</v>
      </c>
      <c r="H1456" s="8" t="str">
        <f>VLOOKUP(A1456,[1]BBDD!$B$1:$J$3274,9,FALSE)</f>
        <v>H</v>
      </c>
      <c r="I1456" s="19" t="s">
        <v>2861</v>
      </c>
      <c r="J1456" s="8" t="s">
        <v>2034</v>
      </c>
      <c r="L1456" s="8" t="s">
        <v>61</v>
      </c>
      <c r="N1456" s="8" t="s">
        <v>44</v>
      </c>
      <c r="Q1456" s="8" t="s">
        <v>32</v>
      </c>
      <c r="R1456" s="8">
        <v>0</v>
      </c>
      <c r="S1456" s="8">
        <v>5</v>
      </c>
      <c r="T1456" s="8">
        <f t="shared" si="147"/>
        <v>5</v>
      </c>
      <c r="U1456" s="8">
        <v>1</v>
      </c>
      <c r="V1456" s="8">
        <v>1</v>
      </c>
      <c r="W1456" s="8">
        <v>0</v>
      </c>
      <c r="X1456" s="8">
        <v>0</v>
      </c>
      <c r="Y1456" s="8">
        <v>0</v>
      </c>
      <c r="Z1456" s="8">
        <v>0</v>
      </c>
      <c r="AA1456" s="8">
        <v>180</v>
      </c>
      <c r="AB1456" s="9">
        <f t="shared" si="148"/>
        <v>0.33333333333333337</v>
      </c>
      <c r="AC1456" s="10">
        <f t="shared" si="145"/>
        <v>14.999999999999998</v>
      </c>
      <c r="AD1456" s="8" t="s">
        <v>33</v>
      </c>
      <c r="AE1456" s="11">
        <v>325990</v>
      </c>
      <c r="AF1456" s="11">
        <f t="shared" si="146"/>
        <v>1629950</v>
      </c>
      <c r="AG1456" s="12" t="s">
        <v>64</v>
      </c>
      <c r="AH1456" s="8" t="s">
        <v>35</v>
      </c>
    </row>
    <row r="1457" spans="1:34">
      <c r="A1457" s="8" t="s">
        <v>2036</v>
      </c>
      <c r="B1457" s="16" t="s">
        <v>2860</v>
      </c>
      <c r="C1457" s="8" t="s">
        <v>40</v>
      </c>
      <c r="D1457" s="8" t="s">
        <v>2016</v>
      </c>
      <c r="E1457" s="8" t="str">
        <f t="shared" si="144"/>
        <v>TABACO</v>
      </c>
      <c r="G1457" s="8" t="s">
        <v>2861</v>
      </c>
      <c r="H1457" s="8" t="str">
        <f>VLOOKUP(A1457,[1]BBDD!$B$1:$J$3274,9,FALSE)</f>
        <v>H</v>
      </c>
      <c r="I1457" s="19" t="s">
        <v>2861</v>
      </c>
      <c r="J1457" s="8" t="s">
        <v>2034</v>
      </c>
      <c r="L1457" s="8" t="s">
        <v>61</v>
      </c>
      <c r="N1457" s="8" t="s">
        <v>67</v>
      </c>
      <c r="Q1457" s="8" t="s">
        <v>32</v>
      </c>
      <c r="R1457" s="8">
        <v>0</v>
      </c>
      <c r="S1457" s="8">
        <v>2</v>
      </c>
      <c r="T1457" s="8">
        <f t="shared" si="147"/>
        <v>2</v>
      </c>
      <c r="U1457" s="8">
        <v>2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180</v>
      </c>
      <c r="AB1457" s="9">
        <f t="shared" si="148"/>
        <v>0.33333333333333337</v>
      </c>
      <c r="AC1457" s="10">
        <f t="shared" si="145"/>
        <v>5.9999999999999991</v>
      </c>
      <c r="AD1457" s="8" t="s">
        <v>33</v>
      </c>
      <c r="AE1457" s="11">
        <v>325990</v>
      </c>
      <c r="AF1457" s="11">
        <f t="shared" si="146"/>
        <v>651980</v>
      </c>
      <c r="AG1457" s="12" t="s">
        <v>34</v>
      </c>
      <c r="AH1457" s="8" t="s">
        <v>35</v>
      </c>
    </row>
    <row r="1458" spans="1:34">
      <c r="A1458" s="8" t="s">
        <v>2037</v>
      </c>
      <c r="B1458" s="16" t="s">
        <v>2860</v>
      </c>
      <c r="C1458" s="8" t="s">
        <v>40</v>
      </c>
      <c r="D1458" s="8" t="s">
        <v>2016</v>
      </c>
      <c r="E1458" s="8" t="str">
        <f t="shared" si="144"/>
        <v>CARAMELO</v>
      </c>
      <c r="G1458" s="8" t="s">
        <v>2861</v>
      </c>
      <c r="H1458" s="8" t="str">
        <f>VLOOKUP(A1458,[1]BBDD!$B$1:$J$3274,9,FALSE)</f>
        <v>H</v>
      </c>
      <c r="I1458" s="19" t="s">
        <v>2861</v>
      </c>
      <c r="J1458" s="8" t="s">
        <v>2034</v>
      </c>
      <c r="L1458" s="8" t="s">
        <v>61</v>
      </c>
      <c r="N1458" s="8" t="s">
        <v>62</v>
      </c>
      <c r="Q1458" s="8" t="s">
        <v>45</v>
      </c>
      <c r="R1458" s="8">
        <v>1</v>
      </c>
      <c r="S1458" s="8">
        <v>7</v>
      </c>
      <c r="T1458" s="8">
        <f t="shared" si="147"/>
        <v>8</v>
      </c>
      <c r="U1458" s="8">
        <v>0</v>
      </c>
      <c r="V1458" s="8">
        <v>0</v>
      </c>
      <c r="W1458" s="8">
        <v>1</v>
      </c>
      <c r="X1458" s="8">
        <v>0</v>
      </c>
      <c r="Y1458" s="8">
        <v>0</v>
      </c>
      <c r="Z1458" s="8">
        <v>0</v>
      </c>
      <c r="AA1458" s="8">
        <v>180</v>
      </c>
      <c r="AB1458" s="9">
        <f t="shared" si="148"/>
        <v>0.16666666666666669</v>
      </c>
      <c r="AC1458" s="10">
        <f t="shared" si="145"/>
        <v>47.999999999999993</v>
      </c>
      <c r="AD1458" s="8" t="s">
        <v>109</v>
      </c>
      <c r="AE1458" s="11">
        <v>325990</v>
      </c>
      <c r="AF1458" s="11">
        <f t="shared" si="146"/>
        <v>2607920</v>
      </c>
      <c r="AG1458" s="12" t="s">
        <v>73</v>
      </c>
      <c r="AH1458" s="8" t="s">
        <v>35</v>
      </c>
    </row>
    <row r="1459" spans="1:34">
      <c r="A1459" s="8" t="s">
        <v>2038</v>
      </c>
      <c r="B1459" s="16" t="s">
        <v>2860</v>
      </c>
      <c r="C1459" s="8" t="s">
        <v>40</v>
      </c>
      <c r="D1459" s="8" t="s">
        <v>2016</v>
      </c>
      <c r="E1459" s="8" t="str">
        <f t="shared" si="144"/>
        <v>NEGRO</v>
      </c>
      <c r="G1459" s="8" t="s">
        <v>2861</v>
      </c>
      <c r="H1459" s="8" t="str">
        <f>VLOOKUP(A1459,[1]BBDD!$B$1:$J$3274,9,FALSE)</f>
        <v>U</v>
      </c>
      <c r="I1459" s="8" t="s">
        <v>2861</v>
      </c>
      <c r="J1459" s="8" t="s">
        <v>2039</v>
      </c>
      <c r="L1459" s="8" t="s">
        <v>61</v>
      </c>
      <c r="N1459" s="8" t="s">
        <v>44</v>
      </c>
      <c r="Q1459" s="8" t="s">
        <v>32</v>
      </c>
      <c r="R1459" s="8">
        <v>3</v>
      </c>
      <c r="S1459" s="8">
        <v>6</v>
      </c>
      <c r="T1459" s="8">
        <f t="shared" si="147"/>
        <v>9</v>
      </c>
      <c r="U1459" s="8">
        <v>1</v>
      </c>
      <c r="V1459" s="8">
        <v>0</v>
      </c>
      <c r="W1459" s="8">
        <v>1</v>
      </c>
      <c r="X1459" s="8">
        <v>0</v>
      </c>
      <c r="Y1459" s="8">
        <v>0</v>
      </c>
      <c r="Z1459" s="8">
        <v>0</v>
      </c>
      <c r="AA1459" s="8">
        <v>180</v>
      </c>
      <c r="AB1459" s="9">
        <f t="shared" si="148"/>
        <v>0.33333333333333337</v>
      </c>
      <c r="AC1459" s="10">
        <f t="shared" si="145"/>
        <v>26.999999999999996</v>
      </c>
      <c r="AD1459" s="8" t="s">
        <v>33</v>
      </c>
      <c r="AE1459" s="11">
        <v>259990</v>
      </c>
      <c r="AF1459" s="11">
        <f t="shared" si="146"/>
        <v>2339910</v>
      </c>
      <c r="AG1459" s="12" t="s">
        <v>73</v>
      </c>
      <c r="AH1459" s="8" t="s">
        <v>35</v>
      </c>
    </row>
    <row r="1460" spans="1:34">
      <c r="A1460" s="8" t="s">
        <v>2040</v>
      </c>
      <c r="B1460" s="16" t="s">
        <v>2860</v>
      </c>
      <c r="C1460" s="8" t="s">
        <v>40</v>
      </c>
      <c r="D1460" s="8" t="s">
        <v>2016</v>
      </c>
      <c r="E1460" s="8" t="str">
        <f t="shared" si="144"/>
        <v>CARAMELO</v>
      </c>
      <c r="G1460" s="8" t="s">
        <v>2861</v>
      </c>
      <c r="H1460" s="8" t="str">
        <f>VLOOKUP(A1460,[1]BBDD!$B$1:$J$3274,9,FALSE)</f>
        <v>U</v>
      </c>
      <c r="I1460" s="8" t="s">
        <v>2861</v>
      </c>
      <c r="J1460" s="8" t="s">
        <v>2039</v>
      </c>
      <c r="L1460" s="8" t="s">
        <v>61</v>
      </c>
      <c r="N1460" s="8" t="s">
        <v>62</v>
      </c>
      <c r="Q1460" s="8" t="s">
        <v>45</v>
      </c>
      <c r="R1460" s="8">
        <v>2</v>
      </c>
      <c r="S1460" s="8">
        <v>5</v>
      </c>
      <c r="T1460" s="8">
        <f t="shared" si="147"/>
        <v>7</v>
      </c>
      <c r="U1460" s="8">
        <v>1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180</v>
      </c>
      <c r="AB1460" s="9">
        <f t="shared" si="148"/>
        <v>0.16666666666666669</v>
      </c>
      <c r="AC1460" s="10">
        <f t="shared" si="145"/>
        <v>41.999999999999993</v>
      </c>
      <c r="AD1460" s="8" t="s">
        <v>109</v>
      </c>
      <c r="AE1460" s="11">
        <v>259990</v>
      </c>
      <c r="AF1460" s="11">
        <f t="shared" si="146"/>
        <v>1819930</v>
      </c>
      <c r="AG1460" s="12" t="s">
        <v>73</v>
      </c>
      <c r="AH1460" s="8" t="s">
        <v>35</v>
      </c>
    </row>
    <row r="1461" spans="1:34">
      <c r="A1461" s="8" t="s">
        <v>2041</v>
      </c>
      <c r="B1461" s="16" t="s">
        <v>2860</v>
      </c>
      <c r="C1461" s="8" t="s">
        <v>40</v>
      </c>
      <c r="D1461" s="8" t="s">
        <v>2016</v>
      </c>
      <c r="E1461" s="8" t="str">
        <f t="shared" si="144"/>
        <v>MALBEC</v>
      </c>
      <c r="G1461" s="8" t="s">
        <v>2861</v>
      </c>
      <c r="H1461" s="8" t="str">
        <f>VLOOKUP(A1461,[1]BBDD!$B$1:$J$3274,9,FALSE)</f>
        <v>U</v>
      </c>
      <c r="I1461" s="8" t="s">
        <v>2861</v>
      </c>
      <c r="J1461" s="8" t="s">
        <v>2039</v>
      </c>
      <c r="L1461" s="8" t="s">
        <v>61</v>
      </c>
      <c r="N1461" s="8" t="s">
        <v>69</v>
      </c>
      <c r="Q1461" s="8" t="s">
        <v>45</v>
      </c>
      <c r="R1461" s="8">
        <v>0</v>
      </c>
      <c r="S1461" s="8">
        <v>3</v>
      </c>
      <c r="T1461" s="8">
        <f t="shared" si="147"/>
        <v>3</v>
      </c>
      <c r="U1461" s="8">
        <v>1</v>
      </c>
      <c r="V1461" s="8">
        <v>0</v>
      </c>
      <c r="W1461" s="8">
        <v>0</v>
      </c>
      <c r="X1461" s="8">
        <v>0</v>
      </c>
      <c r="Y1461" s="8">
        <v>1</v>
      </c>
      <c r="Z1461" s="8">
        <v>0</v>
      </c>
      <c r="AA1461" s="8">
        <v>180</v>
      </c>
      <c r="AB1461" s="9">
        <f t="shared" si="148"/>
        <v>0.33333333333333337</v>
      </c>
      <c r="AC1461" s="10">
        <f t="shared" si="145"/>
        <v>8.9999999999999982</v>
      </c>
      <c r="AD1461" s="8" t="s">
        <v>109</v>
      </c>
      <c r="AE1461" s="11">
        <v>259990</v>
      </c>
      <c r="AF1461" s="11">
        <f t="shared" si="146"/>
        <v>779970</v>
      </c>
      <c r="AG1461" s="12" t="s">
        <v>51</v>
      </c>
      <c r="AH1461" s="8" t="s">
        <v>35</v>
      </c>
    </row>
    <row r="1462" spans="1:34">
      <c r="A1462" s="8" t="s">
        <v>2042</v>
      </c>
      <c r="B1462" s="16" t="s">
        <v>2860</v>
      </c>
      <c r="C1462" s="8" t="s">
        <v>40</v>
      </c>
      <c r="D1462" s="8" t="s">
        <v>2016</v>
      </c>
      <c r="E1462" s="8" t="str">
        <f t="shared" si="144"/>
        <v>TABACO</v>
      </c>
      <c r="G1462" s="8" t="s">
        <v>2861</v>
      </c>
      <c r="H1462" s="8" t="str">
        <f>VLOOKUP(A1462,[1]BBDD!$B$1:$J$3274,9,FALSE)</f>
        <v>U</v>
      </c>
      <c r="I1462" s="8" t="s">
        <v>2861</v>
      </c>
      <c r="J1462" s="8" t="s">
        <v>2039</v>
      </c>
      <c r="L1462" s="8" t="s">
        <v>61</v>
      </c>
      <c r="N1462" s="8" t="s">
        <v>67</v>
      </c>
      <c r="Q1462" s="8" t="s">
        <v>45</v>
      </c>
      <c r="R1462" s="8">
        <v>1</v>
      </c>
      <c r="S1462" s="8">
        <v>3</v>
      </c>
      <c r="T1462" s="8">
        <f t="shared" si="147"/>
        <v>4</v>
      </c>
      <c r="U1462" s="8">
        <v>0</v>
      </c>
      <c r="V1462" s="8">
        <v>0</v>
      </c>
      <c r="W1462" s="8">
        <v>1</v>
      </c>
      <c r="X1462" s="8">
        <v>0</v>
      </c>
      <c r="Y1462" s="8">
        <v>1</v>
      </c>
      <c r="Z1462" s="8">
        <v>0</v>
      </c>
      <c r="AA1462" s="8">
        <v>180</v>
      </c>
      <c r="AB1462" s="9">
        <f t="shared" si="148"/>
        <v>0.33333333333333337</v>
      </c>
      <c r="AC1462" s="10">
        <f t="shared" si="145"/>
        <v>11.999999999999998</v>
      </c>
      <c r="AD1462" s="8" t="s">
        <v>109</v>
      </c>
      <c r="AE1462" s="11">
        <v>259990</v>
      </c>
      <c r="AF1462" s="11">
        <f t="shared" si="146"/>
        <v>1039960</v>
      </c>
      <c r="AG1462" s="12" t="s">
        <v>51</v>
      </c>
      <c r="AH1462" s="8" t="s">
        <v>35</v>
      </c>
    </row>
    <row r="1463" spans="1:34">
      <c r="A1463" s="8" t="s">
        <v>2043</v>
      </c>
      <c r="B1463" s="16" t="s">
        <v>2860</v>
      </c>
      <c r="C1463" s="8" t="s">
        <v>40</v>
      </c>
      <c r="D1463" s="8" t="s">
        <v>2016</v>
      </c>
      <c r="E1463" s="8" t="str">
        <f t="shared" si="144"/>
        <v>GRIS MEDIO/CARAMELO</v>
      </c>
      <c r="G1463" s="8" t="s">
        <v>2861</v>
      </c>
      <c r="H1463" s="8" t="str">
        <f>VLOOKUP(A1463,[1]BBDD!$B$1:$J$3274,9,FALSE)</f>
        <v>U</v>
      </c>
      <c r="I1463" s="8" t="s">
        <v>2861</v>
      </c>
      <c r="J1463" s="8" t="s">
        <v>2039</v>
      </c>
      <c r="L1463" s="8" t="s">
        <v>431</v>
      </c>
      <c r="N1463" s="8" t="s">
        <v>446</v>
      </c>
      <c r="Q1463" s="8" t="s">
        <v>32</v>
      </c>
      <c r="R1463" s="8">
        <v>0</v>
      </c>
      <c r="S1463" s="8">
        <v>3</v>
      </c>
      <c r="T1463" s="8">
        <f t="shared" si="147"/>
        <v>3</v>
      </c>
      <c r="U1463" s="8">
        <v>0</v>
      </c>
      <c r="V1463" s="8">
        <v>1</v>
      </c>
      <c r="W1463" s="8">
        <v>0</v>
      </c>
      <c r="X1463" s="8">
        <v>0</v>
      </c>
      <c r="Y1463" s="8">
        <v>0</v>
      </c>
      <c r="Z1463" s="8">
        <v>0</v>
      </c>
      <c r="AA1463" s="8">
        <v>180</v>
      </c>
      <c r="AB1463" s="9">
        <f t="shared" si="148"/>
        <v>0.16666666666666669</v>
      </c>
      <c r="AC1463" s="10">
        <f t="shared" si="145"/>
        <v>17.999999999999996</v>
      </c>
      <c r="AD1463" s="8" t="s">
        <v>33</v>
      </c>
      <c r="AE1463" s="11">
        <v>259990</v>
      </c>
      <c r="AF1463" s="11">
        <f t="shared" si="146"/>
        <v>779970</v>
      </c>
      <c r="AG1463" s="12" t="s">
        <v>64</v>
      </c>
      <c r="AH1463" s="8" t="s">
        <v>35</v>
      </c>
    </row>
    <row r="1464" spans="1:34">
      <c r="A1464" s="8" t="s">
        <v>2044</v>
      </c>
      <c r="B1464" s="16" t="s">
        <v>2860</v>
      </c>
      <c r="C1464" s="8" t="s">
        <v>40</v>
      </c>
      <c r="D1464" s="8" t="s">
        <v>2016</v>
      </c>
      <c r="E1464" s="8" t="str">
        <f t="shared" si="144"/>
        <v>AZUL/CARAMELO</v>
      </c>
      <c r="G1464" s="8" t="s">
        <v>2861</v>
      </c>
      <c r="H1464" s="8" t="str">
        <f>VLOOKUP(A1464,[1]BBDD!$B$1:$J$3274,9,FALSE)</f>
        <v>U</v>
      </c>
      <c r="I1464" s="8" t="s">
        <v>2861</v>
      </c>
      <c r="J1464" s="8" t="s">
        <v>2039</v>
      </c>
      <c r="L1464" s="8" t="s">
        <v>431</v>
      </c>
      <c r="N1464" s="8" t="s">
        <v>436</v>
      </c>
      <c r="Q1464" s="8" t="s">
        <v>45</v>
      </c>
      <c r="R1464" s="8">
        <v>0</v>
      </c>
      <c r="S1464" s="8">
        <v>6</v>
      </c>
      <c r="T1464" s="8">
        <f t="shared" si="147"/>
        <v>6</v>
      </c>
      <c r="U1464" s="8">
        <v>0</v>
      </c>
      <c r="V1464" s="8">
        <v>0</v>
      </c>
      <c r="W1464" s="8">
        <v>0</v>
      </c>
      <c r="X1464" s="8">
        <v>1</v>
      </c>
      <c r="Y1464" s="8">
        <v>0</v>
      </c>
      <c r="Z1464" s="8">
        <v>0</v>
      </c>
      <c r="AA1464" s="8">
        <v>180</v>
      </c>
      <c r="AB1464" s="9">
        <f t="shared" si="148"/>
        <v>0.16666666666666669</v>
      </c>
      <c r="AC1464" s="10">
        <f t="shared" si="145"/>
        <v>35.999999999999993</v>
      </c>
      <c r="AD1464" s="8" t="s">
        <v>109</v>
      </c>
      <c r="AE1464" s="11">
        <v>259990</v>
      </c>
      <c r="AF1464" s="11">
        <f t="shared" si="146"/>
        <v>1559940</v>
      </c>
      <c r="AG1464" s="12" t="s">
        <v>73</v>
      </c>
      <c r="AH1464" s="8" t="s">
        <v>35</v>
      </c>
    </row>
    <row r="1465" spans="1:34">
      <c r="A1465" s="8" t="s">
        <v>2045</v>
      </c>
      <c r="B1465" s="16" t="s">
        <v>2860</v>
      </c>
      <c r="C1465" s="8" t="s">
        <v>40</v>
      </c>
      <c r="D1465" s="8" t="s">
        <v>2016</v>
      </c>
      <c r="E1465" s="8" t="str">
        <f t="shared" si="144"/>
        <v>OLIVE/TABACO</v>
      </c>
      <c r="G1465" s="8" t="s">
        <v>2861</v>
      </c>
      <c r="H1465" s="8" t="str">
        <f>VLOOKUP(A1465,[1]BBDD!$B$1:$J$3274,9,FALSE)</f>
        <v>U</v>
      </c>
      <c r="I1465" s="8" t="s">
        <v>2861</v>
      </c>
      <c r="J1465" s="8" t="s">
        <v>2039</v>
      </c>
      <c r="L1465" s="8" t="s">
        <v>431</v>
      </c>
      <c r="N1465" s="8" t="s">
        <v>434</v>
      </c>
      <c r="Q1465" s="8" t="s">
        <v>45</v>
      </c>
      <c r="R1465" s="8">
        <v>0</v>
      </c>
      <c r="S1465" s="8">
        <v>5</v>
      </c>
      <c r="T1465" s="8">
        <f t="shared" si="147"/>
        <v>5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1</v>
      </c>
      <c r="AA1465" s="8">
        <v>180</v>
      </c>
      <c r="AB1465" s="9">
        <f t="shared" si="148"/>
        <v>0.16666666666666669</v>
      </c>
      <c r="AC1465" s="10">
        <f t="shared" si="145"/>
        <v>29.999999999999996</v>
      </c>
      <c r="AD1465" s="8" t="s">
        <v>109</v>
      </c>
      <c r="AE1465" s="11">
        <v>259990</v>
      </c>
      <c r="AF1465" s="11">
        <f t="shared" si="146"/>
        <v>1299950</v>
      </c>
      <c r="AG1465" s="12" t="s">
        <v>73</v>
      </c>
      <c r="AH1465" s="8" t="s">
        <v>35</v>
      </c>
    </row>
    <row r="1466" spans="1:34">
      <c r="A1466" s="8" t="s">
        <v>2046</v>
      </c>
      <c r="B1466" s="16" t="s">
        <v>2860</v>
      </c>
      <c r="C1466" s="8" t="s">
        <v>40</v>
      </c>
      <c r="D1466" s="8" t="s">
        <v>2016</v>
      </c>
      <c r="E1466" s="8" t="str">
        <f t="shared" si="144"/>
        <v>VESUBIO/TABACO</v>
      </c>
      <c r="G1466" s="8" t="s">
        <v>2861</v>
      </c>
      <c r="H1466" s="8" t="str">
        <f>VLOOKUP(A1466,[1]BBDD!$B$1:$J$3274,9,FALSE)</f>
        <v>U</v>
      </c>
      <c r="I1466" s="8" t="s">
        <v>2861</v>
      </c>
      <c r="J1466" s="8" t="s">
        <v>2039</v>
      </c>
      <c r="L1466" s="8" t="s">
        <v>431</v>
      </c>
      <c r="N1466" s="8" t="s">
        <v>161</v>
      </c>
      <c r="Q1466" s="8" t="s">
        <v>45</v>
      </c>
      <c r="R1466" s="8">
        <v>0</v>
      </c>
      <c r="S1466" s="8">
        <v>4</v>
      </c>
      <c r="T1466" s="8">
        <f t="shared" si="147"/>
        <v>4</v>
      </c>
      <c r="U1466" s="8">
        <v>0</v>
      </c>
      <c r="V1466" s="8">
        <v>0</v>
      </c>
      <c r="W1466" s="8">
        <v>0</v>
      </c>
      <c r="X1466" s="8">
        <v>0</v>
      </c>
      <c r="Y1466" s="8">
        <v>1</v>
      </c>
      <c r="Z1466" s="8">
        <v>1</v>
      </c>
      <c r="AA1466" s="8">
        <v>180</v>
      </c>
      <c r="AB1466" s="9">
        <f t="shared" si="148"/>
        <v>0.33333333333333337</v>
      </c>
      <c r="AC1466" s="10">
        <f t="shared" si="145"/>
        <v>11.999999999999998</v>
      </c>
      <c r="AD1466" s="8" t="s">
        <v>109</v>
      </c>
      <c r="AE1466" s="11">
        <v>259990</v>
      </c>
      <c r="AF1466" s="11">
        <f t="shared" si="146"/>
        <v>1039960</v>
      </c>
      <c r="AG1466" s="12" t="s">
        <v>51</v>
      </c>
      <c r="AH1466" s="8" t="s">
        <v>35</v>
      </c>
    </row>
    <row r="1467" spans="1:34">
      <c r="A1467" s="8" t="s">
        <v>2047</v>
      </c>
      <c r="B1467" s="16" t="s">
        <v>2860</v>
      </c>
      <c r="C1467" s="8" t="s">
        <v>40</v>
      </c>
      <c r="D1467" s="8" t="s">
        <v>2016</v>
      </c>
      <c r="E1467" s="8" t="str">
        <f t="shared" si="144"/>
        <v>OLIVE/CARAMELO</v>
      </c>
      <c r="G1467" s="8" t="s">
        <v>2861</v>
      </c>
      <c r="H1467" s="8" t="str">
        <f>VLOOKUP(A1467,[1]BBDD!$B$1:$J$3274,9,FALSE)</f>
        <v>U</v>
      </c>
      <c r="I1467" s="8" t="s">
        <v>2861</v>
      </c>
      <c r="J1467" s="8" t="s">
        <v>2039</v>
      </c>
      <c r="L1467" s="8" t="s">
        <v>448</v>
      </c>
      <c r="N1467" s="8" t="s">
        <v>432</v>
      </c>
      <c r="Q1467" s="8" t="s">
        <v>32</v>
      </c>
      <c r="R1467" s="8">
        <v>0</v>
      </c>
      <c r="S1467" s="8">
        <v>5</v>
      </c>
      <c r="T1467" s="8">
        <f t="shared" si="147"/>
        <v>5</v>
      </c>
      <c r="U1467" s="8">
        <v>1</v>
      </c>
      <c r="V1467" s="8">
        <v>2</v>
      </c>
      <c r="W1467" s="8">
        <v>0</v>
      </c>
      <c r="X1467" s="8">
        <v>0</v>
      </c>
      <c r="Y1467" s="8">
        <v>1</v>
      </c>
      <c r="Z1467" s="8">
        <v>0</v>
      </c>
      <c r="AA1467" s="8">
        <v>180</v>
      </c>
      <c r="AB1467" s="9">
        <f t="shared" si="148"/>
        <v>0.66666666666666674</v>
      </c>
      <c r="AC1467" s="10">
        <f t="shared" si="145"/>
        <v>7.4999999999999991</v>
      </c>
      <c r="AD1467" s="8" t="s">
        <v>33</v>
      </c>
      <c r="AE1467" s="11">
        <v>259990</v>
      </c>
      <c r="AF1467" s="11">
        <f t="shared" si="146"/>
        <v>1299950</v>
      </c>
      <c r="AG1467" s="12" t="s">
        <v>51</v>
      </c>
      <c r="AH1467" s="8" t="s">
        <v>35</v>
      </c>
    </row>
    <row r="1468" spans="1:34">
      <c r="A1468" s="8" t="s">
        <v>2048</v>
      </c>
      <c r="B1468" s="16" t="s">
        <v>2860</v>
      </c>
      <c r="C1468" s="8" t="s">
        <v>40</v>
      </c>
      <c r="D1468" s="8" t="s">
        <v>2016</v>
      </c>
      <c r="E1468" s="8" t="str">
        <f t="shared" si="144"/>
        <v>AZUL/CARAMELO</v>
      </c>
      <c r="G1468" s="8" t="s">
        <v>2861</v>
      </c>
      <c r="H1468" s="8" t="str">
        <f>VLOOKUP(A1468,[1]BBDD!$B$1:$J$3274,9,FALSE)</f>
        <v>U</v>
      </c>
      <c r="I1468" s="8" t="s">
        <v>2861</v>
      </c>
      <c r="J1468" s="8" t="s">
        <v>2039</v>
      </c>
      <c r="L1468" s="8" t="s">
        <v>448</v>
      </c>
      <c r="N1468" s="8" t="s">
        <v>436</v>
      </c>
      <c r="Q1468" s="8" t="s">
        <v>45</v>
      </c>
      <c r="R1468" s="8">
        <v>0</v>
      </c>
      <c r="S1468" s="8">
        <v>6</v>
      </c>
      <c r="T1468" s="8">
        <f t="shared" si="147"/>
        <v>6</v>
      </c>
      <c r="U1468" s="8">
        <v>0</v>
      </c>
      <c r="V1468" s="8">
        <v>0</v>
      </c>
      <c r="W1468" s="8">
        <v>0</v>
      </c>
      <c r="X1468" s="8">
        <v>1</v>
      </c>
      <c r="Y1468" s="8">
        <v>0</v>
      </c>
      <c r="Z1468" s="8">
        <v>0</v>
      </c>
      <c r="AA1468" s="8">
        <v>180</v>
      </c>
      <c r="AB1468" s="9">
        <f t="shared" si="148"/>
        <v>0.16666666666666669</v>
      </c>
      <c r="AC1468" s="10">
        <f t="shared" si="145"/>
        <v>35.999999999999993</v>
      </c>
      <c r="AD1468" s="8" t="s">
        <v>109</v>
      </c>
      <c r="AE1468" s="11">
        <v>259990</v>
      </c>
      <c r="AF1468" s="11">
        <f t="shared" si="146"/>
        <v>1559940</v>
      </c>
      <c r="AG1468" s="12" t="s">
        <v>73</v>
      </c>
      <c r="AH1468" s="8" t="s">
        <v>35</v>
      </c>
    </row>
    <row r="1469" spans="1:34">
      <c r="A1469" s="8" t="s">
        <v>2049</v>
      </c>
      <c r="B1469" s="16" t="s">
        <v>2860</v>
      </c>
      <c r="C1469" s="8" t="s">
        <v>40</v>
      </c>
      <c r="D1469" s="8" t="s">
        <v>2016</v>
      </c>
      <c r="E1469" s="8" t="str">
        <f t="shared" si="144"/>
        <v>NEGRO</v>
      </c>
      <c r="G1469" s="8" t="s">
        <v>2861</v>
      </c>
      <c r="H1469" s="8" t="str">
        <f>VLOOKUP(A1469,[1]BBDD!$B$1:$J$3274,9,FALSE)</f>
        <v>U</v>
      </c>
      <c r="I1469" s="8" t="s">
        <v>2861</v>
      </c>
      <c r="J1469" s="8" t="s">
        <v>2050</v>
      </c>
      <c r="L1469" s="8" t="s">
        <v>61</v>
      </c>
      <c r="N1469" s="8" t="s">
        <v>44</v>
      </c>
      <c r="Q1469" s="8" t="s">
        <v>45</v>
      </c>
      <c r="R1469" s="8">
        <v>0</v>
      </c>
      <c r="S1469" s="8">
        <v>2</v>
      </c>
      <c r="T1469" s="8">
        <f t="shared" ref="T1469:T1522" si="149">SUM(R1469:S1469)</f>
        <v>2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180</v>
      </c>
      <c r="AB1469" s="9">
        <f t="shared" ref="AB1469:AB1522" si="150">SUM(U1469:Z1469)/AA1469*30</f>
        <v>0</v>
      </c>
      <c r="AC1469" s="10" t="str">
        <f t="shared" si="145"/>
        <v>sin venta</v>
      </c>
      <c r="AD1469" s="8" t="s">
        <v>109</v>
      </c>
      <c r="AE1469" s="11">
        <v>259990</v>
      </c>
      <c r="AF1469" s="11">
        <f t="shared" si="146"/>
        <v>519980</v>
      </c>
      <c r="AG1469" s="12" t="s">
        <v>73</v>
      </c>
      <c r="AH1469" s="8" t="s">
        <v>35</v>
      </c>
    </row>
    <row r="1470" spans="1:34">
      <c r="A1470" s="8" t="s">
        <v>2051</v>
      </c>
      <c r="B1470" s="16" t="s">
        <v>2859</v>
      </c>
      <c r="C1470" s="8" t="s">
        <v>248</v>
      </c>
      <c r="D1470" s="8" t="s">
        <v>2052</v>
      </c>
      <c r="E1470" s="8" t="str">
        <f t="shared" si="144"/>
        <v>CARAMELO</v>
      </c>
      <c r="G1470" s="8" t="s">
        <v>2861</v>
      </c>
      <c r="H1470" s="8" t="str">
        <f>VLOOKUP(A1470,[1]BBDD!$B$1:$J$3274,9,FALSE)</f>
        <v>U</v>
      </c>
      <c r="I1470" s="8" t="s">
        <v>2861</v>
      </c>
      <c r="J1470" s="8" t="s">
        <v>2053</v>
      </c>
      <c r="L1470" s="8" t="s">
        <v>61</v>
      </c>
      <c r="N1470" s="8" t="s">
        <v>62</v>
      </c>
      <c r="Q1470" s="8" t="s">
        <v>32</v>
      </c>
      <c r="R1470" s="8">
        <v>10</v>
      </c>
      <c r="S1470" s="8">
        <v>9</v>
      </c>
      <c r="T1470" s="8">
        <f t="shared" si="149"/>
        <v>19</v>
      </c>
      <c r="U1470" s="8">
        <v>0</v>
      </c>
      <c r="V1470" s="8">
        <v>0</v>
      </c>
      <c r="W1470" s="8">
        <v>4</v>
      </c>
      <c r="X1470" s="8">
        <v>1</v>
      </c>
      <c r="Y1470" s="8">
        <v>0</v>
      </c>
      <c r="Z1470" s="8">
        <v>1</v>
      </c>
      <c r="AA1470" s="8">
        <v>180</v>
      </c>
      <c r="AB1470" s="9">
        <f t="shared" si="150"/>
        <v>1</v>
      </c>
      <c r="AC1470" s="10">
        <f t="shared" si="145"/>
        <v>19</v>
      </c>
      <c r="AD1470" s="8" t="s">
        <v>33</v>
      </c>
      <c r="AE1470" s="11">
        <v>12990</v>
      </c>
      <c r="AF1470" s="11">
        <f t="shared" si="146"/>
        <v>246810</v>
      </c>
      <c r="AG1470" s="12" t="s">
        <v>64</v>
      </c>
      <c r="AH1470" s="8" t="s">
        <v>65</v>
      </c>
    </row>
    <row r="1471" spans="1:34">
      <c r="A1471" s="8" t="s">
        <v>2054</v>
      </c>
      <c r="B1471" s="16" t="s">
        <v>2859</v>
      </c>
      <c r="C1471" s="8" t="s">
        <v>248</v>
      </c>
      <c r="D1471" s="8" t="s">
        <v>2052</v>
      </c>
      <c r="E1471" s="8" t="str">
        <f t="shared" si="144"/>
        <v>CHOCOLATE</v>
      </c>
      <c r="G1471" s="8" t="s">
        <v>2861</v>
      </c>
      <c r="H1471" s="8" t="str">
        <f>VLOOKUP(A1471,[1]BBDD!$B$1:$J$3274,9,FALSE)</f>
        <v>U</v>
      </c>
      <c r="I1471" s="8" t="s">
        <v>2861</v>
      </c>
      <c r="J1471" s="8" t="s">
        <v>2053</v>
      </c>
      <c r="L1471" s="8" t="s">
        <v>61</v>
      </c>
      <c r="N1471" s="8" t="s">
        <v>252</v>
      </c>
      <c r="Q1471" s="8" t="s">
        <v>32</v>
      </c>
      <c r="R1471" s="8">
        <v>8</v>
      </c>
      <c r="S1471" s="8">
        <v>5</v>
      </c>
      <c r="T1471" s="8">
        <f t="shared" si="149"/>
        <v>13</v>
      </c>
      <c r="U1471" s="8">
        <v>0</v>
      </c>
      <c r="V1471" s="8">
        <v>0</v>
      </c>
      <c r="W1471" s="8">
        <v>2</v>
      </c>
      <c r="X1471" s="8">
        <v>0</v>
      </c>
      <c r="Y1471" s="8">
        <v>1</v>
      </c>
      <c r="Z1471" s="8">
        <v>1</v>
      </c>
      <c r="AA1471" s="8">
        <v>180</v>
      </c>
      <c r="AB1471" s="9">
        <f t="shared" si="150"/>
        <v>0.66666666666666674</v>
      </c>
      <c r="AC1471" s="10">
        <f t="shared" si="145"/>
        <v>19.499999999999996</v>
      </c>
      <c r="AD1471" s="8" t="s">
        <v>33</v>
      </c>
      <c r="AE1471" s="11">
        <v>12990</v>
      </c>
      <c r="AF1471" s="11">
        <f t="shared" si="146"/>
        <v>168870</v>
      </c>
      <c r="AG1471" s="12" t="s">
        <v>64</v>
      </c>
      <c r="AH1471" s="8" t="s">
        <v>65</v>
      </c>
    </row>
    <row r="1472" spans="1:34">
      <c r="A1472" s="8" t="s">
        <v>2055</v>
      </c>
      <c r="B1472" s="16" t="s">
        <v>2859</v>
      </c>
      <c r="C1472" s="8" t="s">
        <v>248</v>
      </c>
      <c r="D1472" s="8" t="s">
        <v>2052</v>
      </c>
      <c r="E1472" s="8" t="str">
        <f t="shared" si="144"/>
        <v>MALBEC</v>
      </c>
      <c r="G1472" s="8" t="s">
        <v>2861</v>
      </c>
      <c r="H1472" s="8" t="str">
        <f>VLOOKUP(A1472,[1]BBDD!$B$1:$J$3274,9,FALSE)</f>
        <v>U</v>
      </c>
      <c r="I1472" s="8" t="s">
        <v>2861</v>
      </c>
      <c r="J1472" s="8" t="s">
        <v>2053</v>
      </c>
      <c r="L1472" s="8" t="s">
        <v>61</v>
      </c>
      <c r="N1472" s="8" t="s">
        <v>69</v>
      </c>
      <c r="Q1472" s="8" t="s">
        <v>32</v>
      </c>
      <c r="R1472" s="8">
        <v>0</v>
      </c>
      <c r="S1472" s="8">
        <v>2</v>
      </c>
      <c r="T1472" s="8">
        <f t="shared" si="149"/>
        <v>2</v>
      </c>
      <c r="U1472" s="8">
        <v>2</v>
      </c>
      <c r="V1472" s="8">
        <v>1</v>
      </c>
      <c r="W1472" s="8">
        <v>1</v>
      </c>
      <c r="X1472" s="8">
        <v>1</v>
      </c>
      <c r="Y1472" s="8">
        <v>1</v>
      </c>
      <c r="Z1472" s="8">
        <v>1</v>
      </c>
      <c r="AA1472" s="8">
        <v>180</v>
      </c>
      <c r="AB1472" s="9">
        <f t="shared" si="150"/>
        <v>1.1666666666666667</v>
      </c>
      <c r="AC1472" s="10">
        <f t="shared" si="145"/>
        <v>1.7142857142857142</v>
      </c>
      <c r="AD1472" s="8" t="s">
        <v>33</v>
      </c>
      <c r="AE1472" s="11">
        <v>12990</v>
      </c>
      <c r="AF1472" s="11">
        <f t="shared" si="146"/>
        <v>25980</v>
      </c>
      <c r="AG1472" s="12" t="s">
        <v>34</v>
      </c>
      <c r="AH1472" s="8" t="s">
        <v>35</v>
      </c>
    </row>
    <row r="1473" spans="1:34">
      <c r="A1473" s="8" t="s">
        <v>2056</v>
      </c>
      <c r="B1473" s="16" t="s">
        <v>2859</v>
      </c>
      <c r="C1473" s="8" t="s">
        <v>248</v>
      </c>
      <c r="D1473" s="8" t="s">
        <v>2052</v>
      </c>
      <c r="E1473" s="8" t="str">
        <f t="shared" si="144"/>
        <v>NEGRO</v>
      </c>
      <c r="G1473" s="8" t="s">
        <v>2861</v>
      </c>
      <c r="H1473" s="8" t="str">
        <f>VLOOKUP(A1473,[1]BBDD!$B$1:$J$3274,9,FALSE)</f>
        <v>U</v>
      </c>
      <c r="I1473" s="8" t="s">
        <v>2861</v>
      </c>
      <c r="J1473" s="8" t="s">
        <v>2053</v>
      </c>
      <c r="L1473" s="8" t="s">
        <v>61</v>
      </c>
      <c r="N1473" s="8" t="s">
        <v>44</v>
      </c>
      <c r="Q1473" s="8" t="s">
        <v>32</v>
      </c>
      <c r="R1473" s="8">
        <v>16</v>
      </c>
      <c r="S1473" s="8">
        <v>6</v>
      </c>
      <c r="T1473" s="8">
        <f t="shared" si="149"/>
        <v>22</v>
      </c>
      <c r="U1473" s="8">
        <v>1</v>
      </c>
      <c r="V1473" s="8">
        <v>3</v>
      </c>
      <c r="W1473" s="8">
        <v>0</v>
      </c>
      <c r="X1473" s="8">
        <v>2</v>
      </c>
      <c r="Y1473" s="8">
        <v>3</v>
      </c>
      <c r="Z1473" s="8">
        <v>0</v>
      </c>
      <c r="AA1473" s="8">
        <v>180</v>
      </c>
      <c r="AB1473" s="9">
        <f t="shared" si="150"/>
        <v>1.5</v>
      </c>
      <c r="AC1473" s="10">
        <f t="shared" si="145"/>
        <v>14.666666666666666</v>
      </c>
      <c r="AD1473" s="8" t="s">
        <v>33</v>
      </c>
      <c r="AE1473" s="11">
        <v>12990</v>
      </c>
      <c r="AF1473" s="11">
        <f t="shared" si="146"/>
        <v>285780</v>
      </c>
      <c r="AG1473" s="12" t="s">
        <v>64</v>
      </c>
      <c r="AH1473" s="8" t="s">
        <v>74</v>
      </c>
    </row>
    <row r="1474" spans="1:34">
      <c r="A1474" s="8" t="s">
        <v>2057</v>
      </c>
      <c r="B1474" s="16" t="s">
        <v>2859</v>
      </c>
      <c r="C1474" s="8" t="s">
        <v>248</v>
      </c>
      <c r="D1474" s="8" t="s">
        <v>2052</v>
      </c>
      <c r="E1474" s="8" t="str">
        <f t="shared" si="144"/>
        <v>ROJO</v>
      </c>
      <c r="G1474" s="8" t="s">
        <v>2861</v>
      </c>
      <c r="H1474" s="8" t="str">
        <f>VLOOKUP(A1474,[1]BBDD!$B$1:$J$3274,9,FALSE)</f>
        <v>U</v>
      </c>
      <c r="I1474" s="8" t="s">
        <v>2861</v>
      </c>
      <c r="J1474" s="8" t="s">
        <v>2053</v>
      </c>
      <c r="L1474" s="8" t="s">
        <v>61</v>
      </c>
      <c r="N1474" s="8" t="s">
        <v>88</v>
      </c>
      <c r="Q1474" s="8" t="s">
        <v>32</v>
      </c>
      <c r="R1474" s="8">
        <v>7</v>
      </c>
      <c r="S1474" s="8">
        <v>8</v>
      </c>
      <c r="T1474" s="8">
        <f t="shared" si="149"/>
        <v>15</v>
      </c>
      <c r="U1474" s="8">
        <v>1</v>
      </c>
      <c r="V1474" s="8">
        <v>2</v>
      </c>
      <c r="W1474" s="8">
        <v>1</v>
      </c>
      <c r="X1474" s="8">
        <v>1</v>
      </c>
      <c r="Y1474" s="8">
        <v>1</v>
      </c>
      <c r="Z1474" s="8">
        <v>0</v>
      </c>
      <c r="AA1474" s="8">
        <v>180</v>
      </c>
      <c r="AB1474" s="9">
        <f t="shared" si="150"/>
        <v>1</v>
      </c>
      <c r="AC1474" s="10">
        <f t="shared" si="145"/>
        <v>15</v>
      </c>
      <c r="AD1474" s="8" t="s">
        <v>33</v>
      </c>
      <c r="AE1474" s="11">
        <v>12990</v>
      </c>
      <c r="AF1474" s="11">
        <f t="shared" si="146"/>
        <v>194850</v>
      </c>
      <c r="AG1474" s="12" t="s">
        <v>64</v>
      </c>
      <c r="AH1474" s="8" t="s">
        <v>65</v>
      </c>
    </row>
    <row r="1475" spans="1:34">
      <c r="A1475" s="8" t="s">
        <v>2058</v>
      </c>
      <c r="B1475" s="16" t="s">
        <v>2859</v>
      </c>
      <c r="C1475" s="8" t="s">
        <v>248</v>
      </c>
      <c r="D1475" s="8" t="s">
        <v>2052</v>
      </c>
      <c r="E1475" s="8" t="str">
        <f t="shared" ref="E1475:E1538" si="151">TRIM(N1475)</f>
        <v>CEDRO</v>
      </c>
      <c r="G1475" s="8" t="s">
        <v>2861</v>
      </c>
      <c r="H1475" s="8" t="str">
        <f>VLOOKUP(A1475,[1]BBDD!$B$1:$J$3274,9,FALSE)</f>
        <v>U</v>
      </c>
      <c r="I1475" s="8" t="s">
        <v>2861</v>
      </c>
      <c r="J1475" s="8" t="s">
        <v>2053</v>
      </c>
      <c r="L1475" s="8" t="s">
        <v>112</v>
      </c>
      <c r="N1475" s="8" t="s">
        <v>113</v>
      </c>
      <c r="Q1475" s="8" t="s">
        <v>32</v>
      </c>
      <c r="R1475" s="8">
        <v>9</v>
      </c>
      <c r="S1475" s="8">
        <v>9</v>
      </c>
      <c r="T1475" s="8">
        <f t="shared" si="149"/>
        <v>18</v>
      </c>
      <c r="U1475" s="8">
        <v>0</v>
      </c>
      <c r="V1475" s="8">
        <v>1</v>
      </c>
      <c r="W1475" s="8">
        <v>2</v>
      </c>
      <c r="X1475" s="8">
        <v>3</v>
      </c>
      <c r="Y1475" s="8">
        <v>2</v>
      </c>
      <c r="Z1475" s="8">
        <v>1</v>
      </c>
      <c r="AA1475" s="8">
        <v>180</v>
      </c>
      <c r="AB1475" s="9">
        <f t="shared" si="150"/>
        <v>1.5</v>
      </c>
      <c r="AC1475" s="10">
        <f t="shared" ref="AC1475:AC1538" si="152">IFERROR(T1475/AB1475,"sin venta")</f>
        <v>12</v>
      </c>
      <c r="AD1475" s="8" t="s">
        <v>33</v>
      </c>
      <c r="AE1475" s="11">
        <v>12990</v>
      </c>
      <c r="AF1475" s="11">
        <f t="shared" ref="AF1475:AF1538" si="153">IFERROR(AE1475*T1475,0)</f>
        <v>233820</v>
      </c>
      <c r="AG1475" s="12" t="s">
        <v>51</v>
      </c>
      <c r="AH1475" s="8" t="s">
        <v>65</v>
      </c>
    </row>
    <row r="1476" spans="1:34">
      <c r="A1476" s="8" t="s">
        <v>2059</v>
      </c>
      <c r="B1476" s="16" t="s">
        <v>2859</v>
      </c>
      <c r="C1476" s="8" t="s">
        <v>248</v>
      </c>
      <c r="D1476" s="8" t="s">
        <v>2052</v>
      </c>
      <c r="E1476" s="8" t="str">
        <f t="shared" si="151"/>
        <v>VISON</v>
      </c>
      <c r="G1476" s="8" t="s">
        <v>2861</v>
      </c>
      <c r="H1476" s="8" t="str">
        <f>VLOOKUP(A1476,[1]BBDD!$B$1:$J$3274,9,FALSE)</f>
        <v>U</v>
      </c>
      <c r="I1476" s="8" t="s">
        <v>2861</v>
      </c>
      <c r="J1476" s="8" t="s">
        <v>2053</v>
      </c>
      <c r="L1476" s="8" t="s">
        <v>1211</v>
      </c>
      <c r="N1476" s="8" t="s">
        <v>58</v>
      </c>
      <c r="Q1476" s="8" t="s">
        <v>45</v>
      </c>
      <c r="R1476" s="8">
        <v>3</v>
      </c>
      <c r="S1476" s="8">
        <v>3</v>
      </c>
      <c r="T1476" s="8">
        <f t="shared" si="149"/>
        <v>6</v>
      </c>
      <c r="U1476" s="8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8">
        <v>180</v>
      </c>
      <c r="AB1476" s="9">
        <f t="shared" si="150"/>
        <v>0</v>
      </c>
      <c r="AC1476" s="10" t="str">
        <f t="shared" si="152"/>
        <v>sin venta</v>
      </c>
      <c r="AD1476" s="8" t="s">
        <v>109</v>
      </c>
      <c r="AE1476" s="11">
        <v>12990</v>
      </c>
      <c r="AF1476" s="11">
        <f t="shared" si="153"/>
        <v>77940</v>
      </c>
      <c r="AG1476" s="12" t="s">
        <v>73</v>
      </c>
      <c r="AH1476" s="8" t="s">
        <v>35</v>
      </c>
    </row>
    <row r="1477" spans="1:34">
      <c r="A1477" s="8" t="s">
        <v>2060</v>
      </c>
      <c r="B1477" s="16" t="s">
        <v>2859</v>
      </c>
      <c r="C1477" s="8" t="s">
        <v>248</v>
      </c>
      <c r="D1477" s="8" t="s">
        <v>2052</v>
      </c>
      <c r="E1477" s="8" t="str">
        <f t="shared" si="151"/>
        <v>CHOCOLATE</v>
      </c>
      <c r="G1477" s="8" t="s">
        <v>2861</v>
      </c>
      <c r="H1477" s="8" t="str">
        <f>VLOOKUP(A1477,[1]BBDD!$B$1:$J$3274,9,FALSE)</f>
        <v>U</v>
      </c>
      <c r="I1477" s="8" t="s">
        <v>2861</v>
      </c>
      <c r="J1477" s="8" t="s">
        <v>2053</v>
      </c>
      <c r="L1477" s="8" t="s">
        <v>1211</v>
      </c>
      <c r="N1477" s="8" t="s">
        <v>252</v>
      </c>
      <c r="Q1477" s="8" t="s">
        <v>45</v>
      </c>
      <c r="R1477" s="8">
        <v>1</v>
      </c>
      <c r="S1477" s="8">
        <v>2</v>
      </c>
      <c r="T1477" s="8">
        <f t="shared" si="149"/>
        <v>3</v>
      </c>
      <c r="U1477" s="8">
        <v>1</v>
      </c>
      <c r="V1477" s="8">
        <v>0</v>
      </c>
      <c r="W1477" s="8">
        <v>1</v>
      </c>
      <c r="X1477" s="8">
        <v>1</v>
      </c>
      <c r="Y1477" s="8">
        <v>0</v>
      </c>
      <c r="Z1477" s="8">
        <v>0</v>
      </c>
      <c r="AA1477" s="8">
        <v>180</v>
      </c>
      <c r="AB1477" s="9">
        <f t="shared" si="150"/>
        <v>0.5</v>
      </c>
      <c r="AC1477" s="10">
        <f t="shared" si="152"/>
        <v>6</v>
      </c>
      <c r="AD1477" s="8" t="s">
        <v>109</v>
      </c>
      <c r="AE1477" s="11">
        <v>12990</v>
      </c>
      <c r="AF1477" s="11">
        <f t="shared" si="153"/>
        <v>38970</v>
      </c>
      <c r="AG1477" s="12" t="s">
        <v>34</v>
      </c>
      <c r="AH1477" s="8" t="s">
        <v>35</v>
      </c>
    </row>
    <row r="1478" spans="1:34">
      <c r="A1478" s="8" t="s">
        <v>2061</v>
      </c>
      <c r="B1478" s="16" t="s">
        <v>2859</v>
      </c>
      <c r="C1478" s="8" t="s">
        <v>248</v>
      </c>
      <c r="D1478" s="8" t="s">
        <v>2052</v>
      </c>
      <c r="E1478" s="8" t="str">
        <f t="shared" si="151"/>
        <v>NATURAL</v>
      </c>
      <c r="G1478" s="8" t="s">
        <v>2861</v>
      </c>
      <c r="H1478" s="8" t="str">
        <f>VLOOKUP(A1478,[1]BBDD!$B$1:$J$3274,9,FALSE)</f>
        <v>U</v>
      </c>
      <c r="I1478" s="8" t="s">
        <v>2861</v>
      </c>
      <c r="J1478" s="8" t="s">
        <v>2053</v>
      </c>
      <c r="L1478" s="8" t="s">
        <v>1211</v>
      </c>
      <c r="N1478" s="8" t="s">
        <v>1983</v>
      </c>
      <c r="Q1478" s="8" t="s">
        <v>45</v>
      </c>
      <c r="R1478" s="8">
        <v>0</v>
      </c>
      <c r="S1478" s="8">
        <v>3</v>
      </c>
      <c r="T1478" s="8">
        <f t="shared" si="149"/>
        <v>3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1</v>
      </c>
      <c r="AA1478" s="8">
        <v>180</v>
      </c>
      <c r="AB1478" s="9">
        <f t="shared" si="150"/>
        <v>0.16666666666666669</v>
      </c>
      <c r="AC1478" s="10">
        <f t="shared" si="152"/>
        <v>17.999999999999996</v>
      </c>
      <c r="AD1478" s="8" t="s">
        <v>109</v>
      </c>
      <c r="AE1478" s="11">
        <v>12990</v>
      </c>
      <c r="AF1478" s="11">
        <f t="shared" si="153"/>
        <v>38970</v>
      </c>
      <c r="AG1478" s="12" t="s">
        <v>64</v>
      </c>
      <c r="AH1478" s="8" t="s">
        <v>35</v>
      </c>
    </row>
    <row r="1479" spans="1:34">
      <c r="A1479" s="8" t="s">
        <v>2062</v>
      </c>
      <c r="B1479" s="16" t="s">
        <v>2859</v>
      </c>
      <c r="C1479" s="8" t="s">
        <v>248</v>
      </c>
      <c r="D1479" s="8" t="s">
        <v>2052</v>
      </c>
      <c r="E1479" s="8" t="str">
        <f t="shared" si="151"/>
        <v>NEGRO</v>
      </c>
      <c r="G1479" s="8" t="s">
        <v>2861</v>
      </c>
      <c r="H1479" s="8" t="str">
        <f>VLOOKUP(A1479,[1]BBDD!$B$1:$J$3274,9,FALSE)</f>
        <v>U</v>
      </c>
      <c r="I1479" s="8" t="s">
        <v>2861</v>
      </c>
      <c r="J1479" s="8" t="s">
        <v>2053</v>
      </c>
      <c r="L1479" s="8" t="s">
        <v>1211</v>
      </c>
      <c r="N1479" s="8" t="s">
        <v>44</v>
      </c>
      <c r="Q1479" s="8" t="s">
        <v>45</v>
      </c>
      <c r="R1479" s="8">
        <v>0</v>
      </c>
      <c r="S1479" s="8">
        <v>5</v>
      </c>
      <c r="T1479" s="8">
        <f t="shared" si="149"/>
        <v>5</v>
      </c>
      <c r="U1479" s="8">
        <v>0</v>
      </c>
      <c r="V1479" s="8">
        <v>0</v>
      </c>
      <c r="W1479" s="8">
        <v>0</v>
      </c>
      <c r="X1479" s="8">
        <v>0</v>
      </c>
      <c r="Y1479" s="8">
        <v>1</v>
      </c>
      <c r="Z1479" s="8">
        <v>0</v>
      </c>
      <c r="AA1479" s="8">
        <v>180</v>
      </c>
      <c r="AB1479" s="9">
        <f t="shared" si="150"/>
        <v>0.16666666666666669</v>
      </c>
      <c r="AC1479" s="10">
        <f t="shared" si="152"/>
        <v>29.999999999999996</v>
      </c>
      <c r="AD1479" s="8" t="s">
        <v>109</v>
      </c>
      <c r="AE1479" s="11">
        <v>12990</v>
      </c>
      <c r="AF1479" s="11">
        <f t="shared" si="153"/>
        <v>64950</v>
      </c>
      <c r="AG1479" s="12" t="s">
        <v>73</v>
      </c>
      <c r="AH1479" s="8" t="s">
        <v>35</v>
      </c>
    </row>
    <row r="1480" spans="1:34">
      <c r="A1480" s="8" t="s">
        <v>2063</v>
      </c>
      <c r="B1480" s="16" t="s">
        <v>2859</v>
      </c>
      <c r="C1480" s="8" t="s">
        <v>248</v>
      </c>
      <c r="D1480" s="8" t="s">
        <v>2052</v>
      </c>
      <c r="E1480" s="8" t="str">
        <f t="shared" si="151"/>
        <v>SUELA</v>
      </c>
      <c r="G1480" s="8" t="s">
        <v>2861</v>
      </c>
      <c r="H1480" s="8" t="str">
        <f>VLOOKUP(A1480,[1]BBDD!$B$1:$J$3274,9,FALSE)</f>
        <v>U</v>
      </c>
      <c r="I1480" s="8" t="s">
        <v>2861</v>
      </c>
      <c r="J1480" s="8" t="s">
        <v>2053</v>
      </c>
      <c r="L1480" s="8" t="s">
        <v>1211</v>
      </c>
      <c r="N1480" s="8" t="s">
        <v>90</v>
      </c>
      <c r="Q1480" s="8" t="s">
        <v>45</v>
      </c>
      <c r="R1480" s="8">
        <v>0</v>
      </c>
      <c r="S1480" s="8">
        <v>3</v>
      </c>
      <c r="T1480" s="8">
        <f t="shared" si="149"/>
        <v>3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1</v>
      </c>
      <c r="AA1480" s="8">
        <v>180</v>
      </c>
      <c r="AB1480" s="9">
        <f t="shared" si="150"/>
        <v>0.16666666666666669</v>
      </c>
      <c r="AC1480" s="10">
        <f t="shared" si="152"/>
        <v>17.999999999999996</v>
      </c>
      <c r="AD1480" s="8" t="s">
        <v>109</v>
      </c>
      <c r="AE1480" s="11">
        <v>12990</v>
      </c>
      <c r="AF1480" s="11">
        <f t="shared" si="153"/>
        <v>38970</v>
      </c>
      <c r="AG1480" s="12" t="s">
        <v>64</v>
      </c>
      <c r="AH1480" s="8" t="s">
        <v>35</v>
      </c>
    </row>
    <row r="1481" spans="1:34">
      <c r="A1481" s="8" t="s">
        <v>2064</v>
      </c>
      <c r="B1481" s="16" t="s">
        <v>2860</v>
      </c>
      <c r="C1481" s="8" t="s">
        <v>40</v>
      </c>
      <c r="D1481" s="8" t="s">
        <v>2065</v>
      </c>
      <c r="E1481" s="8" t="str">
        <f t="shared" si="151"/>
        <v>CEDRO</v>
      </c>
      <c r="G1481" s="8" t="s">
        <v>2861</v>
      </c>
      <c r="H1481" s="8" t="str">
        <f>VLOOKUP(A1481,[1]BBDD!$B$1:$J$3274,9,FALSE)</f>
        <v>U</v>
      </c>
      <c r="I1481" s="8" t="s">
        <v>2861</v>
      </c>
      <c r="J1481" s="8" t="s">
        <v>2066</v>
      </c>
      <c r="L1481" s="8" t="s">
        <v>112</v>
      </c>
      <c r="N1481" s="8" t="s">
        <v>113</v>
      </c>
      <c r="Q1481" s="8" t="s">
        <v>32</v>
      </c>
      <c r="R1481" s="8">
        <v>9</v>
      </c>
      <c r="S1481" s="8">
        <v>7</v>
      </c>
      <c r="T1481" s="8">
        <f t="shared" si="149"/>
        <v>16</v>
      </c>
      <c r="U1481" s="8">
        <v>0</v>
      </c>
      <c r="V1481" s="8">
        <v>0</v>
      </c>
      <c r="W1481" s="8">
        <v>2</v>
      </c>
      <c r="X1481" s="8">
        <v>0</v>
      </c>
      <c r="Y1481" s="8">
        <v>1</v>
      </c>
      <c r="Z1481" s="8">
        <v>0</v>
      </c>
      <c r="AA1481" s="8">
        <v>180</v>
      </c>
      <c r="AB1481" s="9">
        <f t="shared" si="150"/>
        <v>0.5</v>
      </c>
      <c r="AC1481" s="10">
        <f t="shared" si="152"/>
        <v>32</v>
      </c>
      <c r="AD1481" s="8" t="s">
        <v>33</v>
      </c>
      <c r="AE1481" s="11">
        <v>83990</v>
      </c>
      <c r="AF1481" s="11">
        <f t="shared" si="153"/>
        <v>1343840</v>
      </c>
      <c r="AG1481" s="12" t="s">
        <v>73</v>
      </c>
      <c r="AH1481" s="8" t="s">
        <v>65</v>
      </c>
    </row>
    <row r="1482" spans="1:34">
      <c r="A1482" s="8" t="s">
        <v>2067</v>
      </c>
      <c r="B1482" s="16" t="s">
        <v>2860</v>
      </c>
      <c r="C1482" s="8" t="s">
        <v>40</v>
      </c>
      <c r="D1482" s="8" t="s">
        <v>2065</v>
      </c>
      <c r="E1482" s="8" t="str">
        <f t="shared" si="151"/>
        <v>NEGRO</v>
      </c>
      <c r="G1482" s="8" t="s">
        <v>2861</v>
      </c>
      <c r="H1482" s="8" t="str">
        <f>VLOOKUP(A1482,[1]BBDD!$B$1:$J$3274,9,FALSE)</f>
        <v>U</v>
      </c>
      <c r="I1482" s="8" t="s">
        <v>2861</v>
      </c>
      <c r="J1482" s="8" t="s">
        <v>2066</v>
      </c>
      <c r="L1482" s="8" t="s">
        <v>112</v>
      </c>
      <c r="N1482" s="8" t="s">
        <v>44</v>
      </c>
      <c r="Q1482" s="8" t="s">
        <v>45</v>
      </c>
      <c r="R1482" s="8">
        <v>11</v>
      </c>
      <c r="S1482" s="8">
        <v>9</v>
      </c>
      <c r="T1482" s="8">
        <f t="shared" si="149"/>
        <v>20</v>
      </c>
      <c r="U1482" s="8">
        <v>0</v>
      </c>
      <c r="V1482" s="8">
        <v>0</v>
      </c>
      <c r="W1482" s="8">
        <v>0</v>
      </c>
      <c r="X1482" s="8">
        <v>0</v>
      </c>
      <c r="Y1482" s="8">
        <v>1</v>
      </c>
      <c r="Z1482" s="8">
        <v>1</v>
      </c>
      <c r="AA1482" s="8">
        <v>180</v>
      </c>
      <c r="AB1482" s="9">
        <f t="shared" si="150"/>
        <v>0.33333333333333337</v>
      </c>
      <c r="AC1482" s="10">
        <f t="shared" si="152"/>
        <v>59.999999999999993</v>
      </c>
      <c r="AD1482" s="8" t="s">
        <v>109</v>
      </c>
      <c r="AE1482" s="11">
        <v>83990</v>
      </c>
      <c r="AF1482" s="11">
        <f t="shared" si="153"/>
        <v>1679800</v>
      </c>
      <c r="AG1482" s="12" t="s">
        <v>73</v>
      </c>
      <c r="AH1482" s="8" t="s">
        <v>65</v>
      </c>
    </row>
    <row r="1483" spans="1:34">
      <c r="A1483" s="8" t="s">
        <v>2068</v>
      </c>
      <c r="B1483" s="16" t="s">
        <v>2860</v>
      </c>
      <c r="C1483" s="8" t="s">
        <v>40</v>
      </c>
      <c r="D1483" s="8" t="s">
        <v>2065</v>
      </c>
      <c r="E1483" s="8" t="str">
        <f t="shared" si="151"/>
        <v>NEGRO</v>
      </c>
      <c r="G1483" s="8" t="s">
        <v>2861</v>
      </c>
      <c r="H1483" s="8" t="str">
        <f>VLOOKUP(A1483,[1]BBDD!$B$1:$J$3274,9,FALSE)</f>
        <v>U</v>
      </c>
      <c r="I1483" s="8" t="s">
        <v>2861</v>
      </c>
      <c r="J1483" s="8" t="s">
        <v>2066</v>
      </c>
      <c r="L1483" s="8" t="s">
        <v>119</v>
      </c>
      <c r="N1483" s="8" t="s">
        <v>44</v>
      </c>
      <c r="Q1483" s="8" t="s">
        <v>32</v>
      </c>
      <c r="R1483" s="8">
        <v>1</v>
      </c>
      <c r="S1483" s="8">
        <v>4</v>
      </c>
      <c r="T1483" s="8">
        <f t="shared" si="149"/>
        <v>5</v>
      </c>
      <c r="U1483" s="8">
        <v>0</v>
      </c>
      <c r="V1483" s="8">
        <v>0</v>
      </c>
      <c r="W1483" s="8">
        <v>2</v>
      </c>
      <c r="X1483" s="8">
        <v>0</v>
      </c>
      <c r="Y1483" s="8">
        <v>0</v>
      </c>
      <c r="Z1483" s="8">
        <v>0</v>
      </c>
      <c r="AA1483" s="8">
        <v>180</v>
      </c>
      <c r="AB1483" s="9">
        <f t="shared" si="150"/>
        <v>0.33333333333333337</v>
      </c>
      <c r="AC1483" s="10">
        <f t="shared" si="152"/>
        <v>14.999999999999998</v>
      </c>
      <c r="AD1483" s="8" t="s">
        <v>33</v>
      </c>
      <c r="AE1483" s="11">
        <v>83990</v>
      </c>
      <c r="AF1483" s="11">
        <f t="shared" si="153"/>
        <v>419950</v>
      </c>
      <c r="AG1483" s="12" t="s">
        <v>64</v>
      </c>
      <c r="AH1483" s="8" t="s">
        <v>35</v>
      </c>
    </row>
    <row r="1484" spans="1:34">
      <c r="A1484" s="8" t="s">
        <v>2069</v>
      </c>
      <c r="B1484" s="16" t="s">
        <v>2860</v>
      </c>
      <c r="C1484" s="8" t="s">
        <v>40</v>
      </c>
      <c r="D1484" s="8" t="s">
        <v>2065</v>
      </c>
      <c r="E1484" s="8" t="str">
        <f t="shared" si="151"/>
        <v>TABACO</v>
      </c>
      <c r="G1484" s="8" t="s">
        <v>2861</v>
      </c>
      <c r="H1484" s="8" t="str">
        <f>VLOOKUP(A1484,[1]BBDD!$B$1:$J$3274,9,FALSE)</f>
        <v>U</v>
      </c>
      <c r="I1484" s="8" t="s">
        <v>2861</v>
      </c>
      <c r="J1484" s="8" t="s">
        <v>2066</v>
      </c>
      <c r="L1484" s="8" t="s">
        <v>119</v>
      </c>
      <c r="N1484" s="8" t="s">
        <v>67</v>
      </c>
      <c r="Q1484" s="8" t="s">
        <v>32</v>
      </c>
      <c r="R1484" s="8">
        <v>5</v>
      </c>
      <c r="S1484" s="8">
        <v>5</v>
      </c>
      <c r="T1484" s="8">
        <f t="shared" si="149"/>
        <v>10</v>
      </c>
      <c r="U1484" s="8">
        <v>1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180</v>
      </c>
      <c r="AB1484" s="9">
        <f t="shared" si="150"/>
        <v>0.16666666666666669</v>
      </c>
      <c r="AC1484" s="10">
        <f t="shared" si="152"/>
        <v>59.999999999999993</v>
      </c>
      <c r="AD1484" s="8" t="s">
        <v>33</v>
      </c>
      <c r="AE1484" s="11">
        <v>83990</v>
      </c>
      <c r="AF1484" s="11">
        <f t="shared" si="153"/>
        <v>839900</v>
      </c>
      <c r="AG1484" s="12" t="s">
        <v>73</v>
      </c>
      <c r="AH1484" s="8" t="s">
        <v>35</v>
      </c>
    </row>
    <row r="1485" spans="1:34">
      <c r="A1485" s="8" t="s">
        <v>2070</v>
      </c>
      <c r="B1485" s="16" t="s">
        <v>2860</v>
      </c>
      <c r="C1485" s="8" t="s">
        <v>40</v>
      </c>
      <c r="D1485" s="8" t="s">
        <v>2065</v>
      </c>
      <c r="E1485" s="8" t="str">
        <f t="shared" si="151"/>
        <v>NEGRO</v>
      </c>
      <c r="G1485" s="8" t="s">
        <v>2861</v>
      </c>
      <c r="H1485" s="8" t="str">
        <f>VLOOKUP(A1485,[1]BBDD!$B$1:$J$3274,9,FALSE)</f>
        <v>H</v>
      </c>
      <c r="I1485" s="19" t="s">
        <v>2861</v>
      </c>
      <c r="J1485" s="8" t="s">
        <v>2071</v>
      </c>
      <c r="L1485" s="8" t="s">
        <v>61</v>
      </c>
      <c r="N1485" s="8" t="s">
        <v>44</v>
      </c>
      <c r="Q1485" s="8" t="s">
        <v>45</v>
      </c>
      <c r="R1485" s="8">
        <v>0</v>
      </c>
      <c r="S1485" s="8">
        <v>4</v>
      </c>
      <c r="T1485" s="8">
        <f t="shared" si="149"/>
        <v>4</v>
      </c>
      <c r="U1485" s="8">
        <v>0</v>
      </c>
      <c r="V1485" s="8">
        <v>0</v>
      </c>
      <c r="W1485" s="8">
        <v>0</v>
      </c>
      <c r="X1485" s="8">
        <v>0</v>
      </c>
      <c r="Y1485" s="8">
        <v>1</v>
      </c>
      <c r="Z1485" s="8">
        <v>1</v>
      </c>
      <c r="AA1485" s="8">
        <v>180</v>
      </c>
      <c r="AB1485" s="9">
        <f t="shared" si="150"/>
        <v>0.33333333333333337</v>
      </c>
      <c r="AC1485" s="10">
        <f t="shared" si="152"/>
        <v>11.999999999999998</v>
      </c>
      <c r="AD1485" s="8" t="s">
        <v>109</v>
      </c>
      <c r="AE1485" s="11">
        <v>199990</v>
      </c>
      <c r="AF1485" s="11">
        <f t="shared" si="153"/>
        <v>799960</v>
      </c>
      <c r="AG1485" s="12" t="s">
        <v>51</v>
      </c>
      <c r="AH1485" s="8" t="s">
        <v>35</v>
      </c>
    </row>
    <row r="1486" spans="1:34">
      <c r="A1486" s="8" t="s">
        <v>2072</v>
      </c>
      <c r="B1486" s="16" t="s">
        <v>2860</v>
      </c>
      <c r="C1486" s="8" t="s">
        <v>40</v>
      </c>
      <c r="D1486" s="8" t="s">
        <v>2065</v>
      </c>
      <c r="E1486" s="8" t="str">
        <f t="shared" si="151"/>
        <v>CEDRO</v>
      </c>
      <c r="G1486" s="8" t="s">
        <v>2861</v>
      </c>
      <c r="H1486" s="8" t="str">
        <f>VLOOKUP(A1486,[1]BBDD!$B$1:$J$3274,9,FALSE)</f>
        <v>U</v>
      </c>
      <c r="I1486" s="8" t="s">
        <v>2861</v>
      </c>
      <c r="J1486" s="8" t="s">
        <v>2073</v>
      </c>
      <c r="L1486" s="8" t="s">
        <v>112</v>
      </c>
      <c r="N1486" s="8" t="s">
        <v>113</v>
      </c>
      <c r="Q1486" s="8" t="s">
        <v>32</v>
      </c>
      <c r="R1486" s="8">
        <v>6</v>
      </c>
      <c r="S1486" s="8">
        <v>6</v>
      </c>
      <c r="T1486" s="8">
        <f t="shared" si="149"/>
        <v>12</v>
      </c>
      <c r="U1486" s="8">
        <v>1</v>
      </c>
      <c r="V1486" s="8">
        <v>3</v>
      </c>
      <c r="W1486" s="8">
        <v>1</v>
      </c>
      <c r="X1486" s="8">
        <v>1</v>
      </c>
      <c r="Y1486" s="8">
        <v>3</v>
      </c>
      <c r="Z1486" s="8">
        <v>0</v>
      </c>
      <c r="AA1486" s="8">
        <v>180</v>
      </c>
      <c r="AB1486" s="9">
        <f t="shared" si="150"/>
        <v>1.5</v>
      </c>
      <c r="AC1486" s="10">
        <f t="shared" si="152"/>
        <v>8</v>
      </c>
      <c r="AD1486" s="8" t="s">
        <v>33</v>
      </c>
      <c r="AE1486" s="11">
        <v>66990</v>
      </c>
      <c r="AF1486" s="11">
        <f t="shared" si="153"/>
        <v>803880</v>
      </c>
      <c r="AG1486" s="12" t="s">
        <v>51</v>
      </c>
      <c r="AH1486" s="8" t="s">
        <v>65</v>
      </c>
    </row>
    <row r="1487" spans="1:34">
      <c r="A1487" s="8" t="s">
        <v>2074</v>
      </c>
      <c r="B1487" s="16" t="s">
        <v>2860</v>
      </c>
      <c r="C1487" s="8" t="s">
        <v>40</v>
      </c>
      <c r="D1487" s="8" t="s">
        <v>2065</v>
      </c>
      <c r="E1487" s="8" t="str">
        <f t="shared" si="151"/>
        <v>NEGRO</v>
      </c>
      <c r="G1487" s="8" t="s">
        <v>2861</v>
      </c>
      <c r="H1487" s="8" t="str">
        <f>VLOOKUP(A1487,[1]BBDD!$B$1:$J$3274,9,FALSE)</f>
        <v>U</v>
      </c>
      <c r="I1487" s="8" t="s">
        <v>2861</v>
      </c>
      <c r="J1487" s="8" t="s">
        <v>2073</v>
      </c>
      <c r="L1487" s="8" t="s">
        <v>112</v>
      </c>
      <c r="N1487" s="8" t="s">
        <v>44</v>
      </c>
      <c r="Q1487" s="8" t="s">
        <v>32</v>
      </c>
      <c r="R1487" s="8">
        <v>1</v>
      </c>
      <c r="S1487" s="8">
        <v>6</v>
      </c>
      <c r="T1487" s="8">
        <f t="shared" si="149"/>
        <v>7</v>
      </c>
      <c r="U1487" s="8">
        <v>1</v>
      </c>
      <c r="V1487" s="8">
        <v>2</v>
      </c>
      <c r="W1487" s="8">
        <v>2</v>
      </c>
      <c r="X1487" s="8">
        <v>0</v>
      </c>
      <c r="Y1487" s="8">
        <v>0</v>
      </c>
      <c r="Z1487" s="8">
        <v>2</v>
      </c>
      <c r="AA1487" s="8">
        <v>180</v>
      </c>
      <c r="AB1487" s="9">
        <f t="shared" si="150"/>
        <v>1.1666666666666667</v>
      </c>
      <c r="AC1487" s="10">
        <f t="shared" si="152"/>
        <v>6</v>
      </c>
      <c r="AD1487" s="8" t="s">
        <v>33</v>
      </c>
      <c r="AE1487" s="11">
        <v>66990</v>
      </c>
      <c r="AF1487" s="11">
        <f t="shared" si="153"/>
        <v>468930</v>
      </c>
      <c r="AG1487" s="12" t="s">
        <v>34</v>
      </c>
      <c r="AH1487" s="8" t="s">
        <v>35</v>
      </c>
    </row>
    <row r="1488" spans="1:34">
      <c r="A1488" s="8" t="s">
        <v>2075</v>
      </c>
      <c r="B1488" s="16" t="s">
        <v>2860</v>
      </c>
      <c r="C1488" s="8" t="s">
        <v>40</v>
      </c>
      <c r="D1488" s="8" t="s">
        <v>2065</v>
      </c>
      <c r="E1488" s="8" t="str">
        <f t="shared" si="151"/>
        <v>TABACO</v>
      </c>
      <c r="G1488" s="8" t="s">
        <v>2861</v>
      </c>
      <c r="H1488" s="8" t="str">
        <f>VLOOKUP(A1488,[1]BBDD!$B$1:$J$3274,9,FALSE)</f>
        <v>U</v>
      </c>
      <c r="I1488" s="8" t="s">
        <v>2861</v>
      </c>
      <c r="J1488" s="8" t="s">
        <v>2073</v>
      </c>
      <c r="L1488" s="8" t="s">
        <v>119</v>
      </c>
      <c r="N1488" s="8" t="s">
        <v>67</v>
      </c>
      <c r="Q1488" s="8" t="s">
        <v>32</v>
      </c>
      <c r="R1488" s="8">
        <v>0</v>
      </c>
      <c r="S1488" s="8">
        <v>4</v>
      </c>
      <c r="T1488" s="8">
        <f t="shared" si="149"/>
        <v>4</v>
      </c>
      <c r="U1488" s="8">
        <v>0</v>
      </c>
      <c r="V1488" s="8">
        <v>0</v>
      </c>
      <c r="W1488" s="8">
        <v>2</v>
      </c>
      <c r="X1488" s="8">
        <v>0</v>
      </c>
      <c r="Y1488" s="8">
        <v>1</v>
      </c>
      <c r="Z1488" s="8">
        <v>1</v>
      </c>
      <c r="AA1488" s="8">
        <v>180</v>
      </c>
      <c r="AB1488" s="9">
        <f t="shared" si="150"/>
        <v>0.66666666666666674</v>
      </c>
      <c r="AC1488" s="10">
        <f t="shared" si="152"/>
        <v>5.9999999999999991</v>
      </c>
      <c r="AD1488" s="8" t="s">
        <v>33</v>
      </c>
      <c r="AE1488" s="11">
        <v>66990</v>
      </c>
      <c r="AF1488" s="11">
        <f t="shared" si="153"/>
        <v>267960</v>
      </c>
      <c r="AG1488" s="12" t="s">
        <v>34</v>
      </c>
      <c r="AH1488" s="8" t="s">
        <v>35</v>
      </c>
    </row>
    <row r="1489" spans="1:34">
      <c r="A1489" s="8" t="s">
        <v>2076</v>
      </c>
      <c r="B1489" s="16" t="s">
        <v>2860</v>
      </c>
      <c r="C1489" s="8" t="s">
        <v>40</v>
      </c>
      <c r="D1489" s="8" t="s">
        <v>2065</v>
      </c>
      <c r="E1489" s="8" t="str">
        <f t="shared" si="151"/>
        <v>NEGRO</v>
      </c>
      <c r="G1489" s="8" t="s">
        <v>2861</v>
      </c>
      <c r="H1489" s="8" t="str">
        <f>VLOOKUP(A1489,[1]BBDD!$B$1:$J$3274,9,FALSE)</f>
        <v>U</v>
      </c>
      <c r="I1489" s="8" t="s">
        <v>2861</v>
      </c>
      <c r="J1489" s="8" t="s">
        <v>2073</v>
      </c>
      <c r="L1489" s="8" t="s">
        <v>119</v>
      </c>
      <c r="N1489" s="8" t="s">
        <v>44</v>
      </c>
      <c r="Q1489" s="8" t="s">
        <v>45</v>
      </c>
      <c r="R1489" s="8">
        <v>0</v>
      </c>
      <c r="S1489" s="8">
        <v>3</v>
      </c>
      <c r="T1489" s="8">
        <f t="shared" si="149"/>
        <v>3</v>
      </c>
      <c r="U1489" s="8">
        <v>1</v>
      </c>
      <c r="V1489" s="8">
        <v>0</v>
      </c>
      <c r="W1489" s="8">
        <v>2</v>
      </c>
      <c r="X1489" s="8">
        <v>1</v>
      </c>
      <c r="Y1489" s="8">
        <v>1</v>
      </c>
      <c r="Z1489" s="8">
        <v>0</v>
      </c>
      <c r="AA1489" s="8">
        <v>180</v>
      </c>
      <c r="AB1489" s="9">
        <f t="shared" si="150"/>
        <v>0.83333333333333326</v>
      </c>
      <c r="AC1489" s="10">
        <f t="shared" si="152"/>
        <v>3.6000000000000005</v>
      </c>
      <c r="AD1489" s="8" t="s">
        <v>109</v>
      </c>
      <c r="AE1489" s="11">
        <v>66990</v>
      </c>
      <c r="AF1489" s="11">
        <f t="shared" si="153"/>
        <v>200970</v>
      </c>
      <c r="AG1489" s="12" t="s">
        <v>34</v>
      </c>
      <c r="AH1489" s="8" t="s">
        <v>35</v>
      </c>
    </row>
    <row r="1490" spans="1:34">
      <c r="A1490" s="8" t="s">
        <v>2077</v>
      </c>
      <c r="B1490" s="16" t="s">
        <v>2860</v>
      </c>
      <c r="C1490" s="8" t="s">
        <v>40</v>
      </c>
      <c r="D1490" s="8" t="s">
        <v>2065</v>
      </c>
      <c r="E1490" s="8" t="str">
        <f t="shared" si="151"/>
        <v>CARAMELO</v>
      </c>
      <c r="G1490" s="8" t="s">
        <v>2861</v>
      </c>
      <c r="H1490" s="8" t="str">
        <f>VLOOKUP(A1490,[1]BBDD!$B$1:$J$3274,9,FALSE)</f>
        <v>U</v>
      </c>
      <c r="I1490" s="8" t="s">
        <v>2861</v>
      </c>
      <c r="J1490" s="8" t="s">
        <v>2078</v>
      </c>
      <c r="L1490" s="8" t="s">
        <v>61</v>
      </c>
      <c r="N1490" s="8" t="s">
        <v>62</v>
      </c>
      <c r="Q1490" s="8" t="s">
        <v>32</v>
      </c>
      <c r="R1490" s="8">
        <v>8</v>
      </c>
      <c r="S1490" s="8">
        <v>8</v>
      </c>
      <c r="T1490" s="8">
        <f t="shared" si="149"/>
        <v>16</v>
      </c>
      <c r="U1490" s="8">
        <v>2</v>
      </c>
      <c r="V1490" s="8">
        <v>1</v>
      </c>
      <c r="W1490" s="8">
        <v>1</v>
      </c>
      <c r="X1490" s="8">
        <v>1</v>
      </c>
      <c r="Y1490" s="8">
        <v>1</v>
      </c>
      <c r="Z1490" s="8">
        <v>0</v>
      </c>
      <c r="AA1490" s="8">
        <v>180</v>
      </c>
      <c r="AB1490" s="9">
        <f t="shared" si="150"/>
        <v>1</v>
      </c>
      <c r="AC1490" s="10">
        <f t="shared" si="152"/>
        <v>16</v>
      </c>
      <c r="AD1490" s="8" t="s">
        <v>33</v>
      </c>
      <c r="AE1490" s="11">
        <v>112990</v>
      </c>
      <c r="AF1490" s="11">
        <f t="shared" si="153"/>
        <v>1807840</v>
      </c>
      <c r="AG1490" s="12" t="s">
        <v>64</v>
      </c>
      <c r="AH1490" s="8" t="s">
        <v>65</v>
      </c>
    </row>
    <row r="1491" spans="1:34">
      <c r="A1491" s="8" t="s">
        <v>2079</v>
      </c>
      <c r="B1491" s="16" t="s">
        <v>2860</v>
      </c>
      <c r="C1491" s="8" t="s">
        <v>40</v>
      </c>
      <c r="D1491" s="8" t="s">
        <v>2065</v>
      </c>
      <c r="E1491" s="8" t="str">
        <f t="shared" si="151"/>
        <v>CHOCOLATE</v>
      </c>
      <c r="G1491" s="8" t="s">
        <v>2861</v>
      </c>
      <c r="H1491" s="8" t="str">
        <f>VLOOKUP(A1491,[1]BBDD!$B$1:$J$3274,9,FALSE)</f>
        <v>U</v>
      </c>
      <c r="I1491" s="8" t="s">
        <v>2861</v>
      </c>
      <c r="J1491" s="8" t="s">
        <v>2078</v>
      </c>
      <c r="L1491" s="8" t="s">
        <v>61</v>
      </c>
      <c r="N1491" s="8" t="s">
        <v>252</v>
      </c>
      <c r="Q1491" s="8" t="s">
        <v>32</v>
      </c>
      <c r="R1491" s="8">
        <v>6</v>
      </c>
      <c r="S1491" s="8">
        <v>7</v>
      </c>
      <c r="T1491" s="8">
        <f t="shared" si="149"/>
        <v>13</v>
      </c>
      <c r="U1491" s="8">
        <v>1</v>
      </c>
      <c r="V1491" s="8">
        <v>1</v>
      </c>
      <c r="W1491" s="8">
        <v>0</v>
      </c>
      <c r="X1491" s="8">
        <v>1</v>
      </c>
      <c r="Y1491" s="8">
        <v>0</v>
      </c>
      <c r="Z1491" s="8">
        <v>0</v>
      </c>
      <c r="AA1491" s="8">
        <v>180</v>
      </c>
      <c r="AB1491" s="9">
        <f t="shared" si="150"/>
        <v>0.5</v>
      </c>
      <c r="AC1491" s="10">
        <f t="shared" si="152"/>
        <v>26</v>
      </c>
      <c r="AD1491" s="8" t="s">
        <v>33</v>
      </c>
      <c r="AE1491" s="11">
        <v>112990</v>
      </c>
      <c r="AF1491" s="11">
        <f t="shared" si="153"/>
        <v>1468870</v>
      </c>
      <c r="AG1491" s="12" t="s">
        <v>73</v>
      </c>
      <c r="AH1491" s="8" t="s">
        <v>65</v>
      </c>
    </row>
    <row r="1492" spans="1:34">
      <c r="A1492" s="8" t="s">
        <v>2080</v>
      </c>
      <c r="B1492" s="16" t="s">
        <v>2860</v>
      </c>
      <c r="C1492" s="8" t="s">
        <v>40</v>
      </c>
      <c r="D1492" s="8" t="s">
        <v>2065</v>
      </c>
      <c r="E1492" s="8" t="str">
        <f t="shared" si="151"/>
        <v>NEGRO</v>
      </c>
      <c r="G1492" s="8" t="s">
        <v>2861</v>
      </c>
      <c r="H1492" s="8" t="str">
        <f>VLOOKUP(A1492,[1]BBDD!$B$1:$J$3274,9,FALSE)</f>
        <v>U</v>
      </c>
      <c r="I1492" s="8" t="s">
        <v>2861</v>
      </c>
      <c r="J1492" s="8" t="s">
        <v>2078</v>
      </c>
      <c r="L1492" s="8" t="s">
        <v>61</v>
      </c>
      <c r="N1492" s="8" t="s">
        <v>44</v>
      </c>
      <c r="Q1492" s="8" t="s">
        <v>32</v>
      </c>
      <c r="R1492" s="8">
        <v>26</v>
      </c>
      <c r="S1492" s="8">
        <v>9</v>
      </c>
      <c r="T1492" s="8">
        <f t="shared" si="149"/>
        <v>35</v>
      </c>
      <c r="U1492" s="8">
        <v>0</v>
      </c>
      <c r="V1492" s="8">
        <v>0</v>
      </c>
      <c r="W1492" s="8">
        <v>1</v>
      </c>
      <c r="X1492" s="8">
        <v>0</v>
      </c>
      <c r="Y1492" s="8">
        <v>0</v>
      </c>
      <c r="Z1492" s="8">
        <v>1</v>
      </c>
      <c r="AA1492" s="8">
        <v>180</v>
      </c>
      <c r="AB1492" s="9">
        <f t="shared" si="150"/>
        <v>0.33333333333333337</v>
      </c>
      <c r="AC1492" s="10">
        <f t="shared" si="152"/>
        <v>104.99999999999999</v>
      </c>
      <c r="AD1492" s="8" t="s">
        <v>33</v>
      </c>
      <c r="AE1492" s="11">
        <v>112990</v>
      </c>
      <c r="AF1492" s="11">
        <f t="shared" si="153"/>
        <v>3954650</v>
      </c>
      <c r="AG1492" s="12" t="s">
        <v>73</v>
      </c>
      <c r="AH1492" s="8" t="s">
        <v>74</v>
      </c>
    </row>
    <row r="1493" spans="1:34">
      <c r="A1493" s="8" t="s">
        <v>2081</v>
      </c>
      <c r="B1493" s="16" t="s">
        <v>2860</v>
      </c>
      <c r="C1493" s="8" t="s">
        <v>40</v>
      </c>
      <c r="D1493" s="8" t="s">
        <v>2065</v>
      </c>
      <c r="E1493" s="8" t="str">
        <f t="shared" si="151"/>
        <v>TABACO</v>
      </c>
      <c r="G1493" s="8" t="s">
        <v>2861</v>
      </c>
      <c r="H1493" s="8" t="str">
        <f>VLOOKUP(A1493,[1]BBDD!$B$1:$J$3274,9,FALSE)</f>
        <v>U</v>
      </c>
      <c r="I1493" s="8" t="s">
        <v>2861</v>
      </c>
      <c r="J1493" s="8" t="s">
        <v>2078</v>
      </c>
      <c r="L1493" s="8" t="s">
        <v>61</v>
      </c>
      <c r="N1493" s="8" t="s">
        <v>67</v>
      </c>
      <c r="Q1493" s="8" t="s">
        <v>32</v>
      </c>
      <c r="R1493" s="8">
        <v>16</v>
      </c>
      <c r="S1493" s="8">
        <v>9</v>
      </c>
      <c r="T1493" s="8">
        <f t="shared" si="149"/>
        <v>25</v>
      </c>
      <c r="U1493" s="8">
        <v>1</v>
      </c>
      <c r="V1493" s="8">
        <v>0</v>
      </c>
      <c r="W1493" s="8">
        <v>0</v>
      </c>
      <c r="X1493" s="8">
        <v>0</v>
      </c>
      <c r="Y1493" s="8">
        <v>0</v>
      </c>
      <c r="Z1493" s="8">
        <v>0</v>
      </c>
      <c r="AA1493" s="8">
        <v>180</v>
      </c>
      <c r="AB1493" s="9">
        <f t="shared" si="150"/>
        <v>0.16666666666666669</v>
      </c>
      <c r="AC1493" s="10">
        <f t="shared" si="152"/>
        <v>149.99999999999997</v>
      </c>
      <c r="AD1493" s="8" t="s">
        <v>33</v>
      </c>
      <c r="AE1493" s="11">
        <v>112990</v>
      </c>
      <c r="AF1493" s="11">
        <f t="shared" si="153"/>
        <v>2824750</v>
      </c>
      <c r="AG1493" s="12" t="s">
        <v>73</v>
      </c>
      <c r="AH1493" s="8" t="s">
        <v>74</v>
      </c>
    </row>
    <row r="1494" spans="1:34">
      <c r="A1494" s="8" t="s">
        <v>2082</v>
      </c>
      <c r="B1494" s="16" t="s">
        <v>2860</v>
      </c>
      <c r="C1494" s="8" t="s">
        <v>40</v>
      </c>
      <c r="D1494" s="8" t="s">
        <v>2065</v>
      </c>
      <c r="E1494" s="8" t="str">
        <f t="shared" si="151"/>
        <v>ROJO</v>
      </c>
      <c r="G1494" s="8" t="s">
        <v>2861</v>
      </c>
      <c r="H1494" s="8" t="str">
        <f>VLOOKUP(A1494,[1]BBDD!$B$1:$J$3274,9,FALSE)</f>
        <v>U</v>
      </c>
      <c r="I1494" s="8" t="s">
        <v>2861</v>
      </c>
      <c r="J1494" s="8" t="s">
        <v>2078</v>
      </c>
      <c r="L1494" s="8" t="s">
        <v>61</v>
      </c>
      <c r="N1494" s="8" t="s">
        <v>88</v>
      </c>
      <c r="Q1494" s="8" t="s">
        <v>45</v>
      </c>
      <c r="R1494" s="8">
        <v>11</v>
      </c>
      <c r="S1494" s="8">
        <v>9</v>
      </c>
      <c r="T1494" s="8">
        <f t="shared" si="149"/>
        <v>20</v>
      </c>
      <c r="U1494" s="8">
        <v>0</v>
      </c>
      <c r="V1494" s="8">
        <v>0</v>
      </c>
      <c r="W1494" s="8">
        <v>0</v>
      </c>
      <c r="X1494" s="8">
        <v>0</v>
      </c>
      <c r="Y1494" s="8">
        <v>0</v>
      </c>
      <c r="Z1494" s="8">
        <v>3</v>
      </c>
      <c r="AA1494" s="8">
        <v>180</v>
      </c>
      <c r="AB1494" s="9">
        <f t="shared" si="150"/>
        <v>0.5</v>
      </c>
      <c r="AC1494" s="10">
        <f t="shared" si="152"/>
        <v>40</v>
      </c>
      <c r="AD1494" s="8" t="s">
        <v>109</v>
      </c>
      <c r="AE1494" s="11">
        <v>112990</v>
      </c>
      <c r="AF1494" s="11">
        <f t="shared" si="153"/>
        <v>2259800</v>
      </c>
      <c r="AG1494" s="12" t="s">
        <v>73</v>
      </c>
      <c r="AH1494" s="8" t="s">
        <v>65</v>
      </c>
    </row>
    <row r="1495" spans="1:34">
      <c r="A1495" s="8" t="s">
        <v>2083</v>
      </c>
      <c r="B1495" s="16" t="s">
        <v>2860</v>
      </c>
      <c r="C1495" s="8" t="s">
        <v>40</v>
      </c>
      <c r="D1495" s="8" t="s">
        <v>2065</v>
      </c>
      <c r="E1495" s="8" t="str">
        <f t="shared" si="151"/>
        <v>VERDE</v>
      </c>
      <c r="G1495" s="8" t="s">
        <v>2861</v>
      </c>
      <c r="H1495" s="8" t="str">
        <f>VLOOKUP(A1495,[1]BBDD!$B$1:$J$3274,9,FALSE)</f>
        <v>U</v>
      </c>
      <c r="I1495" s="8" t="s">
        <v>2861</v>
      </c>
      <c r="J1495" s="8" t="s">
        <v>2078</v>
      </c>
      <c r="L1495" s="8" t="s">
        <v>61</v>
      </c>
      <c r="N1495" s="8" t="s">
        <v>92</v>
      </c>
      <c r="Q1495" s="8" t="s">
        <v>45</v>
      </c>
      <c r="R1495" s="8">
        <v>0</v>
      </c>
      <c r="S1495" s="8">
        <v>5</v>
      </c>
      <c r="T1495" s="8">
        <f t="shared" si="149"/>
        <v>5</v>
      </c>
      <c r="U1495" s="8">
        <v>1</v>
      </c>
      <c r="V1495" s="8">
        <v>1</v>
      </c>
      <c r="W1495" s="8">
        <v>0</v>
      </c>
      <c r="X1495" s="8">
        <v>0</v>
      </c>
      <c r="Y1495" s="8">
        <v>0</v>
      </c>
      <c r="Z1495" s="8">
        <v>0</v>
      </c>
      <c r="AA1495" s="8">
        <v>180</v>
      </c>
      <c r="AB1495" s="9">
        <f t="shared" si="150"/>
        <v>0.33333333333333337</v>
      </c>
      <c r="AC1495" s="10">
        <f t="shared" si="152"/>
        <v>14.999999999999998</v>
      </c>
      <c r="AD1495" s="8" t="s">
        <v>109</v>
      </c>
      <c r="AE1495" s="11">
        <v>112990</v>
      </c>
      <c r="AF1495" s="11">
        <f t="shared" si="153"/>
        <v>564950</v>
      </c>
      <c r="AG1495" s="12" t="s">
        <v>64</v>
      </c>
      <c r="AH1495" s="8" t="s">
        <v>35</v>
      </c>
    </row>
    <row r="1496" spans="1:34">
      <c r="A1496" s="8" t="s">
        <v>2084</v>
      </c>
      <c r="B1496" s="16" t="s">
        <v>2860</v>
      </c>
      <c r="C1496" s="8" t="s">
        <v>40</v>
      </c>
      <c r="D1496" s="8" t="s">
        <v>2065</v>
      </c>
      <c r="E1496" s="8" t="str">
        <f t="shared" si="151"/>
        <v>CEDRO</v>
      </c>
      <c r="G1496" s="8" t="s">
        <v>2861</v>
      </c>
      <c r="H1496" s="8" t="str">
        <f>VLOOKUP(A1496,[1]BBDD!$B$1:$J$3274,9,FALSE)</f>
        <v>U</v>
      </c>
      <c r="I1496" s="8" t="s">
        <v>2861</v>
      </c>
      <c r="J1496" s="8" t="s">
        <v>2078</v>
      </c>
      <c r="L1496" s="8" t="s">
        <v>112</v>
      </c>
      <c r="N1496" s="8" t="s">
        <v>113</v>
      </c>
      <c r="Q1496" s="8" t="s">
        <v>32</v>
      </c>
      <c r="R1496" s="8">
        <v>2</v>
      </c>
      <c r="S1496" s="8">
        <v>5</v>
      </c>
      <c r="T1496" s="8">
        <f t="shared" si="149"/>
        <v>7</v>
      </c>
      <c r="U1496" s="8">
        <v>0</v>
      </c>
      <c r="V1496" s="8">
        <v>1</v>
      </c>
      <c r="W1496" s="8">
        <v>0</v>
      </c>
      <c r="X1496" s="8">
        <v>1</v>
      </c>
      <c r="Y1496" s="8">
        <v>1</v>
      </c>
      <c r="Z1496" s="8">
        <v>0</v>
      </c>
      <c r="AA1496" s="8">
        <v>180</v>
      </c>
      <c r="AB1496" s="9">
        <f t="shared" si="150"/>
        <v>0.5</v>
      </c>
      <c r="AC1496" s="10">
        <f t="shared" si="152"/>
        <v>14</v>
      </c>
      <c r="AD1496" s="8" t="s">
        <v>33</v>
      </c>
      <c r="AE1496" s="11">
        <v>112990</v>
      </c>
      <c r="AF1496" s="11">
        <f t="shared" si="153"/>
        <v>790930</v>
      </c>
      <c r="AG1496" s="12" t="s">
        <v>64</v>
      </c>
      <c r="AH1496" s="8" t="s">
        <v>35</v>
      </c>
    </row>
    <row r="1497" spans="1:34">
      <c r="A1497" s="8" t="s">
        <v>2085</v>
      </c>
      <c r="B1497" s="16" t="s">
        <v>2860</v>
      </c>
      <c r="C1497" s="8" t="s">
        <v>40</v>
      </c>
      <c r="D1497" s="8" t="s">
        <v>2065</v>
      </c>
      <c r="E1497" s="8" t="str">
        <f t="shared" si="151"/>
        <v>NEGRO</v>
      </c>
      <c r="G1497" s="8" t="s">
        <v>2861</v>
      </c>
      <c r="H1497" s="8" t="str">
        <f>VLOOKUP(A1497,[1]BBDD!$B$1:$J$3274,9,FALSE)</f>
        <v>U</v>
      </c>
      <c r="I1497" s="8" t="s">
        <v>2861</v>
      </c>
      <c r="J1497" s="8" t="s">
        <v>2086</v>
      </c>
      <c r="L1497" s="8" t="s">
        <v>61</v>
      </c>
      <c r="N1497" s="8" t="s">
        <v>44</v>
      </c>
      <c r="Q1497" s="8" t="s">
        <v>32</v>
      </c>
      <c r="R1497" s="8">
        <v>0</v>
      </c>
      <c r="S1497" s="8">
        <v>5</v>
      </c>
      <c r="T1497" s="8">
        <f t="shared" si="149"/>
        <v>5</v>
      </c>
      <c r="U1497" s="8">
        <v>2</v>
      </c>
      <c r="V1497" s="8">
        <v>0</v>
      </c>
      <c r="W1497" s="8">
        <v>3</v>
      </c>
      <c r="X1497" s="8">
        <v>1</v>
      </c>
      <c r="Y1497" s="8">
        <v>0</v>
      </c>
      <c r="Z1497" s="8">
        <v>0</v>
      </c>
      <c r="AA1497" s="8">
        <v>180</v>
      </c>
      <c r="AB1497" s="9">
        <f t="shared" si="150"/>
        <v>1</v>
      </c>
      <c r="AC1497" s="10">
        <f t="shared" si="152"/>
        <v>5</v>
      </c>
      <c r="AD1497" s="8" t="s">
        <v>33</v>
      </c>
      <c r="AE1497" s="11">
        <v>112990</v>
      </c>
      <c r="AF1497" s="11">
        <f t="shared" si="153"/>
        <v>564950</v>
      </c>
      <c r="AG1497" s="12" t="s">
        <v>34</v>
      </c>
      <c r="AH1497" s="8" t="s">
        <v>35</v>
      </c>
    </row>
    <row r="1498" spans="1:34">
      <c r="A1498" s="8" t="s">
        <v>2087</v>
      </c>
      <c r="B1498" s="16" t="s">
        <v>2860</v>
      </c>
      <c r="C1498" s="8" t="s">
        <v>40</v>
      </c>
      <c r="D1498" s="8" t="s">
        <v>2065</v>
      </c>
      <c r="E1498" s="8" t="str">
        <f t="shared" si="151"/>
        <v>CARAMELO</v>
      </c>
      <c r="G1498" s="8" t="s">
        <v>2861</v>
      </c>
      <c r="H1498" s="8" t="str">
        <f>VLOOKUP(A1498,[1]BBDD!$B$1:$J$3274,9,FALSE)</f>
        <v>U</v>
      </c>
      <c r="I1498" s="8" t="s">
        <v>2861</v>
      </c>
      <c r="J1498" s="8" t="s">
        <v>2088</v>
      </c>
      <c r="L1498" s="8" t="s">
        <v>61</v>
      </c>
      <c r="N1498" s="8" t="s">
        <v>62</v>
      </c>
      <c r="Q1498" s="8" t="s">
        <v>32</v>
      </c>
      <c r="R1498" s="8">
        <v>0</v>
      </c>
      <c r="S1498" s="8">
        <v>7</v>
      </c>
      <c r="T1498" s="8">
        <f t="shared" si="149"/>
        <v>7</v>
      </c>
      <c r="U1498" s="8">
        <v>2</v>
      </c>
      <c r="V1498" s="8">
        <v>1</v>
      </c>
      <c r="W1498" s="8">
        <v>0</v>
      </c>
      <c r="X1498" s="8">
        <v>0</v>
      </c>
      <c r="Y1498" s="8">
        <v>2</v>
      </c>
      <c r="Z1498" s="8">
        <v>1</v>
      </c>
      <c r="AA1498" s="8">
        <v>180</v>
      </c>
      <c r="AB1498" s="9">
        <f t="shared" si="150"/>
        <v>1</v>
      </c>
      <c r="AC1498" s="10">
        <f t="shared" si="152"/>
        <v>7</v>
      </c>
      <c r="AD1498" s="8" t="s">
        <v>33</v>
      </c>
      <c r="AE1498" s="11">
        <v>69990</v>
      </c>
      <c r="AF1498" s="11">
        <f t="shared" si="153"/>
        <v>489930</v>
      </c>
      <c r="AG1498" s="12" t="s">
        <v>51</v>
      </c>
      <c r="AH1498" s="8" t="s">
        <v>35</v>
      </c>
    </row>
    <row r="1499" spans="1:34">
      <c r="A1499" s="8" t="s">
        <v>2089</v>
      </c>
      <c r="B1499" s="16" t="s">
        <v>2860</v>
      </c>
      <c r="C1499" s="8" t="s">
        <v>40</v>
      </c>
      <c r="D1499" s="8" t="s">
        <v>2065</v>
      </c>
      <c r="E1499" s="8" t="str">
        <f t="shared" si="151"/>
        <v>MALBEC</v>
      </c>
      <c r="G1499" s="8" t="s">
        <v>2861</v>
      </c>
      <c r="H1499" s="8" t="str">
        <f>VLOOKUP(A1499,[1]BBDD!$B$1:$J$3274,9,FALSE)</f>
        <v>U</v>
      </c>
      <c r="I1499" s="8" t="s">
        <v>2861</v>
      </c>
      <c r="J1499" s="8" t="s">
        <v>2088</v>
      </c>
      <c r="L1499" s="8" t="s">
        <v>61</v>
      </c>
      <c r="N1499" s="8" t="s">
        <v>69</v>
      </c>
      <c r="Q1499" s="8" t="s">
        <v>32</v>
      </c>
      <c r="R1499" s="8">
        <v>0</v>
      </c>
      <c r="S1499" s="8">
        <v>0</v>
      </c>
      <c r="T1499" s="8">
        <f t="shared" si="149"/>
        <v>0</v>
      </c>
      <c r="U1499" s="8">
        <v>1</v>
      </c>
      <c r="V1499" s="8">
        <v>0</v>
      </c>
      <c r="W1499" s="8">
        <v>1</v>
      </c>
      <c r="X1499" s="8">
        <v>0</v>
      </c>
      <c r="Y1499" s="8">
        <v>0</v>
      </c>
      <c r="Z1499" s="8">
        <v>0</v>
      </c>
      <c r="AA1499" s="8">
        <v>180</v>
      </c>
      <c r="AB1499" s="9">
        <f t="shared" si="150"/>
        <v>0.33333333333333337</v>
      </c>
      <c r="AC1499" s="10">
        <f t="shared" si="152"/>
        <v>0</v>
      </c>
      <c r="AD1499" s="8" t="s">
        <v>33</v>
      </c>
      <c r="AE1499" s="11">
        <v>69990</v>
      </c>
      <c r="AF1499" s="11">
        <f t="shared" si="153"/>
        <v>0</v>
      </c>
      <c r="AG1499" s="12" t="s">
        <v>34</v>
      </c>
      <c r="AH1499" s="8" t="s">
        <v>35</v>
      </c>
    </row>
    <row r="1500" spans="1:34">
      <c r="A1500" s="8" t="s">
        <v>2090</v>
      </c>
      <c r="B1500" s="16" t="s">
        <v>2860</v>
      </c>
      <c r="C1500" s="8" t="s">
        <v>40</v>
      </c>
      <c r="D1500" s="8" t="s">
        <v>2065</v>
      </c>
      <c r="E1500" s="8" t="str">
        <f t="shared" si="151"/>
        <v>NEGRO</v>
      </c>
      <c r="G1500" s="8" t="s">
        <v>2861</v>
      </c>
      <c r="H1500" s="8" t="str">
        <f>VLOOKUP(A1500,[1]BBDD!$B$1:$J$3274,9,FALSE)</f>
        <v>U</v>
      </c>
      <c r="I1500" s="8" t="s">
        <v>2861</v>
      </c>
      <c r="J1500" s="8" t="s">
        <v>2088</v>
      </c>
      <c r="L1500" s="8" t="s">
        <v>61</v>
      </c>
      <c r="N1500" s="8" t="s">
        <v>44</v>
      </c>
      <c r="Q1500" s="8" t="s">
        <v>32</v>
      </c>
      <c r="R1500" s="8">
        <v>4</v>
      </c>
      <c r="S1500" s="8">
        <v>7</v>
      </c>
      <c r="T1500" s="8">
        <f t="shared" si="149"/>
        <v>11</v>
      </c>
      <c r="U1500" s="8">
        <v>2</v>
      </c>
      <c r="V1500" s="8">
        <v>0</v>
      </c>
      <c r="W1500" s="8">
        <v>0</v>
      </c>
      <c r="X1500" s="8">
        <v>2</v>
      </c>
      <c r="Y1500" s="8">
        <v>1</v>
      </c>
      <c r="Z1500" s="8">
        <v>2</v>
      </c>
      <c r="AA1500" s="8">
        <v>180</v>
      </c>
      <c r="AB1500" s="9">
        <f t="shared" si="150"/>
        <v>1.1666666666666667</v>
      </c>
      <c r="AC1500" s="10">
        <f t="shared" si="152"/>
        <v>9.4285714285714288</v>
      </c>
      <c r="AD1500" s="8" t="s">
        <v>33</v>
      </c>
      <c r="AE1500" s="11">
        <v>69990</v>
      </c>
      <c r="AF1500" s="11">
        <f t="shared" si="153"/>
        <v>769890</v>
      </c>
      <c r="AG1500" s="12" t="s">
        <v>51</v>
      </c>
      <c r="AH1500" s="8" t="s">
        <v>65</v>
      </c>
    </row>
    <row r="1501" spans="1:34">
      <c r="A1501" s="8" t="s">
        <v>2091</v>
      </c>
      <c r="B1501" s="16" t="s">
        <v>2860</v>
      </c>
      <c r="C1501" s="8" t="s">
        <v>40</v>
      </c>
      <c r="D1501" s="8" t="s">
        <v>2065</v>
      </c>
      <c r="E1501" s="8" t="str">
        <f t="shared" si="151"/>
        <v>TABACO</v>
      </c>
      <c r="G1501" s="8" t="s">
        <v>2861</v>
      </c>
      <c r="H1501" s="8" t="str">
        <f>VLOOKUP(A1501,[1]BBDD!$B$1:$J$3274,9,FALSE)</f>
        <v>U</v>
      </c>
      <c r="I1501" s="8" t="s">
        <v>2861</v>
      </c>
      <c r="J1501" s="8" t="s">
        <v>2088</v>
      </c>
      <c r="L1501" s="8" t="s">
        <v>61</v>
      </c>
      <c r="N1501" s="8" t="s">
        <v>67</v>
      </c>
      <c r="Q1501" s="8" t="s">
        <v>32</v>
      </c>
      <c r="R1501" s="8">
        <v>0</v>
      </c>
      <c r="S1501" s="8">
        <v>5</v>
      </c>
      <c r="T1501" s="8">
        <f t="shared" si="149"/>
        <v>5</v>
      </c>
      <c r="U1501" s="8">
        <v>3</v>
      </c>
      <c r="V1501" s="8">
        <v>1</v>
      </c>
      <c r="W1501" s="8">
        <v>1</v>
      </c>
      <c r="X1501" s="8">
        <v>1</v>
      </c>
      <c r="Y1501" s="8">
        <v>2</v>
      </c>
      <c r="Z1501" s="8">
        <v>3</v>
      </c>
      <c r="AA1501" s="8">
        <v>180</v>
      </c>
      <c r="AB1501" s="9">
        <f t="shared" si="150"/>
        <v>1.8333333333333333</v>
      </c>
      <c r="AC1501" s="10">
        <f t="shared" si="152"/>
        <v>2.7272727272727275</v>
      </c>
      <c r="AD1501" s="8" t="s">
        <v>33</v>
      </c>
      <c r="AE1501" s="11">
        <v>69990</v>
      </c>
      <c r="AF1501" s="11">
        <f t="shared" si="153"/>
        <v>349950</v>
      </c>
      <c r="AG1501" s="12" t="s">
        <v>34</v>
      </c>
      <c r="AH1501" s="8" t="s">
        <v>35</v>
      </c>
    </row>
    <row r="1502" spans="1:34">
      <c r="A1502" s="8" t="s">
        <v>2092</v>
      </c>
      <c r="B1502" s="16" t="s">
        <v>2860</v>
      </c>
      <c r="C1502" s="8" t="s">
        <v>40</v>
      </c>
      <c r="D1502" s="8" t="s">
        <v>2065</v>
      </c>
      <c r="E1502" s="8" t="str">
        <f t="shared" si="151"/>
        <v>CEDRO</v>
      </c>
      <c r="G1502" s="8" t="s">
        <v>2861</v>
      </c>
      <c r="H1502" s="8" t="str">
        <f>VLOOKUP(A1502,[1]BBDD!$B$1:$J$3274,9,FALSE)</f>
        <v>U</v>
      </c>
      <c r="I1502" s="8" t="s">
        <v>2861</v>
      </c>
      <c r="J1502" s="8" t="s">
        <v>2088</v>
      </c>
      <c r="L1502" s="8" t="s">
        <v>112</v>
      </c>
      <c r="N1502" s="8" t="s">
        <v>113</v>
      </c>
      <c r="Q1502" s="8" t="s">
        <v>32</v>
      </c>
      <c r="R1502" s="8">
        <v>0</v>
      </c>
      <c r="S1502" s="8">
        <v>3</v>
      </c>
      <c r="T1502" s="8">
        <f t="shared" si="149"/>
        <v>3</v>
      </c>
      <c r="U1502" s="8">
        <v>0</v>
      </c>
      <c r="V1502" s="8">
        <v>6</v>
      </c>
      <c r="W1502" s="8">
        <v>1</v>
      </c>
      <c r="X1502" s="8">
        <v>2</v>
      </c>
      <c r="Y1502" s="8">
        <v>1</v>
      </c>
      <c r="Z1502" s="8">
        <v>2</v>
      </c>
      <c r="AA1502" s="8">
        <v>180</v>
      </c>
      <c r="AB1502" s="9">
        <f t="shared" si="150"/>
        <v>2</v>
      </c>
      <c r="AC1502" s="10">
        <f t="shared" si="152"/>
        <v>1.5</v>
      </c>
      <c r="AD1502" s="8" t="s">
        <v>33</v>
      </c>
      <c r="AE1502" s="11">
        <v>69990</v>
      </c>
      <c r="AF1502" s="11">
        <f t="shared" si="153"/>
        <v>209970</v>
      </c>
      <c r="AG1502" s="12" t="s">
        <v>34</v>
      </c>
      <c r="AH1502" s="8" t="s">
        <v>35</v>
      </c>
    </row>
    <row r="1503" spans="1:34">
      <c r="A1503" s="8" t="s">
        <v>2093</v>
      </c>
      <c r="B1503" s="16" t="s">
        <v>2860</v>
      </c>
      <c r="C1503" s="8" t="s">
        <v>40</v>
      </c>
      <c r="D1503" s="8" t="s">
        <v>2065</v>
      </c>
      <c r="E1503" s="8" t="str">
        <f t="shared" si="151"/>
        <v>NEGRO</v>
      </c>
      <c r="G1503" s="8" t="s">
        <v>2861</v>
      </c>
      <c r="H1503" s="8" t="str">
        <f>VLOOKUP(A1503,[1]BBDD!$B$1:$J$3274,9,FALSE)</f>
        <v>U</v>
      </c>
      <c r="I1503" s="8" t="s">
        <v>2861</v>
      </c>
      <c r="J1503" s="8" t="s">
        <v>2088</v>
      </c>
      <c r="L1503" s="8" t="s">
        <v>112</v>
      </c>
      <c r="N1503" s="8" t="s">
        <v>44</v>
      </c>
      <c r="Q1503" s="8" t="s">
        <v>45</v>
      </c>
      <c r="R1503" s="8">
        <v>0</v>
      </c>
      <c r="S1503" s="8">
        <v>2</v>
      </c>
      <c r="T1503" s="8">
        <f t="shared" si="149"/>
        <v>2</v>
      </c>
      <c r="U1503" s="8">
        <v>1</v>
      </c>
      <c r="V1503" s="8">
        <v>0</v>
      </c>
      <c r="W1503" s="8">
        <v>2</v>
      </c>
      <c r="X1503" s="8">
        <v>0</v>
      </c>
      <c r="Y1503" s="8">
        <v>0</v>
      </c>
      <c r="Z1503" s="8">
        <v>0</v>
      </c>
      <c r="AA1503" s="8">
        <v>180</v>
      </c>
      <c r="AB1503" s="9">
        <f t="shared" si="150"/>
        <v>0.5</v>
      </c>
      <c r="AC1503" s="10">
        <f t="shared" si="152"/>
        <v>4</v>
      </c>
      <c r="AD1503" s="8" t="s">
        <v>109</v>
      </c>
      <c r="AE1503" s="11">
        <v>69990</v>
      </c>
      <c r="AF1503" s="11">
        <f t="shared" si="153"/>
        <v>139980</v>
      </c>
      <c r="AG1503" s="12" t="s">
        <v>34</v>
      </c>
      <c r="AH1503" s="8" t="s">
        <v>35</v>
      </c>
    </row>
    <row r="1504" spans="1:34">
      <c r="A1504" s="8" t="s">
        <v>2094</v>
      </c>
      <c r="B1504" s="16" t="s">
        <v>2860</v>
      </c>
      <c r="C1504" s="8" t="s">
        <v>40</v>
      </c>
      <c r="D1504" s="8" t="s">
        <v>2065</v>
      </c>
      <c r="E1504" s="8" t="str">
        <f t="shared" si="151"/>
        <v>NEGRO</v>
      </c>
      <c r="G1504" s="8" t="s">
        <v>2861</v>
      </c>
      <c r="H1504" s="8" t="str">
        <f>VLOOKUP(A1504,[1]BBDD!$B$1:$J$3274,9,FALSE)</f>
        <v>U</v>
      </c>
      <c r="I1504" s="8" t="s">
        <v>2861</v>
      </c>
      <c r="J1504" s="8" t="s">
        <v>2088</v>
      </c>
      <c r="L1504" s="8" t="s">
        <v>119</v>
      </c>
      <c r="N1504" s="8" t="s">
        <v>44</v>
      </c>
      <c r="Q1504" s="8" t="s">
        <v>45</v>
      </c>
      <c r="R1504" s="8">
        <v>0</v>
      </c>
      <c r="S1504" s="8">
        <v>2</v>
      </c>
      <c r="T1504" s="8">
        <f t="shared" si="149"/>
        <v>2</v>
      </c>
      <c r="U1504" s="8">
        <v>0</v>
      </c>
      <c r="V1504" s="8">
        <v>0</v>
      </c>
      <c r="W1504" s="8">
        <v>0</v>
      </c>
      <c r="X1504" s="8">
        <v>0</v>
      </c>
      <c r="Y1504" s="8">
        <v>0</v>
      </c>
      <c r="Z1504" s="8">
        <v>0</v>
      </c>
      <c r="AA1504" s="8">
        <v>180</v>
      </c>
      <c r="AB1504" s="9">
        <f t="shared" si="150"/>
        <v>0</v>
      </c>
      <c r="AC1504" s="10" t="str">
        <f t="shared" si="152"/>
        <v>sin venta</v>
      </c>
      <c r="AD1504" s="8" t="s">
        <v>109</v>
      </c>
      <c r="AE1504" s="11">
        <v>69990</v>
      </c>
      <c r="AF1504" s="11">
        <f t="shared" si="153"/>
        <v>139980</v>
      </c>
      <c r="AG1504" s="12" t="s">
        <v>73</v>
      </c>
      <c r="AH1504" s="8" t="s">
        <v>35</v>
      </c>
    </row>
    <row r="1505" spans="1:34">
      <c r="A1505" s="8" t="s">
        <v>2095</v>
      </c>
      <c r="B1505" s="16" t="s">
        <v>2859</v>
      </c>
      <c r="C1505" s="8" t="s">
        <v>248</v>
      </c>
      <c r="D1505" s="8" t="s">
        <v>2096</v>
      </c>
      <c r="E1505" s="8" t="str">
        <f t="shared" si="151"/>
        <v>CARAMELO</v>
      </c>
      <c r="G1505" s="8" t="s">
        <v>2861</v>
      </c>
      <c r="H1505" s="8" t="str">
        <f>VLOOKUP(A1505,[1]BBDD!$B$1:$J$3274,9,FALSE)</f>
        <v>U</v>
      </c>
      <c r="I1505" s="8" t="s">
        <v>2861</v>
      </c>
      <c r="J1505" s="8" t="s">
        <v>2097</v>
      </c>
      <c r="L1505" s="8" t="s">
        <v>61</v>
      </c>
      <c r="N1505" s="8" t="s">
        <v>62</v>
      </c>
      <c r="Q1505" s="8" t="s">
        <v>45</v>
      </c>
      <c r="R1505" s="8">
        <v>23</v>
      </c>
      <c r="S1505" s="8">
        <v>17</v>
      </c>
      <c r="T1505" s="8">
        <f t="shared" si="149"/>
        <v>40</v>
      </c>
      <c r="U1505" s="8">
        <v>2</v>
      </c>
      <c r="V1505" s="8">
        <v>1</v>
      </c>
      <c r="W1505" s="8">
        <v>0</v>
      </c>
      <c r="X1505" s="8">
        <v>4</v>
      </c>
      <c r="Y1505" s="8">
        <v>1</v>
      </c>
      <c r="Z1505" s="8">
        <v>0</v>
      </c>
      <c r="AA1505" s="8">
        <v>180</v>
      </c>
      <c r="AB1505" s="9">
        <f t="shared" si="150"/>
        <v>1.3333333333333335</v>
      </c>
      <c r="AC1505" s="10">
        <f t="shared" si="152"/>
        <v>29.999999999999996</v>
      </c>
      <c r="AD1505" s="8" t="s">
        <v>46</v>
      </c>
      <c r="AE1505" s="11">
        <v>32990</v>
      </c>
      <c r="AF1505" s="11">
        <f t="shared" si="153"/>
        <v>1319600</v>
      </c>
      <c r="AG1505" s="12" t="s">
        <v>73</v>
      </c>
      <c r="AH1505" s="8" t="s">
        <v>74</v>
      </c>
    </row>
    <row r="1506" spans="1:34">
      <c r="A1506" s="8" t="s">
        <v>2098</v>
      </c>
      <c r="B1506" s="16" t="s">
        <v>2859</v>
      </c>
      <c r="C1506" s="8" t="s">
        <v>248</v>
      </c>
      <c r="D1506" s="8" t="s">
        <v>2096</v>
      </c>
      <c r="E1506" s="8" t="str">
        <f t="shared" si="151"/>
        <v>MALBEC</v>
      </c>
      <c r="G1506" s="8" t="s">
        <v>2861</v>
      </c>
      <c r="H1506" s="8" t="str">
        <f>VLOOKUP(A1506,[1]BBDD!$B$1:$J$3274,9,FALSE)</f>
        <v>U</v>
      </c>
      <c r="I1506" s="8" t="s">
        <v>2861</v>
      </c>
      <c r="J1506" s="8" t="s">
        <v>2097</v>
      </c>
      <c r="L1506" s="8" t="s">
        <v>61</v>
      </c>
      <c r="N1506" s="8" t="s">
        <v>69</v>
      </c>
      <c r="Q1506" s="8" t="s">
        <v>45</v>
      </c>
      <c r="R1506" s="8">
        <v>2</v>
      </c>
      <c r="S1506" s="8">
        <v>9</v>
      </c>
      <c r="T1506" s="8">
        <f t="shared" si="149"/>
        <v>11</v>
      </c>
      <c r="U1506" s="8">
        <v>2</v>
      </c>
      <c r="V1506" s="8">
        <v>2</v>
      </c>
      <c r="W1506" s="8">
        <v>1</v>
      </c>
      <c r="X1506" s="8">
        <v>1</v>
      </c>
      <c r="Y1506" s="8">
        <v>3</v>
      </c>
      <c r="Z1506" s="8">
        <v>2</v>
      </c>
      <c r="AA1506" s="8">
        <v>180</v>
      </c>
      <c r="AB1506" s="9">
        <f t="shared" si="150"/>
        <v>1.8333333333333333</v>
      </c>
      <c r="AC1506" s="10">
        <f t="shared" si="152"/>
        <v>6</v>
      </c>
      <c r="AD1506" s="8" t="s">
        <v>46</v>
      </c>
      <c r="AE1506" s="11">
        <v>32990</v>
      </c>
      <c r="AF1506" s="11">
        <f t="shared" si="153"/>
        <v>362890</v>
      </c>
      <c r="AG1506" s="12" t="s">
        <v>34</v>
      </c>
      <c r="AH1506" s="8" t="s">
        <v>65</v>
      </c>
    </row>
    <row r="1507" spans="1:34">
      <c r="A1507" s="8" t="s">
        <v>2099</v>
      </c>
      <c r="B1507" s="16" t="s">
        <v>2859</v>
      </c>
      <c r="C1507" s="8" t="s">
        <v>248</v>
      </c>
      <c r="D1507" s="8" t="s">
        <v>2096</v>
      </c>
      <c r="E1507" s="8" t="str">
        <f t="shared" si="151"/>
        <v>NEGRO</v>
      </c>
      <c r="G1507" s="8" t="s">
        <v>2861</v>
      </c>
      <c r="H1507" s="8" t="str">
        <f>VLOOKUP(A1507,[1]BBDD!$B$1:$J$3274,9,FALSE)</f>
        <v>U</v>
      </c>
      <c r="I1507" s="8" t="s">
        <v>2861</v>
      </c>
      <c r="J1507" s="8" t="s">
        <v>2097</v>
      </c>
      <c r="L1507" s="8" t="s">
        <v>61</v>
      </c>
      <c r="N1507" s="8" t="s">
        <v>44</v>
      </c>
      <c r="Q1507" s="8" t="s">
        <v>45</v>
      </c>
      <c r="R1507" s="8">
        <v>39</v>
      </c>
      <c r="S1507" s="8">
        <v>17</v>
      </c>
      <c r="T1507" s="8">
        <f t="shared" si="149"/>
        <v>56</v>
      </c>
      <c r="U1507" s="8">
        <v>2</v>
      </c>
      <c r="V1507" s="8">
        <v>2</v>
      </c>
      <c r="W1507" s="8">
        <v>2</v>
      </c>
      <c r="X1507" s="8">
        <v>3</v>
      </c>
      <c r="Y1507" s="8">
        <v>0</v>
      </c>
      <c r="Z1507" s="8">
        <v>0</v>
      </c>
      <c r="AA1507" s="8">
        <v>180</v>
      </c>
      <c r="AB1507" s="9">
        <f t="shared" si="150"/>
        <v>1.5</v>
      </c>
      <c r="AC1507" s="10">
        <f t="shared" si="152"/>
        <v>37.333333333333336</v>
      </c>
      <c r="AD1507" s="8" t="s">
        <v>46</v>
      </c>
      <c r="AE1507" s="11">
        <v>32990</v>
      </c>
      <c r="AF1507" s="11">
        <f t="shared" si="153"/>
        <v>1847440</v>
      </c>
      <c r="AG1507" s="12" t="s">
        <v>73</v>
      </c>
      <c r="AH1507" s="8" t="s">
        <v>74</v>
      </c>
    </row>
    <row r="1508" spans="1:34">
      <c r="A1508" s="8" t="s">
        <v>2100</v>
      </c>
      <c r="B1508" s="16" t="s">
        <v>2859</v>
      </c>
      <c r="C1508" s="8" t="s">
        <v>248</v>
      </c>
      <c r="D1508" s="8" t="s">
        <v>2096</v>
      </c>
      <c r="E1508" s="8" t="str">
        <f t="shared" si="151"/>
        <v>ROJO</v>
      </c>
      <c r="G1508" s="8" t="s">
        <v>2861</v>
      </c>
      <c r="H1508" s="8" t="str">
        <f>VLOOKUP(A1508,[1]BBDD!$B$1:$J$3274,9,FALSE)</f>
        <v>U</v>
      </c>
      <c r="I1508" s="8" t="s">
        <v>2861</v>
      </c>
      <c r="J1508" s="8" t="s">
        <v>2097</v>
      </c>
      <c r="L1508" s="8" t="s">
        <v>61</v>
      </c>
      <c r="N1508" s="8" t="s">
        <v>88</v>
      </c>
      <c r="Q1508" s="8" t="s">
        <v>45</v>
      </c>
      <c r="R1508" s="8">
        <v>15</v>
      </c>
      <c r="S1508" s="8">
        <v>12</v>
      </c>
      <c r="T1508" s="8">
        <f t="shared" si="149"/>
        <v>27</v>
      </c>
      <c r="U1508" s="8">
        <v>1</v>
      </c>
      <c r="V1508" s="8">
        <v>0</v>
      </c>
      <c r="W1508" s="8">
        <v>2</v>
      </c>
      <c r="X1508" s="8">
        <v>2</v>
      </c>
      <c r="Y1508" s="8">
        <v>1</v>
      </c>
      <c r="Z1508" s="8">
        <v>1</v>
      </c>
      <c r="AA1508" s="8">
        <v>180</v>
      </c>
      <c r="AB1508" s="9">
        <f t="shared" si="150"/>
        <v>1.1666666666666667</v>
      </c>
      <c r="AC1508" s="10">
        <f t="shared" si="152"/>
        <v>23.142857142857142</v>
      </c>
      <c r="AD1508" s="8" t="s">
        <v>46</v>
      </c>
      <c r="AE1508" s="11">
        <v>32990</v>
      </c>
      <c r="AF1508" s="11">
        <f t="shared" si="153"/>
        <v>890730</v>
      </c>
      <c r="AG1508" s="12" t="s">
        <v>64</v>
      </c>
      <c r="AH1508" s="8" t="s">
        <v>74</v>
      </c>
    </row>
    <row r="1509" spans="1:34">
      <c r="A1509" s="8" t="s">
        <v>2101</v>
      </c>
      <c r="B1509" s="16" t="s">
        <v>2859</v>
      </c>
      <c r="C1509" s="8" t="s">
        <v>248</v>
      </c>
      <c r="D1509" s="8" t="s">
        <v>2096</v>
      </c>
      <c r="E1509" s="8" t="str">
        <f t="shared" si="151"/>
        <v>TABACO</v>
      </c>
      <c r="G1509" s="8" t="s">
        <v>2861</v>
      </c>
      <c r="H1509" s="8" t="str">
        <f>VLOOKUP(A1509,[1]BBDD!$B$1:$J$3274,9,FALSE)</f>
        <v>U</v>
      </c>
      <c r="I1509" s="8" t="s">
        <v>2861</v>
      </c>
      <c r="J1509" s="8" t="s">
        <v>2097</v>
      </c>
      <c r="L1509" s="8" t="s">
        <v>61</v>
      </c>
      <c r="N1509" s="8" t="s">
        <v>67</v>
      </c>
      <c r="Q1509" s="8" t="s">
        <v>45</v>
      </c>
      <c r="R1509" s="8">
        <v>4</v>
      </c>
      <c r="S1509" s="8">
        <v>13</v>
      </c>
      <c r="T1509" s="8">
        <f t="shared" si="149"/>
        <v>17</v>
      </c>
      <c r="U1509" s="8">
        <v>1</v>
      </c>
      <c r="V1509" s="8">
        <v>1</v>
      </c>
      <c r="W1509" s="8">
        <v>2</v>
      </c>
      <c r="X1509" s="8">
        <v>2</v>
      </c>
      <c r="Y1509" s="8">
        <v>2</v>
      </c>
      <c r="Z1509" s="8">
        <v>0</v>
      </c>
      <c r="AA1509" s="8">
        <v>180</v>
      </c>
      <c r="AB1509" s="9">
        <f t="shared" si="150"/>
        <v>1.3333333333333335</v>
      </c>
      <c r="AC1509" s="10">
        <f t="shared" si="152"/>
        <v>12.749999999999998</v>
      </c>
      <c r="AD1509" s="8" t="s">
        <v>46</v>
      </c>
      <c r="AE1509" s="11">
        <v>32990</v>
      </c>
      <c r="AF1509" s="11">
        <f t="shared" si="153"/>
        <v>560830</v>
      </c>
      <c r="AG1509" s="12" t="s">
        <v>64</v>
      </c>
      <c r="AH1509" s="8" t="s">
        <v>65</v>
      </c>
    </row>
    <row r="1510" spans="1:34">
      <c r="A1510" s="8" t="s">
        <v>2102</v>
      </c>
      <c r="B1510" s="16" t="s">
        <v>2859</v>
      </c>
      <c r="C1510" s="8" t="s">
        <v>248</v>
      </c>
      <c r="D1510" s="8" t="s">
        <v>2096</v>
      </c>
      <c r="E1510" s="8" t="str">
        <f t="shared" si="151"/>
        <v>CEDRO</v>
      </c>
      <c r="G1510" s="8" t="s">
        <v>2861</v>
      </c>
      <c r="H1510" s="8" t="str">
        <f>VLOOKUP(A1510,[1]BBDD!$B$1:$J$3274,9,FALSE)</f>
        <v>U</v>
      </c>
      <c r="I1510" s="8" t="s">
        <v>2861</v>
      </c>
      <c r="J1510" s="8" t="s">
        <v>2097</v>
      </c>
      <c r="L1510" s="8" t="s">
        <v>112</v>
      </c>
      <c r="N1510" s="8" t="s">
        <v>113</v>
      </c>
      <c r="Q1510" s="8" t="s">
        <v>45</v>
      </c>
      <c r="R1510" s="8">
        <v>11</v>
      </c>
      <c r="S1510" s="8">
        <v>14</v>
      </c>
      <c r="T1510" s="8">
        <f t="shared" si="149"/>
        <v>25</v>
      </c>
      <c r="U1510" s="8">
        <v>1</v>
      </c>
      <c r="V1510" s="8">
        <v>1</v>
      </c>
      <c r="W1510" s="8">
        <v>1</v>
      </c>
      <c r="X1510" s="8">
        <v>0</v>
      </c>
      <c r="Y1510" s="8">
        <v>1</v>
      </c>
      <c r="Z1510" s="8">
        <v>2</v>
      </c>
      <c r="AA1510" s="8">
        <v>180</v>
      </c>
      <c r="AB1510" s="9">
        <f t="shared" si="150"/>
        <v>1</v>
      </c>
      <c r="AC1510" s="10">
        <f t="shared" si="152"/>
        <v>25</v>
      </c>
      <c r="AD1510" s="8" t="s">
        <v>46</v>
      </c>
      <c r="AE1510" s="11">
        <v>32990</v>
      </c>
      <c r="AF1510" s="11">
        <f t="shared" si="153"/>
        <v>824750</v>
      </c>
      <c r="AG1510" s="12" t="s">
        <v>73</v>
      </c>
      <c r="AH1510" s="8" t="s">
        <v>74</v>
      </c>
    </row>
    <row r="1511" spans="1:34">
      <c r="A1511" s="8" t="s">
        <v>2103</v>
      </c>
      <c r="B1511" s="16" t="s">
        <v>2859</v>
      </c>
      <c r="C1511" s="8" t="s">
        <v>248</v>
      </c>
      <c r="D1511" s="8" t="s">
        <v>2096</v>
      </c>
      <c r="E1511" s="8" t="str">
        <f t="shared" si="151"/>
        <v>AZUL</v>
      </c>
      <c r="G1511" s="8" t="s">
        <v>2861</v>
      </c>
      <c r="H1511" s="8" t="str">
        <f>VLOOKUP(A1511,[1]BBDD!$B$1:$J$3274,9,FALSE)</f>
        <v>U</v>
      </c>
      <c r="I1511" s="8" t="s">
        <v>2861</v>
      </c>
      <c r="J1511" s="8" t="s">
        <v>2097</v>
      </c>
      <c r="L1511" s="8" t="s">
        <v>238</v>
      </c>
      <c r="N1511" s="8" t="s">
        <v>83</v>
      </c>
      <c r="Q1511" s="8" t="s">
        <v>45</v>
      </c>
      <c r="R1511" s="8">
        <v>4</v>
      </c>
      <c r="S1511" s="8">
        <v>13</v>
      </c>
      <c r="T1511" s="8">
        <f t="shared" si="149"/>
        <v>17</v>
      </c>
      <c r="U1511" s="8">
        <v>0</v>
      </c>
      <c r="V1511" s="8">
        <v>0</v>
      </c>
      <c r="W1511" s="8">
        <v>2</v>
      </c>
      <c r="X1511" s="8">
        <v>0</v>
      </c>
      <c r="Y1511" s="8">
        <v>1</v>
      </c>
      <c r="Z1511" s="8">
        <v>0</v>
      </c>
      <c r="AA1511" s="8">
        <v>180</v>
      </c>
      <c r="AB1511" s="9">
        <f t="shared" si="150"/>
        <v>0.5</v>
      </c>
      <c r="AC1511" s="10">
        <f t="shared" si="152"/>
        <v>34</v>
      </c>
      <c r="AD1511" s="8" t="s">
        <v>46</v>
      </c>
      <c r="AE1511" s="11">
        <v>32990</v>
      </c>
      <c r="AF1511" s="11">
        <f t="shared" si="153"/>
        <v>560830</v>
      </c>
      <c r="AG1511" s="12" t="s">
        <v>73</v>
      </c>
      <c r="AH1511" s="8" t="s">
        <v>65</v>
      </c>
    </row>
    <row r="1512" spans="1:34">
      <c r="A1512" s="8" t="s">
        <v>2104</v>
      </c>
      <c r="B1512" s="16" t="s">
        <v>2859</v>
      </c>
      <c r="C1512" s="8" t="s">
        <v>248</v>
      </c>
      <c r="D1512" s="8" t="s">
        <v>2096</v>
      </c>
      <c r="E1512" s="8" t="str">
        <f t="shared" si="151"/>
        <v>CARAMELO</v>
      </c>
      <c r="G1512" s="8" t="s">
        <v>2861</v>
      </c>
      <c r="H1512" s="8" t="str">
        <f>VLOOKUP(A1512,[1]BBDD!$B$1:$J$3274,9,FALSE)</f>
        <v>U</v>
      </c>
      <c r="I1512" s="8" t="s">
        <v>2861</v>
      </c>
      <c r="J1512" s="8" t="s">
        <v>2097</v>
      </c>
      <c r="L1512" s="8" t="s">
        <v>238</v>
      </c>
      <c r="N1512" s="8" t="s">
        <v>62</v>
      </c>
      <c r="Q1512" s="8" t="s">
        <v>45</v>
      </c>
      <c r="R1512" s="8">
        <v>19</v>
      </c>
      <c r="S1512" s="8">
        <v>9</v>
      </c>
      <c r="T1512" s="8">
        <f t="shared" si="149"/>
        <v>28</v>
      </c>
      <c r="U1512" s="8">
        <v>1</v>
      </c>
      <c r="V1512" s="8">
        <v>1</v>
      </c>
      <c r="W1512" s="8">
        <v>2</v>
      </c>
      <c r="X1512" s="8">
        <v>1</v>
      </c>
      <c r="Y1512" s="8">
        <v>0</v>
      </c>
      <c r="Z1512" s="8">
        <v>0</v>
      </c>
      <c r="AA1512" s="8">
        <v>180</v>
      </c>
      <c r="AB1512" s="9">
        <f t="shared" si="150"/>
        <v>0.83333333333333326</v>
      </c>
      <c r="AC1512" s="10">
        <f t="shared" si="152"/>
        <v>33.6</v>
      </c>
      <c r="AD1512" s="8" t="s">
        <v>46</v>
      </c>
      <c r="AE1512" s="11">
        <v>32990</v>
      </c>
      <c r="AF1512" s="11">
        <f t="shared" si="153"/>
        <v>923720</v>
      </c>
      <c r="AG1512" s="12" t="s">
        <v>73</v>
      </c>
      <c r="AH1512" s="8" t="s">
        <v>74</v>
      </c>
    </row>
    <row r="1513" spans="1:34">
      <c r="A1513" s="8" t="s">
        <v>2105</v>
      </c>
      <c r="B1513" s="16" t="s">
        <v>2859</v>
      </c>
      <c r="C1513" s="8" t="s">
        <v>248</v>
      </c>
      <c r="D1513" s="8" t="s">
        <v>2096</v>
      </c>
      <c r="E1513" s="8" t="str">
        <f t="shared" si="151"/>
        <v>NEGRO</v>
      </c>
      <c r="G1513" s="8" t="s">
        <v>2861</v>
      </c>
      <c r="H1513" s="8" t="str">
        <f>VLOOKUP(A1513,[1]BBDD!$B$1:$J$3274,9,FALSE)</f>
        <v>U</v>
      </c>
      <c r="I1513" s="8" t="s">
        <v>2861</v>
      </c>
      <c r="J1513" s="8" t="s">
        <v>2097</v>
      </c>
      <c r="L1513" s="8" t="s">
        <v>238</v>
      </c>
      <c r="N1513" s="8" t="s">
        <v>44</v>
      </c>
      <c r="Q1513" s="8" t="s">
        <v>45</v>
      </c>
      <c r="R1513" s="8">
        <v>22</v>
      </c>
      <c r="S1513" s="8">
        <v>15</v>
      </c>
      <c r="T1513" s="8">
        <f t="shared" si="149"/>
        <v>37</v>
      </c>
      <c r="U1513" s="8">
        <v>1</v>
      </c>
      <c r="V1513" s="8">
        <v>1</v>
      </c>
      <c r="W1513" s="8">
        <v>2</v>
      </c>
      <c r="X1513" s="8">
        <v>0</v>
      </c>
      <c r="Y1513" s="8">
        <v>2</v>
      </c>
      <c r="Z1513" s="8">
        <v>1</v>
      </c>
      <c r="AA1513" s="8">
        <v>180</v>
      </c>
      <c r="AB1513" s="9">
        <f t="shared" si="150"/>
        <v>1.1666666666666667</v>
      </c>
      <c r="AC1513" s="10">
        <f t="shared" si="152"/>
        <v>31.714285714285712</v>
      </c>
      <c r="AD1513" s="8" t="s">
        <v>46</v>
      </c>
      <c r="AE1513" s="11">
        <v>32990</v>
      </c>
      <c r="AF1513" s="11">
        <f t="shared" si="153"/>
        <v>1220630</v>
      </c>
      <c r="AG1513" s="12" t="s">
        <v>73</v>
      </c>
      <c r="AH1513" s="8" t="s">
        <v>74</v>
      </c>
    </row>
    <row r="1514" spans="1:34">
      <c r="A1514" s="8" t="s">
        <v>2106</v>
      </c>
      <c r="B1514" s="16" t="s">
        <v>2859</v>
      </c>
      <c r="C1514" s="8" t="s">
        <v>248</v>
      </c>
      <c r="D1514" s="8" t="s">
        <v>2096</v>
      </c>
      <c r="E1514" s="8" t="str">
        <f t="shared" si="151"/>
        <v>ROJO</v>
      </c>
      <c r="G1514" s="8" t="s">
        <v>2861</v>
      </c>
      <c r="H1514" s="8" t="str">
        <f>VLOOKUP(A1514,[1]BBDD!$B$1:$J$3274,9,FALSE)</f>
        <v>U</v>
      </c>
      <c r="I1514" s="8" t="s">
        <v>2861</v>
      </c>
      <c r="J1514" s="8" t="s">
        <v>2097</v>
      </c>
      <c r="L1514" s="8" t="s">
        <v>238</v>
      </c>
      <c r="N1514" s="8" t="s">
        <v>88</v>
      </c>
      <c r="Q1514" s="8" t="s">
        <v>45</v>
      </c>
      <c r="R1514" s="8">
        <v>22</v>
      </c>
      <c r="S1514" s="8">
        <v>14</v>
      </c>
      <c r="T1514" s="8">
        <f t="shared" si="149"/>
        <v>36</v>
      </c>
      <c r="U1514" s="8">
        <v>0</v>
      </c>
      <c r="V1514" s="8">
        <v>0</v>
      </c>
      <c r="W1514" s="8">
        <v>1</v>
      </c>
      <c r="X1514" s="8">
        <v>0</v>
      </c>
      <c r="Y1514" s="8">
        <v>3</v>
      </c>
      <c r="Z1514" s="8">
        <v>0</v>
      </c>
      <c r="AA1514" s="8">
        <v>180</v>
      </c>
      <c r="AB1514" s="9">
        <f t="shared" si="150"/>
        <v>0.66666666666666674</v>
      </c>
      <c r="AC1514" s="10">
        <f t="shared" si="152"/>
        <v>53.999999999999993</v>
      </c>
      <c r="AD1514" s="8" t="s">
        <v>46</v>
      </c>
      <c r="AE1514" s="11">
        <v>32990</v>
      </c>
      <c r="AF1514" s="11">
        <f t="shared" si="153"/>
        <v>1187640</v>
      </c>
      <c r="AG1514" s="12" t="s">
        <v>73</v>
      </c>
      <c r="AH1514" s="8" t="s">
        <v>74</v>
      </c>
    </row>
    <row r="1515" spans="1:34">
      <c r="A1515" s="8" t="s">
        <v>2107</v>
      </c>
      <c r="B1515" s="16" t="s">
        <v>2859</v>
      </c>
      <c r="C1515" s="8" t="s">
        <v>248</v>
      </c>
      <c r="D1515" s="8" t="s">
        <v>2096</v>
      </c>
      <c r="E1515" s="8" t="str">
        <f t="shared" si="151"/>
        <v>VERDE</v>
      </c>
      <c r="G1515" s="8" t="s">
        <v>2861</v>
      </c>
      <c r="H1515" s="8" t="str">
        <f>VLOOKUP(A1515,[1]BBDD!$B$1:$J$3274,9,FALSE)</f>
        <v>U</v>
      </c>
      <c r="I1515" s="8" t="s">
        <v>2861</v>
      </c>
      <c r="J1515" s="8" t="s">
        <v>2097</v>
      </c>
      <c r="L1515" s="8" t="s">
        <v>238</v>
      </c>
      <c r="N1515" s="8" t="s">
        <v>92</v>
      </c>
      <c r="Q1515" s="8" t="s">
        <v>45</v>
      </c>
      <c r="R1515" s="8">
        <v>0</v>
      </c>
      <c r="S1515" s="8">
        <v>1</v>
      </c>
      <c r="T1515" s="8">
        <f t="shared" si="149"/>
        <v>1</v>
      </c>
      <c r="U1515" s="8">
        <v>1</v>
      </c>
      <c r="V1515" s="8">
        <v>0</v>
      </c>
      <c r="W1515" s="8">
        <v>0</v>
      </c>
      <c r="X1515" s="8">
        <v>1</v>
      </c>
      <c r="Y1515" s="8">
        <v>0</v>
      </c>
      <c r="Z1515" s="8">
        <v>0</v>
      </c>
      <c r="AA1515" s="8">
        <v>180</v>
      </c>
      <c r="AB1515" s="9">
        <f t="shared" si="150"/>
        <v>0.33333333333333337</v>
      </c>
      <c r="AC1515" s="10">
        <f t="shared" si="152"/>
        <v>2.9999999999999996</v>
      </c>
      <c r="AD1515" s="8" t="s">
        <v>46</v>
      </c>
      <c r="AE1515" s="11">
        <v>32990</v>
      </c>
      <c r="AF1515" s="11">
        <f t="shared" si="153"/>
        <v>32990</v>
      </c>
      <c r="AG1515" s="12" t="s">
        <v>34</v>
      </c>
      <c r="AH1515" s="8" t="s">
        <v>35</v>
      </c>
    </row>
    <row r="1516" spans="1:34">
      <c r="A1516" s="8" t="s">
        <v>2108</v>
      </c>
      <c r="B1516" s="16" t="s">
        <v>2859</v>
      </c>
      <c r="C1516" s="8" t="s">
        <v>248</v>
      </c>
      <c r="D1516" s="8" t="s">
        <v>2096</v>
      </c>
      <c r="E1516" s="8" t="str">
        <f t="shared" si="151"/>
        <v>LIGHT</v>
      </c>
      <c r="G1516" s="8" t="s">
        <v>2861</v>
      </c>
      <c r="H1516" s="8" t="str">
        <f>VLOOKUP(A1516,[1]BBDD!$B$1:$J$3274,9,FALSE)</f>
        <v>U</v>
      </c>
      <c r="I1516" s="8" t="s">
        <v>2861</v>
      </c>
      <c r="J1516" s="8" t="s">
        <v>2097</v>
      </c>
      <c r="L1516" s="8" t="s">
        <v>189</v>
      </c>
      <c r="N1516" s="8" t="s">
        <v>783</v>
      </c>
      <c r="Q1516" s="8" t="s">
        <v>45</v>
      </c>
      <c r="R1516" s="8">
        <v>0</v>
      </c>
      <c r="S1516" s="8">
        <v>1</v>
      </c>
      <c r="T1516" s="8">
        <f t="shared" si="149"/>
        <v>1</v>
      </c>
      <c r="U1516" s="8">
        <v>0</v>
      </c>
      <c r="V1516" s="8">
        <v>0</v>
      </c>
      <c r="W1516" s="8">
        <v>0</v>
      </c>
      <c r="X1516" s="8">
        <v>0</v>
      </c>
      <c r="Y1516" s="8">
        <v>0</v>
      </c>
      <c r="Z1516" s="8">
        <v>1</v>
      </c>
      <c r="AA1516" s="8">
        <v>180</v>
      </c>
      <c r="AB1516" s="9">
        <f t="shared" si="150"/>
        <v>0.16666666666666669</v>
      </c>
      <c r="AC1516" s="10">
        <f t="shared" si="152"/>
        <v>5.9999999999999991</v>
      </c>
      <c r="AD1516" s="8" t="s">
        <v>46</v>
      </c>
      <c r="AE1516" s="11">
        <v>32990</v>
      </c>
      <c r="AF1516" s="11">
        <f t="shared" si="153"/>
        <v>32990</v>
      </c>
      <c r="AG1516" s="12" t="s">
        <v>34</v>
      </c>
      <c r="AH1516" s="8" t="s">
        <v>35</v>
      </c>
    </row>
    <row r="1517" spans="1:34">
      <c r="A1517" s="8" t="s">
        <v>2109</v>
      </c>
      <c r="B1517" s="16" t="s">
        <v>2859</v>
      </c>
      <c r="C1517" s="8" t="s">
        <v>248</v>
      </c>
      <c r="D1517" s="8" t="s">
        <v>2096</v>
      </c>
      <c r="E1517" s="8" t="str">
        <f t="shared" si="151"/>
        <v>MEDIO</v>
      </c>
      <c r="G1517" s="8" t="s">
        <v>2861</v>
      </c>
      <c r="H1517" s="8" t="str">
        <f>VLOOKUP(A1517,[1]BBDD!$B$1:$J$3274,9,FALSE)</f>
        <v>U</v>
      </c>
      <c r="I1517" s="8" t="s">
        <v>2861</v>
      </c>
      <c r="J1517" s="8" t="s">
        <v>2097</v>
      </c>
      <c r="L1517" s="8" t="s">
        <v>189</v>
      </c>
      <c r="N1517" s="8" t="s">
        <v>190</v>
      </c>
      <c r="Q1517" s="8" t="s">
        <v>45</v>
      </c>
      <c r="R1517" s="8">
        <v>4</v>
      </c>
      <c r="S1517" s="8">
        <v>6</v>
      </c>
      <c r="T1517" s="8">
        <f t="shared" si="149"/>
        <v>10</v>
      </c>
      <c r="U1517" s="8">
        <v>0</v>
      </c>
      <c r="V1517" s="8">
        <v>0</v>
      </c>
      <c r="W1517" s="8">
        <v>1</v>
      </c>
      <c r="X1517" s="8">
        <v>0</v>
      </c>
      <c r="Y1517" s="8">
        <v>0</v>
      </c>
      <c r="Z1517" s="8">
        <v>2</v>
      </c>
      <c r="AA1517" s="8">
        <v>180</v>
      </c>
      <c r="AB1517" s="9">
        <f t="shared" si="150"/>
        <v>0.5</v>
      </c>
      <c r="AC1517" s="10">
        <f t="shared" si="152"/>
        <v>20</v>
      </c>
      <c r="AD1517" s="8" t="s">
        <v>46</v>
      </c>
      <c r="AE1517" s="11">
        <v>32990</v>
      </c>
      <c r="AF1517" s="11">
        <f t="shared" si="153"/>
        <v>329900</v>
      </c>
      <c r="AG1517" s="12" t="s">
        <v>64</v>
      </c>
      <c r="AH1517" s="8" t="s">
        <v>35</v>
      </c>
    </row>
    <row r="1518" spans="1:34">
      <c r="A1518" s="8" t="s">
        <v>2110</v>
      </c>
      <c r="B1518" s="16" t="s">
        <v>2859</v>
      </c>
      <c r="C1518" s="8" t="s">
        <v>248</v>
      </c>
      <c r="D1518" s="8" t="s">
        <v>2096</v>
      </c>
      <c r="E1518" s="8" t="str">
        <f t="shared" si="151"/>
        <v>CARAMELO</v>
      </c>
      <c r="G1518" s="8" t="s">
        <v>2861</v>
      </c>
      <c r="H1518" s="8" t="str">
        <f>VLOOKUP(A1518,[1]BBDD!$B$1:$J$3274,9,FALSE)</f>
        <v>U</v>
      </c>
      <c r="I1518" s="8" t="s">
        <v>2861</v>
      </c>
      <c r="J1518" s="8" t="s">
        <v>2111</v>
      </c>
      <c r="L1518" s="8" t="s">
        <v>238</v>
      </c>
      <c r="N1518" s="8" t="s">
        <v>62</v>
      </c>
      <c r="Q1518" s="8" t="s">
        <v>32</v>
      </c>
      <c r="R1518" s="8">
        <v>0</v>
      </c>
      <c r="S1518" s="8">
        <v>11</v>
      </c>
      <c r="T1518" s="8">
        <f t="shared" si="149"/>
        <v>11</v>
      </c>
      <c r="U1518" s="8">
        <v>3</v>
      </c>
      <c r="V1518" s="8">
        <v>6</v>
      </c>
      <c r="W1518" s="8">
        <v>6</v>
      </c>
      <c r="X1518" s="8">
        <v>5</v>
      </c>
      <c r="Y1518" s="8">
        <v>3</v>
      </c>
      <c r="Z1518" s="8">
        <v>8</v>
      </c>
      <c r="AA1518" s="8">
        <v>180</v>
      </c>
      <c r="AB1518" s="9">
        <f t="shared" si="150"/>
        <v>5.166666666666667</v>
      </c>
      <c r="AC1518" s="10">
        <f t="shared" si="152"/>
        <v>2.129032258064516</v>
      </c>
      <c r="AD1518" s="8" t="s">
        <v>33</v>
      </c>
      <c r="AE1518" s="11">
        <v>26990</v>
      </c>
      <c r="AF1518" s="11">
        <f t="shared" si="153"/>
        <v>296890</v>
      </c>
      <c r="AG1518" s="12" t="s">
        <v>34</v>
      </c>
      <c r="AH1518" s="8" t="s">
        <v>65</v>
      </c>
    </row>
    <row r="1519" spans="1:34">
      <c r="A1519" s="8" t="s">
        <v>2112</v>
      </c>
      <c r="B1519" s="16" t="s">
        <v>2859</v>
      </c>
      <c r="C1519" s="8" t="s">
        <v>248</v>
      </c>
      <c r="D1519" s="8" t="s">
        <v>2096</v>
      </c>
      <c r="E1519" s="8" t="str">
        <f t="shared" si="151"/>
        <v>NEGRO</v>
      </c>
      <c r="G1519" s="8" t="s">
        <v>2861</v>
      </c>
      <c r="H1519" s="8" t="str">
        <f>VLOOKUP(A1519,[1]BBDD!$B$1:$J$3274,9,FALSE)</f>
        <v>U</v>
      </c>
      <c r="I1519" s="8" t="s">
        <v>2861</v>
      </c>
      <c r="J1519" s="8" t="s">
        <v>2111</v>
      </c>
      <c r="L1519" s="8" t="s">
        <v>238</v>
      </c>
      <c r="N1519" s="8" t="s">
        <v>44</v>
      </c>
      <c r="Q1519" s="8" t="s">
        <v>32</v>
      </c>
      <c r="R1519" s="8">
        <v>4</v>
      </c>
      <c r="S1519" s="8">
        <v>12</v>
      </c>
      <c r="T1519" s="8">
        <f t="shared" si="149"/>
        <v>16</v>
      </c>
      <c r="U1519" s="8">
        <v>5</v>
      </c>
      <c r="V1519" s="8">
        <v>4</v>
      </c>
      <c r="W1519" s="8">
        <v>3</v>
      </c>
      <c r="X1519" s="8">
        <v>2</v>
      </c>
      <c r="Y1519" s="8">
        <v>3</v>
      </c>
      <c r="Z1519" s="8">
        <v>1</v>
      </c>
      <c r="AA1519" s="8">
        <v>180</v>
      </c>
      <c r="AB1519" s="9">
        <f t="shared" si="150"/>
        <v>3</v>
      </c>
      <c r="AC1519" s="10">
        <f t="shared" si="152"/>
        <v>5.333333333333333</v>
      </c>
      <c r="AD1519" s="8" t="s">
        <v>33</v>
      </c>
      <c r="AE1519" s="11">
        <v>26990</v>
      </c>
      <c r="AF1519" s="11">
        <f t="shared" si="153"/>
        <v>431840</v>
      </c>
      <c r="AG1519" s="12" t="s">
        <v>34</v>
      </c>
      <c r="AH1519" s="8" t="s">
        <v>65</v>
      </c>
    </row>
    <row r="1520" spans="1:34">
      <c r="A1520" s="8" t="s">
        <v>2113</v>
      </c>
      <c r="B1520" s="16" t="s">
        <v>2859</v>
      </c>
      <c r="C1520" s="8" t="s">
        <v>248</v>
      </c>
      <c r="D1520" s="8" t="s">
        <v>2096</v>
      </c>
      <c r="E1520" s="8" t="str">
        <f t="shared" si="151"/>
        <v>ROJO</v>
      </c>
      <c r="G1520" s="8" t="s">
        <v>2861</v>
      </c>
      <c r="H1520" s="8" t="str">
        <f>VLOOKUP(A1520,[1]BBDD!$B$1:$J$3274,9,FALSE)</f>
        <v>U</v>
      </c>
      <c r="I1520" s="8" t="s">
        <v>2861</v>
      </c>
      <c r="J1520" s="8" t="s">
        <v>2111</v>
      </c>
      <c r="L1520" s="8" t="s">
        <v>238</v>
      </c>
      <c r="N1520" s="8" t="s">
        <v>88</v>
      </c>
      <c r="Q1520" s="8" t="s">
        <v>32</v>
      </c>
      <c r="R1520" s="8">
        <v>9</v>
      </c>
      <c r="S1520" s="8">
        <v>14</v>
      </c>
      <c r="T1520" s="8">
        <f t="shared" si="149"/>
        <v>23</v>
      </c>
      <c r="U1520" s="8">
        <v>10</v>
      </c>
      <c r="V1520" s="8">
        <v>6</v>
      </c>
      <c r="W1520" s="8">
        <v>6</v>
      </c>
      <c r="X1520" s="8">
        <v>1</v>
      </c>
      <c r="Y1520" s="8">
        <v>2</v>
      </c>
      <c r="Z1520" s="8">
        <v>1</v>
      </c>
      <c r="AA1520" s="8">
        <v>180</v>
      </c>
      <c r="AB1520" s="9">
        <f t="shared" si="150"/>
        <v>4.333333333333333</v>
      </c>
      <c r="AC1520" s="10">
        <f t="shared" si="152"/>
        <v>5.3076923076923084</v>
      </c>
      <c r="AD1520" s="8" t="s">
        <v>33</v>
      </c>
      <c r="AE1520" s="11">
        <v>26990</v>
      </c>
      <c r="AF1520" s="11">
        <f t="shared" si="153"/>
        <v>620770</v>
      </c>
      <c r="AG1520" s="12" t="s">
        <v>34</v>
      </c>
      <c r="AH1520" s="8" t="s">
        <v>74</v>
      </c>
    </row>
    <row r="1521" spans="1:34">
      <c r="A1521" s="8" t="s">
        <v>2114</v>
      </c>
      <c r="B1521" s="16" t="s">
        <v>2859</v>
      </c>
      <c r="C1521" s="8" t="s">
        <v>248</v>
      </c>
      <c r="D1521" s="8" t="s">
        <v>2096</v>
      </c>
      <c r="E1521" s="8" t="str">
        <f t="shared" si="151"/>
        <v>VERDE</v>
      </c>
      <c r="G1521" s="8" t="s">
        <v>2861</v>
      </c>
      <c r="H1521" s="8" t="str">
        <f>VLOOKUP(A1521,[1]BBDD!$B$1:$J$3274,9,FALSE)</f>
        <v>U</v>
      </c>
      <c r="I1521" s="8" t="s">
        <v>2861</v>
      </c>
      <c r="J1521" s="8" t="s">
        <v>2111</v>
      </c>
      <c r="L1521" s="8" t="s">
        <v>238</v>
      </c>
      <c r="N1521" s="8" t="s">
        <v>92</v>
      </c>
      <c r="Q1521" s="8" t="s">
        <v>32</v>
      </c>
      <c r="R1521" s="8">
        <v>0</v>
      </c>
      <c r="S1521" s="8">
        <v>1</v>
      </c>
      <c r="T1521" s="8">
        <f t="shared" si="149"/>
        <v>1</v>
      </c>
      <c r="U1521" s="8">
        <v>4</v>
      </c>
      <c r="V1521" s="8">
        <v>2</v>
      </c>
      <c r="W1521" s="8">
        <v>2</v>
      </c>
      <c r="X1521" s="8">
        <v>0</v>
      </c>
      <c r="Y1521" s="8">
        <v>0</v>
      </c>
      <c r="Z1521" s="8">
        <v>0</v>
      </c>
      <c r="AA1521" s="8">
        <v>180</v>
      </c>
      <c r="AB1521" s="9">
        <f t="shared" si="150"/>
        <v>1.3333333333333335</v>
      </c>
      <c r="AC1521" s="10">
        <f t="shared" si="152"/>
        <v>0.74999999999999989</v>
      </c>
      <c r="AD1521" s="8" t="s">
        <v>33</v>
      </c>
      <c r="AE1521" s="11">
        <v>26990</v>
      </c>
      <c r="AF1521" s="11">
        <f t="shared" si="153"/>
        <v>26990</v>
      </c>
      <c r="AG1521" s="12" t="s">
        <v>34</v>
      </c>
      <c r="AH1521" s="8" t="s">
        <v>35</v>
      </c>
    </row>
    <row r="1522" spans="1:34">
      <c r="A1522" s="8" t="s">
        <v>2115</v>
      </c>
      <c r="B1522" s="16" t="s">
        <v>2859</v>
      </c>
      <c r="C1522" s="8" t="s">
        <v>248</v>
      </c>
      <c r="D1522" s="8" t="s">
        <v>2096</v>
      </c>
      <c r="E1522" s="8" t="str">
        <f t="shared" si="151"/>
        <v>AZUL</v>
      </c>
      <c r="G1522" s="8" t="s">
        <v>2861</v>
      </c>
      <c r="H1522" s="8" t="str">
        <f>VLOOKUP(A1522,[1]BBDD!$B$1:$J$3274,9,FALSE)</f>
        <v>U</v>
      </c>
      <c r="I1522" s="8" t="s">
        <v>2861</v>
      </c>
      <c r="J1522" s="8" t="s">
        <v>2111</v>
      </c>
      <c r="L1522" s="8" t="s">
        <v>238</v>
      </c>
      <c r="N1522" s="8" t="s">
        <v>83</v>
      </c>
      <c r="Q1522" s="8" t="s">
        <v>45</v>
      </c>
      <c r="R1522" s="8">
        <v>0</v>
      </c>
      <c r="S1522" s="8">
        <v>5</v>
      </c>
      <c r="T1522" s="8">
        <f t="shared" si="149"/>
        <v>5</v>
      </c>
      <c r="U1522" s="8">
        <v>6</v>
      </c>
      <c r="V1522" s="8">
        <v>0</v>
      </c>
      <c r="W1522" s="8">
        <v>5</v>
      </c>
      <c r="X1522" s="8">
        <v>0</v>
      </c>
      <c r="Y1522" s="8">
        <v>0</v>
      </c>
      <c r="Z1522" s="8">
        <v>0</v>
      </c>
      <c r="AA1522" s="8">
        <v>180</v>
      </c>
      <c r="AB1522" s="9">
        <f t="shared" si="150"/>
        <v>1.8333333333333333</v>
      </c>
      <c r="AC1522" s="10">
        <f t="shared" si="152"/>
        <v>2.7272727272727275</v>
      </c>
      <c r="AD1522" s="8" t="s">
        <v>109</v>
      </c>
      <c r="AE1522" s="11">
        <v>26990</v>
      </c>
      <c r="AF1522" s="11">
        <f t="shared" si="153"/>
        <v>134950</v>
      </c>
      <c r="AG1522" s="12" t="s">
        <v>34</v>
      </c>
      <c r="AH1522" s="8" t="s">
        <v>35</v>
      </c>
    </row>
    <row r="1523" spans="1:34">
      <c r="A1523" s="8" t="s">
        <v>2116</v>
      </c>
      <c r="B1523" s="16" t="s">
        <v>2859</v>
      </c>
      <c r="C1523" s="8" t="s">
        <v>248</v>
      </c>
      <c r="D1523" s="8" t="s">
        <v>2096</v>
      </c>
      <c r="E1523" s="8" t="str">
        <f t="shared" si="151"/>
        <v>AZUL</v>
      </c>
      <c r="G1523" s="8" t="s">
        <v>2861</v>
      </c>
      <c r="H1523" s="8" t="str">
        <f>VLOOKUP(A1523,[1]BBDD!$B$1:$J$3274,9,FALSE)</f>
        <v>U</v>
      </c>
      <c r="I1523" s="8" t="s">
        <v>2861</v>
      </c>
      <c r="J1523" s="8" t="s">
        <v>2117</v>
      </c>
      <c r="L1523" s="8" t="s">
        <v>61</v>
      </c>
      <c r="N1523" s="8" t="s">
        <v>83</v>
      </c>
      <c r="Q1523" s="8" t="s">
        <v>32</v>
      </c>
      <c r="R1523" s="8">
        <v>0</v>
      </c>
      <c r="S1523" s="8">
        <v>6</v>
      </c>
      <c r="T1523" s="8">
        <f t="shared" ref="T1523:T1586" si="154">SUM(R1523:S1523)</f>
        <v>6</v>
      </c>
      <c r="U1523" s="8">
        <v>4</v>
      </c>
      <c r="V1523" s="8">
        <v>3</v>
      </c>
      <c r="W1523" s="8">
        <v>2</v>
      </c>
      <c r="X1523" s="8">
        <v>2</v>
      </c>
      <c r="Y1523" s="8">
        <v>2</v>
      </c>
      <c r="Z1523" s="8">
        <v>0</v>
      </c>
      <c r="AA1523" s="8">
        <v>180</v>
      </c>
      <c r="AB1523" s="9">
        <f t="shared" ref="AB1523:AB1586" si="155">SUM(U1523:Z1523)/AA1523*30</f>
        <v>2.1666666666666665</v>
      </c>
      <c r="AC1523" s="10">
        <f t="shared" si="152"/>
        <v>2.7692307692307696</v>
      </c>
      <c r="AD1523" s="8" t="s">
        <v>33</v>
      </c>
      <c r="AE1523" s="11">
        <v>12990</v>
      </c>
      <c r="AF1523" s="11">
        <f t="shared" si="153"/>
        <v>77940</v>
      </c>
      <c r="AG1523" s="12" t="s">
        <v>34</v>
      </c>
      <c r="AH1523" s="8" t="s">
        <v>35</v>
      </c>
    </row>
    <row r="1524" spans="1:34">
      <c r="A1524" s="8" t="s">
        <v>2118</v>
      </c>
      <c r="B1524" s="16" t="s">
        <v>2859</v>
      </c>
      <c r="C1524" s="8" t="s">
        <v>248</v>
      </c>
      <c r="D1524" s="8" t="s">
        <v>2096</v>
      </c>
      <c r="E1524" s="8" t="str">
        <f t="shared" si="151"/>
        <v>CARAMELO</v>
      </c>
      <c r="G1524" s="8" t="s">
        <v>2861</v>
      </c>
      <c r="H1524" s="8" t="str">
        <f>VLOOKUP(A1524,[1]BBDD!$B$1:$J$3274,9,FALSE)</f>
        <v>U</v>
      </c>
      <c r="I1524" s="8" t="s">
        <v>2861</v>
      </c>
      <c r="J1524" s="8" t="s">
        <v>2117</v>
      </c>
      <c r="L1524" s="8" t="s">
        <v>61</v>
      </c>
      <c r="N1524" s="8" t="s">
        <v>62</v>
      </c>
      <c r="Q1524" s="8" t="s">
        <v>32</v>
      </c>
      <c r="R1524" s="8">
        <v>27</v>
      </c>
      <c r="S1524" s="8">
        <v>21</v>
      </c>
      <c r="T1524" s="8">
        <f t="shared" si="154"/>
        <v>48</v>
      </c>
      <c r="U1524" s="8">
        <v>0</v>
      </c>
      <c r="V1524" s="8">
        <v>3</v>
      </c>
      <c r="W1524" s="8">
        <v>1</v>
      </c>
      <c r="X1524" s="8">
        <v>6</v>
      </c>
      <c r="Y1524" s="8">
        <v>2</v>
      </c>
      <c r="Z1524" s="8">
        <v>4</v>
      </c>
      <c r="AA1524" s="8">
        <v>180</v>
      </c>
      <c r="AB1524" s="9">
        <f t="shared" si="155"/>
        <v>2.666666666666667</v>
      </c>
      <c r="AC1524" s="10">
        <f t="shared" si="152"/>
        <v>17.999999999999996</v>
      </c>
      <c r="AD1524" s="8" t="s">
        <v>33</v>
      </c>
      <c r="AE1524" s="11">
        <v>12990</v>
      </c>
      <c r="AF1524" s="11">
        <f t="shared" si="153"/>
        <v>623520</v>
      </c>
      <c r="AG1524" s="12" t="s">
        <v>64</v>
      </c>
      <c r="AH1524" s="8" t="s">
        <v>74</v>
      </c>
    </row>
    <row r="1525" spans="1:34">
      <c r="A1525" s="8" t="s">
        <v>2119</v>
      </c>
      <c r="B1525" s="16" t="s">
        <v>2859</v>
      </c>
      <c r="C1525" s="8" t="s">
        <v>248</v>
      </c>
      <c r="D1525" s="8" t="s">
        <v>2096</v>
      </c>
      <c r="E1525" s="8" t="str">
        <f t="shared" si="151"/>
        <v>CHOCOLATE</v>
      </c>
      <c r="G1525" s="8" t="s">
        <v>2861</v>
      </c>
      <c r="H1525" s="8" t="str">
        <f>VLOOKUP(A1525,[1]BBDD!$B$1:$J$3274,9,FALSE)</f>
        <v>U</v>
      </c>
      <c r="I1525" s="8" t="s">
        <v>2861</v>
      </c>
      <c r="J1525" s="8" t="s">
        <v>2117</v>
      </c>
      <c r="L1525" s="8" t="s">
        <v>61</v>
      </c>
      <c r="N1525" s="8" t="s">
        <v>252</v>
      </c>
      <c r="Q1525" s="8" t="s">
        <v>32</v>
      </c>
      <c r="R1525" s="8">
        <v>12</v>
      </c>
      <c r="S1525" s="8">
        <v>16</v>
      </c>
      <c r="T1525" s="8">
        <f t="shared" si="154"/>
        <v>28</v>
      </c>
      <c r="U1525" s="8">
        <v>7</v>
      </c>
      <c r="V1525" s="8">
        <v>0</v>
      </c>
      <c r="W1525" s="8">
        <v>4</v>
      </c>
      <c r="X1525" s="8">
        <v>4</v>
      </c>
      <c r="Y1525" s="8">
        <v>3</v>
      </c>
      <c r="Z1525" s="8">
        <v>3</v>
      </c>
      <c r="AA1525" s="8">
        <v>180</v>
      </c>
      <c r="AB1525" s="9">
        <f t="shared" si="155"/>
        <v>3.5</v>
      </c>
      <c r="AC1525" s="10">
        <f t="shared" si="152"/>
        <v>8</v>
      </c>
      <c r="AD1525" s="8" t="s">
        <v>33</v>
      </c>
      <c r="AE1525" s="11">
        <v>12990</v>
      </c>
      <c r="AF1525" s="11">
        <f t="shared" si="153"/>
        <v>363720</v>
      </c>
      <c r="AG1525" s="12" t="s">
        <v>51</v>
      </c>
      <c r="AH1525" s="8" t="s">
        <v>74</v>
      </c>
    </row>
    <row r="1526" spans="1:34">
      <c r="A1526" s="8" t="s">
        <v>2120</v>
      </c>
      <c r="B1526" s="16" t="s">
        <v>2859</v>
      </c>
      <c r="C1526" s="8" t="s">
        <v>248</v>
      </c>
      <c r="D1526" s="8" t="s">
        <v>2096</v>
      </c>
      <c r="E1526" s="8" t="str">
        <f t="shared" si="151"/>
        <v>MALBEC</v>
      </c>
      <c r="G1526" s="8" t="s">
        <v>2861</v>
      </c>
      <c r="H1526" s="8" t="str">
        <f>VLOOKUP(A1526,[1]BBDD!$B$1:$J$3274,9,FALSE)</f>
        <v>U</v>
      </c>
      <c r="I1526" s="8" t="s">
        <v>2861</v>
      </c>
      <c r="J1526" s="8" t="s">
        <v>2117</v>
      </c>
      <c r="L1526" s="8" t="s">
        <v>61</v>
      </c>
      <c r="N1526" s="8" t="s">
        <v>69</v>
      </c>
      <c r="Q1526" s="8" t="s">
        <v>32</v>
      </c>
      <c r="R1526" s="8">
        <v>11</v>
      </c>
      <c r="S1526" s="8">
        <v>17</v>
      </c>
      <c r="T1526" s="8">
        <f t="shared" si="154"/>
        <v>28</v>
      </c>
      <c r="U1526" s="8">
        <v>11</v>
      </c>
      <c r="V1526" s="8">
        <v>5</v>
      </c>
      <c r="W1526" s="8">
        <v>5</v>
      </c>
      <c r="X1526" s="8">
        <v>3</v>
      </c>
      <c r="Y1526" s="8">
        <v>4</v>
      </c>
      <c r="Z1526" s="8">
        <v>3</v>
      </c>
      <c r="AA1526" s="8">
        <v>180</v>
      </c>
      <c r="AB1526" s="9">
        <f t="shared" si="155"/>
        <v>5.166666666666667</v>
      </c>
      <c r="AC1526" s="10">
        <f t="shared" si="152"/>
        <v>5.419354838709677</v>
      </c>
      <c r="AD1526" s="8" t="s">
        <v>33</v>
      </c>
      <c r="AE1526" s="11">
        <v>12990</v>
      </c>
      <c r="AF1526" s="11">
        <f t="shared" si="153"/>
        <v>363720</v>
      </c>
      <c r="AG1526" s="12" t="s">
        <v>34</v>
      </c>
      <c r="AH1526" s="8" t="s">
        <v>74</v>
      </c>
    </row>
    <row r="1527" spans="1:34">
      <c r="A1527" s="8" t="s">
        <v>2121</v>
      </c>
      <c r="B1527" s="16" t="s">
        <v>2859</v>
      </c>
      <c r="C1527" s="8" t="s">
        <v>248</v>
      </c>
      <c r="D1527" s="8" t="s">
        <v>2096</v>
      </c>
      <c r="E1527" s="8" t="str">
        <f t="shared" si="151"/>
        <v>NEGRO</v>
      </c>
      <c r="G1527" s="8" t="s">
        <v>2861</v>
      </c>
      <c r="H1527" s="8" t="str">
        <f>VLOOKUP(A1527,[1]BBDD!$B$1:$J$3274,9,FALSE)</f>
        <v>U</v>
      </c>
      <c r="I1527" s="8" t="s">
        <v>2861</v>
      </c>
      <c r="J1527" s="8" t="s">
        <v>2117</v>
      </c>
      <c r="L1527" s="8" t="s">
        <v>61</v>
      </c>
      <c r="N1527" s="8" t="s">
        <v>44</v>
      </c>
      <c r="Q1527" s="8" t="s">
        <v>32</v>
      </c>
      <c r="R1527" s="8">
        <v>22</v>
      </c>
      <c r="S1527" s="8">
        <v>16</v>
      </c>
      <c r="T1527" s="8">
        <f t="shared" si="154"/>
        <v>38</v>
      </c>
      <c r="U1527" s="8">
        <v>1</v>
      </c>
      <c r="V1527" s="8">
        <v>3</v>
      </c>
      <c r="W1527" s="8">
        <v>1</v>
      </c>
      <c r="X1527" s="8">
        <v>4</v>
      </c>
      <c r="Y1527" s="8">
        <v>2</v>
      </c>
      <c r="Z1527" s="8">
        <v>2</v>
      </c>
      <c r="AA1527" s="8">
        <v>180</v>
      </c>
      <c r="AB1527" s="9">
        <f t="shared" si="155"/>
        <v>2.1666666666666665</v>
      </c>
      <c r="AC1527" s="10">
        <f t="shared" si="152"/>
        <v>17.53846153846154</v>
      </c>
      <c r="AD1527" s="8" t="s">
        <v>33</v>
      </c>
      <c r="AE1527" s="11">
        <v>12990</v>
      </c>
      <c r="AF1527" s="11">
        <f t="shared" si="153"/>
        <v>493620</v>
      </c>
      <c r="AG1527" s="12" t="s">
        <v>64</v>
      </c>
      <c r="AH1527" s="8" t="s">
        <v>74</v>
      </c>
    </row>
    <row r="1528" spans="1:34">
      <c r="A1528" s="8" t="s">
        <v>2122</v>
      </c>
      <c r="B1528" s="16" t="s">
        <v>2859</v>
      </c>
      <c r="C1528" s="8" t="s">
        <v>248</v>
      </c>
      <c r="D1528" s="8" t="s">
        <v>2096</v>
      </c>
      <c r="E1528" s="8" t="str">
        <f t="shared" si="151"/>
        <v>TABACO</v>
      </c>
      <c r="G1528" s="8" t="s">
        <v>2861</v>
      </c>
      <c r="H1528" s="8" t="str">
        <f>VLOOKUP(A1528,[1]BBDD!$B$1:$J$3274,9,FALSE)</f>
        <v>U</v>
      </c>
      <c r="I1528" s="8" t="s">
        <v>2861</v>
      </c>
      <c r="J1528" s="8" t="s">
        <v>2117</v>
      </c>
      <c r="L1528" s="8" t="s">
        <v>61</v>
      </c>
      <c r="N1528" s="8" t="s">
        <v>67</v>
      </c>
      <c r="Q1528" s="8" t="s">
        <v>32</v>
      </c>
      <c r="R1528" s="8">
        <v>14</v>
      </c>
      <c r="S1528" s="8">
        <v>14</v>
      </c>
      <c r="T1528" s="8">
        <f t="shared" si="154"/>
        <v>28</v>
      </c>
      <c r="U1528" s="8">
        <v>8</v>
      </c>
      <c r="V1528" s="8">
        <v>0</v>
      </c>
      <c r="W1528" s="8">
        <v>2</v>
      </c>
      <c r="X1528" s="8">
        <v>3</v>
      </c>
      <c r="Y1528" s="8">
        <v>1</v>
      </c>
      <c r="Z1528" s="8">
        <v>1</v>
      </c>
      <c r="AA1528" s="8">
        <v>180</v>
      </c>
      <c r="AB1528" s="9">
        <f t="shared" si="155"/>
        <v>2.5</v>
      </c>
      <c r="AC1528" s="10">
        <f t="shared" si="152"/>
        <v>11.2</v>
      </c>
      <c r="AD1528" s="8" t="s">
        <v>33</v>
      </c>
      <c r="AE1528" s="11">
        <v>12990</v>
      </c>
      <c r="AF1528" s="11">
        <f t="shared" si="153"/>
        <v>363720</v>
      </c>
      <c r="AG1528" s="12" t="s">
        <v>51</v>
      </c>
      <c r="AH1528" s="8" t="s">
        <v>74</v>
      </c>
    </row>
    <row r="1529" spans="1:34">
      <c r="A1529" s="8" t="s">
        <v>2123</v>
      </c>
      <c r="B1529" s="16" t="s">
        <v>2859</v>
      </c>
      <c r="C1529" s="8" t="s">
        <v>248</v>
      </c>
      <c r="D1529" s="8" t="s">
        <v>2096</v>
      </c>
      <c r="E1529" s="8" t="str">
        <f t="shared" si="151"/>
        <v>VERDE</v>
      </c>
      <c r="G1529" s="8" t="s">
        <v>2861</v>
      </c>
      <c r="H1529" s="8" t="str">
        <f>VLOOKUP(A1529,[1]BBDD!$B$1:$J$3274,9,FALSE)</f>
        <v>U</v>
      </c>
      <c r="I1529" s="8" t="s">
        <v>2861</v>
      </c>
      <c r="J1529" s="8" t="s">
        <v>2117</v>
      </c>
      <c r="L1529" s="8" t="s">
        <v>61</v>
      </c>
      <c r="N1529" s="8" t="s">
        <v>92</v>
      </c>
      <c r="Q1529" s="8" t="s">
        <v>32</v>
      </c>
      <c r="R1529" s="8">
        <v>0</v>
      </c>
      <c r="S1529" s="8">
        <v>10</v>
      </c>
      <c r="T1529" s="8">
        <f t="shared" si="154"/>
        <v>10</v>
      </c>
      <c r="U1529" s="8">
        <v>7</v>
      </c>
      <c r="V1529" s="8">
        <v>6</v>
      </c>
      <c r="W1529" s="8">
        <v>5</v>
      </c>
      <c r="X1529" s="8">
        <v>4</v>
      </c>
      <c r="Y1529" s="8">
        <v>4</v>
      </c>
      <c r="Z1529" s="8">
        <v>10</v>
      </c>
      <c r="AA1529" s="8">
        <v>180</v>
      </c>
      <c r="AB1529" s="9">
        <f t="shared" si="155"/>
        <v>6</v>
      </c>
      <c r="AC1529" s="10">
        <f t="shared" si="152"/>
        <v>1.6666666666666667</v>
      </c>
      <c r="AD1529" s="8" t="s">
        <v>33</v>
      </c>
      <c r="AE1529" s="11">
        <v>12990</v>
      </c>
      <c r="AF1529" s="11">
        <f t="shared" si="153"/>
        <v>129900</v>
      </c>
      <c r="AG1529" s="12" t="s">
        <v>34</v>
      </c>
      <c r="AH1529" s="8" t="s">
        <v>35</v>
      </c>
    </row>
    <row r="1530" spans="1:34">
      <c r="A1530" s="8" t="s">
        <v>2124</v>
      </c>
      <c r="B1530" s="16" t="s">
        <v>2859</v>
      </c>
      <c r="C1530" s="8" t="s">
        <v>248</v>
      </c>
      <c r="D1530" s="8" t="s">
        <v>2096</v>
      </c>
      <c r="E1530" s="8" t="str">
        <f t="shared" si="151"/>
        <v>ROJO</v>
      </c>
      <c r="G1530" s="8" t="s">
        <v>2861</v>
      </c>
      <c r="H1530" s="8" t="str">
        <f>VLOOKUP(A1530,[1]BBDD!$B$1:$J$3274,9,FALSE)</f>
        <v>U</v>
      </c>
      <c r="I1530" s="8" t="s">
        <v>2861</v>
      </c>
      <c r="J1530" s="8" t="s">
        <v>2117</v>
      </c>
      <c r="L1530" s="8" t="s">
        <v>61</v>
      </c>
      <c r="N1530" s="8" t="s">
        <v>88</v>
      </c>
      <c r="Q1530" s="8" t="s">
        <v>45</v>
      </c>
      <c r="R1530" s="8">
        <v>30</v>
      </c>
      <c r="S1530" s="8">
        <v>21</v>
      </c>
      <c r="T1530" s="8">
        <f t="shared" si="154"/>
        <v>51</v>
      </c>
      <c r="U1530" s="8">
        <v>1</v>
      </c>
      <c r="V1530" s="8">
        <v>1</v>
      </c>
      <c r="W1530" s="8">
        <v>0</v>
      </c>
      <c r="X1530" s="8">
        <v>3</v>
      </c>
      <c r="Y1530" s="8">
        <v>2</v>
      </c>
      <c r="Z1530" s="8">
        <v>0</v>
      </c>
      <c r="AA1530" s="8">
        <v>180</v>
      </c>
      <c r="AB1530" s="9">
        <f t="shared" si="155"/>
        <v>1.1666666666666667</v>
      </c>
      <c r="AC1530" s="10">
        <f t="shared" si="152"/>
        <v>43.714285714285708</v>
      </c>
      <c r="AD1530" s="8" t="s">
        <v>109</v>
      </c>
      <c r="AE1530" s="11">
        <v>12990</v>
      </c>
      <c r="AF1530" s="11">
        <f t="shared" si="153"/>
        <v>662490</v>
      </c>
      <c r="AG1530" s="12" t="s">
        <v>73</v>
      </c>
      <c r="AH1530" s="8" t="s">
        <v>74</v>
      </c>
    </row>
    <row r="1531" spans="1:34">
      <c r="A1531" s="8" t="s">
        <v>2125</v>
      </c>
      <c r="B1531" s="16" t="s">
        <v>2859</v>
      </c>
      <c r="C1531" s="8" t="s">
        <v>248</v>
      </c>
      <c r="D1531" s="8" t="s">
        <v>2096</v>
      </c>
      <c r="E1531" s="8" t="str">
        <f t="shared" si="151"/>
        <v>CEDRO</v>
      </c>
      <c r="G1531" s="8" t="s">
        <v>2861</v>
      </c>
      <c r="H1531" s="8" t="str">
        <f>VLOOKUP(A1531,[1]BBDD!$B$1:$J$3274,9,FALSE)</f>
        <v>U</v>
      </c>
      <c r="I1531" s="8" t="s">
        <v>2861</v>
      </c>
      <c r="J1531" s="8" t="s">
        <v>2117</v>
      </c>
      <c r="L1531" s="8" t="s">
        <v>112</v>
      </c>
      <c r="N1531" s="8" t="s">
        <v>113</v>
      </c>
      <c r="Q1531" s="8" t="s">
        <v>32</v>
      </c>
      <c r="R1531" s="8">
        <v>0</v>
      </c>
      <c r="S1531" s="8">
        <v>13</v>
      </c>
      <c r="T1531" s="8">
        <f t="shared" si="154"/>
        <v>13</v>
      </c>
      <c r="U1531" s="8">
        <v>6</v>
      </c>
      <c r="V1531" s="8">
        <v>1</v>
      </c>
      <c r="W1531" s="8">
        <v>3</v>
      </c>
      <c r="X1531" s="8">
        <v>4</v>
      </c>
      <c r="Y1531" s="8">
        <v>3</v>
      </c>
      <c r="Z1531" s="8">
        <v>3</v>
      </c>
      <c r="AA1531" s="8">
        <v>180</v>
      </c>
      <c r="AB1531" s="9">
        <f t="shared" si="155"/>
        <v>3.333333333333333</v>
      </c>
      <c r="AC1531" s="10">
        <f t="shared" si="152"/>
        <v>3.9000000000000004</v>
      </c>
      <c r="AD1531" s="8" t="s">
        <v>33</v>
      </c>
      <c r="AE1531" s="11">
        <v>12990</v>
      </c>
      <c r="AF1531" s="11">
        <f t="shared" si="153"/>
        <v>168870</v>
      </c>
      <c r="AG1531" s="12" t="s">
        <v>34</v>
      </c>
      <c r="AH1531" s="8" t="s">
        <v>65</v>
      </c>
    </row>
    <row r="1532" spans="1:34">
      <c r="A1532" s="8" t="s">
        <v>2126</v>
      </c>
      <c r="B1532" s="16" t="s">
        <v>2859</v>
      </c>
      <c r="C1532" s="8" t="s">
        <v>248</v>
      </c>
      <c r="D1532" s="8" t="s">
        <v>2096</v>
      </c>
      <c r="E1532" s="8" t="str">
        <f t="shared" si="151"/>
        <v>AZUL</v>
      </c>
      <c r="G1532" s="8" t="s">
        <v>2861</v>
      </c>
      <c r="H1532" s="8" t="str">
        <f>VLOOKUP(A1532,[1]BBDD!$B$1:$J$3274,9,FALSE)</f>
        <v>U</v>
      </c>
      <c r="I1532" s="8" t="s">
        <v>2861</v>
      </c>
      <c r="J1532" s="8" t="s">
        <v>2117</v>
      </c>
      <c r="L1532" s="8" t="s">
        <v>238</v>
      </c>
      <c r="N1532" s="8" t="s">
        <v>83</v>
      </c>
      <c r="Q1532" s="8" t="s">
        <v>32</v>
      </c>
      <c r="R1532" s="8">
        <v>15</v>
      </c>
      <c r="S1532" s="8">
        <v>14</v>
      </c>
      <c r="T1532" s="8">
        <f t="shared" si="154"/>
        <v>29</v>
      </c>
      <c r="U1532" s="8">
        <v>2</v>
      </c>
      <c r="V1532" s="8">
        <v>2</v>
      </c>
      <c r="W1532" s="8">
        <v>5</v>
      </c>
      <c r="X1532" s="8">
        <v>0</v>
      </c>
      <c r="Y1532" s="8">
        <v>3</v>
      </c>
      <c r="Z1532" s="8">
        <v>1</v>
      </c>
      <c r="AA1532" s="8">
        <v>180</v>
      </c>
      <c r="AB1532" s="9">
        <f t="shared" si="155"/>
        <v>2.1666666666666665</v>
      </c>
      <c r="AC1532" s="10">
        <f t="shared" si="152"/>
        <v>13.384615384615385</v>
      </c>
      <c r="AD1532" s="8" t="s">
        <v>33</v>
      </c>
      <c r="AE1532" s="11">
        <v>13990</v>
      </c>
      <c r="AF1532" s="11">
        <f t="shared" si="153"/>
        <v>405710</v>
      </c>
      <c r="AG1532" s="12" t="s">
        <v>64</v>
      </c>
      <c r="AH1532" s="8" t="s">
        <v>74</v>
      </c>
    </row>
    <row r="1533" spans="1:34">
      <c r="A1533" s="8" t="s">
        <v>2127</v>
      </c>
      <c r="B1533" s="16" t="s">
        <v>2859</v>
      </c>
      <c r="C1533" s="8" t="s">
        <v>248</v>
      </c>
      <c r="D1533" s="8" t="s">
        <v>2096</v>
      </c>
      <c r="E1533" s="8" t="str">
        <f t="shared" si="151"/>
        <v>CARAMELO</v>
      </c>
      <c r="G1533" s="8" t="s">
        <v>2861</v>
      </c>
      <c r="H1533" s="8" t="str">
        <f>VLOOKUP(A1533,[1]BBDD!$B$1:$J$3274,9,FALSE)</f>
        <v>U</v>
      </c>
      <c r="I1533" s="8" t="s">
        <v>2861</v>
      </c>
      <c r="J1533" s="8" t="s">
        <v>2117</v>
      </c>
      <c r="L1533" s="8" t="s">
        <v>238</v>
      </c>
      <c r="N1533" s="8" t="s">
        <v>62</v>
      </c>
      <c r="Q1533" s="8" t="s">
        <v>32</v>
      </c>
      <c r="R1533" s="8">
        <v>0</v>
      </c>
      <c r="S1533" s="8">
        <v>7</v>
      </c>
      <c r="T1533" s="8">
        <f t="shared" si="154"/>
        <v>7</v>
      </c>
      <c r="U1533" s="8">
        <v>1</v>
      </c>
      <c r="V1533" s="8">
        <v>3</v>
      </c>
      <c r="W1533" s="8">
        <v>4</v>
      </c>
      <c r="X1533" s="8">
        <v>2</v>
      </c>
      <c r="Y1533" s="8">
        <v>4</v>
      </c>
      <c r="Z1533" s="8">
        <v>3</v>
      </c>
      <c r="AA1533" s="8">
        <v>180</v>
      </c>
      <c r="AB1533" s="9">
        <f t="shared" si="155"/>
        <v>2.833333333333333</v>
      </c>
      <c r="AC1533" s="10">
        <f t="shared" si="152"/>
        <v>2.4705882352941178</v>
      </c>
      <c r="AD1533" s="8" t="s">
        <v>33</v>
      </c>
      <c r="AE1533" s="11">
        <v>13990</v>
      </c>
      <c r="AF1533" s="11">
        <f t="shared" si="153"/>
        <v>97930</v>
      </c>
      <c r="AG1533" s="12" t="s">
        <v>34</v>
      </c>
      <c r="AH1533" s="8" t="s">
        <v>35</v>
      </c>
    </row>
    <row r="1534" spans="1:34">
      <c r="A1534" s="8" t="s">
        <v>2128</v>
      </c>
      <c r="B1534" s="16" t="s">
        <v>2859</v>
      </c>
      <c r="C1534" s="8" t="s">
        <v>248</v>
      </c>
      <c r="D1534" s="8" t="s">
        <v>2096</v>
      </c>
      <c r="E1534" s="8" t="str">
        <f t="shared" si="151"/>
        <v>ROJO</v>
      </c>
      <c r="G1534" s="8" t="s">
        <v>2861</v>
      </c>
      <c r="H1534" s="8" t="str">
        <f>VLOOKUP(A1534,[1]BBDD!$B$1:$J$3274,9,FALSE)</f>
        <v>U</v>
      </c>
      <c r="I1534" s="8" t="s">
        <v>2861</v>
      </c>
      <c r="J1534" s="8" t="s">
        <v>2117</v>
      </c>
      <c r="L1534" s="8" t="s">
        <v>238</v>
      </c>
      <c r="N1534" s="8" t="s">
        <v>88</v>
      </c>
      <c r="Q1534" s="8" t="s">
        <v>32</v>
      </c>
      <c r="R1534" s="8">
        <v>0</v>
      </c>
      <c r="S1534" s="8">
        <v>3</v>
      </c>
      <c r="T1534" s="8">
        <f t="shared" si="154"/>
        <v>3</v>
      </c>
      <c r="U1534" s="8">
        <v>8</v>
      </c>
      <c r="V1534" s="8">
        <v>3</v>
      </c>
      <c r="W1534" s="8">
        <v>4</v>
      </c>
      <c r="X1534" s="8">
        <v>1</v>
      </c>
      <c r="Y1534" s="8">
        <v>1</v>
      </c>
      <c r="Z1534" s="8">
        <v>0</v>
      </c>
      <c r="AA1534" s="8">
        <v>180</v>
      </c>
      <c r="AB1534" s="9">
        <f t="shared" si="155"/>
        <v>2.833333333333333</v>
      </c>
      <c r="AC1534" s="10">
        <f t="shared" si="152"/>
        <v>1.0588235294117647</v>
      </c>
      <c r="AD1534" s="8" t="s">
        <v>33</v>
      </c>
      <c r="AE1534" s="11">
        <v>13990</v>
      </c>
      <c r="AF1534" s="11">
        <f t="shared" si="153"/>
        <v>41970</v>
      </c>
      <c r="AG1534" s="12" t="s">
        <v>34</v>
      </c>
      <c r="AH1534" s="8" t="s">
        <v>35</v>
      </c>
    </row>
    <row r="1535" spans="1:34">
      <c r="A1535" s="8" t="s">
        <v>2129</v>
      </c>
      <c r="B1535" s="16" t="s">
        <v>2859</v>
      </c>
      <c r="C1535" s="8" t="s">
        <v>248</v>
      </c>
      <c r="D1535" s="8" t="s">
        <v>2096</v>
      </c>
      <c r="E1535" s="8" t="str">
        <f t="shared" si="151"/>
        <v>VERDE</v>
      </c>
      <c r="G1535" s="8" t="s">
        <v>2861</v>
      </c>
      <c r="H1535" s="8" t="str">
        <f>VLOOKUP(A1535,[1]BBDD!$B$1:$J$3274,9,FALSE)</f>
        <v>U</v>
      </c>
      <c r="I1535" s="8" t="s">
        <v>2861</v>
      </c>
      <c r="J1535" s="8" t="s">
        <v>2117</v>
      </c>
      <c r="L1535" s="8" t="s">
        <v>238</v>
      </c>
      <c r="N1535" s="8" t="s">
        <v>92</v>
      </c>
      <c r="Q1535" s="8" t="s">
        <v>32</v>
      </c>
      <c r="R1535" s="8">
        <v>0</v>
      </c>
      <c r="S1535" s="8">
        <v>7</v>
      </c>
      <c r="T1535" s="8">
        <f t="shared" si="154"/>
        <v>7</v>
      </c>
      <c r="U1535" s="8">
        <v>4</v>
      </c>
      <c r="V1535" s="8">
        <v>6</v>
      </c>
      <c r="W1535" s="8">
        <v>1</v>
      </c>
      <c r="X1535" s="8">
        <v>1</v>
      </c>
      <c r="Y1535" s="8">
        <v>0</v>
      </c>
      <c r="Z1535" s="8">
        <v>1</v>
      </c>
      <c r="AA1535" s="8">
        <v>180</v>
      </c>
      <c r="AB1535" s="9">
        <f t="shared" si="155"/>
        <v>2.1666666666666665</v>
      </c>
      <c r="AC1535" s="10">
        <f t="shared" si="152"/>
        <v>3.2307692307692308</v>
      </c>
      <c r="AD1535" s="8" t="s">
        <v>33</v>
      </c>
      <c r="AE1535" s="11">
        <v>13990</v>
      </c>
      <c r="AF1535" s="11">
        <f t="shared" si="153"/>
        <v>97930</v>
      </c>
      <c r="AG1535" s="12" t="s">
        <v>34</v>
      </c>
      <c r="AH1535" s="8" t="s">
        <v>35</v>
      </c>
    </row>
    <row r="1536" spans="1:34">
      <c r="A1536" s="8" t="s">
        <v>2130</v>
      </c>
      <c r="B1536" s="16" t="s">
        <v>2859</v>
      </c>
      <c r="C1536" s="8" t="s">
        <v>248</v>
      </c>
      <c r="D1536" s="8" t="s">
        <v>2096</v>
      </c>
      <c r="E1536" s="8" t="str">
        <f t="shared" si="151"/>
        <v>NEGRO</v>
      </c>
      <c r="G1536" s="8" t="s">
        <v>2861</v>
      </c>
      <c r="H1536" s="8" t="str">
        <f>VLOOKUP(A1536,[1]BBDD!$B$1:$J$3274,9,FALSE)</f>
        <v>U</v>
      </c>
      <c r="I1536" s="8" t="s">
        <v>2861</v>
      </c>
      <c r="J1536" s="8" t="s">
        <v>2117</v>
      </c>
      <c r="L1536" s="8" t="s">
        <v>238</v>
      </c>
      <c r="N1536" s="8" t="s">
        <v>44</v>
      </c>
      <c r="Q1536" s="8" t="s">
        <v>45</v>
      </c>
      <c r="R1536" s="8">
        <v>30</v>
      </c>
      <c r="S1536" s="8">
        <v>18</v>
      </c>
      <c r="T1536" s="8">
        <f t="shared" si="154"/>
        <v>48</v>
      </c>
      <c r="U1536" s="8">
        <v>2</v>
      </c>
      <c r="V1536" s="8">
        <v>2</v>
      </c>
      <c r="W1536" s="8">
        <v>4</v>
      </c>
      <c r="X1536" s="8">
        <v>0</v>
      </c>
      <c r="Y1536" s="8">
        <v>2</v>
      </c>
      <c r="Z1536" s="8">
        <v>1</v>
      </c>
      <c r="AA1536" s="8">
        <v>180</v>
      </c>
      <c r="AB1536" s="9">
        <f t="shared" si="155"/>
        <v>1.8333333333333333</v>
      </c>
      <c r="AC1536" s="10">
        <f t="shared" si="152"/>
        <v>26.181818181818183</v>
      </c>
      <c r="AD1536" s="8" t="s">
        <v>109</v>
      </c>
      <c r="AE1536" s="11">
        <v>13990</v>
      </c>
      <c r="AF1536" s="11">
        <f t="shared" si="153"/>
        <v>671520</v>
      </c>
      <c r="AG1536" s="12" t="s">
        <v>73</v>
      </c>
      <c r="AH1536" s="8" t="s">
        <v>74</v>
      </c>
    </row>
    <row r="1537" spans="1:34">
      <c r="A1537" s="8" t="s">
        <v>2131</v>
      </c>
      <c r="B1537" s="16" t="s">
        <v>2859</v>
      </c>
      <c r="C1537" s="8" t="s">
        <v>248</v>
      </c>
      <c r="D1537" s="8" t="s">
        <v>2096</v>
      </c>
      <c r="E1537" s="8" t="str">
        <f t="shared" si="151"/>
        <v>AZUL</v>
      </c>
      <c r="G1537" s="8" t="s">
        <v>2861</v>
      </c>
      <c r="H1537" s="8" t="str">
        <f>VLOOKUP(A1537,[1]BBDD!$B$1:$J$3274,9,FALSE)</f>
        <v>U</v>
      </c>
      <c r="I1537" s="8" t="s">
        <v>2861</v>
      </c>
      <c r="J1537" s="8" t="s">
        <v>2117</v>
      </c>
      <c r="L1537" s="8" t="s">
        <v>119</v>
      </c>
      <c r="N1537" s="8" t="s">
        <v>83</v>
      </c>
      <c r="Q1537" s="8" t="s">
        <v>32</v>
      </c>
      <c r="R1537" s="8">
        <v>1</v>
      </c>
      <c r="S1537" s="8">
        <v>7</v>
      </c>
      <c r="T1537" s="8">
        <f t="shared" si="154"/>
        <v>8</v>
      </c>
      <c r="U1537" s="8">
        <v>0</v>
      </c>
      <c r="V1537" s="8">
        <v>1</v>
      </c>
      <c r="W1537" s="8">
        <v>2</v>
      </c>
      <c r="X1537" s="8">
        <v>2</v>
      </c>
      <c r="Y1537" s="8">
        <v>0</v>
      </c>
      <c r="Z1537" s="8">
        <v>1</v>
      </c>
      <c r="AA1537" s="8">
        <v>180</v>
      </c>
      <c r="AB1537" s="9">
        <f t="shared" si="155"/>
        <v>1</v>
      </c>
      <c r="AC1537" s="10">
        <f t="shared" si="152"/>
        <v>8</v>
      </c>
      <c r="AD1537" s="8" t="s">
        <v>33</v>
      </c>
      <c r="AE1537" s="11">
        <v>12990</v>
      </c>
      <c r="AF1537" s="11">
        <f t="shared" si="153"/>
        <v>103920</v>
      </c>
      <c r="AG1537" s="12" t="s">
        <v>51</v>
      </c>
      <c r="AH1537" s="8" t="s">
        <v>35</v>
      </c>
    </row>
    <row r="1538" spans="1:34">
      <c r="A1538" s="8" t="s">
        <v>2132</v>
      </c>
      <c r="B1538" s="16" t="s">
        <v>2859</v>
      </c>
      <c r="C1538" s="8" t="s">
        <v>248</v>
      </c>
      <c r="D1538" s="8" t="s">
        <v>2096</v>
      </c>
      <c r="E1538" s="8" t="str">
        <f t="shared" si="151"/>
        <v>VERDE</v>
      </c>
      <c r="G1538" s="8" t="s">
        <v>2861</v>
      </c>
      <c r="H1538" s="8" t="str">
        <f>VLOOKUP(A1538,[1]BBDD!$B$1:$J$3274,9,FALSE)</f>
        <v>U</v>
      </c>
      <c r="I1538" s="8" t="s">
        <v>2861</v>
      </c>
      <c r="J1538" s="8" t="s">
        <v>2117</v>
      </c>
      <c r="L1538" s="8" t="s">
        <v>119</v>
      </c>
      <c r="N1538" s="8" t="s">
        <v>92</v>
      </c>
      <c r="Q1538" s="8" t="s">
        <v>32</v>
      </c>
      <c r="R1538" s="8">
        <v>0</v>
      </c>
      <c r="S1538" s="8">
        <v>1</v>
      </c>
      <c r="T1538" s="8">
        <f t="shared" si="154"/>
        <v>1</v>
      </c>
      <c r="U1538" s="8">
        <v>0</v>
      </c>
      <c r="V1538" s="8">
        <v>0</v>
      </c>
      <c r="W1538" s="8">
        <v>1</v>
      </c>
      <c r="X1538" s="8">
        <v>0</v>
      </c>
      <c r="Y1538" s="8">
        <v>2</v>
      </c>
      <c r="Z1538" s="8">
        <v>0</v>
      </c>
      <c r="AA1538" s="8">
        <v>180</v>
      </c>
      <c r="AB1538" s="9">
        <f t="shared" si="155"/>
        <v>0.5</v>
      </c>
      <c r="AC1538" s="10">
        <f t="shared" si="152"/>
        <v>2</v>
      </c>
      <c r="AD1538" s="8" t="s">
        <v>33</v>
      </c>
      <c r="AE1538" s="11">
        <v>12990</v>
      </c>
      <c r="AF1538" s="11">
        <f t="shared" si="153"/>
        <v>12990</v>
      </c>
      <c r="AG1538" s="12" t="s">
        <v>34</v>
      </c>
      <c r="AH1538" s="8" t="s">
        <v>35</v>
      </c>
    </row>
    <row r="1539" spans="1:34">
      <c r="A1539" s="8" t="s">
        <v>2133</v>
      </c>
      <c r="B1539" s="16" t="s">
        <v>2859</v>
      </c>
      <c r="C1539" s="8" t="s">
        <v>248</v>
      </c>
      <c r="D1539" s="8" t="s">
        <v>2096</v>
      </c>
      <c r="E1539" s="8" t="str">
        <f t="shared" ref="E1539:E1602" si="156">TRIM(N1539)</f>
        <v>AZUL</v>
      </c>
      <c r="G1539" s="8" t="s">
        <v>2861</v>
      </c>
      <c r="H1539" s="8" t="str">
        <f>VLOOKUP(A1539,[1]BBDD!$B$1:$J$3274,9,FALSE)</f>
        <v>U</v>
      </c>
      <c r="I1539" s="8" t="s">
        <v>2861</v>
      </c>
      <c r="J1539" s="8" t="s">
        <v>2117</v>
      </c>
      <c r="L1539" s="8" t="s">
        <v>82</v>
      </c>
      <c r="N1539" s="8" t="s">
        <v>83</v>
      </c>
      <c r="Q1539" s="8" t="s">
        <v>32</v>
      </c>
      <c r="R1539" s="8">
        <v>9</v>
      </c>
      <c r="S1539" s="8">
        <v>20</v>
      </c>
      <c r="T1539" s="8">
        <f t="shared" si="154"/>
        <v>29</v>
      </c>
      <c r="U1539" s="8">
        <v>1</v>
      </c>
      <c r="V1539" s="8">
        <v>1</v>
      </c>
      <c r="W1539" s="8">
        <v>2</v>
      </c>
      <c r="X1539" s="8">
        <v>2</v>
      </c>
      <c r="Y1539" s="8">
        <v>1</v>
      </c>
      <c r="Z1539" s="8">
        <v>1</v>
      </c>
      <c r="AA1539" s="8">
        <v>180</v>
      </c>
      <c r="AB1539" s="9">
        <f t="shared" si="155"/>
        <v>1.3333333333333335</v>
      </c>
      <c r="AC1539" s="10">
        <f t="shared" ref="AC1539:AC1602" si="157">IFERROR(T1539/AB1539,"sin venta")</f>
        <v>21.749999999999996</v>
      </c>
      <c r="AD1539" s="8" t="s">
        <v>33</v>
      </c>
      <c r="AE1539" s="11">
        <v>12990</v>
      </c>
      <c r="AF1539" s="11">
        <f t="shared" ref="AF1539:AF1602" si="158">IFERROR(AE1539*T1539,0)</f>
        <v>376710</v>
      </c>
      <c r="AG1539" s="12" t="s">
        <v>64</v>
      </c>
      <c r="AH1539" s="8" t="s">
        <v>74</v>
      </c>
    </row>
    <row r="1540" spans="1:34">
      <c r="A1540" s="8" t="s">
        <v>2134</v>
      </c>
      <c r="B1540" s="16" t="s">
        <v>2859</v>
      </c>
      <c r="C1540" s="8" t="s">
        <v>248</v>
      </c>
      <c r="D1540" s="8" t="s">
        <v>2096</v>
      </c>
      <c r="E1540" s="8" t="str">
        <f t="shared" si="156"/>
        <v>NEGRO</v>
      </c>
      <c r="G1540" s="8" t="s">
        <v>2861</v>
      </c>
      <c r="H1540" s="8" t="str">
        <f>VLOOKUP(A1540,[1]BBDD!$B$1:$J$3274,9,FALSE)</f>
        <v>U</v>
      </c>
      <c r="I1540" s="8" t="s">
        <v>2861</v>
      </c>
      <c r="J1540" s="8" t="s">
        <v>2117</v>
      </c>
      <c r="L1540" s="8" t="s">
        <v>82</v>
      </c>
      <c r="N1540" s="8" t="s">
        <v>44</v>
      </c>
      <c r="Q1540" s="8" t="s">
        <v>32</v>
      </c>
      <c r="R1540" s="8">
        <v>3</v>
      </c>
      <c r="S1540" s="8">
        <v>18</v>
      </c>
      <c r="T1540" s="8">
        <f t="shared" si="154"/>
        <v>21</v>
      </c>
      <c r="U1540" s="8">
        <v>5</v>
      </c>
      <c r="V1540" s="8">
        <v>2</v>
      </c>
      <c r="W1540" s="8">
        <v>2</v>
      </c>
      <c r="X1540" s="8">
        <v>1</v>
      </c>
      <c r="Y1540" s="8">
        <v>5</v>
      </c>
      <c r="Z1540" s="8">
        <v>3</v>
      </c>
      <c r="AA1540" s="8">
        <v>180</v>
      </c>
      <c r="AB1540" s="9">
        <f t="shared" si="155"/>
        <v>3</v>
      </c>
      <c r="AC1540" s="10">
        <f t="shared" si="157"/>
        <v>7</v>
      </c>
      <c r="AD1540" s="8" t="s">
        <v>33</v>
      </c>
      <c r="AE1540" s="11">
        <v>12990</v>
      </c>
      <c r="AF1540" s="11">
        <f t="shared" si="158"/>
        <v>272790</v>
      </c>
      <c r="AG1540" s="12" t="s">
        <v>51</v>
      </c>
      <c r="AH1540" s="8" t="s">
        <v>74</v>
      </c>
    </row>
    <row r="1541" spans="1:34">
      <c r="A1541" s="8" t="s">
        <v>2135</v>
      </c>
      <c r="B1541" s="16" t="s">
        <v>2859</v>
      </c>
      <c r="C1541" s="8" t="s">
        <v>248</v>
      </c>
      <c r="D1541" s="8" t="s">
        <v>2096</v>
      </c>
      <c r="E1541" s="8" t="str">
        <f t="shared" si="156"/>
        <v>ROJO</v>
      </c>
      <c r="G1541" s="8" t="s">
        <v>2861</v>
      </c>
      <c r="H1541" s="8" t="str">
        <f>VLOOKUP(A1541,[1]BBDD!$B$1:$J$3274,9,FALSE)</f>
        <v>U</v>
      </c>
      <c r="I1541" s="8" t="s">
        <v>2861</v>
      </c>
      <c r="J1541" s="8" t="s">
        <v>2117</v>
      </c>
      <c r="L1541" s="8" t="s">
        <v>82</v>
      </c>
      <c r="N1541" s="8" t="s">
        <v>88</v>
      </c>
      <c r="Q1541" s="8" t="s">
        <v>32</v>
      </c>
      <c r="R1541" s="8">
        <v>2</v>
      </c>
      <c r="S1541" s="8">
        <v>17</v>
      </c>
      <c r="T1541" s="8">
        <f t="shared" si="154"/>
        <v>19</v>
      </c>
      <c r="U1541" s="8">
        <v>9</v>
      </c>
      <c r="V1541" s="8">
        <v>6</v>
      </c>
      <c r="W1541" s="8">
        <v>5</v>
      </c>
      <c r="X1541" s="8">
        <v>4</v>
      </c>
      <c r="Y1541" s="8">
        <v>6</v>
      </c>
      <c r="Z1541" s="8">
        <v>4</v>
      </c>
      <c r="AA1541" s="8">
        <v>180</v>
      </c>
      <c r="AB1541" s="9">
        <f t="shared" si="155"/>
        <v>5.6666666666666661</v>
      </c>
      <c r="AC1541" s="10">
        <f t="shared" si="157"/>
        <v>3.3529411764705888</v>
      </c>
      <c r="AD1541" s="8" t="s">
        <v>33</v>
      </c>
      <c r="AE1541" s="11">
        <v>12990</v>
      </c>
      <c r="AF1541" s="11">
        <f t="shared" si="158"/>
        <v>246810</v>
      </c>
      <c r="AG1541" s="12" t="s">
        <v>34</v>
      </c>
      <c r="AH1541" s="8" t="s">
        <v>65</v>
      </c>
    </row>
    <row r="1542" spans="1:34">
      <c r="A1542" s="8" t="s">
        <v>2136</v>
      </c>
      <c r="B1542" s="16" t="s">
        <v>2859</v>
      </c>
      <c r="C1542" s="8" t="s">
        <v>248</v>
      </c>
      <c r="D1542" s="8" t="s">
        <v>2096</v>
      </c>
      <c r="E1542" s="8" t="str">
        <f t="shared" si="156"/>
        <v>SUELA</v>
      </c>
      <c r="G1542" s="8" t="s">
        <v>2861</v>
      </c>
      <c r="H1542" s="8" t="str">
        <f>VLOOKUP(A1542,[1]BBDD!$B$1:$J$3274,9,FALSE)</f>
        <v>U</v>
      </c>
      <c r="I1542" s="8" t="s">
        <v>2861</v>
      </c>
      <c r="J1542" s="8" t="s">
        <v>2117</v>
      </c>
      <c r="L1542" s="8" t="s">
        <v>82</v>
      </c>
      <c r="N1542" s="8" t="s">
        <v>90</v>
      </c>
      <c r="Q1542" s="8" t="s">
        <v>32</v>
      </c>
      <c r="R1542" s="8">
        <v>4</v>
      </c>
      <c r="S1542" s="8">
        <v>12</v>
      </c>
      <c r="T1542" s="8">
        <f t="shared" si="154"/>
        <v>16</v>
      </c>
      <c r="U1542" s="8">
        <v>3</v>
      </c>
      <c r="V1542" s="8">
        <v>0</v>
      </c>
      <c r="W1542" s="8">
        <v>4</v>
      </c>
      <c r="X1542" s="8">
        <v>7</v>
      </c>
      <c r="Y1542" s="8">
        <v>2</v>
      </c>
      <c r="Z1542" s="8">
        <v>2</v>
      </c>
      <c r="AA1542" s="8">
        <v>180</v>
      </c>
      <c r="AB1542" s="9">
        <f t="shared" si="155"/>
        <v>3</v>
      </c>
      <c r="AC1542" s="10">
        <f t="shared" si="157"/>
        <v>5.333333333333333</v>
      </c>
      <c r="AD1542" s="8" t="s">
        <v>33</v>
      </c>
      <c r="AE1542" s="11">
        <v>12990</v>
      </c>
      <c r="AF1542" s="11">
        <f t="shared" si="158"/>
        <v>207840</v>
      </c>
      <c r="AG1542" s="12" t="s">
        <v>34</v>
      </c>
      <c r="AH1542" s="8" t="s">
        <v>65</v>
      </c>
    </row>
    <row r="1543" spans="1:34">
      <c r="A1543" s="8" t="s">
        <v>2137</v>
      </c>
      <c r="B1543" s="16" t="s">
        <v>2859</v>
      </c>
      <c r="C1543" s="8" t="s">
        <v>248</v>
      </c>
      <c r="D1543" s="8" t="s">
        <v>2096</v>
      </c>
      <c r="E1543" s="8" t="str">
        <f t="shared" si="156"/>
        <v>HOLANDO</v>
      </c>
      <c r="G1543" s="8" t="s">
        <v>2861</v>
      </c>
      <c r="H1543" s="8" t="str">
        <f>VLOOKUP(A1543,[1]BBDD!$B$1:$J$3274,9,FALSE)</f>
        <v>U</v>
      </c>
      <c r="I1543" s="8" t="s">
        <v>2861</v>
      </c>
      <c r="J1543" s="8" t="s">
        <v>2117</v>
      </c>
      <c r="L1543" s="8" t="s">
        <v>30</v>
      </c>
      <c r="N1543" s="8" t="s">
        <v>31</v>
      </c>
      <c r="Q1543" s="8" t="s">
        <v>32</v>
      </c>
      <c r="R1543" s="8">
        <v>0</v>
      </c>
      <c r="S1543" s="8">
        <v>3</v>
      </c>
      <c r="T1543" s="8">
        <f t="shared" si="154"/>
        <v>3</v>
      </c>
      <c r="U1543" s="8">
        <v>0</v>
      </c>
      <c r="V1543" s="8">
        <v>0</v>
      </c>
      <c r="W1543" s="8">
        <v>0</v>
      </c>
      <c r="X1543" s="8">
        <v>0</v>
      </c>
      <c r="Y1543" s="8">
        <v>1</v>
      </c>
      <c r="Z1543" s="8">
        <v>3</v>
      </c>
      <c r="AA1543" s="8">
        <v>180</v>
      </c>
      <c r="AB1543" s="9">
        <f t="shared" si="155"/>
        <v>0.66666666666666674</v>
      </c>
      <c r="AC1543" s="10">
        <f t="shared" si="157"/>
        <v>4.4999999999999991</v>
      </c>
      <c r="AD1543" s="8" t="s">
        <v>33</v>
      </c>
      <c r="AE1543" s="11">
        <v>12990</v>
      </c>
      <c r="AF1543" s="11">
        <f t="shared" si="158"/>
        <v>38970</v>
      </c>
      <c r="AG1543" s="12" t="s">
        <v>34</v>
      </c>
      <c r="AH1543" s="8" t="s">
        <v>35</v>
      </c>
    </row>
    <row r="1544" spans="1:34">
      <c r="A1544" s="8" t="s">
        <v>2138</v>
      </c>
      <c r="B1544" s="16" t="s">
        <v>2859</v>
      </c>
      <c r="C1544" s="8" t="s">
        <v>248</v>
      </c>
      <c r="D1544" s="8" t="s">
        <v>2096</v>
      </c>
      <c r="E1544" s="8" t="str">
        <f t="shared" si="156"/>
        <v>HEREFORD</v>
      </c>
      <c r="G1544" s="8" t="s">
        <v>2861</v>
      </c>
      <c r="H1544" s="8" t="str">
        <f>VLOOKUP(A1544,[1]BBDD!$B$1:$J$3274,9,FALSE)</f>
        <v>U</v>
      </c>
      <c r="I1544" s="8" t="s">
        <v>2861</v>
      </c>
      <c r="J1544" s="8" t="s">
        <v>2117</v>
      </c>
      <c r="L1544" s="8" t="s">
        <v>30</v>
      </c>
      <c r="N1544" s="8" t="s">
        <v>37</v>
      </c>
      <c r="Q1544" s="8" t="s">
        <v>32</v>
      </c>
      <c r="R1544" s="8">
        <v>0</v>
      </c>
      <c r="S1544" s="8">
        <v>0</v>
      </c>
      <c r="T1544" s="8">
        <f t="shared" si="154"/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4</v>
      </c>
      <c r="Z1544" s="8">
        <v>2</v>
      </c>
      <c r="AA1544" s="8">
        <v>180</v>
      </c>
      <c r="AB1544" s="9">
        <f t="shared" si="155"/>
        <v>1</v>
      </c>
      <c r="AC1544" s="10">
        <f t="shared" si="157"/>
        <v>0</v>
      </c>
      <c r="AD1544" s="8" t="s">
        <v>33</v>
      </c>
      <c r="AE1544" s="11">
        <v>12990</v>
      </c>
      <c r="AF1544" s="11">
        <f t="shared" si="158"/>
        <v>0</v>
      </c>
      <c r="AG1544" s="12" t="s">
        <v>34</v>
      </c>
      <c r="AH1544" s="8" t="s">
        <v>35</v>
      </c>
    </row>
    <row r="1545" spans="1:34">
      <c r="A1545" s="8" t="s">
        <v>2139</v>
      </c>
      <c r="B1545" s="16" t="s">
        <v>2859</v>
      </c>
      <c r="C1545" s="8" t="s">
        <v>248</v>
      </c>
      <c r="D1545" s="8" t="s">
        <v>2096</v>
      </c>
      <c r="E1545" s="8" t="str">
        <f t="shared" si="156"/>
        <v>AZUL</v>
      </c>
      <c r="G1545" s="8" t="s">
        <v>2861</v>
      </c>
      <c r="H1545" s="8" t="str">
        <f>VLOOKUP(A1545,[1]BBDD!$B$1:$J$3274,9,FALSE)</f>
        <v>U</v>
      </c>
      <c r="I1545" s="8" t="s">
        <v>2861</v>
      </c>
      <c r="J1545" s="8" t="s">
        <v>2140</v>
      </c>
      <c r="L1545" s="8" t="s">
        <v>119</v>
      </c>
      <c r="N1545" s="8" t="s">
        <v>83</v>
      </c>
      <c r="Q1545" s="8" t="s">
        <v>32</v>
      </c>
      <c r="R1545" s="8">
        <v>4</v>
      </c>
      <c r="S1545" s="8">
        <v>10</v>
      </c>
      <c r="T1545" s="8">
        <f t="shared" si="154"/>
        <v>14</v>
      </c>
      <c r="U1545" s="8">
        <v>0</v>
      </c>
      <c r="V1545" s="8">
        <v>0</v>
      </c>
      <c r="W1545" s="8">
        <v>0</v>
      </c>
      <c r="X1545" s="8">
        <v>3</v>
      </c>
      <c r="Y1545" s="8">
        <v>2</v>
      </c>
      <c r="Z1545" s="8">
        <v>3</v>
      </c>
      <c r="AA1545" s="8">
        <v>89</v>
      </c>
      <c r="AB1545" s="9">
        <f t="shared" si="155"/>
        <v>2.696629213483146</v>
      </c>
      <c r="AC1545" s="10">
        <f t="shared" si="157"/>
        <v>5.1916666666666664</v>
      </c>
      <c r="AD1545" s="8" t="s">
        <v>33</v>
      </c>
      <c r="AE1545" s="11">
        <v>12990</v>
      </c>
      <c r="AF1545" s="11">
        <f t="shared" si="158"/>
        <v>181860</v>
      </c>
      <c r="AG1545" s="12" t="s">
        <v>34</v>
      </c>
      <c r="AH1545" s="8" t="s">
        <v>65</v>
      </c>
    </row>
    <row r="1546" spans="1:34">
      <c r="A1546" s="8" t="s">
        <v>2141</v>
      </c>
      <c r="B1546" s="16" t="s">
        <v>2859</v>
      </c>
      <c r="C1546" s="8" t="s">
        <v>248</v>
      </c>
      <c r="D1546" s="8" t="s">
        <v>2096</v>
      </c>
      <c r="E1546" s="8" t="str">
        <f t="shared" si="156"/>
        <v>VERDE</v>
      </c>
      <c r="G1546" s="8" t="s">
        <v>2861</v>
      </c>
      <c r="H1546" s="8" t="str">
        <f>VLOOKUP(A1546,[1]BBDD!$B$1:$J$3274,9,FALSE)</f>
        <v>U</v>
      </c>
      <c r="I1546" s="8" t="s">
        <v>2861</v>
      </c>
      <c r="J1546" s="8" t="s">
        <v>2140</v>
      </c>
      <c r="L1546" s="8" t="s">
        <v>119</v>
      </c>
      <c r="N1546" s="8" t="s">
        <v>92</v>
      </c>
      <c r="Q1546" s="8" t="s">
        <v>32</v>
      </c>
      <c r="R1546" s="8">
        <v>0</v>
      </c>
      <c r="S1546" s="8">
        <v>2</v>
      </c>
      <c r="T1546" s="8">
        <f t="shared" si="154"/>
        <v>2</v>
      </c>
      <c r="U1546" s="8">
        <v>0</v>
      </c>
      <c r="V1546" s="8">
        <v>0</v>
      </c>
      <c r="W1546" s="8">
        <v>0</v>
      </c>
      <c r="X1546" s="8">
        <v>4</v>
      </c>
      <c r="Y1546" s="8">
        <v>3</v>
      </c>
      <c r="Z1546" s="8">
        <v>3</v>
      </c>
      <c r="AA1546" s="8">
        <v>89</v>
      </c>
      <c r="AB1546" s="9">
        <f t="shared" si="155"/>
        <v>3.3707865168539324</v>
      </c>
      <c r="AC1546" s="10">
        <f t="shared" si="157"/>
        <v>0.59333333333333338</v>
      </c>
      <c r="AD1546" s="8" t="s">
        <v>33</v>
      </c>
      <c r="AE1546" s="11">
        <v>12990</v>
      </c>
      <c r="AF1546" s="11">
        <f t="shared" si="158"/>
        <v>25980</v>
      </c>
      <c r="AG1546" s="12" t="s">
        <v>34</v>
      </c>
      <c r="AH1546" s="8" t="s">
        <v>35</v>
      </c>
    </row>
    <row r="1547" spans="1:34">
      <c r="A1547" s="8" t="s">
        <v>2142</v>
      </c>
      <c r="B1547" s="16" t="s">
        <v>2859</v>
      </c>
      <c r="C1547" s="8" t="s">
        <v>248</v>
      </c>
      <c r="D1547" s="8" t="s">
        <v>2096</v>
      </c>
      <c r="E1547" s="8" t="str">
        <f t="shared" si="156"/>
        <v>CARAMELO</v>
      </c>
      <c r="G1547" s="8" t="s">
        <v>2861</v>
      </c>
      <c r="H1547" s="8" t="str">
        <f>VLOOKUP(A1547,[1]BBDD!$B$1:$J$3274,9,FALSE)</f>
        <v>U</v>
      </c>
      <c r="I1547" s="8" t="s">
        <v>2861</v>
      </c>
      <c r="J1547" s="8" t="s">
        <v>2143</v>
      </c>
      <c r="L1547" s="8" t="s">
        <v>61</v>
      </c>
      <c r="N1547" s="8" t="s">
        <v>62</v>
      </c>
      <c r="Q1547" s="8" t="s">
        <v>32</v>
      </c>
      <c r="R1547" s="8">
        <v>10</v>
      </c>
      <c r="S1547" s="8">
        <v>15</v>
      </c>
      <c r="T1547" s="8">
        <f t="shared" si="154"/>
        <v>25</v>
      </c>
      <c r="U1547" s="8">
        <v>4</v>
      </c>
      <c r="V1547" s="8">
        <v>0</v>
      </c>
      <c r="W1547" s="8">
        <v>4</v>
      </c>
      <c r="X1547" s="8">
        <v>0</v>
      </c>
      <c r="Y1547" s="8">
        <v>0</v>
      </c>
      <c r="Z1547" s="8">
        <v>0</v>
      </c>
      <c r="AA1547" s="8">
        <v>180</v>
      </c>
      <c r="AB1547" s="9">
        <f t="shared" si="155"/>
        <v>1.3333333333333335</v>
      </c>
      <c r="AC1547" s="10">
        <f t="shared" si="157"/>
        <v>18.749999999999996</v>
      </c>
      <c r="AD1547" s="8" t="s">
        <v>33</v>
      </c>
      <c r="AE1547" s="11">
        <v>17990</v>
      </c>
      <c r="AF1547" s="11">
        <f t="shared" si="158"/>
        <v>449750</v>
      </c>
      <c r="AG1547" s="12" t="s">
        <v>64</v>
      </c>
      <c r="AH1547" s="8" t="s">
        <v>74</v>
      </c>
    </row>
    <row r="1548" spans="1:34">
      <c r="A1548" s="8" t="s">
        <v>2144</v>
      </c>
      <c r="B1548" s="16" t="s">
        <v>2859</v>
      </c>
      <c r="C1548" s="8" t="s">
        <v>248</v>
      </c>
      <c r="D1548" s="8" t="s">
        <v>2096</v>
      </c>
      <c r="E1548" s="8" t="str">
        <f t="shared" si="156"/>
        <v>MALBEC</v>
      </c>
      <c r="G1548" s="8" t="s">
        <v>2861</v>
      </c>
      <c r="H1548" s="8" t="str">
        <f>VLOOKUP(A1548,[1]BBDD!$B$1:$J$3274,9,FALSE)</f>
        <v>U</v>
      </c>
      <c r="I1548" s="8" t="s">
        <v>2861</v>
      </c>
      <c r="J1548" s="8" t="s">
        <v>2143</v>
      </c>
      <c r="L1548" s="8" t="s">
        <v>61</v>
      </c>
      <c r="N1548" s="8" t="s">
        <v>69</v>
      </c>
      <c r="Q1548" s="8" t="s">
        <v>32</v>
      </c>
      <c r="R1548" s="8">
        <v>10</v>
      </c>
      <c r="S1548" s="8">
        <v>9</v>
      </c>
      <c r="T1548" s="8">
        <f t="shared" si="154"/>
        <v>19</v>
      </c>
      <c r="U1548" s="8">
        <v>0</v>
      </c>
      <c r="V1548" s="8">
        <v>2</v>
      </c>
      <c r="W1548" s="8">
        <v>2</v>
      </c>
      <c r="X1548" s="8">
        <v>1</v>
      </c>
      <c r="Y1548" s="8">
        <v>1</v>
      </c>
      <c r="Z1548" s="8">
        <v>1</v>
      </c>
      <c r="AA1548" s="8">
        <v>180</v>
      </c>
      <c r="AB1548" s="9">
        <f t="shared" si="155"/>
        <v>1.1666666666666667</v>
      </c>
      <c r="AC1548" s="10">
        <f t="shared" si="157"/>
        <v>16.285714285714285</v>
      </c>
      <c r="AD1548" s="8" t="s">
        <v>33</v>
      </c>
      <c r="AE1548" s="11">
        <v>17990</v>
      </c>
      <c r="AF1548" s="11">
        <f t="shared" si="158"/>
        <v>341810</v>
      </c>
      <c r="AG1548" s="12" t="s">
        <v>64</v>
      </c>
      <c r="AH1548" s="8" t="s">
        <v>65</v>
      </c>
    </row>
    <row r="1549" spans="1:34">
      <c r="A1549" s="8" t="s">
        <v>2145</v>
      </c>
      <c r="B1549" s="16" t="s">
        <v>2859</v>
      </c>
      <c r="C1549" s="8" t="s">
        <v>248</v>
      </c>
      <c r="D1549" s="8" t="s">
        <v>2096</v>
      </c>
      <c r="E1549" s="8" t="str">
        <f t="shared" si="156"/>
        <v>NEGRO</v>
      </c>
      <c r="G1549" s="8" t="s">
        <v>2861</v>
      </c>
      <c r="H1549" s="8" t="str">
        <f>VLOOKUP(A1549,[1]BBDD!$B$1:$J$3274,9,FALSE)</f>
        <v>U</v>
      </c>
      <c r="I1549" s="8" t="s">
        <v>2861</v>
      </c>
      <c r="J1549" s="8" t="s">
        <v>2143</v>
      </c>
      <c r="L1549" s="8" t="s">
        <v>61</v>
      </c>
      <c r="N1549" s="8" t="s">
        <v>44</v>
      </c>
      <c r="Q1549" s="8" t="s">
        <v>32</v>
      </c>
      <c r="R1549" s="8">
        <v>13</v>
      </c>
      <c r="S1549" s="8">
        <v>10</v>
      </c>
      <c r="T1549" s="8">
        <f t="shared" si="154"/>
        <v>23</v>
      </c>
      <c r="U1549" s="8">
        <v>2</v>
      </c>
      <c r="V1549" s="8">
        <v>1</v>
      </c>
      <c r="W1549" s="8">
        <v>1</v>
      </c>
      <c r="X1549" s="8">
        <v>1</v>
      </c>
      <c r="Y1549" s="8">
        <v>0</v>
      </c>
      <c r="Z1549" s="8">
        <v>6</v>
      </c>
      <c r="AA1549" s="8">
        <v>180</v>
      </c>
      <c r="AB1549" s="9">
        <f t="shared" si="155"/>
        <v>1.8333333333333333</v>
      </c>
      <c r="AC1549" s="10">
        <f t="shared" si="157"/>
        <v>12.545454545454547</v>
      </c>
      <c r="AD1549" s="8" t="s">
        <v>33</v>
      </c>
      <c r="AE1549" s="11">
        <v>17990</v>
      </c>
      <c r="AF1549" s="11">
        <f t="shared" si="158"/>
        <v>413770</v>
      </c>
      <c r="AG1549" s="12" t="s">
        <v>64</v>
      </c>
      <c r="AH1549" s="8" t="s">
        <v>74</v>
      </c>
    </row>
    <row r="1550" spans="1:34">
      <c r="A1550" s="8" t="s">
        <v>2146</v>
      </c>
      <c r="B1550" s="16" t="s">
        <v>2859</v>
      </c>
      <c r="C1550" s="8" t="s">
        <v>248</v>
      </c>
      <c r="D1550" s="8" t="s">
        <v>2096</v>
      </c>
      <c r="E1550" s="8" t="str">
        <f t="shared" si="156"/>
        <v>TABACO</v>
      </c>
      <c r="G1550" s="8" t="s">
        <v>2861</v>
      </c>
      <c r="H1550" s="8" t="str">
        <f>VLOOKUP(A1550,[1]BBDD!$B$1:$J$3274,9,FALSE)</f>
        <v>U</v>
      </c>
      <c r="I1550" s="8" t="s">
        <v>2861</v>
      </c>
      <c r="J1550" s="8" t="s">
        <v>2143</v>
      </c>
      <c r="L1550" s="8" t="s">
        <v>61</v>
      </c>
      <c r="N1550" s="8" t="s">
        <v>67</v>
      </c>
      <c r="Q1550" s="8" t="s">
        <v>32</v>
      </c>
      <c r="R1550" s="8">
        <v>4</v>
      </c>
      <c r="S1550" s="8">
        <v>11</v>
      </c>
      <c r="T1550" s="8">
        <f t="shared" si="154"/>
        <v>15</v>
      </c>
      <c r="U1550" s="8">
        <v>2</v>
      </c>
      <c r="V1550" s="8">
        <v>0</v>
      </c>
      <c r="W1550" s="8">
        <v>3</v>
      </c>
      <c r="X1550" s="8">
        <v>2</v>
      </c>
      <c r="Y1550" s="8">
        <v>0</v>
      </c>
      <c r="Z1550" s="8">
        <v>1</v>
      </c>
      <c r="AA1550" s="8">
        <v>180</v>
      </c>
      <c r="AB1550" s="9">
        <f t="shared" si="155"/>
        <v>1.3333333333333335</v>
      </c>
      <c r="AC1550" s="10">
        <f t="shared" si="157"/>
        <v>11.249999999999998</v>
      </c>
      <c r="AD1550" s="8" t="s">
        <v>33</v>
      </c>
      <c r="AE1550" s="11">
        <v>17990</v>
      </c>
      <c r="AF1550" s="11">
        <f t="shared" si="158"/>
        <v>269850</v>
      </c>
      <c r="AG1550" s="12" t="s">
        <v>51</v>
      </c>
      <c r="AH1550" s="8" t="s">
        <v>65</v>
      </c>
    </row>
    <row r="1551" spans="1:34">
      <c r="A1551" s="8" t="s">
        <v>2147</v>
      </c>
      <c r="B1551" s="16" t="s">
        <v>2859</v>
      </c>
      <c r="C1551" s="8" t="s">
        <v>248</v>
      </c>
      <c r="D1551" s="8" t="s">
        <v>2096</v>
      </c>
      <c r="E1551" s="8" t="str">
        <f t="shared" si="156"/>
        <v>ROJO</v>
      </c>
      <c r="G1551" s="8" t="s">
        <v>2861</v>
      </c>
      <c r="H1551" s="8" t="str">
        <f>VLOOKUP(A1551,[1]BBDD!$B$1:$J$3274,9,FALSE)</f>
        <v>U</v>
      </c>
      <c r="I1551" s="8" t="s">
        <v>2861</v>
      </c>
      <c r="J1551" s="8" t="s">
        <v>2143</v>
      </c>
      <c r="L1551" s="8" t="s">
        <v>61</v>
      </c>
      <c r="N1551" s="8" t="s">
        <v>88</v>
      </c>
      <c r="Q1551" s="8" t="s">
        <v>45</v>
      </c>
      <c r="R1551" s="8">
        <v>12</v>
      </c>
      <c r="S1551" s="8">
        <v>11</v>
      </c>
      <c r="T1551" s="8">
        <f t="shared" si="154"/>
        <v>23</v>
      </c>
      <c r="U1551" s="8">
        <v>1</v>
      </c>
      <c r="V1551" s="8">
        <v>2</v>
      </c>
      <c r="W1551" s="8">
        <v>6</v>
      </c>
      <c r="X1551" s="8">
        <v>2</v>
      </c>
      <c r="Y1551" s="8">
        <v>2</v>
      </c>
      <c r="Z1551" s="8">
        <v>5</v>
      </c>
      <c r="AA1551" s="8">
        <v>180</v>
      </c>
      <c r="AB1551" s="9">
        <f t="shared" si="155"/>
        <v>3</v>
      </c>
      <c r="AC1551" s="10">
        <f t="shared" si="157"/>
        <v>7.666666666666667</v>
      </c>
      <c r="AD1551" s="8" t="s">
        <v>109</v>
      </c>
      <c r="AE1551" s="11">
        <v>17990</v>
      </c>
      <c r="AF1551" s="11">
        <f t="shared" si="158"/>
        <v>413770</v>
      </c>
      <c r="AG1551" s="12" t="s">
        <v>51</v>
      </c>
      <c r="AH1551" s="8" t="s">
        <v>74</v>
      </c>
    </row>
    <row r="1552" spans="1:34">
      <c r="A1552" s="8" t="s">
        <v>2148</v>
      </c>
      <c r="B1552" s="16" t="s">
        <v>2859</v>
      </c>
      <c r="C1552" s="8" t="s">
        <v>248</v>
      </c>
      <c r="D1552" s="8" t="s">
        <v>2096</v>
      </c>
      <c r="E1552" s="8" t="str">
        <f t="shared" si="156"/>
        <v>LONDON</v>
      </c>
      <c r="G1552" s="8" t="s">
        <v>2861</v>
      </c>
      <c r="H1552" s="8" t="str">
        <f>VLOOKUP(A1552,[1]BBDD!$B$1:$J$3274,9,FALSE)</f>
        <v>U</v>
      </c>
      <c r="I1552" s="8" t="s">
        <v>2861</v>
      </c>
      <c r="J1552" s="8" t="s">
        <v>2143</v>
      </c>
      <c r="L1552" s="8" t="s">
        <v>61</v>
      </c>
      <c r="N1552" s="8" t="s">
        <v>108</v>
      </c>
      <c r="Q1552" s="8" t="s">
        <v>45</v>
      </c>
      <c r="R1552" s="8">
        <v>0</v>
      </c>
      <c r="S1552" s="8">
        <v>6</v>
      </c>
      <c r="T1552" s="8">
        <f t="shared" si="154"/>
        <v>6</v>
      </c>
      <c r="U1552" s="8">
        <v>0</v>
      </c>
      <c r="V1552" s="8">
        <v>5</v>
      </c>
      <c r="W1552" s="8">
        <v>0</v>
      </c>
      <c r="X1552" s="8">
        <v>0</v>
      </c>
      <c r="Y1552" s="8">
        <v>0</v>
      </c>
      <c r="Z1552" s="8">
        <v>0</v>
      </c>
      <c r="AA1552" s="8">
        <v>180</v>
      </c>
      <c r="AB1552" s="9">
        <f t="shared" si="155"/>
        <v>0.83333333333333326</v>
      </c>
      <c r="AC1552" s="10">
        <f t="shared" si="157"/>
        <v>7.2000000000000011</v>
      </c>
      <c r="AD1552" s="8" t="s">
        <v>109</v>
      </c>
      <c r="AE1552" s="11">
        <v>17990</v>
      </c>
      <c r="AF1552" s="11">
        <f t="shared" si="158"/>
        <v>107940</v>
      </c>
      <c r="AG1552" s="12" t="s">
        <v>51</v>
      </c>
      <c r="AH1552" s="8" t="s">
        <v>35</v>
      </c>
    </row>
    <row r="1553" spans="1:34">
      <c r="A1553" s="8" t="s">
        <v>2149</v>
      </c>
      <c r="B1553" s="16" t="s">
        <v>2859</v>
      </c>
      <c r="C1553" s="8" t="s">
        <v>248</v>
      </c>
      <c r="D1553" s="8" t="s">
        <v>2096</v>
      </c>
      <c r="E1553" s="8" t="str">
        <f t="shared" si="156"/>
        <v>CARAMELO</v>
      </c>
      <c r="G1553" s="8" t="s">
        <v>2861</v>
      </c>
      <c r="H1553" s="8" t="str">
        <f>VLOOKUP(A1553,[1]BBDD!$B$1:$J$3274,9,FALSE)</f>
        <v>U</v>
      </c>
      <c r="I1553" s="8" t="s">
        <v>2861</v>
      </c>
      <c r="J1553" s="8" t="s">
        <v>2143</v>
      </c>
      <c r="L1553" s="8" t="s">
        <v>238</v>
      </c>
      <c r="N1553" s="8" t="s">
        <v>62</v>
      </c>
      <c r="Q1553" s="8" t="s">
        <v>32</v>
      </c>
      <c r="R1553" s="8">
        <v>0</v>
      </c>
      <c r="S1553" s="8">
        <v>7</v>
      </c>
      <c r="T1553" s="8">
        <f t="shared" si="154"/>
        <v>7</v>
      </c>
      <c r="U1553" s="8">
        <v>2</v>
      </c>
      <c r="V1553" s="8">
        <v>3</v>
      </c>
      <c r="W1553" s="8">
        <v>2</v>
      </c>
      <c r="X1553" s="8">
        <v>1</v>
      </c>
      <c r="Y1553" s="8">
        <v>1</v>
      </c>
      <c r="Z1553" s="8">
        <v>1</v>
      </c>
      <c r="AA1553" s="8">
        <v>180</v>
      </c>
      <c r="AB1553" s="9">
        <f t="shared" si="155"/>
        <v>1.6666666666666665</v>
      </c>
      <c r="AC1553" s="10">
        <f t="shared" si="157"/>
        <v>4.2</v>
      </c>
      <c r="AD1553" s="8" t="s">
        <v>33</v>
      </c>
      <c r="AE1553" s="11">
        <v>17990</v>
      </c>
      <c r="AF1553" s="11">
        <f t="shared" si="158"/>
        <v>125930</v>
      </c>
      <c r="AG1553" s="12" t="s">
        <v>34</v>
      </c>
      <c r="AH1553" s="8" t="s">
        <v>35</v>
      </c>
    </row>
    <row r="1554" spans="1:34">
      <c r="A1554" s="8" t="s">
        <v>2150</v>
      </c>
      <c r="B1554" s="16" t="s">
        <v>2859</v>
      </c>
      <c r="C1554" s="8" t="s">
        <v>248</v>
      </c>
      <c r="D1554" s="8" t="s">
        <v>2096</v>
      </c>
      <c r="E1554" s="8" t="str">
        <f t="shared" si="156"/>
        <v>NEGRO</v>
      </c>
      <c r="G1554" s="8" t="s">
        <v>2861</v>
      </c>
      <c r="H1554" s="8" t="str">
        <f>VLOOKUP(A1554,[1]BBDD!$B$1:$J$3274,9,FALSE)</f>
        <v>U</v>
      </c>
      <c r="I1554" s="8" t="s">
        <v>2861</v>
      </c>
      <c r="J1554" s="8" t="s">
        <v>2143</v>
      </c>
      <c r="L1554" s="8" t="s">
        <v>238</v>
      </c>
      <c r="N1554" s="8" t="s">
        <v>44</v>
      </c>
      <c r="Q1554" s="8" t="s">
        <v>32</v>
      </c>
      <c r="R1554" s="8">
        <v>0</v>
      </c>
      <c r="S1554" s="8">
        <v>7</v>
      </c>
      <c r="T1554" s="8">
        <f t="shared" si="154"/>
        <v>7</v>
      </c>
      <c r="U1554" s="8">
        <v>0</v>
      </c>
      <c r="V1554" s="8">
        <v>1</v>
      </c>
      <c r="W1554" s="8">
        <v>1</v>
      </c>
      <c r="X1554" s="8">
        <v>1</v>
      </c>
      <c r="Y1554" s="8">
        <v>0</v>
      </c>
      <c r="Z1554" s="8">
        <v>0</v>
      </c>
      <c r="AA1554" s="8">
        <v>180</v>
      </c>
      <c r="AB1554" s="9">
        <f t="shared" si="155"/>
        <v>0.5</v>
      </c>
      <c r="AC1554" s="10">
        <f t="shared" si="157"/>
        <v>14</v>
      </c>
      <c r="AD1554" s="8" t="s">
        <v>33</v>
      </c>
      <c r="AE1554" s="11">
        <v>17990</v>
      </c>
      <c r="AF1554" s="11">
        <f t="shared" si="158"/>
        <v>125930</v>
      </c>
      <c r="AG1554" s="12" t="s">
        <v>64</v>
      </c>
      <c r="AH1554" s="8" t="s">
        <v>35</v>
      </c>
    </row>
    <row r="1555" spans="1:34">
      <c r="A1555" s="8" t="s">
        <v>2151</v>
      </c>
      <c r="B1555" s="16" t="s">
        <v>2859</v>
      </c>
      <c r="C1555" s="8" t="s">
        <v>248</v>
      </c>
      <c r="D1555" s="8" t="s">
        <v>2096</v>
      </c>
      <c r="E1555" s="8" t="str">
        <f t="shared" si="156"/>
        <v>ROJO</v>
      </c>
      <c r="G1555" s="8" t="s">
        <v>2861</v>
      </c>
      <c r="H1555" s="8" t="str">
        <f>VLOOKUP(A1555,[1]BBDD!$B$1:$J$3274,9,FALSE)</f>
        <v>U</v>
      </c>
      <c r="I1555" s="8" t="s">
        <v>2861</v>
      </c>
      <c r="J1555" s="8" t="s">
        <v>2143</v>
      </c>
      <c r="L1555" s="8" t="s">
        <v>238</v>
      </c>
      <c r="N1555" s="8" t="s">
        <v>88</v>
      </c>
      <c r="Q1555" s="8" t="s">
        <v>32</v>
      </c>
      <c r="R1555" s="8">
        <v>0</v>
      </c>
      <c r="S1555" s="8">
        <v>4</v>
      </c>
      <c r="T1555" s="8">
        <f t="shared" si="154"/>
        <v>4</v>
      </c>
      <c r="U1555" s="8">
        <v>3</v>
      </c>
      <c r="V1555" s="8">
        <v>2</v>
      </c>
      <c r="W1555" s="8">
        <v>2</v>
      </c>
      <c r="X1555" s="8">
        <v>5</v>
      </c>
      <c r="Y1555" s="8">
        <v>0</v>
      </c>
      <c r="Z1555" s="8">
        <v>0</v>
      </c>
      <c r="AA1555" s="8">
        <v>180</v>
      </c>
      <c r="AB1555" s="9">
        <f t="shared" si="155"/>
        <v>2</v>
      </c>
      <c r="AC1555" s="10">
        <f t="shared" si="157"/>
        <v>2</v>
      </c>
      <c r="AD1555" s="8" t="s">
        <v>33</v>
      </c>
      <c r="AE1555" s="11">
        <v>17990</v>
      </c>
      <c r="AF1555" s="11">
        <f t="shared" si="158"/>
        <v>71960</v>
      </c>
      <c r="AG1555" s="12" t="s">
        <v>34</v>
      </c>
      <c r="AH1555" s="8" t="s">
        <v>35</v>
      </c>
    </row>
    <row r="1556" spans="1:34">
      <c r="A1556" s="8" t="s">
        <v>2152</v>
      </c>
      <c r="B1556" s="16" t="s">
        <v>2859</v>
      </c>
      <c r="C1556" s="8" t="s">
        <v>248</v>
      </c>
      <c r="D1556" s="8" t="s">
        <v>2096</v>
      </c>
      <c r="E1556" s="8" t="str">
        <f t="shared" si="156"/>
        <v>CHOCOLATE</v>
      </c>
      <c r="G1556" s="8" t="s">
        <v>2861</v>
      </c>
      <c r="H1556" s="8" t="str">
        <f>VLOOKUP(A1556,[1]BBDD!$B$1:$J$3274,9,FALSE)</f>
        <v>U</v>
      </c>
      <c r="I1556" s="8" t="s">
        <v>2861</v>
      </c>
      <c r="J1556" s="8" t="s">
        <v>2143</v>
      </c>
      <c r="L1556" s="8" t="s">
        <v>1211</v>
      </c>
      <c r="N1556" s="8" t="s">
        <v>252</v>
      </c>
      <c r="Q1556" s="8" t="s">
        <v>45</v>
      </c>
      <c r="R1556" s="8">
        <v>0</v>
      </c>
      <c r="S1556" s="8">
        <v>5</v>
      </c>
      <c r="T1556" s="8">
        <f t="shared" si="154"/>
        <v>5</v>
      </c>
      <c r="U1556" s="8">
        <v>2</v>
      </c>
      <c r="V1556" s="8">
        <v>2</v>
      </c>
      <c r="W1556" s="8">
        <v>1</v>
      </c>
      <c r="X1556" s="8">
        <v>1</v>
      </c>
      <c r="Y1556" s="8">
        <v>0</v>
      </c>
      <c r="Z1556" s="8">
        <v>0</v>
      </c>
      <c r="AA1556" s="8">
        <v>180</v>
      </c>
      <c r="AB1556" s="9">
        <f t="shared" si="155"/>
        <v>1</v>
      </c>
      <c r="AC1556" s="10">
        <f t="shared" si="157"/>
        <v>5</v>
      </c>
      <c r="AD1556" s="8" t="s">
        <v>109</v>
      </c>
      <c r="AE1556" s="11">
        <v>17990</v>
      </c>
      <c r="AF1556" s="11">
        <f t="shared" si="158"/>
        <v>89950</v>
      </c>
      <c r="AG1556" s="12" t="s">
        <v>34</v>
      </c>
      <c r="AH1556" s="8" t="s">
        <v>35</v>
      </c>
    </row>
    <row r="1557" spans="1:34">
      <c r="A1557" s="8" t="s">
        <v>2153</v>
      </c>
      <c r="B1557" s="16" t="s">
        <v>2859</v>
      </c>
      <c r="C1557" s="8" t="s">
        <v>248</v>
      </c>
      <c r="D1557" s="8" t="s">
        <v>2096</v>
      </c>
      <c r="E1557" s="8" t="str">
        <f t="shared" si="156"/>
        <v>DULCE DE LECHE</v>
      </c>
      <c r="G1557" s="8" t="s">
        <v>2861</v>
      </c>
      <c r="H1557" s="8" t="str">
        <f>VLOOKUP(A1557,[1]BBDD!$B$1:$J$3274,9,FALSE)</f>
        <v>U</v>
      </c>
      <c r="I1557" s="8" t="s">
        <v>2861</v>
      </c>
      <c r="J1557" s="8" t="s">
        <v>2143</v>
      </c>
      <c r="L1557" s="8" t="s">
        <v>1211</v>
      </c>
      <c r="N1557" s="8" t="s">
        <v>1981</v>
      </c>
      <c r="Q1557" s="8" t="s">
        <v>45</v>
      </c>
      <c r="R1557" s="8">
        <v>10</v>
      </c>
      <c r="S1557" s="8">
        <v>6</v>
      </c>
      <c r="T1557" s="8">
        <f t="shared" si="154"/>
        <v>16</v>
      </c>
      <c r="U1557" s="8">
        <v>2</v>
      </c>
      <c r="V1557" s="8">
        <v>0</v>
      </c>
      <c r="W1557" s="8">
        <v>1</v>
      </c>
      <c r="X1557" s="8">
        <v>0</v>
      </c>
      <c r="Y1557" s="8">
        <v>0</v>
      </c>
      <c r="Z1557" s="8">
        <v>1</v>
      </c>
      <c r="AA1557" s="8">
        <v>180</v>
      </c>
      <c r="AB1557" s="9">
        <f t="shared" si="155"/>
        <v>0.66666666666666674</v>
      </c>
      <c r="AC1557" s="10">
        <f t="shared" si="157"/>
        <v>23.999999999999996</v>
      </c>
      <c r="AD1557" s="8" t="s">
        <v>109</v>
      </c>
      <c r="AE1557" s="11">
        <v>17990</v>
      </c>
      <c r="AF1557" s="11">
        <f t="shared" si="158"/>
        <v>287840</v>
      </c>
      <c r="AG1557" s="12" t="s">
        <v>64</v>
      </c>
      <c r="AH1557" s="8" t="s">
        <v>65</v>
      </c>
    </row>
    <row r="1558" spans="1:34">
      <c r="A1558" s="8" t="s">
        <v>2154</v>
      </c>
      <c r="B1558" s="16" t="s">
        <v>2859</v>
      </c>
      <c r="C1558" s="8" t="s">
        <v>248</v>
      </c>
      <c r="D1558" s="8" t="s">
        <v>2096</v>
      </c>
      <c r="E1558" s="8" t="str">
        <f t="shared" si="156"/>
        <v>NATURAL</v>
      </c>
      <c r="G1558" s="8" t="s">
        <v>2861</v>
      </c>
      <c r="H1558" s="8" t="str">
        <f>VLOOKUP(A1558,[1]BBDD!$B$1:$J$3274,9,FALSE)</f>
        <v>U</v>
      </c>
      <c r="I1558" s="8" t="s">
        <v>2861</v>
      </c>
      <c r="J1558" s="8" t="s">
        <v>2143</v>
      </c>
      <c r="L1558" s="8" t="s">
        <v>1211</v>
      </c>
      <c r="N1558" s="8" t="s">
        <v>1983</v>
      </c>
      <c r="Q1558" s="8" t="s">
        <v>45</v>
      </c>
      <c r="R1558" s="8">
        <v>15</v>
      </c>
      <c r="S1558" s="8">
        <v>6</v>
      </c>
      <c r="T1558" s="8">
        <f t="shared" si="154"/>
        <v>21</v>
      </c>
      <c r="U1558" s="8">
        <v>0</v>
      </c>
      <c r="V1558" s="8">
        <v>1</v>
      </c>
      <c r="W1558" s="8">
        <v>0</v>
      </c>
      <c r="X1558" s="8">
        <v>0</v>
      </c>
      <c r="Y1558" s="8">
        <v>0</v>
      </c>
      <c r="Z1558" s="8">
        <v>0</v>
      </c>
      <c r="AA1558" s="8">
        <v>180</v>
      </c>
      <c r="AB1558" s="9">
        <f t="shared" si="155"/>
        <v>0.16666666666666669</v>
      </c>
      <c r="AC1558" s="10">
        <f t="shared" si="157"/>
        <v>125.99999999999999</v>
      </c>
      <c r="AD1558" s="8" t="s">
        <v>109</v>
      </c>
      <c r="AE1558" s="11">
        <v>17990</v>
      </c>
      <c r="AF1558" s="11">
        <f t="shared" si="158"/>
        <v>377790</v>
      </c>
      <c r="AG1558" s="12" t="s">
        <v>73</v>
      </c>
      <c r="AH1558" s="8" t="s">
        <v>74</v>
      </c>
    </row>
    <row r="1559" spans="1:34">
      <c r="A1559" s="8" t="s">
        <v>2155</v>
      </c>
      <c r="B1559" s="16" t="s">
        <v>2859</v>
      </c>
      <c r="C1559" s="8" t="s">
        <v>248</v>
      </c>
      <c r="D1559" s="8" t="s">
        <v>2096</v>
      </c>
      <c r="E1559" s="8" t="str">
        <f t="shared" si="156"/>
        <v>SUELA</v>
      </c>
      <c r="G1559" s="8" t="s">
        <v>2861</v>
      </c>
      <c r="H1559" s="8" t="str">
        <f>VLOOKUP(A1559,[1]BBDD!$B$1:$J$3274,9,FALSE)</f>
        <v>U</v>
      </c>
      <c r="I1559" s="8" t="s">
        <v>2861</v>
      </c>
      <c r="J1559" s="8" t="s">
        <v>2143</v>
      </c>
      <c r="L1559" s="8" t="s">
        <v>1211</v>
      </c>
      <c r="N1559" s="8" t="s">
        <v>90</v>
      </c>
      <c r="Q1559" s="8" t="s">
        <v>45</v>
      </c>
      <c r="R1559" s="8">
        <v>10</v>
      </c>
      <c r="S1559" s="8">
        <v>6</v>
      </c>
      <c r="T1559" s="8">
        <f t="shared" si="154"/>
        <v>16</v>
      </c>
      <c r="U1559" s="8">
        <v>0</v>
      </c>
      <c r="V1559" s="8">
        <v>0</v>
      </c>
      <c r="W1559" s="8">
        <v>0</v>
      </c>
      <c r="X1559" s="8">
        <v>1</v>
      </c>
      <c r="Y1559" s="8">
        <v>0</v>
      </c>
      <c r="Z1559" s="8">
        <v>0</v>
      </c>
      <c r="AA1559" s="8">
        <v>180</v>
      </c>
      <c r="AB1559" s="9">
        <f t="shared" si="155"/>
        <v>0.16666666666666669</v>
      </c>
      <c r="AC1559" s="10">
        <f t="shared" si="157"/>
        <v>95.999999999999986</v>
      </c>
      <c r="AD1559" s="8" t="s">
        <v>109</v>
      </c>
      <c r="AE1559" s="11">
        <v>17990</v>
      </c>
      <c r="AF1559" s="11">
        <f t="shared" si="158"/>
        <v>287840</v>
      </c>
      <c r="AG1559" s="12" t="s">
        <v>73</v>
      </c>
      <c r="AH1559" s="8" t="s">
        <v>65</v>
      </c>
    </row>
    <row r="1560" spans="1:34">
      <c r="A1560" s="8" t="s">
        <v>2156</v>
      </c>
      <c r="B1560" s="16" t="s">
        <v>2859</v>
      </c>
      <c r="C1560" s="8" t="s">
        <v>248</v>
      </c>
      <c r="D1560" s="8" t="s">
        <v>2096</v>
      </c>
      <c r="E1560" s="8" t="str">
        <f t="shared" si="156"/>
        <v>CARAMELO</v>
      </c>
      <c r="G1560" s="8" t="s">
        <v>2861</v>
      </c>
      <c r="H1560" s="8" t="str">
        <f>VLOOKUP(A1560,[1]BBDD!$B$1:$J$3274,9,FALSE)</f>
        <v>U</v>
      </c>
      <c r="I1560" s="8" t="s">
        <v>2861</v>
      </c>
      <c r="J1560" s="8" t="s">
        <v>2157</v>
      </c>
      <c r="L1560" s="8" t="s">
        <v>61</v>
      </c>
      <c r="N1560" s="8" t="s">
        <v>62</v>
      </c>
      <c r="Q1560" s="8" t="s">
        <v>32</v>
      </c>
      <c r="R1560" s="8">
        <v>1</v>
      </c>
      <c r="S1560" s="8">
        <v>15</v>
      </c>
      <c r="T1560" s="8">
        <f t="shared" si="154"/>
        <v>16</v>
      </c>
      <c r="U1560" s="8">
        <v>19</v>
      </c>
      <c r="V1560" s="8">
        <v>9</v>
      </c>
      <c r="W1560" s="8">
        <v>9</v>
      </c>
      <c r="X1560" s="8">
        <v>6</v>
      </c>
      <c r="Y1560" s="8">
        <v>12</v>
      </c>
      <c r="Z1560" s="8">
        <v>6</v>
      </c>
      <c r="AA1560" s="8">
        <v>180</v>
      </c>
      <c r="AB1560" s="9">
        <f t="shared" si="155"/>
        <v>10.166666666666668</v>
      </c>
      <c r="AC1560" s="10">
        <f t="shared" si="157"/>
        <v>1.5737704918032784</v>
      </c>
      <c r="AD1560" s="8" t="s">
        <v>33</v>
      </c>
      <c r="AE1560" s="11">
        <v>12990</v>
      </c>
      <c r="AF1560" s="11">
        <f t="shared" si="158"/>
        <v>207840</v>
      </c>
      <c r="AG1560" s="12" t="s">
        <v>34</v>
      </c>
      <c r="AH1560" s="8" t="s">
        <v>65</v>
      </c>
    </row>
    <row r="1561" spans="1:34">
      <c r="A1561" s="8" t="s">
        <v>2158</v>
      </c>
      <c r="B1561" s="16" t="s">
        <v>2859</v>
      </c>
      <c r="C1561" s="8" t="s">
        <v>248</v>
      </c>
      <c r="D1561" s="8" t="s">
        <v>2096</v>
      </c>
      <c r="E1561" s="8" t="str">
        <f t="shared" si="156"/>
        <v>MALBEC</v>
      </c>
      <c r="G1561" s="8" t="s">
        <v>2861</v>
      </c>
      <c r="H1561" s="8" t="str">
        <f>VLOOKUP(A1561,[1]BBDD!$B$1:$J$3274,9,FALSE)</f>
        <v>U</v>
      </c>
      <c r="I1561" s="8" t="s">
        <v>2861</v>
      </c>
      <c r="J1561" s="8" t="s">
        <v>2157</v>
      </c>
      <c r="L1561" s="8" t="s">
        <v>61</v>
      </c>
      <c r="N1561" s="8" t="s">
        <v>69</v>
      </c>
      <c r="Q1561" s="8" t="s">
        <v>32</v>
      </c>
      <c r="R1561" s="8">
        <v>21</v>
      </c>
      <c r="S1561" s="8">
        <v>20</v>
      </c>
      <c r="T1561" s="8">
        <f t="shared" si="154"/>
        <v>41</v>
      </c>
      <c r="U1561" s="8">
        <v>3</v>
      </c>
      <c r="V1561" s="8">
        <v>3</v>
      </c>
      <c r="W1561" s="8">
        <v>4</v>
      </c>
      <c r="X1561" s="8">
        <v>6</v>
      </c>
      <c r="Y1561" s="8">
        <v>6</v>
      </c>
      <c r="Z1561" s="8">
        <v>1</v>
      </c>
      <c r="AA1561" s="8">
        <v>180</v>
      </c>
      <c r="AB1561" s="9">
        <f t="shared" si="155"/>
        <v>3.833333333333333</v>
      </c>
      <c r="AC1561" s="10">
        <f t="shared" si="157"/>
        <v>10.695652173913045</v>
      </c>
      <c r="AD1561" s="8" t="s">
        <v>33</v>
      </c>
      <c r="AE1561" s="11">
        <v>12990</v>
      </c>
      <c r="AF1561" s="11">
        <f t="shared" si="158"/>
        <v>532590</v>
      </c>
      <c r="AG1561" s="12" t="s">
        <v>51</v>
      </c>
      <c r="AH1561" s="8" t="s">
        <v>74</v>
      </c>
    </row>
    <row r="1562" spans="1:34">
      <c r="A1562" s="8" t="s">
        <v>2159</v>
      </c>
      <c r="B1562" s="16" t="s">
        <v>2859</v>
      </c>
      <c r="C1562" s="8" t="s">
        <v>248</v>
      </c>
      <c r="D1562" s="8" t="s">
        <v>2096</v>
      </c>
      <c r="E1562" s="8" t="str">
        <f t="shared" si="156"/>
        <v>NEGRO</v>
      </c>
      <c r="G1562" s="8" t="s">
        <v>2861</v>
      </c>
      <c r="H1562" s="8" t="str">
        <f>VLOOKUP(A1562,[1]BBDD!$B$1:$J$3274,9,FALSE)</f>
        <v>U</v>
      </c>
      <c r="I1562" s="8" t="s">
        <v>2861</v>
      </c>
      <c r="J1562" s="8" t="s">
        <v>2157</v>
      </c>
      <c r="L1562" s="8" t="s">
        <v>61</v>
      </c>
      <c r="N1562" s="8" t="s">
        <v>44</v>
      </c>
      <c r="Q1562" s="8" t="s">
        <v>32</v>
      </c>
      <c r="R1562" s="8">
        <v>12</v>
      </c>
      <c r="S1562" s="8">
        <v>25</v>
      </c>
      <c r="T1562" s="8">
        <f t="shared" si="154"/>
        <v>37</v>
      </c>
      <c r="U1562" s="8">
        <v>4</v>
      </c>
      <c r="V1562" s="8">
        <v>0</v>
      </c>
      <c r="W1562" s="8">
        <v>8</v>
      </c>
      <c r="X1562" s="8">
        <v>14</v>
      </c>
      <c r="Y1562" s="8">
        <v>7</v>
      </c>
      <c r="Z1562" s="8">
        <v>3</v>
      </c>
      <c r="AA1562" s="8">
        <v>180</v>
      </c>
      <c r="AB1562" s="9">
        <f t="shared" si="155"/>
        <v>6</v>
      </c>
      <c r="AC1562" s="10">
        <f t="shared" si="157"/>
        <v>6.166666666666667</v>
      </c>
      <c r="AD1562" s="8" t="s">
        <v>33</v>
      </c>
      <c r="AE1562" s="11">
        <v>12990</v>
      </c>
      <c r="AF1562" s="11">
        <f t="shared" si="158"/>
        <v>480630</v>
      </c>
      <c r="AG1562" s="12" t="s">
        <v>34</v>
      </c>
      <c r="AH1562" s="8" t="s">
        <v>74</v>
      </c>
    </row>
    <row r="1563" spans="1:34">
      <c r="A1563" s="8" t="s">
        <v>2160</v>
      </c>
      <c r="B1563" s="16" t="s">
        <v>2859</v>
      </c>
      <c r="C1563" s="8" t="s">
        <v>248</v>
      </c>
      <c r="D1563" s="8" t="s">
        <v>2096</v>
      </c>
      <c r="E1563" s="8" t="str">
        <f t="shared" si="156"/>
        <v>ROJO</v>
      </c>
      <c r="G1563" s="8" t="s">
        <v>2861</v>
      </c>
      <c r="H1563" s="8" t="str">
        <f>VLOOKUP(A1563,[1]BBDD!$B$1:$J$3274,9,FALSE)</f>
        <v>U</v>
      </c>
      <c r="I1563" s="8" t="s">
        <v>2861</v>
      </c>
      <c r="J1563" s="8" t="s">
        <v>2157</v>
      </c>
      <c r="L1563" s="8" t="s">
        <v>61</v>
      </c>
      <c r="N1563" s="8" t="s">
        <v>88</v>
      </c>
      <c r="Q1563" s="8" t="s">
        <v>32</v>
      </c>
      <c r="R1563" s="8">
        <v>9</v>
      </c>
      <c r="S1563" s="8">
        <v>16</v>
      </c>
      <c r="T1563" s="8">
        <f t="shared" si="154"/>
        <v>25</v>
      </c>
      <c r="U1563" s="8">
        <v>10</v>
      </c>
      <c r="V1563" s="8">
        <v>3</v>
      </c>
      <c r="W1563" s="8">
        <v>5</v>
      </c>
      <c r="X1563" s="8">
        <v>6</v>
      </c>
      <c r="Y1563" s="8">
        <v>7</v>
      </c>
      <c r="Z1563" s="8">
        <v>2</v>
      </c>
      <c r="AA1563" s="8">
        <v>180</v>
      </c>
      <c r="AB1563" s="9">
        <f t="shared" si="155"/>
        <v>5.5</v>
      </c>
      <c r="AC1563" s="10">
        <f t="shared" si="157"/>
        <v>4.5454545454545459</v>
      </c>
      <c r="AD1563" s="8" t="s">
        <v>33</v>
      </c>
      <c r="AE1563" s="11">
        <v>12990</v>
      </c>
      <c r="AF1563" s="11">
        <f t="shared" si="158"/>
        <v>324750</v>
      </c>
      <c r="AG1563" s="12" t="s">
        <v>34</v>
      </c>
      <c r="AH1563" s="8" t="s">
        <v>74</v>
      </c>
    </row>
    <row r="1564" spans="1:34">
      <c r="A1564" s="8" t="s">
        <v>2161</v>
      </c>
      <c r="B1564" s="16" t="s">
        <v>2859</v>
      </c>
      <c r="C1564" s="8" t="s">
        <v>248</v>
      </c>
      <c r="D1564" s="8" t="s">
        <v>2096</v>
      </c>
      <c r="E1564" s="8" t="str">
        <f t="shared" si="156"/>
        <v>TABACO</v>
      </c>
      <c r="G1564" s="8" t="s">
        <v>2861</v>
      </c>
      <c r="H1564" s="8" t="str">
        <f>VLOOKUP(A1564,[1]BBDD!$B$1:$J$3274,9,FALSE)</f>
        <v>U</v>
      </c>
      <c r="I1564" s="8" t="s">
        <v>2861</v>
      </c>
      <c r="J1564" s="8" t="s">
        <v>2157</v>
      </c>
      <c r="L1564" s="8" t="s">
        <v>61</v>
      </c>
      <c r="N1564" s="8" t="s">
        <v>67</v>
      </c>
      <c r="Q1564" s="8" t="s">
        <v>32</v>
      </c>
      <c r="R1564" s="8">
        <v>0</v>
      </c>
      <c r="S1564" s="8">
        <v>12</v>
      </c>
      <c r="T1564" s="8">
        <f t="shared" si="154"/>
        <v>12</v>
      </c>
      <c r="U1564" s="8">
        <v>6</v>
      </c>
      <c r="V1564" s="8">
        <v>6</v>
      </c>
      <c r="W1564" s="8">
        <v>4</v>
      </c>
      <c r="X1564" s="8">
        <v>11</v>
      </c>
      <c r="Y1564" s="8">
        <v>10</v>
      </c>
      <c r="Z1564" s="8">
        <v>6</v>
      </c>
      <c r="AA1564" s="8">
        <v>180</v>
      </c>
      <c r="AB1564" s="9">
        <f t="shared" si="155"/>
        <v>7.166666666666667</v>
      </c>
      <c r="AC1564" s="10">
        <f t="shared" si="157"/>
        <v>1.6744186046511627</v>
      </c>
      <c r="AD1564" s="8" t="s">
        <v>33</v>
      </c>
      <c r="AE1564" s="11">
        <v>12990</v>
      </c>
      <c r="AF1564" s="11">
        <f t="shared" si="158"/>
        <v>155880</v>
      </c>
      <c r="AG1564" s="12" t="s">
        <v>34</v>
      </c>
      <c r="AH1564" s="8" t="s">
        <v>65</v>
      </c>
    </row>
    <row r="1565" spans="1:34">
      <c r="A1565" s="8" t="s">
        <v>2162</v>
      </c>
      <c r="B1565" s="16" t="s">
        <v>2859</v>
      </c>
      <c r="C1565" s="8" t="s">
        <v>248</v>
      </c>
      <c r="D1565" s="8" t="s">
        <v>2096</v>
      </c>
      <c r="E1565" s="8" t="str">
        <f t="shared" si="156"/>
        <v>AZUL</v>
      </c>
      <c r="G1565" s="8" t="s">
        <v>2861</v>
      </c>
      <c r="H1565" s="8" t="str">
        <f>VLOOKUP(A1565,[1]BBDD!$B$1:$J$3274,9,FALSE)</f>
        <v>U</v>
      </c>
      <c r="I1565" s="8" t="s">
        <v>2861</v>
      </c>
      <c r="J1565" s="8" t="s">
        <v>2157</v>
      </c>
      <c r="L1565" s="8" t="s">
        <v>82</v>
      </c>
      <c r="N1565" s="8" t="s">
        <v>83</v>
      </c>
      <c r="Q1565" s="8" t="s">
        <v>32</v>
      </c>
      <c r="R1565" s="8">
        <v>0</v>
      </c>
      <c r="S1565" s="8">
        <v>11</v>
      </c>
      <c r="T1565" s="8">
        <f t="shared" si="154"/>
        <v>11</v>
      </c>
      <c r="U1565" s="8">
        <v>9</v>
      </c>
      <c r="V1565" s="8">
        <v>8</v>
      </c>
      <c r="W1565" s="8">
        <v>8</v>
      </c>
      <c r="X1565" s="8">
        <v>5</v>
      </c>
      <c r="Y1565" s="8">
        <v>8</v>
      </c>
      <c r="Z1565" s="8">
        <v>2</v>
      </c>
      <c r="AA1565" s="8">
        <v>180</v>
      </c>
      <c r="AB1565" s="9">
        <f t="shared" si="155"/>
        <v>6.6666666666666661</v>
      </c>
      <c r="AC1565" s="10">
        <f t="shared" si="157"/>
        <v>1.6500000000000001</v>
      </c>
      <c r="AD1565" s="8" t="s">
        <v>33</v>
      </c>
      <c r="AE1565" s="11">
        <v>12990</v>
      </c>
      <c r="AF1565" s="11">
        <f t="shared" si="158"/>
        <v>142890</v>
      </c>
      <c r="AG1565" s="12" t="s">
        <v>34</v>
      </c>
      <c r="AH1565" s="8" t="s">
        <v>65</v>
      </c>
    </row>
    <row r="1566" spans="1:34">
      <c r="A1566" s="8" t="s">
        <v>2163</v>
      </c>
      <c r="B1566" s="16" t="s">
        <v>2859</v>
      </c>
      <c r="C1566" s="8" t="s">
        <v>248</v>
      </c>
      <c r="D1566" s="8" t="s">
        <v>2096</v>
      </c>
      <c r="E1566" s="8" t="str">
        <f t="shared" si="156"/>
        <v>MALBEC</v>
      </c>
      <c r="G1566" s="8" t="s">
        <v>2861</v>
      </c>
      <c r="H1566" s="8" t="str">
        <f>VLOOKUP(A1566,[1]BBDD!$B$1:$J$3274,9,FALSE)</f>
        <v>U</v>
      </c>
      <c r="I1566" s="8" t="s">
        <v>2861</v>
      </c>
      <c r="J1566" s="8" t="s">
        <v>2157</v>
      </c>
      <c r="L1566" s="8" t="s">
        <v>82</v>
      </c>
      <c r="N1566" s="8" t="s">
        <v>69</v>
      </c>
      <c r="Q1566" s="8" t="s">
        <v>32</v>
      </c>
      <c r="R1566" s="8">
        <v>27</v>
      </c>
      <c r="S1566" s="8">
        <v>16</v>
      </c>
      <c r="T1566" s="8">
        <f t="shared" si="154"/>
        <v>43</v>
      </c>
      <c r="U1566" s="8">
        <v>4</v>
      </c>
      <c r="V1566" s="8">
        <v>2</v>
      </c>
      <c r="W1566" s="8">
        <v>10</v>
      </c>
      <c r="X1566" s="8">
        <v>2</v>
      </c>
      <c r="Y1566" s="8">
        <v>9</v>
      </c>
      <c r="Z1566" s="8">
        <v>2</v>
      </c>
      <c r="AA1566" s="8">
        <v>180</v>
      </c>
      <c r="AB1566" s="9">
        <f t="shared" si="155"/>
        <v>4.8333333333333339</v>
      </c>
      <c r="AC1566" s="10">
        <f t="shared" si="157"/>
        <v>8.8965517241379306</v>
      </c>
      <c r="AD1566" s="8" t="s">
        <v>33</v>
      </c>
      <c r="AE1566" s="11">
        <v>12990</v>
      </c>
      <c r="AF1566" s="11">
        <f t="shared" si="158"/>
        <v>558570</v>
      </c>
      <c r="AG1566" s="12" t="s">
        <v>51</v>
      </c>
      <c r="AH1566" s="8" t="s">
        <v>74</v>
      </c>
    </row>
    <row r="1567" spans="1:34">
      <c r="A1567" s="8" t="s">
        <v>2164</v>
      </c>
      <c r="B1567" s="16" t="s">
        <v>2859</v>
      </c>
      <c r="C1567" s="8" t="s">
        <v>248</v>
      </c>
      <c r="D1567" s="8" t="s">
        <v>2096</v>
      </c>
      <c r="E1567" s="8" t="str">
        <f t="shared" si="156"/>
        <v>NEGRO</v>
      </c>
      <c r="G1567" s="8" t="s">
        <v>2861</v>
      </c>
      <c r="H1567" s="8" t="str">
        <f>VLOOKUP(A1567,[1]BBDD!$B$1:$J$3274,9,FALSE)</f>
        <v>U</v>
      </c>
      <c r="I1567" s="8" t="s">
        <v>2861</v>
      </c>
      <c r="J1567" s="8" t="s">
        <v>2157</v>
      </c>
      <c r="L1567" s="8" t="s">
        <v>82</v>
      </c>
      <c r="N1567" s="8" t="s">
        <v>44</v>
      </c>
      <c r="Q1567" s="8" t="s">
        <v>32</v>
      </c>
      <c r="R1567" s="8">
        <v>8</v>
      </c>
      <c r="S1567" s="8">
        <v>16</v>
      </c>
      <c r="T1567" s="8">
        <f t="shared" si="154"/>
        <v>24</v>
      </c>
      <c r="U1567" s="8">
        <v>2</v>
      </c>
      <c r="V1567" s="8">
        <v>8</v>
      </c>
      <c r="W1567" s="8">
        <v>8</v>
      </c>
      <c r="X1567" s="8">
        <v>3</v>
      </c>
      <c r="Y1567" s="8">
        <v>3</v>
      </c>
      <c r="Z1567" s="8">
        <v>3</v>
      </c>
      <c r="AA1567" s="8">
        <v>180</v>
      </c>
      <c r="AB1567" s="9">
        <f t="shared" si="155"/>
        <v>4.5</v>
      </c>
      <c r="AC1567" s="10">
        <f t="shared" si="157"/>
        <v>5.333333333333333</v>
      </c>
      <c r="AD1567" s="8" t="s">
        <v>33</v>
      </c>
      <c r="AE1567" s="11">
        <v>12990</v>
      </c>
      <c r="AF1567" s="11">
        <f t="shared" si="158"/>
        <v>311760</v>
      </c>
      <c r="AG1567" s="12" t="s">
        <v>34</v>
      </c>
      <c r="AH1567" s="8" t="s">
        <v>74</v>
      </c>
    </row>
    <row r="1568" spans="1:34">
      <c r="A1568" s="8" t="s">
        <v>2165</v>
      </c>
      <c r="B1568" s="16" t="s">
        <v>2859</v>
      </c>
      <c r="C1568" s="8" t="s">
        <v>248</v>
      </c>
      <c r="D1568" s="8" t="s">
        <v>2096</v>
      </c>
      <c r="E1568" s="8" t="str">
        <f t="shared" si="156"/>
        <v>ROJO</v>
      </c>
      <c r="G1568" s="8" t="s">
        <v>2861</v>
      </c>
      <c r="H1568" s="8" t="str">
        <f>VLOOKUP(A1568,[1]BBDD!$B$1:$J$3274,9,FALSE)</f>
        <v>U</v>
      </c>
      <c r="I1568" s="8" t="s">
        <v>2861</v>
      </c>
      <c r="J1568" s="8" t="s">
        <v>2157</v>
      </c>
      <c r="L1568" s="8" t="s">
        <v>82</v>
      </c>
      <c r="N1568" s="8" t="s">
        <v>88</v>
      </c>
      <c r="Q1568" s="8" t="s">
        <v>32</v>
      </c>
      <c r="R1568" s="8">
        <v>7</v>
      </c>
      <c r="S1568" s="8">
        <v>15</v>
      </c>
      <c r="T1568" s="8">
        <f t="shared" si="154"/>
        <v>22</v>
      </c>
      <c r="U1568" s="8">
        <v>8</v>
      </c>
      <c r="V1568" s="8">
        <v>7</v>
      </c>
      <c r="W1568" s="8">
        <v>10</v>
      </c>
      <c r="X1568" s="8">
        <v>7</v>
      </c>
      <c r="Y1568" s="8">
        <v>5</v>
      </c>
      <c r="Z1568" s="8">
        <v>4</v>
      </c>
      <c r="AA1568" s="8">
        <v>180</v>
      </c>
      <c r="AB1568" s="9">
        <f t="shared" si="155"/>
        <v>6.833333333333333</v>
      </c>
      <c r="AC1568" s="10">
        <f t="shared" si="157"/>
        <v>3.2195121951219514</v>
      </c>
      <c r="AD1568" s="8" t="s">
        <v>33</v>
      </c>
      <c r="AE1568" s="11">
        <v>12990</v>
      </c>
      <c r="AF1568" s="11">
        <f t="shared" si="158"/>
        <v>285780</v>
      </c>
      <c r="AG1568" s="12" t="s">
        <v>34</v>
      </c>
      <c r="AH1568" s="8" t="s">
        <v>74</v>
      </c>
    </row>
    <row r="1569" spans="1:34">
      <c r="A1569" s="8" t="s">
        <v>2166</v>
      </c>
      <c r="B1569" s="16" t="s">
        <v>2859</v>
      </c>
      <c r="C1569" s="8" t="s">
        <v>248</v>
      </c>
      <c r="D1569" s="8" t="s">
        <v>2096</v>
      </c>
      <c r="E1569" s="8" t="str">
        <f t="shared" si="156"/>
        <v>SUELA</v>
      </c>
      <c r="G1569" s="8" t="s">
        <v>2861</v>
      </c>
      <c r="H1569" s="8" t="str">
        <f>VLOOKUP(A1569,[1]BBDD!$B$1:$J$3274,9,FALSE)</f>
        <v>U</v>
      </c>
      <c r="I1569" s="8" t="s">
        <v>2861</v>
      </c>
      <c r="J1569" s="8" t="s">
        <v>2157</v>
      </c>
      <c r="L1569" s="8" t="s">
        <v>82</v>
      </c>
      <c r="N1569" s="8" t="s">
        <v>90</v>
      </c>
      <c r="Q1569" s="8" t="s">
        <v>32</v>
      </c>
      <c r="R1569" s="8">
        <v>12</v>
      </c>
      <c r="S1569" s="8">
        <v>19</v>
      </c>
      <c r="T1569" s="8">
        <f t="shared" si="154"/>
        <v>31</v>
      </c>
      <c r="U1569" s="8">
        <v>5</v>
      </c>
      <c r="V1569" s="8">
        <v>3</v>
      </c>
      <c r="W1569" s="8">
        <v>10</v>
      </c>
      <c r="X1569" s="8">
        <v>4</v>
      </c>
      <c r="Y1569" s="8">
        <v>3</v>
      </c>
      <c r="Z1569" s="8">
        <v>1</v>
      </c>
      <c r="AA1569" s="8">
        <v>180</v>
      </c>
      <c r="AB1569" s="9">
        <f t="shared" si="155"/>
        <v>4.333333333333333</v>
      </c>
      <c r="AC1569" s="10">
        <f t="shared" si="157"/>
        <v>7.1538461538461542</v>
      </c>
      <c r="AD1569" s="8" t="s">
        <v>33</v>
      </c>
      <c r="AE1569" s="11">
        <v>12990</v>
      </c>
      <c r="AF1569" s="11">
        <f t="shared" si="158"/>
        <v>402690</v>
      </c>
      <c r="AG1569" s="12" t="s">
        <v>51</v>
      </c>
      <c r="AH1569" s="8" t="s">
        <v>74</v>
      </c>
    </row>
    <row r="1570" spans="1:34">
      <c r="A1570" s="8" t="s">
        <v>2167</v>
      </c>
      <c r="B1570" s="16" t="s">
        <v>2859</v>
      </c>
      <c r="C1570" s="8" t="s">
        <v>248</v>
      </c>
      <c r="D1570" s="8" t="s">
        <v>2096</v>
      </c>
      <c r="E1570" s="8" t="str">
        <f t="shared" si="156"/>
        <v>VERDE</v>
      </c>
      <c r="G1570" s="8" t="s">
        <v>2861</v>
      </c>
      <c r="H1570" s="8" t="str">
        <f>VLOOKUP(A1570,[1]BBDD!$B$1:$J$3274,9,FALSE)</f>
        <v>U</v>
      </c>
      <c r="I1570" s="8" t="s">
        <v>2861</v>
      </c>
      <c r="J1570" s="8" t="s">
        <v>2157</v>
      </c>
      <c r="L1570" s="8" t="s">
        <v>82</v>
      </c>
      <c r="N1570" s="8" t="s">
        <v>92</v>
      </c>
      <c r="Q1570" s="8" t="s">
        <v>32</v>
      </c>
      <c r="R1570" s="8">
        <v>11</v>
      </c>
      <c r="S1570" s="8">
        <v>26</v>
      </c>
      <c r="T1570" s="8">
        <f t="shared" si="154"/>
        <v>37</v>
      </c>
      <c r="U1570" s="8">
        <v>14</v>
      </c>
      <c r="V1570" s="8">
        <v>7</v>
      </c>
      <c r="W1570" s="8">
        <v>20</v>
      </c>
      <c r="X1570" s="8">
        <v>9</v>
      </c>
      <c r="Y1570" s="8">
        <v>6</v>
      </c>
      <c r="Z1570" s="8">
        <v>3</v>
      </c>
      <c r="AA1570" s="8">
        <v>180</v>
      </c>
      <c r="AB1570" s="9">
        <f t="shared" si="155"/>
        <v>9.8333333333333339</v>
      </c>
      <c r="AC1570" s="10">
        <f t="shared" si="157"/>
        <v>3.7627118644067794</v>
      </c>
      <c r="AD1570" s="8" t="s">
        <v>33</v>
      </c>
      <c r="AE1570" s="11">
        <v>12990</v>
      </c>
      <c r="AF1570" s="11">
        <f t="shared" si="158"/>
        <v>480630</v>
      </c>
      <c r="AG1570" s="12" t="s">
        <v>34</v>
      </c>
      <c r="AH1570" s="8" t="s">
        <v>74</v>
      </c>
    </row>
    <row r="1571" spans="1:34">
      <c r="A1571" s="8" t="s">
        <v>2168</v>
      </c>
      <c r="B1571" s="16" t="s">
        <v>2859</v>
      </c>
      <c r="C1571" s="8" t="s">
        <v>248</v>
      </c>
      <c r="D1571" s="8" t="s">
        <v>2096</v>
      </c>
      <c r="E1571" s="8" t="str">
        <f t="shared" si="156"/>
        <v>DARK</v>
      </c>
      <c r="G1571" s="8" t="s">
        <v>2861</v>
      </c>
      <c r="H1571" s="8" t="str">
        <f>VLOOKUP(A1571,[1]BBDD!$B$1:$J$3274,9,FALSE)</f>
        <v>U</v>
      </c>
      <c r="I1571" s="8" t="s">
        <v>2861</v>
      </c>
      <c r="J1571" s="8" t="s">
        <v>2157</v>
      </c>
      <c r="L1571" s="8" t="s">
        <v>189</v>
      </c>
      <c r="N1571" s="8" t="s">
        <v>246</v>
      </c>
      <c r="Q1571" s="8" t="s">
        <v>32</v>
      </c>
      <c r="R1571" s="8">
        <v>0</v>
      </c>
      <c r="S1571" s="8">
        <v>1</v>
      </c>
      <c r="T1571" s="8">
        <f t="shared" si="154"/>
        <v>1</v>
      </c>
      <c r="U1571" s="8">
        <v>0</v>
      </c>
      <c r="V1571" s="8">
        <v>2</v>
      </c>
      <c r="W1571" s="8">
        <v>3</v>
      </c>
      <c r="X1571" s="8">
        <v>4</v>
      </c>
      <c r="Y1571" s="8">
        <v>1</v>
      </c>
      <c r="Z1571" s="8">
        <v>0</v>
      </c>
      <c r="AA1571" s="8">
        <v>180</v>
      </c>
      <c r="AB1571" s="9">
        <f t="shared" si="155"/>
        <v>1.6666666666666665</v>
      </c>
      <c r="AC1571" s="10">
        <f t="shared" si="157"/>
        <v>0.60000000000000009</v>
      </c>
      <c r="AD1571" s="8" t="s">
        <v>33</v>
      </c>
      <c r="AE1571" s="11">
        <v>12990</v>
      </c>
      <c r="AF1571" s="11">
        <f t="shared" si="158"/>
        <v>12990</v>
      </c>
      <c r="AG1571" s="12" t="s">
        <v>34</v>
      </c>
      <c r="AH1571" s="8" t="s">
        <v>35</v>
      </c>
    </row>
    <row r="1572" spans="1:34">
      <c r="A1572" s="8" t="s">
        <v>2169</v>
      </c>
      <c r="B1572" s="16" t="s">
        <v>2859</v>
      </c>
      <c r="C1572" s="8" t="s">
        <v>248</v>
      </c>
      <c r="D1572" s="8" t="s">
        <v>2096</v>
      </c>
      <c r="E1572" s="8" t="str">
        <f t="shared" si="156"/>
        <v>LIGHT</v>
      </c>
      <c r="G1572" s="8" t="s">
        <v>2861</v>
      </c>
      <c r="H1572" s="8" t="str">
        <f>VLOOKUP(A1572,[1]BBDD!$B$1:$J$3274,9,FALSE)</f>
        <v>U</v>
      </c>
      <c r="I1572" s="8" t="s">
        <v>2861</v>
      </c>
      <c r="J1572" s="8" t="s">
        <v>2157</v>
      </c>
      <c r="L1572" s="8" t="s">
        <v>189</v>
      </c>
      <c r="N1572" s="8" t="s">
        <v>783</v>
      </c>
      <c r="Q1572" s="8" t="s">
        <v>32</v>
      </c>
      <c r="R1572" s="8">
        <v>0</v>
      </c>
      <c r="S1572" s="8">
        <v>0</v>
      </c>
      <c r="T1572" s="8">
        <f t="shared" si="154"/>
        <v>0</v>
      </c>
      <c r="U1572" s="8">
        <v>0</v>
      </c>
      <c r="V1572" s="8">
        <v>0</v>
      </c>
      <c r="W1572" s="8">
        <v>0</v>
      </c>
      <c r="X1572" s="8">
        <v>0</v>
      </c>
      <c r="Y1572" s="8">
        <v>0</v>
      </c>
      <c r="Z1572" s="8">
        <v>0</v>
      </c>
      <c r="AA1572" s="8">
        <v>180</v>
      </c>
      <c r="AB1572" s="9">
        <f t="shared" si="155"/>
        <v>0</v>
      </c>
      <c r="AC1572" s="10" t="str">
        <f t="shared" si="157"/>
        <v>sin venta</v>
      </c>
      <c r="AD1572" s="8" t="s">
        <v>33</v>
      </c>
      <c r="AE1572" s="11">
        <v>12990</v>
      </c>
      <c r="AF1572" s="11">
        <f t="shared" si="158"/>
        <v>0</v>
      </c>
      <c r="AG1572" s="12" t="s">
        <v>73</v>
      </c>
      <c r="AH1572" s="8" t="s">
        <v>35</v>
      </c>
    </row>
    <row r="1573" spans="1:34">
      <c r="A1573" s="8" t="s">
        <v>2170</v>
      </c>
      <c r="B1573" s="16" t="s">
        <v>2859</v>
      </c>
      <c r="C1573" s="8" t="s">
        <v>248</v>
      </c>
      <c r="D1573" s="8" t="s">
        <v>2096</v>
      </c>
      <c r="E1573" s="8" t="str">
        <f t="shared" si="156"/>
        <v>MEDIO</v>
      </c>
      <c r="G1573" s="8" t="s">
        <v>2861</v>
      </c>
      <c r="H1573" s="8" t="str">
        <f>VLOOKUP(A1573,[1]BBDD!$B$1:$J$3274,9,FALSE)</f>
        <v>U</v>
      </c>
      <c r="I1573" s="8" t="s">
        <v>2861</v>
      </c>
      <c r="J1573" s="8" t="s">
        <v>2157</v>
      </c>
      <c r="L1573" s="8" t="s">
        <v>189</v>
      </c>
      <c r="N1573" s="8" t="s">
        <v>190</v>
      </c>
      <c r="Q1573" s="8" t="s">
        <v>45</v>
      </c>
      <c r="R1573" s="8">
        <v>19</v>
      </c>
      <c r="S1573" s="8">
        <v>16</v>
      </c>
      <c r="T1573" s="8">
        <f t="shared" si="154"/>
        <v>35</v>
      </c>
      <c r="U1573" s="8">
        <v>8</v>
      </c>
      <c r="V1573" s="8">
        <v>2</v>
      </c>
      <c r="W1573" s="8">
        <v>2</v>
      </c>
      <c r="X1573" s="8">
        <v>2</v>
      </c>
      <c r="Y1573" s="8">
        <v>4</v>
      </c>
      <c r="Z1573" s="8">
        <v>3</v>
      </c>
      <c r="AA1573" s="8">
        <v>180</v>
      </c>
      <c r="AB1573" s="9">
        <f t="shared" si="155"/>
        <v>3.5</v>
      </c>
      <c r="AC1573" s="10">
        <f t="shared" si="157"/>
        <v>10</v>
      </c>
      <c r="AD1573" s="8" t="s">
        <v>109</v>
      </c>
      <c r="AE1573" s="11">
        <v>12990</v>
      </c>
      <c r="AF1573" s="11">
        <f t="shared" si="158"/>
        <v>454650</v>
      </c>
      <c r="AG1573" s="12" t="s">
        <v>51</v>
      </c>
      <c r="AH1573" s="8" t="s">
        <v>74</v>
      </c>
    </row>
    <row r="1574" spans="1:34">
      <c r="A1574" s="8" t="s">
        <v>2171</v>
      </c>
      <c r="B1574" s="16" t="s">
        <v>2859</v>
      </c>
      <c r="C1574" s="8" t="s">
        <v>248</v>
      </c>
      <c r="D1574" s="8" t="s">
        <v>2172</v>
      </c>
      <c r="E1574" s="8" t="str">
        <f t="shared" si="156"/>
        <v>CEDRO</v>
      </c>
      <c r="G1574" s="8" t="s">
        <v>2861</v>
      </c>
      <c r="H1574" s="8" t="str">
        <f>VLOOKUP(A1574,[1]BBDD!$B$1:$J$3274,9,FALSE)</f>
        <v>H</v>
      </c>
      <c r="I1574" s="19" t="s">
        <v>2861</v>
      </c>
      <c r="J1574" s="8" t="s">
        <v>2173</v>
      </c>
      <c r="L1574" s="8" t="s">
        <v>112</v>
      </c>
      <c r="N1574" s="8" t="s">
        <v>113</v>
      </c>
      <c r="Q1574" s="8" t="s">
        <v>45</v>
      </c>
      <c r="R1574" s="8">
        <v>0</v>
      </c>
      <c r="S1574" s="8">
        <v>1</v>
      </c>
      <c r="T1574" s="8">
        <f t="shared" si="154"/>
        <v>1</v>
      </c>
      <c r="U1574" s="8">
        <v>0</v>
      </c>
      <c r="V1574" s="8">
        <v>0</v>
      </c>
      <c r="W1574" s="8">
        <v>0</v>
      </c>
      <c r="X1574" s="8">
        <v>0</v>
      </c>
      <c r="Y1574" s="8">
        <v>0</v>
      </c>
      <c r="Z1574" s="8">
        <v>0</v>
      </c>
      <c r="AA1574" s="8">
        <v>180</v>
      </c>
      <c r="AB1574" s="9">
        <f t="shared" si="155"/>
        <v>0</v>
      </c>
      <c r="AC1574" s="10" t="str">
        <f t="shared" si="157"/>
        <v>sin venta</v>
      </c>
      <c r="AD1574" s="8" t="s">
        <v>109</v>
      </c>
      <c r="AE1574" s="11">
        <v>49990</v>
      </c>
      <c r="AF1574" s="11">
        <f t="shared" si="158"/>
        <v>49990</v>
      </c>
      <c r="AG1574" s="12" t="s">
        <v>73</v>
      </c>
      <c r="AH1574" s="8" t="s">
        <v>35</v>
      </c>
    </row>
    <row r="1575" spans="1:34">
      <c r="A1575" s="8" t="s">
        <v>2174</v>
      </c>
      <c r="B1575" s="16" t="s">
        <v>2859</v>
      </c>
      <c r="C1575" s="8" t="s">
        <v>248</v>
      </c>
      <c r="D1575" s="8" t="s">
        <v>2172</v>
      </c>
      <c r="E1575" s="8" t="str">
        <f t="shared" si="156"/>
        <v>CAPUCHINO</v>
      </c>
      <c r="G1575" s="8" t="s">
        <v>2861</v>
      </c>
      <c r="H1575" s="8" t="str">
        <f>VLOOKUP(A1575,[1]BBDD!$B$1:$J$3274,9,FALSE)</f>
        <v>H</v>
      </c>
      <c r="I1575" s="19" t="s">
        <v>2861</v>
      </c>
      <c r="J1575" s="8" t="s">
        <v>2173</v>
      </c>
      <c r="L1575" s="8" t="s">
        <v>55</v>
      </c>
      <c r="N1575" s="8" t="s">
        <v>2175</v>
      </c>
      <c r="Q1575" s="8" t="s">
        <v>45</v>
      </c>
      <c r="R1575" s="8">
        <v>0</v>
      </c>
      <c r="S1575" s="8">
        <v>2</v>
      </c>
      <c r="T1575" s="8">
        <f t="shared" si="154"/>
        <v>2</v>
      </c>
      <c r="U1575" s="8">
        <v>0</v>
      </c>
      <c r="V1575" s="8">
        <v>0</v>
      </c>
      <c r="W1575" s="8">
        <v>0</v>
      </c>
      <c r="X1575" s="8">
        <v>1</v>
      </c>
      <c r="Y1575" s="8">
        <v>0</v>
      </c>
      <c r="Z1575" s="8">
        <v>0</v>
      </c>
      <c r="AA1575" s="8">
        <v>180</v>
      </c>
      <c r="AB1575" s="9">
        <f t="shared" si="155"/>
        <v>0.16666666666666669</v>
      </c>
      <c r="AC1575" s="10">
        <f t="shared" si="157"/>
        <v>11.999999999999998</v>
      </c>
      <c r="AD1575" s="8" t="s">
        <v>109</v>
      </c>
      <c r="AE1575" s="11">
        <v>49990</v>
      </c>
      <c r="AF1575" s="11">
        <f t="shared" si="158"/>
        <v>99980</v>
      </c>
      <c r="AG1575" s="12" t="s">
        <v>51</v>
      </c>
      <c r="AH1575" s="8" t="s">
        <v>35</v>
      </c>
    </row>
    <row r="1576" spans="1:34">
      <c r="A1576" s="8" t="s">
        <v>2176</v>
      </c>
      <c r="B1576" s="16" t="s">
        <v>2859</v>
      </c>
      <c r="C1576" s="8" t="s">
        <v>248</v>
      </c>
      <c r="D1576" s="8" t="s">
        <v>2172</v>
      </c>
      <c r="E1576" s="8" t="str">
        <f t="shared" si="156"/>
        <v>VISON</v>
      </c>
      <c r="G1576" s="8" t="s">
        <v>2861</v>
      </c>
      <c r="H1576" s="8" t="str">
        <f>VLOOKUP(A1576,[1]BBDD!$B$1:$J$3274,9,FALSE)</f>
        <v>H</v>
      </c>
      <c r="I1576" s="19" t="s">
        <v>2861</v>
      </c>
      <c r="J1576" s="8" t="s">
        <v>2173</v>
      </c>
      <c r="L1576" s="8" t="s">
        <v>55</v>
      </c>
      <c r="N1576" s="8" t="s">
        <v>58</v>
      </c>
      <c r="Q1576" s="8" t="s">
        <v>45</v>
      </c>
      <c r="R1576" s="8">
        <v>0</v>
      </c>
      <c r="S1576" s="8">
        <v>3</v>
      </c>
      <c r="T1576" s="8">
        <f t="shared" si="154"/>
        <v>3</v>
      </c>
      <c r="U1576" s="8">
        <v>1</v>
      </c>
      <c r="V1576" s="8">
        <v>0</v>
      </c>
      <c r="W1576" s="8">
        <v>1</v>
      </c>
      <c r="X1576" s="8">
        <v>0</v>
      </c>
      <c r="Y1576" s="8">
        <v>0</v>
      </c>
      <c r="Z1576" s="8">
        <v>0</v>
      </c>
      <c r="AA1576" s="8">
        <v>180</v>
      </c>
      <c r="AB1576" s="9">
        <f t="shared" si="155"/>
        <v>0.33333333333333337</v>
      </c>
      <c r="AC1576" s="10">
        <f t="shared" si="157"/>
        <v>8.9999999999999982</v>
      </c>
      <c r="AD1576" s="8" t="s">
        <v>109</v>
      </c>
      <c r="AE1576" s="11">
        <v>49990</v>
      </c>
      <c r="AF1576" s="11">
        <f t="shared" si="158"/>
        <v>149970</v>
      </c>
      <c r="AG1576" s="12" t="s">
        <v>51</v>
      </c>
      <c r="AH1576" s="8" t="s">
        <v>35</v>
      </c>
    </row>
    <row r="1577" spans="1:34">
      <c r="A1577" s="8" t="s">
        <v>2177</v>
      </c>
      <c r="B1577" s="16" t="s">
        <v>2859</v>
      </c>
      <c r="C1577" s="8" t="s">
        <v>248</v>
      </c>
      <c r="D1577" s="8" t="s">
        <v>2172</v>
      </c>
      <c r="E1577" s="8" t="str">
        <f t="shared" si="156"/>
        <v>NEGRO</v>
      </c>
      <c r="G1577" s="8" t="s">
        <v>2861</v>
      </c>
      <c r="H1577" s="8" t="str">
        <f>VLOOKUP(A1577,[1]BBDD!$B$1:$J$3274,9,FALSE)</f>
        <v>H</v>
      </c>
      <c r="I1577" s="19" t="s">
        <v>2861</v>
      </c>
      <c r="J1577" s="8" t="s">
        <v>2178</v>
      </c>
      <c r="L1577" s="8" t="s">
        <v>61</v>
      </c>
      <c r="N1577" s="8" t="s">
        <v>44</v>
      </c>
      <c r="Q1577" s="8" t="s">
        <v>45</v>
      </c>
      <c r="R1577" s="8">
        <v>0</v>
      </c>
      <c r="S1577" s="8">
        <v>8</v>
      </c>
      <c r="T1577" s="8">
        <f t="shared" si="154"/>
        <v>8</v>
      </c>
      <c r="U1577" s="8">
        <v>0</v>
      </c>
      <c r="V1577" s="8">
        <v>0</v>
      </c>
      <c r="W1577" s="8">
        <v>2</v>
      </c>
      <c r="X1577" s="8">
        <v>1</v>
      </c>
      <c r="Y1577" s="8">
        <v>1</v>
      </c>
      <c r="Z1577" s="8">
        <v>1</v>
      </c>
      <c r="AA1577" s="8">
        <v>180</v>
      </c>
      <c r="AB1577" s="9">
        <f t="shared" si="155"/>
        <v>0.83333333333333326</v>
      </c>
      <c r="AC1577" s="10">
        <f t="shared" si="157"/>
        <v>9.6000000000000014</v>
      </c>
      <c r="AD1577" s="8" t="s">
        <v>109</v>
      </c>
      <c r="AE1577" s="11">
        <v>34990</v>
      </c>
      <c r="AF1577" s="11">
        <f t="shared" si="158"/>
        <v>279920</v>
      </c>
      <c r="AG1577" s="12" t="s">
        <v>51</v>
      </c>
      <c r="AH1577" s="8" t="s">
        <v>35</v>
      </c>
    </row>
    <row r="1578" spans="1:34">
      <c r="A1578" s="8" t="s">
        <v>2179</v>
      </c>
      <c r="B1578" s="16" t="s">
        <v>2859</v>
      </c>
      <c r="C1578" s="8" t="s">
        <v>248</v>
      </c>
      <c r="D1578" s="8" t="s">
        <v>2172</v>
      </c>
      <c r="E1578" s="8" t="str">
        <f t="shared" si="156"/>
        <v>CEDRO</v>
      </c>
      <c r="G1578" s="8" t="s">
        <v>2861</v>
      </c>
      <c r="H1578" s="8" t="str">
        <f>VLOOKUP(A1578,[1]BBDD!$B$1:$J$3274,9,FALSE)</f>
        <v>H</v>
      </c>
      <c r="I1578" s="19" t="s">
        <v>2861</v>
      </c>
      <c r="J1578" s="8" t="s">
        <v>2178</v>
      </c>
      <c r="L1578" s="8" t="s">
        <v>112</v>
      </c>
      <c r="N1578" s="8" t="s">
        <v>113</v>
      </c>
      <c r="Q1578" s="8" t="s">
        <v>32</v>
      </c>
      <c r="R1578" s="8">
        <v>1</v>
      </c>
      <c r="S1578" s="8">
        <v>6</v>
      </c>
      <c r="T1578" s="8">
        <f t="shared" si="154"/>
        <v>7</v>
      </c>
      <c r="U1578" s="8">
        <v>2</v>
      </c>
      <c r="V1578" s="8">
        <v>2</v>
      </c>
      <c r="W1578" s="8">
        <v>0</v>
      </c>
      <c r="X1578" s="8">
        <v>2</v>
      </c>
      <c r="Y1578" s="8">
        <v>1</v>
      </c>
      <c r="Z1578" s="8">
        <v>0</v>
      </c>
      <c r="AA1578" s="8">
        <v>180</v>
      </c>
      <c r="AB1578" s="9">
        <f t="shared" si="155"/>
        <v>1.1666666666666667</v>
      </c>
      <c r="AC1578" s="10">
        <f t="shared" si="157"/>
        <v>6</v>
      </c>
      <c r="AD1578" s="8" t="s">
        <v>33</v>
      </c>
      <c r="AE1578" s="11">
        <v>34990</v>
      </c>
      <c r="AF1578" s="11">
        <f t="shared" si="158"/>
        <v>244930</v>
      </c>
      <c r="AG1578" s="12" t="s">
        <v>34</v>
      </c>
      <c r="AH1578" s="8" t="s">
        <v>35</v>
      </c>
    </row>
    <row r="1579" spans="1:34">
      <c r="A1579" s="8" t="s">
        <v>2180</v>
      </c>
      <c r="B1579" s="16" t="s">
        <v>2859</v>
      </c>
      <c r="C1579" s="8" t="s">
        <v>248</v>
      </c>
      <c r="D1579" s="8" t="s">
        <v>2172</v>
      </c>
      <c r="E1579" s="8" t="str">
        <f t="shared" si="156"/>
        <v>WISKY</v>
      </c>
      <c r="G1579" s="8" t="s">
        <v>2861</v>
      </c>
      <c r="H1579" s="8" t="str">
        <f>VLOOKUP(A1579,[1]BBDD!$B$1:$J$3274,9,FALSE)</f>
        <v>H</v>
      </c>
      <c r="I1579" s="19" t="s">
        <v>2861</v>
      </c>
      <c r="J1579" s="8" t="s">
        <v>2178</v>
      </c>
      <c r="L1579" s="8" t="s">
        <v>2181</v>
      </c>
      <c r="N1579" s="8" t="s">
        <v>2182</v>
      </c>
      <c r="Q1579" s="8" t="s">
        <v>32</v>
      </c>
      <c r="R1579" s="8">
        <v>1</v>
      </c>
      <c r="S1579" s="8">
        <v>6</v>
      </c>
      <c r="T1579" s="8">
        <f t="shared" si="154"/>
        <v>7</v>
      </c>
      <c r="U1579" s="8">
        <v>2</v>
      </c>
      <c r="V1579" s="8">
        <v>0</v>
      </c>
      <c r="W1579" s="8">
        <v>0</v>
      </c>
      <c r="X1579" s="8">
        <v>0</v>
      </c>
      <c r="Y1579" s="8">
        <v>0</v>
      </c>
      <c r="Z1579" s="8">
        <v>1</v>
      </c>
      <c r="AA1579" s="8">
        <v>180</v>
      </c>
      <c r="AB1579" s="9">
        <f t="shared" si="155"/>
        <v>0.5</v>
      </c>
      <c r="AC1579" s="10">
        <f t="shared" si="157"/>
        <v>14</v>
      </c>
      <c r="AD1579" s="8" t="s">
        <v>33</v>
      </c>
      <c r="AE1579" s="11">
        <v>34990</v>
      </c>
      <c r="AF1579" s="11">
        <f t="shared" si="158"/>
        <v>244930</v>
      </c>
      <c r="AG1579" s="12" t="s">
        <v>64</v>
      </c>
      <c r="AH1579" s="8" t="s">
        <v>35</v>
      </c>
    </row>
    <row r="1580" spans="1:34">
      <c r="A1580" s="8" t="s">
        <v>2183</v>
      </c>
      <c r="B1580" s="16" t="s">
        <v>2859</v>
      </c>
      <c r="C1580" s="8" t="s">
        <v>248</v>
      </c>
      <c r="D1580" s="8" t="s">
        <v>2172</v>
      </c>
      <c r="E1580" s="8" t="str">
        <f t="shared" si="156"/>
        <v>CEDRO</v>
      </c>
      <c r="G1580" s="8" t="s">
        <v>2861</v>
      </c>
      <c r="H1580" s="8" t="str">
        <f>VLOOKUP(A1580,[1]BBDD!$B$1:$J$3274,9,FALSE)</f>
        <v>H</v>
      </c>
      <c r="I1580" s="19" t="s">
        <v>2861</v>
      </c>
      <c r="J1580" s="8" t="s">
        <v>2184</v>
      </c>
      <c r="L1580" s="8" t="s">
        <v>112</v>
      </c>
      <c r="N1580" s="8" t="s">
        <v>113</v>
      </c>
      <c r="Q1580" s="8" t="s">
        <v>32</v>
      </c>
      <c r="R1580" s="8">
        <v>0</v>
      </c>
      <c r="S1580" s="8">
        <v>2</v>
      </c>
      <c r="T1580" s="8">
        <f t="shared" si="154"/>
        <v>2</v>
      </c>
      <c r="U1580" s="8">
        <v>0</v>
      </c>
      <c r="V1580" s="8">
        <v>0</v>
      </c>
      <c r="W1580" s="8">
        <v>0</v>
      </c>
      <c r="X1580" s="8">
        <v>0</v>
      </c>
      <c r="Y1580" s="8">
        <v>0</v>
      </c>
      <c r="Z1580" s="8">
        <v>1</v>
      </c>
      <c r="AA1580" s="8">
        <v>180</v>
      </c>
      <c r="AB1580" s="9">
        <f t="shared" si="155"/>
        <v>0.16666666666666669</v>
      </c>
      <c r="AC1580" s="10">
        <f t="shared" si="157"/>
        <v>11.999999999999998</v>
      </c>
      <c r="AD1580" s="8" t="s">
        <v>33</v>
      </c>
      <c r="AE1580" s="11">
        <v>59990</v>
      </c>
      <c r="AF1580" s="11">
        <f t="shared" si="158"/>
        <v>119980</v>
      </c>
      <c r="AG1580" s="12" t="s">
        <v>51</v>
      </c>
      <c r="AH1580" s="8" t="s">
        <v>35</v>
      </c>
    </row>
    <row r="1581" spans="1:34">
      <c r="A1581" s="8" t="s">
        <v>2185</v>
      </c>
      <c r="B1581" s="16" t="s">
        <v>2859</v>
      </c>
      <c r="C1581" s="8" t="s">
        <v>248</v>
      </c>
      <c r="D1581" s="8" t="s">
        <v>2172</v>
      </c>
      <c r="E1581" s="8" t="str">
        <f t="shared" si="156"/>
        <v>NEGRO</v>
      </c>
      <c r="G1581" s="8" t="s">
        <v>2861</v>
      </c>
      <c r="H1581" s="8" t="str">
        <f>VLOOKUP(A1581,[1]BBDD!$B$1:$J$3274,9,FALSE)</f>
        <v>H</v>
      </c>
      <c r="I1581" s="19" t="s">
        <v>2861</v>
      </c>
      <c r="J1581" s="8" t="s">
        <v>2184</v>
      </c>
      <c r="L1581" s="8" t="s">
        <v>2181</v>
      </c>
      <c r="N1581" s="8" t="s">
        <v>44</v>
      </c>
      <c r="Q1581" s="8" t="s">
        <v>32</v>
      </c>
      <c r="R1581" s="8">
        <v>0</v>
      </c>
      <c r="S1581" s="8">
        <v>4</v>
      </c>
      <c r="T1581" s="8">
        <f t="shared" si="154"/>
        <v>4</v>
      </c>
      <c r="U1581" s="8">
        <v>1</v>
      </c>
      <c r="V1581" s="8">
        <v>0</v>
      </c>
      <c r="W1581" s="8">
        <v>0</v>
      </c>
      <c r="X1581" s="8">
        <v>0</v>
      </c>
      <c r="Y1581" s="8">
        <v>0</v>
      </c>
      <c r="Z1581" s="8">
        <v>0</v>
      </c>
      <c r="AA1581" s="8">
        <v>180</v>
      </c>
      <c r="AB1581" s="9">
        <f t="shared" si="155"/>
        <v>0.16666666666666669</v>
      </c>
      <c r="AC1581" s="10">
        <f t="shared" si="157"/>
        <v>23.999999999999996</v>
      </c>
      <c r="AD1581" s="8" t="s">
        <v>33</v>
      </c>
      <c r="AE1581" s="11">
        <v>59990</v>
      </c>
      <c r="AF1581" s="11">
        <f t="shared" si="158"/>
        <v>239960</v>
      </c>
      <c r="AG1581" s="12" t="s">
        <v>64</v>
      </c>
      <c r="AH1581" s="8" t="s">
        <v>35</v>
      </c>
    </row>
    <row r="1582" spans="1:34">
      <c r="A1582" s="8" t="s">
        <v>2186</v>
      </c>
      <c r="B1582" s="16" t="s">
        <v>2859</v>
      </c>
      <c r="C1582" s="8" t="s">
        <v>248</v>
      </c>
      <c r="D1582" s="8" t="s">
        <v>2172</v>
      </c>
      <c r="E1582" s="8" t="str">
        <f t="shared" si="156"/>
        <v>WISKY</v>
      </c>
      <c r="G1582" s="8" t="s">
        <v>2861</v>
      </c>
      <c r="H1582" s="8" t="str">
        <f>VLOOKUP(A1582,[1]BBDD!$B$1:$J$3274,9,FALSE)</f>
        <v>H</v>
      </c>
      <c r="I1582" s="19" t="s">
        <v>2861</v>
      </c>
      <c r="J1582" s="8" t="s">
        <v>2184</v>
      </c>
      <c r="L1582" s="8" t="s">
        <v>2181</v>
      </c>
      <c r="N1582" s="8" t="s">
        <v>2182</v>
      </c>
      <c r="Q1582" s="8" t="s">
        <v>32</v>
      </c>
      <c r="R1582" s="8">
        <v>5</v>
      </c>
      <c r="S1582" s="8">
        <v>7</v>
      </c>
      <c r="T1582" s="8">
        <f t="shared" si="154"/>
        <v>12</v>
      </c>
      <c r="U1582" s="8">
        <v>2</v>
      </c>
      <c r="V1582" s="8">
        <v>0</v>
      </c>
      <c r="W1582" s="8">
        <v>0</v>
      </c>
      <c r="X1582" s="8">
        <v>0</v>
      </c>
      <c r="Y1582" s="8">
        <v>0</v>
      </c>
      <c r="Z1582" s="8">
        <v>1</v>
      </c>
      <c r="AA1582" s="8">
        <v>180</v>
      </c>
      <c r="AB1582" s="9">
        <f t="shared" si="155"/>
        <v>0.5</v>
      </c>
      <c r="AC1582" s="10">
        <f t="shared" si="157"/>
        <v>24</v>
      </c>
      <c r="AD1582" s="8" t="s">
        <v>33</v>
      </c>
      <c r="AE1582" s="11">
        <v>59990</v>
      </c>
      <c r="AF1582" s="11">
        <f t="shared" si="158"/>
        <v>719880</v>
      </c>
      <c r="AG1582" s="12" t="s">
        <v>64</v>
      </c>
      <c r="AH1582" s="8" t="s">
        <v>65</v>
      </c>
    </row>
    <row r="1583" spans="1:34">
      <c r="A1583" s="8" t="s">
        <v>2187</v>
      </c>
      <c r="B1583" s="16" t="s">
        <v>2859</v>
      </c>
      <c r="C1583" s="8" t="s">
        <v>248</v>
      </c>
      <c r="D1583" s="8" t="s">
        <v>2188</v>
      </c>
      <c r="E1583" s="8" t="str">
        <f t="shared" si="156"/>
        <v>AZUL</v>
      </c>
      <c r="G1583" s="8" t="s">
        <v>2861</v>
      </c>
      <c r="H1583" s="8" t="str">
        <f>VLOOKUP(A1583,[1]BBDD!$B$1:$J$3274,9,FALSE)</f>
        <v>U</v>
      </c>
      <c r="I1583" s="8" t="s">
        <v>2861</v>
      </c>
      <c r="J1583" s="8" t="s">
        <v>2189</v>
      </c>
      <c r="L1583" s="8" t="s">
        <v>61</v>
      </c>
      <c r="N1583" s="8" t="s">
        <v>83</v>
      </c>
      <c r="Q1583" s="8" t="s">
        <v>32</v>
      </c>
      <c r="R1583" s="8">
        <v>0</v>
      </c>
      <c r="S1583" s="8">
        <v>2</v>
      </c>
      <c r="T1583" s="8">
        <f t="shared" si="154"/>
        <v>2</v>
      </c>
      <c r="U1583" s="8">
        <v>16</v>
      </c>
      <c r="V1583" s="8">
        <v>7</v>
      </c>
      <c r="W1583" s="8">
        <v>2</v>
      </c>
      <c r="X1583" s="8">
        <v>0</v>
      </c>
      <c r="Y1583" s="8">
        <v>0</v>
      </c>
      <c r="Z1583" s="8">
        <v>1</v>
      </c>
      <c r="AA1583" s="8">
        <v>180</v>
      </c>
      <c r="AB1583" s="9">
        <f t="shared" si="155"/>
        <v>4.333333333333333</v>
      </c>
      <c r="AC1583" s="10">
        <f t="shared" si="157"/>
        <v>0.46153846153846156</v>
      </c>
      <c r="AD1583" s="8" t="s">
        <v>33</v>
      </c>
      <c r="AE1583" s="11">
        <v>15990</v>
      </c>
      <c r="AF1583" s="11">
        <f t="shared" si="158"/>
        <v>31980</v>
      </c>
      <c r="AG1583" s="12" t="s">
        <v>34</v>
      </c>
      <c r="AH1583" s="8" t="s">
        <v>35</v>
      </c>
    </row>
    <row r="1584" spans="1:34">
      <c r="A1584" s="8" t="s">
        <v>2190</v>
      </c>
      <c r="B1584" s="16" t="s">
        <v>2859</v>
      </c>
      <c r="C1584" s="8" t="s">
        <v>248</v>
      </c>
      <c r="D1584" s="8" t="s">
        <v>2188</v>
      </c>
      <c r="E1584" s="8" t="str">
        <f t="shared" si="156"/>
        <v>CARAMELO</v>
      </c>
      <c r="G1584" s="8" t="s">
        <v>2861</v>
      </c>
      <c r="H1584" s="8" t="str">
        <f>VLOOKUP(A1584,[1]BBDD!$B$1:$J$3274,9,FALSE)</f>
        <v>U</v>
      </c>
      <c r="I1584" s="8" t="s">
        <v>2861</v>
      </c>
      <c r="J1584" s="8" t="s">
        <v>2189</v>
      </c>
      <c r="L1584" s="8" t="s">
        <v>61</v>
      </c>
      <c r="N1584" s="8" t="s">
        <v>62</v>
      </c>
      <c r="Q1584" s="8" t="s">
        <v>32</v>
      </c>
      <c r="R1584" s="8">
        <v>36</v>
      </c>
      <c r="S1584" s="8">
        <v>18</v>
      </c>
      <c r="T1584" s="8">
        <f t="shared" si="154"/>
        <v>54</v>
      </c>
      <c r="U1584" s="8">
        <v>4</v>
      </c>
      <c r="V1584" s="8">
        <v>6</v>
      </c>
      <c r="W1584" s="8">
        <v>5</v>
      </c>
      <c r="X1584" s="8">
        <v>14</v>
      </c>
      <c r="Y1584" s="8">
        <v>2</v>
      </c>
      <c r="Z1584" s="8">
        <v>13</v>
      </c>
      <c r="AA1584" s="8">
        <v>180</v>
      </c>
      <c r="AB1584" s="9">
        <f t="shared" si="155"/>
        <v>7.333333333333333</v>
      </c>
      <c r="AC1584" s="10">
        <f t="shared" si="157"/>
        <v>7.3636363636363642</v>
      </c>
      <c r="AD1584" s="8" t="s">
        <v>33</v>
      </c>
      <c r="AE1584" s="11">
        <v>15990</v>
      </c>
      <c r="AF1584" s="11">
        <f t="shared" si="158"/>
        <v>863460</v>
      </c>
      <c r="AG1584" s="12" t="s">
        <v>51</v>
      </c>
      <c r="AH1584" s="8" t="s">
        <v>74</v>
      </c>
    </row>
    <row r="1585" spans="1:34">
      <c r="A1585" s="8" t="s">
        <v>2191</v>
      </c>
      <c r="B1585" s="16" t="s">
        <v>2859</v>
      </c>
      <c r="C1585" s="8" t="s">
        <v>248</v>
      </c>
      <c r="D1585" s="8" t="s">
        <v>2188</v>
      </c>
      <c r="E1585" s="8" t="str">
        <f t="shared" si="156"/>
        <v>MALBEC</v>
      </c>
      <c r="G1585" s="8" t="s">
        <v>2861</v>
      </c>
      <c r="H1585" s="8" t="str">
        <f>VLOOKUP(A1585,[1]BBDD!$B$1:$J$3274,9,FALSE)</f>
        <v>U</v>
      </c>
      <c r="I1585" s="8" t="s">
        <v>2861</v>
      </c>
      <c r="J1585" s="8" t="s">
        <v>2189</v>
      </c>
      <c r="L1585" s="8" t="s">
        <v>61</v>
      </c>
      <c r="N1585" s="8" t="s">
        <v>69</v>
      </c>
      <c r="Q1585" s="8" t="s">
        <v>32</v>
      </c>
      <c r="R1585" s="8">
        <v>0</v>
      </c>
      <c r="S1585" s="8">
        <v>7</v>
      </c>
      <c r="T1585" s="8">
        <f t="shared" si="154"/>
        <v>7</v>
      </c>
      <c r="U1585" s="8">
        <v>7</v>
      </c>
      <c r="V1585" s="8">
        <v>4</v>
      </c>
      <c r="W1585" s="8">
        <v>9</v>
      </c>
      <c r="X1585" s="8">
        <v>12</v>
      </c>
      <c r="Y1585" s="8">
        <v>7</v>
      </c>
      <c r="Z1585" s="8">
        <v>5</v>
      </c>
      <c r="AA1585" s="8">
        <v>180</v>
      </c>
      <c r="AB1585" s="9">
        <f t="shared" si="155"/>
        <v>7.333333333333333</v>
      </c>
      <c r="AC1585" s="10">
        <f t="shared" si="157"/>
        <v>0.95454545454545459</v>
      </c>
      <c r="AD1585" s="8" t="s">
        <v>33</v>
      </c>
      <c r="AE1585" s="11">
        <v>15990</v>
      </c>
      <c r="AF1585" s="11">
        <f t="shared" si="158"/>
        <v>111930</v>
      </c>
      <c r="AG1585" s="12" t="s">
        <v>34</v>
      </c>
      <c r="AH1585" s="8" t="s">
        <v>35</v>
      </c>
    </row>
    <row r="1586" spans="1:34">
      <c r="A1586" s="8" t="s">
        <v>2192</v>
      </c>
      <c r="B1586" s="16" t="s">
        <v>2859</v>
      </c>
      <c r="C1586" s="8" t="s">
        <v>248</v>
      </c>
      <c r="D1586" s="8" t="s">
        <v>2188</v>
      </c>
      <c r="E1586" s="8" t="str">
        <f t="shared" si="156"/>
        <v>NEGRO</v>
      </c>
      <c r="G1586" s="8" t="s">
        <v>2861</v>
      </c>
      <c r="H1586" s="8" t="str">
        <f>VLOOKUP(A1586,[1]BBDD!$B$1:$J$3274,9,FALSE)</f>
        <v>U</v>
      </c>
      <c r="I1586" s="8" t="s">
        <v>2861</v>
      </c>
      <c r="J1586" s="8" t="s">
        <v>2189</v>
      </c>
      <c r="L1586" s="8" t="s">
        <v>61</v>
      </c>
      <c r="N1586" s="8" t="s">
        <v>44</v>
      </c>
      <c r="Q1586" s="8" t="s">
        <v>32</v>
      </c>
      <c r="R1586" s="8">
        <v>19</v>
      </c>
      <c r="S1586" s="8">
        <v>18</v>
      </c>
      <c r="T1586" s="8">
        <f t="shared" si="154"/>
        <v>37</v>
      </c>
      <c r="U1586" s="8">
        <v>8</v>
      </c>
      <c r="V1586" s="8">
        <v>5</v>
      </c>
      <c r="W1586" s="8">
        <v>13</v>
      </c>
      <c r="X1586" s="8">
        <v>11</v>
      </c>
      <c r="Y1586" s="8">
        <v>4</v>
      </c>
      <c r="Z1586" s="8">
        <v>6</v>
      </c>
      <c r="AA1586" s="8">
        <v>180</v>
      </c>
      <c r="AB1586" s="9">
        <f t="shared" si="155"/>
        <v>7.8333333333333339</v>
      </c>
      <c r="AC1586" s="10">
        <f t="shared" si="157"/>
        <v>4.7234042553191484</v>
      </c>
      <c r="AD1586" s="8" t="s">
        <v>33</v>
      </c>
      <c r="AE1586" s="11">
        <v>15990</v>
      </c>
      <c r="AF1586" s="11">
        <f t="shared" si="158"/>
        <v>591630</v>
      </c>
      <c r="AG1586" s="12" t="s">
        <v>34</v>
      </c>
      <c r="AH1586" s="8" t="s">
        <v>74</v>
      </c>
    </row>
    <row r="1587" spans="1:34">
      <c r="A1587" s="8" t="s">
        <v>2193</v>
      </c>
      <c r="B1587" s="16" t="s">
        <v>2859</v>
      </c>
      <c r="C1587" s="8" t="s">
        <v>248</v>
      </c>
      <c r="D1587" s="8" t="s">
        <v>2188</v>
      </c>
      <c r="E1587" s="8" t="str">
        <f t="shared" si="156"/>
        <v>ROJO</v>
      </c>
      <c r="G1587" s="8" t="s">
        <v>2861</v>
      </c>
      <c r="H1587" s="8" t="str">
        <f>VLOOKUP(A1587,[1]BBDD!$B$1:$J$3274,9,FALSE)</f>
        <v>U</v>
      </c>
      <c r="I1587" s="8" t="s">
        <v>2861</v>
      </c>
      <c r="J1587" s="8" t="s">
        <v>2189</v>
      </c>
      <c r="L1587" s="8" t="s">
        <v>61</v>
      </c>
      <c r="N1587" s="8" t="s">
        <v>88</v>
      </c>
      <c r="Q1587" s="8" t="s">
        <v>32</v>
      </c>
      <c r="R1587" s="8">
        <v>14</v>
      </c>
      <c r="S1587" s="8">
        <v>24</v>
      </c>
      <c r="T1587" s="8">
        <f t="shared" ref="T1587:T1649" si="159">SUM(R1587:S1587)</f>
        <v>38</v>
      </c>
      <c r="U1587" s="8">
        <v>23</v>
      </c>
      <c r="V1587" s="8">
        <v>7</v>
      </c>
      <c r="W1587" s="8">
        <v>14</v>
      </c>
      <c r="X1587" s="8">
        <v>13</v>
      </c>
      <c r="Y1587" s="8">
        <v>6</v>
      </c>
      <c r="Z1587" s="8">
        <v>9</v>
      </c>
      <c r="AA1587" s="8">
        <v>180</v>
      </c>
      <c r="AB1587" s="9">
        <f t="shared" ref="AB1587:AB1649" si="160">SUM(U1587:Z1587)/AA1587*30</f>
        <v>12</v>
      </c>
      <c r="AC1587" s="10">
        <f t="shared" si="157"/>
        <v>3.1666666666666665</v>
      </c>
      <c r="AD1587" s="8" t="s">
        <v>33</v>
      </c>
      <c r="AE1587" s="11">
        <v>15990</v>
      </c>
      <c r="AF1587" s="11">
        <f t="shared" si="158"/>
        <v>607620</v>
      </c>
      <c r="AG1587" s="12" t="s">
        <v>34</v>
      </c>
      <c r="AH1587" s="8" t="s">
        <v>74</v>
      </c>
    </row>
    <row r="1588" spans="1:34">
      <c r="A1588" s="8" t="s">
        <v>2194</v>
      </c>
      <c r="B1588" s="16" t="s">
        <v>2859</v>
      </c>
      <c r="C1588" s="8" t="s">
        <v>248</v>
      </c>
      <c r="D1588" s="8" t="s">
        <v>2188</v>
      </c>
      <c r="E1588" s="8" t="str">
        <f t="shared" si="156"/>
        <v>TABACO</v>
      </c>
      <c r="G1588" s="8" t="s">
        <v>2861</v>
      </c>
      <c r="H1588" s="8" t="str">
        <f>VLOOKUP(A1588,[1]BBDD!$B$1:$J$3274,9,FALSE)</f>
        <v>U</v>
      </c>
      <c r="I1588" s="8" t="s">
        <v>2861</v>
      </c>
      <c r="J1588" s="8" t="s">
        <v>2189</v>
      </c>
      <c r="L1588" s="8" t="s">
        <v>61</v>
      </c>
      <c r="N1588" s="8" t="s">
        <v>67</v>
      </c>
      <c r="Q1588" s="8" t="s">
        <v>32</v>
      </c>
      <c r="R1588" s="8">
        <v>11</v>
      </c>
      <c r="S1588" s="8">
        <v>19</v>
      </c>
      <c r="T1588" s="8">
        <f t="shared" si="159"/>
        <v>30</v>
      </c>
      <c r="U1588" s="8">
        <v>15</v>
      </c>
      <c r="V1588" s="8">
        <v>7</v>
      </c>
      <c r="W1588" s="8">
        <v>11</v>
      </c>
      <c r="X1588" s="8">
        <v>4</v>
      </c>
      <c r="Y1588" s="8">
        <v>6</v>
      </c>
      <c r="Z1588" s="8">
        <v>8</v>
      </c>
      <c r="AA1588" s="8">
        <v>180</v>
      </c>
      <c r="AB1588" s="9">
        <f t="shared" si="160"/>
        <v>8.5</v>
      </c>
      <c r="AC1588" s="10">
        <f t="shared" si="157"/>
        <v>3.5294117647058822</v>
      </c>
      <c r="AD1588" s="8" t="s">
        <v>33</v>
      </c>
      <c r="AE1588" s="11">
        <v>15990</v>
      </c>
      <c r="AF1588" s="11">
        <f t="shared" si="158"/>
        <v>479700</v>
      </c>
      <c r="AG1588" s="12" t="s">
        <v>34</v>
      </c>
      <c r="AH1588" s="8" t="s">
        <v>74</v>
      </c>
    </row>
    <row r="1589" spans="1:34">
      <c r="A1589" s="8" t="s">
        <v>2195</v>
      </c>
      <c r="B1589" s="16" t="s">
        <v>2859</v>
      </c>
      <c r="C1589" s="8" t="s">
        <v>248</v>
      </c>
      <c r="D1589" s="8" t="s">
        <v>2188</v>
      </c>
      <c r="E1589" s="8" t="str">
        <f t="shared" si="156"/>
        <v>VERDE</v>
      </c>
      <c r="G1589" s="8" t="s">
        <v>2861</v>
      </c>
      <c r="H1589" s="8" t="str">
        <f>VLOOKUP(A1589,[1]BBDD!$B$1:$J$3274,9,FALSE)</f>
        <v>U</v>
      </c>
      <c r="I1589" s="8" t="s">
        <v>2861</v>
      </c>
      <c r="J1589" s="8" t="s">
        <v>2189</v>
      </c>
      <c r="L1589" s="8" t="s">
        <v>61</v>
      </c>
      <c r="N1589" s="8" t="s">
        <v>92</v>
      </c>
      <c r="Q1589" s="8" t="s">
        <v>32</v>
      </c>
      <c r="R1589" s="8">
        <v>0</v>
      </c>
      <c r="S1589" s="8">
        <v>0</v>
      </c>
      <c r="T1589" s="8">
        <f t="shared" si="159"/>
        <v>0</v>
      </c>
      <c r="U1589" s="8">
        <v>1</v>
      </c>
      <c r="V1589" s="8">
        <v>0</v>
      </c>
      <c r="W1589" s="8">
        <v>1</v>
      </c>
      <c r="X1589" s="8">
        <v>0</v>
      </c>
      <c r="Y1589" s="8">
        <v>0</v>
      </c>
      <c r="Z1589" s="8">
        <v>0</v>
      </c>
      <c r="AA1589" s="8">
        <v>180</v>
      </c>
      <c r="AB1589" s="9">
        <f t="shared" si="160"/>
        <v>0.33333333333333337</v>
      </c>
      <c r="AC1589" s="10">
        <f t="shared" si="157"/>
        <v>0</v>
      </c>
      <c r="AD1589" s="8" t="s">
        <v>33</v>
      </c>
      <c r="AE1589" s="11">
        <v>15990</v>
      </c>
      <c r="AF1589" s="11">
        <f t="shared" si="158"/>
        <v>0</v>
      </c>
      <c r="AG1589" s="12" t="s">
        <v>34</v>
      </c>
      <c r="AH1589" s="8" t="s">
        <v>35</v>
      </c>
    </row>
    <row r="1590" spans="1:34">
      <c r="A1590" s="8" t="s">
        <v>2196</v>
      </c>
      <c r="B1590" s="16" t="s">
        <v>2859</v>
      </c>
      <c r="C1590" s="8" t="s">
        <v>248</v>
      </c>
      <c r="D1590" s="8" t="s">
        <v>2188</v>
      </c>
      <c r="E1590" s="8" t="str">
        <f t="shared" si="156"/>
        <v>CANELA/ARMY</v>
      </c>
      <c r="G1590" s="8" t="s">
        <v>2861</v>
      </c>
      <c r="H1590" s="8" t="str">
        <f>VLOOKUP(A1590,[1]BBDD!$B$1:$J$3274,9,FALSE)</f>
        <v>U</v>
      </c>
      <c r="I1590" s="8" t="s">
        <v>2861</v>
      </c>
      <c r="J1590" s="8" t="s">
        <v>2189</v>
      </c>
      <c r="L1590" s="8" t="s">
        <v>785</v>
      </c>
      <c r="N1590" s="8" t="s">
        <v>2197</v>
      </c>
      <c r="Q1590" s="8" t="s">
        <v>45</v>
      </c>
      <c r="R1590" s="8">
        <v>0</v>
      </c>
      <c r="S1590" s="8">
        <v>1</v>
      </c>
      <c r="T1590" s="8">
        <f t="shared" si="159"/>
        <v>1</v>
      </c>
      <c r="U1590" s="8">
        <v>0</v>
      </c>
      <c r="V1590" s="8">
        <v>1</v>
      </c>
      <c r="W1590" s="8">
        <v>1</v>
      </c>
      <c r="X1590" s="8">
        <v>0</v>
      </c>
      <c r="Y1590" s="8">
        <v>1</v>
      </c>
      <c r="Z1590" s="8">
        <v>0</v>
      </c>
      <c r="AA1590" s="8">
        <v>180</v>
      </c>
      <c r="AB1590" s="9">
        <f t="shared" si="160"/>
        <v>0.5</v>
      </c>
      <c r="AC1590" s="10">
        <f t="shared" si="157"/>
        <v>2</v>
      </c>
      <c r="AD1590" s="8" t="s">
        <v>109</v>
      </c>
      <c r="AE1590" s="11">
        <v>16990</v>
      </c>
      <c r="AF1590" s="11">
        <f t="shared" si="158"/>
        <v>16990</v>
      </c>
      <c r="AG1590" s="12" t="s">
        <v>34</v>
      </c>
      <c r="AH1590" s="8" t="s">
        <v>35</v>
      </c>
    </row>
    <row r="1591" spans="1:34">
      <c r="A1591" s="8" t="s">
        <v>2198</v>
      </c>
      <c r="B1591" s="16" t="s">
        <v>2859</v>
      </c>
      <c r="C1591" s="8" t="s">
        <v>248</v>
      </c>
      <c r="D1591" s="8" t="s">
        <v>2188</v>
      </c>
      <c r="E1591" s="8" t="str">
        <f t="shared" si="156"/>
        <v>CEDRO</v>
      </c>
      <c r="G1591" s="8" t="s">
        <v>2861</v>
      </c>
      <c r="H1591" s="8" t="str">
        <f>VLOOKUP(A1591,[1]BBDD!$B$1:$J$3274,9,FALSE)</f>
        <v>U</v>
      </c>
      <c r="I1591" s="8" t="s">
        <v>2861</v>
      </c>
      <c r="J1591" s="8" t="s">
        <v>2189</v>
      </c>
      <c r="L1591" s="8" t="s">
        <v>112</v>
      </c>
      <c r="N1591" s="8" t="s">
        <v>113</v>
      </c>
      <c r="Q1591" s="8" t="s">
        <v>32</v>
      </c>
      <c r="R1591" s="8">
        <v>19</v>
      </c>
      <c r="S1591" s="8">
        <v>20</v>
      </c>
      <c r="T1591" s="8">
        <f t="shared" si="159"/>
        <v>39</v>
      </c>
      <c r="U1591" s="8">
        <v>8</v>
      </c>
      <c r="V1591" s="8">
        <v>6</v>
      </c>
      <c r="W1591" s="8">
        <v>13</v>
      </c>
      <c r="X1591" s="8">
        <v>15</v>
      </c>
      <c r="Y1591" s="8">
        <v>6</v>
      </c>
      <c r="Z1591" s="8">
        <v>9</v>
      </c>
      <c r="AA1591" s="8">
        <v>180</v>
      </c>
      <c r="AB1591" s="9">
        <f t="shared" si="160"/>
        <v>9.5</v>
      </c>
      <c r="AC1591" s="10">
        <f t="shared" si="157"/>
        <v>4.1052631578947372</v>
      </c>
      <c r="AD1591" s="8" t="s">
        <v>33</v>
      </c>
      <c r="AE1591" s="11">
        <v>15990</v>
      </c>
      <c r="AF1591" s="11">
        <f t="shared" si="158"/>
        <v>623610</v>
      </c>
      <c r="AG1591" s="12" t="s">
        <v>34</v>
      </c>
      <c r="AH1591" s="8" t="s">
        <v>74</v>
      </c>
    </row>
    <row r="1592" spans="1:34">
      <c r="A1592" s="8" t="s">
        <v>2199</v>
      </c>
      <c r="B1592" s="16" t="s">
        <v>2859</v>
      </c>
      <c r="C1592" s="8" t="s">
        <v>248</v>
      </c>
      <c r="D1592" s="8" t="s">
        <v>2188</v>
      </c>
      <c r="E1592" s="8" t="str">
        <f t="shared" si="156"/>
        <v>AZUL</v>
      </c>
      <c r="G1592" s="8" t="s">
        <v>2861</v>
      </c>
      <c r="H1592" s="8" t="str">
        <f>VLOOKUP(A1592,[1]BBDD!$B$1:$J$3274,9,FALSE)</f>
        <v>U</v>
      </c>
      <c r="I1592" s="8" t="s">
        <v>2861</v>
      </c>
      <c r="J1592" s="8" t="s">
        <v>2189</v>
      </c>
      <c r="L1592" s="8" t="s">
        <v>238</v>
      </c>
      <c r="N1592" s="8" t="s">
        <v>83</v>
      </c>
      <c r="Q1592" s="8" t="s">
        <v>32</v>
      </c>
      <c r="R1592" s="8">
        <v>0</v>
      </c>
      <c r="S1592" s="8">
        <v>12</v>
      </c>
      <c r="T1592" s="8">
        <f t="shared" si="159"/>
        <v>12</v>
      </c>
      <c r="U1592" s="8">
        <v>1</v>
      </c>
      <c r="V1592" s="8">
        <v>5</v>
      </c>
      <c r="W1592" s="8">
        <v>8</v>
      </c>
      <c r="X1592" s="8">
        <v>4</v>
      </c>
      <c r="Y1592" s="8">
        <v>3</v>
      </c>
      <c r="Z1592" s="8">
        <v>1</v>
      </c>
      <c r="AA1592" s="8">
        <v>180</v>
      </c>
      <c r="AB1592" s="9">
        <f t="shared" si="160"/>
        <v>3.6666666666666665</v>
      </c>
      <c r="AC1592" s="10">
        <f t="shared" si="157"/>
        <v>3.2727272727272729</v>
      </c>
      <c r="AD1592" s="8" t="s">
        <v>33</v>
      </c>
      <c r="AE1592" s="11">
        <v>16990</v>
      </c>
      <c r="AF1592" s="11">
        <f t="shared" si="158"/>
        <v>203880</v>
      </c>
      <c r="AG1592" s="12" t="s">
        <v>34</v>
      </c>
      <c r="AH1592" s="8" t="s">
        <v>65</v>
      </c>
    </row>
    <row r="1593" spans="1:34">
      <c r="A1593" s="8" t="s">
        <v>2200</v>
      </c>
      <c r="B1593" s="16" t="s">
        <v>2859</v>
      </c>
      <c r="C1593" s="8" t="s">
        <v>248</v>
      </c>
      <c r="D1593" s="8" t="s">
        <v>2188</v>
      </c>
      <c r="E1593" s="8" t="str">
        <f t="shared" si="156"/>
        <v>CARAMELO</v>
      </c>
      <c r="G1593" s="8" t="s">
        <v>2861</v>
      </c>
      <c r="H1593" s="8" t="str">
        <f>VLOOKUP(A1593,[1]BBDD!$B$1:$J$3274,9,FALSE)</f>
        <v>U</v>
      </c>
      <c r="I1593" s="8" t="s">
        <v>2861</v>
      </c>
      <c r="J1593" s="8" t="s">
        <v>2189</v>
      </c>
      <c r="L1593" s="8" t="s">
        <v>238</v>
      </c>
      <c r="N1593" s="8" t="s">
        <v>62</v>
      </c>
      <c r="Q1593" s="8" t="s">
        <v>32</v>
      </c>
      <c r="R1593" s="8">
        <v>5</v>
      </c>
      <c r="S1593" s="8">
        <v>17</v>
      </c>
      <c r="T1593" s="8">
        <f t="shared" si="159"/>
        <v>22</v>
      </c>
      <c r="U1593" s="8">
        <v>2</v>
      </c>
      <c r="V1593" s="8">
        <v>9</v>
      </c>
      <c r="W1593" s="8">
        <v>2</v>
      </c>
      <c r="X1593" s="8">
        <v>4</v>
      </c>
      <c r="Y1593" s="8">
        <v>3</v>
      </c>
      <c r="Z1593" s="8">
        <v>2</v>
      </c>
      <c r="AA1593" s="8">
        <v>180</v>
      </c>
      <c r="AB1593" s="9">
        <f t="shared" si="160"/>
        <v>3.6666666666666665</v>
      </c>
      <c r="AC1593" s="10">
        <f t="shared" si="157"/>
        <v>6</v>
      </c>
      <c r="AD1593" s="8" t="s">
        <v>33</v>
      </c>
      <c r="AE1593" s="11">
        <v>16990</v>
      </c>
      <c r="AF1593" s="11">
        <f t="shared" si="158"/>
        <v>373780</v>
      </c>
      <c r="AG1593" s="12" t="s">
        <v>34</v>
      </c>
      <c r="AH1593" s="8" t="s">
        <v>74</v>
      </c>
    </row>
    <row r="1594" spans="1:34">
      <c r="A1594" s="8" t="s">
        <v>2201</v>
      </c>
      <c r="B1594" s="16" t="s">
        <v>2859</v>
      </c>
      <c r="C1594" s="8" t="s">
        <v>248</v>
      </c>
      <c r="D1594" s="8" t="s">
        <v>2188</v>
      </c>
      <c r="E1594" s="8" t="str">
        <f t="shared" si="156"/>
        <v>NEGRO</v>
      </c>
      <c r="G1594" s="8" t="s">
        <v>2861</v>
      </c>
      <c r="H1594" s="8" t="str">
        <f>VLOOKUP(A1594,[1]BBDD!$B$1:$J$3274,9,FALSE)</f>
        <v>U</v>
      </c>
      <c r="I1594" s="8" t="s">
        <v>2861</v>
      </c>
      <c r="J1594" s="8" t="s">
        <v>2189</v>
      </c>
      <c r="L1594" s="8" t="s">
        <v>238</v>
      </c>
      <c r="N1594" s="8" t="s">
        <v>44</v>
      </c>
      <c r="Q1594" s="8" t="s">
        <v>32</v>
      </c>
      <c r="R1594" s="8">
        <v>13</v>
      </c>
      <c r="S1594" s="8">
        <v>18</v>
      </c>
      <c r="T1594" s="8">
        <f t="shared" si="159"/>
        <v>31</v>
      </c>
      <c r="U1594" s="8">
        <v>2</v>
      </c>
      <c r="V1594" s="8">
        <v>2</v>
      </c>
      <c r="W1594" s="8">
        <v>6</v>
      </c>
      <c r="X1594" s="8">
        <v>2</v>
      </c>
      <c r="Y1594" s="8">
        <v>5</v>
      </c>
      <c r="Z1594" s="8">
        <v>0</v>
      </c>
      <c r="AA1594" s="8">
        <v>180</v>
      </c>
      <c r="AB1594" s="9">
        <f t="shared" si="160"/>
        <v>2.833333333333333</v>
      </c>
      <c r="AC1594" s="10">
        <f t="shared" si="157"/>
        <v>10.941176470588237</v>
      </c>
      <c r="AD1594" s="8" t="s">
        <v>33</v>
      </c>
      <c r="AE1594" s="11">
        <v>16990</v>
      </c>
      <c r="AF1594" s="11">
        <f t="shared" si="158"/>
        <v>526690</v>
      </c>
      <c r="AG1594" s="12" t="s">
        <v>51</v>
      </c>
      <c r="AH1594" s="8" t="s">
        <v>74</v>
      </c>
    </row>
    <row r="1595" spans="1:34">
      <c r="A1595" s="8" t="s">
        <v>2202</v>
      </c>
      <c r="B1595" s="16" t="s">
        <v>2859</v>
      </c>
      <c r="C1595" s="8" t="s">
        <v>248</v>
      </c>
      <c r="D1595" s="8" t="s">
        <v>2188</v>
      </c>
      <c r="E1595" s="8" t="str">
        <f t="shared" si="156"/>
        <v>ROJO</v>
      </c>
      <c r="G1595" s="8" t="s">
        <v>2861</v>
      </c>
      <c r="H1595" s="8" t="str">
        <f>VLOOKUP(A1595,[1]BBDD!$B$1:$J$3274,9,FALSE)</f>
        <v>U</v>
      </c>
      <c r="I1595" s="8" t="s">
        <v>2861</v>
      </c>
      <c r="J1595" s="8" t="s">
        <v>2189</v>
      </c>
      <c r="L1595" s="8" t="s">
        <v>238</v>
      </c>
      <c r="N1595" s="8" t="s">
        <v>88</v>
      </c>
      <c r="Q1595" s="8" t="s">
        <v>32</v>
      </c>
      <c r="R1595" s="8">
        <v>10</v>
      </c>
      <c r="S1595" s="8">
        <v>19</v>
      </c>
      <c r="T1595" s="8">
        <f t="shared" si="159"/>
        <v>29</v>
      </c>
      <c r="U1595" s="8">
        <v>0</v>
      </c>
      <c r="V1595" s="8">
        <v>6</v>
      </c>
      <c r="W1595" s="8">
        <v>6</v>
      </c>
      <c r="X1595" s="8">
        <v>7</v>
      </c>
      <c r="Y1595" s="8">
        <v>2</v>
      </c>
      <c r="Z1595" s="8">
        <v>3</v>
      </c>
      <c r="AA1595" s="8">
        <v>180</v>
      </c>
      <c r="AB1595" s="9">
        <f t="shared" si="160"/>
        <v>4</v>
      </c>
      <c r="AC1595" s="10">
        <f t="shared" si="157"/>
        <v>7.25</v>
      </c>
      <c r="AD1595" s="8" t="s">
        <v>33</v>
      </c>
      <c r="AE1595" s="11">
        <v>16990</v>
      </c>
      <c r="AF1595" s="11">
        <f t="shared" si="158"/>
        <v>492710</v>
      </c>
      <c r="AG1595" s="12" t="s">
        <v>51</v>
      </c>
      <c r="AH1595" s="8" t="s">
        <v>74</v>
      </c>
    </row>
    <row r="1596" spans="1:34">
      <c r="A1596" s="8" t="s">
        <v>2203</v>
      </c>
      <c r="B1596" s="16" t="s">
        <v>2859</v>
      </c>
      <c r="C1596" s="8" t="s">
        <v>248</v>
      </c>
      <c r="D1596" s="8" t="s">
        <v>2188</v>
      </c>
      <c r="E1596" s="8" t="str">
        <f t="shared" si="156"/>
        <v>AZUL</v>
      </c>
      <c r="G1596" s="8" t="s">
        <v>2861</v>
      </c>
      <c r="H1596" s="8" t="str">
        <f>VLOOKUP(A1596,[1]BBDD!$B$1:$J$3274,9,FALSE)</f>
        <v>U</v>
      </c>
      <c r="I1596" s="8" t="s">
        <v>2861</v>
      </c>
      <c r="J1596" s="8" t="s">
        <v>2189</v>
      </c>
      <c r="L1596" s="8" t="s">
        <v>119</v>
      </c>
      <c r="N1596" s="8" t="s">
        <v>83</v>
      </c>
      <c r="Q1596" s="8" t="s">
        <v>32</v>
      </c>
      <c r="R1596" s="8">
        <v>27</v>
      </c>
      <c r="S1596" s="8">
        <v>15</v>
      </c>
      <c r="T1596" s="8">
        <f t="shared" si="159"/>
        <v>42</v>
      </c>
      <c r="U1596" s="8">
        <v>2</v>
      </c>
      <c r="V1596" s="8">
        <v>9</v>
      </c>
      <c r="W1596" s="8">
        <v>15</v>
      </c>
      <c r="X1596" s="8">
        <v>6</v>
      </c>
      <c r="Y1596" s="8">
        <v>6</v>
      </c>
      <c r="Z1596" s="8">
        <v>6</v>
      </c>
      <c r="AA1596" s="8">
        <v>180</v>
      </c>
      <c r="AB1596" s="9">
        <f t="shared" si="160"/>
        <v>7.333333333333333</v>
      </c>
      <c r="AC1596" s="10">
        <f t="shared" si="157"/>
        <v>5.7272727272727275</v>
      </c>
      <c r="AD1596" s="8" t="s">
        <v>33</v>
      </c>
      <c r="AE1596" s="11">
        <v>15990</v>
      </c>
      <c r="AF1596" s="11">
        <f t="shared" si="158"/>
        <v>671580</v>
      </c>
      <c r="AG1596" s="12" t="s">
        <v>34</v>
      </c>
      <c r="AH1596" s="8" t="s">
        <v>74</v>
      </c>
    </row>
    <row r="1597" spans="1:34">
      <c r="A1597" s="8" t="s">
        <v>2204</v>
      </c>
      <c r="B1597" s="16" t="s">
        <v>2859</v>
      </c>
      <c r="C1597" s="8" t="s">
        <v>248</v>
      </c>
      <c r="D1597" s="8" t="s">
        <v>2188</v>
      </c>
      <c r="E1597" s="8" t="str">
        <f t="shared" si="156"/>
        <v>VERDE</v>
      </c>
      <c r="G1597" s="8" t="s">
        <v>2861</v>
      </c>
      <c r="H1597" s="8" t="str">
        <f>VLOOKUP(A1597,[1]BBDD!$B$1:$J$3274,9,FALSE)</f>
        <v>U</v>
      </c>
      <c r="I1597" s="8" t="s">
        <v>2861</v>
      </c>
      <c r="J1597" s="8" t="s">
        <v>2189</v>
      </c>
      <c r="L1597" s="8" t="s">
        <v>119</v>
      </c>
      <c r="N1597" s="8" t="s">
        <v>92</v>
      </c>
      <c r="Q1597" s="8" t="s">
        <v>32</v>
      </c>
      <c r="R1597" s="8">
        <v>0</v>
      </c>
      <c r="S1597" s="8">
        <v>0</v>
      </c>
      <c r="T1597" s="8">
        <f t="shared" si="159"/>
        <v>0</v>
      </c>
      <c r="U1597" s="8">
        <v>19</v>
      </c>
      <c r="V1597" s="8">
        <v>11</v>
      </c>
      <c r="W1597" s="8">
        <v>0</v>
      </c>
      <c r="X1597" s="8">
        <v>0</v>
      </c>
      <c r="Y1597" s="8">
        <v>0</v>
      </c>
      <c r="Z1597" s="8">
        <v>0</v>
      </c>
      <c r="AA1597" s="8">
        <v>180</v>
      </c>
      <c r="AB1597" s="9">
        <f t="shared" si="160"/>
        <v>5</v>
      </c>
      <c r="AC1597" s="10">
        <f t="shared" si="157"/>
        <v>0</v>
      </c>
      <c r="AD1597" s="8" t="s">
        <v>33</v>
      </c>
      <c r="AE1597" s="11">
        <v>15990</v>
      </c>
      <c r="AF1597" s="11">
        <f t="shared" si="158"/>
        <v>0</v>
      </c>
      <c r="AG1597" s="12" t="s">
        <v>34</v>
      </c>
      <c r="AH1597" s="8" t="s">
        <v>35</v>
      </c>
    </row>
    <row r="1598" spans="1:34">
      <c r="A1598" s="8" t="s">
        <v>2205</v>
      </c>
      <c r="B1598" s="16" t="s">
        <v>2859</v>
      </c>
      <c r="C1598" s="8" t="s">
        <v>248</v>
      </c>
      <c r="D1598" s="8" t="s">
        <v>2188</v>
      </c>
      <c r="E1598" s="8" t="str">
        <f t="shared" si="156"/>
        <v>TABACO</v>
      </c>
      <c r="G1598" s="8" t="s">
        <v>2861</v>
      </c>
      <c r="H1598" s="8" t="str">
        <f>VLOOKUP(A1598,[1]BBDD!$B$1:$J$3274,9,FALSE)</f>
        <v>U</v>
      </c>
      <c r="I1598" s="8" t="s">
        <v>2861</v>
      </c>
      <c r="J1598" s="8" t="s">
        <v>2189</v>
      </c>
      <c r="L1598" s="8" t="s">
        <v>119</v>
      </c>
      <c r="N1598" s="8" t="s">
        <v>67</v>
      </c>
      <c r="Q1598" s="8" t="s">
        <v>45</v>
      </c>
      <c r="R1598" s="8">
        <v>0</v>
      </c>
      <c r="S1598" s="8">
        <v>3</v>
      </c>
      <c r="T1598" s="8">
        <f t="shared" si="159"/>
        <v>3</v>
      </c>
      <c r="U1598" s="8">
        <v>1</v>
      </c>
      <c r="V1598" s="8">
        <v>2</v>
      </c>
      <c r="W1598" s="8">
        <v>3</v>
      </c>
      <c r="X1598" s="8">
        <v>1</v>
      </c>
      <c r="Y1598" s="8">
        <v>0</v>
      </c>
      <c r="Z1598" s="8">
        <v>0</v>
      </c>
      <c r="AA1598" s="8">
        <v>180</v>
      </c>
      <c r="AB1598" s="9">
        <f t="shared" si="160"/>
        <v>1.1666666666666667</v>
      </c>
      <c r="AC1598" s="10">
        <f t="shared" si="157"/>
        <v>2.5714285714285712</v>
      </c>
      <c r="AD1598" s="8" t="s">
        <v>109</v>
      </c>
      <c r="AE1598" s="11">
        <v>15990</v>
      </c>
      <c r="AF1598" s="11">
        <f t="shared" si="158"/>
        <v>47970</v>
      </c>
      <c r="AG1598" s="12" t="s">
        <v>34</v>
      </c>
      <c r="AH1598" s="8" t="s">
        <v>35</v>
      </c>
    </row>
    <row r="1599" spans="1:34">
      <c r="A1599" s="8" t="s">
        <v>2206</v>
      </c>
      <c r="B1599" s="16" t="s">
        <v>2859</v>
      </c>
      <c r="C1599" s="8" t="s">
        <v>248</v>
      </c>
      <c r="D1599" s="8" t="s">
        <v>2188</v>
      </c>
      <c r="E1599" s="8" t="str">
        <f t="shared" si="156"/>
        <v>NEGRO/SUELA</v>
      </c>
      <c r="G1599" s="8" t="s">
        <v>2861</v>
      </c>
      <c r="H1599" s="8" t="str">
        <f>VLOOKUP(A1599,[1]BBDD!$B$1:$J$3274,9,FALSE)</f>
        <v>U</v>
      </c>
      <c r="I1599" s="8" t="s">
        <v>2861</v>
      </c>
      <c r="J1599" s="8" t="s">
        <v>2207</v>
      </c>
      <c r="L1599" s="8" t="s">
        <v>119</v>
      </c>
      <c r="N1599" s="8" t="s">
        <v>2208</v>
      </c>
      <c r="Q1599" s="8" t="s">
        <v>32</v>
      </c>
      <c r="R1599" s="8">
        <v>3</v>
      </c>
      <c r="S1599" s="8">
        <v>9</v>
      </c>
      <c r="T1599" s="8">
        <f t="shared" si="159"/>
        <v>12</v>
      </c>
      <c r="U1599" s="8">
        <v>0</v>
      </c>
      <c r="V1599" s="8">
        <v>0</v>
      </c>
      <c r="W1599" s="8">
        <v>0</v>
      </c>
      <c r="X1599" s="8">
        <v>1</v>
      </c>
      <c r="Y1599" s="8">
        <v>1</v>
      </c>
      <c r="Z1599" s="8">
        <v>0</v>
      </c>
      <c r="AA1599" s="8">
        <v>78</v>
      </c>
      <c r="AB1599" s="9">
        <f t="shared" si="160"/>
        <v>0.76923076923076916</v>
      </c>
      <c r="AC1599" s="10">
        <f t="shared" si="157"/>
        <v>15.600000000000001</v>
      </c>
      <c r="AD1599" s="8" t="s">
        <v>33</v>
      </c>
      <c r="AE1599" s="11">
        <v>15990</v>
      </c>
      <c r="AF1599" s="11">
        <f t="shared" si="158"/>
        <v>191880</v>
      </c>
      <c r="AG1599" s="12" t="s">
        <v>64</v>
      </c>
      <c r="AH1599" s="8" t="s">
        <v>65</v>
      </c>
    </row>
    <row r="1600" spans="1:34">
      <c r="A1600" s="8" t="s">
        <v>2209</v>
      </c>
      <c r="B1600" s="16" t="s">
        <v>2859</v>
      </c>
      <c r="C1600" s="8" t="s">
        <v>248</v>
      </c>
      <c r="D1600" s="8" t="s">
        <v>2188</v>
      </c>
      <c r="E1600" s="8" t="str">
        <f t="shared" si="156"/>
        <v>AZUL/SUELA</v>
      </c>
      <c r="G1600" s="8" t="s">
        <v>2861</v>
      </c>
      <c r="H1600" s="8" t="str">
        <f>VLOOKUP(A1600,[1]BBDD!$B$1:$J$3274,9,FALSE)</f>
        <v>U</v>
      </c>
      <c r="I1600" s="8" t="s">
        <v>2861</v>
      </c>
      <c r="J1600" s="8" t="s">
        <v>2207</v>
      </c>
      <c r="L1600" s="8" t="s">
        <v>119</v>
      </c>
      <c r="N1600" s="8" t="s">
        <v>794</v>
      </c>
      <c r="Q1600" s="8" t="s">
        <v>32</v>
      </c>
      <c r="R1600" s="8">
        <v>0</v>
      </c>
      <c r="S1600" s="8">
        <v>2</v>
      </c>
      <c r="T1600" s="8">
        <f t="shared" si="159"/>
        <v>2</v>
      </c>
      <c r="U1600" s="8">
        <v>0</v>
      </c>
      <c r="V1600" s="8">
        <v>0</v>
      </c>
      <c r="W1600" s="8">
        <v>0</v>
      </c>
      <c r="X1600" s="8">
        <v>1</v>
      </c>
      <c r="Y1600" s="8">
        <v>3</v>
      </c>
      <c r="Z1600" s="8">
        <v>1</v>
      </c>
      <c r="AA1600" s="8">
        <v>78</v>
      </c>
      <c r="AB1600" s="9">
        <f t="shared" si="160"/>
        <v>1.9230769230769229</v>
      </c>
      <c r="AC1600" s="10">
        <f t="shared" si="157"/>
        <v>1.04</v>
      </c>
      <c r="AD1600" s="8" t="s">
        <v>33</v>
      </c>
      <c r="AE1600" s="11">
        <v>15990</v>
      </c>
      <c r="AF1600" s="11">
        <f t="shared" si="158"/>
        <v>31980</v>
      </c>
      <c r="AG1600" s="12" t="s">
        <v>34</v>
      </c>
      <c r="AH1600" s="8" t="s">
        <v>35</v>
      </c>
    </row>
    <row r="1601" spans="1:34">
      <c r="A1601" s="8" t="s">
        <v>2210</v>
      </c>
      <c r="B1601" s="16" t="s">
        <v>2859</v>
      </c>
      <c r="C1601" s="8" t="s">
        <v>248</v>
      </c>
      <c r="D1601" s="8" t="s">
        <v>2188</v>
      </c>
      <c r="E1601" s="8" t="str">
        <f t="shared" si="156"/>
        <v>VERDE/SUELA</v>
      </c>
      <c r="G1601" s="8" t="s">
        <v>2861</v>
      </c>
      <c r="H1601" s="8" t="str">
        <f>VLOOKUP(A1601,[1]BBDD!$B$1:$J$3274,9,FALSE)</f>
        <v>U</v>
      </c>
      <c r="I1601" s="8" t="s">
        <v>2861</v>
      </c>
      <c r="J1601" s="8" t="s">
        <v>2207</v>
      </c>
      <c r="L1601" s="8" t="s">
        <v>119</v>
      </c>
      <c r="N1601" s="8" t="s">
        <v>2211</v>
      </c>
      <c r="Q1601" s="8" t="s">
        <v>32</v>
      </c>
      <c r="R1601" s="8">
        <v>0</v>
      </c>
      <c r="S1601" s="8">
        <v>0</v>
      </c>
      <c r="T1601" s="8">
        <f t="shared" si="159"/>
        <v>0</v>
      </c>
      <c r="U1601" s="8">
        <v>0</v>
      </c>
      <c r="V1601" s="8">
        <v>0</v>
      </c>
      <c r="W1601" s="8">
        <v>0</v>
      </c>
      <c r="X1601" s="8">
        <v>5</v>
      </c>
      <c r="Y1601" s="8">
        <v>3</v>
      </c>
      <c r="Z1601" s="8">
        <v>5</v>
      </c>
      <c r="AA1601" s="8">
        <v>78</v>
      </c>
      <c r="AB1601" s="9">
        <f t="shared" si="160"/>
        <v>5</v>
      </c>
      <c r="AC1601" s="10">
        <f t="shared" si="157"/>
        <v>0</v>
      </c>
      <c r="AD1601" s="8" t="s">
        <v>33</v>
      </c>
      <c r="AE1601" s="11">
        <v>15990</v>
      </c>
      <c r="AF1601" s="11">
        <f t="shared" si="158"/>
        <v>0</v>
      </c>
      <c r="AG1601" s="12" t="s">
        <v>34</v>
      </c>
      <c r="AH1601" s="8" t="s">
        <v>35</v>
      </c>
    </row>
    <row r="1602" spans="1:34">
      <c r="A1602" s="8" t="s">
        <v>2212</v>
      </c>
      <c r="B1602" s="16" t="s">
        <v>2859</v>
      </c>
      <c r="C1602" s="8" t="s">
        <v>248</v>
      </c>
      <c r="D1602" s="8" t="s">
        <v>2188</v>
      </c>
      <c r="E1602" s="8" t="str">
        <f t="shared" si="156"/>
        <v>NEGRO</v>
      </c>
      <c r="G1602" s="8" t="s">
        <v>2861</v>
      </c>
      <c r="H1602" s="8" t="str">
        <f>VLOOKUP(A1602,[1]BBDD!$B$1:$J$3274,9,FALSE)</f>
        <v>U</v>
      </c>
      <c r="I1602" s="8" t="s">
        <v>2861</v>
      </c>
      <c r="J1602" s="8" t="s">
        <v>2213</v>
      </c>
      <c r="L1602" s="8" t="s">
        <v>82</v>
      </c>
      <c r="N1602" s="8" t="s">
        <v>44</v>
      </c>
      <c r="Q1602" s="8" t="s">
        <v>45</v>
      </c>
      <c r="R1602" s="8">
        <v>1</v>
      </c>
      <c r="S1602" s="8">
        <v>3</v>
      </c>
      <c r="T1602" s="8">
        <f t="shared" si="159"/>
        <v>4</v>
      </c>
      <c r="U1602" s="8">
        <v>0</v>
      </c>
      <c r="V1602" s="8">
        <v>0</v>
      </c>
      <c r="W1602" s="8">
        <v>1</v>
      </c>
      <c r="X1602" s="8">
        <v>1</v>
      </c>
      <c r="Y1602" s="8">
        <v>0</v>
      </c>
      <c r="Z1602" s="8">
        <v>1</v>
      </c>
      <c r="AA1602" s="8">
        <v>180</v>
      </c>
      <c r="AB1602" s="9">
        <f t="shared" si="160"/>
        <v>0.5</v>
      </c>
      <c r="AC1602" s="10">
        <f t="shared" si="157"/>
        <v>8</v>
      </c>
      <c r="AD1602" s="8" t="s">
        <v>109</v>
      </c>
      <c r="AE1602" s="11">
        <v>99990</v>
      </c>
      <c r="AF1602" s="11">
        <f t="shared" si="158"/>
        <v>399960</v>
      </c>
      <c r="AG1602" s="12" t="s">
        <v>51</v>
      </c>
      <c r="AH1602" s="8" t="s">
        <v>35</v>
      </c>
    </row>
    <row r="1603" spans="1:34">
      <c r="A1603" s="8" t="s">
        <v>2214</v>
      </c>
      <c r="B1603" s="16" t="s">
        <v>2859</v>
      </c>
      <c r="C1603" s="8" t="s">
        <v>248</v>
      </c>
      <c r="D1603" s="8" t="s">
        <v>2188</v>
      </c>
      <c r="E1603" s="8" t="str">
        <f t="shared" ref="E1603:E1666" si="161">TRIM(N1603)</f>
        <v>AZUL</v>
      </c>
      <c r="G1603" s="8" t="s">
        <v>2861</v>
      </c>
      <c r="H1603" s="8" t="str">
        <f>VLOOKUP(A1603,[1]BBDD!$B$1:$J$3274,9,FALSE)</f>
        <v>U</v>
      </c>
      <c r="I1603" s="8" t="s">
        <v>2861</v>
      </c>
      <c r="J1603" s="8" t="s">
        <v>2215</v>
      </c>
      <c r="L1603" s="8" t="s">
        <v>61</v>
      </c>
      <c r="N1603" s="8" t="s">
        <v>83</v>
      </c>
      <c r="Q1603" s="8" t="s">
        <v>32</v>
      </c>
      <c r="R1603" s="8">
        <v>0</v>
      </c>
      <c r="S1603" s="8">
        <v>11</v>
      </c>
      <c r="T1603" s="8">
        <f t="shared" si="159"/>
        <v>11</v>
      </c>
      <c r="U1603" s="8">
        <v>3</v>
      </c>
      <c r="V1603" s="8">
        <v>0</v>
      </c>
      <c r="W1603" s="8">
        <v>1</v>
      </c>
      <c r="X1603" s="8">
        <v>2</v>
      </c>
      <c r="Y1603" s="8">
        <v>2</v>
      </c>
      <c r="Z1603" s="8">
        <v>2</v>
      </c>
      <c r="AA1603" s="8">
        <v>180</v>
      </c>
      <c r="AB1603" s="9">
        <f t="shared" si="160"/>
        <v>1.6666666666666665</v>
      </c>
      <c r="AC1603" s="10">
        <f t="shared" ref="AC1603:AC1666" si="162">IFERROR(T1603/AB1603,"sin venta")</f>
        <v>6.6000000000000005</v>
      </c>
      <c r="AD1603" s="8" t="s">
        <v>33</v>
      </c>
      <c r="AE1603" s="11">
        <v>14990</v>
      </c>
      <c r="AF1603" s="11">
        <f t="shared" ref="AF1603:AF1666" si="163">IFERROR(AE1603*T1603,0)</f>
        <v>164890</v>
      </c>
      <c r="AG1603" s="12" t="s">
        <v>51</v>
      </c>
      <c r="AH1603" s="8" t="s">
        <v>65</v>
      </c>
    </row>
    <row r="1604" spans="1:34">
      <c r="A1604" s="8" t="s">
        <v>2216</v>
      </c>
      <c r="B1604" s="16" t="s">
        <v>2859</v>
      </c>
      <c r="C1604" s="8" t="s">
        <v>248</v>
      </c>
      <c r="D1604" s="8" t="s">
        <v>2188</v>
      </c>
      <c r="E1604" s="8" t="str">
        <f t="shared" si="161"/>
        <v>CARAMELO</v>
      </c>
      <c r="G1604" s="8" t="s">
        <v>2861</v>
      </c>
      <c r="H1604" s="8" t="str">
        <f>VLOOKUP(A1604,[1]BBDD!$B$1:$J$3274,9,FALSE)</f>
        <v>U</v>
      </c>
      <c r="I1604" s="8" t="s">
        <v>2861</v>
      </c>
      <c r="J1604" s="8" t="s">
        <v>2215</v>
      </c>
      <c r="L1604" s="8" t="s">
        <v>61</v>
      </c>
      <c r="N1604" s="8" t="s">
        <v>62</v>
      </c>
      <c r="Q1604" s="8" t="s">
        <v>32</v>
      </c>
      <c r="R1604" s="8">
        <v>14</v>
      </c>
      <c r="S1604" s="8">
        <v>12</v>
      </c>
      <c r="T1604" s="8">
        <f t="shared" si="159"/>
        <v>26</v>
      </c>
      <c r="U1604" s="8">
        <v>0</v>
      </c>
      <c r="V1604" s="8">
        <v>1</v>
      </c>
      <c r="W1604" s="8">
        <v>1</v>
      </c>
      <c r="X1604" s="8">
        <v>1</v>
      </c>
      <c r="Y1604" s="8">
        <v>2</v>
      </c>
      <c r="Z1604" s="8">
        <v>1</v>
      </c>
      <c r="AA1604" s="8">
        <v>180</v>
      </c>
      <c r="AB1604" s="9">
        <f t="shared" si="160"/>
        <v>1</v>
      </c>
      <c r="AC1604" s="10">
        <f t="shared" si="162"/>
        <v>26</v>
      </c>
      <c r="AD1604" s="8" t="s">
        <v>33</v>
      </c>
      <c r="AE1604" s="11">
        <v>14990</v>
      </c>
      <c r="AF1604" s="11">
        <f t="shared" si="163"/>
        <v>389740</v>
      </c>
      <c r="AG1604" s="12" t="s">
        <v>73</v>
      </c>
      <c r="AH1604" s="8" t="s">
        <v>74</v>
      </c>
    </row>
    <row r="1605" spans="1:34">
      <c r="A1605" s="8" t="s">
        <v>2217</v>
      </c>
      <c r="B1605" s="16" t="s">
        <v>2859</v>
      </c>
      <c r="C1605" s="8" t="s">
        <v>248</v>
      </c>
      <c r="D1605" s="8" t="s">
        <v>2188</v>
      </c>
      <c r="E1605" s="8" t="str">
        <f t="shared" si="161"/>
        <v>NEGRO</v>
      </c>
      <c r="G1605" s="8" t="s">
        <v>2861</v>
      </c>
      <c r="H1605" s="8" t="str">
        <f>VLOOKUP(A1605,[1]BBDD!$B$1:$J$3274,9,FALSE)</f>
        <v>U</v>
      </c>
      <c r="I1605" s="8" t="s">
        <v>2861</v>
      </c>
      <c r="J1605" s="8" t="s">
        <v>2215</v>
      </c>
      <c r="L1605" s="8" t="s">
        <v>61</v>
      </c>
      <c r="N1605" s="8" t="s">
        <v>44</v>
      </c>
      <c r="Q1605" s="8" t="s">
        <v>32</v>
      </c>
      <c r="R1605" s="8">
        <v>50</v>
      </c>
      <c r="S1605" s="8">
        <v>18</v>
      </c>
      <c r="T1605" s="8">
        <f t="shared" si="159"/>
        <v>68</v>
      </c>
      <c r="U1605" s="8">
        <v>4</v>
      </c>
      <c r="V1605" s="8">
        <v>0</v>
      </c>
      <c r="W1605" s="8">
        <v>0</v>
      </c>
      <c r="X1605" s="8">
        <v>3</v>
      </c>
      <c r="Y1605" s="8">
        <v>3</v>
      </c>
      <c r="Z1605" s="8">
        <v>0</v>
      </c>
      <c r="AA1605" s="8">
        <v>180</v>
      </c>
      <c r="AB1605" s="9">
        <f t="shared" si="160"/>
        <v>1.6666666666666665</v>
      </c>
      <c r="AC1605" s="10">
        <f t="shared" si="162"/>
        <v>40.800000000000004</v>
      </c>
      <c r="AD1605" s="8" t="s">
        <v>33</v>
      </c>
      <c r="AE1605" s="11">
        <v>14990</v>
      </c>
      <c r="AF1605" s="11">
        <f t="shared" si="163"/>
        <v>1019320</v>
      </c>
      <c r="AG1605" s="12" t="s">
        <v>73</v>
      </c>
      <c r="AH1605" s="8" t="s">
        <v>74</v>
      </c>
    </row>
    <row r="1606" spans="1:34">
      <c r="A1606" s="8" t="s">
        <v>2218</v>
      </c>
      <c r="B1606" s="16" t="s">
        <v>2859</v>
      </c>
      <c r="C1606" s="8" t="s">
        <v>248</v>
      </c>
      <c r="D1606" s="8" t="s">
        <v>2188</v>
      </c>
      <c r="E1606" s="8" t="str">
        <f t="shared" si="161"/>
        <v>ROJO</v>
      </c>
      <c r="G1606" s="8" t="s">
        <v>2861</v>
      </c>
      <c r="H1606" s="8" t="str">
        <f>VLOOKUP(A1606,[1]BBDD!$B$1:$J$3274,9,FALSE)</f>
        <v>U</v>
      </c>
      <c r="I1606" s="8" t="s">
        <v>2861</v>
      </c>
      <c r="J1606" s="8" t="s">
        <v>2215</v>
      </c>
      <c r="L1606" s="8" t="s">
        <v>61</v>
      </c>
      <c r="N1606" s="8" t="s">
        <v>88</v>
      </c>
      <c r="Q1606" s="8" t="s">
        <v>32</v>
      </c>
      <c r="R1606" s="8">
        <v>17</v>
      </c>
      <c r="S1606" s="8">
        <v>12</v>
      </c>
      <c r="T1606" s="8">
        <f t="shared" si="159"/>
        <v>29</v>
      </c>
      <c r="U1606" s="8">
        <v>1</v>
      </c>
      <c r="V1606" s="8">
        <v>2</v>
      </c>
      <c r="W1606" s="8">
        <v>0</v>
      </c>
      <c r="X1606" s="8">
        <v>1</v>
      </c>
      <c r="Y1606" s="8">
        <v>3</v>
      </c>
      <c r="Z1606" s="8">
        <v>2</v>
      </c>
      <c r="AA1606" s="8">
        <v>180</v>
      </c>
      <c r="AB1606" s="9">
        <f t="shared" si="160"/>
        <v>1.5</v>
      </c>
      <c r="AC1606" s="10">
        <f t="shared" si="162"/>
        <v>19.333333333333332</v>
      </c>
      <c r="AD1606" s="8" t="s">
        <v>33</v>
      </c>
      <c r="AE1606" s="11">
        <v>14990</v>
      </c>
      <c r="AF1606" s="11">
        <f t="shared" si="163"/>
        <v>434710</v>
      </c>
      <c r="AG1606" s="12" t="s">
        <v>64</v>
      </c>
      <c r="AH1606" s="8" t="s">
        <v>74</v>
      </c>
    </row>
    <row r="1607" spans="1:34">
      <c r="A1607" s="8" t="s">
        <v>2219</v>
      </c>
      <c r="B1607" s="16" t="s">
        <v>2859</v>
      </c>
      <c r="C1607" s="8" t="s">
        <v>248</v>
      </c>
      <c r="D1607" s="8" t="s">
        <v>2188</v>
      </c>
      <c r="E1607" s="8" t="str">
        <f t="shared" si="161"/>
        <v>TABACO</v>
      </c>
      <c r="G1607" s="8" t="s">
        <v>2861</v>
      </c>
      <c r="H1607" s="8" t="str">
        <f>VLOOKUP(A1607,[1]BBDD!$B$1:$J$3274,9,FALSE)</f>
        <v>U</v>
      </c>
      <c r="I1607" s="8" t="s">
        <v>2861</v>
      </c>
      <c r="J1607" s="8" t="s">
        <v>2215</v>
      </c>
      <c r="L1607" s="8" t="s">
        <v>61</v>
      </c>
      <c r="N1607" s="8" t="s">
        <v>67</v>
      </c>
      <c r="Q1607" s="8" t="s">
        <v>32</v>
      </c>
      <c r="R1607" s="8">
        <v>11</v>
      </c>
      <c r="S1607" s="8">
        <v>13</v>
      </c>
      <c r="T1607" s="8">
        <f t="shared" si="159"/>
        <v>24</v>
      </c>
      <c r="U1607" s="8">
        <v>2</v>
      </c>
      <c r="V1607" s="8">
        <v>1</v>
      </c>
      <c r="W1607" s="8">
        <v>4</v>
      </c>
      <c r="X1607" s="8">
        <v>2</v>
      </c>
      <c r="Y1607" s="8">
        <v>7</v>
      </c>
      <c r="Z1607" s="8">
        <v>1</v>
      </c>
      <c r="AA1607" s="8">
        <v>180</v>
      </c>
      <c r="AB1607" s="9">
        <f t="shared" si="160"/>
        <v>2.833333333333333</v>
      </c>
      <c r="AC1607" s="10">
        <f t="shared" si="162"/>
        <v>8.4705882352941178</v>
      </c>
      <c r="AD1607" s="8" t="s">
        <v>33</v>
      </c>
      <c r="AE1607" s="11">
        <v>14990</v>
      </c>
      <c r="AF1607" s="11">
        <f t="shared" si="163"/>
        <v>359760</v>
      </c>
      <c r="AG1607" s="12" t="s">
        <v>51</v>
      </c>
      <c r="AH1607" s="8" t="s">
        <v>74</v>
      </c>
    </row>
    <row r="1608" spans="1:34">
      <c r="A1608" s="8" t="s">
        <v>2220</v>
      </c>
      <c r="B1608" s="16" t="s">
        <v>2859</v>
      </c>
      <c r="C1608" s="8" t="s">
        <v>248</v>
      </c>
      <c r="D1608" s="8" t="s">
        <v>2188</v>
      </c>
      <c r="E1608" s="8" t="str">
        <f t="shared" si="161"/>
        <v>VERDE</v>
      </c>
      <c r="G1608" s="8" t="s">
        <v>2861</v>
      </c>
      <c r="H1608" s="8" t="str">
        <f>VLOOKUP(A1608,[1]BBDD!$B$1:$J$3274,9,FALSE)</f>
        <v>U</v>
      </c>
      <c r="I1608" s="8" t="s">
        <v>2861</v>
      </c>
      <c r="J1608" s="8" t="s">
        <v>2215</v>
      </c>
      <c r="L1608" s="8" t="s">
        <v>61</v>
      </c>
      <c r="N1608" s="8" t="s">
        <v>92</v>
      </c>
      <c r="Q1608" s="8" t="s">
        <v>32</v>
      </c>
      <c r="R1608" s="8">
        <v>0</v>
      </c>
      <c r="S1608" s="8">
        <v>6</v>
      </c>
      <c r="T1608" s="8">
        <f t="shared" si="159"/>
        <v>6</v>
      </c>
      <c r="U1608" s="8">
        <v>2</v>
      </c>
      <c r="V1608" s="8">
        <v>0</v>
      </c>
      <c r="W1608" s="8">
        <v>1</v>
      </c>
      <c r="X1608" s="8">
        <v>1</v>
      </c>
      <c r="Y1608" s="8">
        <v>1</v>
      </c>
      <c r="Z1608" s="8">
        <v>0</v>
      </c>
      <c r="AA1608" s="8">
        <v>180</v>
      </c>
      <c r="AB1608" s="9">
        <f t="shared" si="160"/>
        <v>0.83333333333333326</v>
      </c>
      <c r="AC1608" s="10">
        <f t="shared" si="162"/>
        <v>7.2000000000000011</v>
      </c>
      <c r="AD1608" s="8" t="s">
        <v>33</v>
      </c>
      <c r="AE1608" s="11">
        <v>14990</v>
      </c>
      <c r="AF1608" s="11">
        <f t="shared" si="163"/>
        <v>89940</v>
      </c>
      <c r="AG1608" s="12" t="s">
        <v>51</v>
      </c>
      <c r="AH1608" s="8" t="s">
        <v>35</v>
      </c>
    </row>
    <row r="1609" spans="1:34">
      <c r="A1609" s="8" t="s">
        <v>2221</v>
      </c>
      <c r="B1609" s="16" t="s">
        <v>2859</v>
      </c>
      <c r="C1609" s="8" t="s">
        <v>248</v>
      </c>
      <c r="D1609" s="8" t="s">
        <v>2188</v>
      </c>
      <c r="E1609" s="8" t="str">
        <f t="shared" si="161"/>
        <v>DARK BLUE</v>
      </c>
      <c r="G1609" s="8" t="s">
        <v>2861</v>
      </c>
      <c r="H1609" s="8" t="str">
        <f>VLOOKUP(A1609,[1]BBDD!$B$1:$J$3274,9,FALSE)</f>
        <v>U</v>
      </c>
      <c r="I1609" s="8" t="s">
        <v>2861</v>
      </c>
      <c r="J1609" s="8" t="s">
        <v>2215</v>
      </c>
      <c r="L1609" s="8" t="s">
        <v>765</v>
      </c>
      <c r="N1609" s="8" t="s">
        <v>2222</v>
      </c>
      <c r="Q1609" s="8" t="s">
        <v>45</v>
      </c>
      <c r="R1609" s="8">
        <v>12</v>
      </c>
      <c r="S1609" s="8">
        <v>12</v>
      </c>
      <c r="T1609" s="8">
        <f t="shared" si="159"/>
        <v>24</v>
      </c>
      <c r="U1609" s="8">
        <v>0</v>
      </c>
      <c r="V1609" s="8">
        <v>2</v>
      </c>
      <c r="W1609" s="8">
        <v>1</v>
      </c>
      <c r="X1609" s="8">
        <v>1</v>
      </c>
      <c r="Y1609" s="8">
        <v>0</v>
      </c>
      <c r="Z1609" s="8">
        <v>1</v>
      </c>
      <c r="AA1609" s="8">
        <v>180</v>
      </c>
      <c r="AB1609" s="9">
        <f t="shared" si="160"/>
        <v>0.83333333333333326</v>
      </c>
      <c r="AC1609" s="10">
        <f t="shared" si="162"/>
        <v>28.800000000000004</v>
      </c>
      <c r="AD1609" s="8" t="s">
        <v>109</v>
      </c>
      <c r="AE1609" s="11">
        <v>14990</v>
      </c>
      <c r="AF1609" s="11">
        <f t="shared" si="163"/>
        <v>359760</v>
      </c>
      <c r="AG1609" s="12" t="s">
        <v>73</v>
      </c>
      <c r="AH1609" s="8" t="s">
        <v>74</v>
      </c>
    </row>
    <row r="1610" spans="1:34">
      <c r="A1610" s="8" t="s">
        <v>2223</v>
      </c>
      <c r="B1610" s="16" t="s">
        <v>2859</v>
      </c>
      <c r="C1610" s="8" t="s">
        <v>248</v>
      </c>
      <c r="D1610" s="8" t="s">
        <v>2188</v>
      </c>
      <c r="E1610" s="8" t="str">
        <f t="shared" si="161"/>
        <v>AZUL</v>
      </c>
      <c r="G1610" s="8" t="s">
        <v>2861</v>
      </c>
      <c r="H1610" s="8" t="str">
        <f>VLOOKUP(A1610,[1]BBDD!$B$1:$J$3274,9,FALSE)</f>
        <v>U</v>
      </c>
      <c r="I1610" s="8" t="s">
        <v>2861</v>
      </c>
      <c r="J1610" s="8" t="s">
        <v>2215</v>
      </c>
      <c r="L1610" s="8" t="s">
        <v>238</v>
      </c>
      <c r="N1610" s="8" t="s">
        <v>83</v>
      </c>
      <c r="Q1610" s="8" t="s">
        <v>45</v>
      </c>
      <c r="R1610" s="8">
        <v>0</v>
      </c>
      <c r="S1610" s="8">
        <v>1</v>
      </c>
      <c r="T1610" s="8">
        <f t="shared" si="159"/>
        <v>1</v>
      </c>
      <c r="U1610" s="8">
        <v>0</v>
      </c>
      <c r="V1610" s="8">
        <v>1</v>
      </c>
      <c r="W1610" s="8">
        <v>1</v>
      </c>
      <c r="X1610" s="8">
        <v>1</v>
      </c>
      <c r="Y1610" s="8">
        <v>0</v>
      </c>
      <c r="Z1610" s="8">
        <v>0</v>
      </c>
      <c r="AA1610" s="8">
        <v>180</v>
      </c>
      <c r="AB1610" s="9">
        <f t="shared" si="160"/>
        <v>0.5</v>
      </c>
      <c r="AC1610" s="10">
        <f t="shared" si="162"/>
        <v>2</v>
      </c>
      <c r="AD1610" s="8" t="s">
        <v>109</v>
      </c>
      <c r="AE1610" s="11">
        <v>15990</v>
      </c>
      <c r="AF1610" s="11">
        <f t="shared" si="163"/>
        <v>15990</v>
      </c>
      <c r="AG1610" s="12" t="s">
        <v>34</v>
      </c>
      <c r="AH1610" s="8" t="s">
        <v>35</v>
      </c>
    </row>
    <row r="1611" spans="1:34">
      <c r="A1611" s="8" t="s">
        <v>2224</v>
      </c>
      <c r="B1611" s="16" t="s">
        <v>2859</v>
      </c>
      <c r="C1611" s="8" t="s">
        <v>248</v>
      </c>
      <c r="D1611" s="8" t="s">
        <v>2188</v>
      </c>
      <c r="E1611" s="8" t="str">
        <f t="shared" si="161"/>
        <v>CARAMELO</v>
      </c>
      <c r="G1611" s="8" t="s">
        <v>2861</v>
      </c>
      <c r="H1611" s="8" t="str">
        <f>VLOOKUP(A1611,[1]BBDD!$B$1:$J$3274,9,FALSE)</f>
        <v>U</v>
      </c>
      <c r="I1611" s="8" t="s">
        <v>2861</v>
      </c>
      <c r="J1611" s="8" t="s">
        <v>2215</v>
      </c>
      <c r="L1611" s="8" t="s">
        <v>238</v>
      </c>
      <c r="N1611" s="8" t="s">
        <v>62</v>
      </c>
      <c r="Q1611" s="8" t="s">
        <v>45</v>
      </c>
      <c r="R1611" s="8">
        <v>21</v>
      </c>
      <c r="S1611" s="8">
        <v>16</v>
      </c>
      <c r="T1611" s="8">
        <f t="shared" si="159"/>
        <v>37</v>
      </c>
      <c r="U1611" s="8">
        <v>2</v>
      </c>
      <c r="V1611" s="8">
        <v>0</v>
      </c>
      <c r="W1611" s="8">
        <v>1</v>
      </c>
      <c r="X1611" s="8">
        <v>0</v>
      </c>
      <c r="Y1611" s="8">
        <v>1</v>
      </c>
      <c r="Z1611" s="8">
        <v>0</v>
      </c>
      <c r="AA1611" s="8">
        <v>180</v>
      </c>
      <c r="AB1611" s="9">
        <f t="shared" si="160"/>
        <v>0.66666666666666674</v>
      </c>
      <c r="AC1611" s="10">
        <f t="shared" si="162"/>
        <v>55.499999999999993</v>
      </c>
      <c r="AD1611" s="8" t="s">
        <v>109</v>
      </c>
      <c r="AE1611" s="11">
        <v>15990</v>
      </c>
      <c r="AF1611" s="11">
        <f t="shared" si="163"/>
        <v>591630</v>
      </c>
      <c r="AG1611" s="12" t="s">
        <v>73</v>
      </c>
      <c r="AH1611" s="8" t="s">
        <v>74</v>
      </c>
    </row>
    <row r="1612" spans="1:34">
      <c r="A1612" s="8" t="s">
        <v>2225</v>
      </c>
      <c r="B1612" s="16" t="s">
        <v>2859</v>
      </c>
      <c r="C1612" s="8" t="s">
        <v>248</v>
      </c>
      <c r="D1612" s="8" t="s">
        <v>2188</v>
      </c>
      <c r="E1612" s="8" t="str">
        <f t="shared" si="161"/>
        <v>NEGRO</v>
      </c>
      <c r="G1612" s="8" t="s">
        <v>2861</v>
      </c>
      <c r="H1612" s="8" t="str">
        <f>VLOOKUP(A1612,[1]BBDD!$B$1:$J$3274,9,FALSE)</f>
        <v>U</v>
      </c>
      <c r="I1612" s="8" t="s">
        <v>2861</v>
      </c>
      <c r="J1612" s="8" t="s">
        <v>2215</v>
      </c>
      <c r="L1612" s="8" t="s">
        <v>238</v>
      </c>
      <c r="N1612" s="8" t="s">
        <v>44</v>
      </c>
      <c r="Q1612" s="8" t="s">
        <v>45</v>
      </c>
      <c r="R1612" s="8">
        <v>26</v>
      </c>
      <c r="S1612" s="8">
        <v>17</v>
      </c>
      <c r="T1612" s="8">
        <f t="shared" si="159"/>
        <v>43</v>
      </c>
      <c r="U1612" s="8">
        <v>0</v>
      </c>
      <c r="V1612" s="8">
        <v>0</v>
      </c>
      <c r="W1612" s="8">
        <v>1</v>
      </c>
      <c r="X1612" s="8">
        <v>0</v>
      </c>
      <c r="Y1612" s="8">
        <v>1</v>
      </c>
      <c r="Z1612" s="8">
        <v>0</v>
      </c>
      <c r="AA1612" s="8">
        <v>180</v>
      </c>
      <c r="AB1612" s="9">
        <f t="shared" si="160"/>
        <v>0.33333333333333337</v>
      </c>
      <c r="AC1612" s="10">
        <f t="shared" si="162"/>
        <v>128.99999999999997</v>
      </c>
      <c r="AD1612" s="8" t="s">
        <v>109</v>
      </c>
      <c r="AE1612" s="11">
        <v>15990</v>
      </c>
      <c r="AF1612" s="11">
        <f t="shared" si="163"/>
        <v>687570</v>
      </c>
      <c r="AG1612" s="12" t="s">
        <v>73</v>
      </c>
      <c r="AH1612" s="8" t="s">
        <v>74</v>
      </c>
    </row>
    <row r="1613" spans="1:34">
      <c r="A1613" s="8" t="s">
        <v>2226</v>
      </c>
      <c r="B1613" s="16" t="s">
        <v>2859</v>
      </c>
      <c r="C1613" s="8" t="s">
        <v>248</v>
      </c>
      <c r="D1613" s="8" t="s">
        <v>2188</v>
      </c>
      <c r="E1613" s="8" t="str">
        <f t="shared" si="161"/>
        <v>ROJO</v>
      </c>
      <c r="G1613" s="8" t="s">
        <v>2861</v>
      </c>
      <c r="H1613" s="8" t="str">
        <f>VLOOKUP(A1613,[1]BBDD!$B$1:$J$3274,9,FALSE)</f>
        <v>U</v>
      </c>
      <c r="I1613" s="8" t="s">
        <v>2861</v>
      </c>
      <c r="J1613" s="8" t="s">
        <v>2215</v>
      </c>
      <c r="L1613" s="8" t="s">
        <v>238</v>
      </c>
      <c r="N1613" s="8" t="s">
        <v>88</v>
      </c>
      <c r="Q1613" s="8" t="s">
        <v>45</v>
      </c>
      <c r="R1613" s="8">
        <v>8</v>
      </c>
      <c r="S1613" s="8">
        <v>15</v>
      </c>
      <c r="T1613" s="8">
        <f t="shared" si="159"/>
        <v>23</v>
      </c>
      <c r="U1613" s="8">
        <v>0</v>
      </c>
      <c r="V1613" s="8">
        <v>0</v>
      </c>
      <c r="W1613" s="8">
        <v>2</v>
      </c>
      <c r="X1613" s="8">
        <v>4</v>
      </c>
      <c r="Y1613" s="8">
        <v>0</v>
      </c>
      <c r="Z1613" s="8">
        <v>0</v>
      </c>
      <c r="AA1613" s="8">
        <v>180</v>
      </c>
      <c r="AB1613" s="9">
        <f t="shared" si="160"/>
        <v>1</v>
      </c>
      <c r="AC1613" s="10">
        <f t="shared" si="162"/>
        <v>23</v>
      </c>
      <c r="AD1613" s="8" t="s">
        <v>109</v>
      </c>
      <c r="AE1613" s="11">
        <v>15990</v>
      </c>
      <c r="AF1613" s="11">
        <f t="shared" si="163"/>
        <v>367770</v>
      </c>
      <c r="AG1613" s="12" t="s">
        <v>64</v>
      </c>
      <c r="AH1613" s="8" t="s">
        <v>74</v>
      </c>
    </row>
    <row r="1614" spans="1:34">
      <c r="A1614" s="8" t="s">
        <v>2227</v>
      </c>
      <c r="B1614" s="16" t="s">
        <v>2859</v>
      </c>
      <c r="C1614" s="8" t="s">
        <v>248</v>
      </c>
      <c r="D1614" s="8" t="s">
        <v>2188</v>
      </c>
      <c r="E1614" s="8" t="str">
        <f t="shared" si="161"/>
        <v>VERDE</v>
      </c>
      <c r="G1614" s="8" t="s">
        <v>2861</v>
      </c>
      <c r="H1614" s="8" t="str">
        <f>VLOOKUP(A1614,[1]BBDD!$B$1:$J$3274,9,FALSE)</f>
        <v>U</v>
      </c>
      <c r="I1614" s="8" t="s">
        <v>2861</v>
      </c>
      <c r="J1614" s="8" t="s">
        <v>2215</v>
      </c>
      <c r="L1614" s="8" t="s">
        <v>238</v>
      </c>
      <c r="N1614" s="8" t="s">
        <v>92</v>
      </c>
      <c r="Q1614" s="8" t="s">
        <v>45</v>
      </c>
      <c r="R1614" s="8">
        <v>0</v>
      </c>
      <c r="S1614" s="8">
        <v>1</v>
      </c>
      <c r="T1614" s="8">
        <f t="shared" si="159"/>
        <v>1</v>
      </c>
      <c r="U1614" s="8">
        <v>0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8">
        <v>180</v>
      </c>
      <c r="AB1614" s="9">
        <f t="shared" si="160"/>
        <v>0</v>
      </c>
      <c r="AC1614" s="10" t="str">
        <f t="shared" si="162"/>
        <v>sin venta</v>
      </c>
      <c r="AD1614" s="8" t="s">
        <v>109</v>
      </c>
      <c r="AE1614" s="11">
        <v>15990</v>
      </c>
      <c r="AF1614" s="11">
        <f t="shared" si="163"/>
        <v>15990</v>
      </c>
      <c r="AG1614" s="12" t="s">
        <v>73</v>
      </c>
      <c r="AH1614" s="8" t="s">
        <v>35</v>
      </c>
    </row>
    <row r="1615" spans="1:34">
      <c r="A1615" s="8" t="s">
        <v>2228</v>
      </c>
      <c r="B1615" s="16" t="s">
        <v>2859</v>
      </c>
      <c r="C1615" s="8" t="s">
        <v>248</v>
      </c>
      <c r="D1615" s="8" t="s">
        <v>2188</v>
      </c>
      <c r="E1615" s="8" t="str">
        <f t="shared" si="161"/>
        <v>AZUL</v>
      </c>
      <c r="G1615" s="8" t="s">
        <v>2861</v>
      </c>
      <c r="H1615" s="8" t="str">
        <f>VLOOKUP(A1615,[1]BBDD!$B$1:$J$3274,9,FALSE)</f>
        <v>U</v>
      </c>
      <c r="I1615" s="8" t="s">
        <v>2861</v>
      </c>
      <c r="J1615" s="8" t="s">
        <v>2215</v>
      </c>
      <c r="L1615" s="8" t="s">
        <v>119</v>
      </c>
      <c r="N1615" s="8" t="s">
        <v>83</v>
      </c>
      <c r="Q1615" s="8" t="s">
        <v>45</v>
      </c>
      <c r="R1615" s="8">
        <v>13</v>
      </c>
      <c r="S1615" s="8">
        <v>12</v>
      </c>
      <c r="T1615" s="8">
        <f t="shared" si="159"/>
        <v>25</v>
      </c>
      <c r="U1615" s="8">
        <v>2</v>
      </c>
      <c r="V1615" s="8">
        <v>0</v>
      </c>
      <c r="W1615" s="8">
        <v>3</v>
      </c>
      <c r="X1615" s="8">
        <v>0</v>
      </c>
      <c r="Y1615" s="8">
        <v>4</v>
      </c>
      <c r="Z1615" s="8">
        <v>1</v>
      </c>
      <c r="AA1615" s="8">
        <v>180</v>
      </c>
      <c r="AB1615" s="9">
        <f t="shared" si="160"/>
        <v>1.6666666666666665</v>
      </c>
      <c r="AC1615" s="10">
        <f t="shared" si="162"/>
        <v>15.000000000000002</v>
      </c>
      <c r="AD1615" s="8" t="s">
        <v>109</v>
      </c>
      <c r="AE1615" s="11">
        <v>14990</v>
      </c>
      <c r="AF1615" s="11">
        <f t="shared" si="163"/>
        <v>374750</v>
      </c>
      <c r="AG1615" s="12" t="s">
        <v>64</v>
      </c>
      <c r="AH1615" s="8" t="s">
        <v>74</v>
      </c>
    </row>
    <row r="1616" spans="1:34">
      <c r="A1616" s="8" t="s">
        <v>2229</v>
      </c>
      <c r="B1616" s="16" t="s">
        <v>2859</v>
      </c>
      <c r="C1616" s="8" t="s">
        <v>248</v>
      </c>
      <c r="D1616" s="8" t="s">
        <v>2188</v>
      </c>
      <c r="E1616" s="8" t="str">
        <f t="shared" si="161"/>
        <v>VERDE</v>
      </c>
      <c r="G1616" s="8" t="s">
        <v>2861</v>
      </c>
      <c r="H1616" s="8" t="str">
        <f>VLOOKUP(A1616,[1]BBDD!$B$1:$J$3274,9,FALSE)</f>
        <v>U</v>
      </c>
      <c r="I1616" s="8" t="s">
        <v>2861</v>
      </c>
      <c r="J1616" s="8" t="s">
        <v>2215</v>
      </c>
      <c r="L1616" s="8" t="s">
        <v>119</v>
      </c>
      <c r="N1616" s="8" t="s">
        <v>92</v>
      </c>
      <c r="Q1616" s="8" t="s">
        <v>45</v>
      </c>
      <c r="R1616" s="8">
        <v>9</v>
      </c>
      <c r="S1616" s="8">
        <v>9</v>
      </c>
      <c r="T1616" s="8">
        <f t="shared" si="159"/>
        <v>18</v>
      </c>
      <c r="U1616" s="8">
        <v>7</v>
      </c>
      <c r="V1616" s="8">
        <v>3</v>
      </c>
      <c r="W1616" s="8">
        <v>8</v>
      </c>
      <c r="X1616" s="8">
        <v>1</v>
      </c>
      <c r="Y1616" s="8">
        <v>5</v>
      </c>
      <c r="Z1616" s="8">
        <v>3</v>
      </c>
      <c r="AA1616" s="8">
        <v>180</v>
      </c>
      <c r="AB1616" s="9">
        <f t="shared" si="160"/>
        <v>4.5</v>
      </c>
      <c r="AC1616" s="10">
        <f t="shared" si="162"/>
        <v>4</v>
      </c>
      <c r="AD1616" s="8" t="s">
        <v>109</v>
      </c>
      <c r="AE1616" s="11">
        <v>14990</v>
      </c>
      <c r="AF1616" s="11">
        <f t="shared" si="163"/>
        <v>269820</v>
      </c>
      <c r="AG1616" s="12" t="s">
        <v>34</v>
      </c>
      <c r="AH1616" s="8" t="s">
        <v>65</v>
      </c>
    </row>
    <row r="1617" spans="1:34">
      <c r="A1617" s="8" t="s">
        <v>2230</v>
      </c>
      <c r="B1617" s="16" t="s">
        <v>2859</v>
      </c>
      <c r="C1617" s="8" t="s">
        <v>248</v>
      </c>
      <c r="D1617" s="8" t="s">
        <v>2188</v>
      </c>
      <c r="E1617" s="8" t="str">
        <f t="shared" si="161"/>
        <v>CARAMELO</v>
      </c>
      <c r="G1617" s="8" t="s">
        <v>2861</v>
      </c>
      <c r="H1617" s="8" t="str">
        <f>VLOOKUP(A1617,[1]BBDD!$B$1:$J$3274,9,FALSE)</f>
        <v>U</v>
      </c>
      <c r="I1617" s="8" t="s">
        <v>2861</v>
      </c>
      <c r="J1617" s="8" t="s">
        <v>2231</v>
      </c>
      <c r="L1617" s="8" t="s">
        <v>238</v>
      </c>
      <c r="N1617" s="8" t="s">
        <v>62</v>
      </c>
      <c r="Q1617" s="8" t="s">
        <v>45</v>
      </c>
      <c r="R1617" s="8">
        <v>0</v>
      </c>
      <c r="S1617" s="8">
        <v>3</v>
      </c>
      <c r="T1617" s="8">
        <f t="shared" si="159"/>
        <v>3</v>
      </c>
      <c r="U1617" s="8">
        <v>0</v>
      </c>
      <c r="V1617" s="8">
        <v>0</v>
      </c>
      <c r="W1617" s="8">
        <v>1</v>
      </c>
      <c r="X1617" s="8">
        <v>2</v>
      </c>
      <c r="Y1617" s="8">
        <v>0</v>
      </c>
      <c r="Z1617" s="8">
        <v>0</v>
      </c>
      <c r="AA1617" s="8">
        <v>180</v>
      </c>
      <c r="AB1617" s="9">
        <f t="shared" si="160"/>
        <v>0.5</v>
      </c>
      <c r="AC1617" s="10">
        <f t="shared" si="162"/>
        <v>6</v>
      </c>
      <c r="AD1617" s="8" t="s">
        <v>109</v>
      </c>
      <c r="AE1617" s="11">
        <v>150990</v>
      </c>
      <c r="AF1617" s="11">
        <f t="shared" si="163"/>
        <v>452970</v>
      </c>
      <c r="AG1617" s="12" t="s">
        <v>34</v>
      </c>
      <c r="AH1617" s="8" t="s">
        <v>35</v>
      </c>
    </row>
    <row r="1618" spans="1:34">
      <c r="A1618" s="8" t="s">
        <v>2232</v>
      </c>
      <c r="B1618" s="16" t="s">
        <v>2859</v>
      </c>
      <c r="C1618" s="8" t="s">
        <v>248</v>
      </c>
      <c r="D1618" s="8" t="s">
        <v>2188</v>
      </c>
      <c r="E1618" s="8" t="str">
        <f t="shared" si="161"/>
        <v>NEGRO</v>
      </c>
      <c r="G1618" s="8" t="s">
        <v>2861</v>
      </c>
      <c r="H1618" s="8" t="str">
        <f>VLOOKUP(A1618,[1]BBDD!$B$1:$J$3274,9,FALSE)</f>
        <v>U</v>
      </c>
      <c r="I1618" s="8" t="s">
        <v>2861</v>
      </c>
      <c r="J1618" s="8" t="s">
        <v>2231</v>
      </c>
      <c r="L1618" s="8" t="s">
        <v>238</v>
      </c>
      <c r="N1618" s="8" t="s">
        <v>44</v>
      </c>
      <c r="Q1618" s="8" t="s">
        <v>45</v>
      </c>
      <c r="R1618" s="8">
        <v>2</v>
      </c>
      <c r="S1618" s="8">
        <v>4</v>
      </c>
      <c r="T1618" s="8">
        <f t="shared" si="159"/>
        <v>6</v>
      </c>
      <c r="U1618" s="8">
        <v>0</v>
      </c>
      <c r="V1618" s="8">
        <v>0</v>
      </c>
      <c r="W1618" s="8">
        <v>0</v>
      </c>
      <c r="X1618" s="8">
        <v>0</v>
      </c>
      <c r="Y1618" s="8">
        <v>0</v>
      </c>
      <c r="Z1618" s="8">
        <v>0</v>
      </c>
      <c r="AA1618" s="8">
        <v>180</v>
      </c>
      <c r="AB1618" s="9">
        <f t="shared" si="160"/>
        <v>0</v>
      </c>
      <c r="AC1618" s="10" t="str">
        <f t="shared" si="162"/>
        <v>sin venta</v>
      </c>
      <c r="AD1618" s="8" t="s">
        <v>109</v>
      </c>
      <c r="AE1618" s="11">
        <v>150990</v>
      </c>
      <c r="AF1618" s="11">
        <f t="shared" si="163"/>
        <v>905940</v>
      </c>
      <c r="AG1618" s="12" t="s">
        <v>73</v>
      </c>
      <c r="AH1618" s="8" t="s">
        <v>35</v>
      </c>
    </row>
    <row r="1619" spans="1:34">
      <c r="A1619" s="8" t="s">
        <v>2233</v>
      </c>
      <c r="B1619" s="16" t="s">
        <v>2859</v>
      </c>
      <c r="C1619" s="8" t="s">
        <v>248</v>
      </c>
      <c r="D1619" s="8" t="s">
        <v>2188</v>
      </c>
      <c r="E1619" s="8" t="str">
        <f t="shared" si="161"/>
        <v>ROJO</v>
      </c>
      <c r="G1619" s="8" t="s">
        <v>2861</v>
      </c>
      <c r="H1619" s="8" t="str">
        <f>VLOOKUP(A1619,[1]BBDD!$B$1:$J$3274,9,FALSE)</f>
        <v>U</v>
      </c>
      <c r="I1619" s="8" t="s">
        <v>2861</v>
      </c>
      <c r="J1619" s="8" t="s">
        <v>2231</v>
      </c>
      <c r="L1619" s="8" t="s">
        <v>238</v>
      </c>
      <c r="N1619" s="8" t="s">
        <v>88</v>
      </c>
      <c r="Q1619" s="8" t="s">
        <v>45</v>
      </c>
      <c r="R1619" s="8">
        <v>0</v>
      </c>
      <c r="S1619" s="8">
        <v>4</v>
      </c>
      <c r="T1619" s="8">
        <f t="shared" si="159"/>
        <v>4</v>
      </c>
      <c r="U1619" s="8">
        <v>0</v>
      </c>
      <c r="V1619" s="8">
        <v>0</v>
      </c>
      <c r="W1619" s="8">
        <v>0</v>
      </c>
      <c r="X1619" s="8">
        <v>1</v>
      </c>
      <c r="Y1619" s="8">
        <v>0</v>
      </c>
      <c r="Z1619" s="8">
        <v>1</v>
      </c>
      <c r="AA1619" s="8">
        <v>180</v>
      </c>
      <c r="AB1619" s="9">
        <f t="shared" si="160"/>
        <v>0.33333333333333337</v>
      </c>
      <c r="AC1619" s="10">
        <f t="shared" si="162"/>
        <v>11.999999999999998</v>
      </c>
      <c r="AD1619" s="8" t="s">
        <v>109</v>
      </c>
      <c r="AE1619" s="11">
        <v>150990</v>
      </c>
      <c r="AF1619" s="11">
        <f t="shared" si="163"/>
        <v>603960</v>
      </c>
      <c r="AG1619" s="12" t="s">
        <v>51</v>
      </c>
      <c r="AH1619" s="8" t="s">
        <v>35</v>
      </c>
    </row>
    <row r="1620" spans="1:34">
      <c r="A1620" s="8" t="s">
        <v>2234</v>
      </c>
      <c r="B1620" s="16" t="s">
        <v>2859</v>
      </c>
      <c r="C1620" s="8" t="s">
        <v>248</v>
      </c>
      <c r="D1620" s="8" t="s">
        <v>2188</v>
      </c>
      <c r="E1620" s="8" t="str">
        <f t="shared" si="161"/>
        <v>NEGRO</v>
      </c>
      <c r="G1620" s="8" t="s">
        <v>2861</v>
      </c>
      <c r="H1620" s="8" t="str">
        <f>VLOOKUP(A1620,[1]BBDD!$B$1:$J$3274,9,FALSE)</f>
        <v>U</v>
      </c>
      <c r="I1620" s="8" t="s">
        <v>2861</v>
      </c>
      <c r="J1620" s="8" t="s">
        <v>2231</v>
      </c>
      <c r="L1620" s="8" t="s">
        <v>82</v>
      </c>
      <c r="N1620" s="8" t="s">
        <v>44</v>
      </c>
      <c r="Q1620" s="8" t="s">
        <v>32</v>
      </c>
      <c r="R1620" s="8">
        <v>0</v>
      </c>
      <c r="S1620" s="8">
        <v>5</v>
      </c>
      <c r="T1620" s="8">
        <f t="shared" si="159"/>
        <v>5</v>
      </c>
      <c r="U1620" s="8">
        <v>0</v>
      </c>
      <c r="V1620" s="8">
        <v>0</v>
      </c>
      <c r="W1620" s="8">
        <v>1</v>
      </c>
      <c r="X1620" s="8">
        <v>1</v>
      </c>
      <c r="Y1620" s="8">
        <v>1</v>
      </c>
      <c r="Z1620" s="8">
        <v>0</v>
      </c>
      <c r="AA1620" s="8">
        <v>180</v>
      </c>
      <c r="AB1620" s="9">
        <f t="shared" si="160"/>
        <v>0.5</v>
      </c>
      <c r="AC1620" s="10">
        <f t="shared" si="162"/>
        <v>10</v>
      </c>
      <c r="AD1620" s="8" t="s">
        <v>33</v>
      </c>
      <c r="AE1620" s="11">
        <v>149990</v>
      </c>
      <c r="AF1620" s="11">
        <f t="shared" si="163"/>
        <v>749950</v>
      </c>
      <c r="AG1620" s="12" t="s">
        <v>51</v>
      </c>
      <c r="AH1620" s="8" t="s">
        <v>35</v>
      </c>
    </row>
    <row r="1621" spans="1:34">
      <c r="A1621" s="8" t="s">
        <v>2235</v>
      </c>
      <c r="B1621" s="16" t="s">
        <v>2859</v>
      </c>
      <c r="C1621" s="8" t="s">
        <v>248</v>
      </c>
      <c r="D1621" s="8" t="s">
        <v>2188</v>
      </c>
      <c r="E1621" s="8" t="str">
        <f t="shared" si="161"/>
        <v>AZUL</v>
      </c>
      <c r="G1621" s="8" t="s">
        <v>2861</v>
      </c>
      <c r="H1621" s="8" t="str">
        <f>VLOOKUP(A1621,[1]BBDD!$B$1:$J$3274,9,FALSE)</f>
        <v>U</v>
      </c>
      <c r="I1621" s="8" t="s">
        <v>2861</v>
      </c>
      <c r="J1621" s="8" t="s">
        <v>2231</v>
      </c>
      <c r="L1621" s="8" t="s">
        <v>82</v>
      </c>
      <c r="N1621" s="8" t="s">
        <v>83</v>
      </c>
      <c r="Q1621" s="8" t="s">
        <v>32</v>
      </c>
      <c r="R1621" s="8">
        <v>0</v>
      </c>
      <c r="S1621" s="8">
        <v>5</v>
      </c>
      <c r="T1621" s="8">
        <f t="shared" si="159"/>
        <v>5</v>
      </c>
      <c r="U1621" s="8">
        <v>0</v>
      </c>
      <c r="V1621" s="8">
        <v>0</v>
      </c>
      <c r="W1621" s="8">
        <v>2</v>
      </c>
      <c r="X1621" s="8">
        <v>0</v>
      </c>
      <c r="Y1621" s="8">
        <v>1</v>
      </c>
      <c r="Z1621" s="8">
        <v>0</v>
      </c>
      <c r="AA1621" s="8">
        <v>180</v>
      </c>
      <c r="AB1621" s="9">
        <f t="shared" si="160"/>
        <v>0.5</v>
      </c>
      <c r="AC1621" s="10">
        <f t="shared" si="162"/>
        <v>10</v>
      </c>
      <c r="AD1621" s="8" t="s">
        <v>33</v>
      </c>
      <c r="AE1621" s="11">
        <v>149990</v>
      </c>
      <c r="AF1621" s="11">
        <f t="shared" si="163"/>
        <v>749950</v>
      </c>
      <c r="AG1621" s="12" t="s">
        <v>51</v>
      </c>
      <c r="AH1621" s="8" t="s">
        <v>35</v>
      </c>
    </row>
    <row r="1622" spans="1:34">
      <c r="A1622" s="8" t="s">
        <v>2236</v>
      </c>
      <c r="B1622" s="16" t="s">
        <v>2859</v>
      </c>
      <c r="C1622" s="8" t="s">
        <v>248</v>
      </c>
      <c r="D1622" s="8" t="s">
        <v>2188</v>
      </c>
      <c r="E1622" s="8" t="str">
        <f t="shared" si="161"/>
        <v>CARAMELO</v>
      </c>
      <c r="G1622" s="8" t="s">
        <v>2861</v>
      </c>
      <c r="H1622" s="8" t="str">
        <f>VLOOKUP(A1622,[1]BBDD!$B$1:$J$3274,9,FALSE)</f>
        <v>U</v>
      </c>
      <c r="I1622" s="8" t="s">
        <v>2861</v>
      </c>
      <c r="J1622" s="8" t="s">
        <v>2231</v>
      </c>
      <c r="L1622" s="8" t="s">
        <v>82</v>
      </c>
      <c r="N1622" s="8" t="s">
        <v>62</v>
      </c>
      <c r="Q1622" s="8" t="s">
        <v>32</v>
      </c>
      <c r="R1622" s="8">
        <v>3</v>
      </c>
      <c r="S1622" s="8">
        <v>5</v>
      </c>
      <c r="T1622" s="8">
        <f t="shared" si="159"/>
        <v>8</v>
      </c>
      <c r="U1622" s="8">
        <v>0</v>
      </c>
      <c r="V1622" s="8">
        <v>1</v>
      </c>
      <c r="W1622" s="8">
        <v>1</v>
      </c>
      <c r="X1622" s="8">
        <v>1</v>
      </c>
      <c r="Y1622" s="8">
        <v>0</v>
      </c>
      <c r="Z1622" s="8">
        <v>0</v>
      </c>
      <c r="AA1622" s="8">
        <v>180</v>
      </c>
      <c r="AB1622" s="9">
        <f t="shared" si="160"/>
        <v>0.5</v>
      </c>
      <c r="AC1622" s="10">
        <f t="shared" si="162"/>
        <v>16</v>
      </c>
      <c r="AD1622" s="8" t="s">
        <v>33</v>
      </c>
      <c r="AE1622" s="11">
        <v>149990</v>
      </c>
      <c r="AF1622" s="11">
        <f t="shared" si="163"/>
        <v>1199920</v>
      </c>
      <c r="AG1622" s="12" t="s">
        <v>64</v>
      </c>
      <c r="AH1622" s="8" t="s">
        <v>35</v>
      </c>
    </row>
    <row r="1623" spans="1:34">
      <c r="A1623" s="8" t="s">
        <v>2237</v>
      </c>
      <c r="B1623" s="16" t="s">
        <v>2859</v>
      </c>
      <c r="C1623" s="8" t="s">
        <v>248</v>
      </c>
      <c r="D1623" s="8" t="s">
        <v>2188</v>
      </c>
      <c r="E1623" s="8" t="str">
        <f t="shared" si="161"/>
        <v>ROJO</v>
      </c>
      <c r="G1623" s="8" t="s">
        <v>2861</v>
      </c>
      <c r="H1623" s="8" t="str">
        <f>VLOOKUP(A1623,[1]BBDD!$B$1:$J$3274,9,FALSE)</f>
        <v>U</v>
      </c>
      <c r="I1623" s="8" t="s">
        <v>2861</v>
      </c>
      <c r="J1623" s="8" t="s">
        <v>2231</v>
      </c>
      <c r="L1623" s="8" t="s">
        <v>82</v>
      </c>
      <c r="N1623" s="8" t="s">
        <v>88</v>
      </c>
      <c r="Q1623" s="8" t="s">
        <v>32</v>
      </c>
      <c r="R1623" s="8">
        <v>2</v>
      </c>
      <c r="S1623" s="8">
        <v>5</v>
      </c>
      <c r="T1623" s="8">
        <f t="shared" si="159"/>
        <v>7</v>
      </c>
      <c r="U1623" s="8">
        <v>0</v>
      </c>
      <c r="V1623" s="8">
        <v>1</v>
      </c>
      <c r="W1623" s="8">
        <v>0</v>
      </c>
      <c r="X1623" s="8">
        <v>0</v>
      </c>
      <c r="Y1623" s="8">
        <v>1</v>
      </c>
      <c r="Z1623" s="8">
        <v>0</v>
      </c>
      <c r="AA1623" s="8">
        <v>180</v>
      </c>
      <c r="AB1623" s="9">
        <f t="shared" si="160"/>
        <v>0.33333333333333337</v>
      </c>
      <c r="AC1623" s="10">
        <f t="shared" si="162"/>
        <v>20.999999999999996</v>
      </c>
      <c r="AD1623" s="8" t="s">
        <v>33</v>
      </c>
      <c r="AE1623" s="11">
        <v>149990</v>
      </c>
      <c r="AF1623" s="11">
        <f t="shared" si="163"/>
        <v>1049930</v>
      </c>
      <c r="AG1623" s="12" t="s">
        <v>64</v>
      </c>
      <c r="AH1623" s="8" t="s">
        <v>35</v>
      </c>
    </row>
    <row r="1624" spans="1:34">
      <c r="A1624" s="8" t="s">
        <v>2238</v>
      </c>
      <c r="B1624" s="16" t="s">
        <v>2859</v>
      </c>
      <c r="C1624" s="8" t="s">
        <v>248</v>
      </c>
      <c r="D1624" s="8" t="s">
        <v>2188</v>
      </c>
      <c r="E1624" s="8" t="str">
        <f t="shared" si="161"/>
        <v>NEGRO</v>
      </c>
      <c r="G1624" s="8" t="s">
        <v>2861</v>
      </c>
      <c r="H1624" s="8" t="str">
        <f>VLOOKUP(A1624,[1]BBDD!$B$1:$J$3274,9,FALSE)</f>
        <v>U</v>
      </c>
      <c r="I1624" s="8" t="s">
        <v>2861</v>
      </c>
      <c r="J1624" s="8" t="s">
        <v>2231</v>
      </c>
      <c r="L1624" s="8" t="s">
        <v>82</v>
      </c>
      <c r="N1624" s="8" t="s">
        <v>44</v>
      </c>
      <c r="Q1624" s="8" t="s">
        <v>32</v>
      </c>
      <c r="R1624" s="8">
        <v>0</v>
      </c>
      <c r="S1624" s="8">
        <v>2</v>
      </c>
      <c r="T1624" s="8">
        <f t="shared" si="159"/>
        <v>2</v>
      </c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180</v>
      </c>
      <c r="AB1624" s="9">
        <f t="shared" si="160"/>
        <v>0</v>
      </c>
      <c r="AC1624" s="10" t="str">
        <f t="shared" si="162"/>
        <v>sin venta</v>
      </c>
      <c r="AD1624" s="8" t="s">
        <v>33</v>
      </c>
      <c r="AE1624" s="11">
        <v>149990</v>
      </c>
      <c r="AF1624" s="11">
        <f t="shared" si="163"/>
        <v>299980</v>
      </c>
      <c r="AG1624" s="12" t="s">
        <v>73</v>
      </c>
      <c r="AH1624" s="8" t="s">
        <v>35</v>
      </c>
    </row>
    <row r="1625" spans="1:34">
      <c r="A1625" s="8" t="s">
        <v>2239</v>
      </c>
      <c r="B1625" s="16" t="s">
        <v>2859</v>
      </c>
      <c r="C1625" s="8" t="s">
        <v>248</v>
      </c>
      <c r="D1625" s="8" t="s">
        <v>2188</v>
      </c>
      <c r="E1625" s="8" t="str">
        <f t="shared" si="161"/>
        <v>VERDE</v>
      </c>
      <c r="G1625" s="8" t="s">
        <v>2861</v>
      </c>
      <c r="H1625" s="8" t="str">
        <f>VLOOKUP(A1625,[1]BBDD!$B$1:$J$3274,9,FALSE)</f>
        <v>U</v>
      </c>
      <c r="I1625" s="8" t="s">
        <v>2861</v>
      </c>
      <c r="J1625" s="8" t="s">
        <v>2231</v>
      </c>
      <c r="L1625" s="8" t="s">
        <v>82</v>
      </c>
      <c r="N1625" s="8" t="s">
        <v>92</v>
      </c>
      <c r="Q1625" s="8" t="s">
        <v>45</v>
      </c>
      <c r="R1625" s="8">
        <v>0</v>
      </c>
      <c r="S1625" s="8">
        <v>5</v>
      </c>
      <c r="T1625" s="8">
        <f t="shared" si="159"/>
        <v>5</v>
      </c>
      <c r="U1625" s="8">
        <v>0</v>
      </c>
      <c r="V1625" s="8">
        <v>0</v>
      </c>
      <c r="W1625" s="8">
        <v>1</v>
      </c>
      <c r="X1625" s="8">
        <v>0</v>
      </c>
      <c r="Y1625" s="8">
        <v>0</v>
      </c>
      <c r="Z1625" s="8">
        <v>0</v>
      </c>
      <c r="AA1625" s="8">
        <v>180</v>
      </c>
      <c r="AB1625" s="9">
        <f t="shared" si="160"/>
        <v>0.16666666666666669</v>
      </c>
      <c r="AC1625" s="10">
        <f t="shared" si="162"/>
        <v>29.999999999999996</v>
      </c>
      <c r="AD1625" s="8" t="s">
        <v>109</v>
      </c>
      <c r="AE1625" s="11">
        <v>149990</v>
      </c>
      <c r="AF1625" s="11">
        <f t="shared" si="163"/>
        <v>749950</v>
      </c>
      <c r="AG1625" s="12" t="s">
        <v>73</v>
      </c>
      <c r="AH1625" s="8" t="s">
        <v>35</v>
      </c>
    </row>
    <row r="1626" spans="1:34">
      <c r="A1626" s="8" t="s">
        <v>2240</v>
      </c>
      <c r="B1626" s="16" t="s">
        <v>399</v>
      </c>
      <c r="C1626" s="8" t="s">
        <v>729</v>
      </c>
      <c r="D1626" s="8" t="s">
        <v>2241</v>
      </c>
      <c r="E1626" s="8" t="str">
        <f t="shared" si="161"/>
        <v>NEGRO</v>
      </c>
      <c r="G1626" s="8" t="s">
        <v>2863</v>
      </c>
      <c r="H1626" s="8" t="str">
        <f>VLOOKUP(A1626,[1]BBDD!$B$1:$J$3274,9,FALSE)</f>
        <v>H</v>
      </c>
      <c r="I1626" s="8" t="s">
        <v>2863</v>
      </c>
      <c r="J1626" s="8" t="s">
        <v>2242</v>
      </c>
      <c r="L1626" s="8" t="s">
        <v>82</v>
      </c>
      <c r="N1626" s="8" t="s">
        <v>44</v>
      </c>
      <c r="Q1626" s="8" t="s">
        <v>45</v>
      </c>
      <c r="R1626" s="8">
        <v>0</v>
      </c>
      <c r="S1626" s="8">
        <v>2</v>
      </c>
      <c r="T1626" s="8">
        <f t="shared" si="159"/>
        <v>2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180</v>
      </c>
      <c r="AB1626" s="9">
        <f t="shared" si="160"/>
        <v>0</v>
      </c>
      <c r="AC1626" s="10" t="str">
        <f t="shared" si="162"/>
        <v>sin venta</v>
      </c>
      <c r="AD1626" s="8" t="s">
        <v>109</v>
      </c>
      <c r="AE1626" s="11">
        <v>649990</v>
      </c>
      <c r="AF1626" s="11">
        <f t="shared" si="163"/>
        <v>1299980</v>
      </c>
      <c r="AG1626" s="12" t="s">
        <v>73</v>
      </c>
      <c r="AH1626" s="8" t="s">
        <v>35</v>
      </c>
    </row>
    <row r="1627" spans="1:34">
      <c r="A1627" s="8" t="s">
        <v>2243</v>
      </c>
      <c r="B1627" s="16" t="s">
        <v>399</v>
      </c>
      <c r="C1627" s="8" t="s">
        <v>729</v>
      </c>
      <c r="D1627" s="8" t="s">
        <v>2241</v>
      </c>
      <c r="E1627" s="8" t="str">
        <f t="shared" si="161"/>
        <v>TABACO</v>
      </c>
      <c r="G1627" s="8" t="s">
        <v>2863</v>
      </c>
      <c r="H1627" s="8" t="str">
        <f>VLOOKUP(A1627,[1]BBDD!$B$1:$J$3274,9,FALSE)</f>
        <v>H</v>
      </c>
      <c r="I1627" s="8" t="s">
        <v>2863</v>
      </c>
      <c r="J1627" s="8" t="s">
        <v>2242</v>
      </c>
      <c r="L1627" s="8" t="s">
        <v>82</v>
      </c>
      <c r="N1627" s="8" t="s">
        <v>67</v>
      </c>
      <c r="Q1627" s="8" t="s">
        <v>45</v>
      </c>
      <c r="R1627" s="8">
        <v>0</v>
      </c>
      <c r="S1627" s="8">
        <v>1</v>
      </c>
      <c r="T1627" s="8">
        <f t="shared" si="159"/>
        <v>1</v>
      </c>
      <c r="U1627" s="8">
        <v>0</v>
      </c>
      <c r="V1627" s="8">
        <v>0</v>
      </c>
      <c r="W1627" s="8">
        <v>1</v>
      </c>
      <c r="X1627" s="8">
        <v>0</v>
      </c>
      <c r="Y1627" s="8">
        <v>0</v>
      </c>
      <c r="Z1627" s="8">
        <v>0</v>
      </c>
      <c r="AA1627" s="8">
        <v>180</v>
      </c>
      <c r="AB1627" s="9">
        <f t="shared" si="160"/>
        <v>0.16666666666666669</v>
      </c>
      <c r="AC1627" s="10">
        <f t="shared" si="162"/>
        <v>5.9999999999999991</v>
      </c>
      <c r="AD1627" s="8" t="s">
        <v>109</v>
      </c>
      <c r="AE1627" s="11">
        <v>649990</v>
      </c>
      <c r="AF1627" s="11">
        <f t="shared" si="163"/>
        <v>649990</v>
      </c>
      <c r="AG1627" s="12" t="s">
        <v>34</v>
      </c>
      <c r="AH1627" s="8" t="s">
        <v>35</v>
      </c>
    </row>
    <row r="1628" spans="1:34">
      <c r="A1628" s="8" t="s">
        <v>2244</v>
      </c>
      <c r="B1628" s="16" t="s">
        <v>2860</v>
      </c>
      <c r="C1628" s="8" t="s">
        <v>27</v>
      </c>
      <c r="D1628" s="8" t="s">
        <v>2245</v>
      </c>
      <c r="E1628" s="8" t="str">
        <f t="shared" si="161"/>
        <v>NATURAL</v>
      </c>
      <c r="G1628" s="8" t="s">
        <v>2861</v>
      </c>
      <c r="H1628" s="8" t="str">
        <f>VLOOKUP(A1628,[1]BBDD!$B$1:$J$3274,9,FALSE)</f>
        <v>U</v>
      </c>
      <c r="I1628" s="8" t="s">
        <v>2861</v>
      </c>
      <c r="J1628" s="8" t="s">
        <v>2246</v>
      </c>
      <c r="L1628" s="8" t="s">
        <v>1211</v>
      </c>
      <c r="N1628" s="8" t="s">
        <v>1983</v>
      </c>
      <c r="Q1628" s="8" t="s">
        <v>32</v>
      </c>
      <c r="R1628" s="8">
        <v>1</v>
      </c>
      <c r="S1628" s="8">
        <v>6</v>
      </c>
      <c r="T1628" s="8">
        <f t="shared" si="159"/>
        <v>7</v>
      </c>
      <c r="U1628" s="8">
        <v>5</v>
      </c>
      <c r="V1628" s="8">
        <v>4</v>
      </c>
      <c r="W1628" s="8">
        <v>4</v>
      </c>
      <c r="X1628" s="8">
        <v>1</v>
      </c>
      <c r="Y1628" s="8">
        <v>1</v>
      </c>
      <c r="Z1628" s="8">
        <v>3</v>
      </c>
      <c r="AA1628" s="8">
        <v>173</v>
      </c>
      <c r="AB1628" s="9">
        <f t="shared" si="160"/>
        <v>3.1213872832369942</v>
      </c>
      <c r="AC1628" s="10">
        <f t="shared" si="162"/>
        <v>2.2425925925925925</v>
      </c>
      <c r="AD1628" s="8" t="s">
        <v>33</v>
      </c>
      <c r="AE1628" s="11">
        <v>34990</v>
      </c>
      <c r="AF1628" s="11">
        <f t="shared" si="163"/>
        <v>244930</v>
      </c>
      <c r="AG1628" s="12" t="s">
        <v>34</v>
      </c>
      <c r="AH1628" s="8" t="s">
        <v>35</v>
      </c>
    </row>
    <row r="1629" spans="1:34">
      <c r="A1629" s="8" t="s">
        <v>2247</v>
      </c>
      <c r="B1629" s="16" t="s">
        <v>2860</v>
      </c>
      <c r="C1629" s="8" t="s">
        <v>27</v>
      </c>
      <c r="D1629" s="8" t="s">
        <v>2245</v>
      </c>
      <c r="E1629" s="8" t="str">
        <f t="shared" si="161"/>
        <v>SUELA</v>
      </c>
      <c r="G1629" s="8" t="s">
        <v>2861</v>
      </c>
      <c r="H1629" s="8" t="str">
        <f>VLOOKUP(A1629,[1]BBDD!$B$1:$J$3274,9,FALSE)</f>
        <v>U</v>
      </c>
      <c r="I1629" s="8" t="s">
        <v>2861</v>
      </c>
      <c r="J1629" s="8" t="s">
        <v>2246</v>
      </c>
      <c r="L1629" s="8" t="s">
        <v>1211</v>
      </c>
      <c r="N1629" s="8" t="s">
        <v>90</v>
      </c>
      <c r="Q1629" s="8" t="s">
        <v>32</v>
      </c>
      <c r="R1629" s="8">
        <v>2</v>
      </c>
      <c r="S1629" s="8">
        <v>9</v>
      </c>
      <c r="T1629" s="8">
        <f t="shared" si="159"/>
        <v>11</v>
      </c>
      <c r="U1629" s="8">
        <v>12</v>
      </c>
      <c r="V1629" s="8">
        <v>17</v>
      </c>
      <c r="W1629" s="8">
        <v>11</v>
      </c>
      <c r="X1629" s="8">
        <v>3</v>
      </c>
      <c r="Y1629" s="8">
        <v>5</v>
      </c>
      <c r="Z1629" s="8">
        <v>11</v>
      </c>
      <c r="AA1629" s="8">
        <v>173</v>
      </c>
      <c r="AB1629" s="9">
        <f t="shared" si="160"/>
        <v>10.23121387283237</v>
      </c>
      <c r="AC1629" s="10">
        <f t="shared" si="162"/>
        <v>1.0751412429378531</v>
      </c>
      <c r="AD1629" s="8" t="s">
        <v>33</v>
      </c>
      <c r="AE1629" s="11">
        <v>34990</v>
      </c>
      <c r="AF1629" s="11">
        <f t="shared" si="163"/>
        <v>384890</v>
      </c>
      <c r="AG1629" s="12" t="s">
        <v>34</v>
      </c>
      <c r="AH1629" s="8" t="s">
        <v>65</v>
      </c>
    </row>
    <row r="1630" spans="1:34">
      <c r="A1630" s="8" t="s">
        <v>2248</v>
      </c>
      <c r="B1630" s="16" t="s">
        <v>2860</v>
      </c>
      <c r="C1630" s="8" t="s">
        <v>27</v>
      </c>
      <c r="D1630" s="8" t="s">
        <v>2245</v>
      </c>
      <c r="E1630" s="8" t="str">
        <f t="shared" si="161"/>
        <v>NATURAL</v>
      </c>
      <c r="G1630" s="8" t="s">
        <v>2861</v>
      </c>
      <c r="H1630" s="8" t="str">
        <f>VLOOKUP(A1630,[1]BBDD!$B$1:$J$3274,9,FALSE)</f>
        <v>U</v>
      </c>
      <c r="I1630" s="8" t="s">
        <v>2861</v>
      </c>
      <c r="J1630" s="8" t="s">
        <v>2249</v>
      </c>
      <c r="L1630" s="8" t="s">
        <v>1211</v>
      </c>
      <c r="N1630" s="8" t="s">
        <v>1983</v>
      </c>
      <c r="Q1630" s="8" t="s">
        <v>32</v>
      </c>
      <c r="R1630" s="8">
        <v>3</v>
      </c>
      <c r="S1630" s="8">
        <v>8</v>
      </c>
      <c r="T1630" s="8">
        <f t="shared" si="159"/>
        <v>11</v>
      </c>
      <c r="U1630" s="8">
        <v>6</v>
      </c>
      <c r="V1630" s="8">
        <v>8</v>
      </c>
      <c r="W1630" s="8">
        <v>6</v>
      </c>
      <c r="X1630" s="8">
        <v>2</v>
      </c>
      <c r="Y1630" s="8">
        <v>0</v>
      </c>
      <c r="Z1630" s="8">
        <v>1</v>
      </c>
      <c r="AA1630" s="8">
        <v>173</v>
      </c>
      <c r="AB1630" s="9">
        <f t="shared" si="160"/>
        <v>3.988439306358381</v>
      </c>
      <c r="AC1630" s="10">
        <f t="shared" si="162"/>
        <v>2.7579710144927541</v>
      </c>
      <c r="AD1630" s="8" t="s">
        <v>33</v>
      </c>
      <c r="AE1630" s="11">
        <v>34990</v>
      </c>
      <c r="AF1630" s="11">
        <f t="shared" si="163"/>
        <v>384890</v>
      </c>
      <c r="AG1630" s="12" t="s">
        <v>34</v>
      </c>
      <c r="AH1630" s="8" t="s">
        <v>65</v>
      </c>
    </row>
    <row r="1631" spans="1:34">
      <c r="A1631" s="8" t="s">
        <v>2250</v>
      </c>
      <c r="B1631" s="16" t="s">
        <v>2860</v>
      </c>
      <c r="C1631" s="8" t="s">
        <v>27</v>
      </c>
      <c r="D1631" s="8" t="s">
        <v>2245</v>
      </c>
      <c r="E1631" s="8" t="str">
        <f t="shared" si="161"/>
        <v>SUELA</v>
      </c>
      <c r="G1631" s="8" t="s">
        <v>2861</v>
      </c>
      <c r="H1631" s="8" t="str">
        <f>VLOOKUP(A1631,[1]BBDD!$B$1:$J$3274,9,FALSE)</f>
        <v>U</v>
      </c>
      <c r="I1631" s="8" t="s">
        <v>2861</v>
      </c>
      <c r="J1631" s="8" t="s">
        <v>2249</v>
      </c>
      <c r="L1631" s="8" t="s">
        <v>1211</v>
      </c>
      <c r="N1631" s="8" t="s">
        <v>90</v>
      </c>
      <c r="Q1631" s="8" t="s">
        <v>32</v>
      </c>
      <c r="R1631" s="8">
        <v>0</v>
      </c>
      <c r="S1631" s="8">
        <v>2</v>
      </c>
      <c r="T1631" s="8">
        <f t="shared" si="159"/>
        <v>2</v>
      </c>
      <c r="U1631" s="8">
        <v>9</v>
      </c>
      <c r="V1631" s="8">
        <v>6</v>
      </c>
      <c r="W1631" s="8">
        <v>6</v>
      </c>
      <c r="X1631" s="8">
        <v>4</v>
      </c>
      <c r="Y1631" s="8">
        <v>1</v>
      </c>
      <c r="Z1631" s="8">
        <v>13</v>
      </c>
      <c r="AA1631" s="8">
        <v>173</v>
      </c>
      <c r="AB1631" s="9">
        <f t="shared" si="160"/>
        <v>6.7630057803468207</v>
      </c>
      <c r="AC1631" s="10">
        <f t="shared" si="162"/>
        <v>0.29572649572649573</v>
      </c>
      <c r="AD1631" s="8" t="s">
        <v>33</v>
      </c>
      <c r="AE1631" s="11">
        <v>34990</v>
      </c>
      <c r="AF1631" s="11">
        <f t="shared" si="163"/>
        <v>69980</v>
      </c>
      <c r="AG1631" s="12" t="s">
        <v>34</v>
      </c>
      <c r="AH1631" s="8" t="s">
        <v>35</v>
      </c>
    </row>
    <row r="1632" spans="1:34">
      <c r="A1632" s="8" t="s">
        <v>2251</v>
      </c>
      <c r="B1632" s="16" t="s">
        <v>2860</v>
      </c>
      <c r="C1632" s="8" t="s">
        <v>27</v>
      </c>
      <c r="D1632" s="8" t="s">
        <v>2245</v>
      </c>
      <c r="E1632" s="8" t="str">
        <f t="shared" si="161"/>
        <v>NEGRO</v>
      </c>
      <c r="G1632" s="8" t="s">
        <v>2861</v>
      </c>
      <c r="H1632" s="8" t="str">
        <f>VLOOKUP(A1632,[1]BBDD!$B$1:$J$3274,9,FALSE)</f>
        <v>U</v>
      </c>
      <c r="I1632" s="8" t="s">
        <v>2861</v>
      </c>
      <c r="J1632" s="8" t="s">
        <v>2252</v>
      </c>
      <c r="L1632" s="8" t="s">
        <v>61</v>
      </c>
      <c r="N1632" s="8" t="s">
        <v>44</v>
      </c>
      <c r="Q1632" s="8" t="s">
        <v>32</v>
      </c>
      <c r="R1632" s="8">
        <v>4</v>
      </c>
      <c r="S1632" s="8">
        <v>9</v>
      </c>
      <c r="T1632" s="8">
        <f t="shared" si="159"/>
        <v>13</v>
      </c>
      <c r="U1632" s="8">
        <v>0</v>
      </c>
      <c r="V1632" s="8">
        <v>0</v>
      </c>
      <c r="W1632" s="8">
        <v>5</v>
      </c>
      <c r="X1632" s="8">
        <v>2</v>
      </c>
      <c r="Y1632" s="8">
        <v>2</v>
      </c>
      <c r="Z1632" s="8">
        <v>2</v>
      </c>
      <c r="AA1632" s="8">
        <v>112</v>
      </c>
      <c r="AB1632" s="9">
        <f t="shared" si="160"/>
        <v>2.9464285714285712</v>
      </c>
      <c r="AC1632" s="10">
        <f t="shared" si="162"/>
        <v>4.4121212121212121</v>
      </c>
      <c r="AD1632" s="8" t="s">
        <v>33</v>
      </c>
      <c r="AE1632" s="11">
        <v>64990</v>
      </c>
      <c r="AF1632" s="11">
        <f t="shared" si="163"/>
        <v>844870</v>
      </c>
      <c r="AG1632" s="12" t="s">
        <v>34</v>
      </c>
      <c r="AH1632" s="8" t="s">
        <v>65</v>
      </c>
    </row>
    <row r="1633" spans="1:34">
      <c r="A1633" s="8" t="s">
        <v>2253</v>
      </c>
      <c r="B1633" s="16" t="s">
        <v>2860</v>
      </c>
      <c r="C1633" s="8" t="s">
        <v>27</v>
      </c>
      <c r="D1633" s="8" t="s">
        <v>2245</v>
      </c>
      <c r="E1633" s="8" t="str">
        <f t="shared" si="161"/>
        <v>TABACO</v>
      </c>
      <c r="G1633" s="8" t="s">
        <v>2861</v>
      </c>
      <c r="H1633" s="8" t="str">
        <f>VLOOKUP(A1633,[1]BBDD!$B$1:$J$3274,9,FALSE)</f>
        <v>U</v>
      </c>
      <c r="I1633" s="8" t="s">
        <v>2861</v>
      </c>
      <c r="J1633" s="8" t="s">
        <v>2252</v>
      </c>
      <c r="L1633" s="8" t="s">
        <v>61</v>
      </c>
      <c r="N1633" s="8" t="s">
        <v>67</v>
      </c>
      <c r="Q1633" s="8" t="s">
        <v>32</v>
      </c>
      <c r="R1633" s="8">
        <v>7</v>
      </c>
      <c r="S1633" s="8">
        <v>6</v>
      </c>
      <c r="T1633" s="8">
        <f t="shared" si="159"/>
        <v>13</v>
      </c>
      <c r="U1633" s="8">
        <v>0</v>
      </c>
      <c r="V1633" s="8">
        <v>0</v>
      </c>
      <c r="W1633" s="8">
        <v>5</v>
      </c>
      <c r="X1633" s="8">
        <v>5</v>
      </c>
      <c r="Y1633" s="8">
        <v>1</v>
      </c>
      <c r="Z1633" s="8">
        <v>5</v>
      </c>
      <c r="AA1633" s="8">
        <v>112</v>
      </c>
      <c r="AB1633" s="9">
        <f t="shared" si="160"/>
        <v>4.2857142857142856</v>
      </c>
      <c r="AC1633" s="10">
        <f t="shared" si="162"/>
        <v>3.0333333333333332</v>
      </c>
      <c r="AD1633" s="8" t="s">
        <v>33</v>
      </c>
      <c r="AE1633" s="11">
        <v>64990</v>
      </c>
      <c r="AF1633" s="11">
        <f t="shared" si="163"/>
        <v>844870</v>
      </c>
      <c r="AG1633" s="12" t="s">
        <v>34</v>
      </c>
      <c r="AH1633" s="8" t="s">
        <v>65</v>
      </c>
    </row>
    <row r="1634" spans="1:34">
      <c r="A1634" s="8" t="s">
        <v>2254</v>
      </c>
      <c r="B1634" s="16" t="s">
        <v>2860</v>
      </c>
      <c r="C1634" s="8" t="s">
        <v>27</v>
      </c>
      <c r="D1634" s="8" t="s">
        <v>2245</v>
      </c>
      <c r="E1634" s="8" t="str">
        <f t="shared" si="161"/>
        <v>CARAMELO</v>
      </c>
      <c r="G1634" s="8" t="s">
        <v>2861</v>
      </c>
      <c r="H1634" s="8" t="str">
        <f>VLOOKUP(A1634,[1]BBDD!$B$1:$J$3274,9,FALSE)</f>
        <v>U</v>
      </c>
      <c r="I1634" s="8" t="s">
        <v>2861</v>
      </c>
      <c r="J1634" s="8" t="s">
        <v>2252</v>
      </c>
      <c r="L1634" s="8" t="s">
        <v>61</v>
      </c>
      <c r="N1634" s="8" t="s">
        <v>62</v>
      </c>
      <c r="Q1634" s="8" t="s">
        <v>32</v>
      </c>
      <c r="R1634" s="8">
        <v>6</v>
      </c>
      <c r="S1634" s="8">
        <v>4</v>
      </c>
      <c r="T1634" s="8">
        <f t="shared" si="159"/>
        <v>10</v>
      </c>
      <c r="U1634" s="8">
        <v>0</v>
      </c>
      <c r="V1634" s="8">
        <v>0</v>
      </c>
      <c r="W1634" s="8">
        <v>5</v>
      </c>
      <c r="X1634" s="8">
        <v>0</v>
      </c>
      <c r="Y1634" s="8">
        <v>0</v>
      </c>
      <c r="Z1634" s="8">
        <v>3</v>
      </c>
      <c r="AA1634" s="8">
        <v>112</v>
      </c>
      <c r="AB1634" s="9">
        <f t="shared" si="160"/>
        <v>2.1428571428571428</v>
      </c>
      <c r="AC1634" s="10">
        <f t="shared" si="162"/>
        <v>4.666666666666667</v>
      </c>
      <c r="AD1634" s="8" t="s">
        <v>33</v>
      </c>
      <c r="AE1634" s="11">
        <v>64990</v>
      </c>
      <c r="AF1634" s="11">
        <f t="shared" si="163"/>
        <v>649900</v>
      </c>
      <c r="AG1634" s="12" t="s">
        <v>34</v>
      </c>
      <c r="AH1634" s="8" t="s">
        <v>35</v>
      </c>
    </row>
    <row r="1635" spans="1:34">
      <c r="A1635" s="8" t="s">
        <v>2255</v>
      </c>
      <c r="B1635" s="16" t="s">
        <v>2860</v>
      </c>
      <c r="C1635" s="8" t="s">
        <v>27</v>
      </c>
      <c r="D1635" s="8" t="s">
        <v>2245</v>
      </c>
      <c r="E1635" s="8" t="str">
        <f t="shared" si="161"/>
        <v>MALBEC</v>
      </c>
      <c r="G1635" s="8" t="s">
        <v>2861</v>
      </c>
      <c r="H1635" s="8" t="str">
        <f>VLOOKUP(A1635,[1]BBDD!$B$1:$J$3274,9,FALSE)</f>
        <v>U</v>
      </c>
      <c r="I1635" s="8" t="s">
        <v>2861</v>
      </c>
      <c r="J1635" s="8" t="s">
        <v>2252</v>
      </c>
      <c r="L1635" s="8" t="s">
        <v>61</v>
      </c>
      <c r="N1635" s="8" t="s">
        <v>69</v>
      </c>
      <c r="Q1635" s="8" t="s">
        <v>32</v>
      </c>
      <c r="R1635" s="8">
        <v>0</v>
      </c>
      <c r="S1635" s="8">
        <v>3</v>
      </c>
      <c r="T1635" s="8">
        <f t="shared" si="159"/>
        <v>3</v>
      </c>
      <c r="U1635" s="8">
        <v>0</v>
      </c>
      <c r="V1635" s="8">
        <v>0</v>
      </c>
      <c r="W1635" s="8">
        <v>0</v>
      </c>
      <c r="X1635" s="8">
        <v>0</v>
      </c>
      <c r="Y1635" s="8">
        <v>4</v>
      </c>
      <c r="Z1635" s="8">
        <v>2</v>
      </c>
      <c r="AA1635" s="8">
        <v>112</v>
      </c>
      <c r="AB1635" s="9">
        <f t="shared" si="160"/>
        <v>1.607142857142857</v>
      </c>
      <c r="AC1635" s="10">
        <f t="shared" si="162"/>
        <v>1.8666666666666669</v>
      </c>
      <c r="AD1635" s="8" t="s">
        <v>33</v>
      </c>
      <c r="AE1635" s="11">
        <v>64990</v>
      </c>
      <c r="AF1635" s="11">
        <f t="shared" si="163"/>
        <v>194970</v>
      </c>
      <c r="AG1635" s="12" t="s">
        <v>34</v>
      </c>
      <c r="AH1635" s="8" t="s">
        <v>35</v>
      </c>
    </row>
    <row r="1636" spans="1:34">
      <c r="A1636" s="8" t="s">
        <v>2256</v>
      </c>
      <c r="B1636" s="16" t="s">
        <v>2860</v>
      </c>
      <c r="C1636" s="8" t="s">
        <v>27</v>
      </c>
      <c r="D1636" s="8" t="s">
        <v>2245</v>
      </c>
      <c r="E1636" s="8" t="str">
        <f t="shared" si="161"/>
        <v>HEREFORD</v>
      </c>
      <c r="G1636" s="8" t="s">
        <v>2861</v>
      </c>
      <c r="H1636" s="8" t="str">
        <f>VLOOKUP(A1636,[1]BBDD!$B$1:$J$3274,9,FALSE)</f>
        <v>U</v>
      </c>
      <c r="I1636" s="8" t="s">
        <v>2861</v>
      </c>
      <c r="J1636" s="8" t="s">
        <v>2252</v>
      </c>
      <c r="L1636" s="8" t="s">
        <v>30</v>
      </c>
      <c r="N1636" s="8" t="s">
        <v>37</v>
      </c>
      <c r="Q1636" s="8" t="s">
        <v>32</v>
      </c>
      <c r="R1636" s="8">
        <v>0</v>
      </c>
      <c r="S1636" s="8">
        <v>5</v>
      </c>
      <c r="T1636" s="8">
        <f t="shared" si="159"/>
        <v>5</v>
      </c>
      <c r="U1636" s="8">
        <v>0</v>
      </c>
      <c r="V1636" s="8">
        <v>0</v>
      </c>
      <c r="W1636" s="8">
        <v>0</v>
      </c>
      <c r="X1636" s="8">
        <v>2</v>
      </c>
      <c r="Y1636" s="8">
        <v>1</v>
      </c>
      <c r="Z1636" s="8">
        <v>3</v>
      </c>
      <c r="AA1636" s="8">
        <v>112</v>
      </c>
      <c r="AB1636" s="9">
        <f t="shared" si="160"/>
        <v>1.607142857142857</v>
      </c>
      <c r="AC1636" s="10">
        <f t="shared" si="162"/>
        <v>3.1111111111111116</v>
      </c>
      <c r="AD1636" s="8" t="s">
        <v>33</v>
      </c>
      <c r="AE1636" s="11">
        <v>64990</v>
      </c>
      <c r="AF1636" s="11">
        <f t="shared" si="163"/>
        <v>324950</v>
      </c>
      <c r="AG1636" s="12" t="s">
        <v>34</v>
      </c>
      <c r="AH1636" s="8" t="s">
        <v>35</v>
      </c>
    </row>
    <row r="1637" spans="1:34">
      <c r="A1637" s="8" t="s">
        <v>2257</v>
      </c>
      <c r="B1637" s="16" t="s">
        <v>2860</v>
      </c>
      <c r="C1637" s="8" t="s">
        <v>27</v>
      </c>
      <c r="D1637" s="8" t="s">
        <v>2245</v>
      </c>
      <c r="E1637" s="8" t="str">
        <f t="shared" si="161"/>
        <v>HOLANDO</v>
      </c>
      <c r="G1637" s="8" t="s">
        <v>2861</v>
      </c>
      <c r="H1637" s="8" t="str">
        <f>VLOOKUP(A1637,[1]BBDD!$B$1:$J$3274,9,FALSE)</f>
        <v>U</v>
      </c>
      <c r="I1637" s="8" t="s">
        <v>2861</v>
      </c>
      <c r="J1637" s="8" t="s">
        <v>2252</v>
      </c>
      <c r="L1637" s="8" t="s">
        <v>30</v>
      </c>
      <c r="N1637" s="8" t="s">
        <v>31</v>
      </c>
      <c r="Q1637" s="8" t="s">
        <v>32</v>
      </c>
      <c r="R1637" s="8">
        <v>0</v>
      </c>
      <c r="S1637" s="8">
        <v>7</v>
      </c>
      <c r="T1637" s="8">
        <f t="shared" si="159"/>
        <v>7</v>
      </c>
      <c r="U1637" s="8">
        <v>0</v>
      </c>
      <c r="V1637" s="8">
        <v>0</v>
      </c>
      <c r="W1637" s="8">
        <v>0</v>
      </c>
      <c r="X1637" s="8">
        <v>2</v>
      </c>
      <c r="Y1637" s="8">
        <v>1</v>
      </c>
      <c r="Z1637" s="8">
        <v>0</v>
      </c>
      <c r="AA1637" s="8">
        <v>112</v>
      </c>
      <c r="AB1637" s="9">
        <f t="shared" si="160"/>
        <v>0.80357142857142849</v>
      </c>
      <c r="AC1637" s="10">
        <f t="shared" si="162"/>
        <v>8.7111111111111121</v>
      </c>
      <c r="AD1637" s="8" t="s">
        <v>33</v>
      </c>
      <c r="AE1637" s="11">
        <v>64990</v>
      </c>
      <c r="AF1637" s="11">
        <f t="shared" si="163"/>
        <v>454930</v>
      </c>
      <c r="AG1637" s="12" t="s">
        <v>51</v>
      </c>
      <c r="AH1637" s="8" t="s">
        <v>35</v>
      </c>
    </row>
    <row r="1638" spans="1:34">
      <c r="A1638" s="8" t="s">
        <v>2258</v>
      </c>
      <c r="B1638" s="16" t="s">
        <v>2860</v>
      </c>
      <c r="C1638" s="8" t="s">
        <v>27</v>
      </c>
      <c r="D1638" s="8" t="s">
        <v>2245</v>
      </c>
      <c r="E1638" s="8" t="str">
        <f t="shared" si="161"/>
        <v>AZUL/TABACO</v>
      </c>
      <c r="G1638" s="8" t="s">
        <v>2861</v>
      </c>
      <c r="H1638" s="8" t="str">
        <f>VLOOKUP(A1638,[1]BBDD!$B$1:$J$3274,9,FALSE)</f>
        <v>U</v>
      </c>
      <c r="I1638" s="8" t="s">
        <v>2861</v>
      </c>
      <c r="J1638" s="8" t="s">
        <v>2259</v>
      </c>
      <c r="L1638" s="8" t="s">
        <v>431</v>
      </c>
      <c r="N1638" s="8" t="s">
        <v>438</v>
      </c>
      <c r="Q1638" s="8" t="s">
        <v>32</v>
      </c>
      <c r="R1638" s="8">
        <v>1</v>
      </c>
      <c r="S1638" s="8">
        <v>8</v>
      </c>
      <c r="T1638" s="8">
        <f t="shared" si="159"/>
        <v>9</v>
      </c>
      <c r="U1638" s="8">
        <v>0</v>
      </c>
      <c r="V1638" s="8">
        <v>0</v>
      </c>
      <c r="W1638" s="8">
        <v>0</v>
      </c>
      <c r="X1638" s="8">
        <v>0</v>
      </c>
      <c r="Y1638" s="8">
        <v>1</v>
      </c>
      <c r="Z1638" s="8">
        <v>0</v>
      </c>
      <c r="AA1638" s="8">
        <v>92</v>
      </c>
      <c r="AB1638" s="9">
        <f t="shared" si="160"/>
        <v>0.32608695652173914</v>
      </c>
      <c r="AC1638" s="10">
        <f t="shared" si="162"/>
        <v>27.599999999999998</v>
      </c>
      <c r="AD1638" s="8" t="s">
        <v>33</v>
      </c>
      <c r="AE1638" s="11">
        <v>129990</v>
      </c>
      <c r="AF1638" s="11">
        <f t="shared" si="163"/>
        <v>1169910</v>
      </c>
      <c r="AG1638" s="12" t="s">
        <v>73</v>
      </c>
      <c r="AH1638" s="8" t="s">
        <v>35</v>
      </c>
    </row>
    <row r="1639" spans="1:34">
      <c r="A1639" s="8" t="s">
        <v>2260</v>
      </c>
      <c r="B1639" s="16" t="s">
        <v>2860</v>
      </c>
      <c r="C1639" s="8" t="s">
        <v>27</v>
      </c>
      <c r="D1639" s="8" t="s">
        <v>2245</v>
      </c>
      <c r="E1639" s="8" t="str">
        <f t="shared" si="161"/>
        <v>OLIVE/TABACO</v>
      </c>
      <c r="G1639" s="8" t="s">
        <v>2861</v>
      </c>
      <c r="H1639" s="8" t="str">
        <f>VLOOKUP(A1639,[1]BBDD!$B$1:$J$3274,9,FALSE)</f>
        <v>U</v>
      </c>
      <c r="I1639" s="8" t="s">
        <v>2861</v>
      </c>
      <c r="J1639" s="8" t="s">
        <v>2259</v>
      </c>
      <c r="L1639" s="8" t="s">
        <v>431</v>
      </c>
      <c r="N1639" s="8" t="s">
        <v>434</v>
      </c>
      <c r="Q1639" s="8" t="s">
        <v>32</v>
      </c>
      <c r="R1639" s="8">
        <v>4</v>
      </c>
      <c r="S1639" s="8">
        <v>7</v>
      </c>
      <c r="T1639" s="8">
        <f t="shared" si="159"/>
        <v>11</v>
      </c>
      <c r="U1639" s="8">
        <v>0</v>
      </c>
      <c r="V1639" s="8">
        <v>0</v>
      </c>
      <c r="W1639" s="8">
        <v>0</v>
      </c>
      <c r="X1639" s="8">
        <v>2</v>
      </c>
      <c r="Y1639" s="8">
        <v>1</v>
      </c>
      <c r="Z1639" s="8">
        <v>1</v>
      </c>
      <c r="AA1639" s="8">
        <v>92</v>
      </c>
      <c r="AB1639" s="9">
        <f t="shared" si="160"/>
        <v>1.3043478260869565</v>
      </c>
      <c r="AC1639" s="10">
        <f t="shared" si="162"/>
        <v>8.4333333333333336</v>
      </c>
      <c r="AD1639" s="8" t="s">
        <v>33</v>
      </c>
      <c r="AE1639" s="11">
        <v>129990</v>
      </c>
      <c r="AF1639" s="11">
        <f t="shared" si="163"/>
        <v>1429890</v>
      </c>
      <c r="AG1639" s="12" t="s">
        <v>51</v>
      </c>
      <c r="AH1639" s="8" t="s">
        <v>65</v>
      </c>
    </row>
    <row r="1640" spans="1:34">
      <c r="A1640" s="8" t="s">
        <v>2261</v>
      </c>
      <c r="B1640" s="16" t="s">
        <v>2860</v>
      </c>
      <c r="C1640" s="8" t="s">
        <v>27</v>
      </c>
      <c r="D1640" s="8" t="s">
        <v>2245</v>
      </c>
      <c r="E1640" s="8" t="str">
        <f t="shared" si="161"/>
        <v>VESUBIO/TABACO</v>
      </c>
      <c r="G1640" s="8" t="s">
        <v>2861</v>
      </c>
      <c r="H1640" s="8" t="str">
        <f>VLOOKUP(A1640,[1]BBDD!$B$1:$J$3274,9,FALSE)</f>
        <v>U</v>
      </c>
      <c r="I1640" s="8" t="s">
        <v>2861</v>
      </c>
      <c r="J1640" s="8" t="s">
        <v>2259</v>
      </c>
      <c r="L1640" s="8" t="s">
        <v>431</v>
      </c>
      <c r="N1640" s="8" t="s">
        <v>161</v>
      </c>
      <c r="Q1640" s="8" t="s">
        <v>32</v>
      </c>
      <c r="R1640" s="8">
        <v>4</v>
      </c>
      <c r="S1640" s="8">
        <v>6</v>
      </c>
      <c r="T1640" s="8">
        <f t="shared" si="159"/>
        <v>10</v>
      </c>
      <c r="U1640" s="8">
        <v>0</v>
      </c>
      <c r="V1640" s="8">
        <v>0</v>
      </c>
      <c r="W1640" s="8">
        <v>0</v>
      </c>
      <c r="X1640" s="8">
        <v>2</v>
      </c>
      <c r="Y1640" s="8">
        <v>0</v>
      </c>
      <c r="Z1640" s="8">
        <v>0</v>
      </c>
      <c r="AA1640" s="8">
        <v>92</v>
      </c>
      <c r="AB1640" s="9">
        <f t="shared" si="160"/>
        <v>0.65217391304347827</v>
      </c>
      <c r="AC1640" s="10">
        <f t="shared" si="162"/>
        <v>15.333333333333334</v>
      </c>
      <c r="AD1640" s="8" t="s">
        <v>33</v>
      </c>
      <c r="AE1640" s="11">
        <v>129990</v>
      </c>
      <c r="AF1640" s="11">
        <f t="shared" si="163"/>
        <v>1299900</v>
      </c>
      <c r="AG1640" s="12" t="s">
        <v>64</v>
      </c>
      <c r="AH1640" s="8" t="s">
        <v>35</v>
      </c>
    </row>
    <row r="1641" spans="1:34">
      <c r="A1641" s="8" t="s">
        <v>2262</v>
      </c>
      <c r="B1641" s="16" t="s">
        <v>2860</v>
      </c>
      <c r="C1641" s="8" t="s">
        <v>27</v>
      </c>
      <c r="D1641" s="8" t="s">
        <v>2245</v>
      </c>
      <c r="E1641" s="8" t="str">
        <f t="shared" si="161"/>
        <v>TABACO</v>
      </c>
      <c r="G1641" s="8" t="s">
        <v>2861</v>
      </c>
      <c r="H1641" s="8" t="str">
        <f>VLOOKUP(A1641,[1]BBDD!$B$1:$J$3274,9,FALSE)</f>
        <v>U</v>
      </c>
      <c r="I1641" s="8" t="s">
        <v>2861</v>
      </c>
      <c r="J1641" s="8" t="s">
        <v>2263</v>
      </c>
      <c r="L1641" s="8" t="s">
        <v>61</v>
      </c>
      <c r="N1641" s="8" t="s">
        <v>67</v>
      </c>
      <c r="Q1641" s="8" t="s">
        <v>32</v>
      </c>
      <c r="R1641" s="8">
        <v>1</v>
      </c>
      <c r="S1641" s="8">
        <v>8</v>
      </c>
      <c r="T1641" s="8">
        <f t="shared" si="159"/>
        <v>9</v>
      </c>
      <c r="U1641" s="8">
        <v>0</v>
      </c>
      <c r="V1641" s="8">
        <v>0</v>
      </c>
      <c r="W1641" s="8">
        <v>4</v>
      </c>
      <c r="X1641" s="8">
        <v>2</v>
      </c>
      <c r="Y1641" s="8">
        <v>2</v>
      </c>
      <c r="Z1641" s="8">
        <v>5</v>
      </c>
      <c r="AA1641" s="8">
        <v>110</v>
      </c>
      <c r="AB1641" s="9">
        <f t="shared" si="160"/>
        <v>3.5454545454545454</v>
      </c>
      <c r="AC1641" s="10">
        <f t="shared" si="162"/>
        <v>2.5384615384615383</v>
      </c>
      <c r="AD1641" s="8" t="s">
        <v>33</v>
      </c>
      <c r="AE1641" s="11">
        <v>84990</v>
      </c>
      <c r="AF1641" s="11">
        <f t="shared" si="163"/>
        <v>764910</v>
      </c>
      <c r="AG1641" s="12" t="s">
        <v>34</v>
      </c>
      <c r="AH1641" s="8" t="s">
        <v>35</v>
      </c>
    </row>
    <row r="1642" spans="1:34">
      <c r="A1642" s="8" t="s">
        <v>2264</v>
      </c>
      <c r="B1642" s="16" t="s">
        <v>2860</v>
      </c>
      <c r="C1642" s="8" t="s">
        <v>27</v>
      </c>
      <c r="D1642" s="8" t="s">
        <v>2245</v>
      </c>
      <c r="E1642" s="8" t="str">
        <f t="shared" si="161"/>
        <v>CARAMELO</v>
      </c>
      <c r="G1642" s="8" t="s">
        <v>2861</v>
      </c>
      <c r="H1642" s="8" t="str">
        <f>VLOOKUP(A1642,[1]BBDD!$B$1:$J$3274,9,FALSE)</f>
        <v>U</v>
      </c>
      <c r="I1642" s="8" t="s">
        <v>2861</v>
      </c>
      <c r="J1642" s="8" t="s">
        <v>2263</v>
      </c>
      <c r="L1642" s="8" t="s">
        <v>61</v>
      </c>
      <c r="N1642" s="8" t="s">
        <v>62</v>
      </c>
      <c r="Q1642" s="8" t="s">
        <v>32</v>
      </c>
      <c r="R1642" s="8">
        <v>5</v>
      </c>
      <c r="S1642" s="8">
        <v>9</v>
      </c>
      <c r="T1642" s="8">
        <f t="shared" si="159"/>
        <v>14</v>
      </c>
      <c r="U1642" s="8">
        <v>0</v>
      </c>
      <c r="V1642" s="8">
        <v>0</v>
      </c>
      <c r="W1642" s="8">
        <v>3</v>
      </c>
      <c r="X1642" s="8">
        <v>1</v>
      </c>
      <c r="Y1642" s="8">
        <v>1</v>
      </c>
      <c r="Z1642" s="8">
        <v>0</v>
      </c>
      <c r="AA1642" s="8">
        <v>110</v>
      </c>
      <c r="AB1642" s="9">
        <f t="shared" si="160"/>
        <v>1.3636363636363638</v>
      </c>
      <c r="AC1642" s="10">
        <f t="shared" si="162"/>
        <v>10.266666666666666</v>
      </c>
      <c r="AD1642" s="8" t="s">
        <v>33</v>
      </c>
      <c r="AE1642" s="11">
        <v>84990</v>
      </c>
      <c r="AF1642" s="11">
        <f t="shared" si="163"/>
        <v>1189860</v>
      </c>
      <c r="AG1642" s="12" t="s">
        <v>51</v>
      </c>
      <c r="AH1642" s="8" t="s">
        <v>65</v>
      </c>
    </row>
    <row r="1643" spans="1:34">
      <c r="A1643" s="8" t="s">
        <v>2265</v>
      </c>
      <c r="B1643" s="16" t="s">
        <v>2860</v>
      </c>
      <c r="C1643" s="8" t="s">
        <v>27</v>
      </c>
      <c r="D1643" s="8" t="s">
        <v>2245</v>
      </c>
      <c r="E1643" s="8" t="str">
        <f t="shared" si="161"/>
        <v>NEGRO</v>
      </c>
      <c r="G1643" s="8" t="s">
        <v>2861</v>
      </c>
      <c r="H1643" s="8" t="str">
        <f>VLOOKUP(A1643,[1]BBDD!$B$1:$J$3274,9,FALSE)</f>
        <v>U</v>
      </c>
      <c r="I1643" s="8" t="s">
        <v>2861</v>
      </c>
      <c r="J1643" s="8" t="s">
        <v>2263</v>
      </c>
      <c r="L1643" s="8" t="s">
        <v>61</v>
      </c>
      <c r="N1643" s="8" t="s">
        <v>44</v>
      </c>
      <c r="Q1643" s="8" t="s">
        <v>32</v>
      </c>
      <c r="R1643" s="8">
        <v>2</v>
      </c>
      <c r="S1643" s="8">
        <v>11</v>
      </c>
      <c r="T1643" s="8">
        <f t="shared" si="159"/>
        <v>13</v>
      </c>
      <c r="U1643" s="8">
        <v>0</v>
      </c>
      <c r="V1643" s="8">
        <v>0</v>
      </c>
      <c r="W1643" s="8">
        <v>2</v>
      </c>
      <c r="X1643" s="8">
        <v>0</v>
      </c>
      <c r="Y1643" s="8">
        <v>1</v>
      </c>
      <c r="Z1643" s="8">
        <v>1</v>
      </c>
      <c r="AA1643" s="8">
        <v>110</v>
      </c>
      <c r="AB1643" s="9">
        <f t="shared" si="160"/>
        <v>1.0909090909090908</v>
      </c>
      <c r="AC1643" s="10">
        <f t="shared" si="162"/>
        <v>11.916666666666668</v>
      </c>
      <c r="AD1643" s="8" t="s">
        <v>33</v>
      </c>
      <c r="AE1643" s="11">
        <v>84990</v>
      </c>
      <c r="AF1643" s="11">
        <f t="shared" si="163"/>
        <v>1104870</v>
      </c>
      <c r="AG1643" s="12" t="s">
        <v>51</v>
      </c>
      <c r="AH1643" s="8" t="s">
        <v>65</v>
      </c>
    </row>
    <row r="1644" spans="1:34">
      <c r="A1644" s="8" t="s">
        <v>2266</v>
      </c>
      <c r="B1644" s="16" t="s">
        <v>2860</v>
      </c>
      <c r="C1644" s="8" t="s">
        <v>27</v>
      </c>
      <c r="D1644" s="8" t="s">
        <v>2245</v>
      </c>
      <c r="E1644" s="8" t="str">
        <f t="shared" si="161"/>
        <v>MALBEC</v>
      </c>
      <c r="G1644" s="8" t="s">
        <v>2861</v>
      </c>
      <c r="H1644" s="8" t="str">
        <f>VLOOKUP(A1644,[1]BBDD!$B$1:$J$3274,9,FALSE)</f>
        <v>U</v>
      </c>
      <c r="I1644" s="8" t="s">
        <v>2861</v>
      </c>
      <c r="J1644" s="8" t="s">
        <v>2263</v>
      </c>
      <c r="L1644" s="8" t="s">
        <v>61</v>
      </c>
      <c r="N1644" s="8" t="s">
        <v>69</v>
      </c>
      <c r="Q1644" s="8" t="s">
        <v>32</v>
      </c>
      <c r="R1644" s="8">
        <v>1</v>
      </c>
      <c r="S1644" s="8">
        <v>5</v>
      </c>
      <c r="T1644" s="8">
        <f t="shared" si="159"/>
        <v>6</v>
      </c>
      <c r="U1644" s="8">
        <v>0</v>
      </c>
      <c r="V1644" s="8">
        <v>0</v>
      </c>
      <c r="W1644" s="8">
        <v>0</v>
      </c>
      <c r="X1644" s="8">
        <v>0</v>
      </c>
      <c r="Y1644" s="8">
        <v>1</v>
      </c>
      <c r="Z1644" s="8">
        <v>1</v>
      </c>
      <c r="AA1644" s="8">
        <v>110</v>
      </c>
      <c r="AB1644" s="9">
        <f t="shared" si="160"/>
        <v>0.54545454545454541</v>
      </c>
      <c r="AC1644" s="10">
        <f t="shared" si="162"/>
        <v>11</v>
      </c>
      <c r="AD1644" s="8" t="s">
        <v>33</v>
      </c>
      <c r="AE1644" s="11">
        <v>84990</v>
      </c>
      <c r="AF1644" s="11">
        <f t="shared" si="163"/>
        <v>509940</v>
      </c>
      <c r="AG1644" s="12" t="s">
        <v>51</v>
      </c>
      <c r="AH1644" s="8" t="s">
        <v>35</v>
      </c>
    </row>
    <row r="1645" spans="1:34">
      <c r="A1645" s="8" t="s">
        <v>2267</v>
      </c>
      <c r="B1645" s="16" t="s">
        <v>2860</v>
      </c>
      <c r="C1645" s="8" t="s">
        <v>27</v>
      </c>
      <c r="D1645" s="8" t="s">
        <v>2245</v>
      </c>
      <c r="E1645" s="8" t="str">
        <f t="shared" si="161"/>
        <v>HEREFORD</v>
      </c>
      <c r="G1645" s="8" t="s">
        <v>2861</v>
      </c>
      <c r="H1645" s="8" t="str">
        <f>VLOOKUP(A1645,[1]BBDD!$B$1:$J$3274,9,FALSE)</f>
        <v>U</v>
      </c>
      <c r="I1645" s="8" t="s">
        <v>2861</v>
      </c>
      <c r="J1645" s="8" t="s">
        <v>2263</v>
      </c>
      <c r="L1645" s="8" t="s">
        <v>30</v>
      </c>
      <c r="N1645" s="8" t="s">
        <v>37</v>
      </c>
      <c r="Q1645" s="8" t="s">
        <v>32</v>
      </c>
      <c r="R1645" s="8">
        <v>0</v>
      </c>
      <c r="S1645" s="8">
        <v>2</v>
      </c>
      <c r="T1645" s="8">
        <f t="shared" si="159"/>
        <v>2</v>
      </c>
      <c r="U1645" s="8">
        <v>0</v>
      </c>
      <c r="V1645" s="8">
        <v>0</v>
      </c>
      <c r="W1645" s="8">
        <v>0</v>
      </c>
      <c r="X1645" s="8">
        <v>2</v>
      </c>
      <c r="Y1645" s="8">
        <v>2</v>
      </c>
      <c r="Z1645" s="8">
        <v>0</v>
      </c>
      <c r="AA1645" s="8">
        <v>110</v>
      </c>
      <c r="AB1645" s="9">
        <f t="shared" si="160"/>
        <v>1.0909090909090908</v>
      </c>
      <c r="AC1645" s="10">
        <f t="shared" si="162"/>
        <v>1.8333333333333335</v>
      </c>
      <c r="AD1645" s="8" t="s">
        <v>33</v>
      </c>
      <c r="AE1645" s="11">
        <v>84990</v>
      </c>
      <c r="AF1645" s="11">
        <f t="shared" si="163"/>
        <v>169980</v>
      </c>
      <c r="AG1645" s="12" t="s">
        <v>34</v>
      </c>
      <c r="AH1645" s="8" t="s">
        <v>35</v>
      </c>
    </row>
    <row r="1646" spans="1:34">
      <c r="A1646" s="8" t="s">
        <v>2268</v>
      </c>
      <c r="B1646" s="16" t="s">
        <v>2860</v>
      </c>
      <c r="C1646" s="8" t="s">
        <v>27</v>
      </c>
      <c r="D1646" s="8" t="s">
        <v>2245</v>
      </c>
      <c r="E1646" s="8" t="str">
        <f t="shared" si="161"/>
        <v>HOLANDO</v>
      </c>
      <c r="G1646" s="8" t="s">
        <v>2861</v>
      </c>
      <c r="H1646" s="8" t="str">
        <f>VLOOKUP(A1646,[1]BBDD!$B$1:$J$3274,9,FALSE)</f>
        <v>U</v>
      </c>
      <c r="I1646" s="8" t="s">
        <v>2861</v>
      </c>
      <c r="J1646" s="8" t="s">
        <v>2263</v>
      </c>
      <c r="L1646" s="8" t="s">
        <v>30</v>
      </c>
      <c r="N1646" s="8" t="s">
        <v>31</v>
      </c>
      <c r="Q1646" s="8" t="s">
        <v>32</v>
      </c>
      <c r="R1646" s="8">
        <v>1</v>
      </c>
      <c r="S1646" s="8">
        <v>3</v>
      </c>
      <c r="T1646" s="8">
        <f t="shared" si="159"/>
        <v>4</v>
      </c>
      <c r="U1646" s="8">
        <v>0</v>
      </c>
      <c r="V1646" s="8">
        <v>0</v>
      </c>
      <c r="W1646" s="8">
        <v>0</v>
      </c>
      <c r="X1646" s="8">
        <v>2</v>
      </c>
      <c r="Y1646" s="8">
        <v>1</v>
      </c>
      <c r="Z1646" s="8">
        <v>1</v>
      </c>
      <c r="AA1646" s="8">
        <v>110</v>
      </c>
      <c r="AB1646" s="9">
        <f t="shared" si="160"/>
        <v>1.0909090909090908</v>
      </c>
      <c r="AC1646" s="10">
        <f t="shared" si="162"/>
        <v>3.666666666666667</v>
      </c>
      <c r="AD1646" s="8" t="s">
        <v>33</v>
      </c>
      <c r="AE1646" s="11">
        <v>84990</v>
      </c>
      <c r="AF1646" s="11">
        <f t="shared" si="163"/>
        <v>339960</v>
      </c>
      <c r="AG1646" s="12" t="s">
        <v>34</v>
      </c>
      <c r="AH1646" s="8" t="s">
        <v>35</v>
      </c>
    </row>
    <row r="1647" spans="1:34">
      <c r="A1647" s="8" t="s">
        <v>2269</v>
      </c>
      <c r="B1647" s="16" t="s">
        <v>2860</v>
      </c>
      <c r="C1647" s="8" t="s">
        <v>27</v>
      </c>
      <c r="D1647" s="8" t="s">
        <v>2245</v>
      </c>
      <c r="E1647" s="8" t="str">
        <f t="shared" si="161"/>
        <v>MARRON ROJIZO</v>
      </c>
      <c r="G1647" s="8" t="s">
        <v>2861</v>
      </c>
      <c r="H1647" s="8" t="str">
        <f>VLOOKUP(A1647,[1]BBDD!$B$1:$J$3274,9,FALSE)</f>
        <v>U</v>
      </c>
      <c r="I1647" s="8" t="s">
        <v>2861</v>
      </c>
      <c r="J1647" s="8" t="s">
        <v>2263</v>
      </c>
      <c r="L1647" s="8" t="s">
        <v>30</v>
      </c>
      <c r="N1647" s="8" t="s">
        <v>454</v>
      </c>
      <c r="Q1647" s="8" t="s">
        <v>32</v>
      </c>
      <c r="R1647" s="8">
        <v>0</v>
      </c>
      <c r="S1647" s="8">
        <v>3</v>
      </c>
      <c r="T1647" s="8">
        <f t="shared" si="159"/>
        <v>3</v>
      </c>
      <c r="U1647" s="8">
        <v>0</v>
      </c>
      <c r="V1647" s="8">
        <v>0</v>
      </c>
      <c r="W1647" s="8">
        <v>0</v>
      </c>
      <c r="X1647" s="8">
        <v>2</v>
      </c>
      <c r="Y1647" s="8">
        <v>2</v>
      </c>
      <c r="Z1647" s="8">
        <v>1</v>
      </c>
      <c r="AA1647" s="8">
        <v>110</v>
      </c>
      <c r="AB1647" s="9">
        <f t="shared" si="160"/>
        <v>1.3636363636363638</v>
      </c>
      <c r="AC1647" s="10">
        <f t="shared" si="162"/>
        <v>2.1999999999999997</v>
      </c>
      <c r="AD1647" s="8" t="s">
        <v>33</v>
      </c>
      <c r="AE1647" s="11">
        <v>84990</v>
      </c>
      <c r="AF1647" s="11">
        <f t="shared" si="163"/>
        <v>254970</v>
      </c>
      <c r="AG1647" s="12" t="s">
        <v>34</v>
      </c>
      <c r="AH1647" s="8" t="s">
        <v>35</v>
      </c>
    </row>
    <row r="1648" spans="1:34">
      <c r="A1648" s="8" t="s">
        <v>2270</v>
      </c>
      <c r="B1648" s="16" t="s">
        <v>2859</v>
      </c>
      <c r="C1648" s="8" t="s">
        <v>27</v>
      </c>
      <c r="D1648" s="8" t="s">
        <v>2271</v>
      </c>
      <c r="E1648" s="8" t="str">
        <f t="shared" si="161"/>
        <v>HEREFORD</v>
      </c>
      <c r="G1648" s="8" t="s">
        <v>2861</v>
      </c>
      <c r="H1648" s="8" t="str">
        <f>VLOOKUP(A1648,[1]BBDD!$B$1:$J$3274,9,FALSE)</f>
        <v>U</v>
      </c>
      <c r="I1648" s="8" t="s">
        <v>2861</v>
      </c>
      <c r="J1648" s="8" t="s">
        <v>2272</v>
      </c>
      <c r="L1648" s="8" t="s">
        <v>30</v>
      </c>
      <c r="N1648" s="8" t="s">
        <v>37</v>
      </c>
      <c r="Q1648" s="8" t="s">
        <v>32</v>
      </c>
      <c r="R1648" s="8">
        <v>0</v>
      </c>
      <c r="S1648" s="8">
        <v>16</v>
      </c>
      <c r="T1648" s="8">
        <f t="shared" si="159"/>
        <v>16</v>
      </c>
      <c r="U1648" s="8">
        <v>0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1</v>
      </c>
      <c r="AB1648" s="9">
        <f t="shared" si="160"/>
        <v>0</v>
      </c>
      <c r="AC1648" s="10" t="str">
        <f t="shared" si="162"/>
        <v>sin venta</v>
      </c>
      <c r="AD1648" s="8" t="s">
        <v>33</v>
      </c>
      <c r="AE1648" s="11">
        <v>16990</v>
      </c>
      <c r="AF1648" s="11">
        <f t="shared" si="163"/>
        <v>271840</v>
      </c>
      <c r="AG1648" s="12" t="s">
        <v>73</v>
      </c>
      <c r="AH1648" s="8" t="s">
        <v>65</v>
      </c>
    </row>
    <row r="1649" spans="1:34">
      <c r="A1649" s="8" t="s">
        <v>2273</v>
      </c>
      <c r="B1649" s="16" t="s">
        <v>2859</v>
      </c>
      <c r="C1649" s="8" t="s">
        <v>27</v>
      </c>
      <c r="D1649" s="8" t="s">
        <v>2271</v>
      </c>
      <c r="E1649" s="8" t="str">
        <f t="shared" si="161"/>
        <v>HOLANDO</v>
      </c>
      <c r="G1649" s="8" t="s">
        <v>2861</v>
      </c>
      <c r="H1649" s="8" t="str">
        <f>VLOOKUP(A1649,[1]BBDD!$B$1:$J$3274,9,FALSE)</f>
        <v>U</v>
      </c>
      <c r="I1649" s="8" t="s">
        <v>2861</v>
      </c>
      <c r="J1649" s="8" t="s">
        <v>2272</v>
      </c>
      <c r="L1649" s="8" t="s">
        <v>30</v>
      </c>
      <c r="N1649" s="8" t="s">
        <v>31</v>
      </c>
      <c r="Q1649" s="8" t="s">
        <v>32</v>
      </c>
      <c r="R1649" s="8">
        <v>0</v>
      </c>
      <c r="S1649" s="8">
        <v>16</v>
      </c>
      <c r="T1649" s="8">
        <f t="shared" si="159"/>
        <v>16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1</v>
      </c>
      <c r="AB1649" s="9">
        <f t="shared" si="160"/>
        <v>0</v>
      </c>
      <c r="AC1649" s="10" t="str">
        <f t="shared" si="162"/>
        <v>sin venta</v>
      </c>
      <c r="AD1649" s="8" t="s">
        <v>33</v>
      </c>
      <c r="AE1649" s="11">
        <v>16990</v>
      </c>
      <c r="AF1649" s="11">
        <f t="shared" si="163"/>
        <v>271840</v>
      </c>
      <c r="AG1649" s="12" t="s">
        <v>73</v>
      </c>
      <c r="AH1649" s="8" t="s">
        <v>65</v>
      </c>
    </row>
    <row r="1650" spans="1:34">
      <c r="A1650" s="8" t="s">
        <v>2274</v>
      </c>
      <c r="B1650" s="16" t="s">
        <v>2275</v>
      </c>
      <c r="C1650" s="8" t="s">
        <v>533</v>
      </c>
      <c r="D1650" s="8" t="s">
        <v>2276</v>
      </c>
      <c r="E1650" s="8" t="str">
        <f t="shared" si="161"/>
        <v>NEGRO XL</v>
      </c>
      <c r="H1650" s="8" t="str">
        <f>VLOOKUP(A1650,[1]BBDD!$B$1:$J$3274,9,FALSE)</f>
        <v>H</v>
      </c>
      <c r="I1650" s="8" t="s">
        <v>2863</v>
      </c>
      <c r="J1650" s="8" t="s">
        <v>2277</v>
      </c>
      <c r="L1650" s="8" t="s">
        <v>2278</v>
      </c>
      <c r="N1650" s="8" t="s">
        <v>2279</v>
      </c>
      <c r="O1650" s="20" t="s">
        <v>44</v>
      </c>
      <c r="P1650" s="18" t="s">
        <v>2875</v>
      </c>
      <c r="Q1650" s="8" t="s">
        <v>32</v>
      </c>
      <c r="R1650" s="8">
        <v>66</v>
      </c>
      <c r="S1650" s="8">
        <v>19</v>
      </c>
      <c r="T1650" s="8">
        <f t="shared" ref="T1650:T1669" si="164">SUM(R1650:S1650)</f>
        <v>85</v>
      </c>
      <c r="U1650" s="8">
        <v>1</v>
      </c>
      <c r="V1650" s="8">
        <v>0</v>
      </c>
      <c r="W1650" s="8">
        <v>4</v>
      </c>
      <c r="X1650" s="8">
        <v>1</v>
      </c>
      <c r="Y1650" s="8">
        <v>1</v>
      </c>
      <c r="Z1650" s="8">
        <v>0</v>
      </c>
      <c r="AA1650" s="8">
        <v>180</v>
      </c>
      <c r="AB1650" s="9">
        <f t="shared" ref="AB1650:AB1669" si="165">SUM(U1650:Z1650)/AA1650*30</f>
        <v>1.1666666666666667</v>
      </c>
      <c r="AC1650" s="10">
        <f t="shared" si="162"/>
        <v>72.857142857142847</v>
      </c>
      <c r="AD1650" s="8" t="s">
        <v>33</v>
      </c>
      <c r="AE1650" s="11">
        <v>49990</v>
      </c>
      <c r="AF1650" s="11">
        <f t="shared" si="163"/>
        <v>4249150</v>
      </c>
      <c r="AG1650" s="12" t="s">
        <v>73</v>
      </c>
      <c r="AH1650" s="8" t="s">
        <v>74</v>
      </c>
    </row>
    <row r="1651" spans="1:34">
      <c r="A1651" s="8" t="s">
        <v>2280</v>
      </c>
      <c r="B1651" s="16" t="s">
        <v>2275</v>
      </c>
      <c r="C1651" s="8" t="s">
        <v>533</v>
      </c>
      <c r="D1651" s="8" t="s">
        <v>2276</v>
      </c>
      <c r="E1651" s="8" t="str">
        <f t="shared" si="161"/>
        <v>BLANCO L</v>
      </c>
      <c r="H1651" s="8" t="str">
        <f>VLOOKUP(A1651,[1]BBDD!$B$1:$J$3274,9,FALSE)</f>
        <v>H</v>
      </c>
      <c r="I1651" s="8" t="s">
        <v>2863</v>
      </c>
      <c r="J1651" s="8" t="s">
        <v>2277</v>
      </c>
      <c r="L1651" s="8" t="s">
        <v>2278</v>
      </c>
      <c r="N1651" s="8" t="s">
        <v>635</v>
      </c>
      <c r="O1651" s="20" t="s">
        <v>646</v>
      </c>
      <c r="P1651" s="18" t="s">
        <v>2874</v>
      </c>
      <c r="Q1651" s="8" t="s">
        <v>32</v>
      </c>
      <c r="R1651" s="8">
        <v>55</v>
      </c>
      <c r="S1651" s="8">
        <v>12</v>
      </c>
      <c r="T1651" s="8">
        <f t="shared" si="164"/>
        <v>67</v>
      </c>
      <c r="U1651" s="8">
        <v>3</v>
      </c>
      <c r="V1651" s="8">
        <v>2</v>
      </c>
      <c r="W1651" s="8">
        <v>2</v>
      </c>
      <c r="X1651" s="8">
        <v>4</v>
      </c>
      <c r="Y1651" s="8">
        <v>2</v>
      </c>
      <c r="Z1651" s="8">
        <v>0</v>
      </c>
      <c r="AA1651" s="8">
        <v>180</v>
      </c>
      <c r="AB1651" s="9">
        <f t="shared" si="165"/>
        <v>2.1666666666666665</v>
      </c>
      <c r="AC1651" s="10">
        <f t="shared" si="162"/>
        <v>30.923076923076927</v>
      </c>
      <c r="AD1651" s="8" t="s">
        <v>33</v>
      </c>
      <c r="AE1651" s="11">
        <v>49990</v>
      </c>
      <c r="AF1651" s="11">
        <f t="shared" si="163"/>
        <v>3349330</v>
      </c>
      <c r="AG1651" s="12" t="s">
        <v>73</v>
      </c>
      <c r="AH1651" s="8" t="s">
        <v>74</v>
      </c>
    </row>
    <row r="1652" spans="1:34">
      <c r="A1652" s="8" t="s">
        <v>2281</v>
      </c>
      <c r="B1652" s="16" t="s">
        <v>2275</v>
      </c>
      <c r="C1652" s="8" t="s">
        <v>533</v>
      </c>
      <c r="D1652" s="8" t="s">
        <v>2276</v>
      </c>
      <c r="E1652" s="8" t="str">
        <f t="shared" si="161"/>
        <v>BLANCO M</v>
      </c>
      <c r="H1652" s="8" t="str">
        <f>VLOOKUP(A1652,[1]BBDD!$B$1:$J$3274,9,FALSE)</f>
        <v>H</v>
      </c>
      <c r="I1652" s="8" t="s">
        <v>2863</v>
      </c>
      <c r="J1652" s="8" t="s">
        <v>2277</v>
      </c>
      <c r="L1652" s="8" t="s">
        <v>2278</v>
      </c>
      <c r="N1652" s="8" t="s">
        <v>637</v>
      </c>
      <c r="O1652" s="20" t="s">
        <v>646</v>
      </c>
      <c r="P1652" s="18" t="s">
        <v>2862</v>
      </c>
      <c r="Q1652" s="8" t="s">
        <v>32</v>
      </c>
      <c r="R1652" s="8">
        <v>84</v>
      </c>
      <c r="S1652" s="8">
        <v>15</v>
      </c>
      <c r="T1652" s="8">
        <f t="shared" si="164"/>
        <v>99</v>
      </c>
      <c r="U1652" s="8">
        <v>2</v>
      </c>
      <c r="V1652" s="8">
        <v>3</v>
      </c>
      <c r="W1652" s="8">
        <v>4</v>
      </c>
      <c r="X1652" s="8">
        <v>2</v>
      </c>
      <c r="Y1652" s="8">
        <v>4</v>
      </c>
      <c r="Z1652" s="8">
        <v>4</v>
      </c>
      <c r="AA1652" s="8">
        <v>180</v>
      </c>
      <c r="AB1652" s="9">
        <f t="shared" si="165"/>
        <v>3.1666666666666665</v>
      </c>
      <c r="AC1652" s="10">
        <f t="shared" si="162"/>
        <v>31.263157894736842</v>
      </c>
      <c r="AD1652" s="8" t="s">
        <v>33</v>
      </c>
      <c r="AE1652" s="11">
        <v>49990</v>
      </c>
      <c r="AF1652" s="11">
        <f t="shared" si="163"/>
        <v>4949010</v>
      </c>
      <c r="AG1652" s="12" t="s">
        <v>73</v>
      </c>
      <c r="AH1652" s="8" t="s">
        <v>74</v>
      </c>
    </row>
    <row r="1653" spans="1:34">
      <c r="A1653" s="8" t="s">
        <v>2282</v>
      </c>
      <c r="B1653" s="16" t="s">
        <v>2275</v>
      </c>
      <c r="C1653" s="8" t="s">
        <v>533</v>
      </c>
      <c r="D1653" s="8" t="s">
        <v>2276</v>
      </c>
      <c r="E1653" s="8" t="str">
        <f t="shared" si="161"/>
        <v>BLANCO S</v>
      </c>
      <c r="H1653" s="8" t="str">
        <f>VLOOKUP(A1653,[1]BBDD!$B$1:$J$3274,9,FALSE)</f>
        <v>H</v>
      </c>
      <c r="I1653" s="8" t="s">
        <v>2863</v>
      </c>
      <c r="J1653" s="8" t="s">
        <v>2277</v>
      </c>
      <c r="L1653" s="8" t="s">
        <v>2278</v>
      </c>
      <c r="N1653" s="8" t="s">
        <v>639</v>
      </c>
      <c r="O1653" s="20" t="s">
        <v>646</v>
      </c>
      <c r="P1653" s="18" t="s">
        <v>2873</v>
      </c>
      <c r="Q1653" s="8" t="s">
        <v>32</v>
      </c>
      <c r="R1653" s="8">
        <v>69</v>
      </c>
      <c r="S1653" s="8">
        <v>17</v>
      </c>
      <c r="T1653" s="8">
        <f t="shared" si="164"/>
        <v>86</v>
      </c>
      <c r="U1653" s="8">
        <v>1</v>
      </c>
      <c r="V1653" s="8">
        <v>0</v>
      </c>
      <c r="W1653" s="8">
        <v>6</v>
      </c>
      <c r="X1653" s="8">
        <v>1</v>
      </c>
      <c r="Y1653" s="8">
        <v>0</v>
      </c>
      <c r="Z1653" s="8">
        <v>1</v>
      </c>
      <c r="AA1653" s="8">
        <v>180</v>
      </c>
      <c r="AB1653" s="9">
        <f t="shared" si="165"/>
        <v>1.5</v>
      </c>
      <c r="AC1653" s="10">
        <f t="shared" si="162"/>
        <v>57.333333333333336</v>
      </c>
      <c r="AD1653" s="8" t="s">
        <v>33</v>
      </c>
      <c r="AE1653" s="11">
        <v>49990</v>
      </c>
      <c r="AF1653" s="11">
        <f t="shared" si="163"/>
        <v>4299140</v>
      </c>
      <c r="AG1653" s="12" t="s">
        <v>73</v>
      </c>
      <c r="AH1653" s="8" t="s">
        <v>74</v>
      </c>
    </row>
    <row r="1654" spans="1:34">
      <c r="A1654" s="8" t="s">
        <v>2283</v>
      </c>
      <c r="B1654" s="16" t="s">
        <v>2275</v>
      </c>
      <c r="C1654" s="8" t="s">
        <v>533</v>
      </c>
      <c r="D1654" s="8" t="s">
        <v>2276</v>
      </c>
      <c r="E1654" s="8" t="str">
        <f t="shared" si="161"/>
        <v>BLANCO XL</v>
      </c>
      <c r="H1654" s="8" t="str">
        <f>VLOOKUP(A1654,[1]BBDD!$B$1:$J$3274,9,FALSE)</f>
        <v>H</v>
      </c>
      <c r="I1654" s="8" t="s">
        <v>2863</v>
      </c>
      <c r="J1654" s="8" t="s">
        <v>2277</v>
      </c>
      <c r="L1654" s="8" t="s">
        <v>2278</v>
      </c>
      <c r="N1654" s="8" t="s">
        <v>641</v>
      </c>
      <c r="O1654" s="20" t="s">
        <v>646</v>
      </c>
      <c r="P1654" s="18" t="s">
        <v>2875</v>
      </c>
      <c r="Q1654" s="8" t="s">
        <v>32</v>
      </c>
      <c r="R1654" s="8">
        <v>26</v>
      </c>
      <c r="S1654" s="8">
        <v>16</v>
      </c>
      <c r="T1654" s="8">
        <f t="shared" si="164"/>
        <v>42</v>
      </c>
      <c r="U1654" s="8">
        <v>2</v>
      </c>
      <c r="V1654" s="8">
        <v>1</v>
      </c>
      <c r="W1654" s="8">
        <v>2</v>
      </c>
      <c r="X1654" s="8">
        <v>4</v>
      </c>
      <c r="Y1654" s="8">
        <v>2</v>
      </c>
      <c r="Z1654" s="8">
        <v>0</v>
      </c>
      <c r="AA1654" s="8">
        <v>180</v>
      </c>
      <c r="AB1654" s="9">
        <f t="shared" si="165"/>
        <v>1.8333333333333333</v>
      </c>
      <c r="AC1654" s="10">
        <f t="shared" si="162"/>
        <v>22.90909090909091</v>
      </c>
      <c r="AD1654" s="8" t="s">
        <v>33</v>
      </c>
      <c r="AE1654" s="11">
        <v>49990</v>
      </c>
      <c r="AF1654" s="11">
        <f t="shared" si="163"/>
        <v>2099580</v>
      </c>
      <c r="AG1654" s="12" t="s">
        <v>64</v>
      </c>
      <c r="AH1654" s="8" t="s">
        <v>74</v>
      </c>
    </row>
    <row r="1655" spans="1:34">
      <c r="A1655" s="8" t="s">
        <v>2284</v>
      </c>
      <c r="B1655" s="16" t="s">
        <v>2275</v>
      </c>
      <c r="C1655" s="8" t="s">
        <v>533</v>
      </c>
      <c r="D1655" s="8" t="s">
        <v>2276</v>
      </c>
      <c r="E1655" s="8" t="str">
        <f t="shared" si="161"/>
        <v>CHARCOAL L</v>
      </c>
      <c r="H1655" s="8" t="str">
        <f>VLOOKUP(A1655,[1]BBDD!$B$1:$J$3274,9,FALSE)</f>
        <v>H</v>
      </c>
      <c r="I1655" s="8" t="s">
        <v>2863</v>
      </c>
      <c r="J1655" s="8" t="s">
        <v>2277</v>
      </c>
      <c r="L1655" s="8" t="s">
        <v>2278</v>
      </c>
      <c r="N1655" s="8" t="s">
        <v>2285</v>
      </c>
      <c r="O1655" s="20" t="s">
        <v>2879</v>
      </c>
      <c r="P1655" s="18" t="s">
        <v>2874</v>
      </c>
      <c r="Q1655" s="8" t="s">
        <v>32</v>
      </c>
      <c r="R1655" s="8">
        <v>140</v>
      </c>
      <c r="S1655" s="8">
        <v>23</v>
      </c>
      <c r="T1655" s="8">
        <f t="shared" si="164"/>
        <v>163</v>
      </c>
      <c r="U1655" s="8">
        <v>5</v>
      </c>
      <c r="V1655" s="8">
        <v>1</v>
      </c>
      <c r="W1655" s="8">
        <v>7</v>
      </c>
      <c r="X1655" s="8">
        <v>2</v>
      </c>
      <c r="Y1655" s="8">
        <v>3</v>
      </c>
      <c r="Z1655" s="8">
        <v>4</v>
      </c>
      <c r="AA1655" s="8">
        <v>180</v>
      </c>
      <c r="AB1655" s="9">
        <f t="shared" si="165"/>
        <v>3.6666666666666665</v>
      </c>
      <c r="AC1655" s="10">
        <f t="shared" si="162"/>
        <v>44.454545454545453</v>
      </c>
      <c r="AD1655" s="8" t="s">
        <v>33</v>
      </c>
      <c r="AE1655" s="11">
        <v>49990</v>
      </c>
      <c r="AF1655" s="11">
        <f t="shared" si="163"/>
        <v>8148370</v>
      </c>
      <c r="AG1655" s="12" t="s">
        <v>73</v>
      </c>
      <c r="AH1655" s="8" t="s">
        <v>74</v>
      </c>
    </row>
    <row r="1656" spans="1:34">
      <c r="A1656" s="8" t="s">
        <v>2286</v>
      </c>
      <c r="B1656" s="16" t="s">
        <v>2275</v>
      </c>
      <c r="C1656" s="8" t="s">
        <v>533</v>
      </c>
      <c r="D1656" s="8" t="s">
        <v>2276</v>
      </c>
      <c r="E1656" s="8" t="str">
        <f t="shared" si="161"/>
        <v>CHARCOAL M</v>
      </c>
      <c r="H1656" s="8" t="str">
        <f>VLOOKUP(A1656,[1]BBDD!$B$1:$J$3274,9,FALSE)</f>
        <v>H</v>
      </c>
      <c r="I1656" s="8" t="s">
        <v>2863</v>
      </c>
      <c r="J1656" s="8" t="s">
        <v>2277</v>
      </c>
      <c r="L1656" s="8" t="s">
        <v>2278</v>
      </c>
      <c r="N1656" s="8" t="s">
        <v>2287</v>
      </c>
      <c r="O1656" s="20" t="s">
        <v>2879</v>
      </c>
      <c r="P1656" s="18" t="s">
        <v>2862</v>
      </c>
      <c r="Q1656" s="8" t="s">
        <v>32</v>
      </c>
      <c r="R1656" s="8">
        <v>138</v>
      </c>
      <c r="S1656" s="8">
        <v>15</v>
      </c>
      <c r="T1656" s="8">
        <f t="shared" si="164"/>
        <v>153</v>
      </c>
      <c r="U1656" s="8">
        <v>5</v>
      </c>
      <c r="V1656" s="8">
        <v>3</v>
      </c>
      <c r="W1656" s="8">
        <v>4</v>
      </c>
      <c r="X1656" s="8">
        <v>0</v>
      </c>
      <c r="Y1656" s="8">
        <v>2</v>
      </c>
      <c r="Z1656" s="8">
        <v>0</v>
      </c>
      <c r="AA1656" s="8">
        <v>180</v>
      </c>
      <c r="AB1656" s="9">
        <f t="shared" si="165"/>
        <v>2.3333333333333335</v>
      </c>
      <c r="AC1656" s="10">
        <f t="shared" si="162"/>
        <v>65.571428571428569</v>
      </c>
      <c r="AD1656" s="8" t="s">
        <v>33</v>
      </c>
      <c r="AE1656" s="11">
        <v>49990</v>
      </c>
      <c r="AF1656" s="11">
        <f t="shared" si="163"/>
        <v>7648470</v>
      </c>
      <c r="AG1656" s="12" t="s">
        <v>73</v>
      </c>
      <c r="AH1656" s="8" t="s">
        <v>74</v>
      </c>
    </row>
    <row r="1657" spans="1:34">
      <c r="A1657" s="8" t="s">
        <v>2288</v>
      </c>
      <c r="B1657" s="16" t="s">
        <v>2275</v>
      </c>
      <c r="C1657" s="8" t="s">
        <v>533</v>
      </c>
      <c r="D1657" s="8" t="s">
        <v>2276</v>
      </c>
      <c r="E1657" s="8" t="str">
        <f t="shared" si="161"/>
        <v>CHARCOAL S</v>
      </c>
      <c r="H1657" s="8" t="str">
        <f>VLOOKUP(A1657,[1]BBDD!$B$1:$J$3274,9,FALSE)</f>
        <v>H</v>
      </c>
      <c r="I1657" s="8" t="s">
        <v>2863</v>
      </c>
      <c r="J1657" s="8" t="s">
        <v>2277</v>
      </c>
      <c r="L1657" s="8" t="s">
        <v>2278</v>
      </c>
      <c r="N1657" s="8" t="s">
        <v>2289</v>
      </c>
      <c r="O1657" s="20" t="s">
        <v>2879</v>
      </c>
      <c r="P1657" s="18" t="s">
        <v>2873</v>
      </c>
      <c r="Q1657" s="8" t="s">
        <v>32</v>
      </c>
      <c r="R1657" s="8">
        <v>76</v>
      </c>
      <c r="S1657" s="8">
        <v>13</v>
      </c>
      <c r="T1657" s="8">
        <f t="shared" si="164"/>
        <v>89</v>
      </c>
      <c r="U1657" s="8">
        <v>2</v>
      </c>
      <c r="V1657" s="8">
        <v>2</v>
      </c>
      <c r="W1657" s="8">
        <v>3</v>
      </c>
      <c r="X1657" s="8">
        <v>1</v>
      </c>
      <c r="Y1657" s="8">
        <v>1</v>
      </c>
      <c r="Z1657" s="8">
        <v>0</v>
      </c>
      <c r="AA1657" s="8">
        <v>180</v>
      </c>
      <c r="AB1657" s="9">
        <f t="shared" si="165"/>
        <v>1.5</v>
      </c>
      <c r="AC1657" s="10">
        <f t="shared" si="162"/>
        <v>59.333333333333336</v>
      </c>
      <c r="AD1657" s="8" t="s">
        <v>33</v>
      </c>
      <c r="AE1657" s="11">
        <v>49990</v>
      </c>
      <c r="AF1657" s="11">
        <f t="shared" si="163"/>
        <v>4449110</v>
      </c>
      <c r="AG1657" s="12" t="s">
        <v>73</v>
      </c>
      <c r="AH1657" s="8" t="s">
        <v>74</v>
      </c>
    </row>
    <row r="1658" spans="1:34">
      <c r="A1658" s="8" t="s">
        <v>2290</v>
      </c>
      <c r="B1658" s="16" t="s">
        <v>2275</v>
      </c>
      <c r="C1658" s="8" t="s">
        <v>533</v>
      </c>
      <c r="D1658" s="8" t="s">
        <v>2276</v>
      </c>
      <c r="E1658" s="8" t="str">
        <f t="shared" si="161"/>
        <v>CHARCOAL XL</v>
      </c>
      <c r="H1658" s="8" t="str">
        <f>VLOOKUP(A1658,[1]BBDD!$B$1:$J$3274,9,FALSE)</f>
        <v>H</v>
      </c>
      <c r="I1658" s="8" t="s">
        <v>2863</v>
      </c>
      <c r="J1658" s="8" t="s">
        <v>2277</v>
      </c>
      <c r="L1658" s="8" t="s">
        <v>2278</v>
      </c>
      <c r="N1658" s="8" t="s">
        <v>2291</v>
      </c>
      <c r="O1658" s="20" t="s">
        <v>2879</v>
      </c>
      <c r="P1658" s="18" t="s">
        <v>2875</v>
      </c>
      <c r="Q1658" s="8" t="s">
        <v>32</v>
      </c>
      <c r="R1658" s="8">
        <v>17</v>
      </c>
      <c r="S1658" s="8">
        <v>17</v>
      </c>
      <c r="T1658" s="8">
        <f t="shared" si="164"/>
        <v>34</v>
      </c>
      <c r="U1658" s="8">
        <v>1</v>
      </c>
      <c r="V1658" s="8">
        <v>2</v>
      </c>
      <c r="W1658" s="8">
        <v>3</v>
      </c>
      <c r="X1658" s="8">
        <v>1</v>
      </c>
      <c r="Y1658" s="8">
        <v>2</v>
      </c>
      <c r="Z1658" s="8">
        <v>3</v>
      </c>
      <c r="AA1658" s="8">
        <v>180</v>
      </c>
      <c r="AB1658" s="9">
        <f t="shared" si="165"/>
        <v>2</v>
      </c>
      <c r="AC1658" s="10">
        <f t="shared" si="162"/>
        <v>17</v>
      </c>
      <c r="AD1658" s="8" t="s">
        <v>33</v>
      </c>
      <c r="AE1658" s="11">
        <v>49990</v>
      </c>
      <c r="AF1658" s="11">
        <f t="shared" si="163"/>
        <v>1699660</v>
      </c>
      <c r="AG1658" s="12" t="s">
        <v>64</v>
      </c>
      <c r="AH1658" s="8" t="s">
        <v>74</v>
      </c>
    </row>
    <row r="1659" spans="1:34">
      <c r="A1659" s="8" t="s">
        <v>2292</v>
      </c>
      <c r="B1659" s="16" t="s">
        <v>2275</v>
      </c>
      <c r="C1659" s="8" t="s">
        <v>533</v>
      </c>
      <c r="D1659" s="8" t="s">
        <v>2276</v>
      </c>
      <c r="E1659" s="8" t="str">
        <f t="shared" si="161"/>
        <v>NEGRO L</v>
      </c>
      <c r="H1659" s="8" t="str">
        <f>VLOOKUP(A1659,[1]BBDD!$B$1:$J$3274,9,FALSE)</f>
        <v>H</v>
      </c>
      <c r="I1659" s="8" t="s">
        <v>2863</v>
      </c>
      <c r="J1659" s="8" t="s">
        <v>2277</v>
      </c>
      <c r="L1659" s="8" t="s">
        <v>2278</v>
      </c>
      <c r="N1659" s="8" t="s">
        <v>2293</v>
      </c>
      <c r="O1659" s="20" t="s">
        <v>44</v>
      </c>
      <c r="P1659" s="18" t="s">
        <v>2874</v>
      </c>
      <c r="Q1659" s="8" t="s">
        <v>32</v>
      </c>
      <c r="R1659" s="8">
        <v>107</v>
      </c>
      <c r="S1659" s="8">
        <v>19</v>
      </c>
      <c r="T1659" s="8">
        <f t="shared" si="164"/>
        <v>126</v>
      </c>
      <c r="U1659" s="8">
        <v>4</v>
      </c>
      <c r="V1659" s="8">
        <v>1</v>
      </c>
      <c r="W1659" s="8">
        <v>4</v>
      </c>
      <c r="X1659" s="8">
        <v>0</v>
      </c>
      <c r="Y1659" s="8">
        <v>3</v>
      </c>
      <c r="Z1659" s="8">
        <v>1</v>
      </c>
      <c r="AA1659" s="8">
        <v>180</v>
      </c>
      <c r="AB1659" s="9">
        <f t="shared" si="165"/>
        <v>2.1666666666666665</v>
      </c>
      <c r="AC1659" s="10">
        <f t="shared" si="162"/>
        <v>58.15384615384616</v>
      </c>
      <c r="AD1659" s="8" t="s">
        <v>33</v>
      </c>
      <c r="AE1659" s="11">
        <v>49990</v>
      </c>
      <c r="AF1659" s="11">
        <f t="shared" si="163"/>
        <v>6298740</v>
      </c>
      <c r="AG1659" s="12" t="s">
        <v>73</v>
      </c>
      <c r="AH1659" s="8" t="s">
        <v>74</v>
      </c>
    </row>
    <row r="1660" spans="1:34">
      <c r="A1660" s="8" t="s">
        <v>2294</v>
      </c>
      <c r="B1660" s="16" t="s">
        <v>2275</v>
      </c>
      <c r="C1660" s="8" t="s">
        <v>533</v>
      </c>
      <c r="D1660" s="8" t="s">
        <v>2276</v>
      </c>
      <c r="E1660" s="8" t="str">
        <f t="shared" si="161"/>
        <v>NEGRO M</v>
      </c>
      <c r="H1660" s="8" t="str">
        <f>VLOOKUP(A1660,[1]BBDD!$B$1:$J$3274,9,FALSE)</f>
        <v>H</v>
      </c>
      <c r="I1660" s="8" t="s">
        <v>2863</v>
      </c>
      <c r="J1660" s="8" t="s">
        <v>2277</v>
      </c>
      <c r="L1660" s="8" t="s">
        <v>2278</v>
      </c>
      <c r="N1660" s="8" t="s">
        <v>2295</v>
      </c>
      <c r="O1660" s="20" t="s">
        <v>44</v>
      </c>
      <c r="P1660" s="18" t="s">
        <v>2862</v>
      </c>
      <c r="Q1660" s="8" t="s">
        <v>32</v>
      </c>
      <c r="R1660" s="8">
        <v>110</v>
      </c>
      <c r="S1660" s="8">
        <v>17</v>
      </c>
      <c r="T1660" s="8">
        <f t="shared" si="164"/>
        <v>127</v>
      </c>
      <c r="U1660" s="8">
        <v>3</v>
      </c>
      <c r="V1660" s="8">
        <v>1</v>
      </c>
      <c r="W1660" s="8">
        <v>4</v>
      </c>
      <c r="X1660" s="8">
        <v>1</v>
      </c>
      <c r="Y1660" s="8">
        <v>3</v>
      </c>
      <c r="Z1660" s="8">
        <v>2</v>
      </c>
      <c r="AA1660" s="8">
        <v>180</v>
      </c>
      <c r="AB1660" s="9">
        <f t="shared" si="165"/>
        <v>2.3333333333333335</v>
      </c>
      <c r="AC1660" s="10">
        <f t="shared" si="162"/>
        <v>54.428571428571423</v>
      </c>
      <c r="AD1660" s="8" t="s">
        <v>33</v>
      </c>
      <c r="AE1660" s="11">
        <v>49990</v>
      </c>
      <c r="AF1660" s="11">
        <f t="shared" si="163"/>
        <v>6348730</v>
      </c>
      <c r="AG1660" s="12" t="s">
        <v>73</v>
      </c>
      <c r="AH1660" s="8" t="s">
        <v>74</v>
      </c>
    </row>
    <row r="1661" spans="1:34">
      <c r="A1661" s="8" t="s">
        <v>2296</v>
      </c>
      <c r="B1661" s="16" t="s">
        <v>2275</v>
      </c>
      <c r="C1661" s="8" t="s">
        <v>533</v>
      </c>
      <c r="D1661" s="8" t="s">
        <v>2276</v>
      </c>
      <c r="E1661" s="8" t="str">
        <f t="shared" si="161"/>
        <v>NEGRO S</v>
      </c>
      <c r="H1661" s="8" t="str">
        <f>VLOOKUP(A1661,[1]BBDD!$B$1:$J$3274,9,FALSE)</f>
        <v>H</v>
      </c>
      <c r="I1661" s="8" t="s">
        <v>2863</v>
      </c>
      <c r="J1661" s="8" t="s">
        <v>2277</v>
      </c>
      <c r="L1661" s="8" t="s">
        <v>2278</v>
      </c>
      <c r="N1661" s="8" t="s">
        <v>2297</v>
      </c>
      <c r="O1661" s="20" t="s">
        <v>44</v>
      </c>
      <c r="P1661" s="18" t="s">
        <v>2873</v>
      </c>
      <c r="Q1661" s="8" t="s">
        <v>32</v>
      </c>
      <c r="R1661" s="8">
        <v>81</v>
      </c>
      <c r="S1661" s="8">
        <v>14</v>
      </c>
      <c r="T1661" s="8">
        <f t="shared" si="164"/>
        <v>95</v>
      </c>
      <c r="U1661" s="8">
        <v>2</v>
      </c>
      <c r="V1661" s="8">
        <v>2</v>
      </c>
      <c r="W1661" s="8">
        <v>3</v>
      </c>
      <c r="X1661" s="8">
        <v>0</v>
      </c>
      <c r="Y1661" s="8">
        <v>0</v>
      </c>
      <c r="Z1661" s="8">
        <v>0</v>
      </c>
      <c r="AA1661" s="8">
        <v>180</v>
      </c>
      <c r="AB1661" s="9">
        <f t="shared" si="165"/>
        <v>1.1666666666666667</v>
      </c>
      <c r="AC1661" s="10">
        <f t="shared" si="162"/>
        <v>81.428571428571416</v>
      </c>
      <c r="AD1661" s="8" t="s">
        <v>33</v>
      </c>
      <c r="AE1661" s="11">
        <v>49990</v>
      </c>
      <c r="AF1661" s="11">
        <f t="shared" si="163"/>
        <v>4749050</v>
      </c>
      <c r="AG1661" s="12" t="s">
        <v>73</v>
      </c>
      <c r="AH1661" s="8" t="s">
        <v>74</v>
      </c>
    </row>
    <row r="1662" spans="1:34">
      <c r="A1662" s="8" t="s">
        <v>2298</v>
      </c>
      <c r="B1662" s="16" t="s">
        <v>2275</v>
      </c>
      <c r="C1662" s="8" t="s">
        <v>533</v>
      </c>
      <c r="D1662" s="8" t="s">
        <v>2276</v>
      </c>
      <c r="E1662" s="8" t="str">
        <f t="shared" si="161"/>
        <v>VERDE S</v>
      </c>
      <c r="H1662" s="8" t="str">
        <f>VLOOKUP(A1662,[1]BBDD!$B$1:$J$3274,9,FALSE)</f>
        <v>H</v>
      </c>
      <c r="I1662" s="8" t="s">
        <v>2863</v>
      </c>
      <c r="J1662" s="8" t="s">
        <v>2277</v>
      </c>
      <c r="L1662" s="8" t="s">
        <v>2278</v>
      </c>
      <c r="N1662" s="8" t="s">
        <v>2299</v>
      </c>
      <c r="O1662" s="20" t="s">
        <v>92</v>
      </c>
      <c r="P1662" s="18" t="s">
        <v>2873</v>
      </c>
      <c r="Q1662" s="8" t="s">
        <v>32</v>
      </c>
      <c r="R1662" s="8">
        <v>0</v>
      </c>
      <c r="S1662" s="8">
        <v>6</v>
      </c>
      <c r="T1662" s="8">
        <f t="shared" si="164"/>
        <v>6</v>
      </c>
      <c r="U1662" s="8">
        <v>0</v>
      </c>
      <c r="V1662" s="8">
        <v>0</v>
      </c>
      <c r="W1662" s="8">
        <v>2</v>
      </c>
      <c r="X1662" s="8">
        <v>2</v>
      </c>
      <c r="Y1662" s="8">
        <v>0</v>
      </c>
      <c r="Z1662" s="8">
        <v>0</v>
      </c>
      <c r="AA1662" s="8">
        <v>180</v>
      </c>
      <c r="AB1662" s="9">
        <f t="shared" si="165"/>
        <v>0.66666666666666674</v>
      </c>
      <c r="AC1662" s="10">
        <f t="shared" si="162"/>
        <v>8.9999999999999982</v>
      </c>
      <c r="AD1662" s="8" t="s">
        <v>33</v>
      </c>
      <c r="AE1662" s="11">
        <v>49990</v>
      </c>
      <c r="AF1662" s="11">
        <f t="shared" si="163"/>
        <v>299940</v>
      </c>
      <c r="AG1662" s="12" t="s">
        <v>51</v>
      </c>
      <c r="AH1662" s="8" t="s">
        <v>35</v>
      </c>
    </row>
    <row r="1663" spans="1:34">
      <c r="A1663" s="8" t="s">
        <v>2300</v>
      </c>
      <c r="B1663" s="16" t="s">
        <v>2275</v>
      </c>
      <c r="C1663" s="8" t="s">
        <v>533</v>
      </c>
      <c r="D1663" s="8" t="s">
        <v>2276</v>
      </c>
      <c r="E1663" s="8" t="str">
        <f t="shared" si="161"/>
        <v>VERDE M</v>
      </c>
      <c r="H1663" s="8" t="str">
        <f>VLOOKUP(A1663,[1]BBDD!$B$1:$J$3274,9,FALSE)</f>
        <v>H</v>
      </c>
      <c r="I1663" s="8" t="s">
        <v>2863</v>
      </c>
      <c r="J1663" s="8" t="s">
        <v>2277</v>
      </c>
      <c r="L1663" s="8" t="s">
        <v>2278</v>
      </c>
      <c r="N1663" s="8" t="s">
        <v>2301</v>
      </c>
      <c r="O1663" s="20" t="s">
        <v>92</v>
      </c>
      <c r="P1663" s="18" t="s">
        <v>2862</v>
      </c>
      <c r="Q1663" s="8" t="s">
        <v>32</v>
      </c>
      <c r="R1663" s="8">
        <v>0</v>
      </c>
      <c r="S1663" s="8">
        <v>1</v>
      </c>
      <c r="T1663" s="8">
        <f t="shared" si="164"/>
        <v>1</v>
      </c>
      <c r="U1663" s="8">
        <v>0</v>
      </c>
      <c r="V1663" s="8">
        <v>1</v>
      </c>
      <c r="W1663" s="8">
        <v>5</v>
      </c>
      <c r="X1663" s="8">
        <v>2</v>
      </c>
      <c r="Y1663" s="8">
        <v>1</v>
      </c>
      <c r="Z1663" s="8">
        <v>0</v>
      </c>
      <c r="AA1663" s="8">
        <v>180</v>
      </c>
      <c r="AB1663" s="9">
        <f t="shared" si="165"/>
        <v>1.5</v>
      </c>
      <c r="AC1663" s="10">
        <f t="shared" si="162"/>
        <v>0.66666666666666663</v>
      </c>
      <c r="AD1663" s="8" t="s">
        <v>33</v>
      </c>
      <c r="AE1663" s="11">
        <v>49990</v>
      </c>
      <c r="AF1663" s="11">
        <f t="shared" si="163"/>
        <v>49990</v>
      </c>
      <c r="AG1663" s="12" t="s">
        <v>34</v>
      </c>
      <c r="AH1663" s="8" t="s">
        <v>35</v>
      </c>
    </row>
    <row r="1664" spans="1:34">
      <c r="A1664" s="8" t="s">
        <v>2302</v>
      </c>
      <c r="B1664" s="16" t="s">
        <v>2275</v>
      </c>
      <c r="C1664" s="8" t="s">
        <v>533</v>
      </c>
      <c r="D1664" s="8" t="s">
        <v>2276</v>
      </c>
      <c r="E1664" s="8" t="str">
        <f t="shared" si="161"/>
        <v>VERDE L</v>
      </c>
      <c r="H1664" s="8" t="str">
        <f>VLOOKUP(A1664,[1]BBDD!$B$1:$J$3274,9,FALSE)</f>
        <v>H</v>
      </c>
      <c r="I1664" s="8" t="s">
        <v>2863</v>
      </c>
      <c r="J1664" s="8" t="s">
        <v>2277</v>
      </c>
      <c r="L1664" s="8" t="s">
        <v>2278</v>
      </c>
      <c r="N1664" s="8" t="s">
        <v>2303</v>
      </c>
      <c r="O1664" s="20" t="s">
        <v>92</v>
      </c>
      <c r="P1664" s="18" t="s">
        <v>2874</v>
      </c>
      <c r="Q1664" s="8" t="s">
        <v>32</v>
      </c>
      <c r="R1664" s="8">
        <v>1</v>
      </c>
      <c r="S1664" s="8">
        <v>9</v>
      </c>
      <c r="T1664" s="8">
        <f t="shared" si="164"/>
        <v>10</v>
      </c>
      <c r="U1664" s="8">
        <v>0</v>
      </c>
      <c r="V1664" s="8">
        <v>1</v>
      </c>
      <c r="W1664" s="8">
        <v>2</v>
      </c>
      <c r="X1664" s="8">
        <v>2</v>
      </c>
      <c r="Y1664" s="8">
        <v>0</v>
      </c>
      <c r="Z1664" s="8">
        <v>0</v>
      </c>
      <c r="AA1664" s="8">
        <v>180</v>
      </c>
      <c r="AB1664" s="9">
        <f t="shared" si="165"/>
        <v>0.83333333333333326</v>
      </c>
      <c r="AC1664" s="10">
        <f t="shared" si="162"/>
        <v>12.000000000000002</v>
      </c>
      <c r="AD1664" s="8" t="s">
        <v>33</v>
      </c>
      <c r="AE1664" s="11">
        <v>49990</v>
      </c>
      <c r="AF1664" s="11">
        <f t="shared" si="163"/>
        <v>499900</v>
      </c>
      <c r="AG1664" s="12" t="s">
        <v>51</v>
      </c>
      <c r="AH1664" s="8" t="s">
        <v>35</v>
      </c>
    </row>
    <row r="1665" spans="1:34">
      <c r="A1665" s="8" t="s">
        <v>2304</v>
      </c>
      <c r="B1665" s="16" t="s">
        <v>2275</v>
      </c>
      <c r="C1665" s="8" t="s">
        <v>533</v>
      </c>
      <c r="D1665" s="8" t="s">
        <v>2276</v>
      </c>
      <c r="E1665" s="8" t="str">
        <f t="shared" si="161"/>
        <v>VERDE XL</v>
      </c>
      <c r="H1665" s="8" t="str">
        <f>VLOOKUP(A1665,[1]BBDD!$B$1:$J$3274,9,FALSE)</f>
        <v>H</v>
      </c>
      <c r="I1665" s="8" t="s">
        <v>2863</v>
      </c>
      <c r="J1665" s="8" t="s">
        <v>2277</v>
      </c>
      <c r="L1665" s="8" t="s">
        <v>2278</v>
      </c>
      <c r="N1665" s="8" t="s">
        <v>2305</v>
      </c>
      <c r="O1665" s="20" t="s">
        <v>92</v>
      </c>
      <c r="P1665" s="18" t="s">
        <v>2875</v>
      </c>
      <c r="Q1665" s="8" t="s">
        <v>32</v>
      </c>
      <c r="R1665" s="8">
        <v>0</v>
      </c>
      <c r="S1665" s="8">
        <v>2</v>
      </c>
      <c r="T1665" s="8">
        <f t="shared" si="164"/>
        <v>2</v>
      </c>
      <c r="U1665" s="8">
        <v>0</v>
      </c>
      <c r="V1665" s="8">
        <v>0</v>
      </c>
      <c r="W1665" s="8">
        <v>1</v>
      </c>
      <c r="X1665" s="8">
        <v>0</v>
      </c>
      <c r="Y1665" s="8">
        <v>0</v>
      </c>
      <c r="Z1665" s="8">
        <v>1</v>
      </c>
      <c r="AA1665" s="8">
        <v>180</v>
      </c>
      <c r="AB1665" s="9">
        <f t="shared" si="165"/>
        <v>0.33333333333333337</v>
      </c>
      <c r="AC1665" s="10">
        <f t="shared" si="162"/>
        <v>5.9999999999999991</v>
      </c>
      <c r="AD1665" s="8" t="s">
        <v>33</v>
      </c>
      <c r="AE1665" s="11">
        <v>49990</v>
      </c>
      <c r="AF1665" s="11">
        <f t="shared" si="163"/>
        <v>99980</v>
      </c>
      <c r="AG1665" s="12" t="s">
        <v>34</v>
      </c>
      <c r="AH1665" s="8" t="s">
        <v>35</v>
      </c>
    </row>
    <row r="1666" spans="1:34">
      <c r="A1666" s="8" t="s">
        <v>2306</v>
      </c>
      <c r="B1666" s="16" t="s">
        <v>2275</v>
      </c>
      <c r="C1666" s="8" t="s">
        <v>533</v>
      </c>
      <c r="D1666" s="8" t="s">
        <v>2276</v>
      </c>
      <c r="E1666" s="8" t="str">
        <f t="shared" si="161"/>
        <v>BLANCO XXL</v>
      </c>
      <c r="H1666" s="8" t="str">
        <f>VLOOKUP(A1666,[1]BBDD!$B$1:$J$3274,9,FALSE)</f>
        <v>H</v>
      </c>
      <c r="I1666" s="8" t="s">
        <v>2863</v>
      </c>
      <c r="J1666" s="8" t="s">
        <v>2277</v>
      </c>
      <c r="L1666" s="8" t="s">
        <v>2278</v>
      </c>
      <c r="N1666" s="8" t="s">
        <v>643</v>
      </c>
      <c r="O1666" s="20" t="s">
        <v>646</v>
      </c>
      <c r="P1666" s="18" t="s">
        <v>2876</v>
      </c>
      <c r="Q1666" s="8" t="s">
        <v>45</v>
      </c>
      <c r="R1666" s="8">
        <v>12</v>
      </c>
      <c r="S1666" s="8">
        <v>12</v>
      </c>
      <c r="T1666" s="8">
        <f t="shared" si="164"/>
        <v>24</v>
      </c>
      <c r="U1666" s="8">
        <v>1</v>
      </c>
      <c r="V1666" s="8">
        <v>0</v>
      </c>
      <c r="W1666" s="8">
        <v>1</v>
      </c>
      <c r="X1666" s="8">
        <v>1</v>
      </c>
      <c r="Y1666" s="8">
        <v>0</v>
      </c>
      <c r="Z1666" s="8">
        <v>1</v>
      </c>
      <c r="AA1666" s="8">
        <v>180</v>
      </c>
      <c r="AB1666" s="9">
        <f t="shared" si="165"/>
        <v>0.66666666666666674</v>
      </c>
      <c r="AC1666" s="10">
        <f t="shared" si="162"/>
        <v>35.999999999999993</v>
      </c>
      <c r="AD1666" s="8" t="s">
        <v>109</v>
      </c>
      <c r="AE1666" s="11">
        <v>49990</v>
      </c>
      <c r="AF1666" s="11">
        <f t="shared" si="163"/>
        <v>1199760</v>
      </c>
      <c r="AG1666" s="12" t="s">
        <v>73</v>
      </c>
      <c r="AH1666" s="8" t="s">
        <v>74</v>
      </c>
    </row>
    <row r="1667" spans="1:34">
      <c r="A1667" s="8" t="s">
        <v>2307</v>
      </c>
      <c r="B1667" s="16" t="s">
        <v>2275</v>
      </c>
      <c r="C1667" s="8" t="s">
        <v>533</v>
      </c>
      <c r="D1667" s="8" t="s">
        <v>2276</v>
      </c>
      <c r="E1667" s="8" t="str">
        <f t="shared" ref="E1667:E1730" si="166">TRIM(N1667)</f>
        <v>CHARCOAL XXL</v>
      </c>
      <c r="H1667" s="8" t="str">
        <f>VLOOKUP(A1667,[1]BBDD!$B$1:$J$3274,9,FALSE)</f>
        <v>H</v>
      </c>
      <c r="I1667" s="8" t="s">
        <v>2863</v>
      </c>
      <c r="J1667" s="8" t="s">
        <v>2277</v>
      </c>
      <c r="L1667" s="8" t="s">
        <v>2278</v>
      </c>
      <c r="N1667" s="8" t="s">
        <v>2308</v>
      </c>
      <c r="O1667" s="20" t="s">
        <v>2879</v>
      </c>
      <c r="P1667" s="18" t="s">
        <v>2876</v>
      </c>
      <c r="Q1667" s="8" t="s">
        <v>45</v>
      </c>
      <c r="R1667" s="8">
        <v>84</v>
      </c>
      <c r="S1667" s="8">
        <v>10</v>
      </c>
      <c r="T1667" s="8">
        <f t="shared" si="164"/>
        <v>94</v>
      </c>
      <c r="U1667" s="8">
        <v>1</v>
      </c>
      <c r="V1667" s="8">
        <v>0</v>
      </c>
      <c r="W1667" s="8">
        <v>2</v>
      </c>
      <c r="X1667" s="8">
        <v>0</v>
      </c>
      <c r="Y1667" s="8">
        <v>0</v>
      </c>
      <c r="Z1667" s="8">
        <v>1</v>
      </c>
      <c r="AA1667" s="8">
        <v>180</v>
      </c>
      <c r="AB1667" s="9">
        <f t="shared" si="165"/>
        <v>0.66666666666666674</v>
      </c>
      <c r="AC1667" s="10">
        <f t="shared" ref="AC1667:AC1730" si="167">IFERROR(T1667/AB1667,"sin venta")</f>
        <v>140.99999999999997</v>
      </c>
      <c r="AD1667" s="8" t="s">
        <v>109</v>
      </c>
      <c r="AE1667" s="11">
        <v>49990</v>
      </c>
      <c r="AF1667" s="11">
        <f t="shared" ref="AF1667:AF1730" si="168">IFERROR(AE1667*T1667,0)</f>
        <v>4699060</v>
      </c>
      <c r="AG1667" s="12" t="s">
        <v>73</v>
      </c>
      <c r="AH1667" s="8" t="s">
        <v>74</v>
      </c>
    </row>
    <row r="1668" spans="1:34">
      <c r="A1668" s="8" t="s">
        <v>2309</v>
      </c>
      <c r="B1668" s="16" t="s">
        <v>2275</v>
      </c>
      <c r="C1668" s="8" t="s">
        <v>533</v>
      </c>
      <c r="D1668" s="8" t="s">
        <v>2276</v>
      </c>
      <c r="E1668" s="8" t="str">
        <f t="shared" si="166"/>
        <v>NEGRO XXL</v>
      </c>
      <c r="H1668" s="8" t="str">
        <f>VLOOKUP(A1668,[1]BBDD!$B$1:$J$3274,9,FALSE)</f>
        <v>H</v>
      </c>
      <c r="I1668" s="8" t="s">
        <v>2863</v>
      </c>
      <c r="J1668" s="8" t="s">
        <v>2277</v>
      </c>
      <c r="L1668" s="8" t="s">
        <v>2278</v>
      </c>
      <c r="N1668" s="8" t="s">
        <v>2310</v>
      </c>
      <c r="O1668" s="20" t="s">
        <v>44</v>
      </c>
      <c r="P1668" s="18" t="s">
        <v>2876</v>
      </c>
      <c r="Q1668" s="8" t="s">
        <v>45</v>
      </c>
      <c r="R1668" s="8">
        <v>22</v>
      </c>
      <c r="S1668" s="8">
        <v>14</v>
      </c>
      <c r="T1668" s="8">
        <f t="shared" si="164"/>
        <v>36</v>
      </c>
      <c r="U1668" s="8">
        <v>5</v>
      </c>
      <c r="V1668" s="8">
        <v>0</v>
      </c>
      <c r="W1668" s="8">
        <v>1</v>
      </c>
      <c r="X1668" s="8">
        <v>1</v>
      </c>
      <c r="Y1668" s="8">
        <v>1</v>
      </c>
      <c r="Z1668" s="8">
        <v>1</v>
      </c>
      <c r="AA1668" s="8">
        <v>180</v>
      </c>
      <c r="AB1668" s="9">
        <f t="shared" si="165"/>
        <v>1.5</v>
      </c>
      <c r="AC1668" s="10">
        <f t="shared" si="167"/>
        <v>24</v>
      </c>
      <c r="AD1668" s="8" t="s">
        <v>109</v>
      </c>
      <c r="AE1668" s="11">
        <v>49990</v>
      </c>
      <c r="AF1668" s="11">
        <f t="shared" si="168"/>
        <v>1799640</v>
      </c>
      <c r="AG1668" s="12" t="s">
        <v>64</v>
      </c>
      <c r="AH1668" s="8" t="s">
        <v>74</v>
      </c>
    </row>
    <row r="1669" spans="1:34">
      <c r="A1669" s="8" t="s">
        <v>2311</v>
      </c>
      <c r="B1669" s="16" t="s">
        <v>2275</v>
      </c>
      <c r="C1669" s="8" t="s">
        <v>533</v>
      </c>
      <c r="D1669" s="8" t="s">
        <v>2276</v>
      </c>
      <c r="E1669" s="8" t="str">
        <f t="shared" si="166"/>
        <v>VERDE XXL</v>
      </c>
      <c r="H1669" s="8" t="str">
        <f>VLOOKUP(A1669,[1]BBDD!$B$1:$J$3274,9,FALSE)</f>
        <v>H</v>
      </c>
      <c r="I1669" s="8" t="s">
        <v>2863</v>
      </c>
      <c r="J1669" s="8" t="s">
        <v>2277</v>
      </c>
      <c r="L1669" s="8" t="s">
        <v>2278</v>
      </c>
      <c r="N1669" s="8" t="s">
        <v>2312</v>
      </c>
      <c r="O1669" s="20" t="s">
        <v>92</v>
      </c>
      <c r="P1669" s="18" t="s">
        <v>2876</v>
      </c>
      <c r="Q1669" s="8" t="s">
        <v>45</v>
      </c>
      <c r="R1669" s="8">
        <v>0</v>
      </c>
      <c r="S1669" s="8">
        <v>4</v>
      </c>
      <c r="T1669" s="8">
        <f t="shared" si="164"/>
        <v>4</v>
      </c>
      <c r="U1669" s="8">
        <v>0</v>
      </c>
      <c r="V1669" s="8">
        <v>0</v>
      </c>
      <c r="W1669" s="8">
        <v>2</v>
      </c>
      <c r="X1669" s="8">
        <v>3</v>
      </c>
      <c r="Y1669" s="8">
        <v>0</v>
      </c>
      <c r="Z1669" s="8">
        <v>1</v>
      </c>
      <c r="AA1669" s="8">
        <v>180</v>
      </c>
      <c r="AB1669" s="9">
        <f t="shared" si="165"/>
        <v>1</v>
      </c>
      <c r="AC1669" s="10">
        <f t="shared" si="167"/>
        <v>4</v>
      </c>
      <c r="AD1669" s="8" t="s">
        <v>109</v>
      </c>
      <c r="AE1669" s="11">
        <v>49990</v>
      </c>
      <c r="AF1669" s="11">
        <f t="shared" si="168"/>
        <v>199960</v>
      </c>
      <c r="AG1669" s="12" t="s">
        <v>34</v>
      </c>
      <c r="AH1669" s="8" t="s">
        <v>35</v>
      </c>
    </row>
    <row r="1670" spans="1:34">
      <c r="A1670" s="8" t="s">
        <v>2313</v>
      </c>
      <c r="B1670" s="16" t="s">
        <v>2275</v>
      </c>
      <c r="C1670" s="8" t="s">
        <v>533</v>
      </c>
      <c r="D1670" s="8" t="s">
        <v>2276</v>
      </c>
      <c r="E1670" s="8" t="str">
        <f t="shared" si="166"/>
        <v>BLANCO L</v>
      </c>
      <c r="H1670" s="8" t="str">
        <f>VLOOKUP(A1670,[1]BBDD!$B$1:$J$3274,9,FALSE)</f>
        <v>M</v>
      </c>
      <c r="I1670" s="8" t="s">
        <v>2862</v>
      </c>
      <c r="J1670" s="8" t="s">
        <v>2314</v>
      </c>
      <c r="L1670" s="8" t="s">
        <v>2278</v>
      </c>
      <c r="N1670" s="8" t="s">
        <v>635</v>
      </c>
      <c r="O1670" s="20" t="s">
        <v>646</v>
      </c>
      <c r="P1670" s="18" t="s">
        <v>2874</v>
      </c>
      <c r="Q1670" s="8" t="s">
        <v>32</v>
      </c>
      <c r="R1670" s="8">
        <v>28</v>
      </c>
      <c r="S1670" s="8">
        <v>8</v>
      </c>
      <c r="T1670" s="8">
        <f t="shared" ref="T1670:T1724" si="169">SUM(R1670:S1670)</f>
        <v>36</v>
      </c>
      <c r="U1670" s="8">
        <v>0</v>
      </c>
      <c r="V1670" s="8">
        <v>1</v>
      </c>
      <c r="W1670" s="8">
        <v>0</v>
      </c>
      <c r="X1670" s="8">
        <v>1</v>
      </c>
      <c r="Y1670" s="8">
        <v>1</v>
      </c>
      <c r="Z1670" s="8">
        <v>2</v>
      </c>
      <c r="AA1670" s="8">
        <v>180</v>
      </c>
      <c r="AB1670" s="9">
        <f t="shared" ref="AB1670:AB1724" si="170">SUM(U1670:Z1670)/AA1670*30</f>
        <v>0.83333333333333326</v>
      </c>
      <c r="AC1670" s="10">
        <f t="shared" si="167"/>
        <v>43.2</v>
      </c>
      <c r="AD1670" s="8" t="s">
        <v>33</v>
      </c>
      <c r="AE1670" s="11">
        <v>49990</v>
      </c>
      <c r="AF1670" s="11">
        <f t="shared" si="168"/>
        <v>1799640</v>
      </c>
      <c r="AG1670" s="12" t="s">
        <v>73</v>
      </c>
      <c r="AH1670" s="8" t="s">
        <v>74</v>
      </c>
    </row>
    <row r="1671" spans="1:34">
      <c r="A1671" s="8" t="s">
        <v>2315</v>
      </c>
      <c r="B1671" s="16" t="s">
        <v>2275</v>
      </c>
      <c r="C1671" s="8" t="s">
        <v>533</v>
      </c>
      <c r="D1671" s="8" t="s">
        <v>2276</v>
      </c>
      <c r="E1671" s="8" t="str">
        <f t="shared" si="166"/>
        <v>BLANCO M</v>
      </c>
      <c r="H1671" s="8" t="str">
        <f>VLOOKUP(A1671,[1]BBDD!$B$1:$J$3274,9,FALSE)</f>
        <v>M</v>
      </c>
      <c r="I1671" s="8" t="s">
        <v>2862</v>
      </c>
      <c r="J1671" s="8" t="s">
        <v>2314</v>
      </c>
      <c r="L1671" s="8" t="s">
        <v>2278</v>
      </c>
      <c r="N1671" s="8" t="s">
        <v>637</v>
      </c>
      <c r="O1671" s="20" t="s">
        <v>646</v>
      </c>
      <c r="P1671" s="18" t="s">
        <v>2862</v>
      </c>
      <c r="Q1671" s="8" t="s">
        <v>32</v>
      </c>
      <c r="R1671" s="8">
        <v>110</v>
      </c>
      <c r="S1671" s="8">
        <v>10</v>
      </c>
      <c r="T1671" s="8">
        <f t="shared" si="169"/>
        <v>120</v>
      </c>
      <c r="U1671" s="8">
        <v>1</v>
      </c>
      <c r="V1671" s="8">
        <v>2</v>
      </c>
      <c r="W1671" s="8">
        <v>1</v>
      </c>
      <c r="X1671" s="8">
        <v>1</v>
      </c>
      <c r="Y1671" s="8">
        <v>0</v>
      </c>
      <c r="Z1671" s="8">
        <v>1</v>
      </c>
      <c r="AA1671" s="8">
        <v>180</v>
      </c>
      <c r="AB1671" s="9">
        <f t="shared" si="170"/>
        <v>1</v>
      </c>
      <c r="AC1671" s="10">
        <f t="shared" si="167"/>
        <v>120</v>
      </c>
      <c r="AD1671" s="8" t="s">
        <v>33</v>
      </c>
      <c r="AE1671" s="11">
        <v>49990</v>
      </c>
      <c r="AF1671" s="11">
        <f t="shared" si="168"/>
        <v>5998800</v>
      </c>
      <c r="AG1671" s="12" t="s">
        <v>73</v>
      </c>
      <c r="AH1671" s="8" t="s">
        <v>74</v>
      </c>
    </row>
    <row r="1672" spans="1:34">
      <c r="A1672" s="8" t="s">
        <v>2316</v>
      </c>
      <c r="B1672" s="16" t="s">
        <v>2275</v>
      </c>
      <c r="C1672" s="8" t="s">
        <v>533</v>
      </c>
      <c r="D1672" s="8" t="s">
        <v>2276</v>
      </c>
      <c r="E1672" s="8" t="str">
        <f t="shared" si="166"/>
        <v>BLANCO S</v>
      </c>
      <c r="H1672" s="8" t="str">
        <f>VLOOKUP(A1672,[1]BBDD!$B$1:$J$3274,9,FALSE)</f>
        <v>M</v>
      </c>
      <c r="I1672" s="8" t="s">
        <v>2862</v>
      </c>
      <c r="J1672" s="8" t="s">
        <v>2314</v>
      </c>
      <c r="L1672" s="8" t="s">
        <v>2278</v>
      </c>
      <c r="N1672" s="8" t="s">
        <v>639</v>
      </c>
      <c r="O1672" s="20" t="s">
        <v>646</v>
      </c>
      <c r="P1672" s="18" t="s">
        <v>2873</v>
      </c>
      <c r="Q1672" s="8" t="s">
        <v>32</v>
      </c>
      <c r="R1672" s="8">
        <v>117</v>
      </c>
      <c r="S1672" s="8">
        <v>13</v>
      </c>
      <c r="T1672" s="8">
        <f t="shared" si="169"/>
        <v>130</v>
      </c>
      <c r="U1672" s="8">
        <v>0</v>
      </c>
      <c r="V1672" s="8">
        <v>0</v>
      </c>
      <c r="W1672" s="8">
        <v>1</v>
      </c>
      <c r="X1672" s="8">
        <v>0</v>
      </c>
      <c r="Y1672" s="8">
        <v>0</v>
      </c>
      <c r="Z1672" s="8">
        <v>0</v>
      </c>
      <c r="AA1672" s="8">
        <v>180</v>
      </c>
      <c r="AB1672" s="9">
        <f t="shared" si="170"/>
        <v>0.16666666666666669</v>
      </c>
      <c r="AC1672" s="10">
        <f t="shared" si="167"/>
        <v>779.99999999999989</v>
      </c>
      <c r="AD1672" s="8" t="s">
        <v>33</v>
      </c>
      <c r="AE1672" s="11">
        <v>49990</v>
      </c>
      <c r="AF1672" s="11">
        <f t="shared" si="168"/>
        <v>6498700</v>
      </c>
      <c r="AG1672" s="12" t="s">
        <v>73</v>
      </c>
      <c r="AH1672" s="8" t="s">
        <v>74</v>
      </c>
    </row>
    <row r="1673" spans="1:34">
      <c r="A1673" s="8" t="s">
        <v>2317</v>
      </c>
      <c r="B1673" s="16" t="s">
        <v>2275</v>
      </c>
      <c r="C1673" s="8" t="s">
        <v>533</v>
      </c>
      <c r="D1673" s="8" t="s">
        <v>2276</v>
      </c>
      <c r="E1673" s="8" t="str">
        <f t="shared" si="166"/>
        <v>BLANCO XL</v>
      </c>
      <c r="H1673" s="8" t="str">
        <f>VLOOKUP(A1673,[1]BBDD!$B$1:$J$3274,9,FALSE)</f>
        <v>M</v>
      </c>
      <c r="I1673" s="8" t="s">
        <v>2862</v>
      </c>
      <c r="J1673" s="8" t="s">
        <v>2314</v>
      </c>
      <c r="L1673" s="8" t="s">
        <v>2278</v>
      </c>
      <c r="N1673" s="8" t="s">
        <v>641</v>
      </c>
      <c r="O1673" s="20" t="s">
        <v>646</v>
      </c>
      <c r="P1673" s="18" t="s">
        <v>2875</v>
      </c>
      <c r="Q1673" s="8" t="s">
        <v>32</v>
      </c>
      <c r="R1673" s="8">
        <v>26</v>
      </c>
      <c r="S1673" s="8">
        <v>12</v>
      </c>
      <c r="T1673" s="8">
        <f t="shared" si="169"/>
        <v>38</v>
      </c>
      <c r="U1673" s="8">
        <v>0</v>
      </c>
      <c r="V1673" s="8">
        <v>0</v>
      </c>
      <c r="W1673" s="8">
        <v>2</v>
      </c>
      <c r="X1673" s="8">
        <v>2</v>
      </c>
      <c r="Y1673" s="8">
        <v>2</v>
      </c>
      <c r="Z1673" s="8">
        <v>0</v>
      </c>
      <c r="AA1673" s="8">
        <v>180</v>
      </c>
      <c r="AB1673" s="9">
        <f t="shared" si="170"/>
        <v>1</v>
      </c>
      <c r="AC1673" s="10">
        <f t="shared" si="167"/>
        <v>38</v>
      </c>
      <c r="AD1673" s="8" t="s">
        <v>33</v>
      </c>
      <c r="AE1673" s="11">
        <v>49990</v>
      </c>
      <c r="AF1673" s="11">
        <f t="shared" si="168"/>
        <v>1899620</v>
      </c>
      <c r="AG1673" s="12" t="s">
        <v>73</v>
      </c>
      <c r="AH1673" s="8" t="s">
        <v>74</v>
      </c>
    </row>
    <row r="1674" spans="1:34">
      <c r="A1674" s="8" t="s">
        <v>2318</v>
      </c>
      <c r="B1674" s="16" t="s">
        <v>2275</v>
      </c>
      <c r="C1674" s="8" t="s">
        <v>533</v>
      </c>
      <c r="D1674" s="8" t="s">
        <v>2276</v>
      </c>
      <c r="E1674" s="8" t="str">
        <f t="shared" si="166"/>
        <v>BLANCO XS</v>
      </c>
      <c r="H1674" s="8" t="str">
        <f>VLOOKUP(A1674,[1]BBDD!$B$1:$J$3274,9,FALSE)</f>
        <v>M</v>
      </c>
      <c r="I1674" s="8" t="s">
        <v>2862</v>
      </c>
      <c r="J1674" s="8" t="s">
        <v>2314</v>
      </c>
      <c r="L1674" s="8" t="s">
        <v>2278</v>
      </c>
      <c r="N1674" s="8" t="s">
        <v>2319</v>
      </c>
      <c r="O1674" s="20" t="s">
        <v>646</v>
      </c>
      <c r="P1674" s="18" t="s">
        <v>2878</v>
      </c>
      <c r="Q1674" s="8" t="s">
        <v>32</v>
      </c>
      <c r="R1674" s="8">
        <v>30</v>
      </c>
      <c r="S1674" s="8">
        <v>10</v>
      </c>
      <c r="T1674" s="8">
        <f t="shared" si="169"/>
        <v>40</v>
      </c>
      <c r="U1674" s="8">
        <v>0</v>
      </c>
      <c r="V1674" s="8">
        <v>2</v>
      </c>
      <c r="W1674" s="8">
        <v>0</v>
      </c>
      <c r="X1674" s="8">
        <v>1</v>
      </c>
      <c r="Y1674" s="8">
        <v>0</v>
      </c>
      <c r="Z1674" s="8">
        <v>0</v>
      </c>
      <c r="AA1674" s="8">
        <v>180</v>
      </c>
      <c r="AB1674" s="9">
        <f t="shared" si="170"/>
        <v>0.5</v>
      </c>
      <c r="AC1674" s="10">
        <f t="shared" si="167"/>
        <v>80</v>
      </c>
      <c r="AD1674" s="8" t="s">
        <v>33</v>
      </c>
      <c r="AE1674" s="11">
        <v>49990</v>
      </c>
      <c r="AF1674" s="11">
        <f t="shared" si="168"/>
        <v>1999600</v>
      </c>
      <c r="AG1674" s="12" t="s">
        <v>73</v>
      </c>
      <c r="AH1674" s="8" t="s">
        <v>74</v>
      </c>
    </row>
    <row r="1675" spans="1:34">
      <c r="A1675" s="8" t="s">
        <v>2320</v>
      </c>
      <c r="B1675" s="16" t="s">
        <v>2275</v>
      </c>
      <c r="C1675" s="8" t="s">
        <v>533</v>
      </c>
      <c r="D1675" s="8" t="s">
        <v>2276</v>
      </c>
      <c r="E1675" s="8" t="str">
        <f t="shared" si="166"/>
        <v>CHARCOAL L</v>
      </c>
      <c r="H1675" s="8" t="str">
        <f>VLOOKUP(A1675,[1]BBDD!$B$1:$J$3274,9,FALSE)</f>
        <v>M</v>
      </c>
      <c r="I1675" s="8" t="s">
        <v>2862</v>
      </c>
      <c r="J1675" s="8" t="s">
        <v>2314</v>
      </c>
      <c r="L1675" s="8" t="s">
        <v>2278</v>
      </c>
      <c r="N1675" s="8" t="s">
        <v>2285</v>
      </c>
      <c r="O1675" s="20" t="s">
        <v>2879</v>
      </c>
      <c r="P1675" s="18" t="s">
        <v>2874</v>
      </c>
      <c r="Q1675" s="8" t="s">
        <v>32</v>
      </c>
      <c r="R1675" s="8">
        <v>37</v>
      </c>
      <c r="S1675" s="8">
        <v>4</v>
      </c>
      <c r="T1675" s="8">
        <f t="shared" si="169"/>
        <v>41</v>
      </c>
      <c r="U1675" s="8">
        <v>0</v>
      </c>
      <c r="V1675" s="8">
        <v>1</v>
      </c>
      <c r="W1675" s="8">
        <v>1</v>
      </c>
      <c r="X1675" s="8">
        <v>0</v>
      </c>
      <c r="Y1675" s="8">
        <v>0</v>
      </c>
      <c r="Z1675" s="8">
        <v>0</v>
      </c>
      <c r="AA1675" s="8">
        <v>180</v>
      </c>
      <c r="AB1675" s="9">
        <f t="shared" si="170"/>
        <v>0.33333333333333337</v>
      </c>
      <c r="AC1675" s="10">
        <f t="shared" si="167"/>
        <v>122.99999999999999</v>
      </c>
      <c r="AD1675" s="8" t="s">
        <v>33</v>
      </c>
      <c r="AE1675" s="11">
        <v>49990</v>
      </c>
      <c r="AF1675" s="11">
        <f t="shared" si="168"/>
        <v>2049590</v>
      </c>
      <c r="AG1675" s="12" t="s">
        <v>73</v>
      </c>
      <c r="AH1675" s="8" t="s">
        <v>74</v>
      </c>
    </row>
    <row r="1676" spans="1:34">
      <c r="A1676" s="8" t="s">
        <v>2321</v>
      </c>
      <c r="B1676" s="16" t="s">
        <v>2275</v>
      </c>
      <c r="C1676" s="8" t="s">
        <v>533</v>
      </c>
      <c r="D1676" s="8" t="s">
        <v>2276</v>
      </c>
      <c r="E1676" s="8" t="str">
        <f t="shared" si="166"/>
        <v>CHARCOAL M</v>
      </c>
      <c r="H1676" s="8" t="str">
        <f>VLOOKUP(A1676,[1]BBDD!$B$1:$J$3274,9,FALSE)</f>
        <v>M</v>
      </c>
      <c r="I1676" s="8" t="s">
        <v>2862</v>
      </c>
      <c r="J1676" s="8" t="s">
        <v>2314</v>
      </c>
      <c r="L1676" s="8" t="s">
        <v>2278</v>
      </c>
      <c r="N1676" s="8" t="s">
        <v>2287</v>
      </c>
      <c r="O1676" s="20" t="s">
        <v>2879</v>
      </c>
      <c r="P1676" s="18" t="s">
        <v>2862</v>
      </c>
      <c r="Q1676" s="8" t="s">
        <v>32</v>
      </c>
      <c r="R1676" s="8">
        <v>4</v>
      </c>
      <c r="S1676" s="8">
        <v>11</v>
      </c>
      <c r="T1676" s="8">
        <f t="shared" si="169"/>
        <v>15</v>
      </c>
      <c r="U1676" s="8">
        <v>2</v>
      </c>
      <c r="V1676" s="8">
        <v>1</v>
      </c>
      <c r="W1676" s="8">
        <v>2</v>
      </c>
      <c r="X1676" s="8">
        <v>0</v>
      </c>
      <c r="Y1676" s="8">
        <v>0</v>
      </c>
      <c r="Z1676" s="8">
        <v>1</v>
      </c>
      <c r="AA1676" s="8">
        <v>180</v>
      </c>
      <c r="AB1676" s="9">
        <f t="shared" si="170"/>
        <v>1</v>
      </c>
      <c r="AC1676" s="10">
        <f t="shared" si="167"/>
        <v>15</v>
      </c>
      <c r="AD1676" s="8" t="s">
        <v>33</v>
      </c>
      <c r="AE1676" s="11">
        <v>49990</v>
      </c>
      <c r="AF1676" s="11">
        <f t="shared" si="168"/>
        <v>749850</v>
      </c>
      <c r="AG1676" s="12" t="s">
        <v>64</v>
      </c>
      <c r="AH1676" s="8" t="s">
        <v>65</v>
      </c>
    </row>
    <row r="1677" spans="1:34">
      <c r="A1677" s="8" t="s">
        <v>2322</v>
      </c>
      <c r="B1677" s="16" t="s">
        <v>2275</v>
      </c>
      <c r="C1677" s="8" t="s">
        <v>533</v>
      </c>
      <c r="D1677" s="8" t="s">
        <v>2276</v>
      </c>
      <c r="E1677" s="8" t="str">
        <f t="shared" si="166"/>
        <v>CHARCOAL S</v>
      </c>
      <c r="H1677" s="8" t="str">
        <f>VLOOKUP(A1677,[1]BBDD!$B$1:$J$3274,9,FALSE)</f>
        <v>M</v>
      </c>
      <c r="I1677" s="8" t="s">
        <v>2862</v>
      </c>
      <c r="J1677" s="8" t="s">
        <v>2314</v>
      </c>
      <c r="L1677" s="8" t="s">
        <v>2278</v>
      </c>
      <c r="N1677" s="8" t="s">
        <v>2289</v>
      </c>
      <c r="O1677" s="20" t="s">
        <v>2879</v>
      </c>
      <c r="P1677" s="18" t="s">
        <v>2873</v>
      </c>
      <c r="Q1677" s="8" t="s">
        <v>32</v>
      </c>
      <c r="R1677" s="8">
        <v>70</v>
      </c>
      <c r="S1677" s="8">
        <v>8</v>
      </c>
      <c r="T1677" s="8">
        <f t="shared" si="169"/>
        <v>78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180</v>
      </c>
      <c r="AB1677" s="9">
        <f t="shared" si="170"/>
        <v>0</v>
      </c>
      <c r="AC1677" s="10" t="str">
        <f t="shared" si="167"/>
        <v>sin venta</v>
      </c>
      <c r="AD1677" s="8" t="s">
        <v>33</v>
      </c>
      <c r="AE1677" s="11">
        <v>49990</v>
      </c>
      <c r="AF1677" s="11">
        <f t="shared" si="168"/>
        <v>3899220</v>
      </c>
      <c r="AG1677" s="12" t="s">
        <v>73</v>
      </c>
      <c r="AH1677" s="8" t="s">
        <v>74</v>
      </c>
    </row>
    <row r="1678" spans="1:34">
      <c r="A1678" s="8" t="s">
        <v>2323</v>
      </c>
      <c r="B1678" s="16" t="s">
        <v>2275</v>
      </c>
      <c r="C1678" s="8" t="s">
        <v>533</v>
      </c>
      <c r="D1678" s="8" t="s">
        <v>2276</v>
      </c>
      <c r="E1678" s="8" t="str">
        <f t="shared" si="166"/>
        <v>CHARCOAL XL</v>
      </c>
      <c r="H1678" s="8" t="str">
        <f>VLOOKUP(A1678,[1]BBDD!$B$1:$J$3274,9,FALSE)</f>
        <v>M</v>
      </c>
      <c r="I1678" s="8" t="s">
        <v>2862</v>
      </c>
      <c r="J1678" s="8" t="s">
        <v>2314</v>
      </c>
      <c r="L1678" s="8" t="s">
        <v>2278</v>
      </c>
      <c r="N1678" s="8" t="s">
        <v>2291</v>
      </c>
      <c r="O1678" s="20" t="s">
        <v>2879</v>
      </c>
      <c r="P1678" s="18" t="s">
        <v>2875</v>
      </c>
      <c r="Q1678" s="8" t="s">
        <v>32</v>
      </c>
      <c r="R1678" s="8">
        <v>4</v>
      </c>
      <c r="S1678" s="8">
        <v>3</v>
      </c>
      <c r="T1678" s="8">
        <f t="shared" si="169"/>
        <v>7</v>
      </c>
      <c r="U1678" s="8">
        <v>0</v>
      </c>
      <c r="V1678" s="8">
        <v>1</v>
      </c>
      <c r="W1678" s="8">
        <v>0</v>
      </c>
      <c r="X1678" s="8">
        <v>0</v>
      </c>
      <c r="Y1678" s="8">
        <v>0</v>
      </c>
      <c r="Z1678" s="8">
        <v>0</v>
      </c>
      <c r="AA1678" s="8">
        <v>180</v>
      </c>
      <c r="AB1678" s="9">
        <f t="shared" si="170"/>
        <v>0.16666666666666669</v>
      </c>
      <c r="AC1678" s="10">
        <f t="shared" si="167"/>
        <v>41.999999999999993</v>
      </c>
      <c r="AD1678" s="8" t="s">
        <v>33</v>
      </c>
      <c r="AE1678" s="11">
        <v>49990</v>
      </c>
      <c r="AF1678" s="11">
        <f t="shared" si="168"/>
        <v>349930</v>
      </c>
      <c r="AG1678" s="12" t="s">
        <v>73</v>
      </c>
      <c r="AH1678" s="8" t="s">
        <v>35</v>
      </c>
    </row>
    <row r="1679" spans="1:34">
      <c r="A1679" s="8" t="s">
        <v>2324</v>
      </c>
      <c r="B1679" s="16" t="s">
        <v>2275</v>
      </c>
      <c r="C1679" s="8" t="s">
        <v>533</v>
      </c>
      <c r="D1679" s="8" t="s">
        <v>2276</v>
      </c>
      <c r="E1679" s="8" t="str">
        <f t="shared" si="166"/>
        <v>CHARCOAL XS</v>
      </c>
      <c r="H1679" s="8" t="str">
        <f>VLOOKUP(A1679,[1]BBDD!$B$1:$J$3274,9,FALSE)</f>
        <v>M</v>
      </c>
      <c r="I1679" s="8" t="s">
        <v>2862</v>
      </c>
      <c r="J1679" s="8" t="s">
        <v>2314</v>
      </c>
      <c r="L1679" s="8" t="s">
        <v>2278</v>
      </c>
      <c r="N1679" s="8" t="s">
        <v>2325</v>
      </c>
      <c r="O1679" s="20" t="s">
        <v>2879</v>
      </c>
      <c r="P1679" s="18" t="s">
        <v>2878</v>
      </c>
      <c r="Q1679" s="8" t="s">
        <v>32</v>
      </c>
      <c r="R1679" s="8">
        <v>1</v>
      </c>
      <c r="S1679" s="8">
        <v>6</v>
      </c>
      <c r="T1679" s="8">
        <f t="shared" si="169"/>
        <v>7</v>
      </c>
      <c r="U1679" s="8">
        <v>0</v>
      </c>
      <c r="V1679" s="8">
        <v>0</v>
      </c>
      <c r="W1679" s="8">
        <v>1</v>
      </c>
      <c r="X1679" s="8">
        <v>1</v>
      </c>
      <c r="Y1679" s="8">
        <v>0</v>
      </c>
      <c r="Z1679" s="8">
        <v>0</v>
      </c>
      <c r="AA1679" s="8">
        <v>180</v>
      </c>
      <c r="AB1679" s="9">
        <f t="shared" si="170"/>
        <v>0.33333333333333337</v>
      </c>
      <c r="AC1679" s="10">
        <f t="shared" si="167"/>
        <v>20.999999999999996</v>
      </c>
      <c r="AD1679" s="8" t="s">
        <v>33</v>
      </c>
      <c r="AE1679" s="11">
        <v>49990</v>
      </c>
      <c r="AF1679" s="11">
        <f t="shared" si="168"/>
        <v>349930</v>
      </c>
      <c r="AG1679" s="12" t="s">
        <v>64</v>
      </c>
      <c r="AH1679" s="8" t="s">
        <v>35</v>
      </c>
    </row>
    <row r="1680" spans="1:34">
      <c r="A1680" s="8" t="s">
        <v>2326</v>
      </c>
      <c r="B1680" s="16" t="s">
        <v>2275</v>
      </c>
      <c r="C1680" s="8" t="s">
        <v>533</v>
      </c>
      <c r="D1680" s="8" t="s">
        <v>2276</v>
      </c>
      <c r="E1680" s="8" t="str">
        <f t="shared" si="166"/>
        <v>NEGRO L</v>
      </c>
      <c r="H1680" s="8" t="str">
        <f>VLOOKUP(A1680,[1]BBDD!$B$1:$J$3274,9,FALSE)</f>
        <v>M</v>
      </c>
      <c r="I1680" s="8" t="s">
        <v>2862</v>
      </c>
      <c r="J1680" s="8" t="s">
        <v>2314</v>
      </c>
      <c r="L1680" s="8" t="s">
        <v>2278</v>
      </c>
      <c r="N1680" s="8" t="s">
        <v>2293</v>
      </c>
      <c r="O1680" s="20" t="s">
        <v>44</v>
      </c>
      <c r="P1680" s="18" t="s">
        <v>2874</v>
      </c>
      <c r="Q1680" s="8" t="s">
        <v>32</v>
      </c>
      <c r="R1680" s="8">
        <v>20</v>
      </c>
      <c r="S1680" s="8">
        <v>10</v>
      </c>
      <c r="T1680" s="8">
        <f t="shared" si="169"/>
        <v>30</v>
      </c>
      <c r="U1680" s="8">
        <v>0</v>
      </c>
      <c r="V1680" s="8">
        <v>0</v>
      </c>
      <c r="W1680" s="8">
        <v>1</v>
      </c>
      <c r="X1680" s="8">
        <v>0</v>
      </c>
      <c r="Y1680" s="8">
        <v>0</v>
      </c>
      <c r="Z1680" s="8">
        <v>0</v>
      </c>
      <c r="AA1680" s="8">
        <v>180</v>
      </c>
      <c r="AB1680" s="9">
        <f t="shared" si="170"/>
        <v>0.16666666666666669</v>
      </c>
      <c r="AC1680" s="10">
        <f t="shared" si="167"/>
        <v>179.99999999999997</v>
      </c>
      <c r="AD1680" s="8" t="s">
        <v>33</v>
      </c>
      <c r="AE1680" s="11">
        <v>49990</v>
      </c>
      <c r="AF1680" s="11">
        <f t="shared" si="168"/>
        <v>1499700</v>
      </c>
      <c r="AG1680" s="12" t="s">
        <v>73</v>
      </c>
      <c r="AH1680" s="8" t="s">
        <v>74</v>
      </c>
    </row>
    <row r="1681" spans="1:34">
      <c r="A1681" s="8" t="s">
        <v>2327</v>
      </c>
      <c r="B1681" s="16" t="s">
        <v>2275</v>
      </c>
      <c r="C1681" s="8" t="s">
        <v>533</v>
      </c>
      <c r="D1681" s="8" t="s">
        <v>2276</v>
      </c>
      <c r="E1681" s="8" t="str">
        <f t="shared" si="166"/>
        <v>NEGRO M</v>
      </c>
      <c r="H1681" s="8" t="str">
        <f>VLOOKUP(A1681,[1]BBDD!$B$1:$J$3274,9,FALSE)</f>
        <v>M</v>
      </c>
      <c r="I1681" s="8" t="s">
        <v>2862</v>
      </c>
      <c r="J1681" s="8" t="s">
        <v>2314</v>
      </c>
      <c r="L1681" s="8" t="s">
        <v>2278</v>
      </c>
      <c r="N1681" s="8" t="s">
        <v>2295</v>
      </c>
      <c r="O1681" s="20" t="s">
        <v>44</v>
      </c>
      <c r="P1681" s="18" t="s">
        <v>2862</v>
      </c>
      <c r="Q1681" s="8" t="s">
        <v>32</v>
      </c>
      <c r="R1681" s="8">
        <v>87</v>
      </c>
      <c r="S1681" s="8">
        <v>9</v>
      </c>
      <c r="T1681" s="8">
        <f t="shared" si="169"/>
        <v>96</v>
      </c>
      <c r="U1681" s="8">
        <v>0</v>
      </c>
      <c r="V1681" s="8">
        <v>0</v>
      </c>
      <c r="W1681" s="8">
        <v>0</v>
      </c>
      <c r="X1681" s="8">
        <v>1</v>
      </c>
      <c r="Y1681" s="8">
        <v>1</v>
      </c>
      <c r="Z1681" s="8">
        <v>1</v>
      </c>
      <c r="AA1681" s="8">
        <v>180</v>
      </c>
      <c r="AB1681" s="9">
        <f t="shared" si="170"/>
        <v>0.5</v>
      </c>
      <c r="AC1681" s="10">
        <f t="shared" si="167"/>
        <v>192</v>
      </c>
      <c r="AD1681" s="8" t="s">
        <v>33</v>
      </c>
      <c r="AE1681" s="11">
        <v>49990</v>
      </c>
      <c r="AF1681" s="11">
        <f t="shared" si="168"/>
        <v>4799040</v>
      </c>
      <c r="AG1681" s="12" t="s">
        <v>73</v>
      </c>
      <c r="AH1681" s="8" t="s">
        <v>74</v>
      </c>
    </row>
    <row r="1682" spans="1:34">
      <c r="A1682" s="8" t="s">
        <v>2328</v>
      </c>
      <c r="B1682" s="16" t="s">
        <v>2275</v>
      </c>
      <c r="C1682" s="8" t="s">
        <v>533</v>
      </c>
      <c r="D1682" s="8" t="s">
        <v>2276</v>
      </c>
      <c r="E1682" s="8" t="str">
        <f t="shared" si="166"/>
        <v>NEGRO S</v>
      </c>
      <c r="H1682" s="8" t="str">
        <f>VLOOKUP(A1682,[1]BBDD!$B$1:$J$3274,9,FALSE)</f>
        <v>M</v>
      </c>
      <c r="I1682" s="8" t="s">
        <v>2862</v>
      </c>
      <c r="J1682" s="8" t="s">
        <v>2314</v>
      </c>
      <c r="L1682" s="8" t="s">
        <v>2278</v>
      </c>
      <c r="N1682" s="8" t="s">
        <v>2297</v>
      </c>
      <c r="O1682" s="20" t="s">
        <v>44</v>
      </c>
      <c r="P1682" s="18" t="s">
        <v>2873</v>
      </c>
      <c r="Q1682" s="8" t="s">
        <v>32</v>
      </c>
      <c r="R1682" s="8">
        <v>88</v>
      </c>
      <c r="S1682" s="8">
        <v>10</v>
      </c>
      <c r="T1682" s="8">
        <f t="shared" si="169"/>
        <v>98</v>
      </c>
      <c r="U1682" s="8">
        <v>0</v>
      </c>
      <c r="V1682" s="8">
        <v>0</v>
      </c>
      <c r="W1682" s="8">
        <v>1</v>
      </c>
      <c r="X1682" s="8">
        <v>0</v>
      </c>
      <c r="Y1682" s="8">
        <v>0</v>
      </c>
      <c r="Z1682" s="8">
        <v>0</v>
      </c>
      <c r="AA1682" s="8">
        <v>180</v>
      </c>
      <c r="AB1682" s="9">
        <f t="shared" si="170"/>
        <v>0.16666666666666669</v>
      </c>
      <c r="AC1682" s="10">
        <f t="shared" si="167"/>
        <v>587.99999999999989</v>
      </c>
      <c r="AD1682" s="8" t="s">
        <v>33</v>
      </c>
      <c r="AE1682" s="11">
        <v>49990</v>
      </c>
      <c r="AF1682" s="11">
        <f t="shared" si="168"/>
        <v>4899020</v>
      </c>
      <c r="AG1682" s="12" t="s">
        <v>73</v>
      </c>
      <c r="AH1682" s="8" t="s">
        <v>74</v>
      </c>
    </row>
    <row r="1683" spans="1:34">
      <c r="A1683" s="8" t="s">
        <v>2329</v>
      </c>
      <c r="B1683" s="16" t="s">
        <v>2275</v>
      </c>
      <c r="C1683" s="8" t="s">
        <v>533</v>
      </c>
      <c r="D1683" s="8" t="s">
        <v>2276</v>
      </c>
      <c r="E1683" s="8" t="str">
        <f t="shared" si="166"/>
        <v>NEGRO XL</v>
      </c>
      <c r="H1683" s="8" t="str">
        <f>VLOOKUP(A1683,[1]BBDD!$B$1:$J$3274,9,FALSE)</f>
        <v>M</v>
      </c>
      <c r="I1683" s="8" t="s">
        <v>2862</v>
      </c>
      <c r="J1683" s="8" t="s">
        <v>2314</v>
      </c>
      <c r="L1683" s="8" t="s">
        <v>2278</v>
      </c>
      <c r="N1683" s="8" t="s">
        <v>2279</v>
      </c>
      <c r="O1683" s="20" t="s">
        <v>44</v>
      </c>
      <c r="P1683" s="18" t="s">
        <v>2875</v>
      </c>
      <c r="Q1683" s="8" t="s">
        <v>32</v>
      </c>
      <c r="R1683" s="8">
        <v>20</v>
      </c>
      <c r="S1683" s="8">
        <v>9</v>
      </c>
      <c r="T1683" s="8">
        <f t="shared" si="169"/>
        <v>29</v>
      </c>
      <c r="U1683" s="8">
        <v>0</v>
      </c>
      <c r="V1683" s="8">
        <v>1</v>
      </c>
      <c r="W1683" s="8">
        <v>0</v>
      </c>
      <c r="X1683" s="8">
        <v>0</v>
      </c>
      <c r="Y1683" s="8">
        <v>0</v>
      </c>
      <c r="Z1683" s="8">
        <v>1</v>
      </c>
      <c r="AA1683" s="8">
        <v>180</v>
      </c>
      <c r="AB1683" s="9">
        <f t="shared" si="170"/>
        <v>0.33333333333333337</v>
      </c>
      <c r="AC1683" s="10">
        <f t="shared" si="167"/>
        <v>86.999999999999986</v>
      </c>
      <c r="AD1683" s="8" t="s">
        <v>33</v>
      </c>
      <c r="AE1683" s="11">
        <v>49990</v>
      </c>
      <c r="AF1683" s="11">
        <f t="shared" si="168"/>
        <v>1449710</v>
      </c>
      <c r="AG1683" s="12" t="s">
        <v>73</v>
      </c>
      <c r="AH1683" s="8" t="s">
        <v>74</v>
      </c>
    </row>
    <row r="1684" spans="1:34">
      <c r="A1684" s="8" t="s">
        <v>2330</v>
      </c>
      <c r="B1684" s="16" t="s">
        <v>2275</v>
      </c>
      <c r="C1684" s="8" t="s">
        <v>533</v>
      </c>
      <c r="D1684" s="8" t="s">
        <v>2276</v>
      </c>
      <c r="E1684" s="8" t="str">
        <f t="shared" si="166"/>
        <v>NEGRO XS</v>
      </c>
      <c r="H1684" s="8" t="str">
        <f>VLOOKUP(A1684,[1]BBDD!$B$1:$J$3274,9,FALSE)</f>
        <v>M</v>
      </c>
      <c r="I1684" s="8" t="s">
        <v>2862</v>
      </c>
      <c r="J1684" s="8" t="s">
        <v>2314</v>
      </c>
      <c r="L1684" s="8" t="s">
        <v>2278</v>
      </c>
      <c r="N1684" s="8" t="s">
        <v>2331</v>
      </c>
      <c r="O1684" s="20" t="s">
        <v>44</v>
      </c>
      <c r="P1684" s="18" t="s">
        <v>2878</v>
      </c>
      <c r="Q1684" s="8" t="s">
        <v>32</v>
      </c>
      <c r="R1684" s="8">
        <v>13</v>
      </c>
      <c r="S1684" s="8">
        <v>11</v>
      </c>
      <c r="T1684" s="8">
        <f t="shared" si="169"/>
        <v>24</v>
      </c>
      <c r="U1684" s="8">
        <v>0</v>
      </c>
      <c r="V1684" s="8">
        <v>0</v>
      </c>
      <c r="W1684" s="8">
        <v>0</v>
      </c>
      <c r="X1684" s="8">
        <v>1</v>
      </c>
      <c r="Y1684" s="8">
        <v>0</v>
      </c>
      <c r="Z1684" s="8">
        <v>0</v>
      </c>
      <c r="AA1684" s="8">
        <v>180</v>
      </c>
      <c r="AB1684" s="9">
        <f t="shared" si="170"/>
        <v>0.16666666666666669</v>
      </c>
      <c r="AC1684" s="10">
        <f t="shared" si="167"/>
        <v>143.99999999999997</v>
      </c>
      <c r="AD1684" s="8" t="s">
        <v>33</v>
      </c>
      <c r="AE1684" s="11">
        <v>49990</v>
      </c>
      <c r="AF1684" s="11">
        <f t="shared" si="168"/>
        <v>1199760</v>
      </c>
      <c r="AG1684" s="12" t="s">
        <v>73</v>
      </c>
      <c r="AH1684" s="8" t="s">
        <v>74</v>
      </c>
    </row>
    <row r="1685" spans="1:34">
      <c r="A1685" s="8" t="s">
        <v>2332</v>
      </c>
      <c r="B1685" s="16" t="s">
        <v>2275</v>
      </c>
      <c r="C1685" s="8" t="s">
        <v>533</v>
      </c>
      <c r="D1685" s="8" t="s">
        <v>2276</v>
      </c>
      <c r="E1685" s="8" t="str">
        <f t="shared" si="166"/>
        <v>HUESO L</v>
      </c>
      <c r="H1685" s="8" t="str">
        <f>VLOOKUP(A1685,[1]BBDD!$B$1:$J$3274,9,FALSE)</f>
        <v>M</v>
      </c>
      <c r="I1685" s="8" t="s">
        <v>2862</v>
      </c>
      <c r="J1685" s="8" t="s">
        <v>2314</v>
      </c>
      <c r="L1685" s="8" t="s">
        <v>2278</v>
      </c>
      <c r="N1685" s="8" t="s">
        <v>2333</v>
      </c>
      <c r="O1685" s="20" t="s">
        <v>2880</v>
      </c>
      <c r="P1685" s="18" t="s">
        <v>2874</v>
      </c>
      <c r="Q1685" s="8" t="s">
        <v>45</v>
      </c>
      <c r="R1685" s="8">
        <v>6</v>
      </c>
      <c r="S1685" s="8">
        <v>10</v>
      </c>
      <c r="T1685" s="8">
        <f t="shared" si="169"/>
        <v>16</v>
      </c>
      <c r="U1685" s="8">
        <v>1</v>
      </c>
      <c r="V1685" s="8">
        <v>0</v>
      </c>
      <c r="W1685" s="8">
        <v>1</v>
      </c>
      <c r="X1685" s="8">
        <v>1</v>
      </c>
      <c r="Y1685" s="8">
        <v>1</v>
      </c>
      <c r="Z1685" s="8">
        <v>0</v>
      </c>
      <c r="AA1685" s="8">
        <v>180</v>
      </c>
      <c r="AB1685" s="9">
        <f t="shared" si="170"/>
        <v>0.66666666666666674</v>
      </c>
      <c r="AC1685" s="10">
        <f t="shared" si="167"/>
        <v>23.999999999999996</v>
      </c>
      <c r="AD1685" s="8" t="s">
        <v>109</v>
      </c>
      <c r="AE1685" s="11">
        <v>49990</v>
      </c>
      <c r="AF1685" s="11">
        <f t="shared" si="168"/>
        <v>799840</v>
      </c>
      <c r="AG1685" s="12" t="s">
        <v>64</v>
      </c>
      <c r="AH1685" s="8" t="s">
        <v>65</v>
      </c>
    </row>
    <row r="1686" spans="1:34">
      <c r="A1686" s="8" t="s">
        <v>2334</v>
      </c>
      <c r="B1686" s="16" t="s">
        <v>2275</v>
      </c>
      <c r="C1686" s="8" t="s">
        <v>533</v>
      </c>
      <c r="D1686" s="8" t="s">
        <v>2276</v>
      </c>
      <c r="E1686" s="8" t="str">
        <f t="shared" si="166"/>
        <v>HUESO M</v>
      </c>
      <c r="H1686" s="8" t="str">
        <f>VLOOKUP(A1686,[1]BBDD!$B$1:$J$3274,9,FALSE)</f>
        <v>M</v>
      </c>
      <c r="I1686" s="8" t="s">
        <v>2862</v>
      </c>
      <c r="J1686" s="8" t="s">
        <v>2314</v>
      </c>
      <c r="L1686" s="8" t="s">
        <v>2278</v>
      </c>
      <c r="N1686" s="8" t="s">
        <v>2335</v>
      </c>
      <c r="O1686" s="20" t="s">
        <v>2880</v>
      </c>
      <c r="P1686" s="18" t="s">
        <v>2862</v>
      </c>
      <c r="Q1686" s="8" t="s">
        <v>45</v>
      </c>
      <c r="R1686" s="8">
        <v>42</v>
      </c>
      <c r="S1686" s="8">
        <v>14</v>
      </c>
      <c r="T1686" s="8">
        <f t="shared" si="169"/>
        <v>56</v>
      </c>
      <c r="U1686" s="8">
        <v>0</v>
      </c>
      <c r="V1686" s="8">
        <v>2</v>
      </c>
      <c r="W1686" s="8">
        <v>3</v>
      </c>
      <c r="X1686" s="8">
        <v>0</v>
      </c>
      <c r="Y1686" s="8">
        <v>1</v>
      </c>
      <c r="Z1686" s="8">
        <v>1</v>
      </c>
      <c r="AA1686" s="8">
        <v>180</v>
      </c>
      <c r="AB1686" s="9">
        <f t="shared" si="170"/>
        <v>1.1666666666666667</v>
      </c>
      <c r="AC1686" s="10">
        <f t="shared" si="167"/>
        <v>48</v>
      </c>
      <c r="AD1686" s="8" t="s">
        <v>109</v>
      </c>
      <c r="AE1686" s="11">
        <v>49990</v>
      </c>
      <c r="AF1686" s="11">
        <f t="shared" si="168"/>
        <v>2799440</v>
      </c>
      <c r="AG1686" s="12" t="s">
        <v>73</v>
      </c>
      <c r="AH1686" s="8" t="s">
        <v>74</v>
      </c>
    </row>
    <row r="1687" spans="1:34">
      <c r="A1687" s="8" t="s">
        <v>2336</v>
      </c>
      <c r="B1687" s="16" t="s">
        <v>2275</v>
      </c>
      <c r="C1687" s="8" t="s">
        <v>533</v>
      </c>
      <c r="D1687" s="8" t="s">
        <v>2276</v>
      </c>
      <c r="E1687" s="8" t="str">
        <f t="shared" si="166"/>
        <v>HUESO S</v>
      </c>
      <c r="H1687" s="8" t="str">
        <f>VLOOKUP(A1687,[1]BBDD!$B$1:$J$3274,9,FALSE)</f>
        <v>M</v>
      </c>
      <c r="I1687" s="8" t="s">
        <v>2862</v>
      </c>
      <c r="J1687" s="8" t="s">
        <v>2314</v>
      </c>
      <c r="L1687" s="8" t="s">
        <v>2278</v>
      </c>
      <c r="N1687" s="8" t="s">
        <v>2337</v>
      </c>
      <c r="O1687" s="20" t="s">
        <v>2880</v>
      </c>
      <c r="P1687" s="18" t="s">
        <v>2873</v>
      </c>
      <c r="Q1687" s="8" t="s">
        <v>45</v>
      </c>
      <c r="R1687" s="8">
        <v>51</v>
      </c>
      <c r="S1687" s="8">
        <v>8</v>
      </c>
      <c r="T1687" s="8">
        <f t="shared" si="169"/>
        <v>59</v>
      </c>
      <c r="U1687" s="8">
        <v>1</v>
      </c>
      <c r="V1687" s="8">
        <v>1</v>
      </c>
      <c r="W1687" s="8">
        <v>1</v>
      </c>
      <c r="X1687" s="8">
        <v>0</v>
      </c>
      <c r="Y1687" s="8">
        <v>0</v>
      </c>
      <c r="Z1687" s="8">
        <v>1</v>
      </c>
      <c r="AA1687" s="8">
        <v>180</v>
      </c>
      <c r="AB1687" s="9">
        <f t="shared" si="170"/>
        <v>0.66666666666666674</v>
      </c>
      <c r="AC1687" s="10">
        <f t="shared" si="167"/>
        <v>88.499999999999986</v>
      </c>
      <c r="AD1687" s="8" t="s">
        <v>109</v>
      </c>
      <c r="AE1687" s="11">
        <v>49990</v>
      </c>
      <c r="AF1687" s="11">
        <f t="shared" si="168"/>
        <v>2949410</v>
      </c>
      <c r="AG1687" s="12" t="s">
        <v>73</v>
      </c>
      <c r="AH1687" s="8" t="s">
        <v>74</v>
      </c>
    </row>
    <row r="1688" spans="1:34">
      <c r="A1688" s="8" t="s">
        <v>2338</v>
      </c>
      <c r="B1688" s="16" t="s">
        <v>2275</v>
      </c>
      <c r="C1688" s="8" t="s">
        <v>533</v>
      </c>
      <c r="D1688" s="8" t="s">
        <v>2276</v>
      </c>
      <c r="E1688" s="8" t="str">
        <f t="shared" si="166"/>
        <v>HUESO XL</v>
      </c>
      <c r="H1688" s="8" t="str">
        <f>VLOOKUP(A1688,[1]BBDD!$B$1:$J$3274,9,FALSE)</f>
        <v>M</v>
      </c>
      <c r="I1688" s="8" t="s">
        <v>2862</v>
      </c>
      <c r="J1688" s="8" t="s">
        <v>2314</v>
      </c>
      <c r="L1688" s="8" t="s">
        <v>2278</v>
      </c>
      <c r="N1688" s="8" t="s">
        <v>2339</v>
      </c>
      <c r="O1688" s="20" t="s">
        <v>2880</v>
      </c>
      <c r="P1688" s="18" t="s">
        <v>2875</v>
      </c>
      <c r="Q1688" s="8" t="s">
        <v>45</v>
      </c>
      <c r="R1688" s="8">
        <v>14</v>
      </c>
      <c r="S1688" s="8">
        <v>8</v>
      </c>
      <c r="T1688" s="8">
        <f t="shared" si="169"/>
        <v>22</v>
      </c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180</v>
      </c>
      <c r="AB1688" s="9">
        <f t="shared" si="170"/>
        <v>0</v>
      </c>
      <c r="AC1688" s="10" t="str">
        <f t="shared" si="167"/>
        <v>sin venta</v>
      </c>
      <c r="AD1688" s="8" t="s">
        <v>109</v>
      </c>
      <c r="AE1688" s="11">
        <v>49990</v>
      </c>
      <c r="AF1688" s="11">
        <f t="shared" si="168"/>
        <v>1099780</v>
      </c>
      <c r="AG1688" s="12" t="s">
        <v>73</v>
      </c>
      <c r="AH1688" s="8" t="s">
        <v>74</v>
      </c>
    </row>
    <row r="1689" spans="1:34">
      <c r="A1689" s="8" t="s">
        <v>2340</v>
      </c>
      <c r="B1689" s="16" t="s">
        <v>2275</v>
      </c>
      <c r="C1689" s="8" t="s">
        <v>533</v>
      </c>
      <c r="D1689" s="8" t="s">
        <v>2276</v>
      </c>
      <c r="E1689" s="8" t="str">
        <f t="shared" si="166"/>
        <v>HUESO XS</v>
      </c>
      <c r="H1689" s="8" t="str">
        <f>VLOOKUP(A1689,[1]BBDD!$B$1:$J$3274,9,FALSE)</f>
        <v>M</v>
      </c>
      <c r="I1689" s="8" t="s">
        <v>2862</v>
      </c>
      <c r="J1689" s="8" t="s">
        <v>2314</v>
      </c>
      <c r="L1689" s="8" t="s">
        <v>2278</v>
      </c>
      <c r="N1689" s="8" t="s">
        <v>2341</v>
      </c>
      <c r="O1689" s="20" t="s">
        <v>2880</v>
      </c>
      <c r="P1689" s="18" t="s">
        <v>2878</v>
      </c>
      <c r="Q1689" s="8" t="s">
        <v>45</v>
      </c>
      <c r="R1689" s="8">
        <v>13</v>
      </c>
      <c r="S1689" s="8">
        <v>10</v>
      </c>
      <c r="T1689" s="8">
        <f t="shared" si="169"/>
        <v>23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180</v>
      </c>
      <c r="AB1689" s="9">
        <f t="shared" si="170"/>
        <v>0</v>
      </c>
      <c r="AC1689" s="10" t="str">
        <f t="shared" si="167"/>
        <v>sin venta</v>
      </c>
      <c r="AD1689" s="8" t="s">
        <v>109</v>
      </c>
      <c r="AE1689" s="11">
        <v>49990</v>
      </c>
      <c r="AF1689" s="11">
        <f t="shared" si="168"/>
        <v>1149770</v>
      </c>
      <c r="AG1689" s="12" t="s">
        <v>73</v>
      </c>
      <c r="AH1689" s="8" t="s">
        <v>74</v>
      </c>
    </row>
    <row r="1690" spans="1:34">
      <c r="A1690" s="8" t="s">
        <v>2342</v>
      </c>
      <c r="B1690" s="16" t="s">
        <v>2275</v>
      </c>
      <c r="C1690" s="8" t="s">
        <v>533</v>
      </c>
      <c r="D1690" s="8" t="s">
        <v>2276</v>
      </c>
      <c r="E1690" s="8" t="str">
        <f t="shared" si="166"/>
        <v>BLANCO L</v>
      </c>
      <c r="H1690" s="8" t="str">
        <f>VLOOKUP(A1690,[1]BBDD!$B$1:$J$3274,9,FALSE)</f>
        <v>M</v>
      </c>
      <c r="I1690" s="8" t="s">
        <v>2862</v>
      </c>
      <c r="J1690" s="8" t="s">
        <v>2343</v>
      </c>
      <c r="L1690" s="8" t="s">
        <v>2278</v>
      </c>
      <c r="N1690" s="8" t="s">
        <v>635</v>
      </c>
      <c r="O1690" s="20" t="s">
        <v>646</v>
      </c>
      <c r="P1690" s="18" t="s">
        <v>2874</v>
      </c>
      <c r="Q1690" s="8" t="s">
        <v>32</v>
      </c>
      <c r="R1690" s="8">
        <v>7</v>
      </c>
      <c r="S1690" s="8">
        <v>13</v>
      </c>
      <c r="T1690" s="8">
        <f t="shared" si="169"/>
        <v>20</v>
      </c>
      <c r="U1690" s="8">
        <v>0</v>
      </c>
      <c r="V1690" s="8">
        <v>0</v>
      </c>
      <c r="W1690" s="8">
        <v>2</v>
      </c>
      <c r="X1690" s="8">
        <v>1</v>
      </c>
      <c r="Y1690" s="8">
        <v>1</v>
      </c>
      <c r="Z1690" s="8">
        <v>0</v>
      </c>
      <c r="AA1690" s="8">
        <v>180</v>
      </c>
      <c r="AB1690" s="9">
        <f t="shared" si="170"/>
        <v>0.66666666666666674</v>
      </c>
      <c r="AC1690" s="10">
        <f t="shared" si="167"/>
        <v>29.999999999999996</v>
      </c>
      <c r="AD1690" s="8" t="s">
        <v>33</v>
      </c>
      <c r="AE1690" s="11">
        <v>49990</v>
      </c>
      <c r="AF1690" s="11">
        <f t="shared" si="168"/>
        <v>999800</v>
      </c>
      <c r="AG1690" s="12" t="s">
        <v>73</v>
      </c>
      <c r="AH1690" s="8" t="s">
        <v>65</v>
      </c>
    </row>
    <row r="1691" spans="1:34">
      <c r="A1691" s="8" t="s">
        <v>2344</v>
      </c>
      <c r="B1691" s="16" t="s">
        <v>2275</v>
      </c>
      <c r="C1691" s="8" t="s">
        <v>533</v>
      </c>
      <c r="D1691" s="8" t="s">
        <v>2276</v>
      </c>
      <c r="E1691" s="8" t="str">
        <f t="shared" si="166"/>
        <v>BLANCO M</v>
      </c>
      <c r="H1691" s="8" t="str">
        <f>VLOOKUP(A1691,[1]BBDD!$B$1:$J$3274,9,FALSE)</f>
        <v>M</v>
      </c>
      <c r="I1691" s="8" t="s">
        <v>2862</v>
      </c>
      <c r="J1691" s="8" t="s">
        <v>2343</v>
      </c>
      <c r="L1691" s="8" t="s">
        <v>2278</v>
      </c>
      <c r="N1691" s="8" t="s">
        <v>637</v>
      </c>
      <c r="O1691" s="20" t="s">
        <v>646</v>
      </c>
      <c r="P1691" s="18" t="s">
        <v>2862</v>
      </c>
      <c r="Q1691" s="8" t="s">
        <v>32</v>
      </c>
      <c r="R1691" s="8">
        <v>65</v>
      </c>
      <c r="S1691" s="8">
        <v>12</v>
      </c>
      <c r="T1691" s="8">
        <f t="shared" si="169"/>
        <v>77</v>
      </c>
      <c r="U1691" s="8">
        <v>0</v>
      </c>
      <c r="V1691" s="8">
        <v>1</v>
      </c>
      <c r="W1691" s="8">
        <v>3</v>
      </c>
      <c r="X1691" s="8">
        <v>0</v>
      </c>
      <c r="Y1691" s="8">
        <v>0</v>
      </c>
      <c r="Z1691" s="8">
        <v>0</v>
      </c>
      <c r="AA1691" s="8">
        <v>180</v>
      </c>
      <c r="AB1691" s="9">
        <f t="shared" si="170"/>
        <v>0.66666666666666674</v>
      </c>
      <c r="AC1691" s="10">
        <f t="shared" si="167"/>
        <v>115.49999999999999</v>
      </c>
      <c r="AD1691" s="8" t="s">
        <v>33</v>
      </c>
      <c r="AE1691" s="11">
        <v>49990</v>
      </c>
      <c r="AF1691" s="11">
        <f t="shared" si="168"/>
        <v>3849230</v>
      </c>
      <c r="AG1691" s="12" t="s">
        <v>73</v>
      </c>
      <c r="AH1691" s="8" t="s">
        <v>74</v>
      </c>
    </row>
    <row r="1692" spans="1:34">
      <c r="A1692" s="8" t="s">
        <v>2345</v>
      </c>
      <c r="B1692" s="16" t="s">
        <v>2275</v>
      </c>
      <c r="C1692" s="8" t="s">
        <v>533</v>
      </c>
      <c r="D1692" s="8" t="s">
        <v>2276</v>
      </c>
      <c r="E1692" s="8" t="str">
        <f t="shared" si="166"/>
        <v>BLANCO S</v>
      </c>
      <c r="H1692" s="8" t="str">
        <f>VLOOKUP(A1692,[1]BBDD!$B$1:$J$3274,9,FALSE)</f>
        <v>M</v>
      </c>
      <c r="I1692" s="8" t="s">
        <v>2862</v>
      </c>
      <c r="J1692" s="8" t="s">
        <v>2343</v>
      </c>
      <c r="L1692" s="8" t="s">
        <v>2278</v>
      </c>
      <c r="N1692" s="8" t="s">
        <v>639</v>
      </c>
      <c r="O1692" s="20" t="s">
        <v>646</v>
      </c>
      <c r="P1692" s="18" t="s">
        <v>2873</v>
      </c>
      <c r="Q1692" s="8" t="s">
        <v>32</v>
      </c>
      <c r="R1692" s="8">
        <v>70</v>
      </c>
      <c r="S1692" s="8">
        <v>10</v>
      </c>
      <c r="T1692" s="8">
        <f t="shared" si="169"/>
        <v>80</v>
      </c>
      <c r="U1692" s="8">
        <v>1</v>
      </c>
      <c r="V1692" s="8">
        <v>1</v>
      </c>
      <c r="W1692" s="8">
        <v>0</v>
      </c>
      <c r="X1692" s="8">
        <v>0</v>
      </c>
      <c r="Y1692" s="8">
        <v>0</v>
      </c>
      <c r="Z1692" s="8">
        <v>0</v>
      </c>
      <c r="AA1692" s="8">
        <v>180</v>
      </c>
      <c r="AB1692" s="9">
        <f t="shared" si="170"/>
        <v>0.33333333333333337</v>
      </c>
      <c r="AC1692" s="10">
        <f t="shared" si="167"/>
        <v>239.99999999999997</v>
      </c>
      <c r="AD1692" s="8" t="s">
        <v>33</v>
      </c>
      <c r="AE1692" s="11">
        <v>49990</v>
      </c>
      <c r="AF1692" s="11">
        <f t="shared" si="168"/>
        <v>3999200</v>
      </c>
      <c r="AG1692" s="12" t="s">
        <v>73</v>
      </c>
      <c r="AH1692" s="8" t="s">
        <v>74</v>
      </c>
    </row>
    <row r="1693" spans="1:34">
      <c r="A1693" s="8" t="s">
        <v>2346</v>
      </c>
      <c r="B1693" s="16" t="s">
        <v>2275</v>
      </c>
      <c r="C1693" s="8" t="s">
        <v>533</v>
      </c>
      <c r="D1693" s="8" t="s">
        <v>2276</v>
      </c>
      <c r="E1693" s="8" t="str">
        <f t="shared" si="166"/>
        <v>BLANCO XL</v>
      </c>
      <c r="H1693" s="8" t="str">
        <f>VLOOKUP(A1693,[1]BBDD!$B$1:$J$3274,9,FALSE)</f>
        <v>M</v>
      </c>
      <c r="I1693" s="8" t="s">
        <v>2862</v>
      </c>
      <c r="J1693" s="8" t="s">
        <v>2343</v>
      </c>
      <c r="L1693" s="8" t="s">
        <v>2278</v>
      </c>
      <c r="N1693" s="8" t="s">
        <v>641</v>
      </c>
      <c r="O1693" s="20" t="s">
        <v>646</v>
      </c>
      <c r="P1693" s="18" t="s">
        <v>2875</v>
      </c>
      <c r="Q1693" s="8" t="s">
        <v>32</v>
      </c>
      <c r="R1693" s="8">
        <v>14</v>
      </c>
      <c r="S1693" s="8">
        <v>8</v>
      </c>
      <c r="T1693" s="8">
        <f t="shared" si="169"/>
        <v>22</v>
      </c>
      <c r="U1693" s="8">
        <v>0</v>
      </c>
      <c r="V1693" s="8">
        <v>2</v>
      </c>
      <c r="W1693" s="8">
        <v>0</v>
      </c>
      <c r="X1693" s="8">
        <v>0</v>
      </c>
      <c r="Y1693" s="8">
        <v>0</v>
      </c>
      <c r="Z1693" s="8">
        <v>0</v>
      </c>
      <c r="AA1693" s="8">
        <v>180</v>
      </c>
      <c r="AB1693" s="9">
        <f t="shared" si="170"/>
        <v>0.33333333333333337</v>
      </c>
      <c r="AC1693" s="10">
        <f t="shared" si="167"/>
        <v>65.999999999999986</v>
      </c>
      <c r="AD1693" s="8" t="s">
        <v>33</v>
      </c>
      <c r="AE1693" s="11">
        <v>49990</v>
      </c>
      <c r="AF1693" s="11">
        <f t="shared" si="168"/>
        <v>1099780</v>
      </c>
      <c r="AG1693" s="12" t="s">
        <v>73</v>
      </c>
      <c r="AH1693" s="8" t="s">
        <v>74</v>
      </c>
    </row>
    <row r="1694" spans="1:34">
      <c r="A1694" s="8" t="s">
        <v>2347</v>
      </c>
      <c r="B1694" s="16" t="s">
        <v>2275</v>
      </c>
      <c r="C1694" s="8" t="s">
        <v>533</v>
      </c>
      <c r="D1694" s="8" t="s">
        <v>2276</v>
      </c>
      <c r="E1694" s="8" t="str">
        <f t="shared" si="166"/>
        <v>BLANCO XS</v>
      </c>
      <c r="H1694" s="8" t="str">
        <f>VLOOKUP(A1694,[1]BBDD!$B$1:$J$3274,9,FALSE)</f>
        <v>M</v>
      </c>
      <c r="I1694" s="8" t="s">
        <v>2862</v>
      </c>
      <c r="J1694" s="8" t="s">
        <v>2343</v>
      </c>
      <c r="L1694" s="8" t="s">
        <v>2278</v>
      </c>
      <c r="N1694" s="8" t="s">
        <v>2319</v>
      </c>
      <c r="O1694" s="20" t="s">
        <v>646</v>
      </c>
      <c r="P1694" s="18" t="s">
        <v>2878</v>
      </c>
      <c r="Q1694" s="8" t="s">
        <v>32</v>
      </c>
      <c r="R1694" s="8">
        <v>8</v>
      </c>
      <c r="S1694" s="8">
        <v>14</v>
      </c>
      <c r="T1694" s="8">
        <f t="shared" si="169"/>
        <v>22</v>
      </c>
      <c r="U1694" s="8">
        <v>2</v>
      </c>
      <c r="V1694" s="8">
        <v>1</v>
      </c>
      <c r="W1694" s="8">
        <v>0</v>
      </c>
      <c r="X1694" s="8">
        <v>0</v>
      </c>
      <c r="Y1694" s="8">
        <v>0</v>
      </c>
      <c r="Z1694" s="8">
        <v>0</v>
      </c>
      <c r="AA1694" s="8">
        <v>180</v>
      </c>
      <c r="AB1694" s="9">
        <f t="shared" si="170"/>
        <v>0.5</v>
      </c>
      <c r="AC1694" s="10">
        <f t="shared" si="167"/>
        <v>44</v>
      </c>
      <c r="AD1694" s="8" t="s">
        <v>33</v>
      </c>
      <c r="AE1694" s="11">
        <v>49990</v>
      </c>
      <c r="AF1694" s="11">
        <f t="shared" si="168"/>
        <v>1099780</v>
      </c>
      <c r="AG1694" s="12" t="s">
        <v>73</v>
      </c>
      <c r="AH1694" s="8" t="s">
        <v>74</v>
      </c>
    </row>
    <row r="1695" spans="1:34">
      <c r="A1695" s="8" t="s">
        <v>2348</v>
      </c>
      <c r="B1695" s="16" t="s">
        <v>2275</v>
      </c>
      <c r="C1695" s="8" t="s">
        <v>533</v>
      </c>
      <c r="D1695" s="8" t="s">
        <v>2276</v>
      </c>
      <c r="E1695" s="8" t="str">
        <f t="shared" si="166"/>
        <v>NEGRO L</v>
      </c>
      <c r="H1695" s="8" t="str">
        <f>VLOOKUP(A1695,[1]BBDD!$B$1:$J$3274,9,FALSE)</f>
        <v>M</v>
      </c>
      <c r="I1695" s="8" t="s">
        <v>2862</v>
      </c>
      <c r="J1695" s="8" t="s">
        <v>2343</v>
      </c>
      <c r="L1695" s="8" t="s">
        <v>2278</v>
      </c>
      <c r="N1695" s="8" t="s">
        <v>2293</v>
      </c>
      <c r="O1695" s="20" t="s">
        <v>44</v>
      </c>
      <c r="P1695" s="18" t="s">
        <v>2874</v>
      </c>
      <c r="Q1695" s="8" t="s">
        <v>45</v>
      </c>
      <c r="R1695" s="8">
        <v>16</v>
      </c>
      <c r="S1695" s="8">
        <v>10</v>
      </c>
      <c r="T1695" s="8">
        <f t="shared" si="169"/>
        <v>26</v>
      </c>
      <c r="U1695" s="8">
        <v>0</v>
      </c>
      <c r="V1695" s="8">
        <v>0</v>
      </c>
      <c r="W1695" s="8">
        <v>1</v>
      </c>
      <c r="X1695" s="8">
        <v>1</v>
      </c>
      <c r="Y1695" s="8">
        <v>0</v>
      </c>
      <c r="Z1695" s="8">
        <v>0</v>
      </c>
      <c r="AA1695" s="8">
        <v>180</v>
      </c>
      <c r="AB1695" s="9">
        <f t="shared" si="170"/>
        <v>0.33333333333333337</v>
      </c>
      <c r="AC1695" s="10">
        <f t="shared" si="167"/>
        <v>77.999999999999986</v>
      </c>
      <c r="AD1695" s="8" t="s">
        <v>109</v>
      </c>
      <c r="AE1695" s="11">
        <v>49990</v>
      </c>
      <c r="AF1695" s="11">
        <f t="shared" si="168"/>
        <v>1299740</v>
      </c>
      <c r="AG1695" s="12" t="s">
        <v>73</v>
      </c>
      <c r="AH1695" s="8" t="s">
        <v>74</v>
      </c>
    </row>
    <row r="1696" spans="1:34">
      <c r="A1696" s="8" t="s">
        <v>2349</v>
      </c>
      <c r="B1696" s="16" t="s">
        <v>2275</v>
      </c>
      <c r="C1696" s="8" t="s">
        <v>533</v>
      </c>
      <c r="D1696" s="8" t="s">
        <v>2276</v>
      </c>
      <c r="E1696" s="8" t="str">
        <f t="shared" si="166"/>
        <v>NEGRO M</v>
      </c>
      <c r="H1696" s="8" t="str">
        <f>VLOOKUP(A1696,[1]BBDD!$B$1:$J$3274,9,FALSE)</f>
        <v>M</v>
      </c>
      <c r="I1696" s="8" t="s">
        <v>2862</v>
      </c>
      <c r="J1696" s="8" t="s">
        <v>2343</v>
      </c>
      <c r="L1696" s="8" t="s">
        <v>2278</v>
      </c>
      <c r="N1696" s="8" t="s">
        <v>2295</v>
      </c>
      <c r="O1696" s="20" t="s">
        <v>44</v>
      </c>
      <c r="P1696" s="18" t="s">
        <v>2862</v>
      </c>
      <c r="Q1696" s="8" t="s">
        <v>45</v>
      </c>
      <c r="R1696" s="8">
        <v>62</v>
      </c>
      <c r="S1696" s="8">
        <v>14</v>
      </c>
      <c r="T1696" s="8">
        <f t="shared" si="169"/>
        <v>76</v>
      </c>
      <c r="U1696" s="8">
        <v>1</v>
      </c>
      <c r="V1696" s="8">
        <v>3</v>
      </c>
      <c r="W1696" s="8">
        <v>2</v>
      </c>
      <c r="X1696" s="8">
        <v>0</v>
      </c>
      <c r="Y1696" s="8">
        <v>0</v>
      </c>
      <c r="Z1696" s="8">
        <v>0</v>
      </c>
      <c r="AA1696" s="8">
        <v>180</v>
      </c>
      <c r="AB1696" s="9">
        <f t="shared" si="170"/>
        <v>1</v>
      </c>
      <c r="AC1696" s="10">
        <f t="shared" si="167"/>
        <v>76</v>
      </c>
      <c r="AD1696" s="8" t="s">
        <v>109</v>
      </c>
      <c r="AE1696" s="11">
        <v>49990</v>
      </c>
      <c r="AF1696" s="11">
        <f t="shared" si="168"/>
        <v>3799240</v>
      </c>
      <c r="AG1696" s="12" t="s">
        <v>73</v>
      </c>
      <c r="AH1696" s="8" t="s">
        <v>74</v>
      </c>
    </row>
    <row r="1697" spans="1:34">
      <c r="A1697" s="8" t="s">
        <v>2350</v>
      </c>
      <c r="B1697" s="16" t="s">
        <v>2275</v>
      </c>
      <c r="C1697" s="8" t="s">
        <v>533</v>
      </c>
      <c r="D1697" s="8" t="s">
        <v>2276</v>
      </c>
      <c r="E1697" s="8" t="str">
        <f t="shared" si="166"/>
        <v>NEGRO S</v>
      </c>
      <c r="H1697" s="8" t="str">
        <f>VLOOKUP(A1697,[1]BBDD!$B$1:$J$3274,9,FALSE)</f>
        <v>M</v>
      </c>
      <c r="I1697" s="8" t="s">
        <v>2862</v>
      </c>
      <c r="J1697" s="8" t="s">
        <v>2343</v>
      </c>
      <c r="L1697" s="8" t="s">
        <v>2278</v>
      </c>
      <c r="N1697" s="8" t="s">
        <v>2297</v>
      </c>
      <c r="O1697" s="20" t="s">
        <v>44</v>
      </c>
      <c r="P1697" s="18" t="s">
        <v>2873</v>
      </c>
      <c r="Q1697" s="8" t="s">
        <v>45</v>
      </c>
      <c r="R1697" s="8">
        <v>71</v>
      </c>
      <c r="S1697" s="8">
        <v>12</v>
      </c>
      <c r="T1697" s="8">
        <f t="shared" si="169"/>
        <v>83</v>
      </c>
      <c r="U1697" s="8">
        <v>0</v>
      </c>
      <c r="V1697" s="8">
        <v>0</v>
      </c>
      <c r="W1697" s="8">
        <v>0</v>
      </c>
      <c r="X1697" s="8">
        <v>1</v>
      </c>
      <c r="Y1697" s="8">
        <v>0</v>
      </c>
      <c r="Z1697" s="8">
        <v>0</v>
      </c>
      <c r="AA1697" s="8">
        <v>180</v>
      </c>
      <c r="AB1697" s="9">
        <f t="shared" si="170"/>
        <v>0.16666666666666669</v>
      </c>
      <c r="AC1697" s="10">
        <f t="shared" si="167"/>
        <v>497.99999999999994</v>
      </c>
      <c r="AD1697" s="8" t="s">
        <v>109</v>
      </c>
      <c r="AE1697" s="11">
        <v>49990</v>
      </c>
      <c r="AF1697" s="11">
        <f t="shared" si="168"/>
        <v>4149170</v>
      </c>
      <c r="AG1697" s="12" t="s">
        <v>73</v>
      </c>
      <c r="AH1697" s="8" t="s">
        <v>74</v>
      </c>
    </row>
    <row r="1698" spans="1:34">
      <c r="A1698" s="8" t="s">
        <v>2351</v>
      </c>
      <c r="B1698" s="16" t="s">
        <v>2275</v>
      </c>
      <c r="C1698" s="8" t="s">
        <v>533</v>
      </c>
      <c r="D1698" s="8" t="s">
        <v>2276</v>
      </c>
      <c r="E1698" s="8" t="str">
        <f t="shared" si="166"/>
        <v>NEGRO XL</v>
      </c>
      <c r="H1698" s="8" t="str">
        <f>VLOOKUP(A1698,[1]BBDD!$B$1:$J$3274,9,FALSE)</f>
        <v>M</v>
      </c>
      <c r="I1698" s="8" t="s">
        <v>2862</v>
      </c>
      <c r="J1698" s="8" t="s">
        <v>2343</v>
      </c>
      <c r="L1698" s="8" t="s">
        <v>2278</v>
      </c>
      <c r="N1698" s="8" t="s">
        <v>2279</v>
      </c>
      <c r="O1698" s="20" t="s">
        <v>44</v>
      </c>
      <c r="P1698" s="18" t="s">
        <v>2875</v>
      </c>
      <c r="Q1698" s="8" t="s">
        <v>45</v>
      </c>
      <c r="R1698" s="8">
        <v>15</v>
      </c>
      <c r="S1698" s="8">
        <v>11</v>
      </c>
      <c r="T1698" s="8">
        <f t="shared" si="169"/>
        <v>26</v>
      </c>
      <c r="U1698" s="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0</v>
      </c>
      <c r="AA1698" s="8">
        <v>180</v>
      </c>
      <c r="AB1698" s="9">
        <f t="shared" si="170"/>
        <v>0</v>
      </c>
      <c r="AC1698" s="10" t="str">
        <f t="shared" si="167"/>
        <v>sin venta</v>
      </c>
      <c r="AD1698" s="8" t="s">
        <v>109</v>
      </c>
      <c r="AE1698" s="11">
        <v>49990</v>
      </c>
      <c r="AF1698" s="11">
        <f t="shared" si="168"/>
        <v>1299740</v>
      </c>
      <c r="AG1698" s="12" t="s">
        <v>73</v>
      </c>
      <c r="AH1698" s="8" t="s">
        <v>74</v>
      </c>
    </row>
    <row r="1699" spans="1:34">
      <c r="A1699" s="8" t="s">
        <v>2352</v>
      </c>
      <c r="B1699" s="16" t="s">
        <v>2275</v>
      </c>
      <c r="C1699" s="8" t="s">
        <v>533</v>
      </c>
      <c r="D1699" s="8" t="s">
        <v>2276</v>
      </c>
      <c r="E1699" s="8" t="str">
        <f t="shared" si="166"/>
        <v>NEGRO XS</v>
      </c>
      <c r="H1699" s="8" t="str">
        <f>VLOOKUP(A1699,[1]BBDD!$B$1:$J$3274,9,FALSE)</f>
        <v>M</v>
      </c>
      <c r="I1699" s="8" t="s">
        <v>2862</v>
      </c>
      <c r="J1699" s="8" t="s">
        <v>2343</v>
      </c>
      <c r="L1699" s="8" t="s">
        <v>2278</v>
      </c>
      <c r="N1699" s="8" t="s">
        <v>2331</v>
      </c>
      <c r="O1699" s="20" t="s">
        <v>44</v>
      </c>
      <c r="P1699" s="18" t="s">
        <v>2878</v>
      </c>
      <c r="Q1699" s="8" t="s">
        <v>45</v>
      </c>
      <c r="R1699" s="8">
        <v>15</v>
      </c>
      <c r="S1699" s="8">
        <v>11</v>
      </c>
      <c r="T1699" s="8">
        <f t="shared" si="169"/>
        <v>26</v>
      </c>
      <c r="U1699" s="8">
        <v>1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8">
        <v>180</v>
      </c>
      <c r="AB1699" s="9">
        <f t="shared" si="170"/>
        <v>0.16666666666666669</v>
      </c>
      <c r="AC1699" s="10">
        <f t="shared" si="167"/>
        <v>155.99999999999997</v>
      </c>
      <c r="AD1699" s="8" t="s">
        <v>109</v>
      </c>
      <c r="AE1699" s="11">
        <v>49990</v>
      </c>
      <c r="AF1699" s="11">
        <f t="shared" si="168"/>
        <v>1299740</v>
      </c>
      <c r="AG1699" s="12" t="s">
        <v>73</v>
      </c>
      <c r="AH1699" s="8" t="s">
        <v>74</v>
      </c>
    </row>
    <row r="1700" spans="1:34">
      <c r="A1700" s="8" t="s">
        <v>2353</v>
      </c>
      <c r="B1700" s="16" t="s">
        <v>2860</v>
      </c>
      <c r="C1700" s="8" t="s">
        <v>40</v>
      </c>
      <c r="D1700" s="8" t="s">
        <v>2354</v>
      </c>
      <c r="E1700" s="8" t="str">
        <f t="shared" si="166"/>
        <v>CARAMELO</v>
      </c>
      <c r="G1700" s="8" t="s">
        <v>2861</v>
      </c>
      <c r="H1700" s="8" t="str">
        <f>VLOOKUP(A1700,[1]BBDD!$B$1:$J$3274,9,FALSE)</f>
        <v>U</v>
      </c>
      <c r="I1700" s="8" t="s">
        <v>2861</v>
      </c>
      <c r="J1700" s="8" t="s">
        <v>2355</v>
      </c>
      <c r="L1700" s="8" t="s">
        <v>61</v>
      </c>
      <c r="N1700" s="8" t="s">
        <v>62</v>
      </c>
      <c r="O1700" s="8" t="s">
        <v>62</v>
      </c>
      <c r="Q1700" s="8" t="s">
        <v>32</v>
      </c>
      <c r="R1700" s="8">
        <v>16</v>
      </c>
      <c r="S1700" s="8">
        <v>7</v>
      </c>
      <c r="T1700" s="8">
        <f t="shared" si="169"/>
        <v>23</v>
      </c>
      <c r="U1700" s="8">
        <v>0</v>
      </c>
      <c r="V1700" s="8">
        <v>1</v>
      </c>
      <c r="W1700" s="8">
        <v>1</v>
      </c>
      <c r="X1700" s="8">
        <v>1</v>
      </c>
      <c r="Y1700" s="8">
        <v>0</v>
      </c>
      <c r="Z1700" s="8">
        <v>0</v>
      </c>
      <c r="AA1700" s="8">
        <v>180</v>
      </c>
      <c r="AB1700" s="9">
        <f t="shared" si="170"/>
        <v>0.5</v>
      </c>
      <c r="AC1700" s="10">
        <f t="shared" si="167"/>
        <v>46</v>
      </c>
      <c r="AD1700" s="8" t="s">
        <v>33</v>
      </c>
      <c r="AE1700" s="11">
        <v>65990</v>
      </c>
      <c r="AF1700" s="11">
        <f t="shared" si="168"/>
        <v>1517770</v>
      </c>
      <c r="AG1700" s="12" t="s">
        <v>73</v>
      </c>
      <c r="AH1700" s="8" t="s">
        <v>74</v>
      </c>
    </row>
    <row r="1701" spans="1:34">
      <c r="A1701" s="8" t="s">
        <v>2356</v>
      </c>
      <c r="B1701" s="16" t="s">
        <v>2860</v>
      </c>
      <c r="C1701" s="8" t="s">
        <v>40</v>
      </c>
      <c r="D1701" s="8" t="s">
        <v>2354</v>
      </c>
      <c r="E1701" s="8" t="str">
        <f t="shared" si="166"/>
        <v>NEGRO</v>
      </c>
      <c r="G1701" s="8" t="s">
        <v>2861</v>
      </c>
      <c r="H1701" s="8" t="str">
        <f>VLOOKUP(A1701,[1]BBDD!$B$1:$J$3274,9,FALSE)</f>
        <v>U</v>
      </c>
      <c r="I1701" s="8" t="s">
        <v>2861</v>
      </c>
      <c r="J1701" s="8" t="s">
        <v>2355</v>
      </c>
      <c r="L1701" s="8" t="s">
        <v>61</v>
      </c>
      <c r="N1701" s="8" t="s">
        <v>44</v>
      </c>
      <c r="O1701" s="8" t="s">
        <v>44</v>
      </c>
      <c r="Q1701" s="8" t="s">
        <v>32</v>
      </c>
      <c r="R1701" s="8">
        <v>0</v>
      </c>
      <c r="S1701" s="8">
        <v>2</v>
      </c>
      <c r="T1701" s="8">
        <f t="shared" si="169"/>
        <v>2</v>
      </c>
      <c r="U1701" s="8">
        <v>3</v>
      </c>
      <c r="V1701" s="8">
        <v>0</v>
      </c>
      <c r="W1701" s="8">
        <v>0</v>
      </c>
      <c r="X1701" s="8">
        <v>1</v>
      </c>
      <c r="Y1701" s="8">
        <v>1</v>
      </c>
      <c r="Z1701" s="8">
        <v>0</v>
      </c>
      <c r="AA1701" s="8">
        <v>180</v>
      </c>
      <c r="AB1701" s="9">
        <f t="shared" si="170"/>
        <v>0.83333333333333326</v>
      </c>
      <c r="AC1701" s="10">
        <f t="shared" si="167"/>
        <v>2.4000000000000004</v>
      </c>
      <c r="AD1701" s="8" t="s">
        <v>33</v>
      </c>
      <c r="AE1701" s="11">
        <v>65990</v>
      </c>
      <c r="AF1701" s="11">
        <f t="shared" si="168"/>
        <v>131980</v>
      </c>
      <c r="AG1701" s="12" t="s">
        <v>34</v>
      </c>
      <c r="AH1701" s="8" t="s">
        <v>35</v>
      </c>
    </row>
    <row r="1702" spans="1:34">
      <c r="A1702" s="8" t="s">
        <v>2357</v>
      </c>
      <c r="B1702" s="16" t="s">
        <v>2860</v>
      </c>
      <c r="C1702" s="8" t="s">
        <v>40</v>
      </c>
      <c r="D1702" s="8" t="s">
        <v>2354</v>
      </c>
      <c r="E1702" s="8" t="str">
        <f t="shared" si="166"/>
        <v>TABACO</v>
      </c>
      <c r="G1702" s="8" t="s">
        <v>2861</v>
      </c>
      <c r="H1702" s="8" t="str">
        <f>VLOOKUP(A1702,[1]BBDD!$B$1:$J$3274,9,FALSE)</f>
        <v>U</v>
      </c>
      <c r="I1702" s="8" t="s">
        <v>2861</v>
      </c>
      <c r="J1702" s="8" t="s">
        <v>2355</v>
      </c>
      <c r="L1702" s="8" t="s">
        <v>61</v>
      </c>
      <c r="N1702" s="8" t="s">
        <v>67</v>
      </c>
      <c r="O1702" s="8" t="s">
        <v>67</v>
      </c>
      <c r="Q1702" s="8" t="s">
        <v>32</v>
      </c>
      <c r="R1702" s="8">
        <v>0</v>
      </c>
      <c r="S1702" s="8">
        <v>5</v>
      </c>
      <c r="T1702" s="8">
        <f t="shared" si="169"/>
        <v>5</v>
      </c>
      <c r="U1702" s="8">
        <v>0</v>
      </c>
      <c r="V1702" s="8">
        <v>0</v>
      </c>
      <c r="W1702" s="8">
        <v>3</v>
      </c>
      <c r="X1702" s="8">
        <v>0</v>
      </c>
      <c r="Y1702" s="8">
        <v>1</v>
      </c>
      <c r="Z1702" s="8">
        <v>2</v>
      </c>
      <c r="AA1702" s="8">
        <v>180</v>
      </c>
      <c r="AB1702" s="9">
        <f t="shared" si="170"/>
        <v>1</v>
      </c>
      <c r="AC1702" s="10">
        <f t="shared" si="167"/>
        <v>5</v>
      </c>
      <c r="AD1702" s="8" t="s">
        <v>33</v>
      </c>
      <c r="AE1702" s="11">
        <v>65990</v>
      </c>
      <c r="AF1702" s="11">
        <f t="shared" si="168"/>
        <v>329950</v>
      </c>
      <c r="AG1702" s="12" t="s">
        <v>34</v>
      </c>
      <c r="AH1702" s="8" t="s">
        <v>35</v>
      </c>
    </row>
    <row r="1703" spans="1:34">
      <c r="A1703" s="8" t="s">
        <v>2358</v>
      </c>
      <c r="B1703" s="16" t="s">
        <v>2860</v>
      </c>
      <c r="C1703" s="8" t="s">
        <v>40</v>
      </c>
      <c r="D1703" s="8" t="s">
        <v>2354</v>
      </c>
      <c r="E1703" s="8" t="str">
        <f t="shared" si="166"/>
        <v>CHOCOLATE</v>
      </c>
      <c r="G1703" s="8" t="s">
        <v>2861</v>
      </c>
      <c r="H1703" s="8" t="str">
        <f>VLOOKUP(A1703,[1]BBDD!$B$1:$J$3274,9,FALSE)</f>
        <v>U</v>
      </c>
      <c r="I1703" s="8" t="s">
        <v>2861</v>
      </c>
      <c r="J1703" s="8" t="s">
        <v>2355</v>
      </c>
      <c r="L1703" s="8" t="s">
        <v>61</v>
      </c>
      <c r="N1703" s="8" t="s">
        <v>252</v>
      </c>
      <c r="O1703" s="8" t="s">
        <v>252</v>
      </c>
      <c r="Q1703" s="8" t="s">
        <v>45</v>
      </c>
      <c r="R1703" s="8">
        <v>0</v>
      </c>
      <c r="S1703" s="8">
        <v>3</v>
      </c>
      <c r="T1703" s="8">
        <f t="shared" si="169"/>
        <v>3</v>
      </c>
      <c r="U1703" s="8">
        <v>1</v>
      </c>
      <c r="V1703" s="8">
        <v>1</v>
      </c>
      <c r="W1703" s="8">
        <v>0</v>
      </c>
      <c r="X1703" s="8">
        <v>1</v>
      </c>
      <c r="Y1703" s="8">
        <v>1</v>
      </c>
      <c r="Z1703" s="8">
        <v>1</v>
      </c>
      <c r="AA1703" s="8">
        <v>180</v>
      </c>
      <c r="AB1703" s="9">
        <f t="shared" si="170"/>
        <v>0.83333333333333326</v>
      </c>
      <c r="AC1703" s="10">
        <f t="shared" si="167"/>
        <v>3.6000000000000005</v>
      </c>
      <c r="AD1703" s="8" t="s">
        <v>109</v>
      </c>
      <c r="AE1703" s="11">
        <v>65990</v>
      </c>
      <c r="AF1703" s="11">
        <f t="shared" si="168"/>
        <v>197970</v>
      </c>
      <c r="AG1703" s="12" t="s">
        <v>34</v>
      </c>
      <c r="AH1703" s="8" t="s">
        <v>35</v>
      </c>
    </row>
    <row r="1704" spans="1:34">
      <c r="A1704" s="8" t="s">
        <v>2359</v>
      </c>
      <c r="B1704" s="16" t="s">
        <v>2860</v>
      </c>
      <c r="C1704" s="8" t="s">
        <v>40</v>
      </c>
      <c r="D1704" s="8" t="s">
        <v>2354</v>
      </c>
      <c r="E1704" s="8" t="str">
        <f t="shared" si="166"/>
        <v>CEDRO</v>
      </c>
      <c r="G1704" s="8" t="s">
        <v>2861</v>
      </c>
      <c r="H1704" s="8" t="str">
        <f>VLOOKUP(A1704,[1]BBDD!$B$1:$J$3274,9,FALSE)</f>
        <v>U</v>
      </c>
      <c r="I1704" s="8" t="s">
        <v>2861</v>
      </c>
      <c r="J1704" s="8" t="s">
        <v>2355</v>
      </c>
      <c r="L1704" s="8" t="s">
        <v>112</v>
      </c>
      <c r="N1704" s="8" t="s">
        <v>113</v>
      </c>
      <c r="O1704" s="8" t="s">
        <v>113</v>
      </c>
      <c r="Q1704" s="8" t="s">
        <v>45</v>
      </c>
      <c r="R1704" s="8">
        <v>2</v>
      </c>
      <c r="S1704" s="8">
        <v>7</v>
      </c>
      <c r="T1704" s="8">
        <f t="shared" si="169"/>
        <v>9</v>
      </c>
      <c r="U1704" s="8">
        <v>0</v>
      </c>
      <c r="V1704" s="8">
        <v>0</v>
      </c>
      <c r="W1704" s="8">
        <v>1</v>
      </c>
      <c r="X1704" s="8">
        <v>1</v>
      </c>
      <c r="Y1704" s="8">
        <v>0</v>
      </c>
      <c r="Z1704" s="8">
        <v>2</v>
      </c>
      <c r="AA1704" s="8">
        <v>180</v>
      </c>
      <c r="AB1704" s="9">
        <f t="shared" si="170"/>
        <v>0.66666666666666674</v>
      </c>
      <c r="AC1704" s="10">
        <f t="shared" si="167"/>
        <v>13.499999999999998</v>
      </c>
      <c r="AD1704" s="8" t="s">
        <v>109</v>
      </c>
      <c r="AE1704" s="11">
        <v>65990</v>
      </c>
      <c r="AF1704" s="11">
        <f t="shared" si="168"/>
        <v>593910</v>
      </c>
      <c r="AG1704" s="12" t="s">
        <v>64</v>
      </c>
      <c r="AH1704" s="8" t="s">
        <v>35</v>
      </c>
    </row>
    <row r="1705" spans="1:34">
      <c r="A1705" s="8" t="s">
        <v>2360</v>
      </c>
      <c r="B1705" s="16" t="s">
        <v>2860</v>
      </c>
      <c r="C1705" s="8" t="s">
        <v>40</v>
      </c>
      <c r="D1705" s="8" t="s">
        <v>2354</v>
      </c>
      <c r="E1705" s="8" t="str">
        <f t="shared" si="166"/>
        <v>CARAMELO</v>
      </c>
      <c r="G1705" s="8" t="s">
        <v>2861</v>
      </c>
      <c r="H1705" s="8" t="str">
        <f>VLOOKUP(A1705,[1]BBDD!$B$1:$J$3274,9,FALSE)</f>
        <v>U</v>
      </c>
      <c r="I1705" s="8" t="s">
        <v>2861</v>
      </c>
      <c r="J1705" s="8" t="s">
        <v>2361</v>
      </c>
      <c r="L1705" s="8" t="s">
        <v>61</v>
      </c>
      <c r="N1705" s="8" t="s">
        <v>62</v>
      </c>
      <c r="O1705" s="8" t="s">
        <v>62</v>
      </c>
      <c r="Q1705" s="8" t="s">
        <v>32</v>
      </c>
      <c r="R1705" s="8">
        <v>10</v>
      </c>
      <c r="S1705" s="8">
        <v>6</v>
      </c>
      <c r="T1705" s="8">
        <f t="shared" si="169"/>
        <v>16</v>
      </c>
      <c r="U1705" s="8">
        <v>1</v>
      </c>
      <c r="V1705" s="8">
        <v>0</v>
      </c>
      <c r="W1705" s="8">
        <v>1</v>
      </c>
      <c r="X1705" s="8">
        <v>1</v>
      </c>
      <c r="Y1705" s="8">
        <v>0</v>
      </c>
      <c r="Z1705" s="8">
        <v>1</v>
      </c>
      <c r="AA1705" s="8">
        <v>180</v>
      </c>
      <c r="AB1705" s="9">
        <f t="shared" si="170"/>
        <v>0.66666666666666674</v>
      </c>
      <c r="AC1705" s="10">
        <f t="shared" si="167"/>
        <v>23.999999999999996</v>
      </c>
      <c r="AD1705" s="8" t="s">
        <v>33</v>
      </c>
      <c r="AE1705" s="11">
        <v>65990</v>
      </c>
      <c r="AF1705" s="11">
        <f t="shared" si="168"/>
        <v>1055840</v>
      </c>
      <c r="AG1705" s="12" t="s">
        <v>64</v>
      </c>
      <c r="AH1705" s="8" t="s">
        <v>65</v>
      </c>
    </row>
    <row r="1706" spans="1:34">
      <c r="A1706" s="8" t="s">
        <v>2362</v>
      </c>
      <c r="B1706" s="16" t="s">
        <v>2860</v>
      </c>
      <c r="C1706" s="8" t="s">
        <v>40</v>
      </c>
      <c r="D1706" s="8" t="s">
        <v>2354</v>
      </c>
      <c r="E1706" s="8" t="str">
        <f t="shared" si="166"/>
        <v>NEGRO</v>
      </c>
      <c r="G1706" s="8" t="s">
        <v>2861</v>
      </c>
      <c r="H1706" s="8" t="str">
        <f>VLOOKUP(A1706,[1]BBDD!$B$1:$J$3274,9,FALSE)</f>
        <v>U</v>
      </c>
      <c r="I1706" s="8" t="s">
        <v>2861</v>
      </c>
      <c r="J1706" s="8" t="s">
        <v>2361</v>
      </c>
      <c r="L1706" s="8" t="s">
        <v>61</v>
      </c>
      <c r="N1706" s="8" t="s">
        <v>44</v>
      </c>
      <c r="O1706" s="8" t="s">
        <v>44</v>
      </c>
      <c r="Q1706" s="8" t="s">
        <v>32</v>
      </c>
      <c r="R1706" s="8">
        <v>0</v>
      </c>
      <c r="S1706" s="8">
        <v>2</v>
      </c>
      <c r="T1706" s="8">
        <f t="shared" si="169"/>
        <v>2</v>
      </c>
      <c r="U1706" s="8">
        <v>2</v>
      </c>
      <c r="V1706" s="8">
        <v>0</v>
      </c>
      <c r="W1706" s="8">
        <v>3</v>
      </c>
      <c r="X1706" s="8">
        <v>1</v>
      </c>
      <c r="Y1706" s="8">
        <v>0</v>
      </c>
      <c r="Z1706" s="8">
        <v>1</v>
      </c>
      <c r="AA1706" s="8">
        <v>180</v>
      </c>
      <c r="AB1706" s="9">
        <f t="shared" si="170"/>
        <v>1.1666666666666667</v>
      </c>
      <c r="AC1706" s="10">
        <f t="shared" si="167"/>
        <v>1.7142857142857142</v>
      </c>
      <c r="AD1706" s="8" t="s">
        <v>33</v>
      </c>
      <c r="AE1706" s="11">
        <v>65990</v>
      </c>
      <c r="AF1706" s="11">
        <f t="shared" si="168"/>
        <v>131980</v>
      </c>
      <c r="AG1706" s="12" t="s">
        <v>34</v>
      </c>
      <c r="AH1706" s="8" t="s">
        <v>35</v>
      </c>
    </row>
    <row r="1707" spans="1:34">
      <c r="A1707" s="8" t="s">
        <v>2363</v>
      </c>
      <c r="B1707" s="16" t="s">
        <v>2860</v>
      </c>
      <c r="C1707" s="8" t="s">
        <v>40</v>
      </c>
      <c r="D1707" s="8" t="s">
        <v>2354</v>
      </c>
      <c r="E1707" s="8" t="str">
        <f t="shared" si="166"/>
        <v>ROJO</v>
      </c>
      <c r="G1707" s="8" t="s">
        <v>2861</v>
      </c>
      <c r="H1707" s="8" t="str">
        <f>VLOOKUP(A1707,[1]BBDD!$B$1:$J$3274,9,FALSE)</f>
        <v>U</v>
      </c>
      <c r="I1707" s="8" t="s">
        <v>2861</v>
      </c>
      <c r="J1707" s="8" t="s">
        <v>2361</v>
      </c>
      <c r="L1707" s="8" t="s">
        <v>61</v>
      </c>
      <c r="N1707" s="8" t="s">
        <v>88</v>
      </c>
      <c r="O1707" s="8" t="s">
        <v>88</v>
      </c>
      <c r="Q1707" s="8" t="s">
        <v>32</v>
      </c>
      <c r="R1707" s="8">
        <v>0</v>
      </c>
      <c r="S1707" s="8">
        <v>10</v>
      </c>
      <c r="T1707" s="8">
        <f t="shared" si="169"/>
        <v>10</v>
      </c>
      <c r="U1707" s="8">
        <v>2</v>
      </c>
      <c r="V1707" s="8">
        <v>0</v>
      </c>
      <c r="W1707" s="8">
        <v>1</v>
      </c>
      <c r="X1707" s="8">
        <v>2</v>
      </c>
      <c r="Y1707" s="8">
        <v>1</v>
      </c>
      <c r="Z1707" s="8">
        <v>0</v>
      </c>
      <c r="AA1707" s="8">
        <v>180</v>
      </c>
      <c r="AB1707" s="9">
        <f t="shared" si="170"/>
        <v>1</v>
      </c>
      <c r="AC1707" s="10">
        <f t="shared" si="167"/>
        <v>10</v>
      </c>
      <c r="AD1707" s="8" t="s">
        <v>33</v>
      </c>
      <c r="AE1707" s="11">
        <v>65990</v>
      </c>
      <c r="AF1707" s="11">
        <f t="shared" si="168"/>
        <v>659900</v>
      </c>
      <c r="AG1707" s="12" t="s">
        <v>51</v>
      </c>
      <c r="AH1707" s="8" t="s">
        <v>35</v>
      </c>
    </row>
    <row r="1708" spans="1:34">
      <c r="A1708" s="8" t="s">
        <v>2364</v>
      </c>
      <c r="B1708" s="16" t="s">
        <v>2860</v>
      </c>
      <c r="C1708" s="8" t="s">
        <v>40</v>
      </c>
      <c r="D1708" s="8" t="s">
        <v>2354</v>
      </c>
      <c r="E1708" s="8" t="str">
        <f t="shared" si="166"/>
        <v>TABACO</v>
      </c>
      <c r="G1708" s="8" t="s">
        <v>2861</v>
      </c>
      <c r="H1708" s="8" t="str">
        <f>VLOOKUP(A1708,[1]BBDD!$B$1:$J$3274,9,FALSE)</f>
        <v>U</v>
      </c>
      <c r="I1708" s="8" t="s">
        <v>2861</v>
      </c>
      <c r="J1708" s="8" t="s">
        <v>2361</v>
      </c>
      <c r="L1708" s="8" t="s">
        <v>61</v>
      </c>
      <c r="N1708" s="8" t="s">
        <v>67</v>
      </c>
      <c r="O1708" s="8" t="s">
        <v>67</v>
      </c>
      <c r="Q1708" s="8" t="s">
        <v>32</v>
      </c>
      <c r="R1708" s="8">
        <v>3</v>
      </c>
      <c r="S1708" s="8">
        <v>7</v>
      </c>
      <c r="T1708" s="8">
        <f t="shared" si="169"/>
        <v>10</v>
      </c>
      <c r="U1708" s="8">
        <v>0</v>
      </c>
      <c r="V1708" s="8">
        <v>0</v>
      </c>
      <c r="W1708" s="8">
        <v>2</v>
      </c>
      <c r="X1708" s="8">
        <v>0</v>
      </c>
      <c r="Y1708" s="8">
        <v>0</v>
      </c>
      <c r="Z1708" s="8">
        <v>0</v>
      </c>
      <c r="AA1708" s="8">
        <v>180</v>
      </c>
      <c r="AB1708" s="9">
        <f t="shared" si="170"/>
        <v>0.33333333333333337</v>
      </c>
      <c r="AC1708" s="10">
        <f t="shared" si="167"/>
        <v>29.999999999999996</v>
      </c>
      <c r="AD1708" s="8" t="s">
        <v>33</v>
      </c>
      <c r="AE1708" s="11">
        <v>65990</v>
      </c>
      <c r="AF1708" s="11">
        <f t="shared" si="168"/>
        <v>659900</v>
      </c>
      <c r="AG1708" s="12" t="s">
        <v>73</v>
      </c>
      <c r="AH1708" s="8" t="s">
        <v>35</v>
      </c>
    </row>
    <row r="1709" spans="1:34">
      <c r="A1709" s="8" t="s">
        <v>2365</v>
      </c>
      <c r="B1709" s="16" t="s">
        <v>2860</v>
      </c>
      <c r="C1709" s="8" t="s">
        <v>40</v>
      </c>
      <c r="D1709" s="8" t="s">
        <v>2354</v>
      </c>
      <c r="E1709" s="8" t="str">
        <f t="shared" si="166"/>
        <v>CHOCOLATE</v>
      </c>
      <c r="G1709" s="8" t="s">
        <v>2861</v>
      </c>
      <c r="H1709" s="8" t="str">
        <f>VLOOKUP(A1709,[1]BBDD!$B$1:$J$3274,9,FALSE)</f>
        <v>U</v>
      </c>
      <c r="I1709" s="8" t="s">
        <v>2861</v>
      </c>
      <c r="J1709" s="8" t="s">
        <v>2361</v>
      </c>
      <c r="L1709" s="8" t="s">
        <v>61</v>
      </c>
      <c r="N1709" s="8" t="s">
        <v>252</v>
      </c>
      <c r="O1709" s="8" t="s">
        <v>252</v>
      </c>
      <c r="Q1709" s="8" t="s">
        <v>45</v>
      </c>
      <c r="R1709" s="8">
        <v>0</v>
      </c>
      <c r="S1709" s="8">
        <v>3</v>
      </c>
      <c r="T1709" s="8">
        <f t="shared" si="169"/>
        <v>3</v>
      </c>
      <c r="U1709" s="8">
        <v>1</v>
      </c>
      <c r="V1709" s="8">
        <v>0</v>
      </c>
      <c r="W1709" s="8">
        <v>0</v>
      </c>
      <c r="X1709" s="8">
        <v>0</v>
      </c>
      <c r="Y1709" s="8">
        <v>1</v>
      </c>
      <c r="Z1709" s="8">
        <v>2</v>
      </c>
      <c r="AA1709" s="8">
        <v>180</v>
      </c>
      <c r="AB1709" s="9">
        <f t="shared" si="170"/>
        <v>0.66666666666666674</v>
      </c>
      <c r="AC1709" s="10">
        <f t="shared" si="167"/>
        <v>4.4999999999999991</v>
      </c>
      <c r="AD1709" s="8" t="s">
        <v>109</v>
      </c>
      <c r="AE1709" s="11">
        <v>65990</v>
      </c>
      <c r="AF1709" s="11">
        <f t="shared" si="168"/>
        <v>197970</v>
      </c>
      <c r="AG1709" s="12" t="s">
        <v>34</v>
      </c>
      <c r="AH1709" s="8" t="s">
        <v>35</v>
      </c>
    </row>
    <row r="1710" spans="1:34">
      <c r="A1710" s="8" t="s">
        <v>2366</v>
      </c>
      <c r="B1710" s="16" t="s">
        <v>2860</v>
      </c>
      <c r="C1710" s="8" t="s">
        <v>40</v>
      </c>
      <c r="D1710" s="8" t="s">
        <v>2354</v>
      </c>
      <c r="E1710" s="8" t="str">
        <f t="shared" si="166"/>
        <v>LONDON</v>
      </c>
      <c r="G1710" s="8" t="s">
        <v>2861</v>
      </c>
      <c r="H1710" s="8" t="str">
        <f>VLOOKUP(A1710,[1]BBDD!$B$1:$J$3274,9,FALSE)</f>
        <v>U</v>
      </c>
      <c r="I1710" s="8" t="s">
        <v>2861</v>
      </c>
      <c r="J1710" s="8" t="s">
        <v>2361</v>
      </c>
      <c r="L1710" s="8" t="s">
        <v>61</v>
      </c>
      <c r="N1710" s="8" t="s">
        <v>108</v>
      </c>
      <c r="O1710" s="8" t="s">
        <v>108</v>
      </c>
      <c r="Q1710" s="8" t="s">
        <v>45</v>
      </c>
      <c r="R1710" s="8">
        <v>0</v>
      </c>
      <c r="S1710" s="8">
        <v>7</v>
      </c>
      <c r="T1710" s="8">
        <f t="shared" si="169"/>
        <v>7</v>
      </c>
      <c r="U1710" s="8">
        <v>1</v>
      </c>
      <c r="V1710" s="8">
        <v>0</v>
      </c>
      <c r="W1710" s="8">
        <v>1</v>
      </c>
      <c r="X1710" s="8">
        <v>0</v>
      </c>
      <c r="Y1710" s="8">
        <v>1</v>
      </c>
      <c r="Z1710" s="8">
        <v>0</v>
      </c>
      <c r="AA1710" s="8">
        <v>180</v>
      </c>
      <c r="AB1710" s="9">
        <f t="shared" si="170"/>
        <v>0.5</v>
      </c>
      <c r="AC1710" s="10">
        <f t="shared" si="167"/>
        <v>14</v>
      </c>
      <c r="AD1710" s="8" t="s">
        <v>109</v>
      </c>
      <c r="AE1710" s="11">
        <v>65990</v>
      </c>
      <c r="AF1710" s="11">
        <f t="shared" si="168"/>
        <v>461930</v>
      </c>
      <c r="AG1710" s="12" t="s">
        <v>64</v>
      </c>
      <c r="AH1710" s="8" t="s">
        <v>35</v>
      </c>
    </row>
    <row r="1711" spans="1:34">
      <c r="A1711" s="8" t="s">
        <v>2367</v>
      </c>
      <c r="B1711" s="16" t="s">
        <v>2860</v>
      </c>
      <c r="C1711" s="8" t="s">
        <v>40</v>
      </c>
      <c r="D1711" s="8" t="s">
        <v>2354</v>
      </c>
      <c r="E1711" s="8" t="str">
        <f t="shared" si="166"/>
        <v>SUELA</v>
      </c>
      <c r="G1711" s="8" t="s">
        <v>2861</v>
      </c>
      <c r="H1711" s="8" t="str">
        <f>VLOOKUP(A1711,[1]BBDD!$B$1:$J$3274,9,FALSE)</f>
        <v>U</v>
      </c>
      <c r="I1711" s="8" t="s">
        <v>2861</v>
      </c>
      <c r="J1711" s="8" t="s">
        <v>2361</v>
      </c>
      <c r="L1711" s="8" t="s">
        <v>61</v>
      </c>
      <c r="N1711" s="8" t="s">
        <v>90</v>
      </c>
      <c r="O1711" s="8" t="s">
        <v>90</v>
      </c>
      <c r="Q1711" s="8" t="s">
        <v>45</v>
      </c>
      <c r="R1711" s="8">
        <v>7</v>
      </c>
      <c r="S1711" s="8">
        <v>9</v>
      </c>
      <c r="T1711" s="8">
        <f t="shared" si="169"/>
        <v>16</v>
      </c>
      <c r="U1711" s="8">
        <v>2</v>
      </c>
      <c r="V1711" s="8">
        <v>0</v>
      </c>
      <c r="W1711" s="8">
        <v>0</v>
      </c>
      <c r="X1711" s="8">
        <v>1</v>
      </c>
      <c r="Y1711" s="8">
        <v>2</v>
      </c>
      <c r="Z1711" s="8">
        <v>0</v>
      </c>
      <c r="AA1711" s="8">
        <v>180</v>
      </c>
      <c r="AB1711" s="9">
        <f t="shared" si="170"/>
        <v>0.83333333333333326</v>
      </c>
      <c r="AC1711" s="10">
        <f t="shared" si="167"/>
        <v>19.200000000000003</v>
      </c>
      <c r="AD1711" s="8" t="s">
        <v>109</v>
      </c>
      <c r="AE1711" s="11">
        <v>65990</v>
      </c>
      <c r="AF1711" s="11">
        <f t="shared" si="168"/>
        <v>1055840</v>
      </c>
      <c r="AG1711" s="12" t="s">
        <v>64</v>
      </c>
      <c r="AH1711" s="8" t="s">
        <v>65</v>
      </c>
    </row>
    <row r="1712" spans="1:34">
      <c r="A1712" s="8" t="s">
        <v>2368</v>
      </c>
      <c r="B1712" s="16" t="s">
        <v>2860</v>
      </c>
      <c r="C1712" s="8" t="s">
        <v>40</v>
      </c>
      <c r="D1712" s="8" t="s">
        <v>2354</v>
      </c>
      <c r="E1712" s="8" t="str">
        <f t="shared" si="166"/>
        <v>CEDRO</v>
      </c>
      <c r="G1712" s="8" t="s">
        <v>2861</v>
      </c>
      <c r="H1712" s="8" t="str">
        <f>VLOOKUP(A1712,[1]BBDD!$B$1:$J$3274,9,FALSE)</f>
        <v>U</v>
      </c>
      <c r="I1712" s="8" t="s">
        <v>2861</v>
      </c>
      <c r="J1712" s="8" t="s">
        <v>2361</v>
      </c>
      <c r="L1712" s="8" t="s">
        <v>112</v>
      </c>
      <c r="N1712" s="8" t="s">
        <v>113</v>
      </c>
      <c r="O1712" s="8" t="s">
        <v>113</v>
      </c>
      <c r="Q1712" s="8" t="s">
        <v>45</v>
      </c>
      <c r="R1712" s="8">
        <v>0</v>
      </c>
      <c r="S1712" s="8">
        <v>5</v>
      </c>
      <c r="T1712" s="8">
        <f t="shared" si="169"/>
        <v>5</v>
      </c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8">
        <v>180</v>
      </c>
      <c r="AB1712" s="9">
        <f t="shared" si="170"/>
        <v>0</v>
      </c>
      <c r="AC1712" s="10" t="str">
        <f t="shared" si="167"/>
        <v>sin venta</v>
      </c>
      <c r="AD1712" s="8" t="s">
        <v>109</v>
      </c>
      <c r="AE1712" s="11">
        <v>65990</v>
      </c>
      <c r="AF1712" s="11">
        <f t="shared" si="168"/>
        <v>329950</v>
      </c>
      <c r="AG1712" s="12" t="s">
        <v>73</v>
      </c>
      <c r="AH1712" s="8" t="s">
        <v>35</v>
      </c>
    </row>
    <row r="1713" spans="1:34">
      <c r="A1713" s="8" t="s">
        <v>2369</v>
      </c>
      <c r="B1713" s="16" t="s">
        <v>2860</v>
      </c>
      <c r="C1713" s="8" t="s">
        <v>40</v>
      </c>
      <c r="D1713" s="8" t="s">
        <v>2354</v>
      </c>
      <c r="E1713" s="8" t="str">
        <f t="shared" si="166"/>
        <v>CARAMELO</v>
      </c>
      <c r="G1713" s="8" t="s">
        <v>2861</v>
      </c>
      <c r="H1713" s="8" t="str">
        <f>VLOOKUP(A1713,[1]BBDD!$B$1:$J$3274,9,FALSE)</f>
        <v>U</v>
      </c>
      <c r="I1713" s="8" t="s">
        <v>2861</v>
      </c>
      <c r="J1713" s="8" t="s">
        <v>2361</v>
      </c>
      <c r="L1713" s="8" t="s">
        <v>82</v>
      </c>
      <c r="N1713" s="8" t="s">
        <v>62</v>
      </c>
      <c r="O1713" s="8" t="s">
        <v>62</v>
      </c>
      <c r="Q1713" s="8" t="s">
        <v>45</v>
      </c>
      <c r="R1713" s="8">
        <v>0</v>
      </c>
      <c r="S1713" s="8">
        <v>1</v>
      </c>
      <c r="T1713" s="8">
        <f t="shared" si="169"/>
        <v>1</v>
      </c>
      <c r="U1713" s="8">
        <v>0</v>
      </c>
      <c r="V1713" s="8">
        <v>0</v>
      </c>
      <c r="W1713" s="8">
        <v>0</v>
      </c>
      <c r="X1713" s="8">
        <v>1</v>
      </c>
      <c r="Y1713" s="8">
        <v>0</v>
      </c>
      <c r="Z1713" s="8">
        <v>0</v>
      </c>
      <c r="AA1713" s="8">
        <v>180</v>
      </c>
      <c r="AB1713" s="9">
        <f t="shared" si="170"/>
        <v>0.16666666666666669</v>
      </c>
      <c r="AC1713" s="10">
        <f t="shared" si="167"/>
        <v>5.9999999999999991</v>
      </c>
      <c r="AD1713" s="8" t="s">
        <v>109</v>
      </c>
      <c r="AE1713" s="11">
        <v>65990</v>
      </c>
      <c r="AF1713" s="11">
        <f t="shared" si="168"/>
        <v>65990</v>
      </c>
      <c r="AG1713" s="12" t="s">
        <v>34</v>
      </c>
      <c r="AH1713" s="8" t="s">
        <v>35</v>
      </c>
    </row>
    <row r="1714" spans="1:34">
      <c r="A1714" s="8" t="s">
        <v>2370</v>
      </c>
      <c r="B1714" s="16" t="s">
        <v>2860</v>
      </c>
      <c r="C1714" s="8" t="s">
        <v>40</v>
      </c>
      <c r="D1714" s="8" t="s">
        <v>2354</v>
      </c>
      <c r="E1714" s="8" t="str">
        <f t="shared" si="166"/>
        <v>NEGRO</v>
      </c>
      <c r="G1714" s="8" t="s">
        <v>2861</v>
      </c>
      <c r="H1714" s="8" t="str">
        <f>VLOOKUP(A1714,[1]BBDD!$B$1:$J$3274,9,FALSE)</f>
        <v>U</v>
      </c>
      <c r="I1714" s="8" t="s">
        <v>2861</v>
      </c>
      <c r="J1714" s="8" t="s">
        <v>2361</v>
      </c>
      <c r="L1714" s="8" t="s">
        <v>82</v>
      </c>
      <c r="N1714" s="8" t="s">
        <v>44</v>
      </c>
      <c r="O1714" s="8" t="s">
        <v>44</v>
      </c>
      <c r="Q1714" s="8" t="s">
        <v>45</v>
      </c>
      <c r="R1714" s="8">
        <v>0</v>
      </c>
      <c r="S1714" s="8">
        <v>1</v>
      </c>
      <c r="T1714" s="8">
        <f t="shared" si="169"/>
        <v>1</v>
      </c>
      <c r="U1714" s="8">
        <v>0</v>
      </c>
      <c r="V1714" s="8">
        <v>1</v>
      </c>
      <c r="W1714" s="8">
        <v>0</v>
      </c>
      <c r="X1714" s="8">
        <v>0</v>
      </c>
      <c r="Y1714" s="8">
        <v>0</v>
      </c>
      <c r="Z1714" s="8">
        <v>0</v>
      </c>
      <c r="AA1714" s="8">
        <v>180</v>
      </c>
      <c r="AB1714" s="9">
        <f t="shared" si="170"/>
        <v>0.16666666666666669</v>
      </c>
      <c r="AC1714" s="10">
        <f t="shared" si="167"/>
        <v>5.9999999999999991</v>
      </c>
      <c r="AD1714" s="8" t="s">
        <v>109</v>
      </c>
      <c r="AE1714" s="11">
        <v>65990</v>
      </c>
      <c r="AF1714" s="11">
        <f t="shared" si="168"/>
        <v>65990</v>
      </c>
      <c r="AG1714" s="12" t="s">
        <v>34</v>
      </c>
      <c r="AH1714" s="8" t="s">
        <v>35</v>
      </c>
    </row>
    <row r="1715" spans="1:34">
      <c r="A1715" s="8" t="s">
        <v>2371</v>
      </c>
      <c r="B1715" s="16" t="s">
        <v>2860</v>
      </c>
      <c r="C1715" s="8" t="s">
        <v>40</v>
      </c>
      <c r="D1715" s="8" t="s">
        <v>2354</v>
      </c>
      <c r="E1715" s="8" t="str">
        <f t="shared" si="166"/>
        <v>CARAMELO</v>
      </c>
      <c r="G1715" s="8" t="s">
        <v>2861</v>
      </c>
      <c r="H1715" s="8" t="str">
        <f>VLOOKUP(A1715,[1]BBDD!$B$1:$J$3274,9,FALSE)</f>
        <v>H</v>
      </c>
      <c r="I1715" s="19" t="s">
        <v>2863</v>
      </c>
      <c r="J1715" s="8" t="s">
        <v>2372</v>
      </c>
      <c r="L1715" s="8" t="s">
        <v>61</v>
      </c>
      <c r="N1715" s="8" t="s">
        <v>62</v>
      </c>
      <c r="O1715" s="8" t="s">
        <v>62</v>
      </c>
      <c r="Q1715" s="8" t="s">
        <v>32</v>
      </c>
      <c r="R1715" s="8">
        <v>0</v>
      </c>
      <c r="S1715" s="8">
        <v>2</v>
      </c>
      <c r="T1715" s="8">
        <f t="shared" si="169"/>
        <v>2</v>
      </c>
      <c r="U1715" s="8">
        <v>0</v>
      </c>
      <c r="V1715" s="8">
        <v>2</v>
      </c>
      <c r="W1715" s="8">
        <v>0</v>
      </c>
      <c r="X1715" s="8">
        <v>1</v>
      </c>
      <c r="Y1715" s="8">
        <v>0</v>
      </c>
      <c r="Z1715" s="8">
        <v>0</v>
      </c>
      <c r="AA1715" s="8">
        <v>180</v>
      </c>
      <c r="AB1715" s="9">
        <f t="shared" si="170"/>
        <v>0.5</v>
      </c>
      <c r="AC1715" s="10">
        <f t="shared" si="167"/>
        <v>4</v>
      </c>
      <c r="AD1715" s="8" t="s">
        <v>33</v>
      </c>
      <c r="AE1715" s="11">
        <v>117990</v>
      </c>
      <c r="AF1715" s="11">
        <f t="shared" si="168"/>
        <v>235980</v>
      </c>
      <c r="AG1715" s="12" t="s">
        <v>34</v>
      </c>
      <c r="AH1715" s="8" t="s">
        <v>35</v>
      </c>
    </row>
    <row r="1716" spans="1:34">
      <c r="A1716" s="8" t="s">
        <v>2373</v>
      </c>
      <c r="B1716" s="16" t="s">
        <v>2860</v>
      </c>
      <c r="C1716" s="8" t="s">
        <v>40</v>
      </c>
      <c r="D1716" s="8" t="s">
        <v>2354</v>
      </c>
      <c r="E1716" s="8" t="str">
        <f t="shared" si="166"/>
        <v>CHOCOLATE</v>
      </c>
      <c r="G1716" s="8" t="s">
        <v>2861</v>
      </c>
      <c r="H1716" s="8" t="str">
        <f>VLOOKUP(A1716,[1]BBDD!$B$1:$J$3274,9,FALSE)</f>
        <v>H</v>
      </c>
      <c r="I1716" s="19" t="s">
        <v>2863</v>
      </c>
      <c r="J1716" s="8" t="s">
        <v>2372</v>
      </c>
      <c r="L1716" s="8" t="s">
        <v>61</v>
      </c>
      <c r="N1716" s="8" t="s">
        <v>252</v>
      </c>
      <c r="O1716" s="8" t="s">
        <v>252</v>
      </c>
      <c r="Q1716" s="8" t="s">
        <v>32</v>
      </c>
      <c r="R1716" s="8">
        <v>0</v>
      </c>
      <c r="S1716" s="8">
        <v>2</v>
      </c>
      <c r="T1716" s="8">
        <f t="shared" si="169"/>
        <v>2</v>
      </c>
      <c r="U1716" s="8">
        <v>1</v>
      </c>
      <c r="V1716" s="8">
        <v>0</v>
      </c>
      <c r="W1716" s="8">
        <v>3</v>
      </c>
      <c r="X1716" s="8">
        <v>0</v>
      </c>
      <c r="Y1716" s="8">
        <v>1</v>
      </c>
      <c r="Z1716" s="8">
        <v>2</v>
      </c>
      <c r="AA1716" s="8">
        <v>180</v>
      </c>
      <c r="AB1716" s="9">
        <f t="shared" si="170"/>
        <v>1.1666666666666667</v>
      </c>
      <c r="AC1716" s="10">
        <f t="shared" si="167"/>
        <v>1.7142857142857142</v>
      </c>
      <c r="AD1716" s="8" t="s">
        <v>33</v>
      </c>
      <c r="AE1716" s="11">
        <v>117990</v>
      </c>
      <c r="AF1716" s="11">
        <f t="shared" si="168"/>
        <v>235980</v>
      </c>
      <c r="AG1716" s="12" t="s">
        <v>34</v>
      </c>
      <c r="AH1716" s="8" t="s">
        <v>35</v>
      </c>
    </row>
    <row r="1717" spans="1:34">
      <c r="A1717" s="8" t="s">
        <v>2374</v>
      </c>
      <c r="B1717" s="16" t="s">
        <v>2860</v>
      </c>
      <c r="C1717" s="8" t="s">
        <v>40</v>
      </c>
      <c r="D1717" s="8" t="s">
        <v>2354</v>
      </c>
      <c r="E1717" s="8" t="str">
        <f t="shared" si="166"/>
        <v>NEGRO</v>
      </c>
      <c r="G1717" s="8" t="s">
        <v>2861</v>
      </c>
      <c r="H1717" s="8" t="str">
        <f>VLOOKUP(A1717,[1]BBDD!$B$1:$J$3274,9,FALSE)</f>
        <v>H</v>
      </c>
      <c r="I1717" s="19" t="s">
        <v>2863</v>
      </c>
      <c r="J1717" s="8" t="s">
        <v>2372</v>
      </c>
      <c r="L1717" s="8" t="s">
        <v>61</v>
      </c>
      <c r="N1717" s="8" t="s">
        <v>44</v>
      </c>
      <c r="O1717" s="8" t="s">
        <v>44</v>
      </c>
      <c r="Q1717" s="8" t="s">
        <v>32</v>
      </c>
      <c r="R1717" s="8">
        <v>0</v>
      </c>
      <c r="S1717" s="8">
        <v>3</v>
      </c>
      <c r="T1717" s="8">
        <f t="shared" si="169"/>
        <v>3</v>
      </c>
      <c r="U1717" s="8">
        <v>1</v>
      </c>
      <c r="V1717" s="8">
        <v>1</v>
      </c>
      <c r="W1717" s="8">
        <v>1</v>
      </c>
      <c r="X1717" s="8">
        <v>0</v>
      </c>
      <c r="Y1717" s="8">
        <v>2</v>
      </c>
      <c r="Z1717" s="8">
        <v>0</v>
      </c>
      <c r="AA1717" s="8">
        <v>180</v>
      </c>
      <c r="AB1717" s="9">
        <f t="shared" si="170"/>
        <v>0.83333333333333326</v>
      </c>
      <c r="AC1717" s="10">
        <f t="shared" si="167"/>
        <v>3.6000000000000005</v>
      </c>
      <c r="AD1717" s="8" t="s">
        <v>33</v>
      </c>
      <c r="AE1717" s="11">
        <v>117990</v>
      </c>
      <c r="AF1717" s="11">
        <f t="shared" si="168"/>
        <v>353970</v>
      </c>
      <c r="AG1717" s="12" t="s">
        <v>34</v>
      </c>
      <c r="AH1717" s="8" t="s">
        <v>35</v>
      </c>
    </row>
    <row r="1718" spans="1:34">
      <c r="A1718" s="8" t="s">
        <v>2375</v>
      </c>
      <c r="B1718" s="16" t="s">
        <v>2860</v>
      </c>
      <c r="C1718" s="8" t="s">
        <v>40</v>
      </c>
      <c r="D1718" s="8" t="s">
        <v>2354</v>
      </c>
      <c r="E1718" s="8" t="str">
        <f t="shared" si="166"/>
        <v>TABACO</v>
      </c>
      <c r="G1718" s="8" t="s">
        <v>2861</v>
      </c>
      <c r="H1718" s="8" t="str">
        <f>VLOOKUP(A1718,[1]BBDD!$B$1:$J$3274,9,FALSE)</f>
        <v>H</v>
      </c>
      <c r="I1718" s="19" t="s">
        <v>2863</v>
      </c>
      <c r="J1718" s="8" t="s">
        <v>2372</v>
      </c>
      <c r="L1718" s="8" t="s">
        <v>61</v>
      </c>
      <c r="N1718" s="8" t="s">
        <v>67</v>
      </c>
      <c r="O1718" s="8" t="s">
        <v>67</v>
      </c>
      <c r="Q1718" s="8" t="s">
        <v>32</v>
      </c>
      <c r="R1718" s="8">
        <v>0</v>
      </c>
      <c r="S1718" s="8">
        <v>5</v>
      </c>
      <c r="T1718" s="8">
        <f t="shared" si="169"/>
        <v>5</v>
      </c>
      <c r="U1718" s="8">
        <v>0</v>
      </c>
      <c r="V1718" s="8">
        <v>1</v>
      </c>
      <c r="W1718" s="8">
        <v>1</v>
      </c>
      <c r="X1718" s="8">
        <v>0</v>
      </c>
      <c r="Y1718" s="8">
        <v>0</v>
      </c>
      <c r="Z1718" s="8">
        <v>0</v>
      </c>
      <c r="AA1718" s="8">
        <v>180</v>
      </c>
      <c r="AB1718" s="9">
        <f t="shared" si="170"/>
        <v>0.33333333333333337</v>
      </c>
      <c r="AC1718" s="10">
        <f t="shared" si="167"/>
        <v>14.999999999999998</v>
      </c>
      <c r="AD1718" s="8" t="s">
        <v>33</v>
      </c>
      <c r="AE1718" s="11">
        <v>117990</v>
      </c>
      <c r="AF1718" s="11">
        <f t="shared" si="168"/>
        <v>589950</v>
      </c>
      <c r="AG1718" s="12" t="s">
        <v>64</v>
      </c>
      <c r="AH1718" s="8" t="s">
        <v>35</v>
      </c>
    </row>
    <row r="1719" spans="1:34">
      <c r="A1719" s="8" t="s">
        <v>2376</v>
      </c>
      <c r="B1719" s="16" t="s">
        <v>2860</v>
      </c>
      <c r="C1719" s="8" t="s">
        <v>40</v>
      </c>
      <c r="D1719" s="8" t="s">
        <v>2354</v>
      </c>
      <c r="E1719" s="8" t="str">
        <f t="shared" si="166"/>
        <v>NEGRO</v>
      </c>
      <c r="G1719" s="8" t="s">
        <v>2861</v>
      </c>
      <c r="H1719" s="8" t="str">
        <f>VLOOKUP(A1719,[1]BBDD!$B$1:$J$3274,9,FALSE)</f>
        <v>H</v>
      </c>
      <c r="I1719" s="19" t="s">
        <v>2863</v>
      </c>
      <c r="J1719" s="8" t="s">
        <v>2377</v>
      </c>
      <c r="L1719" s="8" t="s">
        <v>61</v>
      </c>
      <c r="N1719" s="8" t="s">
        <v>44</v>
      </c>
      <c r="O1719" s="8" t="s">
        <v>44</v>
      </c>
      <c r="Q1719" s="8" t="s">
        <v>32</v>
      </c>
      <c r="R1719" s="8">
        <v>0</v>
      </c>
      <c r="S1719" s="8">
        <v>2</v>
      </c>
      <c r="T1719" s="8">
        <f t="shared" si="169"/>
        <v>2</v>
      </c>
      <c r="U1719" s="8">
        <v>1</v>
      </c>
      <c r="V1719" s="8">
        <v>2</v>
      </c>
      <c r="W1719" s="8">
        <v>0</v>
      </c>
      <c r="X1719" s="8">
        <v>2</v>
      </c>
      <c r="Y1719" s="8">
        <v>0</v>
      </c>
      <c r="Z1719" s="8">
        <v>2</v>
      </c>
      <c r="AA1719" s="8">
        <v>180</v>
      </c>
      <c r="AB1719" s="9">
        <f t="shared" si="170"/>
        <v>1.1666666666666667</v>
      </c>
      <c r="AC1719" s="10">
        <f t="shared" si="167"/>
        <v>1.7142857142857142</v>
      </c>
      <c r="AD1719" s="8" t="s">
        <v>33</v>
      </c>
      <c r="AE1719" s="11">
        <v>117990</v>
      </c>
      <c r="AF1719" s="11">
        <f t="shared" si="168"/>
        <v>235980</v>
      </c>
      <c r="AG1719" s="12" t="s">
        <v>34</v>
      </c>
      <c r="AH1719" s="8" t="s">
        <v>35</v>
      </c>
    </row>
    <row r="1720" spans="1:34">
      <c r="A1720" s="8" t="s">
        <v>2378</v>
      </c>
      <c r="B1720" s="16" t="s">
        <v>2860</v>
      </c>
      <c r="C1720" s="8" t="s">
        <v>40</v>
      </c>
      <c r="D1720" s="8" t="s">
        <v>2354</v>
      </c>
      <c r="E1720" s="8" t="str">
        <f t="shared" si="166"/>
        <v>CHOCOLATE</v>
      </c>
      <c r="G1720" s="8" t="s">
        <v>2861</v>
      </c>
      <c r="H1720" s="8" t="str">
        <f>VLOOKUP(A1720,[1]BBDD!$B$1:$J$3274,9,FALSE)</f>
        <v>H</v>
      </c>
      <c r="I1720" s="19" t="s">
        <v>2863</v>
      </c>
      <c r="J1720" s="8" t="s">
        <v>2379</v>
      </c>
      <c r="L1720" s="8" t="s">
        <v>61</v>
      </c>
      <c r="N1720" s="8" t="s">
        <v>252</v>
      </c>
      <c r="O1720" s="8" t="s">
        <v>252</v>
      </c>
      <c r="Q1720" s="8" t="s">
        <v>32</v>
      </c>
      <c r="R1720" s="8">
        <v>0</v>
      </c>
      <c r="S1720" s="8">
        <v>0</v>
      </c>
      <c r="T1720" s="8">
        <f t="shared" si="169"/>
        <v>0</v>
      </c>
      <c r="U1720" s="8">
        <v>0</v>
      </c>
      <c r="V1720" s="8">
        <v>0</v>
      </c>
      <c r="W1720" s="8">
        <v>1</v>
      </c>
      <c r="X1720" s="8">
        <v>0</v>
      </c>
      <c r="Y1720" s="8">
        <v>0</v>
      </c>
      <c r="Z1720" s="8">
        <v>0</v>
      </c>
      <c r="AA1720" s="8">
        <v>180</v>
      </c>
      <c r="AB1720" s="9">
        <f t="shared" si="170"/>
        <v>0.16666666666666669</v>
      </c>
      <c r="AC1720" s="10">
        <f t="shared" si="167"/>
        <v>0</v>
      </c>
      <c r="AD1720" s="8" t="s">
        <v>33</v>
      </c>
      <c r="AE1720" s="11">
        <v>127990</v>
      </c>
      <c r="AF1720" s="11">
        <f t="shared" si="168"/>
        <v>0</v>
      </c>
      <c r="AG1720" s="12" t="s">
        <v>34</v>
      </c>
      <c r="AH1720" s="8" t="s">
        <v>35</v>
      </c>
    </row>
    <row r="1721" spans="1:34">
      <c r="A1721" s="8" t="s">
        <v>2380</v>
      </c>
      <c r="B1721" s="16" t="s">
        <v>2860</v>
      </c>
      <c r="C1721" s="8" t="s">
        <v>40</v>
      </c>
      <c r="D1721" s="8" t="s">
        <v>2354</v>
      </c>
      <c r="E1721" s="8" t="str">
        <f t="shared" si="166"/>
        <v>NEGRO</v>
      </c>
      <c r="G1721" s="8" t="s">
        <v>2861</v>
      </c>
      <c r="H1721" s="8" t="str">
        <f>VLOOKUP(A1721,[1]BBDD!$B$1:$J$3274,9,FALSE)</f>
        <v>H</v>
      </c>
      <c r="I1721" s="19" t="s">
        <v>2863</v>
      </c>
      <c r="J1721" s="8" t="s">
        <v>2379</v>
      </c>
      <c r="L1721" s="8" t="s">
        <v>61</v>
      </c>
      <c r="N1721" s="8" t="s">
        <v>44</v>
      </c>
      <c r="O1721" s="8" t="s">
        <v>44</v>
      </c>
      <c r="Q1721" s="8" t="s">
        <v>32</v>
      </c>
      <c r="R1721" s="8">
        <v>0</v>
      </c>
      <c r="S1721" s="8">
        <v>2</v>
      </c>
      <c r="T1721" s="8">
        <f t="shared" si="169"/>
        <v>2</v>
      </c>
      <c r="U1721" s="8">
        <v>0</v>
      </c>
      <c r="V1721" s="8">
        <v>2</v>
      </c>
      <c r="W1721" s="8">
        <v>2</v>
      </c>
      <c r="X1721" s="8">
        <v>1</v>
      </c>
      <c r="Y1721" s="8">
        <v>0</v>
      </c>
      <c r="Z1721" s="8">
        <v>0</v>
      </c>
      <c r="AA1721" s="8">
        <v>180</v>
      </c>
      <c r="AB1721" s="9">
        <f t="shared" si="170"/>
        <v>0.83333333333333326</v>
      </c>
      <c r="AC1721" s="10">
        <f t="shared" si="167"/>
        <v>2.4000000000000004</v>
      </c>
      <c r="AD1721" s="8" t="s">
        <v>33</v>
      </c>
      <c r="AE1721" s="11">
        <v>127990</v>
      </c>
      <c r="AF1721" s="11">
        <f t="shared" si="168"/>
        <v>255980</v>
      </c>
      <c r="AG1721" s="12" t="s">
        <v>34</v>
      </c>
      <c r="AH1721" s="8" t="s">
        <v>35</v>
      </c>
    </row>
    <row r="1722" spans="1:34">
      <c r="A1722" s="8" t="s">
        <v>2381</v>
      </c>
      <c r="B1722" s="16" t="s">
        <v>2860</v>
      </c>
      <c r="C1722" s="8" t="s">
        <v>40</v>
      </c>
      <c r="D1722" s="8" t="s">
        <v>2354</v>
      </c>
      <c r="E1722" s="8" t="str">
        <f t="shared" si="166"/>
        <v>TABACO</v>
      </c>
      <c r="G1722" s="8" t="s">
        <v>2861</v>
      </c>
      <c r="H1722" s="8" t="str">
        <f>VLOOKUP(A1722,[1]BBDD!$B$1:$J$3274,9,FALSE)</f>
        <v>H</v>
      </c>
      <c r="I1722" s="19" t="s">
        <v>2863</v>
      </c>
      <c r="J1722" s="8" t="s">
        <v>2379</v>
      </c>
      <c r="L1722" s="8" t="s">
        <v>61</v>
      </c>
      <c r="N1722" s="8" t="s">
        <v>67</v>
      </c>
      <c r="O1722" s="8" t="s">
        <v>67</v>
      </c>
      <c r="Q1722" s="8" t="s">
        <v>32</v>
      </c>
      <c r="R1722" s="8">
        <v>0</v>
      </c>
      <c r="S1722" s="8">
        <v>1</v>
      </c>
      <c r="T1722" s="8">
        <f t="shared" si="169"/>
        <v>1</v>
      </c>
      <c r="U1722" s="8">
        <v>2</v>
      </c>
      <c r="V1722" s="8">
        <v>2</v>
      </c>
      <c r="W1722" s="8">
        <v>1</v>
      </c>
      <c r="X1722" s="8">
        <v>0</v>
      </c>
      <c r="Y1722" s="8">
        <v>2</v>
      </c>
      <c r="Z1722" s="8">
        <v>0</v>
      </c>
      <c r="AA1722" s="8">
        <v>180</v>
      </c>
      <c r="AB1722" s="9">
        <f t="shared" si="170"/>
        <v>1.1666666666666667</v>
      </c>
      <c r="AC1722" s="10">
        <f t="shared" si="167"/>
        <v>0.8571428571428571</v>
      </c>
      <c r="AD1722" s="8" t="s">
        <v>33</v>
      </c>
      <c r="AE1722" s="11">
        <v>127990</v>
      </c>
      <c r="AF1722" s="11">
        <f t="shared" si="168"/>
        <v>127990</v>
      </c>
      <c r="AG1722" s="12" t="s">
        <v>34</v>
      </c>
      <c r="AH1722" s="8" t="s">
        <v>35</v>
      </c>
    </row>
    <row r="1723" spans="1:34">
      <c r="A1723" s="8" t="s">
        <v>2382</v>
      </c>
      <c r="B1723" s="16" t="s">
        <v>2860</v>
      </c>
      <c r="C1723" s="8" t="s">
        <v>40</v>
      </c>
      <c r="D1723" s="8" t="s">
        <v>2354</v>
      </c>
      <c r="E1723" s="8" t="str">
        <f t="shared" si="166"/>
        <v>CARAMELO</v>
      </c>
      <c r="G1723" s="8" t="s">
        <v>2861</v>
      </c>
      <c r="H1723" s="8" t="str">
        <f>VLOOKUP(A1723,[1]BBDD!$B$1:$J$3274,9,FALSE)</f>
        <v>H</v>
      </c>
      <c r="I1723" s="19" t="s">
        <v>2863</v>
      </c>
      <c r="J1723" s="8" t="s">
        <v>2379</v>
      </c>
      <c r="L1723" s="8" t="s">
        <v>61</v>
      </c>
      <c r="N1723" s="8" t="s">
        <v>62</v>
      </c>
      <c r="O1723" s="8" t="s">
        <v>62</v>
      </c>
      <c r="Q1723" s="8" t="s">
        <v>45</v>
      </c>
      <c r="R1723" s="8">
        <v>0</v>
      </c>
      <c r="S1723" s="8">
        <v>5</v>
      </c>
      <c r="T1723" s="8">
        <f t="shared" si="169"/>
        <v>5</v>
      </c>
      <c r="U1723" s="8">
        <v>1</v>
      </c>
      <c r="V1723" s="8">
        <v>0</v>
      </c>
      <c r="W1723" s="8">
        <v>1</v>
      </c>
      <c r="X1723" s="8">
        <v>0</v>
      </c>
      <c r="Y1723" s="8">
        <v>0</v>
      </c>
      <c r="Z1723" s="8">
        <v>0</v>
      </c>
      <c r="AA1723" s="8">
        <v>180</v>
      </c>
      <c r="AB1723" s="9">
        <f t="shared" si="170"/>
        <v>0.33333333333333337</v>
      </c>
      <c r="AC1723" s="10">
        <f t="shared" si="167"/>
        <v>14.999999999999998</v>
      </c>
      <c r="AD1723" s="8" t="s">
        <v>109</v>
      </c>
      <c r="AE1723" s="11">
        <v>127990</v>
      </c>
      <c r="AF1723" s="11">
        <f t="shared" si="168"/>
        <v>639950</v>
      </c>
      <c r="AG1723" s="12" t="s">
        <v>64</v>
      </c>
      <c r="AH1723" s="8" t="s">
        <v>35</v>
      </c>
    </row>
    <row r="1724" spans="1:34">
      <c r="A1724" s="8" t="s">
        <v>2383</v>
      </c>
      <c r="B1724" s="16" t="s">
        <v>2860</v>
      </c>
      <c r="C1724" s="8" t="s">
        <v>40</v>
      </c>
      <c r="D1724" s="8" t="s">
        <v>2354</v>
      </c>
      <c r="E1724" s="8" t="str">
        <f t="shared" si="166"/>
        <v>NEGRO</v>
      </c>
      <c r="G1724" s="8" t="s">
        <v>2861</v>
      </c>
      <c r="H1724" s="8" t="str">
        <f>VLOOKUP(A1724,[1]BBDD!$B$1:$J$3274,9,FALSE)</f>
        <v>H</v>
      </c>
      <c r="I1724" s="19" t="s">
        <v>2863</v>
      </c>
      <c r="J1724" s="8" t="s">
        <v>2379</v>
      </c>
      <c r="L1724" s="8" t="s">
        <v>82</v>
      </c>
      <c r="N1724" s="8" t="s">
        <v>44</v>
      </c>
      <c r="O1724" s="8" t="s">
        <v>44</v>
      </c>
      <c r="Q1724" s="8" t="s">
        <v>32</v>
      </c>
      <c r="R1724" s="8">
        <v>0</v>
      </c>
      <c r="S1724" s="8">
        <v>7</v>
      </c>
      <c r="T1724" s="8">
        <f t="shared" si="169"/>
        <v>7</v>
      </c>
      <c r="U1724" s="8">
        <v>0</v>
      </c>
      <c r="V1724" s="8">
        <v>0</v>
      </c>
      <c r="W1724" s="8">
        <v>0</v>
      </c>
      <c r="X1724" s="8">
        <v>0</v>
      </c>
      <c r="Y1724" s="8">
        <v>1</v>
      </c>
      <c r="Z1724" s="8">
        <v>0</v>
      </c>
      <c r="AA1724" s="8">
        <v>180</v>
      </c>
      <c r="AB1724" s="9">
        <f t="shared" si="170"/>
        <v>0.16666666666666669</v>
      </c>
      <c r="AC1724" s="10">
        <f t="shared" si="167"/>
        <v>41.999999999999993</v>
      </c>
      <c r="AD1724" s="8" t="s">
        <v>33</v>
      </c>
      <c r="AE1724" s="11">
        <v>127990</v>
      </c>
      <c r="AF1724" s="11">
        <f t="shared" si="168"/>
        <v>895930</v>
      </c>
      <c r="AG1724" s="12" t="s">
        <v>73</v>
      </c>
      <c r="AH1724" s="8" t="s">
        <v>35</v>
      </c>
    </row>
    <row r="1725" spans="1:34">
      <c r="A1725" s="8" t="s">
        <v>2384</v>
      </c>
      <c r="B1725" s="16" t="s">
        <v>2860</v>
      </c>
      <c r="C1725" s="8" t="s">
        <v>40</v>
      </c>
      <c r="D1725" s="8" t="s">
        <v>2354</v>
      </c>
      <c r="E1725" s="8" t="str">
        <f t="shared" si="166"/>
        <v>NEGRO</v>
      </c>
      <c r="G1725" s="8" t="s">
        <v>2861</v>
      </c>
      <c r="H1725" s="8" t="str">
        <f>VLOOKUP(A1725,[1]BBDD!$B$1:$J$3274,9,FALSE)</f>
        <v>H</v>
      </c>
      <c r="I1725" s="19" t="s">
        <v>2863</v>
      </c>
      <c r="J1725" s="8" t="s">
        <v>2385</v>
      </c>
      <c r="L1725" s="8" t="s">
        <v>61</v>
      </c>
      <c r="N1725" s="8" t="s">
        <v>44</v>
      </c>
      <c r="O1725" s="8" t="s">
        <v>44</v>
      </c>
      <c r="Q1725" s="8" t="s">
        <v>32</v>
      </c>
      <c r="R1725" s="8">
        <v>0</v>
      </c>
      <c r="S1725" s="8">
        <v>6</v>
      </c>
      <c r="T1725" s="8">
        <f t="shared" ref="T1725:T1773" si="171">SUM(R1725:S1725)</f>
        <v>6</v>
      </c>
      <c r="U1725" s="8">
        <v>0</v>
      </c>
      <c r="V1725" s="8">
        <v>1</v>
      </c>
      <c r="W1725" s="8">
        <v>1</v>
      </c>
      <c r="X1725" s="8">
        <v>1</v>
      </c>
      <c r="Y1725" s="8">
        <v>1</v>
      </c>
      <c r="Z1725" s="8">
        <v>1</v>
      </c>
      <c r="AA1725" s="8">
        <v>180</v>
      </c>
      <c r="AB1725" s="9">
        <f t="shared" ref="AB1725:AB1773" si="172">SUM(U1725:Z1725)/AA1725*30</f>
        <v>0.83333333333333326</v>
      </c>
      <c r="AC1725" s="10">
        <f t="shared" si="167"/>
        <v>7.2000000000000011</v>
      </c>
      <c r="AD1725" s="8" t="s">
        <v>33</v>
      </c>
      <c r="AE1725" s="11">
        <v>127990</v>
      </c>
      <c r="AF1725" s="11">
        <f t="shared" si="168"/>
        <v>767940</v>
      </c>
      <c r="AG1725" s="12" t="s">
        <v>51</v>
      </c>
      <c r="AH1725" s="8" t="s">
        <v>35</v>
      </c>
    </row>
    <row r="1726" spans="1:34">
      <c r="A1726" s="8" t="s">
        <v>2386</v>
      </c>
      <c r="B1726" s="16" t="s">
        <v>2859</v>
      </c>
      <c r="C1726" s="8" t="s">
        <v>476</v>
      </c>
      <c r="D1726" s="8" t="s">
        <v>2387</v>
      </c>
      <c r="E1726" s="8" t="str">
        <f t="shared" si="166"/>
        <v>CARAMELO 36</v>
      </c>
      <c r="G1726" s="8" t="s">
        <v>2862</v>
      </c>
      <c r="H1726" s="8" t="str">
        <f>VLOOKUP(A1726,[1]BBDD!$B$1:$J$3274,9,FALSE)</f>
        <v>M</v>
      </c>
      <c r="I1726" s="8" t="s">
        <v>2862</v>
      </c>
      <c r="J1726" s="8" t="s">
        <v>2388</v>
      </c>
      <c r="L1726" s="8" t="s">
        <v>82</v>
      </c>
      <c r="N1726" s="8" t="s">
        <v>2389</v>
      </c>
      <c r="O1726" s="20" t="s">
        <v>62</v>
      </c>
      <c r="P1726" s="18">
        <v>36</v>
      </c>
      <c r="Q1726" s="8" t="s">
        <v>32</v>
      </c>
      <c r="R1726" s="8">
        <v>0</v>
      </c>
      <c r="S1726" s="8">
        <v>1</v>
      </c>
      <c r="T1726" s="8">
        <f t="shared" si="171"/>
        <v>1</v>
      </c>
      <c r="U1726" s="8">
        <v>0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147</v>
      </c>
      <c r="AB1726" s="9">
        <f t="shared" si="172"/>
        <v>0</v>
      </c>
      <c r="AC1726" s="10" t="str">
        <f t="shared" si="167"/>
        <v>sin venta</v>
      </c>
      <c r="AD1726" s="8" t="s">
        <v>33</v>
      </c>
      <c r="AE1726" s="11">
        <v>99990</v>
      </c>
      <c r="AF1726" s="11">
        <f t="shared" si="168"/>
        <v>99990</v>
      </c>
      <c r="AG1726" s="12" t="s">
        <v>73</v>
      </c>
      <c r="AH1726" s="8" t="s">
        <v>35</v>
      </c>
    </row>
    <row r="1727" spans="1:34">
      <c r="A1727" s="8" t="s">
        <v>2390</v>
      </c>
      <c r="B1727" s="16" t="s">
        <v>2859</v>
      </c>
      <c r="C1727" s="8" t="s">
        <v>476</v>
      </c>
      <c r="D1727" s="8" t="s">
        <v>2387</v>
      </c>
      <c r="E1727" s="8" t="str">
        <f t="shared" si="166"/>
        <v>CARAMELO 37</v>
      </c>
      <c r="G1727" s="8" t="s">
        <v>2862</v>
      </c>
      <c r="H1727" s="8" t="str">
        <f>VLOOKUP(A1727,[1]BBDD!$B$1:$J$3274,9,FALSE)</f>
        <v>M</v>
      </c>
      <c r="I1727" s="8" t="s">
        <v>2862</v>
      </c>
      <c r="J1727" s="8" t="s">
        <v>2388</v>
      </c>
      <c r="L1727" s="8" t="s">
        <v>82</v>
      </c>
      <c r="N1727" s="8" t="s">
        <v>2391</v>
      </c>
      <c r="O1727" s="20" t="s">
        <v>62</v>
      </c>
      <c r="P1727" s="18">
        <v>37</v>
      </c>
      <c r="Q1727" s="8" t="s">
        <v>32</v>
      </c>
      <c r="R1727" s="8">
        <v>0</v>
      </c>
      <c r="S1727" s="8">
        <v>1</v>
      </c>
      <c r="T1727" s="8">
        <f t="shared" si="171"/>
        <v>1</v>
      </c>
      <c r="U1727" s="8">
        <v>0</v>
      </c>
      <c r="V1727" s="8">
        <v>0</v>
      </c>
      <c r="W1727" s="8">
        <v>0</v>
      </c>
      <c r="X1727" s="8">
        <v>0</v>
      </c>
      <c r="Y1727" s="8">
        <v>0</v>
      </c>
      <c r="Z1727" s="8">
        <v>0</v>
      </c>
      <c r="AA1727" s="8">
        <v>147</v>
      </c>
      <c r="AB1727" s="9">
        <f t="shared" si="172"/>
        <v>0</v>
      </c>
      <c r="AC1727" s="10" t="str">
        <f t="shared" si="167"/>
        <v>sin venta</v>
      </c>
      <c r="AD1727" s="8" t="s">
        <v>33</v>
      </c>
      <c r="AE1727" s="11">
        <v>99990</v>
      </c>
      <c r="AF1727" s="11">
        <f t="shared" si="168"/>
        <v>99990</v>
      </c>
      <c r="AG1727" s="12" t="s">
        <v>73</v>
      </c>
      <c r="AH1727" s="8" t="s">
        <v>35</v>
      </c>
    </row>
    <row r="1728" spans="1:34">
      <c r="A1728" s="8" t="s">
        <v>2392</v>
      </c>
      <c r="B1728" s="16" t="s">
        <v>2859</v>
      </c>
      <c r="C1728" s="8" t="s">
        <v>476</v>
      </c>
      <c r="D1728" s="8" t="s">
        <v>2387</v>
      </c>
      <c r="E1728" s="8" t="str">
        <f t="shared" si="166"/>
        <v>CARAMELO 38</v>
      </c>
      <c r="G1728" s="8" t="s">
        <v>2862</v>
      </c>
      <c r="H1728" s="8" t="str">
        <f>VLOOKUP(A1728,[1]BBDD!$B$1:$J$3274,9,FALSE)</f>
        <v>M</v>
      </c>
      <c r="I1728" s="8" t="s">
        <v>2862</v>
      </c>
      <c r="J1728" s="8" t="s">
        <v>2388</v>
      </c>
      <c r="L1728" s="8" t="s">
        <v>82</v>
      </c>
      <c r="N1728" s="8" t="s">
        <v>2393</v>
      </c>
      <c r="O1728" s="20" t="s">
        <v>62</v>
      </c>
      <c r="P1728" s="18">
        <v>38</v>
      </c>
      <c r="Q1728" s="8" t="s">
        <v>32</v>
      </c>
      <c r="R1728" s="8">
        <v>0</v>
      </c>
      <c r="S1728" s="8">
        <v>0</v>
      </c>
      <c r="T1728" s="8">
        <f t="shared" si="171"/>
        <v>0</v>
      </c>
      <c r="U1728" s="8">
        <v>0</v>
      </c>
      <c r="V1728" s="8">
        <v>0</v>
      </c>
      <c r="W1728" s="8">
        <v>0</v>
      </c>
      <c r="X1728" s="8">
        <v>0</v>
      </c>
      <c r="Y1728" s="8">
        <v>1</v>
      </c>
      <c r="Z1728" s="8">
        <v>0</v>
      </c>
      <c r="AA1728" s="8">
        <v>147</v>
      </c>
      <c r="AB1728" s="9">
        <f t="shared" si="172"/>
        <v>0.20408163265306123</v>
      </c>
      <c r="AC1728" s="10">
        <f t="shared" si="167"/>
        <v>0</v>
      </c>
      <c r="AD1728" s="8" t="s">
        <v>33</v>
      </c>
      <c r="AE1728" s="11">
        <v>99990</v>
      </c>
      <c r="AF1728" s="11">
        <f t="shared" si="168"/>
        <v>0</v>
      </c>
      <c r="AG1728" s="12" t="s">
        <v>34</v>
      </c>
      <c r="AH1728" s="8" t="s">
        <v>35</v>
      </c>
    </row>
    <row r="1729" spans="1:34">
      <c r="A1729" s="8" t="s">
        <v>2394</v>
      </c>
      <c r="B1729" s="16" t="s">
        <v>2859</v>
      </c>
      <c r="C1729" s="8" t="s">
        <v>476</v>
      </c>
      <c r="D1729" s="8" t="s">
        <v>2387</v>
      </c>
      <c r="E1729" s="8" t="str">
        <f t="shared" si="166"/>
        <v>CARAMELO 39</v>
      </c>
      <c r="G1729" s="8" t="s">
        <v>2862</v>
      </c>
      <c r="H1729" s="8" t="str">
        <f>VLOOKUP(A1729,[1]BBDD!$B$1:$J$3274,9,FALSE)</f>
        <v>M</v>
      </c>
      <c r="I1729" s="8" t="s">
        <v>2862</v>
      </c>
      <c r="J1729" s="8" t="s">
        <v>2388</v>
      </c>
      <c r="L1729" s="8" t="s">
        <v>82</v>
      </c>
      <c r="N1729" s="8" t="s">
        <v>2395</v>
      </c>
      <c r="O1729" s="20" t="s">
        <v>62</v>
      </c>
      <c r="P1729" s="18">
        <v>39</v>
      </c>
      <c r="Q1729" s="8" t="s">
        <v>32</v>
      </c>
      <c r="R1729" s="8">
        <v>0</v>
      </c>
      <c r="S1729" s="8">
        <v>0</v>
      </c>
      <c r="T1729" s="8">
        <f t="shared" si="171"/>
        <v>0</v>
      </c>
      <c r="U1729" s="8">
        <v>0</v>
      </c>
      <c r="V1729" s="8">
        <v>0</v>
      </c>
      <c r="W1729" s="8">
        <v>1</v>
      </c>
      <c r="X1729" s="8">
        <v>0</v>
      </c>
      <c r="Y1729" s="8">
        <v>1</v>
      </c>
      <c r="Z1729" s="8">
        <v>0</v>
      </c>
      <c r="AA1729" s="8">
        <v>147</v>
      </c>
      <c r="AB1729" s="9">
        <f t="shared" si="172"/>
        <v>0.40816326530612246</v>
      </c>
      <c r="AC1729" s="10">
        <f t="shared" si="167"/>
        <v>0</v>
      </c>
      <c r="AD1729" s="8" t="s">
        <v>33</v>
      </c>
      <c r="AE1729" s="11">
        <v>99990</v>
      </c>
      <c r="AF1729" s="11">
        <f t="shared" si="168"/>
        <v>0</v>
      </c>
      <c r="AG1729" s="12" t="s">
        <v>34</v>
      </c>
      <c r="AH1729" s="8" t="s">
        <v>35</v>
      </c>
    </row>
    <row r="1730" spans="1:34">
      <c r="A1730" s="8" t="s">
        <v>2396</v>
      </c>
      <c r="B1730" s="16" t="s">
        <v>2859</v>
      </c>
      <c r="C1730" s="8" t="s">
        <v>476</v>
      </c>
      <c r="D1730" s="8" t="s">
        <v>2387</v>
      </c>
      <c r="E1730" s="8" t="str">
        <f t="shared" si="166"/>
        <v>CARAMELO 40</v>
      </c>
      <c r="G1730" s="8" t="s">
        <v>2862</v>
      </c>
      <c r="H1730" s="8" t="str">
        <f>VLOOKUP(A1730,[1]BBDD!$B$1:$J$3274,9,FALSE)</f>
        <v>M</v>
      </c>
      <c r="I1730" s="8" t="s">
        <v>2862</v>
      </c>
      <c r="J1730" s="8" t="s">
        <v>2388</v>
      </c>
      <c r="L1730" s="8" t="s">
        <v>82</v>
      </c>
      <c r="N1730" s="8" t="s">
        <v>2397</v>
      </c>
      <c r="O1730" s="20" t="s">
        <v>62</v>
      </c>
      <c r="P1730" s="18">
        <v>40</v>
      </c>
      <c r="Q1730" s="8" t="s">
        <v>32</v>
      </c>
      <c r="R1730" s="8">
        <v>0</v>
      </c>
      <c r="S1730" s="8">
        <v>1</v>
      </c>
      <c r="T1730" s="8">
        <f t="shared" si="171"/>
        <v>1</v>
      </c>
      <c r="U1730" s="8">
        <v>0</v>
      </c>
      <c r="V1730" s="8">
        <v>0</v>
      </c>
      <c r="W1730" s="8">
        <v>0</v>
      </c>
      <c r="X1730" s="8">
        <v>0</v>
      </c>
      <c r="Y1730" s="8">
        <v>0</v>
      </c>
      <c r="Z1730" s="8">
        <v>0</v>
      </c>
      <c r="AA1730" s="8">
        <v>147</v>
      </c>
      <c r="AB1730" s="9">
        <f t="shared" si="172"/>
        <v>0</v>
      </c>
      <c r="AC1730" s="10" t="str">
        <f t="shared" si="167"/>
        <v>sin venta</v>
      </c>
      <c r="AD1730" s="8" t="s">
        <v>33</v>
      </c>
      <c r="AE1730" s="11">
        <v>99990</v>
      </c>
      <c r="AF1730" s="11">
        <f t="shared" si="168"/>
        <v>99990</v>
      </c>
      <c r="AG1730" s="12" t="s">
        <v>73</v>
      </c>
      <c r="AH1730" s="8" t="s">
        <v>35</v>
      </c>
    </row>
    <row r="1731" spans="1:34">
      <c r="A1731" s="8" t="s">
        <v>2398</v>
      </c>
      <c r="B1731" s="16" t="s">
        <v>2859</v>
      </c>
      <c r="C1731" s="8" t="s">
        <v>476</v>
      </c>
      <c r="D1731" s="8" t="s">
        <v>2387</v>
      </c>
      <c r="E1731" s="8" t="str">
        <f t="shared" ref="E1731:E1794" si="173">TRIM(N1731)</f>
        <v>NEGRO 36</v>
      </c>
      <c r="G1731" s="8" t="s">
        <v>2862</v>
      </c>
      <c r="H1731" s="8" t="str">
        <f>VLOOKUP(A1731,[1]BBDD!$B$1:$J$3274,9,FALSE)</f>
        <v>M</v>
      </c>
      <c r="I1731" s="8" t="s">
        <v>2862</v>
      </c>
      <c r="J1731" s="8" t="s">
        <v>2388</v>
      </c>
      <c r="L1731" s="8" t="s">
        <v>82</v>
      </c>
      <c r="N1731" s="8" t="s">
        <v>2399</v>
      </c>
      <c r="O1731" s="20" t="s">
        <v>44</v>
      </c>
      <c r="P1731" s="18">
        <v>36</v>
      </c>
      <c r="Q1731" s="8" t="s">
        <v>32</v>
      </c>
      <c r="R1731" s="8">
        <v>0</v>
      </c>
      <c r="S1731" s="8">
        <v>1</v>
      </c>
      <c r="T1731" s="8">
        <f t="shared" si="171"/>
        <v>1</v>
      </c>
      <c r="U1731" s="8">
        <v>0</v>
      </c>
      <c r="V1731" s="8">
        <v>0</v>
      </c>
      <c r="W1731" s="8">
        <v>0</v>
      </c>
      <c r="X1731" s="8">
        <v>0</v>
      </c>
      <c r="Y1731" s="8">
        <v>0</v>
      </c>
      <c r="Z1731" s="8">
        <v>0</v>
      </c>
      <c r="AA1731" s="8">
        <v>147</v>
      </c>
      <c r="AB1731" s="9">
        <f t="shared" si="172"/>
        <v>0</v>
      </c>
      <c r="AC1731" s="10" t="str">
        <f t="shared" ref="AC1731:AC1794" si="174">IFERROR(T1731/AB1731,"sin venta")</f>
        <v>sin venta</v>
      </c>
      <c r="AD1731" s="8" t="s">
        <v>33</v>
      </c>
      <c r="AE1731" s="11">
        <v>99990</v>
      </c>
      <c r="AF1731" s="11">
        <f t="shared" ref="AF1731:AF1794" si="175">IFERROR(AE1731*T1731,0)</f>
        <v>99990</v>
      </c>
      <c r="AG1731" s="12" t="s">
        <v>73</v>
      </c>
      <c r="AH1731" s="8" t="s">
        <v>35</v>
      </c>
    </row>
    <row r="1732" spans="1:34">
      <c r="A1732" s="8" t="s">
        <v>2400</v>
      </c>
      <c r="B1732" s="16" t="s">
        <v>2859</v>
      </c>
      <c r="C1732" s="8" t="s">
        <v>476</v>
      </c>
      <c r="D1732" s="8" t="s">
        <v>2387</v>
      </c>
      <c r="E1732" s="8" t="str">
        <f t="shared" si="173"/>
        <v>NEGRO 37</v>
      </c>
      <c r="G1732" s="8" t="s">
        <v>2862</v>
      </c>
      <c r="H1732" s="8" t="str">
        <f>VLOOKUP(A1732,[1]BBDD!$B$1:$J$3274,9,FALSE)</f>
        <v>M</v>
      </c>
      <c r="I1732" s="8" t="s">
        <v>2862</v>
      </c>
      <c r="J1732" s="8" t="s">
        <v>2388</v>
      </c>
      <c r="L1732" s="8" t="s">
        <v>82</v>
      </c>
      <c r="N1732" s="8" t="s">
        <v>2401</v>
      </c>
      <c r="O1732" s="20" t="s">
        <v>44</v>
      </c>
      <c r="P1732" s="18">
        <v>37</v>
      </c>
      <c r="Q1732" s="8" t="s">
        <v>32</v>
      </c>
      <c r="R1732" s="8">
        <v>0</v>
      </c>
      <c r="S1732" s="8">
        <v>1</v>
      </c>
      <c r="T1732" s="8">
        <f t="shared" si="171"/>
        <v>1</v>
      </c>
      <c r="U1732" s="8">
        <v>0</v>
      </c>
      <c r="V1732" s="8">
        <v>0</v>
      </c>
      <c r="W1732" s="8">
        <v>0</v>
      </c>
      <c r="X1732" s="8">
        <v>0</v>
      </c>
      <c r="Y1732" s="8">
        <v>0</v>
      </c>
      <c r="Z1732" s="8">
        <v>0</v>
      </c>
      <c r="AA1732" s="8">
        <v>147</v>
      </c>
      <c r="AB1732" s="9">
        <f t="shared" si="172"/>
        <v>0</v>
      </c>
      <c r="AC1732" s="10" t="str">
        <f t="shared" si="174"/>
        <v>sin venta</v>
      </c>
      <c r="AD1732" s="8" t="s">
        <v>33</v>
      </c>
      <c r="AE1732" s="11">
        <v>99990</v>
      </c>
      <c r="AF1732" s="11">
        <f t="shared" si="175"/>
        <v>99990</v>
      </c>
      <c r="AG1732" s="12" t="s">
        <v>73</v>
      </c>
      <c r="AH1732" s="8" t="s">
        <v>35</v>
      </c>
    </row>
    <row r="1733" spans="1:34">
      <c r="A1733" s="8" t="s">
        <v>2402</v>
      </c>
      <c r="B1733" s="16" t="s">
        <v>2859</v>
      </c>
      <c r="C1733" s="8" t="s">
        <v>476</v>
      </c>
      <c r="D1733" s="8" t="s">
        <v>2387</v>
      </c>
      <c r="E1733" s="8" t="str">
        <f t="shared" si="173"/>
        <v>NEGRO 38</v>
      </c>
      <c r="G1733" s="8" t="s">
        <v>2862</v>
      </c>
      <c r="H1733" s="8" t="str">
        <f>VLOOKUP(A1733,[1]BBDD!$B$1:$J$3274,9,FALSE)</f>
        <v>M</v>
      </c>
      <c r="I1733" s="8" t="s">
        <v>2862</v>
      </c>
      <c r="J1733" s="8" t="s">
        <v>2388</v>
      </c>
      <c r="L1733" s="8" t="s">
        <v>82</v>
      </c>
      <c r="N1733" s="8" t="s">
        <v>2403</v>
      </c>
      <c r="O1733" s="20" t="s">
        <v>44</v>
      </c>
      <c r="P1733" s="18">
        <v>38</v>
      </c>
      <c r="Q1733" s="8" t="s">
        <v>32</v>
      </c>
      <c r="R1733" s="8">
        <v>0</v>
      </c>
      <c r="S1733" s="8">
        <v>0</v>
      </c>
      <c r="T1733" s="8">
        <f t="shared" si="171"/>
        <v>0</v>
      </c>
      <c r="U1733" s="8">
        <v>0</v>
      </c>
      <c r="V1733" s="8">
        <v>0</v>
      </c>
      <c r="W1733" s="8">
        <v>0</v>
      </c>
      <c r="X1733" s="8">
        <v>0</v>
      </c>
      <c r="Y1733" s="8">
        <v>1</v>
      </c>
      <c r="Z1733" s="8">
        <v>0</v>
      </c>
      <c r="AA1733" s="8">
        <v>147</v>
      </c>
      <c r="AB1733" s="9">
        <f t="shared" si="172"/>
        <v>0.20408163265306123</v>
      </c>
      <c r="AC1733" s="10">
        <f t="shared" si="174"/>
        <v>0</v>
      </c>
      <c r="AD1733" s="8" t="s">
        <v>33</v>
      </c>
      <c r="AE1733" s="11">
        <v>99990</v>
      </c>
      <c r="AF1733" s="11">
        <f t="shared" si="175"/>
        <v>0</v>
      </c>
      <c r="AG1733" s="12" t="s">
        <v>34</v>
      </c>
      <c r="AH1733" s="8" t="s">
        <v>35</v>
      </c>
    </row>
    <row r="1734" spans="1:34">
      <c r="A1734" s="8" t="s">
        <v>2404</v>
      </c>
      <c r="B1734" s="16" t="s">
        <v>2859</v>
      </c>
      <c r="C1734" s="8" t="s">
        <v>476</v>
      </c>
      <c r="D1734" s="8" t="s">
        <v>2387</v>
      </c>
      <c r="E1734" s="8" t="str">
        <f t="shared" si="173"/>
        <v>NEGRO 39</v>
      </c>
      <c r="G1734" s="8" t="s">
        <v>2862</v>
      </c>
      <c r="H1734" s="8" t="str">
        <f>VLOOKUP(A1734,[1]BBDD!$B$1:$J$3274,9,FALSE)</f>
        <v>M</v>
      </c>
      <c r="I1734" s="8" t="s">
        <v>2862</v>
      </c>
      <c r="J1734" s="8" t="s">
        <v>2388</v>
      </c>
      <c r="L1734" s="8" t="s">
        <v>82</v>
      </c>
      <c r="N1734" s="8" t="s">
        <v>2405</v>
      </c>
      <c r="O1734" s="20" t="s">
        <v>44</v>
      </c>
      <c r="P1734" s="18">
        <v>39</v>
      </c>
      <c r="Q1734" s="8" t="s">
        <v>32</v>
      </c>
      <c r="R1734" s="8">
        <v>0</v>
      </c>
      <c r="S1734" s="8">
        <v>1</v>
      </c>
      <c r="T1734" s="8">
        <f t="shared" si="171"/>
        <v>1</v>
      </c>
      <c r="U1734" s="8">
        <v>0</v>
      </c>
      <c r="V1734" s="8">
        <v>0</v>
      </c>
      <c r="W1734" s="8">
        <v>0</v>
      </c>
      <c r="X1734" s="8">
        <v>0</v>
      </c>
      <c r="Y1734" s="8">
        <v>0</v>
      </c>
      <c r="Z1734" s="8">
        <v>0</v>
      </c>
      <c r="AA1734" s="8">
        <v>147</v>
      </c>
      <c r="AB1734" s="9">
        <f t="shared" si="172"/>
        <v>0</v>
      </c>
      <c r="AC1734" s="10" t="str">
        <f t="shared" si="174"/>
        <v>sin venta</v>
      </c>
      <c r="AD1734" s="8" t="s">
        <v>33</v>
      </c>
      <c r="AE1734" s="11">
        <v>99990</v>
      </c>
      <c r="AF1734" s="11">
        <f t="shared" si="175"/>
        <v>99990</v>
      </c>
      <c r="AG1734" s="12" t="s">
        <v>73</v>
      </c>
      <c r="AH1734" s="8" t="s">
        <v>35</v>
      </c>
    </row>
    <row r="1735" spans="1:34">
      <c r="A1735" s="8" t="s">
        <v>2406</v>
      </c>
      <c r="B1735" s="16" t="s">
        <v>2859</v>
      </c>
      <c r="C1735" s="8" t="s">
        <v>476</v>
      </c>
      <c r="D1735" s="8" t="s">
        <v>2387</v>
      </c>
      <c r="E1735" s="8" t="str">
        <f t="shared" si="173"/>
        <v>NEGRO 40</v>
      </c>
      <c r="G1735" s="8" t="s">
        <v>2862</v>
      </c>
      <c r="H1735" s="8" t="str">
        <f>VLOOKUP(A1735,[1]BBDD!$B$1:$J$3274,9,FALSE)</f>
        <v>M</v>
      </c>
      <c r="I1735" s="8" t="s">
        <v>2862</v>
      </c>
      <c r="J1735" s="8" t="s">
        <v>2388</v>
      </c>
      <c r="L1735" s="8" t="s">
        <v>82</v>
      </c>
      <c r="N1735" s="8" t="s">
        <v>2407</v>
      </c>
      <c r="O1735" s="20" t="s">
        <v>44</v>
      </c>
      <c r="P1735" s="18">
        <v>40</v>
      </c>
      <c r="Q1735" s="8" t="s">
        <v>32</v>
      </c>
      <c r="R1735" s="8">
        <v>0</v>
      </c>
      <c r="S1735" s="8">
        <v>1</v>
      </c>
      <c r="T1735" s="8">
        <f t="shared" si="171"/>
        <v>1</v>
      </c>
      <c r="U1735" s="8">
        <v>0</v>
      </c>
      <c r="V1735" s="8">
        <v>0</v>
      </c>
      <c r="W1735" s="8">
        <v>0</v>
      </c>
      <c r="X1735" s="8">
        <v>0</v>
      </c>
      <c r="Y1735" s="8">
        <v>0</v>
      </c>
      <c r="Z1735" s="8">
        <v>0</v>
      </c>
      <c r="AA1735" s="8">
        <v>147</v>
      </c>
      <c r="AB1735" s="9">
        <f t="shared" si="172"/>
        <v>0</v>
      </c>
      <c r="AC1735" s="10" t="str">
        <f t="shared" si="174"/>
        <v>sin venta</v>
      </c>
      <c r="AD1735" s="8" t="s">
        <v>33</v>
      </c>
      <c r="AE1735" s="11">
        <v>99990</v>
      </c>
      <c r="AF1735" s="11">
        <f t="shared" si="175"/>
        <v>99990</v>
      </c>
      <c r="AG1735" s="12" t="s">
        <v>73</v>
      </c>
      <c r="AH1735" s="8" t="s">
        <v>35</v>
      </c>
    </row>
    <row r="1736" spans="1:34">
      <c r="A1736" s="8" t="s">
        <v>2408</v>
      </c>
      <c r="B1736" s="16" t="s">
        <v>2859</v>
      </c>
      <c r="C1736" s="8" t="s">
        <v>476</v>
      </c>
      <c r="D1736" s="8" t="s">
        <v>2387</v>
      </c>
      <c r="E1736" s="8" t="str">
        <f t="shared" si="173"/>
        <v>CARAMELO 36</v>
      </c>
      <c r="G1736" s="8" t="s">
        <v>2862</v>
      </c>
      <c r="H1736" s="8" t="str">
        <f>VLOOKUP(A1736,[1]BBDD!$B$1:$J$3274,9,FALSE)</f>
        <v>M</v>
      </c>
      <c r="I1736" s="8" t="s">
        <v>2862</v>
      </c>
      <c r="J1736" s="8" t="s">
        <v>2409</v>
      </c>
      <c r="L1736" s="8" t="s">
        <v>82</v>
      </c>
      <c r="N1736" s="8" t="s">
        <v>2389</v>
      </c>
      <c r="O1736" s="20" t="s">
        <v>62</v>
      </c>
      <c r="P1736" s="18">
        <v>36</v>
      </c>
      <c r="Q1736" s="8" t="s">
        <v>32</v>
      </c>
      <c r="R1736" s="8">
        <v>0</v>
      </c>
      <c r="S1736" s="8">
        <v>1</v>
      </c>
      <c r="T1736" s="8">
        <f t="shared" si="171"/>
        <v>1</v>
      </c>
      <c r="U1736" s="8">
        <v>0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180</v>
      </c>
      <c r="AB1736" s="9">
        <f t="shared" si="172"/>
        <v>0</v>
      </c>
      <c r="AC1736" s="10" t="str">
        <f t="shared" si="174"/>
        <v>sin venta</v>
      </c>
      <c r="AD1736" s="8" t="s">
        <v>33</v>
      </c>
      <c r="AE1736" s="11">
        <v>99990</v>
      </c>
      <c r="AF1736" s="11">
        <f t="shared" si="175"/>
        <v>99990</v>
      </c>
      <c r="AG1736" s="12" t="s">
        <v>73</v>
      </c>
      <c r="AH1736" s="8" t="s">
        <v>35</v>
      </c>
    </row>
    <row r="1737" spans="1:34">
      <c r="A1737" s="8" t="s">
        <v>2410</v>
      </c>
      <c r="B1737" s="16" t="s">
        <v>2859</v>
      </c>
      <c r="C1737" s="8" t="s">
        <v>476</v>
      </c>
      <c r="D1737" s="8" t="s">
        <v>2387</v>
      </c>
      <c r="E1737" s="8" t="str">
        <f t="shared" si="173"/>
        <v>CARAMELO 37</v>
      </c>
      <c r="G1737" s="8" t="s">
        <v>2862</v>
      </c>
      <c r="H1737" s="8" t="str">
        <f>VLOOKUP(A1737,[1]BBDD!$B$1:$J$3274,9,FALSE)</f>
        <v>M</v>
      </c>
      <c r="I1737" s="8" t="s">
        <v>2862</v>
      </c>
      <c r="J1737" s="8" t="s">
        <v>2409</v>
      </c>
      <c r="L1737" s="8" t="s">
        <v>82</v>
      </c>
      <c r="N1737" s="8" t="s">
        <v>2391</v>
      </c>
      <c r="O1737" s="20" t="s">
        <v>62</v>
      </c>
      <c r="P1737" s="18">
        <v>37</v>
      </c>
      <c r="Q1737" s="8" t="s">
        <v>32</v>
      </c>
      <c r="R1737" s="8">
        <v>0</v>
      </c>
      <c r="S1737" s="8">
        <v>1</v>
      </c>
      <c r="T1737" s="8">
        <f t="shared" si="171"/>
        <v>1</v>
      </c>
      <c r="U1737" s="8">
        <v>0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180</v>
      </c>
      <c r="AB1737" s="9">
        <f t="shared" si="172"/>
        <v>0</v>
      </c>
      <c r="AC1737" s="10" t="str">
        <f t="shared" si="174"/>
        <v>sin venta</v>
      </c>
      <c r="AD1737" s="8" t="s">
        <v>33</v>
      </c>
      <c r="AE1737" s="11">
        <v>99990</v>
      </c>
      <c r="AF1737" s="11">
        <f t="shared" si="175"/>
        <v>99990</v>
      </c>
      <c r="AG1737" s="12" t="s">
        <v>73</v>
      </c>
      <c r="AH1737" s="8" t="s">
        <v>35</v>
      </c>
    </row>
    <row r="1738" spans="1:34">
      <c r="A1738" s="8" t="s">
        <v>2411</v>
      </c>
      <c r="B1738" s="16" t="s">
        <v>2859</v>
      </c>
      <c r="C1738" s="8" t="s">
        <v>476</v>
      </c>
      <c r="D1738" s="8" t="s">
        <v>2387</v>
      </c>
      <c r="E1738" s="8" t="str">
        <f t="shared" si="173"/>
        <v>CARAMELO 38</v>
      </c>
      <c r="G1738" s="8" t="s">
        <v>2862</v>
      </c>
      <c r="H1738" s="8" t="str">
        <f>VLOOKUP(A1738,[1]BBDD!$B$1:$J$3274,9,FALSE)</f>
        <v>M</v>
      </c>
      <c r="I1738" s="8" t="s">
        <v>2862</v>
      </c>
      <c r="J1738" s="8" t="s">
        <v>2409</v>
      </c>
      <c r="L1738" s="8" t="s">
        <v>82</v>
      </c>
      <c r="N1738" s="8" t="s">
        <v>2393</v>
      </c>
      <c r="O1738" s="20" t="s">
        <v>62</v>
      </c>
      <c r="P1738" s="18">
        <v>38</v>
      </c>
      <c r="Q1738" s="8" t="s">
        <v>32</v>
      </c>
      <c r="R1738" s="8">
        <v>0</v>
      </c>
      <c r="S1738" s="8">
        <v>1</v>
      </c>
      <c r="T1738" s="8">
        <f t="shared" si="171"/>
        <v>1</v>
      </c>
      <c r="U1738" s="8">
        <v>0</v>
      </c>
      <c r="V1738" s="8">
        <v>1</v>
      </c>
      <c r="W1738" s="8">
        <v>0</v>
      </c>
      <c r="X1738" s="8">
        <v>0</v>
      </c>
      <c r="Y1738" s="8">
        <v>0</v>
      </c>
      <c r="Z1738" s="8">
        <v>0</v>
      </c>
      <c r="AA1738" s="8">
        <v>180</v>
      </c>
      <c r="AB1738" s="9">
        <f t="shared" si="172"/>
        <v>0.16666666666666669</v>
      </c>
      <c r="AC1738" s="10">
        <f t="shared" si="174"/>
        <v>5.9999999999999991</v>
      </c>
      <c r="AD1738" s="8" t="s">
        <v>33</v>
      </c>
      <c r="AE1738" s="11">
        <v>99990</v>
      </c>
      <c r="AF1738" s="11">
        <f t="shared" si="175"/>
        <v>99990</v>
      </c>
      <c r="AG1738" s="12" t="s">
        <v>34</v>
      </c>
      <c r="AH1738" s="8" t="s">
        <v>35</v>
      </c>
    </row>
    <row r="1739" spans="1:34">
      <c r="A1739" s="8" t="s">
        <v>2412</v>
      </c>
      <c r="B1739" s="16" t="s">
        <v>2859</v>
      </c>
      <c r="C1739" s="8" t="s">
        <v>476</v>
      </c>
      <c r="D1739" s="8" t="s">
        <v>2387</v>
      </c>
      <c r="E1739" s="8" t="str">
        <f t="shared" si="173"/>
        <v>CARAMELO 39</v>
      </c>
      <c r="G1739" s="8" t="s">
        <v>2862</v>
      </c>
      <c r="H1739" s="8" t="str">
        <f>VLOOKUP(A1739,[1]BBDD!$B$1:$J$3274,9,FALSE)</f>
        <v>M</v>
      </c>
      <c r="I1739" s="8" t="s">
        <v>2862</v>
      </c>
      <c r="J1739" s="8" t="s">
        <v>2409</v>
      </c>
      <c r="L1739" s="8" t="s">
        <v>82</v>
      </c>
      <c r="N1739" s="8" t="s">
        <v>2395</v>
      </c>
      <c r="O1739" s="20" t="s">
        <v>62</v>
      </c>
      <c r="P1739" s="18">
        <v>39</v>
      </c>
      <c r="Q1739" s="8" t="s">
        <v>32</v>
      </c>
      <c r="R1739" s="8">
        <v>0</v>
      </c>
      <c r="S1739" s="8">
        <v>1</v>
      </c>
      <c r="T1739" s="8">
        <f t="shared" si="171"/>
        <v>1</v>
      </c>
      <c r="U1739" s="8">
        <v>0</v>
      </c>
      <c r="V1739" s="8">
        <v>0</v>
      </c>
      <c r="W1739" s="8">
        <v>0</v>
      </c>
      <c r="X1739" s="8">
        <v>0</v>
      </c>
      <c r="Y1739" s="8">
        <v>0</v>
      </c>
      <c r="Z1739" s="8">
        <v>0</v>
      </c>
      <c r="AA1739" s="8">
        <v>180</v>
      </c>
      <c r="AB1739" s="9">
        <f t="shared" si="172"/>
        <v>0</v>
      </c>
      <c r="AC1739" s="10" t="str">
        <f t="shared" si="174"/>
        <v>sin venta</v>
      </c>
      <c r="AD1739" s="8" t="s">
        <v>33</v>
      </c>
      <c r="AE1739" s="11">
        <v>99990</v>
      </c>
      <c r="AF1739" s="11">
        <f t="shared" si="175"/>
        <v>99990</v>
      </c>
      <c r="AG1739" s="12" t="s">
        <v>73</v>
      </c>
      <c r="AH1739" s="8" t="s">
        <v>35</v>
      </c>
    </row>
    <row r="1740" spans="1:34">
      <c r="A1740" s="8" t="s">
        <v>2413</v>
      </c>
      <c r="B1740" s="16" t="s">
        <v>2859</v>
      </c>
      <c r="C1740" s="8" t="s">
        <v>476</v>
      </c>
      <c r="D1740" s="8" t="s">
        <v>2387</v>
      </c>
      <c r="E1740" s="8" t="str">
        <f t="shared" si="173"/>
        <v>CARAMELO 40</v>
      </c>
      <c r="G1740" s="8" t="s">
        <v>2862</v>
      </c>
      <c r="H1740" s="8" t="str">
        <f>VLOOKUP(A1740,[1]BBDD!$B$1:$J$3274,9,FALSE)</f>
        <v>M</v>
      </c>
      <c r="I1740" s="8" t="s">
        <v>2862</v>
      </c>
      <c r="J1740" s="8" t="s">
        <v>2409</v>
      </c>
      <c r="L1740" s="8" t="s">
        <v>82</v>
      </c>
      <c r="N1740" s="8" t="s">
        <v>2397</v>
      </c>
      <c r="O1740" s="20" t="s">
        <v>62</v>
      </c>
      <c r="P1740" s="18">
        <v>40</v>
      </c>
      <c r="Q1740" s="8" t="s">
        <v>32</v>
      </c>
      <c r="R1740" s="8">
        <v>0</v>
      </c>
      <c r="S1740" s="8">
        <v>0</v>
      </c>
      <c r="T1740" s="8">
        <f t="shared" si="171"/>
        <v>0</v>
      </c>
      <c r="U1740" s="8">
        <v>0</v>
      </c>
      <c r="V1740" s="8">
        <v>0</v>
      </c>
      <c r="W1740" s="8">
        <v>0</v>
      </c>
      <c r="X1740" s="8">
        <v>0</v>
      </c>
      <c r="Y1740" s="8">
        <v>1</v>
      </c>
      <c r="Z1740" s="8">
        <v>0</v>
      </c>
      <c r="AA1740" s="8">
        <v>180</v>
      </c>
      <c r="AB1740" s="9">
        <f t="shared" si="172"/>
        <v>0.16666666666666669</v>
      </c>
      <c r="AC1740" s="10">
        <f t="shared" si="174"/>
        <v>0</v>
      </c>
      <c r="AD1740" s="8" t="s">
        <v>33</v>
      </c>
      <c r="AE1740" s="11">
        <v>99990</v>
      </c>
      <c r="AF1740" s="11">
        <f t="shared" si="175"/>
        <v>0</v>
      </c>
      <c r="AG1740" s="12" t="s">
        <v>34</v>
      </c>
      <c r="AH1740" s="8" t="s">
        <v>35</v>
      </c>
    </row>
    <row r="1741" spans="1:34">
      <c r="A1741" s="8" t="s">
        <v>2414</v>
      </c>
      <c r="B1741" s="16" t="s">
        <v>2859</v>
      </c>
      <c r="C1741" s="8" t="s">
        <v>476</v>
      </c>
      <c r="D1741" s="8" t="s">
        <v>2387</v>
      </c>
      <c r="E1741" s="8" t="str">
        <f t="shared" si="173"/>
        <v>NEGRO 36</v>
      </c>
      <c r="G1741" s="8" t="s">
        <v>2862</v>
      </c>
      <c r="H1741" s="8" t="str">
        <f>VLOOKUP(A1741,[1]BBDD!$B$1:$J$3274,9,FALSE)</f>
        <v>M</v>
      </c>
      <c r="I1741" s="8" t="s">
        <v>2862</v>
      </c>
      <c r="J1741" s="8" t="s">
        <v>2409</v>
      </c>
      <c r="L1741" s="8" t="s">
        <v>82</v>
      </c>
      <c r="N1741" s="8" t="s">
        <v>2399</v>
      </c>
      <c r="O1741" s="20" t="s">
        <v>44</v>
      </c>
      <c r="P1741" s="18">
        <v>36</v>
      </c>
      <c r="Q1741" s="8" t="s">
        <v>32</v>
      </c>
      <c r="R1741" s="8">
        <v>0</v>
      </c>
      <c r="S1741" s="8">
        <v>1</v>
      </c>
      <c r="T1741" s="8">
        <f t="shared" si="171"/>
        <v>1</v>
      </c>
      <c r="U1741" s="8">
        <v>0</v>
      </c>
      <c r="V1741" s="8">
        <v>0</v>
      </c>
      <c r="W1741" s="8">
        <v>0</v>
      </c>
      <c r="X1741" s="8">
        <v>0</v>
      </c>
      <c r="Y1741" s="8">
        <v>0</v>
      </c>
      <c r="Z1741" s="8">
        <v>0</v>
      </c>
      <c r="AA1741" s="8">
        <v>180</v>
      </c>
      <c r="AB1741" s="9">
        <f t="shared" si="172"/>
        <v>0</v>
      </c>
      <c r="AC1741" s="10" t="str">
        <f t="shared" si="174"/>
        <v>sin venta</v>
      </c>
      <c r="AD1741" s="8" t="s">
        <v>33</v>
      </c>
      <c r="AE1741" s="11">
        <v>99990</v>
      </c>
      <c r="AF1741" s="11">
        <f t="shared" si="175"/>
        <v>99990</v>
      </c>
      <c r="AG1741" s="12" t="s">
        <v>73</v>
      </c>
      <c r="AH1741" s="8" t="s">
        <v>35</v>
      </c>
    </row>
    <row r="1742" spans="1:34">
      <c r="A1742" s="8" t="s">
        <v>2415</v>
      </c>
      <c r="B1742" s="16" t="s">
        <v>2859</v>
      </c>
      <c r="C1742" s="8" t="s">
        <v>476</v>
      </c>
      <c r="D1742" s="8" t="s">
        <v>2387</v>
      </c>
      <c r="E1742" s="8" t="str">
        <f t="shared" si="173"/>
        <v>NEGRO 37</v>
      </c>
      <c r="G1742" s="8" t="s">
        <v>2862</v>
      </c>
      <c r="H1742" s="8" t="str">
        <f>VLOOKUP(A1742,[1]BBDD!$B$1:$J$3274,9,FALSE)</f>
        <v>M</v>
      </c>
      <c r="I1742" s="8" t="s">
        <v>2862</v>
      </c>
      <c r="J1742" s="8" t="s">
        <v>2409</v>
      </c>
      <c r="L1742" s="8" t="s">
        <v>82</v>
      </c>
      <c r="N1742" s="8" t="s">
        <v>2401</v>
      </c>
      <c r="O1742" s="20" t="s">
        <v>44</v>
      </c>
      <c r="P1742" s="18">
        <v>37</v>
      </c>
      <c r="Q1742" s="8" t="s">
        <v>32</v>
      </c>
      <c r="R1742" s="8">
        <v>0</v>
      </c>
      <c r="S1742" s="8">
        <v>1</v>
      </c>
      <c r="T1742" s="8">
        <f t="shared" si="171"/>
        <v>1</v>
      </c>
      <c r="U1742" s="8">
        <v>0</v>
      </c>
      <c r="V1742" s="8">
        <v>0</v>
      </c>
      <c r="W1742" s="8">
        <v>0</v>
      </c>
      <c r="X1742" s="8">
        <v>1</v>
      </c>
      <c r="Y1742" s="8">
        <v>0</v>
      </c>
      <c r="Z1742" s="8">
        <v>0</v>
      </c>
      <c r="AA1742" s="8">
        <v>180</v>
      </c>
      <c r="AB1742" s="9">
        <f t="shared" si="172"/>
        <v>0.16666666666666669</v>
      </c>
      <c r="AC1742" s="10">
        <f t="shared" si="174"/>
        <v>5.9999999999999991</v>
      </c>
      <c r="AD1742" s="8" t="s">
        <v>33</v>
      </c>
      <c r="AE1742" s="11">
        <v>99990</v>
      </c>
      <c r="AF1742" s="11">
        <f t="shared" si="175"/>
        <v>99990</v>
      </c>
      <c r="AG1742" s="12" t="s">
        <v>34</v>
      </c>
      <c r="AH1742" s="8" t="s">
        <v>35</v>
      </c>
    </row>
    <row r="1743" spans="1:34">
      <c r="A1743" s="8" t="s">
        <v>2416</v>
      </c>
      <c r="B1743" s="16" t="s">
        <v>2859</v>
      </c>
      <c r="C1743" s="8" t="s">
        <v>476</v>
      </c>
      <c r="D1743" s="8" t="s">
        <v>2387</v>
      </c>
      <c r="E1743" s="8" t="str">
        <f t="shared" si="173"/>
        <v>NEGRO 38</v>
      </c>
      <c r="G1743" s="8" t="s">
        <v>2862</v>
      </c>
      <c r="H1743" s="8" t="str">
        <f>VLOOKUP(A1743,[1]BBDD!$B$1:$J$3274,9,FALSE)</f>
        <v>M</v>
      </c>
      <c r="I1743" s="8" t="s">
        <v>2862</v>
      </c>
      <c r="J1743" s="8" t="s">
        <v>2409</v>
      </c>
      <c r="L1743" s="8" t="s">
        <v>82</v>
      </c>
      <c r="N1743" s="8" t="s">
        <v>2403</v>
      </c>
      <c r="O1743" s="20" t="s">
        <v>44</v>
      </c>
      <c r="P1743" s="18">
        <v>38</v>
      </c>
      <c r="Q1743" s="8" t="s">
        <v>32</v>
      </c>
      <c r="R1743" s="8">
        <v>0</v>
      </c>
      <c r="S1743" s="8">
        <v>1</v>
      </c>
      <c r="T1743" s="8">
        <f t="shared" si="171"/>
        <v>1</v>
      </c>
      <c r="U1743" s="8">
        <v>0</v>
      </c>
      <c r="V1743" s="8">
        <v>0</v>
      </c>
      <c r="W1743" s="8">
        <v>0</v>
      </c>
      <c r="X1743" s="8">
        <v>0</v>
      </c>
      <c r="Y1743" s="8">
        <v>0</v>
      </c>
      <c r="Z1743" s="8">
        <v>0</v>
      </c>
      <c r="AA1743" s="8">
        <v>180</v>
      </c>
      <c r="AB1743" s="9">
        <f t="shared" si="172"/>
        <v>0</v>
      </c>
      <c r="AC1743" s="10" t="str">
        <f t="shared" si="174"/>
        <v>sin venta</v>
      </c>
      <c r="AD1743" s="8" t="s">
        <v>33</v>
      </c>
      <c r="AE1743" s="11">
        <v>99990</v>
      </c>
      <c r="AF1743" s="11">
        <f t="shared" si="175"/>
        <v>99990</v>
      </c>
      <c r="AG1743" s="12" t="s">
        <v>73</v>
      </c>
      <c r="AH1743" s="8" t="s">
        <v>35</v>
      </c>
    </row>
    <row r="1744" spans="1:34">
      <c r="A1744" s="8" t="s">
        <v>2417</v>
      </c>
      <c r="B1744" s="16" t="s">
        <v>2859</v>
      </c>
      <c r="C1744" s="8" t="s">
        <v>476</v>
      </c>
      <c r="D1744" s="8" t="s">
        <v>2387</v>
      </c>
      <c r="E1744" s="8" t="str">
        <f t="shared" si="173"/>
        <v>NEGRO 39</v>
      </c>
      <c r="G1744" s="8" t="s">
        <v>2862</v>
      </c>
      <c r="H1744" s="8" t="str">
        <f>VLOOKUP(A1744,[1]BBDD!$B$1:$J$3274,9,FALSE)</f>
        <v>M</v>
      </c>
      <c r="I1744" s="8" t="s">
        <v>2862</v>
      </c>
      <c r="J1744" s="8" t="s">
        <v>2409</v>
      </c>
      <c r="L1744" s="8" t="s">
        <v>82</v>
      </c>
      <c r="N1744" s="8" t="s">
        <v>2405</v>
      </c>
      <c r="O1744" s="20" t="s">
        <v>44</v>
      </c>
      <c r="P1744" s="18">
        <v>39</v>
      </c>
      <c r="Q1744" s="8" t="s">
        <v>32</v>
      </c>
      <c r="R1744" s="8">
        <v>0</v>
      </c>
      <c r="S1744" s="8">
        <v>1</v>
      </c>
      <c r="T1744" s="8">
        <f t="shared" si="171"/>
        <v>1</v>
      </c>
      <c r="U1744" s="8">
        <v>0</v>
      </c>
      <c r="V1744" s="8">
        <v>0</v>
      </c>
      <c r="W1744" s="8">
        <v>0</v>
      </c>
      <c r="X1744" s="8">
        <v>0</v>
      </c>
      <c r="Y1744" s="8">
        <v>0</v>
      </c>
      <c r="Z1744" s="8">
        <v>0</v>
      </c>
      <c r="AA1744" s="8">
        <v>180</v>
      </c>
      <c r="AB1744" s="9">
        <f t="shared" si="172"/>
        <v>0</v>
      </c>
      <c r="AC1744" s="10" t="str">
        <f t="shared" si="174"/>
        <v>sin venta</v>
      </c>
      <c r="AD1744" s="8" t="s">
        <v>33</v>
      </c>
      <c r="AE1744" s="11">
        <v>99990</v>
      </c>
      <c r="AF1744" s="11">
        <f t="shared" si="175"/>
        <v>99990</v>
      </c>
      <c r="AG1744" s="12" t="s">
        <v>73</v>
      </c>
      <c r="AH1744" s="8" t="s">
        <v>35</v>
      </c>
    </row>
    <row r="1745" spans="1:34">
      <c r="A1745" s="8" t="s">
        <v>2418</v>
      </c>
      <c r="B1745" s="16" t="s">
        <v>2859</v>
      </c>
      <c r="C1745" s="8" t="s">
        <v>476</v>
      </c>
      <c r="D1745" s="8" t="s">
        <v>2387</v>
      </c>
      <c r="E1745" s="8" t="str">
        <f t="shared" si="173"/>
        <v>NEGRO 40</v>
      </c>
      <c r="G1745" s="8" t="s">
        <v>2862</v>
      </c>
      <c r="H1745" s="8" t="str">
        <f>VLOOKUP(A1745,[1]BBDD!$B$1:$J$3274,9,FALSE)</f>
        <v>M</v>
      </c>
      <c r="I1745" s="8" t="s">
        <v>2862</v>
      </c>
      <c r="J1745" s="8" t="s">
        <v>2409</v>
      </c>
      <c r="L1745" s="8" t="s">
        <v>82</v>
      </c>
      <c r="N1745" s="8" t="s">
        <v>2407</v>
      </c>
      <c r="O1745" s="20" t="s">
        <v>44</v>
      </c>
      <c r="P1745" s="18">
        <v>40</v>
      </c>
      <c r="Q1745" s="8" t="s">
        <v>32</v>
      </c>
      <c r="R1745" s="8">
        <v>0</v>
      </c>
      <c r="S1745" s="8">
        <v>1</v>
      </c>
      <c r="T1745" s="8">
        <f t="shared" si="171"/>
        <v>1</v>
      </c>
      <c r="U1745" s="8">
        <v>0</v>
      </c>
      <c r="V1745" s="8">
        <v>0</v>
      </c>
      <c r="W1745" s="8">
        <v>1</v>
      </c>
      <c r="X1745" s="8">
        <v>0</v>
      </c>
      <c r="Y1745" s="8">
        <v>0</v>
      </c>
      <c r="Z1745" s="8">
        <v>0</v>
      </c>
      <c r="AA1745" s="8">
        <v>180</v>
      </c>
      <c r="AB1745" s="9">
        <f t="shared" si="172"/>
        <v>0.16666666666666669</v>
      </c>
      <c r="AC1745" s="10">
        <f t="shared" si="174"/>
        <v>5.9999999999999991</v>
      </c>
      <c r="AD1745" s="8" t="s">
        <v>33</v>
      </c>
      <c r="AE1745" s="11">
        <v>99990</v>
      </c>
      <c r="AF1745" s="11">
        <f t="shared" si="175"/>
        <v>99990</v>
      </c>
      <c r="AG1745" s="12" t="s">
        <v>34</v>
      </c>
      <c r="AH1745" s="8" t="s">
        <v>35</v>
      </c>
    </row>
    <row r="1746" spans="1:34">
      <c r="A1746" s="8" t="s">
        <v>2419</v>
      </c>
      <c r="B1746" s="16" t="s">
        <v>475</v>
      </c>
      <c r="C1746" s="8" t="s">
        <v>476</v>
      </c>
      <c r="D1746" s="8" t="s">
        <v>2387</v>
      </c>
      <c r="E1746" s="8" t="str">
        <f t="shared" si="173"/>
        <v>SUELA</v>
      </c>
      <c r="G1746" s="8" t="s">
        <v>2862</v>
      </c>
      <c r="H1746" s="8">
        <f>VLOOKUP(A1746,[1]BBDD!$B$1:$J$3274,9,FALSE)</f>
        <v>0</v>
      </c>
      <c r="I1746" s="17" t="s">
        <v>2862</v>
      </c>
      <c r="J1746" s="8" t="s">
        <v>2869</v>
      </c>
      <c r="L1746" s="8" t="s">
        <v>479</v>
      </c>
      <c r="N1746" s="8" t="s">
        <v>90</v>
      </c>
      <c r="O1746" s="8" t="s">
        <v>90</v>
      </c>
      <c r="P1746" s="18" t="str">
        <f t="shared" ref="P1746:P1749" si="176">RIGHT(A1746,2)</f>
        <v>39</v>
      </c>
      <c r="Q1746" s="8" t="s">
        <v>45</v>
      </c>
      <c r="R1746" s="8">
        <v>0</v>
      </c>
      <c r="S1746" s="8">
        <v>1</v>
      </c>
      <c r="T1746" s="8">
        <f t="shared" si="171"/>
        <v>1</v>
      </c>
      <c r="U1746" s="8">
        <v>0</v>
      </c>
      <c r="V1746" s="8">
        <v>0</v>
      </c>
      <c r="W1746" s="8">
        <v>0</v>
      </c>
      <c r="X1746" s="8">
        <v>0</v>
      </c>
      <c r="Y1746" s="8">
        <v>0</v>
      </c>
      <c r="Z1746" s="8">
        <v>0</v>
      </c>
      <c r="AA1746" s="8">
        <v>180</v>
      </c>
      <c r="AB1746" s="9">
        <f t="shared" si="172"/>
        <v>0</v>
      </c>
      <c r="AC1746" s="10" t="str">
        <f t="shared" si="174"/>
        <v>sin venta</v>
      </c>
      <c r="AD1746" s="8" t="s">
        <v>46</v>
      </c>
      <c r="AE1746" s="11">
        <v>69990</v>
      </c>
      <c r="AF1746" s="11">
        <f t="shared" si="175"/>
        <v>69990</v>
      </c>
      <c r="AG1746" s="12" t="s">
        <v>73</v>
      </c>
      <c r="AH1746" s="8" t="s">
        <v>35</v>
      </c>
    </row>
    <row r="1747" spans="1:34">
      <c r="A1747" s="8" t="s">
        <v>2420</v>
      </c>
      <c r="B1747" s="16" t="s">
        <v>475</v>
      </c>
      <c r="C1747" s="8" t="s">
        <v>476</v>
      </c>
      <c r="D1747" s="8" t="s">
        <v>2387</v>
      </c>
      <c r="E1747" s="8" t="str">
        <f t="shared" si="173"/>
        <v>SUELA</v>
      </c>
      <c r="G1747" s="8" t="s">
        <v>2862</v>
      </c>
      <c r="H1747" s="8">
        <f>VLOOKUP(A1747,[1]BBDD!$B$1:$J$3274,9,FALSE)</f>
        <v>0</v>
      </c>
      <c r="I1747" s="17" t="s">
        <v>2862</v>
      </c>
      <c r="J1747" s="8" t="s">
        <v>2869</v>
      </c>
      <c r="L1747" s="8" t="s">
        <v>479</v>
      </c>
      <c r="N1747" s="8" t="s">
        <v>90</v>
      </c>
      <c r="O1747" s="8" t="s">
        <v>90</v>
      </c>
      <c r="P1747" s="18" t="str">
        <f t="shared" si="176"/>
        <v>40</v>
      </c>
      <c r="Q1747" s="8" t="s">
        <v>45</v>
      </c>
      <c r="R1747" s="8">
        <v>0</v>
      </c>
      <c r="S1747" s="8">
        <v>1</v>
      </c>
      <c r="T1747" s="8">
        <f t="shared" si="171"/>
        <v>1</v>
      </c>
      <c r="U1747" s="8">
        <v>0</v>
      </c>
      <c r="V1747" s="8">
        <v>0</v>
      </c>
      <c r="W1747" s="8">
        <v>0</v>
      </c>
      <c r="X1747" s="8">
        <v>0</v>
      </c>
      <c r="Y1747" s="8">
        <v>0</v>
      </c>
      <c r="Z1747" s="8">
        <v>0</v>
      </c>
      <c r="AA1747" s="8">
        <v>180</v>
      </c>
      <c r="AB1747" s="9">
        <f t="shared" si="172"/>
        <v>0</v>
      </c>
      <c r="AC1747" s="10" t="str">
        <f t="shared" si="174"/>
        <v>sin venta</v>
      </c>
      <c r="AD1747" s="8" t="s">
        <v>46</v>
      </c>
      <c r="AE1747" s="11">
        <v>69990</v>
      </c>
      <c r="AF1747" s="11">
        <f t="shared" si="175"/>
        <v>69990</v>
      </c>
      <c r="AG1747" s="12" t="s">
        <v>73</v>
      </c>
      <c r="AH1747" s="8" t="s">
        <v>35</v>
      </c>
    </row>
    <row r="1748" spans="1:34">
      <c r="A1748" s="8" t="s">
        <v>2421</v>
      </c>
      <c r="B1748" s="16" t="s">
        <v>475</v>
      </c>
      <c r="C1748" s="8" t="s">
        <v>476</v>
      </c>
      <c r="D1748" s="8" t="s">
        <v>2387</v>
      </c>
      <c r="E1748" s="8" t="str">
        <f t="shared" si="173"/>
        <v>NEGRO</v>
      </c>
      <c r="G1748" s="8" t="s">
        <v>2862</v>
      </c>
      <c r="H1748" s="8">
        <f>VLOOKUP(A1748,[1]BBDD!$B$1:$J$3274,9,FALSE)</f>
        <v>0</v>
      </c>
      <c r="I1748" s="17" t="s">
        <v>2862</v>
      </c>
      <c r="J1748" s="8" t="s">
        <v>2422</v>
      </c>
      <c r="L1748" s="8" t="s">
        <v>479</v>
      </c>
      <c r="N1748" s="8" t="s">
        <v>44</v>
      </c>
      <c r="O1748" s="8" t="s">
        <v>44</v>
      </c>
      <c r="P1748" s="18" t="str">
        <f t="shared" si="176"/>
        <v>37</v>
      </c>
      <c r="Q1748" s="8" t="s">
        <v>45</v>
      </c>
      <c r="R1748" s="8">
        <v>0</v>
      </c>
      <c r="S1748" s="8">
        <v>1</v>
      </c>
      <c r="T1748" s="8">
        <f t="shared" si="171"/>
        <v>1</v>
      </c>
      <c r="U1748" s="8">
        <v>1</v>
      </c>
      <c r="V1748" s="8">
        <v>0</v>
      </c>
      <c r="W1748" s="8">
        <v>0</v>
      </c>
      <c r="X1748" s="8">
        <v>0</v>
      </c>
      <c r="Y1748" s="8">
        <v>0</v>
      </c>
      <c r="Z1748" s="8">
        <v>0</v>
      </c>
      <c r="AA1748" s="8">
        <v>180</v>
      </c>
      <c r="AB1748" s="9">
        <f t="shared" si="172"/>
        <v>0.16666666666666669</v>
      </c>
      <c r="AC1748" s="10">
        <f t="shared" si="174"/>
        <v>5.9999999999999991</v>
      </c>
      <c r="AD1748" s="8" t="s">
        <v>46</v>
      </c>
      <c r="AE1748" s="11">
        <v>69990</v>
      </c>
      <c r="AF1748" s="11">
        <f t="shared" si="175"/>
        <v>69990</v>
      </c>
      <c r="AG1748" s="12" t="s">
        <v>34</v>
      </c>
      <c r="AH1748" s="8" t="s">
        <v>35</v>
      </c>
    </row>
    <row r="1749" spans="1:34">
      <c r="A1749" s="8" t="s">
        <v>2423</v>
      </c>
      <c r="B1749" s="16" t="s">
        <v>475</v>
      </c>
      <c r="C1749" s="8" t="s">
        <v>476</v>
      </c>
      <c r="D1749" s="8" t="s">
        <v>2387</v>
      </c>
      <c r="E1749" s="8" t="str">
        <f t="shared" si="173"/>
        <v>NEGRO</v>
      </c>
      <c r="G1749" s="8" t="s">
        <v>2862</v>
      </c>
      <c r="H1749" s="8">
        <f>VLOOKUP(A1749,[1]BBDD!$B$1:$J$3274,9,FALSE)</f>
        <v>0</v>
      </c>
      <c r="I1749" s="17" t="s">
        <v>2862</v>
      </c>
      <c r="J1749" s="8" t="s">
        <v>2422</v>
      </c>
      <c r="L1749" s="8" t="s">
        <v>479</v>
      </c>
      <c r="N1749" s="8" t="s">
        <v>44</v>
      </c>
      <c r="O1749" s="8" t="s">
        <v>44</v>
      </c>
      <c r="P1749" s="18" t="str">
        <f t="shared" si="176"/>
        <v>40</v>
      </c>
      <c r="Q1749" s="8" t="s">
        <v>45</v>
      </c>
      <c r="R1749" s="8">
        <v>0</v>
      </c>
      <c r="S1749" s="8">
        <v>1</v>
      </c>
      <c r="T1749" s="8">
        <f t="shared" si="171"/>
        <v>1</v>
      </c>
      <c r="U1749" s="8">
        <v>0</v>
      </c>
      <c r="V1749" s="8">
        <v>0</v>
      </c>
      <c r="W1749" s="8">
        <v>0</v>
      </c>
      <c r="X1749" s="8">
        <v>0</v>
      </c>
      <c r="Y1749" s="8">
        <v>0</v>
      </c>
      <c r="Z1749" s="8">
        <v>1</v>
      </c>
      <c r="AA1749" s="8">
        <v>180</v>
      </c>
      <c r="AB1749" s="9">
        <f t="shared" si="172"/>
        <v>0.16666666666666669</v>
      </c>
      <c r="AC1749" s="10">
        <f t="shared" si="174"/>
        <v>5.9999999999999991</v>
      </c>
      <c r="AD1749" s="8" t="s">
        <v>46</v>
      </c>
      <c r="AE1749" s="11">
        <v>69990</v>
      </c>
      <c r="AF1749" s="11">
        <f t="shared" si="175"/>
        <v>69990</v>
      </c>
      <c r="AG1749" s="12" t="s">
        <v>34</v>
      </c>
      <c r="AH1749" s="8" t="s">
        <v>35</v>
      </c>
    </row>
    <row r="1750" spans="1:34">
      <c r="A1750" s="8" t="s">
        <v>2424</v>
      </c>
      <c r="B1750" s="16" t="s">
        <v>2859</v>
      </c>
      <c r="C1750" s="8" t="s">
        <v>27</v>
      </c>
      <c r="D1750" s="8" t="s">
        <v>2425</v>
      </c>
      <c r="E1750" s="8" t="str">
        <f t="shared" si="173"/>
        <v>CHOCOLATE</v>
      </c>
      <c r="G1750" s="8" t="s">
        <v>2861</v>
      </c>
      <c r="H1750" s="8">
        <f>VLOOKUP(A1750,[1]BBDD!$B$1:$J$3274,9,FALSE)</f>
        <v>0</v>
      </c>
      <c r="I1750" s="8" t="s">
        <v>2861</v>
      </c>
      <c r="J1750" s="8" t="s">
        <v>2425</v>
      </c>
      <c r="L1750" s="8" t="s">
        <v>1211</v>
      </c>
      <c r="N1750" s="8" t="s">
        <v>252</v>
      </c>
      <c r="O1750" s="8" t="s">
        <v>252</v>
      </c>
      <c r="Q1750" s="8" t="s">
        <v>32</v>
      </c>
      <c r="R1750" s="8">
        <v>0</v>
      </c>
      <c r="S1750" s="8">
        <v>2</v>
      </c>
      <c r="T1750" s="8">
        <f t="shared" si="171"/>
        <v>2</v>
      </c>
      <c r="U1750" s="8">
        <v>0</v>
      </c>
      <c r="V1750" s="8">
        <v>2</v>
      </c>
      <c r="W1750" s="8">
        <v>2</v>
      </c>
      <c r="X1750" s="8">
        <v>0</v>
      </c>
      <c r="Y1750" s="8">
        <v>0</v>
      </c>
      <c r="Z1750" s="8">
        <v>0</v>
      </c>
      <c r="AA1750" s="8">
        <v>180</v>
      </c>
      <c r="AB1750" s="9">
        <f t="shared" si="172"/>
        <v>0.66666666666666674</v>
      </c>
      <c r="AC1750" s="10">
        <f t="shared" si="174"/>
        <v>2.9999999999999996</v>
      </c>
      <c r="AD1750" s="8" t="s">
        <v>33</v>
      </c>
      <c r="AE1750" s="11">
        <v>2990</v>
      </c>
      <c r="AF1750" s="11">
        <f t="shared" si="175"/>
        <v>5980</v>
      </c>
      <c r="AG1750" s="12" t="s">
        <v>34</v>
      </c>
      <c r="AH1750" s="8" t="s">
        <v>35</v>
      </c>
    </row>
    <row r="1751" spans="1:34">
      <c r="A1751" s="8" t="s">
        <v>2426</v>
      </c>
      <c r="B1751" s="16" t="s">
        <v>2859</v>
      </c>
      <c r="C1751" s="8" t="s">
        <v>27</v>
      </c>
      <c r="D1751" s="8" t="s">
        <v>2425</v>
      </c>
      <c r="E1751" s="8" t="str">
        <f t="shared" si="173"/>
        <v>NATURAL</v>
      </c>
      <c r="G1751" s="8" t="s">
        <v>2861</v>
      </c>
      <c r="H1751" s="8">
        <f>VLOOKUP(A1751,[1]BBDD!$B$1:$J$3274,9,FALSE)</f>
        <v>0</v>
      </c>
      <c r="I1751" s="8" t="s">
        <v>2861</v>
      </c>
      <c r="J1751" s="8" t="s">
        <v>2425</v>
      </c>
      <c r="L1751" s="8" t="s">
        <v>1211</v>
      </c>
      <c r="N1751" s="8" t="s">
        <v>1983</v>
      </c>
      <c r="O1751" s="8" t="s">
        <v>1983</v>
      </c>
      <c r="Q1751" s="8" t="s">
        <v>32</v>
      </c>
      <c r="R1751" s="8">
        <v>0</v>
      </c>
      <c r="S1751" s="8">
        <v>3</v>
      </c>
      <c r="T1751" s="8">
        <f t="shared" si="171"/>
        <v>3</v>
      </c>
      <c r="U1751" s="8">
        <v>0</v>
      </c>
      <c r="V1751" s="8">
        <v>0</v>
      </c>
      <c r="W1751" s="8">
        <v>0</v>
      </c>
      <c r="X1751" s="8">
        <v>0</v>
      </c>
      <c r="Y1751" s="8">
        <v>0</v>
      </c>
      <c r="Z1751" s="8">
        <v>0</v>
      </c>
      <c r="AA1751" s="8">
        <v>180</v>
      </c>
      <c r="AB1751" s="9">
        <f t="shared" si="172"/>
        <v>0</v>
      </c>
      <c r="AC1751" s="10" t="str">
        <f t="shared" si="174"/>
        <v>sin venta</v>
      </c>
      <c r="AD1751" s="8" t="s">
        <v>33</v>
      </c>
      <c r="AE1751" s="11">
        <v>2990</v>
      </c>
      <c r="AF1751" s="11">
        <f t="shared" si="175"/>
        <v>8970</v>
      </c>
      <c r="AG1751" s="12" t="s">
        <v>73</v>
      </c>
      <c r="AH1751" s="8" t="s">
        <v>35</v>
      </c>
    </row>
    <row r="1752" spans="1:34">
      <c r="A1752" s="8" t="s">
        <v>2427</v>
      </c>
      <c r="B1752" s="16" t="s">
        <v>2859</v>
      </c>
      <c r="C1752" s="8" t="s">
        <v>27</v>
      </c>
      <c r="D1752" s="8" t="s">
        <v>2425</v>
      </c>
      <c r="E1752" s="8" t="str">
        <f t="shared" si="173"/>
        <v>SUELA</v>
      </c>
      <c r="G1752" s="8" t="s">
        <v>2861</v>
      </c>
      <c r="H1752" s="8">
        <f>VLOOKUP(A1752,[1]BBDD!$B$1:$J$3274,9,FALSE)</f>
        <v>0</v>
      </c>
      <c r="I1752" s="8" t="s">
        <v>2861</v>
      </c>
      <c r="J1752" s="8" t="s">
        <v>2425</v>
      </c>
      <c r="L1752" s="8" t="s">
        <v>1211</v>
      </c>
      <c r="N1752" s="8" t="s">
        <v>90</v>
      </c>
      <c r="O1752" s="8" t="s">
        <v>90</v>
      </c>
      <c r="Q1752" s="8" t="s">
        <v>32</v>
      </c>
      <c r="R1752" s="8">
        <v>0</v>
      </c>
      <c r="S1752" s="8">
        <v>1</v>
      </c>
      <c r="T1752" s="8">
        <f t="shared" si="171"/>
        <v>1</v>
      </c>
      <c r="U1752" s="8">
        <v>0</v>
      </c>
      <c r="V1752" s="8">
        <v>0</v>
      </c>
      <c r="W1752" s="8">
        <v>0</v>
      </c>
      <c r="X1752" s="8">
        <v>0</v>
      </c>
      <c r="Y1752" s="8">
        <v>0</v>
      </c>
      <c r="Z1752" s="8">
        <v>0</v>
      </c>
      <c r="AA1752" s="8">
        <v>180</v>
      </c>
      <c r="AB1752" s="9">
        <f t="shared" si="172"/>
        <v>0</v>
      </c>
      <c r="AC1752" s="10" t="str">
        <f t="shared" si="174"/>
        <v>sin venta</v>
      </c>
      <c r="AD1752" s="8" t="s">
        <v>33</v>
      </c>
      <c r="AE1752" s="11">
        <v>2990</v>
      </c>
      <c r="AF1752" s="11">
        <f t="shared" si="175"/>
        <v>2990</v>
      </c>
      <c r="AG1752" s="12" t="s">
        <v>73</v>
      </c>
      <c r="AH1752" s="8" t="s">
        <v>35</v>
      </c>
    </row>
    <row r="1753" spans="1:34">
      <c r="A1753" s="8" t="s">
        <v>2428</v>
      </c>
      <c r="B1753" s="16" t="s">
        <v>2859</v>
      </c>
      <c r="C1753" s="8" t="s">
        <v>27</v>
      </c>
      <c r="D1753" s="8" t="s">
        <v>2425</v>
      </c>
      <c r="E1753" s="8" t="str">
        <f t="shared" si="173"/>
        <v>VISON</v>
      </c>
      <c r="G1753" s="8" t="s">
        <v>2861</v>
      </c>
      <c r="H1753" s="8">
        <f>VLOOKUP(A1753,[1]BBDD!$B$1:$J$3274,9,FALSE)</f>
        <v>0</v>
      </c>
      <c r="I1753" s="8" t="s">
        <v>2861</v>
      </c>
      <c r="J1753" s="8" t="s">
        <v>2425</v>
      </c>
      <c r="L1753" s="8" t="s">
        <v>1211</v>
      </c>
      <c r="N1753" s="8" t="s">
        <v>58</v>
      </c>
      <c r="O1753" s="8" t="s">
        <v>58</v>
      </c>
      <c r="Q1753" s="8" t="s">
        <v>32</v>
      </c>
      <c r="R1753" s="8">
        <v>0</v>
      </c>
      <c r="S1753" s="8">
        <v>3</v>
      </c>
      <c r="T1753" s="8">
        <f t="shared" si="171"/>
        <v>3</v>
      </c>
      <c r="U1753" s="8">
        <v>1</v>
      </c>
      <c r="V1753" s="8">
        <v>0</v>
      </c>
      <c r="W1753" s="8">
        <v>0</v>
      </c>
      <c r="X1753" s="8">
        <v>0</v>
      </c>
      <c r="Y1753" s="8">
        <v>0</v>
      </c>
      <c r="Z1753" s="8">
        <v>0</v>
      </c>
      <c r="AA1753" s="8">
        <v>180</v>
      </c>
      <c r="AB1753" s="9">
        <f t="shared" si="172"/>
        <v>0.16666666666666669</v>
      </c>
      <c r="AC1753" s="10">
        <f t="shared" si="174"/>
        <v>17.999999999999996</v>
      </c>
      <c r="AD1753" s="8" t="s">
        <v>33</v>
      </c>
      <c r="AE1753" s="11">
        <v>2990</v>
      </c>
      <c r="AF1753" s="11">
        <f t="shared" si="175"/>
        <v>8970</v>
      </c>
      <c r="AG1753" s="12" t="s">
        <v>64</v>
      </c>
      <c r="AH1753" s="8" t="s">
        <v>35</v>
      </c>
    </row>
    <row r="1754" spans="1:34">
      <c r="A1754" s="8" t="s">
        <v>2429</v>
      </c>
      <c r="B1754" s="16" t="s">
        <v>2859</v>
      </c>
      <c r="C1754" s="8" t="s">
        <v>27</v>
      </c>
      <c r="D1754" s="8" t="s">
        <v>2271</v>
      </c>
      <c r="E1754" s="8" t="str">
        <f t="shared" si="173"/>
        <v>NEGRO</v>
      </c>
      <c r="G1754" s="8" t="s">
        <v>2861</v>
      </c>
      <c r="H1754" s="8" t="str">
        <f>VLOOKUP(A1754,[1]BBDD!$B$1:$J$3274,9,FALSE)</f>
        <v>U</v>
      </c>
      <c r="I1754" s="8" t="s">
        <v>2861</v>
      </c>
      <c r="J1754" s="8" t="s">
        <v>2430</v>
      </c>
      <c r="L1754" s="8" t="s">
        <v>61</v>
      </c>
      <c r="N1754" s="8" t="s">
        <v>44</v>
      </c>
      <c r="O1754" s="8" t="s">
        <v>44</v>
      </c>
      <c r="Q1754" s="8" t="s">
        <v>32</v>
      </c>
      <c r="R1754" s="8">
        <v>7</v>
      </c>
      <c r="S1754" s="8">
        <v>3</v>
      </c>
      <c r="T1754" s="8">
        <f t="shared" si="171"/>
        <v>10</v>
      </c>
      <c r="U1754" s="8">
        <v>0</v>
      </c>
      <c r="V1754" s="8">
        <v>0</v>
      </c>
      <c r="W1754" s="8">
        <v>0</v>
      </c>
      <c r="X1754" s="8">
        <v>0</v>
      </c>
      <c r="Y1754" s="8">
        <v>1</v>
      </c>
      <c r="Z1754" s="8">
        <v>0</v>
      </c>
      <c r="AA1754" s="8">
        <v>180</v>
      </c>
      <c r="AB1754" s="9">
        <f t="shared" si="172"/>
        <v>0.16666666666666669</v>
      </c>
      <c r="AC1754" s="10">
        <f t="shared" si="174"/>
        <v>59.999999999999993</v>
      </c>
      <c r="AD1754" s="8" t="s">
        <v>33</v>
      </c>
      <c r="AE1754" s="11">
        <v>39990</v>
      </c>
      <c r="AF1754" s="11">
        <f t="shared" si="175"/>
        <v>399900</v>
      </c>
      <c r="AG1754" s="12" t="s">
        <v>73</v>
      </c>
      <c r="AH1754" s="8" t="s">
        <v>35</v>
      </c>
    </row>
    <row r="1755" spans="1:34">
      <c r="A1755" s="8" t="s">
        <v>2431</v>
      </c>
      <c r="B1755" s="16" t="s">
        <v>2859</v>
      </c>
      <c r="C1755" s="8" t="s">
        <v>27</v>
      </c>
      <c r="D1755" s="8" t="s">
        <v>2271</v>
      </c>
      <c r="E1755" s="8" t="str">
        <f t="shared" si="173"/>
        <v>ROJO</v>
      </c>
      <c r="G1755" s="8" t="s">
        <v>2861</v>
      </c>
      <c r="H1755" s="8" t="str">
        <f>VLOOKUP(A1755,[1]BBDD!$B$1:$J$3274,9,FALSE)</f>
        <v>U</v>
      </c>
      <c r="I1755" s="8" t="s">
        <v>2861</v>
      </c>
      <c r="J1755" s="8" t="s">
        <v>2430</v>
      </c>
      <c r="L1755" s="8" t="s">
        <v>61</v>
      </c>
      <c r="N1755" s="8" t="s">
        <v>88</v>
      </c>
      <c r="O1755" s="8" t="s">
        <v>88</v>
      </c>
      <c r="Q1755" s="8" t="s">
        <v>32</v>
      </c>
      <c r="R1755" s="8">
        <v>4</v>
      </c>
      <c r="S1755" s="8">
        <v>4</v>
      </c>
      <c r="T1755" s="8">
        <f t="shared" si="171"/>
        <v>8</v>
      </c>
      <c r="U1755" s="8">
        <v>1</v>
      </c>
      <c r="V1755" s="8">
        <v>1</v>
      </c>
      <c r="W1755" s="8">
        <v>1</v>
      </c>
      <c r="X1755" s="8">
        <v>0</v>
      </c>
      <c r="Y1755" s="8">
        <v>0</v>
      </c>
      <c r="Z1755" s="8">
        <v>0</v>
      </c>
      <c r="AA1755" s="8">
        <v>180</v>
      </c>
      <c r="AB1755" s="9">
        <f t="shared" si="172"/>
        <v>0.5</v>
      </c>
      <c r="AC1755" s="10">
        <f t="shared" si="174"/>
        <v>16</v>
      </c>
      <c r="AD1755" s="8" t="s">
        <v>33</v>
      </c>
      <c r="AE1755" s="11">
        <v>39990</v>
      </c>
      <c r="AF1755" s="11">
        <f t="shared" si="175"/>
        <v>319920</v>
      </c>
      <c r="AG1755" s="12" t="s">
        <v>64</v>
      </c>
      <c r="AH1755" s="8" t="s">
        <v>35</v>
      </c>
    </row>
    <row r="1756" spans="1:34">
      <c r="A1756" s="8" t="s">
        <v>2432</v>
      </c>
      <c r="B1756" s="16" t="s">
        <v>2859</v>
      </c>
      <c r="C1756" s="8" t="s">
        <v>27</v>
      </c>
      <c r="D1756" s="8" t="s">
        <v>2271</v>
      </c>
      <c r="E1756" s="8" t="str">
        <f t="shared" si="173"/>
        <v>TABACO</v>
      </c>
      <c r="G1756" s="8" t="s">
        <v>2861</v>
      </c>
      <c r="H1756" s="8" t="str">
        <f>VLOOKUP(A1756,[1]BBDD!$B$1:$J$3274,9,FALSE)</f>
        <v>U</v>
      </c>
      <c r="I1756" s="8" t="s">
        <v>2861</v>
      </c>
      <c r="J1756" s="8" t="s">
        <v>2430</v>
      </c>
      <c r="L1756" s="8" t="s">
        <v>61</v>
      </c>
      <c r="N1756" s="8" t="s">
        <v>67</v>
      </c>
      <c r="O1756" s="8" t="s">
        <v>67</v>
      </c>
      <c r="Q1756" s="8" t="s">
        <v>32</v>
      </c>
      <c r="R1756" s="8">
        <v>3</v>
      </c>
      <c r="S1756" s="8">
        <v>2</v>
      </c>
      <c r="T1756" s="8">
        <f t="shared" si="171"/>
        <v>5</v>
      </c>
      <c r="U1756" s="8">
        <v>2</v>
      </c>
      <c r="V1756" s="8">
        <v>0</v>
      </c>
      <c r="W1756" s="8">
        <v>1</v>
      </c>
      <c r="X1756" s="8">
        <v>0</v>
      </c>
      <c r="Y1756" s="8">
        <v>0</v>
      </c>
      <c r="Z1756" s="8">
        <v>0</v>
      </c>
      <c r="AA1756" s="8">
        <v>180</v>
      </c>
      <c r="AB1756" s="9">
        <f t="shared" si="172"/>
        <v>0.5</v>
      </c>
      <c r="AC1756" s="10">
        <f t="shared" si="174"/>
        <v>10</v>
      </c>
      <c r="AD1756" s="8" t="s">
        <v>33</v>
      </c>
      <c r="AE1756" s="11">
        <v>39990</v>
      </c>
      <c r="AF1756" s="11">
        <f t="shared" si="175"/>
        <v>199950</v>
      </c>
      <c r="AG1756" s="12" t="s">
        <v>51</v>
      </c>
      <c r="AH1756" s="8" t="s">
        <v>35</v>
      </c>
    </row>
    <row r="1757" spans="1:34">
      <c r="A1757" s="8" t="s">
        <v>2433</v>
      </c>
      <c r="B1757" s="16" t="s">
        <v>2859</v>
      </c>
      <c r="C1757" s="8" t="s">
        <v>27</v>
      </c>
      <c r="D1757" s="8" t="s">
        <v>2271</v>
      </c>
      <c r="E1757" s="8" t="str">
        <f t="shared" si="173"/>
        <v>MALBEC</v>
      </c>
      <c r="G1757" s="8" t="s">
        <v>2861</v>
      </c>
      <c r="H1757" s="8" t="str">
        <f>VLOOKUP(A1757,[1]BBDD!$B$1:$J$3274,9,FALSE)</f>
        <v>U</v>
      </c>
      <c r="I1757" s="8" t="s">
        <v>2861</v>
      </c>
      <c r="J1757" s="8" t="s">
        <v>2430</v>
      </c>
      <c r="L1757" s="8" t="s">
        <v>61</v>
      </c>
      <c r="N1757" s="8" t="s">
        <v>69</v>
      </c>
      <c r="O1757" s="8" t="s">
        <v>69</v>
      </c>
      <c r="Q1757" s="8" t="s">
        <v>32</v>
      </c>
      <c r="R1757" s="8">
        <v>2</v>
      </c>
      <c r="S1757" s="8">
        <v>2</v>
      </c>
      <c r="T1757" s="8">
        <f t="shared" si="171"/>
        <v>4</v>
      </c>
      <c r="U1757" s="8">
        <v>0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180</v>
      </c>
      <c r="AB1757" s="9">
        <f t="shared" si="172"/>
        <v>0</v>
      </c>
      <c r="AC1757" s="10" t="str">
        <f t="shared" si="174"/>
        <v>sin venta</v>
      </c>
      <c r="AD1757" s="8" t="s">
        <v>33</v>
      </c>
      <c r="AE1757" s="11">
        <v>39990</v>
      </c>
      <c r="AF1757" s="11">
        <f t="shared" si="175"/>
        <v>159960</v>
      </c>
      <c r="AG1757" s="12" t="s">
        <v>73</v>
      </c>
      <c r="AH1757" s="8" t="s">
        <v>35</v>
      </c>
    </row>
    <row r="1758" spans="1:34">
      <c r="A1758" s="8" t="s">
        <v>2434</v>
      </c>
      <c r="B1758" s="16" t="s">
        <v>2859</v>
      </c>
      <c r="C1758" s="8" t="s">
        <v>27</v>
      </c>
      <c r="D1758" s="8" t="s">
        <v>2271</v>
      </c>
      <c r="E1758" s="8" t="str">
        <f t="shared" si="173"/>
        <v>CHOCOLATE</v>
      </c>
      <c r="G1758" s="8" t="s">
        <v>2861</v>
      </c>
      <c r="H1758" s="8" t="str">
        <f>VLOOKUP(A1758,[1]BBDD!$B$1:$J$3274,9,FALSE)</f>
        <v>U</v>
      </c>
      <c r="I1758" s="8" t="s">
        <v>2861</v>
      </c>
      <c r="J1758" s="8" t="s">
        <v>2430</v>
      </c>
      <c r="L1758" s="8" t="s">
        <v>61</v>
      </c>
      <c r="N1758" s="8" t="s">
        <v>252</v>
      </c>
      <c r="O1758" s="8" t="s">
        <v>252</v>
      </c>
      <c r="Q1758" s="8" t="s">
        <v>32</v>
      </c>
      <c r="R1758" s="8">
        <v>5</v>
      </c>
      <c r="S1758" s="8">
        <v>3</v>
      </c>
      <c r="T1758" s="8">
        <f t="shared" si="171"/>
        <v>8</v>
      </c>
      <c r="U1758" s="8">
        <v>0</v>
      </c>
      <c r="V1758" s="8">
        <v>0</v>
      </c>
      <c r="W1758" s="8">
        <v>0</v>
      </c>
      <c r="X1758" s="8">
        <v>0</v>
      </c>
      <c r="Y1758" s="8">
        <v>0</v>
      </c>
      <c r="Z1758" s="8">
        <v>2</v>
      </c>
      <c r="AA1758" s="8">
        <v>180</v>
      </c>
      <c r="AB1758" s="9">
        <f t="shared" si="172"/>
        <v>0.33333333333333337</v>
      </c>
      <c r="AC1758" s="10">
        <f t="shared" si="174"/>
        <v>23.999999999999996</v>
      </c>
      <c r="AD1758" s="8" t="s">
        <v>33</v>
      </c>
      <c r="AE1758" s="11">
        <v>39990</v>
      </c>
      <c r="AF1758" s="11">
        <f t="shared" si="175"/>
        <v>319920</v>
      </c>
      <c r="AG1758" s="12" t="s">
        <v>64</v>
      </c>
      <c r="AH1758" s="8" t="s">
        <v>35</v>
      </c>
    </row>
    <row r="1759" spans="1:34">
      <c r="A1759" s="8" t="s">
        <v>2435</v>
      </c>
      <c r="B1759" s="16" t="s">
        <v>2859</v>
      </c>
      <c r="C1759" s="8" t="s">
        <v>27</v>
      </c>
      <c r="D1759" s="8" t="s">
        <v>2271</v>
      </c>
      <c r="E1759" s="8" t="str">
        <f t="shared" si="173"/>
        <v>CARAMELO</v>
      </c>
      <c r="G1759" s="8" t="s">
        <v>2861</v>
      </c>
      <c r="H1759" s="8" t="str">
        <f>VLOOKUP(A1759,[1]BBDD!$B$1:$J$3274,9,FALSE)</f>
        <v>U</v>
      </c>
      <c r="I1759" s="8" t="s">
        <v>2861</v>
      </c>
      <c r="J1759" s="8" t="s">
        <v>2430</v>
      </c>
      <c r="L1759" s="8" t="s">
        <v>82</v>
      </c>
      <c r="N1759" s="8" t="s">
        <v>62</v>
      </c>
      <c r="O1759" s="8" t="s">
        <v>62</v>
      </c>
      <c r="Q1759" s="8" t="s">
        <v>32</v>
      </c>
      <c r="R1759" s="8">
        <v>4</v>
      </c>
      <c r="S1759" s="8">
        <v>3</v>
      </c>
      <c r="T1759" s="8">
        <f t="shared" si="171"/>
        <v>7</v>
      </c>
      <c r="U1759" s="8">
        <v>1</v>
      </c>
      <c r="V1759" s="8">
        <v>1</v>
      </c>
      <c r="W1759" s="8">
        <v>1</v>
      </c>
      <c r="X1759" s="8">
        <v>0</v>
      </c>
      <c r="Y1759" s="8">
        <v>0</v>
      </c>
      <c r="Z1759" s="8">
        <v>0</v>
      </c>
      <c r="AA1759" s="8">
        <v>180</v>
      </c>
      <c r="AB1759" s="9">
        <f t="shared" si="172"/>
        <v>0.5</v>
      </c>
      <c r="AC1759" s="10">
        <f t="shared" si="174"/>
        <v>14</v>
      </c>
      <c r="AD1759" s="8" t="s">
        <v>33</v>
      </c>
      <c r="AE1759" s="11">
        <v>39990</v>
      </c>
      <c r="AF1759" s="11">
        <f t="shared" si="175"/>
        <v>279930</v>
      </c>
      <c r="AG1759" s="12" t="s">
        <v>64</v>
      </c>
      <c r="AH1759" s="8" t="s">
        <v>35</v>
      </c>
    </row>
    <row r="1760" spans="1:34">
      <c r="A1760" s="8" t="s">
        <v>2436</v>
      </c>
      <c r="B1760" s="16" t="s">
        <v>2859</v>
      </c>
      <c r="C1760" s="8" t="s">
        <v>27</v>
      </c>
      <c r="D1760" s="8" t="s">
        <v>2271</v>
      </c>
      <c r="E1760" s="8" t="str">
        <f t="shared" si="173"/>
        <v>MALBEC</v>
      </c>
      <c r="G1760" s="8" t="s">
        <v>2861</v>
      </c>
      <c r="H1760" s="8" t="str">
        <f>VLOOKUP(A1760,[1]BBDD!$B$1:$J$3274,9,FALSE)</f>
        <v>U</v>
      </c>
      <c r="I1760" s="8" t="s">
        <v>2861</v>
      </c>
      <c r="J1760" s="8" t="s">
        <v>2430</v>
      </c>
      <c r="L1760" s="8" t="s">
        <v>82</v>
      </c>
      <c r="N1760" s="8" t="s">
        <v>69</v>
      </c>
      <c r="O1760" s="8" t="s">
        <v>69</v>
      </c>
      <c r="Q1760" s="8" t="s">
        <v>32</v>
      </c>
      <c r="R1760" s="8">
        <v>3</v>
      </c>
      <c r="S1760" s="8">
        <v>4</v>
      </c>
      <c r="T1760" s="8">
        <f t="shared" si="171"/>
        <v>7</v>
      </c>
      <c r="U1760" s="8">
        <v>1</v>
      </c>
      <c r="V1760" s="8">
        <v>0</v>
      </c>
      <c r="W1760" s="8">
        <v>1</v>
      </c>
      <c r="X1760" s="8">
        <v>0</v>
      </c>
      <c r="Y1760" s="8">
        <v>0</v>
      </c>
      <c r="Z1760" s="8">
        <v>0</v>
      </c>
      <c r="AA1760" s="8">
        <v>180</v>
      </c>
      <c r="AB1760" s="9">
        <f t="shared" si="172"/>
        <v>0.33333333333333337</v>
      </c>
      <c r="AC1760" s="10">
        <f t="shared" si="174"/>
        <v>20.999999999999996</v>
      </c>
      <c r="AD1760" s="8" t="s">
        <v>33</v>
      </c>
      <c r="AE1760" s="11">
        <v>39990</v>
      </c>
      <c r="AF1760" s="11">
        <f t="shared" si="175"/>
        <v>279930</v>
      </c>
      <c r="AG1760" s="12" t="s">
        <v>64</v>
      </c>
      <c r="AH1760" s="8" t="s">
        <v>35</v>
      </c>
    </row>
    <row r="1761" spans="1:34">
      <c r="A1761" s="8" t="s">
        <v>2437</v>
      </c>
      <c r="B1761" s="16" t="s">
        <v>2859</v>
      </c>
      <c r="C1761" s="8" t="s">
        <v>27</v>
      </c>
      <c r="D1761" s="8" t="s">
        <v>2271</v>
      </c>
      <c r="E1761" s="8" t="str">
        <f t="shared" si="173"/>
        <v>NEGRO</v>
      </c>
      <c r="G1761" s="8" t="s">
        <v>2861</v>
      </c>
      <c r="H1761" s="8" t="str">
        <f>VLOOKUP(A1761,[1]BBDD!$B$1:$J$3274,9,FALSE)</f>
        <v>U</v>
      </c>
      <c r="I1761" s="8" t="s">
        <v>2861</v>
      </c>
      <c r="J1761" s="8" t="s">
        <v>2430</v>
      </c>
      <c r="L1761" s="8" t="s">
        <v>82</v>
      </c>
      <c r="N1761" s="8" t="s">
        <v>44</v>
      </c>
      <c r="O1761" s="8" t="s">
        <v>44</v>
      </c>
      <c r="Q1761" s="8" t="s">
        <v>32</v>
      </c>
      <c r="R1761" s="8">
        <v>5</v>
      </c>
      <c r="S1761" s="8">
        <v>4</v>
      </c>
      <c r="T1761" s="8">
        <f t="shared" si="171"/>
        <v>9</v>
      </c>
      <c r="U1761" s="8">
        <v>0</v>
      </c>
      <c r="V1761" s="8">
        <v>1</v>
      </c>
      <c r="W1761" s="8">
        <v>0</v>
      </c>
      <c r="X1761" s="8">
        <v>0</v>
      </c>
      <c r="Y1761" s="8">
        <v>2</v>
      </c>
      <c r="Z1761" s="8">
        <v>0</v>
      </c>
      <c r="AA1761" s="8">
        <v>180</v>
      </c>
      <c r="AB1761" s="9">
        <f t="shared" si="172"/>
        <v>0.5</v>
      </c>
      <c r="AC1761" s="10">
        <f t="shared" si="174"/>
        <v>18</v>
      </c>
      <c r="AD1761" s="8" t="s">
        <v>33</v>
      </c>
      <c r="AE1761" s="11">
        <v>39990</v>
      </c>
      <c r="AF1761" s="11">
        <f t="shared" si="175"/>
        <v>359910</v>
      </c>
      <c r="AG1761" s="12" t="s">
        <v>64</v>
      </c>
      <c r="AH1761" s="8" t="s">
        <v>35</v>
      </c>
    </row>
    <row r="1762" spans="1:34">
      <c r="A1762" s="8" t="s">
        <v>2438</v>
      </c>
      <c r="B1762" s="16" t="s">
        <v>2859</v>
      </c>
      <c r="C1762" s="8" t="s">
        <v>27</v>
      </c>
      <c r="D1762" s="8" t="s">
        <v>2271</v>
      </c>
      <c r="E1762" s="8" t="str">
        <f t="shared" si="173"/>
        <v>SUELA</v>
      </c>
      <c r="G1762" s="8" t="s">
        <v>2861</v>
      </c>
      <c r="H1762" s="8" t="str">
        <f>VLOOKUP(A1762,[1]BBDD!$B$1:$J$3274,9,FALSE)</f>
        <v>U</v>
      </c>
      <c r="I1762" s="8" t="s">
        <v>2861</v>
      </c>
      <c r="J1762" s="8" t="s">
        <v>2430</v>
      </c>
      <c r="L1762" s="8" t="s">
        <v>82</v>
      </c>
      <c r="N1762" s="8" t="s">
        <v>90</v>
      </c>
      <c r="O1762" s="8" t="s">
        <v>90</v>
      </c>
      <c r="Q1762" s="8" t="s">
        <v>32</v>
      </c>
      <c r="R1762" s="8">
        <v>4</v>
      </c>
      <c r="S1762" s="8">
        <v>4</v>
      </c>
      <c r="T1762" s="8">
        <f t="shared" si="171"/>
        <v>8</v>
      </c>
      <c r="U1762" s="8">
        <v>0</v>
      </c>
      <c r="V1762" s="8">
        <v>0</v>
      </c>
      <c r="W1762" s="8">
        <v>1</v>
      </c>
      <c r="X1762" s="8">
        <v>0</v>
      </c>
      <c r="Y1762" s="8">
        <v>0</v>
      </c>
      <c r="Z1762" s="8">
        <v>0</v>
      </c>
      <c r="AA1762" s="8">
        <v>180</v>
      </c>
      <c r="AB1762" s="9">
        <f t="shared" si="172"/>
        <v>0.16666666666666669</v>
      </c>
      <c r="AC1762" s="10">
        <f t="shared" si="174"/>
        <v>47.999999999999993</v>
      </c>
      <c r="AD1762" s="8" t="s">
        <v>33</v>
      </c>
      <c r="AE1762" s="11">
        <v>39990</v>
      </c>
      <c r="AF1762" s="11">
        <f t="shared" si="175"/>
        <v>319920</v>
      </c>
      <c r="AG1762" s="12" t="s">
        <v>73</v>
      </c>
      <c r="AH1762" s="8" t="s">
        <v>35</v>
      </c>
    </row>
    <row r="1763" spans="1:34">
      <c r="A1763" s="8" t="s">
        <v>2439</v>
      </c>
      <c r="B1763" s="16" t="s">
        <v>2859</v>
      </c>
      <c r="C1763" s="8" t="s">
        <v>27</v>
      </c>
      <c r="D1763" s="8" t="s">
        <v>2271</v>
      </c>
      <c r="E1763" s="8" t="str">
        <f t="shared" si="173"/>
        <v>TABACO</v>
      </c>
      <c r="G1763" s="8" t="s">
        <v>2861</v>
      </c>
      <c r="H1763" s="8" t="str">
        <f>VLOOKUP(A1763,[1]BBDD!$B$1:$J$3274,9,FALSE)</f>
        <v>U</v>
      </c>
      <c r="I1763" s="8" t="s">
        <v>2861</v>
      </c>
      <c r="J1763" s="8" t="s">
        <v>2430</v>
      </c>
      <c r="L1763" s="8" t="s">
        <v>82</v>
      </c>
      <c r="N1763" s="8" t="s">
        <v>67</v>
      </c>
      <c r="O1763" s="8" t="s">
        <v>67</v>
      </c>
      <c r="Q1763" s="8" t="s">
        <v>32</v>
      </c>
      <c r="R1763" s="8">
        <v>2</v>
      </c>
      <c r="S1763" s="8">
        <v>2</v>
      </c>
      <c r="T1763" s="8">
        <f t="shared" si="171"/>
        <v>4</v>
      </c>
      <c r="U1763" s="8">
        <v>0</v>
      </c>
      <c r="V1763" s="8">
        <v>0</v>
      </c>
      <c r="W1763" s="8">
        <v>2</v>
      </c>
      <c r="X1763" s="8">
        <v>0</v>
      </c>
      <c r="Y1763" s="8">
        <v>0</v>
      </c>
      <c r="Z1763" s="8">
        <v>0</v>
      </c>
      <c r="AA1763" s="8">
        <v>180</v>
      </c>
      <c r="AB1763" s="9">
        <f t="shared" si="172"/>
        <v>0.33333333333333337</v>
      </c>
      <c r="AC1763" s="10">
        <f t="shared" si="174"/>
        <v>11.999999999999998</v>
      </c>
      <c r="AD1763" s="8" t="s">
        <v>33</v>
      </c>
      <c r="AE1763" s="11">
        <v>39990</v>
      </c>
      <c r="AF1763" s="11">
        <f t="shared" si="175"/>
        <v>159960</v>
      </c>
      <c r="AG1763" s="12" t="s">
        <v>51</v>
      </c>
      <c r="AH1763" s="8" t="s">
        <v>35</v>
      </c>
    </row>
    <row r="1764" spans="1:34">
      <c r="A1764" s="8" t="s">
        <v>2440</v>
      </c>
      <c r="B1764" s="16" t="s">
        <v>2859</v>
      </c>
      <c r="C1764" s="8" t="s">
        <v>27</v>
      </c>
      <c r="D1764" s="8" t="s">
        <v>2271</v>
      </c>
      <c r="E1764" s="8" t="str">
        <f t="shared" si="173"/>
        <v>HOLANDO</v>
      </c>
      <c r="G1764" s="8" t="s">
        <v>2861</v>
      </c>
      <c r="H1764" s="8" t="str">
        <f>VLOOKUP(A1764,[1]BBDD!$B$1:$J$3274,9,FALSE)</f>
        <v>U</v>
      </c>
      <c r="I1764" s="8" t="s">
        <v>2861</v>
      </c>
      <c r="J1764" s="8" t="s">
        <v>2430</v>
      </c>
      <c r="L1764" s="8" t="s">
        <v>30</v>
      </c>
      <c r="N1764" s="8" t="s">
        <v>31</v>
      </c>
      <c r="O1764" s="8" t="s">
        <v>31</v>
      </c>
      <c r="Q1764" s="8" t="s">
        <v>32</v>
      </c>
      <c r="R1764" s="8">
        <v>0</v>
      </c>
      <c r="S1764" s="8">
        <v>1</v>
      </c>
      <c r="T1764" s="8">
        <f t="shared" si="171"/>
        <v>1</v>
      </c>
      <c r="U1764" s="8">
        <v>0</v>
      </c>
      <c r="V1764" s="8">
        <v>0</v>
      </c>
      <c r="W1764" s="8">
        <v>0</v>
      </c>
      <c r="X1764" s="8">
        <v>2</v>
      </c>
      <c r="Y1764" s="8">
        <v>1</v>
      </c>
      <c r="Z1764" s="8">
        <v>0</v>
      </c>
      <c r="AA1764" s="8">
        <v>180</v>
      </c>
      <c r="AB1764" s="9">
        <f t="shared" si="172"/>
        <v>0.5</v>
      </c>
      <c r="AC1764" s="10">
        <f t="shared" si="174"/>
        <v>2</v>
      </c>
      <c r="AD1764" s="8" t="s">
        <v>33</v>
      </c>
      <c r="AE1764" s="11">
        <v>39990</v>
      </c>
      <c r="AF1764" s="11">
        <f t="shared" si="175"/>
        <v>39990</v>
      </c>
      <c r="AG1764" s="12" t="s">
        <v>34</v>
      </c>
      <c r="AH1764" s="8" t="s">
        <v>35</v>
      </c>
    </row>
    <row r="1765" spans="1:34">
      <c r="A1765" s="8" t="s">
        <v>2441</v>
      </c>
      <c r="B1765" s="16" t="s">
        <v>2859</v>
      </c>
      <c r="C1765" s="8" t="s">
        <v>27</v>
      </c>
      <c r="D1765" s="8" t="s">
        <v>2271</v>
      </c>
      <c r="E1765" s="8" t="str">
        <f t="shared" si="173"/>
        <v>HEREFORD</v>
      </c>
      <c r="G1765" s="8" t="s">
        <v>2861</v>
      </c>
      <c r="H1765" s="8" t="str">
        <f>VLOOKUP(A1765,[1]BBDD!$B$1:$J$3274,9,FALSE)</f>
        <v>U</v>
      </c>
      <c r="I1765" s="8" t="s">
        <v>2861</v>
      </c>
      <c r="J1765" s="8" t="s">
        <v>2430</v>
      </c>
      <c r="L1765" s="8" t="s">
        <v>30</v>
      </c>
      <c r="N1765" s="8" t="s">
        <v>37</v>
      </c>
      <c r="O1765" s="8" t="s">
        <v>37</v>
      </c>
      <c r="Q1765" s="8" t="s">
        <v>32</v>
      </c>
      <c r="R1765" s="8">
        <v>0</v>
      </c>
      <c r="S1765" s="8">
        <v>1</v>
      </c>
      <c r="T1765" s="8">
        <f t="shared" si="171"/>
        <v>1</v>
      </c>
      <c r="U1765" s="8">
        <v>0</v>
      </c>
      <c r="V1765" s="8">
        <v>0</v>
      </c>
      <c r="W1765" s="8">
        <v>0</v>
      </c>
      <c r="X1765" s="8">
        <v>2</v>
      </c>
      <c r="Y1765" s="8">
        <v>1</v>
      </c>
      <c r="Z1765" s="8">
        <v>0</v>
      </c>
      <c r="AA1765" s="8">
        <v>180</v>
      </c>
      <c r="AB1765" s="9">
        <f t="shared" si="172"/>
        <v>0.5</v>
      </c>
      <c r="AC1765" s="10">
        <f t="shared" si="174"/>
        <v>2</v>
      </c>
      <c r="AD1765" s="8" t="s">
        <v>33</v>
      </c>
      <c r="AE1765" s="11">
        <v>39990</v>
      </c>
      <c r="AF1765" s="11">
        <f t="shared" si="175"/>
        <v>39990</v>
      </c>
      <c r="AG1765" s="12" t="s">
        <v>34</v>
      </c>
      <c r="AH1765" s="8" t="s">
        <v>35</v>
      </c>
    </row>
    <row r="1766" spans="1:34">
      <c r="A1766" s="8" t="s">
        <v>2442</v>
      </c>
      <c r="B1766" s="16" t="s">
        <v>2859</v>
      </c>
      <c r="C1766" s="8" t="s">
        <v>27</v>
      </c>
      <c r="D1766" s="8" t="s">
        <v>2271</v>
      </c>
      <c r="E1766" s="8" t="str">
        <f t="shared" si="173"/>
        <v>MARRON ROJIZO</v>
      </c>
      <c r="G1766" s="8" t="s">
        <v>2861</v>
      </c>
      <c r="H1766" s="8" t="str">
        <f>VLOOKUP(A1766,[1]BBDD!$B$1:$J$3274,9,FALSE)</f>
        <v>U</v>
      </c>
      <c r="I1766" s="8" t="s">
        <v>2861</v>
      </c>
      <c r="J1766" s="8" t="s">
        <v>2430</v>
      </c>
      <c r="L1766" s="8" t="s">
        <v>30</v>
      </c>
      <c r="N1766" s="8" t="s">
        <v>454</v>
      </c>
      <c r="O1766" s="8" t="s">
        <v>452</v>
      </c>
      <c r="Q1766" s="8" t="s">
        <v>32</v>
      </c>
      <c r="R1766" s="8">
        <v>0</v>
      </c>
      <c r="S1766" s="8">
        <v>4</v>
      </c>
      <c r="T1766" s="8">
        <f t="shared" si="171"/>
        <v>4</v>
      </c>
      <c r="U1766" s="8">
        <v>0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180</v>
      </c>
      <c r="AB1766" s="9">
        <f t="shared" si="172"/>
        <v>0</v>
      </c>
      <c r="AC1766" s="10" t="str">
        <f t="shared" si="174"/>
        <v>sin venta</v>
      </c>
      <c r="AD1766" s="8" t="s">
        <v>33</v>
      </c>
      <c r="AE1766" s="11">
        <v>39990</v>
      </c>
      <c r="AF1766" s="11">
        <f t="shared" si="175"/>
        <v>159960</v>
      </c>
      <c r="AG1766" s="12" t="s">
        <v>73</v>
      </c>
      <c r="AH1766" s="8" t="s">
        <v>35</v>
      </c>
    </row>
    <row r="1767" spans="1:34">
      <c r="A1767" s="8" t="s">
        <v>2443</v>
      </c>
      <c r="B1767" s="16" t="s">
        <v>2859</v>
      </c>
      <c r="C1767" s="8" t="s">
        <v>27</v>
      </c>
      <c r="D1767" s="8" t="s">
        <v>2271</v>
      </c>
      <c r="E1767" s="8" t="str">
        <f t="shared" si="173"/>
        <v>BEIGE</v>
      </c>
      <c r="G1767" s="8" t="s">
        <v>2861</v>
      </c>
      <c r="H1767" s="8" t="str">
        <f>VLOOKUP(A1767,[1]BBDD!$B$1:$J$3274,9,FALSE)</f>
        <v>U</v>
      </c>
      <c r="I1767" s="8" t="s">
        <v>2861</v>
      </c>
      <c r="J1767" s="8" t="s">
        <v>2430</v>
      </c>
      <c r="L1767" s="8" t="s">
        <v>30</v>
      </c>
      <c r="N1767" s="8" t="s">
        <v>516</v>
      </c>
      <c r="O1767" s="8" t="s">
        <v>516</v>
      </c>
      <c r="Q1767" s="8" t="s">
        <v>32</v>
      </c>
      <c r="R1767" s="8">
        <v>0</v>
      </c>
      <c r="S1767" s="8">
        <v>2</v>
      </c>
      <c r="T1767" s="8">
        <f t="shared" si="171"/>
        <v>2</v>
      </c>
      <c r="U1767" s="8">
        <v>0</v>
      </c>
      <c r="V1767" s="8">
        <v>0</v>
      </c>
      <c r="W1767" s="8">
        <v>0</v>
      </c>
      <c r="X1767" s="8">
        <v>0</v>
      </c>
      <c r="Y1767" s="8">
        <v>0</v>
      </c>
      <c r="Z1767" s="8">
        <v>2</v>
      </c>
      <c r="AA1767" s="8">
        <v>180</v>
      </c>
      <c r="AB1767" s="9">
        <f t="shared" si="172"/>
        <v>0.33333333333333337</v>
      </c>
      <c r="AC1767" s="10">
        <f t="shared" si="174"/>
        <v>5.9999999999999991</v>
      </c>
      <c r="AD1767" s="8" t="s">
        <v>33</v>
      </c>
      <c r="AE1767" s="11">
        <v>39990</v>
      </c>
      <c r="AF1767" s="11">
        <f t="shared" si="175"/>
        <v>79980</v>
      </c>
      <c r="AG1767" s="12" t="s">
        <v>34</v>
      </c>
      <c r="AH1767" s="8" t="s">
        <v>35</v>
      </c>
    </row>
    <row r="1768" spans="1:34">
      <c r="A1768" s="8" t="s">
        <v>2444</v>
      </c>
      <c r="B1768" s="16" t="s">
        <v>2859</v>
      </c>
      <c r="C1768" s="8" t="s">
        <v>27</v>
      </c>
      <c r="D1768" s="8" t="s">
        <v>2271</v>
      </c>
      <c r="E1768" s="8" t="str">
        <f t="shared" si="173"/>
        <v>HOLANDO</v>
      </c>
      <c r="G1768" s="8" t="s">
        <v>2861</v>
      </c>
      <c r="H1768" s="8" t="str">
        <f>VLOOKUP(A1768,[1]BBDD!$B$1:$J$3274,9,FALSE)</f>
        <v>U</v>
      </c>
      <c r="I1768" s="8" t="s">
        <v>2861</v>
      </c>
      <c r="J1768" s="8" t="s">
        <v>2445</v>
      </c>
      <c r="L1768" s="8" t="s">
        <v>30</v>
      </c>
      <c r="N1768" s="8" t="s">
        <v>31</v>
      </c>
      <c r="O1768" s="8" t="s">
        <v>31</v>
      </c>
      <c r="Q1768" s="8" t="s">
        <v>32</v>
      </c>
      <c r="R1768" s="8">
        <v>0</v>
      </c>
      <c r="S1768" s="8">
        <v>3</v>
      </c>
      <c r="T1768" s="8">
        <f t="shared" si="171"/>
        <v>3</v>
      </c>
      <c r="U1768" s="8">
        <v>0</v>
      </c>
      <c r="V1768" s="8">
        <v>0</v>
      </c>
      <c r="W1768" s="8">
        <v>0</v>
      </c>
      <c r="X1768" s="8">
        <v>0</v>
      </c>
      <c r="Y1768" s="8">
        <v>1</v>
      </c>
      <c r="Z1768" s="8">
        <v>0</v>
      </c>
      <c r="AA1768" s="8">
        <v>180</v>
      </c>
      <c r="AB1768" s="9">
        <f t="shared" si="172"/>
        <v>0.16666666666666669</v>
      </c>
      <c r="AC1768" s="10">
        <f t="shared" si="174"/>
        <v>17.999999999999996</v>
      </c>
      <c r="AD1768" s="8" t="s">
        <v>33</v>
      </c>
      <c r="AE1768" s="11">
        <v>35990</v>
      </c>
      <c r="AF1768" s="11">
        <f t="shared" si="175"/>
        <v>107970</v>
      </c>
      <c r="AG1768" s="12" t="s">
        <v>64</v>
      </c>
      <c r="AH1768" s="8" t="s">
        <v>35</v>
      </c>
    </row>
    <row r="1769" spans="1:34">
      <c r="A1769" s="8" t="s">
        <v>2446</v>
      </c>
      <c r="B1769" s="16" t="s">
        <v>2859</v>
      </c>
      <c r="C1769" s="8" t="s">
        <v>27</v>
      </c>
      <c r="D1769" s="8" t="s">
        <v>2271</v>
      </c>
      <c r="E1769" s="8" t="str">
        <f t="shared" si="173"/>
        <v>HEREFORD</v>
      </c>
      <c r="G1769" s="8" t="s">
        <v>2861</v>
      </c>
      <c r="H1769" s="8" t="str">
        <f>VLOOKUP(A1769,[1]BBDD!$B$1:$J$3274,9,FALSE)</f>
        <v>U</v>
      </c>
      <c r="I1769" s="8" t="s">
        <v>2861</v>
      </c>
      <c r="J1769" s="8" t="s">
        <v>2445</v>
      </c>
      <c r="L1769" s="8" t="s">
        <v>30</v>
      </c>
      <c r="N1769" s="8" t="s">
        <v>37</v>
      </c>
      <c r="O1769" s="8" t="s">
        <v>37</v>
      </c>
      <c r="Q1769" s="8" t="s">
        <v>32</v>
      </c>
      <c r="R1769" s="8">
        <v>0</v>
      </c>
      <c r="S1769" s="8">
        <v>0</v>
      </c>
      <c r="T1769" s="8">
        <f t="shared" si="171"/>
        <v>0</v>
      </c>
      <c r="U1769" s="8">
        <v>0</v>
      </c>
      <c r="V1769" s="8">
        <v>0</v>
      </c>
      <c r="W1769" s="8">
        <v>0</v>
      </c>
      <c r="X1769" s="8">
        <v>0</v>
      </c>
      <c r="Y1769" s="8">
        <v>1</v>
      </c>
      <c r="Z1769" s="8">
        <v>0</v>
      </c>
      <c r="AA1769" s="8">
        <v>180</v>
      </c>
      <c r="AB1769" s="9">
        <f t="shared" si="172"/>
        <v>0.16666666666666669</v>
      </c>
      <c r="AC1769" s="10">
        <f t="shared" si="174"/>
        <v>0</v>
      </c>
      <c r="AD1769" s="8" t="s">
        <v>33</v>
      </c>
      <c r="AE1769" s="11">
        <v>35990</v>
      </c>
      <c r="AF1769" s="11">
        <f t="shared" si="175"/>
        <v>0</v>
      </c>
      <c r="AG1769" s="12" t="s">
        <v>34</v>
      </c>
      <c r="AH1769" s="8" t="s">
        <v>35</v>
      </c>
    </row>
    <row r="1770" spans="1:34">
      <c r="A1770" s="8" t="s">
        <v>2447</v>
      </c>
      <c r="B1770" s="16" t="s">
        <v>2859</v>
      </c>
      <c r="C1770" s="8" t="s">
        <v>27</v>
      </c>
      <c r="D1770" s="8" t="s">
        <v>2271</v>
      </c>
      <c r="E1770" s="8" t="str">
        <f t="shared" si="173"/>
        <v>MARRON ROJIZO</v>
      </c>
      <c r="G1770" s="8" t="s">
        <v>2861</v>
      </c>
      <c r="H1770" s="8" t="str">
        <f>VLOOKUP(A1770,[1]BBDD!$B$1:$J$3274,9,FALSE)</f>
        <v>U</v>
      </c>
      <c r="I1770" s="8" t="s">
        <v>2861</v>
      </c>
      <c r="J1770" s="8" t="s">
        <v>2445</v>
      </c>
      <c r="L1770" s="8" t="s">
        <v>30</v>
      </c>
      <c r="N1770" s="8" t="s">
        <v>454</v>
      </c>
      <c r="O1770" s="8" t="s">
        <v>452</v>
      </c>
      <c r="Q1770" s="8" t="s">
        <v>32</v>
      </c>
      <c r="R1770" s="8">
        <v>0</v>
      </c>
      <c r="S1770" s="8">
        <v>3</v>
      </c>
      <c r="T1770" s="8">
        <f t="shared" si="171"/>
        <v>3</v>
      </c>
      <c r="U1770" s="8">
        <v>0</v>
      </c>
      <c r="V1770" s="8">
        <v>0</v>
      </c>
      <c r="W1770" s="8">
        <v>0</v>
      </c>
      <c r="X1770" s="8">
        <v>0</v>
      </c>
      <c r="Y1770" s="8">
        <v>1</v>
      </c>
      <c r="Z1770" s="8">
        <v>0</v>
      </c>
      <c r="AA1770" s="8">
        <v>180</v>
      </c>
      <c r="AB1770" s="9">
        <f t="shared" si="172"/>
        <v>0.16666666666666669</v>
      </c>
      <c r="AC1770" s="10">
        <f t="shared" si="174"/>
        <v>17.999999999999996</v>
      </c>
      <c r="AD1770" s="8" t="s">
        <v>33</v>
      </c>
      <c r="AE1770" s="11">
        <v>35990</v>
      </c>
      <c r="AF1770" s="11">
        <f t="shared" si="175"/>
        <v>107970</v>
      </c>
      <c r="AG1770" s="12" t="s">
        <v>64</v>
      </c>
      <c r="AH1770" s="8" t="s">
        <v>35</v>
      </c>
    </row>
    <row r="1771" spans="1:34">
      <c r="A1771" s="8" t="s">
        <v>2448</v>
      </c>
      <c r="B1771" s="16" t="s">
        <v>2859</v>
      </c>
      <c r="C1771" s="8" t="s">
        <v>27</v>
      </c>
      <c r="D1771" s="8" t="s">
        <v>2271</v>
      </c>
      <c r="E1771" s="8" t="str">
        <f t="shared" si="173"/>
        <v>BEIGE</v>
      </c>
      <c r="G1771" s="8" t="s">
        <v>2861</v>
      </c>
      <c r="H1771" s="8" t="str">
        <f>VLOOKUP(A1771,[1]BBDD!$B$1:$J$3274,9,FALSE)</f>
        <v>U</v>
      </c>
      <c r="I1771" s="8" t="s">
        <v>2861</v>
      </c>
      <c r="J1771" s="8" t="s">
        <v>2445</v>
      </c>
      <c r="L1771" s="8" t="s">
        <v>30</v>
      </c>
      <c r="N1771" s="8" t="s">
        <v>516</v>
      </c>
      <c r="O1771" s="8" t="s">
        <v>516</v>
      </c>
      <c r="Q1771" s="8" t="s">
        <v>32</v>
      </c>
      <c r="R1771" s="8">
        <v>0</v>
      </c>
      <c r="S1771" s="8">
        <v>2</v>
      </c>
      <c r="T1771" s="8">
        <f t="shared" si="171"/>
        <v>2</v>
      </c>
      <c r="U1771" s="8">
        <v>0</v>
      </c>
      <c r="V1771" s="8">
        <v>0</v>
      </c>
      <c r="W1771" s="8">
        <v>0</v>
      </c>
      <c r="X1771" s="8">
        <v>1</v>
      </c>
      <c r="Y1771" s="8">
        <v>0</v>
      </c>
      <c r="Z1771" s="8">
        <v>1</v>
      </c>
      <c r="AA1771" s="8">
        <v>180</v>
      </c>
      <c r="AB1771" s="9">
        <f t="shared" si="172"/>
        <v>0.33333333333333337</v>
      </c>
      <c r="AC1771" s="10">
        <f t="shared" si="174"/>
        <v>5.9999999999999991</v>
      </c>
      <c r="AD1771" s="8" t="s">
        <v>33</v>
      </c>
      <c r="AE1771" s="11">
        <v>35990</v>
      </c>
      <c r="AF1771" s="11">
        <f t="shared" si="175"/>
        <v>71980</v>
      </c>
      <c r="AG1771" s="12" t="s">
        <v>34</v>
      </c>
      <c r="AH1771" s="8" t="s">
        <v>35</v>
      </c>
    </row>
    <row r="1772" spans="1:34">
      <c r="A1772" s="8" t="s">
        <v>2449</v>
      </c>
      <c r="B1772" s="16" t="s">
        <v>2859</v>
      </c>
      <c r="C1772" s="8" t="s">
        <v>27</v>
      </c>
      <c r="D1772" s="8" t="s">
        <v>2271</v>
      </c>
      <c r="E1772" s="8" t="str">
        <f t="shared" si="173"/>
        <v>NEGRO</v>
      </c>
      <c r="G1772" s="8" t="s">
        <v>2861</v>
      </c>
      <c r="H1772" s="8" t="str">
        <f>VLOOKUP(A1772,[1]BBDD!$B$1:$J$3274,9,FALSE)</f>
        <v>U</v>
      </c>
      <c r="I1772" s="8" t="s">
        <v>2861</v>
      </c>
      <c r="J1772" s="8" t="s">
        <v>2450</v>
      </c>
      <c r="L1772" s="8" t="s">
        <v>61</v>
      </c>
      <c r="N1772" s="8" t="s">
        <v>44</v>
      </c>
      <c r="O1772" s="8" t="s">
        <v>44</v>
      </c>
      <c r="Q1772" s="8" t="s">
        <v>32</v>
      </c>
      <c r="R1772" s="8">
        <v>4</v>
      </c>
      <c r="S1772" s="8">
        <v>4</v>
      </c>
      <c r="T1772" s="8">
        <f t="shared" si="171"/>
        <v>8</v>
      </c>
      <c r="U1772" s="8">
        <v>0</v>
      </c>
      <c r="V1772" s="8">
        <v>0</v>
      </c>
      <c r="W1772" s="8">
        <v>0</v>
      </c>
      <c r="X1772" s="8">
        <v>0</v>
      </c>
      <c r="Y1772" s="8">
        <v>2</v>
      </c>
      <c r="Z1772" s="8">
        <v>0</v>
      </c>
      <c r="AA1772" s="8">
        <v>180</v>
      </c>
      <c r="AB1772" s="9">
        <f t="shared" si="172"/>
        <v>0.33333333333333337</v>
      </c>
      <c r="AC1772" s="10">
        <f t="shared" si="174"/>
        <v>23.999999999999996</v>
      </c>
      <c r="AD1772" s="8" t="s">
        <v>33</v>
      </c>
      <c r="AE1772" s="11">
        <v>35990</v>
      </c>
      <c r="AF1772" s="11">
        <f t="shared" si="175"/>
        <v>287920</v>
      </c>
      <c r="AG1772" s="12" t="s">
        <v>64</v>
      </c>
      <c r="AH1772" s="8" t="s">
        <v>35</v>
      </c>
    </row>
    <row r="1773" spans="1:34">
      <c r="A1773" s="8" t="s">
        <v>2451</v>
      </c>
      <c r="B1773" s="16" t="s">
        <v>2859</v>
      </c>
      <c r="C1773" s="8" t="s">
        <v>27</v>
      </c>
      <c r="D1773" s="8" t="s">
        <v>2271</v>
      </c>
      <c r="E1773" s="8" t="str">
        <f t="shared" si="173"/>
        <v>ROJO</v>
      </c>
      <c r="G1773" s="8" t="s">
        <v>2861</v>
      </c>
      <c r="H1773" s="8" t="str">
        <f>VLOOKUP(A1773,[1]BBDD!$B$1:$J$3274,9,FALSE)</f>
        <v>U</v>
      </c>
      <c r="I1773" s="8" t="s">
        <v>2861</v>
      </c>
      <c r="J1773" s="8" t="s">
        <v>2450</v>
      </c>
      <c r="L1773" s="8" t="s">
        <v>61</v>
      </c>
      <c r="N1773" s="8" t="s">
        <v>88</v>
      </c>
      <c r="O1773" s="8" t="s">
        <v>88</v>
      </c>
      <c r="Q1773" s="8" t="s">
        <v>32</v>
      </c>
      <c r="R1773" s="8">
        <v>6</v>
      </c>
      <c r="S1773" s="8">
        <v>3</v>
      </c>
      <c r="T1773" s="8">
        <f t="shared" si="171"/>
        <v>9</v>
      </c>
      <c r="U1773" s="8">
        <v>0</v>
      </c>
      <c r="V1773" s="8">
        <v>1</v>
      </c>
      <c r="W1773" s="8">
        <v>1</v>
      </c>
      <c r="X1773" s="8">
        <v>0</v>
      </c>
      <c r="Y1773" s="8">
        <v>0</v>
      </c>
      <c r="Z1773" s="8">
        <v>0</v>
      </c>
      <c r="AA1773" s="8">
        <v>180</v>
      </c>
      <c r="AB1773" s="9">
        <f t="shared" si="172"/>
        <v>0.33333333333333337</v>
      </c>
      <c r="AC1773" s="10">
        <f t="shared" si="174"/>
        <v>26.999999999999996</v>
      </c>
      <c r="AD1773" s="8" t="s">
        <v>33</v>
      </c>
      <c r="AE1773" s="11">
        <v>35990</v>
      </c>
      <c r="AF1773" s="11">
        <f t="shared" si="175"/>
        <v>323910</v>
      </c>
      <c r="AG1773" s="12" t="s">
        <v>73</v>
      </c>
      <c r="AH1773" s="8" t="s">
        <v>35</v>
      </c>
    </row>
    <row r="1774" spans="1:34">
      <c r="A1774" s="8" t="s">
        <v>2452</v>
      </c>
      <c r="B1774" s="16" t="s">
        <v>2859</v>
      </c>
      <c r="C1774" s="8" t="s">
        <v>27</v>
      </c>
      <c r="D1774" s="8" t="s">
        <v>2271</v>
      </c>
      <c r="E1774" s="8" t="str">
        <f t="shared" si="173"/>
        <v>TABACO</v>
      </c>
      <c r="G1774" s="8" t="s">
        <v>2861</v>
      </c>
      <c r="H1774" s="8" t="str">
        <f>VLOOKUP(A1774,[1]BBDD!$B$1:$J$3274,9,FALSE)</f>
        <v>U</v>
      </c>
      <c r="I1774" s="8" t="s">
        <v>2861</v>
      </c>
      <c r="J1774" s="8" t="s">
        <v>2450</v>
      </c>
      <c r="L1774" s="8" t="s">
        <v>61</v>
      </c>
      <c r="N1774" s="8" t="s">
        <v>67</v>
      </c>
      <c r="O1774" s="8" t="s">
        <v>67</v>
      </c>
      <c r="Q1774" s="8" t="s">
        <v>32</v>
      </c>
      <c r="R1774" s="8">
        <v>2</v>
      </c>
      <c r="S1774" s="8">
        <v>2</v>
      </c>
      <c r="T1774" s="8">
        <f t="shared" ref="T1774:T1837" si="177">SUM(R1774:S1774)</f>
        <v>4</v>
      </c>
      <c r="U1774" s="8">
        <v>1</v>
      </c>
      <c r="V1774" s="8">
        <v>0</v>
      </c>
      <c r="W1774" s="8">
        <v>1</v>
      </c>
      <c r="X1774" s="8">
        <v>0</v>
      </c>
      <c r="Y1774" s="8">
        <v>0</v>
      </c>
      <c r="Z1774" s="8">
        <v>0</v>
      </c>
      <c r="AA1774" s="8">
        <v>180</v>
      </c>
      <c r="AB1774" s="9">
        <f t="shared" ref="AB1774:AB1837" si="178">SUM(U1774:Z1774)/AA1774*30</f>
        <v>0.33333333333333337</v>
      </c>
      <c r="AC1774" s="10">
        <f t="shared" si="174"/>
        <v>11.999999999999998</v>
      </c>
      <c r="AD1774" s="8" t="s">
        <v>33</v>
      </c>
      <c r="AE1774" s="11">
        <v>35990</v>
      </c>
      <c r="AF1774" s="11">
        <f t="shared" si="175"/>
        <v>143960</v>
      </c>
      <c r="AG1774" s="12" t="s">
        <v>51</v>
      </c>
      <c r="AH1774" s="8" t="s">
        <v>35</v>
      </c>
    </row>
    <row r="1775" spans="1:34">
      <c r="A1775" s="8" t="s">
        <v>2453</v>
      </c>
      <c r="B1775" s="16" t="s">
        <v>2859</v>
      </c>
      <c r="C1775" s="8" t="s">
        <v>27</v>
      </c>
      <c r="D1775" s="8" t="s">
        <v>2271</v>
      </c>
      <c r="E1775" s="8" t="str">
        <f t="shared" si="173"/>
        <v>MALBEC</v>
      </c>
      <c r="G1775" s="8" t="s">
        <v>2861</v>
      </c>
      <c r="H1775" s="8" t="str">
        <f>VLOOKUP(A1775,[1]BBDD!$B$1:$J$3274,9,FALSE)</f>
        <v>U</v>
      </c>
      <c r="I1775" s="8" t="s">
        <v>2861</v>
      </c>
      <c r="J1775" s="8" t="s">
        <v>2450</v>
      </c>
      <c r="L1775" s="8" t="s">
        <v>61</v>
      </c>
      <c r="N1775" s="8" t="s">
        <v>69</v>
      </c>
      <c r="O1775" s="8" t="s">
        <v>69</v>
      </c>
      <c r="Q1775" s="8" t="s">
        <v>32</v>
      </c>
      <c r="R1775" s="8">
        <v>0</v>
      </c>
      <c r="S1775" s="8">
        <v>2</v>
      </c>
      <c r="T1775" s="8">
        <f t="shared" si="177"/>
        <v>2</v>
      </c>
      <c r="U1775" s="8">
        <v>0</v>
      </c>
      <c r="V1775" s="8">
        <v>0</v>
      </c>
      <c r="W1775" s="8">
        <v>0</v>
      </c>
      <c r="X1775" s="8">
        <v>0</v>
      </c>
      <c r="Y1775" s="8">
        <v>2</v>
      </c>
      <c r="Z1775" s="8">
        <v>0</v>
      </c>
      <c r="AA1775" s="8">
        <v>180</v>
      </c>
      <c r="AB1775" s="9">
        <f t="shared" si="178"/>
        <v>0.33333333333333337</v>
      </c>
      <c r="AC1775" s="10">
        <f t="shared" si="174"/>
        <v>5.9999999999999991</v>
      </c>
      <c r="AD1775" s="8" t="s">
        <v>33</v>
      </c>
      <c r="AE1775" s="11">
        <v>35990</v>
      </c>
      <c r="AF1775" s="11">
        <f t="shared" si="175"/>
        <v>71980</v>
      </c>
      <c r="AG1775" s="12" t="s">
        <v>34</v>
      </c>
      <c r="AH1775" s="8" t="s">
        <v>35</v>
      </c>
    </row>
    <row r="1776" spans="1:34">
      <c r="A1776" s="8" t="s">
        <v>2454</v>
      </c>
      <c r="B1776" s="16" t="s">
        <v>2859</v>
      </c>
      <c r="C1776" s="8" t="s">
        <v>27</v>
      </c>
      <c r="D1776" s="8" t="s">
        <v>2271</v>
      </c>
      <c r="E1776" s="8" t="str">
        <f t="shared" si="173"/>
        <v>CHOCOLATE</v>
      </c>
      <c r="G1776" s="8" t="s">
        <v>2861</v>
      </c>
      <c r="H1776" s="8" t="str">
        <f>VLOOKUP(A1776,[1]BBDD!$B$1:$J$3274,9,FALSE)</f>
        <v>U</v>
      </c>
      <c r="I1776" s="8" t="s">
        <v>2861</v>
      </c>
      <c r="J1776" s="8" t="s">
        <v>2450</v>
      </c>
      <c r="L1776" s="8" t="s">
        <v>61</v>
      </c>
      <c r="N1776" s="8" t="s">
        <v>252</v>
      </c>
      <c r="O1776" s="8" t="s">
        <v>252</v>
      </c>
      <c r="Q1776" s="8" t="s">
        <v>32</v>
      </c>
      <c r="R1776" s="8">
        <v>5</v>
      </c>
      <c r="S1776" s="8">
        <v>3</v>
      </c>
      <c r="T1776" s="8">
        <f t="shared" si="177"/>
        <v>8</v>
      </c>
      <c r="U1776" s="8">
        <v>0</v>
      </c>
      <c r="V1776" s="8">
        <v>0</v>
      </c>
      <c r="W1776" s="8">
        <v>0</v>
      </c>
      <c r="X1776" s="8">
        <v>0</v>
      </c>
      <c r="Y1776" s="8">
        <v>2</v>
      </c>
      <c r="Z1776" s="8">
        <v>0</v>
      </c>
      <c r="AA1776" s="8">
        <v>180</v>
      </c>
      <c r="AB1776" s="9">
        <f t="shared" si="178"/>
        <v>0.33333333333333337</v>
      </c>
      <c r="AC1776" s="10">
        <f t="shared" si="174"/>
        <v>23.999999999999996</v>
      </c>
      <c r="AD1776" s="8" t="s">
        <v>33</v>
      </c>
      <c r="AE1776" s="11">
        <v>35990</v>
      </c>
      <c r="AF1776" s="11">
        <f t="shared" si="175"/>
        <v>287920</v>
      </c>
      <c r="AG1776" s="12" t="s">
        <v>64</v>
      </c>
      <c r="AH1776" s="8" t="s">
        <v>35</v>
      </c>
    </row>
    <row r="1777" spans="1:34">
      <c r="A1777" s="8" t="s">
        <v>2455</v>
      </c>
      <c r="B1777" s="16" t="s">
        <v>2859</v>
      </c>
      <c r="C1777" s="8" t="s">
        <v>27</v>
      </c>
      <c r="D1777" s="8" t="s">
        <v>2271</v>
      </c>
      <c r="E1777" s="8" t="str">
        <f t="shared" si="173"/>
        <v>CARAMELO</v>
      </c>
      <c r="G1777" s="8" t="s">
        <v>2861</v>
      </c>
      <c r="H1777" s="8" t="str">
        <f>VLOOKUP(A1777,[1]BBDD!$B$1:$J$3274,9,FALSE)</f>
        <v>U</v>
      </c>
      <c r="I1777" s="8" t="s">
        <v>2861</v>
      </c>
      <c r="J1777" s="8" t="s">
        <v>2450</v>
      </c>
      <c r="L1777" s="8" t="s">
        <v>82</v>
      </c>
      <c r="N1777" s="8" t="s">
        <v>62</v>
      </c>
      <c r="O1777" s="8" t="s">
        <v>62</v>
      </c>
      <c r="Q1777" s="8" t="s">
        <v>32</v>
      </c>
      <c r="R1777" s="8">
        <v>9</v>
      </c>
      <c r="S1777" s="8">
        <v>5</v>
      </c>
      <c r="T1777" s="8">
        <f t="shared" si="177"/>
        <v>14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180</v>
      </c>
      <c r="AB1777" s="9">
        <f t="shared" si="178"/>
        <v>0</v>
      </c>
      <c r="AC1777" s="10" t="str">
        <f t="shared" si="174"/>
        <v>sin venta</v>
      </c>
      <c r="AD1777" s="8" t="s">
        <v>33</v>
      </c>
      <c r="AE1777" s="11">
        <v>35990</v>
      </c>
      <c r="AF1777" s="11">
        <f t="shared" si="175"/>
        <v>503860</v>
      </c>
      <c r="AG1777" s="12" t="s">
        <v>73</v>
      </c>
      <c r="AH1777" s="8" t="s">
        <v>65</v>
      </c>
    </row>
    <row r="1778" spans="1:34">
      <c r="A1778" s="8" t="s">
        <v>2456</v>
      </c>
      <c r="B1778" s="16" t="s">
        <v>2859</v>
      </c>
      <c r="C1778" s="8" t="s">
        <v>27</v>
      </c>
      <c r="D1778" s="8" t="s">
        <v>2271</v>
      </c>
      <c r="E1778" s="8" t="str">
        <f t="shared" si="173"/>
        <v>NEGRO</v>
      </c>
      <c r="G1778" s="8" t="s">
        <v>2861</v>
      </c>
      <c r="H1778" s="8" t="str">
        <f>VLOOKUP(A1778,[1]BBDD!$B$1:$J$3274,9,FALSE)</f>
        <v>U</v>
      </c>
      <c r="I1778" s="8" t="s">
        <v>2861</v>
      </c>
      <c r="J1778" s="8" t="s">
        <v>2450</v>
      </c>
      <c r="L1778" s="8" t="s">
        <v>82</v>
      </c>
      <c r="N1778" s="8" t="s">
        <v>44</v>
      </c>
      <c r="O1778" s="8" t="s">
        <v>44</v>
      </c>
      <c r="Q1778" s="8" t="s">
        <v>32</v>
      </c>
      <c r="R1778" s="8">
        <v>5</v>
      </c>
      <c r="S1778" s="8">
        <v>3</v>
      </c>
      <c r="T1778" s="8">
        <f t="shared" si="177"/>
        <v>8</v>
      </c>
      <c r="U1778" s="8">
        <v>0</v>
      </c>
      <c r="V1778" s="8">
        <v>0</v>
      </c>
      <c r="W1778" s="8">
        <v>0</v>
      </c>
      <c r="X1778" s="8">
        <v>0</v>
      </c>
      <c r="Y1778" s="8">
        <v>0</v>
      </c>
      <c r="Z1778" s="8">
        <v>0</v>
      </c>
      <c r="AA1778" s="8">
        <v>180</v>
      </c>
      <c r="AB1778" s="9">
        <f t="shared" si="178"/>
        <v>0</v>
      </c>
      <c r="AC1778" s="10" t="str">
        <f t="shared" si="174"/>
        <v>sin venta</v>
      </c>
      <c r="AD1778" s="8" t="s">
        <v>33</v>
      </c>
      <c r="AE1778" s="11">
        <v>35990</v>
      </c>
      <c r="AF1778" s="11">
        <f t="shared" si="175"/>
        <v>287920</v>
      </c>
      <c r="AG1778" s="12" t="s">
        <v>73</v>
      </c>
      <c r="AH1778" s="8" t="s">
        <v>35</v>
      </c>
    </row>
    <row r="1779" spans="1:34">
      <c r="A1779" s="8" t="s">
        <v>2457</v>
      </c>
      <c r="B1779" s="16" t="s">
        <v>2859</v>
      </c>
      <c r="C1779" s="8" t="s">
        <v>27</v>
      </c>
      <c r="D1779" s="8" t="s">
        <v>2271</v>
      </c>
      <c r="E1779" s="8" t="str">
        <f t="shared" si="173"/>
        <v>SUELA</v>
      </c>
      <c r="G1779" s="8" t="s">
        <v>2861</v>
      </c>
      <c r="H1779" s="8" t="str">
        <f>VLOOKUP(A1779,[1]BBDD!$B$1:$J$3274,9,FALSE)</f>
        <v>U</v>
      </c>
      <c r="I1779" s="8" t="s">
        <v>2861</v>
      </c>
      <c r="J1779" s="8" t="s">
        <v>2450</v>
      </c>
      <c r="L1779" s="8" t="s">
        <v>82</v>
      </c>
      <c r="N1779" s="8" t="s">
        <v>90</v>
      </c>
      <c r="O1779" s="8" t="s">
        <v>90</v>
      </c>
      <c r="Q1779" s="8" t="s">
        <v>32</v>
      </c>
      <c r="R1779" s="8">
        <v>2</v>
      </c>
      <c r="S1779" s="8">
        <v>3</v>
      </c>
      <c r="T1779" s="8">
        <f t="shared" si="177"/>
        <v>5</v>
      </c>
      <c r="U1779" s="8">
        <v>1</v>
      </c>
      <c r="V1779" s="8">
        <v>0</v>
      </c>
      <c r="W1779" s="8">
        <v>0</v>
      </c>
      <c r="X1779" s="8">
        <v>0</v>
      </c>
      <c r="Y1779" s="8">
        <v>1</v>
      </c>
      <c r="Z1779" s="8">
        <v>0</v>
      </c>
      <c r="AA1779" s="8">
        <v>180</v>
      </c>
      <c r="AB1779" s="9">
        <f t="shared" si="178"/>
        <v>0.33333333333333337</v>
      </c>
      <c r="AC1779" s="10">
        <f t="shared" si="174"/>
        <v>14.999999999999998</v>
      </c>
      <c r="AD1779" s="8" t="s">
        <v>33</v>
      </c>
      <c r="AE1779" s="11">
        <v>35990</v>
      </c>
      <c r="AF1779" s="11">
        <f t="shared" si="175"/>
        <v>179950</v>
      </c>
      <c r="AG1779" s="12" t="s">
        <v>64</v>
      </c>
      <c r="AH1779" s="8" t="s">
        <v>35</v>
      </c>
    </row>
    <row r="1780" spans="1:34">
      <c r="A1780" s="8" t="s">
        <v>2458</v>
      </c>
      <c r="B1780" s="16" t="s">
        <v>2859</v>
      </c>
      <c r="C1780" s="8" t="s">
        <v>27</v>
      </c>
      <c r="D1780" s="8" t="s">
        <v>2271</v>
      </c>
      <c r="E1780" s="8" t="str">
        <f t="shared" si="173"/>
        <v>TABACO</v>
      </c>
      <c r="G1780" s="8" t="s">
        <v>2861</v>
      </c>
      <c r="H1780" s="8" t="str">
        <f>VLOOKUP(A1780,[1]BBDD!$B$1:$J$3274,9,FALSE)</f>
        <v>U</v>
      </c>
      <c r="I1780" s="8" t="s">
        <v>2861</v>
      </c>
      <c r="J1780" s="8" t="s">
        <v>2450</v>
      </c>
      <c r="L1780" s="8" t="s">
        <v>82</v>
      </c>
      <c r="N1780" s="8" t="s">
        <v>67</v>
      </c>
      <c r="O1780" s="8" t="s">
        <v>67</v>
      </c>
      <c r="Q1780" s="8" t="s">
        <v>32</v>
      </c>
      <c r="R1780" s="8">
        <v>3</v>
      </c>
      <c r="S1780" s="8">
        <v>4</v>
      </c>
      <c r="T1780" s="8">
        <f t="shared" si="177"/>
        <v>7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1</v>
      </c>
      <c r="AA1780" s="8">
        <v>180</v>
      </c>
      <c r="AB1780" s="9">
        <f t="shared" si="178"/>
        <v>0.16666666666666669</v>
      </c>
      <c r="AC1780" s="10">
        <f t="shared" si="174"/>
        <v>41.999999999999993</v>
      </c>
      <c r="AD1780" s="8" t="s">
        <v>33</v>
      </c>
      <c r="AE1780" s="11">
        <v>35990</v>
      </c>
      <c r="AF1780" s="11">
        <f t="shared" si="175"/>
        <v>251930</v>
      </c>
      <c r="AG1780" s="12" t="s">
        <v>73</v>
      </c>
      <c r="AH1780" s="8" t="s">
        <v>35</v>
      </c>
    </row>
    <row r="1781" spans="1:34">
      <c r="A1781" s="8" t="s">
        <v>2459</v>
      </c>
      <c r="B1781" s="16" t="s">
        <v>2859</v>
      </c>
      <c r="C1781" s="8" t="s">
        <v>27</v>
      </c>
      <c r="D1781" s="8" t="s">
        <v>2271</v>
      </c>
      <c r="E1781" s="8" t="str">
        <f t="shared" si="173"/>
        <v>SUELA</v>
      </c>
      <c r="G1781" s="8" t="s">
        <v>2861</v>
      </c>
      <c r="H1781" s="8" t="str">
        <f>VLOOKUP(A1781,[1]BBDD!$B$1:$J$3274,9,FALSE)</f>
        <v>U</v>
      </c>
      <c r="I1781" s="8" t="s">
        <v>2861</v>
      </c>
      <c r="J1781" s="8" t="s">
        <v>2450</v>
      </c>
      <c r="L1781" s="8" t="s">
        <v>82</v>
      </c>
      <c r="N1781" s="8" t="s">
        <v>90</v>
      </c>
      <c r="O1781" s="8" t="s">
        <v>90</v>
      </c>
      <c r="Q1781" s="8" t="s">
        <v>45</v>
      </c>
      <c r="R1781" s="8">
        <v>3</v>
      </c>
      <c r="S1781" s="8">
        <v>3</v>
      </c>
      <c r="T1781" s="8">
        <f t="shared" si="177"/>
        <v>6</v>
      </c>
      <c r="U1781" s="8">
        <v>0</v>
      </c>
      <c r="V1781" s="8">
        <v>0</v>
      </c>
      <c r="W1781" s="8">
        <v>0</v>
      </c>
      <c r="X1781" s="8">
        <v>0</v>
      </c>
      <c r="Y1781" s="8">
        <v>2</v>
      </c>
      <c r="Z1781" s="8">
        <v>0</v>
      </c>
      <c r="AA1781" s="8">
        <v>180</v>
      </c>
      <c r="AB1781" s="9">
        <f t="shared" si="178"/>
        <v>0.33333333333333337</v>
      </c>
      <c r="AC1781" s="10">
        <f t="shared" si="174"/>
        <v>17.999999999999996</v>
      </c>
      <c r="AD1781" s="8" t="s">
        <v>109</v>
      </c>
      <c r="AE1781" s="11">
        <v>35990</v>
      </c>
      <c r="AF1781" s="11">
        <f t="shared" si="175"/>
        <v>215940</v>
      </c>
      <c r="AG1781" s="12" t="s">
        <v>64</v>
      </c>
      <c r="AH1781" s="8" t="s">
        <v>35</v>
      </c>
    </row>
    <row r="1782" spans="1:34">
      <c r="A1782" s="8" t="s">
        <v>2460</v>
      </c>
      <c r="B1782" s="16" t="s">
        <v>2860</v>
      </c>
      <c r="C1782" s="8" t="s">
        <v>40</v>
      </c>
      <c r="D1782" s="8" t="s">
        <v>2461</v>
      </c>
      <c r="E1782" s="8" t="str">
        <f t="shared" si="173"/>
        <v>NEGRO</v>
      </c>
      <c r="H1782" s="8" t="str">
        <f>VLOOKUP(A1782,[1]BBDD!$B$1:$J$3274,9,FALSE)</f>
        <v>M</v>
      </c>
      <c r="I1782" s="8" t="s">
        <v>2862</v>
      </c>
      <c r="J1782" s="8" t="s">
        <v>2462</v>
      </c>
      <c r="L1782" s="8" t="s">
        <v>211</v>
      </c>
      <c r="N1782" s="8" t="s">
        <v>44</v>
      </c>
      <c r="O1782" s="8" t="s">
        <v>44</v>
      </c>
      <c r="Q1782" s="8" t="s">
        <v>45</v>
      </c>
      <c r="R1782" s="8">
        <v>1</v>
      </c>
      <c r="S1782" s="8">
        <v>7</v>
      </c>
      <c r="T1782" s="8">
        <f t="shared" si="177"/>
        <v>8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180</v>
      </c>
      <c r="AB1782" s="9">
        <f t="shared" si="178"/>
        <v>0</v>
      </c>
      <c r="AC1782" s="10" t="str">
        <f t="shared" si="174"/>
        <v>sin venta</v>
      </c>
      <c r="AD1782" s="8" t="s">
        <v>109</v>
      </c>
      <c r="AE1782" s="11">
        <v>79990</v>
      </c>
      <c r="AF1782" s="11">
        <f t="shared" si="175"/>
        <v>639920</v>
      </c>
      <c r="AG1782" s="12" t="s">
        <v>73</v>
      </c>
      <c r="AH1782" s="8" t="s">
        <v>35</v>
      </c>
    </row>
    <row r="1783" spans="1:34">
      <c r="A1783" s="8" t="s">
        <v>2463</v>
      </c>
      <c r="B1783" s="16" t="s">
        <v>2860</v>
      </c>
      <c r="C1783" s="8" t="s">
        <v>40</v>
      </c>
      <c r="D1783" s="8" t="s">
        <v>2461</v>
      </c>
      <c r="E1783" s="8" t="str">
        <f t="shared" si="173"/>
        <v>AZUL</v>
      </c>
      <c r="H1783" s="8" t="str">
        <f>VLOOKUP(A1783,[1]BBDD!$B$1:$J$3274,9,FALSE)</f>
        <v>M</v>
      </c>
      <c r="I1783" s="8" t="s">
        <v>2862</v>
      </c>
      <c r="J1783" s="8" t="s">
        <v>2462</v>
      </c>
      <c r="L1783" s="8" t="s">
        <v>82</v>
      </c>
      <c r="N1783" s="8" t="s">
        <v>83</v>
      </c>
      <c r="O1783" s="8" t="s">
        <v>83</v>
      </c>
      <c r="Q1783" s="8" t="s">
        <v>45</v>
      </c>
      <c r="R1783" s="8">
        <v>4</v>
      </c>
      <c r="S1783" s="8">
        <v>8</v>
      </c>
      <c r="T1783" s="8">
        <f t="shared" si="177"/>
        <v>12</v>
      </c>
      <c r="U1783" s="8">
        <v>1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8">
        <v>180</v>
      </c>
      <c r="AB1783" s="9">
        <f t="shared" si="178"/>
        <v>0.16666666666666669</v>
      </c>
      <c r="AC1783" s="10">
        <f t="shared" si="174"/>
        <v>71.999999999999986</v>
      </c>
      <c r="AD1783" s="8" t="s">
        <v>109</v>
      </c>
      <c r="AE1783" s="11">
        <v>79990</v>
      </c>
      <c r="AF1783" s="11">
        <f t="shared" si="175"/>
        <v>959880</v>
      </c>
      <c r="AG1783" s="12" t="s">
        <v>73</v>
      </c>
      <c r="AH1783" s="8" t="s">
        <v>65</v>
      </c>
    </row>
    <row r="1784" spans="1:34">
      <c r="A1784" s="8" t="s">
        <v>2464</v>
      </c>
      <c r="B1784" s="16" t="s">
        <v>2860</v>
      </c>
      <c r="C1784" s="8" t="s">
        <v>40</v>
      </c>
      <c r="D1784" s="8" t="s">
        <v>2461</v>
      </c>
      <c r="E1784" s="8" t="str">
        <f t="shared" si="173"/>
        <v>CARAMELO</v>
      </c>
      <c r="H1784" s="8" t="str">
        <f>VLOOKUP(A1784,[1]BBDD!$B$1:$J$3274,9,FALSE)</f>
        <v>M</v>
      </c>
      <c r="I1784" s="8" t="s">
        <v>2862</v>
      </c>
      <c r="J1784" s="8" t="s">
        <v>2462</v>
      </c>
      <c r="L1784" s="8" t="s">
        <v>82</v>
      </c>
      <c r="N1784" s="8" t="s">
        <v>62</v>
      </c>
      <c r="O1784" s="8" t="s">
        <v>62</v>
      </c>
      <c r="Q1784" s="8" t="s">
        <v>45</v>
      </c>
      <c r="R1784" s="8">
        <v>10</v>
      </c>
      <c r="S1784" s="8">
        <v>10</v>
      </c>
      <c r="T1784" s="8">
        <f t="shared" si="177"/>
        <v>20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180</v>
      </c>
      <c r="AB1784" s="9">
        <f t="shared" si="178"/>
        <v>0</v>
      </c>
      <c r="AC1784" s="10" t="str">
        <f t="shared" si="174"/>
        <v>sin venta</v>
      </c>
      <c r="AD1784" s="8" t="s">
        <v>109</v>
      </c>
      <c r="AE1784" s="11">
        <v>79990</v>
      </c>
      <c r="AF1784" s="11">
        <f t="shared" si="175"/>
        <v>1599800</v>
      </c>
      <c r="AG1784" s="12" t="s">
        <v>73</v>
      </c>
      <c r="AH1784" s="8" t="s">
        <v>65</v>
      </c>
    </row>
    <row r="1785" spans="1:34">
      <c r="A1785" s="8" t="s">
        <v>2465</v>
      </c>
      <c r="B1785" s="16" t="s">
        <v>2860</v>
      </c>
      <c r="C1785" s="8" t="s">
        <v>40</v>
      </c>
      <c r="D1785" s="8" t="s">
        <v>2461</v>
      </c>
      <c r="E1785" s="8" t="str">
        <f t="shared" si="173"/>
        <v>MALBEC</v>
      </c>
      <c r="H1785" s="8" t="str">
        <f>VLOOKUP(A1785,[1]BBDD!$B$1:$J$3274,9,FALSE)</f>
        <v>M</v>
      </c>
      <c r="I1785" s="8" t="s">
        <v>2862</v>
      </c>
      <c r="J1785" s="8" t="s">
        <v>2462</v>
      </c>
      <c r="L1785" s="8" t="s">
        <v>82</v>
      </c>
      <c r="N1785" s="8" t="s">
        <v>69</v>
      </c>
      <c r="O1785" s="8" t="s">
        <v>69</v>
      </c>
      <c r="Q1785" s="8" t="s">
        <v>45</v>
      </c>
      <c r="R1785" s="8">
        <v>1</v>
      </c>
      <c r="S1785" s="8">
        <v>4</v>
      </c>
      <c r="T1785" s="8">
        <f t="shared" si="177"/>
        <v>5</v>
      </c>
      <c r="U1785" s="8">
        <v>1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180</v>
      </c>
      <c r="AB1785" s="9">
        <f t="shared" si="178"/>
        <v>0.16666666666666669</v>
      </c>
      <c r="AC1785" s="10">
        <f t="shared" si="174"/>
        <v>29.999999999999996</v>
      </c>
      <c r="AD1785" s="8" t="s">
        <v>109</v>
      </c>
      <c r="AE1785" s="11">
        <v>79990</v>
      </c>
      <c r="AF1785" s="11">
        <f t="shared" si="175"/>
        <v>399950</v>
      </c>
      <c r="AG1785" s="12" t="s">
        <v>73</v>
      </c>
      <c r="AH1785" s="8" t="s">
        <v>35</v>
      </c>
    </row>
    <row r="1786" spans="1:34">
      <c r="A1786" s="8" t="s">
        <v>2466</v>
      </c>
      <c r="B1786" s="16" t="s">
        <v>2860</v>
      </c>
      <c r="C1786" s="8" t="s">
        <v>40</v>
      </c>
      <c r="D1786" s="8" t="s">
        <v>2461</v>
      </c>
      <c r="E1786" s="8" t="str">
        <f t="shared" si="173"/>
        <v>NEGRO</v>
      </c>
      <c r="H1786" s="8" t="str">
        <f>VLOOKUP(A1786,[1]BBDD!$B$1:$J$3274,9,FALSE)</f>
        <v>M</v>
      </c>
      <c r="I1786" s="8" t="s">
        <v>2862</v>
      </c>
      <c r="J1786" s="8" t="s">
        <v>2462</v>
      </c>
      <c r="L1786" s="8" t="s">
        <v>82</v>
      </c>
      <c r="N1786" s="8" t="s">
        <v>44</v>
      </c>
      <c r="O1786" s="8" t="s">
        <v>44</v>
      </c>
      <c r="Q1786" s="8" t="s">
        <v>45</v>
      </c>
      <c r="R1786" s="8">
        <v>25</v>
      </c>
      <c r="S1786" s="8">
        <v>10</v>
      </c>
      <c r="T1786" s="8">
        <f t="shared" si="177"/>
        <v>35</v>
      </c>
      <c r="U1786" s="8">
        <v>1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180</v>
      </c>
      <c r="AB1786" s="9">
        <f t="shared" si="178"/>
        <v>0.16666666666666669</v>
      </c>
      <c r="AC1786" s="10">
        <f t="shared" si="174"/>
        <v>209.99999999999997</v>
      </c>
      <c r="AD1786" s="8" t="s">
        <v>109</v>
      </c>
      <c r="AE1786" s="11">
        <v>79990</v>
      </c>
      <c r="AF1786" s="11">
        <f t="shared" si="175"/>
        <v>2799650</v>
      </c>
      <c r="AG1786" s="12" t="s">
        <v>73</v>
      </c>
      <c r="AH1786" s="8" t="s">
        <v>74</v>
      </c>
    </row>
    <row r="1787" spans="1:34">
      <c r="A1787" s="8" t="s">
        <v>2467</v>
      </c>
      <c r="B1787" s="16" t="s">
        <v>2860</v>
      </c>
      <c r="C1787" s="8" t="s">
        <v>40</v>
      </c>
      <c r="D1787" s="8" t="s">
        <v>2461</v>
      </c>
      <c r="E1787" s="8" t="str">
        <f t="shared" si="173"/>
        <v>ROJO</v>
      </c>
      <c r="H1787" s="8" t="str">
        <f>VLOOKUP(A1787,[1]BBDD!$B$1:$J$3274,9,FALSE)</f>
        <v>M</v>
      </c>
      <c r="I1787" s="8" t="s">
        <v>2862</v>
      </c>
      <c r="J1787" s="8" t="s">
        <v>2462</v>
      </c>
      <c r="L1787" s="8" t="s">
        <v>82</v>
      </c>
      <c r="N1787" s="8" t="s">
        <v>88</v>
      </c>
      <c r="O1787" s="8" t="s">
        <v>88</v>
      </c>
      <c r="Q1787" s="8" t="s">
        <v>45</v>
      </c>
      <c r="R1787" s="8">
        <v>13</v>
      </c>
      <c r="S1787" s="8">
        <v>9</v>
      </c>
      <c r="T1787" s="8">
        <f t="shared" si="177"/>
        <v>22</v>
      </c>
      <c r="U1787" s="8">
        <v>1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180</v>
      </c>
      <c r="AB1787" s="9">
        <f t="shared" si="178"/>
        <v>0.16666666666666669</v>
      </c>
      <c r="AC1787" s="10">
        <f t="shared" si="174"/>
        <v>131.99999999999997</v>
      </c>
      <c r="AD1787" s="8" t="s">
        <v>109</v>
      </c>
      <c r="AE1787" s="11">
        <v>79990</v>
      </c>
      <c r="AF1787" s="11">
        <f t="shared" si="175"/>
        <v>1759780</v>
      </c>
      <c r="AG1787" s="12" t="s">
        <v>73</v>
      </c>
      <c r="AH1787" s="8" t="s">
        <v>74</v>
      </c>
    </row>
    <row r="1788" spans="1:34">
      <c r="A1788" s="8" t="s">
        <v>2468</v>
      </c>
      <c r="B1788" s="16" t="s">
        <v>2860</v>
      </c>
      <c r="C1788" s="8" t="s">
        <v>40</v>
      </c>
      <c r="D1788" s="8" t="s">
        <v>2461</v>
      </c>
      <c r="E1788" s="8" t="str">
        <f t="shared" si="173"/>
        <v>SUELA</v>
      </c>
      <c r="H1788" s="8" t="str">
        <f>VLOOKUP(A1788,[1]BBDD!$B$1:$J$3274,9,FALSE)</f>
        <v>M</v>
      </c>
      <c r="I1788" s="8" t="s">
        <v>2862</v>
      </c>
      <c r="J1788" s="8" t="s">
        <v>2462</v>
      </c>
      <c r="L1788" s="8" t="s">
        <v>82</v>
      </c>
      <c r="N1788" s="8" t="s">
        <v>90</v>
      </c>
      <c r="O1788" s="8" t="s">
        <v>90</v>
      </c>
      <c r="Q1788" s="8" t="s">
        <v>45</v>
      </c>
      <c r="R1788" s="8">
        <v>17</v>
      </c>
      <c r="S1788" s="8">
        <v>8</v>
      </c>
      <c r="T1788" s="8">
        <f t="shared" si="177"/>
        <v>25</v>
      </c>
      <c r="U1788" s="8">
        <v>0</v>
      </c>
      <c r="V1788" s="8">
        <v>0</v>
      </c>
      <c r="W1788" s="8">
        <v>0</v>
      </c>
      <c r="X1788" s="8">
        <v>1</v>
      </c>
      <c r="Y1788" s="8">
        <v>0</v>
      </c>
      <c r="Z1788" s="8">
        <v>0</v>
      </c>
      <c r="AA1788" s="8">
        <v>180</v>
      </c>
      <c r="AB1788" s="9">
        <f t="shared" si="178"/>
        <v>0.16666666666666669</v>
      </c>
      <c r="AC1788" s="10">
        <f t="shared" si="174"/>
        <v>149.99999999999997</v>
      </c>
      <c r="AD1788" s="8" t="s">
        <v>109</v>
      </c>
      <c r="AE1788" s="11">
        <v>79990</v>
      </c>
      <c r="AF1788" s="11">
        <f t="shared" si="175"/>
        <v>1999750</v>
      </c>
      <c r="AG1788" s="12" t="s">
        <v>73</v>
      </c>
      <c r="AH1788" s="8" t="s">
        <v>74</v>
      </c>
    </row>
    <row r="1789" spans="1:34">
      <c r="A1789" s="8" t="s">
        <v>2469</v>
      </c>
      <c r="B1789" s="16" t="s">
        <v>2860</v>
      </c>
      <c r="C1789" s="8" t="s">
        <v>40</v>
      </c>
      <c r="D1789" s="8" t="s">
        <v>2461</v>
      </c>
      <c r="E1789" s="8" t="str">
        <f t="shared" si="173"/>
        <v>VERDE</v>
      </c>
      <c r="H1789" s="8" t="str">
        <f>VLOOKUP(A1789,[1]BBDD!$B$1:$J$3274,9,FALSE)</f>
        <v>M</v>
      </c>
      <c r="I1789" s="8" t="s">
        <v>2862</v>
      </c>
      <c r="J1789" s="8" t="s">
        <v>2462</v>
      </c>
      <c r="L1789" s="8" t="s">
        <v>82</v>
      </c>
      <c r="N1789" s="8" t="s">
        <v>92</v>
      </c>
      <c r="O1789" s="8" t="s">
        <v>92</v>
      </c>
      <c r="Q1789" s="8" t="s">
        <v>45</v>
      </c>
      <c r="R1789" s="8">
        <v>0</v>
      </c>
      <c r="S1789" s="8">
        <v>3</v>
      </c>
      <c r="T1789" s="8">
        <f t="shared" si="177"/>
        <v>3</v>
      </c>
      <c r="U1789" s="8">
        <v>0</v>
      </c>
      <c r="V1789" s="8">
        <v>0</v>
      </c>
      <c r="W1789" s="8">
        <v>1</v>
      </c>
      <c r="X1789" s="8">
        <v>0</v>
      </c>
      <c r="Y1789" s="8">
        <v>1</v>
      </c>
      <c r="Z1789" s="8">
        <v>0</v>
      </c>
      <c r="AA1789" s="8">
        <v>180</v>
      </c>
      <c r="AB1789" s="9">
        <f t="shared" si="178"/>
        <v>0.33333333333333337</v>
      </c>
      <c r="AC1789" s="10">
        <f t="shared" si="174"/>
        <v>8.9999999999999982</v>
      </c>
      <c r="AD1789" s="8" t="s">
        <v>109</v>
      </c>
      <c r="AE1789" s="11">
        <v>79990</v>
      </c>
      <c r="AF1789" s="11">
        <f t="shared" si="175"/>
        <v>239970</v>
      </c>
      <c r="AG1789" s="12" t="s">
        <v>51</v>
      </c>
      <c r="AH1789" s="8" t="s">
        <v>35</v>
      </c>
    </row>
    <row r="1790" spans="1:34">
      <c r="A1790" s="8" t="s">
        <v>2470</v>
      </c>
      <c r="B1790" s="16" t="s">
        <v>2859</v>
      </c>
      <c r="C1790" s="8" t="s">
        <v>40</v>
      </c>
      <c r="D1790" s="8" t="s">
        <v>2461</v>
      </c>
      <c r="E1790" s="8" t="str">
        <f t="shared" si="173"/>
        <v>HEREFORD</v>
      </c>
      <c r="H1790" s="8" t="str">
        <f>VLOOKUP(A1790,[1]BBDD!$B$1:$J$3274,9,FALSE)</f>
        <v>M</v>
      </c>
      <c r="I1790" s="8" t="s">
        <v>2862</v>
      </c>
      <c r="J1790" s="8" t="s">
        <v>2471</v>
      </c>
      <c r="L1790" s="8" t="s">
        <v>30</v>
      </c>
      <c r="N1790" s="8" t="s">
        <v>37</v>
      </c>
      <c r="O1790" s="8" t="s">
        <v>37</v>
      </c>
      <c r="Q1790" s="8" t="s">
        <v>32</v>
      </c>
      <c r="R1790" s="8">
        <v>1</v>
      </c>
      <c r="S1790" s="8">
        <v>5</v>
      </c>
      <c r="T1790" s="8">
        <f t="shared" si="177"/>
        <v>6</v>
      </c>
      <c r="U1790" s="8">
        <v>0</v>
      </c>
      <c r="V1790" s="8">
        <v>0</v>
      </c>
      <c r="W1790" s="8">
        <v>0</v>
      </c>
      <c r="X1790" s="8">
        <v>0</v>
      </c>
      <c r="Y1790" s="8">
        <v>0</v>
      </c>
      <c r="Z1790" s="8">
        <v>2</v>
      </c>
      <c r="AA1790" s="8">
        <v>8</v>
      </c>
      <c r="AB1790" s="9">
        <f t="shared" si="178"/>
        <v>7.5</v>
      </c>
      <c r="AC1790" s="10">
        <f t="shared" si="174"/>
        <v>0.8</v>
      </c>
      <c r="AD1790" s="8" t="s">
        <v>33</v>
      </c>
      <c r="AE1790" s="11">
        <v>39990</v>
      </c>
      <c r="AF1790" s="11">
        <f t="shared" si="175"/>
        <v>239940</v>
      </c>
      <c r="AG1790" s="12" t="s">
        <v>34</v>
      </c>
      <c r="AH1790" s="8" t="s">
        <v>35</v>
      </c>
    </row>
    <row r="1791" spans="1:34">
      <c r="A1791" s="8" t="s">
        <v>2472</v>
      </c>
      <c r="B1791" s="16" t="s">
        <v>2859</v>
      </c>
      <c r="C1791" s="8" t="s">
        <v>40</v>
      </c>
      <c r="D1791" s="8" t="s">
        <v>2461</v>
      </c>
      <c r="E1791" s="8" t="str">
        <f t="shared" si="173"/>
        <v>HOLANDO</v>
      </c>
      <c r="H1791" s="8" t="str">
        <f>VLOOKUP(A1791,[1]BBDD!$B$1:$J$3274,9,FALSE)</f>
        <v>M</v>
      </c>
      <c r="I1791" s="8" t="s">
        <v>2862</v>
      </c>
      <c r="J1791" s="8" t="s">
        <v>2471</v>
      </c>
      <c r="L1791" s="8" t="s">
        <v>30</v>
      </c>
      <c r="N1791" s="8" t="s">
        <v>31</v>
      </c>
      <c r="O1791" s="8" t="s">
        <v>31</v>
      </c>
      <c r="Q1791" s="8" t="s">
        <v>32</v>
      </c>
      <c r="R1791" s="8">
        <v>1</v>
      </c>
      <c r="S1791" s="8">
        <v>5</v>
      </c>
      <c r="T1791" s="8">
        <f t="shared" si="177"/>
        <v>6</v>
      </c>
      <c r="U1791" s="8">
        <v>0</v>
      </c>
      <c r="V1791" s="8">
        <v>0</v>
      </c>
      <c r="W1791" s="8">
        <v>0</v>
      </c>
      <c r="X1791" s="8">
        <v>0</v>
      </c>
      <c r="Y1791" s="8">
        <v>0</v>
      </c>
      <c r="Z1791" s="8">
        <v>0</v>
      </c>
      <c r="AA1791" s="8">
        <v>8</v>
      </c>
      <c r="AB1791" s="9">
        <f t="shared" si="178"/>
        <v>0</v>
      </c>
      <c r="AC1791" s="10" t="str">
        <f t="shared" si="174"/>
        <v>sin venta</v>
      </c>
      <c r="AD1791" s="8" t="s">
        <v>33</v>
      </c>
      <c r="AE1791" s="11">
        <v>39990</v>
      </c>
      <c r="AF1791" s="11">
        <f t="shared" si="175"/>
        <v>239940</v>
      </c>
      <c r="AG1791" s="12" t="s">
        <v>73</v>
      </c>
      <c r="AH1791" s="8" t="s">
        <v>35</v>
      </c>
    </row>
    <row r="1792" spans="1:34">
      <c r="A1792" s="8" t="s">
        <v>2473</v>
      </c>
      <c r="B1792" s="16" t="s">
        <v>2860</v>
      </c>
      <c r="C1792" s="8" t="s">
        <v>40</v>
      </c>
      <c r="D1792" s="8" t="s">
        <v>2461</v>
      </c>
      <c r="E1792" s="8" t="str">
        <f t="shared" si="173"/>
        <v>CARAMELO</v>
      </c>
      <c r="H1792" s="8" t="str">
        <f>VLOOKUP(A1792,[1]BBDD!$B$1:$J$3274,9,FALSE)</f>
        <v>M</v>
      </c>
      <c r="I1792" s="8" t="s">
        <v>2862</v>
      </c>
      <c r="J1792" s="8" t="s">
        <v>2474</v>
      </c>
      <c r="L1792" s="8" t="s">
        <v>61</v>
      </c>
      <c r="N1792" s="8" t="s">
        <v>62</v>
      </c>
      <c r="O1792" s="8" t="s">
        <v>62</v>
      </c>
      <c r="Q1792" s="8" t="s">
        <v>32</v>
      </c>
      <c r="R1792" s="8">
        <v>0</v>
      </c>
      <c r="S1792" s="8">
        <v>1</v>
      </c>
      <c r="T1792" s="8">
        <f t="shared" si="177"/>
        <v>1</v>
      </c>
      <c r="U1792" s="8">
        <v>2</v>
      </c>
      <c r="V1792" s="8">
        <v>0</v>
      </c>
      <c r="W1792" s="8">
        <v>0</v>
      </c>
      <c r="X1792" s="8">
        <v>1</v>
      </c>
      <c r="Y1792" s="8">
        <v>0</v>
      </c>
      <c r="Z1792" s="8">
        <v>0</v>
      </c>
      <c r="AA1792" s="8">
        <v>180</v>
      </c>
      <c r="AB1792" s="9">
        <f t="shared" si="178"/>
        <v>0.5</v>
      </c>
      <c r="AC1792" s="10">
        <f t="shared" si="174"/>
        <v>2</v>
      </c>
      <c r="AD1792" s="8" t="s">
        <v>33</v>
      </c>
      <c r="AE1792" s="11">
        <v>59990</v>
      </c>
      <c r="AF1792" s="11">
        <f t="shared" si="175"/>
        <v>59990</v>
      </c>
      <c r="AG1792" s="12" t="s">
        <v>34</v>
      </c>
      <c r="AH1792" s="8" t="s">
        <v>35</v>
      </c>
    </row>
    <row r="1793" spans="1:34">
      <c r="A1793" s="8" t="s">
        <v>2475</v>
      </c>
      <c r="B1793" s="16" t="s">
        <v>2860</v>
      </c>
      <c r="C1793" s="8" t="s">
        <v>40</v>
      </c>
      <c r="D1793" s="8" t="s">
        <v>2461</v>
      </c>
      <c r="E1793" s="8" t="str">
        <f t="shared" si="173"/>
        <v>MALBEC</v>
      </c>
      <c r="H1793" s="8" t="str">
        <f>VLOOKUP(A1793,[1]BBDD!$B$1:$J$3274,9,FALSE)</f>
        <v>M</v>
      </c>
      <c r="I1793" s="8" t="s">
        <v>2862</v>
      </c>
      <c r="J1793" s="8" t="s">
        <v>2474</v>
      </c>
      <c r="L1793" s="8" t="s">
        <v>61</v>
      </c>
      <c r="N1793" s="8" t="s">
        <v>69</v>
      </c>
      <c r="O1793" s="8" t="s">
        <v>69</v>
      </c>
      <c r="Q1793" s="8" t="s">
        <v>32</v>
      </c>
      <c r="R1793" s="8">
        <v>0</v>
      </c>
      <c r="S1793" s="8">
        <v>1</v>
      </c>
      <c r="T1793" s="8">
        <f t="shared" si="177"/>
        <v>1</v>
      </c>
      <c r="U1793" s="8">
        <v>1</v>
      </c>
      <c r="V1793" s="8">
        <v>0</v>
      </c>
      <c r="W1793" s="8">
        <v>0</v>
      </c>
      <c r="X1793" s="8">
        <v>1</v>
      </c>
      <c r="Y1793" s="8">
        <v>1</v>
      </c>
      <c r="Z1793" s="8">
        <v>0</v>
      </c>
      <c r="AA1793" s="8">
        <v>180</v>
      </c>
      <c r="AB1793" s="9">
        <f t="shared" si="178"/>
        <v>0.5</v>
      </c>
      <c r="AC1793" s="10">
        <f t="shared" si="174"/>
        <v>2</v>
      </c>
      <c r="AD1793" s="8" t="s">
        <v>33</v>
      </c>
      <c r="AE1793" s="11">
        <v>59990</v>
      </c>
      <c r="AF1793" s="11">
        <f t="shared" si="175"/>
        <v>59990</v>
      </c>
      <c r="AG1793" s="12" t="s">
        <v>34</v>
      </c>
      <c r="AH1793" s="8" t="s">
        <v>35</v>
      </c>
    </row>
    <row r="1794" spans="1:34">
      <c r="A1794" s="8" t="s">
        <v>2476</v>
      </c>
      <c r="B1794" s="16" t="s">
        <v>2860</v>
      </c>
      <c r="C1794" s="8" t="s">
        <v>40</v>
      </c>
      <c r="D1794" s="8" t="s">
        <v>2461</v>
      </c>
      <c r="E1794" s="8" t="str">
        <f t="shared" si="173"/>
        <v>NEGRO</v>
      </c>
      <c r="H1794" s="8" t="str">
        <f>VLOOKUP(A1794,[1]BBDD!$B$1:$J$3274,9,FALSE)</f>
        <v>M</v>
      </c>
      <c r="I1794" s="8" t="s">
        <v>2862</v>
      </c>
      <c r="J1794" s="8" t="s">
        <v>2474</v>
      </c>
      <c r="L1794" s="8" t="s">
        <v>61</v>
      </c>
      <c r="N1794" s="8" t="s">
        <v>44</v>
      </c>
      <c r="O1794" s="8" t="s">
        <v>44</v>
      </c>
      <c r="Q1794" s="8" t="s">
        <v>32</v>
      </c>
      <c r="R1794" s="8">
        <v>0</v>
      </c>
      <c r="S1794" s="8">
        <v>2</v>
      </c>
      <c r="T1794" s="8">
        <f t="shared" si="177"/>
        <v>2</v>
      </c>
      <c r="U1794" s="8">
        <v>2</v>
      </c>
      <c r="V1794" s="8">
        <v>2</v>
      </c>
      <c r="W1794" s="8">
        <v>0</v>
      </c>
      <c r="X1794" s="8">
        <v>1</v>
      </c>
      <c r="Y1794" s="8">
        <v>0</v>
      </c>
      <c r="Z1794" s="8">
        <v>0</v>
      </c>
      <c r="AA1794" s="8">
        <v>180</v>
      </c>
      <c r="AB1794" s="9">
        <f t="shared" si="178"/>
        <v>0.83333333333333326</v>
      </c>
      <c r="AC1794" s="10">
        <f t="shared" si="174"/>
        <v>2.4000000000000004</v>
      </c>
      <c r="AD1794" s="8" t="s">
        <v>33</v>
      </c>
      <c r="AE1794" s="11">
        <v>59990</v>
      </c>
      <c r="AF1794" s="11">
        <f t="shared" si="175"/>
        <v>119980</v>
      </c>
      <c r="AG1794" s="12" t="s">
        <v>34</v>
      </c>
      <c r="AH1794" s="8" t="s">
        <v>35</v>
      </c>
    </row>
    <row r="1795" spans="1:34">
      <c r="A1795" s="8" t="s">
        <v>2477</v>
      </c>
      <c r="B1795" s="16" t="s">
        <v>2860</v>
      </c>
      <c r="C1795" s="8" t="s">
        <v>40</v>
      </c>
      <c r="D1795" s="8" t="s">
        <v>2461</v>
      </c>
      <c r="E1795" s="8" t="str">
        <f t="shared" ref="E1795:E1858" si="179">TRIM(N1795)</f>
        <v>ROJO</v>
      </c>
      <c r="H1795" s="8" t="str">
        <f>VLOOKUP(A1795,[1]BBDD!$B$1:$J$3274,9,FALSE)</f>
        <v>M</v>
      </c>
      <c r="I1795" s="8" t="s">
        <v>2862</v>
      </c>
      <c r="J1795" s="8" t="s">
        <v>2474</v>
      </c>
      <c r="L1795" s="8" t="s">
        <v>61</v>
      </c>
      <c r="N1795" s="8" t="s">
        <v>88</v>
      </c>
      <c r="O1795" s="8" t="s">
        <v>88</v>
      </c>
      <c r="Q1795" s="8" t="s">
        <v>45</v>
      </c>
      <c r="R1795" s="8">
        <v>0</v>
      </c>
      <c r="S1795" s="8">
        <v>1</v>
      </c>
      <c r="T1795" s="8">
        <f t="shared" si="177"/>
        <v>1</v>
      </c>
      <c r="U1795" s="8">
        <v>1</v>
      </c>
      <c r="V1795" s="8">
        <v>0</v>
      </c>
      <c r="W1795" s="8">
        <v>1</v>
      </c>
      <c r="X1795" s="8">
        <v>1</v>
      </c>
      <c r="Y1795" s="8">
        <v>2</v>
      </c>
      <c r="Z1795" s="8">
        <v>0</v>
      </c>
      <c r="AA1795" s="8">
        <v>180</v>
      </c>
      <c r="AB1795" s="9">
        <f t="shared" si="178"/>
        <v>0.83333333333333326</v>
      </c>
      <c r="AC1795" s="10">
        <f t="shared" ref="AC1795:AC1858" si="180">IFERROR(T1795/AB1795,"sin venta")</f>
        <v>1.2000000000000002</v>
      </c>
      <c r="AD1795" s="8" t="s">
        <v>109</v>
      </c>
      <c r="AE1795" s="11">
        <v>59990</v>
      </c>
      <c r="AF1795" s="11">
        <f t="shared" ref="AF1795:AF1858" si="181">IFERROR(AE1795*T1795,0)</f>
        <v>59990</v>
      </c>
      <c r="AG1795" s="12" t="s">
        <v>34</v>
      </c>
      <c r="AH1795" s="8" t="s">
        <v>35</v>
      </c>
    </row>
    <row r="1796" spans="1:34">
      <c r="A1796" s="8" t="s">
        <v>2478</v>
      </c>
      <c r="B1796" s="16" t="s">
        <v>2860</v>
      </c>
      <c r="C1796" s="8" t="s">
        <v>40</v>
      </c>
      <c r="D1796" s="8" t="s">
        <v>2461</v>
      </c>
      <c r="E1796" s="8" t="str">
        <f t="shared" si="179"/>
        <v>CANELA</v>
      </c>
      <c r="H1796" s="8" t="str">
        <f>VLOOKUP(A1796,[1]BBDD!$B$1:$J$3274,9,FALSE)</f>
        <v>M</v>
      </c>
      <c r="I1796" s="8" t="s">
        <v>2862</v>
      </c>
      <c r="J1796" s="8" t="s">
        <v>2474</v>
      </c>
      <c r="L1796" s="8" t="s">
        <v>785</v>
      </c>
      <c r="N1796" s="8" t="s">
        <v>786</v>
      </c>
      <c r="O1796" s="8" t="s">
        <v>786</v>
      </c>
      <c r="Q1796" s="8" t="s">
        <v>45</v>
      </c>
      <c r="R1796" s="8">
        <v>0</v>
      </c>
      <c r="S1796" s="8">
        <v>4</v>
      </c>
      <c r="T1796" s="8">
        <f t="shared" si="177"/>
        <v>4</v>
      </c>
      <c r="U1796" s="8">
        <v>1</v>
      </c>
      <c r="V1796" s="8">
        <v>0</v>
      </c>
      <c r="W1796" s="8">
        <v>0</v>
      </c>
      <c r="X1796" s="8">
        <v>0</v>
      </c>
      <c r="Y1796" s="8">
        <v>1</v>
      </c>
      <c r="Z1796" s="8">
        <v>0</v>
      </c>
      <c r="AA1796" s="8">
        <v>180</v>
      </c>
      <c r="AB1796" s="9">
        <f t="shared" si="178"/>
        <v>0.33333333333333337</v>
      </c>
      <c r="AC1796" s="10">
        <f t="shared" si="180"/>
        <v>11.999999999999998</v>
      </c>
      <c r="AD1796" s="8" t="s">
        <v>109</v>
      </c>
      <c r="AE1796" s="11">
        <v>59990</v>
      </c>
      <c r="AF1796" s="11">
        <f t="shared" si="181"/>
        <v>239960</v>
      </c>
      <c r="AG1796" s="12" t="s">
        <v>51</v>
      </c>
      <c r="AH1796" s="8" t="s">
        <v>35</v>
      </c>
    </row>
    <row r="1797" spans="1:34">
      <c r="A1797" s="8" t="s">
        <v>2479</v>
      </c>
      <c r="B1797" s="16" t="s">
        <v>2860</v>
      </c>
      <c r="C1797" s="8" t="s">
        <v>40</v>
      </c>
      <c r="D1797" s="8" t="s">
        <v>2461</v>
      </c>
      <c r="E1797" s="8" t="str">
        <f t="shared" si="179"/>
        <v>AVELLANA</v>
      </c>
      <c r="H1797" s="8" t="str">
        <f>VLOOKUP(A1797,[1]BBDD!$B$1:$J$3274,9,FALSE)</f>
        <v>M</v>
      </c>
      <c r="I1797" s="8" t="s">
        <v>2862</v>
      </c>
      <c r="J1797" s="8" t="s">
        <v>2474</v>
      </c>
      <c r="L1797" s="8" t="s">
        <v>71</v>
      </c>
      <c r="N1797" s="8" t="s">
        <v>72</v>
      </c>
      <c r="O1797" s="8" t="s">
        <v>72</v>
      </c>
      <c r="Q1797" s="8" t="s">
        <v>45</v>
      </c>
      <c r="R1797" s="8">
        <v>9</v>
      </c>
      <c r="S1797" s="8">
        <v>7</v>
      </c>
      <c r="T1797" s="8">
        <f t="shared" si="177"/>
        <v>16</v>
      </c>
      <c r="U1797" s="8">
        <v>0</v>
      </c>
      <c r="V1797" s="8">
        <v>0</v>
      </c>
      <c r="W1797" s="8">
        <v>2</v>
      </c>
      <c r="X1797" s="8">
        <v>1</v>
      </c>
      <c r="Y1797" s="8">
        <v>0</v>
      </c>
      <c r="Z1797" s="8">
        <v>3</v>
      </c>
      <c r="AA1797" s="8">
        <v>180</v>
      </c>
      <c r="AB1797" s="9">
        <f t="shared" si="178"/>
        <v>1</v>
      </c>
      <c r="AC1797" s="10">
        <f t="shared" si="180"/>
        <v>16</v>
      </c>
      <c r="AD1797" s="8" t="s">
        <v>109</v>
      </c>
      <c r="AE1797" s="11">
        <v>59990</v>
      </c>
      <c r="AF1797" s="11">
        <f t="shared" si="181"/>
        <v>959840</v>
      </c>
      <c r="AG1797" s="12" t="s">
        <v>64</v>
      </c>
      <c r="AH1797" s="8" t="s">
        <v>65</v>
      </c>
    </row>
    <row r="1798" spans="1:34">
      <c r="A1798" s="8" t="s">
        <v>2480</v>
      </c>
      <c r="B1798" s="16" t="s">
        <v>2860</v>
      </c>
      <c r="C1798" s="8" t="s">
        <v>40</v>
      </c>
      <c r="D1798" s="8" t="s">
        <v>2461</v>
      </c>
      <c r="E1798" s="8" t="str">
        <f t="shared" si="179"/>
        <v>AZUL</v>
      </c>
      <c r="H1798" s="8" t="str">
        <f>VLOOKUP(A1798,[1]BBDD!$B$1:$J$3274,9,FALSE)</f>
        <v>M</v>
      </c>
      <c r="I1798" s="8" t="s">
        <v>2862</v>
      </c>
      <c r="J1798" s="8" t="s">
        <v>2474</v>
      </c>
      <c r="L1798" s="8" t="s">
        <v>71</v>
      </c>
      <c r="N1798" s="8" t="s">
        <v>83</v>
      </c>
      <c r="O1798" s="8" t="s">
        <v>83</v>
      </c>
      <c r="Q1798" s="8" t="s">
        <v>45</v>
      </c>
      <c r="R1798" s="8">
        <v>5</v>
      </c>
      <c r="S1798" s="8">
        <v>8</v>
      </c>
      <c r="T1798" s="8">
        <f t="shared" si="177"/>
        <v>13</v>
      </c>
      <c r="U1798" s="8">
        <v>1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180</v>
      </c>
      <c r="AB1798" s="9">
        <f t="shared" si="178"/>
        <v>0.16666666666666669</v>
      </c>
      <c r="AC1798" s="10">
        <f t="shared" si="180"/>
        <v>77.999999999999986</v>
      </c>
      <c r="AD1798" s="8" t="s">
        <v>109</v>
      </c>
      <c r="AE1798" s="11">
        <v>59990</v>
      </c>
      <c r="AF1798" s="11">
        <f t="shared" si="181"/>
        <v>779870</v>
      </c>
      <c r="AG1798" s="12" t="s">
        <v>73</v>
      </c>
      <c r="AH1798" s="8" t="s">
        <v>65</v>
      </c>
    </row>
    <row r="1799" spans="1:34">
      <c r="A1799" s="8" t="s">
        <v>2481</v>
      </c>
      <c r="B1799" s="16" t="s">
        <v>2860</v>
      </c>
      <c r="C1799" s="8" t="s">
        <v>40</v>
      </c>
      <c r="D1799" s="8" t="s">
        <v>2461</v>
      </c>
      <c r="E1799" s="8" t="str">
        <f t="shared" si="179"/>
        <v>BRICK</v>
      </c>
      <c r="H1799" s="8" t="str">
        <f>VLOOKUP(A1799,[1]BBDD!$B$1:$J$3274,9,FALSE)</f>
        <v>M</v>
      </c>
      <c r="I1799" s="8" t="s">
        <v>2862</v>
      </c>
      <c r="J1799" s="8" t="s">
        <v>2474</v>
      </c>
      <c r="L1799" s="8" t="s">
        <v>71</v>
      </c>
      <c r="N1799" s="8" t="s">
        <v>2482</v>
      </c>
      <c r="O1799" s="8" t="s">
        <v>2482</v>
      </c>
      <c r="Q1799" s="8" t="s">
        <v>45</v>
      </c>
      <c r="R1799" s="8">
        <v>0</v>
      </c>
      <c r="S1799" s="8">
        <v>2</v>
      </c>
      <c r="T1799" s="8">
        <f t="shared" si="177"/>
        <v>2</v>
      </c>
      <c r="U1799" s="8">
        <v>0</v>
      </c>
      <c r="V1799" s="8">
        <v>0</v>
      </c>
      <c r="W1799" s="8">
        <v>0</v>
      </c>
      <c r="X1799" s="8">
        <v>0</v>
      </c>
      <c r="Y1799" s="8">
        <v>0</v>
      </c>
      <c r="Z1799" s="8">
        <v>0</v>
      </c>
      <c r="AA1799" s="8">
        <v>180</v>
      </c>
      <c r="AB1799" s="9">
        <f t="shared" si="178"/>
        <v>0</v>
      </c>
      <c r="AC1799" s="10" t="str">
        <f t="shared" si="180"/>
        <v>sin venta</v>
      </c>
      <c r="AD1799" s="8" t="s">
        <v>109</v>
      </c>
      <c r="AE1799" s="11">
        <v>59990</v>
      </c>
      <c r="AF1799" s="11">
        <f t="shared" si="181"/>
        <v>119980</v>
      </c>
      <c r="AG1799" s="12" t="s">
        <v>73</v>
      </c>
      <c r="AH1799" s="8" t="s">
        <v>35</v>
      </c>
    </row>
    <row r="1800" spans="1:34">
      <c r="A1800" s="8" t="s">
        <v>2483</v>
      </c>
      <c r="B1800" s="16" t="s">
        <v>2860</v>
      </c>
      <c r="C1800" s="8" t="s">
        <v>40</v>
      </c>
      <c r="D1800" s="8" t="s">
        <v>2461</v>
      </c>
      <c r="E1800" s="8" t="str">
        <f t="shared" si="179"/>
        <v>GRIS OSCURO</v>
      </c>
      <c r="H1800" s="8" t="str">
        <f>VLOOKUP(A1800,[1]BBDD!$B$1:$J$3274,9,FALSE)</f>
        <v>M</v>
      </c>
      <c r="I1800" s="8" t="s">
        <v>2862</v>
      </c>
      <c r="J1800" s="8" t="s">
        <v>2474</v>
      </c>
      <c r="L1800" s="8" t="s">
        <v>71</v>
      </c>
      <c r="N1800" s="8" t="s">
        <v>235</v>
      </c>
      <c r="O1800" s="8" t="s">
        <v>510</v>
      </c>
      <c r="Q1800" s="8" t="s">
        <v>45</v>
      </c>
      <c r="R1800" s="8">
        <v>5</v>
      </c>
      <c r="S1800" s="8">
        <v>7</v>
      </c>
      <c r="T1800" s="8">
        <f t="shared" si="177"/>
        <v>12</v>
      </c>
      <c r="U1800" s="8">
        <v>1</v>
      </c>
      <c r="V1800" s="8">
        <v>0</v>
      </c>
      <c r="W1800" s="8">
        <v>0</v>
      </c>
      <c r="X1800" s="8">
        <v>0</v>
      </c>
      <c r="Y1800" s="8">
        <v>0</v>
      </c>
      <c r="Z1800" s="8">
        <v>1</v>
      </c>
      <c r="AA1800" s="8">
        <v>180</v>
      </c>
      <c r="AB1800" s="9">
        <f t="shared" si="178"/>
        <v>0.33333333333333337</v>
      </c>
      <c r="AC1800" s="10">
        <f t="shared" si="180"/>
        <v>35.999999999999993</v>
      </c>
      <c r="AD1800" s="8" t="s">
        <v>109</v>
      </c>
      <c r="AE1800" s="11">
        <v>59990</v>
      </c>
      <c r="AF1800" s="11">
        <f t="shared" si="181"/>
        <v>719880</v>
      </c>
      <c r="AG1800" s="12" t="s">
        <v>73</v>
      </c>
      <c r="AH1800" s="8" t="s">
        <v>65</v>
      </c>
    </row>
    <row r="1801" spans="1:34">
      <c r="A1801" s="8" t="s">
        <v>2484</v>
      </c>
      <c r="B1801" s="16" t="s">
        <v>2860</v>
      </c>
      <c r="C1801" s="8" t="s">
        <v>40</v>
      </c>
      <c r="D1801" s="8" t="s">
        <v>2461</v>
      </c>
      <c r="E1801" s="8" t="str">
        <f t="shared" si="179"/>
        <v>OLIVE</v>
      </c>
      <c r="H1801" s="8" t="str">
        <f>VLOOKUP(A1801,[1]BBDD!$B$1:$J$3274,9,FALSE)</f>
        <v>M</v>
      </c>
      <c r="I1801" s="8" t="s">
        <v>2862</v>
      </c>
      <c r="J1801" s="8" t="s">
        <v>2474</v>
      </c>
      <c r="L1801" s="8" t="s">
        <v>71</v>
      </c>
      <c r="N1801" s="8" t="s">
        <v>159</v>
      </c>
      <c r="O1801" s="8" t="s">
        <v>159</v>
      </c>
      <c r="Q1801" s="8" t="s">
        <v>45</v>
      </c>
      <c r="R1801" s="8">
        <v>0</v>
      </c>
      <c r="S1801" s="8">
        <v>1</v>
      </c>
      <c r="T1801" s="8">
        <f t="shared" si="177"/>
        <v>1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180</v>
      </c>
      <c r="AB1801" s="9">
        <f t="shared" si="178"/>
        <v>0</v>
      </c>
      <c r="AC1801" s="10" t="str">
        <f t="shared" si="180"/>
        <v>sin venta</v>
      </c>
      <c r="AD1801" s="8" t="s">
        <v>109</v>
      </c>
      <c r="AE1801" s="11">
        <v>59990</v>
      </c>
      <c r="AF1801" s="11">
        <f t="shared" si="181"/>
        <v>59990</v>
      </c>
      <c r="AG1801" s="12" t="s">
        <v>73</v>
      </c>
      <c r="AH1801" s="8" t="s">
        <v>35</v>
      </c>
    </row>
    <row r="1802" spans="1:34">
      <c r="A1802" s="8" t="s">
        <v>2485</v>
      </c>
      <c r="B1802" s="16" t="s">
        <v>2860</v>
      </c>
      <c r="C1802" s="8" t="s">
        <v>40</v>
      </c>
      <c r="D1802" s="8" t="s">
        <v>2461</v>
      </c>
      <c r="E1802" s="8" t="str">
        <f t="shared" si="179"/>
        <v>OXIDO</v>
      </c>
      <c r="H1802" s="8" t="str">
        <f>VLOOKUP(A1802,[1]BBDD!$B$1:$J$3274,9,FALSE)</f>
        <v>M</v>
      </c>
      <c r="I1802" s="8" t="s">
        <v>2862</v>
      </c>
      <c r="J1802" s="8" t="s">
        <v>2474</v>
      </c>
      <c r="L1802" s="8" t="s">
        <v>71</v>
      </c>
      <c r="N1802" s="8" t="s">
        <v>78</v>
      </c>
      <c r="O1802" s="8" t="s">
        <v>78</v>
      </c>
      <c r="Q1802" s="8" t="s">
        <v>45</v>
      </c>
      <c r="R1802" s="8">
        <v>0</v>
      </c>
      <c r="S1802" s="8">
        <v>1</v>
      </c>
      <c r="T1802" s="8">
        <f t="shared" si="177"/>
        <v>1</v>
      </c>
      <c r="U1802" s="8">
        <v>0</v>
      </c>
      <c r="V1802" s="8">
        <v>0</v>
      </c>
      <c r="W1802" s="8">
        <v>1</v>
      </c>
      <c r="X1802" s="8">
        <v>0</v>
      </c>
      <c r="Y1802" s="8">
        <v>0</v>
      </c>
      <c r="Z1802" s="8">
        <v>0</v>
      </c>
      <c r="AA1802" s="8">
        <v>180</v>
      </c>
      <c r="AB1802" s="9">
        <f t="shared" si="178"/>
        <v>0.16666666666666669</v>
      </c>
      <c r="AC1802" s="10">
        <f t="shared" si="180"/>
        <v>5.9999999999999991</v>
      </c>
      <c r="AD1802" s="8" t="s">
        <v>109</v>
      </c>
      <c r="AE1802" s="11">
        <v>59990</v>
      </c>
      <c r="AF1802" s="11">
        <f t="shared" si="181"/>
        <v>59990</v>
      </c>
      <c r="AG1802" s="12" t="s">
        <v>34</v>
      </c>
      <c r="AH1802" s="8" t="s">
        <v>35</v>
      </c>
    </row>
    <row r="1803" spans="1:34">
      <c r="A1803" s="8" t="s">
        <v>2486</v>
      </c>
      <c r="B1803" s="16" t="s">
        <v>2860</v>
      </c>
      <c r="C1803" s="8" t="s">
        <v>40</v>
      </c>
      <c r="D1803" s="8" t="s">
        <v>2461</v>
      </c>
      <c r="E1803" s="8" t="str">
        <f t="shared" si="179"/>
        <v>VESUBIO</v>
      </c>
      <c r="H1803" s="8" t="str">
        <f>VLOOKUP(A1803,[1]BBDD!$B$1:$J$3274,9,FALSE)</f>
        <v>M</v>
      </c>
      <c r="I1803" s="8" t="s">
        <v>2862</v>
      </c>
      <c r="J1803" s="8" t="s">
        <v>2474</v>
      </c>
      <c r="L1803" s="8" t="s">
        <v>71</v>
      </c>
      <c r="N1803" s="8" t="s">
        <v>80</v>
      </c>
      <c r="O1803" s="8" t="s">
        <v>80</v>
      </c>
      <c r="Q1803" s="8" t="s">
        <v>45</v>
      </c>
      <c r="R1803" s="8">
        <v>5</v>
      </c>
      <c r="S1803" s="8">
        <v>7</v>
      </c>
      <c r="T1803" s="8">
        <f t="shared" si="177"/>
        <v>12</v>
      </c>
      <c r="U1803" s="8">
        <v>1</v>
      </c>
      <c r="V1803" s="8">
        <v>0</v>
      </c>
      <c r="W1803" s="8">
        <v>0</v>
      </c>
      <c r="X1803" s="8">
        <v>2</v>
      </c>
      <c r="Y1803" s="8">
        <v>0</v>
      </c>
      <c r="Z1803" s="8">
        <v>0</v>
      </c>
      <c r="AA1803" s="8">
        <v>180</v>
      </c>
      <c r="AB1803" s="9">
        <f t="shared" si="178"/>
        <v>0.5</v>
      </c>
      <c r="AC1803" s="10">
        <f t="shared" si="180"/>
        <v>24</v>
      </c>
      <c r="AD1803" s="8" t="s">
        <v>109</v>
      </c>
      <c r="AE1803" s="11">
        <v>59990</v>
      </c>
      <c r="AF1803" s="11">
        <f t="shared" si="181"/>
        <v>719880</v>
      </c>
      <c r="AG1803" s="12" t="s">
        <v>64</v>
      </c>
      <c r="AH1803" s="8" t="s">
        <v>65</v>
      </c>
    </row>
    <row r="1804" spans="1:34">
      <c r="A1804" s="8" t="s">
        <v>2487</v>
      </c>
      <c r="B1804" s="16" t="s">
        <v>2860</v>
      </c>
      <c r="C1804" s="8" t="s">
        <v>40</v>
      </c>
      <c r="D1804" s="8" t="s">
        <v>2461</v>
      </c>
      <c r="E1804" s="8" t="str">
        <f t="shared" si="179"/>
        <v>TJ004</v>
      </c>
      <c r="H1804" s="8">
        <f>VLOOKUP(A1804,[1]BBDD!$B$1:$J$3274,9,FALSE)</f>
        <v>0</v>
      </c>
      <c r="I1804" s="8">
        <v>0</v>
      </c>
      <c r="J1804" s="8" t="s">
        <v>2488</v>
      </c>
      <c r="L1804" s="8" t="s">
        <v>2489</v>
      </c>
      <c r="N1804" s="8" t="s">
        <v>2490</v>
      </c>
      <c r="O1804" s="8" t="s">
        <v>2490</v>
      </c>
      <c r="Q1804" s="8" t="s">
        <v>45</v>
      </c>
      <c r="R1804" s="8">
        <v>12</v>
      </c>
      <c r="S1804" s="8">
        <v>0</v>
      </c>
      <c r="T1804" s="8">
        <f t="shared" si="177"/>
        <v>12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180</v>
      </c>
      <c r="AB1804" s="9">
        <f t="shared" si="178"/>
        <v>0</v>
      </c>
      <c r="AC1804" s="10" t="str">
        <f t="shared" si="180"/>
        <v>sin venta</v>
      </c>
      <c r="AD1804" s="8" t="s">
        <v>109</v>
      </c>
      <c r="AE1804" s="11">
        <v>2990</v>
      </c>
      <c r="AF1804" s="11">
        <f t="shared" si="181"/>
        <v>35880</v>
      </c>
      <c r="AG1804" s="12" t="s">
        <v>73</v>
      </c>
      <c r="AH1804" s="8" t="s">
        <v>65</v>
      </c>
    </row>
    <row r="1805" spans="1:34">
      <c r="A1805" s="8" t="s">
        <v>2491</v>
      </c>
      <c r="B1805" s="16" t="s">
        <v>2860</v>
      </c>
      <c r="C1805" s="8" t="s">
        <v>40</v>
      </c>
      <c r="D1805" s="8" t="s">
        <v>2461</v>
      </c>
      <c r="E1805" s="8" t="str">
        <f t="shared" si="179"/>
        <v>TJ012</v>
      </c>
      <c r="H1805" s="8">
        <f>VLOOKUP(A1805,[1]BBDD!$B$1:$J$3274,9,FALSE)</f>
        <v>0</v>
      </c>
      <c r="I1805" s="8">
        <v>0</v>
      </c>
      <c r="J1805" s="8" t="s">
        <v>2488</v>
      </c>
      <c r="L1805" s="8" t="s">
        <v>2489</v>
      </c>
      <c r="N1805" s="8" t="s">
        <v>2492</v>
      </c>
      <c r="O1805" s="8" t="s">
        <v>2492</v>
      </c>
      <c r="Q1805" s="8" t="s">
        <v>45</v>
      </c>
      <c r="R1805" s="8">
        <v>2</v>
      </c>
      <c r="S1805" s="8">
        <v>0</v>
      </c>
      <c r="T1805" s="8">
        <f t="shared" si="177"/>
        <v>2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180</v>
      </c>
      <c r="AB1805" s="9">
        <f t="shared" si="178"/>
        <v>0</v>
      </c>
      <c r="AC1805" s="10" t="str">
        <f t="shared" si="180"/>
        <v>sin venta</v>
      </c>
      <c r="AD1805" s="8" t="s">
        <v>109</v>
      </c>
      <c r="AE1805" s="11">
        <v>2990</v>
      </c>
      <c r="AF1805" s="11">
        <f t="shared" si="181"/>
        <v>5980</v>
      </c>
      <c r="AG1805" s="12" t="s">
        <v>73</v>
      </c>
      <c r="AH1805" s="8" t="s">
        <v>35</v>
      </c>
    </row>
    <row r="1806" spans="1:34">
      <c r="A1806" s="8" t="s">
        <v>2493</v>
      </c>
      <c r="B1806" s="16" t="s">
        <v>2860</v>
      </c>
      <c r="C1806" s="8" t="s">
        <v>40</v>
      </c>
      <c r="D1806" s="8" t="s">
        <v>2461</v>
      </c>
      <c r="E1806" s="8" t="str">
        <f t="shared" si="179"/>
        <v>TJ004</v>
      </c>
      <c r="H1806" s="8">
        <f>VLOOKUP(A1806,[1]BBDD!$B$1:$J$3274,9,FALSE)</f>
        <v>0</v>
      </c>
      <c r="I1806" s="8">
        <v>0</v>
      </c>
      <c r="J1806" s="8" t="s">
        <v>2494</v>
      </c>
      <c r="L1806" s="8" t="s">
        <v>2489</v>
      </c>
      <c r="N1806" s="8" t="s">
        <v>2490</v>
      </c>
      <c r="O1806" s="8" t="s">
        <v>2490</v>
      </c>
      <c r="Q1806" s="8" t="s">
        <v>45</v>
      </c>
      <c r="R1806" s="8">
        <v>14</v>
      </c>
      <c r="S1806" s="8">
        <v>0</v>
      </c>
      <c r="T1806" s="8">
        <f t="shared" si="177"/>
        <v>14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180</v>
      </c>
      <c r="AB1806" s="9">
        <f t="shared" si="178"/>
        <v>0</v>
      </c>
      <c r="AC1806" s="10" t="str">
        <f t="shared" si="180"/>
        <v>sin venta</v>
      </c>
      <c r="AD1806" s="8" t="s">
        <v>109</v>
      </c>
      <c r="AE1806" s="11">
        <v>3990</v>
      </c>
      <c r="AF1806" s="11">
        <f t="shared" si="181"/>
        <v>55860</v>
      </c>
      <c r="AG1806" s="12" t="s">
        <v>73</v>
      </c>
      <c r="AH1806" s="8" t="s">
        <v>65</v>
      </c>
    </row>
    <row r="1807" spans="1:34">
      <c r="A1807" s="8" t="s">
        <v>2495</v>
      </c>
      <c r="B1807" s="16" t="s">
        <v>661</v>
      </c>
      <c r="C1807" s="8" t="s">
        <v>377</v>
      </c>
      <c r="D1807" s="8" t="s">
        <v>1947</v>
      </c>
      <c r="E1807" s="8" t="str">
        <f t="shared" si="179"/>
        <v>NATURAL/NEGRO</v>
      </c>
      <c r="H1807" s="8" t="str">
        <f>VLOOKUP(A1807,[1]BBDD!$B$1:$J$3274,9,FALSE)</f>
        <v>U</v>
      </c>
      <c r="I1807" s="8" t="s">
        <v>2861</v>
      </c>
      <c r="J1807" s="8" t="s">
        <v>2870</v>
      </c>
      <c r="L1807" s="8" t="s">
        <v>566</v>
      </c>
      <c r="N1807" s="8" t="s">
        <v>2496</v>
      </c>
      <c r="O1807" s="8" t="s">
        <v>1983</v>
      </c>
      <c r="P1807" s="18" t="str">
        <f t="shared" ref="P1807:P1825" si="182">RIGHT(A1807,LEN(A1807)-FIND("-",A1807))</f>
        <v>L</v>
      </c>
      <c r="Q1807" s="8" t="s">
        <v>45</v>
      </c>
      <c r="R1807" s="8">
        <v>4</v>
      </c>
      <c r="S1807" s="8">
        <v>4</v>
      </c>
      <c r="T1807" s="8">
        <f t="shared" si="177"/>
        <v>8</v>
      </c>
      <c r="U1807" s="8">
        <v>0</v>
      </c>
      <c r="V1807" s="8">
        <v>0</v>
      </c>
      <c r="W1807" s="8">
        <v>1</v>
      </c>
      <c r="X1807" s="8">
        <v>0</v>
      </c>
      <c r="Y1807" s="8">
        <v>0</v>
      </c>
      <c r="Z1807" s="8">
        <v>0</v>
      </c>
      <c r="AA1807" s="8">
        <v>180</v>
      </c>
      <c r="AB1807" s="9">
        <f t="shared" si="178"/>
        <v>0.16666666666666669</v>
      </c>
      <c r="AC1807" s="10">
        <f t="shared" si="180"/>
        <v>47.999999999999993</v>
      </c>
      <c r="AD1807" s="8" t="s">
        <v>109</v>
      </c>
      <c r="AE1807" s="11">
        <v>39990</v>
      </c>
      <c r="AF1807" s="11">
        <f t="shared" si="181"/>
        <v>319920</v>
      </c>
      <c r="AG1807" s="12" t="s">
        <v>73</v>
      </c>
      <c r="AH1807" s="8" t="s">
        <v>35</v>
      </c>
    </row>
    <row r="1808" spans="1:34">
      <c r="A1808" s="8" t="s">
        <v>2497</v>
      </c>
      <c r="B1808" s="16" t="s">
        <v>661</v>
      </c>
      <c r="C1808" s="8" t="s">
        <v>377</v>
      </c>
      <c r="D1808" s="8" t="s">
        <v>1947</v>
      </c>
      <c r="E1808" s="8" t="str">
        <f t="shared" si="179"/>
        <v>NATURAL/NEGRO</v>
      </c>
      <c r="H1808" s="8" t="str">
        <f>VLOOKUP(A1808,[1]BBDD!$B$1:$J$3274,9,FALSE)</f>
        <v>U</v>
      </c>
      <c r="I1808" s="8" t="s">
        <v>2861</v>
      </c>
      <c r="J1808" s="8" t="s">
        <v>2870</v>
      </c>
      <c r="L1808" s="8" t="s">
        <v>566</v>
      </c>
      <c r="N1808" s="8" t="s">
        <v>2496</v>
      </c>
      <c r="O1808" s="8" t="s">
        <v>1983</v>
      </c>
      <c r="P1808" s="18" t="str">
        <f t="shared" si="182"/>
        <v>M</v>
      </c>
      <c r="Q1808" s="8" t="s">
        <v>45</v>
      </c>
      <c r="R1808" s="8">
        <v>2</v>
      </c>
      <c r="S1808" s="8">
        <v>4</v>
      </c>
      <c r="T1808" s="8">
        <f t="shared" si="177"/>
        <v>6</v>
      </c>
      <c r="U1808" s="8">
        <v>1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180</v>
      </c>
      <c r="AB1808" s="9">
        <f t="shared" si="178"/>
        <v>0.16666666666666669</v>
      </c>
      <c r="AC1808" s="10">
        <f t="shared" si="180"/>
        <v>35.999999999999993</v>
      </c>
      <c r="AD1808" s="8" t="s">
        <v>109</v>
      </c>
      <c r="AE1808" s="11">
        <v>39990</v>
      </c>
      <c r="AF1808" s="11">
        <f t="shared" si="181"/>
        <v>239940</v>
      </c>
      <c r="AG1808" s="12" t="s">
        <v>73</v>
      </c>
      <c r="AH1808" s="8" t="s">
        <v>35</v>
      </c>
    </row>
    <row r="1809" spans="1:34">
      <c r="A1809" s="8" t="s">
        <v>2498</v>
      </c>
      <c r="B1809" s="16" t="s">
        <v>661</v>
      </c>
      <c r="C1809" s="8" t="s">
        <v>377</v>
      </c>
      <c r="D1809" s="8" t="s">
        <v>1947</v>
      </c>
      <c r="E1809" s="8" t="str">
        <f t="shared" si="179"/>
        <v>NATURAL/NEGRO</v>
      </c>
      <c r="H1809" s="8" t="str">
        <f>VLOOKUP(A1809,[1]BBDD!$B$1:$J$3274,9,FALSE)</f>
        <v>U</v>
      </c>
      <c r="I1809" s="8" t="s">
        <v>2861</v>
      </c>
      <c r="J1809" s="8" t="s">
        <v>2870</v>
      </c>
      <c r="L1809" s="8" t="s">
        <v>566</v>
      </c>
      <c r="N1809" s="8" t="s">
        <v>2496</v>
      </c>
      <c r="O1809" s="8" t="s">
        <v>1983</v>
      </c>
      <c r="P1809" s="18" t="str">
        <f t="shared" si="182"/>
        <v>S</v>
      </c>
      <c r="Q1809" s="8" t="s">
        <v>45</v>
      </c>
      <c r="R1809" s="8">
        <v>3</v>
      </c>
      <c r="S1809" s="8">
        <v>4</v>
      </c>
      <c r="T1809" s="8">
        <f t="shared" si="177"/>
        <v>7</v>
      </c>
      <c r="U1809" s="8">
        <v>1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180</v>
      </c>
      <c r="AB1809" s="9">
        <f t="shared" si="178"/>
        <v>0.16666666666666669</v>
      </c>
      <c r="AC1809" s="10">
        <f t="shared" si="180"/>
        <v>41.999999999999993</v>
      </c>
      <c r="AD1809" s="8" t="s">
        <v>109</v>
      </c>
      <c r="AE1809" s="11">
        <v>39990</v>
      </c>
      <c r="AF1809" s="11">
        <f t="shared" si="181"/>
        <v>279930</v>
      </c>
      <c r="AG1809" s="12" t="s">
        <v>73</v>
      </c>
      <c r="AH1809" s="8" t="s">
        <v>35</v>
      </c>
    </row>
    <row r="1810" spans="1:34">
      <c r="A1810" s="8" t="s">
        <v>2499</v>
      </c>
      <c r="B1810" s="16" t="s">
        <v>661</v>
      </c>
      <c r="C1810" s="8" t="s">
        <v>377</v>
      </c>
      <c r="D1810" s="8" t="s">
        <v>1947</v>
      </c>
      <c r="E1810" s="8" t="str">
        <f t="shared" si="179"/>
        <v>NATURAL/NEGRO</v>
      </c>
      <c r="H1810" s="8" t="str">
        <f>VLOOKUP(A1810,[1]BBDD!$B$1:$J$3274,9,FALSE)</f>
        <v>U</v>
      </c>
      <c r="I1810" s="8" t="s">
        <v>2861</v>
      </c>
      <c r="J1810" s="8" t="s">
        <v>2870</v>
      </c>
      <c r="L1810" s="8" t="s">
        <v>566</v>
      </c>
      <c r="N1810" s="8" t="s">
        <v>2496</v>
      </c>
      <c r="O1810" s="8" t="s">
        <v>1983</v>
      </c>
      <c r="P1810" s="18" t="str">
        <f t="shared" si="182"/>
        <v>XL</v>
      </c>
      <c r="Q1810" s="8" t="s">
        <v>45</v>
      </c>
      <c r="R1810" s="8">
        <v>6</v>
      </c>
      <c r="S1810" s="8">
        <v>5</v>
      </c>
      <c r="T1810" s="8">
        <f t="shared" si="177"/>
        <v>11</v>
      </c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180</v>
      </c>
      <c r="AB1810" s="9">
        <f t="shared" si="178"/>
        <v>0</v>
      </c>
      <c r="AC1810" s="10" t="str">
        <f t="shared" si="180"/>
        <v>sin venta</v>
      </c>
      <c r="AD1810" s="8" t="s">
        <v>109</v>
      </c>
      <c r="AE1810" s="11">
        <v>39990</v>
      </c>
      <c r="AF1810" s="11">
        <f t="shared" si="181"/>
        <v>439890</v>
      </c>
      <c r="AG1810" s="12" t="s">
        <v>73</v>
      </c>
      <c r="AH1810" s="8" t="s">
        <v>65</v>
      </c>
    </row>
    <row r="1811" spans="1:34">
      <c r="A1811" s="8" t="s">
        <v>2500</v>
      </c>
      <c r="B1811" s="16" t="s">
        <v>661</v>
      </c>
      <c r="C1811" s="8" t="s">
        <v>377</v>
      </c>
      <c r="D1811" s="8" t="s">
        <v>1947</v>
      </c>
      <c r="E1811" s="8" t="str">
        <f t="shared" si="179"/>
        <v>NATURAL/NEGRO</v>
      </c>
      <c r="H1811" s="8" t="str">
        <f>VLOOKUP(A1811,[1]BBDD!$B$1:$J$3274,9,FALSE)</f>
        <v>U</v>
      </c>
      <c r="I1811" s="8" t="s">
        <v>2861</v>
      </c>
      <c r="J1811" s="8" t="s">
        <v>2870</v>
      </c>
      <c r="L1811" s="8" t="s">
        <v>566</v>
      </c>
      <c r="N1811" s="8" t="s">
        <v>2496</v>
      </c>
      <c r="O1811" s="8" t="s">
        <v>1983</v>
      </c>
      <c r="P1811" s="18" t="str">
        <f t="shared" si="182"/>
        <v>XS</v>
      </c>
      <c r="Q1811" s="8" t="s">
        <v>45</v>
      </c>
      <c r="R1811" s="8">
        <v>4</v>
      </c>
      <c r="S1811" s="8">
        <v>4</v>
      </c>
      <c r="T1811" s="8">
        <f t="shared" si="177"/>
        <v>8</v>
      </c>
      <c r="U1811" s="8">
        <v>1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180</v>
      </c>
      <c r="AB1811" s="9">
        <f t="shared" si="178"/>
        <v>0.16666666666666669</v>
      </c>
      <c r="AC1811" s="10">
        <f t="shared" si="180"/>
        <v>47.999999999999993</v>
      </c>
      <c r="AD1811" s="8" t="s">
        <v>109</v>
      </c>
      <c r="AE1811" s="11">
        <v>39990</v>
      </c>
      <c r="AF1811" s="11">
        <f t="shared" si="181"/>
        <v>319920</v>
      </c>
      <c r="AG1811" s="12" t="s">
        <v>73</v>
      </c>
      <c r="AH1811" s="8" t="s">
        <v>35</v>
      </c>
    </row>
    <row r="1812" spans="1:34">
      <c r="A1812" s="8" t="s">
        <v>2501</v>
      </c>
      <c r="B1812" s="16" t="s">
        <v>661</v>
      </c>
      <c r="C1812" s="8" t="s">
        <v>377</v>
      </c>
      <c r="D1812" s="8" t="s">
        <v>1947</v>
      </c>
      <c r="E1812" s="8" t="str">
        <f t="shared" si="179"/>
        <v>NATURAL/NEGRO</v>
      </c>
      <c r="H1812" s="8" t="str">
        <f>VLOOKUP(A1812,[1]BBDD!$B$1:$J$3274,9,FALSE)</f>
        <v>U</v>
      </c>
      <c r="I1812" s="8" t="s">
        <v>2861</v>
      </c>
      <c r="J1812" s="8" t="s">
        <v>2870</v>
      </c>
      <c r="L1812" s="8" t="s">
        <v>566</v>
      </c>
      <c r="N1812" s="8" t="s">
        <v>2496</v>
      </c>
      <c r="O1812" s="8" t="s">
        <v>1983</v>
      </c>
      <c r="P1812" s="18" t="str">
        <f t="shared" si="182"/>
        <v>XXL</v>
      </c>
      <c r="Q1812" s="8" t="s">
        <v>45</v>
      </c>
      <c r="R1812" s="8">
        <v>1</v>
      </c>
      <c r="S1812" s="8">
        <v>3</v>
      </c>
      <c r="T1812" s="8">
        <f t="shared" si="177"/>
        <v>4</v>
      </c>
      <c r="U1812" s="8">
        <v>0</v>
      </c>
      <c r="V1812" s="8">
        <v>2</v>
      </c>
      <c r="W1812" s="8">
        <v>0</v>
      </c>
      <c r="X1812" s="8">
        <v>0</v>
      </c>
      <c r="Y1812" s="8">
        <v>0</v>
      </c>
      <c r="Z1812" s="8">
        <v>0</v>
      </c>
      <c r="AA1812" s="8">
        <v>180</v>
      </c>
      <c r="AB1812" s="9">
        <f t="shared" si="178"/>
        <v>0.33333333333333337</v>
      </c>
      <c r="AC1812" s="10">
        <f t="shared" si="180"/>
        <v>11.999999999999998</v>
      </c>
      <c r="AD1812" s="8" t="s">
        <v>109</v>
      </c>
      <c r="AE1812" s="11">
        <v>39990</v>
      </c>
      <c r="AF1812" s="11">
        <f t="shared" si="181"/>
        <v>159960</v>
      </c>
      <c r="AG1812" s="12" t="s">
        <v>51</v>
      </c>
      <c r="AH1812" s="8" t="s">
        <v>35</v>
      </c>
    </row>
    <row r="1813" spans="1:34">
      <c r="A1813" s="8" t="s">
        <v>2502</v>
      </c>
      <c r="B1813" s="16" t="s">
        <v>661</v>
      </c>
      <c r="C1813" s="8" t="s">
        <v>377</v>
      </c>
      <c r="D1813" s="8" t="s">
        <v>1947</v>
      </c>
      <c r="E1813" s="8" t="str">
        <f t="shared" si="179"/>
        <v>TOSTADO/CHOCOLATE</v>
      </c>
      <c r="H1813" s="8" t="str">
        <f>VLOOKUP(A1813,[1]BBDD!$B$1:$J$3274,9,FALSE)</f>
        <v>U</v>
      </c>
      <c r="I1813" s="8" t="s">
        <v>2861</v>
      </c>
      <c r="J1813" s="8" t="s">
        <v>2870</v>
      </c>
      <c r="L1813" s="8" t="s">
        <v>566</v>
      </c>
      <c r="N1813" s="8" t="s">
        <v>2503</v>
      </c>
      <c r="O1813" s="8" t="s">
        <v>513</v>
      </c>
      <c r="P1813" s="18" t="s">
        <v>2874</v>
      </c>
      <c r="Q1813" s="8" t="s">
        <v>45</v>
      </c>
      <c r="R1813" s="8">
        <v>4</v>
      </c>
      <c r="S1813" s="8">
        <v>2</v>
      </c>
      <c r="T1813" s="8">
        <f t="shared" si="177"/>
        <v>6</v>
      </c>
      <c r="U1813" s="8">
        <v>0</v>
      </c>
      <c r="V1813" s="8">
        <v>1</v>
      </c>
      <c r="W1813" s="8">
        <v>0</v>
      </c>
      <c r="X1813" s="8">
        <v>0</v>
      </c>
      <c r="Y1813" s="8">
        <v>1</v>
      </c>
      <c r="Z1813" s="8">
        <v>0</v>
      </c>
      <c r="AA1813" s="8">
        <v>180</v>
      </c>
      <c r="AB1813" s="9">
        <f t="shared" si="178"/>
        <v>0.33333333333333337</v>
      </c>
      <c r="AC1813" s="10">
        <f t="shared" si="180"/>
        <v>17.999999999999996</v>
      </c>
      <c r="AD1813" s="8" t="s">
        <v>109</v>
      </c>
      <c r="AE1813" s="11">
        <v>39990</v>
      </c>
      <c r="AF1813" s="11">
        <f t="shared" si="181"/>
        <v>239940</v>
      </c>
      <c r="AG1813" s="12" t="s">
        <v>64</v>
      </c>
      <c r="AH1813" s="8" t="s">
        <v>35</v>
      </c>
    </row>
    <row r="1814" spans="1:34">
      <c r="A1814" s="8" t="s">
        <v>2504</v>
      </c>
      <c r="B1814" s="16" t="s">
        <v>661</v>
      </c>
      <c r="C1814" s="8" t="s">
        <v>377</v>
      </c>
      <c r="D1814" s="8" t="s">
        <v>1947</v>
      </c>
      <c r="E1814" s="8" t="str">
        <f t="shared" si="179"/>
        <v>TOSTADO/CHOCOLATE</v>
      </c>
      <c r="H1814" s="8" t="str">
        <f>VLOOKUP(A1814,[1]BBDD!$B$1:$J$3274,9,FALSE)</f>
        <v>U</v>
      </c>
      <c r="I1814" s="8" t="s">
        <v>2861</v>
      </c>
      <c r="J1814" s="8" t="s">
        <v>2870</v>
      </c>
      <c r="L1814" s="8" t="s">
        <v>566</v>
      </c>
      <c r="N1814" s="8" t="s">
        <v>2503</v>
      </c>
      <c r="O1814" s="8" t="s">
        <v>513</v>
      </c>
      <c r="P1814" s="18" t="s">
        <v>2862</v>
      </c>
      <c r="Q1814" s="8" t="s">
        <v>45</v>
      </c>
      <c r="R1814" s="8">
        <v>2</v>
      </c>
      <c r="S1814" s="8">
        <v>3</v>
      </c>
      <c r="T1814" s="8">
        <f t="shared" si="177"/>
        <v>5</v>
      </c>
      <c r="U1814" s="8">
        <v>0</v>
      </c>
      <c r="V1814" s="8">
        <v>0</v>
      </c>
      <c r="W1814" s="8">
        <v>1</v>
      </c>
      <c r="X1814" s="8">
        <v>0</v>
      </c>
      <c r="Y1814" s="8">
        <v>0</v>
      </c>
      <c r="Z1814" s="8">
        <v>0</v>
      </c>
      <c r="AA1814" s="8">
        <v>180</v>
      </c>
      <c r="AB1814" s="9">
        <f t="shared" si="178"/>
        <v>0.16666666666666669</v>
      </c>
      <c r="AC1814" s="10">
        <f t="shared" si="180"/>
        <v>29.999999999999996</v>
      </c>
      <c r="AD1814" s="8" t="s">
        <v>109</v>
      </c>
      <c r="AE1814" s="11">
        <v>39990</v>
      </c>
      <c r="AF1814" s="11">
        <f t="shared" si="181"/>
        <v>199950</v>
      </c>
      <c r="AG1814" s="12" t="s">
        <v>73</v>
      </c>
      <c r="AH1814" s="8" t="s">
        <v>35</v>
      </c>
    </row>
    <row r="1815" spans="1:34">
      <c r="A1815" s="8" t="s">
        <v>2505</v>
      </c>
      <c r="B1815" s="16" t="s">
        <v>661</v>
      </c>
      <c r="C1815" s="8" t="s">
        <v>377</v>
      </c>
      <c r="D1815" s="8" t="s">
        <v>1947</v>
      </c>
      <c r="E1815" s="8" t="str">
        <f t="shared" si="179"/>
        <v>TOSTADO/CHOCOLATE</v>
      </c>
      <c r="H1815" s="8" t="str">
        <f>VLOOKUP(A1815,[1]BBDD!$B$1:$J$3274,9,FALSE)</f>
        <v>U</v>
      </c>
      <c r="I1815" s="8" t="s">
        <v>2861</v>
      </c>
      <c r="J1815" s="8" t="s">
        <v>2870</v>
      </c>
      <c r="L1815" s="8" t="s">
        <v>566</v>
      </c>
      <c r="N1815" s="8" t="s">
        <v>2503</v>
      </c>
      <c r="O1815" s="8" t="s">
        <v>513</v>
      </c>
      <c r="P1815" s="18" t="s">
        <v>2873</v>
      </c>
      <c r="Q1815" s="8" t="s">
        <v>45</v>
      </c>
      <c r="R1815" s="8">
        <v>4</v>
      </c>
      <c r="S1815" s="8">
        <v>3</v>
      </c>
      <c r="T1815" s="8">
        <f t="shared" si="177"/>
        <v>7</v>
      </c>
      <c r="U1815" s="8">
        <v>1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8">
        <v>180</v>
      </c>
      <c r="AB1815" s="9">
        <f t="shared" si="178"/>
        <v>0.16666666666666669</v>
      </c>
      <c r="AC1815" s="10">
        <f t="shared" si="180"/>
        <v>41.999999999999993</v>
      </c>
      <c r="AD1815" s="8" t="s">
        <v>109</v>
      </c>
      <c r="AE1815" s="11">
        <v>39990</v>
      </c>
      <c r="AF1815" s="11">
        <f t="shared" si="181"/>
        <v>279930</v>
      </c>
      <c r="AG1815" s="12" t="s">
        <v>73</v>
      </c>
      <c r="AH1815" s="8" t="s">
        <v>35</v>
      </c>
    </row>
    <row r="1816" spans="1:34">
      <c r="A1816" s="8" t="s">
        <v>2506</v>
      </c>
      <c r="B1816" s="16" t="s">
        <v>661</v>
      </c>
      <c r="C1816" s="8" t="s">
        <v>377</v>
      </c>
      <c r="D1816" s="8" t="s">
        <v>1947</v>
      </c>
      <c r="E1816" s="8" t="str">
        <f t="shared" si="179"/>
        <v>TOSTADO/CHOCOLATE</v>
      </c>
      <c r="H1816" s="8" t="str">
        <f>VLOOKUP(A1816,[1]BBDD!$B$1:$J$3274,9,FALSE)</f>
        <v>U</v>
      </c>
      <c r="I1816" s="8" t="s">
        <v>2861</v>
      </c>
      <c r="J1816" s="8" t="s">
        <v>2870</v>
      </c>
      <c r="L1816" s="8" t="s">
        <v>566</v>
      </c>
      <c r="N1816" s="8" t="s">
        <v>2503</v>
      </c>
      <c r="O1816" s="8" t="s">
        <v>513</v>
      </c>
      <c r="P1816" s="18" t="s">
        <v>2875</v>
      </c>
      <c r="Q1816" s="8" t="s">
        <v>45</v>
      </c>
      <c r="R1816" s="8">
        <v>2</v>
      </c>
      <c r="S1816" s="8">
        <v>3</v>
      </c>
      <c r="T1816" s="8">
        <f t="shared" si="177"/>
        <v>5</v>
      </c>
      <c r="U1816" s="8">
        <v>0</v>
      </c>
      <c r="V1816" s="8">
        <v>0</v>
      </c>
      <c r="W1816" s="8">
        <v>1</v>
      </c>
      <c r="X1816" s="8">
        <v>1</v>
      </c>
      <c r="Y1816" s="8">
        <v>0</v>
      </c>
      <c r="Z1816" s="8">
        <v>0</v>
      </c>
      <c r="AA1816" s="8">
        <v>180</v>
      </c>
      <c r="AB1816" s="9">
        <f t="shared" si="178"/>
        <v>0.33333333333333337</v>
      </c>
      <c r="AC1816" s="10">
        <f t="shared" si="180"/>
        <v>14.999999999999998</v>
      </c>
      <c r="AD1816" s="8" t="s">
        <v>109</v>
      </c>
      <c r="AE1816" s="11">
        <v>39990</v>
      </c>
      <c r="AF1816" s="11">
        <f t="shared" si="181"/>
        <v>199950</v>
      </c>
      <c r="AG1816" s="12" t="s">
        <v>64</v>
      </c>
      <c r="AH1816" s="8" t="s">
        <v>35</v>
      </c>
    </row>
    <row r="1817" spans="1:34">
      <c r="A1817" s="8" t="s">
        <v>2507</v>
      </c>
      <c r="B1817" s="16" t="s">
        <v>661</v>
      </c>
      <c r="C1817" s="8" t="s">
        <v>377</v>
      </c>
      <c r="D1817" s="8" t="s">
        <v>1947</v>
      </c>
      <c r="E1817" s="8" t="str">
        <f t="shared" si="179"/>
        <v>TOSTADO/CHOCOLATE</v>
      </c>
      <c r="H1817" s="8" t="str">
        <f>VLOOKUP(A1817,[1]BBDD!$B$1:$J$3274,9,FALSE)</f>
        <v>U</v>
      </c>
      <c r="I1817" s="8" t="s">
        <v>2861</v>
      </c>
      <c r="J1817" s="8" t="s">
        <v>2870</v>
      </c>
      <c r="L1817" s="8" t="s">
        <v>566</v>
      </c>
      <c r="N1817" s="8" t="s">
        <v>2503</v>
      </c>
      <c r="O1817" s="8" t="s">
        <v>513</v>
      </c>
      <c r="P1817" s="18" t="s">
        <v>2878</v>
      </c>
      <c r="Q1817" s="8" t="s">
        <v>45</v>
      </c>
      <c r="R1817" s="8">
        <v>2</v>
      </c>
      <c r="S1817" s="8">
        <v>3</v>
      </c>
      <c r="T1817" s="8">
        <f t="shared" si="177"/>
        <v>5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8">
        <v>180</v>
      </c>
      <c r="AB1817" s="9">
        <f t="shared" si="178"/>
        <v>0</v>
      </c>
      <c r="AC1817" s="10" t="str">
        <f t="shared" si="180"/>
        <v>sin venta</v>
      </c>
      <c r="AD1817" s="8" t="s">
        <v>109</v>
      </c>
      <c r="AE1817" s="11">
        <v>39990</v>
      </c>
      <c r="AF1817" s="11">
        <f t="shared" si="181"/>
        <v>199950</v>
      </c>
      <c r="AG1817" s="12" t="s">
        <v>73</v>
      </c>
      <c r="AH1817" s="8" t="s">
        <v>35</v>
      </c>
    </row>
    <row r="1818" spans="1:34">
      <c r="A1818" s="8" t="s">
        <v>2508</v>
      </c>
      <c r="B1818" s="16" t="s">
        <v>661</v>
      </c>
      <c r="C1818" s="8" t="s">
        <v>377</v>
      </c>
      <c r="D1818" s="8" t="s">
        <v>1947</v>
      </c>
      <c r="E1818" s="8" t="str">
        <f t="shared" si="179"/>
        <v>TOSTADO/CHOCOLATE</v>
      </c>
      <c r="H1818" s="8" t="str">
        <f>VLOOKUP(A1818,[1]BBDD!$B$1:$J$3274,9,FALSE)</f>
        <v>U</v>
      </c>
      <c r="I1818" s="8" t="s">
        <v>2861</v>
      </c>
      <c r="J1818" s="8" t="s">
        <v>2870</v>
      </c>
      <c r="L1818" s="8" t="s">
        <v>566</v>
      </c>
      <c r="N1818" s="8" t="s">
        <v>2503</v>
      </c>
      <c r="O1818" s="8" t="s">
        <v>513</v>
      </c>
      <c r="P1818" s="18" t="s">
        <v>2876</v>
      </c>
      <c r="Q1818" s="8" t="s">
        <v>45</v>
      </c>
      <c r="R1818" s="8">
        <v>0</v>
      </c>
      <c r="S1818" s="8">
        <v>1</v>
      </c>
      <c r="T1818" s="8">
        <f t="shared" si="177"/>
        <v>1</v>
      </c>
      <c r="U1818" s="8">
        <v>1</v>
      </c>
      <c r="V1818" s="8">
        <v>1</v>
      </c>
      <c r="W1818" s="8">
        <v>0</v>
      </c>
      <c r="X1818" s="8">
        <v>0</v>
      </c>
      <c r="Y1818" s="8">
        <v>0</v>
      </c>
      <c r="Z1818" s="8">
        <v>0</v>
      </c>
      <c r="AA1818" s="8">
        <v>180</v>
      </c>
      <c r="AB1818" s="9">
        <f t="shared" si="178"/>
        <v>0.33333333333333337</v>
      </c>
      <c r="AC1818" s="10">
        <f t="shared" si="180"/>
        <v>2.9999999999999996</v>
      </c>
      <c r="AD1818" s="8" t="s">
        <v>109</v>
      </c>
      <c r="AE1818" s="11">
        <v>39990</v>
      </c>
      <c r="AF1818" s="11">
        <f t="shared" si="181"/>
        <v>39990</v>
      </c>
      <c r="AG1818" s="12" t="s">
        <v>34</v>
      </c>
      <c r="AH1818" s="8" t="s">
        <v>35</v>
      </c>
    </row>
    <row r="1819" spans="1:34">
      <c r="A1819" s="8" t="s">
        <v>2509</v>
      </c>
      <c r="B1819" s="16" t="s">
        <v>661</v>
      </c>
      <c r="C1819" s="8" t="s">
        <v>377</v>
      </c>
      <c r="D1819" s="8" t="s">
        <v>1947</v>
      </c>
      <c r="E1819" s="8" t="str">
        <f t="shared" si="179"/>
        <v>TOSTADO/NEGRO</v>
      </c>
      <c r="H1819" s="8" t="str">
        <f>VLOOKUP(A1819,[1]BBDD!$B$1:$J$3274,9,FALSE)</f>
        <v>U</v>
      </c>
      <c r="I1819" s="8" t="s">
        <v>2861</v>
      </c>
      <c r="J1819" s="8" t="s">
        <v>2870</v>
      </c>
      <c r="L1819" s="8" t="s">
        <v>566</v>
      </c>
      <c r="N1819" s="8" t="s">
        <v>2510</v>
      </c>
      <c r="O1819" s="8" t="s">
        <v>513</v>
      </c>
      <c r="P1819" s="18" t="str">
        <f t="shared" si="182"/>
        <v>L</v>
      </c>
      <c r="Q1819" s="8" t="s">
        <v>45</v>
      </c>
      <c r="R1819" s="8">
        <v>5</v>
      </c>
      <c r="S1819" s="8">
        <v>4</v>
      </c>
      <c r="T1819" s="8">
        <f t="shared" si="177"/>
        <v>9</v>
      </c>
      <c r="U1819" s="8">
        <v>0</v>
      </c>
      <c r="V1819" s="8">
        <v>0</v>
      </c>
      <c r="W1819" s="8">
        <v>2</v>
      </c>
      <c r="X1819" s="8">
        <v>0</v>
      </c>
      <c r="Y1819" s="8">
        <v>0</v>
      </c>
      <c r="Z1819" s="8">
        <v>0</v>
      </c>
      <c r="AA1819" s="8">
        <v>180</v>
      </c>
      <c r="AB1819" s="9">
        <f t="shared" si="178"/>
        <v>0.33333333333333337</v>
      </c>
      <c r="AC1819" s="10">
        <f t="shared" si="180"/>
        <v>26.999999999999996</v>
      </c>
      <c r="AD1819" s="8" t="s">
        <v>109</v>
      </c>
      <c r="AE1819" s="11">
        <v>39990</v>
      </c>
      <c r="AF1819" s="11">
        <f t="shared" si="181"/>
        <v>359910</v>
      </c>
      <c r="AG1819" s="12" t="s">
        <v>73</v>
      </c>
      <c r="AH1819" s="8" t="s">
        <v>35</v>
      </c>
    </row>
    <row r="1820" spans="1:34">
      <c r="A1820" s="8" t="s">
        <v>2511</v>
      </c>
      <c r="B1820" s="16" t="s">
        <v>661</v>
      </c>
      <c r="C1820" s="8" t="s">
        <v>377</v>
      </c>
      <c r="D1820" s="8" t="s">
        <v>1947</v>
      </c>
      <c r="E1820" s="8" t="str">
        <f t="shared" si="179"/>
        <v>TOSTADO/NEGRO</v>
      </c>
      <c r="H1820" s="8" t="str">
        <f>VLOOKUP(A1820,[1]BBDD!$B$1:$J$3274,9,FALSE)</f>
        <v>U</v>
      </c>
      <c r="I1820" s="8" t="s">
        <v>2861</v>
      </c>
      <c r="J1820" s="8" t="s">
        <v>2870</v>
      </c>
      <c r="L1820" s="8" t="s">
        <v>566</v>
      </c>
      <c r="N1820" s="8" t="s">
        <v>2510</v>
      </c>
      <c r="O1820" s="8" t="s">
        <v>513</v>
      </c>
      <c r="P1820" s="18" t="str">
        <f t="shared" si="182"/>
        <v>M</v>
      </c>
      <c r="Q1820" s="8" t="s">
        <v>45</v>
      </c>
      <c r="R1820" s="8">
        <v>8</v>
      </c>
      <c r="S1820" s="8">
        <v>3</v>
      </c>
      <c r="T1820" s="8">
        <f t="shared" si="177"/>
        <v>11</v>
      </c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180</v>
      </c>
      <c r="AB1820" s="9">
        <f t="shared" si="178"/>
        <v>0</v>
      </c>
      <c r="AC1820" s="10" t="str">
        <f t="shared" si="180"/>
        <v>sin venta</v>
      </c>
      <c r="AD1820" s="8" t="s">
        <v>109</v>
      </c>
      <c r="AE1820" s="11">
        <v>39990</v>
      </c>
      <c r="AF1820" s="11">
        <f t="shared" si="181"/>
        <v>439890</v>
      </c>
      <c r="AG1820" s="12" t="s">
        <v>73</v>
      </c>
      <c r="AH1820" s="8" t="s">
        <v>65</v>
      </c>
    </row>
    <row r="1821" spans="1:34">
      <c r="A1821" s="8" t="s">
        <v>2512</v>
      </c>
      <c r="B1821" s="16" t="s">
        <v>661</v>
      </c>
      <c r="C1821" s="8" t="s">
        <v>377</v>
      </c>
      <c r="D1821" s="8" t="s">
        <v>1947</v>
      </c>
      <c r="E1821" s="8" t="str">
        <f t="shared" si="179"/>
        <v>TOSTADO/NEGRO</v>
      </c>
      <c r="H1821" s="8" t="str">
        <f>VLOOKUP(A1821,[1]BBDD!$B$1:$J$3274,9,FALSE)</f>
        <v>U</v>
      </c>
      <c r="I1821" s="8" t="s">
        <v>2861</v>
      </c>
      <c r="J1821" s="8" t="s">
        <v>2870</v>
      </c>
      <c r="L1821" s="8" t="s">
        <v>566</v>
      </c>
      <c r="N1821" s="8" t="s">
        <v>2510</v>
      </c>
      <c r="O1821" s="8" t="s">
        <v>513</v>
      </c>
      <c r="P1821" s="18" t="str">
        <f t="shared" si="182"/>
        <v>S</v>
      </c>
      <c r="Q1821" s="8" t="s">
        <v>45</v>
      </c>
      <c r="R1821" s="8">
        <v>7</v>
      </c>
      <c r="S1821" s="8">
        <v>2</v>
      </c>
      <c r="T1821" s="8">
        <f t="shared" si="177"/>
        <v>9</v>
      </c>
      <c r="U1821" s="8">
        <v>0</v>
      </c>
      <c r="V1821" s="8">
        <v>0</v>
      </c>
      <c r="W1821" s="8">
        <v>0</v>
      </c>
      <c r="X1821" s="8">
        <v>0</v>
      </c>
      <c r="Y1821" s="8">
        <v>0</v>
      </c>
      <c r="Z1821" s="8">
        <v>0</v>
      </c>
      <c r="AA1821" s="8">
        <v>180</v>
      </c>
      <c r="AB1821" s="9">
        <f t="shared" si="178"/>
        <v>0</v>
      </c>
      <c r="AC1821" s="10" t="str">
        <f t="shared" si="180"/>
        <v>sin venta</v>
      </c>
      <c r="AD1821" s="8" t="s">
        <v>109</v>
      </c>
      <c r="AE1821" s="11">
        <v>39990</v>
      </c>
      <c r="AF1821" s="11">
        <f t="shared" si="181"/>
        <v>359910</v>
      </c>
      <c r="AG1821" s="12" t="s">
        <v>73</v>
      </c>
      <c r="AH1821" s="8" t="s">
        <v>35</v>
      </c>
    </row>
    <row r="1822" spans="1:34">
      <c r="A1822" s="8" t="s">
        <v>2513</v>
      </c>
      <c r="B1822" s="16" t="s">
        <v>661</v>
      </c>
      <c r="C1822" s="8" t="s">
        <v>377</v>
      </c>
      <c r="D1822" s="8" t="s">
        <v>1947</v>
      </c>
      <c r="E1822" s="8" t="str">
        <f t="shared" si="179"/>
        <v>TOSTADO/NEGRO</v>
      </c>
      <c r="H1822" s="8" t="str">
        <f>VLOOKUP(A1822,[1]BBDD!$B$1:$J$3274,9,FALSE)</f>
        <v>U</v>
      </c>
      <c r="I1822" s="8" t="s">
        <v>2861</v>
      </c>
      <c r="J1822" s="8" t="s">
        <v>2870</v>
      </c>
      <c r="L1822" s="8" t="s">
        <v>566</v>
      </c>
      <c r="N1822" s="8" t="s">
        <v>2510</v>
      </c>
      <c r="O1822" s="8" t="s">
        <v>513</v>
      </c>
      <c r="P1822" s="18" t="str">
        <f t="shared" si="182"/>
        <v>XL</v>
      </c>
      <c r="Q1822" s="8" t="s">
        <v>45</v>
      </c>
      <c r="R1822" s="8">
        <v>8</v>
      </c>
      <c r="S1822" s="8">
        <v>2</v>
      </c>
      <c r="T1822" s="8">
        <f t="shared" si="177"/>
        <v>10</v>
      </c>
      <c r="U1822" s="8">
        <v>0</v>
      </c>
      <c r="V1822" s="8">
        <v>0</v>
      </c>
      <c r="W1822" s="8">
        <v>0</v>
      </c>
      <c r="X1822" s="8">
        <v>0</v>
      </c>
      <c r="Y1822" s="8">
        <v>0</v>
      </c>
      <c r="Z1822" s="8">
        <v>0</v>
      </c>
      <c r="AA1822" s="8">
        <v>180</v>
      </c>
      <c r="AB1822" s="9">
        <f t="shared" si="178"/>
        <v>0</v>
      </c>
      <c r="AC1822" s="10" t="str">
        <f t="shared" si="180"/>
        <v>sin venta</v>
      </c>
      <c r="AD1822" s="8" t="s">
        <v>109</v>
      </c>
      <c r="AE1822" s="11">
        <v>39990</v>
      </c>
      <c r="AF1822" s="11">
        <f t="shared" si="181"/>
        <v>399900</v>
      </c>
      <c r="AG1822" s="12" t="s">
        <v>73</v>
      </c>
      <c r="AH1822" s="8" t="s">
        <v>35</v>
      </c>
    </row>
    <row r="1823" spans="1:34">
      <c r="A1823" s="8" t="s">
        <v>2514</v>
      </c>
      <c r="B1823" s="16" t="s">
        <v>661</v>
      </c>
      <c r="C1823" s="8" t="s">
        <v>377</v>
      </c>
      <c r="D1823" s="8" t="s">
        <v>1947</v>
      </c>
      <c r="E1823" s="8" t="str">
        <f t="shared" si="179"/>
        <v>TOSTADO/NEGRO</v>
      </c>
      <c r="H1823" s="8" t="str">
        <f>VLOOKUP(A1823,[1]BBDD!$B$1:$J$3274,9,FALSE)</f>
        <v>U</v>
      </c>
      <c r="I1823" s="8" t="s">
        <v>2861</v>
      </c>
      <c r="J1823" s="8" t="s">
        <v>2870</v>
      </c>
      <c r="L1823" s="8" t="s">
        <v>566</v>
      </c>
      <c r="N1823" s="8" t="s">
        <v>2510</v>
      </c>
      <c r="O1823" s="8" t="s">
        <v>513</v>
      </c>
      <c r="P1823" s="18" t="str">
        <f t="shared" si="182"/>
        <v>XS</v>
      </c>
      <c r="Q1823" s="8" t="s">
        <v>45</v>
      </c>
      <c r="R1823" s="8">
        <v>3</v>
      </c>
      <c r="S1823" s="8">
        <v>3</v>
      </c>
      <c r="T1823" s="8">
        <f t="shared" si="177"/>
        <v>6</v>
      </c>
      <c r="U1823" s="8">
        <v>0</v>
      </c>
      <c r="V1823" s="8">
        <v>0</v>
      </c>
      <c r="W1823" s="8">
        <v>0</v>
      </c>
      <c r="X1823" s="8">
        <v>0</v>
      </c>
      <c r="Y1823" s="8">
        <v>0</v>
      </c>
      <c r="Z1823" s="8">
        <v>0</v>
      </c>
      <c r="AA1823" s="8">
        <v>180</v>
      </c>
      <c r="AB1823" s="9">
        <f t="shared" si="178"/>
        <v>0</v>
      </c>
      <c r="AC1823" s="10" t="str">
        <f t="shared" si="180"/>
        <v>sin venta</v>
      </c>
      <c r="AD1823" s="8" t="s">
        <v>109</v>
      </c>
      <c r="AE1823" s="11">
        <v>39990</v>
      </c>
      <c r="AF1823" s="11">
        <f t="shared" si="181"/>
        <v>239940</v>
      </c>
      <c r="AG1823" s="12" t="s">
        <v>73</v>
      </c>
      <c r="AH1823" s="8" t="s">
        <v>35</v>
      </c>
    </row>
    <row r="1824" spans="1:34">
      <c r="A1824" s="8" t="s">
        <v>2515</v>
      </c>
      <c r="B1824" s="16" t="s">
        <v>661</v>
      </c>
      <c r="C1824" s="8" t="s">
        <v>377</v>
      </c>
      <c r="D1824" s="8" t="s">
        <v>1947</v>
      </c>
      <c r="E1824" s="8" t="str">
        <f t="shared" si="179"/>
        <v>TOSTADO/NEGRO</v>
      </c>
      <c r="H1824" s="8" t="str">
        <f>VLOOKUP(A1824,[1]BBDD!$B$1:$J$3274,9,FALSE)</f>
        <v>U</v>
      </c>
      <c r="I1824" s="8" t="s">
        <v>2861</v>
      </c>
      <c r="J1824" s="8" t="s">
        <v>2870</v>
      </c>
      <c r="L1824" s="8" t="s">
        <v>566</v>
      </c>
      <c r="N1824" s="8" t="s">
        <v>2510</v>
      </c>
      <c r="O1824" s="8" t="s">
        <v>513</v>
      </c>
      <c r="P1824" s="18" t="str">
        <f t="shared" si="182"/>
        <v>XXL</v>
      </c>
      <c r="Q1824" s="8" t="s">
        <v>45</v>
      </c>
      <c r="R1824" s="8">
        <v>2</v>
      </c>
      <c r="S1824" s="8">
        <v>2</v>
      </c>
      <c r="T1824" s="8">
        <f t="shared" si="177"/>
        <v>4</v>
      </c>
      <c r="U1824" s="8">
        <v>0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180</v>
      </c>
      <c r="AB1824" s="9">
        <f t="shared" si="178"/>
        <v>0</v>
      </c>
      <c r="AC1824" s="10" t="str">
        <f t="shared" si="180"/>
        <v>sin venta</v>
      </c>
      <c r="AD1824" s="8" t="s">
        <v>109</v>
      </c>
      <c r="AE1824" s="11">
        <v>39990</v>
      </c>
      <c r="AF1824" s="11">
        <f t="shared" si="181"/>
        <v>159960</v>
      </c>
      <c r="AG1824" s="12" t="s">
        <v>73</v>
      </c>
      <c r="AH1824" s="8" t="s">
        <v>35</v>
      </c>
    </row>
    <row r="1825" spans="1:34">
      <c r="A1825" s="8" t="s">
        <v>2516</v>
      </c>
      <c r="B1825" s="16" t="s">
        <v>661</v>
      </c>
      <c r="C1825" s="8" t="s">
        <v>377</v>
      </c>
      <c r="D1825" s="8" t="s">
        <v>1947</v>
      </c>
      <c r="E1825" s="8" t="str">
        <f t="shared" si="179"/>
        <v>NEGRO</v>
      </c>
      <c r="H1825" s="8" t="str">
        <f>VLOOKUP(A1825,[1]BBDD!$B$1:$J$3274,9,FALSE)</f>
        <v>U</v>
      </c>
      <c r="I1825" s="8" t="s">
        <v>2861</v>
      </c>
      <c r="J1825" s="8" t="s">
        <v>2517</v>
      </c>
      <c r="L1825" s="8" t="s">
        <v>2518</v>
      </c>
      <c r="N1825" s="8" t="s">
        <v>44</v>
      </c>
      <c r="O1825" s="8" t="s">
        <v>44</v>
      </c>
      <c r="P1825" s="18" t="str">
        <f t="shared" si="182"/>
        <v>S</v>
      </c>
      <c r="Q1825" s="8" t="s">
        <v>45</v>
      </c>
      <c r="R1825" s="8">
        <v>0</v>
      </c>
      <c r="S1825" s="8">
        <v>1</v>
      </c>
      <c r="T1825" s="8">
        <f t="shared" si="177"/>
        <v>1</v>
      </c>
      <c r="U1825" s="8">
        <v>0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180</v>
      </c>
      <c r="AB1825" s="9">
        <f t="shared" si="178"/>
        <v>0</v>
      </c>
      <c r="AC1825" s="10" t="str">
        <f t="shared" si="180"/>
        <v>sin venta</v>
      </c>
      <c r="AD1825" s="8" t="s">
        <v>109</v>
      </c>
      <c r="AE1825" s="11">
        <v>120990</v>
      </c>
      <c r="AF1825" s="11">
        <f t="shared" si="181"/>
        <v>120990</v>
      </c>
      <c r="AG1825" s="12" t="s">
        <v>73</v>
      </c>
      <c r="AH1825" s="8" t="s">
        <v>35</v>
      </c>
    </row>
    <row r="1826" spans="1:34">
      <c r="A1826" s="8" t="s">
        <v>2519</v>
      </c>
      <c r="B1826" s="16" t="s">
        <v>376</v>
      </c>
      <c r="C1826" s="8" t="s">
        <v>377</v>
      </c>
      <c r="D1826" s="8" t="s">
        <v>1947</v>
      </c>
      <c r="E1826" s="8" t="str">
        <f t="shared" si="179"/>
        <v>NATURAL</v>
      </c>
      <c r="H1826" s="8">
        <f>VLOOKUP(A1826,[1]BBDD!$B$1:$J$3274,9,FALSE)</f>
        <v>0</v>
      </c>
      <c r="I1826" s="8">
        <v>0</v>
      </c>
      <c r="J1826" s="8" t="s">
        <v>2520</v>
      </c>
      <c r="L1826" s="8" t="s">
        <v>2521</v>
      </c>
      <c r="N1826" s="8" t="s">
        <v>1983</v>
      </c>
      <c r="O1826" s="8" t="s">
        <v>1983</v>
      </c>
      <c r="Q1826" s="8" t="s">
        <v>32</v>
      </c>
      <c r="R1826" s="8">
        <v>199</v>
      </c>
      <c r="S1826" s="8">
        <v>0</v>
      </c>
      <c r="T1826" s="8">
        <f t="shared" si="177"/>
        <v>199</v>
      </c>
      <c r="U1826" s="8">
        <v>0</v>
      </c>
      <c r="V1826" s="8">
        <v>0</v>
      </c>
      <c r="W1826" s="8">
        <v>0</v>
      </c>
      <c r="X1826" s="8">
        <v>0</v>
      </c>
      <c r="Y1826" s="8">
        <v>0</v>
      </c>
      <c r="Z1826" s="8">
        <v>0</v>
      </c>
      <c r="AA1826" s="8">
        <v>180</v>
      </c>
      <c r="AB1826" s="9">
        <f t="shared" si="178"/>
        <v>0</v>
      </c>
      <c r="AC1826" s="10" t="str">
        <f t="shared" si="180"/>
        <v>sin venta</v>
      </c>
      <c r="AD1826" s="8" t="s">
        <v>991</v>
      </c>
      <c r="AE1826" s="14">
        <v>49990</v>
      </c>
      <c r="AF1826" s="11">
        <f t="shared" si="181"/>
        <v>9948010</v>
      </c>
      <c r="AG1826" s="12" t="s">
        <v>73</v>
      </c>
      <c r="AH1826" s="8" t="s">
        <v>74</v>
      </c>
    </row>
    <row r="1827" spans="1:34">
      <c r="A1827" s="8" t="s">
        <v>2522</v>
      </c>
      <c r="B1827" s="16" t="s">
        <v>376</v>
      </c>
      <c r="C1827" s="8" t="s">
        <v>377</v>
      </c>
      <c r="D1827" s="8" t="s">
        <v>1947</v>
      </c>
      <c r="E1827" s="8" t="str">
        <f t="shared" si="179"/>
        <v>TOSTADO</v>
      </c>
      <c r="H1827" s="8">
        <f>VLOOKUP(A1827,[1]BBDD!$B$1:$J$3274,9,FALSE)</f>
        <v>0</v>
      </c>
      <c r="I1827" s="8">
        <v>0</v>
      </c>
      <c r="J1827" s="8" t="s">
        <v>2523</v>
      </c>
      <c r="L1827" s="8" t="s">
        <v>2521</v>
      </c>
      <c r="N1827" s="8" t="s">
        <v>513</v>
      </c>
      <c r="O1827" s="8" t="s">
        <v>513</v>
      </c>
      <c r="Q1827" s="8" t="s">
        <v>32</v>
      </c>
      <c r="R1827" s="8">
        <v>499</v>
      </c>
      <c r="S1827" s="8">
        <v>0</v>
      </c>
      <c r="T1827" s="8">
        <f t="shared" si="177"/>
        <v>499</v>
      </c>
      <c r="U1827" s="8">
        <v>0</v>
      </c>
      <c r="V1827" s="8">
        <v>0</v>
      </c>
      <c r="W1827" s="8">
        <v>0</v>
      </c>
      <c r="X1827" s="8">
        <v>0</v>
      </c>
      <c r="Y1827" s="8">
        <v>0</v>
      </c>
      <c r="Z1827" s="8">
        <v>0</v>
      </c>
      <c r="AA1827" s="8">
        <v>180</v>
      </c>
      <c r="AB1827" s="9">
        <f t="shared" si="178"/>
        <v>0</v>
      </c>
      <c r="AC1827" s="10" t="str">
        <f t="shared" si="180"/>
        <v>sin venta</v>
      </c>
      <c r="AD1827" s="8" t="s">
        <v>991</v>
      </c>
      <c r="AE1827" s="14">
        <v>49990</v>
      </c>
      <c r="AF1827" s="11">
        <f t="shared" si="181"/>
        <v>24945010</v>
      </c>
      <c r="AG1827" s="12" t="s">
        <v>73</v>
      </c>
      <c r="AH1827" s="8" t="s">
        <v>74</v>
      </c>
    </row>
    <row r="1828" spans="1:34">
      <c r="A1828" s="8" t="s">
        <v>2524</v>
      </c>
      <c r="B1828" s="16" t="s">
        <v>376</v>
      </c>
      <c r="C1828" s="8" t="s">
        <v>377</v>
      </c>
      <c r="D1828" s="8" t="s">
        <v>1947</v>
      </c>
      <c r="E1828" s="8" t="str">
        <f t="shared" si="179"/>
        <v>BEIGE/CHOCOLATE</v>
      </c>
      <c r="H1828" s="8">
        <f>VLOOKUP(A1828,[1]BBDD!$B$1:$J$3274,9,FALSE)</f>
        <v>0</v>
      </c>
      <c r="I1828" s="8">
        <v>0</v>
      </c>
      <c r="J1828" s="8" t="s">
        <v>2525</v>
      </c>
      <c r="L1828" s="8" t="s">
        <v>2526</v>
      </c>
      <c r="N1828" s="8" t="s">
        <v>2527</v>
      </c>
      <c r="O1828" s="8" t="s">
        <v>516</v>
      </c>
      <c r="Q1828" s="8" t="s">
        <v>32</v>
      </c>
      <c r="R1828" s="8">
        <v>499</v>
      </c>
      <c r="S1828" s="8">
        <v>0</v>
      </c>
      <c r="T1828" s="8">
        <f t="shared" si="177"/>
        <v>499</v>
      </c>
      <c r="U1828" s="8">
        <v>0</v>
      </c>
      <c r="V1828" s="8">
        <v>0</v>
      </c>
      <c r="W1828" s="8">
        <v>0</v>
      </c>
      <c r="X1828" s="8">
        <v>0</v>
      </c>
      <c r="Y1828" s="8">
        <v>0</v>
      </c>
      <c r="Z1828" s="8">
        <v>0</v>
      </c>
      <c r="AA1828" s="8">
        <v>180</v>
      </c>
      <c r="AB1828" s="9">
        <f t="shared" si="178"/>
        <v>0</v>
      </c>
      <c r="AC1828" s="10" t="str">
        <f t="shared" si="180"/>
        <v>sin venta</v>
      </c>
      <c r="AD1828" s="8" t="s">
        <v>991</v>
      </c>
      <c r="AE1828" s="14">
        <v>49990</v>
      </c>
      <c r="AF1828" s="11">
        <f t="shared" si="181"/>
        <v>24945010</v>
      </c>
      <c r="AG1828" s="12" t="s">
        <v>73</v>
      </c>
      <c r="AH1828" s="8" t="s">
        <v>74</v>
      </c>
    </row>
    <row r="1829" spans="1:34">
      <c r="A1829" s="8" t="s">
        <v>2528</v>
      </c>
      <c r="B1829" s="16" t="s">
        <v>376</v>
      </c>
      <c r="C1829" s="8" t="s">
        <v>377</v>
      </c>
      <c r="D1829" s="8" t="s">
        <v>1947</v>
      </c>
      <c r="E1829" s="8" t="str">
        <f t="shared" si="179"/>
        <v>NATURAL</v>
      </c>
      <c r="H1829" s="8">
        <f>VLOOKUP(A1829,[1]BBDD!$B$1:$J$3274,9,FALSE)</f>
        <v>0</v>
      </c>
      <c r="I1829" s="8">
        <v>0</v>
      </c>
      <c r="J1829" s="8" t="s">
        <v>2529</v>
      </c>
      <c r="L1829" s="8" t="s">
        <v>2526</v>
      </c>
      <c r="N1829" s="8" t="s">
        <v>1983</v>
      </c>
      <c r="O1829" s="8" t="s">
        <v>1983</v>
      </c>
      <c r="Q1829" s="8" t="s">
        <v>32</v>
      </c>
      <c r="R1829" s="8">
        <v>499</v>
      </c>
      <c r="S1829" s="8">
        <v>0</v>
      </c>
      <c r="T1829" s="8">
        <f t="shared" si="177"/>
        <v>499</v>
      </c>
      <c r="U1829" s="8">
        <v>0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180</v>
      </c>
      <c r="AB1829" s="9">
        <f t="shared" si="178"/>
        <v>0</v>
      </c>
      <c r="AC1829" s="10" t="str">
        <f t="shared" si="180"/>
        <v>sin venta</v>
      </c>
      <c r="AD1829" s="8" t="s">
        <v>991</v>
      </c>
      <c r="AE1829" s="14">
        <v>49990</v>
      </c>
      <c r="AF1829" s="11">
        <f t="shared" si="181"/>
        <v>24945010</v>
      </c>
      <c r="AG1829" s="12" t="s">
        <v>73</v>
      </c>
      <c r="AH1829" s="8" t="s">
        <v>74</v>
      </c>
    </row>
    <row r="1830" spans="1:34">
      <c r="A1830" s="8" t="s">
        <v>2530</v>
      </c>
      <c r="B1830" s="16" t="s">
        <v>661</v>
      </c>
      <c r="C1830" s="8" t="s">
        <v>377</v>
      </c>
      <c r="D1830" s="8" t="s">
        <v>1947</v>
      </c>
      <c r="E1830" s="8" t="str">
        <f t="shared" si="179"/>
        <v>NATURAL/AZUL</v>
      </c>
      <c r="H1830" s="8" t="str">
        <f>VLOOKUP(A1830,[1]BBDD!$B$1:$J$3274,9,FALSE)</f>
        <v>U</v>
      </c>
      <c r="I1830" s="8" t="s">
        <v>2861</v>
      </c>
      <c r="J1830" s="8" t="s">
        <v>2531</v>
      </c>
      <c r="L1830" s="8" t="s">
        <v>2521</v>
      </c>
      <c r="N1830" s="8" t="s">
        <v>2532</v>
      </c>
      <c r="O1830" s="8" t="s">
        <v>1983</v>
      </c>
      <c r="P1830" s="18" t="str">
        <f t="shared" ref="P1830:P1847" si="183">RIGHT(A1830,LEN(A1830)-FIND("-",A1830))</f>
        <v>L</v>
      </c>
      <c r="Q1830" s="8" t="s">
        <v>45</v>
      </c>
      <c r="R1830" s="8">
        <v>0</v>
      </c>
      <c r="S1830" s="8">
        <v>3</v>
      </c>
      <c r="T1830" s="8">
        <f t="shared" si="177"/>
        <v>3</v>
      </c>
      <c r="U1830" s="8">
        <v>2</v>
      </c>
      <c r="V1830" s="8">
        <v>0</v>
      </c>
      <c r="W1830" s="8">
        <v>0</v>
      </c>
      <c r="X1830" s="8">
        <v>0</v>
      </c>
      <c r="Y1830" s="8">
        <v>0</v>
      </c>
      <c r="Z1830" s="8">
        <v>0</v>
      </c>
      <c r="AA1830" s="8">
        <v>180</v>
      </c>
      <c r="AB1830" s="9">
        <f t="shared" si="178"/>
        <v>0.33333333333333337</v>
      </c>
      <c r="AC1830" s="10">
        <f t="shared" si="180"/>
        <v>8.9999999999999982</v>
      </c>
      <c r="AD1830" s="8" t="s">
        <v>109</v>
      </c>
      <c r="AE1830" s="11">
        <v>49990</v>
      </c>
      <c r="AF1830" s="11">
        <f t="shared" si="181"/>
        <v>149970</v>
      </c>
      <c r="AG1830" s="12" t="s">
        <v>51</v>
      </c>
      <c r="AH1830" s="8" t="s">
        <v>35</v>
      </c>
    </row>
    <row r="1831" spans="1:34">
      <c r="A1831" s="8" t="s">
        <v>2533</v>
      </c>
      <c r="B1831" s="16" t="s">
        <v>661</v>
      </c>
      <c r="C1831" s="8" t="s">
        <v>377</v>
      </c>
      <c r="D1831" s="8" t="s">
        <v>1947</v>
      </c>
      <c r="E1831" s="8" t="str">
        <f t="shared" si="179"/>
        <v>NATURAL/AZUL</v>
      </c>
      <c r="H1831" s="8" t="str">
        <f>VLOOKUP(A1831,[1]BBDD!$B$1:$J$3274,9,FALSE)</f>
        <v>U</v>
      </c>
      <c r="I1831" s="8" t="s">
        <v>2861</v>
      </c>
      <c r="J1831" s="8" t="s">
        <v>2531</v>
      </c>
      <c r="L1831" s="8" t="s">
        <v>2521</v>
      </c>
      <c r="N1831" s="8" t="s">
        <v>2532</v>
      </c>
      <c r="O1831" s="8" t="s">
        <v>1983</v>
      </c>
      <c r="P1831" s="18" t="str">
        <f t="shared" si="183"/>
        <v>M</v>
      </c>
      <c r="Q1831" s="8" t="s">
        <v>45</v>
      </c>
      <c r="R1831" s="8">
        <v>0</v>
      </c>
      <c r="S1831" s="8">
        <v>3</v>
      </c>
      <c r="T1831" s="8">
        <f t="shared" si="177"/>
        <v>3</v>
      </c>
      <c r="U1831" s="8">
        <v>0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180</v>
      </c>
      <c r="AB1831" s="9">
        <f t="shared" si="178"/>
        <v>0</v>
      </c>
      <c r="AC1831" s="10" t="str">
        <f t="shared" si="180"/>
        <v>sin venta</v>
      </c>
      <c r="AD1831" s="8" t="s">
        <v>109</v>
      </c>
      <c r="AE1831" s="11">
        <v>49990</v>
      </c>
      <c r="AF1831" s="11">
        <f t="shared" si="181"/>
        <v>149970</v>
      </c>
      <c r="AG1831" s="12" t="s">
        <v>73</v>
      </c>
      <c r="AH1831" s="8" t="s">
        <v>35</v>
      </c>
    </row>
    <row r="1832" spans="1:34">
      <c r="A1832" s="8" t="s">
        <v>2534</v>
      </c>
      <c r="B1832" s="16" t="s">
        <v>661</v>
      </c>
      <c r="C1832" s="8" t="s">
        <v>377</v>
      </c>
      <c r="D1832" s="8" t="s">
        <v>1947</v>
      </c>
      <c r="E1832" s="8" t="str">
        <f t="shared" si="179"/>
        <v>NATURAL/AZUL</v>
      </c>
      <c r="H1832" s="8" t="str">
        <f>VLOOKUP(A1832,[1]BBDD!$B$1:$J$3274,9,FALSE)</f>
        <v>U</v>
      </c>
      <c r="I1832" s="8" t="s">
        <v>2861</v>
      </c>
      <c r="J1832" s="8" t="s">
        <v>2531</v>
      </c>
      <c r="L1832" s="8" t="s">
        <v>2521</v>
      </c>
      <c r="N1832" s="8" t="s">
        <v>2532</v>
      </c>
      <c r="O1832" s="8" t="s">
        <v>1983</v>
      </c>
      <c r="P1832" s="18" t="str">
        <f t="shared" si="183"/>
        <v>S</v>
      </c>
      <c r="Q1832" s="8" t="s">
        <v>45</v>
      </c>
      <c r="R1832" s="8">
        <v>1</v>
      </c>
      <c r="S1832" s="8">
        <v>4</v>
      </c>
      <c r="T1832" s="8">
        <f t="shared" si="177"/>
        <v>5</v>
      </c>
      <c r="U1832" s="8">
        <v>0</v>
      </c>
      <c r="V1832" s="8">
        <v>1</v>
      </c>
      <c r="W1832" s="8">
        <v>0</v>
      </c>
      <c r="X1832" s="8">
        <v>0</v>
      </c>
      <c r="Y1832" s="8">
        <v>0</v>
      </c>
      <c r="Z1832" s="8">
        <v>0</v>
      </c>
      <c r="AA1832" s="8">
        <v>180</v>
      </c>
      <c r="AB1832" s="9">
        <f t="shared" si="178"/>
        <v>0.16666666666666669</v>
      </c>
      <c r="AC1832" s="10">
        <f t="shared" si="180"/>
        <v>29.999999999999996</v>
      </c>
      <c r="AD1832" s="8" t="s">
        <v>109</v>
      </c>
      <c r="AE1832" s="11">
        <v>49990</v>
      </c>
      <c r="AF1832" s="11">
        <f t="shared" si="181"/>
        <v>249950</v>
      </c>
      <c r="AG1832" s="12" t="s">
        <v>73</v>
      </c>
      <c r="AH1832" s="8" t="s">
        <v>35</v>
      </c>
    </row>
    <row r="1833" spans="1:34">
      <c r="A1833" s="8" t="s">
        <v>2535</v>
      </c>
      <c r="B1833" s="16" t="s">
        <v>661</v>
      </c>
      <c r="C1833" s="8" t="s">
        <v>377</v>
      </c>
      <c r="D1833" s="8" t="s">
        <v>1947</v>
      </c>
      <c r="E1833" s="8" t="str">
        <f t="shared" si="179"/>
        <v>NATURAL/AZUL</v>
      </c>
      <c r="H1833" s="8" t="str">
        <f>VLOOKUP(A1833,[1]BBDD!$B$1:$J$3274,9,FALSE)</f>
        <v>U</v>
      </c>
      <c r="I1833" s="8" t="s">
        <v>2861</v>
      </c>
      <c r="J1833" s="8" t="s">
        <v>2531</v>
      </c>
      <c r="L1833" s="8" t="s">
        <v>2521</v>
      </c>
      <c r="N1833" s="8" t="s">
        <v>2532</v>
      </c>
      <c r="O1833" s="8" t="s">
        <v>1983</v>
      </c>
      <c r="P1833" s="18" t="str">
        <f t="shared" si="183"/>
        <v>XL</v>
      </c>
      <c r="Q1833" s="8" t="s">
        <v>45</v>
      </c>
      <c r="R1833" s="8">
        <v>0</v>
      </c>
      <c r="S1833" s="8">
        <v>3</v>
      </c>
      <c r="T1833" s="8">
        <f t="shared" si="177"/>
        <v>3</v>
      </c>
      <c r="U1833" s="8">
        <v>0</v>
      </c>
      <c r="V1833" s="8">
        <v>0</v>
      </c>
      <c r="W1833" s="8">
        <v>1</v>
      </c>
      <c r="X1833" s="8">
        <v>0</v>
      </c>
      <c r="Y1833" s="8">
        <v>0</v>
      </c>
      <c r="Z1833" s="8">
        <v>0</v>
      </c>
      <c r="AA1833" s="8">
        <v>180</v>
      </c>
      <c r="AB1833" s="9">
        <f t="shared" si="178"/>
        <v>0.16666666666666669</v>
      </c>
      <c r="AC1833" s="10">
        <f t="shared" si="180"/>
        <v>17.999999999999996</v>
      </c>
      <c r="AD1833" s="8" t="s">
        <v>109</v>
      </c>
      <c r="AE1833" s="11">
        <v>49990</v>
      </c>
      <c r="AF1833" s="11">
        <f t="shared" si="181"/>
        <v>149970</v>
      </c>
      <c r="AG1833" s="12" t="s">
        <v>64</v>
      </c>
      <c r="AH1833" s="8" t="s">
        <v>35</v>
      </c>
    </row>
    <row r="1834" spans="1:34">
      <c r="A1834" s="8" t="s">
        <v>2536</v>
      </c>
      <c r="B1834" s="16" t="s">
        <v>661</v>
      </c>
      <c r="C1834" s="8" t="s">
        <v>377</v>
      </c>
      <c r="D1834" s="8" t="s">
        <v>1947</v>
      </c>
      <c r="E1834" s="8" t="str">
        <f t="shared" si="179"/>
        <v>NATURAL/AZUL</v>
      </c>
      <c r="H1834" s="8" t="str">
        <f>VLOOKUP(A1834,[1]BBDD!$B$1:$J$3274,9,FALSE)</f>
        <v>U</v>
      </c>
      <c r="I1834" s="8" t="s">
        <v>2861</v>
      </c>
      <c r="J1834" s="8" t="s">
        <v>2531</v>
      </c>
      <c r="L1834" s="8" t="s">
        <v>2521</v>
      </c>
      <c r="N1834" s="8" t="s">
        <v>2532</v>
      </c>
      <c r="O1834" s="8" t="s">
        <v>1983</v>
      </c>
      <c r="P1834" s="18" t="str">
        <f t="shared" si="183"/>
        <v>XS</v>
      </c>
      <c r="Q1834" s="8" t="s">
        <v>45</v>
      </c>
      <c r="R1834" s="8">
        <v>0</v>
      </c>
      <c r="S1834" s="8">
        <v>3</v>
      </c>
      <c r="T1834" s="8">
        <f t="shared" si="177"/>
        <v>3</v>
      </c>
      <c r="U1834" s="8">
        <v>1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8">
        <v>180</v>
      </c>
      <c r="AB1834" s="9">
        <f t="shared" si="178"/>
        <v>0.16666666666666669</v>
      </c>
      <c r="AC1834" s="10">
        <f t="shared" si="180"/>
        <v>17.999999999999996</v>
      </c>
      <c r="AD1834" s="8" t="s">
        <v>109</v>
      </c>
      <c r="AE1834" s="11">
        <v>49990</v>
      </c>
      <c r="AF1834" s="11">
        <f t="shared" si="181"/>
        <v>149970</v>
      </c>
      <c r="AG1834" s="12" t="s">
        <v>64</v>
      </c>
      <c r="AH1834" s="8" t="s">
        <v>35</v>
      </c>
    </row>
    <row r="1835" spans="1:34">
      <c r="A1835" s="8" t="s">
        <v>2537</v>
      </c>
      <c r="B1835" s="16" t="s">
        <v>661</v>
      </c>
      <c r="C1835" s="8" t="s">
        <v>377</v>
      </c>
      <c r="D1835" s="8" t="s">
        <v>1947</v>
      </c>
      <c r="E1835" s="8" t="str">
        <f t="shared" si="179"/>
        <v>NATURAL/AZUL</v>
      </c>
      <c r="H1835" s="8" t="str">
        <f>VLOOKUP(A1835,[1]BBDD!$B$1:$J$3274,9,FALSE)</f>
        <v>U</v>
      </c>
      <c r="I1835" s="8" t="s">
        <v>2861</v>
      </c>
      <c r="J1835" s="8" t="s">
        <v>2531</v>
      </c>
      <c r="L1835" s="8" t="s">
        <v>2521</v>
      </c>
      <c r="N1835" s="8" t="s">
        <v>2532</v>
      </c>
      <c r="O1835" s="8" t="s">
        <v>1983</v>
      </c>
      <c r="P1835" s="18" t="str">
        <f t="shared" si="183"/>
        <v>XXL</v>
      </c>
      <c r="Q1835" s="8" t="s">
        <v>45</v>
      </c>
      <c r="R1835" s="8">
        <v>0</v>
      </c>
      <c r="S1835" s="8">
        <v>2</v>
      </c>
      <c r="T1835" s="8">
        <f t="shared" si="177"/>
        <v>2</v>
      </c>
      <c r="U1835" s="8">
        <v>0</v>
      </c>
      <c r="V1835" s="8">
        <v>0</v>
      </c>
      <c r="W1835" s="8">
        <v>1</v>
      </c>
      <c r="X1835" s="8">
        <v>0</v>
      </c>
      <c r="Y1835" s="8">
        <v>0</v>
      </c>
      <c r="Z1835" s="8">
        <v>0</v>
      </c>
      <c r="AA1835" s="8">
        <v>180</v>
      </c>
      <c r="AB1835" s="9">
        <f t="shared" si="178"/>
        <v>0.16666666666666669</v>
      </c>
      <c r="AC1835" s="10">
        <f t="shared" si="180"/>
        <v>11.999999999999998</v>
      </c>
      <c r="AD1835" s="8" t="s">
        <v>109</v>
      </c>
      <c r="AE1835" s="11">
        <v>49990</v>
      </c>
      <c r="AF1835" s="11">
        <f t="shared" si="181"/>
        <v>99980</v>
      </c>
      <c r="AG1835" s="12" t="s">
        <v>51</v>
      </c>
      <c r="AH1835" s="8" t="s">
        <v>35</v>
      </c>
    </row>
    <row r="1836" spans="1:34">
      <c r="A1836" s="8" t="s">
        <v>2538</v>
      </c>
      <c r="B1836" s="16" t="s">
        <v>661</v>
      </c>
      <c r="C1836" s="8" t="s">
        <v>377</v>
      </c>
      <c r="D1836" s="8" t="s">
        <v>1947</v>
      </c>
      <c r="E1836" s="8" t="str">
        <f t="shared" si="179"/>
        <v>NATURAL/NEGRO</v>
      </c>
      <c r="H1836" s="8" t="str">
        <f>VLOOKUP(A1836,[1]BBDD!$B$1:$J$3274,9,FALSE)</f>
        <v>U</v>
      </c>
      <c r="I1836" s="8" t="s">
        <v>2861</v>
      </c>
      <c r="J1836" s="8" t="s">
        <v>2531</v>
      </c>
      <c r="L1836" s="8" t="s">
        <v>2521</v>
      </c>
      <c r="N1836" s="8" t="s">
        <v>2496</v>
      </c>
      <c r="O1836" s="8" t="s">
        <v>1983</v>
      </c>
      <c r="P1836" s="18" t="s">
        <v>2874</v>
      </c>
      <c r="Q1836" s="8" t="s">
        <v>45</v>
      </c>
      <c r="R1836" s="8">
        <v>7</v>
      </c>
      <c r="S1836" s="8">
        <v>3</v>
      </c>
      <c r="T1836" s="8">
        <f t="shared" si="177"/>
        <v>10</v>
      </c>
      <c r="U1836" s="8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1</v>
      </c>
      <c r="AA1836" s="8">
        <v>180</v>
      </c>
      <c r="AB1836" s="9">
        <f t="shared" si="178"/>
        <v>0.16666666666666669</v>
      </c>
      <c r="AC1836" s="10">
        <f t="shared" si="180"/>
        <v>59.999999999999993</v>
      </c>
      <c r="AD1836" s="8" t="s">
        <v>109</v>
      </c>
      <c r="AE1836" s="11">
        <v>49990</v>
      </c>
      <c r="AF1836" s="11">
        <f t="shared" si="181"/>
        <v>499900</v>
      </c>
      <c r="AG1836" s="12" t="s">
        <v>73</v>
      </c>
      <c r="AH1836" s="8" t="s">
        <v>35</v>
      </c>
    </row>
    <row r="1837" spans="1:34">
      <c r="A1837" s="8" t="s">
        <v>2539</v>
      </c>
      <c r="B1837" s="16" t="s">
        <v>661</v>
      </c>
      <c r="C1837" s="8" t="s">
        <v>377</v>
      </c>
      <c r="D1837" s="8" t="s">
        <v>1947</v>
      </c>
      <c r="E1837" s="8" t="str">
        <f t="shared" si="179"/>
        <v>NATURAL/NEGRO</v>
      </c>
      <c r="H1837" s="8" t="str">
        <f>VLOOKUP(A1837,[1]BBDD!$B$1:$J$3274,9,FALSE)</f>
        <v>U</v>
      </c>
      <c r="I1837" s="8" t="s">
        <v>2861</v>
      </c>
      <c r="J1837" s="8" t="s">
        <v>2531</v>
      </c>
      <c r="L1837" s="8" t="s">
        <v>2521</v>
      </c>
      <c r="N1837" s="8" t="s">
        <v>2496</v>
      </c>
      <c r="O1837" s="8" t="s">
        <v>1983</v>
      </c>
      <c r="P1837" s="18" t="s">
        <v>2862</v>
      </c>
      <c r="Q1837" s="8" t="s">
        <v>45</v>
      </c>
      <c r="R1837" s="8">
        <v>3</v>
      </c>
      <c r="S1837" s="8">
        <v>3</v>
      </c>
      <c r="T1837" s="8">
        <f t="shared" si="177"/>
        <v>6</v>
      </c>
      <c r="U1837" s="8">
        <v>1</v>
      </c>
      <c r="V1837" s="8">
        <v>0</v>
      </c>
      <c r="W1837" s="8">
        <v>0</v>
      </c>
      <c r="X1837" s="8">
        <v>0</v>
      </c>
      <c r="Y1837" s="8">
        <v>0</v>
      </c>
      <c r="Z1837" s="8">
        <v>1</v>
      </c>
      <c r="AA1837" s="8">
        <v>180</v>
      </c>
      <c r="AB1837" s="9">
        <f t="shared" si="178"/>
        <v>0.33333333333333337</v>
      </c>
      <c r="AC1837" s="10">
        <f t="shared" si="180"/>
        <v>17.999999999999996</v>
      </c>
      <c r="AD1837" s="8" t="s">
        <v>109</v>
      </c>
      <c r="AE1837" s="11">
        <v>49990</v>
      </c>
      <c r="AF1837" s="11">
        <f t="shared" si="181"/>
        <v>299940</v>
      </c>
      <c r="AG1837" s="12" t="s">
        <v>64</v>
      </c>
      <c r="AH1837" s="8" t="s">
        <v>35</v>
      </c>
    </row>
    <row r="1838" spans="1:34">
      <c r="A1838" s="8" t="s">
        <v>2540</v>
      </c>
      <c r="B1838" s="16" t="s">
        <v>661</v>
      </c>
      <c r="C1838" s="8" t="s">
        <v>377</v>
      </c>
      <c r="D1838" s="8" t="s">
        <v>1947</v>
      </c>
      <c r="E1838" s="8" t="str">
        <f t="shared" si="179"/>
        <v>NATURAL/NEGRO</v>
      </c>
      <c r="H1838" s="8" t="str">
        <f>VLOOKUP(A1838,[1]BBDD!$B$1:$J$3274,9,FALSE)</f>
        <v>U</v>
      </c>
      <c r="I1838" s="8" t="s">
        <v>2861</v>
      </c>
      <c r="J1838" s="8" t="s">
        <v>2531</v>
      </c>
      <c r="L1838" s="8" t="s">
        <v>2521</v>
      </c>
      <c r="N1838" s="8" t="s">
        <v>2496</v>
      </c>
      <c r="O1838" s="8" t="s">
        <v>1983</v>
      </c>
      <c r="P1838" s="18" t="s">
        <v>2873</v>
      </c>
      <c r="Q1838" s="8" t="s">
        <v>45</v>
      </c>
      <c r="R1838" s="8">
        <v>1</v>
      </c>
      <c r="S1838" s="8">
        <v>3</v>
      </c>
      <c r="T1838" s="8">
        <f t="shared" ref="T1838:T1901" si="184">SUM(R1838:S1838)</f>
        <v>4</v>
      </c>
      <c r="U1838" s="8">
        <v>0</v>
      </c>
      <c r="V1838" s="8">
        <v>1</v>
      </c>
      <c r="W1838" s="8">
        <v>1</v>
      </c>
      <c r="X1838" s="8">
        <v>0</v>
      </c>
      <c r="Y1838" s="8">
        <v>0</v>
      </c>
      <c r="Z1838" s="8">
        <v>0</v>
      </c>
      <c r="AA1838" s="8">
        <v>180</v>
      </c>
      <c r="AB1838" s="9">
        <f t="shared" ref="AB1838:AB1901" si="185">SUM(U1838:Z1838)/AA1838*30</f>
        <v>0.33333333333333337</v>
      </c>
      <c r="AC1838" s="10">
        <f t="shared" si="180"/>
        <v>11.999999999999998</v>
      </c>
      <c r="AD1838" s="8" t="s">
        <v>109</v>
      </c>
      <c r="AE1838" s="11">
        <v>49990</v>
      </c>
      <c r="AF1838" s="11">
        <f t="shared" si="181"/>
        <v>199960</v>
      </c>
      <c r="AG1838" s="12" t="s">
        <v>51</v>
      </c>
      <c r="AH1838" s="8" t="s">
        <v>35</v>
      </c>
    </row>
    <row r="1839" spans="1:34">
      <c r="A1839" s="8" t="s">
        <v>2541</v>
      </c>
      <c r="B1839" s="16" t="s">
        <v>661</v>
      </c>
      <c r="C1839" s="8" t="s">
        <v>377</v>
      </c>
      <c r="D1839" s="8" t="s">
        <v>1947</v>
      </c>
      <c r="E1839" s="8" t="str">
        <f t="shared" si="179"/>
        <v>NATURAL/NEGRO</v>
      </c>
      <c r="H1839" s="8" t="str">
        <f>VLOOKUP(A1839,[1]BBDD!$B$1:$J$3274,9,FALSE)</f>
        <v>U</v>
      </c>
      <c r="I1839" s="8" t="s">
        <v>2861</v>
      </c>
      <c r="J1839" s="8" t="s">
        <v>2531</v>
      </c>
      <c r="L1839" s="8" t="s">
        <v>2521</v>
      </c>
      <c r="N1839" s="8" t="s">
        <v>2496</v>
      </c>
      <c r="O1839" s="8" t="s">
        <v>1983</v>
      </c>
      <c r="P1839" s="18" t="s">
        <v>2875</v>
      </c>
      <c r="Q1839" s="8" t="s">
        <v>45</v>
      </c>
      <c r="R1839" s="8">
        <v>3</v>
      </c>
      <c r="S1839" s="8">
        <v>3</v>
      </c>
      <c r="T1839" s="8">
        <f t="shared" si="184"/>
        <v>6</v>
      </c>
      <c r="U1839" s="8">
        <v>0</v>
      </c>
      <c r="V1839" s="8">
        <v>0</v>
      </c>
      <c r="W1839" s="8">
        <v>0</v>
      </c>
      <c r="X1839" s="8">
        <v>0</v>
      </c>
      <c r="Y1839" s="8">
        <v>0</v>
      </c>
      <c r="Z1839" s="8">
        <v>0</v>
      </c>
      <c r="AA1839" s="8">
        <v>180</v>
      </c>
      <c r="AB1839" s="9">
        <f t="shared" si="185"/>
        <v>0</v>
      </c>
      <c r="AC1839" s="10" t="str">
        <f t="shared" si="180"/>
        <v>sin venta</v>
      </c>
      <c r="AD1839" s="8" t="s">
        <v>109</v>
      </c>
      <c r="AE1839" s="11">
        <v>49990</v>
      </c>
      <c r="AF1839" s="11">
        <f t="shared" si="181"/>
        <v>299940</v>
      </c>
      <c r="AG1839" s="12" t="s">
        <v>73</v>
      </c>
      <c r="AH1839" s="8" t="s">
        <v>35</v>
      </c>
    </row>
    <row r="1840" spans="1:34">
      <c r="A1840" s="8" t="s">
        <v>2542</v>
      </c>
      <c r="B1840" s="16" t="s">
        <v>661</v>
      </c>
      <c r="C1840" s="8" t="s">
        <v>377</v>
      </c>
      <c r="D1840" s="8" t="s">
        <v>1947</v>
      </c>
      <c r="E1840" s="8" t="str">
        <f t="shared" si="179"/>
        <v>NATURAL/NEGRO</v>
      </c>
      <c r="H1840" s="8" t="str">
        <f>VLOOKUP(A1840,[1]BBDD!$B$1:$J$3274,9,FALSE)</f>
        <v>U</v>
      </c>
      <c r="I1840" s="8" t="s">
        <v>2861</v>
      </c>
      <c r="J1840" s="8" t="s">
        <v>2531</v>
      </c>
      <c r="L1840" s="8" t="s">
        <v>2521</v>
      </c>
      <c r="N1840" s="8" t="s">
        <v>2496</v>
      </c>
      <c r="O1840" s="8" t="s">
        <v>1983</v>
      </c>
      <c r="P1840" s="18" t="s">
        <v>2878</v>
      </c>
      <c r="Q1840" s="8" t="s">
        <v>45</v>
      </c>
      <c r="R1840" s="8">
        <v>2</v>
      </c>
      <c r="S1840" s="8">
        <v>3</v>
      </c>
      <c r="T1840" s="8">
        <f t="shared" si="184"/>
        <v>5</v>
      </c>
      <c r="U1840" s="8">
        <v>0</v>
      </c>
      <c r="V1840" s="8">
        <v>0</v>
      </c>
      <c r="W1840" s="8">
        <v>0</v>
      </c>
      <c r="X1840" s="8">
        <v>0</v>
      </c>
      <c r="Y1840" s="8">
        <v>0</v>
      </c>
      <c r="Z1840" s="8">
        <v>0</v>
      </c>
      <c r="AA1840" s="8">
        <v>180</v>
      </c>
      <c r="AB1840" s="9">
        <f t="shared" si="185"/>
        <v>0</v>
      </c>
      <c r="AC1840" s="10" t="str">
        <f t="shared" si="180"/>
        <v>sin venta</v>
      </c>
      <c r="AD1840" s="8" t="s">
        <v>109</v>
      </c>
      <c r="AE1840" s="11">
        <v>49990</v>
      </c>
      <c r="AF1840" s="11">
        <f t="shared" si="181"/>
        <v>249950</v>
      </c>
      <c r="AG1840" s="12" t="s">
        <v>73</v>
      </c>
      <c r="AH1840" s="8" t="s">
        <v>35</v>
      </c>
    </row>
    <row r="1841" spans="1:34">
      <c r="A1841" s="8" t="s">
        <v>2543</v>
      </c>
      <c r="B1841" s="16" t="s">
        <v>661</v>
      </c>
      <c r="C1841" s="8" t="s">
        <v>377</v>
      </c>
      <c r="D1841" s="8" t="s">
        <v>1947</v>
      </c>
      <c r="E1841" s="8" t="str">
        <f t="shared" si="179"/>
        <v>NATURAL/NEGRO</v>
      </c>
      <c r="H1841" s="8" t="str">
        <f>VLOOKUP(A1841,[1]BBDD!$B$1:$J$3274,9,FALSE)</f>
        <v>U</v>
      </c>
      <c r="I1841" s="8" t="s">
        <v>2861</v>
      </c>
      <c r="J1841" s="8" t="s">
        <v>2531</v>
      </c>
      <c r="L1841" s="8" t="s">
        <v>2521</v>
      </c>
      <c r="N1841" s="8" t="s">
        <v>2496</v>
      </c>
      <c r="O1841" s="8" t="s">
        <v>1983</v>
      </c>
      <c r="P1841" s="18" t="s">
        <v>2876</v>
      </c>
      <c r="Q1841" s="8" t="s">
        <v>45</v>
      </c>
      <c r="R1841" s="8">
        <v>0</v>
      </c>
      <c r="S1841" s="8">
        <v>3</v>
      </c>
      <c r="T1841" s="8">
        <f t="shared" si="184"/>
        <v>3</v>
      </c>
      <c r="U1841" s="8">
        <v>0</v>
      </c>
      <c r="V1841" s="8">
        <v>0</v>
      </c>
      <c r="W1841" s="8">
        <v>1</v>
      </c>
      <c r="X1841" s="8">
        <v>0</v>
      </c>
      <c r="Y1841" s="8">
        <v>0</v>
      </c>
      <c r="Z1841" s="8">
        <v>0</v>
      </c>
      <c r="AA1841" s="8">
        <v>180</v>
      </c>
      <c r="AB1841" s="9">
        <f t="shared" si="185"/>
        <v>0.16666666666666669</v>
      </c>
      <c r="AC1841" s="10">
        <f t="shared" si="180"/>
        <v>17.999999999999996</v>
      </c>
      <c r="AD1841" s="8" t="s">
        <v>109</v>
      </c>
      <c r="AE1841" s="11">
        <v>49990</v>
      </c>
      <c r="AF1841" s="11">
        <f t="shared" si="181"/>
        <v>149970</v>
      </c>
      <c r="AG1841" s="12" t="s">
        <v>64</v>
      </c>
      <c r="AH1841" s="8" t="s">
        <v>35</v>
      </c>
    </row>
    <row r="1842" spans="1:34">
      <c r="A1842" s="8" t="s">
        <v>2544</v>
      </c>
      <c r="B1842" s="16" t="s">
        <v>661</v>
      </c>
      <c r="C1842" s="8" t="s">
        <v>377</v>
      </c>
      <c r="D1842" s="8" t="s">
        <v>1947</v>
      </c>
      <c r="E1842" s="8" t="str">
        <f t="shared" si="179"/>
        <v>TOSTADO/BLANCO</v>
      </c>
      <c r="H1842" s="8" t="str">
        <f>VLOOKUP(A1842,[1]BBDD!$B$1:$J$3274,9,FALSE)</f>
        <v>U</v>
      </c>
      <c r="I1842" s="8" t="s">
        <v>2861</v>
      </c>
      <c r="J1842" s="8" t="s">
        <v>2531</v>
      </c>
      <c r="L1842" s="8" t="s">
        <v>2521</v>
      </c>
      <c r="N1842" s="8" t="s">
        <v>2545</v>
      </c>
      <c r="O1842" s="8" t="s">
        <v>513</v>
      </c>
      <c r="P1842" s="18" t="str">
        <f t="shared" si="183"/>
        <v>L</v>
      </c>
      <c r="Q1842" s="8" t="s">
        <v>45</v>
      </c>
      <c r="R1842" s="8">
        <v>3</v>
      </c>
      <c r="S1842" s="8">
        <v>2</v>
      </c>
      <c r="T1842" s="8">
        <f t="shared" si="184"/>
        <v>5</v>
      </c>
      <c r="U1842" s="8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8">
        <v>180</v>
      </c>
      <c r="AB1842" s="9">
        <f t="shared" si="185"/>
        <v>0</v>
      </c>
      <c r="AC1842" s="10" t="str">
        <f t="shared" si="180"/>
        <v>sin venta</v>
      </c>
      <c r="AD1842" s="8" t="s">
        <v>109</v>
      </c>
      <c r="AE1842" s="11">
        <v>49990</v>
      </c>
      <c r="AF1842" s="11">
        <f t="shared" si="181"/>
        <v>249950</v>
      </c>
      <c r="AG1842" s="12" t="s">
        <v>73</v>
      </c>
      <c r="AH1842" s="8" t="s">
        <v>35</v>
      </c>
    </row>
    <row r="1843" spans="1:34">
      <c r="A1843" s="8" t="s">
        <v>2546</v>
      </c>
      <c r="B1843" s="16" t="s">
        <v>661</v>
      </c>
      <c r="C1843" s="8" t="s">
        <v>377</v>
      </c>
      <c r="D1843" s="8" t="s">
        <v>1947</v>
      </c>
      <c r="E1843" s="8" t="str">
        <f t="shared" si="179"/>
        <v>TOSTADO/BLANCO</v>
      </c>
      <c r="H1843" s="8" t="str">
        <f>VLOOKUP(A1843,[1]BBDD!$B$1:$J$3274,9,FALSE)</f>
        <v>U</v>
      </c>
      <c r="I1843" s="8" t="s">
        <v>2861</v>
      </c>
      <c r="J1843" s="8" t="s">
        <v>2531</v>
      </c>
      <c r="L1843" s="8" t="s">
        <v>2521</v>
      </c>
      <c r="N1843" s="8" t="s">
        <v>2545</v>
      </c>
      <c r="O1843" s="8" t="s">
        <v>513</v>
      </c>
      <c r="P1843" s="18" t="str">
        <f t="shared" si="183"/>
        <v>M</v>
      </c>
      <c r="Q1843" s="8" t="s">
        <v>45</v>
      </c>
      <c r="R1843" s="8">
        <v>2</v>
      </c>
      <c r="S1843" s="8">
        <v>2</v>
      </c>
      <c r="T1843" s="8">
        <f t="shared" si="184"/>
        <v>4</v>
      </c>
      <c r="U1843" s="8">
        <v>0</v>
      </c>
      <c r="V1843" s="8">
        <v>0</v>
      </c>
      <c r="W1843" s="8">
        <v>0</v>
      </c>
      <c r="X1843" s="8">
        <v>0</v>
      </c>
      <c r="Y1843" s="8">
        <v>0</v>
      </c>
      <c r="Z1843" s="8">
        <v>0</v>
      </c>
      <c r="AA1843" s="8">
        <v>180</v>
      </c>
      <c r="AB1843" s="9">
        <f t="shared" si="185"/>
        <v>0</v>
      </c>
      <c r="AC1843" s="10" t="str">
        <f t="shared" si="180"/>
        <v>sin venta</v>
      </c>
      <c r="AD1843" s="8" t="s">
        <v>109</v>
      </c>
      <c r="AE1843" s="11">
        <v>49990</v>
      </c>
      <c r="AF1843" s="11">
        <f t="shared" si="181"/>
        <v>199960</v>
      </c>
      <c r="AG1843" s="12" t="s">
        <v>73</v>
      </c>
      <c r="AH1843" s="8" t="s">
        <v>35</v>
      </c>
    </row>
    <row r="1844" spans="1:34">
      <c r="A1844" s="8" t="s">
        <v>2547</v>
      </c>
      <c r="B1844" s="16" t="s">
        <v>661</v>
      </c>
      <c r="C1844" s="8" t="s">
        <v>377</v>
      </c>
      <c r="D1844" s="8" t="s">
        <v>1947</v>
      </c>
      <c r="E1844" s="8" t="str">
        <f t="shared" si="179"/>
        <v>TOSTADO/BLANCO</v>
      </c>
      <c r="H1844" s="8" t="str">
        <f>VLOOKUP(A1844,[1]BBDD!$B$1:$J$3274,9,FALSE)</f>
        <v>U</v>
      </c>
      <c r="I1844" s="8" t="s">
        <v>2861</v>
      </c>
      <c r="J1844" s="8" t="s">
        <v>2531</v>
      </c>
      <c r="L1844" s="8" t="s">
        <v>2521</v>
      </c>
      <c r="N1844" s="8" t="s">
        <v>2545</v>
      </c>
      <c r="O1844" s="8" t="s">
        <v>513</v>
      </c>
      <c r="P1844" s="18" t="str">
        <f t="shared" si="183"/>
        <v>S</v>
      </c>
      <c r="Q1844" s="8" t="s">
        <v>45</v>
      </c>
      <c r="R1844" s="8">
        <v>3</v>
      </c>
      <c r="S1844" s="8">
        <v>3</v>
      </c>
      <c r="T1844" s="8">
        <f t="shared" si="184"/>
        <v>6</v>
      </c>
      <c r="U1844" s="8">
        <v>1</v>
      </c>
      <c r="V1844" s="8">
        <v>1</v>
      </c>
      <c r="W1844" s="8">
        <v>0</v>
      </c>
      <c r="X1844" s="8">
        <v>0</v>
      </c>
      <c r="Y1844" s="8">
        <v>0</v>
      </c>
      <c r="Z1844" s="8">
        <v>0</v>
      </c>
      <c r="AA1844" s="8">
        <v>180</v>
      </c>
      <c r="AB1844" s="9">
        <f t="shared" si="185"/>
        <v>0.33333333333333337</v>
      </c>
      <c r="AC1844" s="10">
        <f t="shared" si="180"/>
        <v>17.999999999999996</v>
      </c>
      <c r="AD1844" s="8" t="s">
        <v>109</v>
      </c>
      <c r="AE1844" s="11">
        <v>49990</v>
      </c>
      <c r="AF1844" s="11">
        <f t="shared" si="181"/>
        <v>299940</v>
      </c>
      <c r="AG1844" s="12" t="s">
        <v>64</v>
      </c>
      <c r="AH1844" s="8" t="s">
        <v>35</v>
      </c>
    </row>
    <row r="1845" spans="1:34">
      <c r="A1845" s="8" t="s">
        <v>2548</v>
      </c>
      <c r="B1845" s="16" t="s">
        <v>661</v>
      </c>
      <c r="C1845" s="8" t="s">
        <v>377</v>
      </c>
      <c r="D1845" s="8" t="s">
        <v>1947</v>
      </c>
      <c r="E1845" s="8" t="str">
        <f t="shared" si="179"/>
        <v>TOSTADO/BLANCO</v>
      </c>
      <c r="H1845" s="8" t="str">
        <f>VLOOKUP(A1845,[1]BBDD!$B$1:$J$3274,9,FALSE)</f>
        <v>U</v>
      </c>
      <c r="I1845" s="8" t="s">
        <v>2861</v>
      </c>
      <c r="J1845" s="8" t="s">
        <v>2531</v>
      </c>
      <c r="L1845" s="8" t="s">
        <v>2521</v>
      </c>
      <c r="N1845" s="8" t="s">
        <v>2545</v>
      </c>
      <c r="O1845" s="8" t="s">
        <v>513</v>
      </c>
      <c r="P1845" s="18" t="str">
        <f t="shared" si="183"/>
        <v>XL</v>
      </c>
      <c r="Q1845" s="8" t="s">
        <v>45</v>
      </c>
      <c r="R1845" s="8">
        <v>1</v>
      </c>
      <c r="S1845" s="8">
        <v>3</v>
      </c>
      <c r="T1845" s="8">
        <f t="shared" si="184"/>
        <v>4</v>
      </c>
      <c r="U1845" s="8">
        <v>0</v>
      </c>
      <c r="V1845" s="8">
        <v>0</v>
      </c>
      <c r="W1845" s="8">
        <v>0</v>
      </c>
      <c r="X1845" s="8">
        <v>1</v>
      </c>
      <c r="Y1845" s="8">
        <v>0</v>
      </c>
      <c r="Z1845" s="8">
        <v>0</v>
      </c>
      <c r="AA1845" s="8">
        <v>180</v>
      </c>
      <c r="AB1845" s="9">
        <f t="shared" si="185"/>
        <v>0.16666666666666669</v>
      </c>
      <c r="AC1845" s="10">
        <f t="shared" si="180"/>
        <v>23.999999999999996</v>
      </c>
      <c r="AD1845" s="8" t="s">
        <v>109</v>
      </c>
      <c r="AE1845" s="11">
        <v>49990</v>
      </c>
      <c r="AF1845" s="11">
        <f t="shared" si="181"/>
        <v>199960</v>
      </c>
      <c r="AG1845" s="12" t="s">
        <v>64</v>
      </c>
      <c r="AH1845" s="8" t="s">
        <v>35</v>
      </c>
    </row>
    <row r="1846" spans="1:34">
      <c r="A1846" s="8" t="s">
        <v>2549</v>
      </c>
      <c r="B1846" s="16" t="s">
        <v>661</v>
      </c>
      <c r="C1846" s="8" t="s">
        <v>377</v>
      </c>
      <c r="D1846" s="8" t="s">
        <v>1947</v>
      </c>
      <c r="E1846" s="8" t="str">
        <f t="shared" si="179"/>
        <v>TOSTADO/BLANCO</v>
      </c>
      <c r="H1846" s="8" t="str">
        <f>VLOOKUP(A1846,[1]BBDD!$B$1:$J$3274,9,FALSE)</f>
        <v>U</v>
      </c>
      <c r="I1846" s="8" t="s">
        <v>2861</v>
      </c>
      <c r="J1846" s="8" t="s">
        <v>2531</v>
      </c>
      <c r="L1846" s="8" t="s">
        <v>2521</v>
      </c>
      <c r="N1846" s="8" t="s">
        <v>2545</v>
      </c>
      <c r="O1846" s="8" t="s">
        <v>513</v>
      </c>
      <c r="P1846" s="18" t="str">
        <f t="shared" si="183"/>
        <v>XS</v>
      </c>
      <c r="Q1846" s="8" t="s">
        <v>45</v>
      </c>
      <c r="R1846" s="8">
        <v>0</v>
      </c>
      <c r="S1846" s="8">
        <v>2</v>
      </c>
      <c r="T1846" s="8">
        <f t="shared" si="184"/>
        <v>2</v>
      </c>
      <c r="U1846" s="8">
        <v>1</v>
      </c>
      <c r="V1846" s="8">
        <v>1</v>
      </c>
      <c r="W1846" s="8">
        <v>0</v>
      </c>
      <c r="X1846" s="8">
        <v>0</v>
      </c>
      <c r="Y1846" s="8">
        <v>0</v>
      </c>
      <c r="Z1846" s="8">
        <v>0</v>
      </c>
      <c r="AA1846" s="8">
        <v>180</v>
      </c>
      <c r="AB1846" s="9">
        <f t="shared" si="185"/>
        <v>0.33333333333333337</v>
      </c>
      <c r="AC1846" s="10">
        <f t="shared" si="180"/>
        <v>5.9999999999999991</v>
      </c>
      <c r="AD1846" s="8" t="s">
        <v>109</v>
      </c>
      <c r="AE1846" s="11">
        <v>49990</v>
      </c>
      <c r="AF1846" s="11">
        <f t="shared" si="181"/>
        <v>99980</v>
      </c>
      <c r="AG1846" s="12" t="s">
        <v>34</v>
      </c>
      <c r="AH1846" s="8" t="s">
        <v>35</v>
      </c>
    </row>
    <row r="1847" spans="1:34">
      <c r="A1847" s="8" t="s">
        <v>2550</v>
      </c>
      <c r="B1847" s="16" t="s">
        <v>661</v>
      </c>
      <c r="C1847" s="8" t="s">
        <v>377</v>
      </c>
      <c r="D1847" s="8" t="s">
        <v>1947</v>
      </c>
      <c r="E1847" s="8" t="str">
        <f t="shared" si="179"/>
        <v>TOSTADO/BLANCO</v>
      </c>
      <c r="H1847" s="8" t="str">
        <f>VLOOKUP(A1847,[1]BBDD!$B$1:$J$3274,9,FALSE)</f>
        <v>U</v>
      </c>
      <c r="I1847" s="8" t="s">
        <v>2861</v>
      </c>
      <c r="J1847" s="8" t="s">
        <v>2531</v>
      </c>
      <c r="L1847" s="8" t="s">
        <v>2521</v>
      </c>
      <c r="N1847" s="8" t="s">
        <v>2545</v>
      </c>
      <c r="O1847" s="8" t="s">
        <v>513</v>
      </c>
      <c r="P1847" s="18" t="str">
        <f t="shared" si="183"/>
        <v>XXL</v>
      </c>
      <c r="Q1847" s="8" t="s">
        <v>45</v>
      </c>
      <c r="R1847" s="8">
        <v>2</v>
      </c>
      <c r="S1847" s="8">
        <v>1</v>
      </c>
      <c r="T1847" s="8">
        <f t="shared" si="184"/>
        <v>3</v>
      </c>
      <c r="U1847" s="8">
        <v>0</v>
      </c>
      <c r="V1847" s="8">
        <v>0</v>
      </c>
      <c r="W1847" s="8">
        <v>0</v>
      </c>
      <c r="X1847" s="8">
        <v>0</v>
      </c>
      <c r="Y1847" s="8">
        <v>1</v>
      </c>
      <c r="Z1847" s="8">
        <v>0</v>
      </c>
      <c r="AA1847" s="8">
        <v>180</v>
      </c>
      <c r="AB1847" s="9">
        <f t="shared" si="185"/>
        <v>0.16666666666666669</v>
      </c>
      <c r="AC1847" s="10">
        <f t="shared" si="180"/>
        <v>17.999999999999996</v>
      </c>
      <c r="AD1847" s="8" t="s">
        <v>109</v>
      </c>
      <c r="AE1847" s="11">
        <v>49990</v>
      </c>
      <c r="AF1847" s="11">
        <f t="shared" si="181"/>
        <v>149970</v>
      </c>
      <c r="AG1847" s="12" t="s">
        <v>64</v>
      </c>
      <c r="AH1847" s="8" t="s">
        <v>35</v>
      </c>
    </row>
    <row r="1848" spans="1:34">
      <c r="A1848" s="8" t="s">
        <v>2551</v>
      </c>
      <c r="B1848" s="16" t="s">
        <v>661</v>
      </c>
      <c r="C1848" s="8" t="s">
        <v>377</v>
      </c>
      <c r="D1848" s="8" t="s">
        <v>1947</v>
      </c>
      <c r="E1848" s="8" t="str">
        <f t="shared" si="179"/>
        <v>TOSTADO/CHOCOLATE</v>
      </c>
      <c r="H1848" s="8" t="str">
        <f>VLOOKUP(A1848,[1]BBDD!$B$1:$J$3274,9,FALSE)</f>
        <v>U</v>
      </c>
      <c r="I1848" s="8" t="s">
        <v>2861</v>
      </c>
      <c r="J1848" s="8" t="s">
        <v>2531</v>
      </c>
      <c r="L1848" s="8" t="s">
        <v>2521</v>
      </c>
      <c r="N1848" s="8" t="s">
        <v>2503</v>
      </c>
      <c r="O1848" s="8" t="s">
        <v>513</v>
      </c>
      <c r="P1848" s="18" t="s">
        <v>2874</v>
      </c>
      <c r="Q1848" s="8" t="s">
        <v>45</v>
      </c>
      <c r="R1848" s="8">
        <v>2</v>
      </c>
      <c r="S1848" s="8">
        <v>3</v>
      </c>
      <c r="T1848" s="8">
        <f t="shared" si="184"/>
        <v>5</v>
      </c>
      <c r="U1848" s="8">
        <v>2</v>
      </c>
      <c r="V1848" s="8">
        <v>0</v>
      </c>
      <c r="W1848" s="8">
        <v>1</v>
      </c>
      <c r="X1848" s="8">
        <v>0</v>
      </c>
      <c r="Y1848" s="8">
        <v>0</v>
      </c>
      <c r="Z1848" s="8">
        <v>1</v>
      </c>
      <c r="AA1848" s="8">
        <v>180</v>
      </c>
      <c r="AB1848" s="9">
        <f t="shared" si="185"/>
        <v>0.66666666666666674</v>
      </c>
      <c r="AC1848" s="10">
        <f t="shared" si="180"/>
        <v>7.4999999999999991</v>
      </c>
      <c r="AD1848" s="8" t="s">
        <v>109</v>
      </c>
      <c r="AE1848" s="11">
        <v>49990</v>
      </c>
      <c r="AF1848" s="11">
        <f t="shared" si="181"/>
        <v>249950</v>
      </c>
      <c r="AG1848" s="12" t="s">
        <v>51</v>
      </c>
      <c r="AH1848" s="8" t="s">
        <v>35</v>
      </c>
    </row>
    <row r="1849" spans="1:34">
      <c r="A1849" s="8" t="s">
        <v>2552</v>
      </c>
      <c r="B1849" s="16" t="s">
        <v>661</v>
      </c>
      <c r="C1849" s="8" t="s">
        <v>377</v>
      </c>
      <c r="D1849" s="8" t="s">
        <v>1947</v>
      </c>
      <c r="E1849" s="8" t="str">
        <f t="shared" si="179"/>
        <v>TOSTADO/CHOCOLATE</v>
      </c>
      <c r="H1849" s="8" t="str">
        <f>VLOOKUP(A1849,[1]BBDD!$B$1:$J$3274,9,FALSE)</f>
        <v>U</v>
      </c>
      <c r="I1849" s="8" t="s">
        <v>2861</v>
      </c>
      <c r="J1849" s="8" t="s">
        <v>2531</v>
      </c>
      <c r="L1849" s="8" t="s">
        <v>2521</v>
      </c>
      <c r="N1849" s="8" t="s">
        <v>2503</v>
      </c>
      <c r="O1849" s="8" t="s">
        <v>513</v>
      </c>
      <c r="P1849" s="18" t="s">
        <v>2862</v>
      </c>
      <c r="Q1849" s="8" t="s">
        <v>45</v>
      </c>
      <c r="R1849" s="8">
        <v>0</v>
      </c>
      <c r="S1849" s="8">
        <v>2</v>
      </c>
      <c r="T1849" s="8">
        <f t="shared" si="184"/>
        <v>2</v>
      </c>
      <c r="U1849" s="8">
        <v>0</v>
      </c>
      <c r="V1849" s="8">
        <v>0</v>
      </c>
      <c r="W1849" s="8">
        <v>1</v>
      </c>
      <c r="X1849" s="8">
        <v>0</v>
      </c>
      <c r="Y1849" s="8">
        <v>0</v>
      </c>
      <c r="Z1849" s="8">
        <v>0</v>
      </c>
      <c r="AA1849" s="8">
        <v>180</v>
      </c>
      <c r="AB1849" s="9">
        <f t="shared" si="185"/>
        <v>0.16666666666666669</v>
      </c>
      <c r="AC1849" s="10">
        <f t="shared" si="180"/>
        <v>11.999999999999998</v>
      </c>
      <c r="AD1849" s="8" t="s">
        <v>109</v>
      </c>
      <c r="AE1849" s="11">
        <v>49990</v>
      </c>
      <c r="AF1849" s="11">
        <f t="shared" si="181"/>
        <v>99980</v>
      </c>
      <c r="AG1849" s="12" t="s">
        <v>51</v>
      </c>
      <c r="AH1849" s="8" t="s">
        <v>35</v>
      </c>
    </row>
    <row r="1850" spans="1:34">
      <c r="A1850" s="8" t="s">
        <v>2553</v>
      </c>
      <c r="B1850" s="16" t="s">
        <v>661</v>
      </c>
      <c r="C1850" s="8" t="s">
        <v>377</v>
      </c>
      <c r="D1850" s="8" t="s">
        <v>1947</v>
      </c>
      <c r="E1850" s="8" t="str">
        <f t="shared" si="179"/>
        <v>TOSTADO/CHOCOLATE</v>
      </c>
      <c r="H1850" s="8" t="str">
        <f>VLOOKUP(A1850,[1]BBDD!$B$1:$J$3274,9,FALSE)</f>
        <v>U</v>
      </c>
      <c r="I1850" s="8" t="s">
        <v>2861</v>
      </c>
      <c r="J1850" s="8" t="s">
        <v>2531</v>
      </c>
      <c r="L1850" s="8" t="s">
        <v>2521</v>
      </c>
      <c r="N1850" s="8" t="s">
        <v>2503</v>
      </c>
      <c r="O1850" s="8" t="s">
        <v>513</v>
      </c>
      <c r="P1850" s="18" t="s">
        <v>2873</v>
      </c>
      <c r="Q1850" s="8" t="s">
        <v>45</v>
      </c>
      <c r="R1850" s="8">
        <v>1</v>
      </c>
      <c r="S1850" s="8">
        <v>3</v>
      </c>
      <c r="T1850" s="8">
        <f t="shared" si="184"/>
        <v>4</v>
      </c>
      <c r="U1850" s="8">
        <v>1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180</v>
      </c>
      <c r="AB1850" s="9">
        <f t="shared" si="185"/>
        <v>0.16666666666666669</v>
      </c>
      <c r="AC1850" s="10">
        <f t="shared" si="180"/>
        <v>23.999999999999996</v>
      </c>
      <c r="AD1850" s="8" t="s">
        <v>109</v>
      </c>
      <c r="AE1850" s="11">
        <v>49990</v>
      </c>
      <c r="AF1850" s="11">
        <f t="shared" si="181"/>
        <v>199960</v>
      </c>
      <c r="AG1850" s="12" t="s">
        <v>64</v>
      </c>
      <c r="AH1850" s="8" t="s">
        <v>35</v>
      </c>
    </row>
    <row r="1851" spans="1:34">
      <c r="A1851" s="8" t="s">
        <v>2554</v>
      </c>
      <c r="B1851" s="16" t="s">
        <v>661</v>
      </c>
      <c r="C1851" s="8" t="s">
        <v>377</v>
      </c>
      <c r="D1851" s="8" t="s">
        <v>1947</v>
      </c>
      <c r="E1851" s="8" t="str">
        <f t="shared" si="179"/>
        <v>TOSTADO/CHOCOLATE</v>
      </c>
      <c r="H1851" s="8" t="str">
        <f>VLOOKUP(A1851,[1]BBDD!$B$1:$J$3274,9,FALSE)</f>
        <v>U</v>
      </c>
      <c r="I1851" s="8" t="s">
        <v>2861</v>
      </c>
      <c r="J1851" s="8" t="s">
        <v>2531</v>
      </c>
      <c r="L1851" s="8" t="s">
        <v>2521</v>
      </c>
      <c r="N1851" s="8" t="s">
        <v>2503</v>
      </c>
      <c r="O1851" s="8" t="s">
        <v>513</v>
      </c>
      <c r="P1851" s="18" t="s">
        <v>2875</v>
      </c>
      <c r="Q1851" s="8" t="s">
        <v>45</v>
      </c>
      <c r="R1851" s="8">
        <v>0</v>
      </c>
      <c r="S1851" s="8">
        <v>3</v>
      </c>
      <c r="T1851" s="8">
        <f t="shared" si="184"/>
        <v>3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180</v>
      </c>
      <c r="AB1851" s="9">
        <f t="shared" si="185"/>
        <v>0</v>
      </c>
      <c r="AC1851" s="10" t="str">
        <f t="shared" si="180"/>
        <v>sin venta</v>
      </c>
      <c r="AD1851" s="8" t="s">
        <v>109</v>
      </c>
      <c r="AE1851" s="11">
        <v>49990</v>
      </c>
      <c r="AF1851" s="11">
        <f t="shared" si="181"/>
        <v>149970</v>
      </c>
      <c r="AG1851" s="12" t="s">
        <v>73</v>
      </c>
      <c r="AH1851" s="8" t="s">
        <v>35</v>
      </c>
    </row>
    <row r="1852" spans="1:34">
      <c r="A1852" s="8" t="s">
        <v>2555</v>
      </c>
      <c r="B1852" s="16" t="s">
        <v>661</v>
      </c>
      <c r="C1852" s="8" t="s">
        <v>377</v>
      </c>
      <c r="D1852" s="8" t="s">
        <v>1947</v>
      </c>
      <c r="E1852" s="8" t="str">
        <f t="shared" si="179"/>
        <v>TOSTADO/CHOCOLATE</v>
      </c>
      <c r="H1852" s="8" t="str">
        <f>VLOOKUP(A1852,[1]BBDD!$B$1:$J$3274,9,FALSE)</f>
        <v>U</v>
      </c>
      <c r="I1852" s="8" t="s">
        <v>2861</v>
      </c>
      <c r="J1852" s="8" t="s">
        <v>2531</v>
      </c>
      <c r="L1852" s="8" t="s">
        <v>2521</v>
      </c>
      <c r="N1852" s="8" t="s">
        <v>2503</v>
      </c>
      <c r="O1852" s="8" t="s">
        <v>513</v>
      </c>
      <c r="P1852" s="18" t="s">
        <v>2878</v>
      </c>
      <c r="Q1852" s="8" t="s">
        <v>45</v>
      </c>
      <c r="R1852" s="8">
        <v>2</v>
      </c>
      <c r="S1852" s="8">
        <v>2</v>
      </c>
      <c r="T1852" s="8">
        <f t="shared" si="184"/>
        <v>4</v>
      </c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180</v>
      </c>
      <c r="AB1852" s="9">
        <f t="shared" si="185"/>
        <v>0</v>
      </c>
      <c r="AC1852" s="10" t="str">
        <f t="shared" si="180"/>
        <v>sin venta</v>
      </c>
      <c r="AD1852" s="8" t="s">
        <v>109</v>
      </c>
      <c r="AE1852" s="11">
        <v>49990</v>
      </c>
      <c r="AF1852" s="11">
        <f t="shared" si="181"/>
        <v>199960</v>
      </c>
      <c r="AG1852" s="12" t="s">
        <v>73</v>
      </c>
      <c r="AH1852" s="8" t="s">
        <v>35</v>
      </c>
    </row>
    <row r="1853" spans="1:34">
      <c r="A1853" s="8" t="s">
        <v>2556</v>
      </c>
      <c r="B1853" s="16" t="s">
        <v>661</v>
      </c>
      <c r="C1853" s="8" t="s">
        <v>377</v>
      </c>
      <c r="D1853" s="8" t="s">
        <v>1947</v>
      </c>
      <c r="E1853" s="8" t="str">
        <f t="shared" si="179"/>
        <v>TOSTADO/CHOCOLATE</v>
      </c>
      <c r="H1853" s="8" t="str">
        <f>VLOOKUP(A1853,[1]BBDD!$B$1:$J$3274,9,FALSE)</f>
        <v>U</v>
      </c>
      <c r="I1853" s="8" t="s">
        <v>2861</v>
      </c>
      <c r="J1853" s="8" t="s">
        <v>2531</v>
      </c>
      <c r="L1853" s="8" t="s">
        <v>2521</v>
      </c>
      <c r="N1853" s="8" t="s">
        <v>2503</v>
      </c>
      <c r="O1853" s="8" t="s">
        <v>513</v>
      </c>
      <c r="P1853" s="18" t="s">
        <v>2876</v>
      </c>
      <c r="Q1853" s="8" t="s">
        <v>45</v>
      </c>
      <c r="R1853" s="8">
        <v>0</v>
      </c>
      <c r="S1853" s="8">
        <v>1</v>
      </c>
      <c r="T1853" s="8">
        <f t="shared" si="184"/>
        <v>1</v>
      </c>
      <c r="U1853" s="8">
        <v>0</v>
      </c>
      <c r="V1853" s="8">
        <v>0</v>
      </c>
      <c r="W1853" s="8">
        <v>0</v>
      </c>
      <c r="X1853" s="8">
        <v>0</v>
      </c>
      <c r="Y1853" s="8">
        <v>1</v>
      </c>
      <c r="Z1853" s="8">
        <v>0</v>
      </c>
      <c r="AA1853" s="8">
        <v>180</v>
      </c>
      <c r="AB1853" s="9">
        <f t="shared" si="185"/>
        <v>0.16666666666666669</v>
      </c>
      <c r="AC1853" s="10">
        <f t="shared" si="180"/>
        <v>5.9999999999999991</v>
      </c>
      <c r="AD1853" s="8" t="s">
        <v>109</v>
      </c>
      <c r="AE1853" s="11">
        <v>49990</v>
      </c>
      <c r="AF1853" s="11">
        <f t="shared" si="181"/>
        <v>49990</v>
      </c>
      <c r="AG1853" s="12" t="s">
        <v>34</v>
      </c>
      <c r="AH1853" s="8" t="s">
        <v>35</v>
      </c>
    </row>
    <row r="1854" spans="1:34">
      <c r="A1854" s="8" t="s">
        <v>2557</v>
      </c>
      <c r="B1854" s="16" t="s">
        <v>661</v>
      </c>
      <c r="C1854" s="8" t="s">
        <v>377</v>
      </c>
      <c r="D1854" s="8" t="s">
        <v>1947</v>
      </c>
      <c r="E1854" s="8" t="str">
        <f t="shared" si="179"/>
        <v>TOSTADO/NEGRO</v>
      </c>
      <c r="H1854" s="8" t="str">
        <f>VLOOKUP(A1854,[1]BBDD!$B$1:$J$3274,9,FALSE)</f>
        <v>U</v>
      </c>
      <c r="I1854" s="8" t="s">
        <v>2861</v>
      </c>
      <c r="J1854" s="8" t="s">
        <v>2531</v>
      </c>
      <c r="L1854" s="8" t="s">
        <v>2521</v>
      </c>
      <c r="N1854" s="8" t="s">
        <v>2510</v>
      </c>
      <c r="O1854" s="8" t="s">
        <v>513</v>
      </c>
      <c r="P1854" s="18" t="s">
        <v>2874</v>
      </c>
      <c r="Q1854" s="8" t="s">
        <v>45</v>
      </c>
      <c r="R1854" s="8">
        <v>2</v>
      </c>
      <c r="S1854" s="8">
        <v>3</v>
      </c>
      <c r="T1854" s="8">
        <f t="shared" si="184"/>
        <v>5</v>
      </c>
      <c r="U1854" s="8">
        <v>0</v>
      </c>
      <c r="V1854" s="8">
        <v>1</v>
      </c>
      <c r="W1854" s="8">
        <v>0</v>
      </c>
      <c r="X1854" s="8">
        <v>0</v>
      </c>
      <c r="Y1854" s="8">
        <v>0</v>
      </c>
      <c r="Z1854" s="8">
        <v>0</v>
      </c>
      <c r="AA1854" s="8">
        <v>180</v>
      </c>
      <c r="AB1854" s="9">
        <f t="shared" si="185"/>
        <v>0.16666666666666669</v>
      </c>
      <c r="AC1854" s="10">
        <f t="shared" si="180"/>
        <v>29.999999999999996</v>
      </c>
      <c r="AD1854" s="8" t="s">
        <v>109</v>
      </c>
      <c r="AE1854" s="11">
        <v>49990</v>
      </c>
      <c r="AF1854" s="11">
        <f t="shared" si="181"/>
        <v>249950</v>
      </c>
      <c r="AG1854" s="12" t="s">
        <v>73</v>
      </c>
      <c r="AH1854" s="8" t="s">
        <v>35</v>
      </c>
    </row>
    <row r="1855" spans="1:34">
      <c r="A1855" s="8" t="s">
        <v>2558</v>
      </c>
      <c r="B1855" s="16" t="s">
        <v>661</v>
      </c>
      <c r="C1855" s="8" t="s">
        <v>377</v>
      </c>
      <c r="D1855" s="8" t="s">
        <v>1947</v>
      </c>
      <c r="E1855" s="8" t="str">
        <f t="shared" si="179"/>
        <v>TOSTADO/NEGRO</v>
      </c>
      <c r="H1855" s="8" t="str">
        <f>VLOOKUP(A1855,[1]BBDD!$B$1:$J$3274,9,FALSE)</f>
        <v>U</v>
      </c>
      <c r="I1855" s="8" t="s">
        <v>2861</v>
      </c>
      <c r="J1855" s="8" t="s">
        <v>2531</v>
      </c>
      <c r="L1855" s="8" t="s">
        <v>2521</v>
      </c>
      <c r="N1855" s="8" t="s">
        <v>2510</v>
      </c>
      <c r="O1855" s="8" t="s">
        <v>513</v>
      </c>
      <c r="P1855" s="18" t="s">
        <v>2862</v>
      </c>
      <c r="Q1855" s="8" t="s">
        <v>45</v>
      </c>
      <c r="R1855" s="8">
        <v>3</v>
      </c>
      <c r="S1855" s="8">
        <v>2</v>
      </c>
      <c r="T1855" s="8">
        <f t="shared" si="184"/>
        <v>5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180</v>
      </c>
      <c r="AB1855" s="9">
        <f t="shared" si="185"/>
        <v>0</v>
      </c>
      <c r="AC1855" s="10" t="str">
        <f t="shared" si="180"/>
        <v>sin venta</v>
      </c>
      <c r="AD1855" s="8" t="s">
        <v>109</v>
      </c>
      <c r="AE1855" s="11">
        <v>49990</v>
      </c>
      <c r="AF1855" s="11">
        <f t="shared" si="181"/>
        <v>249950</v>
      </c>
      <c r="AG1855" s="12" t="s">
        <v>73</v>
      </c>
      <c r="AH1855" s="8" t="s">
        <v>35</v>
      </c>
    </row>
    <row r="1856" spans="1:34">
      <c r="A1856" s="8" t="s">
        <v>2559</v>
      </c>
      <c r="B1856" s="16" t="s">
        <v>661</v>
      </c>
      <c r="C1856" s="8" t="s">
        <v>377</v>
      </c>
      <c r="D1856" s="8" t="s">
        <v>1947</v>
      </c>
      <c r="E1856" s="8" t="str">
        <f t="shared" si="179"/>
        <v>TOSTADO/NEGRO</v>
      </c>
      <c r="H1856" s="8" t="str">
        <f>VLOOKUP(A1856,[1]BBDD!$B$1:$J$3274,9,FALSE)</f>
        <v>U</v>
      </c>
      <c r="I1856" s="8" t="s">
        <v>2861</v>
      </c>
      <c r="J1856" s="8" t="s">
        <v>2531</v>
      </c>
      <c r="L1856" s="8" t="s">
        <v>2521</v>
      </c>
      <c r="N1856" s="8" t="s">
        <v>2510</v>
      </c>
      <c r="O1856" s="8" t="s">
        <v>513</v>
      </c>
      <c r="P1856" s="18" t="s">
        <v>2873</v>
      </c>
      <c r="Q1856" s="8" t="s">
        <v>45</v>
      </c>
      <c r="R1856" s="8">
        <v>4</v>
      </c>
      <c r="S1856" s="8">
        <v>3</v>
      </c>
      <c r="T1856" s="8">
        <f t="shared" si="184"/>
        <v>7</v>
      </c>
      <c r="U1856" s="8">
        <v>1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180</v>
      </c>
      <c r="AB1856" s="9">
        <f t="shared" si="185"/>
        <v>0.16666666666666669</v>
      </c>
      <c r="AC1856" s="10">
        <f t="shared" si="180"/>
        <v>41.999999999999993</v>
      </c>
      <c r="AD1856" s="8" t="s">
        <v>109</v>
      </c>
      <c r="AE1856" s="11">
        <v>49990</v>
      </c>
      <c r="AF1856" s="11">
        <f t="shared" si="181"/>
        <v>349930</v>
      </c>
      <c r="AG1856" s="12" t="s">
        <v>73</v>
      </c>
      <c r="AH1856" s="8" t="s">
        <v>35</v>
      </c>
    </row>
    <row r="1857" spans="1:34">
      <c r="A1857" s="8" t="s">
        <v>2560</v>
      </c>
      <c r="B1857" s="16" t="s">
        <v>661</v>
      </c>
      <c r="C1857" s="8" t="s">
        <v>377</v>
      </c>
      <c r="D1857" s="8" t="s">
        <v>1947</v>
      </c>
      <c r="E1857" s="8" t="str">
        <f t="shared" si="179"/>
        <v>TOSTADO/NEGRO</v>
      </c>
      <c r="H1857" s="8" t="str">
        <f>VLOOKUP(A1857,[1]BBDD!$B$1:$J$3274,9,FALSE)</f>
        <v>U</v>
      </c>
      <c r="I1857" s="8" t="s">
        <v>2861</v>
      </c>
      <c r="J1857" s="8" t="s">
        <v>2531</v>
      </c>
      <c r="L1857" s="8" t="s">
        <v>2521</v>
      </c>
      <c r="N1857" s="8" t="s">
        <v>2510</v>
      </c>
      <c r="O1857" s="8" t="s">
        <v>513</v>
      </c>
      <c r="P1857" s="18" t="s">
        <v>2875</v>
      </c>
      <c r="Q1857" s="8" t="s">
        <v>45</v>
      </c>
      <c r="R1857" s="8">
        <v>1</v>
      </c>
      <c r="S1857" s="8">
        <v>2</v>
      </c>
      <c r="T1857" s="8">
        <f t="shared" si="184"/>
        <v>3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180</v>
      </c>
      <c r="AB1857" s="9">
        <f t="shared" si="185"/>
        <v>0</v>
      </c>
      <c r="AC1857" s="10" t="str">
        <f t="shared" si="180"/>
        <v>sin venta</v>
      </c>
      <c r="AD1857" s="8" t="s">
        <v>109</v>
      </c>
      <c r="AE1857" s="11">
        <v>49990</v>
      </c>
      <c r="AF1857" s="11">
        <f t="shared" si="181"/>
        <v>149970</v>
      </c>
      <c r="AG1857" s="12" t="s">
        <v>73</v>
      </c>
      <c r="AH1857" s="8" t="s">
        <v>35</v>
      </c>
    </row>
    <row r="1858" spans="1:34">
      <c r="A1858" s="8" t="s">
        <v>2561</v>
      </c>
      <c r="B1858" s="16" t="s">
        <v>661</v>
      </c>
      <c r="C1858" s="8" t="s">
        <v>377</v>
      </c>
      <c r="D1858" s="8" t="s">
        <v>1947</v>
      </c>
      <c r="E1858" s="8" t="str">
        <f t="shared" si="179"/>
        <v>TOSTADO/NEGRO</v>
      </c>
      <c r="H1858" s="8" t="str">
        <f>VLOOKUP(A1858,[1]BBDD!$B$1:$J$3274,9,FALSE)</f>
        <v>U</v>
      </c>
      <c r="I1858" s="8" t="s">
        <v>2861</v>
      </c>
      <c r="J1858" s="8" t="s">
        <v>2531</v>
      </c>
      <c r="L1858" s="8" t="s">
        <v>2521</v>
      </c>
      <c r="N1858" s="8" t="s">
        <v>2510</v>
      </c>
      <c r="O1858" s="8" t="s">
        <v>513</v>
      </c>
      <c r="P1858" s="18" t="s">
        <v>2878</v>
      </c>
      <c r="Q1858" s="8" t="s">
        <v>45</v>
      </c>
      <c r="R1858" s="8">
        <v>1</v>
      </c>
      <c r="S1858" s="8">
        <v>2</v>
      </c>
      <c r="T1858" s="8">
        <f t="shared" si="184"/>
        <v>3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180</v>
      </c>
      <c r="AB1858" s="9">
        <f t="shared" si="185"/>
        <v>0</v>
      </c>
      <c r="AC1858" s="10" t="str">
        <f t="shared" si="180"/>
        <v>sin venta</v>
      </c>
      <c r="AD1858" s="8" t="s">
        <v>109</v>
      </c>
      <c r="AE1858" s="11">
        <v>49990</v>
      </c>
      <c r="AF1858" s="11">
        <f t="shared" si="181"/>
        <v>149970</v>
      </c>
      <c r="AG1858" s="12" t="s">
        <v>73</v>
      </c>
      <c r="AH1858" s="8" t="s">
        <v>35</v>
      </c>
    </row>
    <row r="1859" spans="1:34">
      <c r="A1859" s="8" t="s">
        <v>2562</v>
      </c>
      <c r="B1859" s="16" t="s">
        <v>376</v>
      </c>
      <c r="C1859" s="8" t="s">
        <v>377</v>
      </c>
      <c r="D1859" s="8" t="s">
        <v>1947</v>
      </c>
      <c r="E1859" s="8" t="str">
        <f t="shared" ref="E1859:E1922" si="186">TRIM(N1859)</f>
        <v>NATURAL</v>
      </c>
      <c r="H1859" s="8">
        <f>VLOOKUP(A1859,[1]BBDD!$B$1:$J$3274,9,FALSE)</f>
        <v>0</v>
      </c>
      <c r="I1859" s="8">
        <v>0</v>
      </c>
      <c r="J1859" s="8" t="s">
        <v>2563</v>
      </c>
      <c r="L1859" s="8" t="s">
        <v>2521</v>
      </c>
      <c r="N1859" s="8" t="s">
        <v>1983</v>
      </c>
      <c r="O1859" s="8" t="s">
        <v>1983</v>
      </c>
      <c r="Q1859" s="8" t="s">
        <v>32</v>
      </c>
      <c r="R1859" s="8">
        <v>499</v>
      </c>
      <c r="S1859" s="8">
        <v>0</v>
      </c>
      <c r="T1859" s="8">
        <f t="shared" si="184"/>
        <v>499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180</v>
      </c>
      <c r="AB1859" s="9">
        <f t="shared" si="185"/>
        <v>0</v>
      </c>
      <c r="AC1859" s="10" t="str">
        <f t="shared" ref="AC1859:AC1922" si="187">IFERROR(T1859/AB1859,"sin venta")</f>
        <v>sin venta</v>
      </c>
      <c r="AD1859" s="8" t="s">
        <v>991</v>
      </c>
      <c r="AE1859" s="14">
        <v>49990</v>
      </c>
      <c r="AF1859" s="11">
        <f t="shared" ref="AF1859:AF1922" si="188">IFERROR(AE1859*T1859,0)</f>
        <v>24945010</v>
      </c>
      <c r="AG1859" s="12" t="s">
        <v>73</v>
      </c>
      <c r="AH1859" s="8" t="s">
        <v>74</v>
      </c>
    </row>
    <row r="1860" spans="1:34">
      <c r="A1860" s="8" t="s">
        <v>2564</v>
      </c>
      <c r="B1860" s="16" t="s">
        <v>709</v>
      </c>
      <c r="C1860" s="8" t="s">
        <v>533</v>
      </c>
      <c r="D1860" s="8" t="s">
        <v>2565</v>
      </c>
      <c r="E1860" s="8" t="str">
        <f t="shared" si="186"/>
        <v>CHOCOLATE</v>
      </c>
      <c r="H1860" s="8" t="str">
        <f>VLOOKUP(A1860,[1]BBDD!$B$1:$J$3274,9,FALSE)</f>
        <v>U</v>
      </c>
      <c r="I1860" s="8" t="s">
        <v>2861</v>
      </c>
      <c r="J1860" s="8" t="s">
        <v>2566</v>
      </c>
      <c r="L1860" s="8" t="s">
        <v>980</v>
      </c>
      <c r="N1860" s="8" t="s">
        <v>252</v>
      </c>
      <c r="O1860" s="8" t="s">
        <v>252</v>
      </c>
      <c r="P1860" s="18" t="str">
        <f t="shared" ref="P1860:P1863" si="189">RIGHT(A1860,LEN(A1860)-FIND("-",A1860))</f>
        <v>L</v>
      </c>
      <c r="Q1860" s="8" t="s">
        <v>45</v>
      </c>
      <c r="R1860" s="8">
        <v>0</v>
      </c>
      <c r="S1860" s="8">
        <v>1</v>
      </c>
      <c r="T1860" s="8">
        <f t="shared" si="184"/>
        <v>1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1</v>
      </c>
      <c r="AA1860" s="8">
        <v>180</v>
      </c>
      <c r="AB1860" s="9">
        <f t="shared" si="185"/>
        <v>0.16666666666666669</v>
      </c>
      <c r="AC1860" s="10">
        <f t="shared" si="187"/>
        <v>5.9999999999999991</v>
      </c>
      <c r="AD1860" s="8" t="s">
        <v>46</v>
      </c>
      <c r="AE1860" s="11">
        <v>74990</v>
      </c>
      <c r="AF1860" s="11">
        <f t="shared" si="188"/>
        <v>74990</v>
      </c>
      <c r="AG1860" s="12" t="s">
        <v>34</v>
      </c>
      <c r="AH1860" s="8" t="s">
        <v>35</v>
      </c>
    </row>
    <row r="1861" spans="1:34">
      <c r="A1861" s="8" t="s">
        <v>2567</v>
      </c>
      <c r="B1861" s="16" t="s">
        <v>709</v>
      </c>
      <c r="C1861" s="8" t="s">
        <v>533</v>
      </c>
      <c r="D1861" s="8" t="s">
        <v>2565</v>
      </c>
      <c r="E1861" s="8" t="str">
        <f t="shared" si="186"/>
        <v>CHOCOLATE</v>
      </c>
      <c r="H1861" s="8" t="str">
        <f>VLOOKUP(A1861,[1]BBDD!$B$1:$J$3274,9,FALSE)</f>
        <v>U</v>
      </c>
      <c r="I1861" s="8" t="s">
        <v>2861</v>
      </c>
      <c r="J1861" s="8" t="s">
        <v>2566</v>
      </c>
      <c r="L1861" s="8" t="s">
        <v>980</v>
      </c>
      <c r="N1861" s="8" t="s">
        <v>252</v>
      </c>
      <c r="O1861" s="8" t="s">
        <v>252</v>
      </c>
      <c r="P1861" s="18" t="str">
        <f t="shared" si="189"/>
        <v>XL</v>
      </c>
      <c r="Q1861" s="8" t="s">
        <v>45</v>
      </c>
      <c r="R1861" s="8">
        <v>0</v>
      </c>
      <c r="S1861" s="8">
        <v>1</v>
      </c>
      <c r="T1861" s="8">
        <f t="shared" si="184"/>
        <v>1</v>
      </c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180</v>
      </c>
      <c r="AB1861" s="9">
        <f t="shared" si="185"/>
        <v>0</v>
      </c>
      <c r="AC1861" s="10" t="str">
        <f t="shared" si="187"/>
        <v>sin venta</v>
      </c>
      <c r="AD1861" s="8" t="s">
        <v>46</v>
      </c>
      <c r="AE1861" s="11">
        <v>74990</v>
      </c>
      <c r="AF1861" s="11">
        <f t="shared" si="188"/>
        <v>74990</v>
      </c>
      <c r="AG1861" s="12" t="s">
        <v>73</v>
      </c>
      <c r="AH1861" s="8" t="s">
        <v>35</v>
      </c>
    </row>
    <row r="1862" spans="1:34">
      <c r="A1862" s="8" t="s">
        <v>2568</v>
      </c>
      <c r="B1862" s="16" t="s">
        <v>709</v>
      </c>
      <c r="C1862" s="8" t="s">
        <v>533</v>
      </c>
      <c r="D1862" s="8" t="s">
        <v>2565</v>
      </c>
      <c r="E1862" s="8" t="str">
        <f t="shared" si="186"/>
        <v>BEIGE</v>
      </c>
      <c r="H1862" s="8" t="str">
        <f>VLOOKUP(A1862,[1]BBDD!$B$1:$J$3274,9,FALSE)</f>
        <v>U</v>
      </c>
      <c r="I1862" s="8" t="s">
        <v>2861</v>
      </c>
      <c r="J1862" s="8" t="s">
        <v>2566</v>
      </c>
      <c r="L1862" s="8" t="s">
        <v>980</v>
      </c>
      <c r="N1862" s="8" t="s">
        <v>516</v>
      </c>
      <c r="O1862" s="8" t="s">
        <v>516</v>
      </c>
      <c r="P1862" s="18" t="str">
        <f t="shared" si="189"/>
        <v>XL</v>
      </c>
      <c r="Q1862" s="8" t="s">
        <v>45</v>
      </c>
      <c r="R1862" s="8">
        <v>0</v>
      </c>
      <c r="S1862" s="8">
        <v>1</v>
      </c>
      <c r="T1862" s="8">
        <f t="shared" si="184"/>
        <v>1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8">
        <v>180</v>
      </c>
      <c r="AB1862" s="9">
        <f t="shared" si="185"/>
        <v>0</v>
      </c>
      <c r="AC1862" s="10" t="str">
        <f t="shared" si="187"/>
        <v>sin venta</v>
      </c>
      <c r="AD1862" s="8" t="s">
        <v>46</v>
      </c>
      <c r="AE1862" s="11">
        <v>74990</v>
      </c>
      <c r="AF1862" s="11">
        <f t="shared" si="188"/>
        <v>74990</v>
      </c>
      <c r="AG1862" s="12" t="s">
        <v>73</v>
      </c>
      <c r="AH1862" s="8" t="s">
        <v>35</v>
      </c>
    </row>
    <row r="1863" spans="1:34">
      <c r="A1863" s="8" t="s">
        <v>2569</v>
      </c>
      <c r="B1863" s="16" t="s">
        <v>709</v>
      </c>
      <c r="C1863" s="8" t="s">
        <v>533</v>
      </c>
      <c r="D1863" s="8" t="s">
        <v>2565</v>
      </c>
      <c r="E1863" s="8" t="str">
        <f t="shared" si="186"/>
        <v>CHOCOLATE</v>
      </c>
      <c r="H1863" s="8" t="str">
        <f>VLOOKUP(A1863,[1]BBDD!$B$1:$J$3274,9,FALSE)</f>
        <v>U</v>
      </c>
      <c r="I1863" s="8" t="s">
        <v>2861</v>
      </c>
      <c r="J1863" s="8" t="s">
        <v>2566</v>
      </c>
      <c r="L1863" s="8" t="s">
        <v>980</v>
      </c>
      <c r="N1863" s="8" t="s">
        <v>252</v>
      </c>
      <c r="O1863" s="8" t="s">
        <v>252</v>
      </c>
      <c r="P1863" s="18" t="str">
        <f t="shared" si="189"/>
        <v>XXL</v>
      </c>
      <c r="Q1863" s="8" t="s">
        <v>45</v>
      </c>
      <c r="R1863" s="8">
        <v>0</v>
      </c>
      <c r="S1863" s="8">
        <v>1</v>
      </c>
      <c r="T1863" s="8">
        <f t="shared" si="184"/>
        <v>1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180</v>
      </c>
      <c r="AB1863" s="9">
        <f t="shared" si="185"/>
        <v>0</v>
      </c>
      <c r="AC1863" s="10" t="str">
        <f t="shared" si="187"/>
        <v>sin venta</v>
      </c>
      <c r="AD1863" s="8" t="s">
        <v>46</v>
      </c>
      <c r="AE1863" s="11">
        <v>74990</v>
      </c>
      <c r="AF1863" s="11">
        <f t="shared" si="188"/>
        <v>74990</v>
      </c>
      <c r="AG1863" s="12" t="s">
        <v>73</v>
      </c>
      <c r="AH1863" s="8" t="s">
        <v>35</v>
      </c>
    </row>
    <row r="1864" spans="1:34">
      <c r="A1864" s="8" t="s">
        <v>2570</v>
      </c>
      <c r="B1864" s="16" t="s">
        <v>2859</v>
      </c>
      <c r="C1864" s="8" t="s">
        <v>377</v>
      </c>
      <c r="D1864" s="8" t="s">
        <v>2571</v>
      </c>
      <c r="E1864" s="8" t="str">
        <f t="shared" si="186"/>
        <v>SUELA</v>
      </c>
      <c r="G1864" s="8" t="s">
        <v>2861</v>
      </c>
      <c r="H1864" s="8" t="str">
        <f>VLOOKUP(A1864,[1]BBDD!$B$1:$J$3274,9,FALSE)</f>
        <v>U</v>
      </c>
      <c r="I1864" s="8" t="s">
        <v>2861</v>
      </c>
      <c r="J1864" s="8" t="s">
        <v>2572</v>
      </c>
      <c r="L1864" s="8" t="s">
        <v>1211</v>
      </c>
      <c r="N1864" s="8" t="s">
        <v>90</v>
      </c>
      <c r="O1864" s="8" t="s">
        <v>90</v>
      </c>
      <c r="Q1864" s="8" t="s">
        <v>32</v>
      </c>
      <c r="R1864" s="8">
        <v>0</v>
      </c>
      <c r="S1864" s="8">
        <v>2</v>
      </c>
      <c r="T1864" s="8">
        <f t="shared" si="184"/>
        <v>2</v>
      </c>
      <c r="U1864" s="8">
        <v>1</v>
      </c>
      <c r="V1864" s="8">
        <v>1</v>
      </c>
      <c r="W1864" s="8">
        <v>0</v>
      </c>
      <c r="X1864" s="8">
        <v>0</v>
      </c>
      <c r="Y1864" s="8">
        <v>0</v>
      </c>
      <c r="Z1864" s="8">
        <v>0</v>
      </c>
      <c r="AA1864" s="8">
        <v>180</v>
      </c>
      <c r="AB1864" s="9">
        <f t="shared" si="185"/>
        <v>0.33333333333333337</v>
      </c>
      <c r="AC1864" s="10">
        <f t="shared" si="187"/>
        <v>5.9999999999999991</v>
      </c>
      <c r="AD1864" s="8" t="s">
        <v>33</v>
      </c>
      <c r="AE1864" s="11">
        <v>12990</v>
      </c>
      <c r="AF1864" s="11">
        <f t="shared" si="188"/>
        <v>25980</v>
      </c>
      <c r="AG1864" s="12" t="s">
        <v>34</v>
      </c>
      <c r="AH1864" s="8" t="s">
        <v>35</v>
      </c>
    </row>
    <row r="1865" spans="1:34">
      <c r="A1865" s="8" t="s">
        <v>2573</v>
      </c>
      <c r="B1865" s="16" t="s">
        <v>2859</v>
      </c>
      <c r="C1865" s="8" t="s">
        <v>377</v>
      </c>
      <c r="D1865" s="8" t="s">
        <v>2571</v>
      </c>
      <c r="E1865" s="8" t="str">
        <f t="shared" si="186"/>
        <v>CHOCOLATE</v>
      </c>
      <c r="G1865" s="8" t="s">
        <v>2861</v>
      </c>
      <c r="H1865" s="8" t="str">
        <f>VLOOKUP(A1865,[1]BBDD!$B$1:$J$3274,9,FALSE)</f>
        <v>U</v>
      </c>
      <c r="I1865" s="8" t="s">
        <v>2861</v>
      </c>
      <c r="J1865" s="8" t="s">
        <v>2572</v>
      </c>
      <c r="L1865" s="8" t="s">
        <v>1211</v>
      </c>
      <c r="N1865" s="8" t="s">
        <v>252</v>
      </c>
      <c r="O1865" s="8" t="s">
        <v>252</v>
      </c>
      <c r="Q1865" s="8" t="s">
        <v>32</v>
      </c>
      <c r="R1865" s="8">
        <v>13</v>
      </c>
      <c r="S1865" s="8">
        <v>11</v>
      </c>
      <c r="T1865" s="8">
        <f t="shared" si="184"/>
        <v>24</v>
      </c>
      <c r="U1865" s="8">
        <v>2</v>
      </c>
      <c r="V1865" s="8">
        <v>0</v>
      </c>
      <c r="W1865" s="8">
        <v>1</v>
      </c>
      <c r="X1865" s="8">
        <v>0</v>
      </c>
      <c r="Y1865" s="8">
        <v>1</v>
      </c>
      <c r="Z1865" s="8">
        <v>0</v>
      </c>
      <c r="AA1865" s="8">
        <v>180</v>
      </c>
      <c r="AB1865" s="9">
        <f t="shared" si="185"/>
        <v>0.66666666666666674</v>
      </c>
      <c r="AC1865" s="10">
        <f t="shared" si="187"/>
        <v>35.999999999999993</v>
      </c>
      <c r="AD1865" s="8" t="s">
        <v>33</v>
      </c>
      <c r="AE1865" s="11">
        <v>12990</v>
      </c>
      <c r="AF1865" s="11">
        <f t="shared" si="188"/>
        <v>311760</v>
      </c>
      <c r="AG1865" s="12" t="s">
        <v>73</v>
      </c>
      <c r="AH1865" s="8" t="s">
        <v>74</v>
      </c>
    </row>
    <row r="1866" spans="1:34">
      <c r="A1866" s="8" t="s">
        <v>2574</v>
      </c>
      <c r="B1866" s="16" t="s">
        <v>2859</v>
      </c>
      <c r="C1866" s="8" t="s">
        <v>377</v>
      </c>
      <c r="D1866" s="8" t="s">
        <v>2571</v>
      </c>
      <c r="E1866" s="8" t="str">
        <f t="shared" si="186"/>
        <v>NATURAL</v>
      </c>
      <c r="G1866" s="8" t="s">
        <v>2861</v>
      </c>
      <c r="H1866" s="8" t="str">
        <f>VLOOKUP(A1866,[1]BBDD!$B$1:$J$3274,9,FALSE)</f>
        <v>U</v>
      </c>
      <c r="I1866" s="8" t="s">
        <v>2861</v>
      </c>
      <c r="J1866" s="8" t="s">
        <v>2572</v>
      </c>
      <c r="L1866" s="8" t="s">
        <v>1211</v>
      </c>
      <c r="N1866" s="8" t="s">
        <v>1983</v>
      </c>
      <c r="O1866" s="8" t="s">
        <v>1983</v>
      </c>
      <c r="Q1866" s="8" t="s">
        <v>32</v>
      </c>
      <c r="R1866" s="8">
        <v>10</v>
      </c>
      <c r="S1866" s="8">
        <v>9</v>
      </c>
      <c r="T1866" s="8">
        <f t="shared" si="184"/>
        <v>19</v>
      </c>
      <c r="U1866" s="8">
        <v>1</v>
      </c>
      <c r="V1866" s="8">
        <v>2</v>
      </c>
      <c r="W1866" s="8">
        <v>0</v>
      </c>
      <c r="X1866" s="8">
        <v>1</v>
      </c>
      <c r="Y1866" s="8">
        <v>1</v>
      </c>
      <c r="Z1866" s="8">
        <v>1</v>
      </c>
      <c r="AA1866" s="8">
        <v>180</v>
      </c>
      <c r="AB1866" s="9">
        <f t="shared" si="185"/>
        <v>1</v>
      </c>
      <c r="AC1866" s="10">
        <f t="shared" si="187"/>
        <v>19</v>
      </c>
      <c r="AD1866" s="8" t="s">
        <v>33</v>
      </c>
      <c r="AE1866" s="11">
        <v>12990</v>
      </c>
      <c r="AF1866" s="11">
        <f t="shared" si="188"/>
        <v>246810</v>
      </c>
      <c r="AG1866" s="12" t="s">
        <v>64</v>
      </c>
      <c r="AH1866" s="8" t="s">
        <v>65</v>
      </c>
    </row>
    <row r="1867" spans="1:34">
      <c r="A1867" s="8" t="s">
        <v>2575</v>
      </c>
      <c r="B1867" s="16" t="s">
        <v>2859</v>
      </c>
      <c r="C1867" s="8" t="s">
        <v>377</v>
      </c>
      <c r="D1867" s="8" t="s">
        <v>2571</v>
      </c>
      <c r="E1867" s="8" t="str">
        <f t="shared" si="186"/>
        <v>NEGRO</v>
      </c>
      <c r="G1867" s="8" t="s">
        <v>2861</v>
      </c>
      <c r="H1867" s="8" t="str">
        <f>VLOOKUP(A1867,[1]BBDD!$B$1:$J$3274,9,FALSE)</f>
        <v>U</v>
      </c>
      <c r="I1867" s="8" t="s">
        <v>2861</v>
      </c>
      <c r="J1867" s="8" t="s">
        <v>2572</v>
      </c>
      <c r="L1867" s="8" t="s">
        <v>1211</v>
      </c>
      <c r="N1867" s="8" t="s">
        <v>44</v>
      </c>
      <c r="O1867" s="8" t="s">
        <v>44</v>
      </c>
      <c r="Q1867" s="8" t="s">
        <v>32</v>
      </c>
      <c r="R1867" s="8">
        <v>0</v>
      </c>
      <c r="S1867" s="8">
        <v>7</v>
      </c>
      <c r="T1867" s="8">
        <f t="shared" si="184"/>
        <v>7</v>
      </c>
      <c r="U1867" s="8">
        <v>2</v>
      </c>
      <c r="V1867" s="8">
        <v>2</v>
      </c>
      <c r="W1867" s="8">
        <v>0</v>
      </c>
      <c r="X1867" s="8">
        <v>4</v>
      </c>
      <c r="Y1867" s="8">
        <v>0</v>
      </c>
      <c r="Z1867" s="8">
        <v>0</v>
      </c>
      <c r="AA1867" s="8">
        <v>180</v>
      </c>
      <c r="AB1867" s="9">
        <f t="shared" si="185"/>
        <v>1.3333333333333335</v>
      </c>
      <c r="AC1867" s="10">
        <f t="shared" si="187"/>
        <v>5.2499999999999991</v>
      </c>
      <c r="AD1867" s="8" t="s">
        <v>33</v>
      </c>
      <c r="AE1867" s="11">
        <v>12990</v>
      </c>
      <c r="AF1867" s="11">
        <f t="shared" si="188"/>
        <v>90930</v>
      </c>
      <c r="AG1867" s="12" t="s">
        <v>34</v>
      </c>
      <c r="AH1867" s="8" t="s">
        <v>35</v>
      </c>
    </row>
    <row r="1868" spans="1:34">
      <c r="A1868" s="8" t="s">
        <v>2576</v>
      </c>
      <c r="B1868" s="16" t="s">
        <v>2859</v>
      </c>
      <c r="C1868" s="8" t="s">
        <v>377</v>
      </c>
      <c r="D1868" s="8" t="s">
        <v>2571</v>
      </c>
      <c r="E1868" s="8" t="str">
        <f t="shared" si="186"/>
        <v>VISON</v>
      </c>
      <c r="G1868" s="8" t="s">
        <v>2861</v>
      </c>
      <c r="H1868" s="8" t="str">
        <f>VLOOKUP(A1868,[1]BBDD!$B$1:$J$3274,9,FALSE)</f>
        <v>U</v>
      </c>
      <c r="I1868" s="8" t="s">
        <v>2861</v>
      </c>
      <c r="J1868" s="8" t="s">
        <v>2572</v>
      </c>
      <c r="L1868" s="8" t="s">
        <v>1211</v>
      </c>
      <c r="N1868" s="8" t="s">
        <v>58</v>
      </c>
      <c r="O1868" s="8" t="s">
        <v>58</v>
      </c>
      <c r="Q1868" s="8" t="s">
        <v>45</v>
      </c>
      <c r="R1868" s="8">
        <v>11</v>
      </c>
      <c r="S1868" s="8">
        <v>11</v>
      </c>
      <c r="T1868" s="8">
        <f t="shared" si="184"/>
        <v>22</v>
      </c>
      <c r="U1868" s="8">
        <v>0</v>
      </c>
      <c r="V1868" s="8">
        <v>0</v>
      </c>
      <c r="W1868" s="8">
        <v>1</v>
      </c>
      <c r="X1868" s="8">
        <v>0</v>
      </c>
      <c r="Y1868" s="8">
        <v>2</v>
      </c>
      <c r="Z1868" s="8">
        <v>0</v>
      </c>
      <c r="AA1868" s="8">
        <v>180</v>
      </c>
      <c r="AB1868" s="9">
        <f t="shared" si="185"/>
        <v>0.5</v>
      </c>
      <c r="AC1868" s="10">
        <f t="shared" si="187"/>
        <v>44</v>
      </c>
      <c r="AD1868" s="8" t="s">
        <v>109</v>
      </c>
      <c r="AE1868" s="11">
        <v>12990</v>
      </c>
      <c r="AF1868" s="11">
        <f t="shared" si="188"/>
        <v>285780</v>
      </c>
      <c r="AG1868" s="12" t="s">
        <v>73</v>
      </c>
      <c r="AH1868" s="8" t="s">
        <v>74</v>
      </c>
    </row>
    <row r="1869" spans="1:34">
      <c r="A1869" s="8" t="s">
        <v>2577</v>
      </c>
      <c r="B1869" s="16" t="s">
        <v>2859</v>
      </c>
      <c r="C1869" s="8" t="s">
        <v>377</v>
      </c>
      <c r="D1869" s="8" t="s">
        <v>2571</v>
      </c>
      <c r="E1869" s="8" t="str">
        <f t="shared" si="186"/>
        <v>NATURAL/AZUL</v>
      </c>
      <c r="G1869" s="8" t="s">
        <v>2861</v>
      </c>
      <c r="H1869" s="8" t="str">
        <f>VLOOKUP(A1869,[1]BBDD!$B$1:$J$3274,9,FALSE)</f>
        <v>U</v>
      </c>
      <c r="I1869" s="8" t="s">
        <v>2861</v>
      </c>
      <c r="J1869" s="8" t="s">
        <v>2578</v>
      </c>
      <c r="L1869" s="8" t="s">
        <v>1211</v>
      </c>
      <c r="N1869" s="8" t="s">
        <v>2532</v>
      </c>
      <c r="O1869" s="8" t="s">
        <v>1983</v>
      </c>
      <c r="Q1869" s="8" t="s">
        <v>32</v>
      </c>
      <c r="R1869" s="8">
        <v>0</v>
      </c>
      <c r="S1869" s="8">
        <v>0</v>
      </c>
      <c r="T1869" s="8">
        <f t="shared" si="184"/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1</v>
      </c>
      <c r="AA1869" s="8">
        <v>180</v>
      </c>
      <c r="AB1869" s="9">
        <f t="shared" si="185"/>
        <v>0.16666666666666669</v>
      </c>
      <c r="AC1869" s="10">
        <f t="shared" si="187"/>
        <v>0</v>
      </c>
      <c r="AD1869" s="8" t="s">
        <v>33</v>
      </c>
      <c r="AE1869" s="11">
        <v>23990</v>
      </c>
      <c r="AF1869" s="11">
        <f t="shared" si="188"/>
        <v>0</v>
      </c>
      <c r="AG1869" s="12" t="s">
        <v>34</v>
      </c>
      <c r="AH1869" s="8" t="s">
        <v>35</v>
      </c>
    </row>
    <row r="1870" spans="1:34">
      <c r="A1870" s="8" t="s">
        <v>2579</v>
      </c>
      <c r="B1870" s="16" t="s">
        <v>2859</v>
      </c>
      <c r="C1870" s="8" t="s">
        <v>377</v>
      </c>
      <c r="D1870" s="8" t="s">
        <v>2571</v>
      </c>
      <c r="E1870" s="8" t="str">
        <f t="shared" si="186"/>
        <v>SUELA/MALBEC</v>
      </c>
      <c r="G1870" s="8" t="s">
        <v>2861</v>
      </c>
      <c r="H1870" s="8" t="str">
        <f>VLOOKUP(A1870,[1]BBDD!$B$1:$J$3274,9,FALSE)</f>
        <v>U</v>
      </c>
      <c r="I1870" s="8" t="s">
        <v>2861</v>
      </c>
      <c r="J1870" s="8" t="s">
        <v>2580</v>
      </c>
      <c r="L1870" s="8" t="s">
        <v>1211</v>
      </c>
      <c r="N1870" s="8" t="s">
        <v>2581</v>
      </c>
      <c r="O1870" s="8" t="s">
        <v>90</v>
      </c>
      <c r="Q1870" s="8" t="s">
        <v>32</v>
      </c>
      <c r="R1870" s="8">
        <v>0</v>
      </c>
      <c r="S1870" s="8">
        <v>0</v>
      </c>
      <c r="T1870" s="8">
        <f t="shared" si="184"/>
        <v>0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1</v>
      </c>
      <c r="AA1870" s="8">
        <v>180</v>
      </c>
      <c r="AB1870" s="9">
        <f t="shared" si="185"/>
        <v>0.16666666666666669</v>
      </c>
      <c r="AC1870" s="10">
        <f t="shared" si="187"/>
        <v>0</v>
      </c>
      <c r="AD1870" s="8" t="s">
        <v>33</v>
      </c>
      <c r="AE1870" s="11">
        <v>23990</v>
      </c>
      <c r="AF1870" s="11">
        <f t="shared" si="188"/>
        <v>0</v>
      </c>
      <c r="AG1870" s="12" t="s">
        <v>34</v>
      </c>
      <c r="AH1870" s="8" t="s">
        <v>35</v>
      </c>
    </row>
    <row r="1871" spans="1:34">
      <c r="A1871" s="8" t="s">
        <v>2582</v>
      </c>
      <c r="B1871" s="16" t="s">
        <v>2859</v>
      </c>
      <c r="C1871" s="8" t="s">
        <v>377</v>
      </c>
      <c r="D1871" s="8" t="s">
        <v>2571</v>
      </c>
      <c r="E1871" s="8" t="str">
        <f t="shared" si="186"/>
        <v>SUELA/AVELLANA</v>
      </c>
      <c r="G1871" s="8" t="s">
        <v>2861</v>
      </c>
      <c r="H1871" s="8" t="str">
        <f>VLOOKUP(A1871,[1]BBDD!$B$1:$J$3274,9,FALSE)</f>
        <v>U</v>
      </c>
      <c r="I1871" s="8" t="s">
        <v>2861</v>
      </c>
      <c r="J1871" s="8" t="s">
        <v>2583</v>
      </c>
      <c r="L1871" s="8" t="s">
        <v>1211</v>
      </c>
      <c r="N1871" s="8" t="s">
        <v>2584</v>
      </c>
      <c r="O1871" s="8" t="s">
        <v>90</v>
      </c>
      <c r="Q1871" s="8" t="s">
        <v>32</v>
      </c>
      <c r="R1871" s="8">
        <v>0</v>
      </c>
      <c r="S1871" s="8">
        <v>1</v>
      </c>
      <c r="T1871" s="8">
        <f t="shared" si="184"/>
        <v>1</v>
      </c>
      <c r="U1871" s="8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0</v>
      </c>
      <c r="AA1871" s="8">
        <v>180</v>
      </c>
      <c r="AB1871" s="9">
        <f t="shared" si="185"/>
        <v>0</v>
      </c>
      <c r="AC1871" s="10" t="str">
        <f t="shared" si="187"/>
        <v>sin venta</v>
      </c>
      <c r="AD1871" s="8" t="s">
        <v>33</v>
      </c>
      <c r="AE1871" s="11">
        <v>23990</v>
      </c>
      <c r="AF1871" s="11">
        <f t="shared" si="188"/>
        <v>23990</v>
      </c>
      <c r="AG1871" s="12" t="s">
        <v>73</v>
      </c>
      <c r="AH1871" s="8" t="s">
        <v>35</v>
      </c>
    </row>
    <row r="1872" spans="1:34">
      <c r="A1872" s="8" t="s">
        <v>2585</v>
      </c>
      <c r="B1872" s="16" t="s">
        <v>2859</v>
      </c>
      <c r="C1872" s="8" t="s">
        <v>377</v>
      </c>
      <c r="D1872" s="8" t="s">
        <v>2571</v>
      </c>
      <c r="E1872" s="8" t="str">
        <f t="shared" si="186"/>
        <v>NATURAL/AZUL</v>
      </c>
      <c r="G1872" s="8" t="s">
        <v>2861</v>
      </c>
      <c r="H1872" s="8" t="str">
        <f>VLOOKUP(A1872,[1]BBDD!$B$1:$J$3274,9,FALSE)</f>
        <v>U</v>
      </c>
      <c r="I1872" s="8" t="s">
        <v>2861</v>
      </c>
      <c r="J1872" s="8" t="s">
        <v>2586</v>
      </c>
      <c r="L1872" s="8" t="s">
        <v>1211</v>
      </c>
      <c r="N1872" s="8" t="s">
        <v>2532</v>
      </c>
      <c r="O1872" s="8" t="s">
        <v>1983</v>
      </c>
      <c r="Q1872" s="8" t="s">
        <v>32</v>
      </c>
      <c r="R1872" s="8">
        <v>0</v>
      </c>
      <c r="S1872" s="8">
        <v>1</v>
      </c>
      <c r="T1872" s="8">
        <f t="shared" si="184"/>
        <v>1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8">
        <v>180</v>
      </c>
      <c r="AB1872" s="9">
        <f t="shared" si="185"/>
        <v>0</v>
      </c>
      <c r="AC1872" s="10" t="str">
        <f t="shared" si="187"/>
        <v>sin venta</v>
      </c>
      <c r="AD1872" s="8" t="s">
        <v>33</v>
      </c>
      <c r="AE1872" s="11">
        <v>23990</v>
      </c>
      <c r="AF1872" s="11">
        <f t="shared" si="188"/>
        <v>23990</v>
      </c>
      <c r="AG1872" s="12" t="s">
        <v>73</v>
      </c>
      <c r="AH1872" s="8" t="s">
        <v>35</v>
      </c>
    </row>
    <row r="1873" spans="1:34">
      <c r="A1873" s="8" t="s">
        <v>2587</v>
      </c>
      <c r="B1873" s="16" t="s">
        <v>2859</v>
      </c>
      <c r="C1873" s="8" t="s">
        <v>377</v>
      </c>
      <c r="D1873" s="8" t="s">
        <v>2571</v>
      </c>
      <c r="E1873" s="8" t="str">
        <f t="shared" si="186"/>
        <v>SUELA/CHOCOLATE</v>
      </c>
      <c r="G1873" s="8" t="s">
        <v>2861</v>
      </c>
      <c r="H1873" s="8" t="str">
        <f>VLOOKUP(A1873,[1]BBDD!$B$1:$J$3274,9,FALSE)</f>
        <v>U</v>
      </c>
      <c r="I1873" s="8" t="s">
        <v>2861</v>
      </c>
      <c r="J1873" s="8" t="s">
        <v>2588</v>
      </c>
      <c r="L1873" s="8" t="s">
        <v>1211</v>
      </c>
      <c r="N1873" s="8" t="s">
        <v>1492</v>
      </c>
      <c r="O1873" s="8" t="s">
        <v>90</v>
      </c>
      <c r="Q1873" s="8" t="s">
        <v>32</v>
      </c>
      <c r="R1873" s="8">
        <v>0</v>
      </c>
      <c r="S1873" s="8">
        <v>1</v>
      </c>
      <c r="T1873" s="8">
        <f t="shared" si="184"/>
        <v>1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8">
        <v>180</v>
      </c>
      <c r="AB1873" s="9">
        <f t="shared" si="185"/>
        <v>0</v>
      </c>
      <c r="AC1873" s="10" t="str">
        <f t="shared" si="187"/>
        <v>sin venta</v>
      </c>
      <c r="AD1873" s="8" t="s">
        <v>33</v>
      </c>
      <c r="AE1873" s="11">
        <v>23990</v>
      </c>
      <c r="AF1873" s="11">
        <f t="shared" si="188"/>
        <v>23990</v>
      </c>
      <c r="AG1873" s="12" t="s">
        <v>73</v>
      </c>
      <c r="AH1873" s="8" t="s">
        <v>35</v>
      </c>
    </row>
    <row r="1874" spans="1:34">
      <c r="A1874" s="8" t="s">
        <v>2589</v>
      </c>
      <c r="B1874" s="16" t="s">
        <v>2859</v>
      </c>
      <c r="C1874" s="8" t="s">
        <v>377</v>
      </c>
      <c r="D1874" s="8" t="s">
        <v>2571</v>
      </c>
      <c r="E1874" s="8" t="str">
        <f t="shared" si="186"/>
        <v>SUELA/CHOCOLATE</v>
      </c>
      <c r="G1874" s="8" t="s">
        <v>2861</v>
      </c>
      <c r="H1874" s="8" t="str">
        <f>VLOOKUP(A1874,[1]BBDD!$B$1:$J$3274,9,FALSE)</f>
        <v>U</v>
      </c>
      <c r="I1874" s="8" t="s">
        <v>2861</v>
      </c>
      <c r="J1874" s="8" t="s">
        <v>2590</v>
      </c>
      <c r="L1874" s="8" t="s">
        <v>1211</v>
      </c>
      <c r="N1874" s="8" t="s">
        <v>1492</v>
      </c>
      <c r="O1874" s="8" t="s">
        <v>90</v>
      </c>
      <c r="Q1874" s="8" t="s">
        <v>32</v>
      </c>
      <c r="R1874" s="8">
        <v>0</v>
      </c>
      <c r="S1874" s="8">
        <v>1</v>
      </c>
      <c r="T1874" s="8">
        <f t="shared" si="184"/>
        <v>1</v>
      </c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0</v>
      </c>
      <c r="AA1874" s="8">
        <v>180</v>
      </c>
      <c r="AB1874" s="9">
        <f t="shared" si="185"/>
        <v>0</v>
      </c>
      <c r="AC1874" s="10" t="str">
        <f t="shared" si="187"/>
        <v>sin venta</v>
      </c>
      <c r="AD1874" s="8" t="s">
        <v>33</v>
      </c>
      <c r="AE1874" s="11">
        <v>23990</v>
      </c>
      <c r="AF1874" s="11">
        <f t="shared" si="188"/>
        <v>23990</v>
      </c>
      <c r="AG1874" s="12" t="s">
        <v>73</v>
      </c>
      <c r="AH1874" s="8" t="s">
        <v>35</v>
      </c>
    </row>
    <row r="1875" spans="1:34">
      <c r="A1875" s="8" t="s">
        <v>2591</v>
      </c>
      <c r="B1875" s="16" t="s">
        <v>2859</v>
      </c>
      <c r="C1875" s="8" t="s">
        <v>377</v>
      </c>
      <c r="D1875" s="8" t="s">
        <v>2571</v>
      </c>
      <c r="E1875" s="8" t="str">
        <f t="shared" si="186"/>
        <v>SUELA/AZUL</v>
      </c>
      <c r="G1875" s="8" t="s">
        <v>2861</v>
      </c>
      <c r="H1875" s="8" t="str">
        <f>VLOOKUP(A1875,[1]BBDD!$B$1:$J$3274,9,FALSE)</f>
        <v>U</v>
      </c>
      <c r="I1875" s="8" t="s">
        <v>2861</v>
      </c>
      <c r="J1875" s="8" t="s">
        <v>2592</v>
      </c>
      <c r="L1875" s="8" t="s">
        <v>1211</v>
      </c>
      <c r="N1875" s="8" t="s">
        <v>2593</v>
      </c>
      <c r="O1875" s="8" t="s">
        <v>90</v>
      </c>
      <c r="Q1875" s="8" t="s">
        <v>32</v>
      </c>
      <c r="R1875" s="8">
        <v>0</v>
      </c>
      <c r="S1875" s="8">
        <v>1</v>
      </c>
      <c r="T1875" s="8">
        <f t="shared" si="184"/>
        <v>1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8">
        <v>180</v>
      </c>
      <c r="AB1875" s="9">
        <f t="shared" si="185"/>
        <v>0</v>
      </c>
      <c r="AC1875" s="10" t="str">
        <f t="shared" si="187"/>
        <v>sin venta</v>
      </c>
      <c r="AD1875" s="8" t="s">
        <v>33</v>
      </c>
      <c r="AE1875" s="11">
        <v>23990</v>
      </c>
      <c r="AF1875" s="11">
        <f t="shared" si="188"/>
        <v>23990</v>
      </c>
      <c r="AG1875" s="12" t="s">
        <v>73</v>
      </c>
      <c r="AH1875" s="8" t="s">
        <v>35</v>
      </c>
    </row>
    <row r="1876" spans="1:34">
      <c r="A1876" s="8" t="s">
        <v>2594</v>
      </c>
      <c r="B1876" s="16" t="s">
        <v>2859</v>
      </c>
      <c r="C1876" s="8" t="s">
        <v>377</v>
      </c>
      <c r="D1876" s="8" t="s">
        <v>2571</v>
      </c>
      <c r="E1876" s="8" t="str">
        <f t="shared" si="186"/>
        <v>SUELA/VERDE</v>
      </c>
      <c r="G1876" s="8" t="s">
        <v>2861</v>
      </c>
      <c r="H1876" s="8" t="str">
        <f>VLOOKUP(A1876,[1]BBDD!$B$1:$J$3274,9,FALSE)</f>
        <v>U</v>
      </c>
      <c r="I1876" s="8" t="s">
        <v>2861</v>
      </c>
      <c r="J1876" s="8" t="s">
        <v>2595</v>
      </c>
      <c r="L1876" s="8" t="s">
        <v>1211</v>
      </c>
      <c r="N1876" s="8" t="s">
        <v>1500</v>
      </c>
      <c r="O1876" s="8" t="s">
        <v>90</v>
      </c>
      <c r="Q1876" s="8" t="s">
        <v>32</v>
      </c>
      <c r="R1876" s="8">
        <v>0</v>
      </c>
      <c r="S1876" s="8">
        <v>0</v>
      </c>
      <c r="T1876" s="8">
        <f t="shared" si="184"/>
        <v>0</v>
      </c>
      <c r="U1876" s="8">
        <v>0</v>
      </c>
      <c r="V1876" s="8">
        <v>0</v>
      </c>
      <c r="W1876" s="8">
        <v>0</v>
      </c>
      <c r="X1876" s="8">
        <v>0</v>
      </c>
      <c r="Y1876" s="8">
        <v>1</v>
      </c>
      <c r="Z1876" s="8">
        <v>0</v>
      </c>
      <c r="AA1876" s="8">
        <v>180</v>
      </c>
      <c r="AB1876" s="9">
        <f t="shared" si="185"/>
        <v>0.16666666666666669</v>
      </c>
      <c r="AC1876" s="10">
        <f t="shared" si="187"/>
        <v>0</v>
      </c>
      <c r="AD1876" s="8" t="s">
        <v>33</v>
      </c>
      <c r="AE1876" s="11">
        <v>23990</v>
      </c>
      <c r="AF1876" s="11">
        <f t="shared" si="188"/>
        <v>0</v>
      </c>
      <c r="AG1876" s="12" t="s">
        <v>34</v>
      </c>
      <c r="AH1876" s="8" t="s">
        <v>35</v>
      </c>
    </row>
    <row r="1877" spans="1:34">
      <c r="A1877" s="8" t="s">
        <v>2596</v>
      </c>
      <c r="B1877" s="16" t="s">
        <v>2859</v>
      </c>
      <c r="C1877" s="8" t="s">
        <v>377</v>
      </c>
      <c r="D1877" s="8" t="s">
        <v>2571</v>
      </c>
      <c r="E1877" s="8" t="str">
        <f t="shared" si="186"/>
        <v>SUELA/AZUL</v>
      </c>
      <c r="G1877" s="8" t="s">
        <v>2861</v>
      </c>
      <c r="H1877" s="8" t="str">
        <f>VLOOKUP(A1877,[1]BBDD!$B$1:$J$3274,9,FALSE)</f>
        <v>U</v>
      </c>
      <c r="I1877" s="8" t="s">
        <v>2861</v>
      </c>
      <c r="J1877" s="8" t="s">
        <v>2597</v>
      </c>
      <c r="L1877" s="8" t="s">
        <v>1211</v>
      </c>
      <c r="N1877" s="8" t="s">
        <v>2593</v>
      </c>
      <c r="O1877" s="8" t="s">
        <v>90</v>
      </c>
      <c r="Q1877" s="8" t="s">
        <v>32</v>
      </c>
      <c r="R1877" s="8">
        <v>0</v>
      </c>
      <c r="S1877" s="8">
        <v>1</v>
      </c>
      <c r="T1877" s="8">
        <f t="shared" si="184"/>
        <v>1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8">
        <v>180</v>
      </c>
      <c r="AB1877" s="9">
        <f t="shared" si="185"/>
        <v>0</v>
      </c>
      <c r="AC1877" s="10" t="str">
        <f t="shared" si="187"/>
        <v>sin venta</v>
      </c>
      <c r="AD1877" s="8" t="s">
        <v>33</v>
      </c>
      <c r="AE1877" s="11">
        <v>23990</v>
      </c>
      <c r="AF1877" s="11">
        <f t="shared" si="188"/>
        <v>23990</v>
      </c>
      <c r="AG1877" s="12" t="s">
        <v>73</v>
      </c>
      <c r="AH1877" s="8" t="s">
        <v>35</v>
      </c>
    </row>
    <row r="1878" spans="1:34">
      <c r="A1878" s="8" t="s">
        <v>2598</v>
      </c>
      <c r="B1878" s="16" t="s">
        <v>2859</v>
      </c>
      <c r="C1878" s="8" t="s">
        <v>377</v>
      </c>
      <c r="D1878" s="8" t="s">
        <v>2571</v>
      </c>
      <c r="E1878" s="8" t="str">
        <f t="shared" si="186"/>
        <v>SUELA/VERDE</v>
      </c>
      <c r="G1878" s="8" t="s">
        <v>2861</v>
      </c>
      <c r="H1878" s="8" t="str">
        <f>VLOOKUP(A1878,[1]BBDD!$B$1:$J$3274,9,FALSE)</f>
        <v>U</v>
      </c>
      <c r="I1878" s="8" t="s">
        <v>2861</v>
      </c>
      <c r="J1878" s="8" t="s">
        <v>2599</v>
      </c>
      <c r="L1878" s="8" t="s">
        <v>1211</v>
      </c>
      <c r="N1878" s="8" t="s">
        <v>1500</v>
      </c>
      <c r="O1878" s="8" t="s">
        <v>90</v>
      </c>
      <c r="Q1878" s="8" t="s">
        <v>32</v>
      </c>
      <c r="R1878" s="8">
        <v>0</v>
      </c>
      <c r="S1878" s="8">
        <v>1</v>
      </c>
      <c r="T1878" s="8">
        <f t="shared" si="184"/>
        <v>1</v>
      </c>
      <c r="U1878" s="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8">
        <v>180</v>
      </c>
      <c r="AB1878" s="9">
        <f t="shared" si="185"/>
        <v>0</v>
      </c>
      <c r="AC1878" s="10" t="str">
        <f t="shared" si="187"/>
        <v>sin venta</v>
      </c>
      <c r="AD1878" s="8" t="s">
        <v>33</v>
      </c>
      <c r="AE1878" s="11">
        <v>23990</v>
      </c>
      <c r="AF1878" s="11">
        <f t="shared" si="188"/>
        <v>23990</v>
      </c>
      <c r="AG1878" s="12" t="s">
        <v>73</v>
      </c>
      <c r="AH1878" s="8" t="s">
        <v>35</v>
      </c>
    </row>
    <row r="1879" spans="1:34">
      <c r="A1879" s="8" t="s">
        <v>2600</v>
      </c>
      <c r="B1879" s="16" t="s">
        <v>2859</v>
      </c>
      <c r="C1879" s="8" t="s">
        <v>377</v>
      </c>
      <c r="D1879" s="8" t="s">
        <v>2571</v>
      </c>
      <c r="E1879" s="8" t="str">
        <f t="shared" si="186"/>
        <v>SUELA/MALBEC</v>
      </c>
      <c r="G1879" s="8" t="s">
        <v>2861</v>
      </c>
      <c r="H1879" s="8" t="str">
        <f>VLOOKUP(A1879,[1]BBDD!$B$1:$J$3274,9,FALSE)</f>
        <v>U</v>
      </c>
      <c r="I1879" s="8" t="s">
        <v>2861</v>
      </c>
      <c r="J1879" s="8" t="s">
        <v>2601</v>
      </c>
      <c r="L1879" s="8" t="s">
        <v>1211</v>
      </c>
      <c r="N1879" s="8" t="s">
        <v>2581</v>
      </c>
      <c r="O1879" s="8" t="s">
        <v>90</v>
      </c>
      <c r="Q1879" s="8" t="s">
        <v>32</v>
      </c>
      <c r="R1879" s="8">
        <v>0</v>
      </c>
      <c r="S1879" s="8">
        <v>0</v>
      </c>
      <c r="T1879" s="8">
        <f t="shared" si="184"/>
        <v>0</v>
      </c>
      <c r="U1879" s="8">
        <v>0</v>
      </c>
      <c r="V1879" s="8">
        <v>0</v>
      </c>
      <c r="W1879" s="8">
        <v>0</v>
      </c>
      <c r="X1879" s="8">
        <v>0</v>
      </c>
      <c r="Y1879" s="8">
        <v>1</v>
      </c>
      <c r="Z1879" s="8">
        <v>0</v>
      </c>
      <c r="AA1879" s="8">
        <v>180</v>
      </c>
      <c r="AB1879" s="9">
        <f t="shared" si="185"/>
        <v>0.16666666666666669</v>
      </c>
      <c r="AC1879" s="10">
        <f t="shared" si="187"/>
        <v>0</v>
      </c>
      <c r="AD1879" s="8" t="s">
        <v>33</v>
      </c>
      <c r="AE1879" s="11">
        <v>23990</v>
      </c>
      <c r="AF1879" s="11">
        <f t="shared" si="188"/>
        <v>0</v>
      </c>
      <c r="AG1879" s="12" t="s">
        <v>34</v>
      </c>
      <c r="AH1879" s="8" t="s">
        <v>35</v>
      </c>
    </row>
    <row r="1880" spans="1:34">
      <c r="A1880" s="8" t="s">
        <v>2602</v>
      </c>
      <c r="B1880" s="16" t="s">
        <v>2859</v>
      </c>
      <c r="C1880" s="8" t="s">
        <v>377</v>
      </c>
      <c r="D1880" s="8" t="s">
        <v>2571</v>
      </c>
      <c r="E1880" s="8" t="str">
        <f t="shared" si="186"/>
        <v>NATURAL/ROJO</v>
      </c>
      <c r="G1880" s="8" t="s">
        <v>2861</v>
      </c>
      <c r="H1880" s="8" t="str">
        <f>VLOOKUP(A1880,[1]BBDD!$B$1:$J$3274,9,FALSE)</f>
        <v>U</v>
      </c>
      <c r="I1880" s="8" t="s">
        <v>2861</v>
      </c>
      <c r="J1880" s="8" t="s">
        <v>2603</v>
      </c>
      <c r="L1880" s="8" t="s">
        <v>1211</v>
      </c>
      <c r="N1880" s="8" t="s">
        <v>1511</v>
      </c>
      <c r="O1880" s="8" t="s">
        <v>1983</v>
      </c>
      <c r="Q1880" s="8" t="s">
        <v>32</v>
      </c>
      <c r="R1880" s="8">
        <v>0</v>
      </c>
      <c r="S1880" s="8">
        <v>1</v>
      </c>
      <c r="T1880" s="8">
        <f t="shared" si="184"/>
        <v>1</v>
      </c>
      <c r="U1880" s="8">
        <v>0</v>
      </c>
      <c r="V1880" s="8">
        <v>0</v>
      </c>
      <c r="W1880" s="8">
        <v>0</v>
      </c>
      <c r="X1880" s="8">
        <v>0</v>
      </c>
      <c r="Y1880" s="8">
        <v>0</v>
      </c>
      <c r="Z1880" s="8">
        <v>0</v>
      </c>
      <c r="AA1880" s="8">
        <v>180</v>
      </c>
      <c r="AB1880" s="9">
        <f t="shared" si="185"/>
        <v>0</v>
      </c>
      <c r="AC1880" s="10" t="str">
        <f t="shared" si="187"/>
        <v>sin venta</v>
      </c>
      <c r="AD1880" s="8" t="s">
        <v>33</v>
      </c>
      <c r="AE1880" s="11">
        <v>23990</v>
      </c>
      <c r="AF1880" s="11">
        <f t="shared" si="188"/>
        <v>23990</v>
      </c>
      <c r="AG1880" s="12" t="s">
        <v>73</v>
      </c>
      <c r="AH1880" s="8" t="s">
        <v>35</v>
      </c>
    </row>
    <row r="1881" spans="1:34">
      <c r="A1881" s="8" t="s">
        <v>2604</v>
      </c>
      <c r="B1881" s="16" t="s">
        <v>2859</v>
      </c>
      <c r="C1881" s="8" t="s">
        <v>377</v>
      </c>
      <c r="D1881" s="8" t="s">
        <v>2571</v>
      </c>
      <c r="E1881" s="8" t="str">
        <f t="shared" si="186"/>
        <v>NATURAL/CHOCOLATE</v>
      </c>
      <c r="G1881" s="8" t="s">
        <v>2861</v>
      </c>
      <c r="H1881" s="8" t="str">
        <f>VLOOKUP(A1881,[1]BBDD!$B$1:$J$3274,9,FALSE)</f>
        <v>U</v>
      </c>
      <c r="I1881" s="8" t="s">
        <v>2861</v>
      </c>
      <c r="J1881" s="8" t="s">
        <v>2605</v>
      </c>
      <c r="L1881" s="8" t="s">
        <v>1211</v>
      </c>
      <c r="N1881" s="8" t="s">
        <v>2606</v>
      </c>
      <c r="O1881" s="8" t="s">
        <v>1983</v>
      </c>
      <c r="Q1881" s="8" t="s">
        <v>32</v>
      </c>
      <c r="R1881" s="8">
        <v>0</v>
      </c>
      <c r="S1881" s="8">
        <v>1</v>
      </c>
      <c r="T1881" s="8">
        <f t="shared" si="184"/>
        <v>1</v>
      </c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180</v>
      </c>
      <c r="AB1881" s="9">
        <f t="shared" si="185"/>
        <v>0</v>
      </c>
      <c r="AC1881" s="10" t="str">
        <f t="shared" si="187"/>
        <v>sin venta</v>
      </c>
      <c r="AD1881" s="8" t="s">
        <v>33</v>
      </c>
      <c r="AE1881" s="11">
        <v>23990</v>
      </c>
      <c r="AF1881" s="11">
        <f t="shared" si="188"/>
        <v>23990</v>
      </c>
      <c r="AG1881" s="12" t="s">
        <v>73</v>
      </c>
      <c r="AH1881" s="8" t="s">
        <v>35</v>
      </c>
    </row>
    <row r="1882" spans="1:34">
      <c r="A1882" s="8" t="s">
        <v>2607</v>
      </c>
      <c r="B1882" s="16" t="s">
        <v>2859</v>
      </c>
      <c r="C1882" s="8" t="s">
        <v>377</v>
      </c>
      <c r="D1882" s="8" t="s">
        <v>2571</v>
      </c>
      <c r="E1882" s="8" t="str">
        <f t="shared" si="186"/>
        <v>CEDRO</v>
      </c>
      <c r="G1882" s="8" t="s">
        <v>2861</v>
      </c>
      <c r="H1882" s="8" t="str">
        <f>VLOOKUP(A1882,[1]BBDD!$B$1:$J$3274,9,FALSE)</f>
        <v>U</v>
      </c>
      <c r="I1882" s="8" t="s">
        <v>2861</v>
      </c>
      <c r="J1882" s="8" t="s">
        <v>2608</v>
      </c>
      <c r="L1882" s="8" t="s">
        <v>112</v>
      </c>
      <c r="N1882" s="8" t="s">
        <v>113</v>
      </c>
      <c r="O1882" s="8" t="s">
        <v>113</v>
      </c>
      <c r="Q1882" s="8" t="s">
        <v>45</v>
      </c>
      <c r="R1882" s="8">
        <v>12</v>
      </c>
      <c r="S1882" s="8">
        <v>5</v>
      </c>
      <c r="T1882" s="8">
        <f t="shared" si="184"/>
        <v>17</v>
      </c>
      <c r="U1882" s="8">
        <v>0</v>
      </c>
      <c r="V1882" s="8">
        <v>0</v>
      </c>
      <c r="W1882" s="8">
        <v>0</v>
      </c>
      <c r="X1882" s="8">
        <v>2</v>
      </c>
      <c r="Y1882" s="8">
        <v>0</v>
      </c>
      <c r="Z1882" s="8">
        <v>1</v>
      </c>
      <c r="AA1882" s="8">
        <v>180</v>
      </c>
      <c r="AB1882" s="9">
        <f t="shared" si="185"/>
        <v>0.5</v>
      </c>
      <c r="AC1882" s="10">
        <f t="shared" si="187"/>
        <v>34</v>
      </c>
      <c r="AD1882" s="8" t="s">
        <v>109</v>
      </c>
      <c r="AE1882" s="11">
        <v>3990</v>
      </c>
      <c r="AF1882" s="11">
        <f t="shared" si="188"/>
        <v>67830</v>
      </c>
      <c r="AG1882" s="12" t="s">
        <v>73</v>
      </c>
      <c r="AH1882" s="8" t="s">
        <v>65</v>
      </c>
    </row>
    <row r="1883" spans="1:34">
      <c r="A1883" s="8" t="s">
        <v>2609</v>
      </c>
      <c r="B1883" s="16" t="s">
        <v>2859</v>
      </c>
      <c r="C1883" s="8" t="s">
        <v>377</v>
      </c>
      <c r="D1883" s="8" t="s">
        <v>2571</v>
      </c>
      <c r="E1883" s="8" t="str">
        <f t="shared" si="186"/>
        <v>CHOCOLATE</v>
      </c>
      <c r="G1883" s="8" t="s">
        <v>2861</v>
      </c>
      <c r="H1883" s="8" t="str">
        <f>VLOOKUP(A1883,[1]BBDD!$B$1:$J$3274,9,FALSE)</f>
        <v>U</v>
      </c>
      <c r="I1883" s="8" t="s">
        <v>2861</v>
      </c>
      <c r="J1883" s="8" t="s">
        <v>2608</v>
      </c>
      <c r="L1883" s="8" t="s">
        <v>1211</v>
      </c>
      <c r="N1883" s="8" t="s">
        <v>252</v>
      </c>
      <c r="O1883" s="8" t="s">
        <v>252</v>
      </c>
      <c r="Q1883" s="8" t="s">
        <v>45</v>
      </c>
      <c r="R1883" s="8">
        <v>9</v>
      </c>
      <c r="S1883" s="8">
        <v>8</v>
      </c>
      <c r="T1883" s="8">
        <f t="shared" si="184"/>
        <v>17</v>
      </c>
      <c r="U1883" s="8">
        <v>0</v>
      </c>
      <c r="V1883" s="8">
        <v>0</v>
      </c>
      <c r="W1883" s="8">
        <v>1</v>
      </c>
      <c r="X1883" s="8">
        <v>0</v>
      </c>
      <c r="Y1883" s="8">
        <v>5</v>
      </c>
      <c r="Z1883" s="8">
        <v>0</v>
      </c>
      <c r="AA1883" s="8">
        <v>180</v>
      </c>
      <c r="AB1883" s="9">
        <f t="shared" si="185"/>
        <v>1</v>
      </c>
      <c r="AC1883" s="10">
        <f t="shared" si="187"/>
        <v>17</v>
      </c>
      <c r="AD1883" s="8" t="s">
        <v>109</v>
      </c>
      <c r="AE1883" s="11">
        <v>3990</v>
      </c>
      <c r="AF1883" s="11">
        <f t="shared" si="188"/>
        <v>67830</v>
      </c>
      <c r="AG1883" s="12" t="s">
        <v>64</v>
      </c>
      <c r="AH1883" s="8" t="s">
        <v>65</v>
      </c>
    </row>
    <row r="1884" spans="1:34">
      <c r="A1884" s="8" t="s">
        <v>2610</v>
      </c>
      <c r="B1884" s="16" t="s">
        <v>2859</v>
      </c>
      <c r="C1884" s="8" t="s">
        <v>377</v>
      </c>
      <c r="D1884" s="8" t="s">
        <v>2571</v>
      </c>
      <c r="E1884" s="8" t="str">
        <f t="shared" si="186"/>
        <v>NATURAL</v>
      </c>
      <c r="G1884" s="8" t="s">
        <v>2861</v>
      </c>
      <c r="H1884" s="8" t="str">
        <f>VLOOKUP(A1884,[1]BBDD!$B$1:$J$3274,9,FALSE)</f>
        <v>U</v>
      </c>
      <c r="I1884" s="8" t="s">
        <v>2861</v>
      </c>
      <c r="J1884" s="8" t="s">
        <v>2608</v>
      </c>
      <c r="L1884" s="8" t="s">
        <v>1211</v>
      </c>
      <c r="N1884" s="8" t="s">
        <v>1983</v>
      </c>
      <c r="O1884" s="8" t="s">
        <v>1983</v>
      </c>
      <c r="Q1884" s="8" t="s">
        <v>45</v>
      </c>
      <c r="R1884" s="8">
        <v>30</v>
      </c>
      <c r="S1884" s="8">
        <v>11</v>
      </c>
      <c r="T1884" s="8">
        <f t="shared" si="184"/>
        <v>41</v>
      </c>
      <c r="U1884" s="8">
        <v>0</v>
      </c>
      <c r="V1884" s="8">
        <v>1</v>
      </c>
      <c r="W1884" s="8">
        <v>1</v>
      </c>
      <c r="X1884" s="8">
        <v>0</v>
      </c>
      <c r="Y1884" s="8">
        <v>1</v>
      </c>
      <c r="Z1884" s="8">
        <v>1</v>
      </c>
      <c r="AA1884" s="8">
        <v>180</v>
      </c>
      <c r="AB1884" s="9">
        <f t="shared" si="185"/>
        <v>0.66666666666666674</v>
      </c>
      <c r="AC1884" s="10">
        <f t="shared" si="187"/>
        <v>61.499999999999993</v>
      </c>
      <c r="AD1884" s="8" t="s">
        <v>109</v>
      </c>
      <c r="AE1884" s="11">
        <v>3990</v>
      </c>
      <c r="AF1884" s="11">
        <f t="shared" si="188"/>
        <v>163590</v>
      </c>
      <c r="AG1884" s="12" t="s">
        <v>73</v>
      </c>
      <c r="AH1884" s="8" t="s">
        <v>74</v>
      </c>
    </row>
    <row r="1885" spans="1:34">
      <c r="A1885" s="8" t="s">
        <v>2611</v>
      </c>
      <c r="B1885" s="16" t="s">
        <v>2859</v>
      </c>
      <c r="C1885" s="8" t="s">
        <v>377</v>
      </c>
      <c r="D1885" s="8" t="s">
        <v>2571</v>
      </c>
      <c r="E1885" s="8" t="str">
        <f t="shared" si="186"/>
        <v>NEGRO</v>
      </c>
      <c r="G1885" s="8" t="s">
        <v>2861</v>
      </c>
      <c r="H1885" s="8" t="str">
        <f>VLOOKUP(A1885,[1]BBDD!$B$1:$J$3274,9,FALSE)</f>
        <v>U</v>
      </c>
      <c r="I1885" s="8" t="s">
        <v>2861</v>
      </c>
      <c r="J1885" s="8" t="s">
        <v>2608</v>
      </c>
      <c r="L1885" s="8" t="s">
        <v>1211</v>
      </c>
      <c r="N1885" s="8" t="s">
        <v>44</v>
      </c>
      <c r="O1885" s="8" t="s">
        <v>44</v>
      </c>
      <c r="Q1885" s="8" t="s">
        <v>45</v>
      </c>
      <c r="R1885" s="8">
        <v>31</v>
      </c>
      <c r="S1885" s="8">
        <v>7</v>
      </c>
      <c r="T1885" s="8">
        <f t="shared" si="184"/>
        <v>38</v>
      </c>
      <c r="U1885" s="8">
        <v>0</v>
      </c>
      <c r="V1885" s="8">
        <v>0</v>
      </c>
      <c r="W1885" s="8">
        <v>1</v>
      </c>
      <c r="X1885" s="8">
        <v>0</v>
      </c>
      <c r="Y1885" s="8">
        <v>4</v>
      </c>
      <c r="Z1885" s="8">
        <v>0</v>
      </c>
      <c r="AA1885" s="8">
        <v>180</v>
      </c>
      <c r="AB1885" s="9">
        <f t="shared" si="185"/>
        <v>0.83333333333333326</v>
      </c>
      <c r="AC1885" s="10">
        <f t="shared" si="187"/>
        <v>45.6</v>
      </c>
      <c r="AD1885" s="8" t="s">
        <v>109</v>
      </c>
      <c r="AE1885" s="11">
        <v>3990</v>
      </c>
      <c r="AF1885" s="11">
        <f t="shared" si="188"/>
        <v>151620</v>
      </c>
      <c r="AG1885" s="12" t="s">
        <v>73</v>
      </c>
      <c r="AH1885" s="8" t="s">
        <v>74</v>
      </c>
    </row>
    <row r="1886" spans="1:34">
      <c r="A1886" s="8" t="s">
        <v>2612</v>
      </c>
      <c r="B1886" s="16" t="s">
        <v>2859</v>
      </c>
      <c r="C1886" s="8" t="s">
        <v>377</v>
      </c>
      <c r="D1886" s="8" t="s">
        <v>2571</v>
      </c>
      <c r="E1886" s="8" t="str">
        <f t="shared" si="186"/>
        <v>SUELA</v>
      </c>
      <c r="G1886" s="8" t="s">
        <v>2861</v>
      </c>
      <c r="H1886" s="8" t="str">
        <f>VLOOKUP(A1886,[1]BBDD!$B$1:$J$3274,9,FALSE)</f>
        <v>U</v>
      </c>
      <c r="I1886" s="8" t="s">
        <v>2861</v>
      </c>
      <c r="J1886" s="8" t="s">
        <v>2608</v>
      </c>
      <c r="L1886" s="8" t="s">
        <v>1211</v>
      </c>
      <c r="N1886" s="8" t="s">
        <v>90</v>
      </c>
      <c r="O1886" s="8" t="s">
        <v>90</v>
      </c>
      <c r="Q1886" s="8" t="s">
        <v>45</v>
      </c>
      <c r="R1886" s="8">
        <v>6</v>
      </c>
      <c r="S1886" s="8">
        <v>12</v>
      </c>
      <c r="T1886" s="8">
        <f t="shared" si="184"/>
        <v>18</v>
      </c>
      <c r="U1886" s="8">
        <v>0</v>
      </c>
      <c r="V1886" s="8">
        <v>0</v>
      </c>
      <c r="W1886" s="8">
        <v>1</v>
      </c>
      <c r="X1886" s="8">
        <v>2</v>
      </c>
      <c r="Y1886" s="8">
        <v>4</v>
      </c>
      <c r="Z1886" s="8">
        <v>0</v>
      </c>
      <c r="AA1886" s="8">
        <v>180</v>
      </c>
      <c r="AB1886" s="9">
        <f t="shared" si="185"/>
        <v>1.1666666666666667</v>
      </c>
      <c r="AC1886" s="10">
        <f t="shared" si="187"/>
        <v>15.428571428571427</v>
      </c>
      <c r="AD1886" s="8" t="s">
        <v>109</v>
      </c>
      <c r="AE1886" s="11">
        <v>3990</v>
      </c>
      <c r="AF1886" s="11">
        <f t="shared" si="188"/>
        <v>71820</v>
      </c>
      <c r="AG1886" s="12" t="s">
        <v>64</v>
      </c>
      <c r="AH1886" s="8" t="s">
        <v>65</v>
      </c>
    </row>
    <row r="1887" spans="1:34">
      <c r="A1887" s="8" t="s">
        <v>2613</v>
      </c>
      <c r="B1887" s="16" t="s">
        <v>2859</v>
      </c>
      <c r="C1887" s="8" t="s">
        <v>377</v>
      </c>
      <c r="D1887" s="8" t="s">
        <v>2571</v>
      </c>
      <c r="E1887" s="8" t="str">
        <f t="shared" si="186"/>
        <v>VISON</v>
      </c>
      <c r="G1887" s="8" t="s">
        <v>2861</v>
      </c>
      <c r="H1887" s="8" t="str">
        <f>VLOOKUP(A1887,[1]BBDD!$B$1:$J$3274,9,FALSE)</f>
        <v>U</v>
      </c>
      <c r="I1887" s="8" t="s">
        <v>2861</v>
      </c>
      <c r="J1887" s="8" t="s">
        <v>2608</v>
      </c>
      <c r="L1887" s="8" t="s">
        <v>1211</v>
      </c>
      <c r="N1887" s="8" t="s">
        <v>58</v>
      </c>
      <c r="O1887" s="8" t="s">
        <v>58</v>
      </c>
      <c r="Q1887" s="8" t="s">
        <v>45</v>
      </c>
      <c r="R1887" s="8">
        <v>7</v>
      </c>
      <c r="S1887" s="8">
        <v>6</v>
      </c>
      <c r="T1887" s="8">
        <f t="shared" si="184"/>
        <v>13</v>
      </c>
      <c r="U1887" s="8">
        <v>0</v>
      </c>
      <c r="V1887" s="8">
        <v>0</v>
      </c>
      <c r="W1887" s="8">
        <v>1</v>
      </c>
      <c r="X1887" s="8">
        <v>0</v>
      </c>
      <c r="Y1887" s="8">
        <v>0</v>
      </c>
      <c r="Z1887" s="8">
        <v>0</v>
      </c>
      <c r="AA1887" s="8">
        <v>180</v>
      </c>
      <c r="AB1887" s="9">
        <f t="shared" si="185"/>
        <v>0.16666666666666669</v>
      </c>
      <c r="AC1887" s="10">
        <f t="shared" si="187"/>
        <v>77.999999999999986</v>
      </c>
      <c r="AD1887" s="8" t="s">
        <v>109</v>
      </c>
      <c r="AE1887" s="11">
        <v>3990</v>
      </c>
      <c r="AF1887" s="11">
        <f t="shared" si="188"/>
        <v>51870</v>
      </c>
      <c r="AG1887" s="12" t="s">
        <v>73</v>
      </c>
      <c r="AH1887" s="8" t="s">
        <v>65</v>
      </c>
    </row>
    <row r="1888" spans="1:34">
      <c r="A1888" s="8" t="s">
        <v>2614</v>
      </c>
      <c r="B1888" s="16" t="s">
        <v>2859</v>
      </c>
      <c r="C1888" s="8" t="s">
        <v>377</v>
      </c>
      <c r="D1888" s="8" t="s">
        <v>2571</v>
      </c>
      <c r="E1888" s="8" t="str">
        <f t="shared" si="186"/>
        <v>AZUL</v>
      </c>
      <c r="G1888" s="8" t="s">
        <v>2861</v>
      </c>
      <c r="H1888" s="8" t="str">
        <f>VLOOKUP(A1888,[1]BBDD!$B$1:$J$3274,9,FALSE)</f>
        <v>U</v>
      </c>
      <c r="I1888" s="8" t="s">
        <v>2861</v>
      </c>
      <c r="J1888" s="8" t="s">
        <v>2615</v>
      </c>
      <c r="L1888" s="8" t="s">
        <v>61</v>
      </c>
      <c r="N1888" s="8" t="s">
        <v>83</v>
      </c>
      <c r="O1888" s="8" t="s">
        <v>83</v>
      </c>
      <c r="Q1888" s="8" t="s">
        <v>32</v>
      </c>
      <c r="R1888" s="8">
        <v>3</v>
      </c>
      <c r="S1888" s="8">
        <v>11</v>
      </c>
      <c r="T1888" s="8">
        <f t="shared" si="184"/>
        <v>14</v>
      </c>
      <c r="U1888" s="8">
        <v>2</v>
      </c>
      <c r="V1888" s="8">
        <v>4</v>
      </c>
      <c r="W1888" s="8">
        <v>2</v>
      </c>
      <c r="X1888" s="8">
        <v>1</v>
      </c>
      <c r="Y1888" s="8">
        <v>2</v>
      </c>
      <c r="Z1888" s="8">
        <v>0</v>
      </c>
      <c r="AA1888" s="8">
        <v>180</v>
      </c>
      <c r="AB1888" s="9">
        <f t="shared" si="185"/>
        <v>1.8333333333333333</v>
      </c>
      <c r="AC1888" s="10">
        <f t="shared" si="187"/>
        <v>7.6363636363636367</v>
      </c>
      <c r="AD1888" s="8" t="s">
        <v>33</v>
      </c>
      <c r="AE1888" s="11">
        <v>8990</v>
      </c>
      <c r="AF1888" s="11">
        <f t="shared" si="188"/>
        <v>125860</v>
      </c>
      <c r="AG1888" s="12" t="s">
        <v>51</v>
      </c>
      <c r="AH1888" s="8" t="s">
        <v>65</v>
      </c>
    </row>
    <row r="1889" spans="1:34">
      <c r="A1889" s="8" t="s">
        <v>2616</v>
      </c>
      <c r="B1889" s="16" t="s">
        <v>2859</v>
      </c>
      <c r="C1889" s="8" t="s">
        <v>377</v>
      </c>
      <c r="D1889" s="8" t="s">
        <v>2571</v>
      </c>
      <c r="E1889" s="8" t="str">
        <f t="shared" si="186"/>
        <v>NEGRO</v>
      </c>
      <c r="G1889" s="8" t="s">
        <v>2861</v>
      </c>
      <c r="H1889" s="8" t="str">
        <f>VLOOKUP(A1889,[1]BBDD!$B$1:$J$3274,9,FALSE)</f>
        <v>U</v>
      </c>
      <c r="I1889" s="8" t="s">
        <v>2861</v>
      </c>
      <c r="J1889" s="8" t="s">
        <v>2615</v>
      </c>
      <c r="L1889" s="8" t="s">
        <v>61</v>
      </c>
      <c r="N1889" s="8" t="s">
        <v>44</v>
      </c>
      <c r="O1889" s="8" t="s">
        <v>44</v>
      </c>
      <c r="Q1889" s="8" t="s">
        <v>32</v>
      </c>
      <c r="R1889" s="8">
        <v>21</v>
      </c>
      <c r="S1889" s="8">
        <v>12</v>
      </c>
      <c r="T1889" s="8">
        <f t="shared" si="184"/>
        <v>33</v>
      </c>
      <c r="U1889" s="8">
        <v>3</v>
      </c>
      <c r="V1889" s="8">
        <v>1</v>
      </c>
      <c r="W1889" s="8">
        <v>2</v>
      </c>
      <c r="X1889" s="8">
        <v>1</v>
      </c>
      <c r="Y1889" s="8">
        <v>0</v>
      </c>
      <c r="Z1889" s="8">
        <v>0</v>
      </c>
      <c r="AA1889" s="8">
        <v>180</v>
      </c>
      <c r="AB1889" s="9">
        <f t="shared" si="185"/>
        <v>1.1666666666666667</v>
      </c>
      <c r="AC1889" s="10">
        <f t="shared" si="187"/>
        <v>28.285714285714285</v>
      </c>
      <c r="AD1889" s="8" t="s">
        <v>33</v>
      </c>
      <c r="AE1889" s="11">
        <v>8990</v>
      </c>
      <c r="AF1889" s="11">
        <f t="shared" si="188"/>
        <v>296670</v>
      </c>
      <c r="AG1889" s="12" t="s">
        <v>73</v>
      </c>
      <c r="AH1889" s="8" t="s">
        <v>74</v>
      </c>
    </row>
    <row r="1890" spans="1:34">
      <c r="A1890" s="8" t="s">
        <v>2617</v>
      </c>
      <c r="B1890" s="16" t="s">
        <v>2859</v>
      </c>
      <c r="C1890" s="8" t="s">
        <v>377</v>
      </c>
      <c r="D1890" s="8" t="s">
        <v>2571</v>
      </c>
      <c r="E1890" s="8" t="str">
        <f t="shared" si="186"/>
        <v>ROJO</v>
      </c>
      <c r="G1890" s="8" t="s">
        <v>2861</v>
      </c>
      <c r="H1890" s="8" t="str">
        <f>VLOOKUP(A1890,[1]BBDD!$B$1:$J$3274,9,FALSE)</f>
        <v>U</v>
      </c>
      <c r="I1890" s="8" t="s">
        <v>2861</v>
      </c>
      <c r="J1890" s="8" t="s">
        <v>2615</v>
      </c>
      <c r="L1890" s="8" t="s">
        <v>61</v>
      </c>
      <c r="N1890" s="8" t="s">
        <v>88</v>
      </c>
      <c r="O1890" s="8" t="s">
        <v>88</v>
      </c>
      <c r="Q1890" s="8" t="s">
        <v>32</v>
      </c>
      <c r="R1890" s="8">
        <v>15</v>
      </c>
      <c r="S1890" s="8">
        <v>18</v>
      </c>
      <c r="T1890" s="8">
        <f t="shared" si="184"/>
        <v>33</v>
      </c>
      <c r="U1890" s="8">
        <v>4</v>
      </c>
      <c r="V1890" s="8">
        <v>6</v>
      </c>
      <c r="W1890" s="8">
        <v>2</v>
      </c>
      <c r="X1890" s="8">
        <v>0</v>
      </c>
      <c r="Y1890" s="8">
        <v>3</v>
      </c>
      <c r="Z1890" s="8">
        <v>2</v>
      </c>
      <c r="AA1890" s="8">
        <v>180</v>
      </c>
      <c r="AB1890" s="9">
        <f t="shared" si="185"/>
        <v>2.833333333333333</v>
      </c>
      <c r="AC1890" s="10">
        <f t="shared" si="187"/>
        <v>11.647058823529413</v>
      </c>
      <c r="AD1890" s="8" t="s">
        <v>33</v>
      </c>
      <c r="AE1890" s="11">
        <v>8990</v>
      </c>
      <c r="AF1890" s="11">
        <f t="shared" si="188"/>
        <v>296670</v>
      </c>
      <c r="AG1890" s="12" t="s">
        <v>51</v>
      </c>
      <c r="AH1890" s="8" t="s">
        <v>74</v>
      </c>
    </row>
    <row r="1891" spans="1:34">
      <c r="A1891" s="8" t="s">
        <v>2618</v>
      </c>
      <c r="B1891" s="16" t="s">
        <v>2859</v>
      </c>
      <c r="C1891" s="8" t="s">
        <v>377</v>
      </c>
      <c r="D1891" s="8" t="s">
        <v>2571</v>
      </c>
      <c r="E1891" s="8" t="str">
        <f t="shared" si="186"/>
        <v>VERDE</v>
      </c>
      <c r="G1891" s="8" t="s">
        <v>2861</v>
      </c>
      <c r="H1891" s="8" t="str">
        <f>VLOOKUP(A1891,[1]BBDD!$B$1:$J$3274,9,FALSE)</f>
        <v>U</v>
      </c>
      <c r="I1891" s="8" t="s">
        <v>2861</v>
      </c>
      <c r="J1891" s="8" t="s">
        <v>2615</v>
      </c>
      <c r="L1891" s="8" t="s">
        <v>61</v>
      </c>
      <c r="N1891" s="8" t="s">
        <v>92</v>
      </c>
      <c r="O1891" s="8" t="s">
        <v>92</v>
      </c>
      <c r="Q1891" s="8" t="s">
        <v>32</v>
      </c>
      <c r="R1891" s="8">
        <v>0</v>
      </c>
      <c r="S1891" s="8">
        <v>7</v>
      </c>
      <c r="T1891" s="8">
        <f t="shared" si="184"/>
        <v>7</v>
      </c>
      <c r="U1891" s="8">
        <v>5</v>
      </c>
      <c r="V1891" s="8">
        <v>2</v>
      </c>
      <c r="W1891" s="8">
        <v>2</v>
      </c>
      <c r="X1891" s="8">
        <v>3</v>
      </c>
      <c r="Y1891" s="8">
        <v>2</v>
      </c>
      <c r="Z1891" s="8">
        <v>0</v>
      </c>
      <c r="AA1891" s="8">
        <v>180</v>
      </c>
      <c r="AB1891" s="9">
        <f t="shared" si="185"/>
        <v>2.3333333333333335</v>
      </c>
      <c r="AC1891" s="10">
        <f t="shared" si="187"/>
        <v>3</v>
      </c>
      <c r="AD1891" s="8" t="s">
        <v>33</v>
      </c>
      <c r="AE1891" s="11">
        <v>8990</v>
      </c>
      <c r="AF1891" s="11">
        <f t="shared" si="188"/>
        <v>62930</v>
      </c>
      <c r="AG1891" s="12" t="s">
        <v>34</v>
      </c>
      <c r="AH1891" s="8" t="s">
        <v>35</v>
      </c>
    </row>
    <row r="1892" spans="1:34">
      <c r="A1892" s="8" t="s">
        <v>2619</v>
      </c>
      <c r="B1892" s="16" t="s">
        <v>2859</v>
      </c>
      <c r="C1892" s="8" t="s">
        <v>377</v>
      </c>
      <c r="D1892" s="8" t="s">
        <v>2571</v>
      </c>
      <c r="E1892" s="8" t="str">
        <f t="shared" si="186"/>
        <v>CARAMELO</v>
      </c>
      <c r="G1892" s="8" t="s">
        <v>2861</v>
      </c>
      <c r="H1892" s="8" t="str">
        <f>VLOOKUP(A1892,[1]BBDD!$B$1:$J$3274,9,FALSE)</f>
        <v>U</v>
      </c>
      <c r="I1892" s="8" t="s">
        <v>2861</v>
      </c>
      <c r="J1892" s="8" t="s">
        <v>2615</v>
      </c>
      <c r="L1892" s="8" t="s">
        <v>61</v>
      </c>
      <c r="N1892" s="8" t="s">
        <v>62</v>
      </c>
      <c r="O1892" s="8" t="s">
        <v>62</v>
      </c>
      <c r="Q1892" s="8" t="s">
        <v>45</v>
      </c>
      <c r="R1892" s="8">
        <v>12</v>
      </c>
      <c r="S1892" s="8">
        <v>14</v>
      </c>
      <c r="T1892" s="8">
        <f t="shared" si="184"/>
        <v>26</v>
      </c>
      <c r="U1892" s="8">
        <v>1</v>
      </c>
      <c r="V1892" s="8">
        <v>1</v>
      </c>
      <c r="W1892" s="8">
        <v>2</v>
      </c>
      <c r="X1892" s="8">
        <v>3</v>
      </c>
      <c r="Y1892" s="8">
        <v>0</v>
      </c>
      <c r="Z1892" s="8">
        <v>1</v>
      </c>
      <c r="AA1892" s="8">
        <v>180</v>
      </c>
      <c r="AB1892" s="9">
        <f t="shared" si="185"/>
        <v>1.3333333333333335</v>
      </c>
      <c r="AC1892" s="10">
        <f t="shared" si="187"/>
        <v>19.499999999999996</v>
      </c>
      <c r="AD1892" s="8" t="s">
        <v>109</v>
      </c>
      <c r="AE1892" s="11">
        <v>8990</v>
      </c>
      <c r="AF1892" s="11">
        <f t="shared" si="188"/>
        <v>233740</v>
      </c>
      <c r="AG1892" s="12" t="s">
        <v>64</v>
      </c>
      <c r="AH1892" s="8" t="s">
        <v>74</v>
      </c>
    </row>
    <row r="1893" spans="1:34">
      <c r="A1893" s="8" t="s">
        <v>2620</v>
      </c>
      <c r="B1893" s="16" t="s">
        <v>2859</v>
      </c>
      <c r="C1893" s="8" t="s">
        <v>377</v>
      </c>
      <c r="D1893" s="8" t="s">
        <v>2571</v>
      </c>
      <c r="E1893" s="8" t="str">
        <f t="shared" si="186"/>
        <v>TABACO</v>
      </c>
      <c r="G1893" s="8" t="s">
        <v>2861</v>
      </c>
      <c r="H1893" s="8" t="str">
        <f>VLOOKUP(A1893,[1]BBDD!$B$1:$J$3274,9,FALSE)</f>
        <v>U</v>
      </c>
      <c r="I1893" s="8" t="s">
        <v>2861</v>
      </c>
      <c r="J1893" s="8" t="s">
        <v>2615</v>
      </c>
      <c r="L1893" s="8" t="s">
        <v>61</v>
      </c>
      <c r="N1893" s="8" t="s">
        <v>67</v>
      </c>
      <c r="O1893" s="8" t="s">
        <v>67</v>
      </c>
      <c r="Q1893" s="8" t="s">
        <v>45</v>
      </c>
      <c r="R1893" s="8">
        <v>9</v>
      </c>
      <c r="S1893" s="8">
        <v>14</v>
      </c>
      <c r="T1893" s="8">
        <f t="shared" si="184"/>
        <v>23</v>
      </c>
      <c r="U1893" s="8">
        <v>1</v>
      </c>
      <c r="V1893" s="8">
        <v>0</v>
      </c>
      <c r="W1893" s="8">
        <v>1</v>
      </c>
      <c r="X1893" s="8">
        <v>2</v>
      </c>
      <c r="Y1893" s="8">
        <v>1</v>
      </c>
      <c r="Z1893" s="8">
        <v>0</v>
      </c>
      <c r="AA1893" s="8">
        <v>180</v>
      </c>
      <c r="AB1893" s="9">
        <f t="shared" si="185"/>
        <v>0.83333333333333326</v>
      </c>
      <c r="AC1893" s="10">
        <f t="shared" si="187"/>
        <v>27.6</v>
      </c>
      <c r="AD1893" s="8" t="s">
        <v>109</v>
      </c>
      <c r="AE1893" s="11">
        <v>8990</v>
      </c>
      <c r="AF1893" s="11">
        <f t="shared" si="188"/>
        <v>206770</v>
      </c>
      <c r="AG1893" s="12" t="s">
        <v>73</v>
      </c>
      <c r="AH1893" s="8" t="s">
        <v>74</v>
      </c>
    </row>
    <row r="1894" spans="1:34">
      <c r="A1894" s="8" t="s">
        <v>2621</v>
      </c>
      <c r="B1894" s="16" t="s">
        <v>2859</v>
      </c>
      <c r="C1894" s="8" t="s">
        <v>248</v>
      </c>
      <c r="D1894" s="8" t="s">
        <v>2622</v>
      </c>
      <c r="E1894" s="8" t="str">
        <f t="shared" si="186"/>
        <v>AZUL</v>
      </c>
      <c r="G1894" s="8" t="s">
        <v>2861</v>
      </c>
      <c r="H1894" s="8" t="str">
        <f>VLOOKUP(A1894,[1]BBDD!$B$1:$J$3274,9,FALSE)</f>
        <v>U</v>
      </c>
      <c r="I1894" s="8" t="s">
        <v>2861</v>
      </c>
      <c r="J1894" s="8" t="s">
        <v>2623</v>
      </c>
      <c r="L1894" s="8" t="s">
        <v>61</v>
      </c>
      <c r="N1894" s="8" t="s">
        <v>83</v>
      </c>
      <c r="O1894" s="8" t="s">
        <v>83</v>
      </c>
      <c r="Q1894" s="8" t="s">
        <v>32</v>
      </c>
      <c r="R1894" s="8">
        <v>0</v>
      </c>
      <c r="S1894" s="8">
        <v>2</v>
      </c>
      <c r="T1894" s="8">
        <f t="shared" si="184"/>
        <v>2</v>
      </c>
      <c r="U1894" s="8">
        <v>9</v>
      </c>
      <c r="V1894" s="8">
        <v>6</v>
      </c>
      <c r="W1894" s="8">
        <v>8</v>
      </c>
      <c r="X1894" s="8">
        <v>0</v>
      </c>
      <c r="Y1894" s="8">
        <v>0</v>
      </c>
      <c r="Z1894" s="8">
        <v>0</v>
      </c>
      <c r="AA1894" s="8">
        <v>180</v>
      </c>
      <c r="AB1894" s="9">
        <f t="shared" si="185"/>
        <v>3.833333333333333</v>
      </c>
      <c r="AC1894" s="10">
        <f t="shared" si="187"/>
        <v>0.52173913043478259</v>
      </c>
      <c r="AD1894" s="8" t="s">
        <v>33</v>
      </c>
      <c r="AE1894" s="11">
        <v>9990</v>
      </c>
      <c r="AF1894" s="11">
        <f t="shared" si="188"/>
        <v>19980</v>
      </c>
      <c r="AG1894" s="12" t="s">
        <v>34</v>
      </c>
      <c r="AH1894" s="8" t="s">
        <v>35</v>
      </c>
    </row>
    <row r="1895" spans="1:34">
      <c r="A1895" s="8" t="s">
        <v>2624</v>
      </c>
      <c r="B1895" s="16" t="s">
        <v>2859</v>
      </c>
      <c r="C1895" s="8" t="s">
        <v>248</v>
      </c>
      <c r="D1895" s="8" t="s">
        <v>2622</v>
      </c>
      <c r="E1895" s="8" t="str">
        <f t="shared" si="186"/>
        <v>CARAMELO</v>
      </c>
      <c r="G1895" s="8" t="s">
        <v>2861</v>
      </c>
      <c r="H1895" s="8" t="str">
        <f>VLOOKUP(A1895,[1]BBDD!$B$1:$J$3274,9,FALSE)</f>
        <v>U</v>
      </c>
      <c r="I1895" s="8" t="s">
        <v>2861</v>
      </c>
      <c r="J1895" s="8" t="s">
        <v>2623</v>
      </c>
      <c r="L1895" s="8" t="s">
        <v>61</v>
      </c>
      <c r="N1895" s="8" t="s">
        <v>62</v>
      </c>
      <c r="O1895" s="8" t="s">
        <v>62</v>
      </c>
      <c r="Q1895" s="8" t="s">
        <v>32</v>
      </c>
      <c r="R1895" s="8">
        <v>30</v>
      </c>
      <c r="S1895" s="8">
        <v>15</v>
      </c>
      <c r="T1895" s="8">
        <f t="shared" si="184"/>
        <v>45</v>
      </c>
      <c r="U1895" s="8">
        <v>3</v>
      </c>
      <c r="V1895" s="8">
        <v>9</v>
      </c>
      <c r="W1895" s="8">
        <v>8</v>
      </c>
      <c r="X1895" s="8">
        <v>6</v>
      </c>
      <c r="Y1895" s="8">
        <v>5</v>
      </c>
      <c r="Z1895" s="8">
        <v>9</v>
      </c>
      <c r="AA1895" s="8">
        <v>180</v>
      </c>
      <c r="AB1895" s="9">
        <f t="shared" si="185"/>
        <v>6.6666666666666661</v>
      </c>
      <c r="AC1895" s="10">
        <f t="shared" si="187"/>
        <v>6.7500000000000009</v>
      </c>
      <c r="AD1895" s="8" t="s">
        <v>33</v>
      </c>
      <c r="AE1895" s="11">
        <v>9990</v>
      </c>
      <c r="AF1895" s="11">
        <f t="shared" si="188"/>
        <v>449550</v>
      </c>
      <c r="AG1895" s="12" t="s">
        <v>51</v>
      </c>
      <c r="AH1895" s="8" t="s">
        <v>74</v>
      </c>
    </row>
    <row r="1896" spans="1:34">
      <c r="A1896" s="8" t="s">
        <v>2625</v>
      </c>
      <c r="B1896" s="16" t="s">
        <v>2859</v>
      </c>
      <c r="C1896" s="8" t="s">
        <v>248</v>
      </c>
      <c r="D1896" s="8" t="s">
        <v>2622</v>
      </c>
      <c r="E1896" s="8" t="str">
        <f t="shared" si="186"/>
        <v>MALBEC</v>
      </c>
      <c r="G1896" s="8" t="s">
        <v>2861</v>
      </c>
      <c r="H1896" s="8" t="str">
        <f>VLOOKUP(A1896,[1]BBDD!$B$1:$J$3274,9,FALSE)</f>
        <v>U</v>
      </c>
      <c r="I1896" s="8" t="s">
        <v>2861</v>
      </c>
      <c r="J1896" s="8" t="s">
        <v>2623</v>
      </c>
      <c r="L1896" s="8" t="s">
        <v>61</v>
      </c>
      <c r="N1896" s="8" t="s">
        <v>69</v>
      </c>
      <c r="O1896" s="8" t="s">
        <v>69</v>
      </c>
      <c r="Q1896" s="8" t="s">
        <v>32</v>
      </c>
      <c r="R1896" s="8">
        <v>0</v>
      </c>
      <c r="S1896" s="8">
        <v>12</v>
      </c>
      <c r="T1896" s="8">
        <f t="shared" si="184"/>
        <v>12</v>
      </c>
      <c r="U1896" s="8">
        <v>10</v>
      </c>
      <c r="V1896" s="8">
        <v>17</v>
      </c>
      <c r="W1896" s="8">
        <v>19</v>
      </c>
      <c r="X1896" s="8">
        <v>10</v>
      </c>
      <c r="Y1896" s="8">
        <v>12</v>
      </c>
      <c r="Z1896" s="8">
        <v>7</v>
      </c>
      <c r="AA1896" s="8">
        <v>180</v>
      </c>
      <c r="AB1896" s="9">
        <f t="shared" si="185"/>
        <v>12.5</v>
      </c>
      <c r="AC1896" s="10">
        <f t="shared" si="187"/>
        <v>0.96</v>
      </c>
      <c r="AD1896" s="8" t="s">
        <v>33</v>
      </c>
      <c r="AE1896" s="11">
        <v>9990</v>
      </c>
      <c r="AF1896" s="11">
        <f t="shared" si="188"/>
        <v>119880</v>
      </c>
      <c r="AG1896" s="12" t="s">
        <v>34</v>
      </c>
      <c r="AH1896" s="8" t="s">
        <v>65</v>
      </c>
    </row>
    <row r="1897" spans="1:34">
      <c r="A1897" s="8" t="s">
        <v>2626</v>
      </c>
      <c r="B1897" s="16" t="s">
        <v>2859</v>
      </c>
      <c r="C1897" s="8" t="s">
        <v>248</v>
      </c>
      <c r="D1897" s="8" t="s">
        <v>2622</v>
      </c>
      <c r="E1897" s="8" t="str">
        <f t="shared" si="186"/>
        <v>NEGRO</v>
      </c>
      <c r="G1897" s="8" t="s">
        <v>2861</v>
      </c>
      <c r="H1897" s="8" t="str">
        <f>VLOOKUP(A1897,[1]BBDD!$B$1:$J$3274,9,FALSE)</f>
        <v>U</v>
      </c>
      <c r="I1897" s="8" t="s">
        <v>2861</v>
      </c>
      <c r="J1897" s="8" t="s">
        <v>2623</v>
      </c>
      <c r="L1897" s="8" t="s">
        <v>61</v>
      </c>
      <c r="N1897" s="8" t="s">
        <v>44</v>
      </c>
      <c r="O1897" s="8" t="s">
        <v>44</v>
      </c>
      <c r="Q1897" s="8" t="s">
        <v>32</v>
      </c>
      <c r="R1897" s="8">
        <v>26</v>
      </c>
      <c r="S1897" s="8">
        <v>16</v>
      </c>
      <c r="T1897" s="8">
        <f t="shared" si="184"/>
        <v>42</v>
      </c>
      <c r="U1897" s="8">
        <v>13</v>
      </c>
      <c r="V1897" s="8">
        <v>4</v>
      </c>
      <c r="W1897" s="8">
        <v>11</v>
      </c>
      <c r="X1897" s="8">
        <v>11</v>
      </c>
      <c r="Y1897" s="8">
        <v>7</v>
      </c>
      <c r="Z1897" s="8">
        <v>5</v>
      </c>
      <c r="AA1897" s="8">
        <v>180</v>
      </c>
      <c r="AB1897" s="9">
        <f t="shared" si="185"/>
        <v>8.5</v>
      </c>
      <c r="AC1897" s="10">
        <f t="shared" si="187"/>
        <v>4.9411764705882355</v>
      </c>
      <c r="AD1897" s="8" t="s">
        <v>33</v>
      </c>
      <c r="AE1897" s="11">
        <v>9990</v>
      </c>
      <c r="AF1897" s="11">
        <f t="shared" si="188"/>
        <v>419580</v>
      </c>
      <c r="AG1897" s="12" t="s">
        <v>34</v>
      </c>
      <c r="AH1897" s="8" t="s">
        <v>74</v>
      </c>
    </row>
    <row r="1898" spans="1:34">
      <c r="A1898" s="8" t="s">
        <v>2627</v>
      </c>
      <c r="B1898" s="16" t="s">
        <v>2859</v>
      </c>
      <c r="C1898" s="8" t="s">
        <v>248</v>
      </c>
      <c r="D1898" s="8" t="s">
        <v>2622</v>
      </c>
      <c r="E1898" s="8" t="str">
        <f t="shared" si="186"/>
        <v>ROJO</v>
      </c>
      <c r="G1898" s="8" t="s">
        <v>2861</v>
      </c>
      <c r="H1898" s="8" t="str">
        <f>VLOOKUP(A1898,[1]BBDD!$B$1:$J$3274,9,FALSE)</f>
        <v>U</v>
      </c>
      <c r="I1898" s="8" t="s">
        <v>2861</v>
      </c>
      <c r="J1898" s="8" t="s">
        <v>2623</v>
      </c>
      <c r="L1898" s="8" t="s">
        <v>61</v>
      </c>
      <c r="N1898" s="8" t="s">
        <v>88</v>
      </c>
      <c r="O1898" s="8" t="s">
        <v>88</v>
      </c>
      <c r="Q1898" s="8" t="s">
        <v>32</v>
      </c>
      <c r="R1898" s="8">
        <v>43</v>
      </c>
      <c r="S1898" s="8">
        <v>23</v>
      </c>
      <c r="T1898" s="8">
        <f t="shared" si="184"/>
        <v>66</v>
      </c>
      <c r="U1898" s="8">
        <v>12</v>
      </c>
      <c r="V1898" s="8">
        <v>12</v>
      </c>
      <c r="W1898" s="8">
        <v>12</v>
      </c>
      <c r="X1898" s="8">
        <v>16</v>
      </c>
      <c r="Y1898" s="8">
        <v>5</v>
      </c>
      <c r="Z1898" s="8">
        <v>9</v>
      </c>
      <c r="AA1898" s="8">
        <v>180</v>
      </c>
      <c r="AB1898" s="9">
        <f t="shared" si="185"/>
        <v>11</v>
      </c>
      <c r="AC1898" s="10">
        <f t="shared" si="187"/>
        <v>6</v>
      </c>
      <c r="AD1898" s="8" t="s">
        <v>33</v>
      </c>
      <c r="AE1898" s="11">
        <v>9990</v>
      </c>
      <c r="AF1898" s="11">
        <f t="shared" si="188"/>
        <v>659340</v>
      </c>
      <c r="AG1898" s="12" t="s">
        <v>34</v>
      </c>
      <c r="AH1898" s="8" t="s">
        <v>74</v>
      </c>
    </row>
    <row r="1899" spans="1:34">
      <c r="A1899" s="8" t="s">
        <v>2628</v>
      </c>
      <c r="B1899" s="16" t="s">
        <v>2859</v>
      </c>
      <c r="C1899" s="8" t="s">
        <v>248</v>
      </c>
      <c r="D1899" s="8" t="s">
        <v>2622</v>
      </c>
      <c r="E1899" s="8" t="str">
        <f t="shared" si="186"/>
        <v>TABACO</v>
      </c>
      <c r="G1899" s="8" t="s">
        <v>2861</v>
      </c>
      <c r="H1899" s="8" t="str">
        <f>VLOOKUP(A1899,[1]BBDD!$B$1:$J$3274,9,FALSE)</f>
        <v>U</v>
      </c>
      <c r="I1899" s="8" t="s">
        <v>2861</v>
      </c>
      <c r="J1899" s="8" t="s">
        <v>2623</v>
      </c>
      <c r="L1899" s="8" t="s">
        <v>61</v>
      </c>
      <c r="N1899" s="8" t="s">
        <v>67</v>
      </c>
      <c r="O1899" s="8" t="s">
        <v>67</v>
      </c>
      <c r="Q1899" s="8" t="s">
        <v>32</v>
      </c>
      <c r="R1899" s="8">
        <v>16</v>
      </c>
      <c r="S1899" s="8">
        <v>21</v>
      </c>
      <c r="T1899" s="8">
        <f t="shared" si="184"/>
        <v>37</v>
      </c>
      <c r="U1899" s="8">
        <v>5</v>
      </c>
      <c r="V1899" s="8">
        <v>5</v>
      </c>
      <c r="W1899" s="8">
        <v>8</v>
      </c>
      <c r="X1899" s="8">
        <v>11</v>
      </c>
      <c r="Y1899" s="8">
        <v>10</v>
      </c>
      <c r="Z1899" s="8">
        <v>9</v>
      </c>
      <c r="AA1899" s="8">
        <v>180</v>
      </c>
      <c r="AB1899" s="9">
        <f t="shared" si="185"/>
        <v>8</v>
      </c>
      <c r="AC1899" s="10">
        <f t="shared" si="187"/>
        <v>4.625</v>
      </c>
      <c r="AD1899" s="8" t="s">
        <v>33</v>
      </c>
      <c r="AE1899" s="11">
        <v>9990</v>
      </c>
      <c r="AF1899" s="11">
        <f t="shared" si="188"/>
        <v>369630</v>
      </c>
      <c r="AG1899" s="12" t="s">
        <v>34</v>
      </c>
      <c r="AH1899" s="8" t="s">
        <v>74</v>
      </c>
    </row>
    <row r="1900" spans="1:34">
      <c r="A1900" s="8" t="s">
        <v>2629</v>
      </c>
      <c r="B1900" s="16" t="s">
        <v>2859</v>
      </c>
      <c r="C1900" s="8" t="s">
        <v>248</v>
      </c>
      <c r="D1900" s="8" t="s">
        <v>2622</v>
      </c>
      <c r="E1900" s="8" t="str">
        <f t="shared" si="186"/>
        <v>VERDE</v>
      </c>
      <c r="G1900" s="8" t="s">
        <v>2861</v>
      </c>
      <c r="H1900" s="8" t="str">
        <f>VLOOKUP(A1900,[1]BBDD!$B$1:$J$3274,9,FALSE)</f>
        <v>U</v>
      </c>
      <c r="I1900" s="8" t="s">
        <v>2861</v>
      </c>
      <c r="J1900" s="8" t="s">
        <v>2623</v>
      </c>
      <c r="L1900" s="8" t="s">
        <v>61</v>
      </c>
      <c r="N1900" s="8" t="s">
        <v>92</v>
      </c>
      <c r="O1900" s="8" t="s">
        <v>92</v>
      </c>
      <c r="Q1900" s="8" t="s">
        <v>32</v>
      </c>
      <c r="R1900" s="8">
        <v>0</v>
      </c>
      <c r="S1900" s="8">
        <v>0</v>
      </c>
      <c r="T1900" s="8">
        <f t="shared" si="184"/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0</v>
      </c>
      <c r="Z1900" s="8">
        <v>0</v>
      </c>
      <c r="AA1900" s="8">
        <v>180</v>
      </c>
      <c r="AB1900" s="9">
        <f t="shared" si="185"/>
        <v>0</v>
      </c>
      <c r="AC1900" s="10" t="str">
        <f t="shared" si="187"/>
        <v>sin venta</v>
      </c>
      <c r="AD1900" s="8" t="s">
        <v>33</v>
      </c>
      <c r="AE1900" s="11">
        <v>9990</v>
      </c>
      <c r="AF1900" s="11">
        <f t="shared" si="188"/>
        <v>0</v>
      </c>
      <c r="AG1900" s="12" t="s">
        <v>73</v>
      </c>
      <c r="AH1900" s="8" t="s">
        <v>35</v>
      </c>
    </row>
    <row r="1901" spans="1:34">
      <c r="A1901" s="8" t="s">
        <v>2630</v>
      </c>
      <c r="B1901" s="16" t="s">
        <v>2859</v>
      </c>
      <c r="C1901" s="8" t="s">
        <v>248</v>
      </c>
      <c r="D1901" s="8" t="s">
        <v>2622</v>
      </c>
      <c r="E1901" s="8" t="str">
        <f t="shared" si="186"/>
        <v>CEDRO</v>
      </c>
      <c r="G1901" s="8" t="s">
        <v>2861</v>
      </c>
      <c r="H1901" s="8" t="str">
        <f>VLOOKUP(A1901,[1]BBDD!$B$1:$J$3274,9,FALSE)</f>
        <v>U</v>
      </c>
      <c r="I1901" s="8" t="s">
        <v>2861</v>
      </c>
      <c r="J1901" s="8" t="s">
        <v>2623</v>
      </c>
      <c r="L1901" s="8" t="s">
        <v>112</v>
      </c>
      <c r="N1901" s="8" t="s">
        <v>113</v>
      </c>
      <c r="O1901" s="8" t="s">
        <v>113</v>
      </c>
      <c r="Q1901" s="8" t="s">
        <v>32</v>
      </c>
      <c r="R1901" s="8">
        <v>3</v>
      </c>
      <c r="S1901" s="8">
        <v>16</v>
      </c>
      <c r="T1901" s="8">
        <f t="shared" si="184"/>
        <v>19</v>
      </c>
      <c r="U1901" s="8">
        <v>6</v>
      </c>
      <c r="V1901" s="8">
        <v>3</v>
      </c>
      <c r="W1901" s="8">
        <v>6</v>
      </c>
      <c r="X1901" s="8">
        <v>8</v>
      </c>
      <c r="Y1901" s="8">
        <v>8</v>
      </c>
      <c r="Z1901" s="8">
        <v>6</v>
      </c>
      <c r="AA1901" s="8">
        <v>180</v>
      </c>
      <c r="AB1901" s="9">
        <f t="shared" si="185"/>
        <v>6.1666666666666661</v>
      </c>
      <c r="AC1901" s="10">
        <f t="shared" si="187"/>
        <v>3.0810810810810816</v>
      </c>
      <c r="AD1901" s="8" t="s">
        <v>33</v>
      </c>
      <c r="AE1901" s="11">
        <v>9990</v>
      </c>
      <c r="AF1901" s="11">
        <f t="shared" si="188"/>
        <v>189810</v>
      </c>
      <c r="AG1901" s="12" t="s">
        <v>34</v>
      </c>
      <c r="AH1901" s="8" t="s">
        <v>65</v>
      </c>
    </row>
    <row r="1902" spans="1:34">
      <c r="A1902" s="8" t="s">
        <v>2631</v>
      </c>
      <c r="B1902" s="16" t="s">
        <v>2859</v>
      </c>
      <c r="C1902" s="8" t="s">
        <v>248</v>
      </c>
      <c r="D1902" s="8" t="s">
        <v>2622</v>
      </c>
      <c r="E1902" s="8" t="str">
        <f t="shared" si="186"/>
        <v>AZUL</v>
      </c>
      <c r="G1902" s="8" t="s">
        <v>2861</v>
      </c>
      <c r="H1902" s="8" t="str">
        <f>VLOOKUP(A1902,[1]BBDD!$B$1:$J$3274,9,FALSE)</f>
        <v>U</v>
      </c>
      <c r="I1902" s="8" t="s">
        <v>2861</v>
      </c>
      <c r="J1902" s="8" t="s">
        <v>2623</v>
      </c>
      <c r="L1902" s="8" t="s">
        <v>119</v>
      </c>
      <c r="N1902" s="8" t="s">
        <v>83</v>
      </c>
      <c r="O1902" s="8" t="s">
        <v>83</v>
      </c>
      <c r="Q1902" s="8" t="s">
        <v>32</v>
      </c>
      <c r="R1902" s="8">
        <v>17</v>
      </c>
      <c r="S1902" s="8">
        <v>15</v>
      </c>
      <c r="T1902" s="8">
        <f t="shared" ref="T1902:T1912" si="190">SUM(R1902:S1902)</f>
        <v>32</v>
      </c>
      <c r="U1902" s="8">
        <v>3</v>
      </c>
      <c r="V1902" s="8">
        <v>9</v>
      </c>
      <c r="W1902" s="8">
        <v>13</v>
      </c>
      <c r="X1902" s="8">
        <v>7</v>
      </c>
      <c r="Y1902" s="8">
        <v>5</v>
      </c>
      <c r="Z1902" s="8">
        <v>4</v>
      </c>
      <c r="AA1902" s="8">
        <v>180</v>
      </c>
      <c r="AB1902" s="9">
        <f t="shared" ref="AB1902:AB1912" si="191">SUM(U1902:Z1902)/AA1902*30</f>
        <v>6.833333333333333</v>
      </c>
      <c r="AC1902" s="10">
        <f t="shared" si="187"/>
        <v>4.6829268292682933</v>
      </c>
      <c r="AD1902" s="8" t="s">
        <v>33</v>
      </c>
      <c r="AE1902" s="11">
        <v>9990</v>
      </c>
      <c r="AF1902" s="11">
        <f t="shared" si="188"/>
        <v>319680</v>
      </c>
      <c r="AG1902" s="12" t="s">
        <v>34</v>
      </c>
      <c r="AH1902" s="8" t="s">
        <v>74</v>
      </c>
    </row>
    <row r="1903" spans="1:34">
      <c r="A1903" s="8" t="s">
        <v>2632</v>
      </c>
      <c r="B1903" s="16" t="s">
        <v>2859</v>
      </c>
      <c r="C1903" s="8" t="s">
        <v>248</v>
      </c>
      <c r="D1903" s="8" t="s">
        <v>2622</v>
      </c>
      <c r="E1903" s="8" t="str">
        <f t="shared" si="186"/>
        <v>TABACO</v>
      </c>
      <c r="G1903" s="8" t="s">
        <v>2861</v>
      </c>
      <c r="H1903" s="8" t="str">
        <f>VLOOKUP(A1903,[1]BBDD!$B$1:$J$3274,9,FALSE)</f>
        <v>U</v>
      </c>
      <c r="I1903" s="8" t="s">
        <v>2861</v>
      </c>
      <c r="J1903" s="8" t="s">
        <v>2623</v>
      </c>
      <c r="L1903" s="8" t="s">
        <v>119</v>
      </c>
      <c r="N1903" s="8" t="s">
        <v>67</v>
      </c>
      <c r="O1903" s="8" t="s">
        <v>67</v>
      </c>
      <c r="Q1903" s="8" t="s">
        <v>32</v>
      </c>
      <c r="R1903" s="8">
        <v>0</v>
      </c>
      <c r="S1903" s="8">
        <v>1</v>
      </c>
      <c r="T1903" s="8">
        <f t="shared" si="190"/>
        <v>1</v>
      </c>
      <c r="U1903" s="8">
        <v>4</v>
      </c>
      <c r="V1903" s="8">
        <v>4</v>
      </c>
      <c r="W1903" s="8">
        <v>5</v>
      </c>
      <c r="X1903" s="8">
        <v>1</v>
      </c>
      <c r="Y1903" s="8">
        <v>0</v>
      </c>
      <c r="Z1903" s="8">
        <v>2</v>
      </c>
      <c r="AA1903" s="8">
        <v>180</v>
      </c>
      <c r="AB1903" s="9">
        <f t="shared" si="191"/>
        <v>2.666666666666667</v>
      </c>
      <c r="AC1903" s="10">
        <f t="shared" si="187"/>
        <v>0.37499999999999994</v>
      </c>
      <c r="AD1903" s="8" t="s">
        <v>33</v>
      </c>
      <c r="AE1903" s="11">
        <v>9990</v>
      </c>
      <c r="AF1903" s="11">
        <f t="shared" si="188"/>
        <v>9990</v>
      </c>
      <c r="AG1903" s="12" t="s">
        <v>34</v>
      </c>
      <c r="AH1903" s="8" t="s">
        <v>35</v>
      </c>
    </row>
    <row r="1904" spans="1:34">
      <c r="A1904" s="8" t="s">
        <v>2633</v>
      </c>
      <c r="B1904" s="16" t="s">
        <v>2859</v>
      </c>
      <c r="C1904" s="8" t="s">
        <v>248</v>
      </c>
      <c r="D1904" s="8" t="s">
        <v>2622</v>
      </c>
      <c r="E1904" s="8" t="str">
        <f t="shared" si="186"/>
        <v>VERDE</v>
      </c>
      <c r="G1904" s="8" t="s">
        <v>2861</v>
      </c>
      <c r="H1904" s="8" t="str">
        <f>VLOOKUP(A1904,[1]BBDD!$B$1:$J$3274,9,FALSE)</f>
        <v>U</v>
      </c>
      <c r="I1904" s="8" t="s">
        <v>2861</v>
      </c>
      <c r="J1904" s="8" t="s">
        <v>2623</v>
      </c>
      <c r="L1904" s="8" t="s">
        <v>119</v>
      </c>
      <c r="N1904" s="8" t="s">
        <v>92</v>
      </c>
      <c r="O1904" s="8" t="s">
        <v>92</v>
      </c>
      <c r="Q1904" s="8" t="s">
        <v>32</v>
      </c>
      <c r="R1904" s="8">
        <v>0</v>
      </c>
      <c r="S1904" s="8">
        <v>0</v>
      </c>
      <c r="T1904" s="8">
        <f t="shared" si="190"/>
        <v>0</v>
      </c>
      <c r="U1904" s="8">
        <v>15</v>
      </c>
      <c r="V1904" s="8">
        <v>8</v>
      </c>
      <c r="W1904" s="8">
        <v>12</v>
      </c>
      <c r="X1904" s="8">
        <v>2</v>
      </c>
      <c r="Y1904" s="8">
        <v>0</v>
      </c>
      <c r="Z1904" s="8">
        <v>0</v>
      </c>
      <c r="AA1904" s="8">
        <v>180</v>
      </c>
      <c r="AB1904" s="9">
        <f t="shared" si="191"/>
        <v>6.1666666666666661</v>
      </c>
      <c r="AC1904" s="10">
        <f t="shared" si="187"/>
        <v>0</v>
      </c>
      <c r="AD1904" s="8" t="s">
        <v>33</v>
      </c>
      <c r="AE1904" s="11">
        <v>9990</v>
      </c>
      <c r="AF1904" s="11">
        <f t="shared" si="188"/>
        <v>0</v>
      </c>
      <c r="AG1904" s="12" t="s">
        <v>34</v>
      </c>
      <c r="AH1904" s="8" t="s">
        <v>35</v>
      </c>
    </row>
    <row r="1905" spans="1:34">
      <c r="A1905" s="8" t="s">
        <v>2634</v>
      </c>
      <c r="B1905" s="16" t="s">
        <v>2859</v>
      </c>
      <c r="C1905" s="8" t="s">
        <v>248</v>
      </c>
      <c r="D1905" s="8" t="s">
        <v>2622</v>
      </c>
      <c r="E1905" s="8" t="str">
        <f t="shared" si="186"/>
        <v>DARK</v>
      </c>
      <c r="G1905" s="8" t="s">
        <v>2861</v>
      </c>
      <c r="H1905" s="8" t="str">
        <f>VLOOKUP(A1905,[1]BBDD!$B$1:$J$3274,9,FALSE)</f>
        <v>U</v>
      </c>
      <c r="I1905" s="8" t="s">
        <v>2861</v>
      </c>
      <c r="J1905" s="8" t="s">
        <v>2623</v>
      </c>
      <c r="L1905" s="8" t="s">
        <v>189</v>
      </c>
      <c r="N1905" s="8" t="s">
        <v>246</v>
      </c>
      <c r="O1905" s="8" t="s">
        <v>246</v>
      </c>
      <c r="Q1905" s="8" t="s">
        <v>32</v>
      </c>
      <c r="R1905" s="8">
        <v>1</v>
      </c>
      <c r="S1905" s="8">
        <v>6</v>
      </c>
      <c r="T1905" s="8">
        <f t="shared" si="190"/>
        <v>7</v>
      </c>
      <c r="U1905" s="8">
        <v>0</v>
      </c>
      <c r="V1905" s="8">
        <v>8</v>
      </c>
      <c r="W1905" s="8">
        <v>2</v>
      </c>
      <c r="X1905" s="8">
        <v>0</v>
      </c>
      <c r="Y1905" s="8">
        <v>0</v>
      </c>
      <c r="Z1905" s="8">
        <v>2</v>
      </c>
      <c r="AA1905" s="8">
        <v>180</v>
      </c>
      <c r="AB1905" s="9">
        <f t="shared" si="191"/>
        <v>2</v>
      </c>
      <c r="AC1905" s="10">
        <f t="shared" si="187"/>
        <v>3.5</v>
      </c>
      <c r="AD1905" s="8" t="s">
        <v>33</v>
      </c>
      <c r="AE1905" s="11">
        <v>9990</v>
      </c>
      <c r="AF1905" s="11">
        <f t="shared" si="188"/>
        <v>69930</v>
      </c>
      <c r="AG1905" s="12" t="s">
        <v>34</v>
      </c>
      <c r="AH1905" s="8" t="s">
        <v>35</v>
      </c>
    </row>
    <row r="1906" spans="1:34">
      <c r="A1906" s="8" t="s">
        <v>2635</v>
      </c>
      <c r="B1906" s="16" t="s">
        <v>2859</v>
      </c>
      <c r="C1906" s="8" t="s">
        <v>248</v>
      </c>
      <c r="D1906" s="8" t="s">
        <v>2622</v>
      </c>
      <c r="E1906" s="8" t="str">
        <f t="shared" si="186"/>
        <v>LIGHT</v>
      </c>
      <c r="G1906" s="8" t="s">
        <v>2861</v>
      </c>
      <c r="H1906" s="8" t="str">
        <f>VLOOKUP(A1906,[1]BBDD!$B$1:$J$3274,9,FALSE)</f>
        <v>U</v>
      </c>
      <c r="I1906" s="8" t="s">
        <v>2861</v>
      </c>
      <c r="J1906" s="8" t="s">
        <v>2623</v>
      </c>
      <c r="L1906" s="8" t="s">
        <v>189</v>
      </c>
      <c r="N1906" s="8" t="s">
        <v>783</v>
      </c>
      <c r="O1906" s="8" t="s">
        <v>783</v>
      </c>
      <c r="Q1906" s="8" t="s">
        <v>32</v>
      </c>
      <c r="R1906" s="8">
        <v>0</v>
      </c>
      <c r="S1906" s="8">
        <v>0</v>
      </c>
      <c r="T1906" s="8">
        <f t="shared" si="190"/>
        <v>0</v>
      </c>
      <c r="U1906" s="8">
        <v>4</v>
      </c>
      <c r="V1906" s="8">
        <v>1</v>
      </c>
      <c r="W1906" s="8">
        <v>3</v>
      </c>
      <c r="X1906" s="8">
        <v>1</v>
      </c>
      <c r="Y1906" s="8">
        <v>0</v>
      </c>
      <c r="Z1906" s="8">
        <v>2</v>
      </c>
      <c r="AA1906" s="8">
        <v>180</v>
      </c>
      <c r="AB1906" s="9">
        <f t="shared" si="191"/>
        <v>1.8333333333333333</v>
      </c>
      <c r="AC1906" s="10">
        <f t="shared" si="187"/>
        <v>0</v>
      </c>
      <c r="AD1906" s="8" t="s">
        <v>33</v>
      </c>
      <c r="AE1906" s="11">
        <v>9990</v>
      </c>
      <c r="AF1906" s="11">
        <f t="shared" si="188"/>
        <v>0</v>
      </c>
      <c r="AG1906" s="12" t="s">
        <v>34</v>
      </c>
      <c r="AH1906" s="8" t="s">
        <v>35</v>
      </c>
    </row>
    <row r="1907" spans="1:34">
      <c r="A1907" s="8" t="s">
        <v>2636</v>
      </c>
      <c r="B1907" s="16" t="s">
        <v>2859</v>
      </c>
      <c r="C1907" s="8" t="s">
        <v>248</v>
      </c>
      <c r="D1907" s="8" t="s">
        <v>2622</v>
      </c>
      <c r="E1907" s="8" t="str">
        <f t="shared" si="186"/>
        <v>MEDIO</v>
      </c>
      <c r="G1907" s="8" t="s">
        <v>2861</v>
      </c>
      <c r="H1907" s="8" t="str">
        <f>VLOOKUP(A1907,[1]BBDD!$B$1:$J$3274,9,FALSE)</f>
        <v>U</v>
      </c>
      <c r="I1907" s="8" t="s">
        <v>2861</v>
      </c>
      <c r="J1907" s="8" t="s">
        <v>2623</v>
      </c>
      <c r="L1907" s="8" t="s">
        <v>189</v>
      </c>
      <c r="N1907" s="8" t="s">
        <v>190</v>
      </c>
      <c r="O1907" s="8" t="s">
        <v>190</v>
      </c>
      <c r="Q1907" s="8" t="s">
        <v>45</v>
      </c>
      <c r="R1907" s="8">
        <v>2</v>
      </c>
      <c r="S1907" s="8">
        <v>13</v>
      </c>
      <c r="T1907" s="8">
        <f t="shared" si="190"/>
        <v>15</v>
      </c>
      <c r="U1907" s="8">
        <v>2</v>
      </c>
      <c r="V1907" s="8">
        <v>6</v>
      </c>
      <c r="W1907" s="8">
        <v>1</v>
      </c>
      <c r="X1907" s="8">
        <v>2</v>
      </c>
      <c r="Y1907" s="8">
        <v>7</v>
      </c>
      <c r="Z1907" s="8">
        <v>4</v>
      </c>
      <c r="AA1907" s="8">
        <v>180</v>
      </c>
      <c r="AB1907" s="9">
        <f t="shared" si="191"/>
        <v>3.6666666666666665</v>
      </c>
      <c r="AC1907" s="10">
        <f t="shared" si="187"/>
        <v>4.0909090909090908</v>
      </c>
      <c r="AD1907" s="8" t="s">
        <v>109</v>
      </c>
      <c r="AE1907" s="11">
        <v>9990</v>
      </c>
      <c r="AF1907" s="11">
        <f t="shared" si="188"/>
        <v>149850</v>
      </c>
      <c r="AG1907" s="12" t="s">
        <v>34</v>
      </c>
      <c r="AH1907" s="8" t="s">
        <v>65</v>
      </c>
    </row>
    <row r="1908" spans="1:34">
      <c r="A1908" s="8" t="s">
        <v>2637</v>
      </c>
      <c r="B1908" s="16" t="s">
        <v>2859</v>
      </c>
      <c r="C1908" s="8" t="s">
        <v>248</v>
      </c>
      <c r="D1908" s="8" t="s">
        <v>2622</v>
      </c>
      <c r="E1908" s="8" t="str">
        <f t="shared" si="186"/>
        <v>NEGRO/SUELA</v>
      </c>
      <c r="G1908" s="8" t="s">
        <v>2861</v>
      </c>
      <c r="H1908" s="8" t="str">
        <f>VLOOKUP(A1908,[1]BBDD!$B$1:$J$3274,9,FALSE)</f>
        <v>U</v>
      </c>
      <c r="I1908" s="8" t="s">
        <v>2861</v>
      </c>
      <c r="J1908" s="8" t="s">
        <v>2638</v>
      </c>
      <c r="L1908" s="8" t="s">
        <v>119</v>
      </c>
      <c r="N1908" s="8" t="s">
        <v>2208</v>
      </c>
      <c r="O1908" s="8" t="s">
        <v>44</v>
      </c>
      <c r="Q1908" s="8" t="s">
        <v>32</v>
      </c>
      <c r="R1908" s="8">
        <v>5</v>
      </c>
      <c r="S1908" s="8">
        <v>7</v>
      </c>
      <c r="T1908" s="8">
        <f t="shared" si="190"/>
        <v>12</v>
      </c>
      <c r="U1908" s="8">
        <v>0</v>
      </c>
      <c r="V1908" s="8">
        <v>0</v>
      </c>
      <c r="W1908" s="8">
        <v>0</v>
      </c>
      <c r="X1908" s="8">
        <v>1</v>
      </c>
      <c r="Y1908" s="8">
        <v>1</v>
      </c>
      <c r="Z1908" s="8">
        <v>0</v>
      </c>
      <c r="AA1908" s="8">
        <v>78</v>
      </c>
      <c r="AB1908" s="9">
        <f t="shared" si="191"/>
        <v>0.76923076923076916</v>
      </c>
      <c r="AC1908" s="10">
        <f t="shared" si="187"/>
        <v>15.600000000000001</v>
      </c>
      <c r="AD1908" s="8" t="s">
        <v>33</v>
      </c>
      <c r="AE1908" s="11">
        <v>9990</v>
      </c>
      <c r="AF1908" s="11">
        <f t="shared" si="188"/>
        <v>119880</v>
      </c>
      <c r="AG1908" s="12" t="s">
        <v>64</v>
      </c>
      <c r="AH1908" s="8" t="s">
        <v>65</v>
      </c>
    </row>
    <row r="1909" spans="1:34">
      <c r="A1909" s="8" t="s">
        <v>2639</v>
      </c>
      <c r="B1909" s="16" t="s">
        <v>2859</v>
      </c>
      <c r="C1909" s="8" t="s">
        <v>248</v>
      </c>
      <c r="D1909" s="8" t="s">
        <v>2622</v>
      </c>
      <c r="E1909" s="8" t="str">
        <f t="shared" si="186"/>
        <v>AZUL/SUELA</v>
      </c>
      <c r="G1909" s="8" t="s">
        <v>2861</v>
      </c>
      <c r="H1909" s="8" t="str">
        <f>VLOOKUP(A1909,[1]BBDD!$B$1:$J$3274,9,FALSE)</f>
        <v>U</v>
      </c>
      <c r="I1909" s="8" t="s">
        <v>2861</v>
      </c>
      <c r="J1909" s="8" t="s">
        <v>2638</v>
      </c>
      <c r="L1909" s="8" t="s">
        <v>119</v>
      </c>
      <c r="N1909" s="8" t="s">
        <v>794</v>
      </c>
      <c r="O1909" s="8" t="s">
        <v>83</v>
      </c>
      <c r="Q1909" s="8" t="s">
        <v>32</v>
      </c>
      <c r="R1909" s="8">
        <v>3</v>
      </c>
      <c r="S1909" s="8">
        <v>8</v>
      </c>
      <c r="T1909" s="8">
        <f t="shared" si="190"/>
        <v>11</v>
      </c>
      <c r="U1909" s="8">
        <v>0</v>
      </c>
      <c r="V1909" s="8">
        <v>0</v>
      </c>
      <c r="W1909" s="8">
        <v>0</v>
      </c>
      <c r="X1909" s="8">
        <v>0</v>
      </c>
      <c r="Y1909" s="8">
        <v>1</v>
      </c>
      <c r="Z1909" s="8">
        <v>4</v>
      </c>
      <c r="AA1909" s="8">
        <v>78</v>
      </c>
      <c r="AB1909" s="9">
        <f t="shared" si="191"/>
        <v>1.9230769230769229</v>
      </c>
      <c r="AC1909" s="10">
        <f t="shared" si="187"/>
        <v>5.7200000000000006</v>
      </c>
      <c r="AD1909" s="8" t="s">
        <v>33</v>
      </c>
      <c r="AE1909" s="11">
        <v>9990</v>
      </c>
      <c r="AF1909" s="11">
        <f t="shared" si="188"/>
        <v>109890</v>
      </c>
      <c r="AG1909" s="12" t="s">
        <v>34</v>
      </c>
      <c r="AH1909" s="8" t="s">
        <v>65</v>
      </c>
    </row>
    <row r="1910" spans="1:34">
      <c r="A1910" s="8" t="s">
        <v>2640</v>
      </c>
      <c r="B1910" s="16" t="s">
        <v>2859</v>
      </c>
      <c r="C1910" s="8" t="s">
        <v>248</v>
      </c>
      <c r="D1910" s="8" t="s">
        <v>2622</v>
      </c>
      <c r="E1910" s="8" t="str">
        <f t="shared" si="186"/>
        <v>VERDE/SUELA</v>
      </c>
      <c r="G1910" s="8" t="s">
        <v>2861</v>
      </c>
      <c r="H1910" s="8" t="str">
        <f>VLOOKUP(A1910,[1]BBDD!$B$1:$J$3274,9,FALSE)</f>
        <v>U</v>
      </c>
      <c r="I1910" s="8" t="s">
        <v>2861</v>
      </c>
      <c r="J1910" s="8" t="s">
        <v>2638</v>
      </c>
      <c r="L1910" s="8" t="s">
        <v>119</v>
      </c>
      <c r="N1910" s="8" t="s">
        <v>2211</v>
      </c>
      <c r="O1910" s="8" t="s">
        <v>92</v>
      </c>
      <c r="Q1910" s="8" t="s">
        <v>32</v>
      </c>
      <c r="R1910" s="8">
        <v>0</v>
      </c>
      <c r="S1910" s="8">
        <v>7</v>
      </c>
      <c r="T1910" s="8">
        <f t="shared" si="190"/>
        <v>7</v>
      </c>
      <c r="U1910" s="8">
        <v>0</v>
      </c>
      <c r="V1910" s="8">
        <v>0</v>
      </c>
      <c r="W1910" s="8">
        <v>0</v>
      </c>
      <c r="X1910" s="8">
        <v>1</v>
      </c>
      <c r="Y1910" s="8">
        <v>3</v>
      </c>
      <c r="Z1910" s="8">
        <v>4</v>
      </c>
      <c r="AA1910" s="8">
        <v>78</v>
      </c>
      <c r="AB1910" s="9">
        <f t="shared" si="191"/>
        <v>3.0769230769230766</v>
      </c>
      <c r="AC1910" s="10">
        <f t="shared" si="187"/>
        <v>2.2750000000000004</v>
      </c>
      <c r="AD1910" s="8" t="s">
        <v>33</v>
      </c>
      <c r="AE1910" s="11">
        <v>9990</v>
      </c>
      <c r="AF1910" s="11">
        <f t="shared" si="188"/>
        <v>69930</v>
      </c>
      <c r="AG1910" s="12" t="s">
        <v>34</v>
      </c>
      <c r="AH1910" s="8" t="s">
        <v>35</v>
      </c>
    </row>
    <row r="1911" spans="1:34">
      <c r="A1911" s="8" t="s">
        <v>2641</v>
      </c>
      <c r="B1911" s="16" t="s">
        <v>2859</v>
      </c>
      <c r="C1911" s="8" t="s">
        <v>248</v>
      </c>
      <c r="D1911" s="8" t="s">
        <v>2622</v>
      </c>
      <c r="E1911" s="8" t="str">
        <f t="shared" si="186"/>
        <v>CARAMELO</v>
      </c>
      <c r="G1911" s="8" t="s">
        <v>2861</v>
      </c>
      <c r="H1911" s="8" t="str">
        <f>VLOOKUP(A1911,[1]BBDD!$B$1:$J$3274,9,FALSE)</f>
        <v>U</v>
      </c>
      <c r="I1911" s="8" t="s">
        <v>2861</v>
      </c>
      <c r="J1911" s="8" t="s">
        <v>2642</v>
      </c>
      <c r="L1911" s="8" t="s">
        <v>61</v>
      </c>
      <c r="N1911" s="8" t="s">
        <v>62</v>
      </c>
      <c r="O1911" s="8" t="s">
        <v>62</v>
      </c>
      <c r="Q1911" s="8" t="s">
        <v>32</v>
      </c>
      <c r="R1911" s="8">
        <v>7</v>
      </c>
      <c r="S1911" s="8">
        <v>11</v>
      </c>
      <c r="T1911" s="8">
        <f t="shared" si="190"/>
        <v>18</v>
      </c>
      <c r="U1911" s="8">
        <v>3</v>
      </c>
      <c r="V1911" s="8">
        <v>5</v>
      </c>
      <c r="W1911" s="8">
        <v>3</v>
      </c>
      <c r="X1911" s="8">
        <v>0</v>
      </c>
      <c r="Y1911" s="8">
        <v>0</v>
      </c>
      <c r="Z1911" s="8">
        <v>2</v>
      </c>
      <c r="AA1911" s="8">
        <v>180</v>
      </c>
      <c r="AB1911" s="9">
        <f t="shared" si="191"/>
        <v>2.1666666666666665</v>
      </c>
      <c r="AC1911" s="10">
        <f t="shared" si="187"/>
        <v>8.3076923076923084</v>
      </c>
      <c r="AD1911" s="8" t="s">
        <v>33</v>
      </c>
      <c r="AE1911" s="11">
        <v>18990</v>
      </c>
      <c r="AF1911" s="11">
        <f t="shared" si="188"/>
        <v>341820</v>
      </c>
      <c r="AG1911" s="12" t="s">
        <v>51</v>
      </c>
      <c r="AH1911" s="8" t="s">
        <v>65</v>
      </c>
    </row>
    <row r="1912" spans="1:34">
      <c r="A1912" s="8" t="s">
        <v>2643</v>
      </c>
      <c r="B1912" s="16" t="s">
        <v>2859</v>
      </c>
      <c r="C1912" s="8" t="s">
        <v>248</v>
      </c>
      <c r="D1912" s="8" t="s">
        <v>2622</v>
      </c>
      <c r="E1912" s="8" t="str">
        <f t="shared" si="186"/>
        <v>ROJO</v>
      </c>
      <c r="G1912" s="8" t="s">
        <v>2861</v>
      </c>
      <c r="H1912" s="8" t="str">
        <f>VLOOKUP(A1912,[1]BBDD!$B$1:$J$3274,9,FALSE)</f>
        <v>U</v>
      </c>
      <c r="I1912" s="8" t="s">
        <v>2861</v>
      </c>
      <c r="J1912" s="8" t="s">
        <v>2642</v>
      </c>
      <c r="L1912" s="8" t="s">
        <v>61</v>
      </c>
      <c r="N1912" s="8" t="s">
        <v>88</v>
      </c>
      <c r="O1912" s="8" t="s">
        <v>88</v>
      </c>
      <c r="Q1912" s="8" t="s">
        <v>32</v>
      </c>
      <c r="R1912" s="8">
        <v>24</v>
      </c>
      <c r="S1912" s="8">
        <v>12</v>
      </c>
      <c r="T1912" s="8">
        <f t="shared" si="190"/>
        <v>36</v>
      </c>
      <c r="U1912" s="8">
        <v>3</v>
      </c>
      <c r="V1912" s="8">
        <v>1</v>
      </c>
      <c r="W1912" s="8">
        <v>5</v>
      </c>
      <c r="X1912" s="8">
        <v>2</v>
      </c>
      <c r="Y1912" s="8">
        <v>1</v>
      </c>
      <c r="Z1912" s="8">
        <v>2</v>
      </c>
      <c r="AA1912" s="8">
        <v>180</v>
      </c>
      <c r="AB1912" s="9">
        <f t="shared" si="191"/>
        <v>2.3333333333333335</v>
      </c>
      <c r="AC1912" s="10">
        <f t="shared" si="187"/>
        <v>15.428571428571427</v>
      </c>
      <c r="AD1912" s="8" t="s">
        <v>33</v>
      </c>
      <c r="AE1912" s="11">
        <v>18990</v>
      </c>
      <c r="AF1912" s="11">
        <f t="shared" si="188"/>
        <v>683640</v>
      </c>
      <c r="AG1912" s="12" t="s">
        <v>64</v>
      </c>
      <c r="AH1912" s="8" t="s">
        <v>74</v>
      </c>
    </row>
    <row r="1913" spans="1:34">
      <c r="A1913" s="8" t="s">
        <v>2644</v>
      </c>
      <c r="B1913" s="16" t="s">
        <v>2859</v>
      </c>
      <c r="C1913" s="8" t="s">
        <v>248</v>
      </c>
      <c r="D1913" s="8" t="s">
        <v>2622</v>
      </c>
      <c r="E1913" s="8" t="str">
        <f t="shared" si="186"/>
        <v>TABACO</v>
      </c>
      <c r="G1913" s="8" t="s">
        <v>2861</v>
      </c>
      <c r="H1913" s="8" t="str">
        <f>VLOOKUP(A1913,[1]BBDD!$B$1:$J$3274,9,FALSE)</f>
        <v>U</v>
      </c>
      <c r="I1913" s="8" t="s">
        <v>2861</v>
      </c>
      <c r="J1913" s="8" t="s">
        <v>2642</v>
      </c>
      <c r="L1913" s="8" t="s">
        <v>61</v>
      </c>
      <c r="N1913" s="8" t="s">
        <v>67</v>
      </c>
      <c r="O1913" s="8" t="s">
        <v>67</v>
      </c>
      <c r="Q1913" s="8" t="s">
        <v>32</v>
      </c>
      <c r="R1913" s="8">
        <v>24</v>
      </c>
      <c r="S1913" s="8">
        <v>17</v>
      </c>
      <c r="T1913" s="8">
        <f t="shared" ref="T1913:T1944" si="192">SUM(R1913:S1913)</f>
        <v>41</v>
      </c>
      <c r="U1913" s="8">
        <v>7</v>
      </c>
      <c r="V1913" s="8">
        <v>1</v>
      </c>
      <c r="W1913" s="8">
        <v>4</v>
      </c>
      <c r="X1913" s="8">
        <v>3</v>
      </c>
      <c r="Y1913" s="8">
        <v>5</v>
      </c>
      <c r="Z1913" s="8">
        <v>5</v>
      </c>
      <c r="AA1913" s="8">
        <v>180</v>
      </c>
      <c r="AB1913" s="9">
        <f t="shared" ref="AB1913:AB1944" si="193">SUM(U1913:Z1913)/AA1913*30</f>
        <v>4.166666666666667</v>
      </c>
      <c r="AC1913" s="10">
        <f t="shared" si="187"/>
        <v>9.84</v>
      </c>
      <c r="AD1913" s="8" t="s">
        <v>33</v>
      </c>
      <c r="AE1913" s="11">
        <v>18990</v>
      </c>
      <c r="AF1913" s="11">
        <f t="shared" si="188"/>
        <v>778590</v>
      </c>
      <c r="AG1913" s="12" t="s">
        <v>51</v>
      </c>
      <c r="AH1913" s="8" t="s">
        <v>74</v>
      </c>
    </row>
    <row r="1914" spans="1:34">
      <c r="A1914" s="8" t="s">
        <v>2645</v>
      </c>
      <c r="B1914" s="16" t="s">
        <v>2859</v>
      </c>
      <c r="C1914" s="8" t="s">
        <v>248</v>
      </c>
      <c r="D1914" s="8" t="s">
        <v>2622</v>
      </c>
      <c r="E1914" s="8" t="str">
        <f t="shared" si="186"/>
        <v>VERDE</v>
      </c>
      <c r="G1914" s="8" t="s">
        <v>2861</v>
      </c>
      <c r="H1914" s="8" t="str">
        <f>VLOOKUP(A1914,[1]BBDD!$B$1:$J$3274,9,FALSE)</f>
        <v>U</v>
      </c>
      <c r="I1914" s="8" t="s">
        <v>2861</v>
      </c>
      <c r="J1914" s="8" t="s">
        <v>2642</v>
      </c>
      <c r="L1914" s="8" t="s">
        <v>61</v>
      </c>
      <c r="N1914" s="8" t="s">
        <v>92</v>
      </c>
      <c r="O1914" s="8" t="s">
        <v>92</v>
      </c>
      <c r="Q1914" s="8" t="s">
        <v>32</v>
      </c>
      <c r="R1914" s="8">
        <v>0</v>
      </c>
      <c r="S1914" s="8">
        <v>2</v>
      </c>
      <c r="T1914" s="8">
        <f t="shared" si="192"/>
        <v>2</v>
      </c>
      <c r="U1914" s="8">
        <v>7</v>
      </c>
      <c r="V1914" s="8">
        <v>4</v>
      </c>
      <c r="W1914" s="8">
        <v>6</v>
      </c>
      <c r="X1914" s="8">
        <v>2</v>
      </c>
      <c r="Y1914" s="8">
        <v>0</v>
      </c>
      <c r="Z1914" s="8">
        <v>0</v>
      </c>
      <c r="AA1914" s="8">
        <v>180</v>
      </c>
      <c r="AB1914" s="9">
        <f t="shared" si="193"/>
        <v>3.1666666666666665</v>
      </c>
      <c r="AC1914" s="10">
        <f t="shared" si="187"/>
        <v>0.63157894736842113</v>
      </c>
      <c r="AD1914" s="8" t="s">
        <v>33</v>
      </c>
      <c r="AE1914" s="11">
        <v>18990</v>
      </c>
      <c r="AF1914" s="11">
        <f t="shared" si="188"/>
        <v>37980</v>
      </c>
      <c r="AG1914" s="12" t="s">
        <v>34</v>
      </c>
      <c r="AH1914" s="8" t="s">
        <v>35</v>
      </c>
    </row>
    <row r="1915" spans="1:34">
      <c r="A1915" s="8" t="s">
        <v>2646</v>
      </c>
      <c r="B1915" s="16" t="s">
        <v>2859</v>
      </c>
      <c r="C1915" s="8" t="s">
        <v>248</v>
      </c>
      <c r="D1915" s="8" t="s">
        <v>2622</v>
      </c>
      <c r="E1915" s="8" t="str">
        <f t="shared" si="186"/>
        <v>AZUL</v>
      </c>
      <c r="G1915" s="8" t="s">
        <v>2861</v>
      </c>
      <c r="H1915" s="8" t="str">
        <f>VLOOKUP(A1915,[1]BBDD!$B$1:$J$3274,9,FALSE)</f>
        <v>U</v>
      </c>
      <c r="I1915" s="8" t="s">
        <v>2861</v>
      </c>
      <c r="J1915" s="8" t="s">
        <v>2642</v>
      </c>
      <c r="L1915" s="8" t="s">
        <v>61</v>
      </c>
      <c r="N1915" s="8" t="s">
        <v>83</v>
      </c>
      <c r="O1915" s="8" t="s">
        <v>83</v>
      </c>
      <c r="Q1915" s="8" t="s">
        <v>45</v>
      </c>
      <c r="R1915" s="8">
        <v>6</v>
      </c>
      <c r="S1915" s="8">
        <v>13</v>
      </c>
      <c r="T1915" s="8">
        <f t="shared" si="192"/>
        <v>19</v>
      </c>
      <c r="U1915" s="8">
        <v>1</v>
      </c>
      <c r="V1915" s="8">
        <v>1</v>
      </c>
      <c r="W1915" s="8">
        <v>2</v>
      </c>
      <c r="X1915" s="8">
        <v>0</v>
      </c>
      <c r="Y1915" s="8">
        <v>0</v>
      </c>
      <c r="Z1915" s="8">
        <v>0</v>
      </c>
      <c r="AA1915" s="8">
        <v>180</v>
      </c>
      <c r="AB1915" s="9">
        <f t="shared" si="193"/>
        <v>0.66666666666666674</v>
      </c>
      <c r="AC1915" s="10">
        <f t="shared" si="187"/>
        <v>28.499999999999996</v>
      </c>
      <c r="AD1915" s="8" t="s">
        <v>109</v>
      </c>
      <c r="AE1915" s="11">
        <v>18990</v>
      </c>
      <c r="AF1915" s="11">
        <f t="shared" si="188"/>
        <v>360810</v>
      </c>
      <c r="AG1915" s="12" t="s">
        <v>73</v>
      </c>
      <c r="AH1915" s="8" t="s">
        <v>65</v>
      </c>
    </row>
    <row r="1916" spans="1:34">
      <c r="A1916" s="8" t="s">
        <v>2647</v>
      </c>
      <c r="B1916" s="16" t="s">
        <v>2859</v>
      </c>
      <c r="C1916" s="8" t="s">
        <v>248</v>
      </c>
      <c r="D1916" s="8" t="s">
        <v>2622</v>
      </c>
      <c r="E1916" s="8" t="str">
        <f t="shared" si="186"/>
        <v>NEGRO</v>
      </c>
      <c r="G1916" s="8" t="s">
        <v>2861</v>
      </c>
      <c r="H1916" s="8" t="str">
        <f>VLOOKUP(A1916,[1]BBDD!$B$1:$J$3274,9,FALSE)</f>
        <v>U</v>
      </c>
      <c r="I1916" s="8" t="s">
        <v>2861</v>
      </c>
      <c r="J1916" s="8" t="s">
        <v>2642</v>
      </c>
      <c r="L1916" s="8" t="s">
        <v>61</v>
      </c>
      <c r="N1916" s="8" t="s">
        <v>44</v>
      </c>
      <c r="O1916" s="8" t="s">
        <v>44</v>
      </c>
      <c r="Q1916" s="8" t="s">
        <v>45</v>
      </c>
      <c r="R1916" s="8">
        <v>14</v>
      </c>
      <c r="S1916" s="8">
        <v>19</v>
      </c>
      <c r="T1916" s="8">
        <f t="shared" si="192"/>
        <v>33</v>
      </c>
      <c r="U1916" s="8">
        <v>0</v>
      </c>
      <c r="V1916" s="8">
        <v>0</v>
      </c>
      <c r="W1916" s="8">
        <v>7</v>
      </c>
      <c r="X1916" s="8">
        <v>4</v>
      </c>
      <c r="Y1916" s="8">
        <v>2</v>
      </c>
      <c r="Z1916" s="8">
        <v>2</v>
      </c>
      <c r="AA1916" s="8">
        <v>180</v>
      </c>
      <c r="AB1916" s="9">
        <f t="shared" si="193"/>
        <v>2.5</v>
      </c>
      <c r="AC1916" s="10">
        <f t="shared" si="187"/>
        <v>13.2</v>
      </c>
      <c r="AD1916" s="8" t="s">
        <v>109</v>
      </c>
      <c r="AE1916" s="11">
        <v>18990</v>
      </c>
      <c r="AF1916" s="11">
        <f t="shared" si="188"/>
        <v>626670</v>
      </c>
      <c r="AG1916" s="12" t="s">
        <v>64</v>
      </c>
      <c r="AH1916" s="8" t="s">
        <v>74</v>
      </c>
    </row>
    <row r="1917" spans="1:34">
      <c r="A1917" s="8" t="s">
        <v>2648</v>
      </c>
      <c r="B1917" s="16" t="s">
        <v>2859</v>
      </c>
      <c r="C1917" s="8" t="s">
        <v>248</v>
      </c>
      <c r="D1917" s="8" t="s">
        <v>2622</v>
      </c>
      <c r="E1917" s="8" t="str">
        <f t="shared" si="186"/>
        <v>SUELA</v>
      </c>
      <c r="G1917" s="8" t="s">
        <v>2861</v>
      </c>
      <c r="H1917" s="8" t="str">
        <f>VLOOKUP(A1917,[1]BBDD!$B$1:$J$3274,9,FALSE)</f>
        <v>U</v>
      </c>
      <c r="I1917" s="8" t="s">
        <v>2861</v>
      </c>
      <c r="J1917" s="8" t="s">
        <v>2642</v>
      </c>
      <c r="L1917" s="8" t="s">
        <v>763</v>
      </c>
      <c r="N1917" s="8" t="s">
        <v>90</v>
      </c>
      <c r="O1917" s="8" t="s">
        <v>90</v>
      </c>
      <c r="Q1917" s="8" t="s">
        <v>45</v>
      </c>
      <c r="R1917" s="8">
        <v>0</v>
      </c>
      <c r="S1917" s="8">
        <v>1</v>
      </c>
      <c r="T1917" s="8">
        <f t="shared" si="192"/>
        <v>1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180</v>
      </c>
      <c r="AB1917" s="9">
        <f t="shared" si="193"/>
        <v>0</v>
      </c>
      <c r="AC1917" s="10" t="str">
        <f t="shared" si="187"/>
        <v>sin venta</v>
      </c>
      <c r="AD1917" s="8" t="s">
        <v>109</v>
      </c>
      <c r="AE1917" s="11">
        <v>18990</v>
      </c>
      <c r="AF1917" s="11">
        <f t="shared" si="188"/>
        <v>18990</v>
      </c>
      <c r="AG1917" s="12" t="s">
        <v>73</v>
      </c>
      <c r="AH1917" s="8" t="s">
        <v>35</v>
      </c>
    </row>
    <row r="1918" spans="1:34">
      <c r="A1918" s="8" t="s">
        <v>2649</v>
      </c>
      <c r="B1918" s="16" t="s">
        <v>2859</v>
      </c>
      <c r="C1918" s="8" t="s">
        <v>248</v>
      </c>
      <c r="D1918" s="8" t="s">
        <v>2622</v>
      </c>
      <c r="E1918" s="8" t="str">
        <f t="shared" si="186"/>
        <v>NEGRO</v>
      </c>
      <c r="G1918" s="8" t="s">
        <v>2861</v>
      </c>
      <c r="H1918" s="8" t="str">
        <f>VLOOKUP(A1918,[1]BBDD!$B$1:$J$3274,9,FALSE)</f>
        <v>U</v>
      </c>
      <c r="I1918" s="8" t="s">
        <v>2861</v>
      </c>
      <c r="J1918" s="8" t="s">
        <v>2642</v>
      </c>
      <c r="L1918" s="8" t="s">
        <v>211</v>
      </c>
      <c r="N1918" s="8" t="s">
        <v>44</v>
      </c>
      <c r="O1918" s="8" t="s">
        <v>44</v>
      </c>
      <c r="Q1918" s="8" t="s">
        <v>32</v>
      </c>
      <c r="R1918" s="8">
        <v>21</v>
      </c>
      <c r="S1918" s="8">
        <v>13</v>
      </c>
      <c r="T1918" s="8">
        <f t="shared" si="192"/>
        <v>34</v>
      </c>
      <c r="U1918" s="8">
        <v>7</v>
      </c>
      <c r="V1918" s="8">
        <v>6</v>
      </c>
      <c r="W1918" s="8">
        <v>3</v>
      </c>
      <c r="X1918" s="8">
        <v>4</v>
      </c>
      <c r="Y1918" s="8">
        <v>1</v>
      </c>
      <c r="Z1918" s="8">
        <v>0</v>
      </c>
      <c r="AA1918" s="8">
        <v>180</v>
      </c>
      <c r="AB1918" s="9">
        <f t="shared" si="193"/>
        <v>3.5</v>
      </c>
      <c r="AC1918" s="10">
        <f t="shared" si="187"/>
        <v>9.7142857142857135</v>
      </c>
      <c r="AD1918" s="8" t="s">
        <v>33</v>
      </c>
      <c r="AE1918" s="11">
        <v>18990</v>
      </c>
      <c r="AF1918" s="11">
        <f t="shared" si="188"/>
        <v>645660</v>
      </c>
      <c r="AG1918" s="12" t="s">
        <v>51</v>
      </c>
      <c r="AH1918" s="8" t="s">
        <v>74</v>
      </c>
    </row>
    <row r="1919" spans="1:34">
      <c r="A1919" s="8" t="s">
        <v>2650</v>
      </c>
      <c r="B1919" s="16" t="s">
        <v>2859</v>
      </c>
      <c r="C1919" s="8" t="s">
        <v>248</v>
      </c>
      <c r="D1919" s="8" t="s">
        <v>2622</v>
      </c>
      <c r="E1919" s="8" t="str">
        <f t="shared" si="186"/>
        <v>NEGRO</v>
      </c>
      <c r="G1919" s="8" t="s">
        <v>2861</v>
      </c>
      <c r="H1919" s="8" t="str">
        <f>VLOOKUP(A1919,[1]BBDD!$B$1:$J$3274,9,FALSE)</f>
        <v>U</v>
      </c>
      <c r="I1919" s="8" t="s">
        <v>2861</v>
      </c>
      <c r="J1919" s="8" t="s">
        <v>2642</v>
      </c>
      <c r="L1919" s="8" t="s">
        <v>238</v>
      </c>
      <c r="N1919" s="8" t="s">
        <v>44</v>
      </c>
      <c r="O1919" s="8" t="s">
        <v>44</v>
      </c>
      <c r="Q1919" s="8" t="s">
        <v>32</v>
      </c>
      <c r="R1919" s="8">
        <v>16</v>
      </c>
      <c r="S1919" s="8">
        <v>10</v>
      </c>
      <c r="T1919" s="8">
        <f t="shared" si="192"/>
        <v>26</v>
      </c>
      <c r="U1919" s="8">
        <v>3</v>
      </c>
      <c r="V1919" s="8">
        <v>0</v>
      </c>
      <c r="W1919" s="8">
        <v>3</v>
      </c>
      <c r="X1919" s="8">
        <v>1</v>
      </c>
      <c r="Y1919" s="8">
        <v>0</v>
      </c>
      <c r="Z1919" s="8">
        <v>1</v>
      </c>
      <c r="AA1919" s="8">
        <v>180</v>
      </c>
      <c r="AB1919" s="9">
        <f t="shared" si="193"/>
        <v>1.3333333333333335</v>
      </c>
      <c r="AC1919" s="10">
        <f t="shared" si="187"/>
        <v>19.499999999999996</v>
      </c>
      <c r="AD1919" s="8" t="s">
        <v>33</v>
      </c>
      <c r="AE1919" s="11">
        <v>19990</v>
      </c>
      <c r="AF1919" s="11">
        <f t="shared" si="188"/>
        <v>519740</v>
      </c>
      <c r="AG1919" s="12" t="s">
        <v>64</v>
      </c>
      <c r="AH1919" s="8" t="s">
        <v>74</v>
      </c>
    </row>
    <row r="1920" spans="1:34">
      <c r="A1920" s="8" t="s">
        <v>2651</v>
      </c>
      <c r="B1920" s="16" t="s">
        <v>2859</v>
      </c>
      <c r="C1920" s="8" t="s">
        <v>248</v>
      </c>
      <c r="D1920" s="8" t="s">
        <v>2622</v>
      </c>
      <c r="E1920" s="8" t="str">
        <f t="shared" si="186"/>
        <v>ROJO</v>
      </c>
      <c r="G1920" s="8" t="s">
        <v>2861</v>
      </c>
      <c r="H1920" s="8" t="str">
        <f>VLOOKUP(A1920,[1]BBDD!$B$1:$J$3274,9,FALSE)</f>
        <v>U</v>
      </c>
      <c r="I1920" s="8" t="s">
        <v>2861</v>
      </c>
      <c r="J1920" s="8" t="s">
        <v>2642</v>
      </c>
      <c r="L1920" s="8" t="s">
        <v>238</v>
      </c>
      <c r="N1920" s="8" t="s">
        <v>88</v>
      </c>
      <c r="O1920" s="8" t="s">
        <v>88</v>
      </c>
      <c r="Q1920" s="8" t="s">
        <v>32</v>
      </c>
      <c r="R1920" s="8">
        <v>28</v>
      </c>
      <c r="S1920" s="8">
        <v>10</v>
      </c>
      <c r="T1920" s="8">
        <f t="shared" si="192"/>
        <v>38</v>
      </c>
      <c r="U1920" s="8">
        <v>4</v>
      </c>
      <c r="V1920" s="8">
        <v>1</v>
      </c>
      <c r="W1920" s="8">
        <v>3</v>
      </c>
      <c r="X1920" s="8">
        <v>4</v>
      </c>
      <c r="Y1920" s="8">
        <v>1</v>
      </c>
      <c r="Z1920" s="8">
        <v>1</v>
      </c>
      <c r="AA1920" s="8">
        <v>180</v>
      </c>
      <c r="AB1920" s="9">
        <f t="shared" si="193"/>
        <v>2.3333333333333335</v>
      </c>
      <c r="AC1920" s="10">
        <f t="shared" si="187"/>
        <v>16.285714285714285</v>
      </c>
      <c r="AD1920" s="8" t="s">
        <v>33</v>
      </c>
      <c r="AE1920" s="11">
        <v>19990</v>
      </c>
      <c r="AF1920" s="11">
        <f t="shared" si="188"/>
        <v>759620</v>
      </c>
      <c r="AG1920" s="12" t="s">
        <v>64</v>
      </c>
      <c r="AH1920" s="8" t="s">
        <v>74</v>
      </c>
    </row>
    <row r="1921" spans="1:34">
      <c r="A1921" s="8" t="s">
        <v>2652</v>
      </c>
      <c r="B1921" s="16" t="s">
        <v>2859</v>
      </c>
      <c r="C1921" s="8" t="s">
        <v>248</v>
      </c>
      <c r="D1921" s="8" t="s">
        <v>2622</v>
      </c>
      <c r="E1921" s="8" t="str">
        <f t="shared" si="186"/>
        <v>CARAMELO</v>
      </c>
      <c r="G1921" s="8" t="s">
        <v>2861</v>
      </c>
      <c r="H1921" s="8" t="str">
        <f>VLOOKUP(A1921,[1]BBDD!$B$1:$J$3274,9,FALSE)</f>
        <v>U</v>
      </c>
      <c r="I1921" s="8" t="s">
        <v>2861</v>
      </c>
      <c r="J1921" s="8" t="s">
        <v>2642</v>
      </c>
      <c r="L1921" s="8" t="s">
        <v>238</v>
      </c>
      <c r="N1921" s="8" t="s">
        <v>62</v>
      </c>
      <c r="O1921" s="8" t="s">
        <v>62</v>
      </c>
      <c r="Q1921" s="8" t="s">
        <v>45</v>
      </c>
      <c r="R1921" s="8">
        <v>6</v>
      </c>
      <c r="S1921" s="8">
        <v>11</v>
      </c>
      <c r="T1921" s="8">
        <f t="shared" si="192"/>
        <v>17</v>
      </c>
      <c r="U1921" s="8">
        <v>0</v>
      </c>
      <c r="V1921" s="8">
        <v>1</v>
      </c>
      <c r="W1921" s="8">
        <v>2</v>
      </c>
      <c r="X1921" s="8">
        <v>1</v>
      </c>
      <c r="Y1921" s="8">
        <v>3</v>
      </c>
      <c r="Z1921" s="8">
        <v>1</v>
      </c>
      <c r="AA1921" s="8">
        <v>180</v>
      </c>
      <c r="AB1921" s="9">
        <f t="shared" si="193"/>
        <v>1.3333333333333335</v>
      </c>
      <c r="AC1921" s="10">
        <f t="shared" si="187"/>
        <v>12.749999999999998</v>
      </c>
      <c r="AD1921" s="8" t="s">
        <v>109</v>
      </c>
      <c r="AE1921" s="11">
        <v>19990</v>
      </c>
      <c r="AF1921" s="11">
        <f t="shared" si="188"/>
        <v>339830</v>
      </c>
      <c r="AG1921" s="12" t="s">
        <v>64</v>
      </c>
      <c r="AH1921" s="8" t="s">
        <v>65</v>
      </c>
    </row>
    <row r="1922" spans="1:34">
      <c r="A1922" s="8" t="s">
        <v>2653</v>
      </c>
      <c r="B1922" s="16" t="s">
        <v>2859</v>
      </c>
      <c r="C1922" s="8" t="s">
        <v>248</v>
      </c>
      <c r="D1922" s="8" t="s">
        <v>2622</v>
      </c>
      <c r="E1922" s="8" t="str">
        <f t="shared" si="186"/>
        <v>LONDON</v>
      </c>
      <c r="G1922" s="8" t="s">
        <v>2861</v>
      </c>
      <c r="H1922" s="8" t="str">
        <f>VLOOKUP(A1922,[1]BBDD!$B$1:$J$3274,9,FALSE)</f>
        <v>U</v>
      </c>
      <c r="I1922" s="8" t="s">
        <v>2861</v>
      </c>
      <c r="J1922" s="8" t="s">
        <v>2642</v>
      </c>
      <c r="L1922" s="8" t="s">
        <v>238</v>
      </c>
      <c r="N1922" s="8" t="s">
        <v>108</v>
      </c>
      <c r="O1922" s="8" t="s">
        <v>108</v>
      </c>
      <c r="Q1922" s="8" t="s">
        <v>45</v>
      </c>
      <c r="R1922" s="8">
        <v>0</v>
      </c>
      <c r="S1922" s="8">
        <v>5</v>
      </c>
      <c r="T1922" s="8">
        <f t="shared" si="192"/>
        <v>5</v>
      </c>
      <c r="U1922" s="8">
        <v>2</v>
      </c>
      <c r="V1922" s="8">
        <v>0</v>
      </c>
      <c r="W1922" s="8">
        <v>2</v>
      </c>
      <c r="X1922" s="8">
        <v>0</v>
      </c>
      <c r="Y1922" s="8">
        <v>1</v>
      </c>
      <c r="Z1922" s="8">
        <v>0</v>
      </c>
      <c r="AA1922" s="8">
        <v>180</v>
      </c>
      <c r="AB1922" s="9">
        <f t="shared" si="193"/>
        <v>0.83333333333333326</v>
      </c>
      <c r="AC1922" s="10">
        <f t="shared" si="187"/>
        <v>6.0000000000000009</v>
      </c>
      <c r="AD1922" s="8" t="s">
        <v>109</v>
      </c>
      <c r="AE1922" s="11">
        <v>19990</v>
      </c>
      <c r="AF1922" s="11">
        <f t="shared" si="188"/>
        <v>99950</v>
      </c>
      <c r="AG1922" s="12" t="s">
        <v>34</v>
      </c>
      <c r="AH1922" s="8" t="s">
        <v>35</v>
      </c>
    </row>
    <row r="1923" spans="1:34">
      <c r="A1923" s="8" t="s">
        <v>2654</v>
      </c>
      <c r="B1923" s="16" t="s">
        <v>2859</v>
      </c>
      <c r="C1923" s="8" t="s">
        <v>248</v>
      </c>
      <c r="D1923" s="8" t="s">
        <v>2622</v>
      </c>
      <c r="E1923" s="8" t="str">
        <f t="shared" ref="E1923:E1986" si="194">TRIM(N1923)</f>
        <v>AZUL</v>
      </c>
      <c r="G1923" s="8" t="s">
        <v>2861</v>
      </c>
      <c r="H1923" s="8" t="str">
        <f>VLOOKUP(A1923,[1]BBDD!$B$1:$J$3274,9,FALSE)</f>
        <v>U</v>
      </c>
      <c r="I1923" s="8" t="s">
        <v>2861</v>
      </c>
      <c r="J1923" s="8" t="s">
        <v>2642</v>
      </c>
      <c r="L1923" s="8" t="s">
        <v>119</v>
      </c>
      <c r="N1923" s="8" t="s">
        <v>83</v>
      </c>
      <c r="O1923" s="8" t="s">
        <v>83</v>
      </c>
      <c r="Q1923" s="8" t="s">
        <v>45</v>
      </c>
      <c r="R1923" s="8">
        <v>9</v>
      </c>
      <c r="S1923" s="8">
        <v>14</v>
      </c>
      <c r="T1923" s="8">
        <f t="shared" si="192"/>
        <v>23</v>
      </c>
      <c r="U1923" s="8">
        <v>1</v>
      </c>
      <c r="V1923" s="8">
        <v>1</v>
      </c>
      <c r="W1923" s="8">
        <v>5</v>
      </c>
      <c r="X1923" s="8">
        <v>0</v>
      </c>
      <c r="Y1923" s="8">
        <v>4</v>
      </c>
      <c r="Z1923" s="8">
        <v>1</v>
      </c>
      <c r="AA1923" s="8">
        <v>180</v>
      </c>
      <c r="AB1923" s="9">
        <f t="shared" si="193"/>
        <v>2</v>
      </c>
      <c r="AC1923" s="10">
        <f t="shared" ref="AC1923:AC1986" si="195">IFERROR(T1923/AB1923,"sin venta")</f>
        <v>11.5</v>
      </c>
      <c r="AD1923" s="8" t="s">
        <v>109</v>
      </c>
      <c r="AE1923" s="11">
        <v>18990</v>
      </c>
      <c r="AF1923" s="11">
        <f t="shared" ref="AF1923:AF1986" si="196">IFERROR(AE1923*T1923,0)</f>
        <v>436770</v>
      </c>
      <c r="AG1923" s="12" t="s">
        <v>51</v>
      </c>
      <c r="AH1923" s="8" t="s">
        <v>74</v>
      </c>
    </row>
    <row r="1924" spans="1:34">
      <c r="A1924" s="8" t="s">
        <v>2655</v>
      </c>
      <c r="B1924" s="16" t="s">
        <v>2859</v>
      </c>
      <c r="C1924" s="8" t="s">
        <v>248</v>
      </c>
      <c r="D1924" s="8" t="s">
        <v>2622</v>
      </c>
      <c r="E1924" s="8" t="str">
        <f t="shared" si="194"/>
        <v>VERDE</v>
      </c>
      <c r="G1924" s="8" t="s">
        <v>2861</v>
      </c>
      <c r="H1924" s="8" t="str">
        <f>VLOOKUP(A1924,[1]BBDD!$B$1:$J$3274,9,FALSE)</f>
        <v>U</v>
      </c>
      <c r="I1924" s="8" t="s">
        <v>2861</v>
      </c>
      <c r="J1924" s="8" t="s">
        <v>2642</v>
      </c>
      <c r="L1924" s="8" t="s">
        <v>119</v>
      </c>
      <c r="N1924" s="8" t="s">
        <v>92</v>
      </c>
      <c r="O1924" s="8" t="s">
        <v>92</v>
      </c>
      <c r="Q1924" s="8" t="s">
        <v>45</v>
      </c>
      <c r="R1924" s="8">
        <v>3</v>
      </c>
      <c r="S1924" s="8">
        <v>11</v>
      </c>
      <c r="T1924" s="8">
        <f t="shared" si="192"/>
        <v>14</v>
      </c>
      <c r="U1924" s="8">
        <v>2</v>
      </c>
      <c r="V1924" s="8">
        <v>2</v>
      </c>
      <c r="W1924" s="8">
        <v>4</v>
      </c>
      <c r="X1924" s="8">
        <v>3</v>
      </c>
      <c r="Y1924" s="8">
        <v>0</v>
      </c>
      <c r="Z1924" s="8">
        <v>3</v>
      </c>
      <c r="AA1924" s="8">
        <v>180</v>
      </c>
      <c r="AB1924" s="9">
        <f t="shared" si="193"/>
        <v>2.3333333333333335</v>
      </c>
      <c r="AC1924" s="10">
        <f t="shared" si="195"/>
        <v>6</v>
      </c>
      <c r="AD1924" s="8" t="s">
        <v>109</v>
      </c>
      <c r="AE1924" s="11">
        <v>18990</v>
      </c>
      <c r="AF1924" s="11">
        <f t="shared" si="196"/>
        <v>265860</v>
      </c>
      <c r="AG1924" s="12" t="s">
        <v>34</v>
      </c>
      <c r="AH1924" s="8" t="s">
        <v>65</v>
      </c>
    </row>
    <row r="1925" spans="1:34">
      <c r="A1925" s="8" t="s">
        <v>2656</v>
      </c>
      <c r="B1925" s="16" t="s">
        <v>2859</v>
      </c>
      <c r="C1925" s="8" t="s">
        <v>248</v>
      </c>
      <c r="D1925" s="8" t="s">
        <v>2622</v>
      </c>
      <c r="E1925" s="8" t="str">
        <f t="shared" si="194"/>
        <v>AZUL</v>
      </c>
      <c r="G1925" s="8" t="s">
        <v>2861</v>
      </c>
      <c r="H1925" s="8" t="str">
        <f>VLOOKUP(A1925,[1]BBDD!$B$1:$J$3274,9,FALSE)</f>
        <v>U</v>
      </c>
      <c r="I1925" s="8" t="s">
        <v>2861</v>
      </c>
      <c r="J1925" s="8" t="s">
        <v>2642</v>
      </c>
      <c r="L1925" s="8" t="s">
        <v>82</v>
      </c>
      <c r="N1925" s="8" t="s">
        <v>83</v>
      </c>
      <c r="O1925" s="8" t="s">
        <v>83</v>
      </c>
      <c r="Q1925" s="8" t="s">
        <v>32</v>
      </c>
      <c r="R1925" s="8">
        <v>0</v>
      </c>
      <c r="S1925" s="8">
        <v>0</v>
      </c>
      <c r="T1925" s="8">
        <f t="shared" si="192"/>
        <v>0</v>
      </c>
      <c r="U1925" s="8">
        <v>1</v>
      </c>
      <c r="V1925" s="8">
        <v>0</v>
      </c>
      <c r="W1925" s="8">
        <v>1</v>
      </c>
      <c r="X1925" s="8">
        <v>0</v>
      </c>
      <c r="Y1925" s="8">
        <v>0</v>
      </c>
      <c r="Z1925" s="8">
        <v>0</v>
      </c>
      <c r="AA1925" s="8">
        <v>180</v>
      </c>
      <c r="AB1925" s="9">
        <f t="shared" si="193"/>
        <v>0.33333333333333337</v>
      </c>
      <c r="AC1925" s="10">
        <f t="shared" si="195"/>
        <v>0</v>
      </c>
      <c r="AD1925" s="8" t="s">
        <v>33</v>
      </c>
      <c r="AE1925" s="11">
        <v>18990</v>
      </c>
      <c r="AF1925" s="11">
        <f t="shared" si="196"/>
        <v>0</v>
      </c>
      <c r="AG1925" s="12" t="s">
        <v>34</v>
      </c>
      <c r="AH1925" s="8" t="s">
        <v>35</v>
      </c>
    </row>
    <row r="1926" spans="1:34">
      <c r="A1926" s="8" t="s">
        <v>2657</v>
      </c>
      <c r="B1926" s="16" t="s">
        <v>2859</v>
      </c>
      <c r="C1926" s="8" t="s">
        <v>248</v>
      </c>
      <c r="D1926" s="8" t="s">
        <v>2622</v>
      </c>
      <c r="E1926" s="8" t="str">
        <f t="shared" si="194"/>
        <v>ROJO</v>
      </c>
      <c r="G1926" s="8" t="s">
        <v>2861</v>
      </c>
      <c r="H1926" s="8" t="str">
        <f>VLOOKUP(A1926,[1]BBDD!$B$1:$J$3274,9,FALSE)</f>
        <v>U</v>
      </c>
      <c r="I1926" s="8" t="s">
        <v>2861</v>
      </c>
      <c r="J1926" s="8" t="s">
        <v>2642</v>
      </c>
      <c r="L1926" s="8" t="s">
        <v>82</v>
      </c>
      <c r="N1926" s="8" t="s">
        <v>88</v>
      </c>
      <c r="O1926" s="8" t="s">
        <v>88</v>
      </c>
      <c r="Q1926" s="8" t="s">
        <v>32</v>
      </c>
      <c r="R1926" s="8">
        <v>0</v>
      </c>
      <c r="S1926" s="8">
        <v>11</v>
      </c>
      <c r="T1926" s="8">
        <f t="shared" si="192"/>
        <v>11</v>
      </c>
      <c r="U1926" s="8">
        <v>8</v>
      </c>
      <c r="V1926" s="8">
        <v>1</v>
      </c>
      <c r="W1926" s="8">
        <v>0</v>
      </c>
      <c r="X1926" s="8">
        <v>5</v>
      </c>
      <c r="Y1926" s="8">
        <v>2</v>
      </c>
      <c r="Z1926" s="8">
        <v>4</v>
      </c>
      <c r="AA1926" s="8">
        <v>180</v>
      </c>
      <c r="AB1926" s="9">
        <f t="shared" si="193"/>
        <v>3.333333333333333</v>
      </c>
      <c r="AC1926" s="10">
        <f t="shared" si="195"/>
        <v>3.3000000000000003</v>
      </c>
      <c r="AD1926" s="8" t="s">
        <v>33</v>
      </c>
      <c r="AE1926" s="11">
        <v>18990</v>
      </c>
      <c r="AF1926" s="11">
        <f t="shared" si="196"/>
        <v>208890</v>
      </c>
      <c r="AG1926" s="12" t="s">
        <v>34</v>
      </c>
      <c r="AH1926" s="8" t="s">
        <v>65</v>
      </c>
    </row>
    <row r="1927" spans="1:34">
      <c r="A1927" s="8" t="s">
        <v>2658</v>
      </c>
      <c r="B1927" s="16" t="s">
        <v>2859</v>
      </c>
      <c r="C1927" s="8" t="s">
        <v>248</v>
      </c>
      <c r="D1927" s="8" t="s">
        <v>2622</v>
      </c>
      <c r="E1927" s="8" t="str">
        <f t="shared" si="194"/>
        <v>SUELA</v>
      </c>
      <c r="G1927" s="8" t="s">
        <v>2861</v>
      </c>
      <c r="H1927" s="8" t="str">
        <f>VLOOKUP(A1927,[1]BBDD!$B$1:$J$3274,9,FALSE)</f>
        <v>U</v>
      </c>
      <c r="I1927" s="8" t="s">
        <v>2861</v>
      </c>
      <c r="J1927" s="8" t="s">
        <v>2642</v>
      </c>
      <c r="L1927" s="8" t="s">
        <v>82</v>
      </c>
      <c r="N1927" s="8" t="s">
        <v>90</v>
      </c>
      <c r="O1927" s="8" t="s">
        <v>90</v>
      </c>
      <c r="Q1927" s="8" t="s">
        <v>32</v>
      </c>
      <c r="R1927" s="8">
        <v>1</v>
      </c>
      <c r="S1927" s="8">
        <v>9</v>
      </c>
      <c r="T1927" s="8">
        <f t="shared" si="192"/>
        <v>10</v>
      </c>
      <c r="U1927" s="8">
        <v>5</v>
      </c>
      <c r="V1927" s="8">
        <v>1</v>
      </c>
      <c r="W1927" s="8">
        <v>1</v>
      </c>
      <c r="X1927" s="8">
        <v>4</v>
      </c>
      <c r="Y1927" s="8">
        <v>2</v>
      </c>
      <c r="Z1927" s="8">
        <v>1</v>
      </c>
      <c r="AA1927" s="8">
        <v>180</v>
      </c>
      <c r="AB1927" s="9">
        <f t="shared" si="193"/>
        <v>2.3333333333333335</v>
      </c>
      <c r="AC1927" s="10">
        <f t="shared" si="195"/>
        <v>4.2857142857142856</v>
      </c>
      <c r="AD1927" s="8" t="s">
        <v>33</v>
      </c>
      <c r="AE1927" s="11">
        <v>18990</v>
      </c>
      <c r="AF1927" s="11">
        <f t="shared" si="196"/>
        <v>189900</v>
      </c>
      <c r="AG1927" s="12" t="s">
        <v>34</v>
      </c>
      <c r="AH1927" s="8" t="s">
        <v>35</v>
      </c>
    </row>
    <row r="1928" spans="1:34">
      <c r="A1928" s="8" t="s">
        <v>2659</v>
      </c>
      <c r="B1928" s="16" t="s">
        <v>2859</v>
      </c>
      <c r="C1928" s="8" t="s">
        <v>248</v>
      </c>
      <c r="D1928" s="8" t="s">
        <v>2622</v>
      </c>
      <c r="E1928" s="8" t="str">
        <f t="shared" si="194"/>
        <v>VERDE</v>
      </c>
      <c r="G1928" s="8" t="s">
        <v>2861</v>
      </c>
      <c r="H1928" s="8" t="str">
        <f>VLOOKUP(A1928,[1]BBDD!$B$1:$J$3274,9,FALSE)</f>
        <v>U</v>
      </c>
      <c r="I1928" s="8" t="s">
        <v>2861</v>
      </c>
      <c r="J1928" s="8" t="s">
        <v>2642</v>
      </c>
      <c r="L1928" s="8" t="s">
        <v>82</v>
      </c>
      <c r="N1928" s="8" t="s">
        <v>92</v>
      </c>
      <c r="O1928" s="8" t="s">
        <v>92</v>
      </c>
      <c r="Q1928" s="8" t="s">
        <v>32</v>
      </c>
      <c r="R1928" s="8">
        <v>3</v>
      </c>
      <c r="S1928" s="8">
        <v>13</v>
      </c>
      <c r="T1928" s="8">
        <f t="shared" si="192"/>
        <v>16</v>
      </c>
      <c r="U1928" s="8">
        <v>4</v>
      </c>
      <c r="V1928" s="8">
        <v>0</v>
      </c>
      <c r="W1928" s="8">
        <v>2</v>
      </c>
      <c r="X1928" s="8">
        <v>4</v>
      </c>
      <c r="Y1928" s="8">
        <v>3</v>
      </c>
      <c r="Z1928" s="8">
        <v>5</v>
      </c>
      <c r="AA1928" s="8">
        <v>180</v>
      </c>
      <c r="AB1928" s="9">
        <f t="shared" si="193"/>
        <v>3</v>
      </c>
      <c r="AC1928" s="10">
        <f t="shared" si="195"/>
        <v>5.333333333333333</v>
      </c>
      <c r="AD1928" s="8" t="s">
        <v>33</v>
      </c>
      <c r="AE1928" s="11">
        <v>18990</v>
      </c>
      <c r="AF1928" s="11">
        <f t="shared" si="196"/>
        <v>303840</v>
      </c>
      <c r="AG1928" s="12" t="s">
        <v>34</v>
      </c>
      <c r="AH1928" s="8" t="s">
        <v>65</v>
      </c>
    </row>
    <row r="1929" spans="1:34">
      <c r="A1929" s="8" t="s">
        <v>2660</v>
      </c>
      <c r="B1929" s="16" t="s">
        <v>2859</v>
      </c>
      <c r="C1929" s="8" t="s">
        <v>248</v>
      </c>
      <c r="D1929" s="8" t="s">
        <v>2622</v>
      </c>
      <c r="E1929" s="8" t="str">
        <f t="shared" si="194"/>
        <v>NEGRO</v>
      </c>
      <c r="G1929" s="8" t="s">
        <v>2861</v>
      </c>
      <c r="H1929" s="8" t="str">
        <f>VLOOKUP(A1929,[1]BBDD!$B$1:$J$3274,9,FALSE)</f>
        <v>U</v>
      </c>
      <c r="I1929" s="8" t="s">
        <v>2861</v>
      </c>
      <c r="J1929" s="8" t="s">
        <v>2642</v>
      </c>
      <c r="L1929" s="8" t="s">
        <v>82</v>
      </c>
      <c r="N1929" s="8" t="s">
        <v>44</v>
      </c>
      <c r="O1929" s="8" t="s">
        <v>44</v>
      </c>
      <c r="Q1929" s="8" t="s">
        <v>45</v>
      </c>
      <c r="R1929" s="8">
        <v>0</v>
      </c>
      <c r="S1929" s="8">
        <v>1</v>
      </c>
      <c r="T1929" s="8">
        <f t="shared" si="192"/>
        <v>1</v>
      </c>
      <c r="U1929" s="8">
        <v>2</v>
      </c>
      <c r="V1929" s="8">
        <v>0</v>
      </c>
      <c r="W1929" s="8">
        <v>1</v>
      </c>
      <c r="X1929" s="8">
        <v>0</v>
      </c>
      <c r="Y1929" s="8">
        <v>0</v>
      </c>
      <c r="Z1929" s="8">
        <v>0</v>
      </c>
      <c r="AA1929" s="8">
        <v>180</v>
      </c>
      <c r="AB1929" s="9">
        <f t="shared" si="193"/>
        <v>0.5</v>
      </c>
      <c r="AC1929" s="10">
        <f t="shared" si="195"/>
        <v>2</v>
      </c>
      <c r="AD1929" s="8" t="s">
        <v>109</v>
      </c>
      <c r="AE1929" s="11">
        <v>18990</v>
      </c>
      <c r="AF1929" s="11">
        <f t="shared" si="196"/>
        <v>18990</v>
      </c>
      <c r="AG1929" s="12" t="s">
        <v>34</v>
      </c>
      <c r="AH1929" s="8" t="s">
        <v>35</v>
      </c>
    </row>
    <row r="1930" spans="1:34">
      <c r="A1930" s="8" t="s">
        <v>2661</v>
      </c>
      <c r="B1930" s="16" t="s">
        <v>2859</v>
      </c>
      <c r="C1930" s="8" t="s">
        <v>248</v>
      </c>
      <c r="D1930" s="8" t="s">
        <v>2622</v>
      </c>
      <c r="E1930" s="8" t="str">
        <f t="shared" si="194"/>
        <v>NEGRO</v>
      </c>
      <c r="G1930" s="8" t="s">
        <v>2861</v>
      </c>
      <c r="H1930" s="8">
        <f>VLOOKUP(A1930,[1]BBDD!$B$1:$J$3274,9,FALSE)</f>
        <v>0</v>
      </c>
      <c r="I1930" s="19" t="s">
        <v>2861</v>
      </c>
      <c r="J1930" s="8" t="s">
        <v>2662</v>
      </c>
      <c r="L1930" s="8" t="s">
        <v>61</v>
      </c>
      <c r="N1930" s="8" t="s">
        <v>44</v>
      </c>
      <c r="O1930" s="8" t="s">
        <v>44</v>
      </c>
      <c r="Q1930" s="8" t="s">
        <v>45</v>
      </c>
      <c r="R1930" s="8">
        <v>0</v>
      </c>
      <c r="S1930" s="8">
        <v>1</v>
      </c>
      <c r="T1930" s="8">
        <f t="shared" si="192"/>
        <v>1</v>
      </c>
      <c r="U1930" s="8">
        <v>0</v>
      </c>
      <c r="V1930" s="8">
        <v>0</v>
      </c>
      <c r="W1930" s="8">
        <v>1</v>
      </c>
      <c r="X1930" s="8">
        <v>1</v>
      </c>
      <c r="Y1930" s="8">
        <v>0</v>
      </c>
      <c r="Z1930" s="8">
        <v>0</v>
      </c>
      <c r="AA1930" s="8">
        <v>180</v>
      </c>
      <c r="AB1930" s="9">
        <f t="shared" si="193"/>
        <v>0.33333333333333337</v>
      </c>
      <c r="AC1930" s="10">
        <f t="shared" si="195"/>
        <v>2.9999999999999996</v>
      </c>
      <c r="AD1930" s="8" t="s">
        <v>46</v>
      </c>
      <c r="AE1930" s="11">
        <v>7990</v>
      </c>
      <c r="AF1930" s="11">
        <f t="shared" si="196"/>
        <v>7990</v>
      </c>
      <c r="AG1930" s="12" t="s">
        <v>34</v>
      </c>
      <c r="AH1930" s="8" t="s">
        <v>35</v>
      </c>
    </row>
    <row r="1931" spans="1:34">
      <c r="A1931" s="8" t="s">
        <v>2663</v>
      </c>
      <c r="B1931" s="16" t="s">
        <v>2859</v>
      </c>
      <c r="C1931" s="8" t="s">
        <v>248</v>
      </c>
      <c r="D1931" s="8" t="s">
        <v>2622</v>
      </c>
      <c r="E1931" s="8" t="str">
        <f t="shared" si="194"/>
        <v>CARAMELO</v>
      </c>
      <c r="G1931" s="8" t="s">
        <v>2861</v>
      </c>
      <c r="H1931" s="8" t="str">
        <f>VLOOKUP(A1931,[1]BBDD!$B$1:$J$3274,9,FALSE)</f>
        <v>U</v>
      </c>
      <c r="I1931" s="8" t="s">
        <v>2861</v>
      </c>
      <c r="J1931" s="8" t="s">
        <v>2664</v>
      </c>
      <c r="L1931" s="8" t="s">
        <v>61</v>
      </c>
      <c r="N1931" s="8" t="s">
        <v>62</v>
      </c>
      <c r="O1931" s="8" t="s">
        <v>62</v>
      </c>
      <c r="Q1931" s="8" t="s">
        <v>32</v>
      </c>
      <c r="R1931" s="8">
        <v>10</v>
      </c>
      <c r="S1931" s="8">
        <v>11</v>
      </c>
      <c r="T1931" s="8">
        <f t="shared" si="192"/>
        <v>21</v>
      </c>
      <c r="U1931" s="8">
        <v>5</v>
      </c>
      <c r="V1931" s="8">
        <v>4</v>
      </c>
      <c r="W1931" s="8">
        <v>3</v>
      </c>
      <c r="X1931" s="8">
        <v>1</v>
      </c>
      <c r="Y1931" s="8">
        <v>5</v>
      </c>
      <c r="Z1931" s="8">
        <v>3</v>
      </c>
      <c r="AA1931" s="8">
        <v>180</v>
      </c>
      <c r="AB1931" s="9">
        <f t="shared" si="193"/>
        <v>3.5</v>
      </c>
      <c r="AC1931" s="10">
        <f t="shared" si="195"/>
        <v>6</v>
      </c>
      <c r="AD1931" s="8" t="s">
        <v>33</v>
      </c>
      <c r="AE1931" s="11">
        <v>26990</v>
      </c>
      <c r="AF1931" s="11">
        <f t="shared" si="196"/>
        <v>566790</v>
      </c>
      <c r="AG1931" s="12" t="s">
        <v>34</v>
      </c>
      <c r="AH1931" s="8" t="s">
        <v>74</v>
      </c>
    </row>
    <row r="1932" spans="1:34">
      <c r="A1932" s="8" t="s">
        <v>2665</v>
      </c>
      <c r="B1932" s="16" t="s">
        <v>2859</v>
      </c>
      <c r="C1932" s="8" t="s">
        <v>248</v>
      </c>
      <c r="D1932" s="8" t="s">
        <v>2622</v>
      </c>
      <c r="E1932" s="8" t="str">
        <f t="shared" si="194"/>
        <v>MALBEC</v>
      </c>
      <c r="G1932" s="8" t="s">
        <v>2861</v>
      </c>
      <c r="H1932" s="8" t="str">
        <f>VLOOKUP(A1932,[1]BBDD!$B$1:$J$3274,9,FALSE)</f>
        <v>U</v>
      </c>
      <c r="I1932" s="8" t="s">
        <v>2861</v>
      </c>
      <c r="J1932" s="8" t="s">
        <v>2664</v>
      </c>
      <c r="L1932" s="8" t="s">
        <v>61</v>
      </c>
      <c r="N1932" s="8" t="s">
        <v>69</v>
      </c>
      <c r="O1932" s="8" t="s">
        <v>69</v>
      </c>
      <c r="Q1932" s="8" t="s">
        <v>32</v>
      </c>
      <c r="R1932" s="8">
        <v>0</v>
      </c>
      <c r="S1932" s="8">
        <v>0</v>
      </c>
      <c r="T1932" s="8">
        <f t="shared" si="192"/>
        <v>0</v>
      </c>
      <c r="U1932" s="8">
        <v>2</v>
      </c>
      <c r="V1932" s="8">
        <v>3</v>
      </c>
      <c r="W1932" s="8">
        <v>9</v>
      </c>
      <c r="X1932" s="8">
        <v>3</v>
      </c>
      <c r="Y1932" s="8">
        <v>0</v>
      </c>
      <c r="Z1932" s="8">
        <v>0</v>
      </c>
      <c r="AA1932" s="8">
        <v>180</v>
      </c>
      <c r="AB1932" s="9">
        <f t="shared" si="193"/>
        <v>2.833333333333333</v>
      </c>
      <c r="AC1932" s="10">
        <f t="shared" si="195"/>
        <v>0</v>
      </c>
      <c r="AD1932" s="8" t="s">
        <v>33</v>
      </c>
      <c r="AE1932" s="11">
        <v>26990</v>
      </c>
      <c r="AF1932" s="11">
        <f t="shared" si="196"/>
        <v>0</v>
      </c>
      <c r="AG1932" s="12" t="s">
        <v>34</v>
      </c>
      <c r="AH1932" s="8" t="s">
        <v>35</v>
      </c>
    </row>
    <row r="1933" spans="1:34">
      <c r="A1933" s="8" t="s">
        <v>2666</v>
      </c>
      <c r="B1933" s="16" t="s">
        <v>2859</v>
      </c>
      <c r="C1933" s="8" t="s">
        <v>248</v>
      </c>
      <c r="D1933" s="8" t="s">
        <v>2622</v>
      </c>
      <c r="E1933" s="8" t="str">
        <f t="shared" si="194"/>
        <v>NEGRO</v>
      </c>
      <c r="G1933" s="8" t="s">
        <v>2861</v>
      </c>
      <c r="H1933" s="8" t="str">
        <f>VLOOKUP(A1933,[1]BBDD!$B$1:$J$3274,9,FALSE)</f>
        <v>U</v>
      </c>
      <c r="I1933" s="8" t="s">
        <v>2861</v>
      </c>
      <c r="J1933" s="8" t="s">
        <v>2664</v>
      </c>
      <c r="L1933" s="8" t="s">
        <v>61</v>
      </c>
      <c r="N1933" s="8" t="s">
        <v>44</v>
      </c>
      <c r="O1933" s="8" t="s">
        <v>44</v>
      </c>
      <c r="Q1933" s="8" t="s">
        <v>32</v>
      </c>
      <c r="R1933" s="8">
        <v>3</v>
      </c>
      <c r="S1933" s="8">
        <v>18</v>
      </c>
      <c r="T1933" s="8">
        <f t="shared" si="192"/>
        <v>21</v>
      </c>
      <c r="U1933" s="8">
        <v>5</v>
      </c>
      <c r="V1933" s="8">
        <v>5</v>
      </c>
      <c r="W1933" s="8">
        <v>8</v>
      </c>
      <c r="X1933" s="8">
        <v>4</v>
      </c>
      <c r="Y1933" s="8">
        <v>12</v>
      </c>
      <c r="Z1933" s="8">
        <v>5</v>
      </c>
      <c r="AA1933" s="8">
        <v>180</v>
      </c>
      <c r="AB1933" s="9">
        <f t="shared" si="193"/>
        <v>6.5</v>
      </c>
      <c r="AC1933" s="10">
        <f t="shared" si="195"/>
        <v>3.2307692307692308</v>
      </c>
      <c r="AD1933" s="8" t="s">
        <v>33</v>
      </c>
      <c r="AE1933" s="11">
        <v>26990</v>
      </c>
      <c r="AF1933" s="11">
        <f t="shared" si="196"/>
        <v>566790</v>
      </c>
      <c r="AG1933" s="12" t="s">
        <v>34</v>
      </c>
      <c r="AH1933" s="8" t="s">
        <v>74</v>
      </c>
    </row>
    <row r="1934" spans="1:34">
      <c r="A1934" s="8" t="s">
        <v>2667</v>
      </c>
      <c r="B1934" s="16" t="s">
        <v>2859</v>
      </c>
      <c r="C1934" s="8" t="s">
        <v>248</v>
      </c>
      <c r="D1934" s="8" t="s">
        <v>2622</v>
      </c>
      <c r="E1934" s="8" t="str">
        <f t="shared" si="194"/>
        <v>ROJO</v>
      </c>
      <c r="G1934" s="8" t="s">
        <v>2861</v>
      </c>
      <c r="H1934" s="8" t="str">
        <f>VLOOKUP(A1934,[1]BBDD!$B$1:$J$3274,9,FALSE)</f>
        <v>U</v>
      </c>
      <c r="I1934" s="8" t="s">
        <v>2861</v>
      </c>
      <c r="J1934" s="8" t="s">
        <v>2664</v>
      </c>
      <c r="L1934" s="8" t="s">
        <v>61</v>
      </c>
      <c r="N1934" s="8" t="s">
        <v>88</v>
      </c>
      <c r="O1934" s="8" t="s">
        <v>88</v>
      </c>
      <c r="Q1934" s="8" t="s">
        <v>32</v>
      </c>
      <c r="R1934" s="8">
        <v>3</v>
      </c>
      <c r="S1934" s="8">
        <v>14</v>
      </c>
      <c r="T1934" s="8">
        <f t="shared" si="192"/>
        <v>17</v>
      </c>
      <c r="U1934" s="8">
        <v>0</v>
      </c>
      <c r="V1934" s="8">
        <v>3</v>
      </c>
      <c r="W1934" s="8">
        <v>8</v>
      </c>
      <c r="X1934" s="8">
        <v>5</v>
      </c>
      <c r="Y1934" s="8">
        <v>2</v>
      </c>
      <c r="Z1934" s="8">
        <v>5</v>
      </c>
      <c r="AA1934" s="8">
        <v>180</v>
      </c>
      <c r="AB1934" s="9">
        <f t="shared" si="193"/>
        <v>3.833333333333333</v>
      </c>
      <c r="AC1934" s="10">
        <f t="shared" si="195"/>
        <v>4.4347826086956523</v>
      </c>
      <c r="AD1934" s="8" t="s">
        <v>33</v>
      </c>
      <c r="AE1934" s="11">
        <v>26990</v>
      </c>
      <c r="AF1934" s="11">
        <f t="shared" si="196"/>
        <v>458830</v>
      </c>
      <c r="AG1934" s="12" t="s">
        <v>34</v>
      </c>
      <c r="AH1934" s="8" t="s">
        <v>65</v>
      </c>
    </row>
    <row r="1935" spans="1:34">
      <c r="A1935" s="8" t="s">
        <v>2668</v>
      </c>
      <c r="B1935" s="16" t="s">
        <v>2859</v>
      </c>
      <c r="C1935" s="8" t="s">
        <v>248</v>
      </c>
      <c r="D1935" s="8" t="s">
        <v>2622</v>
      </c>
      <c r="E1935" s="8" t="str">
        <f t="shared" si="194"/>
        <v>TABACO</v>
      </c>
      <c r="G1935" s="8" t="s">
        <v>2861</v>
      </c>
      <c r="H1935" s="8" t="str">
        <f>VLOOKUP(A1935,[1]BBDD!$B$1:$J$3274,9,FALSE)</f>
        <v>U</v>
      </c>
      <c r="I1935" s="8" t="s">
        <v>2861</v>
      </c>
      <c r="J1935" s="8" t="s">
        <v>2664</v>
      </c>
      <c r="L1935" s="8" t="s">
        <v>61</v>
      </c>
      <c r="N1935" s="8" t="s">
        <v>67</v>
      </c>
      <c r="O1935" s="8" t="s">
        <v>67</v>
      </c>
      <c r="Q1935" s="8" t="s">
        <v>32</v>
      </c>
      <c r="R1935" s="8">
        <v>1</v>
      </c>
      <c r="S1935" s="8">
        <v>9</v>
      </c>
      <c r="T1935" s="8">
        <f t="shared" si="192"/>
        <v>10</v>
      </c>
      <c r="U1935" s="8">
        <v>0</v>
      </c>
      <c r="V1935" s="8">
        <v>7</v>
      </c>
      <c r="W1935" s="8">
        <v>16</v>
      </c>
      <c r="X1935" s="8">
        <v>2</v>
      </c>
      <c r="Y1935" s="8">
        <v>2</v>
      </c>
      <c r="Z1935" s="8">
        <v>6</v>
      </c>
      <c r="AA1935" s="8">
        <v>180</v>
      </c>
      <c r="AB1935" s="9">
        <f t="shared" si="193"/>
        <v>5.5</v>
      </c>
      <c r="AC1935" s="10">
        <f t="shared" si="195"/>
        <v>1.8181818181818181</v>
      </c>
      <c r="AD1935" s="8" t="s">
        <v>33</v>
      </c>
      <c r="AE1935" s="11">
        <v>26990</v>
      </c>
      <c r="AF1935" s="11">
        <f t="shared" si="196"/>
        <v>269900</v>
      </c>
      <c r="AG1935" s="12" t="s">
        <v>34</v>
      </c>
      <c r="AH1935" s="8" t="s">
        <v>35</v>
      </c>
    </row>
    <row r="1936" spans="1:34">
      <c r="A1936" s="8" t="s">
        <v>2669</v>
      </c>
      <c r="B1936" s="16" t="s">
        <v>2859</v>
      </c>
      <c r="C1936" s="8" t="s">
        <v>248</v>
      </c>
      <c r="D1936" s="8" t="s">
        <v>2622</v>
      </c>
      <c r="E1936" s="8" t="str">
        <f t="shared" si="194"/>
        <v>CEDRO</v>
      </c>
      <c r="G1936" s="8" t="s">
        <v>2861</v>
      </c>
      <c r="H1936" s="8" t="str">
        <f>VLOOKUP(A1936,[1]BBDD!$B$1:$J$3274,9,FALSE)</f>
        <v>U</v>
      </c>
      <c r="I1936" s="8" t="s">
        <v>2861</v>
      </c>
      <c r="J1936" s="8" t="s">
        <v>2664</v>
      </c>
      <c r="L1936" s="8" t="s">
        <v>112</v>
      </c>
      <c r="N1936" s="8" t="s">
        <v>113</v>
      </c>
      <c r="O1936" s="8" t="s">
        <v>113</v>
      </c>
      <c r="Q1936" s="8" t="s">
        <v>32</v>
      </c>
      <c r="R1936" s="8">
        <v>9</v>
      </c>
      <c r="S1936" s="8">
        <v>3</v>
      </c>
      <c r="T1936" s="8">
        <f t="shared" si="192"/>
        <v>12</v>
      </c>
      <c r="U1936" s="8">
        <v>4</v>
      </c>
      <c r="V1936" s="8">
        <v>3</v>
      </c>
      <c r="W1936" s="8">
        <v>2</v>
      </c>
      <c r="X1936" s="8">
        <v>0</v>
      </c>
      <c r="Y1936" s="8">
        <v>0</v>
      </c>
      <c r="Z1936" s="8">
        <v>1</v>
      </c>
      <c r="AA1936" s="8">
        <v>180</v>
      </c>
      <c r="AB1936" s="9">
        <f t="shared" si="193"/>
        <v>1.6666666666666665</v>
      </c>
      <c r="AC1936" s="10">
        <f t="shared" si="195"/>
        <v>7.2000000000000011</v>
      </c>
      <c r="AD1936" s="8" t="s">
        <v>33</v>
      </c>
      <c r="AE1936" s="11">
        <v>26990</v>
      </c>
      <c r="AF1936" s="11">
        <f t="shared" si="196"/>
        <v>323880</v>
      </c>
      <c r="AG1936" s="12" t="s">
        <v>51</v>
      </c>
      <c r="AH1936" s="8" t="s">
        <v>65</v>
      </c>
    </row>
    <row r="1937" spans="1:34">
      <c r="A1937" s="8" t="s">
        <v>2670</v>
      </c>
      <c r="B1937" s="16" t="s">
        <v>2859</v>
      </c>
      <c r="C1937" s="8" t="s">
        <v>248</v>
      </c>
      <c r="D1937" s="8" t="s">
        <v>2622</v>
      </c>
      <c r="E1937" s="8" t="str">
        <f t="shared" si="194"/>
        <v>VERDE</v>
      </c>
      <c r="G1937" s="8" t="s">
        <v>2861</v>
      </c>
      <c r="H1937" s="8" t="str">
        <f>VLOOKUP(A1937,[1]BBDD!$B$1:$J$3274,9,FALSE)</f>
        <v>U</v>
      </c>
      <c r="I1937" s="8" t="s">
        <v>2861</v>
      </c>
      <c r="J1937" s="8" t="s">
        <v>2664</v>
      </c>
      <c r="L1937" s="8" t="s">
        <v>119</v>
      </c>
      <c r="N1937" s="8" t="s">
        <v>92</v>
      </c>
      <c r="O1937" s="8" t="s">
        <v>92</v>
      </c>
      <c r="Q1937" s="8" t="s">
        <v>32</v>
      </c>
      <c r="R1937" s="8">
        <v>0</v>
      </c>
      <c r="S1937" s="8">
        <v>0</v>
      </c>
      <c r="T1937" s="8">
        <f t="shared" si="192"/>
        <v>0</v>
      </c>
      <c r="U1937" s="8">
        <v>6</v>
      </c>
      <c r="V1937" s="8">
        <v>1</v>
      </c>
      <c r="W1937" s="8">
        <v>0</v>
      </c>
      <c r="X1937" s="8">
        <v>0</v>
      </c>
      <c r="Y1937" s="8">
        <v>0</v>
      </c>
      <c r="Z1937" s="8">
        <v>0</v>
      </c>
      <c r="AA1937" s="8">
        <v>180</v>
      </c>
      <c r="AB1937" s="9">
        <f t="shared" si="193"/>
        <v>1.1666666666666667</v>
      </c>
      <c r="AC1937" s="10">
        <f t="shared" si="195"/>
        <v>0</v>
      </c>
      <c r="AD1937" s="8" t="s">
        <v>33</v>
      </c>
      <c r="AE1937" s="11">
        <v>26990</v>
      </c>
      <c r="AF1937" s="11">
        <f t="shared" si="196"/>
        <v>0</v>
      </c>
      <c r="AG1937" s="12" t="s">
        <v>34</v>
      </c>
      <c r="AH1937" s="8" t="s">
        <v>35</v>
      </c>
    </row>
    <row r="1938" spans="1:34">
      <c r="A1938" s="8" t="s">
        <v>2671</v>
      </c>
      <c r="B1938" s="16" t="s">
        <v>2859</v>
      </c>
      <c r="C1938" s="8" t="s">
        <v>248</v>
      </c>
      <c r="D1938" s="8" t="s">
        <v>2622</v>
      </c>
      <c r="E1938" s="8" t="str">
        <f t="shared" si="194"/>
        <v>AZUL</v>
      </c>
      <c r="G1938" s="8" t="s">
        <v>2861</v>
      </c>
      <c r="H1938" s="8" t="str">
        <f>VLOOKUP(A1938,[1]BBDD!$B$1:$J$3274,9,FALSE)</f>
        <v>U</v>
      </c>
      <c r="I1938" s="8" t="s">
        <v>2861</v>
      </c>
      <c r="J1938" s="8" t="s">
        <v>2664</v>
      </c>
      <c r="L1938" s="8" t="s">
        <v>82</v>
      </c>
      <c r="N1938" s="8" t="s">
        <v>83</v>
      </c>
      <c r="O1938" s="8" t="s">
        <v>83</v>
      </c>
      <c r="Q1938" s="8" t="s">
        <v>32</v>
      </c>
      <c r="R1938" s="8">
        <v>0</v>
      </c>
      <c r="S1938" s="8">
        <v>0</v>
      </c>
      <c r="T1938" s="8">
        <f t="shared" si="192"/>
        <v>0</v>
      </c>
      <c r="U1938" s="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180</v>
      </c>
      <c r="AB1938" s="9">
        <f t="shared" si="193"/>
        <v>0</v>
      </c>
      <c r="AC1938" s="10" t="str">
        <f t="shared" si="195"/>
        <v>sin venta</v>
      </c>
      <c r="AD1938" s="8" t="s">
        <v>33</v>
      </c>
      <c r="AE1938" s="11">
        <v>26990</v>
      </c>
      <c r="AF1938" s="11">
        <f t="shared" si="196"/>
        <v>0</v>
      </c>
      <c r="AG1938" s="12" t="s">
        <v>73</v>
      </c>
      <c r="AH1938" s="8" t="s">
        <v>35</v>
      </c>
    </row>
    <row r="1939" spans="1:34">
      <c r="A1939" s="8" t="s">
        <v>2672</v>
      </c>
      <c r="B1939" s="16" t="s">
        <v>2859</v>
      </c>
      <c r="C1939" s="8" t="s">
        <v>248</v>
      </c>
      <c r="D1939" s="8" t="s">
        <v>2622</v>
      </c>
      <c r="E1939" s="8" t="str">
        <f t="shared" si="194"/>
        <v>CARAMELO</v>
      </c>
      <c r="G1939" s="8" t="s">
        <v>2861</v>
      </c>
      <c r="H1939" s="8" t="str">
        <f>VLOOKUP(A1939,[1]BBDD!$B$1:$J$3274,9,FALSE)</f>
        <v>U</v>
      </c>
      <c r="I1939" s="8" t="s">
        <v>2861</v>
      </c>
      <c r="J1939" s="8" t="s">
        <v>2664</v>
      </c>
      <c r="L1939" s="8" t="s">
        <v>82</v>
      </c>
      <c r="N1939" s="8" t="s">
        <v>62</v>
      </c>
      <c r="O1939" s="8" t="s">
        <v>62</v>
      </c>
      <c r="Q1939" s="8" t="s">
        <v>32</v>
      </c>
      <c r="R1939" s="8">
        <v>2</v>
      </c>
      <c r="S1939" s="8">
        <v>15</v>
      </c>
      <c r="T1939" s="8">
        <f t="shared" si="192"/>
        <v>17</v>
      </c>
      <c r="U1939" s="8">
        <v>7</v>
      </c>
      <c r="V1939" s="8">
        <v>2</v>
      </c>
      <c r="W1939" s="8">
        <v>0</v>
      </c>
      <c r="X1939" s="8">
        <v>1</v>
      </c>
      <c r="Y1939" s="8">
        <v>5</v>
      </c>
      <c r="Z1939" s="8">
        <v>3</v>
      </c>
      <c r="AA1939" s="8">
        <v>180</v>
      </c>
      <c r="AB1939" s="9">
        <f t="shared" si="193"/>
        <v>3</v>
      </c>
      <c r="AC1939" s="10">
        <f t="shared" si="195"/>
        <v>5.666666666666667</v>
      </c>
      <c r="AD1939" s="8" t="s">
        <v>33</v>
      </c>
      <c r="AE1939" s="11">
        <v>26990</v>
      </c>
      <c r="AF1939" s="11">
        <f t="shared" si="196"/>
        <v>458830</v>
      </c>
      <c r="AG1939" s="12" t="s">
        <v>34</v>
      </c>
      <c r="AH1939" s="8" t="s">
        <v>65</v>
      </c>
    </row>
    <row r="1940" spans="1:34">
      <c r="A1940" s="8" t="s">
        <v>2673</v>
      </c>
      <c r="B1940" s="16" t="s">
        <v>2859</v>
      </c>
      <c r="C1940" s="8" t="s">
        <v>248</v>
      </c>
      <c r="D1940" s="8" t="s">
        <v>2622</v>
      </c>
      <c r="E1940" s="8" t="str">
        <f t="shared" si="194"/>
        <v>NEGRO</v>
      </c>
      <c r="G1940" s="8" t="s">
        <v>2861</v>
      </c>
      <c r="H1940" s="8" t="str">
        <f>VLOOKUP(A1940,[1]BBDD!$B$1:$J$3274,9,FALSE)</f>
        <v>U</v>
      </c>
      <c r="I1940" s="8" t="s">
        <v>2861</v>
      </c>
      <c r="J1940" s="8" t="s">
        <v>2664</v>
      </c>
      <c r="L1940" s="8" t="s">
        <v>82</v>
      </c>
      <c r="N1940" s="8" t="s">
        <v>44</v>
      </c>
      <c r="O1940" s="8" t="s">
        <v>44</v>
      </c>
      <c r="Q1940" s="8" t="s">
        <v>32</v>
      </c>
      <c r="R1940" s="8">
        <v>12</v>
      </c>
      <c r="S1940" s="8">
        <v>2</v>
      </c>
      <c r="T1940" s="8">
        <f t="shared" si="192"/>
        <v>14</v>
      </c>
      <c r="U1940" s="8">
        <v>1</v>
      </c>
      <c r="V1940" s="8">
        <v>0</v>
      </c>
      <c r="W1940" s="8">
        <v>6</v>
      </c>
      <c r="X1940" s="8">
        <v>1</v>
      </c>
      <c r="Y1940" s="8">
        <v>0</v>
      </c>
      <c r="Z1940" s="8">
        <v>0</v>
      </c>
      <c r="AA1940" s="8">
        <v>180</v>
      </c>
      <c r="AB1940" s="9">
        <f t="shared" si="193"/>
        <v>1.3333333333333335</v>
      </c>
      <c r="AC1940" s="10">
        <f t="shared" si="195"/>
        <v>10.499999999999998</v>
      </c>
      <c r="AD1940" s="8" t="s">
        <v>33</v>
      </c>
      <c r="AE1940" s="11">
        <v>26990</v>
      </c>
      <c r="AF1940" s="11">
        <f t="shared" si="196"/>
        <v>377860</v>
      </c>
      <c r="AG1940" s="12" t="s">
        <v>51</v>
      </c>
      <c r="AH1940" s="8" t="s">
        <v>65</v>
      </c>
    </row>
    <row r="1941" spans="1:34">
      <c r="A1941" s="8" t="s">
        <v>2674</v>
      </c>
      <c r="B1941" s="16" t="s">
        <v>2859</v>
      </c>
      <c r="C1941" s="8" t="s">
        <v>248</v>
      </c>
      <c r="D1941" s="8" t="s">
        <v>2622</v>
      </c>
      <c r="E1941" s="8" t="str">
        <f t="shared" si="194"/>
        <v>ROJO</v>
      </c>
      <c r="G1941" s="8" t="s">
        <v>2861</v>
      </c>
      <c r="H1941" s="8" t="str">
        <f>VLOOKUP(A1941,[1]BBDD!$B$1:$J$3274,9,FALSE)</f>
        <v>U</v>
      </c>
      <c r="I1941" s="8" t="s">
        <v>2861</v>
      </c>
      <c r="J1941" s="8" t="s">
        <v>2664</v>
      </c>
      <c r="L1941" s="8" t="s">
        <v>82</v>
      </c>
      <c r="N1941" s="8" t="s">
        <v>88</v>
      </c>
      <c r="O1941" s="8" t="s">
        <v>88</v>
      </c>
      <c r="Q1941" s="8" t="s">
        <v>32</v>
      </c>
      <c r="R1941" s="8">
        <v>0</v>
      </c>
      <c r="S1941" s="8">
        <v>8</v>
      </c>
      <c r="T1941" s="8">
        <f t="shared" si="192"/>
        <v>8</v>
      </c>
      <c r="U1941" s="8">
        <v>0</v>
      </c>
      <c r="V1941" s="8">
        <v>0</v>
      </c>
      <c r="W1941" s="8">
        <v>2</v>
      </c>
      <c r="X1941" s="8">
        <v>2</v>
      </c>
      <c r="Y1941" s="8">
        <v>2</v>
      </c>
      <c r="Z1941" s="8">
        <v>3</v>
      </c>
      <c r="AA1941" s="8">
        <v>180</v>
      </c>
      <c r="AB1941" s="9">
        <f t="shared" si="193"/>
        <v>1.5</v>
      </c>
      <c r="AC1941" s="10">
        <f t="shared" si="195"/>
        <v>5.333333333333333</v>
      </c>
      <c r="AD1941" s="8" t="s">
        <v>33</v>
      </c>
      <c r="AE1941" s="11">
        <v>26990</v>
      </c>
      <c r="AF1941" s="11">
        <f t="shared" si="196"/>
        <v>215920</v>
      </c>
      <c r="AG1941" s="12" t="s">
        <v>34</v>
      </c>
      <c r="AH1941" s="8" t="s">
        <v>35</v>
      </c>
    </row>
    <row r="1942" spans="1:34">
      <c r="A1942" s="8" t="s">
        <v>2675</v>
      </c>
      <c r="B1942" s="16" t="s">
        <v>2859</v>
      </c>
      <c r="C1942" s="8" t="s">
        <v>248</v>
      </c>
      <c r="D1942" s="8" t="s">
        <v>2622</v>
      </c>
      <c r="E1942" s="8" t="str">
        <f t="shared" si="194"/>
        <v>SUELA</v>
      </c>
      <c r="G1942" s="8" t="s">
        <v>2861</v>
      </c>
      <c r="H1942" s="8" t="str">
        <f>VLOOKUP(A1942,[1]BBDD!$B$1:$J$3274,9,FALSE)</f>
        <v>U</v>
      </c>
      <c r="I1942" s="8" t="s">
        <v>2861</v>
      </c>
      <c r="J1942" s="8" t="s">
        <v>2664</v>
      </c>
      <c r="L1942" s="8" t="s">
        <v>82</v>
      </c>
      <c r="N1942" s="8" t="s">
        <v>90</v>
      </c>
      <c r="O1942" s="8" t="s">
        <v>90</v>
      </c>
      <c r="Q1942" s="8" t="s">
        <v>32</v>
      </c>
      <c r="R1942" s="8">
        <v>10</v>
      </c>
      <c r="S1942" s="8">
        <v>1</v>
      </c>
      <c r="T1942" s="8">
        <f t="shared" si="192"/>
        <v>11</v>
      </c>
      <c r="U1942" s="8">
        <v>0</v>
      </c>
      <c r="V1942" s="8">
        <v>1</v>
      </c>
      <c r="W1942" s="8">
        <v>7</v>
      </c>
      <c r="X1942" s="8">
        <v>1</v>
      </c>
      <c r="Y1942" s="8">
        <v>0</v>
      </c>
      <c r="Z1942" s="8">
        <v>0</v>
      </c>
      <c r="AA1942" s="8">
        <v>180</v>
      </c>
      <c r="AB1942" s="9">
        <f t="shared" si="193"/>
        <v>1.5</v>
      </c>
      <c r="AC1942" s="10">
        <f t="shared" si="195"/>
        <v>7.333333333333333</v>
      </c>
      <c r="AD1942" s="8" t="s">
        <v>33</v>
      </c>
      <c r="AE1942" s="11">
        <v>26990</v>
      </c>
      <c r="AF1942" s="11">
        <f t="shared" si="196"/>
        <v>296890</v>
      </c>
      <c r="AG1942" s="12" t="s">
        <v>51</v>
      </c>
      <c r="AH1942" s="8" t="s">
        <v>65</v>
      </c>
    </row>
    <row r="1943" spans="1:34">
      <c r="A1943" s="8" t="s">
        <v>2676</v>
      </c>
      <c r="B1943" s="16" t="s">
        <v>2859</v>
      </c>
      <c r="C1943" s="8" t="s">
        <v>248</v>
      </c>
      <c r="D1943" s="8" t="s">
        <v>2622</v>
      </c>
      <c r="E1943" s="8" t="str">
        <f t="shared" si="194"/>
        <v>VERDE</v>
      </c>
      <c r="G1943" s="8" t="s">
        <v>2861</v>
      </c>
      <c r="H1943" s="8" t="str">
        <f>VLOOKUP(A1943,[1]BBDD!$B$1:$J$3274,9,FALSE)</f>
        <v>U</v>
      </c>
      <c r="I1943" s="8" t="s">
        <v>2861</v>
      </c>
      <c r="J1943" s="8" t="s">
        <v>2664</v>
      </c>
      <c r="L1943" s="8" t="s">
        <v>82</v>
      </c>
      <c r="N1943" s="8" t="s">
        <v>92</v>
      </c>
      <c r="O1943" s="8" t="s">
        <v>92</v>
      </c>
      <c r="Q1943" s="8" t="s">
        <v>45</v>
      </c>
      <c r="R1943" s="8">
        <v>0</v>
      </c>
      <c r="S1943" s="8">
        <v>3</v>
      </c>
      <c r="T1943" s="8">
        <f t="shared" si="192"/>
        <v>3</v>
      </c>
      <c r="U1943" s="8">
        <v>3</v>
      </c>
      <c r="V1943" s="8">
        <v>0</v>
      </c>
      <c r="W1943" s="8">
        <v>10</v>
      </c>
      <c r="X1943" s="8">
        <v>5</v>
      </c>
      <c r="Y1943" s="8">
        <v>2</v>
      </c>
      <c r="Z1943" s="8">
        <v>0</v>
      </c>
      <c r="AA1943" s="8">
        <v>180</v>
      </c>
      <c r="AB1943" s="9">
        <f t="shared" si="193"/>
        <v>3.333333333333333</v>
      </c>
      <c r="AC1943" s="10">
        <f t="shared" si="195"/>
        <v>0.90000000000000013</v>
      </c>
      <c r="AD1943" s="8" t="s">
        <v>109</v>
      </c>
      <c r="AE1943" s="11">
        <v>26990</v>
      </c>
      <c r="AF1943" s="11">
        <f t="shared" si="196"/>
        <v>80970</v>
      </c>
      <c r="AG1943" s="12" t="s">
        <v>34</v>
      </c>
      <c r="AH1943" s="8" t="s">
        <v>35</v>
      </c>
    </row>
    <row r="1944" spans="1:34">
      <c r="A1944" s="8" t="s">
        <v>2677</v>
      </c>
      <c r="B1944" s="16" t="s">
        <v>2859</v>
      </c>
      <c r="C1944" s="8" t="s">
        <v>248</v>
      </c>
      <c r="D1944" s="8" t="s">
        <v>2622</v>
      </c>
      <c r="E1944" s="8" t="str">
        <f t="shared" si="194"/>
        <v>AZUL</v>
      </c>
      <c r="G1944" s="8" t="s">
        <v>2861</v>
      </c>
      <c r="H1944" s="8" t="str">
        <f>VLOOKUP(A1944,[1]BBDD!$B$1:$J$3274,9,FALSE)</f>
        <v>U</v>
      </c>
      <c r="I1944" s="8" t="s">
        <v>2861</v>
      </c>
      <c r="J1944" s="8" t="s">
        <v>2678</v>
      </c>
      <c r="L1944" s="8" t="s">
        <v>61</v>
      </c>
      <c r="N1944" s="8" t="s">
        <v>83</v>
      </c>
      <c r="O1944" s="8" t="s">
        <v>83</v>
      </c>
      <c r="Q1944" s="8" t="s">
        <v>32</v>
      </c>
      <c r="R1944" s="8">
        <v>0</v>
      </c>
      <c r="S1944" s="8">
        <v>5</v>
      </c>
      <c r="T1944" s="8">
        <f t="shared" si="192"/>
        <v>5</v>
      </c>
      <c r="U1944" s="8">
        <v>5</v>
      </c>
      <c r="V1944" s="8">
        <v>4</v>
      </c>
      <c r="W1944" s="8">
        <v>4</v>
      </c>
      <c r="X1944" s="8">
        <v>5</v>
      </c>
      <c r="Y1944" s="8">
        <v>6</v>
      </c>
      <c r="Z1944" s="8">
        <v>2</v>
      </c>
      <c r="AA1944" s="8">
        <v>180</v>
      </c>
      <c r="AB1944" s="9">
        <f t="shared" si="193"/>
        <v>4.333333333333333</v>
      </c>
      <c r="AC1944" s="10">
        <f t="shared" si="195"/>
        <v>1.153846153846154</v>
      </c>
      <c r="AD1944" s="8" t="s">
        <v>33</v>
      </c>
      <c r="AE1944" s="11">
        <v>26990</v>
      </c>
      <c r="AF1944" s="11">
        <f t="shared" si="196"/>
        <v>134950</v>
      </c>
      <c r="AG1944" s="12" t="s">
        <v>34</v>
      </c>
      <c r="AH1944" s="8" t="s">
        <v>35</v>
      </c>
    </row>
    <row r="1945" spans="1:34">
      <c r="A1945" s="8" t="s">
        <v>2679</v>
      </c>
      <c r="B1945" s="16" t="s">
        <v>2859</v>
      </c>
      <c r="C1945" s="8" t="s">
        <v>248</v>
      </c>
      <c r="D1945" s="8" t="s">
        <v>2622</v>
      </c>
      <c r="E1945" s="8" t="str">
        <f t="shared" si="194"/>
        <v>CARAMELO</v>
      </c>
      <c r="G1945" s="8" t="s">
        <v>2861</v>
      </c>
      <c r="H1945" s="8" t="str">
        <f>VLOOKUP(A1945,[1]BBDD!$B$1:$J$3274,9,FALSE)</f>
        <v>U</v>
      </c>
      <c r="I1945" s="8" t="s">
        <v>2861</v>
      </c>
      <c r="J1945" s="8" t="s">
        <v>2678</v>
      </c>
      <c r="L1945" s="8" t="s">
        <v>61</v>
      </c>
      <c r="N1945" s="8" t="s">
        <v>62</v>
      </c>
      <c r="O1945" s="8" t="s">
        <v>62</v>
      </c>
      <c r="Q1945" s="8" t="s">
        <v>32</v>
      </c>
      <c r="R1945" s="8">
        <v>5</v>
      </c>
      <c r="S1945" s="8">
        <v>20</v>
      </c>
      <c r="T1945" s="8">
        <f t="shared" ref="T1945:T1984" si="197">SUM(R1945:S1945)</f>
        <v>25</v>
      </c>
      <c r="U1945" s="8">
        <v>4</v>
      </c>
      <c r="V1945" s="8">
        <v>3</v>
      </c>
      <c r="W1945" s="8">
        <v>2</v>
      </c>
      <c r="X1945" s="8">
        <v>2</v>
      </c>
      <c r="Y1945" s="8">
        <v>4</v>
      </c>
      <c r="Z1945" s="8">
        <v>5</v>
      </c>
      <c r="AA1945" s="8">
        <v>180</v>
      </c>
      <c r="AB1945" s="9">
        <f t="shared" ref="AB1945:AB1984" si="198">SUM(U1945:Z1945)/AA1945*30</f>
        <v>3.333333333333333</v>
      </c>
      <c r="AC1945" s="10">
        <f t="shared" si="195"/>
        <v>7.5000000000000009</v>
      </c>
      <c r="AD1945" s="8" t="s">
        <v>33</v>
      </c>
      <c r="AE1945" s="11">
        <v>26990</v>
      </c>
      <c r="AF1945" s="11">
        <f t="shared" si="196"/>
        <v>674750</v>
      </c>
      <c r="AG1945" s="12" t="s">
        <v>51</v>
      </c>
      <c r="AH1945" s="8" t="s">
        <v>74</v>
      </c>
    </row>
    <row r="1946" spans="1:34">
      <c r="A1946" s="8" t="s">
        <v>2680</v>
      </c>
      <c r="B1946" s="16" t="s">
        <v>2859</v>
      </c>
      <c r="C1946" s="8" t="s">
        <v>248</v>
      </c>
      <c r="D1946" s="8" t="s">
        <v>2622</v>
      </c>
      <c r="E1946" s="8" t="str">
        <f t="shared" si="194"/>
        <v>MALBEC</v>
      </c>
      <c r="G1946" s="8" t="s">
        <v>2861</v>
      </c>
      <c r="H1946" s="8" t="str">
        <f>VLOOKUP(A1946,[1]BBDD!$B$1:$J$3274,9,FALSE)</f>
        <v>U</v>
      </c>
      <c r="I1946" s="8" t="s">
        <v>2861</v>
      </c>
      <c r="J1946" s="8" t="s">
        <v>2678</v>
      </c>
      <c r="L1946" s="8" t="s">
        <v>61</v>
      </c>
      <c r="N1946" s="8" t="s">
        <v>69</v>
      </c>
      <c r="O1946" s="8" t="s">
        <v>69</v>
      </c>
      <c r="Q1946" s="8" t="s">
        <v>32</v>
      </c>
      <c r="R1946" s="8">
        <v>3</v>
      </c>
      <c r="S1946" s="8">
        <v>17</v>
      </c>
      <c r="T1946" s="8">
        <f t="shared" si="197"/>
        <v>20</v>
      </c>
      <c r="U1946" s="8">
        <v>4</v>
      </c>
      <c r="V1946" s="8">
        <v>1</v>
      </c>
      <c r="W1946" s="8">
        <v>1</v>
      </c>
      <c r="X1946" s="8">
        <v>6</v>
      </c>
      <c r="Y1946" s="8">
        <v>3</v>
      </c>
      <c r="Z1946" s="8">
        <v>8</v>
      </c>
      <c r="AA1946" s="8">
        <v>180</v>
      </c>
      <c r="AB1946" s="9">
        <f t="shared" si="198"/>
        <v>3.833333333333333</v>
      </c>
      <c r="AC1946" s="10">
        <f t="shared" si="195"/>
        <v>5.2173913043478262</v>
      </c>
      <c r="AD1946" s="8" t="s">
        <v>33</v>
      </c>
      <c r="AE1946" s="11">
        <v>26990</v>
      </c>
      <c r="AF1946" s="11">
        <f t="shared" si="196"/>
        <v>539800</v>
      </c>
      <c r="AG1946" s="12" t="s">
        <v>34</v>
      </c>
      <c r="AH1946" s="8" t="s">
        <v>65</v>
      </c>
    </row>
    <row r="1947" spans="1:34">
      <c r="A1947" s="8" t="s">
        <v>2681</v>
      </c>
      <c r="B1947" s="16" t="s">
        <v>2859</v>
      </c>
      <c r="C1947" s="8" t="s">
        <v>248</v>
      </c>
      <c r="D1947" s="8" t="s">
        <v>2622</v>
      </c>
      <c r="E1947" s="8" t="str">
        <f t="shared" si="194"/>
        <v>NEGRO</v>
      </c>
      <c r="G1947" s="8" t="s">
        <v>2861</v>
      </c>
      <c r="H1947" s="8" t="str">
        <f>VLOOKUP(A1947,[1]BBDD!$B$1:$J$3274,9,FALSE)</f>
        <v>U</v>
      </c>
      <c r="I1947" s="8" t="s">
        <v>2861</v>
      </c>
      <c r="J1947" s="8" t="s">
        <v>2678</v>
      </c>
      <c r="L1947" s="8" t="s">
        <v>61</v>
      </c>
      <c r="N1947" s="8" t="s">
        <v>44</v>
      </c>
      <c r="O1947" s="8" t="s">
        <v>44</v>
      </c>
      <c r="Q1947" s="8" t="s">
        <v>32</v>
      </c>
      <c r="R1947" s="8">
        <v>10</v>
      </c>
      <c r="S1947" s="8">
        <v>15</v>
      </c>
      <c r="T1947" s="8">
        <f t="shared" si="197"/>
        <v>25</v>
      </c>
      <c r="U1947" s="8">
        <v>6</v>
      </c>
      <c r="V1947" s="8">
        <v>5</v>
      </c>
      <c r="W1947" s="8">
        <v>7</v>
      </c>
      <c r="X1947" s="8">
        <v>5</v>
      </c>
      <c r="Y1947" s="8">
        <v>5</v>
      </c>
      <c r="Z1947" s="8">
        <v>4</v>
      </c>
      <c r="AA1947" s="8">
        <v>180</v>
      </c>
      <c r="AB1947" s="9">
        <f t="shared" si="198"/>
        <v>5.3333333333333339</v>
      </c>
      <c r="AC1947" s="10">
        <f t="shared" si="195"/>
        <v>4.6874999999999991</v>
      </c>
      <c r="AD1947" s="8" t="s">
        <v>33</v>
      </c>
      <c r="AE1947" s="11">
        <v>26990</v>
      </c>
      <c r="AF1947" s="11">
        <f t="shared" si="196"/>
        <v>674750</v>
      </c>
      <c r="AG1947" s="12" t="s">
        <v>34</v>
      </c>
      <c r="AH1947" s="8" t="s">
        <v>74</v>
      </c>
    </row>
    <row r="1948" spans="1:34">
      <c r="A1948" s="8" t="s">
        <v>2682</v>
      </c>
      <c r="B1948" s="16" t="s">
        <v>2859</v>
      </c>
      <c r="C1948" s="8" t="s">
        <v>248</v>
      </c>
      <c r="D1948" s="8" t="s">
        <v>2622</v>
      </c>
      <c r="E1948" s="8" t="str">
        <f t="shared" si="194"/>
        <v>ROJO</v>
      </c>
      <c r="G1948" s="8" t="s">
        <v>2861</v>
      </c>
      <c r="H1948" s="8" t="str">
        <f>VLOOKUP(A1948,[1]BBDD!$B$1:$J$3274,9,FALSE)</f>
        <v>U</v>
      </c>
      <c r="I1948" s="8" t="s">
        <v>2861</v>
      </c>
      <c r="J1948" s="8" t="s">
        <v>2678</v>
      </c>
      <c r="L1948" s="8" t="s">
        <v>61</v>
      </c>
      <c r="N1948" s="8" t="s">
        <v>88</v>
      </c>
      <c r="O1948" s="8" t="s">
        <v>88</v>
      </c>
      <c r="Q1948" s="8" t="s">
        <v>32</v>
      </c>
      <c r="R1948" s="8">
        <v>3</v>
      </c>
      <c r="S1948" s="8">
        <v>15</v>
      </c>
      <c r="T1948" s="8">
        <f t="shared" si="197"/>
        <v>18</v>
      </c>
      <c r="U1948" s="8">
        <v>5</v>
      </c>
      <c r="V1948" s="8">
        <v>3</v>
      </c>
      <c r="W1948" s="8">
        <v>1</v>
      </c>
      <c r="X1948" s="8">
        <v>4</v>
      </c>
      <c r="Y1948" s="8">
        <v>2</v>
      </c>
      <c r="Z1948" s="8">
        <v>2</v>
      </c>
      <c r="AA1948" s="8">
        <v>180</v>
      </c>
      <c r="AB1948" s="9">
        <f t="shared" si="198"/>
        <v>2.833333333333333</v>
      </c>
      <c r="AC1948" s="10">
        <f t="shared" si="195"/>
        <v>6.3529411764705888</v>
      </c>
      <c r="AD1948" s="8" t="s">
        <v>33</v>
      </c>
      <c r="AE1948" s="11">
        <v>26990</v>
      </c>
      <c r="AF1948" s="11">
        <f t="shared" si="196"/>
        <v>485820</v>
      </c>
      <c r="AG1948" s="12" t="s">
        <v>34</v>
      </c>
      <c r="AH1948" s="8" t="s">
        <v>65</v>
      </c>
    </row>
    <row r="1949" spans="1:34">
      <c r="A1949" s="8" t="s">
        <v>2683</v>
      </c>
      <c r="B1949" s="16" t="s">
        <v>2859</v>
      </c>
      <c r="C1949" s="8" t="s">
        <v>248</v>
      </c>
      <c r="D1949" s="8" t="s">
        <v>2622</v>
      </c>
      <c r="E1949" s="8" t="str">
        <f t="shared" si="194"/>
        <v>VERDE</v>
      </c>
      <c r="G1949" s="8" t="s">
        <v>2861</v>
      </c>
      <c r="H1949" s="8" t="str">
        <f>VLOOKUP(A1949,[1]BBDD!$B$1:$J$3274,9,FALSE)</f>
        <v>U</v>
      </c>
      <c r="I1949" s="8" t="s">
        <v>2861</v>
      </c>
      <c r="J1949" s="8" t="s">
        <v>2678</v>
      </c>
      <c r="L1949" s="8" t="s">
        <v>61</v>
      </c>
      <c r="N1949" s="8" t="s">
        <v>92</v>
      </c>
      <c r="O1949" s="8" t="s">
        <v>92</v>
      </c>
      <c r="Q1949" s="8" t="s">
        <v>32</v>
      </c>
      <c r="R1949" s="8">
        <v>0</v>
      </c>
      <c r="S1949" s="8">
        <v>2</v>
      </c>
      <c r="T1949" s="8">
        <f t="shared" si="197"/>
        <v>2</v>
      </c>
      <c r="U1949" s="8">
        <v>7</v>
      </c>
      <c r="V1949" s="8">
        <v>6</v>
      </c>
      <c r="W1949" s="8">
        <v>9</v>
      </c>
      <c r="X1949" s="8">
        <v>3</v>
      </c>
      <c r="Y1949" s="8">
        <v>2</v>
      </c>
      <c r="Z1949" s="8">
        <v>0</v>
      </c>
      <c r="AA1949" s="8">
        <v>180</v>
      </c>
      <c r="AB1949" s="9">
        <f t="shared" si="198"/>
        <v>4.5</v>
      </c>
      <c r="AC1949" s="10">
        <f t="shared" si="195"/>
        <v>0.44444444444444442</v>
      </c>
      <c r="AD1949" s="8" t="s">
        <v>33</v>
      </c>
      <c r="AE1949" s="11">
        <v>26990</v>
      </c>
      <c r="AF1949" s="11">
        <f t="shared" si="196"/>
        <v>53980</v>
      </c>
      <c r="AG1949" s="12" t="s">
        <v>34</v>
      </c>
      <c r="AH1949" s="8" t="s">
        <v>35</v>
      </c>
    </row>
    <row r="1950" spans="1:34">
      <c r="A1950" s="8" t="s">
        <v>2684</v>
      </c>
      <c r="B1950" s="16" t="s">
        <v>2859</v>
      </c>
      <c r="C1950" s="8" t="s">
        <v>248</v>
      </c>
      <c r="D1950" s="8" t="s">
        <v>2622</v>
      </c>
      <c r="E1950" s="8" t="str">
        <f t="shared" si="194"/>
        <v>TABACO</v>
      </c>
      <c r="G1950" s="8" t="s">
        <v>2861</v>
      </c>
      <c r="H1950" s="8" t="str">
        <f>VLOOKUP(A1950,[1]BBDD!$B$1:$J$3274,9,FALSE)</f>
        <v>U</v>
      </c>
      <c r="I1950" s="8" t="s">
        <v>2861</v>
      </c>
      <c r="J1950" s="8" t="s">
        <v>2678</v>
      </c>
      <c r="L1950" s="8" t="s">
        <v>61</v>
      </c>
      <c r="N1950" s="8" t="s">
        <v>67</v>
      </c>
      <c r="O1950" s="8" t="s">
        <v>67</v>
      </c>
      <c r="Q1950" s="8" t="s">
        <v>45</v>
      </c>
      <c r="R1950" s="8">
        <v>14</v>
      </c>
      <c r="S1950" s="8">
        <v>17</v>
      </c>
      <c r="T1950" s="8">
        <f t="shared" si="197"/>
        <v>31</v>
      </c>
      <c r="U1950" s="8">
        <v>3</v>
      </c>
      <c r="V1950" s="8">
        <v>2</v>
      </c>
      <c r="W1950" s="8">
        <v>3</v>
      </c>
      <c r="X1950" s="8">
        <v>0</v>
      </c>
      <c r="Y1950" s="8">
        <v>4</v>
      </c>
      <c r="Z1950" s="8">
        <v>3</v>
      </c>
      <c r="AA1950" s="8">
        <v>180</v>
      </c>
      <c r="AB1950" s="9">
        <f t="shared" si="198"/>
        <v>2.5</v>
      </c>
      <c r="AC1950" s="10">
        <f t="shared" si="195"/>
        <v>12.4</v>
      </c>
      <c r="AD1950" s="8" t="s">
        <v>109</v>
      </c>
      <c r="AE1950" s="11">
        <v>26990</v>
      </c>
      <c r="AF1950" s="11">
        <f t="shared" si="196"/>
        <v>836690</v>
      </c>
      <c r="AG1950" s="12" t="s">
        <v>51</v>
      </c>
      <c r="AH1950" s="8" t="s">
        <v>74</v>
      </c>
    </row>
    <row r="1951" spans="1:34">
      <c r="A1951" s="8" t="s">
        <v>2685</v>
      </c>
      <c r="B1951" s="16" t="s">
        <v>2859</v>
      </c>
      <c r="C1951" s="8" t="s">
        <v>248</v>
      </c>
      <c r="D1951" s="8" t="s">
        <v>2622</v>
      </c>
      <c r="E1951" s="8" t="str">
        <f t="shared" si="194"/>
        <v>CEDRO</v>
      </c>
      <c r="G1951" s="8" t="s">
        <v>2861</v>
      </c>
      <c r="H1951" s="8" t="str">
        <f>VLOOKUP(A1951,[1]BBDD!$B$1:$J$3274,9,FALSE)</f>
        <v>U</v>
      </c>
      <c r="I1951" s="8" t="s">
        <v>2861</v>
      </c>
      <c r="J1951" s="8" t="s">
        <v>2678</v>
      </c>
      <c r="L1951" s="8" t="s">
        <v>112</v>
      </c>
      <c r="N1951" s="8" t="s">
        <v>113</v>
      </c>
      <c r="O1951" s="8" t="s">
        <v>113</v>
      </c>
      <c r="Q1951" s="8" t="s">
        <v>32</v>
      </c>
      <c r="R1951" s="8">
        <v>0</v>
      </c>
      <c r="S1951" s="8">
        <v>8</v>
      </c>
      <c r="T1951" s="8">
        <f t="shared" si="197"/>
        <v>8</v>
      </c>
      <c r="U1951" s="8">
        <v>6</v>
      </c>
      <c r="V1951" s="8">
        <v>3</v>
      </c>
      <c r="W1951" s="8">
        <v>7</v>
      </c>
      <c r="X1951" s="8">
        <v>3</v>
      </c>
      <c r="Y1951" s="8">
        <v>5</v>
      </c>
      <c r="Z1951" s="8">
        <v>2</v>
      </c>
      <c r="AA1951" s="8">
        <v>180</v>
      </c>
      <c r="AB1951" s="9">
        <f t="shared" si="198"/>
        <v>4.333333333333333</v>
      </c>
      <c r="AC1951" s="10">
        <f t="shared" si="195"/>
        <v>1.8461538461538463</v>
      </c>
      <c r="AD1951" s="8" t="s">
        <v>33</v>
      </c>
      <c r="AE1951" s="11">
        <v>26990</v>
      </c>
      <c r="AF1951" s="11">
        <f t="shared" si="196"/>
        <v>215920</v>
      </c>
      <c r="AG1951" s="12" t="s">
        <v>34</v>
      </c>
      <c r="AH1951" s="8" t="s">
        <v>35</v>
      </c>
    </row>
    <row r="1952" spans="1:34">
      <c r="A1952" s="8" t="s">
        <v>2686</v>
      </c>
      <c r="B1952" s="16" t="s">
        <v>2859</v>
      </c>
      <c r="C1952" s="8" t="s">
        <v>248</v>
      </c>
      <c r="D1952" s="8" t="s">
        <v>2622</v>
      </c>
      <c r="E1952" s="8" t="str">
        <f t="shared" si="194"/>
        <v>VERDE</v>
      </c>
      <c r="G1952" s="8" t="s">
        <v>2861</v>
      </c>
      <c r="H1952" s="8" t="str">
        <f>VLOOKUP(A1952,[1]BBDD!$B$1:$J$3274,9,FALSE)</f>
        <v>U</v>
      </c>
      <c r="I1952" s="8" t="s">
        <v>2861</v>
      </c>
      <c r="J1952" s="8" t="s">
        <v>2678</v>
      </c>
      <c r="L1952" s="8" t="s">
        <v>119</v>
      </c>
      <c r="N1952" s="8" t="s">
        <v>92</v>
      </c>
      <c r="O1952" s="8" t="s">
        <v>92</v>
      </c>
      <c r="Q1952" s="8" t="s">
        <v>32</v>
      </c>
      <c r="R1952" s="8">
        <v>0</v>
      </c>
      <c r="S1952" s="8">
        <v>2</v>
      </c>
      <c r="T1952" s="8">
        <f t="shared" si="197"/>
        <v>2</v>
      </c>
      <c r="U1952" s="8">
        <v>0</v>
      </c>
      <c r="V1952" s="8">
        <v>0</v>
      </c>
      <c r="W1952" s="8">
        <v>0</v>
      </c>
      <c r="X1952" s="8">
        <v>2</v>
      </c>
      <c r="Y1952" s="8">
        <v>2</v>
      </c>
      <c r="Z1952" s="8">
        <v>0</v>
      </c>
      <c r="AA1952" s="8">
        <v>180</v>
      </c>
      <c r="AB1952" s="9">
        <f t="shared" si="198"/>
        <v>0.66666666666666674</v>
      </c>
      <c r="AC1952" s="10">
        <f t="shared" si="195"/>
        <v>2.9999999999999996</v>
      </c>
      <c r="AD1952" s="8" t="s">
        <v>33</v>
      </c>
      <c r="AE1952" s="11">
        <v>26990</v>
      </c>
      <c r="AF1952" s="11">
        <f t="shared" si="196"/>
        <v>53980</v>
      </c>
      <c r="AG1952" s="12" t="s">
        <v>34</v>
      </c>
      <c r="AH1952" s="8" t="s">
        <v>35</v>
      </c>
    </row>
    <row r="1953" spans="1:34">
      <c r="A1953" s="8" t="s">
        <v>2687</v>
      </c>
      <c r="B1953" s="16" t="s">
        <v>2859</v>
      </c>
      <c r="C1953" s="8" t="s">
        <v>248</v>
      </c>
      <c r="D1953" s="8" t="s">
        <v>2622</v>
      </c>
      <c r="E1953" s="8" t="str">
        <f t="shared" si="194"/>
        <v>AZUL</v>
      </c>
      <c r="G1953" s="8" t="s">
        <v>2861</v>
      </c>
      <c r="H1953" s="8" t="str">
        <f>VLOOKUP(A1953,[1]BBDD!$B$1:$J$3274,9,FALSE)</f>
        <v>U</v>
      </c>
      <c r="I1953" s="8" t="s">
        <v>2861</v>
      </c>
      <c r="J1953" s="8" t="s">
        <v>2678</v>
      </c>
      <c r="L1953" s="8" t="s">
        <v>119</v>
      </c>
      <c r="N1953" s="8" t="s">
        <v>83</v>
      </c>
      <c r="O1953" s="8" t="s">
        <v>83</v>
      </c>
      <c r="Q1953" s="8" t="s">
        <v>45</v>
      </c>
      <c r="R1953" s="8">
        <v>6</v>
      </c>
      <c r="S1953" s="8">
        <v>8</v>
      </c>
      <c r="T1953" s="8">
        <f t="shared" si="197"/>
        <v>14</v>
      </c>
      <c r="U1953" s="8">
        <v>4</v>
      </c>
      <c r="V1953" s="8">
        <v>1</v>
      </c>
      <c r="W1953" s="8">
        <v>3</v>
      </c>
      <c r="X1953" s="8">
        <v>3</v>
      </c>
      <c r="Y1953" s="8">
        <v>1</v>
      </c>
      <c r="Z1953" s="8">
        <v>5</v>
      </c>
      <c r="AA1953" s="8">
        <v>180</v>
      </c>
      <c r="AB1953" s="9">
        <f t="shared" si="198"/>
        <v>2.833333333333333</v>
      </c>
      <c r="AC1953" s="10">
        <f t="shared" si="195"/>
        <v>4.9411764705882355</v>
      </c>
      <c r="AD1953" s="8" t="s">
        <v>109</v>
      </c>
      <c r="AE1953" s="11">
        <v>26990</v>
      </c>
      <c r="AF1953" s="11">
        <f t="shared" si="196"/>
        <v>377860</v>
      </c>
      <c r="AG1953" s="12" t="s">
        <v>34</v>
      </c>
      <c r="AH1953" s="8" t="s">
        <v>65</v>
      </c>
    </row>
    <row r="1954" spans="1:34">
      <c r="A1954" s="8" t="s">
        <v>2688</v>
      </c>
      <c r="B1954" s="16" t="s">
        <v>2859</v>
      </c>
      <c r="C1954" s="8" t="s">
        <v>248</v>
      </c>
      <c r="D1954" s="8" t="s">
        <v>2622</v>
      </c>
      <c r="E1954" s="8" t="str">
        <f t="shared" si="194"/>
        <v>TABACO</v>
      </c>
      <c r="G1954" s="8" t="s">
        <v>2861</v>
      </c>
      <c r="H1954" s="8" t="str">
        <f>VLOOKUP(A1954,[1]BBDD!$B$1:$J$3274,9,FALSE)</f>
        <v>U</v>
      </c>
      <c r="I1954" s="8" t="s">
        <v>2861</v>
      </c>
      <c r="J1954" s="8" t="s">
        <v>2678</v>
      </c>
      <c r="L1954" s="8" t="s">
        <v>119</v>
      </c>
      <c r="N1954" s="8" t="s">
        <v>67</v>
      </c>
      <c r="O1954" s="8" t="s">
        <v>67</v>
      </c>
      <c r="Q1954" s="8" t="s">
        <v>45</v>
      </c>
      <c r="R1954" s="8">
        <v>0</v>
      </c>
      <c r="S1954" s="8">
        <v>1</v>
      </c>
      <c r="T1954" s="8">
        <f t="shared" si="197"/>
        <v>1</v>
      </c>
      <c r="U1954" s="8">
        <v>2</v>
      </c>
      <c r="V1954" s="8">
        <v>0</v>
      </c>
      <c r="W1954" s="8">
        <v>1</v>
      </c>
      <c r="X1954" s="8">
        <v>1</v>
      </c>
      <c r="Y1954" s="8">
        <v>1</v>
      </c>
      <c r="Z1954" s="8">
        <v>0</v>
      </c>
      <c r="AA1954" s="8">
        <v>180</v>
      </c>
      <c r="AB1954" s="9">
        <f t="shared" si="198"/>
        <v>0.83333333333333326</v>
      </c>
      <c r="AC1954" s="10">
        <f t="shared" si="195"/>
        <v>1.2000000000000002</v>
      </c>
      <c r="AD1954" s="8" t="s">
        <v>109</v>
      </c>
      <c r="AE1954" s="11">
        <v>26990</v>
      </c>
      <c r="AF1954" s="11">
        <f t="shared" si="196"/>
        <v>26990</v>
      </c>
      <c r="AG1954" s="12" t="s">
        <v>34</v>
      </c>
      <c r="AH1954" s="8" t="s">
        <v>35</v>
      </c>
    </row>
    <row r="1955" spans="1:34">
      <c r="A1955" s="8" t="s">
        <v>2689</v>
      </c>
      <c r="B1955" s="16" t="s">
        <v>2859</v>
      </c>
      <c r="C1955" s="8" t="s">
        <v>248</v>
      </c>
      <c r="D1955" s="8" t="s">
        <v>2622</v>
      </c>
      <c r="E1955" s="8" t="str">
        <f t="shared" si="194"/>
        <v>AZUL</v>
      </c>
      <c r="G1955" s="8" t="s">
        <v>2861</v>
      </c>
      <c r="H1955" s="8" t="str">
        <f>VLOOKUP(A1955,[1]BBDD!$B$1:$J$3274,9,FALSE)</f>
        <v>U</v>
      </c>
      <c r="I1955" s="8" t="s">
        <v>2861</v>
      </c>
      <c r="J1955" s="8" t="s">
        <v>2678</v>
      </c>
      <c r="L1955" s="8" t="s">
        <v>82</v>
      </c>
      <c r="N1955" s="8" t="s">
        <v>83</v>
      </c>
      <c r="O1955" s="8" t="s">
        <v>83</v>
      </c>
      <c r="Q1955" s="8" t="s">
        <v>32</v>
      </c>
      <c r="R1955" s="8">
        <v>0</v>
      </c>
      <c r="S1955" s="8">
        <v>1</v>
      </c>
      <c r="T1955" s="8">
        <f t="shared" si="197"/>
        <v>1</v>
      </c>
      <c r="U1955" s="8">
        <v>3</v>
      </c>
      <c r="V1955" s="8">
        <v>2</v>
      </c>
      <c r="W1955" s="8">
        <v>6</v>
      </c>
      <c r="X1955" s="8">
        <v>1</v>
      </c>
      <c r="Y1955" s="8">
        <v>0</v>
      </c>
      <c r="Z1955" s="8">
        <v>0</v>
      </c>
      <c r="AA1955" s="8">
        <v>180</v>
      </c>
      <c r="AB1955" s="9">
        <f t="shared" si="198"/>
        <v>2</v>
      </c>
      <c r="AC1955" s="10">
        <f t="shared" si="195"/>
        <v>0.5</v>
      </c>
      <c r="AD1955" s="8" t="s">
        <v>33</v>
      </c>
      <c r="AE1955" s="11">
        <v>26990</v>
      </c>
      <c r="AF1955" s="11">
        <f t="shared" si="196"/>
        <v>26990</v>
      </c>
      <c r="AG1955" s="12" t="s">
        <v>34</v>
      </c>
      <c r="AH1955" s="8" t="s">
        <v>35</v>
      </c>
    </row>
    <row r="1956" spans="1:34">
      <c r="A1956" s="8" t="s">
        <v>2690</v>
      </c>
      <c r="B1956" s="16" t="s">
        <v>2859</v>
      </c>
      <c r="C1956" s="8" t="s">
        <v>248</v>
      </c>
      <c r="D1956" s="8" t="s">
        <v>2622</v>
      </c>
      <c r="E1956" s="8" t="str">
        <f t="shared" si="194"/>
        <v>NEGRO</v>
      </c>
      <c r="G1956" s="8" t="s">
        <v>2861</v>
      </c>
      <c r="H1956" s="8" t="str">
        <f>VLOOKUP(A1956,[1]BBDD!$B$1:$J$3274,9,FALSE)</f>
        <v>U</v>
      </c>
      <c r="I1956" s="8" t="s">
        <v>2861</v>
      </c>
      <c r="J1956" s="8" t="s">
        <v>2678</v>
      </c>
      <c r="L1956" s="8" t="s">
        <v>82</v>
      </c>
      <c r="N1956" s="8" t="s">
        <v>44</v>
      </c>
      <c r="O1956" s="8" t="s">
        <v>44</v>
      </c>
      <c r="Q1956" s="8" t="s">
        <v>32</v>
      </c>
      <c r="R1956" s="8">
        <v>10</v>
      </c>
      <c r="S1956" s="8">
        <v>15</v>
      </c>
      <c r="T1956" s="8">
        <f t="shared" si="197"/>
        <v>25</v>
      </c>
      <c r="U1956" s="8">
        <v>13</v>
      </c>
      <c r="V1956" s="8">
        <v>4</v>
      </c>
      <c r="W1956" s="8">
        <v>5</v>
      </c>
      <c r="X1956" s="8">
        <v>0</v>
      </c>
      <c r="Y1956" s="8">
        <v>6</v>
      </c>
      <c r="Z1956" s="8">
        <v>6</v>
      </c>
      <c r="AA1956" s="8">
        <v>180</v>
      </c>
      <c r="AB1956" s="9">
        <f t="shared" si="198"/>
        <v>5.6666666666666661</v>
      </c>
      <c r="AC1956" s="10">
        <f t="shared" si="195"/>
        <v>4.4117647058823533</v>
      </c>
      <c r="AD1956" s="8" t="s">
        <v>33</v>
      </c>
      <c r="AE1956" s="11">
        <v>26990</v>
      </c>
      <c r="AF1956" s="11">
        <f t="shared" si="196"/>
        <v>674750</v>
      </c>
      <c r="AG1956" s="12" t="s">
        <v>34</v>
      </c>
      <c r="AH1956" s="8" t="s">
        <v>74</v>
      </c>
    </row>
    <row r="1957" spans="1:34">
      <c r="A1957" s="8" t="s">
        <v>2691</v>
      </c>
      <c r="B1957" s="16" t="s">
        <v>2859</v>
      </c>
      <c r="C1957" s="8" t="s">
        <v>248</v>
      </c>
      <c r="D1957" s="8" t="s">
        <v>2622</v>
      </c>
      <c r="E1957" s="8" t="str">
        <f t="shared" si="194"/>
        <v>ROJO</v>
      </c>
      <c r="G1957" s="8" t="s">
        <v>2861</v>
      </c>
      <c r="H1957" s="8" t="str">
        <f>VLOOKUP(A1957,[1]BBDD!$B$1:$J$3274,9,FALSE)</f>
        <v>U</v>
      </c>
      <c r="I1957" s="8" t="s">
        <v>2861</v>
      </c>
      <c r="J1957" s="8" t="s">
        <v>2678</v>
      </c>
      <c r="L1957" s="8" t="s">
        <v>82</v>
      </c>
      <c r="N1957" s="8" t="s">
        <v>88</v>
      </c>
      <c r="O1957" s="8" t="s">
        <v>88</v>
      </c>
      <c r="Q1957" s="8" t="s">
        <v>32</v>
      </c>
      <c r="R1957" s="8">
        <v>9</v>
      </c>
      <c r="S1957" s="8">
        <v>10</v>
      </c>
      <c r="T1957" s="8">
        <f t="shared" si="197"/>
        <v>19</v>
      </c>
      <c r="U1957" s="8">
        <v>11</v>
      </c>
      <c r="V1957" s="8">
        <v>1</v>
      </c>
      <c r="W1957" s="8">
        <v>3</v>
      </c>
      <c r="X1957" s="8">
        <v>3</v>
      </c>
      <c r="Y1957" s="8">
        <v>3</v>
      </c>
      <c r="Z1957" s="8">
        <v>5</v>
      </c>
      <c r="AA1957" s="8">
        <v>180</v>
      </c>
      <c r="AB1957" s="9">
        <f t="shared" si="198"/>
        <v>4.333333333333333</v>
      </c>
      <c r="AC1957" s="10">
        <f t="shared" si="195"/>
        <v>4.384615384615385</v>
      </c>
      <c r="AD1957" s="8" t="s">
        <v>33</v>
      </c>
      <c r="AE1957" s="11">
        <v>26990</v>
      </c>
      <c r="AF1957" s="11">
        <f t="shared" si="196"/>
        <v>512810</v>
      </c>
      <c r="AG1957" s="12" t="s">
        <v>34</v>
      </c>
      <c r="AH1957" s="8" t="s">
        <v>65</v>
      </c>
    </row>
    <row r="1958" spans="1:34">
      <c r="A1958" s="8" t="s">
        <v>2692</v>
      </c>
      <c r="B1958" s="16" t="s">
        <v>2859</v>
      </c>
      <c r="C1958" s="8" t="s">
        <v>248</v>
      </c>
      <c r="D1958" s="8" t="s">
        <v>2622</v>
      </c>
      <c r="E1958" s="8" t="str">
        <f t="shared" si="194"/>
        <v>SUELA</v>
      </c>
      <c r="G1958" s="8" t="s">
        <v>2861</v>
      </c>
      <c r="H1958" s="8" t="str">
        <f>VLOOKUP(A1958,[1]BBDD!$B$1:$J$3274,9,FALSE)</f>
        <v>U</v>
      </c>
      <c r="I1958" s="8" t="s">
        <v>2861</v>
      </c>
      <c r="J1958" s="8" t="s">
        <v>2678</v>
      </c>
      <c r="L1958" s="8" t="s">
        <v>82</v>
      </c>
      <c r="N1958" s="8" t="s">
        <v>90</v>
      </c>
      <c r="O1958" s="8" t="s">
        <v>90</v>
      </c>
      <c r="Q1958" s="8" t="s">
        <v>32</v>
      </c>
      <c r="R1958" s="8">
        <v>2</v>
      </c>
      <c r="S1958" s="8">
        <v>15</v>
      </c>
      <c r="T1958" s="8">
        <f t="shared" si="197"/>
        <v>17</v>
      </c>
      <c r="U1958" s="8">
        <v>8</v>
      </c>
      <c r="V1958" s="8">
        <v>3</v>
      </c>
      <c r="W1958" s="8">
        <v>6</v>
      </c>
      <c r="X1958" s="8">
        <v>7</v>
      </c>
      <c r="Y1958" s="8">
        <v>2</v>
      </c>
      <c r="Z1958" s="8">
        <v>3</v>
      </c>
      <c r="AA1958" s="8">
        <v>180</v>
      </c>
      <c r="AB1958" s="9">
        <f t="shared" si="198"/>
        <v>4.8333333333333339</v>
      </c>
      <c r="AC1958" s="10">
        <f t="shared" si="195"/>
        <v>3.5172413793103443</v>
      </c>
      <c r="AD1958" s="8" t="s">
        <v>33</v>
      </c>
      <c r="AE1958" s="11">
        <v>26990</v>
      </c>
      <c r="AF1958" s="11">
        <f t="shared" si="196"/>
        <v>458830</v>
      </c>
      <c r="AG1958" s="12" t="s">
        <v>34</v>
      </c>
      <c r="AH1958" s="8" t="s">
        <v>65</v>
      </c>
    </row>
    <row r="1959" spans="1:34">
      <c r="A1959" s="8" t="s">
        <v>2693</v>
      </c>
      <c r="B1959" s="16" t="s">
        <v>2859</v>
      </c>
      <c r="C1959" s="8" t="s">
        <v>248</v>
      </c>
      <c r="D1959" s="8" t="s">
        <v>2622</v>
      </c>
      <c r="E1959" s="8" t="str">
        <f t="shared" si="194"/>
        <v>CARAMELO</v>
      </c>
      <c r="G1959" s="8" t="s">
        <v>2861</v>
      </c>
      <c r="H1959" s="8" t="str">
        <f>VLOOKUP(A1959,[1]BBDD!$B$1:$J$3274,9,FALSE)</f>
        <v>U</v>
      </c>
      <c r="I1959" s="8" t="s">
        <v>2861</v>
      </c>
      <c r="J1959" s="8" t="s">
        <v>2678</v>
      </c>
      <c r="L1959" s="8" t="s">
        <v>82</v>
      </c>
      <c r="N1959" s="8" t="s">
        <v>62</v>
      </c>
      <c r="O1959" s="8" t="s">
        <v>62</v>
      </c>
      <c r="Q1959" s="8" t="s">
        <v>45</v>
      </c>
      <c r="R1959" s="8">
        <v>7</v>
      </c>
      <c r="S1959" s="8">
        <v>17</v>
      </c>
      <c r="T1959" s="8">
        <f t="shared" si="197"/>
        <v>24</v>
      </c>
      <c r="U1959" s="8">
        <v>0</v>
      </c>
      <c r="V1959" s="8">
        <v>0</v>
      </c>
      <c r="W1959" s="8">
        <v>0</v>
      </c>
      <c r="X1959" s="8">
        <v>1</v>
      </c>
      <c r="Y1959" s="8">
        <v>1</v>
      </c>
      <c r="Z1959" s="8">
        <v>2</v>
      </c>
      <c r="AA1959" s="8">
        <v>180</v>
      </c>
      <c r="AB1959" s="9">
        <f t="shared" si="198"/>
        <v>0.66666666666666674</v>
      </c>
      <c r="AC1959" s="10">
        <f t="shared" si="195"/>
        <v>35.999999999999993</v>
      </c>
      <c r="AD1959" s="8" t="s">
        <v>109</v>
      </c>
      <c r="AE1959" s="11">
        <v>26990</v>
      </c>
      <c r="AF1959" s="11">
        <f t="shared" si="196"/>
        <v>647760</v>
      </c>
      <c r="AG1959" s="12" t="s">
        <v>73</v>
      </c>
      <c r="AH1959" s="8" t="s">
        <v>74</v>
      </c>
    </row>
    <row r="1960" spans="1:34">
      <c r="A1960" s="8" t="s">
        <v>2694</v>
      </c>
      <c r="B1960" s="16" t="s">
        <v>2859</v>
      </c>
      <c r="C1960" s="8" t="s">
        <v>248</v>
      </c>
      <c r="D1960" s="8" t="s">
        <v>2622</v>
      </c>
      <c r="E1960" s="8" t="str">
        <f t="shared" si="194"/>
        <v>MALBEC</v>
      </c>
      <c r="G1960" s="8" t="s">
        <v>2861</v>
      </c>
      <c r="H1960" s="8" t="str">
        <f>VLOOKUP(A1960,[1]BBDD!$B$1:$J$3274,9,FALSE)</f>
        <v>U</v>
      </c>
      <c r="I1960" s="8" t="s">
        <v>2861</v>
      </c>
      <c r="J1960" s="8" t="s">
        <v>2678</v>
      </c>
      <c r="L1960" s="8" t="s">
        <v>82</v>
      </c>
      <c r="N1960" s="8" t="s">
        <v>69</v>
      </c>
      <c r="O1960" s="8" t="s">
        <v>69</v>
      </c>
      <c r="Q1960" s="8" t="s">
        <v>45</v>
      </c>
      <c r="R1960" s="8">
        <v>6</v>
      </c>
      <c r="S1960" s="8">
        <v>18</v>
      </c>
      <c r="T1960" s="8">
        <f t="shared" si="197"/>
        <v>24</v>
      </c>
      <c r="U1960" s="8">
        <v>1</v>
      </c>
      <c r="V1960" s="8">
        <v>4</v>
      </c>
      <c r="W1960" s="8">
        <v>2</v>
      </c>
      <c r="X1960" s="8">
        <v>1</v>
      </c>
      <c r="Y1960" s="8">
        <v>2</v>
      </c>
      <c r="Z1960" s="8">
        <v>5</v>
      </c>
      <c r="AA1960" s="8">
        <v>180</v>
      </c>
      <c r="AB1960" s="9">
        <f t="shared" si="198"/>
        <v>2.5</v>
      </c>
      <c r="AC1960" s="10">
        <f t="shared" si="195"/>
        <v>9.6</v>
      </c>
      <c r="AD1960" s="8" t="s">
        <v>109</v>
      </c>
      <c r="AE1960" s="11">
        <v>26990</v>
      </c>
      <c r="AF1960" s="11">
        <f t="shared" si="196"/>
        <v>647760</v>
      </c>
      <c r="AG1960" s="12" t="s">
        <v>51</v>
      </c>
      <c r="AH1960" s="8" t="s">
        <v>74</v>
      </c>
    </row>
    <row r="1961" spans="1:34">
      <c r="A1961" s="8" t="s">
        <v>2695</v>
      </c>
      <c r="B1961" s="16" t="s">
        <v>2859</v>
      </c>
      <c r="C1961" s="8" t="s">
        <v>248</v>
      </c>
      <c r="D1961" s="8" t="s">
        <v>2622</v>
      </c>
      <c r="E1961" s="8" t="str">
        <f t="shared" si="194"/>
        <v>AZUL</v>
      </c>
      <c r="G1961" s="8" t="s">
        <v>2861</v>
      </c>
      <c r="H1961" s="8" t="str">
        <f>VLOOKUP(A1961,[1]BBDD!$B$1:$J$3274,9,FALSE)</f>
        <v>U</v>
      </c>
      <c r="I1961" s="8" t="s">
        <v>2861</v>
      </c>
      <c r="J1961" s="8" t="s">
        <v>2696</v>
      </c>
      <c r="L1961" s="8" t="s">
        <v>61</v>
      </c>
      <c r="N1961" s="8" t="s">
        <v>83</v>
      </c>
      <c r="O1961" s="8" t="s">
        <v>83</v>
      </c>
      <c r="Q1961" s="8" t="s">
        <v>45</v>
      </c>
      <c r="R1961" s="8">
        <v>0</v>
      </c>
      <c r="S1961" s="8">
        <v>4</v>
      </c>
      <c r="T1961" s="8">
        <f t="shared" si="197"/>
        <v>4</v>
      </c>
      <c r="U1961" s="8">
        <v>1</v>
      </c>
      <c r="V1961" s="8">
        <v>0</v>
      </c>
      <c r="W1961" s="8">
        <v>0</v>
      </c>
      <c r="X1961" s="8">
        <v>1</v>
      </c>
      <c r="Y1961" s="8">
        <v>0</v>
      </c>
      <c r="Z1961" s="8">
        <v>0</v>
      </c>
      <c r="AA1961" s="8">
        <v>180</v>
      </c>
      <c r="AB1961" s="9">
        <f t="shared" si="198"/>
        <v>0.33333333333333337</v>
      </c>
      <c r="AC1961" s="10">
        <f t="shared" si="195"/>
        <v>11.999999999999998</v>
      </c>
      <c r="AD1961" s="8" t="s">
        <v>109</v>
      </c>
      <c r="AE1961" s="11">
        <v>55990</v>
      </c>
      <c r="AF1961" s="11">
        <f t="shared" si="196"/>
        <v>223960</v>
      </c>
      <c r="AG1961" s="12" t="s">
        <v>51</v>
      </c>
      <c r="AH1961" s="8" t="s">
        <v>35</v>
      </c>
    </row>
    <row r="1962" spans="1:34">
      <c r="A1962" s="8" t="s">
        <v>2697</v>
      </c>
      <c r="B1962" s="16" t="s">
        <v>2859</v>
      </c>
      <c r="C1962" s="8" t="s">
        <v>248</v>
      </c>
      <c r="D1962" s="8" t="s">
        <v>2622</v>
      </c>
      <c r="E1962" s="8" t="str">
        <f t="shared" si="194"/>
        <v>CARAMELO</v>
      </c>
      <c r="G1962" s="8" t="s">
        <v>2861</v>
      </c>
      <c r="H1962" s="8" t="str">
        <f>VLOOKUP(A1962,[1]BBDD!$B$1:$J$3274,9,FALSE)</f>
        <v>U</v>
      </c>
      <c r="I1962" s="8" t="s">
        <v>2861</v>
      </c>
      <c r="J1962" s="8" t="s">
        <v>2696</v>
      </c>
      <c r="L1962" s="8" t="s">
        <v>61</v>
      </c>
      <c r="N1962" s="8" t="s">
        <v>62</v>
      </c>
      <c r="O1962" s="8" t="s">
        <v>62</v>
      </c>
      <c r="Q1962" s="8" t="s">
        <v>45</v>
      </c>
      <c r="R1962" s="8">
        <v>0</v>
      </c>
      <c r="S1962" s="8">
        <v>1</v>
      </c>
      <c r="T1962" s="8">
        <f t="shared" si="197"/>
        <v>1</v>
      </c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8">
        <v>180</v>
      </c>
      <c r="AB1962" s="9">
        <f t="shared" si="198"/>
        <v>0</v>
      </c>
      <c r="AC1962" s="10" t="str">
        <f t="shared" si="195"/>
        <v>sin venta</v>
      </c>
      <c r="AD1962" s="8" t="s">
        <v>109</v>
      </c>
      <c r="AE1962" s="11">
        <v>55990</v>
      </c>
      <c r="AF1962" s="11">
        <f t="shared" si="196"/>
        <v>55990</v>
      </c>
      <c r="AG1962" s="12" t="s">
        <v>73</v>
      </c>
      <c r="AH1962" s="8" t="s">
        <v>35</v>
      </c>
    </row>
    <row r="1963" spans="1:34">
      <c r="A1963" s="8" t="s">
        <v>2698</v>
      </c>
      <c r="B1963" s="16" t="s">
        <v>2859</v>
      </c>
      <c r="C1963" s="8" t="s">
        <v>248</v>
      </c>
      <c r="D1963" s="8" t="s">
        <v>2622</v>
      </c>
      <c r="E1963" s="8" t="str">
        <f t="shared" si="194"/>
        <v>MALBEC</v>
      </c>
      <c r="G1963" s="8" t="s">
        <v>2861</v>
      </c>
      <c r="H1963" s="8" t="str">
        <f>VLOOKUP(A1963,[1]BBDD!$B$1:$J$3274,9,FALSE)</f>
        <v>U</v>
      </c>
      <c r="I1963" s="8" t="s">
        <v>2861</v>
      </c>
      <c r="J1963" s="8" t="s">
        <v>2696</v>
      </c>
      <c r="L1963" s="8" t="s">
        <v>61</v>
      </c>
      <c r="N1963" s="8" t="s">
        <v>69</v>
      </c>
      <c r="O1963" s="8" t="s">
        <v>69</v>
      </c>
      <c r="Q1963" s="8" t="s">
        <v>45</v>
      </c>
      <c r="R1963" s="8">
        <v>0</v>
      </c>
      <c r="S1963" s="8">
        <v>1</v>
      </c>
      <c r="T1963" s="8">
        <f t="shared" si="197"/>
        <v>1</v>
      </c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180</v>
      </c>
      <c r="AB1963" s="9">
        <f t="shared" si="198"/>
        <v>0</v>
      </c>
      <c r="AC1963" s="10" t="str">
        <f t="shared" si="195"/>
        <v>sin venta</v>
      </c>
      <c r="AD1963" s="8" t="s">
        <v>109</v>
      </c>
      <c r="AE1963" s="11">
        <v>55990</v>
      </c>
      <c r="AF1963" s="11">
        <f t="shared" si="196"/>
        <v>55990</v>
      </c>
      <c r="AG1963" s="12" t="s">
        <v>73</v>
      </c>
      <c r="AH1963" s="8" t="s">
        <v>35</v>
      </c>
    </row>
    <row r="1964" spans="1:34">
      <c r="A1964" s="8" t="s">
        <v>2699</v>
      </c>
      <c r="B1964" s="16" t="s">
        <v>2859</v>
      </c>
      <c r="C1964" s="8" t="s">
        <v>248</v>
      </c>
      <c r="D1964" s="8" t="s">
        <v>2622</v>
      </c>
      <c r="E1964" s="8" t="str">
        <f t="shared" si="194"/>
        <v>NEGRO</v>
      </c>
      <c r="G1964" s="8" t="s">
        <v>2861</v>
      </c>
      <c r="H1964" s="8" t="str">
        <f>VLOOKUP(A1964,[1]BBDD!$B$1:$J$3274,9,FALSE)</f>
        <v>U</v>
      </c>
      <c r="I1964" s="8" t="s">
        <v>2861</v>
      </c>
      <c r="J1964" s="8" t="s">
        <v>2696</v>
      </c>
      <c r="L1964" s="8" t="s">
        <v>61</v>
      </c>
      <c r="N1964" s="8" t="s">
        <v>44</v>
      </c>
      <c r="O1964" s="8" t="s">
        <v>44</v>
      </c>
      <c r="Q1964" s="8" t="s">
        <v>45</v>
      </c>
      <c r="R1964" s="8">
        <v>1</v>
      </c>
      <c r="S1964" s="8">
        <v>8</v>
      </c>
      <c r="T1964" s="8">
        <f t="shared" si="197"/>
        <v>9</v>
      </c>
      <c r="U1964" s="8">
        <v>0</v>
      </c>
      <c r="V1964" s="8">
        <v>0</v>
      </c>
      <c r="W1964" s="8">
        <v>1</v>
      </c>
      <c r="X1964" s="8">
        <v>1</v>
      </c>
      <c r="Y1964" s="8">
        <v>2</v>
      </c>
      <c r="Z1964" s="8">
        <v>0</v>
      </c>
      <c r="AA1964" s="8">
        <v>180</v>
      </c>
      <c r="AB1964" s="9">
        <f t="shared" si="198"/>
        <v>0.66666666666666674</v>
      </c>
      <c r="AC1964" s="10">
        <f t="shared" si="195"/>
        <v>13.499999999999998</v>
      </c>
      <c r="AD1964" s="8" t="s">
        <v>109</v>
      </c>
      <c r="AE1964" s="11">
        <v>55990</v>
      </c>
      <c r="AF1964" s="11">
        <f t="shared" si="196"/>
        <v>503910</v>
      </c>
      <c r="AG1964" s="12" t="s">
        <v>64</v>
      </c>
      <c r="AH1964" s="8" t="s">
        <v>35</v>
      </c>
    </row>
    <row r="1965" spans="1:34">
      <c r="A1965" s="8" t="s">
        <v>2700</v>
      </c>
      <c r="B1965" s="16" t="s">
        <v>2859</v>
      </c>
      <c r="C1965" s="8" t="s">
        <v>248</v>
      </c>
      <c r="D1965" s="8" t="s">
        <v>2622</v>
      </c>
      <c r="E1965" s="8" t="str">
        <f t="shared" si="194"/>
        <v>TABACO</v>
      </c>
      <c r="G1965" s="8" t="s">
        <v>2861</v>
      </c>
      <c r="H1965" s="8" t="str">
        <f>VLOOKUP(A1965,[1]BBDD!$B$1:$J$3274,9,FALSE)</f>
        <v>U</v>
      </c>
      <c r="I1965" s="8" t="s">
        <v>2861</v>
      </c>
      <c r="J1965" s="8" t="s">
        <v>2696</v>
      </c>
      <c r="L1965" s="8" t="s">
        <v>61</v>
      </c>
      <c r="N1965" s="8" t="s">
        <v>67</v>
      </c>
      <c r="O1965" s="8" t="s">
        <v>67</v>
      </c>
      <c r="Q1965" s="8" t="s">
        <v>45</v>
      </c>
      <c r="R1965" s="8">
        <v>0</v>
      </c>
      <c r="S1965" s="8">
        <v>3</v>
      </c>
      <c r="T1965" s="8">
        <f t="shared" si="197"/>
        <v>3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1</v>
      </c>
      <c r="AA1965" s="8">
        <v>180</v>
      </c>
      <c r="AB1965" s="9">
        <f t="shared" si="198"/>
        <v>0.16666666666666669</v>
      </c>
      <c r="AC1965" s="10">
        <f t="shared" si="195"/>
        <v>17.999999999999996</v>
      </c>
      <c r="AD1965" s="8" t="s">
        <v>109</v>
      </c>
      <c r="AE1965" s="11">
        <v>55990</v>
      </c>
      <c r="AF1965" s="11">
        <f t="shared" si="196"/>
        <v>167970</v>
      </c>
      <c r="AG1965" s="12" t="s">
        <v>64</v>
      </c>
      <c r="AH1965" s="8" t="s">
        <v>35</v>
      </c>
    </row>
    <row r="1966" spans="1:34">
      <c r="A1966" s="8" t="s">
        <v>2701</v>
      </c>
      <c r="B1966" s="16" t="s">
        <v>2859</v>
      </c>
      <c r="C1966" s="8" t="s">
        <v>248</v>
      </c>
      <c r="D1966" s="8" t="s">
        <v>2622</v>
      </c>
      <c r="E1966" s="8" t="str">
        <f t="shared" si="194"/>
        <v>AZUL</v>
      </c>
      <c r="G1966" s="8" t="s">
        <v>2861</v>
      </c>
      <c r="H1966" s="8" t="str">
        <f>VLOOKUP(A1966,[1]BBDD!$B$1:$J$3274,9,FALSE)</f>
        <v>U</v>
      </c>
      <c r="I1966" s="8" t="s">
        <v>2861</v>
      </c>
      <c r="J1966" s="8" t="s">
        <v>2696</v>
      </c>
      <c r="L1966" s="8" t="s">
        <v>82</v>
      </c>
      <c r="N1966" s="8" t="s">
        <v>83</v>
      </c>
      <c r="O1966" s="8" t="s">
        <v>83</v>
      </c>
      <c r="Q1966" s="8" t="s">
        <v>45</v>
      </c>
      <c r="R1966" s="8">
        <v>0</v>
      </c>
      <c r="S1966" s="8">
        <v>2</v>
      </c>
      <c r="T1966" s="8">
        <f t="shared" si="197"/>
        <v>2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180</v>
      </c>
      <c r="AB1966" s="9">
        <f t="shared" si="198"/>
        <v>0</v>
      </c>
      <c r="AC1966" s="10" t="str">
        <f t="shared" si="195"/>
        <v>sin venta</v>
      </c>
      <c r="AD1966" s="8" t="s">
        <v>109</v>
      </c>
      <c r="AE1966" s="11">
        <v>55990</v>
      </c>
      <c r="AF1966" s="11">
        <f t="shared" si="196"/>
        <v>111980</v>
      </c>
      <c r="AG1966" s="12" t="s">
        <v>73</v>
      </c>
      <c r="AH1966" s="8" t="s">
        <v>35</v>
      </c>
    </row>
    <row r="1967" spans="1:34">
      <c r="A1967" s="8" t="s">
        <v>2702</v>
      </c>
      <c r="B1967" s="16" t="s">
        <v>2859</v>
      </c>
      <c r="C1967" s="8" t="s">
        <v>248</v>
      </c>
      <c r="D1967" s="8" t="s">
        <v>2622</v>
      </c>
      <c r="E1967" s="8" t="str">
        <f t="shared" si="194"/>
        <v>CARAMELO</v>
      </c>
      <c r="G1967" s="8" t="s">
        <v>2861</v>
      </c>
      <c r="H1967" s="8" t="str">
        <f>VLOOKUP(A1967,[1]BBDD!$B$1:$J$3274,9,FALSE)</f>
        <v>U</v>
      </c>
      <c r="I1967" s="8" t="s">
        <v>2861</v>
      </c>
      <c r="J1967" s="8" t="s">
        <v>2696</v>
      </c>
      <c r="L1967" s="8" t="s">
        <v>82</v>
      </c>
      <c r="N1967" s="8" t="s">
        <v>62</v>
      </c>
      <c r="O1967" s="8" t="s">
        <v>62</v>
      </c>
      <c r="Q1967" s="8" t="s">
        <v>45</v>
      </c>
      <c r="R1967" s="8">
        <v>0</v>
      </c>
      <c r="S1967" s="8">
        <v>3</v>
      </c>
      <c r="T1967" s="8">
        <f t="shared" si="197"/>
        <v>3</v>
      </c>
      <c r="U1967" s="8">
        <v>0</v>
      </c>
      <c r="V1967" s="8">
        <v>0</v>
      </c>
      <c r="W1967" s="8">
        <v>1</v>
      </c>
      <c r="X1967" s="8">
        <v>0</v>
      </c>
      <c r="Y1967" s="8">
        <v>0</v>
      </c>
      <c r="Z1967" s="8">
        <v>0</v>
      </c>
      <c r="AA1967" s="8">
        <v>180</v>
      </c>
      <c r="AB1967" s="9">
        <f t="shared" si="198"/>
        <v>0.16666666666666669</v>
      </c>
      <c r="AC1967" s="10">
        <f t="shared" si="195"/>
        <v>17.999999999999996</v>
      </c>
      <c r="AD1967" s="8" t="s">
        <v>109</v>
      </c>
      <c r="AE1967" s="11">
        <v>55990</v>
      </c>
      <c r="AF1967" s="11">
        <f t="shared" si="196"/>
        <v>167970</v>
      </c>
      <c r="AG1967" s="12" t="s">
        <v>64</v>
      </c>
      <c r="AH1967" s="8" t="s">
        <v>35</v>
      </c>
    </row>
    <row r="1968" spans="1:34">
      <c r="A1968" s="8" t="s">
        <v>2703</v>
      </c>
      <c r="B1968" s="16" t="s">
        <v>2859</v>
      </c>
      <c r="C1968" s="8" t="s">
        <v>248</v>
      </c>
      <c r="D1968" s="8" t="s">
        <v>2622</v>
      </c>
      <c r="E1968" s="8" t="str">
        <f t="shared" si="194"/>
        <v>NEGRO</v>
      </c>
      <c r="G1968" s="8" t="s">
        <v>2861</v>
      </c>
      <c r="H1968" s="8" t="str">
        <f>VLOOKUP(A1968,[1]BBDD!$B$1:$J$3274,9,FALSE)</f>
        <v>U</v>
      </c>
      <c r="I1968" s="8" t="s">
        <v>2861</v>
      </c>
      <c r="J1968" s="8" t="s">
        <v>2696</v>
      </c>
      <c r="L1968" s="8" t="s">
        <v>82</v>
      </c>
      <c r="N1968" s="8" t="s">
        <v>44</v>
      </c>
      <c r="O1968" s="8" t="s">
        <v>44</v>
      </c>
      <c r="Q1968" s="8" t="s">
        <v>45</v>
      </c>
      <c r="R1968" s="8">
        <v>3</v>
      </c>
      <c r="S1968" s="8">
        <v>7</v>
      </c>
      <c r="T1968" s="8">
        <f t="shared" si="197"/>
        <v>10</v>
      </c>
      <c r="U1968" s="8">
        <v>0</v>
      </c>
      <c r="V1968" s="8">
        <v>0</v>
      </c>
      <c r="W1968" s="8">
        <v>1</v>
      </c>
      <c r="X1968" s="8">
        <v>0</v>
      </c>
      <c r="Y1968" s="8">
        <v>0</v>
      </c>
      <c r="Z1968" s="8">
        <v>0</v>
      </c>
      <c r="AA1968" s="8">
        <v>180</v>
      </c>
      <c r="AB1968" s="9">
        <f t="shared" si="198"/>
        <v>0.16666666666666669</v>
      </c>
      <c r="AC1968" s="10">
        <f t="shared" si="195"/>
        <v>59.999999999999993</v>
      </c>
      <c r="AD1968" s="8" t="s">
        <v>109</v>
      </c>
      <c r="AE1968" s="11">
        <v>55990</v>
      </c>
      <c r="AF1968" s="11">
        <f t="shared" si="196"/>
        <v>559900</v>
      </c>
      <c r="AG1968" s="12" t="s">
        <v>73</v>
      </c>
      <c r="AH1968" s="8" t="s">
        <v>35</v>
      </c>
    </row>
    <row r="1969" spans="1:34">
      <c r="A1969" s="8" t="s">
        <v>2704</v>
      </c>
      <c r="B1969" s="16" t="s">
        <v>2859</v>
      </c>
      <c r="C1969" s="8" t="s">
        <v>248</v>
      </c>
      <c r="D1969" s="8" t="s">
        <v>2622</v>
      </c>
      <c r="E1969" s="8" t="str">
        <f t="shared" si="194"/>
        <v>ROJO</v>
      </c>
      <c r="G1969" s="8" t="s">
        <v>2861</v>
      </c>
      <c r="H1969" s="8" t="str">
        <f>VLOOKUP(A1969,[1]BBDD!$B$1:$J$3274,9,FALSE)</f>
        <v>U</v>
      </c>
      <c r="I1969" s="8" t="s">
        <v>2861</v>
      </c>
      <c r="J1969" s="8" t="s">
        <v>2696</v>
      </c>
      <c r="L1969" s="8" t="s">
        <v>82</v>
      </c>
      <c r="N1969" s="8" t="s">
        <v>88</v>
      </c>
      <c r="O1969" s="8" t="s">
        <v>88</v>
      </c>
      <c r="Q1969" s="8" t="s">
        <v>45</v>
      </c>
      <c r="R1969" s="8">
        <v>1</v>
      </c>
      <c r="S1969" s="8">
        <v>4</v>
      </c>
      <c r="T1969" s="8">
        <f t="shared" si="197"/>
        <v>5</v>
      </c>
      <c r="U1969" s="8">
        <v>0</v>
      </c>
      <c r="V1969" s="8">
        <v>0</v>
      </c>
      <c r="W1969" s="8">
        <v>1</v>
      </c>
      <c r="X1969" s="8">
        <v>2</v>
      </c>
      <c r="Y1969" s="8">
        <v>0</v>
      </c>
      <c r="Z1969" s="8">
        <v>0</v>
      </c>
      <c r="AA1969" s="8">
        <v>180</v>
      </c>
      <c r="AB1969" s="9">
        <f t="shared" si="198"/>
        <v>0.5</v>
      </c>
      <c r="AC1969" s="10">
        <f t="shared" si="195"/>
        <v>10</v>
      </c>
      <c r="AD1969" s="8" t="s">
        <v>109</v>
      </c>
      <c r="AE1969" s="11">
        <v>55990</v>
      </c>
      <c r="AF1969" s="11">
        <f t="shared" si="196"/>
        <v>279950</v>
      </c>
      <c r="AG1969" s="12" t="s">
        <v>51</v>
      </c>
      <c r="AH1969" s="8" t="s">
        <v>35</v>
      </c>
    </row>
    <row r="1970" spans="1:34">
      <c r="A1970" s="8" t="s">
        <v>2705</v>
      </c>
      <c r="B1970" s="16" t="s">
        <v>2859</v>
      </c>
      <c r="C1970" s="8" t="s">
        <v>248</v>
      </c>
      <c r="D1970" s="8" t="s">
        <v>2622</v>
      </c>
      <c r="E1970" s="8" t="str">
        <f t="shared" si="194"/>
        <v>SUELA</v>
      </c>
      <c r="G1970" s="8" t="s">
        <v>2861</v>
      </c>
      <c r="H1970" s="8" t="str">
        <f>VLOOKUP(A1970,[1]BBDD!$B$1:$J$3274,9,FALSE)</f>
        <v>U</v>
      </c>
      <c r="I1970" s="8" t="s">
        <v>2861</v>
      </c>
      <c r="J1970" s="8" t="s">
        <v>2696</v>
      </c>
      <c r="L1970" s="8" t="s">
        <v>82</v>
      </c>
      <c r="N1970" s="8" t="s">
        <v>90</v>
      </c>
      <c r="O1970" s="8" t="s">
        <v>90</v>
      </c>
      <c r="Q1970" s="8" t="s">
        <v>45</v>
      </c>
      <c r="R1970" s="8">
        <v>0</v>
      </c>
      <c r="S1970" s="8">
        <v>3</v>
      </c>
      <c r="T1970" s="8">
        <f t="shared" si="197"/>
        <v>3</v>
      </c>
      <c r="U1970" s="8">
        <v>1</v>
      </c>
      <c r="V1970" s="8">
        <v>0</v>
      </c>
      <c r="W1970" s="8">
        <v>0</v>
      </c>
      <c r="X1970" s="8">
        <v>0</v>
      </c>
      <c r="Y1970" s="8">
        <v>1</v>
      </c>
      <c r="Z1970" s="8">
        <v>0</v>
      </c>
      <c r="AA1970" s="8">
        <v>180</v>
      </c>
      <c r="AB1970" s="9">
        <f t="shared" si="198"/>
        <v>0.33333333333333337</v>
      </c>
      <c r="AC1970" s="10">
        <f t="shared" si="195"/>
        <v>8.9999999999999982</v>
      </c>
      <c r="AD1970" s="8" t="s">
        <v>109</v>
      </c>
      <c r="AE1970" s="11">
        <v>55990</v>
      </c>
      <c r="AF1970" s="11">
        <f t="shared" si="196"/>
        <v>167970</v>
      </c>
      <c r="AG1970" s="12" t="s">
        <v>51</v>
      </c>
      <c r="AH1970" s="8" t="s">
        <v>35</v>
      </c>
    </row>
    <row r="1971" spans="1:34">
      <c r="A1971" s="8" t="s">
        <v>2706</v>
      </c>
      <c r="B1971" s="16" t="s">
        <v>2859</v>
      </c>
      <c r="C1971" s="8" t="s">
        <v>248</v>
      </c>
      <c r="D1971" s="8" t="s">
        <v>2622</v>
      </c>
      <c r="E1971" s="8" t="str">
        <f t="shared" si="194"/>
        <v>NEGRO</v>
      </c>
      <c r="G1971" s="8" t="s">
        <v>2861</v>
      </c>
      <c r="H1971" s="8" t="str">
        <f>VLOOKUP(A1971,[1]BBDD!$B$1:$J$3274,9,FALSE)</f>
        <v>U</v>
      </c>
      <c r="I1971" s="8" t="s">
        <v>2861</v>
      </c>
      <c r="J1971" s="8" t="s">
        <v>2707</v>
      </c>
      <c r="L1971" s="8" t="s">
        <v>211</v>
      </c>
      <c r="N1971" s="8" t="s">
        <v>44</v>
      </c>
      <c r="O1971" s="8" t="s">
        <v>44</v>
      </c>
      <c r="Q1971" s="8" t="s">
        <v>32</v>
      </c>
      <c r="R1971" s="8">
        <v>9</v>
      </c>
      <c r="S1971" s="8">
        <v>11</v>
      </c>
      <c r="T1971" s="8">
        <f t="shared" si="197"/>
        <v>20</v>
      </c>
      <c r="U1971" s="8">
        <v>0</v>
      </c>
      <c r="V1971" s="8">
        <v>1</v>
      </c>
      <c r="W1971" s="8">
        <v>0</v>
      </c>
      <c r="X1971" s="8">
        <v>1</v>
      </c>
      <c r="Y1971" s="8">
        <v>0</v>
      </c>
      <c r="Z1971" s="8">
        <v>0</v>
      </c>
      <c r="AA1971" s="8">
        <v>180</v>
      </c>
      <c r="AB1971" s="9">
        <f t="shared" si="198"/>
        <v>0.33333333333333337</v>
      </c>
      <c r="AC1971" s="10">
        <f t="shared" si="195"/>
        <v>59.999999999999993</v>
      </c>
      <c r="AD1971" s="8" t="s">
        <v>33</v>
      </c>
      <c r="AE1971" s="11">
        <v>56990</v>
      </c>
      <c r="AF1971" s="11">
        <f t="shared" si="196"/>
        <v>1139800</v>
      </c>
      <c r="AG1971" s="12" t="s">
        <v>73</v>
      </c>
      <c r="AH1971" s="8" t="s">
        <v>65</v>
      </c>
    </row>
    <row r="1972" spans="1:34">
      <c r="A1972" s="8" t="s">
        <v>2708</v>
      </c>
      <c r="B1972" s="16" t="s">
        <v>2859</v>
      </c>
      <c r="C1972" s="8" t="s">
        <v>248</v>
      </c>
      <c r="D1972" s="8" t="s">
        <v>2622</v>
      </c>
      <c r="E1972" s="8" t="str">
        <f t="shared" si="194"/>
        <v>CARAMELO</v>
      </c>
      <c r="G1972" s="8" t="s">
        <v>2861</v>
      </c>
      <c r="H1972" s="8" t="str">
        <f>VLOOKUP(A1972,[1]BBDD!$B$1:$J$3274,9,FALSE)</f>
        <v>U</v>
      </c>
      <c r="I1972" s="8" t="s">
        <v>2861</v>
      </c>
      <c r="J1972" s="8" t="s">
        <v>2707</v>
      </c>
      <c r="L1972" s="8" t="s">
        <v>238</v>
      </c>
      <c r="N1972" s="8" t="s">
        <v>62</v>
      </c>
      <c r="O1972" s="8" t="s">
        <v>62</v>
      </c>
      <c r="Q1972" s="8" t="s">
        <v>45</v>
      </c>
      <c r="R1972" s="8">
        <v>0</v>
      </c>
      <c r="S1972" s="8">
        <v>3</v>
      </c>
      <c r="T1972" s="8">
        <f t="shared" si="197"/>
        <v>3</v>
      </c>
      <c r="U1972" s="8">
        <v>0</v>
      </c>
      <c r="V1972" s="8">
        <v>3</v>
      </c>
      <c r="W1972" s="8">
        <v>2</v>
      </c>
      <c r="X1972" s="8">
        <v>2</v>
      </c>
      <c r="Y1972" s="8">
        <v>1</v>
      </c>
      <c r="Z1972" s="8">
        <v>0</v>
      </c>
      <c r="AA1972" s="8">
        <v>180</v>
      </c>
      <c r="AB1972" s="9">
        <f t="shared" si="198"/>
        <v>1.3333333333333335</v>
      </c>
      <c r="AC1972" s="10">
        <f t="shared" si="195"/>
        <v>2.2499999999999996</v>
      </c>
      <c r="AD1972" s="8" t="s">
        <v>109</v>
      </c>
      <c r="AE1972" s="11">
        <v>56990</v>
      </c>
      <c r="AF1972" s="11">
        <f t="shared" si="196"/>
        <v>170970</v>
      </c>
      <c r="AG1972" s="12" t="s">
        <v>34</v>
      </c>
      <c r="AH1972" s="8" t="s">
        <v>35</v>
      </c>
    </row>
    <row r="1973" spans="1:34">
      <c r="A1973" s="8" t="s">
        <v>2709</v>
      </c>
      <c r="B1973" s="16" t="s">
        <v>2859</v>
      </c>
      <c r="C1973" s="8" t="s">
        <v>248</v>
      </c>
      <c r="D1973" s="8" t="s">
        <v>2622</v>
      </c>
      <c r="E1973" s="8" t="str">
        <f t="shared" si="194"/>
        <v>NEGRO</v>
      </c>
      <c r="G1973" s="8" t="s">
        <v>2861</v>
      </c>
      <c r="H1973" s="8" t="str">
        <f>VLOOKUP(A1973,[1]BBDD!$B$1:$J$3274,9,FALSE)</f>
        <v>U</v>
      </c>
      <c r="I1973" s="8" t="s">
        <v>2861</v>
      </c>
      <c r="J1973" s="8" t="s">
        <v>2707</v>
      </c>
      <c r="L1973" s="8" t="s">
        <v>238</v>
      </c>
      <c r="N1973" s="8" t="s">
        <v>44</v>
      </c>
      <c r="O1973" s="8" t="s">
        <v>44</v>
      </c>
      <c r="Q1973" s="8" t="s">
        <v>45</v>
      </c>
      <c r="R1973" s="8">
        <v>4</v>
      </c>
      <c r="S1973" s="8">
        <v>7</v>
      </c>
      <c r="T1973" s="8">
        <f t="shared" si="197"/>
        <v>11</v>
      </c>
      <c r="U1973" s="8">
        <v>1</v>
      </c>
      <c r="V1973" s="8">
        <v>1</v>
      </c>
      <c r="W1973" s="8">
        <v>0</v>
      </c>
      <c r="X1973" s="8">
        <v>0</v>
      </c>
      <c r="Y1973" s="8">
        <v>0</v>
      </c>
      <c r="Z1973" s="8">
        <v>0</v>
      </c>
      <c r="AA1973" s="8">
        <v>180</v>
      </c>
      <c r="AB1973" s="9">
        <f t="shared" si="198"/>
        <v>0.33333333333333337</v>
      </c>
      <c r="AC1973" s="10">
        <f t="shared" si="195"/>
        <v>32.999999999999993</v>
      </c>
      <c r="AD1973" s="8" t="s">
        <v>109</v>
      </c>
      <c r="AE1973" s="11">
        <v>56990</v>
      </c>
      <c r="AF1973" s="11">
        <f t="shared" si="196"/>
        <v>626890</v>
      </c>
      <c r="AG1973" s="12" t="s">
        <v>73</v>
      </c>
      <c r="AH1973" s="8" t="s">
        <v>65</v>
      </c>
    </row>
    <row r="1974" spans="1:34">
      <c r="A1974" s="8" t="s">
        <v>2710</v>
      </c>
      <c r="B1974" s="16" t="s">
        <v>2859</v>
      </c>
      <c r="C1974" s="8" t="s">
        <v>248</v>
      </c>
      <c r="D1974" s="8" t="s">
        <v>2622</v>
      </c>
      <c r="E1974" s="8" t="str">
        <f t="shared" si="194"/>
        <v>ROJO</v>
      </c>
      <c r="G1974" s="8" t="s">
        <v>2861</v>
      </c>
      <c r="H1974" s="8" t="str">
        <f>VLOOKUP(A1974,[1]BBDD!$B$1:$J$3274,9,FALSE)</f>
        <v>U</v>
      </c>
      <c r="I1974" s="8" t="s">
        <v>2861</v>
      </c>
      <c r="J1974" s="8" t="s">
        <v>2707</v>
      </c>
      <c r="L1974" s="8" t="s">
        <v>238</v>
      </c>
      <c r="N1974" s="8" t="s">
        <v>88</v>
      </c>
      <c r="O1974" s="8" t="s">
        <v>88</v>
      </c>
      <c r="Q1974" s="8" t="s">
        <v>45</v>
      </c>
      <c r="R1974" s="8">
        <v>0</v>
      </c>
      <c r="S1974" s="8">
        <v>7</v>
      </c>
      <c r="T1974" s="8">
        <f t="shared" si="197"/>
        <v>7</v>
      </c>
      <c r="U1974" s="8">
        <v>1</v>
      </c>
      <c r="V1974" s="8">
        <v>0</v>
      </c>
      <c r="W1974" s="8">
        <v>2</v>
      </c>
      <c r="X1974" s="8">
        <v>0</v>
      </c>
      <c r="Y1974" s="8">
        <v>0</v>
      </c>
      <c r="Z1974" s="8">
        <v>0</v>
      </c>
      <c r="AA1974" s="8">
        <v>180</v>
      </c>
      <c r="AB1974" s="9">
        <f t="shared" si="198"/>
        <v>0.5</v>
      </c>
      <c r="AC1974" s="10">
        <f t="shared" si="195"/>
        <v>14</v>
      </c>
      <c r="AD1974" s="8" t="s">
        <v>109</v>
      </c>
      <c r="AE1974" s="11">
        <v>56990</v>
      </c>
      <c r="AF1974" s="11">
        <f t="shared" si="196"/>
        <v>398930</v>
      </c>
      <c r="AG1974" s="12" t="s">
        <v>64</v>
      </c>
      <c r="AH1974" s="8" t="s">
        <v>35</v>
      </c>
    </row>
    <row r="1975" spans="1:34">
      <c r="A1975" s="8" t="s">
        <v>2711</v>
      </c>
      <c r="B1975" s="16" t="s">
        <v>2859</v>
      </c>
      <c r="C1975" s="8" t="s">
        <v>248</v>
      </c>
      <c r="D1975" s="8" t="s">
        <v>2622</v>
      </c>
      <c r="E1975" s="8" t="str">
        <f t="shared" si="194"/>
        <v>CARAMELO</v>
      </c>
      <c r="G1975" s="8" t="s">
        <v>2861</v>
      </c>
      <c r="H1975" s="8" t="str">
        <f>VLOOKUP(A1975,[1]BBDD!$B$1:$J$3274,9,FALSE)</f>
        <v>U</v>
      </c>
      <c r="I1975" s="8" t="s">
        <v>2861</v>
      </c>
      <c r="J1975" s="8" t="s">
        <v>2707</v>
      </c>
      <c r="L1975" s="8" t="s">
        <v>82</v>
      </c>
      <c r="N1975" s="8" t="s">
        <v>62</v>
      </c>
      <c r="O1975" s="8" t="s">
        <v>62</v>
      </c>
      <c r="Q1975" s="8" t="s">
        <v>32</v>
      </c>
      <c r="R1975" s="8">
        <v>1</v>
      </c>
      <c r="S1975" s="8">
        <v>8</v>
      </c>
      <c r="T1975" s="8">
        <f t="shared" si="197"/>
        <v>9</v>
      </c>
      <c r="U1975" s="8">
        <v>0</v>
      </c>
      <c r="V1975" s="8">
        <v>1</v>
      </c>
      <c r="W1975" s="8">
        <v>1</v>
      </c>
      <c r="X1975" s="8">
        <v>1</v>
      </c>
      <c r="Y1975" s="8">
        <v>1</v>
      </c>
      <c r="Z1975" s="8">
        <v>2</v>
      </c>
      <c r="AA1975" s="8">
        <v>180</v>
      </c>
      <c r="AB1975" s="9">
        <f t="shared" si="198"/>
        <v>1</v>
      </c>
      <c r="AC1975" s="10">
        <f t="shared" si="195"/>
        <v>9</v>
      </c>
      <c r="AD1975" s="8" t="s">
        <v>33</v>
      </c>
      <c r="AE1975" s="11">
        <v>56990</v>
      </c>
      <c r="AF1975" s="11">
        <f t="shared" si="196"/>
        <v>512910</v>
      </c>
      <c r="AG1975" s="12" t="s">
        <v>51</v>
      </c>
      <c r="AH1975" s="8" t="s">
        <v>35</v>
      </c>
    </row>
    <row r="1976" spans="1:34">
      <c r="A1976" s="8" t="s">
        <v>2712</v>
      </c>
      <c r="B1976" s="16" t="s">
        <v>2859</v>
      </c>
      <c r="C1976" s="8" t="s">
        <v>248</v>
      </c>
      <c r="D1976" s="8" t="s">
        <v>2622</v>
      </c>
      <c r="E1976" s="8" t="str">
        <f t="shared" si="194"/>
        <v>MALBEC</v>
      </c>
      <c r="G1976" s="8" t="s">
        <v>2861</v>
      </c>
      <c r="H1976" s="8" t="str">
        <f>VLOOKUP(A1976,[1]BBDD!$B$1:$J$3274,9,FALSE)</f>
        <v>U</v>
      </c>
      <c r="I1976" s="8" t="s">
        <v>2861</v>
      </c>
      <c r="J1976" s="8" t="s">
        <v>2707</v>
      </c>
      <c r="L1976" s="8" t="s">
        <v>82</v>
      </c>
      <c r="N1976" s="8" t="s">
        <v>69</v>
      </c>
      <c r="O1976" s="8" t="s">
        <v>69</v>
      </c>
      <c r="Q1976" s="8" t="s">
        <v>32</v>
      </c>
      <c r="R1976" s="8">
        <v>1</v>
      </c>
      <c r="S1976" s="8">
        <v>4</v>
      </c>
      <c r="T1976" s="8">
        <f t="shared" si="197"/>
        <v>5</v>
      </c>
      <c r="U1976" s="8">
        <v>2</v>
      </c>
      <c r="V1976" s="8">
        <v>1</v>
      </c>
      <c r="W1976" s="8">
        <v>1</v>
      </c>
      <c r="X1976" s="8">
        <v>0</v>
      </c>
      <c r="Y1976" s="8">
        <v>1</v>
      </c>
      <c r="Z1976" s="8">
        <v>0</v>
      </c>
      <c r="AA1976" s="8">
        <v>180</v>
      </c>
      <c r="AB1976" s="9">
        <f t="shared" si="198"/>
        <v>0.83333333333333326</v>
      </c>
      <c r="AC1976" s="10">
        <f t="shared" si="195"/>
        <v>6.0000000000000009</v>
      </c>
      <c r="AD1976" s="8" t="s">
        <v>33</v>
      </c>
      <c r="AE1976" s="11">
        <v>56990</v>
      </c>
      <c r="AF1976" s="11">
        <f t="shared" si="196"/>
        <v>284950</v>
      </c>
      <c r="AG1976" s="12" t="s">
        <v>34</v>
      </c>
      <c r="AH1976" s="8" t="s">
        <v>35</v>
      </c>
    </row>
    <row r="1977" spans="1:34">
      <c r="A1977" s="8" t="s">
        <v>2713</v>
      </c>
      <c r="B1977" s="16" t="s">
        <v>2859</v>
      </c>
      <c r="C1977" s="8" t="s">
        <v>248</v>
      </c>
      <c r="D1977" s="8" t="s">
        <v>2622</v>
      </c>
      <c r="E1977" s="8" t="str">
        <f t="shared" si="194"/>
        <v>ROJO</v>
      </c>
      <c r="G1977" s="8" t="s">
        <v>2861</v>
      </c>
      <c r="H1977" s="8" t="str">
        <f>VLOOKUP(A1977,[1]BBDD!$B$1:$J$3274,9,FALSE)</f>
        <v>U</v>
      </c>
      <c r="I1977" s="8" t="s">
        <v>2861</v>
      </c>
      <c r="J1977" s="8" t="s">
        <v>2707</v>
      </c>
      <c r="L1977" s="8" t="s">
        <v>82</v>
      </c>
      <c r="N1977" s="8" t="s">
        <v>88</v>
      </c>
      <c r="O1977" s="8" t="s">
        <v>88</v>
      </c>
      <c r="Q1977" s="8" t="s">
        <v>32</v>
      </c>
      <c r="R1977" s="8">
        <v>8</v>
      </c>
      <c r="S1977" s="8">
        <v>6</v>
      </c>
      <c r="T1977" s="8">
        <f t="shared" si="197"/>
        <v>14</v>
      </c>
      <c r="U1977" s="8">
        <v>1</v>
      </c>
      <c r="V1977" s="8">
        <v>1</v>
      </c>
      <c r="W1977" s="8">
        <v>2</v>
      </c>
      <c r="X1977" s="8">
        <v>0</v>
      </c>
      <c r="Y1977" s="8">
        <v>0</v>
      </c>
      <c r="Z1977" s="8">
        <v>1</v>
      </c>
      <c r="AA1977" s="8">
        <v>180</v>
      </c>
      <c r="AB1977" s="9">
        <f t="shared" si="198"/>
        <v>0.83333333333333326</v>
      </c>
      <c r="AC1977" s="10">
        <f t="shared" si="195"/>
        <v>16.8</v>
      </c>
      <c r="AD1977" s="8" t="s">
        <v>33</v>
      </c>
      <c r="AE1977" s="11">
        <v>56990</v>
      </c>
      <c r="AF1977" s="11">
        <f t="shared" si="196"/>
        <v>797860</v>
      </c>
      <c r="AG1977" s="12" t="s">
        <v>64</v>
      </c>
      <c r="AH1977" s="8" t="s">
        <v>65</v>
      </c>
    </row>
    <row r="1978" spans="1:34">
      <c r="A1978" s="8" t="s">
        <v>2714</v>
      </c>
      <c r="B1978" s="16" t="s">
        <v>2859</v>
      </c>
      <c r="C1978" s="8" t="s">
        <v>248</v>
      </c>
      <c r="D1978" s="8" t="s">
        <v>2622</v>
      </c>
      <c r="E1978" s="8" t="str">
        <f t="shared" si="194"/>
        <v>SUELA</v>
      </c>
      <c r="G1978" s="8" t="s">
        <v>2861</v>
      </c>
      <c r="H1978" s="8" t="str">
        <f>VLOOKUP(A1978,[1]BBDD!$B$1:$J$3274,9,FALSE)</f>
        <v>U</v>
      </c>
      <c r="I1978" s="8" t="s">
        <v>2861</v>
      </c>
      <c r="J1978" s="8" t="s">
        <v>2707</v>
      </c>
      <c r="L1978" s="8" t="s">
        <v>82</v>
      </c>
      <c r="N1978" s="8" t="s">
        <v>90</v>
      </c>
      <c r="O1978" s="8" t="s">
        <v>90</v>
      </c>
      <c r="Q1978" s="8" t="s">
        <v>32</v>
      </c>
      <c r="R1978" s="8">
        <v>3</v>
      </c>
      <c r="S1978" s="8">
        <v>9</v>
      </c>
      <c r="T1978" s="8">
        <f t="shared" si="197"/>
        <v>12</v>
      </c>
      <c r="U1978" s="8">
        <v>0</v>
      </c>
      <c r="V1978" s="8">
        <v>0</v>
      </c>
      <c r="W1978" s="8">
        <v>1</v>
      </c>
      <c r="X1978" s="8">
        <v>1</v>
      </c>
      <c r="Y1978" s="8">
        <v>0</v>
      </c>
      <c r="Z1978" s="8">
        <v>0</v>
      </c>
      <c r="AA1978" s="8">
        <v>180</v>
      </c>
      <c r="AB1978" s="9">
        <f t="shared" si="198"/>
        <v>0.33333333333333337</v>
      </c>
      <c r="AC1978" s="10">
        <f t="shared" si="195"/>
        <v>35.999999999999993</v>
      </c>
      <c r="AD1978" s="8" t="s">
        <v>33</v>
      </c>
      <c r="AE1978" s="11">
        <v>56990</v>
      </c>
      <c r="AF1978" s="11">
        <f t="shared" si="196"/>
        <v>683880</v>
      </c>
      <c r="AG1978" s="12" t="s">
        <v>73</v>
      </c>
      <c r="AH1978" s="8" t="s">
        <v>65</v>
      </c>
    </row>
    <row r="1979" spans="1:34">
      <c r="A1979" s="8" t="s">
        <v>2715</v>
      </c>
      <c r="B1979" s="16" t="s">
        <v>2859</v>
      </c>
      <c r="C1979" s="8" t="s">
        <v>248</v>
      </c>
      <c r="D1979" s="8" t="s">
        <v>2622</v>
      </c>
      <c r="E1979" s="8" t="str">
        <f t="shared" si="194"/>
        <v>MALBEC</v>
      </c>
      <c r="G1979" s="8" t="s">
        <v>2861</v>
      </c>
      <c r="H1979" s="8" t="str">
        <f>VLOOKUP(A1979,[1]BBDD!$B$1:$J$3274,9,FALSE)</f>
        <v>U</v>
      </c>
      <c r="I1979" s="8" t="s">
        <v>2861</v>
      </c>
      <c r="J1979" s="8" t="s">
        <v>2716</v>
      </c>
      <c r="L1979" s="8" t="s">
        <v>61</v>
      </c>
      <c r="N1979" s="8" t="s">
        <v>69</v>
      </c>
      <c r="O1979" s="8" t="s">
        <v>69</v>
      </c>
      <c r="Q1979" s="8" t="s">
        <v>32</v>
      </c>
      <c r="R1979" s="8">
        <v>0</v>
      </c>
      <c r="S1979" s="8">
        <v>5</v>
      </c>
      <c r="T1979" s="8">
        <f t="shared" si="197"/>
        <v>5</v>
      </c>
      <c r="U1979" s="8">
        <v>1</v>
      </c>
      <c r="V1979" s="8">
        <v>2</v>
      </c>
      <c r="W1979" s="8">
        <v>0</v>
      </c>
      <c r="X1979" s="8">
        <v>0</v>
      </c>
      <c r="Y1979" s="8">
        <v>0</v>
      </c>
      <c r="Z1979" s="8">
        <v>3</v>
      </c>
      <c r="AA1979" s="8">
        <v>180</v>
      </c>
      <c r="AB1979" s="9">
        <f t="shared" si="198"/>
        <v>1</v>
      </c>
      <c r="AC1979" s="10">
        <f t="shared" si="195"/>
        <v>5</v>
      </c>
      <c r="AD1979" s="8" t="s">
        <v>33</v>
      </c>
      <c r="AE1979" s="11">
        <v>59990</v>
      </c>
      <c r="AF1979" s="11">
        <f t="shared" si="196"/>
        <v>299950</v>
      </c>
      <c r="AG1979" s="12" t="s">
        <v>34</v>
      </c>
      <c r="AH1979" s="8" t="s">
        <v>35</v>
      </c>
    </row>
    <row r="1980" spans="1:34">
      <c r="A1980" s="8" t="s">
        <v>2717</v>
      </c>
      <c r="B1980" s="16" t="s">
        <v>2859</v>
      </c>
      <c r="C1980" s="8" t="s">
        <v>248</v>
      </c>
      <c r="D1980" s="8" t="s">
        <v>2622</v>
      </c>
      <c r="E1980" s="8" t="str">
        <f t="shared" si="194"/>
        <v>NEGRO</v>
      </c>
      <c r="G1980" s="8" t="s">
        <v>2861</v>
      </c>
      <c r="H1980" s="8" t="str">
        <f>VLOOKUP(A1980,[1]BBDD!$B$1:$J$3274,9,FALSE)</f>
        <v>U</v>
      </c>
      <c r="I1980" s="8" t="s">
        <v>2861</v>
      </c>
      <c r="J1980" s="8" t="s">
        <v>2716</v>
      </c>
      <c r="L1980" s="8" t="s">
        <v>61</v>
      </c>
      <c r="N1980" s="8" t="s">
        <v>44</v>
      </c>
      <c r="O1980" s="8" t="s">
        <v>44</v>
      </c>
      <c r="Q1980" s="8" t="s">
        <v>32</v>
      </c>
      <c r="R1980" s="8">
        <v>0</v>
      </c>
      <c r="S1980" s="8">
        <v>4</v>
      </c>
      <c r="T1980" s="8">
        <f t="shared" si="197"/>
        <v>4</v>
      </c>
      <c r="U1980" s="8">
        <v>3</v>
      </c>
      <c r="V1980" s="8">
        <v>1</v>
      </c>
      <c r="W1980" s="8">
        <v>2</v>
      </c>
      <c r="X1980" s="8">
        <v>0</v>
      </c>
      <c r="Y1980" s="8">
        <v>1</v>
      </c>
      <c r="Z1980" s="8">
        <v>2</v>
      </c>
      <c r="AA1980" s="8">
        <v>180</v>
      </c>
      <c r="AB1980" s="9">
        <f t="shared" si="198"/>
        <v>1.5</v>
      </c>
      <c r="AC1980" s="10">
        <f t="shared" si="195"/>
        <v>2.6666666666666665</v>
      </c>
      <c r="AD1980" s="8" t="s">
        <v>33</v>
      </c>
      <c r="AE1980" s="11">
        <v>59990</v>
      </c>
      <c r="AF1980" s="11">
        <f t="shared" si="196"/>
        <v>239960</v>
      </c>
      <c r="AG1980" s="12" t="s">
        <v>34</v>
      </c>
      <c r="AH1980" s="8" t="s">
        <v>35</v>
      </c>
    </row>
    <row r="1981" spans="1:34">
      <c r="A1981" s="8" t="s">
        <v>2718</v>
      </c>
      <c r="B1981" s="16" t="s">
        <v>2859</v>
      </c>
      <c r="C1981" s="8" t="s">
        <v>248</v>
      </c>
      <c r="D1981" s="8" t="s">
        <v>2622</v>
      </c>
      <c r="E1981" s="8" t="str">
        <f t="shared" si="194"/>
        <v>ROJO</v>
      </c>
      <c r="G1981" s="8" t="s">
        <v>2861</v>
      </c>
      <c r="H1981" s="8" t="str">
        <f>VLOOKUP(A1981,[1]BBDD!$B$1:$J$3274,9,FALSE)</f>
        <v>U</v>
      </c>
      <c r="I1981" s="8" t="s">
        <v>2861</v>
      </c>
      <c r="J1981" s="8" t="s">
        <v>2716</v>
      </c>
      <c r="L1981" s="8" t="s">
        <v>61</v>
      </c>
      <c r="N1981" s="8" t="s">
        <v>88</v>
      </c>
      <c r="O1981" s="8" t="s">
        <v>88</v>
      </c>
      <c r="Q1981" s="8" t="s">
        <v>32</v>
      </c>
      <c r="R1981" s="8">
        <v>0</v>
      </c>
      <c r="S1981" s="8">
        <v>4</v>
      </c>
      <c r="T1981" s="8">
        <f t="shared" si="197"/>
        <v>4</v>
      </c>
      <c r="U1981" s="8">
        <v>3</v>
      </c>
      <c r="V1981" s="8">
        <v>0</v>
      </c>
      <c r="W1981" s="8">
        <v>1</v>
      </c>
      <c r="X1981" s="8">
        <v>1</v>
      </c>
      <c r="Y1981" s="8">
        <v>0</v>
      </c>
      <c r="Z1981" s="8">
        <v>3</v>
      </c>
      <c r="AA1981" s="8">
        <v>180</v>
      </c>
      <c r="AB1981" s="9">
        <f t="shared" si="198"/>
        <v>1.3333333333333335</v>
      </c>
      <c r="AC1981" s="10">
        <f t="shared" si="195"/>
        <v>2.9999999999999996</v>
      </c>
      <c r="AD1981" s="8" t="s">
        <v>33</v>
      </c>
      <c r="AE1981" s="11">
        <v>59990</v>
      </c>
      <c r="AF1981" s="11">
        <f t="shared" si="196"/>
        <v>239960</v>
      </c>
      <c r="AG1981" s="12" t="s">
        <v>34</v>
      </c>
      <c r="AH1981" s="8" t="s">
        <v>35</v>
      </c>
    </row>
    <row r="1982" spans="1:34">
      <c r="A1982" s="8" t="s">
        <v>2719</v>
      </c>
      <c r="B1982" s="16" t="s">
        <v>2859</v>
      </c>
      <c r="C1982" s="8" t="s">
        <v>248</v>
      </c>
      <c r="D1982" s="8" t="s">
        <v>2622</v>
      </c>
      <c r="E1982" s="8" t="str">
        <f t="shared" si="194"/>
        <v>TABACO</v>
      </c>
      <c r="G1982" s="8" t="s">
        <v>2861</v>
      </c>
      <c r="H1982" s="8" t="str">
        <f>VLOOKUP(A1982,[1]BBDD!$B$1:$J$3274,9,FALSE)</f>
        <v>U</v>
      </c>
      <c r="I1982" s="8" t="s">
        <v>2861</v>
      </c>
      <c r="J1982" s="8" t="s">
        <v>2716</v>
      </c>
      <c r="L1982" s="8" t="s">
        <v>61</v>
      </c>
      <c r="N1982" s="8" t="s">
        <v>67</v>
      </c>
      <c r="O1982" s="8" t="s">
        <v>67</v>
      </c>
      <c r="Q1982" s="8" t="s">
        <v>32</v>
      </c>
      <c r="R1982" s="8">
        <v>0</v>
      </c>
      <c r="S1982" s="8">
        <v>5</v>
      </c>
      <c r="T1982" s="8">
        <f t="shared" si="197"/>
        <v>5</v>
      </c>
      <c r="U1982" s="8">
        <v>1</v>
      </c>
      <c r="V1982" s="8">
        <v>1</v>
      </c>
      <c r="W1982" s="8">
        <v>1</v>
      </c>
      <c r="X1982" s="8">
        <v>0</v>
      </c>
      <c r="Y1982" s="8">
        <v>1</v>
      </c>
      <c r="Z1982" s="8">
        <v>0</v>
      </c>
      <c r="AA1982" s="8">
        <v>180</v>
      </c>
      <c r="AB1982" s="9">
        <f t="shared" si="198"/>
        <v>0.66666666666666674</v>
      </c>
      <c r="AC1982" s="10">
        <f t="shared" si="195"/>
        <v>7.4999999999999991</v>
      </c>
      <c r="AD1982" s="8" t="s">
        <v>33</v>
      </c>
      <c r="AE1982" s="11">
        <v>59990</v>
      </c>
      <c r="AF1982" s="11">
        <f t="shared" si="196"/>
        <v>299950</v>
      </c>
      <c r="AG1982" s="12" t="s">
        <v>51</v>
      </c>
      <c r="AH1982" s="8" t="s">
        <v>35</v>
      </c>
    </row>
    <row r="1983" spans="1:34">
      <c r="A1983" s="8" t="s">
        <v>2720</v>
      </c>
      <c r="B1983" s="16" t="s">
        <v>2859</v>
      </c>
      <c r="C1983" s="8" t="s">
        <v>248</v>
      </c>
      <c r="D1983" s="8" t="s">
        <v>2622</v>
      </c>
      <c r="E1983" s="8" t="str">
        <f t="shared" si="194"/>
        <v>CARAMELO</v>
      </c>
      <c r="G1983" s="8" t="s">
        <v>2861</v>
      </c>
      <c r="H1983" s="8" t="str">
        <f>VLOOKUP(A1983,[1]BBDD!$B$1:$J$3274,9,FALSE)</f>
        <v>U</v>
      </c>
      <c r="I1983" s="8" t="s">
        <v>2861</v>
      </c>
      <c r="J1983" s="8" t="s">
        <v>2716</v>
      </c>
      <c r="L1983" s="8" t="s">
        <v>61</v>
      </c>
      <c r="N1983" s="8" t="s">
        <v>62</v>
      </c>
      <c r="O1983" s="8" t="s">
        <v>62</v>
      </c>
      <c r="Q1983" s="8" t="s">
        <v>45</v>
      </c>
      <c r="R1983" s="8">
        <v>1</v>
      </c>
      <c r="S1983" s="8">
        <v>6</v>
      </c>
      <c r="T1983" s="8">
        <f t="shared" si="197"/>
        <v>7</v>
      </c>
      <c r="U1983" s="8">
        <v>1</v>
      </c>
      <c r="V1983" s="8">
        <v>1</v>
      </c>
      <c r="W1983" s="8">
        <v>1</v>
      </c>
      <c r="X1983" s="8">
        <v>2</v>
      </c>
      <c r="Y1983" s="8">
        <v>0</v>
      </c>
      <c r="Z1983" s="8">
        <v>0</v>
      </c>
      <c r="AA1983" s="8">
        <v>180</v>
      </c>
      <c r="AB1983" s="9">
        <f t="shared" si="198"/>
        <v>0.83333333333333326</v>
      </c>
      <c r="AC1983" s="10">
        <f t="shared" si="195"/>
        <v>8.4</v>
      </c>
      <c r="AD1983" s="8" t="s">
        <v>109</v>
      </c>
      <c r="AE1983" s="11">
        <v>59990</v>
      </c>
      <c r="AF1983" s="11">
        <f t="shared" si="196"/>
        <v>419930</v>
      </c>
      <c r="AG1983" s="12" t="s">
        <v>51</v>
      </c>
      <c r="AH1983" s="8" t="s">
        <v>35</v>
      </c>
    </row>
    <row r="1984" spans="1:34">
      <c r="A1984" s="8" t="s">
        <v>2721</v>
      </c>
      <c r="B1984" s="16" t="s">
        <v>2859</v>
      </c>
      <c r="C1984" s="8" t="s">
        <v>248</v>
      </c>
      <c r="D1984" s="8" t="s">
        <v>2622</v>
      </c>
      <c r="E1984" s="8" t="str">
        <f t="shared" si="194"/>
        <v>CARAMELO</v>
      </c>
      <c r="G1984" s="8" t="s">
        <v>2861</v>
      </c>
      <c r="H1984" s="8" t="str">
        <f>VLOOKUP(A1984,[1]BBDD!$B$1:$J$3274,9,FALSE)</f>
        <v>U</v>
      </c>
      <c r="I1984" s="8" t="s">
        <v>2861</v>
      </c>
      <c r="J1984" s="8" t="s">
        <v>2716</v>
      </c>
      <c r="L1984" s="8" t="s">
        <v>82</v>
      </c>
      <c r="N1984" s="8" t="s">
        <v>62</v>
      </c>
      <c r="O1984" s="8" t="s">
        <v>62</v>
      </c>
      <c r="Q1984" s="8" t="s">
        <v>45</v>
      </c>
      <c r="R1984" s="8">
        <v>0</v>
      </c>
      <c r="S1984" s="8">
        <v>1</v>
      </c>
      <c r="T1984" s="8">
        <f t="shared" si="197"/>
        <v>1</v>
      </c>
      <c r="U1984" s="8">
        <v>0</v>
      </c>
      <c r="V1984" s="8">
        <v>0</v>
      </c>
      <c r="W1984" s="8">
        <v>1</v>
      </c>
      <c r="X1984" s="8">
        <v>0</v>
      </c>
      <c r="Y1984" s="8">
        <v>0</v>
      </c>
      <c r="Z1984" s="8">
        <v>0</v>
      </c>
      <c r="AA1984" s="8">
        <v>180</v>
      </c>
      <c r="AB1984" s="9">
        <f t="shared" si="198"/>
        <v>0.16666666666666669</v>
      </c>
      <c r="AC1984" s="10">
        <f t="shared" si="195"/>
        <v>5.9999999999999991</v>
      </c>
      <c r="AD1984" s="8" t="s">
        <v>109</v>
      </c>
      <c r="AE1984" s="11">
        <v>59990</v>
      </c>
      <c r="AF1984" s="11">
        <f t="shared" si="196"/>
        <v>59990</v>
      </c>
      <c r="AG1984" s="12" t="s">
        <v>34</v>
      </c>
      <c r="AH1984" s="8" t="s">
        <v>35</v>
      </c>
    </row>
    <row r="1985" spans="1:34">
      <c r="A1985" s="8" t="s">
        <v>2722</v>
      </c>
      <c r="B1985" s="16" t="s">
        <v>2859</v>
      </c>
      <c r="C1985" s="8" t="s">
        <v>248</v>
      </c>
      <c r="D1985" s="8" t="s">
        <v>2622</v>
      </c>
      <c r="E1985" s="8" t="str">
        <f t="shared" si="194"/>
        <v>NEGRO</v>
      </c>
      <c r="G1985" s="8" t="s">
        <v>2861</v>
      </c>
      <c r="H1985" s="8" t="str">
        <f>VLOOKUP(A1985,[1]BBDD!$B$1:$J$3274,9,FALSE)</f>
        <v>U</v>
      </c>
      <c r="I1985" s="8" t="s">
        <v>2861</v>
      </c>
      <c r="J1985" s="8" t="s">
        <v>2723</v>
      </c>
      <c r="L1985" s="8" t="s">
        <v>61</v>
      </c>
      <c r="N1985" s="8" t="s">
        <v>44</v>
      </c>
      <c r="O1985" s="8" t="s">
        <v>44</v>
      </c>
      <c r="Q1985" s="8" t="s">
        <v>45</v>
      </c>
      <c r="R1985" s="8">
        <v>0</v>
      </c>
      <c r="S1985" s="8">
        <v>1</v>
      </c>
      <c r="T1985" s="8">
        <f t="shared" ref="T1985:T2017" si="199">SUM(R1985:S1985)</f>
        <v>1</v>
      </c>
      <c r="U1985" s="8">
        <v>4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180</v>
      </c>
      <c r="AB1985" s="9">
        <f t="shared" ref="AB1985:AB2017" si="200">SUM(U1985:Z1985)/AA1985*30</f>
        <v>0.66666666666666674</v>
      </c>
      <c r="AC1985" s="10">
        <f t="shared" si="195"/>
        <v>1.4999999999999998</v>
      </c>
      <c r="AD1985" s="8" t="s">
        <v>46</v>
      </c>
      <c r="AE1985" s="11">
        <v>6990</v>
      </c>
      <c r="AF1985" s="11">
        <f t="shared" si="196"/>
        <v>6990</v>
      </c>
      <c r="AG1985" s="12" t="s">
        <v>34</v>
      </c>
      <c r="AH1985" s="8" t="s">
        <v>35</v>
      </c>
    </row>
    <row r="1986" spans="1:34">
      <c r="A1986" s="8" t="s">
        <v>2724</v>
      </c>
      <c r="B1986" s="16" t="s">
        <v>2859</v>
      </c>
      <c r="C1986" s="8" t="s">
        <v>248</v>
      </c>
      <c r="D1986" s="8" t="s">
        <v>2622</v>
      </c>
      <c r="E1986" s="8" t="str">
        <f t="shared" si="194"/>
        <v>CARAMELO</v>
      </c>
      <c r="G1986" s="8" t="s">
        <v>2861</v>
      </c>
      <c r="H1986" s="8" t="str">
        <f>VLOOKUP(A1986,[1]BBDD!$B$1:$J$3274,9,FALSE)</f>
        <v>U</v>
      </c>
      <c r="I1986" s="8" t="s">
        <v>2861</v>
      </c>
      <c r="J1986" s="8" t="s">
        <v>2725</v>
      </c>
      <c r="L1986" s="8" t="s">
        <v>61</v>
      </c>
      <c r="N1986" s="8" t="s">
        <v>62</v>
      </c>
      <c r="O1986" s="8" t="s">
        <v>62</v>
      </c>
      <c r="Q1986" s="8" t="s">
        <v>32</v>
      </c>
      <c r="R1986" s="8">
        <v>13</v>
      </c>
      <c r="S1986" s="8">
        <v>13</v>
      </c>
      <c r="T1986" s="8">
        <f t="shared" si="199"/>
        <v>26</v>
      </c>
      <c r="U1986" s="8">
        <v>2</v>
      </c>
      <c r="V1986" s="8">
        <v>2</v>
      </c>
      <c r="W1986" s="8">
        <v>6</v>
      </c>
      <c r="X1986" s="8">
        <v>1</v>
      </c>
      <c r="Y1986" s="8">
        <v>2</v>
      </c>
      <c r="Z1986" s="8">
        <v>1</v>
      </c>
      <c r="AA1986" s="8">
        <v>180</v>
      </c>
      <c r="AB1986" s="9">
        <f t="shared" si="200"/>
        <v>2.3333333333333335</v>
      </c>
      <c r="AC1986" s="10">
        <f t="shared" si="195"/>
        <v>11.142857142857142</v>
      </c>
      <c r="AD1986" s="8" t="s">
        <v>33</v>
      </c>
      <c r="AE1986" s="11">
        <v>11990</v>
      </c>
      <c r="AF1986" s="11">
        <f t="shared" si="196"/>
        <v>311740</v>
      </c>
      <c r="AG1986" s="12" t="s">
        <v>51</v>
      </c>
      <c r="AH1986" s="8" t="s">
        <v>74</v>
      </c>
    </row>
    <row r="1987" spans="1:34">
      <c r="A1987" s="8" t="s">
        <v>2726</v>
      </c>
      <c r="B1987" s="16" t="s">
        <v>2859</v>
      </c>
      <c r="C1987" s="8" t="s">
        <v>248</v>
      </c>
      <c r="D1987" s="8" t="s">
        <v>2622</v>
      </c>
      <c r="E1987" s="8" t="str">
        <f t="shared" ref="E1987:E2050" si="201">TRIM(N1987)</f>
        <v>CHOCOLATE</v>
      </c>
      <c r="G1987" s="8" t="s">
        <v>2861</v>
      </c>
      <c r="H1987" s="8" t="str">
        <f>VLOOKUP(A1987,[1]BBDD!$B$1:$J$3274,9,FALSE)</f>
        <v>U</v>
      </c>
      <c r="I1987" s="8" t="s">
        <v>2861</v>
      </c>
      <c r="J1987" s="8" t="s">
        <v>2725</v>
      </c>
      <c r="L1987" s="8" t="s">
        <v>61</v>
      </c>
      <c r="N1987" s="8" t="s">
        <v>252</v>
      </c>
      <c r="O1987" s="8" t="s">
        <v>252</v>
      </c>
      <c r="Q1987" s="8" t="s">
        <v>32</v>
      </c>
      <c r="R1987" s="8">
        <v>15</v>
      </c>
      <c r="S1987" s="8">
        <v>16</v>
      </c>
      <c r="T1987" s="8">
        <f t="shared" si="199"/>
        <v>31</v>
      </c>
      <c r="U1987" s="8">
        <v>1</v>
      </c>
      <c r="V1987" s="8">
        <v>0</v>
      </c>
      <c r="W1987" s="8">
        <v>4</v>
      </c>
      <c r="X1987" s="8">
        <v>3</v>
      </c>
      <c r="Y1987" s="8">
        <v>2</v>
      </c>
      <c r="Z1987" s="8">
        <v>2</v>
      </c>
      <c r="AA1987" s="8">
        <v>180</v>
      </c>
      <c r="AB1987" s="9">
        <f t="shared" si="200"/>
        <v>2</v>
      </c>
      <c r="AC1987" s="10">
        <f t="shared" ref="AC1987:AC2050" si="202">IFERROR(T1987/AB1987,"sin venta")</f>
        <v>15.5</v>
      </c>
      <c r="AD1987" s="8" t="s">
        <v>33</v>
      </c>
      <c r="AE1987" s="11">
        <v>11990</v>
      </c>
      <c r="AF1987" s="11">
        <f t="shared" ref="AF1987:AF2050" si="203">IFERROR(AE1987*T1987,0)</f>
        <v>371690</v>
      </c>
      <c r="AG1987" s="12" t="s">
        <v>64</v>
      </c>
      <c r="AH1987" s="8" t="s">
        <v>74</v>
      </c>
    </row>
    <row r="1988" spans="1:34">
      <c r="A1988" s="8" t="s">
        <v>2727</v>
      </c>
      <c r="B1988" s="16" t="s">
        <v>2859</v>
      </c>
      <c r="C1988" s="8" t="s">
        <v>248</v>
      </c>
      <c r="D1988" s="8" t="s">
        <v>2622</v>
      </c>
      <c r="E1988" s="8" t="str">
        <f t="shared" si="201"/>
        <v>NEGRO</v>
      </c>
      <c r="G1988" s="8" t="s">
        <v>2861</v>
      </c>
      <c r="H1988" s="8" t="str">
        <f>VLOOKUP(A1988,[1]BBDD!$B$1:$J$3274,9,FALSE)</f>
        <v>U</v>
      </c>
      <c r="I1988" s="8" t="s">
        <v>2861</v>
      </c>
      <c r="J1988" s="8" t="s">
        <v>2725</v>
      </c>
      <c r="L1988" s="8" t="s">
        <v>61</v>
      </c>
      <c r="N1988" s="8" t="s">
        <v>44</v>
      </c>
      <c r="O1988" s="8" t="s">
        <v>44</v>
      </c>
      <c r="Q1988" s="8" t="s">
        <v>32</v>
      </c>
      <c r="R1988" s="8">
        <v>22</v>
      </c>
      <c r="S1988" s="8">
        <v>17</v>
      </c>
      <c r="T1988" s="8">
        <f t="shared" si="199"/>
        <v>39</v>
      </c>
      <c r="U1988" s="8">
        <v>3</v>
      </c>
      <c r="V1988" s="8">
        <v>1</v>
      </c>
      <c r="W1988" s="8">
        <v>2</v>
      </c>
      <c r="X1988" s="8">
        <v>0</v>
      </c>
      <c r="Y1988" s="8">
        <v>0</v>
      </c>
      <c r="Z1988" s="8">
        <v>1</v>
      </c>
      <c r="AA1988" s="8">
        <v>180</v>
      </c>
      <c r="AB1988" s="9">
        <f t="shared" si="200"/>
        <v>1.1666666666666667</v>
      </c>
      <c r="AC1988" s="10">
        <f t="shared" si="202"/>
        <v>33.428571428571423</v>
      </c>
      <c r="AD1988" s="8" t="s">
        <v>33</v>
      </c>
      <c r="AE1988" s="11">
        <v>11990</v>
      </c>
      <c r="AF1988" s="11">
        <f t="shared" si="203"/>
        <v>467610</v>
      </c>
      <c r="AG1988" s="12" t="s">
        <v>73</v>
      </c>
      <c r="AH1988" s="8" t="s">
        <v>74</v>
      </c>
    </row>
    <row r="1989" spans="1:34">
      <c r="A1989" s="8" t="s">
        <v>2728</v>
      </c>
      <c r="B1989" s="16" t="s">
        <v>2859</v>
      </c>
      <c r="C1989" s="8" t="s">
        <v>248</v>
      </c>
      <c r="D1989" s="8" t="s">
        <v>2622</v>
      </c>
      <c r="E1989" s="8" t="str">
        <f t="shared" si="201"/>
        <v>TABACO</v>
      </c>
      <c r="G1989" s="8" t="s">
        <v>2861</v>
      </c>
      <c r="H1989" s="8" t="str">
        <f>VLOOKUP(A1989,[1]BBDD!$B$1:$J$3274,9,FALSE)</f>
        <v>U</v>
      </c>
      <c r="I1989" s="8" t="s">
        <v>2861</v>
      </c>
      <c r="J1989" s="8" t="s">
        <v>2725</v>
      </c>
      <c r="L1989" s="8" t="s">
        <v>61</v>
      </c>
      <c r="N1989" s="8" t="s">
        <v>67</v>
      </c>
      <c r="O1989" s="8" t="s">
        <v>67</v>
      </c>
      <c r="Q1989" s="8" t="s">
        <v>32</v>
      </c>
      <c r="R1989" s="8">
        <v>46</v>
      </c>
      <c r="S1989" s="8">
        <v>13</v>
      </c>
      <c r="T1989" s="8">
        <f t="shared" si="199"/>
        <v>59</v>
      </c>
      <c r="U1989" s="8">
        <v>0</v>
      </c>
      <c r="V1989" s="8">
        <v>0</v>
      </c>
      <c r="W1989" s="8">
        <v>2</v>
      </c>
      <c r="X1989" s="8">
        <v>0</v>
      </c>
      <c r="Y1989" s="8">
        <v>3</v>
      </c>
      <c r="Z1989" s="8">
        <v>1</v>
      </c>
      <c r="AA1989" s="8">
        <v>180</v>
      </c>
      <c r="AB1989" s="9">
        <f t="shared" si="200"/>
        <v>1</v>
      </c>
      <c r="AC1989" s="10">
        <f t="shared" si="202"/>
        <v>59</v>
      </c>
      <c r="AD1989" s="8" t="s">
        <v>33</v>
      </c>
      <c r="AE1989" s="11">
        <v>11990</v>
      </c>
      <c r="AF1989" s="11">
        <f t="shared" si="203"/>
        <v>707410</v>
      </c>
      <c r="AG1989" s="12" t="s">
        <v>73</v>
      </c>
      <c r="AH1989" s="8" t="s">
        <v>74</v>
      </c>
    </row>
    <row r="1990" spans="1:34">
      <c r="A1990" s="8" t="s">
        <v>2729</v>
      </c>
      <c r="B1990" s="16" t="s">
        <v>2859</v>
      </c>
      <c r="C1990" s="8" t="s">
        <v>248</v>
      </c>
      <c r="D1990" s="8" t="s">
        <v>2622</v>
      </c>
      <c r="E1990" s="8" t="str">
        <f t="shared" si="201"/>
        <v>NEGRO</v>
      </c>
      <c r="G1990" s="8" t="s">
        <v>2861</v>
      </c>
      <c r="H1990" s="8" t="str">
        <f>VLOOKUP(A1990,[1]BBDD!$B$1:$J$3274,9,FALSE)</f>
        <v>U</v>
      </c>
      <c r="I1990" s="8" t="s">
        <v>2861</v>
      </c>
      <c r="J1990" s="8" t="s">
        <v>2725</v>
      </c>
      <c r="L1990" s="8" t="s">
        <v>211</v>
      </c>
      <c r="N1990" s="8" t="s">
        <v>44</v>
      </c>
      <c r="O1990" s="8" t="s">
        <v>44</v>
      </c>
      <c r="Q1990" s="8" t="s">
        <v>45</v>
      </c>
      <c r="R1990" s="8">
        <v>8</v>
      </c>
      <c r="S1990" s="8">
        <v>8</v>
      </c>
      <c r="T1990" s="8">
        <f t="shared" si="199"/>
        <v>16</v>
      </c>
      <c r="U1990" s="8">
        <v>1</v>
      </c>
      <c r="V1990" s="8">
        <v>0</v>
      </c>
      <c r="W1990" s="8">
        <v>4</v>
      </c>
      <c r="X1990" s="8">
        <v>0</v>
      </c>
      <c r="Y1990" s="8">
        <v>0</v>
      </c>
      <c r="Z1990" s="8">
        <v>2</v>
      </c>
      <c r="AA1990" s="8">
        <v>180</v>
      </c>
      <c r="AB1990" s="9">
        <f t="shared" si="200"/>
        <v>1.1666666666666667</v>
      </c>
      <c r="AC1990" s="10">
        <f t="shared" si="202"/>
        <v>13.714285714285714</v>
      </c>
      <c r="AD1990" s="8" t="s">
        <v>109</v>
      </c>
      <c r="AE1990" s="11">
        <v>11990</v>
      </c>
      <c r="AF1990" s="11">
        <f t="shared" si="203"/>
        <v>191840</v>
      </c>
      <c r="AG1990" s="12" t="s">
        <v>64</v>
      </c>
      <c r="AH1990" s="8" t="s">
        <v>65</v>
      </c>
    </row>
    <row r="1991" spans="1:34">
      <c r="A1991" s="8" t="s">
        <v>2730</v>
      </c>
      <c r="B1991" s="16" t="s">
        <v>2859</v>
      </c>
      <c r="C1991" s="8" t="s">
        <v>248</v>
      </c>
      <c r="D1991" s="8" t="s">
        <v>2622</v>
      </c>
      <c r="E1991" s="8" t="str">
        <f t="shared" si="201"/>
        <v>NEGRO</v>
      </c>
      <c r="G1991" s="8" t="s">
        <v>2861</v>
      </c>
      <c r="H1991" s="8" t="str">
        <f>VLOOKUP(A1991,[1]BBDD!$B$1:$J$3274,9,FALSE)</f>
        <v>U</v>
      </c>
      <c r="I1991" s="8" t="s">
        <v>2861</v>
      </c>
      <c r="J1991" s="8" t="s">
        <v>2725</v>
      </c>
      <c r="L1991" s="8" t="s">
        <v>82</v>
      </c>
      <c r="N1991" s="8" t="s">
        <v>44</v>
      </c>
      <c r="O1991" s="8" t="s">
        <v>44</v>
      </c>
      <c r="Q1991" s="8" t="s">
        <v>45</v>
      </c>
      <c r="R1991" s="8">
        <v>0</v>
      </c>
      <c r="S1991" s="8">
        <v>1</v>
      </c>
      <c r="T1991" s="8">
        <f t="shared" si="199"/>
        <v>1</v>
      </c>
      <c r="U1991" s="8">
        <v>2</v>
      </c>
      <c r="V1991" s="8">
        <v>3</v>
      </c>
      <c r="W1991" s="8">
        <v>3</v>
      </c>
      <c r="X1991" s="8">
        <v>0</v>
      </c>
      <c r="Y1991" s="8">
        <v>0</v>
      </c>
      <c r="Z1991" s="8">
        <v>0</v>
      </c>
      <c r="AA1991" s="8">
        <v>180</v>
      </c>
      <c r="AB1991" s="9">
        <f t="shared" si="200"/>
        <v>1.3333333333333335</v>
      </c>
      <c r="AC1991" s="10">
        <f t="shared" si="202"/>
        <v>0.74999999999999989</v>
      </c>
      <c r="AD1991" s="8" t="s">
        <v>109</v>
      </c>
      <c r="AE1991" s="11">
        <v>11990</v>
      </c>
      <c r="AF1991" s="11">
        <f t="shared" si="203"/>
        <v>11990</v>
      </c>
      <c r="AG1991" s="12" t="s">
        <v>34</v>
      </c>
      <c r="AH1991" s="8" t="s">
        <v>35</v>
      </c>
    </row>
    <row r="1992" spans="1:34">
      <c r="A1992" s="8" t="s">
        <v>2731</v>
      </c>
      <c r="B1992" s="16" t="s">
        <v>2859</v>
      </c>
      <c r="C1992" s="8" t="s">
        <v>248</v>
      </c>
      <c r="D1992" s="8" t="s">
        <v>2622</v>
      </c>
      <c r="E1992" s="8" t="str">
        <f t="shared" si="201"/>
        <v>ROJO</v>
      </c>
      <c r="G1992" s="8" t="s">
        <v>2861</v>
      </c>
      <c r="H1992" s="8" t="str">
        <f>VLOOKUP(A1992,[1]BBDD!$B$1:$J$3274,9,FALSE)</f>
        <v>U</v>
      </c>
      <c r="I1992" s="8" t="s">
        <v>2861</v>
      </c>
      <c r="J1992" s="8" t="s">
        <v>2725</v>
      </c>
      <c r="L1992" s="8" t="s">
        <v>82</v>
      </c>
      <c r="N1992" s="8" t="s">
        <v>88</v>
      </c>
      <c r="O1992" s="8" t="s">
        <v>88</v>
      </c>
      <c r="Q1992" s="8" t="s">
        <v>45</v>
      </c>
      <c r="R1992" s="8">
        <v>0</v>
      </c>
      <c r="S1992" s="8">
        <v>9</v>
      </c>
      <c r="T1992" s="8">
        <f t="shared" si="199"/>
        <v>9</v>
      </c>
      <c r="U1992" s="8">
        <v>0</v>
      </c>
      <c r="V1992" s="8">
        <v>0</v>
      </c>
      <c r="W1992" s="8">
        <v>0</v>
      </c>
      <c r="X1992" s="8">
        <v>1</v>
      </c>
      <c r="Y1992" s="8">
        <v>4</v>
      </c>
      <c r="Z1992" s="8">
        <v>0</v>
      </c>
      <c r="AA1992" s="8">
        <v>180</v>
      </c>
      <c r="AB1992" s="9">
        <f t="shared" si="200"/>
        <v>0.83333333333333326</v>
      </c>
      <c r="AC1992" s="10">
        <f t="shared" si="202"/>
        <v>10.8</v>
      </c>
      <c r="AD1992" s="8" t="s">
        <v>109</v>
      </c>
      <c r="AE1992" s="11">
        <v>11990</v>
      </c>
      <c r="AF1992" s="11">
        <f t="shared" si="203"/>
        <v>107910</v>
      </c>
      <c r="AG1992" s="12" t="s">
        <v>51</v>
      </c>
      <c r="AH1992" s="8" t="s">
        <v>35</v>
      </c>
    </row>
    <row r="1993" spans="1:34">
      <c r="A1993" s="8" t="s">
        <v>2732</v>
      </c>
      <c r="B1993" s="16" t="s">
        <v>2859</v>
      </c>
      <c r="C1993" s="8" t="s">
        <v>248</v>
      </c>
      <c r="D1993" s="8" t="s">
        <v>2622</v>
      </c>
      <c r="E1993" s="8" t="str">
        <f t="shared" si="201"/>
        <v>SUELA</v>
      </c>
      <c r="G1993" s="8" t="s">
        <v>2861</v>
      </c>
      <c r="H1993" s="8" t="str">
        <f>VLOOKUP(A1993,[1]BBDD!$B$1:$J$3274,9,FALSE)</f>
        <v>U</v>
      </c>
      <c r="I1993" s="8" t="s">
        <v>2861</v>
      </c>
      <c r="J1993" s="8" t="s">
        <v>2725</v>
      </c>
      <c r="L1993" s="8" t="s">
        <v>82</v>
      </c>
      <c r="N1993" s="8" t="s">
        <v>90</v>
      </c>
      <c r="O1993" s="8" t="s">
        <v>90</v>
      </c>
      <c r="Q1993" s="8" t="s">
        <v>45</v>
      </c>
      <c r="R1993" s="8">
        <v>0</v>
      </c>
      <c r="S1993" s="8">
        <v>1</v>
      </c>
      <c r="T1993" s="8">
        <f t="shared" si="199"/>
        <v>1</v>
      </c>
      <c r="U1993" s="8">
        <v>2</v>
      </c>
      <c r="V1993" s="8">
        <v>1</v>
      </c>
      <c r="W1993" s="8">
        <v>3</v>
      </c>
      <c r="X1993" s="8">
        <v>2</v>
      </c>
      <c r="Y1993" s="8">
        <v>1</v>
      </c>
      <c r="Z1993" s="8">
        <v>0</v>
      </c>
      <c r="AA1993" s="8">
        <v>180</v>
      </c>
      <c r="AB1993" s="9">
        <f t="shared" si="200"/>
        <v>1.5</v>
      </c>
      <c r="AC1993" s="10">
        <f t="shared" si="202"/>
        <v>0.66666666666666663</v>
      </c>
      <c r="AD1993" s="8" t="s">
        <v>109</v>
      </c>
      <c r="AE1993" s="11">
        <v>11990</v>
      </c>
      <c r="AF1993" s="11">
        <f t="shared" si="203"/>
        <v>11990</v>
      </c>
      <c r="AG1993" s="12" t="s">
        <v>34</v>
      </c>
      <c r="AH1993" s="8" t="s">
        <v>35</v>
      </c>
    </row>
    <row r="1994" spans="1:34">
      <c r="A1994" s="8" t="s">
        <v>2733</v>
      </c>
      <c r="B1994" s="16" t="s">
        <v>2859</v>
      </c>
      <c r="C1994" s="8" t="s">
        <v>248</v>
      </c>
      <c r="D1994" s="8" t="s">
        <v>2622</v>
      </c>
      <c r="E1994" s="8" t="str">
        <f t="shared" si="201"/>
        <v>AZUL</v>
      </c>
      <c r="G1994" s="8" t="s">
        <v>2861</v>
      </c>
      <c r="H1994" s="8" t="str">
        <f>VLOOKUP(A1994,[1]BBDD!$B$1:$J$3274,9,FALSE)</f>
        <v>M</v>
      </c>
      <c r="I1994" s="19" t="s">
        <v>2862</v>
      </c>
      <c r="J1994" s="8" t="s">
        <v>2734</v>
      </c>
      <c r="L1994" s="8" t="s">
        <v>61</v>
      </c>
      <c r="N1994" s="8" t="s">
        <v>83</v>
      </c>
      <c r="O1994" s="8" t="s">
        <v>83</v>
      </c>
      <c r="Q1994" s="8" t="s">
        <v>32</v>
      </c>
      <c r="R1994" s="8">
        <v>0</v>
      </c>
      <c r="S1994" s="8">
        <v>1</v>
      </c>
      <c r="T1994" s="8">
        <f t="shared" si="199"/>
        <v>1</v>
      </c>
      <c r="U1994" s="8">
        <v>5</v>
      </c>
      <c r="V1994" s="8">
        <v>4</v>
      </c>
      <c r="W1994" s="8">
        <v>2</v>
      </c>
      <c r="X1994" s="8">
        <v>1</v>
      </c>
      <c r="Y1994" s="8">
        <v>1</v>
      </c>
      <c r="Z1994" s="8">
        <v>0</v>
      </c>
      <c r="AA1994" s="8">
        <v>180</v>
      </c>
      <c r="AB1994" s="9">
        <f t="shared" si="200"/>
        <v>2.1666666666666665</v>
      </c>
      <c r="AC1994" s="10">
        <f t="shared" si="202"/>
        <v>0.46153846153846156</v>
      </c>
      <c r="AD1994" s="8" t="s">
        <v>33</v>
      </c>
      <c r="AE1994" s="11">
        <v>12990</v>
      </c>
      <c r="AF1994" s="11">
        <f t="shared" si="203"/>
        <v>12990</v>
      </c>
      <c r="AG1994" s="12" t="s">
        <v>34</v>
      </c>
      <c r="AH1994" s="8" t="s">
        <v>35</v>
      </c>
    </row>
    <row r="1995" spans="1:34">
      <c r="A1995" s="8" t="s">
        <v>2735</v>
      </c>
      <c r="B1995" s="16" t="s">
        <v>2859</v>
      </c>
      <c r="C1995" s="8" t="s">
        <v>248</v>
      </c>
      <c r="D1995" s="8" t="s">
        <v>2622</v>
      </c>
      <c r="E1995" s="8" t="str">
        <f t="shared" si="201"/>
        <v>CARAMELO</v>
      </c>
      <c r="G1995" s="8" t="s">
        <v>2861</v>
      </c>
      <c r="H1995" s="8" t="str">
        <f>VLOOKUP(A1995,[1]BBDD!$B$1:$J$3274,9,FALSE)</f>
        <v>M</v>
      </c>
      <c r="I1995" s="19" t="s">
        <v>2862</v>
      </c>
      <c r="J1995" s="8" t="s">
        <v>2734</v>
      </c>
      <c r="L1995" s="8" t="s">
        <v>61</v>
      </c>
      <c r="N1995" s="8" t="s">
        <v>62</v>
      </c>
      <c r="O1995" s="8" t="s">
        <v>62</v>
      </c>
      <c r="Q1995" s="8" t="s">
        <v>32</v>
      </c>
      <c r="R1995" s="8">
        <v>45</v>
      </c>
      <c r="S1995" s="8">
        <v>20</v>
      </c>
      <c r="T1995" s="8">
        <f t="shared" si="199"/>
        <v>65</v>
      </c>
      <c r="U1995" s="8">
        <v>9</v>
      </c>
      <c r="V1995" s="8">
        <v>3</v>
      </c>
      <c r="W1995" s="8">
        <v>8</v>
      </c>
      <c r="X1995" s="8">
        <v>9</v>
      </c>
      <c r="Y1995" s="8">
        <v>3</v>
      </c>
      <c r="Z1995" s="8">
        <v>1</v>
      </c>
      <c r="AA1995" s="8">
        <v>180</v>
      </c>
      <c r="AB1995" s="9">
        <f t="shared" si="200"/>
        <v>5.5</v>
      </c>
      <c r="AC1995" s="10">
        <f t="shared" si="202"/>
        <v>11.818181818181818</v>
      </c>
      <c r="AD1995" s="8" t="s">
        <v>33</v>
      </c>
      <c r="AE1995" s="11">
        <v>12990</v>
      </c>
      <c r="AF1995" s="11">
        <f t="shared" si="203"/>
        <v>844350</v>
      </c>
      <c r="AG1995" s="12" t="s">
        <v>51</v>
      </c>
      <c r="AH1995" s="8" t="s">
        <v>74</v>
      </c>
    </row>
    <row r="1996" spans="1:34">
      <c r="A1996" s="8" t="s">
        <v>2736</v>
      </c>
      <c r="B1996" s="16" t="s">
        <v>2859</v>
      </c>
      <c r="C1996" s="8" t="s">
        <v>248</v>
      </c>
      <c r="D1996" s="8" t="s">
        <v>2622</v>
      </c>
      <c r="E1996" s="8" t="str">
        <f t="shared" si="201"/>
        <v>MALBEC</v>
      </c>
      <c r="G1996" s="8" t="s">
        <v>2861</v>
      </c>
      <c r="H1996" s="8" t="str">
        <f>VLOOKUP(A1996,[1]BBDD!$B$1:$J$3274,9,FALSE)</f>
        <v>M</v>
      </c>
      <c r="I1996" s="19" t="s">
        <v>2862</v>
      </c>
      <c r="J1996" s="8" t="s">
        <v>2734</v>
      </c>
      <c r="L1996" s="8" t="s">
        <v>61</v>
      </c>
      <c r="N1996" s="8" t="s">
        <v>69</v>
      </c>
      <c r="O1996" s="8" t="s">
        <v>69</v>
      </c>
      <c r="Q1996" s="8" t="s">
        <v>32</v>
      </c>
      <c r="R1996" s="8">
        <v>0</v>
      </c>
      <c r="S1996" s="8">
        <v>11</v>
      </c>
      <c r="T1996" s="8">
        <f t="shared" si="199"/>
        <v>11</v>
      </c>
      <c r="U1996" s="8">
        <v>8</v>
      </c>
      <c r="V1996" s="8">
        <v>5</v>
      </c>
      <c r="W1996" s="8">
        <v>4</v>
      </c>
      <c r="X1996" s="8">
        <v>3</v>
      </c>
      <c r="Y1996" s="8">
        <v>5</v>
      </c>
      <c r="Z1996" s="8">
        <v>8</v>
      </c>
      <c r="AA1996" s="8">
        <v>180</v>
      </c>
      <c r="AB1996" s="9">
        <f t="shared" si="200"/>
        <v>5.5</v>
      </c>
      <c r="AC1996" s="10">
        <f t="shared" si="202"/>
        <v>2</v>
      </c>
      <c r="AD1996" s="8" t="s">
        <v>33</v>
      </c>
      <c r="AE1996" s="11">
        <v>12990</v>
      </c>
      <c r="AF1996" s="11">
        <f t="shared" si="203"/>
        <v>142890</v>
      </c>
      <c r="AG1996" s="12" t="s">
        <v>34</v>
      </c>
      <c r="AH1996" s="8" t="s">
        <v>65</v>
      </c>
    </row>
    <row r="1997" spans="1:34">
      <c r="A1997" s="8" t="s">
        <v>2737</v>
      </c>
      <c r="B1997" s="16" t="s">
        <v>2859</v>
      </c>
      <c r="C1997" s="8" t="s">
        <v>248</v>
      </c>
      <c r="D1997" s="8" t="s">
        <v>2622</v>
      </c>
      <c r="E1997" s="8" t="str">
        <f t="shared" si="201"/>
        <v>NEGRO</v>
      </c>
      <c r="G1997" s="8" t="s">
        <v>2861</v>
      </c>
      <c r="H1997" s="8" t="str">
        <f>VLOOKUP(A1997,[1]BBDD!$B$1:$J$3274,9,FALSE)</f>
        <v>M</v>
      </c>
      <c r="I1997" s="19" t="s">
        <v>2862</v>
      </c>
      <c r="J1997" s="8" t="s">
        <v>2734</v>
      </c>
      <c r="L1997" s="8" t="s">
        <v>61</v>
      </c>
      <c r="N1997" s="8" t="s">
        <v>44</v>
      </c>
      <c r="O1997" s="8" t="s">
        <v>44</v>
      </c>
      <c r="Q1997" s="8" t="s">
        <v>32</v>
      </c>
      <c r="R1997" s="8">
        <v>11</v>
      </c>
      <c r="S1997" s="8">
        <v>21</v>
      </c>
      <c r="T1997" s="8">
        <f t="shared" si="199"/>
        <v>32</v>
      </c>
      <c r="U1997" s="8">
        <v>3</v>
      </c>
      <c r="V1997" s="8">
        <v>2</v>
      </c>
      <c r="W1997" s="8">
        <v>8</v>
      </c>
      <c r="X1997" s="8">
        <v>3</v>
      </c>
      <c r="Y1997" s="8">
        <v>9</v>
      </c>
      <c r="Z1997" s="8">
        <v>3</v>
      </c>
      <c r="AA1997" s="8">
        <v>180</v>
      </c>
      <c r="AB1997" s="9">
        <f t="shared" si="200"/>
        <v>4.666666666666667</v>
      </c>
      <c r="AC1997" s="10">
        <f t="shared" si="202"/>
        <v>6.8571428571428568</v>
      </c>
      <c r="AD1997" s="8" t="s">
        <v>33</v>
      </c>
      <c r="AE1997" s="11">
        <v>12990</v>
      </c>
      <c r="AF1997" s="11">
        <f t="shared" si="203"/>
        <v>415680</v>
      </c>
      <c r="AG1997" s="12" t="s">
        <v>51</v>
      </c>
      <c r="AH1997" s="8" t="s">
        <v>74</v>
      </c>
    </row>
    <row r="1998" spans="1:34">
      <c r="A1998" s="8" t="s">
        <v>2738</v>
      </c>
      <c r="B1998" s="16" t="s">
        <v>2859</v>
      </c>
      <c r="C1998" s="8" t="s">
        <v>248</v>
      </c>
      <c r="D1998" s="8" t="s">
        <v>2622</v>
      </c>
      <c r="E1998" s="8" t="str">
        <f t="shared" si="201"/>
        <v>ROJO</v>
      </c>
      <c r="G1998" s="8" t="s">
        <v>2861</v>
      </c>
      <c r="H1998" s="8" t="str">
        <f>VLOOKUP(A1998,[1]BBDD!$B$1:$J$3274,9,FALSE)</f>
        <v>M</v>
      </c>
      <c r="I1998" s="19" t="s">
        <v>2862</v>
      </c>
      <c r="J1998" s="8" t="s">
        <v>2734</v>
      </c>
      <c r="L1998" s="8" t="s">
        <v>61</v>
      </c>
      <c r="N1998" s="8" t="s">
        <v>88</v>
      </c>
      <c r="O1998" s="8" t="s">
        <v>88</v>
      </c>
      <c r="Q1998" s="8" t="s">
        <v>32</v>
      </c>
      <c r="R1998" s="8">
        <v>32</v>
      </c>
      <c r="S1998" s="8">
        <v>23</v>
      </c>
      <c r="T1998" s="8">
        <f t="shared" si="199"/>
        <v>55</v>
      </c>
      <c r="U1998" s="8">
        <v>12</v>
      </c>
      <c r="V1998" s="8">
        <v>14</v>
      </c>
      <c r="W1998" s="8">
        <v>11</v>
      </c>
      <c r="X1998" s="8">
        <v>9</v>
      </c>
      <c r="Y1998" s="8">
        <v>8</v>
      </c>
      <c r="Z1998" s="8">
        <v>2</v>
      </c>
      <c r="AA1998" s="8">
        <v>180</v>
      </c>
      <c r="AB1998" s="9">
        <f t="shared" si="200"/>
        <v>9.3333333333333339</v>
      </c>
      <c r="AC1998" s="10">
        <f t="shared" si="202"/>
        <v>5.8928571428571423</v>
      </c>
      <c r="AD1998" s="8" t="s">
        <v>33</v>
      </c>
      <c r="AE1998" s="11">
        <v>12990</v>
      </c>
      <c r="AF1998" s="11">
        <f t="shared" si="203"/>
        <v>714450</v>
      </c>
      <c r="AG1998" s="12" t="s">
        <v>34</v>
      </c>
      <c r="AH1998" s="8" t="s">
        <v>74</v>
      </c>
    </row>
    <row r="1999" spans="1:34">
      <c r="A1999" s="8" t="s">
        <v>2739</v>
      </c>
      <c r="B1999" s="16" t="s">
        <v>2859</v>
      </c>
      <c r="C1999" s="8" t="s">
        <v>248</v>
      </c>
      <c r="D1999" s="8" t="s">
        <v>2622</v>
      </c>
      <c r="E1999" s="8" t="str">
        <f t="shared" si="201"/>
        <v>VERDE</v>
      </c>
      <c r="G1999" s="8" t="s">
        <v>2861</v>
      </c>
      <c r="H1999" s="8" t="str">
        <f>VLOOKUP(A1999,[1]BBDD!$B$1:$J$3274,9,FALSE)</f>
        <v>M</v>
      </c>
      <c r="I1999" s="19" t="s">
        <v>2862</v>
      </c>
      <c r="J1999" s="8" t="s">
        <v>2734</v>
      </c>
      <c r="L1999" s="8" t="s">
        <v>61</v>
      </c>
      <c r="N1999" s="8" t="s">
        <v>92</v>
      </c>
      <c r="O1999" s="8" t="s">
        <v>92</v>
      </c>
      <c r="Q1999" s="8" t="s">
        <v>32</v>
      </c>
      <c r="R1999" s="8">
        <v>0</v>
      </c>
      <c r="S1999" s="8">
        <v>0</v>
      </c>
      <c r="T1999" s="8">
        <f t="shared" si="199"/>
        <v>0</v>
      </c>
      <c r="U1999" s="8">
        <v>1</v>
      </c>
      <c r="V1999" s="8">
        <v>1</v>
      </c>
      <c r="W1999" s="8">
        <v>1</v>
      </c>
      <c r="X1999" s="8">
        <v>1</v>
      </c>
      <c r="Y1999" s="8">
        <v>0</v>
      </c>
      <c r="Z1999" s="8">
        <v>0</v>
      </c>
      <c r="AA1999" s="8">
        <v>180</v>
      </c>
      <c r="AB1999" s="9">
        <f t="shared" si="200"/>
        <v>0.66666666666666674</v>
      </c>
      <c r="AC1999" s="10">
        <f t="shared" si="202"/>
        <v>0</v>
      </c>
      <c r="AD1999" s="8" t="s">
        <v>33</v>
      </c>
      <c r="AE1999" s="11">
        <v>12990</v>
      </c>
      <c r="AF1999" s="11">
        <f t="shared" si="203"/>
        <v>0</v>
      </c>
      <c r="AG1999" s="12" t="s">
        <v>34</v>
      </c>
      <c r="AH1999" s="8" t="s">
        <v>35</v>
      </c>
    </row>
    <row r="2000" spans="1:34">
      <c r="A2000" s="8" t="s">
        <v>2740</v>
      </c>
      <c r="B2000" s="16" t="s">
        <v>2859</v>
      </c>
      <c r="C2000" s="8" t="s">
        <v>248</v>
      </c>
      <c r="D2000" s="8" t="s">
        <v>2622</v>
      </c>
      <c r="E2000" s="8" t="str">
        <f t="shared" si="201"/>
        <v>TABACO</v>
      </c>
      <c r="G2000" s="8" t="s">
        <v>2861</v>
      </c>
      <c r="H2000" s="8" t="str">
        <f>VLOOKUP(A2000,[1]BBDD!$B$1:$J$3274,9,FALSE)</f>
        <v>M</v>
      </c>
      <c r="I2000" s="19" t="s">
        <v>2862</v>
      </c>
      <c r="J2000" s="8" t="s">
        <v>2734</v>
      </c>
      <c r="L2000" s="8" t="s">
        <v>61</v>
      </c>
      <c r="N2000" s="8" t="s">
        <v>67</v>
      </c>
      <c r="O2000" s="8" t="s">
        <v>67</v>
      </c>
      <c r="Q2000" s="8" t="s">
        <v>45</v>
      </c>
      <c r="R2000" s="8">
        <v>12</v>
      </c>
      <c r="S2000" s="8">
        <v>17</v>
      </c>
      <c r="T2000" s="8">
        <f t="shared" si="199"/>
        <v>29</v>
      </c>
      <c r="U2000" s="8">
        <v>2</v>
      </c>
      <c r="V2000" s="8">
        <v>5</v>
      </c>
      <c r="W2000" s="8">
        <v>7</v>
      </c>
      <c r="X2000" s="8">
        <v>7</v>
      </c>
      <c r="Y2000" s="8">
        <v>4</v>
      </c>
      <c r="Z2000" s="8">
        <v>9</v>
      </c>
      <c r="AA2000" s="8">
        <v>180</v>
      </c>
      <c r="AB2000" s="9">
        <f t="shared" si="200"/>
        <v>5.6666666666666661</v>
      </c>
      <c r="AC2000" s="10">
        <f t="shared" si="202"/>
        <v>5.1176470588235299</v>
      </c>
      <c r="AD2000" s="8" t="s">
        <v>109</v>
      </c>
      <c r="AE2000" s="11">
        <v>12990</v>
      </c>
      <c r="AF2000" s="11">
        <f t="shared" si="203"/>
        <v>376710</v>
      </c>
      <c r="AG2000" s="12" t="s">
        <v>34</v>
      </c>
      <c r="AH2000" s="8" t="s">
        <v>74</v>
      </c>
    </row>
    <row r="2001" spans="1:34">
      <c r="A2001" s="8" t="s">
        <v>2741</v>
      </c>
      <c r="B2001" s="16" t="s">
        <v>2859</v>
      </c>
      <c r="C2001" s="8" t="s">
        <v>248</v>
      </c>
      <c r="D2001" s="8" t="s">
        <v>2622</v>
      </c>
      <c r="E2001" s="8" t="str">
        <f t="shared" si="201"/>
        <v>NEGRO</v>
      </c>
      <c r="G2001" s="8" t="s">
        <v>2861</v>
      </c>
      <c r="H2001" s="8" t="str">
        <f>VLOOKUP(A2001,[1]BBDD!$B$1:$J$3274,9,FALSE)</f>
        <v>M</v>
      </c>
      <c r="I2001" s="19" t="s">
        <v>2862</v>
      </c>
      <c r="J2001" s="8" t="s">
        <v>2734</v>
      </c>
      <c r="L2001" s="8" t="s">
        <v>211</v>
      </c>
      <c r="N2001" s="8" t="s">
        <v>44</v>
      </c>
      <c r="O2001" s="8" t="s">
        <v>44</v>
      </c>
      <c r="Q2001" s="8" t="s">
        <v>45</v>
      </c>
      <c r="R2001" s="8">
        <v>21</v>
      </c>
      <c r="S2001" s="8">
        <v>14</v>
      </c>
      <c r="T2001" s="8">
        <f t="shared" si="199"/>
        <v>35</v>
      </c>
      <c r="U2001" s="8">
        <v>3</v>
      </c>
      <c r="V2001" s="8">
        <v>1</v>
      </c>
      <c r="W2001" s="8">
        <v>3</v>
      </c>
      <c r="X2001" s="8">
        <v>2</v>
      </c>
      <c r="Y2001" s="8">
        <v>1</v>
      </c>
      <c r="Z2001" s="8">
        <v>1</v>
      </c>
      <c r="AA2001" s="8">
        <v>180</v>
      </c>
      <c r="AB2001" s="9">
        <f t="shared" si="200"/>
        <v>1.8333333333333333</v>
      </c>
      <c r="AC2001" s="10">
        <f t="shared" si="202"/>
        <v>19.09090909090909</v>
      </c>
      <c r="AD2001" s="8" t="s">
        <v>109</v>
      </c>
      <c r="AE2001" s="11">
        <v>12990</v>
      </c>
      <c r="AF2001" s="11">
        <f t="shared" si="203"/>
        <v>454650</v>
      </c>
      <c r="AG2001" s="12" t="s">
        <v>64</v>
      </c>
      <c r="AH2001" s="8" t="s">
        <v>74</v>
      </c>
    </row>
    <row r="2002" spans="1:34">
      <c r="A2002" s="8" t="s">
        <v>2742</v>
      </c>
      <c r="B2002" s="16" t="s">
        <v>2859</v>
      </c>
      <c r="C2002" s="8" t="s">
        <v>248</v>
      </c>
      <c r="D2002" s="8" t="s">
        <v>2622</v>
      </c>
      <c r="E2002" s="8" t="str">
        <f t="shared" si="201"/>
        <v>CEDRO</v>
      </c>
      <c r="G2002" s="8" t="s">
        <v>2861</v>
      </c>
      <c r="H2002" s="8" t="str">
        <f>VLOOKUP(A2002,[1]BBDD!$B$1:$J$3274,9,FALSE)</f>
        <v>M</v>
      </c>
      <c r="I2002" s="19" t="s">
        <v>2862</v>
      </c>
      <c r="J2002" s="8" t="s">
        <v>2734</v>
      </c>
      <c r="L2002" s="8" t="s">
        <v>112</v>
      </c>
      <c r="N2002" s="8" t="s">
        <v>113</v>
      </c>
      <c r="O2002" s="8" t="s">
        <v>113</v>
      </c>
      <c r="Q2002" s="8" t="s">
        <v>32</v>
      </c>
      <c r="R2002" s="8">
        <v>4</v>
      </c>
      <c r="S2002" s="8">
        <v>12</v>
      </c>
      <c r="T2002" s="8">
        <f t="shared" si="199"/>
        <v>16</v>
      </c>
      <c r="U2002" s="8">
        <v>6</v>
      </c>
      <c r="V2002" s="8">
        <v>4</v>
      </c>
      <c r="W2002" s="8">
        <v>9</v>
      </c>
      <c r="X2002" s="8">
        <v>6</v>
      </c>
      <c r="Y2002" s="8">
        <v>5</v>
      </c>
      <c r="Z2002" s="8">
        <v>3</v>
      </c>
      <c r="AA2002" s="8">
        <v>180</v>
      </c>
      <c r="AB2002" s="9">
        <f t="shared" si="200"/>
        <v>5.5</v>
      </c>
      <c r="AC2002" s="10">
        <f t="shared" si="202"/>
        <v>2.9090909090909092</v>
      </c>
      <c r="AD2002" s="8" t="s">
        <v>33</v>
      </c>
      <c r="AE2002" s="11">
        <v>12990</v>
      </c>
      <c r="AF2002" s="11">
        <f t="shared" si="203"/>
        <v>207840</v>
      </c>
      <c r="AG2002" s="12" t="s">
        <v>34</v>
      </c>
      <c r="AH2002" s="8" t="s">
        <v>65</v>
      </c>
    </row>
    <row r="2003" spans="1:34">
      <c r="A2003" s="8" t="s">
        <v>2743</v>
      </c>
      <c r="B2003" s="16" t="s">
        <v>2859</v>
      </c>
      <c r="C2003" s="8" t="s">
        <v>248</v>
      </c>
      <c r="D2003" s="8" t="s">
        <v>2622</v>
      </c>
      <c r="E2003" s="8" t="str">
        <f t="shared" si="201"/>
        <v>CARAMELO</v>
      </c>
      <c r="G2003" s="8" t="s">
        <v>2861</v>
      </c>
      <c r="H2003" s="8" t="str">
        <f>VLOOKUP(A2003,[1]BBDD!$B$1:$J$3274,9,FALSE)</f>
        <v>M</v>
      </c>
      <c r="I2003" s="19" t="s">
        <v>2862</v>
      </c>
      <c r="J2003" s="8" t="s">
        <v>2734</v>
      </c>
      <c r="L2003" s="8" t="s">
        <v>238</v>
      </c>
      <c r="N2003" s="8" t="s">
        <v>62</v>
      </c>
      <c r="O2003" s="8" t="s">
        <v>62</v>
      </c>
      <c r="Q2003" s="8" t="s">
        <v>32</v>
      </c>
      <c r="R2003" s="8">
        <v>1</v>
      </c>
      <c r="S2003" s="8">
        <v>8</v>
      </c>
      <c r="T2003" s="8">
        <f t="shared" si="199"/>
        <v>9</v>
      </c>
      <c r="U2003" s="8">
        <v>8</v>
      </c>
      <c r="V2003" s="8">
        <v>4</v>
      </c>
      <c r="W2003" s="8">
        <v>10</v>
      </c>
      <c r="X2003" s="8">
        <v>7</v>
      </c>
      <c r="Y2003" s="8">
        <v>2</v>
      </c>
      <c r="Z2003" s="8">
        <v>4</v>
      </c>
      <c r="AA2003" s="8">
        <v>180</v>
      </c>
      <c r="AB2003" s="9">
        <f t="shared" si="200"/>
        <v>5.833333333333333</v>
      </c>
      <c r="AC2003" s="10">
        <f t="shared" si="202"/>
        <v>1.5428571428571429</v>
      </c>
      <c r="AD2003" s="8" t="s">
        <v>33</v>
      </c>
      <c r="AE2003" s="11">
        <v>13990</v>
      </c>
      <c r="AF2003" s="11">
        <f t="shared" si="203"/>
        <v>125910</v>
      </c>
      <c r="AG2003" s="12" t="s">
        <v>34</v>
      </c>
      <c r="AH2003" s="8" t="s">
        <v>35</v>
      </c>
    </row>
    <row r="2004" spans="1:34">
      <c r="A2004" s="8" t="s">
        <v>2744</v>
      </c>
      <c r="B2004" s="16" t="s">
        <v>2859</v>
      </c>
      <c r="C2004" s="8" t="s">
        <v>248</v>
      </c>
      <c r="D2004" s="8" t="s">
        <v>2622</v>
      </c>
      <c r="E2004" s="8" t="str">
        <f t="shared" si="201"/>
        <v>NEGRO</v>
      </c>
      <c r="G2004" s="8" t="s">
        <v>2861</v>
      </c>
      <c r="H2004" s="8" t="str">
        <f>VLOOKUP(A2004,[1]BBDD!$B$1:$J$3274,9,FALSE)</f>
        <v>M</v>
      </c>
      <c r="I2004" s="19" t="s">
        <v>2862</v>
      </c>
      <c r="J2004" s="8" t="s">
        <v>2734</v>
      </c>
      <c r="L2004" s="8" t="s">
        <v>238</v>
      </c>
      <c r="N2004" s="8" t="s">
        <v>44</v>
      </c>
      <c r="O2004" s="8" t="s">
        <v>44</v>
      </c>
      <c r="Q2004" s="8" t="s">
        <v>32</v>
      </c>
      <c r="R2004" s="8">
        <v>14</v>
      </c>
      <c r="S2004" s="8">
        <v>14</v>
      </c>
      <c r="T2004" s="8">
        <f t="shared" si="199"/>
        <v>28</v>
      </c>
      <c r="U2004" s="8">
        <v>0</v>
      </c>
      <c r="V2004" s="8">
        <v>3</v>
      </c>
      <c r="W2004" s="8">
        <v>2</v>
      </c>
      <c r="X2004" s="8">
        <v>2</v>
      </c>
      <c r="Y2004" s="8">
        <v>4</v>
      </c>
      <c r="Z2004" s="8">
        <v>2</v>
      </c>
      <c r="AA2004" s="8">
        <v>180</v>
      </c>
      <c r="AB2004" s="9">
        <f t="shared" si="200"/>
        <v>2.1666666666666665</v>
      </c>
      <c r="AC2004" s="10">
        <f t="shared" si="202"/>
        <v>12.923076923076923</v>
      </c>
      <c r="AD2004" s="8" t="s">
        <v>33</v>
      </c>
      <c r="AE2004" s="11">
        <v>13990</v>
      </c>
      <c r="AF2004" s="11">
        <f t="shared" si="203"/>
        <v>391720</v>
      </c>
      <c r="AG2004" s="12" t="s">
        <v>64</v>
      </c>
      <c r="AH2004" s="8" t="s">
        <v>74</v>
      </c>
    </row>
    <row r="2005" spans="1:34">
      <c r="A2005" s="8" t="s">
        <v>2745</v>
      </c>
      <c r="B2005" s="16" t="s">
        <v>2859</v>
      </c>
      <c r="C2005" s="8" t="s">
        <v>248</v>
      </c>
      <c r="D2005" s="8" t="s">
        <v>2622</v>
      </c>
      <c r="E2005" s="8" t="str">
        <f t="shared" si="201"/>
        <v>ROJO</v>
      </c>
      <c r="G2005" s="8" t="s">
        <v>2861</v>
      </c>
      <c r="H2005" s="8" t="str">
        <f>VLOOKUP(A2005,[1]BBDD!$B$1:$J$3274,9,FALSE)</f>
        <v>M</v>
      </c>
      <c r="I2005" s="19" t="s">
        <v>2862</v>
      </c>
      <c r="J2005" s="8" t="s">
        <v>2734</v>
      </c>
      <c r="L2005" s="8" t="s">
        <v>238</v>
      </c>
      <c r="N2005" s="8" t="s">
        <v>88</v>
      </c>
      <c r="O2005" s="8" t="s">
        <v>88</v>
      </c>
      <c r="Q2005" s="8" t="s">
        <v>32</v>
      </c>
      <c r="R2005" s="8">
        <v>19</v>
      </c>
      <c r="S2005" s="8">
        <v>20</v>
      </c>
      <c r="T2005" s="8">
        <f t="shared" si="199"/>
        <v>39</v>
      </c>
      <c r="U2005" s="8">
        <v>10</v>
      </c>
      <c r="V2005" s="8">
        <v>3</v>
      </c>
      <c r="W2005" s="8">
        <v>8</v>
      </c>
      <c r="X2005" s="8">
        <v>9</v>
      </c>
      <c r="Y2005" s="8">
        <v>8</v>
      </c>
      <c r="Z2005" s="8">
        <v>5</v>
      </c>
      <c r="AA2005" s="8">
        <v>180</v>
      </c>
      <c r="AB2005" s="9">
        <f t="shared" si="200"/>
        <v>7.166666666666667</v>
      </c>
      <c r="AC2005" s="10">
        <f t="shared" si="202"/>
        <v>5.441860465116279</v>
      </c>
      <c r="AD2005" s="8" t="s">
        <v>33</v>
      </c>
      <c r="AE2005" s="11">
        <v>13990</v>
      </c>
      <c r="AF2005" s="11">
        <f t="shared" si="203"/>
        <v>545610</v>
      </c>
      <c r="AG2005" s="12" t="s">
        <v>34</v>
      </c>
      <c r="AH2005" s="8" t="s">
        <v>74</v>
      </c>
    </row>
    <row r="2006" spans="1:34">
      <c r="A2006" s="8" t="s">
        <v>2746</v>
      </c>
      <c r="B2006" s="16" t="s">
        <v>2859</v>
      </c>
      <c r="C2006" s="8" t="s">
        <v>248</v>
      </c>
      <c r="D2006" s="8" t="s">
        <v>2622</v>
      </c>
      <c r="E2006" s="8" t="str">
        <f t="shared" si="201"/>
        <v>AZUL</v>
      </c>
      <c r="G2006" s="8" t="s">
        <v>2861</v>
      </c>
      <c r="H2006" s="8" t="str">
        <f>VLOOKUP(A2006,[1]BBDD!$B$1:$J$3274,9,FALSE)</f>
        <v>M</v>
      </c>
      <c r="I2006" s="19" t="s">
        <v>2862</v>
      </c>
      <c r="J2006" s="8" t="s">
        <v>2734</v>
      </c>
      <c r="L2006" s="8" t="s">
        <v>238</v>
      </c>
      <c r="N2006" s="8" t="s">
        <v>83</v>
      </c>
      <c r="O2006" s="8" t="s">
        <v>83</v>
      </c>
      <c r="Q2006" s="8" t="s">
        <v>45</v>
      </c>
      <c r="R2006" s="8">
        <v>0</v>
      </c>
      <c r="S2006" s="8">
        <v>6</v>
      </c>
      <c r="T2006" s="8">
        <f t="shared" si="199"/>
        <v>6</v>
      </c>
      <c r="U2006" s="8">
        <v>3</v>
      </c>
      <c r="V2006" s="8">
        <v>2</v>
      </c>
      <c r="W2006" s="8">
        <v>7</v>
      </c>
      <c r="X2006" s="8">
        <v>3</v>
      </c>
      <c r="Y2006" s="8">
        <v>2</v>
      </c>
      <c r="Z2006" s="8">
        <v>0</v>
      </c>
      <c r="AA2006" s="8">
        <v>180</v>
      </c>
      <c r="AB2006" s="9">
        <f t="shared" si="200"/>
        <v>2.833333333333333</v>
      </c>
      <c r="AC2006" s="10">
        <f t="shared" si="202"/>
        <v>2.1176470588235294</v>
      </c>
      <c r="AD2006" s="8" t="s">
        <v>109</v>
      </c>
      <c r="AE2006" s="11">
        <v>13990</v>
      </c>
      <c r="AF2006" s="11">
        <f t="shared" si="203"/>
        <v>83940</v>
      </c>
      <c r="AG2006" s="12" t="s">
        <v>34</v>
      </c>
      <c r="AH2006" s="8" t="s">
        <v>35</v>
      </c>
    </row>
    <row r="2007" spans="1:34">
      <c r="A2007" s="8" t="s">
        <v>2747</v>
      </c>
      <c r="B2007" s="16" t="s">
        <v>2859</v>
      </c>
      <c r="C2007" s="8" t="s">
        <v>248</v>
      </c>
      <c r="D2007" s="8" t="s">
        <v>2622</v>
      </c>
      <c r="E2007" s="8" t="str">
        <f t="shared" si="201"/>
        <v>AZUL</v>
      </c>
      <c r="G2007" s="8" t="s">
        <v>2861</v>
      </c>
      <c r="H2007" s="8" t="str">
        <f>VLOOKUP(A2007,[1]BBDD!$B$1:$J$3274,9,FALSE)</f>
        <v>M</v>
      </c>
      <c r="I2007" s="19" t="s">
        <v>2862</v>
      </c>
      <c r="J2007" s="8" t="s">
        <v>2734</v>
      </c>
      <c r="L2007" s="8" t="s">
        <v>119</v>
      </c>
      <c r="N2007" s="8" t="s">
        <v>83</v>
      </c>
      <c r="O2007" s="8" t="s">
        <v>83</v>
      </c>
      <c r="Q2007" s="8" t="s">
        <v>32</v>
      </c>
      <c r="R2007" s="8">
        <v>22</v>
      </c>
      <c r="S2007" s="8">
        <v>19</v>
      </c>
      <c r="T2007" s="8">
        <f t="shared" si="199"/>
        <v>41</v>
      </c>
      <c r="U2007" s="8">
        <v>1</v>
      </c>
      <c r="V2007" s="8">
        <v>5</v>
      </c>
      <c r="W2007" s="8">
        <v>5</v>
      </c>
      <c r="X2007" s="8">
        <v>3</v>
      </c>
      <c r="Y2007" s="8">
        <v>9</v>
      </c>
      <c r="Z2007" s="8">
        <v>4</v>
      </c>
      <c r="AA2007" s="8">
        <v>180</v>
      </c>
      <c r="AB2007" s="9">
        <f t="shared" si="200"/>
        <v>4.5</v>
      </c>
      <c r="AC2007" s="10">
        <f t="shared" si="202"/>
        <v>9.1111111111111107</v>
      </c>
      <c r="AD2007" s="8" t="s">
        <v>33</v>
      </c>
      <c r="AE2007" s="11">
        <v>12990</v>
      </c>
      <c r="AF2007" s="11">
        <f t="shared" si="203"/>
        <v>532590</v>
      </c>
      <c r="AG2007" s="12" t="s">
        <v>51</v>
      </c>
      <c r="AH2007" s="8" t="s">
        <v>74</v>
      </c>
    </row>
    <row r="2008" spans="1:34">
      <c r="A2008" s="8" t="s">
        <v>2748</v>
      </c>
      <c r="B2008" s="16" t="s">
        <v>2859</v>
      </c>
      <c r="C2008" s="8" t="s">
        <v>248</v>
      </c>
      <c r="D2008" s="8" t="s">
        <v>2622</v>
      </c>
      <c r="E2008" s="8" t="str">
        <f t="shared" si="201"/>
        <v>VERDE</v>
      </c>
      <c r="G2008" s="8" t="s">
        <v>2861</v>
      </c>
      <c r="H2008" s="8" t="str">
        <f>VLOOKUP(A2008,[1]BBDD!$B$1:$J$3274,9,FALSE)</f>
        <v>M</v>
      </c>
      <c r="I2008" s="19" t="s">
        <v>2862</v>
      </c>
      <c r="J2008" s="8" t="s">
        <v>2734</v>
      </c>
      <c r="L2008" s="8" t="s">
        <v>119</v>
      </c>
      <c r="N2008" s="8" t="s">
        <v>92</v>
      </c>
      <c r="O2008" s="8" t="s">
        <v>92</v>
      </c>
      <c r="Q2008" s="8" t="s">
        <v>32</v>
      </c>
      <c r="R2008" s="8">
        <v>1</v>
      </c>
      <c r="S2008" s="8">
        <v>14</v>
      </c>
      <c r="T2008" s="8">
        <f t="shared" si="199"/>
        <v>15</v>
      </c>
      <c r="U2008" s="8">
        <v>9</v>
      </c>
      <c r="V2008" s="8">
        <v>2</v>
      </c>
      <c r="W2008" s="8">
        <v>6</v>
      </c>
      <c r="X2008" s="8">
        <v>5</v>
      </c>
      <c r="Y2008" s="8">
        <v>7</v>
      </c>
      <c r="Z2008" s="8">
        <v>10</v>
      </c>
      <c r="AA2008" s="8">
        <v>180</v>
      </c>
      <c r="AB2008" s="9">
        <f t="shared" si="200"/>
        <v>6.5</v>
      </c>
      <c r="AC2008" s="10">
        <f t="shared" si="202"/>
        <v>2.3076923076923075</v>
      </c>
      <c r="AD2008" s="8" t="s">
        <v>33</v>
      </c>
      <c r="AE2008" s="11">
        <v>12990</v>
      </c>
      <c r="AF2008" s="11">
        <f t="shared" si="203"/>
        <v>194850</v>
      </c>
      <c r="AG2008" s="12" t="s">
        <v>34</v>
      </c>
      <c r="AH2008" s="8" t="s">
        <v>65</v>
      </c>
    </row>
    <row r="2009" spans="1:34">
      <c r="A2009" s="8" t="s">
        <v>2749</v>
      </c>
      <c r="B2009" s="16" t="s">
        <v>2859</v>
      </c>
      <c r="C2009" s="8" t="s">
        <v>248</v>
      </c>
      <c r="D2009" s="8" t="s">
        <v>2622</v>
      </c>
      <c r="E2009" s="8" t="str">
        <f t="shared" si="201"/>
        <v>TABACO</v>
      </c>
      <c r="G2009" s="8" t="s">
        <v>2861</v>
      </c>
      <c r="H2009" s="8" t="str">
        <f>VLOOKUP(A2009,[1]BBDD!$B$1:$J$3274,9,FALSE)</f>
        <v>M</v>
      </c>
      <c r="I2009" s="19" t="s">
        <v>2862</v>
      </c>
      <c r="J2009" s="8" t="s">
        <v>2734</v>
      </c>
      <c r="L2009" s="8" t="s">
        <v>119</v>
      </c>
      <c r="N2009" s="8" t="s">
        <v>67</v>
      </c>
      <c r="O2009" s="8" t="s">
        <v>67</v>
      </c>
      <c r="Q2009" s="8" t="s">
        <v>45</v>
      </c>
      <c r="R2009" s="8">
        <v>0</v>
      </c>
      <c r="S2009" s="8">
        <v>1</v>
      </c>
      <c r="T2009" s="8">
        <f t="shared" si="199"/>
        <v>1</v>
      </c>
      <c r="U2009" s="8">
        <v>3</v>
      </c>
      <c r="V2009" s="8">
        <v>1</v>
      </c>
      <c r="W2009" s="8">
        <v>3</v>
      </c>
      <c r="X2009" s="8">
        <v>1</v>
      </c>
      <c r="Y2009" s="8">
        <v>0</v>
      </c>
      <c r="Z2009" s="8">
        <v>0</v>
      </c>
      <c r="AA2009" s="8">
        <v>180</v>
      </c>
      <c r="AB2009" s="9">
        <f t="shared" si="200"/>
        <v>1.3333333333333335</v>
      </c>
      <c r="AC2009" s="10">
        <f t="shared" si="202"/>
        <v>0.74999999999999989</v>
      </c>
      <c r="AD2009" s="8" t="s">
        <v>109</v>
      </c>
      <c r="AE2009" s="11">
        <v>12990</v>
      </c>
      <c r="AF2009" s="11">
        <f t="shared" si="203"/>
        <v>12990</v>
      </c>
      <c r="AG2009" s="12" t="s">
        <v>34</v>
      </c>
      <c r="AH2009" s="8" t="s">
        <v>35</v>
      </c>
    </row>
    <row r="2010" spans="1:34">
      <c r="A2010" s="8" t="s">
        <v>2750</v>
      </c>
      <c r="B2010" s="16" t="s">
        <v>2859</v>
      </c>
      <c r="C2010" s="8" t="s">
        <v>248</v>
      </c>
      <c r="D2010" s="8" t="s">
        <v>2622</v>
      </c>
      <c r="E2010" s="8" t="str">
        <f t="shared" si="201"/>
        <v>CARAMELO</v>
      </c>
      <c r="G2010" s="8" t="s">
        <v>2861</v>
      </c>
      <c r="H2010" s="8" t="str">
        <f>VLOOKUP(A2010,[1]BBDD!$B$1:$J$3274,9,FALSE)</f>
        <v>M</v>
      </c>
      <c r="I2010" s="19" t="s">
        <v>2862</v>
      </c>
      <c r="J2010" s="8" t="s">
        <v>2751</v>
      </c>
      <c r="L2010" s="8" t="s">
        <v>61</v>
      </c>
      <c r="N2010" s="8" t="s">
        <v>62</v>
      </c>
      <c r="O2010" s="8" t="s">
        <v>62</v>
      </c>
      <c r="Q2010" s="8" t="s">
        <v>32</v>
      </c>
      <c r="R2010" s="8">
        <v>8</v>
      </c>
      <c r="S2010" s="8">
        <v>7</v>
      </c>
      <c r="T2010" s="8">
        <f t="shared" si="199"/>
        <v>15</v>
      </c>
      <c r="U2010" s="8">
        <v>0</v>
      </c>
      <c r="V2010" s="8">
        <v>1</v>
      </c>
      <c r="W2010" s="8">
        <v>0</v>
      </c>
      <c r="X2010" s="8">
        <v>0</v>
      </c>
      <c r="Y2010" s="8">
        <v>0</v>
      </c>
      <c r="Z2010" s="8">
        <v>0</v>
      </c>
      <c r="AA2010" s="8">
        <v>180</v>
      </c>
      <c r="AB2010" s="9">
        <f t="shared" si="200"/>
        <v>0.16666666666666669</v>
      </c>
      <c r="AC2010" s="10">
        <f t="shared" si="202"/>
        <v>89.999999999999986</v>
      </c>
      <c r="AD2010" s="8" t="s">
        <v>33</v>
      </c>
      <c r="AE2010" s="11">
        <v>34990</v>
      </c>
      <c r="AF2010" s="11">
        <f t="shared" si="203"/>
        <v>524850</v>
      </c>
      <c r="AG2010" s="12" t="s">
        <v>73</v>
      </c>
      <c r="AH2010" s="8" t="s">
        <v>65</v>
      </c>
    </row>
    <row r="2011" spans="1:34">
      <c r="A2011" s="8" t="s">
        <v>2752</v>
      </c>
      <c r="B2011" s="16" t="s">
        <v>2859</v>
      </c>
      <c r="C2011" s="8" t="s">
        <v>248</v>
      </c>
      <c r="D2011" s="8" t="s">
        <v>2622</v>
      </c>
      <c r="E2011" s="8" t="str">
        <f t="shared" si="201"/>
        <v>CHOCOLATE</v>
      </c>
      <c r="G2011" s="8" t="s">
        <v>2861</v>
      </c>
      <c r="H2011" s="8" t="str">
        <f>VLOOKUP(A2011,[1]BBDD!$B$1:$J$3274,9,FALSE)</f>
        <v>M</v>
      </c>
      <c r="I2011" s="19" t="s">
        <v>2862</v>
      </c>
      <c r="J2011" s="8" t="s">
        <v>2751</v>
      </c>
      <c r="L2011" s="8" t="s">
        <v>61</v>
      </c>
      <c r="N2011" s="8" t="s">
        <v>252</v>
      </c>
      <c r="O2011" s="8" t="s">
        <v>252</v>
      </c>
      <c r="Q2011" s="8" t="s">
        <v>32</v>
      </c>
      <c r="R2011" s="8">
        <v>3</v>
      </c>
      <c r="S2011" s="8">
        <v>5</v>
      </c>
      <c r="T2011" s="8">
        <f t="shared" si="199"/>
        <v>8</v>
      </c>
      <c r="U2011" s="8">
        <v>1</v>
      </c>
      <c r="V2011" s="8">
        <v>0</v>
      </c>
      <c r="W2011" s="8">
        <v>0</v>
      </c>
      <c r="X2011" s="8">
        <v>0</v>
      </c>
      <c r="Y2011" s="8">
        <v>1</v>
      </c>
      <c r="Z2011" s="8">
        <v>0</v>
      </c>
      <c r="AA2011" s="8">
        <v>180</v>
      </c>
      <c r="AB2011" s="9">
        <f t="shared" si="200"/>
        <v>0.33333333333333337</v>
      </c>
      <c r="AC2011" s="10">
        <f t="shared" si="202"/>
        <v>23.999999999999996</v>
      </c>
      <c r="AD2011" s="8" t="s">
        <v>33</v>
      </c>
      <c r="AE2011" s="11">
        <v>34990</v>
      </c>
      <c r="AF2011" s="11">
        <f t="shared" si="203"/>
        <v>279920</v>
      </c>
      <c r="AG2011" s="12" t="s">
        <v>64</v>
      </c>
      <c r="AH2011" s="8" t="s">
        <v>35</v>
      </c>
    </row>
    <row r="2012" spans="1:34">
      <c r="A2012" s="8" t="s">
        <v>2753</v>
      </c>
      <c r="B2012" s="16" t="s">
        <v>2859</v>
      </c>
      <c r="C2012" s="8" t="s">
        <v>248</v>
      </c>
      <c r="D2012" s="8" t="s">
        <v>2622</v>
      </c>
      <c r="E2012" s="8" t="str">
        <f t="shared" si="201"/>
        <v>NEGRO</v>
      </c>
      <c r="G2012" s="8" t="s">
        <v>2861</v>
      </c>
      <c r="H2012" s="8" t="str">
        <f>VLOOKUP(A2012,[1]BBDD!$B$1:$J$3274,9,FALSE)</f>
        <v>M</v>
      </c>
      <c r="I2012" s="19" t="s">
        <v>2862</v>
      </c>
      <c r="J2012" s="8" t="s">
        <v>2751</v>
      </c>
      <c r="L2012" s="8" t="s">
        <v>61</v>
      </c>
      <c r="N2012" s="8" t="s">
        <v>44</v>
      </c>
      <c r="O2012" s="8" t="s">
        <v>44</v>
      </c>
      <c r="Q2012" s="8" t="s">
        <v>32</v>
      </c>
      <c r="R2012" s="8">
        <v>6</v>
      </c>
      <c r="S2012" s="8">
        <v>7</v>
      </c>
      <c r="T2012" s="8">
        <f t="shared" si="199"/>
        <v>13</v>
      </c>
      <c r="U2012" s="8">
        <v>0</v>
      </c>
      <c r="V2012" s="8">
        <v>1</v>
      </c>
      <c r="W2012" s="8">
        <v>1</v>
      </c>
      <c r="X2012" s="8">
        <v>0</v>
      </c>
      <c r="Y2012" s="8">
        <v>0</v>
      </c>
      <c r="Z2012" s="8">
        <v>2</v>
      </c>
      <c r="AA2012" s="8">
        <v>180</v>
      </c>
      <c r="AB2012" s="9">
        <f t="shared" si="200"/>
        <v>0.66666666666666674</v>
      </c>
      <c r="AC2012" s="10">
        <f t="shared" si="202"/>
        <v>19.499999999999996</v>
      </c>
      <c r="AD2012" s="8" t="s">
        <v>33</v>
      </c>
      <c r="AE2012" s="11">
        <v>34990</v>
      </c>
      <c r="AF2012" s="11">
        <f t="shared" si="203"/>
        <v>454870</v>
      </c>
      <c r="AG2012" s="12" t="s">
        <v>64</v>
      </c>
      <c r="AH2012" s="8" t="s">
        <v>65</v>
      </c>
    </row>
    <row r="2013" spans="1:34">
      <c r="A2013" s="8" t="s">
        <v>2754</v>
      </c>
      <c r="B2013" s="16" t="s">
        <v>2859</v>
      </c>
      <c r="C2013" s="8" t="s">
        <v>248</v>
      </c>
      <c r="D2013" s="8" t="s">
        <v>2622</v>
      </c>
      <c r="E2013" s="8" t="str">
        <f t="shared" si="201"/>
        <v>ROJO</v>
      </c>
      <c r="G2013" s="8" t="s">
        <v>2861</v>
      </c>
      <c r="H2013" s="8" t="str">
        <f>VLOOKUP(A2013,[1]BBDD!$B$1:$J$3274,9,FALSE)</f>
        <v>M</v>
      </c>
      <c r="I2013" s="19" t="s">
        <v>2862</v>
      </c>
      <c r="J2013" s="8" t="s">
        <v>2751</v>
      </c>
      <c r="L2013" s="8" t="s">
        <v>61</v>
      </c>
      <c r="N2013" s="8" t="s">
        <v>88</v>
      </c>
      <c r="O2013" s="8" t="s">
        <v>88</v>
      </c>
      <c r="Q2013" s="8" t="s">
        <v>32</v>
      </c>
      <c r="R2013" s="8">
        <v>4</v>
      </c>
      <c r="S2013" s="8">
        <v>7</v>
      </c>
      <c r="T2013" s="8">
        <f t="shared" si="199"/>
        <v>11</v>
      </c>
      <c r="U2013" s="8">
        <v>2</v>
      </c>
      <c r="V2013" s="8">
        <v>1</v>
      </c>
      <c r="W2013" s="8">
        <v>1</v>
      </c>
      <c r="X2013" s="8">
        <v>4</v>
      </c>
      <c r="Y2013" s="8">
        <v>1</v>
      </c>
      <c r="Z2013" s="8">
        <v>1</v>
      </c>
      <c r="AA2013" s="8">
        <v>180</v>
      </c>
      <c r="AB2013" s="9">
        <f t="shared" si="200"/>
        <v>1.6666666666666665</v>
      </c>
      <c r="AC2013" s="10">
        <f t="shared" si="202"/>
        <v>6.6000000000000005</v>
      </c>
      <c r="AD2013" s="8" t="s">
        <v>33</v>
      </c>
      <c r="AE2013" s="11">
        <v>34990</v>
      </c>
      <c r="AF2013" s="11">
        <f t="shared" si="203"/>
        <v>384890</v>
      </c>
      <c r="AG2013" s="12" t="s">
        <v>51</v>
      </c>
      <c r="AH2013" s="8" t="s">
        <v>65</v>
      </c>
    </row>
    <row r="2014" spans="1:34">
      <c r="A2014" s="8" t="s">
        <v>2755</v>
      </c>
      <c r="B2014" s="16" t="s">
        <v>2859</v>
      </c>
      <c r="C2014" s="8" t="s">
        <v>248</v>
      </c>
      <c r="D2014" s="8" t="s">
        <v>2622</v>
      </c>
      <c r="E2014" s="8" t="str">
        <f t="shared" si="201"/>
        <v>AZUL</v>
      </c>
      <c r="G2014" s="8" t="s">
        <v>2861</v>
      </c>
      <c r="H2014" s="8" t="str">
        <f>VLOOKUP(A2014,[1]BBDD!$B$1:$J$3274,9,FALSE)</f>
        <v>M</v>
      </c>
      <c r="I2014" s="19" t="s">
        <v>2862</v>
      </c>
      <c r="J2014" s="8" t="s">
        <v>2751</v>
      </c>
      <c r="L2014" s="8" t="s">
        <v>61</v>
      </c>
      <c r="N2014" s="8" t="s">
        <v>83</v>
      </c>
      <c r="O2014" s="8" t="s">
        <v>83</v>
      </c>
      <c r="Q2014" s="8" t="s">
        <v>45</v>
      </c>
      <c r="R2014" s="8">
        <v>0</v>
      </c>
      <c r="S2014" s="8">
        <v>2</v>
      </c>
      <c r="T2014" s="8">
        <f t="shared" si="199"/>
        <v>2</v>
      </c>
      <c r="U2014" s="8">
        <v>1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180</v>
      </c>
      <c r="AB2014" s="9">
        <f t="shared" si="200"/>
        <v>0.16666666666666669</v>
      </c>
      <c r="AC2014" s="10">
        <f t="shared" si="202"/>
        <v>11.999999999999998</v>
      </c>
      <c r="AD2014" s="8" t="s">
        <v>109</v>
      </c>
      <c r="AE2014" s="11">
        <v>34990</v>
      </c>
      <c r="AF2014" s="11">
        <f t="shared" si="203"/>
        <v>69980</v>
      </c>
      <c r="AG2014" s="12" t="s">
        <v>51</v>
      </c>
      <c r="AH2014" s="8" t="s">
        <v>35</v>
      </c>
    </row>
    <row r="2015" spans="1:34">
      <c r="A2015" s="8" t="s">
        <v>2756</v>
      </c>
      <c r="B2015" s="16" t="s">
        <v>2859</v>
      </c>
      <c r="C2015" s="8" t="s">
        <v>248</v>
      </c>
      <c r="D2015" s="8" t="s">
        <v>2622</v>
      </c>
      <c r="E2015" s="8" t="str">
        <f t="shared" si="201"/>
        <v>TABACO</v>
      </c>
      <c r="G2015" s="8" t="s">
        <v>2861</v>
      </c>
      <c r="H2015" s="8" t="str">
        <f>VLOOKUP(A2015,[1]BBDD!$B$1:$J$3274,9,FALSE)</f>
        <v>M</v>
      </c>
      <c r="I2015" s="19" t="s">
        <v>2862</v>
      </c>
      <c r="J2015" s="8" t="s">
        <v>2751</v>
      </c>
      <c r="L2015" s="8" t="s">
        <v>61</v>
      </c>
      <c r="N2015" s="8" t="s">
        <v>67</v>
      </c>
      <c r="O2015" s="8" t="s">
        <v>67</v>
      </c>
      <c r="Q2015" s="8" t="s">
        <v>32</v>
      </c>
      <c r="R2015" s="8">
        <v>6</v>
      </c>
      <c r="S2015" s="8">
        <v>8</v>
      </c>
      <c r="T2015" s="8">
        <f t="shared" si="199"/>
        <v>14</v>
      </c>
      <c r="U2015" s="8">
        <v>1</v>
      </c>
      <c r="V2015" s="8">
        <v>0</v>
      </c>
      <c r="W2015" s="8">
        <v>2</v>
      </c>
      <c r="X2015" s="8">
        <v>1</v>
      </c>
      <c r="Y2015" s="8">
        <v>0</v>
      </c>
      <c r="Z2015" s="8">
        <v>1</v>
      </c>
      <c r="AA2015" s="8">
        <v>180</v>
      </c>
      <c r="AB2015" s="9">
        <f t="shared" si="200"/>
        <v>0.83333333333333326</v>
      </c>
      <c r="AC2015" s="10">
        <f t="shared" si="202"/>
        <v>16.8</v>
      </c>
      <c r="AD2015" s="8" t="s">
        <v>33</v>
      </c>
      <c r="AE2015" s="11">
        <v>34990</v>
      </c>
      <c r="AF2015" s="11">
        <f t="shared" si="203"/>
        <v>489860</v>
      </c>
      <c r="AG2015" s="12" t="s">
        <v>64</v>
      </c>
      <c r="AH2015" s="8" t="s">
        <v>65</v>
      </c>
    </row>
    <row r="2016" spans="1:34">
      <c r="A2016" s="8" t="s">
        <v>2757</v>
      </c>
      <c r="B2016" s="16" t="s">
        <v>2860</v>
      </c>
      <c r="C2016" s="8" t="s">
        <v>40</v>
      </c>
      <c r="D2016" s="8" t="s">
        <v>2758</v>
      </c>
      <c r="E2016" s="8" t="str">
        <f t="shared" si="201"/>
        <v>NEGRO</v>
      </c>
      <c r="G2016" s="8" t="s">
        <v>2862</v>
      </c>
      <c r="H2016" s="8" t="str">
        <f>VLOOKUP(A2016,[1]BBDD!$B$1:$J$3274,9,FALSE)</f>
        <v>M</v>
      </c>
      <c r="I2016" s="8" t="s">
        <v>2862</v>
      </c>
      <c r="J2016" s="8" t="s">
        <v>2759</v>
      </c>
      <c r="L2016" s="8" t="s">
        <v>211</v>
      </c>
      <c r="N2016" s="8" t="s">
        <v>44</v>
      </c>
      <c r="O2016" s="8" t="s">
        <v>44</v>
      </c>
      <c r="Q2016" s="8" t="s">
        <v>32</v>
      </c>
      <c r="R2016" s="8">
        <v>9</v>
      </c>
      <c r="S2016" s="8">
        <v>10</v>
      </c>
      <c r="T2016" s="8">
        <f t="shared" si="199"/>
        <v>19</v>
      </c>
      <c r="U2016" s="8">
        <v>0</v>
      </c>
      <c r="V2016" s="8">
        <v>0</v>
      </c>
      <c r="W2016" s="8">
        <v>0</v>
      </c>
      <c r="X2016" s="8">
        <v>0</v>
      </c>
      <c r="Y2016" s="8">
        <v>4</v>
      </c>
      <c r="Z2016" s="8">
        <v>1</v>
      </c>
      <c r="AA2016" s="8">
        <v>64</v>
      </c>
      <c r="AB2016" s="9">
        <f t="shared" si="200"/>
        <v>2.34375</v>
      </c>
      <c r="AC2016" s="10">
        <f t="shared" si="202"/>
        <v>8.1066666666666674</v>
      </c>
      <c r="AD2016" s="8" t="s">
        <v>33</v>
      </c>
      <c r="AE2016" s="11">
        <v>99990</v>
      </c>
      <c r="AF2016" s="11">
        <f t="shared" si="203"/>
        <v>1899810</v>
      </c>
      <c r="AG2016" s="12" t="s">
        <v>51</v>
      </c>
      <c r="AH2016" s="8" t="s">
        <v>65</v>
      </c>
    </row>
    <row r="2017" spans="1:34">
      <c r="A2017" s="8" t="s">
        <v>2760</v>
      </c>
      <c r="B2017" s="16" t="s">
        <v>2860</v>
      </c>
      <c r="C2017" s="8" t="s">
        <v>40</v>
      </c>
      <c r="D2017" s="8" t="s">
        <v>2758</v>
      </c>
      <c r="E2017" s="8" t="str">
        <f t="shared" si="201"/>
        <v>CAFE</v>
      </c>
      <c r="G2017" s="8" t="s">
        <v>2862</v>
      </c>
      <c r="H2017" s="8" t="str">
        <f>VLOOKUP(A2017,[1]BBDD!$B$1:$J$3274,9,FALSE)</f>
        <v>M</v>
      </c>
      <c r="I2017" s="8" t="s">
        <v>2862</v>
      </c>
      <c r="J2017" s="8" t="s">
        <v>2759</v>
      </c>
      <c r="L2017" s="8" t="s">
        <v>71</v>
      </c>
      <c r="N2017" s="8" t="s">
        <v>76</v>
      </c>
      <c r="O2017" s="8" t="s">
        <v>76</v>
      </c>
      <c r="Q2017" s="8" t="s">
        <v>32</v>
      </c>
      <c r="R2017" s="8">
        <v>6</v>
      </c>
      <c r="S2017" s="8">
        <v>10</v>
      </c>
      <c r="T2017" s="8">
        <f t="shared" si="199"/>
        <v>16</v>
      </c>
      <c r="U2017" s="8">
        <v>0</v>
      </c>
      <c r="V2017" s="8">
        <v>0</v>
      </c>
      <c r="W2017" s="8">
        <v>0</v>
      </c>
      <c r="X2017" s="8">
        <v>0</v>
      </c>
      <c r="Y2017" s="8">
        <v>4</v>
      </c>
      <c r="Z2017" s="8">
        <v>9</v>
      </c>
      <c r="AA2017" s="8">
        <v>64</v>
      </c>
      <c r="AB2017" s="9">
        <f t="shared" si="200"/>
        <v>6.09375</v>
      </c>
      <c r="AC2017" s="10">
        <f t="shared" si="202"/>
        <v>2.6256410256410256</v>
      </c>
      <c r="AD2017" s="8" t="s">
        <v>33</v>
      </c>
      <c r="AE2017" s="11">
        <v>99990</v>
      </c>
      <c r="AF2017" s="11">
        <f t="shared" si="203"/>
        <v>1599840</v>
      </c>
      <c r="AG2017" s="12" t="s">
        <v>34</v>
      </c>
      <c r="AH2017" s="8" t="s">
        <v>65</v>
      </c>
    </row>
    <row r="2018" spans="1:34">
      <c r="A2018" s="8" t="s">
        <v>2761</v>
      </c>
      <c r="B2018" s="16" t="s">
        <v>2860</v>
      </c>
      <c r="C2018" s="8" t="s">
        <v>40</v>
      </c>
      <c r="D2018" s="8" t="s">
        <v>2758</v>
      </c>
      <c r="E2018" s="8" t="str">
        <f t="shared" si="201"/>
        <v>OLIVE</v>
      </c>
      <c r="G2018" s="8" t="s">
        <v>2862</v>
      </c>
      <c r="H2018" s="8" t="str">
        <f>VLOOKUP(A2018,[1]BBDD!$B$1:$J$3274,9,FALSE)</f>
        <v>M</v>
      </c>
      <c r="I2018" s="8" t="s">
        <v>2862</v>
      </c>
      <c r="J2018" s="8" t="s">
        <v>2759</v>
      </c>
      <c r="L2018" s="8" t="s">
        <v>71</v>
      </c>
      <c r="N2018" s="8" t="s">
        <v>159</v>
      </c>
      <c r="O2018" s="8" t="s">
        <v>159</v>
      </c>
      <c r="Q2018" s="8" t="s">
        <v>32</v>
      </c>
      <c r="R2018" s="8">
        <v>0</v>
      </c>
      <c r="S2018" s="8">
        <v>7</v>
      </c>
      <c r="T2018" s="8">
        <f t="shared" ref="T2018:T2081" si="204">SUM(R2018:S2018)</f>
        <v>7</v>
      </c>
      <c r="U2018" s="8">
        <v>0</v>
      </c>
      <c r="V2018" s="8">
        <v>0</v>
      </c>
      <c r="W2018" s="8">
        <v>0</v>
      </c>
      <c r="X2018" s="8">
        <v>0</v>
      </c>
      <c r="Y2018" s="8">
        <v>6</v>
      </c>
      <c r="Z2018" s="8">
        <v>10</v>
      </c>
      <c r="AA2018" s="8">
        <v>64</v>
      </c>
      <c r="AB2018" s="9">
        <f t="shared" ref="AB2018:AB2081" si="205">SUM(U2018:Z2018)/AA2018*30</f>
        <v>7.5</v>
      </c>
      <c r="AC2018" s="10">
        <f t="shared" si="202"/>
        <v>0.93333333333333335</v>
      </c>
      <c r="AD2018" s="8" t="s">
        <v>33</v>
      </c>
      <c r="AE2018" s="11">
        <v>99990</v>
      </c>
      <c r="AF2018" s="11">
        <f t="shared" si="203"/>
        <v>699930</v>
      </c>
      <c r="AG2018" s="12" t="s">
        <v>34</v>
      </c>
      <c r="AH2018" s="8" t="s">
        <v>35</v>
      </c>
    </row>
    <row r="2019" spans="1:34">
      <c r="A2019" s="8" t="s">
        <v>2762</v>
      </c>
      <c r="B2019" s="16" t="s">
        <v>2860</v>
      </c>
      <c r="C2019" s="8" t="s">
        <v>40</v>
      </c>
      <c r="D2019" s="8" t="s">
        <v>2758</v>
      </c>
      <c r="E2019" s="8" t="str">
        <f t="shared" si="201"/>
        <v>CARAMELO</v>
      </c>
      <c r="G2019" s="8" t="s">
        <v>2862</v>
      </c>
      <c r="H2019" s="8" t="str">
        <f>VLOOKUP(A2019,[1]BBDD!$B$1:$J$3274,9,FALSE)</f>
        <v>M</v>
      </c>
      <c r="I2019" s="8" t="s">
        <v>2862</v>
      </c>
      <c r="J2019" s="8" t="s">
        <v>2759</v>
      </c>
      <c r="L2019" s="8" t="s">
        <v>82</v>
      </c>
      <c r="N2019" s="8" t="s">
        <v>62</v>
      </c>
      <c r="O2019" s="8" t="s">
        <v>62</v>
      </c>
      <c r="Q2019" s="8" t="s">
        <v>32</v>
      </c>
      <c r="R2019" s="8">
        <v>8</v>
      </c>
      <c r="S2019" s="8">
        <v>7</v>
      </c>
      <c r="T2019" s="8">
        <f t="shared" si="204"/>
        <v>15</v>
      </c>
      <c r="U2019" s="8">
        <v>0</v>
      </c>
      <c r="V2019" s="8">
        <v>0</v>
      </c>
      <c r="W2019" s="8">
        <v>0</v>
      </c>
      <c r="X2019" s="8">
        <v>0</v>
      </c>
      <c r="Y2019" s="8">
        <v>3</v>
      </c>
      <c r="Z2019" s="8">
        <v>2</v>
      </c>
      <c r="AA2019" s="8">
        <v>64</v>
      </c>
      <c r="AB2019" s="9">
        <f t="shared" si="205"/>
        <v>2.34375</v>
      </c>
      <c r="AC2019" s="10">
        <f t="shared" si="202"/>
        <v>6.4</v>
      </c>
      <c r="AD2019" s="8" t="s">
        <v>33</v>
      </c>
      <c r="AE2019" s="11">
        <v>99990</v>
      </c>
      <c r="AF2019" s="11">
        <f t="shared" si="203"/>
        <v>1499850</v>
      </c>
      <c r="AG2019" s="12" t="s">
        <v>34</v>
      </c>
      <c r="AH2019" s="8" t="s">
        <v>65</v>
      </c>
    </row>
    <row r="2020" spans="1:34">
      <c r="A2020" s="8" t="s">
        <v>2763</v>
      </c>
      <c r="B2020" s="16" t="s">
        <v>2860</v>
      </c>
      <c r="C2020" s="8" t="s">
        <v>40</v>
      </c>
      <c r="D2020" s="8" t="s">
        <v>2758</v>
      </c>
      <c r="E2020" s="8" t="str">
        <f t="shared" si="201"/>
        <v>MALBEC</v>
      </c>
      <c r="G2020" s="8" t="s">
        <v>2862</v>
      </c>
      <c r="H2020" s="8" t="str">
        <f>VLOOKUP(A2020,[1]BBDD!$B$1:$J$3274,9,FALSE)</f>
        <v>M</v>
      </c>
      <c r="I2020" s="8" t="s">
        <v>2862</v>
      </c>
      <c r="J2020" s="8" t="s">
        <v>2759</v>
      </c>
      <c r="L2020" s="8" t="s">
        <v>82</v>
      </c>
      <c r="N2020" s="8" t="s">
        <v>69</v>
      </c>
      <c r="O2020" s="8" t="s">
        <v>69</v>
      </c>
      <c r="Q2020" s="8" t="s">
        <v>32</v>
      </c>
      <c r="R2020" s="8">
        <v>2</v>
      </c>
      <c r="S2020" s="8">
        <v>4</v>
      </c>
      <c r="T2020" s="8">
        <f t="shared" si="204"/>
        <v>6</v>
      </c>
      <c r="U2020" s="8">
        <v>0</v>
      </c>
      <c r="V2020" s="8">
        <v>0</v>
      </c>
      <c r="W2020" s="8">
        <v>0</v>
      </c>
      <c r="X2020" s="8">
        <v>0</v>
      </c>
      <c r="Y2020" s="8">
        <v>1</v>
      </c>
      <c r="Z2020" s="8">
        <v>2</v>
      </c>
      <c r="AA2020" s="8">
        <v>64</v>
      </c>
      <c r="AB2020" s="9">
        <f t="shared" si="205"/>
        <v>1.40625</v>
      </c>
      <c r="AC2020" s="10">
        <f t="shared" si="202"/>
        <v>4.2666666666666666</v>
      </c>
      <c r="AD2020" s="8" t="s">
        <v>33</v>
      </c>
      <c r="AE2020" s="11">
        <v>99990</v>
      </c>
      <c r="AF2020" s="11">
        <f t="shared" si="203"/>
        <v>599940</v>
      </c>
      <c r="AG2020" s="12" t="s">
        <v>34</v>
      </c>
      <c r="AH2020" s="8" t="s">
        <v>35</v>
      </c>
    </row>
    <row r="2021" spans="1:34">
      <c r="A2021" s="8" t="s">
        <v>2764</v>
      </c>
      <c r="B2021" s="16" t="s">
        <v>2860</v>
      </c>
      <c r="C2021" s="8" t="s">
        <v>40</v>
      </c>
      <c r="D2021" s="8" t="s">
        <v>2758</v>
      </c>
      <c r="E2021" s="8" t="str">
        <f t="shared" si="201"/>
        <v>SUELA</v>
      </c>
      <c r="G2021" s="8" t="s">
        <v>2862</v>
      </c>
      <c r="H2021" s="8" t="str">
        <f>VLOOKUP(A2021,[1]BBDD!$B$1:$J$3274,9,FALSE)</f>
        <v>M</v>
      </c>
      <c r="I2021" s="8" t="s">
        <v>2862</v>
      </c>
      <c r="J2021" s="8" t="s">
        <v>2759</v>
      </c>
      <c r="L2021" s="8" t="s">
        <v>82</v>
      </c>
      <c r="N2021" s="8" t="s">
        <v>90</v>
      </c>
      <c r="O2021" s="8" t="s">
        <v>90</v>
      </c>
      <c r="Q2021" s="8" t="s">
        <v>32</v>
      </c>
      <c r="R2021" s="8">
        <v>1</v>
      </c>
      <c r="S2021" s="8">
        <v>11</v>
      </c>
      <c r="T2021" s="8">
        <f t="shared" si="204"/>
        <v>12</v>
      </c>
      <c r="U2021" s="8">
        <v>0</v>
      </c>
      <c r="V2021" s="8">
        <v>0</v>
      </c>
      <c r="W2021" s="8">
        <v>0</v>
      </c>
      <c r="X2021" s="8">
        <v>0</v>
      </c>
      <c r="Y2021" s="8">
        <v>6</v>
      </c>
      <c r="Z2021" s="8">
        <v>0</v>
      </c>
      <c r="AA2021" s="8">
        <v>64</v>
      </c>
      <c r="AB2021" s="9">
        <f t="shared" si="205"/>
        <v>2.8125</v>
      </c>
      <c r="AC2021" s="10">
        <f t="shared" si="202"/>
        <v>4.2666666666666666</v>
      </c>
      <c r="AD2021" s="8" t="s">
        <v>33</v>
      </c>
      <c r="AE2021" s="11">
        <v>99990</v>
      </c>
      <c r="AF2021" s="11">
        <f t="shared" si="203"/>
        <v>1199880</v>
      </c>
      <c r="AG2021" s="12" t="s">
        <v>34</v>
      </c>
      <c r="AH2021" s="8" t="s">
        <v>65</v>
      </c>
    </row>
    <row r="2022" spans="1:34">
      <c r="A2022" s="8" t="s">
        <v>2765</v>
      </c>
      <c r="B2022" s="16" t="s">
        <v>2860</v>
      </c>
      <c r="C2022" s="8" t="s">
        <v>40</v>
      </c>
      <c r="D2022" s="8" t="s">
        <v>2758</v>
      </c>
      <c r="E2022" s="8" t="str">
        <f t="shared" si="201"/>
        <v>HOLANDO</v>
      </c>
      <c r="G2022" s="8" t="s">
        <v>2862</v>
      </c>
      <c r="H2022" s="8" t="str">
        <f>VLOOKUP(A2022,[1]BBDD!$B$1:$J$3274,9,FALSE)</f>
        <v>M</v>
      </c>
      <c r="I2022" s="8" t="s">
        <v>2862</v>
      </c>
      <c r="J2022" s="8" t="s">
        <v>2759</v>
      </c>
      <c r="L2022" s="8" t="s">
        <v>30</v>
      </c>
      <c r="N2022" s="8" t="s">
        <v>31</v>
      </c>
      <c r="O2022" s="8" t="s">
        <v>31</v>
      </c>
      <c r="Q2022" s="8" t="s">
        <v>32</v>
      </c>
      <c r="R2022" s="8">
        <v>2</v>
      </c>
      <c r="S2022" s="8">
        <v>5</v>
      </c>
      <c r="T2022" s="8">
        <f t="shared" si="204"/>
        <v>7</v>
      </c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9</v>
      </c>
      <c r="AA2022" s="8">
        <v>64</v>
      </c>
      <c r="AB2022" s="9">
        <f t="shared" si="205"/>
        <v>4.21875</v>
      </c>
      <c r="AC2022" s="10">
        <f t="shared" si="202"/>
        <v>1.6592592592592592</v>
      </c>
      <c r="AD2022" s="8" t="s">
        <v>33</v>
      </c>
      <c r="AE2022" s="11">
        <v>99990</v>
      </c>
      <c r="AF2022" s="11">
        <f t="shared" si="203"/>
        <v>699930</v>
      </c>
      <c r="AG2022" s="12" t="s">
        <v>34</v>
      </c>
      <c r="AH2022" s="8" t="s">
        <v>35</v>
      </c>
    </row>
    <row r="2023" spans="1:34">
      <c r="A2023" s="8" t="s">
        <v>2766</v>
      </c>
      <c r="B2023" s="16" t="s">
        <v>2860</v>
      </c>
      <c r="C2023" s="8" t="s">
        <v>40</v>
      </c>
      <c r="D2023" s="8" t="s">
        <v>2758</v>
      </c>
      <c r="E2023" s="8" t="str">
        <f t="shared" si="201"/>
        <v>HEREFORD</v>
      </c>
      <c r="G2023" s="8" t="s">
        <v>2862</v>
      </c>
      <c r="H2023" s="8" t="str">
        <f>VLOOKUP(A2023,[1]BBDD!$B$1:$J$3274,9,FALSE)</f>
        <v>M</v>
      </c>
      <c r="I2023" s="8" t="s">
        <v>2862</v>
      </c>
      <c r="J2023" s="8" t="s">
        <v>2759</v>
      </c>
      <c r="L2023" s="8" t="s">
        <v>30</v>
      </c>
      <c r="N2023" s="8" t="s">
        <v>37</v>
      </c>
      <c r="O2023" s="8" t="s">
        <v>37</v>
      </c>
      <c r="Q2023" s="8" t="s">
        <v>32</v>
      </c>
      <c r="R2023" s="8">
        <v>0</v>
      </c>
      <c r="S2023" s="8">
        <v>1</v>
      </c>
      <c r="T2023" s="8">
        <f t="shared" si="204"/>
        <v>1</v>
      </c>
      <c r="U2023" s="8">
        <v>0</v>
      </c>
      <c r="V2023" s="8">
        <v>0</v>
      </c>
      <c r="W2023" s="8">
        <v>0</v>
      </c>
      <c r="X2023" s="8">
        <v>0</v>
      </c>
      <c r="Y2023" s="8">
        <v>0</v>
      </c>
      <c r="Z2023" s="8">
        <v>13</v>
      </c>
      <c r="AA2023" s="8">
        <v>64</v>
      </c>
      <c r="AB2023" s="9">
        <f t="shared" si="205"/>
        <v>6.09375</v>
      </c>
      <c r="AC2023" s="10">
        <f t="shared" si="202"/>
        <v>0.1641025641025641</v>
      </c>
      <c r="AD2023" s="8" t="s">
        <v>33</v>
      </c>
      <c r="AE2023" s="11">
        <v>99990</v>
      </c>
      <c r="AF2023" s="11">
        <f t="shared" si="203"/>
        <v>99990</v>
      </c>
      <c r="AG2023" s="12" t="s">
        <v>34</v>
      </c>
      <c r="AH2023" s="8" t="s">
        <v>35</v>
      </c>
    </row>
    <row r="2024" spans="1:34">
      <c r="A2024" s="8" t="s">
        <v>2767</v>
      </c>
      <c r="B2024" s="16" t="s">
        <v>2860</v>
      </c>
      <c r="C2024" s="8" t="s">
        <v>40</v>
      </c>
      <c r="D2024" s="8" t="s">
        <v>2758</v>
      </c>
      <c r="E2024" s="8" t="str">
        <f t="shared" si="201"/>
        <v>CARAMELO</v>
      </c>
      <c r="G2024" s="8" t="s">
        <v>2862</v>
      </c>
      <c r="H2024" s="8" t="str">
        <f>VLOOKUP(A2024,[1]BBDD!$B$1:$J$3274,9,FALSE)</f>
        <v>M</v>
      </c>
      <c r="I2024" s="8" t="s">
        <v>2862</v>
      </c>
      <c r="J2024" s="8" t="s">
        <v>2768</v>
      </c>
      <c r="L2024" s="8" t="s">
        <v>82</v>
      </c>
      <c r="N2024" s="8" t="s">
        <v>62</v>
      </c>
      <c r="O2024" s="8" t="s">
        <v>62</v>
      </c>
      <c r="Q2024" s="8" t="s">
        <v>32</v>
      </c>
      <c r="R2024" s="8">
        <v>8</v>
      </c>
      <c r="S2024" s="8">
        <v>10</v>
      </c>
      <c r="T2024" s="8">
        <f t="shared" si="204"/>
        <v>18</v>
      </c>
      <c r="U2024" s="8">
        <v>3</v>
      </c>
      <c r="V2024" s="8">
        <v>7</v>
      </c>
      <c r="W2024" s="8">
        <v>1</v>
      </c>
      <c r="X2024" s="8">
        <v>2</v>
      </c>
      <c r="Y2024" s="8">
        <v>1</v>
      </c>
      <c r="Z2024" s="8">
        <v>2</v>
      </c>
      <c r="AA2024" s="8">
        <v>179</v>
      </c>
      <c r="AB2024" s="9">
        <f t="shared" si="205"/>
        <v>2.6815642458100561</v>
      </c>
      <c r="AC2024" s="10">
        <f t="shared" si="202"/>
        <v>6.7124999999999995</v>
      </c>
      <c r="AD2024" s="8" t="s">
        <v>33</v>
      </c>
      <c r="AE2024" s="11">
        <v>99990</v>
      </c>
      <c r="AF2024" s="11">
        <f t="shared" si="203"/>
        <v>1799820</v>
      </c>
      <c r="AG2024" s="12" t="s">
        <v>51</v>
      </c>
      <c r="AH2024" s="8" t="s">
        <v>65</v>
      </c>
    </row>
    <row r="2025" spans="1:34">
      <c r="A2025" s="8" t="s">
        <v>2769</v>
      </c>
      <c r="B2025" s="16" t="s">
        <v>2860</v>
      </c>
      <c r="C2025" s="8" t="s">
        <v>40</v>
      </c>
      <c r="D2025" s="8" t="s">
        <v>2758</v>
      </c>
      <c r="E2025" s="8" t="str">
        <f t="shared" si="201"/>
        <v>NEGRO</v>
      </c>
      <c r="G2025" s="8" t="s">
        <v>2862</v>
      </c>
      <c r="H2025" s="8" t="str">
        <f>VLOOKUP(A2025,[1]BBDD!$B$1:$J$3274,9,FALSE)</f>
        <v>M</v>
      </c>
      <c r="I2025" s="8" t="s">
        <v>2862</v>
      </c>
      <c r="J2025" s="8" t="s">
        <v>2768</v>
      </c>
      <c r="L2025" s="8" t="s">
        <v>82</v>
      </c>
      <c r="N2025" s="8" t="s">
        <v>44</v>
      </c>
      <c r="O2025" s="8" t="s">
        <v>44</v>
      </c>
      <c r="Q2025" s="8" t="s">
        <v>32</v>
      </c>
      <c r="R2025" s="8">
        <v>8</v>
      </c>
      <c r="S2025" s="8">
        <v>16</v>
      </c>
      <c r="T2025" s="8">
        <f t="shared" si="204"/>
        <v>24</v>
      </c>
      <c r="U2025" s="8">
        <v>5</v>
      </c>
      <c r="V2025" s="8">
        <v>6</v>
      </c>
      <c r="W2025" s="8">
        <v>4</v>
      </c>
      <c r="X2025" s="8">
        <v>4</v>
      </c>
      <c r="Y2025" s="8">
        <v>4</v>
      </c>
      <c r="Z2025" s="8">
        <v>7</v>
      </c>
      <c r="AA2025" s="8">
        <v>179</v>
      </c>
      <c r="AB2025" s="9">
        <f t="shared" si="205"/>
        <v>5.0279329608938541</v>
      </c>
      <c r="AC2025" s="10">
        <f t="shared" si="202"/>
        <v>4.7733333333333343</v>
      </c>
      <c r="AD2025" s="8" t="s">
        <v>33</v>
      </c>
      <c r="AE2025" s="11">
        <v>99990</v>
      </c>
      <c r="AF2025" s="11">
        <f t="shared" si="203"/>
        <v>2399760</v>
      </c>
      <c r="AG2025" s="12" t="s">
        <v>34</v>
      </c>
      <c r="AH2025" s="8" t="s">
        <v>74</v>
      </c>
    </row>
    <row r="2026" spans="1:34">
      <c r="A2026" s="8" t="s">
        <v>2770</v>
      </c>
      <c r="B2026" s="16" t="s">
        <v>2860</v>
      </c>
      <c r="C2026" s="8" t="s">
        <v>40</v>
      </c>
      <c r="D2026" s="8" t="s">
        <v>2758</v>
      </c>
      <c r="E2026" s="8" t="str">
        <f t="shared" si="201"/>
        <v>SUELA</v>
      </c>
      <c r="G2026" s="8" t="s">
        <v>2862</v>
      </c>
      <c r="H2026" s="8" t="str">
        <f>VLOOKUP(A2026,[1]BBDD!$B$1:$J$3274,9,FALSE)</f>
        <v>M</v>
      </c>
      <c r="I2026" s="8" t="s">
        <v>2862</v>
      </c>
      <c r="J2026" s="8" t="s">
        <v>2768</v>
      </c>
      <c r="L2026" s="8" t="s">
        <v>82</v>
      </c>
      <c r="N2026" s="8" t="s">
        <v>90</v>
      </c>
      <c r="O2026" s="8" t="s">
        <v>90</v>
      </c>
      <c r="Q2026" s="8" t="s">
        <v>32</v>
      </c>
      <c r="R2026" s="8">
        <v>4</v>
      </c>
      <c r="S2026" s="8">
        <v>13</v>
      </c>
      <c r="T2026" s="8">
        <f t="shared" si="204"/>
        <v>17</v>
      </c>
      <c r="U2026" s="8">
        <v>5</v>
      </c>
      <c r="V2026" s="8">
        <v>2</v>
      </c>
      <c r="W2026" s="8">
        <v>4</v>
      </c>
      <c r="X2026" s="8">
        <v>8</v>
      </c>
      <c r="Y2026" s="8">
        <v>5</v>
      </c>
      <c r="Z2026" s="8">
        <v>6</v>
      </c>
      <c r="AA2026" s="8">
        <v>179</v>
      </c>
      <c r="AB2026" s="9">
        <f t="shared" si="205"/>
        <v>5.0279329608938541</v>
      </c>
      <c r="AC2026" s="10">
        <f t="shared" si="202"/>
        <v>3.3811111111111116</v>
      </c>
      <c r="AD2026" s="8" t="s">
        <v>33</v>
      </c>
      <c r="AE2026" s="11">
        <v>99990</v>
      </c>
      <c r="AF2026" s="11">
        <f t="shared" si="203"/>
        <v>1699830</v>
      </c>
      <c r="AG2026" s="12" t="s">
        <v>34</v>
      </c>
      <c r="AH2026" s="8" t="s">
        <v>65</v>
      </c>
    </row>
    <row r="2027" spans="1:34">
      <c r="A2027" s="8" t="s">
        <v>2771</v>
      </c>
      <c r="B2027" s="16" t="s">
        <v>2860</v>
      </c>
      <c r="C2027" s="8" t="s">
        <v>40</v>
      </c>
      <c r="D2027" s="8" t="s">
        <v>2758</v>
      </c>
      <c r="E2027" s="8" t="str">
        <f t="shared" si="201"/>
        <v>MALBEC</v>
      </c>
      <c r="G2027" s="8" t="s">
        <v>2862</v>
      </c>
      <c r="H2027" s="8" t="str">
        <f>VLOOKUP(A2027,[1]BBDD!$B$1:$J$3274,9,FALSE)</f>
        <v>M</v>
      </c>
      <c r="I2027" s="8" t="s">
        <v>2862</v>
      </c>
      <c r="J2027" s="8" t="s">
        <v>2768</v>
      </c>
      <c r="L2027" s="8" t="s">
        <v>82</v>
      </c>
      <c r="N2027" s="8" t="s">
        <v>69</v>
      </c>
      <c r="O2027" s="8" t="s">
        <v>69</v>
      </c>
      <c r="Q2027" s="8" t="s">
        <v>32</v>
      </c>
      <c r="R2027" s="8">
        <v>0</v>
      </c>
      <c r="S2027" s="8">
        <v>9</v>
      </c>
      <c r="T2027" s="8">
        <f t="shared" si="204"/>
        <v>9</v>
      </c>
      <c r="U2027" s="8">
        <v>0</v>
      </c>
      <c r="V2027" s="8">
        <v>0</v>
      </c>
      <c r="W2027" s="8">
        <v>1</v>
      </c>
      <c r="X2027" s="8">
        <v>6</v>
      </c>
      <c r="Y2027" s="8">
        <v>7</v>
      </c>
      <c r="Z2027" s="8">
        <v>4</v>
      </c>
      <c r="AA2027" s="8">
        <v>179</v>
      </c>
      <c r="AB2027" s="9">
        <f t="shared" si="205"/>
        <v>3.016759776536313</v>
      </c>
      <c r="AC2027" s="10">
        <f t="shared" si="202"/>
        <v>2.9833333333333334</v>
      </c>
      <c r="AD2027" s="8" t="s">
        <v>33</v>
      </c>
      <c r="AE2027" s="11">
        <v>99990</v>
      </c>
      <c r="AF2027" s="11">
        <f t="shared" si="203"/>
        <v>899910</v>
      </c>
      <c r="AG2027" s="12" t="s">
        <v>34</v>
      </c>
      <c r="AH2027" s="8" t="s">
        <v>35</v>
      </c>
    </row>
    <row r="2028" spans="1:34">
      <c r="A2028" s="8" t="s">
        <v>2772</v>
      </c>
      <c r="B2028" s="16" t="s">
        <v>2860</v>
      </c>
      <c r="C2028" s="8" t="s">
        <v>40</v>
      </c>
      <c r="D2028" s="8" t="s">
        <v>2758</v>
      </c>
      <c r="E2028" s="8" t="str">
        <f t="shared" si="201"/>
        <v>BEIGE</v>
      </c>
      <c r="G2028" s="8" t="s">
        <v>2862</v>
      </c>
      <c r="H2028" s="8" t="str">
        <f>VLOOKUP(A2028,[1]BBDD!$B$1:$J$3274,9,FALSE)</f>
        <v>M</v>
      </c>
      <c r="I2028" s="8" t="s">
        <v>2862</v>
      </c>
      <c r="J2028" s="8" t="s">
        <v>2768</v>
      </c>
      <c r="L2028" s="8" t="s">
        <v>30</v>
      </c>
      <c r="N2028" s="8" t="s">
        <v>516</v>
      </c>
      <c r="O2028" s="8" t="s">
        <v>516</v>
      </c>
      <c r="Q2028" s="8" t="s">
        <v>32</v>
      </c>
      <c r="R2028" s="8">
        <v>0</v>
      </c>
      <c r="S2028" s="8">
        <v>2</v>
      </c>
      <c r="T2028" s="8">
        <f t="shared" si="204"/>
        <v>2</v>
      </c>
      <c r="U2028" s="8">
        <v>1</v>
      </c>
      <c r="V2028" s="8">
        <v>7</v>
      </c>
      <c r="W2028" s="8">
        <v>5</v>
      </c>
      <c r="X2028" s="8">
        <v>4</v>
      </c>
      <c r="Y2028" s="8">
        <v>2</v>
      </c>
      <c r="Z2028" s="8">
        <v>5</v>
      </c>
      <c r="AA2028" s="8">
        <v>179</v>
      </c>
      <c r="AB2028" s="9">
        <f t="shared" si="205"/>
        <v>4.022346368715084</v>
      </c>
      <c r="AC2028" s="10">
        <f t="shared" si="202"/>
        <v>0.49722222222222218</v>
      </c>
      <c r="AD2028" s="8" t="s">
        <v>33</v>
      </c>
      <c r="AE2028" s="11">
        <v>99990</v>
      </c>
      <c r="AF2028" s="11">
        <f t="shared" si="203"/>
        <v>199980</v>
      </c>
      <c r="AG2028" s="12" t="s">
        <v>34</v>
      </c>
      <c r="AH2028" s="8" t="s">
        <v>35</v>
      </c>
    </row>
    <row r="2029" spans="1:34">
      <c r="A2029" s="8" t="s">
        <v>2773</v>
      </c>
      <c r="B2029" s="16" t="s">
        <v>2860</v>
      </c>
      <c r="C2029" s="8" t="s">
        <v>40</v>
      </c>
      <c r="D2029" s="8" t="s">
        <v>2758</v>
      </c>
      <c r="E2029" s="8" t="str">
        <f t="shared" si="201"/>
        <v>HOLANDO</v>
      </c>
      <c r="G2029" s="8" t="s">
        <v>2862</v>
      </c>
      <c r="H2029" s="8" t="str">
        <f>VLOOKUP(A2029,[1]BBDD!$B$1:$J$3274,9,FALSE)</f>
        <v>M</v>
      </c>
      <c r="I2029" s="8" t="s">
        <v>2862</v>
      </c>
      <c r="J2029" s="8" t="s">
        <v>2768</v>
      </c>
      <c r="L2029" s="8" t="s">
        <v>30</v>
      </c>
      <c r="N2029" s="8" t="s">
        <v>31</v>
      </c>
      <c r="O2029" s="8" t="s">
        <v>31</v>
      </c>
      <c r="Q2029" s="8" t="s">
        <v>32</v>
      </c>
      <c r="R2029" s="8">
        <v>31</v>
      </c>
      <c r="S2029" s="8">
        <v>9</v>
      </c>
      <c r="T2029" s="8">
        <f t="shared" si="204"/>
        <v>40</v>
      </c>
      <c r="U2029" s="8">
        <v>0</v>
      </c>
      <c r="V2029" s="8">
        <v>12</v>
      </c>
      <c r="W2029" s="8">
        <v>8</v>
      </c>
      <c r="X2029" s="8">
        <v>0</v>
      </c>
      <c r="Y2029" s="8">
        <v>0</v>
      </c>
      <c r="Z2029" s="8">
        <v>5</v>
      </c>
      <c r="AA2029" s="8">
        <v>179</v>
      </c>
      <c r="AB2029" s="9">
        <f t="shared" si="205"/>
        <v>4.1899441340782122</v>
      </c>
      <c r="AC2029" s="10">
        <f t="shared" si="202"/>
        <v>9.5466666666666669</v>
      </c>
      <c r="AD2029" s="8" t="s">
        <v>33</v>
      </c>
      <c r="AE2029" s="11">
        <v>99990</v>
      </c>
      <c r="AF2029" s="11">
        <f t="shared" si="203"/>
        <v>3999600</v>
      </c>
      <c r="AG2029" s="12" t="s">
        <v>51</v>
      </c>
      <c r="AH2029" s="8" t="s">
        <v>74</v>
      </c>
    </row>
    <row r="2030" spans="1:34">
      <c r="A2030" s="8" t="s">
        <v>2774</v>
      </c>
      <c r="B2030" s="16" t="s">
        <v>2860</v>
      </c>
      <c r="C2030" s="8" t="s">
        <v>40</v>
      </c>
      <c r="D2030" s="8" t="s">
        <v>2758</v>
      </c>
      <c r="E2030" s="8" t="str">
        <f t="shared" si="201"/>
        <v>HEREFORD</v>
      </c>
      <c r="G2030" s="8" t="s">
        <v>2862</v>
      </c>
      <c r="H2030" s="8" t="str">
        <f>VLOOKUP(A2030,[1]BBDD!$B$1:$J$3274,9,FALSE)</f>
        <v>M</v>
      </c>
      <c r="I2030" s="8" t="s">
        <v>2862</v>
      </c>
      <c r="J2030" s="8" t="s">
        <v>2768</v>
      </c>
      <c r="L2030" s="8" t="s">
        <v>30</v>
      </c>
      <c r="N2030" s="8" t="s">
        <v>37</v>
      </c>
      <c r="O2030" s="8" t="s">
        <v>37</v>
      </c>
      <c r="Q2030" s="8" t="s">
        <v>32</v>
      </c>
      <c r="R2030" s="8">
        <v>20</v>
      </c>
      <c r="S2030" s="8">
        <v>2</v>
      </c>
      <c r="T2030" s="8">
        <f t="shared" si="204"/>
        <v>22</v>
      </c>
      <c r="U2030" s="8">
        <v>0</v>
      </c>
      <c r="V2030" s="8">
        <v>0</v>
      </c>
      <c r="W2030" s="8">
        <v>12</v>
      </c>
      <c r="X2030" s="8">
        <v>7</v>
      </c>
      <c r="Y2030" s="8">
        <v>0</v>
      </c>
      <c r="Z2030" s="8">
        <v>20</v>
      </c>
      <c r="AA2030" s="8">
        <v>179</v>
      </c>
      <c r="AB2030" s="9">
        <f t="shared" si="205"/>
        <v>6.5363128491620106</v>
      </c>
      <c r="AC2030" s="10">
        <f t="shared" si="202"/>
        <v>3.3658119658119663</v>
      </c>
      <c r="AD2030" s="8" t="s">
        <v>33</v>
      </c>
      <c r="AE2030" s="11">
        <v>99990</v>
      </c>
      <c r="AF2030" s="11">
        <f t="shared" si="203"/>
        <v>2199780</v>
      </c>
      <c r="AG2030" s="12" t="s">
        <v>34</v>
      </c>
      <c r="AH2030" s="8" t="s">
        <v>74</v>
      </c>
    </row>
    <row r="2031" spans="1:34">
      <c r="A2031" s="8" t="s">
        <v>2775</v>
      </c>
      <c r="B2031" s="16" t="s">
        <v>1286</v>
      </c>
      <c r="C2031" s="8" t="s">
        <v>40</v>
      </c>
      <c r="D2031" s="8" t="s">
        <v>2758</v>
      </c>
      <c r="E2031" s="8" t="str">
        <f t="shared" si="201"/>
        <v>NEGRO</v>
      </c>
      <c r="G2031" s="8" t="s">
        <v>2862</v>
      </c>
      <c r="H2031" s="8" t="str">
        <f>VLOOKUP(A2031,[1]BBDD!$B$1:$J$3274,9,FALSE)</f>
        <v>M</v>
      </c>
      <c r="I2031" s="8" t="s">
        <v>2862</v>
      </c>
      <c r="J2031" s="8" t="s">
        <v>2776</v>
      </c>
      <c r="L2031" s="8" t="s">
        <v>566</v>
      </c>
      <c r="N2031" s="8" t="s">
        <v>44</v>
      </c>
      <c r="O2031" s="8" t="s">
        <v>44</v>
      </c>
      <c r="Q2031" s="8" t="s">
        <v>32</v>
      </c>
      <c r="R2031" s="8">
        <v>5</v>
      </c>
      <c r="S2031" s="8">
        <v>5</v>
      </c>
      <c r="T2031" s="8">
        <f t="shared" si="204"/>
        <v>10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0</v>
      </c>
      <c r="AA2031" s="8">
        <v>26</v>
      </c>
      <c r="AB2031" s="9">
        <f t="shared" si="205"/>
        <v>0</v>
      </c>
      <c r="AC2031" s="10" t="str">
        <f t="shared" si="202"/>
        <v>sin venta</v>
      </c>
      <c r="AD2031" s="8" t="s">
        <v>991</v>
      </c>
      <c r="AE2031" s="11">
        <v>29990</v>
      </c>
      <c r="AF2031" s="11">
        <f t="shared" si="203"/>
        <v>299900</v>
      </c>
      <c r="AG2031" s="12" t="s">
        <v>73</v>
      </c>
      <c r="AH2031" s="8" t="s">
        <v>35</v>
      </c>
    </row>
    <row r="2032" spans="1:34">
      <c r="A2032" s="8" t="s">
        <v>2777</v>
      </c>
      <c r="B2032" s="16" t="s">
        <v>1286</v>
      </c>
      <c r="C2032" s="8" t="s">
        <v>40</v>
      </c>
      <c r="D2032" s="8" t="s">
        <v>2758</v>
      </c>
      <c r="E2032" s="8" t="str">
        <f t="shared" si="201"/>
        <v>BEIGE</v>
      </c>
      <c r="G2032" s="8" t="s">
        <v>2862</v>
      </c>
      <c r="H2032" s="8" t="str">
        <f>VLOOKUP(A2032,[1]BBDD!$B$1:$J$3274,9,FALSE)</f>
        <v>M</v>
      </c>
      <c r="I2032" s="8" t="s">
        <v>2862</v>
      </c>
      <c r="J2032" s="8" t="s">
        <v>2776</v>
      </c>
      <c r="L2032" s="8" t="s">
        <v>566</v>
      </c>
      <c r="N2032" s="8" t="s">
        <v>516</v>
      </c>
      <c r="O2032" s="8" t="s">
        <v>516</v>
      </c>
      <c r="Q2032" s="8" t="s">
        <v>32</v>
      </c>
      <c r="R2032" s="8">
        <v>2</v>
      </c>
      <c r="S2032" s="8">
        <v>6</v>
      </c>
      <c r="T2032" s="8">
        <f t="shared" si="204"/>
        <v>8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1</v>
      </c>
      <c r="AA2032" s="8">
        <v>26</v>
      </c>
      <c r="AB2032" s="9">
        <f t="shared" si="205"/>
        <v>1.153846153846154</v>
      </c>
      <c r="AC2032" s="10">
        <f t="shared" si="202"/>
        <v>6.9333333333333327</v>
      </c>
      <c r="AD2032" s="8" t="s">
        <v>991</v>
      </c>
      <c r="AE2032" s="11">
        <v>29990</v>
      </c>
      <c r="AF2032" s="11">
        <f t="shared" si="203"/>
        <v>239920</v>
      </c>
      <c r="AG2032" s="12" t="s">
        <v>51</v>
      </c>
      <c r="AH2032" s="8" t="s">
        <v>35</v>
      </c>
    </row>
    <row r="2033" spans="1:34">
      <c r="A2033" s="8" t="s">
        <v>2778</v>
      </c>
      <c r="B2033" s="16" t="s">
        <v>1286</v>
      </c>
      <c r="C2033" s="8" t="s">
        <v>40</v>
      </c>
      <c r="D2033" s="8" t="s">
        <v>2758</v>
      </c>
      <c r="E2033" s="8" t="str">
        <f t="shared" si="201"/>
        <v>BLANCO</v>
      </c>
      <c r="G2033" s="8" t="s">
        <v>2862</v>
      </c>
      <c r="H2033" s="8" t="str">
        <f>VLOOKUP(A2033,[1]BBDD!$B$1:$J$3274,9,FALSE)</f>
        <v>M</v>
      </c>
      <c r="I2033" s="8" t="s">
        <v>2862</v>
      </c>
      <c r="J2033" s="8" t="s">
        <v>2776</v>
      </c>
      <c r="L2033" s="8" t="s">
        <v>566</v>
      </c>
      <c r="N2033" s="8" t="s">
        <v>646</v>
      </c>
      <c r="O2033" s="8" t="s">
        <v>646</v>
      </c>
      <c r="Q2033" s="8" t="s">
        <v>32</v>
      </c>
      <c r="R2033" s="8">
        <v>5</v>
      </c>
      <c r="S2033" s="8">
        <v>5</v>
      </c>
      <c r="T2033" s="8">
        <f t="shared" si="204"/>
        <v>10</v>
      </c>
      <c r="U2033" s="8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8">
        <v>26</v>
      </c>
      <c r="AB2033" s="9">
        <f t="shared" si="205"/>
        <v>0</v>
      </c>
      <c r="AC2033" s="10" t="str">
        <f t="shared" si="202"/>
        <v>sin venta</v>
      </c>
      <c r="AD2033" s="8" t="s">
        <v>991</v>
      </c>
      <c r="AE2033" s="11">
        <v>29990</v>
      </c>
      <c r="AF2033" s="11">
        <f t="shared" si="203"/>
        <v>299900</v>
      </c>
      <c r="AG2033" s="12" t="s">
        <v>73</v>
      </c>
      <c r="AH2033" s="8" t="s">
        <v>35</v>
      </c>
    </row>
    <row r="2034" spans="1:34">
      <c r="A2034" s="13" t="s">
        <v>2779</v>
      </c>
      <c r="B2034" s="16" t="s">
        <v>1286</v>
      </c>
      <c r="C2034" s="8" t="s">
        <v>40</v>
      </c>
      <c r="D2034" s="8" t="s">
        <v>2758</v>
      </c>
      <c r="E2034" s="8" t="str">
        <f t="shared" si="201"/>
        <v>NEGRO</v>
      </c>
      <c r="G2034" s="8" t="s">
        <v>2862</v>
      </c>
      <c r="H2034" s="8" t="str">
        <f>VLOOKUP(A2034,[1]BBDD!$B$1:$J$3274,9,FALSE)</f>
        <v>M</v>
      </c>
      <c r="I2034" s="8" t="s">
        <v>2862</v>
      </c>
      <c r="J2034" s="8" t="s">
        <v>2780</v>
      </c>
      <c r="L2034" s="8" t="s">
        <v>566</v>
      </c>
      <c r="N2034" s="8" t="s">
        <v>44</v>
      </c>
      <c r="O2034" s="8" t="s">
        <v>44</v>
      </c>
      <c r="Q2034" s="8" t="s">
        <v>32</v>
      </c>
      <c r="R2034" s="8">
        <v>8</v>
      </c>
      <c r="S2034" s="8">
        <v>0</v>
      </c>
      <c r="T2034" s="8">
        <f t="shared" si="204"/>
        <v>8</v>
      </c>
      <c r="U2034" s="8">
        <v>0</v>
      </c>
      <c r="V2034" s="8">
        <v>0</v>
      </c>
      <c r="W2034" s="8">
        <v>0</v>
      </c>
      <c r="X2034" s="8">
        <v>0</v>
      </c>
      <c r="Y2034" s="8">
        <v>0</v>
      </c>
      <c r="Z2034" s="8">
        <v>0</v>
      </c>
      <c r="AA2034" s="8">
        <v>180</v>
      </c>
      <c r="AB2034" s="9">
        <f t="shared" si="205"/>
        <v>0</v>
      </c>
      <c r="AC2034" s="10" t="str">
        <f t="shared" si="202"/>
        <v>sin venta</v>
      </c>
      <c r="AD2034" s="8" t="s">
        <v>991</v>
      </c>
      <c r="AE2034" s="11">
        <v>49990</v>
      </c>
      <c r="AF2034" s="11">
        <f t="shared" si="203"/>
        <v>399920</v>
      </c>
      <c r="AG2034" s="12" t="s">
        <v>73</v>
      </c>
      <c r="AH2034" s="8" t="s">
        <v>35</v>
      </c>
    </row>
    <row r="2035" spans="1:34">
      <c r="A2035" s="13" t="s">
        <v>2781</v>
      </c>
      <c r="B2035" s="16" t="s">
        <v>1286</v>
      </c>
      <c r="C2035" s="8" t="s">
        <v>40</v>
      </c>
      <c r="D2035" s="8" t="s">
        <v>2758</v>
      </c>
      <c r="E2035" s="8" t="str">
        <f t="shared" si="201"/>
        <v>BEIGE</v>
      </c>
      <c r="G2035" s="8" t="s">
        <v>2862</v>
      </c>
      <c r="H2035" s="8" t="str">
        <f>VLOOKUP(A2035,[1]BBDD!$B$1:$J$3274,9,FALSE)</f>
        <v>M</v>
      </c>
      <c r="I2035" s="8" t="s">
        <v>2862</v>
      </c>
      <c r="J2035" s="8" t="s">
        <v>2780</v>
      </c>
      <c r="L2035" s="8" t="s">
        <v>566</v>
      </c>
      <c r="N2035" s="8" t="s">
        <v>516</v>
      </c>
      <c r="O2035" s="8" t="s">
        <v>516</v>
      </c>
      <c r="Q2035" s="8" t="s">
        <v>32</v>
      </c>
      <c r="R2035" s="8">
        <v>8</v>
      </c>
      <c r="S2035" s="8">
        <v>0</v>
      </c>
      <c r="T2035" s="8">
        <f t="shared" si="204"/>
        <v>8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8">
        <v>180</v>
      </c>
      <c r="AB2035" s="9">
        <f t="shared" si="205"/>
        <v>0</v>
      </c>
      <c r="AC2035" s="10" t="str">
        <f t="shared" si="202"/>
        <v>sin venta</v>
      </c>
      <c r="AD2035" s="8" t="s">
        <v>991</v>
      </c>
      <c r="AE2035" s="11">
        <v>49990</v>
      </c>
      <c r="AF2035" s="11">
        <f t="shared" si="203"/>
        <v>399920</v>
      </c>
      <c r="AG2035" s="12" t="s">
        <v>73</v>
      </c>
      <c r="AH2035" s="8" t="s">
        <v>35</v>
      </c>
    </row>
    <row r="2036" spans="1:34">
      <c r="A2036" s="13" t="s">
        <v>2782</v>
      </c>
      <c r="B2036" s="16" t="s">
        <v>1286</v>
      </c>
      <c r="C2036" s="8" t="s">
        <v>40</v>
      </c>
      <c r="D2036" s="8" t="s">
        <v>2758</v>
      </c>
      <c r="E2036" s="8" t="str">
        <f t="shared" si="201"/>
        <v>BLANCO</v>
      </c>
      <c r="G2036" s="8" t="s">
        <v>2862</v>
      </c>
      <c r="H2036" s="8" t="str">
        <f>VLOOKUP(A2036,[1]BBDD!$B$1:$J$3274,9,FALSE)</f>
        <v>M</v>
      </c>
      <c r="I2036" s="8" t="s">
        <v>2862</v>
      </c>
      <c r="J2036" s="8" t="s">
        <v>2780</v>
      </c>
      <c r="L2036" s="8" t="s">
        <v>566</v>
      </c>
      <c r="N2036" s="8" t="s">
        <v>646</v>
      </c>
      <c r="O2036" s="8" t="s">
        <v>646</v>
      </c>
      <c r="Q2036" s="8" t="s">
        <v>32</v>
      </c>
      <c r="R2036" s="8">
        <v>8</v>
      </c>
      <c r="S2036" s="8">
        <v>0</v>
      </c>
      <c r="T2036" s="8">
        <f t="shared" si="204"/>
        <v>8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8">
        <v>180</v>
      </c>
      <c r="AB2036" s="9">
        <f t="shared" si="205"/>
        <v>0</v>
      </c>
      <c r="AC2036" s="10" t="str">
        <f t="shared" si="202"/>
        <v>sin venta</v>
      </c>
      <c r="AD2036" s="8" t="s">
        <v>991</v>
      </c>
      <c r="AE2036" s="11">
        <v>49990</v>
      </c>
      <c r="AF2036" s="11">
        <f t="shared" si="203"/>
        <v>399920</v>
      </c>
      <c r="AG2036" s="12" t="s">
        <v>73</v>
      </c>
      <c r="AH2036" s="8" t="s">
        <v>35</v>
      </c>
    </row>
    <row r="2037" spans="1:34">
      <c r="A2037" s="8" t="s">
        <v>2783</v>
      </c>
      <c r="B2037" s="16" t="s">
        <v>2860</v>
      </c>
      <c r="C2037" s="8" t="s">
        <v>40</v>
      </c>
      <c r="D2037" s="8" t="s">
        <v>2758</v>
      </c>
      <c r="E2037" s="8" t="str">
        <f t="shared" si="201"/>
        <v>NEGRO</v>
      </c>
      <c r="G2037" s="8" t="s">
        <v>2862</v>
      </c>
      <c r="H2037" s="8" t="str">
        <f>VLOOKUP(A2037,[1]BBDD!$B$1:$J$3274,9,FALSE)</f>
        <v>M</v>
      </c>
      <c r="I2037" s="8" t="s">
        <v>2862</v>
      </c>
      <c r="J2037" s="8" t="s">
        <v>2784</v>
      </c>
      <c r="L2037" s="8" t="s">
        <v>82</v>
      </c>
      <c r="N2037" s="8" t="s">
        <v>44</v>
      </c>
      <c r="O2037" s="8" t="s">
        <v>44</v>
      </c>
      <c r="Q2037" s="8" t="s">
        <v>32</v>
      </c>
      <c r="R2037" s="8">
        <v>7</v>
      </c>
      <c r="S2037" s="8">
        <v>5</v>
      </c>
      <c r="T2037" s="8">
        <f t="shared" si="204"/>
        <v>12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3</v>
      </c>
      <c r="AA2037" s="8">
        <v>8</v>
      </c>
      <c r="AB2037" s="9">
        <f t="shared" si="205"/>
        <v>11.25</v>
      </c>
      <c r="AC2037" s="10">
        <f t="shared" si="202"/>
        <v>1.0666666666666667</v>
      </c>
      <c r="AD2037" s="8" t="s">
        <v>33</v>
      </c>
      <c r="AE2037" s="11">
        <v>99990</v>
      </c>
      <c r="AF2037" s="11">
        <f t="shared" si="203"/>
        <v>1199880</v>
      </c>
      <c r="AG2037" s="12" t="s">
        <v>34</v>
      </c>
      <c r="AH2037" s="8" t="s">
        <v>65</v>
      </c>
    </row>
    <row r="2038" spans="1:34">
      <c r="A2038" s="8" t="s">
        <v>2785</v>
      </c>
      <c r="B2038" s="16" t="s">
        <v>2860</v>
      </c>
      <c r="C2038" s="8" t="s">
        <v>40</v>
      </c>
      <c r="D2038" s="8" t="s">
        <v>2758</v>
      </c>
      <c r="E2038" s="8" t="str">
        <f t="shared" si="201"/>
        <v>LONDON</v>
      </c>
      <c r="G2038" s="8" t="s">
        <v>2862</v>
      </c>
      <c r="H2038" s="8" t="str">
        <f>VLOOKUP(A2038,[1]BBDD!$B$1:$J$3274,9,FALSE)</f>
        <v>M</v>
      </c>
      <c r="I2038" s="8" t="s">
        <v>2862</v>
      </c>
      <c r="J2038" s="8" t="s">
        <v>2784</v>
      </c>
      <c r="L2038" s="8" t="s">
        <v>82</v>
      </c>
      <c r="N2038" s="8" t="s">
        <v>108</v>
      </c>
      <c r="O2038" s="8" t="s">
        <v>108</v>
      </c>
      <c r="Q2038" s="8" t="s">
        <v>32</v>
      </c>
      <c r="R2038" s="8">
        <v>7</v>
      </c>
      <c r="S2038" s="8">
        <v>5</v>
      </c>
      <c r="T2038" s="8">
        <f t="shared" si="204"/>
        <v>12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2</v>
      </c>
      <c r="AA2038" s="8">
        <v>8</v>
      </c>
      <c r="AB2038" s="9">
        <f t="shared" si="205"/>
        <v>7.5</v>
      </c>
      <c r="AC2038" s="10">
        <f t="shared" si="202"/>
        <v>1.6</v>
      </c>
      <c r="AD2038" s="8" t="s">
        <v>33</v>
      </c>
      <c r="AE2038" s="11">
        <v>99990</v>
      </c>
      <c r="AF2038" s="11">
        <f t="shared" si="203"/>
        <v>1199880</v>
      </c>
      <c r="AG2038" s="12" t="s">
        <v>34</v>
      </c>
      <c r="AH2038" s="8" t="s">
        <v>65</v>
      </c>
    </row>
    <row r="2039" spans="1:34">
      <c r="A2039" s="8" t="s">
        <v>2786</v>
      </c>
      <c r="B2039" s="16" t="s">
        <v>481</v>
      </c>
      <c r="C2039" s="8" t="s">
        <v>476</v>
      </c>
      <c r="D2039" s="8" t="s">
        <v>2787</v>
      </c>
      <c r="E2039" s="8" t="str">
        <f t="shared" si="201"/>
        <v>AZUL</v>
      </c>
      <c r="H2039" s="8" t="str">
        <f>VLOOKUP(A2039,[1]BBDD!$B$1:$J$3274,9,FALSE)</f>
        <v>H</v>
      </c>
      <c r="I2039" s="8" t="s">
        <v>2863</v>
      </c>
      <c r="J2039" s="8" t="s">
        <v>2788</v>
      </c>
      <c r="L2039" s="8" t="s">
        <v>479</v>
      </c>
      <c r="N2039" s="8" t="s">
        <v>83</v>
      </c>
      <c r="O2039" s="8" t="s">
        <v>83</v>
      </c>
      <c r="P2039" s="18" t="str">
        <f t="shared" ref="P2039:P2086" si="206">RIGHT(A2039,2)</f>
        <v>39</v>
      </c>
      <c r="Q2039" s="8" t="s">
        <v>45</v>
      </c>
      <c r="R2039" s="8">
        <v>1</v>
      </c>
      <c r="S2039" s="8">
        <v>3</v>
      </c>
      <c r="T2039" s="8">
        <f t="shared" si="204"/>
        <v>4</v>
      </c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1</v>
      </c>
      <c r="AA2039" s="8">
        <v>180</v>
      </c>
      <c r="AB2039" s="9">
        <f t="shared" si="205"/>
        <v>0.16666666666666669</v>
      </c>
      <c r="AC2039" s="10">
        <f t="shared" si="202"/>
        <v>23.999999999999996</v>
      </c>
      <c r="AD2039" s="8" t="s">
        <v>109</v>
      </c>
      <c r="AE2039" s="11">
        <v>99990</v>
      </c>
      <c r="AF2039" s="11">
        <f t="shared" si="203"/>
        <v>399960</v>
      </c>
      <c r="AG2039" s="12" t="s">
        <v>64</v>
      </c>
      <c r="AH2039" s="8" t="s">
        <v>35</v>
      </c>
    </row>
    <row r="2040" spans="1:34">
      <c r="A2040" s="8" t="s">
        <v>2789</v>
      </c>
      <c r="B2040" s="16" t="s">
        <v>481</v>
      </c>
      <c r="C2040" s="8" t="s">
        <v>476</v>
      </c>
      <c r="D2040" s="8" t="s">
        <v>2787</v>
      </c>
      <c r="E2040" s="8" t="str">
        <f t="shared" si="201"/>
        <v>AZUL</v>
      </c>
      <c r="H2040" s="8" t="str">
        <f>VLOOKUP(A2040,[1]BBDD!$B$1:$J$3274,9,FALSE)</f>
        <v>H</v>
      </c>
      <c r="I2040" s="8" t="s">
        <v>2863</v>
      </c>
      <c r="J2040" s="8" t="s">
        <v>2788</v>
      </c>
      <c r="L2040" s="8" t="s">
        <v>479</v>
      </c>
      <c r="N2040" s="8" t="s">
        <v>83</v>
      </c>
      <c r="O2040" s="8" t="s">
        <v>83</v>
      </c>
      <c r="P2040" s="18" t="str">
        <f t="shared" si="206"/>
        <v>40</v>
      </c>
      <c r="Q2040" s="8" t="s">
        <v>45</v>
      </c>
      <c r="R2040" s="8">
        <v>0</v>
      </c>
      <c r="S2040" s="8">
        <v>2</v>
      </c>
      <c r="T2040" s="8">
        <f t="shared" si="204"/>
        <v>2</v>
      </c>
      <c r="U2040" s="8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1</v>
      </c>
      <c r="AA2040" s="8">
        <v>180</v>
      </c>
      <c r="AB2040" s="9">
        <f t="shared" si="205"/>
        <v>0.16666666666666669</v>
      </c>
      <c r="AC2040" s="10">
        <f t="shared" si="202"/>
        <v>11.999999999999998</v>
      </c>
      <c r="AD2040" s="8" t="s">
        <v>109</v>
      </c>
      <c r="AE2040" s="11">
        <v>99990</v>
      </c>
      <c r="AF2040" s="11">
        <f t="shared" si="203"/>
        <v>199980</v>
      </c>
      <c r="AG2040" s="12" t="s">
        <v>51</v>
      </c>
      <c r="AH2040" s="8" t="s">
        <v>35</v>
      </c>
    </row>
    <row r="2041" spans="1:34">
      <c r="A2041" s="8" t="s">
        <v>2790</v>
      </c>
      <c r="B2041" s="16" t="s">
        <v>481</v>
      </c>
      <c r="C2041" s="8" t="s">
        <v>476</v>
      </c>
      <c r="D2041" s="8" t="s">
        <v>2787</v>
      </c>
      <c r="E2041" s="8" t="str">
        <f t="shared" si="201"/>
        <v>AZUL</v>
      </c>
      <c r="H2041" s="8" t="str">
        <f>VLOOKUP(A2041,[1]BBDD!$B$1:$J$3274,9,FALSE)</f>
        <v>H</v>
      </c>
      <c r="I2041" s="8" t="s">
        <v>2863</v>
      </c>
      <c r="J2041" s="8" t="s">
        <v>2788</v>
      </c>
      <c r="L2041" s="8" t="s">
        <v>479</v>
      </c>
      <c r="N2041" s="8" t="s">
        <v>83</v>
      </c>
      <c r="O2041" s="8" t="s">
        <v>83</v>
      </c>
      <c r="P2041" s="18" t="str">
        <f t="shared" si="206"/>
        <v>41</v>
      </c>
      <c r="Q2041" s="8" t="s">
        <v>45</v>
      </c>
      <c r="R2041" s="8">
        <v>0</v>
      </c>
      <c r="S2041" s="8">
        <v>3</v>
      </c>
      <c r="T2041" s="8">
        <f t="shared" si="204"/>
        <v>3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8">
        <v>180</v>
      </c>
      <c r="AB2041" s="9">
        <f t="shared" si="205"/>
        <v>0</v>
      </c>
      <c r="AC2041" s="10" t="str">
        <f t="shared" si="202"/>
        <v>sin venta</v>
      </c>
      <c r="AD2041" s="8" t="s">
        <v>109</v>
      </c>
      <c r="AE2041" s="11">
        <v>99990</v>
      </c>
      <c r="AF2041" s="11">
        <f t="shared" si="203"/>
        <v>299970</v>
      </c>
      <c r="AG2041" s="12" t="s">
        <v>73</v>
      </c>
      <c r="AH2041" s="8" t="s">
        <v>35</v>
      </c>
    </row>
    <row r="2042" spans="1:34">
      <c r="A2042" s="8" t="s">
        <v>2791</v>
      </c>
      <c r="B2042" s="16" t="s">
        <v>481</v>
      </c>
      <c r="C2042" s="8" t="s">
        <v>476</v>
      </c>
      <c r="D2042" s="8" t="s">
        <v>2787</v>
      </c>
      <c r="E2042" s="8" t="str">
        <f t="shared" si="201"/>
        <v>AZUL</v>
      </c>
      <c r="H2042" s="8" t="str">
        <f>VLOOKUP(A2042,[1]BBDD!$B$1:$J$3274,9,FALSE)</f>
        <v>H</v>
      </c>
      <c r="I2042" s="8" t="s">
        <v>2863</v>
      </c>
      <c r="J2042" s="8" t="s">
        <v>2788</v>
      </c>
      <c r="L2042" s="8" t="s">
        <v>479</v>
      </c>
      <c r="N2042" s="8" t="s">
        <v>83</v>
      </c>
      <c r="O2042" s="8" t="s">
        <v>83</v>
      </c>
      <c r="P2042" s="18" t="str">
        <f t="shared" si="206"/>
        <v>44</v>
      </c>
      <c r="Q2042" s="8" t="s">
        <v>45</v>
      </c>
      <c r="R2042" s="8">
        <v>4</v>
      </c>
      <c r="S2042" s="8">
        <v>2</v>
      </c>
      <c r="T2042" s="8">
        <f t="shared" si="204"/>
        <v>6</v>
      </c>
      <c r="U2042" s="8">
        <v>0</v>
      </c>
      <c r="V2042" s="8">
        <v>0</v>
      </c>
      <c r="W2042" s="8">
        <v>1</v>
      </c>
      <c r="X2042" s="8">
        <v>0</v>
      </c>
      <c r="Y2042" s="8">
        <v>0</v>
      </c>
      <c r="Z2042" s="8">
        <v>0</v>
      </c>
      <c r="AA2042" s="8">
        <v>180</v>
      </c>
      <c r="AB2042" s="9">
        <f t="shared" si="205"/>
        <v>0.16666666666666669</v>
      </c>
      <c r="AC2042" s="10">
        <f t="shared" si="202"/>
        <v>35.999999999999993</v>
      </c>
      <c r="AD2042" s="8" t="s">
        <v>109</v>
      </c>
      <c r="AE2042" s="11">
        <v>99990</v>
      </c>
      <c r="AF2042" s="11">
        <f t="shared" si="203"/>
        <v>599940</v>
      </c>
      <c r="AG2042" s="12" t="s">
        <v>73</v>
      </c>
      <c r="AH2042" s="8" t="s">
        <v>35</v>
      </c>
    </row>
    <row r="2043" spans="1:34">
      <c r="A2043" s="8" t="s">
        <v>2792</v>
      </c>
      <c r="B2043" s="16" t="s">
        <v>481</v>
      </c>
      <c r="C2043" s="8" t="s">
        <v>476</v>
      </c>
      <c r="D2043" s="8" t="s">
        <v>2787</v>
      </c>
      <c r="E2043" s="8" t="str">
        <f t="shared" si="201"/>
        <v>AZUL</v>
      </c>
      <c r="H2043" s="8" t="str">
        <f>VLOOKUP(A2043,[1]BBDD!$B$1:$J$3274,9,FALSE)</f>
        <v>H</v>
      </c>
      <c r="I2043" s="8" t="s">
        <v>2863</v>
      </c>
      <c r="J2043" s="8" t="s">
        <v>2788</v>
      </c>
      <c r="L2043" s="8" t="s">
        <v>479</v>
      </c>
      <c r="N2043" s="8" t="s">
        <v>83</v>
      </c>
      <c r="O2043" s="8" t="s">
        <v>83</v>
      </c>
      <c r="P2043" s="18" t="str">
        <f t="shared" si="206"/>
        <v>45</v>
      </c>
      <c r="Q2043" s="8" t="s">
        <v>45</v>
      </c>
      <c r="R2043" s="8">
        <v>0</v>
      </c>
      <c r="S2043" s="8">
        <v>2</v>
      </c>
      <c r="T2043" s="8">
        <f t="shared" si="204"/>
        <v>2</v>
      </c>
      <c r="U2043" s="8">
        <v>0</v>
      </c>
      <c r="V2043" s="8">
        <v>0</v>
      </c>
      <c r="W2043" s="8">
        <v>1</v>
      </c>
      <c r="X2043" s="8">
        <v>0</v>
      </c>
      <c r="Y2043" s="8">
        <v>0</v>
      </c>
      <c r="Z2043" s="8">
        <v>0</v>
      </c>
      <c r="AA2043" s="8">
        <v>180</v>
      </c>
      <c r="AB2043" s="9">
        <f t="shared" si="205"/>
        <v>0.16666666666666669</v>
      </c>
      <c r="AC2043" s="10">
        <f t="shared" si="202"/>
        <v>11.999999999999998</v>
      </c>
      <c r="AD2043" s="8" t="s">
        <v>109</v>
      </c>
      <c r="AE2043" s="11">
        <v>99990</v>
      </c>
      <c r="AF2043" s="11">
        <f t="shared" si="203"/>
        <v>199980</v>
      </c>
      <c r="AG2043" s="12" t="s">
        <v>51</v>
      </c>
      <c r="AH2043" s="8" t="s">
        <v>35</v>
      </c>
    </row>
    <row r="2044" spans="1:34">
      <c r="A2044" s="8" t="s">
        <v>2793</v>
      </c>
      <c r="B2044" s="16" t="s">
        <v>481</v>
      </c>
      <c r="C2044" s="8" t="s">
        <v>476</v>
      </c>
      <c r="D2044" s="8" t="s">
        <v>2787</v>
      </c>
      <c r="E2044" s="8" t="str">
        <f t="shared" si="201"/>
        <v>BLANCO</v>
      </c>
      <c r="H2044" s="8" t="str">
        <f>VLOOKUP(A2044,[1]BBDD!$B$1:$J$3274,9,FALSE)</f>
        <v>H</v>
      </c>
      <c r="I2044" s="8" t="s">
        <v>2863</v>
      </c>
      <c r="J2044" s="8" t="s">
        <v>2788</v>
      </c>
      <c r="L2044" s="8" t="s">
        <v>479</v>
      </c>
      <c r="N2044" s="8" t="s">
        <v>646</v>
      </c>
      <c r="O2044" s="8" t="s">
        <v>646</v>
      </c>
      <c r="P2044" s="18" t="str">
        <f t="shared" si="206"/>
        <v>39</v>
      </c>
      <c r="Q2044" s="8" t="s">
        <v>45</v>
      </c>
      <c r="R2044" s="8">
        <v>0</v>
      </c>
      <c r="S2044" s="8">
        <v>1</v>
      </c>
      <c r="T2044" s="8">
        <f t="shared" si="204"/>
        <v>1</v>
      </c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180</v>
      </c>
      <c r="AB2044" s="9">
        <f t="shared" si="205"/>
        <v>0</v>
      </c>
      <c r="AC2044" s="10" t="str">
        <f t="shared" si="202"/>
        <v>sin venta</v>
      </c>
      <c r="AD2044" s="8" t="s">
        <v>109</v>
      </c>
      <c r="AE2044" s="11">
        <v>99990</v>
      </c>
      <c r="AF2044" s="11">
        <f t="shared" si="203"/>
        <v>99990</v>
      </c>
      <c r="AG2044" s="12" t="s">
        <v>73</v>
      </c>
      <c r="AH2044" s="8" t="s">
        <v>35</v>
      </c>
    </row>
    <row r="2045" spans="1:34">
      <c r="A2045" s="8" t="s">
        <v>2794</v>
      </c>
      <c r="B2045" s="16" t="s">
        <v>481</v>
      </c>
      <c r="C2045" s="8" t="s">
        <v>476</v>
      </c>
      <c r="D2045" s="8" t="s">
        <v>2787</v>
      </c>
      <c r="E2045" s="8" t="str">
        <f t="shared" si="201"/>
        <v>BORGOÑA</v>
      </c>
      <c r="H2045" s="8" t="str">
        <f>VLOOKUP(A2045,[1]BBDD!$B$1:$J$3274,9,FALSE)</f>
        <v>H</v>
      </c>
      <c r="I2045" s="8" t="s">
        <v>2863</v>
      </c>
      <c r="J2045" s="8" t="s">
        <v>2788</v>
      </c>
      <c r="L2045" s="8" t="s">
        <v>479</v>
      </c>
      <c r="N2045" s="8" t="s">
        <v>2795</v>
      </c>
      <c r="O2045" s="8" t="s">
        <v>2795</v>
      </c>
      <c r="P2045" s="18" t="str">
        <f t="shared" si="206"/>
        <v>39</v>
      </c>
      <c r="Q2045" s="8" t="s">
        <v>45</v>
      </c>
      <c r="R2045" s="8">
        <v>3</v>
      </c>
      <c r="S2045" s="8">
        <v>3</v>
      </c>
      <c r="T2045" s="8">
        <f t="shared" si="204"/>
        <v>6</v>
      </c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180</v>
      </c>
      <c r="AB2045" s="9">
        <f t="shared" si="205"/>
        <v>0</v>
      </c>
      <c r="AC2045" s="10" t="str">
        <f t="shared" si="202"/>
        <v>sin venta</v>
      </c>
      <c r="AD2045" s="8" t="s">
        <v>109</v>
      </c>
      <c r="AE2045" s="11">
        <v>99990</v>
      </c>
      <c r="AF2045" s="11">
        <f t="shared" si="203"/>
        <v>599940</v>
      </c>
      <c r="AG2045" s="12" t="s">
        <v>73</v>
      </c>
      <c r="AH2045" s="8" t="s">
        <v>35</v>
      </c>
    </row>
    <row r="2046" spans="1:34">
      <c r="A2046" s="8" t="s">
        <v>2796</v>
      </c>
      <c r="B2046" s="16" t="s">
        <v>481</v>
      </c>
      <c r="C2046" s="8" t="s">
        <v>476</v>
      </c>
      <c r="D2046" s="8" t="s">
        <v>2787</v>
      </c>
      <c r="E2046" s="8" t="str">
        <f t="shared" si="201"/>
        <v>BORGOÑA</v>
      </c>
      <c r="H2046" s="8" t="str">
        <f>VLOOKUP(A2046,[1]BBDD!$B$1:$J$3274,9,FALSE)</f>
        <v>H</v>
      </c>
      <c r="I2046" s="8" t="s">
        <v>2863</v>
      </c>
      <c r="J2046" s="8" t="s">
        <v>2788</v>
      </c>
      <c r="L2046" s="8" t="s">
        <v>479</v>
      </c>
      <c r="N2046" s="8" t="s">
        <v>2795</v>
      </c>
      <c r="O2046" s="8" t="s">
        <v>2795</v>
      </c>
      <c r="P2046" s="18" t="str">
        <f t="shared" si="206"/>
        <v>40</v>
      </c>
      <c r="Q2046" s="8" t="s">
        <v>45</v>
      </c>
      <c r="R2046" s="8">
        <v>2</v>
      </c>
      <c r="S2046" s="8">
        <v>3</v>
      </c>
      <c r="T2046" s="8">
        <f t="shared" si="204"/>
        <v>5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180</v>
      </c>
      <c r="AB2046" s="9">
        <f t="shared" si="205"/>
        <v>0</v>
      </c>
      <c r="AC2046" s="10" t="str">
        <f t="shared" si="202"/>
        <v>sin venta</v>
      </c>
      <c r="AD2046" s="8" t="s">
        <v>109</v>
      </c>
      <c r="AE2046" s="11">
        <v>99990</v>
      </c>
      <c r="AF2046" s="11">
        <f t="shared" si="203"/>
        <v>499950</v>
      </c>
      <c r="AG2046" s="12" t="s">
        <v>73</v>
      </c>
      <c r="AH2046" s="8" t="s">
        <v>35</v>
      </c>
    </row>
    <row r="2047" spans="1:34">
      <c r="A2047" s="8" t="s">
        <v>2797</v>
      </c>
      <c r="B2047" s="16" t="s">
        <v>481</v>
      </c>
      <c r="C2047" s="8" t="s">
        <v>476</v>
      </c>
      <c r="D2047" s="8" t="s">
        <v>2787</v>
      </c>
      <c r="E2047" s="8" t="str">
        <f t="shared" si="201"/>
        <v>BORGOÑA</v>
      </c>
      <c r="H2047" s="8" t="str">
        <f>VLOOKUP(A2047,[1]BBDD!$B$1:$J$3274,9,FALSE)</f>
        <v>H</v>
      </c>
      <c r="I2047" s="8" t="s">
        <v>2863</v>
      </c>
      <c r="J2047" s="8" t="s">
        <v>2788</v>
      </c>
      <c r="L2047" s="8" t="s">
        <v>479</v>
      </c>
      <c r="N2047" s="8" t="s">
        <v>2795</v>
      </c>
      <c r="O2047" s="8" t="s">
        <v>2795</v>
      </c>
      <c r="P2047" s="18" t="str">
        <f t="shared" si="206"/>
        <v>41</v>
      </c>
      <c r="Q2047" s="8" t="s">
        <v>45</v>
      </c>
      <c r="R2047" s="8">
        <v>1</v>
      </c>
      <c r="S2047" s="8">
        <v>4</v>
      </c>
      <c r="T2047" s="8">
        <f t="shared" si="204"/>
        <v>5</v>
      </c>
      <c r="U2047" s="8">
        <v>0</v>
      </c>
      <c r="V2047" s="8">
        <v>0</v>
      </c>
      <c r="W2047" s="8">
        <v>0</v>
      </c>
      <c r="X2047" s="8">
        <v>1</v>
      </c>
      <c r="Y2047" s="8">
        <v>0</v>
      </c>
      <c r="Z2047" s="8">
        <v>0</v>
      </c>
      <c r="AA2047" s="8">
        <v>180</v>
      </c>
      <c r="AB2047" s="9">
        <f t="shared" si="205"/>
        <v>0.16666666666666669</v>
      </c>
      <c r="AC2047" s="10">
        <f t="shared" si="202"/>
        <v>29.999999999999996</v>
      </c>
      <c r="AD2047" s="8" t="s">
        <v>109</v>
      </c>
      <c r="AE2047" s="11">
        <v>99990</v>
      </c>
      <c r="AF2047" s="11">
        <f t="shared" si="203"/>
        <v>499950</v>
      </c>
      <c r="AG2047" s="12" t="s">
        <v>73</v>
      </c>
      <c r="AH2047" s="8" t="s">
        <v>35</v>
      </c>
    </row>
    <row r="2048" spans="1:34">
      <c r="A2048" s="8" t="s">
        <v>2798</v>
      </c>
      <c r="B2048" s="16" t="s">
        <v>481</v>
      </c>
      <c r="C2048" s="8" t="s">
        <v>476</v>
      </c>
      <c r="D2048" s="8" t="s">
        <v>2787</v>
      </c>
      <c r="E2048" s="8" t="str">
        <f t="shared" si="201"/>
        <v>BORGOÑA</v>
      </c>
      <c r="H2048" s="8" t="str">
        <f>VLOOKUP(A2048,[1]BBDD!$B$1:$J$3274,9,FALSE)</f>
        <v>H</v>
      </c>
      <c r="I2048" s="8" t="s">
        <v>2863</v>
      </c>
      <c r="J2048" s="8" t="s">
        <v>2788</v>
      </c>
      <c r="L2048" s="8" t="s">
        <v>479</v>
      </c>
      <c r="N2048" s="8" t="s">
        <v>2795</v>
      </c>
      <c r="O2048" s="8" t="s">
        <v>2795</v>
      </c>
      <c r="P2048" s="18" t="str">
        <f t="shared" si="206"/>
        <v>42</v>
      </c>
      <c r="Q2048" s="8" t="s">
        <v>45</v>
      </c>
      <c r="R2048" s="8">
        <v>0</v>
      </c>
      <c r="S2048" s="8">
        <v>5</v>
      </c>
      <c r="T2048" s="8">
        <f t="shared" si="204"/>
        <v>5</v>
      </c>
      <c r="U2048" s="8">
        <v>0</v>
      </c>
      <c r="V2048" s="8">
        <v>0</v>
      </c>
      <c r="W2048" s="8">
        <v>1</v>
      </c>
      <c r="X2048" s="8">
        <v>0</v>
      </c>
      <c r="Y2048" s="8">
        <v>0</v>
      </c>
      <c r="Z2048" s="8">
        <v>0</v>
      </c>
      <c r="AA2048" s="8">
        <v>180</v>
      </c>
      <c r="AB2048" s="9">
        <f t="shared" si="205"/>
        <v>0.16666666666666669</v>
      </c>
      <c r="AC2048" s="10">
        <f t="shared" si="202"/>
        <v>29.999999999999996</v>
      </c>
      <c r="AD2048" s="8" t="s">
        <v>109</v>
      </c>
      <c r="AE2048" s="11">
        <v>99990</v>
      </c>
      <c r="AF2048" s="11">
        <f t="shared" si="203"/>
        <v>499950</v>
      </c>
      <c r="AG2048" s="12" t="s">
        <v>73</v>
      </c>
      <c r="AH2048" s="8" t="s">
        <v>35</v>
      </c>
    </row>
    <row r="2049" spans="1:34">
      <c r="A2049" s="8" t="s">
        <v>2799</v>
      </c>
      <c r="B2049" s="16" t="s">
        <v>481</v>
      </c>
      <c r="C2049" s="8" t="s">
        <v>476</v>
      </c>
      <c r="D2049" s="8" t="s">
        <v>2787</v>
      </c>
      <c r="E2049" s="8" t="str">
        <f t="shared" si="201"/>
        <v>BORGOÑA</v>
      </c>
      <c r="H2049" s="8" t="str">
        <f>VLOOKUP(A2049,[1]BBDD!$B$1:$J$3274,9,FALSE)</f>
        <v>H</v>
      </c>
      <c r="I2049" s="8" t="s">
        <v>2863</v>
      </c>
      <c r="J2049" s="8" t="s">
        <v>2788</v>
      </c>
      <c r="L2049" s="8" t="s">
        <v>479</v>
      </c>
      <c r="N2049" s="8" t="s">
        <v>2795</v>
      </c>
      <c r="O2049" s="8" t="s">
        <v>2795</v>
      </c>
      <c r="P2049" s="18" t="str">
        <f t="shared" si="206"/>
        <v>43</v>
      </c>
      <c r="Q2049" s="8" t="s">
        <v>45</v>
      </c>
      <c r="R2049" s="8">
        <v>0</v>
      </c>
      <c r="S2049" s="8">
        <v>5</v>
      </c>
      <c r="T2049" s="8">
        <f t="shared" si="204"/>
        <v>5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180</v>
      </c>
      <c r="AB2049" s="9">
        <f t="shared" si="205"/>
        <v>0</v>
      </c>
      <c r="AC2049" s="10" t="str">
        <f t="shared" si="202"/>
        <v>sin venta</v>
      </c>
      <c r="AD2049" s="8" t="s">
        <v>109</v>
      </c>
      <c r="AE2049" s="11">
        <v>99990</v>
      </c>
      <c r="AF2049" s="11">
        <f t="shared" si="203"/>
        <v>499950</v>
      </c>
      <c r="AG2049" s="12" t="s">
        <v>73</v>
      </c>
      <c r="AH2049" s="8" t="s">
        <v>35</v>
      </c>
    </row>
    <row r="2050" spans="1:34">
      <c r="A2050" s="8" t="s">
        <v>2800</v>
      </c>
      <c r="B2050" s="16" t="s">
        <v>481</v>
      </c>
      <c r="C2050" s="8" t="s">
        <v>476</v>
      </c>
      <c r="D2050" s="8" t="s">
        <v>2787</v>
      </c>
      <c r="E2050" s="8" t="str">
        <f t="shared" si="201"/>
        <v>BORGOÑA</v>
      </c>
      <c r="H2050" s="8" t="str">
        <f>VLOOKUP(A2050,[1]BBDD!$B$1:$J$3274,9,FALSE)</f>
        <v>H</v>
      </c>
      <c r="I2050" s="8" t="s">
        <v>2863</v>
      </c>
      <c r="J2050" s="8" t="s">
        <v>2788</v>
      </c>
      <c r="L2050" s="8" t="s">
        <v>479</v>
      </c>
      <c r="N2050" s="8" t="s">
        <v>2795</v>
      </c>
      <c r="O2050" s="8" t="s">
        <v>2795</v>
      </c>
      <c r="P2050" s="18" t="str">
        <f t="shared" si="206"/>
        <v>44</v>
      </c>
      <c r="Q2050" s="8" t="s">
        <v>45</v>
      </c>
      <c r="R2050" s="8">
        <v>1</v>
      </c>
      <c r="S2050" s="8">
        <v>2</v>
      </c>
      <c r="T2050" s="8">
        <f t="shared" si="204"/>
        <v>3</v>
      </c>
      <c r="U2050" s="8">
        <v>1</v>
      </c>
      <c r="V2050" s="8">
        <v>1</v>
      </c>
      <c r="W2050" s="8">
        <v>0</v>
      </c>
      <c r="X2050" s="8">
        <v>0</v>
      </c>
      <c r="Y2050" s="8">
        <v>0</v>
      </c>
      <c r="Z2050" s="8">
        <v>0</v>
      </c>
      <c r="AA2050" s="8">
        <v>180</v>
      </c>
      <c r="AB2050" s="9">
        <f t="shared" si="205"/>
        <v>0.33333333333333337</v>
      </c>
      <c r="AC2050" s="10">
        <f t="shared" si="202"/>
        <v>8.9999999999999982</v>
      </c>
      <c r="AD2050" s="8" t="s">
        <v>109</v>
      </c>
      <c r="AE2050" s="11">
        <v>99990</v>
      </c>
      <c r="AF2050" s="11">
        <f t="shared" si="203"/>
        <v>299970</v>
      </c>
      <c r="AG2050" s="12" t="s">
        <v>51</v>
      </c>
      <c r="AH2050" s="8" t="s">
        <v>35</v>
      </c>
    </row>
    <row r="2051" spans="1:34">
      <c r="A2051" s="8" t="s">
        <v>2801</v>
      </c>
      <c r="B2051" s="16" t="s">
        <v>481</v>
      </c>
      <c r="C2051" s="8" t="s">
        <v>476</v>
      </c>
      <c r="D2051" s="8" t="s">
        <v>2787</v>
      </c>
      <c r="E2051" s="8" t="str">
        <f t="shared" ref="E2051:E2100" si="207">TRIM(N2051)</f>
        <v>BORGOÑA</v>
      </c>
      <c r="H2051" s="8" t="str">
        <f>VLOOKUP(A2051,[1]BBDD!$B$1:$J$3274,9,FALSE)</f>
        <v>H</v>
      </c>
      <c r="I2051" s="8" t="s">
        <v>2863</v>
      </c>
      <c r="J2051" s="8" t="s">
        <v>2788</v>
      </c>
      <c r="L2051" s="8" t="s">
        <v>479</v>
      </c>
      <c r="N2051" s="8" t="s">
        <v>2795</v>
      </c>
      <c r="O2051" s="8" t="s">
        <v>2795</v>
      </c>
      <c r="P2051" s="18" t="str">
        <f t="shared" si="206"/>
        <v>45</v>
      </c>
      <c r="Q2051" s="8" t="s">
        <v>45</v>
      </c>
      <c r="R2051" s="8">
        <v>4</v>
      </c>
      <c r="S2051" s="8">
        <v>4</v>
      </c>
      <c r="T2051" s="8">
        <f t="shared" si="204"/>
        <v>8</v>
      </c>
      <c r="U2051" s="8">
        <v>1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180</v>
      </c>
      <c r="AB2051" s="9">
        <f t="shared" si="205"/>
        <v>0.16666666666666669</v>
      </c>
      <c r="AC2051" s="10">
        <f t="shared" ref="AC2051:AC2100" si="208">IFERROR(T2051/AB2051,"sin venta")</f>
        <v>47.999999999999993</v>
      </c>
      <c r="AD2051" s="8" t="s">
        <v>109</v>
      </c>
      <c r="AE2051" s="11">
        <v>99990</v>
      </c>
      <c r="AF2051" s="11">
        <f t="shared" ref="AF2051:AF2100" si="209">IFERROR(AE2051*T2051,0)</f>
        <v>799920</v>
      </c>
      <c r="AG2051" s="12" t="s">
        <v>73</v>
      </c>
      <c r="AH2051" s="8" t="s">
        <v>35</v>
      </c>
    </row>
    <row r="2052" spans="1:34">
      <c r="A2052" s="8" t="s">
        <v>2802</v>
      </c>
      <c r="B2052" s="16" t="s">
        <v>481</v>
      </c>
      <c r="C2052" s="8" t="s">
        <v>476</v>
      </c>
      <c r="D2052" s="8" t="s">
        <v>2787</v>
      </c>
      <c r="E2052" s="8" t="str">
        <f t="shared" si="207"/>
        <v>NEGRO</v>
      </c>
      <c r="H2052" s="8" t="str">
        <f>VLOOKUP(A2052,[1]BBDD!$B$1:$J$3274,9,FALSE)</f>
        <v>H</v>
      </c>
      <c r="I2052" s="8" t="s">
        <v>2863</v>
      </c>
      <c r="J2052" s="8" t="s">
        <v>2788</v>
      </c>
      <c r="L2052" s="8" t="s">
        <v>479</v>
      </c>
      <c r="N2052" s="8" t="s">
        <v>44</v>
      </c>
      <c r="O2052" s="8" t="s">
        <v>44</v>
      </c>
      <c r="P2052" s="18" t="str">
        <f t="shared" si="206"/>
        <v>39</v>
      </c>
      <c r="Q2052" s="8" t="s">
        <v>45</v>
      </c>
      <c r="R2052" s="8">
        <v>0</v>
      </c>
      <c r="S2052" s="8">
        <v>4</v>
      </c>
      <c r="T2052" s="8">
        <f t="shared" si="204"/>
        <v>4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180</v>
      </c>
      <c r="AB2052" s="9">
        <f t="shared" si="205"/>
        <v>0</v>
      </c>
      <c r="AC2052" s="10" t="str">
        <f t="shared" si="208"/>
        <v>sin venta</v>
      </c>
      <c r="AD2052" s="8" t="s">
        <v>109</v>
      </c>
      <c r="AE2052" s="11">
        <v>99990</v>
      </c>
      <c r="AF2052" s="11">
        <f t="shared" si="209"/>
        <v>399960</v>
      </c>
      <c r="AG2052" s="12" t="s">
        <v>73</v>
      </c>
      <c r="AH2052" s="8" t="s">
        <v>35</v>
      </c>
    </row>
    <row r="2053" spans="1:34">
      <c r="A2053" s="8" t="s">
        <v>2803</v>
      </c>
      <c r="B2053" s="16" t="s">
        <v>481</v>
      </c>
      <c r="C2053" s="8" t="s">
        <v>476</v>
      </c>
      <c r="D2053" s="8" t="s">
        <v>2787</v>
      </c>
      <c r="E2053" s="8" t="str">
        <f t="shared" si="207"/>
        <v>NEGRO</v>
      </c>
      <c r="H2053" s="8" t="str">
        <f>VLOOKUP(A2053,[1]BBDD!$B$1:$J$3274,9,FALSE)</f>
        <v>H</v>
      </c>
      <c r="I2053" s="8" t="s">
        <v>2863</v>
      </c>
      <c r="J2053" s="8" t="s">
        <v>2788</v>
      </c>
      <c r="L2053" s="8" t="s">
        <v>479</v>
      </c>
      <c r="N2053" s="8" t="s">
        <v>44</v>
      </c>
      <c r="O2053" s="8" t="s">
        <v>44</v>
      </c>
      <c r="P2053" s="18" t="str">
        <f t="shared" si="206"/>
        <v>40</v>
      </c>
      <c r="Q2053" s="8" t="s">
        <v>45</v>
      </c>
      <c r="R2053" s="8">
        <v>3</v>
      </c>
      <c r="S2053" s="8">
        <v>2</v>
      </c>
      <c r="T2053" s="8">
        <f t="shared" si="204"/>
        <v>5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1</v>
      </c>
      <c r="AA2053" s="8">
        <v>180</v>
      </c>
      <c r="AB2053" s="9">
        <f t="shared" si="205"/>
        <v>0.16666666666666669</v>
      </c>
      <c r="AC2053" s="10">
        <f t="shared" si="208"/>
        <v>29.999999999999996</v>
      </c>
      <c r="AD2053" s="8" t="s">
        <v>109</v>
      </c>
      <c r="AE2053" s="11">
        <v>99990</v>
      </c>
      <c r="AF2053" s="11">
        <f t="shared" si="209"/>
        <v>499950</v>
      </c>
      <c r="AG2053" s="12" t="s">
        <v>73</v>
      </c>
      <c r="AH2053" s="8" t="s">
        <v>35</v>
      </c>
    </row>
    <row r="2054" spans="1:34">
      <c r="A2054" s="8" t="s">
        <v>2804</v>
      </c>
      <c r="B2054" s="16" t="s">
        <v>481</v>
      </c>
      <c r="C2054" s="8" t="s">
        <v>476</v>
      </c>
      <c r="D2054" s="8" t="s">
        <v>2787</v>
      </c>
      <c r="E2054" s="8" t="str">
        <f t="shared" si="207"/>
        <v>NEGRO</v>
      </c>
      <c r="H2054" s="8" t="str">
        <f>VLOOKUP(A2054,[1]BBDD!$B$1:$J$3274,9,FALSE)</f>
        <v>H</v>
      </c>
      <c r="I2054" s="8" t="s">
        <v>2863</v>
      </c>
      <c r="J2054" s="8" t="s">
        <v>2788</v>
      </c>
      <c r="L2054" s="8" t="s">
        <v>479</v>
      </c>
      <c r="N2054" s="8" t="s">
        <v>44</v>
      </c>
      <c r="O2054" s="8" t="s">
        <v>44</v>
      </c>
      <c r="P2054" s="18" t="str">
        <f t="shared" si="206"/>
        <v>41</v>
      </c>
      <c r="Q2054" s="8" t="s">
        <v>45</v>
      </c>
      <c r="R2054" s="8">
        <v>0</v>
      </c>
      <c r="S2054" s="8">
        <v>2</v>
      </c>
      <c r="T2054" s="8">
        <f t="shared" si="204"/>
        <v>2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8">
        <v>180</v>
      </c>
      <c r="AB2054" s="9">
        <f t="shared" si="205"/>
        <v>0</v>
      </c>
      <c r="AC2054" s="10" t="str">
        <f t="shared" si="208"/>
        <v>sin venta</v>
      </c>
      <c r="AD2054" s="8" t="s">
        <v>109</v>
      </c>
      <c r="AE2054" s="11">
        <v>99990</v>
      </c>
      <c r="AF2054" s="11">
        <f t="shared" si="209"/>
        <v>199980</v>
      </c>
      <c r="AG2054" s="12" t="s">
        <v>73</v>
      </c>
      <c r="AH2054" s="8" t="s">
        <v>35</v>
      </c>
    </row>
    <row r="2055" spans="1:34">
      <c r="A2055" s="8" t="s">
        <v>2805</v>
      </c>
      <c r="B2055" s="16" t="s">
        <v>481</v>
      </c>
      <c r="C2055" s="8" t="s">
        <v>476</v>
      </c>
      <c r="D2055" s="8" t="s">
        <v>2787</v>
      </c>
      <c r="E2055" s="8" t="str">
        <f t="shared" si="207"/>
        <v>NEGRO</v>
      </c>
      <c r="H2055" s="8" t="str">
        <f>VLOOKUP(A2055,[1]BBDD!$B$1:$J$3274,9,FALSE)</f>
        <v>H</v>
      </c>
      <c r="I2055" s="8" t="s">
        <v>2863</v>
      </c>
      <c r="J2055" s="8" t="s">
        <v>2788</v>
      </c>
      <c r="L2055" s="8" t="s">
        <v>479</v>
      </c>
      <c r="N2055" s="8" t="s">
        <v>44</v>
      </c>
      <c r="O2055" s="8" t="s">
        <v>44</v>
      </c>
      <c r="P2055" s="18" t="str">
        <f t="shared" si="206"/>
        <v>42</v>
      </c>
      <c r="Q2055" s="8" t="s">
        <v>45</v>
      </c>
      <c r="R2055" s="8">
        <v>1</v>
      </c>
      <c r="S2055" s="8">
        <v>2</v>
      </c>
      <c r="T2055" s="8">
        <f t="shared" si="204"/>
        <v>3</v>
      </c>
      <c r="U2055" s="8">
        <v>1</v>
      </c>
      <c r="V2055" s="8">
        <v>0</v>
      </c>
      <c r="W2055" s="8">
        <v>0</v>
      </c>
      <c r="X2055" s="8">
        <v>0</v>
      </c>
      <c r="Y2055" s="8">
        <v>1</v>
      </c>
      <c r="Z2055" s="8">
        <v>0</v>
      </c>
      <c r="AA2055" s="8">
        <v>180</v>
      </c>
      <c r="AB2055" s="9">
        <f t="shared" si="205"/>
        <v>0.33333333333333337</v>
      </c>
      <c r="AC2055" s="10">
        <f t="shared" si="208"/>
        <v>8.9999999999999982</v>
      </c>
      <c r="AD2055" s="8" t="s">
        <v>109</v>
      </c>
      <c r="AE2055" s="11">
        <v>99990</v>
      </c>
      <c r="AF2055" s="11">
        <f t="shared" si="209"/>
        <v>299970</v>
      </c>
      <c r="AG2055" s="12" t="s">
        <v>51</v>
      </c>
      <c r="AH2055" s="8" t="s">
        <v>35</v>
      </c>
    </row>
    <row r="2056" spans="1:34">
      <c r="A2056" s="8" t="s">
        <v>2806</v>
      </c>
      <c r="B2056" s="16" t="s">
        <v>481</v>
      </c>
      <c r="C2056" s="8" t="s">
        <v>476</v>
      </c>
      <c r="D2056" s="8" t="s">
        <v>2787</v>
      </c>
      <c r="E2056" s="8" t="str">
        <f t="shared" si="207"/>
        <v>NEGRO</v>
      </c>
      <c r="H2056" s="8" t="str">
        <f>VLOOKUP(A2056,[1]BBDD!$B$1:$J$3274,9,FALSE)</f>
        <v>H</v>
      </c>
      <c r="I2056" s="8" t="s">
        <v>2863</v>
      </c>
      <c r="J2056" s="8" t="s">
        <v>2788</v>
      </c>
      <c r="L2056" s="8" t="s">
        <v>479</v>
      </c>
      <c r="N2056" s="8" t="s">
        <v>44</v>
      </c>
      <c r="O2056" s="8" t="s">
        <v>44</v>
      </c>
      <c r="P2056" s="18" t="str">
        <f t="shared" si="206"/>
        <v>43</v>
      </c>
      <c r="Q2056" s="8" t="s">
        <v>45</v>
      </c>
      <c r="R2056" s="8">
        <v>5</v>
      </c>
      <c r="S2056" s="8">
        <v>2</v>
      </c>
      <c r="T2056" s="8">
        <f t="shared" si="204"/>
        <v>7</v>
      </c>
      <c r="U2056" s="8">
        <v>1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8">
        <v>180</v>
      </c>
      <c r="AB2056" s="9">
        <f t="shared" si="205"/>
        <v>0.16666666666666669</v>
      </c>
      <c r="AC2056" s="10">
        <f t="shared" si="208"/>
        <v>41.999999999999993</v>
      </c>
      <c r="AD2056" s="8" t="s">
        <v>109</v>
      </c>
      <c r="AE2056" s="11">
        <v>99990</v>
      </c>
      <c r="AF2056" s="11">
        <f t="shared" si="209"/>
        <v>699930</v>
      </c>
      <c r="AG2056" s="12" t="s">
        <v>73</v>
      </c>
      <c r="AH2056" s="8" t="s">
        <v>35</v>
      </c>
    </row>
    <row r="2057" spans="1:34">
      <c r="A2057" s="8" t="s">
        <v>2807</v>
      </c>
      <c r="B2057" s="16" t="s">
        <v>481</v>
      </c>
      <c r="C2057" s="8" t="s">
        <v>476</v>
      </c>
      <c r="D2057" s="8" t="s">
        <v>2787</v>
      </c>
      <c r="E2057" s="8" t="str">
        <f t="shared" si="207"/>
        <v>NEGRO</v>
      </c>
      <c r="H2057" s="8" t="str">
        <f>VLOOKUP(A2057,[1]BBDD!$B$1:$J$3274,9,FALSE)</f>
        <v>H</v>
      </c>
      <c r="I2057" s="8" t="s">
        <v>2863</v>
      </c>
      <c r="J2057" s="8" t="s">
        <v>2788</v>
      </c>
      <c r="L2057" s="8" t="s">
        <v>479</v>
      </c>
      <c r="N2057" s="8" t="s">
        <v>44</v>
      </c>
      <c r="O2057" s="8" t="s">
        <v>44</v>
      </c>
      <c r="P2057" s="18" t="str">
        <f t="shared" si="206"/>
        <v>44</v>
      </c>
      <c r="Q2057" s="8" t="s">
        <v>45</v>
      </c>
      <c r="R2057" s="8">
        <v>3</v>
      </c>
      <c r="S2057" s="8">
        <v>2</v>
      </c>
      <c r="T2057" s="8">
        <f t="shared" si="204"/>
        <v>5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1</v>
      </c>
      <c r="AA2057" s="8">
        <v>180</v>
      </c>
      <c r="AB2057" s="9">
        <f t="shared" si="205"/>
        <v>0.16666666666666669</v>
      </c>
      <c r="AC2057" s="10">
        <f t="shared" si="208"/>
        <v>29.999999999999996</v>
      </c>
      <c r="AD2057" s="8" t="s">
        <v>109</v>
      </c>
      <c r="AE2057" s="11">
        <v>99990</v>
      </c>
      <c r="AF2057" s="11">
        <f t="shared" si="209"/>
        <v>499950</v>
      </c>
      <c r="AG2057" s="12" t="s">
        <v>73</v>
      </c>
      <c r="AH2057" s="8" t="s">
        <v>35</v>
      </c>
    </row>
    <row r="2058" spans="1:34">
      <c r="A2058" s="8" t="s">
        <v>2808</v>
      </c>
      <c r="B2058" s="16" t="s">
        <v>481</v>
      </c>
      <c r="C2058" s="8" t="s">
        <v>476</v>
      </c>
      <c r="D2058" s="8" t="s">
        <v>2787</v>
      </c>
      <c r="E2058" s="8" t="str">
        <f t="shared" si="207"/>
        <v>NEGRO</v>
      </c>
      <c r="H2058" s="8" t="str">
        <f>VLOOKUP(A2058,[1]BBDD!$B$1:$J$3274,9,FALSE)</f>
        <v>H</v>
      </c>
      <c r="I2058" s="8" t="s">
        <v>2863</v>
      </c>
      <c r="J2058" s="8" t="s">
        <v>2788</v>
      </c>
      <c r="L2058" s="8" t="s">
        <v>479</v>
      </c>
      <c r="N2058" s="8" t="s">
        <v>44</v>
      </c>
      <c r="O2058" s="8" t="s">
        <v>44</v>
      </c>
      <c r="P2058" s="18" t="str">
        <f t="shared" si="206"/>
        <v>45</v>
      </c>
      <c r="Q2058" s="8" t="s">
        <v>45</v>
      </c>
      <c r="R2058" s="8">
        <v>4</v>
      </c>
      <c r="S2058" s="8">
        <v>3</v>
      </c>
      <c r="T2058" s="8">
        <f t="shared" si="204"/>
        <v>7</v>
      </c>
      <c r="U2058" s="8">
        <v>1</v>
      </c>
      <c r="V2058" s="8">
        <v>0</v>
      </c>
      <c r="W2058" s="8">
        <v>0</v>
      </c>
      <c r="X2058" s="8">
        <v>0</v>
      </c>
      <c r="Y2058" s="8">
        <v>0</v>
      </c>
      <c r="Z2058" s="8">
        <v>0</v>
      </c>
      <c r="AA2058" s="8">
        <v>180</v>
      </c>
      <c r="AB2058" s="9">
        <f t="shared" si="205"/>
        <v>0.16666666666666669</v>
      </c>
      <c r="AC2058" s="10">
        <f t="shared" si="208"/>
        <v>41.999999999999993</v>
      </c>
      <c r="AD2058" s="8" t="s">
        <v>109</v>
      </c>
      <c r="AE2058" s="11">
        <v>99990</v>
      </c>
      <c r="AF2058" s="11">
        <f t="shared" si="209"/>
        <v>699930</v>
      </c>
      <c r="AG2058" s="12" t="s">
        <v>73</v>
      </c>
      <c r="AH2058" s="8" t="s">
        <v>35</v>
      </c>
    </row>
    <row r="2059" spans="1:34">
      <c r="A2059" s="8" t="s">
        <v>2809</v>
      </c>
      <c r="B2059" s="16" t="s">
        <v>481</v>
      </c>
      <c r="C2059" s="8" t="s">
        <v>476</v>
      </c>
      <c r="D2059" s="8" t="s">
        <v>2787</v>
      </c>
      <c r="E2059" s="8" t="str">
        <f t="shared" si="207"/>
        <v>TABACO</v>
      </c>
      <c r="H2059" s="8" t="str">
        <f>VLOOKUP(A2059,[1]BBDD!$B$1:$J$3274,9,FALSE)</f>
        <v>H</v>
      </c>
      <c r="I2059" s="8" t="s">
        <v>2863</v>
      </c>
      <c r="J2059" s="8" t="s">
        <v>2788</v>
      </c>
      <c r="L2059" s="8" t="s">
        <v>479</v>
      </c>
      <c r="N2059" s="8" t="s">
        <v>67</v>
      </c>
      <c r="O2059" s="8" t="s">
        <v>67</v>
      </c>
      <c r="P2059" s="18" t="str">
        <f t="shared" si="206"/>
        <v>39</v>
      </c>
      <c r="Q2059" s="8" t="s">
        <v>45</v>
      </c>
      <c r="R2059" s="8">
        <v>6</v>
      </c>
      <c r="S2059" s="8">
        <v>3</v>
      </c>
      <c r="T2059" s="8">
        <f t="shared" si="204"/>
        <v>9</v>
      </c>
      <c r="U2059" s="8">
        <v>0</v>
      </c>
      <c r="V2059" s="8">
        <v>0</v>
      </c>
      <c r="W2059" s="8">
        <v>0</v>
      </c>
      <c r="X2059" s="8">
        <v>1</v>
      </c>
      <c r="Y2059" s="8">
        <v>0</v>
      </c>
      <c r="Z2059" s="8">
        <v>0</v>
      </c>
      <c r="AA2059" s="8">
        <v>180</v>
      </c>
      <c r="AB2059" s="9">
        <f t="shared" si="205"/>
        <v>0.16666666666666669</v>
      </c>
      <c r="AC2059" s="10">
        <f t="shared" si="208"/>
        <v>53.999999999999993</v>
      </c>
      <c r="AD2059" s="8" t="s">
        <v>109</v>
      </c>
      <c r="AE2059" s="11">
        <v>99990</v>
      </c>
      <c r="AF2059" s="11">
        <f t="shared" si="209"/>
        <v>899910</v>
      </c>
      <c r="AG2059" s="12" t="s">
        <v>73</v>
      </c>
      <c r="AH2059" s="8" t="s">
        <v>35</v>
      </c>
    </row>
    <row r="2060" spans="1:34">
      <c r="A2060" s="8" t="s">
        <v>2810</v>
      </c>
      <c r="B2060" s="16" t="s">
        <v>481</v>
      </c>
      <c r="C2060" s="8" t="s">
        <v>476</v>
      </c>
      <c r="D2060" s="8" t="s">
        <v>2787</v>
      </c>
      <c r="E2060" s="8" t="str">
        <f t="shared" si="207"/>
        <v>TABACO</v>
      </c>
      <c r="H2060" s="8" t="str">
        <f>VLOOKUP(A2060,[1]BBDD!$B$1:$J$3274,9,FALSE)</f>
        <v>H</v>
      </c>
      <c r="I2060" s="8" t="s">
        <v>2863</v>
      </c>
      <c r="J2060" s="8" t="s">
        <v>2788</v>
      </c>
      <c r="L2060" s="8" t="s">
        <v>479</v>
      </c>
      <c r="N2060" s="8" t="s">
        <v>67</v>
      </c>
      <c r="O2060" s="8" t="s">
        <v>67</v>
      </c>
      <c r="P2060" s="18" t="str">
        <f t="shared" si="206"/>
        <v>40</v>
      </c>
      <c r="Q2060" s="8" t="s">
        <v>45</v>
      </c>
      <c r="R2060" s="8">
        <v>2</v>
      </c>
      <c r="S2060" s="8">
        <v>3</v>
      </c>
      <c r="T2060" s="8">
        <f t="shared" si="204"/>
        <v>5</v>
      </c>
      <c r="U2060" s="8">
        <v>0</v>
      </c>
      <c r="V2060" s="8">
        <v>1</v>
      </c>
      <c r="W2060" s="8">
        <v>1</v>
      </c>
      <c r="X2060" s="8">
        <v>0</v>
      </c>
      <c r="Y2060" s="8">
        <v>0</v>
      </c>
      <c r="Z2060" s="8">
        <v>0</v>
      </c>
      <c r="AA2060" s="8">
        <v>180</v>
      </c>
      <c r="AB2060" s="9">
        <f t="shared" si="205"/>
        <v>0.33333333333333337</v>
      </c>
      <c r="AC2060" s="10">
        <f t="shared" si="208"/>
        <v>14.999999999999998</v>
      </c>
      <c r="AD2060" s="8" t="s">
        <v>109</v>
      </c>
      <c r="AE2060" s="11">
        <v>99990</v>
      </c>
      <c r="AF2060" s="11">
        <f t="shared" si="209"/>
        <v>499950</v>
      </c>
      <c r="AG2060" s="12" t="s">
        <v>64</v>
      </c>
      <c r="AH2060" s="8" t="s">
        <v>35</v>
      </c>
    </row>
    <row r="2061" spans="1:34">
      <c r="A2061" s="8" t="s">
        <v>2811</v>
      </c>
      <c r="B2061" s="16" t="s">
        <v>481</v>
      </c>
      <c r="C2061" s="8" t="s">
        <v>476</v>
      </c>
      <c r="D2061" s="8" t="s">
        <v>2787</v>
      </c>
      <c r="E2061" s="8" t="str">
        <f t="shared" si="207"/>
        <v>TABACO</v>
      </c>
      <c r="H2061" s="8" t="str">
        <f>VLOOKUP(A2061,[1]BBDD!$B$1:$J$3274,9,FALSE)</f>
        <v>H</v>
      </c>
      <c r="I2061" s="8" t="s">
        <v>2863</v>
      </c>
      <c r="J2061" s="8" t="s">
        <v>2788</v>
      </c>
      <c r="L2061" s="8" t="s">
        <v>479</v>
      </c>
      <c r="N2061" s="8" t="s">
        <v>67</v>
      </c>
      <c r="O2061" s="8" t="s">
        <v>67</v>
      </c>
      <c r="P2061" s="18" t="str">
        <f t="shared" si="206"/>
        <v>41</v>
      </c>
      <c r="Q2061" s="8" t="s">
        <v>45</v>
      </c>
      <c r="R2061" s="8">
        <v>0</v>
      </c>
      <c r="S2061" s="8">
        <v>4</v>
      </c>
      <c r="T2061" s="8">
        <f t="shared" si="204"/>
        <v>4</v>
      </c>
      <c r="U2061" s="8">
        <v>0</v>
      </c>
      <c r="V2061" s="8">
        <v>0</v>
      </c>
      <c r="W2061" s="8">
        <v>0</v>
      </c>
      <c r="X2061" s="8">
        <v>0</v>
      </c>
      <c r="Y2061" s="8">
        <v>1</v>
      </c>
      <c r="Z2061" s="8">
        <v>1</v>
      </c>
      <c r="AA2061" s="8">
        <v>180</v>
      </c>
      <c r="AB2061" s="9">
        <f t="shared" si="205"/>
        <v>0.33333333333333337</v>
      </c>
      <c r="AC2061" s="10">
        <f t="shared" si="208"/>
        <v>11.999999999999998</v>
      </c>
      <c r="AD2061" s="8" t="s">
        <v>109</v>
      </c>
      <c r="AE2061" s="11">
        <v>99990</v>
      </c>
      <c r="AF2061" s="11">
        <f t="shared" si="209"/>
        <v>399960</v>
      </c>
      <c r="AG2061" s="12" t="s">
        <v>51</v>
      </c>
      <c r="AH2061" s="8" t="s">
        <v>35</v>
      </c>
    </row>
    <row r="2062" spans="1:34">
      <c r="A2062" s="8" t="s">
        <v>2812</v>
      </c>
      <c r="B2062" s="16" t="s">
        <v>481</v>
      </c>
      <c r="C2062" s="8" t="s">
        <v>476</v>
      </c>
      <c r="D2062" s="8" t="s">
        <v>2787</v>
      </c>
      <c r="E2062" s="8" t="str">
        <f t="shared" si="207"/>
        <v>TABACO</v>
      </c>
      <c r="H2062" s="8" t="str">
        <f>VLOOKUP(A2062,[1]BBDD!$B$1:$J$3274,9,FALSE)</f>
        <v>H</v>
      </c>
      <c r="I2062" s="8" t="s">
        <v>2863</v>
      </c>
      <c r="J2062" s="8" t="s">
        <v>2788</v>
      </c>
      <c r="L2062" s="8" t="s">
        <v>479</v>
      </c>
      <c r="N2062" s="8" t="s">
        <v>67</v>
      </c>
      <c r="O2062" s="8" t="s">
        <v>67</v>
      </c>
      <c r="P2062" s="18" t="str">
        <f t="shared" si="206"/>
        <v>43</v>
      </c>
      <c r="Q2062" s="8" t="s">
        <v>45</v>
      </c>
      <c r="R2062" s="8">
        <v>0</v>
      </c>
      <c r="S2062" s="8">
        <v>2</v>
      </c>
      <c r="T2062" s="8">
        <f t="shared" si="204"/>
        <v>2</v>
      </c>
      <c r="U2062" s="8">
        <v>1</v>
      </c>
      <c r="V2062" s="8">
        <v>0</v>
      </c>
      <c r="W2062" s="8">
        <v>0</v>
      </c>
      <c r="X2062" s="8">
        <v>1</v>
      </c>
      <c r="Y2062" s="8">
        <v>0</v>
      </c>
      <c r="Z2062" s="8">
        <v>1</v>
      </c>
      <c r="AA2062" s="8">
        <v>180</v>
      </c>
      <c r="AB2062" s="9">
        <f t="shared" si="205"/>
        <v>0.5</v>
      </c>
      <c r="AC2062" s="10">
        <f t="shared" si="208"/>
        <v>4</v>
      </c>
      <c r="AD2062" s="8" t="s">
        <v>109</v>
      </c>
      <c r="AE2062" s="11">
        <v>99990</v>
      </c>
      <c r="AF2062" s="11">
        <f t="shared" si="209"/>
        <v>199980</v>
      </c>
      <c r="AG2062" s="12" t="s">
        <v>34</v>
      </c>
      <c r="AH2062" s="8" t="s">
        <v>35</v>
      </c>
    </row>
    <row r="2063" spans="1:34">
      <c r="A2063" s="8" t="s">
        <v>2813</v>
      </c>
      <c r="B2063" s="16" t="s">
        <v>481</v>
      </c>
      <c r="C2063" s="8" t="s">
        <v>476</v>
      </c>
      <c r="D2063" s="8" t="s">
        <v>2787</v>
      </c>
      <c r="E2063" s="8" t="str">
        <f t="shared" si="207"/>
        <v>TABACO</v>
      </c>
      <c r="H2063" s="8" t="str">
        <f>VLOOKUP(A2063,[1]BBDD!$B$1:$J$3274,9,FALSE)</f>
        <v>H</v>
      </c>
      <c r="I2063" s="8" t="s">
        <v>2863</v>
      </c>
      <c r="J2063" s="8" t="s">
        <v>2788</v>
      </c>
      <c r="L2063" s="8" t="s">
        <v>479</v>
      </c>
      <c r="N2063" s="8" t="s">
        <v>67</v>
      </c>
      <c r="O2063" s="8" t="s">
        <v>67</v>
      </c>
      <c r="P2063" s="18" t="str">
        <f t="shared" si="206"/>
        <v>44</v>
      </c>
      <c r="Q2063" s="8" t="s">
        <v>45</v>
      </c>
      <c r="R2063" s="8">
        <v>1</v>
      </c>
      <c r="S2063" s="8">
        <v>2</v>
      </c>
      <c r="T2063" s="8">
        <f t="shared" si="204"/>
        <v>3</v>
      </c>
      <c r="U2063" s="8">
        <v>0</v>
      </c>
      <c r="V2063" s="8">
        <v>0</v>
      </c>
      <c r="W2063" s="8">
        <v>2</v>
      </c>
      <c r="X2063" s="8">
        <v>0</v>
      </c>
      <c r="Y2063" s="8">
        <v>0</v>
      </c>
      <c r="Z2063" s="8">
        <v>0</v>
      </c>
      <c r="AA2063" s="8">
        <v>180</v>
      </c>
      <c r="AB2063" s="9">
        <f t="shared" si="205"/>
        <v>0.33333333333333337</v>
      </c>
      <c r="AC2063" s="10">
        <f t="shared" si="208"/>
        <v>8.9999999999999982</v>
      </c>
      <c r="AD2063" s="8" t="s">
        <v>109</v>
      </c>
      <c r="AE2063" s="11">
        <v>99990</v>
      </c>
      <c r="AF2063" s="11">
        <f t="shared" si="209"/>
        <v>299970</v>
      </c>
      <c r="AG2063" s="12" t="s">
        <v>51</v>
      </c>
      <c r="AH2063" s="8" t="s">
        <v>35</v>
      </c>
    </row>
    <row r="2064" spans="1:34">
      <c r="A2064" s="8" t="s">
        <v>2814</v>
      </c>
      <c r="B2064" s="16" t="s">
        <v>481</v>
      </c>
      <c r="C2064" s="8" t="s">
        <v>476</v>
      </c>
      <c r="D2064" s="8" t="s">
        <v>2787</v>
      </c>
      <c r="E2064" s="8" t="str">
        <f t="shared" si="207"/>
        <v>TABACO</v>
      </c>
      <c r="H2064" s="8" t="str">
        <f>VLOOKUP(A2064,[1]BBDD!$B$1:$J$3274,9,FALSE)</f>
        <v>H</v>
      </c>
      <c r="I2064" s="8" t="s">
        <v>2863</v>
      </c>
      <c r="J2064" s="8" t="s">
        <v>2788</v>
      </c>
      <c r="L2064" s="8" t="s">
        <v>479</v>
      </c>
      <c r="N2064" s="8" t="s">
        <v>67</v>
      </c>
      <c r="O2064" s="8" t="s">
        <v>67</v>
      </c>
      <c r="P2064" s="18" t="str">
        <f t="shared" si="206"/>
        <v>45</v>
      </c>
      <c r="Q2064" s="8" t="s">
        <v>45</v>
      </c>
      <c r="R2064" s="8">
        <v>5</v>
      </c>
      <c r="S2064" s="8">
        <v>2</v>
      </c>
      <c r="T2064" s="8">
        <f t="shared" si="204"/>
        <v>7</v>
      </c>
      <c r="U2064" s="8">
        <v>0</v>
      </c>
      <c r="V2064" s="8">
        <v>0</v>
      </c>
      <c r="W2064" s="8">
        <v>1</v>
      </c>
      <c r="X2064" s="8">
        <v>0</v>
      </c>
      <c r="Y2064" s="8">
        <v>0</v>
      </c>
      <c r="Z2064" s="8">
        <v>0</v>
      </c>
      <c r="AA2064" s="8">
        <v>180</v>
      </c>
      <c r="AB2064" s="9">
        <f t="shared" si="205"/>
        <v>0.16666666666666669</v>
      </c>
      <c r="AC2064" s="10">
        <f t="shared" si="208"/>
        <v>41.999999999999993</v>
      </c>
      <c r="AD2064" s="8" t="s">
        <v>109</v>
      </c>
      <c r="AE2064" s="11">
        <v>99990</v>
      </c>
      <c r="AF2064" s="11">
        <f t="shared" si="209"/>
        <v>699930</v>
      </c>
      <c r="AG2064" s="12" t="s">
        <v>73</v>
      </c>
      <c r="AH2064" s="8" t="s">
        <v>35</v>
      </c>
    </row>
    <row r="2065" spans="1:34">
      <c r="A2065" s="8" t="s">
        <v>2815</v>
      </c>
      <c r="B2065" s="16" t="s">
        <v>481</v>
      </c>
      <c r="C2065" s="8" t="s">
        <v>476</v>
      </c>
      <c r="D2065" s="8" t="s">
        <v>2787</v>
      </c>
      <c r="E2065" s="8" t="str">
        <f t="shared" si="207"/>
        <v>VERDE</v>
      </c>
      <c r="H2065" s="8" t="str">
        <f>VLOOKUP(A2065,[1]BBDD!$B$1:$J$3274,9,FALSE)</f>
        <v>H</v>
      </c>
      <c r="I2065" s="8" t="s">
        <v>2863</v>
      </c>
      <c r="J2065" s="8" t="s">
        <v>2788</v>
      </c>
      <c r="L2065" s="8" t="s">
        <v>479</v>
      </c>
      <c r="N2065" s="8" t="s">
        <v>92</v>
      </c>
      <c r="O2065" s="8" t="s">
        <v>92</v>
      </c>
      <c r="P2065" s="18" t="str">
        <f t="shared" si="206"/>
        <v>39</v>
      </c>
      <c r="Q2065" s="8" t="s">
        <v>45</v>
      </c>
      <c r="R2065" s="8">
        <v>3</v>
      </c>
      <c r="S2065" s="8">
        <v>2</v>
      </c>
      <c r="T2065" s="8">
        <f t="shared" si="204"/>
        <v>5</v>
      </c>
      <c r="U2065" s="8">
        <v>0</v>
      </c>
      <c r="V2065" s="8">
        <v>0</v>
      </c>
      <c r="W2065" s="8">
        <v>0</v>
      </c>
      <c r="X2065" s="8">
        <v>1</v>
      </c>
      <c r="Y2065" s="8">
        <v>0</v>
      </c>
      <c r="Z2065" s="8">
        <v>0</v>
      </c>
      <c r="AA2065" s="8">
        <v>180</v>
      </c>
      <c r="AB2065" s="9">
        <f t="shared" si="205"/>
        <v>0.16666666666666669</v>
      </c>
      <c r="AC2065" s="10">
        <f t="shared" si="208"/>
        <v>29.999999999999996</v>
      </c>
      <c r="AD2065" s="8" t="s">
        <v>109</v>
      </c>
      <c r="AE2065" s="11">
        <v>99990</v>
      </c>
      <c r="AF2065" s="11">
        <f t="shared" si="209"/>
        <v>499950</v>
      </c>
      <c r="AG2065" s="12" t="s">
        <v>73</v>
      </c>
      <c r="AH2065" s="8" t="s">
        <v>35</v>
      </c>
    </row>
    <row r="2066" spans="1:34">
      <c r="A2066" s="8" t="s">
        <v>2816</v>
      </c>
      <c r="B2066" s="16" t="s">
        <v>481</v>
      </c>
      <c r="C2066" s="8" t="s">
        <v>476</v>
      </c>
      <c r="D2066" s="8" t="s">
        <v>2787</v>
      </c>
      <c r="E2066" s="8" t="str">
        <f t="shared" si="207"/>
        <v>VERDE</v>
      </c>
      <c r="H2066" s="8" t="str">
        <f>VLOOKUP(A2066,[1]BBDD!$B$1:$J$3274,9,FALSE)</f>
        <v>H</v>
      </c>
      <c r="I2066" s="8" t="s">
        <v>2863</v>
      </c>
      <c r="J2066" s="8" t="s">
        <v>2788</v>
      </c>
      <c r="L2066" s="8" t="s">
        <v>479</v>
      </c>
      <c r="N2066" s="8" t="s">
        <v>92</v>
      </c>
      <c r="O2066" s="8" t="s">
        <v>92</v>
      </c>
      <c r="P2066" s="18" t="str">
        <f t="shared" si="206"/>
        <v>41</v>
      </c>
      <c r="Q2066" s="8" t="s">
        <v>45</v>
      </c>
      <c r="R2066" s="8">
        <v>0</v>
      </c>
      <c r="S2066" s="8">
        <v>2</v>
      </c>
      <c r="T2066" s="8">
        <f t="shared" si="204"/>
        <v>2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180</v>
      </c>
      <c r="AB2066" s="9">
        <f t="shared" si="205"/>
        <v>0</v>
      </c>
      <c r="AC2066" s="10" t="str">
        <f t="shared" si="208"/>
        <v>sin venta</v>
      </c>
      <c r="AD2066" s="8" t="s">
        <v>109</v>
      </c>
      <c r="AE2066" s="11">
        <v>99990</v>
      </c>
      <c r="AF2066" s="11">
        <f t="shared" si="209"/>
        <v>199980</v>
      </c>
      <c r="AG2066" s="12" t="s">
        <v>73</v>
      </c>
      <c r="AH2066" s="8" t="s">
        <v>35</v>
      </c>
    </row>
    <row r="2067" spans="1:34">
      <c r="A2067" s="8" t="s">
        <v>2817</v>
      </c>
      <c r="B2067" s="16" t="s">
        <v>481</v>
      </c>
      <c r="C2067" s="8" t="s">
        <v>476</v>
      </c>
      <c r="D2067" s="8" t="s">
        <v>2787</v>
      </c>
      <c r="E2067" s="8" t="str">
        <f t="shared" si="207"/>
        <v>VERDE</v>
      </c>
      <c r="H2067" s="8" t="str">
        <f>VLOOKUP(A2067,[1]BBDD!$B$1:$J$3274,9,FALSE)</f>
        <v>H</v>
      </c>
      <c r="I2067" s="8" t="s">
        <v>2863</v>
      </c>
      <c r="J2067" s="8" t="s">
        <v>2788</v>
      </c>
      <c r="L2067" s="8" t="s">
        <v>479</v>
      </c>
      <c r="N2067" s="8" t="s">
        <v>92</v>
      </c>
      <c r="O2067" s="8" t="s">
        <v>92</v>
      </c>
      <c r="P2067" s="18" t="str">
        <f t="shared" si="206"/>
        <v>43</v>
      </c>
      <c r="Q2067" s="8" t="s">
        <v>45</v>
      </c>
      <c r="R2067" s="8">
        <v>0</v>
      </c>
      <c r="S2067" s="8">
        <v>1</v>
      </c>
      <c r="T2067" s="8">
        <f t="shared" si="204"/>
        <v>1</v>
      </c>
      <c r="U2067" s="8">
        <v>1</v>
      </c>
      <c r="V2067" s="8">
        <v>1</v>
      </c>
      <c r="W2067" s="8">
        <v>0</v>
      </c>
      <c r="X2067" s="8">
        <v>0</v>
      </c>
      <c r="Y2067" s="8">
        <v>0</v>
      </c>
      <c r="Z2067" s="8">
        <v>0</v>
      </c>
      <c r="AA2067" s="8">
        <v>180</v>
      </c>
      <c r="AB2067" s="9">
        <f t="shared" si="205"/>
        <v>0.33333333333333337</v>
      </c>
      <c r="AC2067" s="10">
        <f t="shared" si="208"/>
        <v>2.9999999999999996</v>
      </c>
      <c r="AD2067" s="8" t="s">
        <v>109</v>
      </c>
      <c r="AE2067" s="11">
        <v>99990</v>
      </c>
      <c r="AF2067" s="11">
        <f t="shared" si="209"/>
        <v>99990</v>
      </c>
      <c r="AG2067" s="12" t="s">
        <v>34</v>
      </c>
      <c r="AH2067" s="8" t="s">
        <v>35</v>
      </c>
    </row>
    <row r="2068" spans="1:34">
      <c r="A2068" s="8" t="s">
        <v>2818</v>
      </c>
      <c r="B2068" s="16" t="s">
        <v>481</v>
      </c>
      <c r="C2068" s="8" t="s">
        <v>476</v>
      </c>
      <c r="D2068" s="8" t="s">
        <v>2787</v>
      </c>
      <c r="E2068" s="8" t="str">
        <f t="shared" si="207"/>
        <v>VERDE</v>
      </c>
      <c r="H2068" s="8" t="str">
        <f>VLOOKUP(A2068,[1]BBDD!$B$1:$J$3274,9,FALSE)</f>
        <v>H</v>
      </c>
      <c r="I2068" s="8" t="s">
        <v>2863</v>
      </c>
      <c r="J2068" s="8" t="s">
        <v>2788</v>
      </c>
      <c r="L2068" s="8" t="s">
        <v>479</v>
      </c>
      <c r="N2068" s="8" t="s">
        <v>92</v>
      </c>
      <c r="O2068" s="8" t="s">
        <v>92</v>
      </c>
      <c r="P2068" s="18" t="str">
        <f t="shared" si="206"/>
        <v>44</v>
      </c>
      <c r="Q2068" s="8" t="s">
        <v>45</v>
      </c>
      <c r="R2068" s="8">
        <v>1</v>
      </c>
      <c r="S2068" s="8">
        <v>2</v>
      </c>
      <c r="T2068" s="8">
        <f t="shared" si="204"/>
        <v>3</v>
      </c>
      <c r="U2068" s="8">
        <v>1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8">
        <v>180</v>
      </c>
      <c r="AB2068" s="9">
        <f t="shared" si="205"/>
        <v>0.16666666666666669</v>
      </c>
      <c r="AC2068" s="10">
        <f t="shared" si="208"/>
        <v>17.999999999999996</v>
      </c>
      <c r="AD2068" s="8" t="s">
        <v>109</v>
      </c>
      <c r="AE2068" s="11">
        <v>99990</v>
      </c>
      <c r="AF2068" s="11">
        <f t="shared" si="209"/>
        <v>299970</v>
      </c>
      <c r="AG2068" s="12" t="s">
        <v>64</v>
      </c>
      <c r="AH2068" s="8" t="s">
        <v>35</v>
      </c>
    </row>
    <row r="2069" spans="1:34">
      <c r="A2069" s="8" t="s">
        <v>2819</v>
      </c>
      <c r="B2069" s="16" t="s">
        <v>481</v>
      </c>
      <c r="C2069" s="8" t="s">
        <v>476</v>
      </c>
      <c r="D2069" s="8" t="s">
        <v>2787</v>
      </c>
      <c r="E2069" s="8" t="str">
        <f t="shared" si="207"/>
        <v>VERDE</v>
      </c>
      <c r="H2069" s="8" t="str">
        <f>VLOOKUP(A2069,[1]BBDD!$B$1:$J$3274,9,FALSE)</f>
        <v>H</v>
      </c>
      <c r="I2069" s="8" t="s">
        <v>2863</v>
      </c>
      <c r="J2069" s="8" t="s">
        <v>2788</v>
      </c>
      <c r="L2069" s="8" t="s">
        <v>479</v>
      </c>
      <c r="N2069" s="8" t="s">
        <v>92</v>
      </c>
      <c r="O2069" s="8" t="s">
        <v>92</v>
      </c>
      <c r="P2069" s="18" t="str">
        <f t="shared" si="206"/>
        <v>45</v>
      </c>
      <c r="Q2069" s="8" t="s">
        <v>45</v>
      </c>
      <c r="R2069" s="8">
        <v>0</v>
      </c>
      <c r="S2069" s="8">
        <v>1</v>
      </c>
      <c r="T2069" s="8">
        <f t="shared" si="204"/>
        <v>1</v>
      </c>
      <c r="U2069" s="8">
        <v>1</v>
      </c>
      <c r="V2069" s="8">
        <v>0</v>
      </c>
      <c r="W2069" s="8">
        <v>1</v>
      </c>
      <c r="X2069" s="8">
        <v>0</v>
      </c>
      <c r="Y2069" s="8">
        <v>0</v>
      </c>
      <c r="Z2069" s="8">
        <v>0</v>
      </c>
      <c r="AA2069" s="8">
        <v>180</v>
      </c>
      <c r="AB2069" s="9">
        <f t="shared" si="205"/>
        <v>0.33333333333333337</v>
      </c>
      <c r="AC2069" s="10">
        <f t="shared" si="208"/>
        <v>2.9999999999999996</v>
      </c>
      <c r="AD2069" s="8" t="s">
        <v>109</v>
      </c>
      <c r="AE2069" s="11">
        <v>99990</v>
      </c>
      <c r="AF2069" s="11">
        <f t="shared" si="209"/>
        <v>99990</v>
      </c>
      <c r="AG2069" s="12" t="s">
        <v>34</v>
      </c>
      <c r="AH2069" s="8" t="s">
        <v>35</v>
      </c>
    </row>
    <row r="2070" spans="1:34">
      <c r="A2070" s="8" t="s">
        <v>2820</v>
      </c>
      <c r="B2070" s="16" t="s">
        <v>481</v>
      </c>
      <c r="C2070" s="8" t="s">
        <v>476</v>
      </c>
      <c r="D2070" s="8" t="s">
        <v>2787</v>
      </c>
      <c r="E2070" s="8" t="str">
        <f t="shared" si="207"/>
        <v>BORGOÑA</v>
      </c>
      <c r="H2070" s="8" t="str">
        <f>VLOOKUP(A2070,[1]BBDD!$B$1:$J$3274,9,FALSE)</f>
        <v>H</v>
      </c>
      <c r="I2070" s="8" t="s">
        <v>2863</v>
      </c>
      <c r="J2070" s="8" t="s">
        <v>2821</v>
      </c>
      <c r="L2070" s="8" t="s">
        <v>479</v>
      </c>
      <c r="N2070" s="8" t="s">
        <v>2795</v>
      </c>
      <c r="O2070" s="8" t="s">
        <v>2795</v>
      </c>
      <c r="P2070" s="18" t="str">
        <f t="shared" si="206"/>
        <v>39</v>
      </c>
      <c r="Q2070" s="8" t="s">
        <v>45</v>
      </c>
      <c r="R2070" s="8">
        <v>0</v>
      </c>
      <c r="S2070" s="8">
        <v>3</v>
      </c>
      <c r="T2070" s="8">
        <f t="shared" si="204"/>
        <v>3</v>
      </c>
      <c r="U2070" s="8">
        <v>0</v>
      </c>
      <c r="V2070" s="8">
        <v>0</v>
      </c>
      <c r="W2070" s="8">
        <v>0</v>
      </c>
      <c r="X2070" s="8">
        <v>0</v>
      </c>
      <c r="Y2070" s="8">
        <v>0</v>
      </c>
      <c r="Z2070" s="8">
        <v>0</v>
      </c>
      <c r="AA2070" s="8">
        <v>180</v>
      </c>
      <c r="AB2070" s="9">
        <f t="shared" si="205"/>
        <v>0</v>
      </c>
      <c r="AC2070" s="10" t="str">
        <f t="shared" si="208"/>
        <v>sin venta</v>
      </c>
      <c r="AD2070" s="8" t="s">
        <v>109</v>
      </c>
      <c r="AE2070" s="11">
        <v>99990</v>
      </c>
      <c r="AF2070" s="11">
        <f t="shared" si="209"/>
        <v>299970</v>
      </c>
      <c r="AG2070" s="12" t="s">
        <v>73</v>
      </c>
      <c r="AH2070" s="8" t="s">
        <v>35</v>
      </c>
    </row>
    <row r="2071" spans="1:34">
      <c r="A2071" s="8" t="s">
        <v>2822</v>
      </c>
      <c r="B2071" s="16" t="s">
        <v>481</v>
      </c>
      <c r="C2071" s="8" t="s">
        <v>476</v>
      </c>
      <c r="D2071" s="8" t="s">
        <v>2787</v>
      </c>
      <c r="E2071" s="8" t="str">
        <f t="shared" si="207"/>
        <v>BORGOÑA</v>
      </c>
      <c r="H2071" s="8" t="str">
        <f>VLOOKUP(A2071,[1]BBDD!$B$1:$J$3274,9,FALSE)</f>
        <v>H</v>
      </c>
      <c r="I2071" s="8" t="s">
        <v>2863</v>
      </c>
      <c r="J2071" s="8" t="s">
        <v>2821</v>
      </c>
      <c r="L2071" s="8" t="s">
        <v>479</v>
      </c>
      <c r="N2071" s="8" t="s">
        <v>2795</v>
      </c>
      <c r="O2071" s="8" t="s">
        <v>2795</v>
      </c>
      <c r="P2071" s="18" t="str">
        <f t="shared" si="206"/>
        <v>40</v>
      </c>
      <c r="Q2071" s="8" t="s">
        <v>45</v>
      </c>
      <c r="R2071" s="8">
        <v>3</v>
      </c>
      <c r="S2071" s="8">
        <v>3</v>
      </c>
      <c r="T2071" s="8">
        <f t="shared" si="204"/>
        <v>6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0</v>
      </c>
      <c r="AA2071" s="8">
        <v>180</v>
      </c>
      <c r="AB2071" s="9">
        <f t="shared" si="205"/>
        <v>0</v>
      </c>
      <c r="AC2071" s="10" t="str">
        <f t="shared" si="208"/>
        <v>sin venta</v>
      </c>
      <c r="AD2071" s="8" t="s">
        <v>109</v>
      </c>
      <c r="AE2071" s="11">
        <v>99990</v>
      </c>
      <c r="AF2071" s="11">
        <f t="shared" si="209"/>
        <v>599940</v>
      </c>
      <c r="AG2071" s="12" t="s">
        <v>73</v>
      </c>
      <c r="AH2071" s="8" t="s">
        <v>35</v>
      </c>
    </row>
    <row r="2072" spans="1:34">
      <c r="A2072" s="8" t="s">
        <v>2823</v>
      </c>
      <c r="B2072" s="16" t="s">
        <v>481</v>
      </c>
      <c r="C2072" s="8" t="s">
        <v>476</v>
      </c>
      <c r="D2072" s="8" t="s">
        <v>2787</v>
      </c>
      <c r="E2072" s="8" t="str">
        <f t="shared" si="207"/>
        <v>BORGOÑA</v>
      </c>
      <c r="H2072" s="8" t="str">
        <f>VLOOKUP(A2072,[1]BBDD!$B$1:$J$3274,9,FALSE)</f>
        <v>H</v>
      </c>
      <c r="I2072" s="8" t="s">
        <v>2863</v>
      </c>
      <c r="J2072" s="8" t="s">
        <v>2821</v>
      </c>
      <c r="L2072" s="8" t="s">
        <v>479</v>
      </c>
      <c r="N2072" s="8" t="s">
        <v>2795</v>
      </c>
      <c r="O2072" s="8" t="s">
        <v>2795</v>
      </c>
      <c r="P2072" s="18" t="str">
        <f t="shared" si="206"/>
        <v>41</v>
      </c>
      <c r="Q2072" s="8" t="s">
        <v>45</v>
      </c>
      <c r="R2072" s="8">
        <v>0</v>
      </c>
      <c r="S2072" s="8">
        <v>2</v>
      </c>
      <c r="T2072" s="8">
        <f t="shared" si="204"/>
        <v>2</v>
      </c>
      <c r="U2072" s="8">
        <v>0</v>
      </c>
      <c r="V2072" s="8">
        <v>0</v>
      </c>
      <c r="W2072" s="8">
        <v>2</v>
      </c>
      <c r="X2072" s="8">
        <v>1</v>
      </c>
      <c r="Y2072" s="8">
        <v>1</v>
      </c>
      <c r="Z2072" s="8">
        <v>0</v>
      </c>
      <c r="AA2072" s="8">
        <v>180</v>
      </c>
      <c r="AB2072" s="9">
        <f t="shared" si="205"/>
        <v>0.66666666666666674</v>
      </c>
      <c r="AC2072" s="10">
        <f t="shared" si="208"/>
        <v>2.9999999999999996</v>
      </c>
      <c r="AD2072" s="8" t="s">
        <v>109</v>
      </c>
      <c r="AE2072" s="11">
        <v>99990</v>
      </c>
      <c r="AF2072" s="11">
        <f t="shared" si="209"/>
        <v>199980</v>
      </c>
      <c r="AG2072" s="12" t="s">
        <v>34</v>
      </c>
      <c r="AH2072" s="8" t="s">
        <v>35</v>
      </c>
    </row>
    <row r="2073" spans="1:34">
      <c r="A2073" s="8" t="s">
        <v>2824</v>
      </c>
      <c r="B2073" s="16" t="s">
        <v>481</v>
      </c>
      <c r="C2073" s="8" t="s">
        <v>476</v>
      </c>
      <c r="D2073" s="8" t="s">
        <v>2787</v>
      </c>
      <c r="E2073" s="8" t="str">
        <f t="shared" si="207"/>
        <v>BORGOÑA</v>
      </c>
      <c r="H2073" s="8" t="str">
        <f>VLOOKUP(A2073,[1]BBDD!$B$1:$J$3274,9,FALSE)</f>
        <v>H</v>
      </c>
      <c r="I2073" s="8" t="s">
        <v>2863</v>
      </c>
      <c r="J2073" s="8" t="s">
        <v>2821</v>
      </c>
      <c r="L2073" s="8" t="s">
        <v>479</v>
      </c>
      <c r="N2073" s="8" t="s">
        <v>2795</v>
      </c>
      <c r="O2073" s="8" t="s">
        <v>2795</v>
      </c>
      <c r="P2073" s="18" t="str">
        <f t="shared" si="206"/>
        <v>42</v>
      </c>
      <c r="Q2073" s="8" t="s">
        <v>45</v>
      </c>
      <c r="R2073" s="8">
        <v>0</v>
      </c>
      <c r="S2073" s="8">
        <v>4</v>
      </c>
      <c r="T2073" s="8">
        <f t="shared" si="204"/>
        <v>4</v>
      </c>
      <c r="U2073" s="8">
        <v>0</v>
      </c>
      <c r="V2073" s="8">
        <v>0</v>
      </c>
      <c r="W2073" s="8">
        <v>1</v>
      </c>
      <c r="X2073" s="8">
        <v>0</v>
      </c>
      <c r="Y2073" s="8">
        <v>0</v>
      </c>
      <c r="Z2073" s="8">
        <v>0</v>
      </c>
      <c r="AA2073" s="8">
        <v>180</v>
      </c>
      <c r="AB2073" s="9">
        <f t="shared" si="205"/>
        <v>0.16666666666666669</v>
      </c>
      <c r="AC2073" s="10">
        <f t="shared" si="208"/>
        <v>23.999999999999996</v>
      </c>
      <c r="AD2073" s="8" t="s">
        <v>109</v>
      </c>
      <c r="AE2073" s="11">
        <v>99990</v>
      </c>
      <c r="AF2073" s="11">
        <f t="shared" si="209"/>
        <v>399960</v>
      </c>
      <c r="AG2073" s="12" t="s">
        <v>64</v>
      </c>
      <c r="AH2073" s="8" t="s">
        <v>35</v>
      </c>
    </row>
    <row r="2074" spans="1:34">
      <c r="A2074" s="8" t="s">
        <v>2825</v>
      </c>
      <c r="B2074" s="16" t="s">
        <v>481</v>
      </c>
      <c r="C2074" s="8" t="s">
        <v>476</v>
      </c>
      <c r="D2074" s="8" t="s">
        <v>2787</v>
      </c>
      <c r="E2074" s="8" t="str">
        <f t="shared" si="207"/>
        <v>BORGOÑA</v>
      </c>
      <c r="H2074" s="8" t="str">
        <f>VLOOKUP(A2074,[1]BBDD!$B$1:$J$3274,9,FALSE)</f>
        <v>H</v>
      </c>
      <c r="I2074" s="8" t="s">
        <v>2863</v>
      </c>
      <c r="J2074" s="8" t="s">
        <v>2821</v>
      </c>
      <c r="L2074" s="8" t="s">
        <v>479</v>
      </c>
      <c r="N2074" s="8" t="s">
        <v>2795</v>
      </c>
      <c r="O2074" s="8" t="s">
        <v>2795</v>
      </c>
      <c r="P2074" s="18" t="str">
        <f t="shared" si="206"/>
        <v>43</v>
      </c>
      <c r="Q2074" s="8" t="s">
        <v>45</v>
      </c>
      <c r="R2074" s="8">
        <v>1</v>
      </c>
      <c r="S2074" s="8">
        <v>4</v>
      </c>
      <c r="T2074" s="8">
        <f t="shared" si="204"/>
        <v>5</v>
      </c>
      <c r="U2074" s="8">
        <v>0</v>
      </c>
      <c r="V2074" s="8">
        <v>0</v>
      </c>
      <c r="W2074" s="8">
        <v>0</v>
      </c>
      <c r="X2074" s="8">
        <v>0</v>
      </c>
      <c r="Y2074" s="8">
        <v>1</v>
      </c>
      <c r="Z2074" s="8">
        <v>0</v>
      </c>
      <c r="AA2074" s="8">
        <v>180</v>
      </c>
      <c r="AB2074" s="9">
        <f t="shared" si="205"/>
        <v>0.16666666666666669</v>
      </c>
      <c r="AC2074" s="10">
        <f t="shared" si="208"/>
        <v>29.999999999999996</v>
      </c>
      <c r="AD2074" s="8" t="s">
        <v>109</v>
      </c>
      <c r="AE2074" s="11">
        <v>99990</v>
      </c>
      <c r="AF2074" s="11">
        <f t="shared" si="209"/>
        <v>499950</v>
      </c>
      <c r="AG2074" s="12" t="s">
        <v>73</v>
      </c>
      <c r="AH2074" s="8" t="s">
        <v>35</v>
      </c>
    </row>
    <row r="2075" spans="1:34">
      <c r="A2075" s="8" t="s">
        <v>2826</v>
      </c>
      <c r="B2075" s="16" t="s">
        <v>481</v>
      </c>
      <c r="C2075" s="8" t="s">
        <v>476</v>
      </c>
      <c r="D2075" s="8" t="s">
        <v>2787</v>
      </c>
      <c r="E2075" s="8" t="str">
        <f t="shared" si="207"/>
        <v>BORGOÑA</v>
      </c>
      <c r="H2075" s="8" t="str">
        <f>VLOOKUP(A2075,[1]BBDD!$B$1:$J$3274,9,FALSE)</f>
        <v>H</v>
      </c>
      <c r="I2075" s="8" t="s">
        <v>2863</v>
      </c>
      <c r="J2075" s="8" t="s">
        <v>2821</v>
      </c>
      <c r="L2075" s="8" t="s">
        <v>479</v>
      </c>
      <c r="N2075" s="8" t="s">
        <v>2795</v>
      </c>
      <c r="O2075" s="8" t="s">
        <v>2795</v>
      </c>
      <c r="P2075" s="18" t="str">
        <f t="shared" si="206"/>
        <v>44</v>
      </c>
      <c r="Q2075" s="8" t="s">
        <v>45</v>
      </c>
      <c r="R2075" s="8">
        <v>2</v>
      </c>
      <c r="S2075" s="8">
        <v>4</v>
      </c>
      <c r="T2075" s="8">
        <f t="shared" si="204"/>
        <v>6</v>
      </c>
      <c r="U2075" s="8">
        <v>0</v>
      </c>
      <c r="V2075" s="8">
        <v>0</v>
      </c>
      <c r="W2075" s="8">
        <v>0</v>
      </c>
      <c r="X2075" s="8">
        <v>0</v>
      </c>
      <c r="Y2075" s="8">
        <v>0</v>
      </c>
      <c r="Z2075" s="8">
        <v>0</v>
      </c>
      <c r="AA2075" s="8">
        <v>180</v>
      </c>
      <c r="AB2075" s="9">
        <f t="shared" si="205"/>
        <v>0</v>
      </c>
      <c r="AC2075" s="10" t="str">
        <f t="shared" si="208"/>
        <v>sin venta</v>
      </c>
      <c r="AD2075" s="8" t="s">
        <v>109</v>
      </c>
      <c r="AE2075" s="11">
        <v>99990</v>
      </c>
      <c r="AF2075" s="11">
        <f t="shared" si="209"/>
        <v>599940</v>
      </c>
      <c r="AG2075" s="12" t="s">
        <v>73</v>
      </c>
      <c r="AH2075" s="8" t="s">
        <v>35</v>
      </c>
    </row>
    <row r="2076" spans="1:34">
      <c r="A2076" s="8" t="s">
        <v>2827</v>
      </c>
      <c r="B2076" s="16" t="s">
        <v>481</v>
      </c>
      <c r="C2076" s="8" t="s">
        <v>476</v>
      </c>
      <c r="D2076" s="8" t="s">
        <v>2787</v>
      </c>
      <c r="E2076" s="8" t="str">
        <f t="shared" si="207"/>
        <v>BORGOÑA</v>
      </c>
      <c r="H2076" s="8" t="str">
        <f>VLOOKUP(A2076,[1]BBDD!$B$1:$J$3274,9,FALSE)</f>
        <v>H</v>
      </c>
      <c r="I2076" s="8" t="s">
        <v>2863</v>
      </c>
      <c r="J2076" s="8" t="s">
        <v>2821</v>
      </c>
      <c r="L2076" s="8" t="s">
        <v>479</v>
      </c>
      <c r="N2076" s="8" t="s">
        <v>2795</v>
      </c>
      <c r="O2076" s="8" t="s">
        <v>2795</v>
      </c>
      <c r="P2076" s="18" t="str">
        <f t="shared" si="206"/>
        <v>45</v>
      </c>
      <c r="Q2076" s="8" t="s">
        <v>45</v>
      </c>
      <c r="R2076" s="8">
        <v>0</v>
      </c>
      <c r="S2076" s="8">
        <v>3</v>
      </c>
      <c r="T2076" s="8">
        <f t="shared" si="204"/>
        <v>3</v>
      </c>
      <c r="U2076" s="8">
        <v>0</v>
      </c>
      <c r="V2076" s="8">
        <v>0</v>
      </c>
      <c r="W2076" s="8">
        <v>0</v>
      </c>
      <c r="X2076" s="8">
        <v>0</v>
      </c>
      <c r="Y2076" s="8">
        <v>0</v>
      </c>
      <c r="Z2076" s="8">
        <v>0</v>
      </c>
      <c r="AA2076" s="8">
        <v>180</v>
      </c>
      <c r="AB2076" s="9">
        <f t="shared" si="205"/>
        <v>0</v>
      </c>
      <c r="AC2076" s="10" t="str">
        <f t="shared" si="208"/>
        <v>sin venta</v>
      </c>
      <c r="AD2076" s="8" t="s">
        <v>109</v>
      </c>
      <c r="AE2076" s="11">
        <v>99990</v>
      </c>
      <c r="AF2076" s="11">
        <f t="shared" si="209"/>
        <v>299970</v>
      </c>
      <c r="AG2076" s="12" t="s">
        <v>73</v>
      </c>
      <c r="AH2076" s="8" t="s">
        <v>35</v>
      </c>
    </row>
    <row r="2077" spans="1:34">
      <c r="A2077" s="8" t="s">
        <v>2828</v>
      </c>
      <c r="B2077" s="16" t="s">
        <v>481</v>
      </c>
      <c r="C2077" s="8" t="s">
        <v>476</v>
      </c>
      <c r="D2077" s="8" t="s">
        <v>2787</v>
      </c>
      <c r="E2077" s="8" t="str">
        <f t="shared" si="207"/>
        <v>NEGRO</v>
      </c>
      <c r="H2077" s="8" t="str">
        <f>VLOOKUP(A2077,[1]BBDD!$B$1:$J$3274,9,FALSE)</f>
        <v>H</v>
      </c>
      <c r="I2077" s="8" t="s">
        <v>2863</v>
      </c>
      <c r="J2077" s="8" t="s">
        <v>2821</v>
      </c>
      <c r="L2077" s="8" t="s">
        <v>479</v>
      </c>
      <c r="N2077" s="8" t="s">
        <v>44</v>
      </c>
      <c r="O2077" s="8" t="s">
        <v>44</v>
      </c>
      <c r="P2077" s="18" t="str">
        <f t="shared" si="206"/>
        <v>39</v>
      </c>
      <c r="Q2077" s="8" t="s">
        <v>45</v>
      </c>
      <c r="R2077" s="8">
        <v>20</v>
      </c>
      <c r="S2077" s="8">
        <v>5</v>
      </c>
      <c r="T2077" s="8">
        <f t="shared" si="204"/>
        <v>25</v>
      </c>
      <c r="U2077" s="8">
        <v>0</v>
      </c>
      <c r="V2077" s="8">
        <v>0</v>
      </c>
      <c r="W2077" s="8">
        <v>0</v>
      </c>
      <c r="X2077" s="8">
        <v>0</v>
      </c>
      <c r="Y2077" s="8">
        <v>0</v>
      </c>
      <c r="Z2077" s="8">
        <v>0</v>
      </c>
      <c r="AA2077" s="8">
        <v>180</v>
      </c>
      <c r="AB2077" s="9">
        <f t="shared" si="205"/>
        <v>0</v>
      </c>
      <c r="AC2077" s="10" t="str">
        <f t="shared" si="208"/>
        <v>sin venta</v>
      </c>
      <c r="AD2077" s="8" t="s">
        <v>109</v>
      </c>
      <c r="AE2077" s="11">
        <v>99990</v>
      </c>
      <c r="AF2077" s="11">
        <f t="shared" si="209"/>
        <v>2499750</v>
      </c>
      <c r="AG2077" s="12" t="s">
        <v>73</v>
      </c>
      <c r="AH2077" s="8" t="s">
        <v>74</v>
      </c>
    </row>
    <row r="2078" spans="1:34">
      <c r="A2078" s="8" t="s">
        <v>2829</v>
      </c>
      <c r="B2078" s="16" t="s">
        <v>481</v>
      </c>
      <c r="C2078" s="8" t="s">
        <v>476</v>
      </c>
      <c r="D2078" s="8" t="s">
        <v>2787</v>
      </c>
      <c r="E2078" s="8" t="str">
        <f t="shared" si="207"/>
        <v>NEGRO</v>
      </c>
      <c r="H2078" s="8" t="str">
        <f>VLOOKUP(A2078,[1]BBDD!$B$1:$J$3274,9,FALSE)</f>
        <v>H</v>
      </c>
      <c r="I2078" s="8" t="s">
        <v>2863</v>
      </c>
      <c r="J2078" s="8" t="s">
        <v>2821</v>
      </c>
      <c r="L2078" s="8" t="s">
        <v>479</v>
      </c>
      <c r="N2078" s="8" t="s">
        <v>44</v>
      </c>
      <c r="O2078" s="8" t="s">
        <v>44</v>
      </c>
      <c r="P2078" s="18" t="str">
        <f t="shared" si="206"/>
        <v>40</v>
      </c>
      <c r="Q2078" s="8" t="s">
        <v>45</v>
      </c>
      <c r="R2078" s="8">
        <v>10</v>
      </c>
      <c r="S2078" s="8">
        <v>8</v>
      </c>
      <c r="T2078" s="8">
        <f t="shared" si="204"/>
        <v>18</v>
      </c>
      <c r="U2078" s="8">
        <v>1</v>
      </c>
      <c r="V2078" s="8">
        <v>0</v>
      </c>
      <c r="W2078" s="8">
        <v>0</v>
      </c>
      <c r="X2078" s="8">
        <v>0</v>
      </c>
      <c r="Y2078" s="8">
        <v>0</v>
      </c>
      <c r="Z2078" s="8">
        <v>0</v>
      </c>
      <c r="AA2078" s="8">
        <v>180</v>
      </c>
      <c r="AB2078" s="9">
        <f t="shared" si="205"/>
        <v>0.16666666666666669</v>
      </c>
      <c r="AC2078" s="10">
        <f t="shared" si="208"/>
        <v>107.99999999999999</v>
      </c>
      <c r="AD2078" s="8" t="s">
        <v>109</v>
      </c>
      <c r="AE2078" s="11">
        <v>99990</v>
      </c>
      <c r="AF2078" s="11">
        <f t="shared" si="209"/>
        <v>1799820</v>
      </c>
      <c r="AG2078" s="12" t="s">
        <v>73</v>
      </c>
      <c r="AH2078" s="8" t="s">
        <v>65</v>
      </c>
    </row>
    <row r="2079" spans="1:34">
      <c r="A2079" s="8" t="s">
        <v>2830</v>
      </c>
      <c r="B2079" s="16" t="s">
        <v>481</v>
      </c>
      <c r="C2079" s="8" t="s">
        <v>476</v>
      </c>
      <c r="D2079" s="8" t="s">
        <v>2787</v>
      </c>
      <c r="E2079" s="8" t="str">
        <f t="shared" si="207"/>
        <v>NEGRO</v>
      </c>
      <c r="H2079" s="8" t="str">
        <f>VLOOKUP(A2079,[1]BBDD!$B$1:$J$3274,9,FALSE)</f>
        <v>H</v>
      </c>
      <c r="I2079" s="8" t="s">
        <v>2863</v>
      </c>
      <c r="J2079" s="8" t="s">
        <v>2821</v>
      </c>
      <c r="L2079" s="8" t="s">
        <v>479</v>
      </c>
      <c r="N2079" s="8" t="s">
        <v>44</v>
      </c>
      <c r="O2079" s="8" t="s">
        <v>44</v>
      </c>
      <c r="P2079" s="18" t="str">
        <f t="shared" si="206"/>
        <v>41</v>
      </c>
      <c r="Q2079" s="8" t="s">
        <v>45</v>
      </c>
      <c r="R2079" s="8">
        <v>12</v>
      </c>
      <c r="S2079" s="8">
        <v>7</v>
      </c>
      <c r="T2079" s="8">
        <f t="shared" si="204"/>
        <v>19</v>
      </c>
      <c r="U2079" s="8">
        <v>0</v>
      </c>
      <c r="V2079" s="8">
        <v>2</v>
      </c>
      <c r="W2079" s="8">
        <v>0</v>
      </c>
      <c r="X2079" s="8">
        <v>0</v>
      </c>
      <c r="Y2079" s="8">
        <v>0</v>
      </c>
      <c r="Z2079" s="8">
        <v>2</v>
      </c>
      <c r="AA2079" s="8">
        <v>180</v>
      </c>
      <c r="AB2079" s="9">
        <f t="shared" si="205"/>
        <v>0.66666666666666674</v>
      </c>
      <c r="AC2079" s="10">
        <f t="shared" si="208"/>
        <v>28.499999999999996</v>
      </c>
      <c r="AD2079" s="8" t="s">
        <v>109</v>
      </c>
      <c r="AE2079" s="11">
        <v>99990</v>
      </c>
      <c r="AF2079" s="11">
        <f t="shared" si="209"/>
        <v>1899810</v>
      </c>
      <c r="AG2079" s="12" t="s">
        <v>73</v>
      </c>
      <c r="AH2079" s="8" t="s">
        <v>65</v>
      </c>
    </row>
    <row r="2080" spans="1:34">
      <c r="A2080" s="8" t="s">
        <v>2831</v>
      </c>
      <c r="B2080" s="16" t="s">
        <v>481</v>
      </c>
      <c r="C2080" s="8" t="s">
        <v>476</v>
      </c>
      <c r="D2080" s="8" t="s">
        <v>2787</v>
      </c>
      <c r="E2080" s="8" t="str">
        <f t="shared" si="207"/>
        <v>NEGRO</v>
      </c>
      <c r="H2080" s="8" t="str">
        <f>VLOOKUP(A2080,[1]BBDD!$B$1:$J$3274,9,FALSE)</f>
        <v>H</v>
      </c>
      <c r="I2080" s="8" t="s">
        <v>2863</v>
      </c>
      <c r="J2080" s="8" t="s">
        <v>2821</v>
      </c>
      <c r="L2080" s="8" t="s">
        <v>479</v>
      </c>
      <c r="N2080" s="8" t="s">
        <v>44</v>
      </c>
      <c r="O2080" s="8" t="s">
        <v>44</v>
      </c>
      <c r="P2080" s="18" t="str">
        <f t="shared" si="206"/>
        <v>42</v>
      </c>
      <c r="Q2080" s="8" t="s">
        <v>45</v>
      </c>
      <c r="R2080" s="8">
        <v>14</v>
      </c>
      <c r="S2080" s="8">
        <v>8</v>
      </c>
      <c r="T2080" s="8">
        <f t="shared" si="204"/>
        <v>22</v>
      </c>
      <c r="U2080" s="8">
        <v>1</v>
      </c>
      <c r="V2080" s="8">
        <v>0</v>
      </c>
      <c r="W2080" s="8">
        <v>2</v>
      </c>
      <c r="X2080" s="8">
        <v>0</v>
      </c>
      <c r="Y2080" s="8">
        <v>0</v>
      </c>
      <c r="Z2080" s="8">
        <v>2</v>
      </c>
      <c r="AA2080" s="8">
        <v>180</v>
      </c>
      <c r="AB2080" s="9">
        <f t="shared" si="205"/>
        <v>0.83333333333333326</v>
      </c>
      <c r="AC2080" s="10">
        <f t="shared" si="208"/>
        <v>26.400000000000002</v>
      </c>
      <c r="AD2080" s="8" t="s">
        <v>109</v>
      </c>
      <c r="AE2080" s="11">
        <v>99990</v>
      </c>
      <c r="AF2080" s="11">
        <f t="shared" si="209"/>
        <v>2199780</v>
      </c>
      <c r="AG2080" s="12" t="s">
        <v>73</v>
      </c>
      <c r="AH2080" s="8" t="s">
        <v>74</v>
      </c>
    </row>
    <row r="2081" spans="1:34">
      <c r="A2081" s="8" t="s">
        <v>2832</v>
      </c>
      <c r="B2081" s="16" t="s">
        <v>481</v>
      </c>
      <c r="C2081" s="8" t="s">
        <v>476</v>
      </c>
      <c r="D2081" s="8" t="s">
        <v>2787</v>
      </c>
      <c r="E2081" s="8" t="str">
        <f t="shared" si="207"/>
        <v>NEGRO</v>
      </c>
      <c r="H2081" s="8" t="str">
        <f>VLOOKUP(A2081,[1]BBDD!$B$1:$J$3274,9,FALSE)</f>
        <v>H</v>
      </c>
      <c r="I2081" s="8" t="s">
        <v>2863</v>
      </c>
      <c r="J2081" s="8" t="s">
        <v>2821</v>
      </c>
      <c r="L2081" s="8" t="s">
        <v>479</v>
      </c>
      <c r="N2081" s="8" t="s">
        <v>44</v>
      </c>
      <c r="O2081" s="8" t="s">
        <v>44</v>
      </c>
      <c r="P2081" s="18" t="str">
        <f t="shared" si="206"/>
        <v>43</v>
      </c>
      <c r="Q2081" s="8" t="s">
        <v>45</v>
      </c>
      <c r="R2081" s="8">
        <v>8</v>
      </c>
      <c r="S2081" s="8">
        <v>8</v>
      </c>
      <c r="T2081" s="8">
        <f t="shared" si="204"/>
        <v>16</v>
      </c>
      <c r="U2081" s="8">
        <v>0</v>
      </c>
      <c r="V2081" s="8">
        <v>0</v>
      </c>
      <c r="W2081" s="8">
        <v>0</v>
      </c>
      <c r="X2081" s="8">
        <v>0</v>
      </c>
      <c r="Y2081" s="8">
        <v>0</v>
      </c>
      <c r="Z2081" s="8">
        <v>0</v>
      </c>
      <c r="AA2081" s="8">
        <v>180</v>
      </c>
      <c r="AB2081" s="9">
        <f t="shared" si="205"/>
        <v>0</v>
      </c>
      <c r="AC2081" s="10" t="str">
        <f t="shared" si="208"/>
        <v>sin venta</v>
      </c>
      <c r="AD2081" s="8" t="s">
        <v>109</v>
      </c>
      <c r="AE2081" s="11">
        <v>99990</v>
      </c>
      <c r="AF2081" s="11">
        <f t="shared" si="209"/>
        <v>1599840</v>
      </c>
      <c r="AG2081" s="12" t="s">
        <v>73</v>
      </c>
      <c r="AH2081" s="8" t="s">
        <v>65</v>
      </c>
    </row>
    <row r="2082" spans="1:34">
      <c r="A2082" s="8" t="s">
        <v>2833</v>
      </c>
      <c r="B2082" s="16" t="s">
        <v>481</v>
      </c>
      <c r="C2082" s="8" t="s">
        <v>476</v>
      </c>
      <c r="D2082" s="8" t="s">
        <v>2787</v>
      </c>
      <c r="E2082" s="8" t="str">
        <f t="shared" si="207"/>
        <v>NEGRO</v>
      </c>
      <c r="H2082" s="8" t="str">
        <f>VLOOKUP(A2082,[1]BBDD!$B$1:$J$3274,9,FALSE)</f>
        <v>H</v>
      </c>
      <c r="I2082" s="8" t="s">
        <v>2863</v>
      </c>
      <c r="J2082" s="8" t="s">
        <v>2821</v>
      </c>
      <c r="L2082" s="8" t="s">
        <v>479</v>
      </c>
      <c r="N2082" s="8" t="s">
        <v>44</v>
      </c>
      <c r="O2082" s="8" t="s">
        <v>44</v>
      </c>
      <c r="P2082" s="18" t="str">
        <f t="shared" si="206"/>
        <v>44</v>
      </c>
      <c r="Q2082" s="8" t="s">
        <v>45</v>
      </c>
      <c r="R2082" s="8">
        <v>11</v>
      </c>
      <c r="S2082" s="8">
        <v>9</v>
      </c>
      <c r="T2082" s="8">
        <f t="shared" ref="T2082:T2098" si="210">SUM(R2082:S2082)</f>
        <v>20</v>
      </c>
      <c r="U2082" s="8">
        <v>0</v>
      </c>
      <c r="V2082" s="8">
        <v>0</v>
      </c>
      <c r="W2082" s="8">
        <v>0</v>
      </c>
      <c r="X2082" s="8">
        <v>0</v>
      </c>
      <c r="Y2082" s="8">
        <v>0</v>
      </c>
      <c r="Z2082" s="8">
        <v>1</v>
      </c>
      <c r="AA2082" s="8">
        <v>180</v>
      </c>
      <c r="AB2082" s="9">
        <f t="shared" ref="AB2082:AB2098" si="211">SUM(U2082:Z2082)/AA2082*30</f>
        <v>0.16666666666666669</v>
      </c>
      <c r="AC2082" s="10">
        <f t="shared" si="208"/>
        <v>119.99999999999999</v>
      </c>
      <c r="AD2082" s="8" t="s">
        <v>109</v>
      </c>
      <c r="AE2082" s="11">
        <v>99990</v>
      </c>
      <c r="AF2082" s="11">
        <f t="shared" si="209"/>
        <v>1999800</v>
      </c>
      <c r="AG2082" s="12" t="s">
        <v>73</v>
      </c>
      <c r="AH2082" s="8" t="s">
        <v>65</v>
      </c>
    </row>
    <row r="2083" spans="1:34">
      <c r="A2083" s="8" t="s">
        <v>2834</v>
      </c>
      <c r="B2083" s="16" t="s">
        <v>481</v>
      </c>
      <c r="C2083" s="8" t="s">
        <v>476</v>
      </c>
      <c r="D2083" s="8" t="s">
        <v>2787</v>
      </c>
      <c r="E2083" s="8" t="str">
        <f t="shared" si="207"/>
        <v>NEGRO</v>
      </c>
      <c r="H2083" s="8" t="str">
        <f>VLOOKUP(A2083,[1]BBDD!$B$1:$J$3274,9,FALSE)</f>
        <v>H</v>
      </c>
      <c r="I2083" s="8" t="s">
        <v>2863</v>
      </c>
      <c r="J2083" s="8" t="s">
        <v>2821</v>
      </c>
      <c r="L2083" s="8" t="s">
        <v>479</v>
      </c>
      <c r="N2083" s="8" t="s">
        <v>44</v>
      </c>
      <c r="O2083" s="8" t="s">
        <v>44</v>
      </c>
      <c r="P2083" s="18" t="str">
        <f t="shared" si="206"/>
        <v>45</v>
      </c>
      <c r="Q2083" s="8" t="s">
        <v>45</v>
      </c>
      <c r="R2083" s="8">
        <v>12</v>
      </c>
      <c r="S2083" s="8">
        <v>5</v>
      </c>
      <c r="T2083" s="8">
        <f t="shared" si="210"/>
        <v>17</v>
      </c>
      <c r="U2083" s="8">
        <v>1</v>
      </c>
      <c r="V2083" s="8">
        <v>0</v>
      </c>
      <c r="W2083" s="8">
        <v>0</v>
      </c>
      <c r="X2083" s="8">
        <v>0</v>
      </c>
      <c r="Y2083" s="8">
        <v>0</v>
      </c>
      <c r="Z2083" s="8">
        <v>0</v>
      </c>
      <c r="AA2083" s="8">
        <v>180</v>
      </c>
      <c r="AB2083" s="9">
        <f t="shared" si="211"/>
        <v>0.16666666666666669</v>
      </c>
      <c r="AC2083" s="10">
        <f t="shared" si="208"/>
        <v>101.99999999999999</v>
      </c>
      <c r="AD2083" s="8" t="s">
        <v>109</v>
      </c>
      <c r="AE2083" s="11">
        <v>99990</v>
      </c>
      <c r="AF2083" s="11">
        <f t="shared" si="209"/>
        <v>1699830</v>
      </c>
      <c r="AG2083" s="12" t="s">
        <v>73</v>
      </c>
      <c r="AH2083" s="8" t="s">
        <v>65</v>
      </c>
    </row>
    <row r="2084" spans="1:34">
      <c r="A2084" s="8" t="s">
        <v>2835</v>
      </c>
      <c r="B2084" s="16" t="s">
        <v>481</v>
      </c>
      <c r="C2084" s="8" t="s">
        <v>476</v>
      </c>
      <c r="D2084" s="8" t="s">
        <v>2787</v>
      </c>
      <c r="E2084" s="8" t="str">
        <f t="shared" si="207"/>
        <v>SUELA</v>
      </c>
      <c r="H2084" s="8" t="str">
        <f>VLOOKUP(A2084,[1]BBDD!$B$1:$J$3274,9,FALSE)</f>
        <v>H</v>
      </c>
      <c r="I2084" s="8" t="s">
        <v>2863</v>
      </c>
      <c r="J2084" s="8" t="s">
        <v>2821</v>
      </c>
      <c r="L2084" s="8" t="s">
        <v>479</v>
      </c>
      <c r="N2084" s="8" t="s">
        <v>90</v>
      </c>
      <c r="O2084" s="8" t="s">
        <v>90</v>
      </c>
      <c r="P2084" s="18" t="str">
        <f t="shared" si="206"/>
        <v>39</v>
      </c>
      <c r="Q2084" s="8" t="s">
        <v>45</v>
      </c>
      <c r="R2084" s="8">
        <v>12</v>
      </c>
      <c r="S2084" s="8">
        <v>7</v>
      </c>
      <c r="T2084" s="8">
        <f t="shared" si="210"/>
        <v>19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8">
        <v>180</v>
      </c>
      <c r="AB2084" s="9">
        <f t="shared" si="211"/>
        <v>0</v>
      </c>
      <c r="AC2084" s="10" t="str">
        <f t="shared" si="208"/>
        <v>sin venta</v>
      </c>
      <c r="AD2084" s="8" t="s">
        <v>109</v>
      </c>
      <c r="AE2084" s="11">
        <v>99990</v>
      </c>
      <c r="AF2084" s="11">
        <f t="shared" si="209"/>
        <v>1899810</v>
      </c>
      <c r="AG2084" s="12" t="s">
        <v>73</v>
      </c>
      <c r="AH2084" s="8" t="s">
        <v>65</v>
      </c>
    </row>
    <row r="2085" spans="1:34">
      <c r="A2085" s="8" t="s">
        <v>2836</v>
      </c>
      <c r="B2085" s="16" t="s">
        <v>481</v>
      </c>
      <c r="C2085" s="8" t="s">
        <v>476</v>
      </c>
      <c r="D2085" s="8" t="s">
        <v>2787</v>
      </c>
      <c r="E2085" s="8" t="str">
        <f t="shared" si="207"/>
        <v>SUELA</v>
      </c>
      <c r="H2085" s="8" t="str">
        <f>VLOOKUP(A2085,[1]BBDD!$B$1:$J$3274,9,FALSE)</f>
        <v>H</v>
      </c>
      <c r="I2085" s="8" t="s">
        <v>2863</v>
      </c>
      <c r="J2085" s="8" t="s">
        <v>2821</v>
      </c>
      <c r="L2085" s="8" t="s">
        <v>479</v>
      </c>
      <c r="N2085" s="8" t="s">
        <v>90</v>
      </c>
      <c r="O2085" s="8" t="s">
        <v>90</v>
      </c>
      <c r="P2085" s="18" t="str">
        <f t="shared" si="206"/>
        <v>40</v>
      </c>
      <c r="Q2085" s="8" t="s">
        <v>45</v>
      </c>
      <c r="R2085" s="8">
        <v>3</v>
      </c>
      <c r="S2085" s="8">
        <v>10</v>
      </c>
      <c r="T2085" s="8">
        <f t="shared" si="210"/>
        <v>13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180</v>
      </c>
      <c r="AB2085" s="9">
        <f t="shared" si="211"/>
        <v>0</v>
      </c>
      <c r="AC2085" s="10" t="str">
        <f t="shared" si="208"/>
        <v>sin venta</v>
      </c>
      <c r="AD2085" s="8" t="s">
        <v>109</v>
      </c>
      <c r="AE2085" s="11">
        <v>99990</v>
      </c>
      <c r="AF2085" s="11">
        <f t="shared" si="209"/>
        <v>1299870</v>
      </c>
      <c r="AG2085" s="12" t="s">
        <v>73</v>
      </c>
      <c r="AH2085" s="8" t="s">
        <v>65</v>
      </c>
    </row>
    <row r="2086" spans="1:34">
      <c r="A2086" s="8" t="s">
        <v>2837</v>
      </c>
      <c r="B2086" s="16" t="s">
        <v>481</v>
      </c>
      <c r="C2086" s="8" t="s">
        <v>476</v>
      </c>
      <c r="D2086" s="8" t="s">
        <v>2787</v>
      </c>
      <c r="E2086" s="8" t="str">
        <f t="shared" si="207"/>
        <v>SUELA</v>
      </c>
      <c r="H2086" s="8" t="str">
        <f>VLOOKUP(A2086,[1]BBDD!$B$1:$J$3274,9,FALSE)</f>
        <v>H</v>
      </c>
      <c r="I2086" s="8" t="s">
        <v>2863</v>
      </c>
      <c r="J2086" s="8" t="s">
        <v>2821</v>
      </c>
      <c r="L2086" s="8" t="s">
        <v>479</v>
      </c>
      <c r="N2086" s="8" t="s">
        <v>90</v>
      </c>
      <c r="O2086" s="8" t="s">
        <v>90</v>
      </c>
      <c r="P2086" s="18" t="str">
        <f t="shared" si="206"/>
        <v>41</v>
      </c>
      <c r="Q2086" s="8" t="s">
        <v>45</v>
      </c>
      <c r="R2086" s="8">
        <v>10</v>
      </c>
      <c r="S2086" s="8">
        <v>8</v>
      </c>
      <c r="T2086" s="8">
        <f t="shared" si="210"/>
        <v>18</v>
      </c>
      <c r="U2086" s="8">
        <v>1</v>
      </c>
      <c r="V2086" s="8">
        <v>1</v>
      </c>
      <c r="W2086" s="8">
        <v>0</v>
      </c>
      <c r="X2086" s="8">
        <v>0</v>
      </c>
      <c r="Y2086" s="8">
        <v>0</v>
      </c>
      <c r="Z2086" s="8">
        <v>1</v>
      </c>
      <c r="AA2086" s="8">
        <v>180</v>
      </c>
      <c r="AB2086" s="9">
        <f t="shared" si="211"/>
        <v>0.5</v>
      </c>
      <c r="AC2086" s="10">
        <f t="shared" si="208"/>
        <v>36</v>
      </c>
      <c r="AD2086" s="8" t="s">
        <v>109</v>
      </c>
      <c r="AE2086" s="11">
        <v>99990</v>
      </c>
      <c r="AF2086" s="11">
        <f t="shared" si="209"/>
        <v>1799820</v>
      </c>
      <c r="AG2086" s="12" t="s">
        <v>73</v>
      </c>
      <c r="AH2086" s="8" t="s">
        <v>65</v>
      </c>
    </row>
    <row r="2087" spans="1:34">
      <c r="A2087" s="8" t="s">
        <v>2838</v>
      </c>
      <c r="B2087" s="16" t="s">
        <v>481</v>
      </c>
      <c r="C2087" s="8" t="s">
        <v>476</v>
      </c>
      <c r="D2087" s="8" t="s">
        <v>2787</v>
      </c>
      <c r="E2087" s="8" t="str">
        <f t="shared" si="207"/>
        <v>SUELA 42</v>
      </c>
      <c r="H2087" s="8" t="str">
        <f>VLOOKUP(A2087,[1]BBDD!$B$1:$J$3274,9,FALSE)</f>
        <v>H</v>
      </c>
      <c r="I2087" s="8" t="s">
        <v>2863</v>
      </c>
      <c r="J2087" s="8" t="s">
        <v>2821</v>
      </c>
      <c r="L2087" s="8" t="s">
        <v>479</v>
      </c>
      <c r="N2087" s="8" t="s">
        <v>2839</v>
      </c>
      <c r="O2087" s="20" t="s">
        <v>90</v>
      </c>
      <c r="P2087" s="18">
        <v>42</v>
      </c>
      <c r="Q2087" s="8" t="s">
        <v>45</v>
      </c>
      <c r="R2087" s="8">
        <v>15</v>
      </c>
      <c r="S2087" s="8">
        <v>7</v>
      </c>
      <c r="T2087" s="8">
        <f t="shared" si="210"/>
        <v>22</v>
      </c>
      <c r="U2087" s="8">
        <v>1</v>
      </c>
      <c r="V2087" s="8">
        <v>0</v>
      </c>
      <c r="W2087" s="8">
        <v>0</v>
      </c>
      <c r="X2087" s="8">
        <v>0</v>
      </c>
      <c r="Y2087" s="8">
        <v>0</v>
      </c>
      <c r="Z2087" s="8">
        <v>1</v>
      </c>
      <c r="AA2087" s="8">
        <v>180</v>
      </c>
      <c r="AB2087" s="9">
        <f t="shared" si="211"/>
        <v>0.33333333333333337</v>
      </c>
      <c r="AC2087" s="10">
        <f t="shared" si="208"/>
        <v>65.999999999999986</v>
      </c>
      <c r="AD2087" s="8" t="s">
        <v>109</v>
      </c>
      <c r="AE2087" s="11">
        <v>99990</v>
      </c>
      <c r="AF2087" s="11">
        <f t="shared" si="209"/>
        <v>2199780</v>
      </c>
      <c r="AG2087" s="12" t="s">
        <v>73</v>
      </c>
      <c r="AH2087" s="8" t="s">
        <v>74</v>
      </c>
    </row>
    <row r="2088" spans="1:34">
      <c r="A2088" s="8" t="s">
        <v>2840</v>
      </c>
      <c r="B2088" s="16" t="s">
        <v>481</v>
      </c>
      <c r="C2088" s="8" t="s">
        <v>476</v>
      </c>
      <c r="D2088" s="8" t="s">
        <v>2787</v>
      </c>
      <c r="E2088" s="8" t="str">
        <f t="shared" si="207"/>
        <v>SUELA 43</v>
      </c>
      <c r="H2088" s="8" t="str">
        <f>VLOOKUP(A2088,[1]BBDD!$B$1:$J$3274,9,FALSE)</f>
        <v>H</v>
      </c>
      <c r="I2088" s="8" t="s">
        <v>2863</v>
      </c>
      <c r="J2088" s="8" t="s">
        <v>2821</v>
      </c>
      <c r="L2088" s="8" t="s">
        <v>479</v>
      </c>
      <c r="N2088" s="8" t="s">
        <v>2841</v>
      </c>
      <c r="O2088" s="20" t="s">
        <v>90</v>
      </c>
      <c r="P2088" s="18">
        <v>43</v>
      </c>
      <c r="Q2088" s="8" t="s">
        <v>45</v>
      </c>
      <c r="R2088" s="8">
        <v>2</v>
      </c>
      <c r="S2088" s="8">
        <v>9</v>
      </c>
      <c r="T2088" s="8">
        <f t="shared" si="210"/>
        <v>11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1</v>
      </c>
      <c r="AA2088" s="8">
        <v>180</v>
      </c>
      <c r="AB2088" s="9">
        <f t="shared" si="211"/>
        <v>0.16666666666666669</v>
      </c>
      <c r="AC2088" s="10">
        <f t="shared" si="208"/>
        <v>65.999999999999986</v>
      </c>
      <c r="AD2088" s="8" t="s">
        <v>109</v>
      </c>
      <c r="AE2088" s="11">
        <v>99990</v>
      </c>
      <c r="AF2088" s="11">
        <f t="shared" si="209"/>
        <v>1099890</v>
      </c>
      <c r="AG2088" s="12" t="s">
        <v>73</v>
      </c>
      <c r="AH2088" s="8" t="s">
        <v>65</v>
      </c>
    </row>
    <row r="2089" spans="1:34">
      <c r="A2089" s="8" t="s">
        <v>2842</v>
      </c>
      <c r="B2089" s="16" t="s">
        <v>481</v>
      </c>
      <c r="C2089" s="8" t="s">
        <v>476</v>
      </c>
      <c r="D2089" s="8" t="s">
        <v>2787</v>
      </c>
      <c r="E2089" s="8" t="str">
        <f t="shared" si="207"/>
        <v>SUELA</v>
      </c>
      <c r="H2089" s="8" t="str">
        <f>VLOOKUP(A2089,[1]BBDD!$B$1:$J$3274,9,FALSE)</f>
        <v>H</v>
      </c>
      <c r="I2089" s="8" t="s">
        <v>2863</v>
      </c>
      <c r="J2089" s="8" t="s">
        <v>2821</v>
      </c>
      <c r="L2089" s="8" t="s">
        <v>479</v>
      </c>
      <c r="N2089" s="8" t="s">
        <v>90</v>
      </c>
      <c r="O2089" s="8" t="s">
        <v>90</v>
      </c>
      <c r="P2089" s="18" t="str">
        <f t="shared" ref="P2089:P2100" si="212">RIGHT(A2089,2)</f>
        <v>44</v>
      </c>
      <c r="Q2089" s="8" t="s">
        <v>45</v>
      </c>
      <c r="R2089" s="8">
        <v>11</v>
      </c>
      <c r="S2089" s="8">
        <v>8</v>
      </c>
      <c r="T2089" s="8">
        <f t="shared" si="210"/>
        <v>19</v>
      </c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180</v>
      </c>
      <c r="AB2089" s="9">
        <f t="shared" si="211"/>
        <v>0</v>
      </c>
      <c r="AC2089" s="10" t="str">
        <f t="shared" si="208"/>
        <v>sin venta</v>
      </c>
      <c r="AD2089" s="8" t="s">
        <v>109</v>
      </c>
      <c r="AE2089" s="11">
        <v>99990</v>
      </c>
      <c r="AF2089" s="11">
        <f t="shared" si="209"/>
        <v>1899810</v>
      </c>
      <c r="AG2089" s="12" t="s">
        <v>73</v>
      </c>
      <c r="AH2089" s="8" t="s">
        <v>65</v>
      </c>
    </row>
    <row r="2090" spans="1:34">
      <c r="A2090" s="8" t="s">
        <v>2843</v>
      </c>
      <c r="B2090" s="16" t="s">
        <v>481</v>
      </c>
      <c r="C2090" s="8" t="s">
        <v>476</v>
      </c>
      <c r="D2090" s="8" t="s">
        <v>2787</v>
      </c>
      <c r="E2090" s="8" t="str">
        <f t="shared" si="207"/>
        <v>SUELA</v>
      </c>
      <c r="H2090" s="8" t="str">
        <f>VLOOKUP(A2090,[1]BBDD!$B$1:$J$3274,9,FALSE)</f>
        <v>H</v>
      </c>
      <c r="I2090" s="8" t="s">
        <v>2863</v>
      </c>
      <c r="J2090" s="8" t="s">
        <v>2821</v>
      </c>
      <c r="L2090" s="8" t="s">
        <v>479</v>
      </c>
      <c r="N2090" s="8" t="s">
        <v>90</v>
      </c>
      <c r="O2090" s="8" t="s">
        <v>90</v>
      </c>
      <c r="P2090" s="18" t="str">
        <f t="shared" si="212"/>
        <v>45</v>
      </c>
      <c r="Q2090" s="8" t="s">
        <v>45</v>
      </c>
      <c r="R2090" s="8">
        <v>9</v>
      </c>
      <c r="S2090" s="8">
        <v>6</v>
      </c>
      <c r="T2090" s="8">
        <f t="shared" si="210"/>
        <v>15</v>
      </c>
      <c r="U2090" s="8">
        <v>0</v>
      </c>
      <c r="V2090" s="8">
        <v>0</v>
      </c>
      <c r="W2090" s="8">
        <v>0</v>
      </c>
      <c r="X2090" s="8">
        <v>0</v>
      </c>
      <c r="Y2090" s="8">
        <v>0</v>
      </c>
      <c r="Z2090" s="8">
        <v>0</v>
      </c>
      <c r="AA2090" s="8">
        <v>180</v>
      </c>
      <c r="AB2090" s="9">
        <f t="shared" si="211"/>
        <v>0</v>
      </c>
      <c r="AC2090" s="10" t="str">
        <f t="shared" si="208"/>
        <v>sin venta</v>
      </c>
      <c r="AD2090" s="8" t="s">
        <v>109</v>
      </c>
      <c r="AE2090" s="11">
        <v>99990</v>
      </c>
      <c r="AF2090" s="11">
        <f t="shared" si="209"/>
        <v>1499850</v>
      </c>
      <c r="AG2090" s="12" t="s">
        <v>73</v>
      </c>
      <c r="AH2090" s="8" t="s">
        <v>65</v>
      </c>
    </row>
    <row r="2091" spans="1:34">
      <c r="A2091" s="8" t="s">
        <v>2844</v>
      </c>
      <c r="B2091" s="16" t="s">
        <v>481</v>
      </c>
      <c r="C2091" s="8" t="s">
        <v>476</v>
      </c>
      <c r="D2091" s="8" t="s">
        <v>2787</v>
      </c>
      <c r="E2091" s="8" t="str">
        <f t="shared" si="207"/>
        <v>TABACO</v>
      </c>
      <c r="H2091" s="8" t="str">
        <f>VLOOKUP(A2091,[1]BBDD!$B$1:$J$3274,9,FALSE)</f>
        <v>H</v>
      </c>
      <c r="I2091" s="8" t="s">
        <v>2863</v>
      </c>
      <c r="J2091" s="8" t="s">
        <v>2821</v>
      </c>
      <c r="L2091" s="8" t="s">
        <v>479</v>
      </c>
      <c r="N2091" s="8" t="s">
        <v>67</v>
      </c>
      <c r="O2091" s="8" t="s">
        <v>67</v>
      </c>
      <c r="P2091" s="18" t="str">
        <f t="shared" si="212"/>
        <v>39</v>
      </c>
      <c r="Q2091" s="8" t="s">
        <v>45</v>
      </c>
      <c r="R2091" s="8">
        <v>0</v>
      </c>
      <c r="S2091" s="8">
        <v>2</v>
      </c>
      <c r="T2091" s="8">
        <f t="shared" si="210"/>
        <v>2</v>
      </c>
      <c r="U2091" s="8">
        <v>0</v>
      </c>
      <c r="V2091" s="8">
        <v>0</v>
      </c>
      <c r="W2091" s="8">
        <v>0</v>
      </c>
      <c r="X2091" s="8">
        <v>0</v>
      </c>
      <c r="Y2091" s="8">
        <v>0</v>
      </c>
      <c r="Z2091" s="8">
        <v>0</v>
      </c>
      <c r="AA2091" s="8">
        <v>180</v>
      </c>
      <c r="AB2091" s="9">
        <f t="shared" si="211"/>
        <v>0</v>
      </c>
      <c r="AC2091" s="10" t="str">
        <f t="shared" si="208"/>
        <v>sin venta</v>
      </c>
      <c r="AD2091" s="8" t="s">
        <v>109</v>
      </c>
      <c r="AE2091" s="11">
        <v>99990</v>
      </c>
      <c r="AF2091" s="11">
        <f t="shared" si="209"/>
        <v>199980</v>
      </c>
      <c r="AG2091" s="12" t="s">
        <v>73</v>
      </c>
      <c r="AH2091" s="8" t="s">
        <v>35</v>
      </c>
    </row>
    <row r="2092" spans="1:34">
      <c r="A2092" s="8" t="s">
        <v>2845</v>
      </c>
      <c r="B2092" s="16" t="s">
        <v>481</v>
      </c>
      <c r="C2092" s="8" t="s">
        <v>476</v>
      </c>
      <c r="D2092" s="8" t="s">
        <v>2787</v>
      </c>
      <c r="E2092" s="8" t="str">
        <f t="shared" si="207"/>
        <v>TABACO</v>
      </c>
      <c r="H2092" s="8" t="str">
        <f>VLOOKUP(A2092,[1]BBDD!$B$1:$J$3274,9,FALSE)</f>
        <v>H</v>
      </c>
      <c r="I2092" s="8" t="s">
        <v>2863</v>
      </c>
      <c r="J2092" s="8" t="s">
        <v>2821</v>
      </c>
      <c r="L2092" s="8" t="s">
        <v>479</v>
      </c>
      <c r="N2092" s="8" t="s">
        <v>67</v>
      </c>
      <c r="O2092" s="8" t="s">
        <v>67</v>
      </c>
      <c r="P2092" s="18" t="str">
        <f t="shared" si="212"/>
        <v>40</v>
      </c>
      <c r="Q2092" s="8" t="s">
        <v>45</v>
      </c>
      <c r="R2092" s="8">
        <v>2</v>
      </c>
      <c r="S2092" s="8">
        <v>4</v>
      </c>
      <c r="T2092" s="8">
        <f t="shared" si="210"/>
        <v>6</v>
      </c>
      <c r="U2092" s="8">
        <v>1</v>
      </c>
      <c r="V2092" s="8">
        <v>0</v>
      </c>
      <c r="W2092" s="8">
        <v>0</v>
      </c>
      <c r="X2092" s="8">
        <v>0</v>
      </c>
      <c r="Y2092" s="8">
        <v>0</v>
      </c>
      <c r="Z2092" s="8">
        <v>0</v>
      </c>
      <c r="AA2092" s="8">
        <v>180</v>
      </c>
      <c r="AB2092" s="9">
        <f t="shared" si="211"/>
        <v>0.16666666666666669</v>
      </c>
      <c r="AC2092" s="10">
        <f t="shared" si="208"/>
        <v>35.999999999999993</v>
      </c>
      <c r="AD2092" s="8" t="s">
        <v>109</v>
      </c>
      <c r="AE2092" s="11">
        <v>99990</v>
      </c>
      <c r="AF2092" s="11">
        <f t="shared" si="209"/>
        <v>599940</v>
      </c>
      <c r="AG2092" s="12" t="s">
        <v>73</v>
      </c>
      <c r="AH2092" s="8" t="s">
        <v>35</v>
      </c>
    </row>
    <row r="2093" spans="1:34">
      <c r="A2093" s="8" t="s">
        <v>2846</v>
      </c>
      <c r="B2093" s="16" t="s">
        <v>481</v>
      </c>
      <c r="C2093" s="8" t="s">
        <v>476</v>
      </c>
      <c r="D2093" s="8" t="s">
        <v>2787</v>
      </c>
      <c r="E2093" s="8" t="str">
        <f t="shared" si="207"/>
        <v>TABACO</v>
      </c>
      <c r="H2093" s="8" t="str">
        <f>VLOOKUP(A2093,[1]BBDD!$B$1:$J$3274,9,FALSE)</f>
        <v>H</v>
      </c>
      <c r="I2093" s="8" t="s">
        <v>2863</v>
      </c>
      <c r="J2093" s="8" t="s">
        <v>2821</v>
      </c>
      <c r="L2093" s="8" t="s">
        <v>479</v>
      </c>
      <c r="N2093" s="8" t="s">
        <v>67</v>
      </c>
      <c r="O2093" s="8" t="s">
        <v>67</v>
      </c>
      <c r="P2093" s="18" t="str">
        <f t="shared" si="212"/>
        <v>41</v>
      </c>
      <c r="Q2093" s="8" t="s">
        <v>45</v>
      </c>
      <c r="R2093" s="8">
        <v>0</v>
      </c>
      <c r="S2093" s="8">
        <v>3</v>
      </c>
      <c r="T2093" s="8">
        <f t="shared" si="210"/>
        <v>3</v>
      </c>
      <c r="U2093" s="8">
        <v>0</v>
      </c>
      <c r="V2093" s="8">
        <v>0</v>
      </c>
      <c r="W2093" s="8">
        <v>0</v>
      </c>
      <c r="X2093" s="8">
        <v>0</v>
      </c>
      <c r="Y2093" s="8">
        <v>0</v>
      </c>
      <c r="Z2093" s="8">
        <v>0</v>
      </c>
      <c r="AA2093" s="8">
        <v>180</v>
      </c>
      <c r="AB2093" s="9">
        <f t="shared" si="211"/>
        <v>0</v>
      </c>
      <c r="AC2093" s="10" t="str">
        <f t="shared" si="208"/>
        <v>sin venta</v>
      </c>
      <c r="AD2093" s="8" t="s">
        <v>109</v>
      </c>
      <c r="AE2093" s="11">
        <v>99990</v>
      </c>
      <c r="AF2093" s="11">
        <f t="shared" si="209"/>
        <v>299970</v>
      </c>
      <c r="AG2093" s="12" t="s">
        <v>73</v>
      </c>
      <c r="AH2093" s="8" t="s">
        <v>35</v>
      </c>
    </row>
    <row r="2094" spans="1:34">
      <c r="A2094" s="8" t="s">
        <v>2847</v>
      </c>
      <c r="B2094" s="16" t="s">
        <v>481</v>
      </c>
      <c r="C2094" s="8" t="s">
        <v>476</v>
      </c>
      <c r="D2094" s="8" t="s">
        <v>2787</v>
      </c>
      <c r="E2094" s="8" t="str">
        <f t="shared" si="207"/>
        <v>TABACO</v>
      </c>
      <c r="H2094" s="8" t="str">
        <f>VLOOKUP(A2094,[1]BBDD!$B$1:$J$3274,9,FALSE)</f>
        <v>H</v>
      </c>
      <c r="I2094" s="8" t="s">
        <v>2863</v>
      </c>
      <c r="J2094" s="8" t="s">
        <v>2821</v>
      </c>
      <c r="L2094" s="8" t="s">
        <v>479</v>
      </c>
      <c r="N2094" s="8" t="s">
        <v>67</v>
      </c>
      <c r="O2094" s="8" t="s">
        <v>67</v>
      </c>
      <c r="P2094" s="18" t="str">
        <f t="shared" si="212"/>
        <v>42</v>
      </c>
      <c r="Q2094" s="8" t="s">
        <v>45</v>
      </c>
      <c r="R2094" s="8">
        <v>1</v>
      </c>
      <c r="S2094" s="8">
        <v>5</v>
      </c>
      <c r="T2094" s="8">
        <f t="shared" si="210"/>
        <v>6</v>
      </c>
      <c r="U2094" s="8">
        <v>1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180</v>
      </c>
      <c r="AB2094" s="9">
        <f t="shared" si="211"/>
        <v>0.16666666666666669</v>
      </c>
      <c r="AC2094" s="10">
        <f t="shared" si="208"/>
        <v>35.999999999999993</v>
      </c>
      <c r="AD2094" s="8" t="s">
        <v>109</v>
      </c>
      <c r="AE2094" s="11">
        <v>99990</v>
      </c>
      <c r="AF2094" s="11">
        <f t="shared" si="209"/>
        <v>599940</v>
      </c>
      <c r="AG2094" s="12" t="s">
        <v>73</v>
      </c>
      <c r="AH2094" s="8" t="s">
        <v>35</v>
      </c>
    </row>
    <row r="2095" spans="1:34">
      <c r="A2095" s="8" t="s">
        <v>2848</v>
      </c>
      <c r="B2095" s="16" t="s">
        <v>481</v>
      </c>
      <c r="C2095" s="8" t="s">
        <v>476</v>
      </c>
      <c r="D2095" s="8" t="s">
        <v>2787</v>
      </c>
      <c r="E2095" s="8" t="str">
        <f t="shared" si="207"/>
        <v>TABACO</v>
      </c>
      <c r="H2095" s="8" t="str">
        <f>VLOOKUP(A2095,[1]BBDD!$B$1:$J$3274,9,FALSE)</f>
        <v>H</v>
      </c>
      <c r="I2095" s="8" t="s">
        <v>2863</v>
      </c>
      <c r="J2095" s="8" t="s">
        <v>2821</v>
      </c>
      <c r="L2095" s="8" t="s">
        <v>479</v>
      </c>
      <c r="N2095" s="8" t="s">
        <v>67</v>
      </c>
      <c r="O2095" s="8" t="s">
        <v>67</v>
      </c>
      <c r="P2095" s="18" t="str">
        <f t="shared" si="212"/>
        <v>43</v>
      </c>
      <c r="Q2095" s="8" t="s">
        <v>45</v>
      </c>
      <c r="R2095" s="8">
        <v>0</v>
      </c>
      <c r="S2095" s="8">
        <v>2</v>
      </c>
      <c r="T2095" s="8">
        <f t="shared" si="210"/>
        <v>2</v>
      </c>
      <c r="U2095" s="8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8">
        <v>180</v>
      </c>
      <c r="AB2095" s="9">
        <f t="shared" si="211"/>
        <v>0</v>
      </c>
      <c r="AC2095" s="10" t="str">
        <f t="shared" si="208"/>
        <v>sin venta</v>
      </c>
      <c r="AD2095" s="8" t="s">
        <v>109</v>
      </c>
      <c r="AE2095" s="11">
        <v>99990</v>
      </c>
      <c r="AF2095" s="11">
        <f t="shared" si="209"/>
        <v>199980</v>
      </c>
      <c r="AG2095" s="12" t="s">
        <v>73</v>
      </c>
      <c r="AH2095" s="8" t="s">
        <v>35</v>
      </c>
    </row>
    <row r="2096" spans="1:34">
      <c r="A2096" s="8" t="s">
        <v>2849</v>
      </c>
      <c r="B2096" s="16" t="s">
        <v>481</v>
      </c>
      <c r="C2096" s="8" t="s">
        <v>476</v>
      </c>
      <c r="D2096" s="8" t="s">
        <v>2787</v>
      </c>
      <c r="E2096" s="8" t="str">
        <f t="shared" si="207"/>
        <v>TABACO</v>
      </c>
      <c r="H2096" s="8" t="str">
        <f>VLOOKUP(A2096,[1]BBDD!$B$1:$J$3274,9,FALSE)</f>
        <v>H</v>
      </c>
      <c r="I2096" s="8" t="s">
        <v>2863</v>
      </c>
      <c r="J2096" s="8" t="s">
        <v>2821</v>
      </c>
      <c r="L2096" s="8" t="s">
        <v>479</v>
      </c>
      <c r="N2096" s="8" t="s">
        <v>67</v>
      </c>
      <c r="O2096" s="8" t="s">
        <v>67</v>
      </c>
      <c r="P2096" s="18" t="str">
        <f t="shared" si="212"/>
        <v>44</v>
      </c>
      <c r="Q2096" s="8" t="s">
        <v>45</v>
      </c>
      <c r="R2096" s="8">
        <v>3</v>
      </c>
      <c r="S2096" s="8">
        <v>3</v>
      </c>
      <c r="T2096" s="8">
        <f t="shared" si="210"/>
        <v>6</v>
      </c>
      <c r="U2096" s="8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180</v>
      </c>
      <c r="AB2096" s="9">
        <f t="shared" si="211"/>
        <v>0</v>
      </c>
      <c r="AC2096" s="10" t="str">
        <f t="shared" si="208"/>
        <v>sin venta</v>
      </c>
      <c r="AD2096" s="8" t="s">
        <v>109</v>
      </c>
      <c r="AE2096" s="11">
        <v>99990</v>
      </c>
      <c r="AF2096" s="11">
        <f t="shared" si="209"/>
        <v>599940</v>
      </c>
      <c r="AG2096" s="12" t="s">
        <v>73</v>
      </c>
      <c r="AH2096" s="8" t="s">
        <v>35</v>
      </c>
    </row>
    <row r="2097" spans="1:34">
      <c r="A2097" s="8" t="s">
        <v>2850</v>
      </c>
      <c r="B2097" s="16" t="s">
        <v>481</v>
      </c>
      <c r="C2097" s="8" t="s">
        <v>476</v>
      </c>
      <c r="D2097" s="8" t="s">
        <v>2787</v>
      </c>
      <c r="E2097" s="8" t="str">
        <f t="shared" si="207"/>
        <v>TABACO</v>
      </c>
      <c r="H2097" s="8" t="str">
        <f>VLOOKUP(A2097,[1]BBDD!$B$1:$J$3274,9,FALSE)</f>
        <v>H</v>
      </c>
      <c r="I2097" s="8" t="s">
        <v>2863</v>
      </c>
      <c r="J2097" s="8" t="s">
        <v>2821</v>
      </c>
      <c r="L2097" s="8" t="s">
        <v>479</v>
      </c>
      <c r="N2097" s="8" t="s">
        <v>67</v>
      </c>
      <c r="O2097" s="8" t="s">
        <v>67</v>
      </c>
      <c r="P2097" s="18" t="str">
        <f t="shared" si="212"/>
        <v>45</v>
      </c>
      <c r="Q2097" s="8" t="s">
        <v>45</v>
      </c>
      <c r="R2097" s="8">
        <v>4</v>
      </c>
      <c r="S2097" s="8">
        <v>3</v>
      </c>
      <c r="T2097" s="8">
        <f t="shared" si="210"/>
        <v>7</v>
      </c>
      <c r="U2097" s="8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180</v>
      </c>
      <c r="AB2097" s="9">
        <f t="shared" si="211"/>
        <v>0</v>
      </c>
      <c r="AC2097" s="10" t="str">
        <f t="shared" si="208"/>
        <v>sin venta</v>
      </c>
      <c r="AD2097" s="8" t="s">
        <v>109</v>
      </c>
      <c r="AE2097" s="11">
        <v>99990</v>
      </c>
      <c r="AF2097" s="11">
        <f t="shared" si="209"/>
        <v>699930</v>
      </c>
      <c r="AG2097" s="12" t="s">
        <v>73</v>
      </c>
      <c r="AH2097" s="8" t="s">
        <v>35</v>
      </c>
    </row>
    <row r="2098" spans="1:34">
      <c r="A2098" s="8" t="s">
        <v>2851</v>
      </c>
      <c r="B2098" s="16" t="s">
        <v>1226</v>
      </c>
      <c r="C2098" s="8" t="s">
        <v>476</v>
      </c>
      <c r="D2098" s="8" t="s">
        <v>2852</v>
      </c>
      <c r="E2098" s="8" t="str">
        <f t="shared" si="207"/>
        <v>AZUL/BLANCO</v>
      </c>
      <c r="H2098" s="8" t="str">
        <f>VLOOKUP(A2098,[1]BBDD!$B$1:$J$3274,9,FALSE)</f>
        <v>H</v>
      </c>
      <c r="I2098" s="8" t="s">
        <v>2863</v>
      </c>
      <c r="J2098" s="8" t="s">
        <v>2853</v>
      </c>
      <c r="L2098" s="8" t="s">
        <v>479</v>
      </c>
      <c r="N2098" s="8" t="s">
        <v>2854</v>
      </c>
      <c r="O2098" s="8" t="s">
        <v>83</v>
      </c>
      <c r="P2098" s="18" t="str">
        <f t="shared" si="212"/>
        <v>39</v>
      </c>
      <c r="Q2098" s="8" t="s">
        <v>45</v>
      </c>
      <c r="R2098" s="8">
        <v>0</v>
      </c>
      <c r="S2098" s="8">
        <v>1</v>
      </c>
      <c r="T2098" s="8">
        <f t="shared" si="210"/>
        <v>1</v>
      </c>
      <c r="U2098" s="8">
        <v>0</v>
      </c>
      <c r="V2098" s="8">
        <v>0</v>
      </c>
      <c r="W2098" s="8">
        <v>1</v>
      </c>
      <c r="X2098" s="8">
        <v>0</v>
      </c>
      <c r="Y2098" s="8">
        <v>0</v>
      </c>
      <c r="Z2098" s="8">
        <v>0</v>
      </c>
      <c r="AA2098" s="8">
        <v>180</v>
      </c>
      <c r="AB2098" s="9">
        <f t="shared" si="211"/>
        <v>0.16666666666666669</v>
      </c>
      <c r="AC2098" s="10">
        <f t="shared" si="208"/>
        <v>5.9999999999999991</v>
      </c>
      <c r="AD2098" s="8" t="s">
        <v>46</v>
      </c>
      <c r="AE2098" s="11">
        <v>29990</v>
      </c>
      <c r="AF2098" s="11">
        <f t="shared" si="209"/>
        <v>29990</v>
      </c>
      <c r="AG2098" s="12" t="s">
        <v>34</v>
      </c>
      <c r="AH2098" s="8" t="s">
        <v>35</v>
      </c>
    </row>
    <row r="2099" spans="1:34">
      <c r="A2099" s="8" t="s">
        <v>2855</v>
      </c>
      <c r="B2099" s="16" t="s">
        <v>1226</v>
      </c>
      <c r="C2099" s="8" t="s">
        <v>476</v>
      </c>
      <c r="D2099" s="8" t="s">
        <v>2852</v>
      </c>
      <c r="E2099" s="8" t="str">
        <f t="shared" si="207"/>
        <v>AZUL/BLANCO</v>
      </c>
      <c r="H2099" s="8" t="str">
        <f>VLOOKUP(A2099,[1]BBDD!$B$1:$J$3274,9,FALSE)</f>
        <v>H</v>
      </c>
      <c r="I2099" s="8" t="s">
        <v>2863</v>
      </c>
      <c r="J2099" s="8" t="s">
        <v>2853</v>
      </c>
      <c r="L2099" s="8" t="s">
        <v>479</v>
      </c>
      <c r="N2099" s="8" t="s">
        <v>2854</v>
      </c>
      <c r="O2099" s="8" t="s">
        <v>83</v>
      </c>
      <c r="P2099" s="18" t="str">
        <f t="shared" si="212"/>
        <v>45</v>
      </c>
      <c r="Q2099" s="8" t="s">
        <v>45</v>
      </c>
      <c r="R2099" s="8">
        <v>0</v>
      </c>
      <c r="S2099" s="8">
        <v>1</v>
      </c>
      <c r="T2099" s="8">
        <f t="shared" ref="T2099:T2100" si="213">SUM(R2099:S2099)</f>
        <v>1</v>
      </c>
      <c r="U2099" s="8">
        <v>0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180</v>
      </c>
      <c r="AB2099" s="9">
        <f t="shared" ref="AB2099:AB2100" si="214">SUM(U2099:Z2099)/AA2099*30</f>
        <v>0</v>
      </c>
      <c r="AC2099" s="10" t="str">
        <f t="shared" si="208"/>
        <v>sin venta</v>
      </c>
      <c r="AD2099" s="8" t="s">
        <v>46</v>
      </c>
      <c r="AE2099" s="11">
        <v>29990</v>
      </c>
      <c r="AF2099" s="11">
        <f t="shared" si="209"/>
        <v>29990</v>
      </c>
      <c r="AG2099" s="12" t="s">
        <v>73</v>
      </c>
      <c r="AH2099" s="8" t="s">
        <v>35</v>
      </c>
    </row>
    <row r="2100" spans="1:34">
      <c r="A2100" s="8" t="s">
        <v>2856</v>
      </c>
      <c r="B2100" s="16" t="s">
        <v>2857</v>
      </c>
      <c r="C2100" s="8" t="s">
        <v>476</v>
      </c>
      <c r="D2100" s="8" t="s">
        <v>2852</v>
      </c>
      <c r="E2100" s="8" t="str">
        <f t="shared" si="207"/>
        <v>AZUL/BLANCO</v>
      </c>
      <c r="H2100" s="8" t="str">
        <f>VLOOKUP(A2100,[1]BBDD!$B$1:$J$3274,9,FALSE)</f>
        <v>H</v>
      </c>
      <c r="I2100" s="8" t="s">
        <v>2863</v>
      </c>
      <c r="J2100" s="8" t="s">
        <v>2858</v>
      </c>
      <c r="L2100" s="8" t="s">
        <v>479</v>
      </c>
      <c r="N2100" s="8" t="s">
        <v>2854</v>
      </c>
      <c r="O2100" s="8" t="s">
        <v>83</v>
      </c>
      <c r="P2100" s="18" t="str">
        <f t="shared" si="212"/>
        <v>40</v>
      </c>
      <c r="Q2100" s="8" t="s">
        <v>45</v>
      </c>
      <c r="R2100" s="8">
        <v>0</v>
      </c>
      <c r="S2100" s="8">
        <v>1</v>
      </c>
      <c r="T2100" s="8">
        <f t="shared" si="213"/>
        <v>1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0</v>
      </c>
      <c r="AA2100" s="8">
        <v>180</v>
      </c>
      <c r="AB2100" s="9">
        <f t="shared" si="214"/>
        <v>0</v>
      </c>
      <c r="AC2100" s="10" t="str">
        <f t="shared" si="208"/>
        <v>sin venta</v>
      </c>
      <c r="AD2100" s="8" t="s">
        <v>46</v>
      </c>
      <c r="AE2100" s="11">
        <v>29990</v>
      </c>
      <c r="AF2100" s="11">
        <f t="shared" si="209"/>
        <v>29990</v>
      </c>
      <c r="AG2100" s="12" t="s">
        <v>73</v>
      </c>
      <c r="AH2100" s="8" t="s">
        <v>35</v>
      </c>
    </row>
  </sheetData>
  <autoFilter ref="A1:AH2100"/>
  <printOptions horizontalCentered="1" gridLines="1"/>
  <pageMargins left="0.70866141732283472" right="0.70866141732283472" top="0.74803149606299213" bottom="0.74803149606299213" header="0" footer="0"/>
  <pageSetup paperSize="9" scale="1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selection activeCell="C31" sqref="C31"/>
    </sheetView>
  </sheetViews>
  <sheetFormatPr baseColWidth="10" defaultRowHeight="13.2"/>
  <cols>
    <col min="1" max="3" width="14" customWidth="1"/>
    <col min="4" max="4" width="17.33203125" bestFit="1" customWidth="1"/>
    <col min="5" max="5" width="18" bestFit="1" customWidth="1"/>
    <col min="6" max="6" width="15.77734375" bestFit="1" customWidth="1"/>
    <col min="7" max="8" width="14" customWidth="1"/>
  </cols>
  <sheetData>
    <row r="1" spans="1:8" ht="13.8">
      <c r="A1" s="22" t="s">
        <v>2887</v>
      </c>
    </row>
    <row r="3" spans="1:8">
      <c r="A3" s="23" t="s">
        <v>377</v>
      </c>
      <c r="B3" s="23" t="s">
        <v>476</v>
      </c>
      <c r="C3" s="23" t="s">
        <v>1030</v>
      </c>
      <c r="D3" s="23" t="s">
        <v>27</v>
      </c>
      <c r="E3" s="23" t="s">
        <v>248</v>
      </c>
      <c r="F3" s="23" t="s">
        <v>40</v>
      </c>
      <c r="G3" s="23" t="s">
        <v>533</v>
      </c>
      <c r="H3" s="23" t="s">
        <v>729</v>
      </c>
    </row>
    <row r="4" spans="1:8">
      <c r="A4" t="s">
        <v>378</v>
      </c>
      <c r="B4" t="s">
        <v>477</v>
      </c>
      <c r="C4" t="s">
        <v>1030</v>
      </c>
      <c r="D4" t="s">
        <v>28</v>
      </c>
      <c r="E4" t="s">
        <v>249</v>
      </c>
      <c r="F4" t="s">
        <v>41</v>
      </c>
      <c r="G4" t="s">
        <v>534</v>
      </c>
      <c r="H4" t="s">
        <v>2241</v>
      </c>
    </row>
    <row r="5" spans="1:8">
      <c r="A5" t="s">
        <v>506</v>
      </c>
      <c r="B5" t="s">
        <v>484</v>
      </c>
      <c r="D5" t="s">
        <v>1265</v>
      </c>
      <c r="E5" t="s">
        <v>961</v>
      </c>
      <c r="F5" t="s">
        <v>400</v>
      </c>
      <c r="G5" t="s">
        <v>653</v>
      </c>
      <c r="H5" t="s">
        <v>730</v>
      </c>
    </row>
    <row r="6" spans="1:8">
      <c r="A6" t="s">
        <v>1226</v>
      </c>
      <c r="B6" t="s">
        <v>1660</v>
      </c>
      <c r="C6" s="24" t="s">
        <v>2888</v>
      </c>
      <c r="D6" t="s">
        <v>1369</v>
      </c>
      <c r="E6" t="s">
        <v>1775</v>
      </c>
      <c r="F6" t="s">
        <v>736</v>
      </c>
      <c r="G6" t="s">
        <v>978</v>
      </c>
    </row>
    <row r="7" spans="1:8">
      <c r="A7" t="s">
        <v>1257</v>
      </c>
      <c r="B7" t="s">
        <v>2387</v>
      </c>
      <c r="D7" t="s">
        <v>1607</v>
      </c>
      <c r="E7" t="s">
        <v>490</v>
      </c>
      <c r="F7" t="s">
        <v>1602</v>
      </c>
      <c r="G7" t="s">
        <v>989</v>
      </c>
    </row>
    <row r="8" spans="1:8">
      <c r="A8" t="s">
        <v>1260</v>
      </c>
      <c r="B8" t="s">
        <v>2787</v>
      </c>
      <c r="D8" t="s">
        <v>1864</v>
      </c>
      <c r="E8" t="s">
        <v>1960</v>
      </c>
      <c r="F8" t="s">
        <v>1681</v>
      </c>
      <c r="G8" t="s">
        <v>1000</v>
      </c>
    </row>
    <row r="9" spans="1:8">
      <c r="A9" t="s">
        <v>1276</v>
      </c>
      <c r="B9" t="s">
        <v>2852</v>
      </c>
      <c r="D9" t="s">
        <v>1976</v>
      </c>
      <c r="E9" t="s">
        <v>1962</v>
      </c>
      <c r="F9" t="s">
        <v>1822</v>
      </c>
      <c r="G9" t="s">
        <v>1618</v>
      </c>
    </row>
    <row r="10" spans="1:8">
      <c r="A10" t="s">
        <v>1351</v>
      </c>
      <c r="D10" t="s">
        <v>2245</v>
      </c>
      <c r="E10" t="s">
        <v>2003</v>
      </c>
      <c r="F10" t="s">
        <v>1923</v>
      </c>
      <c r="G10" t="s">
        <v>2276</v>
      </c>
    </row>
    <row r="11" spans="1:8">
      <c r="A11" t="s">
        <v>1390</v>
      </c>
      <c r="D11" t="s">
        <v>2271</v>
      </c>
      <c r="E11" t="s">
        <v>2052</v>
      </c>
      <c r="F11" t="s">
        <v>2016</v>
      </c>
      <c r="G11" t="s">
        <v>2565</v>
      </c>
    </row>
    <row r="12" spans="1:8">
      <c r="A12" t="s">
        <v>1947</v>
      </c>
      <c r="D12" t="s">
        <v>2425</v>
      </c>
      <c r="E12" t="s">
        <v>2096</v>
      </c>
      <c r="F12" t="s">
        <v>2065</v>
      </c>
    </row>
    <row r="13" spans="1:8">
      <c r="A13" t="s">
        <v>2571</v>
      </c>
      <c r="E13" t="s">
        <v>2172</v>
      </c>
      <c r="F13" t="s">
        <v>2354</v>
      </c>
    </row>
    <row r="14" spans="1:8">
      <c r="E14" t="s">
        <v>2188</v>
      </c>
      <c r="F14" t="s">
        <v>2461</v>
      </c>
    </row>
    <row r="15" spans="1:8">
      <c r="E15" t="s">
        <v>2622</v>
      </c>
      <c r="F15" t="s">
        <v>1759</v>
      </c>
    </row>
    <row r="16" spans="1:8">
      <c r="F16" t="s">
        <v>2758</v>
      </c>
    </row>
    <row r="21" spans="1:8" ht="13.8">
      <c r="A21" s="22" t="s">
        <v>2889</v>
      </c>
    </row>
    <row r="23" spans="1:8">
      <c r="A23" s="23" t="s">
        <v>377</v>
      </c>
      <c r="B23" s="23" t="s">
        <v>476</v>
      </c>
      <c r="C23" s="23" t="s">
        <v>1030</v>
      </c>
      <c r="D23" s="23" t="s">
        <v>27</v>
      </c>
      <c r="E23" s="23" t="s">
        <v>248</v>
      </c>
      <c r="F23" s="23" t="s">
        <v>40</v>
      </c>
      <c r="G23" s="23" t="s">
        <v>533</v>
      </c>
      <c r="H23" s="23" t="s">
        <v>729</v>
      </c>
    </row>
    <row r="24" spans="1:8">
      <c r="A24" t="s">
        <v>1226</v>
      </c>
      <c r="B24" t="s">
        <v>477</v>
      </c>
      <c r="C24" t="s">
        <v>1030</v>
      </c>
      <c r="D24" t="s">
        <v>28</v>
      </c>
      <c r="E24" t="s">
        <v>249</v>
      </c>
      <c r="F24" t="s">
        <v>41</v>
      </c>
      <c r="G24" t="s">
        <v>534</v>
      </c>
      <c r="H24" t="s">
        <v>2241</v>
      </c>
    </row>
    <row r="25" spans="1:8">
      <c r="A25" t="s">
        <v>1257</v>
      </c>
      <c r="B25" t="s">
        <v>484</v>
      </c>
      <c r="D25" t="s">
        <v>1265</v>
      </c>
      <c r="E25" t="s">
        <v>961</v>
      </c>
      <c r="F25" t="s">
        <v>736</v>
      </c>
      <c r="G25" t="s">
        <v>653</v>
      </c>
      <c r="H25" t="s">
        <v>730</v>
      </c>
    </row>
    <row r="26" spans="1:8">
      <c r="A26" t="s">
        <v>1260</v>
      </c>
      <c r="B26" t="s">
        <v>1660</v>
      </c>
      <c r="D26" t="s">
        <v>1369</v>
      </c>
      <c r="E26" t="s">
        <v>1775</v>
      </c>
      <c r="F26" t="s">
        <v>1602</v>
      </c>
      <c r="G26" t="s">
        <v>978</v>
      </c>
      <c r="H26" s="25" t="s">
        <v>400</v>
      </c>
    </row>
    <row r="27" spans="1:8">
      <c r="A27" t="s">
        <v>1390</v>
      </c>
      <c r="B27" t="s">
        <v>2387</v>
      </c>
      <c r="D27" t="s">
        <v>1607</v>
      </c>
      <c r="E27" t="s">
        <v>490</v>
      </c>
      <c r="F27" t="s">
        <v>1681</v>
      </c>
      <c r="G27" t="s">
        <v>989</v>
      </c>
    </row>
    <row r="28" spans="1:8">
      <c r="B28" t="s">
        <v>2787</v>
      </c>
      <c r="D28" t="s">
        <v>1864</v>
      </c>
      <c r="E28" t="s">
        <v>1960</v>
      </c>
      <c r="F28" t="s">
        <v>1822</v>
      </c>
      <c r="G28" t="s">
        <v>1000</v>
      </c>
    </row>
    <row r="29" spans="1:8">
      <c r="A29" t="s">
        <v>2571</v>
      </c>
      <c r="B29" t="s">
        <v>2852</v>
      </c>
      <c r="D29" t="s">
        <v>1976</v>
      </c>
      <c r="E29" t="s">
        <v>1962</v>
      </c>
      <c r="F29" t="s">
        <v>1923</v>
      </c>
      <c r="G29" t="s">
        <v>1618</v>
      </c>
    </row>
    <row r="30" spans="1:8">
      <c r="D30" t="s">
        <v>2245</v>
      </c>
      <c r="E30" t="s">
        <v>2003</v>
      </c>
      <c r="F30" t="s">
        <v>2016</v>
      </c>
      <c r="G30" t="s">
        <v>2276</v>
      </c>
    </row>
    <row r="31" spans="1:8">
      <c r="D31" t="s">
        <v>2271</v>
      </c>
      <c r="E31" t="s">
        <v>2052</v>
      </c>
      <c r="F31" t="s">
        <v>2065</v>
      </c>
      <c r="G31" t="s">
        <v>2565</v>
      </c>
    </row>
    <row r="32" spans="1:8">
      <c r="D32" t="s">
        <v>2425</v>
      </c>
      <c r="E32" t="s">
        <v>2096</v>
      </c>
      <c r="F32" t="s">
        <v>2354</v>
      </c>
      <c r="G32" s="25" t="s">
        <v>1276</v>
      </c>
    </row>
    <row r="33" spans="5:7">
      <c r="E33" t="s">
        <v>2172</v>
      </c>
      <c r="F33" t="s">
        <v>2461</v>
      </c>
      <c r="G33" s="25" t="s">
        <v>1351</v>
      </c>
    </row>
    <row r="34" spans="5:7">
      <c r="E34" t="s">
        <v>2188</v>
      </c>
      <c r="F34" t="s">
        <v>1759</v>
      </c>
      <c r="G34" s="25" t="s">
        <v>378</v>
      </c>
    </row>
    <row r="35" spans="5:7">
      <c r="E35" t="s">
        <v>2622</v>
      </c>
      <c r="F35" t="s">
        <v>2758</v>
      </c>
      <c r="G35" s="25" t="s">
        <v>506</v>
      </c>
    </row>
    <row r="36" spans="5:7">
      <c r="G36" s="25" t="s">
        <v>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listado</vt:lpstr>
      <vt:lpstr>Familias</vt:lpstr>
      <vt:lpstr>listado!Títulos_a_imprimir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Valeria Levite</cp:lastModifiedBy>
  <dcterms:created xsi:type="dcterms:W3CDTF">2025-07-03T15:24:17Z</dcterms:created>
  <dcterms:modified xsi:type="dcterms:W3CDTF">2025-08-26T17:27:29Z</dcterms:modified>
</cp:coreProperties>
</file>