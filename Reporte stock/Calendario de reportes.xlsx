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mc:AlternateContent xmlns:mc="http://schemas.openxmlformats.org/markup-compatibility/2006">
    <mc:Choice Requires="x15">
      <x15ac:absPath xmlns:x15ac="http://schemas.microsoft.com/office/spreadsheetml/2010/11/ac" url="C:\Users\PC\Documents\Valeria\Reportes\"/>
    </mc:Choice>
  </mc:AlternateContent>
  <bookViews>
    <workbookView xWindow="0" yWindow="0" windowWidth="21600" windowHeight="9510" tabRatio="788" firstSheet="8" activeTab="8"/>
  </bookViews>
  <sheets>
    <sheet name="Enero" sheetId="14" state="hidden" r:id="rId1"/>
    <sheet name="Febrero" sheetId="15" state="hidden" r:id="rId2"/>
    <sheet name="Marzo" sheetId="16" state="hidden" r:id="rId3"/>
    <sheet name="Abril" sheetId="17" state="hidden" r:id="rId4"/>
    <sheet name="Mayo" sheetId="18" state="hidden" r:id="rId5"/>
    <sheet name="Junio" sheetId="19" state="hidden" r:id="rId6"/>
    <sheet name="Julio" sheetId="20" state="hidden" r:id="rId7"/>
    <sheet name="Agosto" sheetId="21" state="hidden" r:id="rId8"/>
    <sheet name="Septiembre" sheetId="22" r:id="rId9"/>
    <sheet name="Octubre" sheetId="23" r:id="rId10"/>
    <sheet name="Noviembre" sheetId="24" r:id="rId11"/>
    <sheet name="Diciembre" sheetId="25" r:id="rId12"/>
  </sheets>
  <definedNames>
    <definedName name="_xlnm.Print_Area" localSheetId="0">Enero!$A$1:$H$14</definedName>
    <definedName name="CalendarYear">Enero!$K$2</definedName>
    <definedName name="ColumnTitleRegion1..H12.1">Enero!$B$2</definedName>
    <definedName name="ColumnTitleRegion1..H12.10">Octubre!$B$2</definedName>
    <definedName name="ColumnTitleRegion1..H12.11">Noviembre!$B$2</definedName>
    <definedName name="ColumnTitleRegion1..H12.12">Diciembre!$B$2</definedName>
    <definedName name="ColumnTitleRegion1..H12.2">Febrero!$B$2</definedName>
    <definedName name="ColumnTitleRegion1..H12.3">Marzo!$B$2</definedName>
    <definedName name="ColumnTitleRegion1..H12.4">Abril!$B$2</definedName>
    <definedName name="ColumnTitleRegion1..H12.5">Mayo!$B$2</definedName>
    <definedName name="ColumnTitleRegion1..H12.6">Junio!$B$2</definedName>
    <definedName name="ColumnTitleRegion1..H12.7">Julio!$B$2</definedName>
    <definedName name="ColumnTitleRegion1..H12.8">Agosto!$B$2</definedName>
    <definedName name="ColumnTitleRegion1..H12.9">Septiembre!$B$2</definedName>
    <definedName name="ColumnTitleRegion2..C14.1">Enero!$B$2</definedName>
    <definedName name="ColumnTitleRegion2..C14.10">Octubre!$B$2</definedName>
    <definedName name="ColumnTitleRegion2..C14.11">Noviembre!$B$2</definedName>
    <definedName name="ColumnTitleRegion2..C14.12">Diciembre!$B$2</definedName>
    <definedName name="ColumnTitleRegion2..C14.2">Febrero!$B$2</definedName>
    <definedName name="ColumnTitleRegion2..C14.3">Marzo!$B$2</definedName>
    <definedName name="ColumnTitleRegion2..C14.4">Abril!$B$2</definedName>
    <definedName name="ColumnTitleRegion2..C14.5">Mayo!$B$2</definedName>
    <definedName name="ColumnTitleRegion2..C14.6">Junio!$B$2</definedName>
    <definedName name="ColumnTitleRegion2..C14.7">Julio!$B$2</definedName>
    <definedName name="ColumnTitleRegion2..C14.8">Agosto!$B$2</definedName>
    <definedName name="ColumnTitleRegion2..C14.9">Septiembre!$B$2</definedName>
    <definedName name="DaysAndWeeks">{0,1,2,3,4,5,6} + {0;1;2;3;4;5}*7</definedName>
    <definedName name="WeekStart">Enero!$K$3</definedName>
  </definedNames>
  <calcPr calcId="162913"/>
  <extLst>
    <ext xmlns:mx="http://schemas.microsoft.com/office/mac/excel/2008/main" uri="{7523E5D3-25F3-A5E0-1632-64F254C22452}">
      <mx:ArchID Flags="2"/>
    </ext>
  </extLst>
</workbook>
</file>

<file path=xl/calcChain.xml><?xml version="1.0" encoding="utf-8"?>
<calcChain xmlns="http://schemas.openxmlformats.org/spreadsheetml/2006/main">
  <c r="B2" i="25" l="1"/>
  <c r="B2" i="24"/>
  <c r="B2" i="23"/>
  <c r="B2" i="22"/>
  <c r="B2" i="21"/>
  <c r="B2" i="20"/>
  <c r="B2" i="19"/>
  <c r="B2" i="18"/>
  <c r="B2" i="17"/>
  <c r="B2" i="16"/>
  <c r="B2" i="15"/>
  <c r="K2" i="14" l="1"/>
  <c r="B1" i="14" l="1"/>
  <c r="B11" i="25" a="1"/>
  <c r="B9" i="25" a="1"/>
  <c r="B7" i="25" a="1"/>
  <c r="B5" i="25" a="1"/>
  <c r="B3" i="25" a="1"/>
  <c r="B11" i="24" a="1"/>
  <c r="B9" i="24" a="1"/>
  <c r="B7" i="24" a="1"/>
  <c r="B5" i="24" a="1"/>
  <c r="B3" i="24" a="1"/>
  <c r="B11" i="23" a="1"/>
  <c r="B9" i="23" a="1"/>
  <c r="B7" i="23" a="1"/>
  <c r="B5" i="23" a="1"/>
  <c r="B3" i="23" a="1"/>
  <c r="B11" i="22" a="1"/>
  <c r="B9" i="22" a="1"/>
  <c r="B7" i="22" a="1"/>
  <c r="B5" i="22" a="1"/>
  <c r="B3" i="22" a="1"/>
  <c r="B13" i="21" a="1"/>
  <c r="B11" i="21" a="1"/>
  <c r="B9" i="21" a="1"/>
  <c r="B7" i="21" a="1"/>
  <c r="B5" i="21" a="1"/>
  <c r="B3" i="21" a="1"/>
  <c r="B13" i="20" a="1"/>
  <c r="B11" i="20" a="1"/>
  <c r="B9" i="20" a="1"/>
  <c r="B7" i="20" a="1"/>
  <c r="B5" i="20" a="1"/>
  <c r="B3" i="20" a="1"/>
  <c r="B13" i="19" a="1"/>
  <c r="B11" i="19" a="1"/>
  <c r="B9" i="19" a="1"/>
  <c r="B7" i="19" a="1"/>
  <c r="B5" i="19" a="1"/>
  <c r="B3" i="19" a="1"/>
  <c r="B13" i="18" a="1"/>
  <c r="B11" i="18" a="1"/>
  <c r="B9" i="18" a="1"/>
  <c r="B7" i="18" a="1"/>
  <c r="B5" i="18" a="1"/>
  <c r="B3" i="18" a="1"/>
  <c r="B13" i="17" a="1"/>
  <c r="B11" i="17" a="1"/>
  <c r="B9" i="17" a="1"/>
  <c r="B7" i="17" a="1"/>
  <c r="B5" i="17" a="1"/>
  <c r="B3" i="17" a="1"/>
  <c r="B13" i="16" a="1"/>
  <c r="B11" i="16" a="1"/>
  <c r="B9" i="16" a="1"/>
  <c r="B7" i="16" a="1"/>
  <c r="B5" i="16" a="1"/>
  <c r="B3" i="16" a="1"/>
  <c r="B13" i="15" a="1"/>
  <c r="B11" i="15" a="1"/>
  <c r="B9" i="15" a="1"/>
  <c r="B7" i="15" a="1"/>
  <c r="B5" i="15" a="1"/>
  <c r="B3" i="15" a="1"/>
  <c r="B13" i="14" a="1"/>
  <c r="B11" i="14" a="1"/>
  <c r="B9" i="14" a="1"/>
  <c r="B7" i="14" a="1"/>
  <c r="B5" i="14" a="1"/>
  <c r="B3" i="14" a="1"/>
  <c r="B1" i="16"/>
  <c r="B1" i="15"/>
  <c r="B1" i="18"/>
  <c r="B1" i="17"/>
  <c r="B1" i="20"/>
  <c r="B1" i="19"/>
  <c r="B1" i="22"/>
  <c r="B1" i="21"/>
  <c r="B1" i="24"/>
  <c r="B1" i="23"/>
  <c r="B1" i="25"/>
  <c r="H3" i="14" l="1"/>
  <c r="G3" i="14"/>
  <c r="F3" i="14"/>
  <c r="E3" i="14"/>
  <c r="D3" i="14"/>
  <c r="C3" i="14"/>
  <c r="B3" i="14"/>
  <c r="H5" i="14"/>
  <c r="G5" i="14"/>
  <c r="F5" i="14"/>
  <c r="E5" i="14"/>
  <c r="D5" i="14"/>
  <c r="C5" i="14"/>
  <c r="B5" i="14"/>
  <c r="H7" i="14"/>
  <c r="G7" i="14"/>
  <c r="F7" i="14"/>
  <c r="E7" i="14"/>
  <c r="D7" i="14"/>
  <c r="C7" i="14"/>
  <c r="B7" i="14"/>
  <c r="H9" i="14"/>
  <c r="G9" i="14"/>
  <c r="F9" i="14"/>
  <c r="E9" i="14"/>
  <c r="D9" i="14"/>
  <c r="C9" i="14"/>
  <c r="B9" i="14"/>
  <c r="H11" i="14"/>
  <c r="G11" i="14"/>
  <c r="F11" i="14"/>
  <c r="E11" i="14"/>
  <c r="D11" i="14"/>
  <c r="C11" i="14"/>
  <c r="B11" i="14"/>
  <c r="C13" i="14"/>
  <c r="B13" i="14"/>
  <c r="H3" i="15"/>
  <c r="H2" i="15" s="1"/>
  <c r="G3" i="15"/>
  <c r="G2" i="15" s="1"/>
  <c r="F3" i="15"/>
  <c r="F2" i="15" s="1"/>
  <c r="E3" i="15"/>
  <c r="E2" i="15" s="1"/>
  <c r="D3" i="15"/>
  <c r="D2" i="15" s="1"/>
  <c r="C3" i="15"/>
  <c r="C2" i="15" s="1"/>
  <c r="B3" i="15"/>
  <c r="H5" i="15"/>
  <c r="G5" i="15"/>
  <c r="F5" i="15"/>
  <c r="E5" i="15"/>
  <c r="D5" i="15"/>
  <c r="C5" i="15"/>
  <c r="B5" i="15"/>
  <c r="H7" i="15"/>
  <c r="G7" i="15"/>
  <c r="F7" i="15"/>
  <c r="E7" i="15"/>
  <c r="D7" i="15"/>
  <c r="C7" i="15"/>
  <c r="B7" i="15"/>
  <c r="H9" i="15"/>
  <c r="G9" i="15"/>
  <c r="F9" i="15"/>
  <c r="E9" i="15"/>
  <c r="D9" i="15"/>
  <c r="C9" i="15"/>
  <c r="B9" i="15"/>
  <c r="H11" i="15"/>
  <c r="G11" i="15"/>
  <c r="F11" i="15"/>
  <c r="E11" i="15"/>
  <c r="D11" i="15"/>
  <c r="C11" i="15"/>
  <c r="B11" i="15"/>
  <c r="C13" i="15"/>
  <c r="B13" i="15"/>
  <c r="H3" i="16"/>
  <c r="H2" i="16" s="1"/>
  <c r="G3" i="16"/>
  <c r="G2" i="16" s="1"/>
  <c r="F3" i="16"/>
  <c r="F2" i="16" s="1"/>
  <c r="E3" i="16"/>
  <c r="E2" i="16" s="1"/>
  <c r="D3" i="16"/>
  <c r="D2" i="16" s="1"/>
  <c r="C3" i="16"/>
  <c r="C2" i="16" s="1"/>
  <c r="B3" i="16"/>
  <c r="H5" i="16"/>
  <c r="G5" i="16"/>
  <c r="F5" i="16"/>
  <c r="E5" i="16"/>
  <c r="D5" i="16"/>
  <c r="C5" i="16"/>
  <c r="B5" i="16"/>
  <c r="H7" i="16"/>
  <c r="G7" i="16"/>
  <c r="F7" i="16"/>
  <c r="E7" i="16"/>
  <c r="D7" i="16"/>
  <c r="C7" i="16"/>
  <c r="B7" i="16"/>
  <c r="H9" i="16"/>
  <c r="G9" i="16"/>
  <c r="F9" i="16"/>
  <c r="E9" i="16"/>
  <c r="D9" i="16"/>
  <c r="C9" i="16"/>
  <c r="B9" i="16"/>
  <c r="H11" i="16"/>
  <c r="G11" i="16"/>
  <c r="F11" i="16"/>
  <c r="E11" i="16"/>
  <c r="D11" i="16"/>
  <c r="C11" i="16"/>
  <c r="B11" i="16"/>
  <c r="C13" i="16"/>
  <c r="B13" i="16"/>
  <c r="H3" i="17"/>
  <c r="H2" i="17" s="1"/>
  <c r="G3" i="17"/>
  <c r="G2" i="17" s="1"/>
  <c r="F3" i="17"/>
  <c r="F2" i="17" s="1"/>
  <c r="E3" i="17"/>
  <c r="E2" i="17" s="1"/>
  <c r="D3" i="17"/>
  <c r="D2" i="17" s="1"/>
  <c r="C3" i="17"/>
  <c r="C2" i="17" s="1"/>
  <c r="B3" i="17"/>
  <c r="H5" i="17"/>
  <c r="G5" i="17"/>
  <c r="F5" i="17"/>
  <c r="E5" i="17"/>
  <c r="D5" i="17"/>
  <c r="C5" i="17"/>
  <c r="B5" i="17"/>
  <c r="H7" i="17"/>
  <c r="G7" i="17"/>
  <c r="F7" i="17"/>
  <c r="E7" i="17"/>
  <c r="D7" i="17"/>
  <c r="C7" i="17"/>
  <c r="B7" i="17"/>
  <c r="H9" i="17"/>
  <c r="G9" i="17"/>
  <c r="F9" i="17"/>
  <c r="E9" i="17"/>
  <c r="D9" i="17"/>
  <c r="C9" i="17"/>
  <c r="B9" i="17"/>
  <c r="H11" i="17"/>
  <c r="G11" i="17"/>
  <c r="F11" i="17"/>
  <c r="E11" i="17"/>
  <c r="D11" i="17"/>
  <c r="C11" i="17"/>
  <c r="B11" i="17"/>
  <c r="C13" i="17"/>
  <c r="B13" i="17"/>
  <c r="H3" i="18"/>
  <c r="H2" i="18" s="1"/>
  <c r="G3" i="18"/>
  <c r="G2" i="18" s="1"/>
  <c r="F3" i="18"/>
  <c r="F2" i="18" s="1"/>
  <c r="E3" i="18"/>
  <c r="E2" i="18" s="1"/>
  <c r="D3" i="18"/>
  <c r="D2" i="18" s="1"/>
  <c r="C3" i="18"/>
  <c r="C2" i="18" s="1"/>
  <c r="B3" i="18"/>
  <c r="H5" i="18"/>
  <c r="G5" i="18"/>
  <c r="F5" i="18"/>
  <c r="E5" i="18"/>
  <c r="D5" i="18"/>
  <c r="C5" i="18"/>
  <c r="B5" i="18"/>
  <c r="H7" i="18"/>
  <c r="G7" i="18"/>
  <c r="F7" i="18"/>
  <c r="E7" i="18"/>
  <c r="D7" i="18"/>
  <c r="C7" i="18"/>
  <c r="B7" i="18"/>
  <c r="H9" i="18"/>
  <c r="G9" i="18"/>
  <c r="F9" i="18"/>
  <c r="E9" i="18"/>
  <c r="D9" i="18"/>
  <c r="C9" i="18"/>
  <c r="B9" i="18"/>
  <c r="H11" i="18"/>
  <c r="G11" i="18"/>
  <c r="F11" i="18"/>
  <c r="E11" i="18"/>
  <c r="D11" i="18"/>
  <c r="C11" i="18"/>
  <c r="B11" i="18"/>
  <c r="C13" i="18"/>
  <c r="B13" i="18"/>
  <c r="H3" i="19"/>
  <c r="H2" i="19" s="1"/>
  <c r="G3" i="19"/>
  <c r="G2" i="19" s="1"/>
  <c r="F3" i="19"/>
  <c r="F2" i="19" s="1"/>
  <c r="E3" i="19"/>
  <c r="E2" i="19" s="1"/>
  <c r="D3" i="19"/>
  <c r="D2" i="19" s="1"/>
  <c r="C3" i="19"/>
  <c r="C2" i="19" s="1"/>
  <c r="B3" i="19"/>
  <c r="H5" i="19"/>
  <c r="G5" i="19"/>
  <c r="F5" i="19"/>
  <c r="E5" i="19"/>
  <c r="D5" i="19"/>
  <c r="C5" i="19"/>
  <c r="B5" i="19"/>
  <c r="H7" i="19"/>
  <c r="G7" i="19"/>
  <c r="F7" i="19"/>
  <c r="E7" i="19"/>
  <c r="D7" i="19"/>
  <c r="C7" i="19"/>
  <c r="B7" i="19"/>
  <c r="H9" i="19"/>
  <c r="G9" i="19"/>
  <c r="F9" i="19"/>
  <c r="E9" i="19"/>
  <c r="D9" i="19"/>
  <c r="C9" i="19"/>
  <c r="B9" i="19"/>
  <c r="H11" i="19"/>
  <c r="G11" i="19"/>
  <c r="F11" i="19"/>
  <c r="E11" i="19"/>
  <c r="D11" i="19"/>
  <c r="C11" i="19"/>
  <c r="B11" i="19"/>
  <c r="C13" i="19"/>
  <c r="B13" i="19"/>
  <c r="H3" i="20"/>
  <c r="H2" i="20" s="1"/>
  <c r="G3" i="20"/>
  <c r="G2" i="20" s="1"/>
  <c r="F3" i="20"/>
  <c r="F2" i="20" s="1"/>
  <c r="E3" i="20"/>
  <c r="E2" i="20" s="1"/>
  <c r="D3" i="20"/>
  <c r="D2" i="20" s="1"/>
  <c r="C3" i="20"/>
  <c r="C2" i="20" s="1"/>
  <c r="B3" i="20"/>
  <c r="H5" i="20"/>
  <c r="G5" i="20"/>
  <c r="F5" i="20"/>
  <c r="E5" i="20"/>
  <c r="D5" i="20"/>
  <c r="C5" i="20"/>
  <c r="B5" i="20"/>
  <c r="H7" i="20"/>
  <c r="G7" i="20"/>
  <c r="F7" i="20"/>
  <c r="E7" i="20"/>
  <c r="D7" i="20"/>
  <c r="C7" i="20"/>
  <c r="B7" i="20"/>
  <c r="H9" i="20"/>
  <c r="G9" i="20"/>
  <c r="F9" i="20"/>
  <c r="E9" i="20"/>
  <c r="D9" i="20"/>
  <c r="C9" i="20"/>
  <c r="B9" i="20"/>
  <c r="H11" i="20"/>
  <c r="G11" i="20"/>
  <c r="F11" i="20"/>
  <c r="E11" i="20"/>
  <c r="D11" i="20"/>
  <c r="C11" i="20"/>
  <c r="B11" i="20"/>
  <c r="C13" i="20"/>
  <c r="B13" i="20"/>
  <c r="H3" i="21"/>
  <c r="H2" i="21" s="1"/>
  <c r="G3" i="21"/>
  <c r="G2" i="21" s="1"/>
  <c r="F3" i="21"/>
  <c r="F2" i="21" s="1"/>
  <c r="E3" i="21"/>
  <c r="E2" i="21" s="1"/>
  <c r="D3" i="21"/>
  <c r="D2" i="21" s="1"/>
  <c r="C3" i="21"/>
  <c r="C2" i="21" s="1"/>
  <c r="B3" i="21"/>
  <c r="H5" i="21"/>
  <c r="G5" i="21"/>
  <c r="F5" i="21"/>
  <c r="E5" i="21"/>
  <c r="D5" i="21"/>
  <c r="C5" i="21"/>
  <c r="B5" i="21"/>
  <c r="H7" i="21"/>
  <c r="G7" i="21"/>
  <c r="F7" i="21"/>
  <c r="E7" i="21"/>
  <c r="D7" i="21"/>
  <c r="C7" i="21"/>
  <c r="B7" i="21"/>
  <c r="H9" i="21"/>
  <c r="G9" i="21"/>
  <c r="F9" i="21"/>
  <c r="E9" i="21"/>
  <c r="D9" i="21"/>
  <c r="C9" i="21"/>
  <c r="B9" i="21"/>
  <c r="H11" i="21"/>
  <c r="G11" i="21"/>
  <c r="F11" i="21"/>
  <c r="E11" i="21"/>
  <c r="D11" i="21"/>
  <c r="C11" i="21"/>
  <c r="B11" i="21"/>
  <c r="C13" i="21"/>
  <c r="B13" i="21"/>
  <c r="H3" i="22"/>
  <c r="H2" i="22" s="1"/>
  <c r="G3" i="22"/>
  <c r="G2" i="22" s="1"/>
  <c r="F3" i="22"/>
  <c r="F2" i="22" s="1"/>
  <c r="E3" i="22"/>
  <c r="E2" i="22" s="1"/>
  <c r="D3" i="22"/>
  <c r="D2" i="22" s="1"/>
  <c r="C3" i="22"/>
  <c r="C2" i="22" s="1"/>
  <c r="B3" i="22"/>
  <c r="H5" i="22"/>
  <c r="G5" i="22"/>
  <c r="F5" i="22"/>
  <c r="E5" i="22"/>
  <c r="D5" i="22"/>
  <c r="C5" i="22"/>
  <c r="B5" i="22"/>
  <c r="H7" i="22"/>
  <c r="G7" i="22"/>
  <c r="F7" i="22"/>
  <c r="E7" i="22"/>
  <c r="D7" i="22"/>
  <c r="C7" i="22"/>
  <c r="B7" i="22"/>
  <c r="H9" i="22"/>
  <c r="G9" i="22"/>
  <c r="F9" i="22"/>
  <c r="E9" i="22"/>
  <c r="D9" i="22"/>
  <c r="C9" i="22"/>
  <c r="B9" i="22"/>
  <c r="H11" i="22"/>
  <c r="G11" i="22"/>
  <c r="F11" i="22"/>
  <c r="E11" i="22"/>
  <c r="D11" i="22"/>
  <c r="C11" i="22"/>
  <c r="B11" i="22"/>
  <c r="H3" i="23"/>
  <c r="H2" i="23" s="1"/>
  <c r="G3" i="23"/>
  <c r="G2" i="23" s="1"/>
  <c r="F3" i="23"/>
  <c r="F2" i="23" s="1"/>
  <c r="E3" i="23"/>
  <c r="E2" i="23" s="1"/>
  <c r="D3" i="23"/>
  <c r="D2" i="23" s="1"/>
  <c r="C3" i="23"/>
  <c r="C2" i="23" s="1"/>
  <c r="B3" i="23"/>
  <c r="H5" i="23"/>
  <c r="G5" i="23"/>
  <c r="F5" i="23"/>
  <c r="E5" i="23"/>
  <c r="D5" i="23"/>
  <c r="C5" i="23"/>
  <c r="B5" i="23"/>
  <c r="H7" i="23"/>
  <c r="G7" i="23"/>
  <c r="F7" i="23"/>
  <c r="E7" i="23"/>
  <c r="D7" i="23"/>
  <c r="C7" i="23"/>
  <c r="B7" i="23"/>
  <c r="H9" i="23"/>
  <c r="G9" i="23"/>
  <c r="F9" i="23"/>
  <c r="E9" i="23"/>
  <c r="D9" i="23"/>
  <c r="C9" i="23"/>
  <c r="B9" i="23"/>
  <c r="H11" i="23"/>
  <c r="G11" i="23"/>
  <c r="F11" i="23"/>
  <c r="E11" i="23"/>
  <c r="D11" i="23"/>
  <c r="C11" i="23"/>
  <c r="B11" i="23"/>
  <c r="H3" i="24"/>
  <c r="H2" i="24" s="1"/>
  <c r="G3" i="24"/>
  <c r="G2" i="24" s="1"/>
  <c r="F3" i="24"/>
  <c r="F2" i="24" s="1"/>
  <c r="E3" i="24"/>
  <c r="E2" i="24" s="1"/>
  <c r="D3" i="24"/>
  <c r="D2" i="24" s="1"/>
  <c r="C3" i="24"/>
  <c r="C2" i="24" s="1"/>
  <c r="B3" i="24"/>
  <c r="H5" i="24"/>
  <c r="G5" i="24"/>
  <c r="F5" i="24"/>
  <c r="E5" i="24"/>
  <c r="D5" i="24"/>
  <c r="C5" i="24"/>
  <c r="B5" i="24"/>
  <c r="H7" i="24"/>
  <c r="G7" i="24"/>
  <c r="F7" i="24"/>
  <c r="E7" i="24"/>
  <c r="D7" i="24"/>
  <c r="C7" i="24"/>
  <c r="B7" i="24"/>
  <c r="H9" i="24"/>
  <c r="G9" i="24"/>
  <c r="F9" i="24"/>
  <c r="E9" i="24"/>
  <c r="D9" i="24"/>
  <c r="C9" i="24"/>
  <c r="B9" i="24"/>
  <c r="H11" i="24"/>
  <c r="G11" i="24"/>
  <c r="F11" i="24"/>
  <c r="E11" i="24"/>
  <c r="D11" i="24"/>
  <c r="C11" i="24"/>
  <c r="B11" i="24"/>
  <c r="H3" i="25"/>
  <c r="H2" i="25" s="1"/>
  <c r="G3" i="25"/>
  <c r="G2" i="25" s="1"/>
  <c r="F3" i="25"/>
  <c r="F2" i="25" s="1"/>
  <c r="E3" i="25"/>
  <c r="E2" i="25" s="1"/>
  <c r="D3" i="25"/>
  <c r="D2" i="25" s="1"/>
  <c r="C3" i="25"/>
  <c r="C2" i="25" s="1"/>
  <c r="B3" i="25"/>
  <c r="H5" i="25"/>
  <c r="G5" i="25"/>
  <c r="F5" i="25"/>
  <c r="E5" i="25"/>
  <c r="D5" i="25"/>
  <c r="C5" i="25"/>
  <c r="B5" i="25"/>
  <c r="H7" i="25"/>
  <c r="G7" i="25"/>
  <c r="F7" i="25"/>
  <c r="E7" i="25"/>
  <c r="D7" i="25"/>
  <c r="C7" i="25"/>
  <c r="B7" i="25"/>
  <c r="H9" i="25"/>
  <c r="G9" i="25"/>
  <c r="F9" i="25"/>
  <c r="E9" i="25"/>
  <c r="D9" i="25"/>
  <c r="C9" i="25"/>
  <c r="B9" i="25"/>
  <c r="H11" i="25"/>
  <c r="G11" i="25"/>
  <c r="F11" i="25"/>
  <c r="E11" i="25"/>
  <c r="D11" i="25"/>
  <c r="C11" i="25"/>
  <c r="B11" i="25"/>
  <c r="B2" i="14"/>
  <c r="G2" i="14" l="1"/>
  <c r="E2" i="14"/>
  <c r="C2" i="14"/>
  <c r="H2" i="14"/>
  <c r="F2" i="14"/>
  <c r="D2" i="14"/>
</calcChain>
</file>

<file path=xl/sharedStrings.xml><?xml version="1.0" encoding="utf-8"?>
<sst xmlns="http://schemas.openxmlformats.org/spreadsheetml/2006/main" count="43" uniqueCount="19">
  <si>
    <t>NOTAS</t>
  </si>
  <si>
    <t>CONFIGURACIÓN DEL CALENDARIO</t>
  </si>
  <si>
    <t>AÑO</t>
  </si>
  <si>
    <t>INICIO DE LA SEMANA</t>
  </si>
  <si>
    <t>LUNES</t>
  </si>
  <si>
    <t>Reporte de gastos</t>
  </si>
  <si>
    <t>Reporte de gastos proyectados</t>
  </si>
  <si>
    <t>Reporte de tickets por hora</t>
  </si>
  <si>
    <t>Reporte debutantes</t>
  </si>
  <si>
    <t>Reporte seleccionados Carlos</t>
  </si>
  <si>
    <t>Vale de vacaciones</t>
  </si>
  <si>
    <t>Reporte de stock</t>
  </si>
  <si>
    <t>Reporte de ventas Lucero</t>
  </si>
  <si>
    <t>Reporte de venta AS</t>
  </si>
  <si>
    <t>Reporte debutantes
Reporte de ventas AS</t>
  </si>
  <si>
    <t>Reporte tax free</t>
  </si>
  <si>
    <t>Reporte de ventas por tienda</t>
  </si>
  <si>
    <t>FERIADO</t>
  </si>
  <si>
    <t xml:space="preserve">Reporte debutantes
Reporte seleccionados Carlos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</si>
</sst>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d"/>
  </numFmts>
  <fonts count="15" x14ac:knownFonts="1">
    <font>
      <sz val="11"/>
      <color theme="1" tint="0.24994659260841701"/>
      <name val="Sylfaen"/>
      <family val="2"/>
      <scheme val="minor"/>
    </font>
    <font>
      <sz val="8"/>
      <name val="Arial"/>
      <family val="2"/>
    </font>
    <font>
      <sz val="10"/>
      <name val="Century Gothic"/>
      <family val="2"/>
    </font>
    <font>
      <b/>
      <sz val="11"/>
      <color theme="0"/>
      <name val="Sylfaen"/>
      <family val="2"/>
      <scheme val="minor"/>
    </font>
    <font>
      <b/>
      <sz val="14"/>
      <color theme="0"/>
      <name val="Sylfaen"/>
      <family val="2"/>
      <scheme val="minor"/>
    </font>
    <font>
      <sz val="35"/>
      <color theme="4"/>
      <name val="Sylfaen"/>
      <family val="2"/>
      <scheme val="minor"/>
    </font>
    <font>
      <sz val="12"/>
      <color theme="4" tint="-0.24994659260841701"/>
      <name val="Sylfaen"/>
      <family val="1"/>
      <scheme val="major"/>
    </font>
    <font>
      <sz val="11"/>
      <color theme="1" tint="0.34998626667073579"/>
      <name val="Sylfaen"/>
      <family val="2"/>
      <scheme val="minor"/>
    </font>
    <font>
      <sz val="11"/>
      <color theme="4" tint="-0.24994659260841701"/>
      <name val="Sylfaen"/>
      <family val="2"/>
      <scheme val="minor"/>
    </font>
    <font>
      <sz val="11"/>
      <color indexed="63"/>
      <name val="Sylfaen"/>
      <family val="2"/>
      <scheme val="minor"/>
    </font>
    <font>
      <sz val="11"/>
      <name val="Sylfaen"/>
      <family val="2"/>
      <scheme val="minor"/>
    </font>
    <font>
      <b/>
      <sz val="11"/>
      <color theme="1" tint="0.34998626667073579"/>
      <name val="Sylfaen"/>
      <family val="2"/>
      <scheme val="minor"/>
    </font>
    <font>
      <sz val="11"/>
      <color theme="1" tint="0.24994659260841701"/>
      <name val="Sylfaen"/>
      <family val="2"/>
      <scheme val="minor"/>
    </font>
    <font>
      <sz val="11"/>
      <color theme="1" tint="0.24994659260841701"/>
      <name val="Arial"/>
      <family val="2"/>
    </font>
    <font>
      <sz val="11"/>
      <name val="Arial"/>
      <family val="2"/>
    </font>
  </fonts>
  <fills count="8">
    <fill>
      <patternFill patternType="none"/>
    </fill>
    <fill>
      <patternFill patternType="gray125"/>
    </fill>
    <fill>
      <patternFill patternType="solid">
        <fgColor indexed="9"/>
        <bgColor indexed="64"/>
      </patternFill>
    </fill>
    <fill>
      <patternFill patternType="solid">
        <fgColor theme="4" tint="0.59999389629810485"/>
        <bgColor indexed="65"/>
      </patternFill>
    </fill>
    <fill>
      <patternFill patternType="solid">
        <fgColor theme="4"/>
      </patternFill>
    </fill>
    <fill>
      <patternFill patternType="solid">
        <fgColor theme="8"/>
      </patternFill>
    </fill>
    <fill>
      <patternFill patternType="solid">
        <fgColor theme="2"/>
        <bgColor indexed="64"/>
      </patternFill>
    </fill>
    <fill>
      <patternFill patternType="solid">
        <fgColor theme="0" tint="-0.14999847407452621"/>
        <bgColor indexed="64"/>
      </patternFill>
    </fill>
  </fills>
  <borders count="4">
    <border>
      <left/>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ck">
        <color theme="1" tint="0.499984740745262"/>
      </left>
      <right style="thick">
        <color theme="1" tint="0.499984740745262"/>
      </right>
      <top style="thick">
        <color theme="1" tint="0.499984740745262"/>
      </top>
      <bottom style="thick">
        <color theme="1" tint="0.499984740745262"/>
      </bottom>
      <diagonal/>
    </border>
    <border>
      <left/>
      <right/>
      <top/>
      <bottom style="medium">
        <color theme="4" tint="-0.24994659260841701"/>
      </bottom>
      <diagonal/>
    </border>
  </borders>
  <cellStyleXfs count="17">
    <xf numFmtId="0" fontId="0" fillId="0" borderId="0">
      <alignment vertical="top"/>
    </xf>
    <xf numFmtId="0" fontId="9" fillId="3" borderId="0" applyNumberFormat="0" applyBorder="0" applyAlignment="0" applyProtection="0"/>
    <xf numFmtId="0" fontId="8" fillId="0" borderId="3" applyNumberFormat="0" applyFill="0" applyProtection="0">
      <alignment horizontal="left" vertical="center" indent="1"/>
    </xf>
    <xf numFmtId="0" fontId="3" fillId="4" borderId="1" applyNumberFormat="0" applyAlignment="0" applyProtection="0"/>
    <xf numFmtId="0" fontId="4" fillId="5" borderId="2" applyNumberFormat="0" applyProtection="0">
      <alignment vertical="center"/>
    </xf>
    <xf numFmtId="0" fontId="5" fillId="0" borderId="0" applyFill="0" applyBorder="0" applyProtection="0">
      <alignment vertical="center"/>
    </xf>
    <xf numFmtId="167" fontId="7" fillId="0" borderId="0" applyFont="0" applyFill="0" applyBorder="0" applyAlignment="0" applyProtection="0"/>
    <xf numFmtId="165" fontId="7" fillId="0" borderId="0" applyFont="0" applyFill="0" applyBorder="0" applyAlignment="0" applyProtection="0"/>
    <xf numFmtId="166"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0" fontId="11" fillId="6" borderId="0" applyBorder="0" applyProtection="0">
      <alignment horizontal="left" vertical="top" wrapText="1" indent="1"/>
    </xf>
    <xf numFmtId="168" fontId="7" fillId="0" borderId="0">
      <alignment horizontal="left" indent="1"/>
    </xf>
    <xf numFmtId="0" fontId="10" fillId="6" borderId="0" applyNumberFormat="0" applyFont="0" applyBorder="0" applyAlignment="0">
      <alignment horizontal="left" vertical="center" indent="1"/>
    </xf>
    <xf numFmtId="0" fontId="6" fillId="0" borderId="0">
      <alignment horizontal="left" indent="1"/>
    </xf>
    <xf numFmtId="0" fontId="8" fillId="0" borderId="0" applyFill="0" applyProtection="0"/>
    <xf numFmtId="0" fontId="12" fillId="0" borderId="0" applyFill="0" applyProtection="0"/>
  </cellStyleXfs>
  <cellXfs count="38">
    <xf numFmtId="0" fontId="0" fillId="0" borderId="0" xfId="0">
      <alignment vertical="top"/>
    </xf>
    <xf numFmtId="0" fontId="0" fillId="2" borderId="0" xfId="0" applyFill="1">
      <alignment vertical="top"/>
    </xf>
    <xf numFmtId="0" fontId="2" fillId="0" borderId="0" xfId="0" applyFont="1">
      <alignment vertical="top"/>
    </xf>
    <xf numFmtId="0" fontId="8" fillId="2" borderId="0" xfId="2" applyFill="1" applyBorder="1" applyAlignment="1">
      <alignment vertical="center"/>
    </xf>
    <xf numFmtId="0" fontId="5" fillId="0" borderId="0" xfId="5" applyFill="1" applyBorder="1" applyAlignment="1">
      <alignment horizontal="right" vertical="center"/>
    </xf>
    <xf numFmtId="0" fontId="0" fillId="0" borderId="0" xfId="0" applyAlignment="1">
      <alignment horizontal="left" indent="1"/>
    </xf>
    <xf numFmtId="0" fontId="0" fillId="2" borderId="0" xfId="0" applyFill="1" applyAlignment="1">
      <alignment horizontal="right"/>
    </xf>
    <xf numFmtId="0" fontId="5" fillId="2" borderId="0" xfId="5" applyFill="1" applyAlignment="1">
      <alignment horizontal="left" vertical="center"/>
    </xf>
    <xf numFmtId="168" fontId="7" fillId="0" borderId="0" xfId="12">
      <alignment horizontal="left" indent="1"/>
    </xf>
    <xf numFmtId="0" fontId="0" fillId="0" borderId="0" xfId="0" applyFont="1">
      <alignment vertical="top"/>
    </xf>
    <xf numFmtId="0" fontId="0" fillId="2" borderId="0" xfId="0" applyFont="1" applyFill="1" applyAlignment="1">
      <alignment horizontal="right"/>
    </xf>
    <xf numFmtId="168" fontId="7" fillId="6" borderId="0" xfId="13" applyNumberFormat="1" applyFont="1" applyAlignment="1">
      <alignment horizontal="left" wrapText="1" indent="1"/>
    </xf>
    <xf numFmtId="0" fontId="0" fillId="0" borderId="0" xfId="0">
      <alignment vertical="top"/>
    </xf>
    <xf numFmtId="0" fontId="8" fillId="0" borderId="3" xfId="2" applyFill="1">
      <alignment horizontal="left" vertical="center" indent="1"/>
    </xf>
    <xf numFmtId="0" fontId="6" fillId="0" borderId="0" xfId="14">
      <alignment horizontal="left" indent="1"/>
    </xf>
    <xf numFmtId="0" fontId="0" fillId="0" borderId="0" xfId="0">
      <alignment vertical="top"/>
    </xf>
    <xf numFmtId="168" fontId="7" fillId="6" borderId="0" xfId="13" applyNumberFormat="1" applyFont="1" applyAlignment="1">
      <alignment horizontal="left" indent="1"/>
    </xf>
    <xf numFmtId="0" fontId="5" fillId="2" borderId="0" xfId="5" applyFill="1" applyBorder="1" applyAlignment="1">
      <alignment horizontal="left" vertical="center"/>
    </xf>
    <xf numFmtId="0" fontId="0" fillId="0" borderId="0" xfId="0">
      <alignment vertical="top"/>
    </xf>
    <xf numFmtId="0" fontId="5" fillId="2" borderId="0" xfId="5" applyFill="1" applyBorder="1">
      <alignment vertical="center"/>
    </xf>
    <xf numFmtId="0" fontId="5" fillId="2" borderId="0" xfId="5" applyNumberFormat="1" applyFill="1" applyBorder="1" applyAlignment="1">
      <alignment horizontal="left" vertical="center"/>
    </xf>
    <xf numFmtId="168" fontId="0" fillId="0" borderId="0" xfId="0" applyNumberFormat="1">
      <alignment vertical="top"/>
    </xf>
    <xf numFmtId="0" fontId="8" fillId="2" borderId="0" xfId="15" applyFill="1"/>
    <xf numFmtId="0" fontId="12" fillId="0" borderId="0" xfId="16"/>
    <xf numFmtId="0" fontId="0" fillId="6" borderId="0" xfId="13" applyFont="1" applyAlignment="1">
      <alignment vertical="top"/>
    </xf>
    <xf numFmtId="0" fontId="11" fillId="6" borderId="0" xfId="11">
      <alignment horizontal="left" vertical="top" wrapText="1" indent="1"/>
    </xf>
    <xf numFmtId="0" fontId="0" fillId="6" borderId="0" xfId="13" applyFont="1" applyAlignment="1">
      <alignment vertical="top"/>
    </xf>
    <xf numFmtId="0" fontId="13" fillId="0" borderId="0" xfId="0" applyFont="1">
      <alignment vertical="top"/>
    </xf>
    <xf numFmtId="0" fontId="13" fillId="6" borderId="0" xfId="13" applyFont="1" applyAlignment="1">
      <alignment vertical="top"/>
    </xf>
    <xf numFmtId="168" fontId="7" fillId="7" borderId="0" xfId="12" applyFill="1">
      <alignment horizontal="left" indent="1"/>
    </xf>
    <xf numFmtId="168" fontId="7" fillId="7" borderId="0" xfId="13" applyNumberFormat="1" applyFont="1" applyFill="1" applyAlignment="1">
      <alignment horizontal="left" indent="1"/>
    </xf>
    <xf numFmtId="0" fontId="13" fillId="7" borderId="0" xfId="13" applyFont="1" applyFill="1" applyAlignment="1">
      <alignment vertical="top"/>
    </xf>
    <xf numFmtId="0" fontId="13" fillId="7" borderId="0" xfId="0" applyFont="1" applyFill="1">
      <alignment vertical="top"/>
    </xf>
    <xf numFmtId="0" fontId="14" fillId="0" borderId="0" xfId="0" applyFont="1" applyAlignment="1">
      <alignment vertical="top" wrapText="1"/>
    </xf>
    <xf numFmtId="0" fontId="10" fillId="0" borderId="0" xfId="0" applyFont="1">
      <alignment vertical="top"/>
    </xf>
    <xf numFmtId="0" fontId="14" fillId="7" borderId="0" xfId="0" applyFont="1" applyFill="1" applyAlignment="1">
      <alignment vertical="top" wrapText="1"/>
    </xf>
    <xf numFmtId="0" fontId="14" fillId="6" borderId="0" xfId="13" applyFont="1" applyAlignment="1">
      <alignment vertical="top" wrapText="1"/>
    </xf>
    <xf numFmtId="0" fontId="14" fillId="7" borderId="0" xfId="13" applyFont="1" applyFill="1" applyAlignment="1">
      <alignment vertical="top" wrapText="1"/>
    </xf>
  </cellXfs>
  <cellStyles count="17">
    <cellStyle name="40% - Énfasis1" xfId="1" builtinId="31" customBuiltin="1"/>
    <cellStyle name="Con bandas" xfId="13"/>
    <cellStyle name="Día" xfId="12"/>
    <cellStyle name="Encabezado 1" xfId="2" builtinId="16" customBuiltin="1"/>
    <cellStyle name="Encabezado 4" xfId="11" builtinId="19" customBuiltin="1"/>
    <cellStyle name="Énfasis1" xfId="3" builtinId="29" customBuiltin="1"/>
    <cellStyle name="Énfasis5" xfId="4" builtinId="45" customBuiltin="1"/>
    <cellStyle name="Entrada de configuración" xfId="14"/>
    <cellStyle name="Millares" xfId="6" builtinId="3" customBuiltin="1"/>
    <cellStyle name="Millares [0]" xfId="7" builtinId="6" customBuiltin="1"/>
    <cellStyle name="Moneda" xfId="8" builtinId="4" customBuiltin="1"/>
    <cellStyle name="Moneda [0]" xfId="9" builtinId="7" customBuiltin="1"/>
    <cellStyle name="Normal" xfId="0" builtinId="0" customBuiltin="1"/>
    <cellStyle name="Porcentaje" xfId="10" builtinId="5" customBuiltin="1"/>
    <cellStyle name="Título" xfId="5" builtinId="15" customBuiltin="1"/>
    <cellStyle name="Título 2" xfId="15" builtinId="17" customBuiltin="1"/>
    <cellStyle name="Título 3" xfId="16" builtinId="18" customBuiltin="1"/>
  </cellStyles>
  <dxfs count="24">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F1F2F5"/>
      <rgbColor rgb="00008080"/>
      <rgbColor rgb="00E4EAF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314265"/>
      <rgbColor rgb="00CCFFCC"/>
      <rgbColor rgb="00FFEECD"/>
      <rgbColor rgb="00D0D8E2"/>
      <rgbColor rgb="00FF99CC"/>
      <rgbColor rgb="00CC99FF"/>
      <rgbColor rgb="00FFCC99"/>
      <rgbColor rgb="003366FF"/>
      <rgbColor rgb="0033CCCC"/>
      <rgbColor rgb="0099CC00"/>
      <rgbColor rgb="00FFCC00"/>
      <rgbColor rgb="00FF9900"/>
      <rgbColor rgb="00FF6600"/>
      <rgbColor rgb="00717789"/>
      <rgbColor rgb="00969696"/>
      <rgbColor rgb="00003366"/>
      <rgbColor rgb="00339966"/>
      <rgbColor rgb="00003300"/>
      <rgbColor rgb="00333300"/>
      <rgbColor rgb="00993300"/>
      <rgbColor rgb="00993366"/>
      <rgbColor rgb="00333399"/>
      <rgbColor rgb="004B4B4B"/>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Global Calendar">
      <a:dk1>
        <a:sysClr val="windowText" lastClr="000000"/>
      </a:dk1>
      <a:lt1>
        <a:sysClr val="window" lastClr="FFFFFF"/>
      </a:lt1>
      <a:dk2>
        <a:srgbClr val="404040"/>
      </a:dk2>
      <a:lt2>
        <a:srgbClr val="F6F6F1"/>
      </a:lt2>
      <a:accent1>
        <a:srgbClr val="669933"/>
      </a:accent1>
      <a:accent2>
        <a:srgbClr val="E69216"/>
      </a:accent2>
      <a:accent3>
        <a:srgbClr val="609FC2"/>
      </a:accent3>
      <a:accent4>
        <a:srgbClr val="E6B819"/>
      </a:accent4>
      <a:accent5>
        <a:srgbClr val="DA695B"/>
      </a:accent5>
      <a:accent6>
        <a:srgbClr val="956895"/>
      </a:accent6>
      <a:hlink>
        <a:srgbClr val="609FC2"/>
      </a:hlink>
      <a:folHlink>
        <a:srgbClr val="956895"/>
      </a:folHlink>
    </a:clrScheme>
    <a:fontScheme name="Calendar">
      <a:majorFont>
        <a:latin typeface="Sylfaen"/>
        <a:ea typeface=""/>
        <a:cs typeface=""/>
      </a:majorFont>
      <a:minorFont>
        <a:latin typeface="Sylfaen"/>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4" tint="-0.499984740745262"/>
    <pageSetUpPr autoPageBreaks="0" fitToPage="1"/>
  </sheetPr>
  <dimension ref="A1:K14"/>
  <sheetViews>
    <sheetView showGridLines="0" zoomScaleNormal="100" workbookViewId="0">
      <selection activeCell="J6" sqref="J6"/>
    </sheetView>
  </sheetViews>
  <sheetFormatPr baseColWidth="10" defaultColWidth="8.7265625" defaultRowHeight="14.5" x14ac:dyDescent="0.35"/>
  <cols>
    <col min="1" max="1" width="2.6328125" style="15" customWidth="1"/>
    <col min="2" max="2" width="18.26953125" customWidth="1"/>
    <col min="3" max="8" width="17.6328125" customWidth="1"/>
    <col min="9" max="9" width="2.6328125" customWidth="1"/>
    <col min="10" max="10" width="21.6328125" customWidth="1"/>
    <col min="11" max="11" width="13.6328125" customWidth="1"/>
  </cols>
  <sheetData>
    <row r="1" spans="1:11" s="1" customFormat="1" ht="60" customHeight="1" x14ac:dyDescent="0.35">
      <c r="A1" s="15"/>
      <c r="B1" s="19" t="str">
        <f ca="1">"Enero "&amp;CalendarYear</f>
        <v>Enero 2025</v>
      </c>
      <c r="C1" s="17"/>
      <c r="D1" s="20"/>
      <c r="E1" s="3"/>
      <c r="F1" s="3"/>
      <c r="G1" s="3"/>
      <c r="H1" s="7"/>
      <c r="J1" s="22" t="s">
        <v>1</v>
      </c>
      <c r="K1" s="12"/>
    </row>
    <row r="2" spans="1:11" s="2" customFormat="1" ht="21.75" customHeight="1" thickBot="1" x14ac:dyDescent="0.45">
      <c r="A2" s="15"/>
      <c r="B2" s="13" t="str">
        <f>WeekStart</f>
        <v>LUNES</v>
      </c>
      <c r="C2" s="13" t="str">
        <f t="shared" ref="C2:H2" ca="1" si="0">UPPER(TEXT(C3,"dddd"))</f>
        <v>MARTES</v>
      </c>
      <c r="D2" s="13" t="str">
        <f ca="1">UPPER(TEXT(D3,"dddd"))</f>
        <v>MIÉRCOLES</v>
      </c>
      <c r="E2" s="13" t="str">
        <f t="shared" ca="1" si="0"/>
        <v>JUEVES</v>
      </c>
      <c r="F2" s="13" t="str">
        <f t="shared" ca="1" si="0"/>
        <v>VIERNES</v>
      </c>
      <c r="G2" s="13" t="str">
        <f t="shared" ca="1" si="0"/>
        <v>SÁBADO</v>
      </c>
      <c r="H2" s="13" t="str">
        <f t="shared" ca="1" si="0"/>
        <v>DOMINGO</v>
      </c>
      <c r="J2" s="23" t="s">
        <v>2</v>
      </c>
      <c r="K2" s="14">
        <f ca="1">YEAR(TODAY())</f>
        <v>2025</v>
      </c>
    </row>
    <row r="3" spans="1:11" s="5" customFormat="1" ht="19.5" customHeight="1" x14ac:dyDescent="0.4">
      <c r="A3" s="15"/>
      <c r="B3" s="8">
        <f t="array" aca="1" ref="B3:H3" ca="1">DaysAndWeeks+DATE(CalendarYear,1,1)-WEEKDAY(DATE(CalendarYear,1,1),(WeekStart="Lunes")+1)+1</f>
        <v>45656</v>
      </c>
      <c r="C3" s="8">
        <f ca="1"/>
        <v>45657</v>
      </c>
      <c r="D3" s="8">
        <f ca="1"/>
        <v>45658</v>
      </c>
      <c r="E3" s="8">
        <f ca="1"/>
        <v>45659</v>
      </c>
      <c r="F3" s="8">
        <f ca="1"/>
        <v>45660</v>
      </c>
      <c r="G3" s="8">
        <f ca="1"/>
        <v>45661</v>
      </c>
      <c r="H3" s="8">
        <f ca="1"/>
        <v>45662</v>
      </c>
      <c r="J3" s="23" t="s">
        <v>3</v>
      </c>
      <c r="K3" s="14" t="s">
        <v>4</v>
      </c>
    </row>
    <row r="4" spans="1:11" ht="58" customHeight="1" x14ac:dyDescent="0.35">
      <c r="B4" s="18"/>
      <c r="C4" s="18"/>
      <c r="D4" s="18"/>
      <c r="E4" s="18"/>
      <c r="F4" s="18"/>
      <c r="G4" s="18"/>
      <c r="H4" s="18"/>
      <c r="J4" s="21"/>
    </row>
    <row r="5" spans="1:11" s="5" customFormat="1" ht="19.5" customHeight="1" x14ac:dyDescent="0.35">
      <c r="A5" s="15"/>
      <c r="B5" s="11">
        <f t="array" aca="1" ref="B5:H5" ca="1">DaysAndWeeks+DATE(CalendarYear,1,1)-WEEKDAY(DATE(CalendarYear,1,1),(WeekStart="Lunes")+1)+8</f>
        <v>45663</v>
      </c>
      <c r="C5" s="11">
        <f ca="1"/>
        <v>45664</v>
      </c>
      <c r="D5" s="11">
        <f ca="1"/>
        <v>45665</v>
      </c>
      <c r="E5" s="11">
        <f ca="1"/>
        <v>45666</v>
      </c>
      <c r="F5" s="11">
        <f ca="1"/>
        <v>45667</v>
      </c>
      <c r="G5" s="11">
        <f ca="1"/>
        <v>45668</v>
      </c>
      <c r="H5" s="11">
        <f ca="1"/>
        <v>45669</v>
      </c>
    </row>
    <row r="6" spans="1:11" s="9" customFormat="1" ht="58" customHeight="1" x14ac:dyDescent="0.35">
      <c r="A6" s="15"/>
      <c r="B6" s="24"/>
      <c r="C6" s="24"/>
      <c r="D6" s="24"/>
      <c r="E6" s="24"/>
      <c r="F6" s="24"/>
      <c r="G6" s="24"/>
      <c r="H6" s="24"/>
      <c r="J6" s="10"/>
    </row>
    <row r="7" spans="1:11" s="5" customFormat="1" ht="19.5" customHeight="1" x14ac:dyDescent="0.35">
      <c r="A7" s="15"/>
      <c r="B7" s="8">
        <f t="array" aca="1" ref="B7:H7" ca="1">DaysAndWeeks+DATE(CalendarYear,1,1)-WEEKDAY(DATE(CalendarYear,1,1),(WeekStart="Lunes")+1)+15</f>
        <v>45670</v>
      </c>
      <c r="C7" s="8">
        <f ca="1"/>
        <v>45671</v>
      </c>
      <c r="D7" s="8">
        <f ca="1"/>
        <v>45672</v>
      </c>
      <c r="E7" s="8">
        <f ca="1"/>
        <v>45673</v>
      </c>
      <c r="F7" s="8">
        <f ca="1"/>
        <v>45674</v>
      </c>
      <c r="G7" s="8">
        <f ca="1"/>
        <v>45675</v>
      </c>
      <c r="H7" s="8">
        <f ca="1"/>
        <v>45676</v>
      </c>
      <c r="J7" s="6"/>
    </row>
    <row r="8" spans="1:11" s="9" customFormat="1" ht="58" customHeight="1" x14ac:dyDescent="0.35">
      <c r="A8" s="15"/>
      <c r="B8" s="18"/>
      <c r="C8" s="18"/>
      <c r="D8" s="18"/>
      <c r="E8" s="18"/>
      <c r="F8" s="18"/>
      <c r="G8" s="18"/>
      <c r="H8" s="18"/>
    </row>
    <row r="9" spans="1:11" s="5" customFormat="1" ht="19.5" customHeight="1" x14ac:dyDescent="0.35">
      <c r="A9" s="15"/>
      <c r="B9" s="11">
        <f t="array" aca="1" ref="B9:H9" ca="1">DaysAndWeeks+DATE(CalendarYear,1,1)-WEEKDAY(DATE(CalendarYear,1,1),(WeekStart="Lunes")+1)+22</f>
        <v>45677</v>
      </c>
      <c r="C9" s="11">
        <f ca="1"/>
        <v>45678</v>
      </c>
      <c r="D9" s="11">
        <f ca="1"/>
        <v>45679</v>
      </c>
      <c r="E9" s="11">
        <f ca="1"/>
        <v>45680</v>
      </c>
      <c r="F9" s="11">
        <f ca="1"/>
        <v>45681</v>
      </c>
      <c r="G9" s="11">
        <f ca="1"/>
        <v>45682</v>
      </c>
      <c r="H9" s="11">
        <f ca="1"/>
        <v>45683</v>
      </c>
    </row>
    <row r="10" spans="1:11" s="9" customFormat="1" ht="58" customHeight="1" x14ac:dyDescent="0.35">
      <c r="A10" s="15"/>
      <c r="B10" s="24"/>
      <c r="C10" s="24"/>
      <c r="D10" s="24"/>
      <c r="E10" s="24"/>
      <c r="F10" s="24"/>
      <c r="G10" s="24"/>
      <c r="H10" s="24"/>
    </row>
    <row r="11" spans="1:11" s="5" customFormat="1" ht="19.5" customHeight="1" x14ac:dyDescent="0.35">
      <c r="A11" s="15"/>
      <c r="B11" s="8">
        <f t="array" aca="1" ref="B11:H11" ca="1">DaysAndWeeks+DATE(CalendarYear,1,1)-WEEKDAY(DATE(CalendarYear,1,1),(WeekStart="Lunes")+1)+29</f>
        <v>45684</v>
      </c>
      <c r="C11" s="8">
        <f ca="1"/>
        <v>45685</v>
      </c>
      <c r="D11" s="8">
        <f ca="1"/>
        <v>45686</v>
      </c>
      <c r="E11" s="8">
        <f ca="1"/>
        <v>45687</v>
      </c>
      <c r="F11" s="8">
        <f ca="1"/>
        <v>45688</v>
      </c>
      <c r="G11" s="8">
        <f ca="1"/>
        <v>45689</v>
      </c>
      <c r="H11" s="8">
        <f ca="1"/>
        <v>45690</v>
      </c>
    </row>
    <row r="12" spans="1:11" s="9" customFormat="1" ht="58" customHeight="1" x14ac:dyDescent="0.35">
      <c r="A12" s="15"/>
      <c r="B12" s="18"/>
      <c r="C12" s="18"/>
      <c r="D12" s="18"/>
      <c r="E12" s="18"/>
      <c r="F12" s="18"/>
      <c r="G12" s="18"/>
      <c r="H12" s="18"/>
    </row>
    <row r="13" spans="1:11" s="5" customFormat="1" ht="19.5" customHeight="1" x14ac:dyDescent="0.35">
      <c r="A13" s="15"/>
      <c r="B13" s="11">
        <f t="array" aca="1" ref="B13:C13" ca="1">DaysAndWeeks+DATE(CalendarYear,1,1)-WEEKDAY(DATE(CalendarYear,1,1),(WeekStart="Lunes")+1)+36</f>
        <v>45691</v>
      </c>
      <c r="C13" s="11">
        <f ca="1"/>
        <v>45692</v>
      </c>
      <c r="D13" s="25" t="s">
        <v>0</v>
      </c>
      <c r="E13" s="26"/>
      <c r="F13" s="26"/>
      <c r="G13" s="26"/>
      <c r="H13" s="26"/>
    </row>
    <row r="14" spans="1:11" s="9" customFormat="1" ht="58" customHeight="1" x14ac:dyDescent="0.35">
      <c r="A14" s="15"/>
      <c r="B14" s="24"/>
      <c r="C14" s="24"/>
      <c r="D14" s="25"/>
      <c r="E14" s="26"/>
      <c r="F14" s="26"/>
      <c r="G14" s="26"/>
      <c r="H14" s="26"/>
    </row>
  </sheetData>
  <mergeCells count="2">
    <mergeCell ref="D13:D14"/>
    <mergeCell ref="E13:H14"/>
  </mergeCells>
  <phoneticPr fontId="1" type="noConversion"/>
  <conditionalFormatting sqref="B11:H11 B13:C13">
    <cfRule type="expression" dxfId="23" priority="24">
      <formula>AND(DAY(B11)&gt;=1,DAY(B11)&lt;=15)</formula>
    </cfRule>
  </conditionalFormatting>
  <conditionalFormatting sqref="B3:G3">
    <cfRule type="expression" dxfId="22" priority="23">
      <formula>DAY(B3)&gt;8</formula>
    </cfRule>
  </conditionalFormatting>
  <dataValidations count="15">
    <dataValidation type="list" errorStyle="warning" allowBlank="1" showInputMessage="1" showErrorMessage="1" error="Seleccione un día de la lista. Seleccione CANCELAR y presione ALT+FLECHA ABAJO para elegir un día de la lista desplegable." prompt="Escriba el día de inicio de la semana en esta celda. Presione ALT+FLECHA ABAJO para abrir la lista desplegable y luego, ENTRAR para seleccionar el día de inicio de la semana." sqref="K3">
      <formula1>"DOMINGO,LUNES"</formula1>
    </dataValidation>
    <dataValidation allowBlank="1" showInputMessage="1" showErrorMessage="1" prompt="Cree calendarios personalizados de un mes en este libro. Personalice el año y el día de inicio de la semana de todos los meses con esta hoja de cálculo de enero. Cada mes se encuentra en una hoja de cálculo independiente." sqref="A1"/>
    <dataValidation allowBlank="1" showInputMessage="1" showErrorMessage="1" prompt="El año de esta celda se actualiza automáticamente. Seleccione otro año en la celda K2 para cambiar de año." sqref="C1:D1"/>
    <dataValidation allowBlank="1" showInputMessage="1" showErrorMessage="1" prompt="Escriba el año y seleccione el día de inicio del calendario en las celdas siguientes. Estas celdas de configuración del calendario no se imprimirán." sqref="J1"/>
    <dataValidation allowBlank="1" showInputMessage="1" showErrorMessage="1" prompt="Escriba el año en la celda a la derecha." sqref="J2"/>
    <dataValidation allowBlank="1" showInputMessage="1" showErrorMessage="1" prompt="Seleccione el día de inicio de la semana en la celda a la derecha." sqref="J3"/>
    <dataValidation allowBlank="1" showInputMessage="1" showErrorMessage="1" prompt="Escriba el año en esta celda." sqref="K2"/>
    <dataValidation allowBlank="1" showInputMessage="1" showErrorMessage="1" prompt="Esta fila contiene los nombres de los días laborables de este calendario. Esta celda contiene el día de inicio de la semana. Para cambiar el día de inicio, escriba un nuevo día laborable en la celda K3." sqref="B2"/>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l año de esta celda se actualiza automáticamente según el año especificado en la celda K2. El calendario siguiente incluye fechas de los meses anterior y posterior con un sombreado de fuente más claro." sqref="B1"/>
    <dataValidation allowBlank="1" showInputMessage="1" showErrorMessage="1" prompt="El día laborable se determinará    _x000a_automáticamente." sqref="H2"/>
    <dataValidation allowBlank="1" showInputMessage="1" showErrorMessage="1" prompt="Las celdas de esta fila y las filas 6, 8, 10, 12 y 14 son para escribir notas diarias relacionadas con el día natural de la celda anterior." sqref="B4"/>
    <dataValidation allowBlank="1" showInputMessage="1" showErrorMessage="1" prompt="Escriba notas en esta celda." sqref="E13:H14"/>
    <dataValidation allowBlank="1" showInputMessage="1" showErrorMessage="1" prompt="Escriba notas en la celda a la derecha." sqref="D13:D14"/>
    <dataValidation allowBlank="1" showInputMessage="1" showErrorMessage="1" prompt="El día laborable se determinará    _x000a_automáticamente." sqref="C2 D2 E2 F2 G2"/>
  </dataValidations>
  <printOptions horizontalCentered="1" verticalCentered="1"/>
  <pageMargins left="0.7" right="0.7" top="0.75" bottom="0.75" header="0.3" footer="0.3"/>
  <pageSetup paperSize="9" orientation="landscape" r:id="rId1"/>
  <headerFooter differentFirst="1" alignWithMargins="0">
    <oddFooter>Page &amp;P of &amp;N</oddFooter>
  </headerFooter>
  <customProperties>
    <customPr name="SheetChanged" r:id="rId2"/>
  </customPropertie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249977111117893"/>
    <pageSetUpPr fitToPage="1"/>
  </sheetPr>
  <dimension ref="A1:H14"/>
  <sheetViews>
    <sheetView showGridLines="0" workbookViewId="0"/>
  </sheetViews>
  <sheetFormatPr baseColWidth="10" defaultColWidth="8.7265625" defaultRowHeight="14.5" x14ac:dyDescent="0.35"/>
  <cols>
    <col min="1" max="1" width="2.6328125" style="15" customWidth="1"/>
    <col min="2" max="2" width="18.26953125" customWidth="1"/>
    <col min="3" max="8" width="17.6328125" customWidth="1"/>
    <col min="9" max="9" width="2.6328125" customWidth="1"/>
    <col min="10" max="10" width="12" customWidth="1"/>
  </cols>
  <sheetData>
    <row r="1" spans="1:8" s="1" customFormat="1" ht="59.25" customHeight="1" x14ac:dyDescent="0.35">
      <c r="A1" s="15"/>
      <c r="B1" s="17" t="str">
        <f ca="1">"Febrero "&amp;CalendarYear</f>
        <v>Febrero 2025</v>
      </c>
      <c r="C1" s="17"/>
      <c r="D1" s="17"/>
      <c r="E1" s="3"/>
      <c r="F1" s="3"/>
      <c r="G1" s="3"/>
      <c r="H1" s="4"/>
    </row>
    <row r="2" spans="1:8" s="2" customFormat="1" ht="21.75" customHeight="1" thickBot="1" x14ac:dyDescent="0.4">
      <c r="A2" s="15"/>
      <c r="B2" s="13" t="str">
        <f>IF(WeekStart="DOMINGO", "DOMINGO","LUNES")</f>
        <v>LUNES</v>
      </c>
      <c r="C2" s="13" t="str">
        <f t="shared" ref="C2:H2" ca="1" si="0">UPPER(TEXT(C3,"dddd"))</f>
        <v>MARTES</v>
      </c>
      <c r="D2" s="13" t="str">
        <f t="shared" ca="1" si="0"/>
        <v>MIÉRCOLES</v>
      </c>
      <c r="E2" s="13" t="str">
        <f t="shared" ca="1" si="0"/>
        <v>JUEVES</v>
      </c>
      <c r="F2" s="13" t="str">
        <f t="shared" ca="1" si="0"/>
        <v>VIERNES</v>
      </c>
      <c r="G2" s="13" t="str">
        <f t="shared" ca="1" si="0"/>
        <v>SÁBADO</v>
      </c>
      <c r="H2" s="13" t="str">
        <f t="shared" ca="1" si="0"/>
        <v>DOMINGO</v>
      </c>
    </row>
    <row r="3" spans="1:8" s="5" customFormat="1" ht="19.5" customHeight="1" x14ac:dyDescent="0.35">
      <c r="A3" s="15"/>
      <c r="B3" s="8">
        <f t="array" aca="1" ref="B3:H3" ca="1">DaysAndWeeks+DATE(CalendarYear,2,1)-WEEKDAY(DATE(CalendarYear,2,1),(WeekStart="Lunes")+1)+1</f>
        <v>45684</v>
      </c>
      <c r="C3" s="8">
        <f ca="1"/>
        <v>45685</v>
      </c>
      <c r="D3" s="8">
        <f ca="1"/>
        <v>45686</v>
      </c>
      <c r="E3" s="8">
        <f ca="1"/>
        <v>45687</v>
      </c>
      <c r="F3" s="8">
        <f ca="1"/>
        <v>45688</v>
      </c>
      <c r="G3" s="8">
        <f ca="1"/>
        <v>45689</v>
      </c>
      <c r="H3" s="8">
        <f ca="1"/>
        <v>45690</v>
      </c>
    </row>
    <row r="4" spans="1:8" ht="58" customHeight="1" x14ac:dyDescent="0.35">
      <c r="B4" s="15"/>
      <c r="C4" s="15"/>
      <c r="D4" s="15"/>
      <c r="E4" s="15"/>
      <c r="F4" s="15"/>
      <c r="G4" s="15"/>
      <c r="H4" s="15"/>
    </row>
    <row r="5" spans="1:8" s="5" customFormat="1" ht="19.5" customHeight="1" x14ac:dyDescent="0.35">
      <c r="A5" s="15"/>
      <c r="B5" s="16">
        <f t="array" aca="1" ref="B5:H5" ca="1">DaysAndWeeks+DATE(CalendarYear,2,1)-WEEKDAY(DATE(CalendarYear,2,1),(WeekStart="Lunes")+1)+8</f>
        <v>45691</v>
      </c>
      <c r="C5" s="16">
        <f ca="1"/>
        <v>45692</v>
      </c>
      <c r="D5" s="16">
        <f ca="1"/>
        <v>45693</v>
      </c>
      <c r="E5" s="16">
        <f ca="1"/>
        <v>45694</v>
      </c>
      <c r="F5" s="16">
        <f ca="1"/>
        <v>45695</v>
      </c>
      <c r="G5" s="16">
        <f ca="1"/>
        <v>45696</v>
      </c>
      <c r="H5" s="16">
        <f ca="1"/>
        <v>45697</v>
      </c>
    </row>
    <row r="6" spans="1:8" ht="58" customHeight="1" x14ac:dyDescent="0.35">
      <c r="B6" s="24"/>
      <c r="C6" s="24"/>
      <c r="D6" s="24"/>
      <c r="E6" s="24"/>
      <c r="F6" s="24"/>
      <c r="G6" s="24"/>
      <c r="H6" s="24"/>
    </row>
    <row r="7" spans="1:8" s="5" customFormat="1" ht="19.5" customHeight="1" x14ac:dyDescent="0.35">
      <c r="A7" s="15"/>
      <c r="B7" s="8">
        <f t="array" aca="1" ref="B7:H7" ca="1">DaysAndWeeks+DATE(CalendarYear,2,1)-WEEKDAY(DATE(CalendarYear,2,1),(WeekStart="Lunes")+1)+15</f>
        <v>45698</v>
      </c>
      <c r="C7" s="8">
        <f ca="1"/>
        <v>45699</v>
      </c>
      <c r="D7" s="8">
        <f ca="1"/>
        <v>45700</v>
      </c>
      <c r="E7" s="8">
        <f ca="1"/>
        <v>45701</v>
      </c>
      <c r="F7" s="8">
        <f ca="1"/>
        <v>45702</v>
      </c>
      <c r="G7" s="8">
        <f ca="1"/>
        <v>45703</v>
      </c>
      <c r="H7" s="8">
        <f ca="1"/>
        <v>45704</v>
      </c>
    </row>
    <row r="8" spans="1:8" ht="58" customHeight="1" x14ac:dyDescent="0.35">
      <c r="B8" s="15"/>
      <c r="C8" s="15"/>
      <c r="D8" s="15"/>
      <c r="E8" s="15"/>
      <c r="F8" s="15"/>
      <c r="G8" s="15"/>
      <c r="H8" s="15"/>
    </row>
    <row r="9" spans="1:8" s="5" customFormat="1" ht="19.5" customHeight="1" x14ac:dyDescent="0.35">
      <c r="A9" s="15"/>
      <c r="B9" s="16">
        <f t="array" aca="1" ref="B9:H9" ca="1">DaysAndWeeks+DATE(CalendarYear,2,1)-WEEKDAY(DATE(CalendarYear,2,1),(WeekStart="Lunes")+1)+22</f>
        <v>45705</v>
      </c>
      <c r="C9" s="16">
        <f ca="1"/>
        <v>45706</v>
      </c>
      <c r="D9" s="16">
        <f ca="1"/>
        <v>45707</v>
      </c>
      <c r="E9" s="16">
        <f ca="1"/>
        <v>45708</v>
      </c>
      <c r="F9" s="16">
        <f ca="1"/>
        <v>45709</v>
      </c>
      <c r="G9" s="16">
        <f ca="1"/>
        <v>45710</v>
      </c>
      <c r="H9" s="16">
        <f ca="1"/>
        <v>45711</v>
      </c>
    </row>
    <row r="10" spans="1:8" ht="58" customHeight="1" x14ac:dyDescent="0.35">
      <c r="B10" s="24"/>
      <c r="C10" s="24"/>
      <c r="D10" s="24"/>
      <c r="E10" s="24"/>
      <c r="F10" s="24"/>
      <c r="G10" s="24"/>
      <c r="H10" s="24"/>
    </row>
    <row r="11" spans="1:8" s="5" customFormat="1" ht="19.5" customHeight="1" x14ac:dyDescent="0.35">
      <c r="A11" s="15"/>
      <c r="B11" s="8">
        <f t="array" aca="1" ref="B11:H11" ca="1">DaysAndWeeks+DATE(CalendarYear,2,1)-WEEKDAY(DATE(CalendarYear,2,1),(WeekStart="Lunes")+1)+29</f>
        <v>45712</v>
      </c>
      <c r="C11" s="8">
        <f ca="1"/>
        <v>45713</v>
      </c>
      <c r="D11" s="8">
        <f ca="1"/>
        <v>45714</v>
      </c>
      <c r="E11" s="8">
        <f ca="1"/>
        <v>45715</v>
      </c>
      <c r="F11" s="8">
        <f ca="1"/>
        <v>45716</v>
      </c>
      <c r="G11" s="8">
        <f ca="1"/>
        <v>45717</v>
      </c>
      <c r="H11" s="8">
        <f ca="1"/>
        <v>45718</v>
      </c>
    </row>
    <row r="12" spans="1:8" ht="58" customHeight="1" x14ac:dyDescent="0.35">
      <c r="B12" s="15"/>
      <c r="C12" s="15"/>
      <c r="D12" s="15"/>
      <c r="E12" s="15"/>
      <c r="F12" s="15"/>
      <c r="G12" s="15"/>
      <c r="H12" s="15"/>
    </row>
    <row r="13" spans="1:8" s="5" customFormat="1" ht="19.5" customHeight="1" x14ac:dyDescent="0.35">
      <c r="A13" s="15"/>
      <c r="B13" s="16">
        <f t="array" aca="1" ref="B13:C13" ca="1">DaysAndWeeks+DATE(CalendarYear,2,1)-WEEKDAY(DATE(CalendarYear,2,1),(WeekStart="Lunes")+1)+36</f>
        <v>45719</v>
      </c>
      <c r="C13" s="16">
        <f ca="1"/>
        <v>45720</v>
      </c>
      <c r="D13" s="25" t="s">
        <v>0</v>
      </c>
      <c r="E13" s="26"/>
      <c r="F13" s="26"/>
      <c r="G13" s="26"/>
      <c r="H13" s="26"/>
    </row>
    <row r="14" spans="1:8" ht="58" customHeight="1" x14ac:dyDescent="0.35">
      <c r="B14" s="24"/>
      <c r="C14" s="24"/>
      <c r="D14" s="25"/>
      <c r="E14" s="26"/>
      <c r="F14" s="26"/>
      <c r="G14" s="26"/>
      <c r="H14" s="26"/>
    </row>
  </sheetData>
  <mergeCells count="2">
    <mergeCell ref="D13:D14"/>
    <mergeCell ref="E13:H14"/>
  </mergeCells>
  <conditionalFormatting sqref="B11:H11 B13:C13">
    <cfRule type="expression" dxfId="21" priority="2">
      <formula>AND(DAY(B11)&gt;=1,DAY(B11)&lt;=15)</formula>
    </cfRule>
  </conditionalFormatting>
  <conditionalFormatting sqref="B3:G3">
    <cfRule type="expression" dxfId="20" priority="1">
      <formula>DAY(B3)&gt;8</formula>
    </cfRule>
  </conditionalFormatting>
  <dataValidations count="10">
    <dataValidation allowBlank="1" showInputMessage="1" showErrorMessage="1" prompt="El día laborable se determinará    _x000a_automáticamente." sqref="H2"/>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l año de esta celda se actualiza automáticamente. Seleccione otro año en la celda K2 para cambiar de año." sqref="C1:D1"/>
    <dataValidation allowBlank="1" showInputMessage="1" showErrorMessage="1" prompt="Calendario del mes de febrero" sqref="A1"/>
    <dataValidation allowBlank="1" showInputMessage="1" showErrorMessage="1" prompt="Escriba notas en la celda a la derecha." sqref="D13:D14"/>
    <dataValidation allowBlank="1" showInputMessage="1" showErrorMessage="1" prompt="Escriba notas en esta celda." sqref="E13:H14"/>
    <dataValidation allowBlank="1" showInputMessage="1" showErrorMessage="1" prompt="Las celdas de esta fila y las filas 6, 8, 10, 12 y 14 son para escribir notas diarias relacionadas con el día natural de la celda anterior." sqref="B4"/>
    <dataValidation allowBlank="1" showInputMessage="1" showErrorMessage="1" prompt="El día laborable se determinará    _x000a_automáticamente." sqref="C2 D2 E2 F2 G2"/>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4"/>
    <pageSetUpPr fitToPage="1"/>
  </sheetPr>
  <dimension ref="A1:H14"/>
  <sheetViews>
    <sheetView showGridLines="0" workbookViewId="0"/>
  </sheetViews>
  <sheetFormatPr baseColWidth="10" defaultColWidth="8.7265625" defaultRowHeight="14.5" x14ac:dyDescent="0.35"/>
  <cols>
    <col min="1" max="1" width="2.6328125" customWidth="1"/>
    <col min="2" max="2" width="18.26953125" customWidth="1"/>
    <col min="3" max="8" width="17.6328125" customWidth="1"/>
    <col min="9" max="9" width="2.6328125" customWidth="1"/>
    <col min="10" max="10" width="12" customWidth="1"/>
  </cols>
  <sheetData>
    <row r="1" spans="1:8" ht="59.25" customHeight="1" x14ac:dyDescent="0.35">
      <c r="A1" s="18"/>
      <c r="B1" s="17" t="str">
        <f ca="1">"Marzo "&amp;CalendarYear</f>
        <v>Marzo 2025</v>
      </c>
      <c r="C1" s="17"/>
      <c r="D1" s="17"/>
      <c r="E1" s="3"/>
      <c r="F1" s="3"/>
      <c r="G1" s="3"/>
      <c r="H1" s="4"/>
    </row>
    <row r="2" spans="1:8" ht="21.75" customHeight="1" thickBot="1" x14ac:dyDescent="0.4">
      <c r="A2" s="18"/>
      <c r="B2" s="13" t="str">
        <f>IF(WeekStart="DOMINGO", "DOMINGO","LUNES")</f>
        <v>LUNES</v>
      </c>
      <c r="C2" s="13" t="str">
        <f t="shared" ref="C2:H2" ca="1" si="0">UPPER(TEXT(C3,"dddd"))</f>
        <v>MARTES</v>
      </c>
      <c r="D2" s="13" t="str">
        <f t="shared" ca="1" si="0"/>
        <v>MIÉRCOLES</v>
      </c>
      <c r="E2" s="13" t="str">
        <f t="shared" ca="1" si="0"/>
        <v>JUEVES</v>
      </c>
      <c r="F2" s="13" t="str">
        <f t="shared" ca="1" si="0"/>
        <v>VIERNES</v>
      </c>
      <c r="G2" s="13" t="str">
        <f t="shared" ca="1" si="0"/>
        <v>SÁBADO</v>
      </c>
      <c r="H2" s="13" t="str">
        <f t="shared" ca="1" si="0"/>
        <v>DOMINGO</v>
      </c>
    </row>
    <row r="3" spans="1:8" ht="19.5" customHeight="1" x14ac:dyDescent="0.35">
      <c r="A3" s="18"/>
      <c r="B3" s="8">
        <f t="array" aca="1" ref="B3:H3" ca="1">DaysAndWeeks+DATE(CalendarYear,3,1)-WEEKDAY(DATE(CalendarYear,3,1),(WeekStart="Lunes")+1)+1</f>
        <v>45712</v>
      </c>
      <c r="C3" s="8">
        <f ca="1"/>
        <v>45713</v>
      </c>
      <c r="D3" s="8">
        <f ca="1"/>
        <v>45714</v>
      </c>
      <c r="E3" s="8">
        <f ca="1"/>
        <v>45715</v>
      </c>
      <c r="F3" s="8">
        <f ca="1"/>
        <v>45716</v>
      </c>
      <c r="G3" s="8">
        <f ca="1"/>
        <v>45717</v>
      </c>
      <c r="H3" s="8">
        <f ca="1"/>
        <v>45718</v>
      </c>
    </row>
    <row r="4" spans="1:8" ht="58" customHeight="1" x14ac:dyDescent="0.35">
      <c r="A4" s="18"/>
      <c r="B4" s="18"/>
      <c r="C4" s="18"/>
      <c r="D4" s="18"/>
      <c r="E4" s="18"/>
      <c r="F4" s="18"/>
      <c r="G4" s="18"/>
      <c r="H4" s="18"/>
    </row>
    <row r="5" spans="1:8" ht="19.5" customHeight="1" x14ac:dyDescent="0.35">
      <c r="A5" s="18"/>
      <c r="B5" s="16">
        <f t="array" aca="1" ref="B5:H5" ca="1">DaysAndWeeks+DATE(CalendarYear,3,1)-WEEKDAY(DATE(CalendarYear,3,1),(WeekStart="Lunes")+1)+8</f>
        <v>45719</v>
      </c>
      <c r="C5" s="16">
        <f ca="1"/>
        <v>45720</v>
      </c>
      <c r="D5" s="16">
        <f ca="1"/>
        <v>45721</v>
      </c>
      <c r="E5" s="16">
        <f ca="1"/>
        <v>45722</v>
      </c>
      <c r="F5" s="16">
        <f ca="1"/>
        <v>45723</v>
      </c>
      <c r="G5" s="16">
        <f ca="1"/>
        <v>45724</v>
      </c>
      <c r="H5" s="16">
        <f ca="1"/>
        <v>45725</v>
      </c>
    </row>
    <row r="6" spans="1:8" ht="58" customHeight="1" x14ac:dyDescent="0.35">
      <c r="A6" s="18"/>
      <c r="B6" s="24"/>
      <c r="C6" s="24"/>
      <c r="D6" s="24"/>
      <c r="E6" s="24"/>
      <c r="F6" s="24"/>
      <c r="G6" s="24"/>
      <c r="H6" s="24"/>
    </row>
    <row r="7" spans="1:8" ht="19.5" customHeight="1" x14ac:dyDescent="0.35">
      <c r="A7" s="18"/>
      <c r="B7" s="8">
        <f t="array" aca="1" ref="B7:H7" ca="1">DaysAndWeeks+DATE(CalendarYear,3,1)-WEEKDAY(DATE(CalendarYear,3,1),(WeekStart="Lunes")+1)+15</f>
        <v>45726</v>
      </c>
      <c r="C7" s="8">
        <f ca="1"/>
        <v>45727</v>
      </c>
      <c r="D7" s="8">
        <f ca="1"/>
        <v>45728</v>
      </c>
      <c r="E7" s="8">
        <f ca="1"/>
        <v>45729</v>
      </c>
      <c r="F7" s="8">
        <f ca="1"/>
        <v>45730</v>
      </c>
      <c r="G7" s="8">
        <f ca="1"/>
        <v>45731</v>
      </c>
      <c r="H7" s="8">
        <f ca="1"/>
        <v>45732</v>
      </c>
    </row>
    <row r="8" spans="1:8" ht="58" customHeight="1" x14ac:dyDescent="0.35">
      <c r="A8" s="18"/>
      <c r="B8" s="18"/>
      <c r="C8" s="18"/>
      <c r="D8" s="18"/>
      <c r="E8" s="18"/>
      <c r="F8" s="18"/>
      <c r="G8" s="18"/>
      <c r="H8" s="18"/>
    </row>
    <row r="9" spans="1:8" ht="19.5" customHeight="1" x14ac:dyDescent="0.35">
      <c r="A9" s="18"/>
      <c r="B9" s="16">
        <f t="array" aca="1" ref="B9:H9" ca="1">DaysAndWeeks+DATE(CalendarYear,3,1)-WEEKDAY(DATE(CalendarYear,3,1),(WeekStart="Lunes")+1)+22</f>
        <v>45733</v>
      </c>
      <c r="C9" s="16">
        <f ca="1"/>
        <v>45734</v>
      </c>
      <c r="D9" s="16">
        <f ca="1"/>
        <v>45735</v>
      </c>
      <c r="E9" s="16">
        <f ca="1"/>
        <v>45736</v>
      </c>
      <c r="F9" s="16">
        <f ca="1"/>
        <v>45737</v>
      </c>
      <c r="G9" s="16">
        <f ca="1"/>
        <v>45738</v>
      </c>
      <c r="H9" s="16">
        <f ca="1"/>
        <v>45739</v>
      </c>
    </row>
    <row r="10" spans="1:8" ht="58" customHeight="1" x14ac:dyDescent="0.35">
      <c r="A10" s="18"/>
      <c r="B10" s="24"/>
      <c r="C10" s="24"/>
      <c r="D10" s="24"/>
      <c r="E10" s="24"/>
      <c r="F10" s="24"/>
      <c r="G10" s="24"/>
      <c r="H10" s="24"/>
    </row>
    <row r="11" spans="1:8" ht="19.5" customHeight="1" x14ac:dyDescent="0.35">
      <c r="A11" s="18"/>
      <c r="B11" s="8">
        <f t="array" aca="1" ref="B11:H11" ca="1">DaysAndWeeks+DATE(CalendarYear,3,1)-WEEKDAY(DATE(CalendarYear,3,1),(WeekStart="Lunes")+1)+29</f>
        <v>45740</v>
      </c>
      <c r="C11" s="8">
        <f ca="1"/>
        <v>45741</v>
      </c>
      <c r="D11" s="8">
        <f ca="1"/>
        <v>45742</v>
      </c>
      <c r="E11" s="8">
        <f ca="1"/>
        <v>45743</v>
      </c>
      <c r="F11" s="8">
        <f ca="1"/>
        <v>45744</v>
      </c>
      <c r="G11" s="8">
        <f ca="1"/>
        <v>45745</v>
      </c>
      <c r="H11" s="8">
        <f ca="1"/>
        <v>45746</v>
      </c>
    </row>
    <row r="12" spans="1:8" ht="58" customHeight="1" x14ac:dyDescent="0.35">
      <c r="A12" s="18"/>
      <c r="B12" s="18"/>
      <c r="C12" s="18"/>
      <c r="D12" s="18"/>
      <c r="E12" s="18"/>
      <c r="F12" s="18"/>
      <c r="G12" s="18"/>
      <c r="H12" s="18"/>
    </row>
    <row r="13" spans="1:8" ht="19.5" customHeight="1" x14ac:dyDescent="0.35">
      <c r="A13" s="18"/>
      <c r="B13" s="16">
        <f t="array" aca="1" ref="B13:C13" ca="1">DaysAndWeeks+DATE(CalendarYear,3,1)-WEEKDAY(DATE(CalendarYear,3,1),(WeekStart="Lunes")+1)+36</f>
        <v>45747</v>
      </c>
      <c r="C13" s="16">
        <f ca="1"/>
        <v>45748</v>
      </c>
      <c r="D13" s="25" t="s">
        <v>0</v>
      </c>
      <c r="E13" s="26"/>
      <c r="F13" s="26"/>
      <c r="G13" s="26"/>
      <c r="H13" s="26"/>
    </row>
    <row r="14" spans="1:8" ht="58" customHeight="1" x14ac:dyDescent="0.35">
      <c r="A14" s="18"/>
      <c r="B14" s="24"/>
      <c r="C14" s="24"/>
      <c r="D14" s="25"/>
      <c r="E14" s="26"/>
      <c r="F14" s="26"/>
      <c r="G14" s="26"/>
      <c r="H14" s="26"/>
    </row>
  </sheetData>
  <mergeCells count="2">
    <mergeCell ref="D13:D14"/>
    <mergeCell ref="E13:H14"/>
  </mergeCells>
  <conditionalFormatting sqref="B11:H11 B13:C13">
    <cfRule type="expression" dxfId="19" priority="2">
      <formula>AND(DAY(B11)&gt;=1,DAY(B11)&lt;=15)</formula>
    </cfRule>
  </conditionalFormatting>
  <conditionalFormatting sqref="B3:G3">
    <cfRule type="expression" dxfId="18" priority="1">
      <formula>DAY(B3)&gt;8</formula>
    </cfRule>
  </conditionalFormatting>
  <dataValidations count="10">
    <dataValidation allowBlank="1" showInputMessage="1" showErrorMessage="1" prompt="Las celdas de esta fila y las filas 6, 8, 10, 12 y 14 son para escribir notas diarias relacionadas con el día natural de la celda anterior." sqref="B4"/>
    <dataValidation allowBlank="1" showInputMessage="1" showErrorMessage="1" prompt="Escriba notas en esta celda." sqref="E13:H14"/>
    <dataValidation allowBlank="1" showInputMessage="1" showErrorMessage="1" prompt="Escriba notas en la celda a la derecha." sqref="D13:D14"/>
    <dataValidation allowBlank="1" showInputMessage="1" showErrorMessage="1" prompt="Calendario del mes de marzo" sqref="A1"/>
    <dataValidation allowBlank="1" showInputMessage="1" showErrorMessage="1" prompt="El año de esta celda se actualiza automáticamente. Seleccione otro año en la celda K2 para cambiar de año." sqref="C1:D1"/>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l día laborable se determinará    _x000a_automáticamente." sqref="H2"/>
    <dataValidation allowBlank="1" showInputMessage="1" showErrorMessage="1" prompt="El día laborable se determinará    _x000a_automáticamente." sqref="C2 D2 E2 F2 G2"/>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4" tint="0.39997558519241921"/>
    <pageSetUpPr fitToPage="1"/>
  </sheetPr>
  <dimension ref="A1:H14"/>
  <sheetViews>
    <sheetView showGridLines="0" workbookViewId="0"/>
  </sheetViews>
  <sheetFormatPr baseColWidth="10" defaultColWidth="8.7265625" defaultRowHeight="14.5" x14ac:dyDescent="0.35"/>
  <cols>
    <col min="1" max="1" width="2.6328125" customWidth="1"/>
    <col min="2" max="2" width="18.26953125" customWidth="1"/>
    <col min="3" max="8" width="17.6328125" customWidth="1"/>
    <col min="9" max="9" width="2.6328125" customWidth="1"/>
    <col min="10" max="10" width="12" customWidth="1"/>
  </cols>
  <sheetData>
    <row r="1" spans="1:8" ht="59.25" customHeight="1" x14ac:dyDescent="0.35">
      <c r="A1" s="18"/>
      <c r="B1" s="17" t="str">
        <f ca="1">"Abril "&amp;CalendarYear</f>
        <v>Abril 2025</v>
      </c>
      <c r="C1" s="17"/>
      <c r="D1" s="17"/>
      <c r="E1" s="3"/>
      <c r="F1" s="3"/>
      <c r="G1" s="3"/>
      <c r="H1" s="4"/>
    </row>
    <row r="2" spans="1:8" ht="21.75" customHeight="1" thickBot="1" x14ac:dyDescent="0.4">
      <c r="A2" s="18"/>
      <c r="B2" s="13" t="str">
        <f>IF(WeekStart="DOMINGO", "DOMINGO","LUNES")</f>
        <v>LUNES</v>
      </c>
      <c r="C2" s="13" t="str">
        <f t="shared" ref="C2:H2" ca="1" si="0">UPPER(TEXT(C3,"dddd"))</f>
        <v>MARTES</v>
      </c>
      <c r="D2" s="13" t="str">
        <f t="shared" ca="1" si="0"/>
        <v>MIÉRCOLES</v>
      </c>
      <c r="E2" s="13" t="str">
        <f t="shared" ca="1" si="0"/>
        <v>JUEVES</v>
      </c>
      <c r="F2" s="13" t="str">
        <f t="shared" ca="1" si="0"/>
        <v>VIERNES</v>
      </c>
      <c r="G2" s="13" t="str">
        <f t="shared" ca="1" si="0"/>
        <v>SÁBADO</v>
      </c>
      <c r="H2" s="13" t="str">
        <f t="shared" ca="1" si="0"/>
        <v>DOMINGO</v>
      </c>
    </row>
    <row r="3" spans="1:8" ht="19.5" customHeight="1" x14ac:dyDescent="0.35">
      <c r="A3" s="18"/>
      <c r="B3" s="8">
        <f t="array" aca="1" ref="B3:H3" ca="1">DaysAndWeeks+DATE(CalendarYear,4,1)-WEEKDAY(DATE(CalendarYear,4,1),(WeekStart="Lunes")+1)+1</f>
        <v>45747</v>
      </c>
      <c r="C3" s="8">
        <f ca="1"/>
        <v>45748</v>
      </c>
      <c r="D3" s="8">
        <f ca="1"/>
        <v>45749</v>
      </c>
      <c r="E3" s="8">
        <f ca="1"/>
        <v>45750</v>
      </c>
      <c r="F3" s="8">
        <f ca="1"/>
        <v>45751</v>
      </c>
      <c r="G3" s="8">
        <f ca="1"/>
        <v>45752</v>
      </c>
      <c r="H3" s="8">
        <f ca="1"/>
        <v>45753</v>
      </c>
    </row>
    <row r="4" spans="1:8" ht="58" customHeight="1" x14ac:dyDescent="0.35">
      <c r="A4" s="18"/>
      <c r="B4" s="18"/>
      <c r="C4" s="18"/>
      <c r="D4" s="18"/>
      <c r="E4" s="18"/>
      <c r="F4" s="18"/>
      <c r="G4" s="18"/>
      <c r="H4" s="18"/>
    </row>
    <row r="5" spans="1:8" ht="19.5" customHeight="1" x14ac:dyDescent="0.35">
      <c r="A5" s="18"/>
      <c r="B5" s="16">
        <f t="array" aca="1" ref="B5:H5" ca="1">DaysAndWeeks+DATE(CalendarYear,4,1)-WEEKDAY(DATE(CalendarYear,4,1),(WeekStart="Lunes")+1)+8</f>
        <v>45754</v>
      </c>
      <c r="C5" s="16">
        <f ca="1"/>
        <v>45755</v>
      </c>
      <c r="D5" s="16">
        <f ca="1"/>
        <v>45756</v>
      </c>
      <c r="E5" s="16">
        <f ca="1"/>
        <v>45757</v>
      </c>
      <c r="F5" s="16">
        <f ca="1"/>
        <v>45758</v>
      </c>
      <c r="G5" s="16">
        <f ca="1"/>
        <v>45759</v>
      </c>
      <c r="H5" s="16">
        <f ca="1"/>
        <v>45760</v>
      </c>
    </row>
    <row r="6" spans="1:8" ht="58" customHeight="1" x14ac:dyDescent="0.35">
      <c r="A6" s="18"/>
      <c r="B6" s="24"/>
      <c r="C6" s="24"/>
      <c r="D6" s="24"/>
      <c r="E6" s="24"/>
      <c r="F6" s="24"/>
      <c r="G6" s="24"/>
      <c r="H6" s="24"/>
    </row>
    <row r="7" spans="1:8" ht="19.5" customHeight="1" x14ac:dyDescent="0.35">
      <c r="A7" s="18"/>
      <c r="B7" s="8">
        <f t="array" aca="1" ref="B7:H7" ca="1">DaysAndWeeks+DATE(CalendarYear,4,1)-WEEKDAY(DATE(CalendarYear,4,1),(WeekStart="Lunes")+1)+15</f>
        <v>45761</v>
      </c>
      <c r="C7" s="8">
        <f ca="1"/>
        <v>45762</v>
      </c>
      <c r="D7" s="8">
        <f ca="1"/>
        <v>45763</v>
      </c>
      <c r="E7" s="8">
        <f ca="1"/>
        <v>45764</v>
      </c>
      <c r="F7" s="8">
        <f ca="1"/>
        <v>45765</v>
      </c>
      <c r="G7" s="8">
        <f ca="1"/>
        <v>45766</v>
      </c>
      <c r="H7" s="8">
        <f ca="1"/>
        <v>45767</v>
      </c>
    </row>
    <row r="8" spans="1:8" ht="58" customHeight="1" x14ac:dyDescent="0.35">
      <c r="A8" s="18"/>
      <c r="B8" s="18"/>
      <c r="C8" s="18"/>
      <c r="D8" s="18"/>
      <c r="E8" s="18"/>
      <c r="F8" s="18"/>
      <c r="G8" s="18"/>
      <c r="H8" s="18"/>
    </row>
    <row r="9" spans="1:8" ht="19.5" customHeight="1" x14ac:dyDescent="0.35">
      <c r="A9" s="18"/>
      <c r="B9" s="16">
        <f t="array" aca="1" ref="B9:H9" ca="1">DaysAndWeeks+DATE(CalendarYear,4,1)-WEEKDAY(DATE(CalendarYear,4,1),(WeekStart="Lunes")+1)+22</f>
        <v>45768</v>
      </c>
      <c r="C9" s="16">
        <f ca="1"/>
        <v>45769</v>
      </c>
      <c r="D9" s="16">
        <f ca="1"/>
        <v>45770</v>
      </c>
      <c r="E9" s="16">
        <f ca="1"/>
        <v>45771</v>
      </c>
      <c r="F9" s="16">
        <f ca="1"/>
        <v>45772</v>
      </c>
      <c r="G9" s="16">
        <f ca="1"/>
        <v>45773</v>
      </c>
      <c r="H9" s="16">
        <f ca="1"/>
        <v>45774</v>
      </c>
    </row>
    <row r="10" spans="1:8" ht="58" customHeight="1" x14ac:dyDescent="0.35">
      <c r="A10" s="18"/>
      <c r="B10" s="24"/>
      <c r="C10" s="24"/>
      <c r="D10" s="24"/>
      <c r="E10" s="24"/>
      <c r="F10" s="24"/>
      <c r="G10" s="24"/>
      <c r="H10" s="24"/>
    </row>
    <row r="11" spans="1:8" ht="19.5" customHeight="1" x14ac:dyDescent="0.35">
      <c r="A11" s="18"/>
      <c r="B11" s="8">
        <f t="array" aca="1" ref="B11:H11" ca="1">DaysAndWeeks+DATE(CalendarYear,4,1)-WEEKDAY(DATE(CalendarYear,4,1),(WeekStart="Lunes")+1)+29</f>
        <v>45775</v>
      </c>
      <c r="C11" s="8">
        <f ca="1"/>
        <v>45776</v>
      </c>
      <c r="D11" s="8">
        <f ca="1"/>
        <v>45777</v>
      </c>
      <c r="E11" s="8">
        <f ca="1"/>
        <v>45778</v>
      </c>
      <c r="F11" s="8">
        <f ca="1"/>
        <v>45779</v>
      </c>
      <c r="G11" s="8">
        <f ca="1"/>
        <v>45780</v>
      </c>
      <c r="H11" s="8">
        <f ca="1"/>
        <v>45781</v>
      </c>
    </row>
    <row r="12" spans="1:8" ht="58" customHeight="1" x14ac:dyDescent="0.35">
      <c r="A12" s="18"/>
      <c r="B12" s="18"/>
      <c r="C12" s="18"/>
      <c r="D12" s="18"/>
      <c r="E12" s="18"/>
      <c r="F12" s="18"/>
      <c r="G12" s="18"/>
      <c r="H12" s="18"/>
    </row>
    <row r="13" spans="1:8" ht="19.5" customHeight="1" x14ac:dyDescent="0.35">
      <c r="A13" s="18"/>
      <c r="B13" s="16">
        <f t="array" aca="1" ref="B13:C13" ca="1">DaysAndWeeks+DATE(CalendarYear,4,1)-WEEKDAY(DATE(CalendarYear,4,1),(WeekStart="Lunes")+1)+36</f>
        <v>45782</v>
      </c>
      <c r="C13" s="16">
        <f ca="1"/>
        <v>45783</v>
      </c>
      <c r="D13" s="25" t="s">
        <v>0</v>
      </c>
      <c r="E13" s="26"/>
      <c r="F13" s="26"/>
      <c r="G13" s="26"/>
      <c r="H13" s="26"/>
    </row>
    <row r="14" spans="1:8" ht="58" customHeight="1" x14ac:dyDescent="0.35">
      <c r="A14" s="18"/>
      <c r="B14" s="24"/>
      <c r="C14" s="24"/>
      <c r="D14" s="25"/>
      <c r="E14" s="26"/>
      <c r="F14" s="26"/>
      <c r="G14" s="26"/>
      <c r="H14" s="26"/>
    </row>
  </sheetData>
  <mergeCells count="2">
    <mergeCell ref="D13:D14"/>
    <mergeCell ref="E13:H14"/>
  </mergeCells>
  <conditionalFormatting sqref="B11:H11 B13:C13">
    <cfRule type="expression" dxfId="17" priority="2">
      <formula>AND(DAY(B11)&gt;=1,DAY(B11)&lt;=15)</formula>
    </cfRule>
  </conditionalFormatting>
  <conditionalFormatting sqref="B3:G3">
    <cfRule type="expression" dxfId="16" priority="1">
      <formula>DAY(B3)&gt;8</formula>
    </cfRule>
  </conditionalFormatting>
  <dataValidations count="10">
    <dataValidation allowBlank="1" showInputMessage="1" showErrorMessage="1" prompt="El día laborable se determinará    _x000a_automáticamente." sqref="H2"/>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l año de esta celda se actualiza automáticamente. Seleccione otro año en la celda K2 para cambiar de año." sqref="C1:D1"/>
    <dataValidation allowBlank="1" showInputMessage="1" showErrorMessage="1" prompt="Calendario del mes de abril" sqref="A1"/>
    <dataValidation allowBlank="1" showInputMessage="1" showErrorMessage="1" prompt="Escriba notas en la celda a la derecha." sqref="D13:D14"/>
    <dataValidation allowBlank="1" showInputMessage="1" showErrorMessage="1" prompt="Escriba notas en esta celda." sqref="E13:H14"/>
    <dataValidation allowBlank="1" showInputMessage="1" showErrorMessage="1" prompt="Las celdas de esta fila y las filas 6, 8, 10, 12 y 14 son para escribir notas diarias relacionadas con el día natural de la celda anterior." sqref="B4"/>
    <dataValidation allowBlank="1" showInputMessage="1" showErrorMessage="1" prompt="El día laborable se determinará    _x000a_automáticamente." sqref="C2 D2 E2 F2 G2"/>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4" tint="0.59999389629810485"/>
    <pageSetUpPr fitToPage="1"/>
  </sheetPr>
  <dimension ref="A1:H14"/>
  <sheetViews>
    <sheetView showGridLines="0" workbookViewId="0"/>
  </sheetViews>
  <sheetFormatPr baseColWidth="10" defaultColWidth="8.7265625" defaultRowHeight="14.5" x14ac:dyDescent="0.35"/>
  <cols>
    <col min="1" max="1" width="2.6328125" customWidth="1"/>
    <col min="2" max="2" width="18.26953125" customWidth="1"/>
    <col min="3" max="8" width="17.6328125" customWidth="1"/>
    <col min="9" max="9" width="2.6328125" customWidth="1"/>
    <col min="10" max="10" width="12" customWidth="1"/>
  </cols>
  <sheetData>
    <row r="1" spans="1:8" ht="59.25" customHeight="1" x14ac:dyDescent="0.35">
      <c r="A1" s="18"/>
      <c r="B1" s="17" t="str">
        <f ca="1">"Mayo "&amp;CalendarYear</f>
        <v>Mayo 2025</v>
      </c>
      <c r="C1" s="17"/>
      <c r="D1" s="17"/>
      <c r="E1" s="3"/>
      <c r="F1" s="3"/>
      <c r="G1" s="3"/>
      <c r="H1" s="4"/>
    </row>
    <row r="2" spans="1:8" ht="21.75" customHeight="1" thickBot="1" x14ac:dyDescent="0.4">
      <c r="A2" s="18"/>
      <c r="B2" s="13" t="str">
        <f>IF(WeekStart="DOMINGO", "DOMINGO","LUNES")</f>
        <v>LUNES</v>
      </c>
      <c r="C2" s="13" t="str">
        <f t="shared" ref="C2:H2" ca="1" si="0">UPPER(TEXT(C3,"dddd"))</f>
        <v>MARTES</v>
      </c>
      <c r="D2" s="13" t="str">
        <f t="shared" ca="1" si="0"/>
        <v>MIÉRCOLES</v>
      </c>
      <c r="E2" s="13" t="str">
        <f t="shared" ca="1" si="0"/>
        <v>JUEVES</v>
      </c>
      <c r="F2" s="13" t="str">
        <f t="shared" ca="1" si="0"/>
        <v>VIERNES</v>
      </c>
      <c r="G2" s="13" t="str">
        <f t="shared" ca="1" si="0"/>
        <v>SÁBADO</v>
      </c>
      <c r="H2" s="13" t="str">
        <f t="shared" ca="1" si="0"/>
        <v>DOMINGO</v>
      </c>
    </row>
    <row r="3" spans="1:8" ht="19.5" customHeight="1" x14ac:dyDescent="0.35">
      <c r="A3" s="18"/>
      <c r="B3" s="8">
        <f t="array" aca="1" ref="B3:H3" ca="1">DaysAndWeeks+DATE(CalendarYear,5,1)-WEEKDAY(DATE(CalendarYear,5,1),(WeekStart="Lunes")+1)+1</f>
        <v>45775</v>
      </c>
      <c r="C3" s="8">
        <f ca="1"/>
        <v>45776</v>
      </c>
      <c r="D3" s="8">
        <f ca="1"/>
        <v>45777</v>
      </c>
      <c r="E3" s="8">
        <f ca="1"/>
        <v>45778</v>
      </c>
      <c r="F3" s="8">
        <f ca="1"/>
        <v>45779</v>
      </c>
      <c r="G3" s="8">
        <f ca="1"/>
        <v>45780</v>
      </c>
      <c r="H3" s="8">
        <f ca="1"/>
        <v>45781</v>
      </c>
    </row>
    <row r="4" spans="1:8" ht="58" customHeight="1" x14ac:dyDescent="0.35">
      <c r="A4" s="18"/>
      <c r="B4" s="18"/>
      <c r="C4" s="18"/>
      <c r="D4" s="18"/>
      <c r="E4" s="18"/>
      <c r="F4" s="18"/>
      <c r="G4" s="18"/>
      <c r="H4" s="18"/>
    </row>
    <row r="5" spans="1:8" ht="19.5" customHeight="1" x14ac:dyDescent="0.35">
      <c r="A5" s="18"/>
      <c r="B5" s="16">
        <f t="array" aca="1" ref="B5:H5" ca="1">DaysAndWeeks+DATE(CalendarYear,5,1)-WEEKDAY(DATE(CalendarYear,5,1),(WeekStart="Lunes")+1)+8</f>
        <v>45782</v>
      </c>
      <c r="C5" s="16">
        <f ca="1"/>
        <v>45783</v>
      </c>
      <c r="D5" s="16">
        <f ca="1"/>
        <v>45784</v>
      </c>
      <c r="E5" s="16">
        <f ca="1"/>
        <v>45785</v>
      </c>
      <c r="F5" s="16">
        <f ca="1"/>
        <v>45786</v>
      </c>
      <c r="G5" s="16">
        <f ca="1"/>
        <v>45787</v>
      </c>
      <c r="H5" s="16">
        <f ca="1"/>
        <v>45788</v>
      </c>
    </row>
    <row r="6" spans="1:8" ht="58" customHeight="1" x14ac:dyDescent="0.35">
      <c r="A6" s="18"/>
      <c r="B6" s="24"/>
      <c r="C6" s="24"/>
      <c r="D6" s="24"/>
      <c r="E6" s="24"/>
      <c r="F6" s="24"/>
      <c r="G6" s="24"/>
      <c r="H6" s="24"/>
    </row>
    <row r="7" spans="1:8" ht="19.5" customHeight="1" x14ac:dyDescent="0.35">
      <c r="A7" s="18"/>
      <c r="B7" s="8">
        <f t="array" aca="1" ref="B7:H7" ca="1">DaysAndWeeks+DATE(CalendarYear,5,1)-WEEKDAY(DATE(CalendarYear,5,1),(WeekStart="Lunes")+1)+15</f>
        <v>45789</v>
      </c>
      <c r="C7" s="8">
        <f ca="1"/>
        <v>45790</v>
      </c>
      <c r="D7" s="8">
        <f ca="1"/>
        <v>45791</v>
      </c>
      <c r="E7" s="8">
        <f ca="1"/>
        <v>45792</v>
      </c>
      <c r="F7" s="8">
        <f ca="1"/>
        <v>45793</v>
      </c>
      <c r="G7" s="8">
        <f ca="1"/>
        <v>45794</v>
      </c>
      <c r="H7" s="8">
        <f ca="1"/>
        <v>45795</v>
      </c>
    </row>
    <row r="8" spans="1:8" ht="58" customHeight="1" x14ac:dyDescent="0.35">
      <c r="A8" s="18"/>
      <c r="B8" s="18"/>
      <c r="C8" s="18"/>
      <c r="D8" s="18"/>
      <c r="E8" s="18"/>
      <c r="F8" s="18"/>
      <c r="G8" s="18"/>
      <c r="H8" s="18"/>
    </row>
    <row r="9" spans="1:8" ht="19.5" customHeight="1" x14ac:dyDescent="0.35">
      <c r="A9" s="18"/>
      <c r="B9" s="16">
        <f t="array" aca="1" ref="B9:H9" ca="1">DaysAndWeeks+DATE(CalendarYear,5,1)-WEEKDAY(DATE(CalendarYear,5,1),(WeekStart="Lunes")+1)+22</f>
        <v>45796</v>
      </c>
      <c r="C9" s="16">
        <f ca="1"/>
        <v>45797</v>
      </c>
      <c r="D9" s="16">
        <f ca="1"/>
        <v>45798</v>
      </c>
      <c r="E9" s="16">
        <f ca="1"/>
        <v>45799</v>
      </c>
      <c r="F9" s="16">
        <f ca="1"/>
        <v>45800</v>
      </c>
      <c r="G9" s="16">
        <f ca="1"/>
        <v>45801</v>
      </c>
      <c r="H9" s="16">
        <f ca="1"/>
        <v>45802</v>
      </c>
    </row>
    <row r="10" spans="1:8" ht="58" customHeight="1" x14ac:dyDescent="0.35">
      <c r="A10" s="18"/>
      <c r="B10" s="24"/>
      <c r="C10" s="24"/>
      <c r="D10" s="24"/>
      <c r="E10" s="24"/>
      <c r="F10" s="24"/>
      <c r="G10" s="24"/>
      <c r="H10" s="24"/>
    </row>
    <row r="11" spans="1:8" ht="19.5" customHeight="1" x14ac:dyDescent="0.35">
      <c r="A11" s="18"/>
      <c r="B11" s="8">
        <f t="array" aca="1" ref="B11:H11" ca="1">DaysAndWeeks+DATE(CalendarYear,5,1)-WEEKDAY(DATE(CalendarYear,5,1),(WeekStart="Lunes")+1)+29</f>
        <v>45803</v>
      </c>
      <c r="C11" s="8">
        <f ca="1"/>
        <v>45804</v>
      </c>
      <c r="D11" s="8">
        <f ca="1"/>
        <v>45805</v>
      </c>
      <c r="E11" s="8">
        <f ca="1"/>
        <v>45806</v>
      </c>
      <c r="F11" s="8">
        <f ca="1"/>
        <v>45807</v>
      </c>
      <c r="G11" s="8">
        <f ca="1"/>
        <v>45808</v>
      </c>
      <c r="H11" s="8">
        <f ca="1"/>
        <v>45809</v>
      </c>
    </row>
    <row r="12" spans="1:8" ht="58" customHeight="1" x14ac:dyDescent="0.35">
      <c r="A12" s="18"/>
      <c r="B12" s="18"/>
      <c r="C12" s="18"/>
      <c r="D12" s="18"/>
      <c r="E12" s="18"/>
      <c r="F12" s="18"/>
      <c r="G12" s="18"/>
      <c r="H12" s="18"/>
    </row>
    <row r="13" spans="1:8" ht="19.5" customHeight="1" x14ac:dyDescent="0.35">
      <c r="A13" s="18"/>
      <c r="B13" s="16">
        <f t="array" aca="1" ref="B13:C13" ca="1">DaysAndWeeks+DATE(CalendarYear,5,1)-WEEKDAY(DATE(CalendarYear,5,1),(WeekStart="Lunes")+1)+36</f>
        <v>45810</v>
      </c>
      <c r="C13" s="16">
        <f ca="1"/>
        <v>45811</v>
      </c>
      <c r="D13" s="25" t="s">
        <v>0</v>
      </c>
      <c r="E13" s="26"/>
      <c r="F13" s="26"/>
      <c r="G13" s="26"/>
      <c r="H13" s="26"/>
    </row>
    <row r="14" spans="1:8" ht="58" customHeight="1" x14ac:dyDescent="0.35">
      <c r="A14" s="18"/>
      <c r="B14" s="24"/>
      <c r="C14" s="24"/>
      <c r="D14" s="25"/>
      <c r="E14" s="26"/>
      <c r="F14" s="26"/>
      <c r="G14" s="26"/>
      <c r="H14" s="26"/>
    </row>
  </sheetData>
  <mergeCells count="2">
    <mergeCell ref="D13:D14"/>
    <mergeCell ref="E13:H14"/>
  </mergeCells>
  <conditionalFormatting sqref="B11:H11 B13:C13">
    <cfRule type="expression" dxfId="15" priority="2">
      <formula>AND(DAY(B11)&gt;=1,DAY(B11)&lt;=15)</formula>
    </cfRule>
  </conditionalFormatting>
  <conditionalFormatting sqref="B3:G3">
    <cfRule type="expression" dxfId="14" priority="1">
      <formula>DAY(B3)&gt;8</formula>
    </cfRule>
  </conditionalFormatting>
  <dataValidations count="10">
    <dataValidation allowBlank="1" showInputMessage="1" showErrorMessage="1" prompt="El día laborable se determinará    _x000a_automáticamente." sqref="H2"/>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l año de esta celda se actualiza automáticamente. Seleccione otro año en la celda K2 para cambiar de año." sqref="C1:D1"/>
    <dataValidation allowBlank="1" showInputMessage="1" showErrorMessage="1" prompt="Calendario del mes de mayo" sqref="A1"/>
    <dataValidation allowBlank="1" showInputMessage="1" showErrorMessage="1" prompt="Escriba notas en la celda a la derecha." sqref="D13:D14"/>
    <dataValidation allowBlank="1" showInputMessage="1" showErrorMessage="1" prompt="Escriba notas en esta celda." sqref="E13:H14"/>
    <dataValidation allowBlank="1" showInputMessage="1" showErrorMessage="1" prompt="Las celdas de esta fila y las filas 6, 8, 10, 12 y 14 son para escribir notas diarias relacionadas con el día natural de la celda anterior." sqref="B4"/>
    <dataValidation allowBlank="1" showInputMessage="1" showErrorMessage="1" prompt="El día laborable se determinará    _x000a_automáticamente." sqref="C2 D2 E2 F2 G2"/>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4" tint="0.79998168889431442"/>
    <pageSetUpPr fitToPage="1"/>
  </sheetPr>
  <dimension ref="A1:H14"/>
  <sheetViews>
    <sheetView showGridLines="0" workbookViewId="0"/>
  </sheetViews>
  <sheetFormatPr baseColWidth="10" defaultColWidth="8.7265625" defaultRowHeight="14.5" x14ac:dyDescent="0.35"/>
  <cols>
    <col min="1" max="1" width="2.6328125" customWidth="1"/>
    <col min="2" max="2" width="18.26953125" customWidth="1"/>
    <col min="3" max="8" width="17.6328125" customWidth="1"/>
    <col min="9" max="9" width="2.6328125" customWidth="1"/>
    <col min="10" max="10" width="12" customWidth="1"/>
  </cols>
  <sheetData>
    <row r="1" spans="1:8" ht="59.25" customHeight="1" x14ac:dyDescent="0.35">
      <c r="A1" s="18"/>
      <c r="B1" s="17" t="str">
        <f ca="1">"Junio "&amp;CalendarYear</f>
        <v>Junio 2025</v>
      </c>
      <c r="C1" s="17"/>
      <c r="D1" s="17"/>
      <c r="E1" s="3"/>
      <c r="F1" s="3"/>
      <c r="G1" s="3"/>
      <c r="H1" s="4"/>
    </row>
    <row r="2" spans="1:8" ht="21.75" customHeight="1" thickBot="1" x14ac:dyDescent="0.4">
      <c r="A2" s="18"/>
      <c r="B2" s="13" t="str">
        <f>IF(WeekStart="DOMINGO", "DOMINGO","LUNES")</f>
        <v>LUNES</v>
      </c>
      <c r="C2" s="13" t="str">
        <f t="shared" ref="C2:H2" ca="1" si="0">UPPER(TEXT(C3,"dddd"))</f>
        <v>MARTES</v>
      </c>
      <c r="D2" s="13" t="str">
        <f t="shared" ca="1" si="0"/>
        <v>MIÉRCOLES</v>
      </c>
      <c r="E2" s="13" t="str">
        <f t="shared" ca="1" si="0"/>
        <v>JUEVES</v>
      </c>
      <c r="F2" s="13" t="str">
        <f t="shared" ca="1" si="0"/>
        <v>VIERNES</v>
      </c>
      <c r="G2" s="13" t="str">
        <f t="shared" ca="1" si="0"/>
        <v>SÁBADO</v>
      </c>
      <c r="H2" s="13" t="str">
        <f t="shared" ca="1" si="0"/>
        <v>DOMINGO</v>
      </c>
    </row>
    <row r="3" spans="1:8" ht="19.5" customHeight="1" x14ac:dyDescent="0.35">
      <c r="A3" s="18"/>
      <c r="B3" s="8">
        <f t="array" aca="1" ref="B3:H3" ca="1">DaysAndWeeks+DATE(CalendarYear,6,1)-WEEKDAY(DATE(CalendarYear,6,1),(WeekStart="Lunes")+1)+1</f>
        <v>45803</v>
      </c>
      <c r="C3" s="8">
        <f ca="1"/>
        <v>45804</v>
      </c>
      <c r="D3" s="8">
        <f ca="1"/>
        <v>45805</v>
      </c>
      <c r="E3" s="8">
        <f ca="1"/>
        <v>45806</v>
      </c>
      <c r="F3" s="8">
        <f ca="1"/>
        <v>45807</v>
      </c>
      <c r="G3" s="8">
        <f ca="1"/>
        <v>45808</v>
      </c>
      <c r="H3" s="8">
        <f ca="1"/>
        <v>45809</v>
      </c>
    </row>
    <row r="4" spans="1:8" ht="58" customHeight="1" x14ac:dyDescent="0.35">
      <c r="A4" s="18"/>
      <c r="B4" s="18"/>
      <c r="C4" s="18"/>
      <c r="D4" s="18"/>
      <c r="E4" s="18"/>
      <c r="F4" s="18"/>
      <c r="G4" s="18"/>
      <c r="H4" s="18"/>
    </row>
    <row r="5" spans="1:8" ht="19.5" customHeight="1" x14ac:dyDescent="0.35">
      <c r="A5" s="18"/>
      <c r="B5" s="16">
        <f t="array" aca="1" ref="B5:H5" ca="1">DaysAndWeeks+DATE(CalendarYear,6,1)-WEEKDAY(DATE(CalendarYear,6,1),(WeekStart="Lunes")+1)+8</f>
        <v>45810</v>
      </c>
      <c r="C5" s="16">
        <f ca="1"/>
        <v>45811</v>
      </c>
      <c r="D5" s="16">
        <f ca="1"/>
        <v>45812</v>
      </c>
      <c r="E5" s="16">
        <f ca="1"/>
        <v>45813</v>
      </c>
      <c r="F5" s="16">
        <f ca="1"/>
        <v>45814</v>
      </c>
      <c r="G5" s="16">
        <f ca="1"/>
        <v>45815</v>
      </c>
      <c r="H5" s="16">
        <f ca="1"/>
        <v>45816</v>
      </c>
    </row>
    <row r="6" spans="1:8" ht="58" customHeight="1" x14ac:dyDescent="0.35">
      <c r="A6" s="18"/>
      <c r="B6" s="24"/>
      <c r="C6" s="24"/>
      <c r="D6" s="24"/>
      <c r="E6" s="24"/>
      <c r="F6" s="24"/>
      <c r="G6" s="24"/>
      <c r="H6" s="24"/>
    </row>
    <row r="7" spans="1:8" ht="19.5" customHeight="1" x14ac:dyDescent="0.35">
      <c r="A7" s="18"/>
      <c r="B7" s="8">
        <f t="array" aca="1" ref="B7:H7" ca="1">DaysAndWeeks+DATE(CalendarYear,6,1)-WEEKDAY(DATE(CalendarYear,6,1),(WeekStart="Lunes")+1)+15</f>
        <v>45817</v>
      </c>
      <c r="C7" s="8">
        <f ca="1"/>
        <v>45818</v>
      </c>
      <c r="D7" s="8">
        <f ca="1"/>
        <v>45819</v>
      </c>
      <c r="E7" s="8">
        <f ca="1"/>
        <v>45820</v>
      </c>
      <c r="F7" s="8">
        <f ca="1"/>
        <v>45821</v>
      </c>
      <c r="G7" s="8">
        <f ca="1"/>
        <v>45822</v>
      </c>
      <c r="H7" s="8">
        <f ca="1"/>
        <v>45823</v>
      </c>
    </row>
    <row r="8" spans="1:8" ht="58" customHeight="1" x14ac:dyDescent="0.35">
      <c r="A8" s="18"/>
      <c r="B8" s="18"/>
      <c r="C8" s="18"/>
      <c r="D8" s="18"/>
      <c r="E8" s="18"/>
      <c r="F8" s="18"/>
      <c r="G8" s="18"/>
      <c r="H8" s="18"/>
    </row>
    <row r="9" spans="1:8" ht="19.5" customHeight="1" x14ac:dyDescent="0.35">
      <c r="A9" s="18"/>
      <c r="B9" s="16">
        <f t="array" aca="1" ref="B9:H9" ca="1">DaysAndWeeks+DATE(CalendarYear,6,1)-WEEKDAY(DATE(CalendarYear,6,1),(WeekStart="Lunes")+1)+22</f>
        <v>45824</v>
      </c>
      <c r="C9" s="16">
        <f ca="1"/>
        <v>45825</v>
      </c>
      <c r="D9" s="16">
        <f ca="1"/>
        <v>45826</v>
      </c>
      <c r="E9" s="16">
        <f ca="1"/>
        <v>45827</v>
      </c>
      <c r="F9" s="16">
        <f ca="1"/>
        <v>45828</v>
      </c>
      <c r="G9" s="16">
        <f ca="1"/>
        <v>45829</v>
      </c>
      <c r="H9" s="16">
        <f ca="1"/>
        <v>45830</v>
      </c>
    </row>
    <row r="10" spans="1:8" ht="58" customHeight="1" x14ac:dyDescent="0.35">
      <c r="A10" s="18"/>
      <c r="B10" s="24"/>
      <c r="C10" s="24"/>
      <c r="D10" s="24"/>
      <c r="E10" s="24"/>
      <c r="F10" s="24"/>
      <c r="G10" s="24"/>
      <c r="H10" s="24"/>
    </row>
    <row r="11" spans="1:8" ht="19.5" customHeight="1" x14ac:dyDescent="0.35">
      <c r="A11" s="18"/>
      <c r="B11" s="8">
        <f t="array" aca="1" ref="B11:H11" ca="1">DaysAndWeeks+DATE(CalendarYear,6,1)-WEEKDAY(DATE(CalendarYear,6,1),(WeekStart="Lunes")+1)+29</f>
        <v>45831</v>
      </c>
      <c r="C11" s="8">
        <f ca="1"/>
        <v>45832</v>
      </c>
      <c r="D11" s="8">
        <f ca="1"/>
        <v>45833</v>
      </c>
      <c r="E11" s="8">
        <f ca="1"/>
        <v>45834</v>
      </c>
      <c r="F11" s="8">
        <f ca="1"/>
        <v>45835</v>
      </c>
      <c r="G11" s="8">
        <f ca="1"/>
        <v>45836</v>
      </c>
      <c r="H11" s="8">
        <f ca="1"/>
        <v>45837</v>
      </c>
    </row>
    <row r="12" spans="1:8" ht="58" customHeight="1" x14ac:dyDescent="0.35">
      <c r="A12" s="18"/>
      <c r="B12" s="18"/>
      <c r="C12" s="18"/>
      <c r="D12" s="18"/>
      <c r="E12" s="18"/>
      <c r="F12" s="18"/>
      <c r="G12" s="18"/>
      <c r="H12" s="18"/>
    </row>
    <row r="13" spans="1:8" ht="19.5" customHeight="1" x14ac:dyDescent="0.35">
      <c r="A13" s="18"/>
      <c r="B13" s="16">
        <f t="array" aca="1" ref="B13:C13" ca="1">DaysAndWeeks+DATE(CalendarYear,6,1)-WEEKDAY(DATE(CalendarYear,6,1),(WeekStart="Lunes")+1)+36</f>
        <v>45838</v>
      </c>
      <c r="C13" s="16">
        <f ca="1"/>
        <v>45839</v>
      </c>
      <c r="D13" s="25" t="s">
        <v>0</v>
      </c>
      <c r="E13" s="26"/>
      <c r="F13" s="26"/>
      <c r="G13" s="26"/>
      <c r="H13" s="26"/>
    </row>
    <row r="14" spans="1:8" ht="58" customHeight="1" x14ac:dyDescent="0.35">
      <c r="A14" s="18"/>
      <c r="B14" s="24"/>
      <c r="C14" s="24"/>
      <c r="D14" s="25"/>
      <c r="E14" s="26"/>
      <c r="F14" s="26"/>
      <c r="G14" s="26"/>
      <c r="H14" s="26"/>
    </row>
  </sheetData>
  <mergeCells count="2">
    <mergeCell ref="D13:D14"/>
    <mergeCell ref="E13:H14"/>
  </mergeCells>
  <conditionalFormatting sqref="B11:H11 B13:C13">
    <cfRule type="expression" dxfId="13" priority="2">
      <formula>AND(DAY(B11)&gt;=1,DAY(B11)&lt;=15)</formula>
    </cfRule>
  </conditionalFormatting>
  <conditionalFormatting sqref="B3:G3">
    <cfRule type="expression" dxfId="12" priority="1">
      <formula>DAY(B3)&gt;8</formula>
    </cfRule>
  </conditionalFormatting>
  <dataValidations count="10">
    <dataValidation allowBlank="1" showInputMessage="1" showErrorMessage="1" prompt="El día laborable se determinará    _x000a_automáticamente." sqref="H2"/>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l año de esta celda se actualiza automáticamente. Seleccione otro año en la celda K2 para cambiar de año." sqref="C1:D1"/>
    <dataValidation allowBlank="1" showInputMessage="1" showErrorMessage="1" prompt="Calendario del mes de junio" sqref="A1"/>
    <dataValidation allowBlank="1" showInputMessage="1" showErrorMessage="1" prompt="Escriba notas en la celda a la derecha." sqref="D13:D14"/>
    <dataValidation allowBlank="1" showInputMessage="1" showErrorMessage="1" prompt="Escriba notas en esta celda." sqref="E13:H14"/>
    <dataValidation allowBlank="1" showInputMessage="1" showErrorMessage="1" prompt="Las celdas de esta fila y las filas 6, 8, 10, 12 y 14 son para escribir notas diarias relacionadas con el día natural de la celda anterior." sqref="B4"/>
    <dataValidation allowBlank="1" showInputMessage="1" showErrorMessage="1" prompt="El día laborable se determinará    _x000a_automáticamente." sqref="C2 D2 E2 F2 G2"/>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2"/>
    <pageSetUpPr fitToPage="1"/>
  </sheetPr>
  <dimension ref="A1:H14"/>
  <sheetViews>
    <sheetView showGridLines="0" zoomScaleNormal="100" workbookViewId="0"/>
  </sheetViews>
  <sheetFormatPr baseColWidth="10" defaultColWidth="8.7265625" defaultRowHeight="14.5" x14ac:dyDescent="0.35"/>
  <cols>
    <col min="1" max="1" width="2.6328125" customWidth="1"/>
    <col min="2" max="2" width="18.26953125" customWidth="1"/>
    <col min="3" max="8" width="17.6328125" customWidth="1"/>
    <col min="9" max="9" width="2.6328125" customWidth="1"/>
    <col min="10" max="10" width="12" customWidth="1"/>
  </cols>
  <sheetData>
    <row r="1" spans="1:8" ht="59.25" customHeight="1" x14ac:dyDescent="0.35">
      <c r="A1" s="18"/>
      <c r="B1" s="17" t="str">
        <f ca="1">"Julio "&amp;CalendarYear</f>
        <v>Julio 2025</v>
      </c>
      <c r="C1" s="17"/>
      <c r="D1" s="17"/>
      <c r="E1" s="3"/>
      <c r="F1" s="3"/>
      <c r="G1" s="3"/>
      <c r="H1" s="4"/>
    </row>
    <row r="2" spans="1:8" ht="21.75" customHeight="1" thickBot="1" x14ac:dyDescent="0.4">
      <c r="A2" s="18"/>
      <c r="B2" s="13" t="str">
        <f>IF(WeekStart="DOMINGO", "DOMINGO","LUNES")</f>
        <v>LUNES</v>
      </c>
      <c r="C2" s="13" t="str">
        <f t="shared" ref="C2:H2" ca="1" si="0">UPPER(TEXT(C3,"dddd"))</f>
        <v>MARTES</v>
      </c>
      <c r="D2" s="13" t="str">
        <f t="shared" ca="1" si="0"/>
        <v>MIÉRCOLES</v>
      </c>
      <c r="E2" s="13" t="str">
        <f t="shared" ca="1" si="0"/>
        <v>JUEVES</v>
      </c>
      <c r="F2" s="13" t="str">
        <f t="shared" ca="1" si="0"/>
        <v>VIERNES</v>
      </c>
      <c r="G2" s="13" t="str">
        <f t="shared" ca="1" si="0"/>
        <v>SÁBADO</v>
      </c>
      <c r="H2" s="13" t="str">
        <f t="shared" ca="1" si="0"/>
        <v>DOMINGO</v>
      </c>
    </row>
    <row r="3" spans="1:8" ht="19.5" customHeight="1" x14ac:dyDescent="0.35">
      <c r="A3" s="18"/>
      <c r="B3" s="8">
        <f t="array" aca="1" ref="B3:H3" ca="1">DaysAndWeeks+DATE(CalendarYear,7,1)-WEEKDAY(DATE(CalendarYear,7,1),(WeekStart="Lunes")+1)+1</f>
        <v>45838</v>
      </c>
      <c r="C3" s="8">
        <f ca="1"/>
        <v>45839</v>
      </c>
      <c r="D3" s="8">
        <f ca="1"/>
        <v>45840</v>
      </c>
      <c r="E3" s="8">
        <f ca="1"/>
        <v>45841</v>
      </c>
      <c r="F3" s="8">
        <f ca="1"/>
        <v>45842</v>
      </c>
      <c r="G3" s="8">
        <f ca="1"/>
        <v>45843</v>
      </c>
      <c r="H3" s="8">
        <f ca="1"/>
        <v>45844</v>
      </c>
    </row>
    <row r="4" spans="1:8" ht="58" customHeight="1" x14ac:dyDescent="0.35">
      <c r="A4" s="18"/>
      <c r="B4" s="18"/>
      <c r="C4" s="18"/>
      <c r="D4" s="18"/>
      <c r="E4" s="18"/>
      <c r="F4" s="18"/>
      <c r="G4" s="18"/>
      <c r="H4" s="18"/>
    </row>
    <row r="5" spans="1:8" ht="19.5" customHeight="1" x14ac:dyDescent="0.35">
      <c r="A5" s="18"/>
      <c r="B5" s="16">
        <f t="array" aca="1" ref="B5:H5" ca="1">DaysAndWeeks+DATE(CalendarYear,7,1)-WEEKDAY(DATE(CalendarYear,7,1),(WeekStart="Lunes")+1)+8</f>
        <v>45845</v>
      </c>
      <c r="C5" s="16">
        <f ca="1"/>
        <v>45846</v>
      </c>
      <c r="D5" s="16">
        <f ca="1"/>
        <v>45847</v>
      </c>
      <c r="E5" s="16">
        <f ca="1"/>
        <v>45848</v>
      </c>
      <c r="F5" s="16">
        <f ca="1"/>
        <v>45849</v>
      </c>
      <c r="G5" s="16">
        <f ca="1"/>
        <v>45850</v>
      </c>
      <c r="H5" s="16">
        <f ca="1"/>
        <v>45851</v>
      </c>
    </row>
    <row r="6" spans="1:8" ht="58" customHeight="1" x14ac:dyDescent="0.35">
      <c r="A6" s="18"/>
      <c r="B6" s="24"/>
      <c r="C6" s="24"/>
      <c r="D6" s="24"/>
      <c r="E6" s="24"/>
      <c r="F6" s="24"/>
      <c r="G6" s="24"/>
      <c r="H6" s="24"/>
    </row>
    <row r="7" spans="1:8" ht="19.5" customHeight="1" x14ac:dyDescent="0.35">
      <c r="A7" s="18"/>
      <c r="B7" s="8">
        <f t="array" aca="1" ref="B7:H7" ca="1">DaysAndWeeks+DATE(CalendarYear,7,1)-WEEKDAY(DATE(CalendarYear,7,1),(WeekStart="Lunes")+1)+15</f>
        <v>45852</v>
      </c>
      <c r="C7" s="8">
        <f ca="1"/>
        <v>45853</v>
      </c>
      <c r="D7" s="8">
        <f ca="1"/>
        <v>45854</v>
      </c>
      <c r="E7" s="8">
        <f ca="1"/>
        <v>45855</v>
      </c>
      <c r="F7" s="8">
        <f ca="1"/>
        <v>45856</v>
      </c>
      <c r="G7" s="8">
        <f ca="1"/>
        <v>45857</v>
      </c>
      <c r="H7" s="8">
        <f ca="1"/>
        <v>45858</v>
      </c>
    </row>
    <row r="8" spans="1:8" ht="58" customHeight="1" x14ac:dyDescent="0.35">
      <c r="A8" s="18"/>
      <c r="B8" s="18"/>
      <c r="C8" s="18"/>
      <c r="D8" s="18"/>
      <c r="E8" s="18"/>
      <c r="F8" s="18"/>
      <c r="G8" s="18"/>
      <c r="H8" s="18"/>
    </row>
    <row r="9" spans="1:8" ht="19.5" customHeight="1" x14ac:dyDescent="0.35">
      <c r="A9" s="18"/>
      <c r="B9" s="16">
        <f t="array" aca="1" ref="B9:H9" ca="1">DaysAndWeeks+DATE(CalendarYear,7,1)-WEEKDAY(DATE(CalendarYear,7,1),(WeekStart="Lunes")+1)+22</f>
        <v>45859</v>
      </c>
      <c r="C9" s="16">
        <f ca="1"/>
        <v>45860</v>
      </c>
      <c r="D9" s="16">
        <f ca="1"/>
        <v>45861</v>
      </c>
      <c r="E9" s="16">
        <f ca="1"/>
        <v>45862</v>
      </c>
      <c r="F9" s="16">
        <f ca="1"/>
        <v>45863</v>
      </c>
      <c r="G9" s="16">
        <f ca="1"/>
        <v>45864</v>
      </c>
      <c r="H9" s="16">
        <f ca="1"/>
        <v>45865</v>
      </c>
    </row>
    <row r="10" spans="1:8" ht="58" customHeight="1" x14ac:dyDescent="0.35">
      <c r="A10" s="18"/>
      <c r="B10" s="24"/>
      <c r="C10" s="24"/>
      <c r="D10" s="24"/>
      <c r="E10" s="24"/>
      <c r="F10" s="24"/>
      <c r="G10" s="24"/>
      <c r="H10" s="24"/>
    </row>
    <row r="11" spans="1:8" ht="19.5" customHeight="1" x14ac:dyDescent="0.35">
      <c r="A11" s="18"/>
      <c r="B11" s="8">
        <f t="array" aca="1" ref="B11:H11" ca="1">DaysAndWeeks+DATE(CalendarYear,7,1)-WEEKDAY(DATE(CalendarYear,7,1),(WeekStart="Lunes")+1)+29</f>
        <v>45866</v>
      </c>
      <c r="C11" s="8">
        <f ca="1"/>
        <v>45867</v>
      </c>
      <c r="D11" s="8">
        <f ca="1"/>
        <v>45868</v>
      </c>
      <c r="E11" s="8">
        <f ca="1"/>
        <v>45869</v>
      </c>
      <c r="F11" s="8">
        <f ca="1"/>
        <v>45870</v>
      </c>
      <c r="G11" s="8">
        <f ca="1"/>
        <v>45871</v>
      </c>
      <c r="H11" s="8">
        <f ca="1"/>
        <v>45872</v>
      </c>
    </row>
    <row r="12" spans="1:8" ht="58" customHeight="1" x14ac:dyDescent="0.35">
      <c r="A12" s="18"/>
      <c r="B12" s="18"/>
      <c r="C12" s="18"/>
      <c r="D12" s="18"/>
      <c r="E12" s="18"/>
      <c r="F12" s="18"/>
      <c r="G12" s="18"/>
      <c r="H12" s="18"/>
    </row>
    <row r="13" spans="1:8" ht="19.5" customHeight="1" x14ac:dyDescent="0.35">
      <c r="A13" s="18"/>
      <c r="B13" s="16">
        <f t="array" aca="1" ref="B13:C13" ca="1">DaysAndWeeks+DATE(CalendarYear,7,1)-WEEKDAY(DATE(CalendarYear,7,1),(WeekStart="Lunes")+1)+36</f>
        <v>45873</v>
      </c>
      <c r="C13" s="16">
        <f ca="1"/>
        <v>45874</v>
      </c>
      <c r="D13" s="25" t="s">
        <v>0</v>
      </c>
      <c r="E13" s="26"/>
      <c r="F13" s="26"/>
      <c r="G13" s="26"/>
      <c r="H13" s="26"/>
    </row>
    <row r="14" spans="1:8" ht="58" customHeight="1" x14ac:dyDescent="0.35">
      <c r="A14" s="18"/>
      <c r="B14" s="24"/>
      <c r="C14" s="24"/>
      <c r="D14" s="25"/>
      <c r="E14" s="26"/>
      <c r="F14" s="26"/>
      <c r="G14" s="26"/>
      <c r="H14" s="26"/>
    </row>
  </sheetData>
  <mergeCells count="2">
    <mergeCell ref="D13:D14"/>
    <mergeCell ref="E13:H14"/>
  </mergeCells>
  <conditionalFormatting sqref="B11:H11 B13:C13">
    <cfRule type="expression" dxfId="11" priority="2">
      <formula>AND(DAY(B11)&gt;=1,DAY(B11)&lt;=15)</formula>
    </cfRule>
  </conditionalFormatting>
  <conditionalFormatting sqref="B3:G3">
    <cfRule type="expression" dxfId="10" priority="1">
      <formula>DAY(B3)&gt;8</formula>
    </cfRule>
  </conditionalFormatting>
  <dataValidations count="10">
    <dataValidation allowBlank="1" showInputMessage="1" showErrorMessage="1" prompt="El día laborable se determinará    _x000a_automáticamente." sqref="H2"/>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l año de esta celda se actualiza automáticamente. Seleccione otro año en la celda K2 para cambiar de año." sqref="C1:D1"/>
    <dataValidation allowBlank="1" showInputMessage="1" showErrorMessage="1" prompt="Calendario del mes de julio" sqref="A1"/>
    <dataValidation allowBlank="1" showInputMessage="1" showErrorMessage="1" prompt="Escriba notas en la celda a la derecha." sqref="D13:D14"/>
    <dataValidation allowBlank="1" showInputMessage="1" showErrorMessage="1" prompt="Escriba notas en esta celda." sqref="E13:H14"/>
    <dataValidation allowBlank="1" showInputMessage="1" showErrorMessage="1" prompt="Las celdas de esta fila y las filas 6, 8, 10, 12 y 14 son para escribir notas diarias relacionadas con el día natural de la celda anterior." sqref="B4"/>
    <dataValidation allowBlank="1" showInputMessage="1" showErrorMessage="1" prompt="El día laborable se determinará    _x000a_automáticamente." sqref="C2 D2 E2 F2 G2"/>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2" tint="-9.9978637043366805E-2"/>
    <pageSetUpPr fitToPage="1"/>
  </sheetPr>
  <dimension ref="A1:H14"/>
  <sheetViews>
    <sheetView showGridLines="0" workbookViewId="0"/>
  </sheetViews>
  <sheetFormatPr baseColWidth="10" defaultColWidth="8.7265625" defaultRowHeight="14.5" x14ac:dyDescent="0.35"/>
  <cols>
    <col min="1" max="1" width="2.6328125" customWidth="1"/>
    <col min="2" max="2" width="18.26953125" customWidth="1"/>
    <col min="3" max="8" width="17.6328125" customWidth="1"/>
    <col min="9" max="9" width="2.6328125" customWidth="1"/>
    <col min="10" max="10" width="12" customWidth="1"/>
  </cols>
  <sheetData>
    <row r="1" spans="1:8" ht="59.25" customHeight="1" x14ac:dyDescent="0.35">
      <c r="A1" s="18"/>
      <c r="B1" s="17" t="str">
        <f ca="1">"Agosto "&amp;CalendarYear</f>
        <v>Agosto 2025</v>
      </c>
      <c r="C1" s="17"/>
      <c r="D1" s="17"/>
      <c r="E1" s="3"/>
      <c r="F1" s="3"/>
      <c r="G1" s="3"/>
      <c r="H1" s="4"/>
    </row>
    <row r="2" spans="1:8" ht="21.75" customHeight="1" thickBot="1" x14ac:dyDescent="0.4">
      <c r="A2" s="18"/>
      <c r="B2" s="13" t="str">
        <f>IF(WeekStart="DOMINGO", "DOMINGO","LUNES")</f>
        <v>LUNES</v>
      </c>
      <c r="C2" s="13" t="str">
        <f t="shared" ref="C2:H2" ca="1" si="0">UPPER(TEXT(C3,"dddd"))</f>
        <v>MARTES</v>
      </c>
      <c r="D2" s="13" t="str">
        <f t="shared" ca="1" si="0"/>
        <v>MIÉRCOLES</v>
      </c>
      <c r="E2" s="13" t="str">
        <f t="shared" ca="1" si="0"/>
        <v>JUEVES</v>
      </c>
      <c r="F2" s="13" t="str">
        <f t="shared" ca="1" si="0"/>
        <v>VIERNES</v>
      </c>
      <c r="G2" s="13" t="str">
        <f t="shared" ca="1" si="0"/>
        <v>SÁBADO</v>
      </c>
      <c r="H2" s="13" t="str">
        <f t="shared" ca="1" si="0"/>
        <v>DOMINGO</v>
      </c>
    </row>
    <row r="3" spans="1:8" ht="19.5" customHeight="1" x14ac:dyDescent="0.35">
      <c r="A3" s="18"/>
      <c r="B3" s="8">
        <f t="array" aca="1" ref="B3:H3" ca="1">DaysAndWeeks+DATE(CalendarYear,8,1)-WEEKDAY(DATE(CalendarYear,8,1),(WeekStart="Lunes")+1)+1</f>
        <v>45866</v>
      </c>
      <c r="C3" s="8">
        <f ca="1"/>
        <v>45867</v>
      </c>
      <c r="D3" s="8">
        <f ca="1"/>
        <v>45868</v>
      </c>
      <c r="E3" s="8">
        <f ca="1"/>
        <v>45869</v>
      </c>
      <c r="F3" s="8">
        <f ca="1"/>
        <v>45870</v>
      </c>
      <c r="G3" s="8">
        <f ca="1"/>
        <v>45871</v>
      </c>
      <c r="H3" s="8">
        <f ca="1"/>
        <v>45872</v>
      </c>
    </row>
    <row r="4" spans="1:8" ht="58" customHeight="1" x14ac:dyDescent="0.35">
      <c r="A4" s="18"/>
      <c r="B4" s="18"/>
      <c r="C4" s="18"/>
      <c r="D4" s="18"/>
      <c r="E4" s="18"/>
      <c r="F4" s="18"/>
      <c r="G4" s="18"/>
      <c r="H4" s="18"/>
    </row>
    <row r="5" spans="1:8" ht="19.5" customHeight="1" x14ac:dyDescent="0.35">
      <c r="A5" s="18"/>
      <c r="B5" s="16">
        <f t="array" aca="1" ref="B5:H5" ca="1">DaysAndWeeks+DATE(CalendarYear,8,1)-WEEKDAY(DATE(CalendarYear,8,1),(WeekStart="Lunes")+1)+8</f>
        <v>45873</v>
      </c>
      <c r="C5" s="16">
        <f ca="1"/>
        <v>45874</v>
      </c>
      <c r="D5" s="16">
        <f ca="1"/>
        <v>45875</v>
      </c>
      <c r="E5" s="16">
        <f ca="1"/>
        <v>45876</v>
      </c>
      <c r="F5" s="16">
        <f ca="1"/>
        <v>45877</v>
      </c>
      <c r="G5" s="16">
        <f ca="1"/>
        <v>45878</v>
      </c>
      <c r="H5" s="16">
        <f ca="1"/>
        <v>45879</v>
      </c>
    </row>
    <row r="6" spans="1:8" ht="58" customHeight="1" x14ac:dyDescent="0.35">
      <c r="A6" s="18"/>
      <c r="B6" s="24"/>
      <c r="C6" s="24"/>
      <c r="D6" s="24"/>
      <c r="E6" s="24"/>
      <c r="F6" s="24"/>
      <c r="G6" s="24"/>
      <c r="H6" s="24"/>
    </row>
    <row r="7" spans="1:8" ht="19.5" customHeight="1" x14ac:dyDescent="0.35">
      <c r="A7" s="18"/>
      <c r="B7" s="8">
        <f t="array" aca="1" ref="B7:H7" ca="1">DaysAndWeeks+DATE(CalendarYear,8,1)-WEEKDAY(DATE(CalendarYear,8,1),(WeekStart="Lunes")+1)+15</f>
        <v>45880</v>
      </c>
      <c r="C7" s="8">
        <f ca="1"/>
        <v>45881</v>
      </c>
      <c r="D7" s="8">
        <f ca="1"/>
        <v>45882</v>
      </c>
      <c r="E7" s="8">
        <f ca="1"/>
        <v>45883</v>
      </c>
      <c r="F7" s="8">
        <f ca="1"/>
        <v>45884</v>
      </c>
      <c r="G7" s="8">
        <f ca="1"/>
        <v>45885</v>
      </c>
      <c r="H7" s="8">
        <f ca="1"/>
        <v>45886</v>
      </c>
    </row>
    <row r="8" spans="1:8" ht="58" customHeight="1" x14ac:dyDescent="0.35">
      <c r="A8" s="18"/>
      <c r="B8" s="18"/>
      <c r="C8" s="18"/>
      <c r="D8" s="18"/>
      <c r="E8" s="18"/>
      <c r="F8" s="18"/>
      <c r="G8" s="18"/>
      <c r="H8" s="18"/>
    </row>
    <row r="9" spans="1:8" ht="19.5" customHeight="1" x14ac:dyDescent="0.35">
      <c r="A9" s="18"/>
      <c r="B9" s="16">
        <f t="array" aca="1" ref="B9:H9" ca="1">DaysAndWeeks+DATE(CalendarYear,8,1)-WEEKDAY(DATE(CalendarYear,8,1),(WeekStart="Lunes")+1)+22</f>
        <v>45887</v>
      </c>
      <c r="C9" s="16">
        <f ca="1"/>
        <v>45888</v>
      </c>
      <c r="D9" s="16">
        <f ca="1"/>
        <v>45889</v>
      </c>
      <c r="E9" s="16">
        <f ca="1"/>
        <v>45890</v>
      </c>
      <c r="F9" s="16">
        <f ca="1"/>
        <v>45891</v>
      </c>
      <c r="G9" s="16">
        <f ca="1"/>
        <v>45892</v>
      </c>
      <c r="H9" s="16">
        <f ca="1"/>
        <v>45893</v>
      </c>
    </row>
    <row r="10" spans="1:8" ht="58" customHeight="1" x14ac:dyDescent="0.35">
      <c r="A10" s="18"/>
      <c r="B10" s="24"/>
      <c r="C10" s="24"/>
      <c r="D10" s="24"/>
      <c r="E10" s="24"/>
      <c r="F10" s="24"/>
      <c r="G10" s="24"/>
      <c r="H10" s="24"/>
    </row>
    <row r="11" spans="1:8" ht="19.5" customHeight="1" x14ac:dyDescent="0.35">
      <c r="A11" s="18"/>
      <c r="B11" s="8">
        <f t="array" aca="1" ref="B11:H11" ca="1">DaysAndWeeks+DATE(CalendarYear,8,1)-WEEKDAY(DATE(CalendarYear,8,1),(WeekStart="Lunes")+1)+29</f>
        <v>45894</v>
      </c>
      <c r="C11" s="8">
        <f ca="1"/>
        <v>45895</v>
      </c>
      <c r="D11" s="8">
        <f ca="1"/>
        <v>45896</v>
      </c>
      <c r="E11" s="8">
        <f ca="1"/>
        <v>45897</v>
      </c>
      <c r="F11" s="8">
        <f ca="1"/>
        <v>45898</v>
      </c>
      <c r="G11" s="8">
        <f ca="1"/>
        <v>45899</v>
      </c>
      <c r="H11" s="8">
        <f ca="1"/>
        <v>45900</v>
      </c>
    </row>
    <row r="12" spans="1:8" ht="58" customHeight="1" x14ac:dyDescent="0.35">
      <c r="A12" s="18"/>
      <c r="B12" s="18"/>
      <c r="C12" s="18"/>
      <c r="D12" s="18"/>
      <c r="E12" s="18"/>
      <c r="F12" s="18"/>
      <c r="G12" s="18"/>
      <c r="H12" s="18"/>
    </row>
    <row r="13" spans="1:8" ht="19.5" customHeight="1" x14ac:dyDescent="0.35">
      <c r="A13" s="18"/>
      <c r="B13" s="16">
        <f t="array" aca="1" ref="B13:C13" ca="1">DaysAndWeeks+DATE(CalendarYear,8,1)-WEEKDAY(DATE(CalendarYear,8,1),(WeekStart="Lunes")+1)+36</f>
        <v>45901</v>
      </c>
      <c r="C13" s="16">
        <f ca="1"/>
        <v>45902</v>
      </c>
      <c r="D13" s="25" t="s">
        <v>0</v>
      </c>
      <c r="E13" s="26"/>
      <c r="F13" s="26"/>
      <c r="G13" s="26"/>
      <c r="H13" s="26"/>
    </row>
    <row r="14" spans="1:8" ht="58" customHeight="1" x14ac:dyDescent="0.35">
      <c r="A14" s="18"/>
      <c r="B14" s="24"/>
      <c r="C14" s="24"/>
      <c r="D14" s="25"/>
      <c r="E14" s="26"/>
      <c r="F14" s="26"/>
      <c r="G14" s="26"/>
      <c r="H14" s="26"/>
    </row>
  </sheetData>
  <mergeCells count="2">
    <mergeCell ref="D13:D14"/>
    <mergeCell ref="E13:H14"/>
  </mergeCells>
  <conditionalFormatting sqref="B11:H11 B13:C13">
    <cfRule type="expression" dxfId="9" priority="2">
      <formula>AND(DAY(B11)&gt;=1,DAY(B11)&lt;=15)</formula>
    </cfRule>
  </conditionalFormatting>
  <conditionalFormatting sqref="B3:G3">
    <cfRule type="expression" dxfId="8" priority="1">
      <formula>DAY(B3)&gt;8</formula>
    </cfRule>
  </conditionalFormatting>
  <dataValidations count="10">
    <dataValidation allowBlank="1" showInputMessage="1" showErrorMessage="1" prompt="El día laborable se determinará    _x000a_automáticamente." sqref="H2"/>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l año de esta celda se actualiza automáticamente. Seleccione otro año en la celda K2 para cambiar de año." sqref="C1:D1"/>
    <dataValidation allowBlank="1" showInputMessage="1" showErrorMessage="1" prompt="Calendario del mes de agosto" sqref="A1"/>
    <dataValidation allowBlank="1" showInputMessage="1" showErrorMessage="1" prompt="Escriba notas en la celda a la derecha." sqref="D13:D14"/>
    <dataValidation allowBlank="1" showInputMessage="1" showErrorMessage="1" prompt="Escriba notas en esta celda." sqref="E13:H14"/>
    <dataValidation allowBlank="1" showInputMessage="1" showErrorMessage="1" prompt="Las celdas de esta fila y las filas 6, 8, 10, 12 y 14 son para escribir notas diarias relacionadas con el día natural de la celda anterior." sqref="B4"/>
    <dataValidation allowBlank="1" showInputMessage="1" showErrorMessage="1" prompt="El día laborable se determinará    _x000a_automáticamente." sqref="C2 D2 E2 F2 G2"/>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2" tint="-0.249977111117893"/>
    <pageSetUpPr fitToPage="1"/>
  </sheetPr>
  <dimension ref="A1:H12"/>
  <sheetViews>
    <sheetView showGridLines="0" tabSelected="1" workbookViewId="0">
      <selection activeCell="C10" sqref="C10"/>
    </sheetView>
  </sheetViews>
  <sheetFormatPr baseColWidth="10" defaultColWidth="8.7265625" defaultRowHeight="14.5" x14ac:dyDescent="0.35"/>
  <cols>
    <col min="1" max="1" width="2.6328125" customWidth="1"/>
    <col min="2" max="2" width="20" customWidth="1"/>
    <col min="3" max="4" width="18.7265625" customWidth="1"/>
    <col min="5" max="5" width="18" customWidth="1"/>
    <col min="6" max="6" width="20.7265625" customWidth="1"/>
    <col min="7" max="8" width="17.6328125" customWidth="1"/>
    <col min="9" max="9" width="2.6328125" customWidth="1"/>
    <col min="10" max="10" width="12" customWidth="1"/>
  </cols>
  <sheetData>
    <row r="1" spans="1:8" ht="59.25" customHeight="1" x14ac:dyDescent="0.35">
      <c r="A1" s="18"/>
      <c r="B1" s="17" t="str">
        <f ca="1">"Septiembre "&amp;CalendarYear</f>
        <v>Septiembre 2025</v>
      </c>
      <c r="C1" s="17"/>
      <c r="D1" s="17"/>
      <c r="E1" s="3"/>
      <c r="F1" s="3"/>
      <c r="G1" s="3"/>
      <c r="H1" s="4"/>
    </row>
    <row r="2" spans="1:8" ht="21.75" customHeight="1" thickBot="1" x14ac:dyDescent="0.4">
      <c r="A2" s="18"/>
      <c r="B2" s="13" t="str">
        <f>IF(WeekStart="DOMINGO", "DOMINGO","LUNES")</f>
        <v>LUNES</v>
      </c>
      <c r="C2" s="13" t="str">
        <f t="shared" ref="C2:H2" ca="1" si="0">UPPER(TEXT(C3,"dddd"))</f>
        <v>MARTES</v>
      </c>
      <c r="D2" s="13" t="str">
        <f t="shared" ca="1" si="0"/>
        <v>MIÉRCOLES</v>
      </c>
      <c r="E2" s="13" t="str">
        <f t="shared" ca="1" si="0"/>
        <v>JUEVES</v>
      </c>
      <c r="F2" s="13" t="str">
        <f t="shared" ca="1" si="0"/>
        <v>VIERNES</v>
      </c>
      <c r="G2" s="13" t="str">
        <f t="shared" ca="1" si="0"/>
        <v>SÁBADO</v>
      </c>
      <c r="H2" s="13" t="str">
        <f t="shared" ca="1" si="0"/>
        <v>DOMINGO</v>
      </c>
    </row>
    <row r="3" spans="1:8" ht="19.5" customHeight="1" x14ac:dyDescent="0.35">
      <c r="A3" s="18"/>
      <c r="B3" s="8">
        <f t="array" aca="1" ref="B3:H3" ca="1">DaysAndWeeks+DATE(CalendarYear,9,1)-WEEKDAY(DATE(CalendarYear,9,1),(WeekStart="Lunes")+1)+1</f>
        <v>45901</v>
      </c>
      <c r="C3" s="8">
        <f ca="1"/>
        <v>45902</v>
      </c>
      <c r="D3" s="8">
        <f ca="1"/>
        <v>45903</v>
      </c>
      <c r="E3" s="8">
        <f ca="1"/>
        <v>45904</v>
      </c>
      <c r="F3" s="8">
        <f ca="1"/>
        <v>45905</v>
      </c>
      <c r="G3" s="29">
        <f ca="1"/>
        <v>45906</v>
      </c>
      <c r="H3" s="29">
        <f ca="1"/>
        <v>45907</v>
      </c>
    </row>
    <row r="4" spans="1:8" s="34" customFormat="1" ht="58" customHeight="1" x14ac:dyDescent="0.35">
      <c r="B4" s="33" t="s">
        <v>18</v>
      </c>
      <c r="C4" s="33" t="s">
        <v>7</v>
      </c>
      <c r="D4" s="33" t="s">
        <v>12</v>
      </c>
      <c r="E4" s="33"/>
      <c r="F4" s="33" t="s">
        <v>16</v>
      </c>
      <c r="G4" s="35"/>
      <c r="H4" s="35"/>
    </row>
    <row r="5" spans="1:8" ht="19.5" customHeight="1" x14ac:dyDescent="0.35">
      <c r="A5" s="18"/>
      <c r="B5" s="16">
        <f t="array" aca="1" ref="B5:H5" ca="1">DaysAndWeeks+DATE(CalendarYear,9,1)-WEEKDAY(DATE(CalendarYear,9,1),(WeekStart="Lunes")+1)+8</f>
        <v>45908</v>
      </c>
      <c r="C5" s="16">
        <f ca="1"/>
        <v>45909</v>
      </c>
      <c r="D5" s="16">
        <f ca="1"/>
        <v>45910</v>
      </c>
      <c r="E5" s="16">
        <f ca="1"/>
        <v>45911</v>
      </c>
      <c r="F5" s="16">
        <f ca="1"/>
        <v>45912</v>
      </c>
      <c r="G5" s="30">
        <f ca="1"/>
        <v>45913</v>
      </c>
      <c r="H5" s="30">
        <f ca="1"/>
        <v>45914</v>
      </c>
    </row>
    <row r="6" spans="1:8" s="34" customFormat="1" ht="58" customHeight="1" x14ac:dyDescent="0.35">
      <c r="B6" s="36" t="s">
        <v>10</v>
      </c>
      <c r="C6" s="36" t="s">
        <v>10</v>
      </c>
      <c r="D6" s="36" t="s">
        <v>10</v>
      </c>
      <c r="E6" s="36" t="s">
        <v>10</v>
      </c>
      <c r="F6" s="36" t="s">
        <v>10</v>
      </c>
      <c r="G6" s="37"/>
      <c r="H6" s="37"/>
    </row>
    <row r="7" spans="1:8" ht="19.5" customHeight="1" x14ac:dyDescent="0.35">
      <c r="A7" s="18"/>
      <c r="B7" s="8">
        <f t="array" aca="1" ref="B7:H7" ca="1">DaysAndWeeks+DATE(CalendarYear,9,1)-WEEKDAY(DATE(CalendarYear,9,1),(WeekStart="Lunes")+1)+15</f>
        <v>45915</v>
      </c>
      <c r="C7" s="8">
        <f ca="1"/>
        <v>45916</v>
      </c>
      <c r="D7" s="8">
        <f ca="1"/>
        <v>45917</v>
      </c>
      <c r="E7" s="8">
        <f ca="1"/>
        <v>45918</v>
      </c>
      <c r="F7" s="8">
        <f ca="1"/>
        <v>45919</v>
      </c>
      <c r="G7" s="29">
        <f ca="1"/>
        <v>45920</v>
      </c>
      <c r="H7" s="29">
        <f ca="1"/>
        <v>45921</v>
      </c>
    </row>
    <row r="8" spans="1:8" s="33" customFormat="1" ht="58" customHeight="1" x14ac:dyDescent="0.35">
      <c r="B8" s="33" t="s">
        <v>8</v>
      </c>
      <c r="C8" s="33" t="s">
        <v>5</v>
      </c>
      <c r="D8" s="33" t="s">
        <v>13</v>
      </c>
      <c r="F8" s="33" t="s">
        <v>6</v>
      </c>
      <c r="G8" s="35"/>
      <c r="H8" s="35"/>
    </row>
    <row r="9" spans="1:8" ht="19.5" customHeight="1" x14ac:dyDescent="0.35">
      <c r="A9" s="18"/>
      <c r="B9" s="16">
        <f t="array" aca="1" ref="B9:H9" ca="1">DaysAndWeeks+DATE(CalendarYear,9,1)-WEEKDAY(DATE(CalendarYear,9,1),(WeekStart="Lunes")+1)+22</f>
        <v>45922</v>
      </c>
      <c r="C9" s="16">
        <f ca="1"/>
        <v>45923</v>
      </c>
      <c r="D9" s="16">
        <f ca="1"/>
        <v>45924</v>
      </c>
      <c r="E9" s="16">
        <f ca="1"/>
        <v>45925</v>
      </c>
      <c r="F9" s="16">
        <f ca="1"/>
        <v>45926</v>
      </c>
      <c r="G9" s="30">
        <f ca="1"/>
        <v>45927</v>
      </c>
      <c r="H9" s="30">
        <f ca="1"/>
        <v>45928</v>
      </c>
    </row>
    <row r="10" spans="1:8" s="33" customFormat="1" ht="58" customHeight="1" x14ac:dyDescent="0.35">
      <c r="B10" s="36" t="s">
        <v>8</v>
      </c>
      <c r="C10" s="36" t="s">
        <v>15</v>
      </c>
      <c r="D10" s="36"/>
      <c r="E10" s="36"/>
      <c r="F10" s="36"/>
      <c r="G10" s="37"/>
      <c r="H10" s="37"/>
    </row>
    <row r="11" spans="1:8" ht="19.5" customHeight="1" x14ac:dyDescent="0.35">
      <c r="A11" s="18"/>
      <c r="B11" s="8">
        <f t="array" aca="1" ref="B11:H11" ca="1">DaysAndWeeks+DATE(CalendarYear,9,1)-WEEKDAY(DATE(CalendarYear,9,1),(WeekStart="Lunes")+1)+29</f>
        <v>45929</v>
      </c>
      <c r="C11" s="8">
        <f ca="1"/>
        <v>45930</v>
      </c>
      <c r="D11" s="8">
        <f ca="1"/>
        <v>45931</v>
      </c>
      <c r="E11" s="8">
        <f ca="1"/>
        <v>45932</v>
      </c>
      <c r="F11" s="8">
        <f ca="1"/>
        <v>45933</v>
      </c>
      <c r="G11" s="8">
        <f ca="1"/>
        <v>45934</v>
      </c>
      <c r="H11" s="8">
        <f ca="1"/>
        <v>45935</v>
      </c>
    </row>
    <row r="12" spans="1:8" s="33" customFormat="1" ht="58" customHeight="1" x14ac:dyDescent="0.35">
      <c r="B12" s="33" t="s">
        <v>8</v>
      </c>
    </row>
  </sheetData>
  <conditionalFormatting sqref="B11:H11">
    <cfRule type="expression" dxfId="7" priority="2">
      <formula>AND(DAY(B11)&gt;=1,DAY(B11)&lt;=15)</formula>
    </cfRule>
  </conditionalFormatting>
  <conditionalFormatting sqref="B3:G3">
    <cfRule type="expression" dxfId="6" priority="1">
      <formula>DAY(B3)&gt;8</formula>
    </cfRule>
  </conditionalFormatting>
  <dataValidations count="7">
    <dataValidation allowBlank="1" showInputMessage="1" showErrorMessage="1" prompt="El día laborable se determinará    _x000a_automáticamente." sqref="C2:H2"/>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l año de esta celda se actualiza automáticamente. Seleccione otro año en la celda K2 para cambiar de año." sqref="C1:D1"/>
    <dataValidation allowBlank="1" showInputMessage="1" showErrorMessage="1" prompt="Calendario del mes de septiembre" sqref="A1"/>
    <dataValidation allowBlank="1" showInputMessage="1" showErrorMessage="1" prompt="Las celdas de esta fila y las filas 6, 8, 10, 12 y 14 son para escribir notas diarias relacionadas con el día natural de la celda anterior." sqref="B4"/>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2" tint="-0.499984740745262"/>
    <pageSetUpPr fitToPage="1"/>
  </sheetPr>
  <dimension ref="A1:H12"/>
  <sheetViews>
    <sheetView showGridLines="0" workbookViewId="0">
      <selection activeCell="C3" sqref="C3"/>
    </sheetView>
  </sheetViews>
  <sheetFormatPr baseColWidth="10" defaultColWidth="8.7265625" defaultRowHeight="14.5" x14ac:dyDescent="0.35"/>
  <cols>
    <col min="1" max="1" width="2.6328125" customWidth="1"/>
    <col min="2" max="2" width="18.26953125" customWidth="1"/>
    <col min="3" max="8" width="17.6328125" customWidth="1"/>
    <col min="9" max="9" width="2.6328125" customWidth="1"/>
  </cols>
  <sheetData>
    <row r="1" spans="1:8" ht="59.25" customHeight="1" x14ac:dyDescent="0.35">
      <c r="A1" s="18"/>
      <c r="B1" s="17" t="str">
        <f ca="1">"Octubre "&amp;CalendarYear</f>
        <v>Octubre 2025</v>
      </c>
      <c r="C1" s="17"/>
      <c r="D1" s="17"/>
      <c r="E1" s="3"/>
      <c r="F1" s="3"/>
      <c r="G1" s="3"/>
      <c r="H1" s="4"/>
    </row>
    <row r="2" spans="1:8" ht="21.75" customHeight="1" thickBot="1" x14ac:dyDescent="0.4">
      <c r="A2" s="18"/>
      <c r="B2" s="13" t="str">
        <f>IF(WeekStart="DOMINGO", "DOMINGO","LUNES")</f>
        <v>LUNES</v>
      </c>
      <c r="C2" s="13" t="str">
        <f t="shared" ref="C2:H2" ca="1" si="0">UPPER(TEXT(C3,"dddd"))</f>
        <v>MARTES</v>
      </c>
      <c r="D2" s="13" t="str">
        <f t="shared" ca="1" si="0"/>
        <v>MIÉRCOLES</v>
      </c>
      <c r="E2" s="13" t="str">
        <f t="shared" ca="1" si="0"/>
        <v>JUEVES</v>
      </c>
      <c r="F2" s="13" t="str">
        <f t="shared" ca="1" si="0"/>
        <v>VIERNES</v>
      </c>
      <c r="G2" s="13" t="str">
        <f t="shared" ca="1" si="0"/>
        <v>SÁBADO</v>
      </c>
      <c r="H2" s="13" t="str">
        <f t="shared" ca="1" si="0"/>
        <v>DOMINGO</v>
      </c>
    </row>
    <row r="3" spans="1:8" ht="19.5" customHeight="1" x14ac:dyDescent="0.35">
      <c r="A3" s="18"/>
      <c r="B3" s="8">
        <f t="array" aca="1" ref="B3:H3" ca="1">DaysAndWeeks+DATE(CalendarYear,10,1)-WEEKDAY(DATE(CalendarYear,10,1),(WeekStart="Lunes")+1)+1</f>
        <v>45929</v>
      </c>
      <c r="C3" s="8">
        <f ca="1"/>
        <v>45930</v>
      </c>
      <c r="D3" s="8">
        <f ca="1"/>
        <v>45931</v>
      </c>
      <c r="E3" s="8">
        <f ca="1"/>
        <v>45932</v>
      </c>
      <c r="F3" s="8">
        <f ca="1"/>
        <v>45933</v>
      </c>
      <c r="G3" s="29">
        <f ca="1"/>
        <v>45934</v>
      </c>
      <c r="H3" s="29">
        <f ca="1"/>
        <v>45935</v>
      </c>
    </row>
    <row r="4" spans="1:8" s="33" customFormat="1" ht="58" customHeight="1" x14ac:dyDescent="0.35">
      <c r="D4" s="33" t="s">
        <v>9</v>
      </c>
      <c r="E4" s="33" t="s">
        <v>16</v>
      </c>
      <c r="F4" s="33" t="s">
        <v>12</v>
      </c>
      <c r="G4" s="35"/>
      <c r="H4" s="35"/>
    </row>
    <row r="5" spans="1:8" ht="19.5" customHeight="1" x14ac:dyDescent="0.35">
      <c r="A5" s="18"/>
      <c r="B5" s="16">
        <f t="array" aca="1" ref="B5:H5" ca="1">DaysAndWeeks+DATE(CalendarYear,10,1)-WEEKDAY(DATE(CalendarYear,10,1),(WeekStart="Lunes")+1)+8</f>
        <v>45936</v>
      </c>
      <c r="C5" s="16">
        <f ca="1"/>
        <v>45937</v>
      </c>
      <c r="D5" s="16">
        <f ca="1"/>
        <v>45938</v>
      </c>
      <c r="E5" s="16">
        <f ca="1"/>
        <v>45939</v>
      </c>
      <c r="F5" s="16">
        <f ca="1"/>
        <v>45940</v>
      </c>
      <c r="G5" s="30">
        <f ca="1"/>
        <v>45941</v>
      </c>
      <c r="H5" s="30">
        <f ca="1"/>
        <v>45942</v>
      </c>
    </row>
    <row r="6" spans="1:8" s="33" customFormat="1" ht="58" customHeight="1" x14ac:dyDescent="0.35">
      <c r="B6" s="36" t="s">
        <v>14</v>
      </c>
      <c r="C6" s="36" t="s">
        <v>7</v>
      </c>
      <c r="D6" s="36" t="s">
        <v>11</v>
      </c>
      <c r="E6" s="36"/>
      <c r="F6" s="36"/>
      <c r="G6" s="37"/>
      <c r="H6" s="37"/>
    </row>
    <row r="7" spans="1:8" ht="19.5" customHeight="1" x14ac:dyDescent="0.35">
      <c r="A7" s="18"/>
      <c r="B7" s="8">
        <f t="array" aca="1" ref="B7:H7" ca="1">DaysAndWeeks+DATE(CalendarYear,10,1)-WEEKDAY(DATE(CalendarYear,10,1),(WeekStart="Lunes")+1)+15</f>
        <v>45943</v>
      </c>
      <c r="C7" s="8">
        <f ca="1"/>
        <v>45944</v>
      </c>
      <c r="D7" s="8">
        <f ca="1"/>
        <v>45945</v>
      </c>
      <c r="E7" s="8">
        <f ca="1"/>
        <v>45946</v>
      </c>
      <c r="F7" s="8">
        <f ca="1"/>
        <v>45947</v>
      </c>
      <c r="G7" s="29">
        <f ca="1"/>
        <v>45948</v>
      </c>
      <c r="H7" s="29">
        <f ca="1"/>
        <v>45949</v>
      </c>
    </row>
    <row r="8" spans="1:8" s="33" customFormat="1" ht="58" customHeight="1" x14ac:dyDescent="0.35">
      <c r="B8" s="33" t="s">
        <v>8</v>
      </c>
      <c r="D8" s="33" t="s">
        <v>5</v>
      </c>
      <c r="F8" s="33" t="s">
        <v>6</v>
      </c>
      <c r="G8" s="35"/>
      <c r="H8" s="35"/>
    </row>
    <row r="9" spans="1:8" ht="19.5" customHeight="1" x14ac:dyDescent="0.35">
      <c r="A9" s="18"/>
      <c r="B9" s="16">
        <f t="array" aca="1" ref="B9:H9" ca="1">DaysAndWeeks+DATE(CalendarYear,10,1)-WEEKDAY(DATE(CalendarYear,10,1),(WeekStart="Lunes")+1)+22</f>
        <v>45950</v>
      </c>
      <c r="C9" s="16">
        <f ca="1"/>
        <v>45951</v>
      </c>
      <c r="D9" s="16">
        <f ca="1"/>
        <v>45952</v>
      </c>
      <c r="E9" s="16">
        <f ca="1"/>
        <v>45953</v>
      </c>
      <c r="F9" s="16">
        <f ca="1"/>
        <v>45954</v>
      </c>
      <c r="G9" s="30">
        <f ca="1"/>
        <v>45955</v>
      </c>
      <c r="H9" s="30">
        <f ca="1"/>
        <v>45956</v>
      </c>
    </row>
    <row r="10" spans="1:8" s="33" customFormat="1" ht="58" customHeight="1" x14ac:dyDescent="0.35">
      <c r="B10" s="36" t="s">
        <v>8</v>
      </c>
      <c r="C10" s="36"/>
      <c r="D10" s="36"/>
      <c r="E10" s="36" t="s">
        <v>15</v>
      </c>
      <c r="F10" s="36"/>
      <c r="G10" s="37"/>
      <c r="H10" s="37"/>
    </row>
    <row r="11" spans="1:8" ht="19.5" customHeight="1" x14ac:dyDescent="0.35">
      <c r="A11" s="18"/>
      <c r="B11" s="8">
        <f t="array" aca="1" ref="B11:H11" ca="1">DaysAndWeeks+DATE(CalendarYear,10,1)-WEEKDAY(DATE(CalendarYear,10,1),(WeekStart="Lunes")+1)+29</f>
        <v>45957</v>
      </c>
      <c r="C11" s="8">
        <f ca="1"/>
        <v>45958</v>
      </c>
      <c r="D11" s="8">
        <f ca="1"/>
        <v>45959</v>
      </c>
      <c r="E11" s="8">
        <f ca="1"/>
        <v>45960</v>
      </c>
      <c r="F11" s="8">
        <f ca="1"/>
        <v>45961</v>
      </c>
      <c r="G11" s="8">
        <f ca="1"/>
        <v>45962</v>
      </c>
      <c r="H11" s="8">
        <f ca="1"/>
        <v>45963</v>
      </c>
    </row>
    <row r="12" spans="1:8" s="33" customFormat="1" ht="58" customHeight="1" x14ac:dyDescent="0.35">
      <c r="B12" s="33" t="s">
        <v>8</v>
      </c>
    </row>
  </sheetData>
  <conditionalFormatting sqref="B11:H11">
    <cfRule type="expression" dxfId="5" priority="2">
      <formula>AND(DAY(B11)&gt;=1,DAY(B11)&lt;=15)</formula>
    </cfRule>
  </conditionalFormatting>
  <conditionalFormatting sqref="B3:G3">
    <cfRule type="expression" dxfId="4" priority="1">
      <formula>DAY(B3)&gt;8</formula>
    </cfRule>
  </conditionalFormatting>
  <dataValidations count="7">
    <dataValidation allowBlank="1" showInputMessage="1" showErrorMessage="1" prompt="El día laborable se determinará    _x000a_automáticamente." sqref="C2:H2"/>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l año de esta celda se actualiza automáticamente. Seleccione otro año en la celda K2 para cambiar de año." sqref="C1:D1"/>
    <dataValidation allowBlank="1" showInputMessage="1" showErrorMessage="1" prompt="Calendario del mes de octubre" sqref="A1"/>
    <dataValidation allowBlank="1" showInputMessage="1" showErrorMessage="1" prompt="Las celdas de esta fila y las filas 6, 8, 10, 12 y 14 son para escribir notas diarias relacionadas con el día natural de la celda anterior." sqref="B4"/>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2" tint="-0.89999084444715716"/>
    <pageSetUpPr fitToPage="1"/>
  </sheetPr>
  <dimension ref="A1:H12"/>
  <sheetViews>
    <sheetView showGridLines="0" workbookViewId="0">
      <selection activeCell="B4" sqref="B4"/>
    </sheetView>
  </sheetViews>
  <sheetFormatPr baseColWidth="10" defaultColWidth="8.7265625" defaultRowHeight="14.5" x14ac:dyDescent="0.35"/>
  <cols>
    <col min="1" max="1" width="2.6328125" customWidth="1"/>
    <col min="2" max="2" width="18.26953125" customWidth="1"/>
    <col min="3" max="8" width="17.6328125" customWidth="1"/>
    <col min="9" max="9" width="2.6328125" customWidth="1"/>
  </cols>
  <sheetData>
    <row r="1" spans="1:8" ht="59.25" customHeight="1" x14ac:dyDescent="0.35">
      <c r="A1" s="18"/>
      <c r="B1" s="17" t="str">
        <f ca="1">"Noviembre "&amp;CalendarYear</f>
        <v>Noviembre 2025</v>
      </c>
      <c r="C1" s="17"/>
      <c r="D1" s="17"/>
      <c r="E1" s="3"/>
      <c r="F1" s="3"/>
      <c r="G1" s="3"/>
      <c r="H1" s="4"/>
    </row>
    <row r="2" spans="1:8" ht="21.75" customHeight="1" thickBot="1" x14ac:dyDescent="0.4">
      <c r="A2" s="18"/>
      <c r="B2" s="13" t="str">
        <f>IF(WeekStart="DOMINGO", "DOMINGO","LUNES")</f>
        <v>LUNES</v>
      </c>
      <c r="C2" s="13" t="str">
        <f t="shared" ref="C2:H2" ca="1" si="0">UPPER(TEXT(C3,"dddd"))</f>
        <v>MARTES</v>
      </c>
      <c r="D2" s="13" t="str">
        <f t="shared" ca="1" si="0"/>
        <v>MIÉRCOLES</v>
      </c>
      <c r="E2" s="13" t="str">
        <f t="shared" ca="1" si="0"/>
        <v>JUEVES</v>
      </c>
      <c r="F2" s="13" t="str">
        <f t="shared" ca="1" si="0"/>
        <v>VIERNES</v>
      </c>
      <c r="G2" s="13" t="str">
        <f t="shared" ca="1" si="0"/>
        <v>SÁBADO</v>
      </c>
      <c r="H2" s="13" t="str">
        <f t="shared" ca="1" si="0"/>
        <v>DOMINGO</v>
      </c>
    </row>
    <row r="3" spans="1:8" ht="19.5" customHeight="1" x14ac:dyDescent="0.35">
      <c r="A3" s="18"/>
      <c r="B3" s="8">
        <f t="array" aca="1" ref="B3:H3" ca="1">DaysAndWeeks+DATE(CalendarYear,11,1)-WEEKDAY(DATE(CalendarYear,11,1),(WeekStart="Lunes")+1)+1</f>
        <v>45957</v>
      </c>
      <c r="C3" s="8">
        <f ca="1"/>
        <v>45958</v>
      </c>
      <c r="D3" s="8">
        <f ca="1"/>
        <v>45959</v>
      </c>
      <c r="E3" s="8">
        <f ca="1"/>
        <v>45960</v>
      </c>
      <c r="F3" s="8">
        <f ca="1"/>
        <v>45961</v>
      </c>
      <c r="G3" s="29">
        <f ca="1"/>
        <v>45962</v>
      </c>
      <c r="H3" s="29">
        <f ca="1"/>
        <v>45963</v>
      </c>
    </row>
    <row r="4" spans="1:8" s="27" customFormat="1" ht="58" customHeight="1" x14ac:dyDescent="0.35">
      <c r="G4" s="32"/>
      <c r="H4" s="32"/>
    </row>
    <row r="5" spans="1:8" ht="19.5" customHeight="1" x14ac:dyDescent="0.35">
      <c r="A5" s="18"/>
      <c r="B5" s="16">
        <f t="array" aca="1" ref="B5:H5" ca="1">DaysAndWeeks+DATE(CalendarYear,11,1)-WEEKDAY(DATE(CalendarYear,11,1),(WeekStart="Lunes")+1)+8</f>
        <v>45964</v>
      </c>
      <c r="C5" s="16">
        <f ca="1"/>
        <v>45965</v>
      </c>
      <c r="D5" s="16">
        <f ca="1"/>
        <v>45966</v>
      </c>
      <c r="E5" s="16">
        <f ca="1"/>
        <v>45967</v>
      </c>
      <c r="F5" s="16">
        <f ca="1"/>
        <v>45968</v>
      </c>
      <c r="G5" s="30">
        <f ca="1"/>
        <v>45969</v>
      </c>
      <c r="H5" s="30">
        <f ca="1"/>
        <v>45970</v>
      </c>
    </row>
    <row r="6" spans="1:8" s="27" customFormat="1" ht="58" customHeight="1" x14ac:dyDescent="0.35">
      <c r="B6" s="28"/>
      <c r="C6" s="28"/>
      <c r="D6" s="28"/>
      <c r="E6" s="28"/>
      <c r="F6" s="28"/>
      <c r="G6" s="31"/>
      <c r="H6" s="31"/>
    </row>
    <row r="7" spans="1:8" ht="19.5" customHeight="1" x14ac:dyDescent="0.35">
      <c r="A7" s="18"/>
      <c r="B7" s="8">
        <f t="array" aca="1" ref="B7:H7" ca="1">DaysAndWeeks+DATE(CalendarYear,11,1)-WEEKDAY(DATE(CalendarYear,11,1),(WeekStart="Lunes")+1)+15</f>
        <v>45971</v>
      </c>
      <c r="C7" s="8">
        <f ca="1"/>
        <v>45972</v>
      </c>
      <c r="D7" s="8">
        <f ca="1"/>
        <v>45973</v>
      </c>
      <c r="E7" s="8">
        <f ca="1"/>
        <v>45974</v>
      </c>
      <c r="F7" s="8">
        <f ca="1"/>
        <v>45975</v>
      </c>
      <c r="G7" s="29">
        <f ca="1"/>
        <v>45976</v>
      </c>
      <c r="H7" s="29">
        <f ca="1"/>
        <v>45977</v>
      </c>
    </row>
    <row r="8" spans="1:8" s="27" customFormat="1" ht="58" customHeight="1" x14ac:dyDescent="0.35">
      <c r="G8" s="32"/>
      <c r="H8" s="32"/>
    </row>
    <row r="9" spans="1:8" ht="19.5" customHeight="1" x14ac:dyDescent="0.35">
      <c r="A9" s="18"/>
      <c r="B9" s="16">
        <f t="array" aca="1" ref="B9:H9" ca="1">DaysAndWeeks+DATE(CalendarYear,11,1)-WEEKDAY(DATE(CalendarYear,11,1),(WeekStart="Lunes")+1)+22</f>
        <v>45978</v>
      </c>
      <c r="C9" s="16">
        <f ca="1"/>
        <v>45979</v>
      </c>
      <c r="D9" s="16">
        <f ca="1"/>
        <v>45980</v>
      </c>
      <c r="E9" s="16">
        <f ca="1"/>
        <v>45981</v>
      </c>
      <c r="F9" s="16">
        <f ca="1"/>
        <v>45982</v>
      </c>
      <c r="G9" s="30">
        <f ca="1"/>
        <v>45983</v>
      </c>
      <c r="H9" s="30">
        <f ca="1"/>
        <v>45984</v>
      </c>
    </row>
    <row r="10" spans="1:8" s="27" customFormat="1" ht="58" customHeight="1" x14ac:dyDescent="0.35">
      <c r="B10" s="28"/>
      <c r="C10" s="28"/>
      <c r="D10" s="28"/>
      <c r="E10" s="28"/>
      <c r="F10" s="28"/>
      <c r="G10" s="31"/>
      <c r="H10" s="31"/>
    </row>
    <row r="11" spans="1:8" ht="19.5" customHeight="1" x14ac:dyDescent="0.35">
      <c r="A11" s="18"/>
      <c r="B11" s="29">
        <f t="array" aca="1" ref="B11:H11" ca="1">DaysAndWeeks+DATE(CalendarYear,11,1)-WEEKDAY(DATE(CalendarYear,11,1),(WeekStart="Lunes")+1)+29</f>
        <v>45985</v>
      </c>
      <c r="C11" s="8">
        <f ca="1"/>
        <v>45986</v>
      </c>
      <c r="D11" s="8">
        <f ca="1"/>
        <v>45987</v>
      </c>
      <c r="E11" s="8">
        <f ca="1"/>
        <v>45988</v>
      </c>
      <c r="F11" s="8">
        <f ca="1"/>
        <v>45989</v>
      </c>
      <c r="G11" s="29">
        <f ca="1"/>
        <v>45990</v>
      </c>
      <c r="H11" s="29">
        <f ca="1"/>
        <v>45991</v>
      </c>
    </row>
    <row r="12" spans="1:8" s="27" customFormat="1" ht="58" customHeight="1" x14ac:dyDescent="0.35">
      <c r="B12" s="32" t="s">
        <v>17</v>
      </c>
      <c r="G12" s="32"/>
      <c r="H12" s="32"/>
    </row>
  </sheetData>
  <conditionalFormatting sqref="B11:H11">
    <cfRule type="expression" dxfId="3" priority="2">
      <formula>AND(DAY(B11)&gt;=1,DAY(B11)&lt;=15)</formula>
    </cfRule>
  </conditionalFormatting>
  <conditionalFormatting sqref="B3:G3">
    <cfRule type="expression" dxfId="2" priority="1">
      <formula>DAY(B3)&gt;8</formula>
    </cfRule>
  </conditionalFormatting>
  <dataValidations count="7">
    <dataValidation allowBlank="1" showInputMessage="1" showErrorMessage="1" prompt="El día laborable se determinará    _x000a_automáticamente." sqref="C2:H2"/>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l año de esta celda se actualiza automáticamente. Seleccione otro año en la celda K2 para cambiar de año." sqref="C1:D1"/>
    <dataValidation allowBlank="1" showInputMessage="1" showErrorMessage="1" prompt="Calendario del mes de noviembre" sqref="A1"/>
    <dataValidation allowBlank="1" showInputMessage="1" showErrorMessage="1" prompt="Las celdas de esta fila y las filas 6, 8, 10, 12 y 14 son para escribir notas diarias relacionadas con el día natural de la celda anterior." sqref="B4"/>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1" tint="4.9989318521683403E-2"/>
    <pageSetUpPr fitToPage="1"/>
  </sheetPr>
  <dimension ref="A1:H12"/>
  <sheetViews>
    <sheetView showGridLines="0" topLeftCell="A2" zoomScaleNormal="100" workbookViewId="0">
      <selection activeCell="B7" sqref="B7"/>
    </sheetView>
  </sheetViews>
  <sheetFormatPr baseColWidth="10" defaultColWidth="8.7265625" defaultRowHeight="14.5" x14ac:dyDescent="0.35"/>
  <cols>
    <col min="1" max="1" width="2.6328125" customWidth="1"/>
    <col min="2" max="2" width="18.26953125" customWidth="1"/>
    <col min="3" max="8" width="17.6328125" customWidth="1"/>
    <col min="9" max="9" width="2.6328125" customWidth="1"/>
  </cols>
  <sheetData>
    <row r="1" spans="1:8" ht="59.25" customHeight="1" x14ac:dyDescent="0.35">
      <c r="A1" s="18"/>
      <c r="B1" s="17" t="str">
        <f ca="1">"Diciembre "&amp;CalendarYear</f>
        <v>Diciembre 2025</v>
      </c>
      <c r="C1" s="17"/>
      <c r="D1" s="17"/>
      <c r="E1" s="3"/>
      <c r="F1" s="3"/>
      <c r="G1" s="3"/>
      <c r="H1" s="4"/>
    </row>
    <row r="2" spans="1:8" ht="21.75" customHeight="1" thickBot="1" x14ac:dyDescent="0.4">
      <c r="A2" s="18"/>
      <c r="B2" s="13" t="str">
        <f>IF(WeekStart="DOMINGO", "DOMINGO","LUNES")</f>
        <v>LUNES</v>
      </c>
      <c r="C2" s="13" t="str">
        <f t="shared" ref="C2:H2" ca="1" si="0">UPPER(TEXT(C3,"dddd"))</f>
        <v>MARTES</v>
      </c>
      <c r="D2" s="13" t="str">
        <f t="shared" ca="1" si="0"/>
        <v>MIÉRCOLES</v>
      </c>
      <c r="E2" s="13" t="str">
        <f t="shared" ca="1" si="0"/>
        <v>JUEVES</v>
      </c>
      <c r="F2" s="13" t="str">
        <f t="shared" ca="1" si="0"/>
        <v>VIERNES</v>
      </c>
      <c r="G2" s="13" t="str">
        <f t="shared" ca="1" si="0"/>
        <v>SÁBADO</v>
      </c>
      <c r="H2" s="13" t="str">
        <f t="shared" ca="1" si="0"/>
        <v>DOMINGO</v>
      </c>
    </row>
    <row r="3" spans="1:8" ht="19.5" customHeight="1" x14ac:dyDescent="0.35">
      <c r="A3" s="18"/>
      <c r="B3" s="8">
        <f t="array" aca="1" ref="B3:H3" ca="1">DaysAndWeeks+DATE(CalendarYear,12,1)-WEEKDAY(DATE(CalendarYear,12,1),(WeekStart="Lunes")+1)+1</f>
        <v>45992</v>
      </c>
      <c r="C3" s="8">
        <f ca="1"/>
        <v>45993</v>
      </c>
      <c r="D3" s="8">
        <f ca="1"/>
        <v>45994</v>
      </c>
      <c r="E3" s="8">
        <f ca="1"/>
        <v>45995</v>
      </c>
      <c r="F3" s="8">
        <f ca="1"/>
        <v>45996</v>
      </c>
      <c r="G3" s="29">
        <f ca="1"/>
        <v>45997</v>
      </c>
      <c r="H3" s="29">
        <f ca="1"/>
        <v>45998</v>
      </c>
    </row>
    <row r="4" spans="1:8" s="27" customFormat="1" ht="58" customHeight="1" x14ac:dyDescent="0.35">
      <c r="G4" s="32"/>
      <c r="H4" s="32"/>
    </row>
    <row r="5" spans="1:8" ht="19.5" customHeight="1" x14ac:dyDescent="0.35">
      <c r="A5" s="18"/>
      <c r="B5" s="30">
        <f t="array" aca="1" ref="B5:H5" ca="1">DaysAndWeeks+DATE(CalendarYear,12,1)-WEEKDAY(DATE(CalendarYear,12,1),(WeekStart="Lunes")+1)+8</f>
        <v>45999</v>
      </c>
      <c r="C5" s="16">
        <f ca="1"/>
        <v>46000</v>
      </c>
      <c r="D5" s="16">
        <f ca="1"/>
        <v>46001</v>
      </c>
      <c r="E5" s="16">
        <f ca="1"/>
        <v>46002</v>
      </c>
      <c r="F5" s="16">
        <f ca="1"/>
        <v>46003</v>
      </c>
      <c r="G5" s="30">
        <f ca="1"/>
        <v>46004</v>
      </c>
      <c r="H5" s="30">
        <f ca="1"/>
        <v>46005</v>
      </c>
    </row>
    <row r="6" spans="1:8" s="27" customFormat="1" ht="58" customHeight="1" x14ac:dyDescent="0.35">
      <c r="B6" s="31" t="s">
        <v>17</v>
      </c>
      <c r="C6" s="28"/>
      <c r="D6" s="28"/>
      <c r="E6" s="28"/>
      <c r="F6" s="28"/>
      <c r="G6" s="31"/>
      <c r="H6" s="31"/>
    </row>
    <row r="7" spans="1:8" ht="19.5" customHeight="1" x14ac:dyDescent="0.35">
      <c r="A7" s="18"/>
      <c r="B7" s="8">
        <f t="array" aca="1" ref="B7:H7" ca="1">DaysAndWeeks+DATE(CalendarYear,12,1)-WEEKDAY(DATE(CalendarYear,12,1),(WeekStart="Lunes")+1)+15</f>
        <v>46006</v>
      </c>
      <c r="C7" s="8">
        <f ca="1"/>
        <v>46007</v>
      </c>
      <c r="D7" s="8">
        <f ca="1"/>
        <v>46008</v>
      </c>
      <c r="E7" s="8">
        <f ca="1"/>
        <v>46009</v>
      </c>
      <c r="F7" s="8">
        <f ca="1"/>
        <v>46010</v>
      </c>
      <c r="G7" s="29">
        <f ca="1"/>
        <v>46011</v>
      </c>
      <c r="H7" s="29">
        <f ca="1"/>
        <v>46012</v>
      </c>
    </row>
    <row r="8" spans="1:8" s="27" customFormat="1" ht="58" customHeight="1" x14ac:dyDescent="0.35">
      <c r="G8" s="32"/>
      <c r="H8" s="32"/>
    </row>
    <row r="9" spans="1:8" ht="19.5" customHeight="1" x14ac:dyDescent="0.35">
      <c r="A9" s="18"/>
      <c r="B9" s="16">
        <f t="array" aca="1" ref="B9:H9" ca="1">DaysAndWeeks+DATE(CalendarYear,12,1)-WEEKDAY(DATE(CalendarYear,12,1),(WeekStart="Lunes")+1)+22</f>
        <v>46013</v>
      </c>
      <c r="C9" s="16">
        <f ca="1"/>
        <v>46014</v>
      </c>
      <c r="D9" s="16">
        <f ca="1"/>
        <v>46015</v>
      </c>
      <c r="E9" s="30">
        <f ca="1"/>
        <v>46016</v>
      </c>
      <c r="F9" s="16">
        <f ca="1"/>
        <v>46017</v>
      </c>
      <c r="G9" s="30">
        <f ca="1"/>
        <v>46018</v>
      </c>
      <c r="H9" s="30">
        <f ca="1"/>
        <v>46019</v>
      </c>
    </row>
    <row r="10" spans="1:8" s="27" customFormat="1" ht="58" customHeight="1" x14ac:dyDescent="0.35">
      <c r="B10" s="28"/>
      <c r="C10" s="28"/>
      <c r="D10" s="28"/>
      <c r="E10" s="31" t="s">
        <v>17</v>
      </c>
      <c r="F10" s="28"/>
      <c r="G10" s="31"/>
      <c r="H10" s="31"/>
    </row>
    <row r="11" spans="1:8" ht="19.5" customHeight="1" x14ac:dyDescent="0.35">
      <c r="A11" s="18"/>
      <c r="B11" s="8">
        <f t="array" aca="1" ref="B11:H11" ca="1">DaysAndWeeks+DATE(CalendarYear,12,1)-WEEKDAY(DATE(CalendarYear,12,1),(WeekStart="Lunes")+1)+29</f>
        <v>46020</v>
      </c>
      <c r="C11" s="8">
        <f ca="1"/>
        <v>46021</v>
      </c>
      <c r="D11" s="8">
        <f ca="1"/>
        <v>46022</v>
      </c>
      <c r="E11" s="8">
        <f ca="1"/>
        <v>46023</v>
      </c>
      <c r="F11" s="8">
        <f ca="1"/>
        <v>46024</v>
      </c>
      <c r="G11" s="8">
        <f ca="1"/>
        <v>46025</v>
      </c>
      <c r="H11" s="8">
        <f ca="1"/>
        <v>46026</v>
      </c>
    </row>
    <row r="12" spans="1:8" s="27" customFormat="1" ht="58" customHeight="1" x14ac:dyDescent="0.35"/>
  </sheetData>
  <conditionalFormatting sqref="B11:H11">
    <cfRule type="expression" dxfId="1" priority="2">
      <formula>AND(DAY(B11)&gt;=1,DAY(B11)&lt;=15)</formula>
    </cfRule>
  </conditionalFormatting>
  <conditionalFormatting sqref="B3:G3">
    <cfRule type="expression" dxfId="0" priority="1">
      <formula>DAY(B3)&gt;8</formula>
    </cfRule>
  </conditionalFormatting>
  <dataValidations count="7">
    <dataValidation allowBlank="1" showInputMessage="1" showErrorMessage="1" prompt="El día laborable se determinará    _x000a_automáticamente." sqref="C2:H2"/>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l año de esta celda se actualiza automáticamente. Seleccione otro año en la celda K2 para cambiar de año." sqref="C1:D1"/>
    <dataValidation allowBlank="1" showInputMessage="1" showErrorMessage="1" prompt="Calendario del mes de diciembre" sqref="A1"/>
    <dataValidation allowBlank="1" showInputMessage="1" showErrorMessage="1" prompt="Las celdas de esta fila y las filas 6, 8, 10, 12 y 14 son para escribir notas diarias relacionadas con el día natural de la celda anterior." sqref="B4"/>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27</vt:i4>
      </vt:variant>
    </vt:vector>
  </HeadingPairs>
  <TitlesOfParts>
    <vt:vector size="39" baseType="lpstr">
      <vt:lpstr>Enero</vt:lpstr>
      <vt:lpstr>Febrero</vt:lpstr>
      <vt:lpstr>Marzo</vt:lpstr>
      <vt:lpstr>Abril</vt:lpstr>
      <vt:lpstr>Mayo</vt:lpstr>
      <vt:lpstr>Junio</vt:lpstr>
      <vt:lpstr>Julio</vt:lpstr>
      <vt:lpstr>Agosto</vt:lpstr>
      <vt:lpstr>Septiembre</vt:lpstr>
      <vt:lpstr>Octubre</vt:lpstr>
      <vt:lpstr>Noviembre</vt:lpstr>
      <vt:lpstr>Diciembre</vt:lpstr>
      <vt:lpstr>Enero!Área_de_impresión</vt:lpstr>
      <vt:lpstr>CalendarYear</vt:lpstr>
      <vt:lpstr>ColumnTitleRegion1..H12.1</vt:lpstr>
      <vt:lpstr>ColumnTitleRegion1..H12.10</vt:lpstr>
      <vt:lpstr>ColumnTitleRegion1..H12.11</vt:lpstr>
      <vt:lpstr>ColumnTitleRegion1..H12.12</vt:lpstr>
      <vt:lpstr>ColumnTitleRegion1..H12.2</vt:lpstr>
      <vt:lpstr>ColumnTitleRegion1..H12.3</vt:lpstr>
      <vt:lpstr>ColumnTitleRegion1..H12.4</vt:lpstr>
      <vt:lpstr>ColumnTitleRegion1..H12.5</vt:lpstr>
      <vt:lpstr>ColumnTitleRegion1..H12.6</vt:lpstr>
      <vt:lpstr>ColumnTitleRegion1..H12.7</vt:lpstr>
      <vt:lpstr>ColumnTitleRegion1..H12.8</vt:lpstr>
      <vt:lpstr>ColumnTitleRegion1..H12.9</vt:lpstr>
      <vt:lpstr>ColumnTitleRegion2..C14.1</vt:lpstr>
      <vt:lpstr>ColumnTitleRegion2..C14.10</vt:lpstr>
      <vt:lpstr>ColumnTitleRegion2..C14.11</vt:lpstr>
      <vt:lpstr>ColumnTitleRegion2..C14.12</vt:lpstr>
      <vt:lpstr>ColumnTitleRegion2..C14.2</vt:lpstr>
      <vt:lpstr>ColumnTitleRegion2..C14.3</vt:lpstr>
      <vt:lpstr>ColumnTitleRegion2..C14.4</vt:lpstr>
      <vt:lpstr>ColumnTitleRegion2..C14.5</vt:lpstr>
      <vt:lpstr>ColumnTitleRegion2..C14.6</vt:lpstr>
      <vt:lpstr>ColumnTitleRegion2..C14.7</vt:lpstr>
      <vt:lpstr>ColumnTitleRegion2..C14.8</vt:lpstr>
      <vt:lpstr>ColumnTitleRegion2..C14.9</vt:lpstr>
      <vt:lpstr>WeekStart</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PC</dc:creator>
  <cp:lastModifiedBy>PC</cp:lastModifiedBy>
  <dcterms:created xsi:type="dcterms:W3CDTF">2016-12-02T06:02:37Z</dcterms:created>
  <dcterms:modified xsi:type="dcterms:W3CDTF">2025-08-14T16:00:26Z</dcterms:modified>
</cp:coreProperties>
</file>