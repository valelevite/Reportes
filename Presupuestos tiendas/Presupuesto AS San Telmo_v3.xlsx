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Presupuestos tiendas\"/>
    </mc:Choice>
  </mc:AlternateContent>
  <bookViews>
    <workbookView xWindow="0" yWindow="0" windowWidth="1920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  <c r="C5" i="1"/>
  <c r="C9" i="1" s="1"/>
  <c r="B5" i="1"/>
  <c r="B9" i="1" s="1"/>
  <c r="C43" i="1" l="1"/>
  <c r="B43" i="1"/>
  <c r="C21" i="1"/>
  <c r="B21" i="1"/>
  <c r="C20" i="1"/>
  <c r="B20" i="1"/>
  <c r="C19" i="1"/>
  <c r="B19" i="1"/>
  <c r="C29" i="1"/>
  <c r="B29" i="1"/>
  <c r="B22" i="1" l="1"/>
  <c r="C22" i="1"/>
  <c r="C37" i="1"/>
  <c r="B37" i="1"/>
  <c r="B38" i="1" l="1"/>
  <c r="B39" i="1" s="1"/>
  <c r="C38" i="1"/>
  <c r="B44" i="1" l="1"/>
  <c r="C39" i="1"/>
  <c r="C44" i="1" s="1"/>
</calcChain>
</file>

<file path=xl/sharedStrings.xml><?xml version="1.0" encoding="utf-8"?>
<sst xmlns="http://schemas.openxmlformats.org/spreadsheetml/2006/main" count="107" uniqueCount="54">
  <si>
    <t>Concepto</t>
  </si>
  <si>
    <t>Enero</t>
  </si>
  <si>
    <t>Febrero</t>
  </si>
  <si>
    <t>Costo de mercadería</t>
  </si>
  <si>
    <t>Margen bruto</t>
  </si>
  <si>
    <t>Alquiler</t>
  </si>
  <si>
    <t>Expensas</t>
  </si>
  <si>
    <t>Sueldos</t>
  </si>
  <si>
    <t>Packaging</t>
  </si>
  <si>
    <t>Resultado operativo</t>
  </si>
  <si>
    <t>Impuestos</t>
  </si>
  <si>
    <t>Resultado final</t>
  </si>
  <si>
    <t>Fumigación</t>
  </si>
  <si>
    <t>Alarma</t>
  </si>
  <si>
    <t>Edesur</t>
  </si>
  <si>
    <t>Internet</t>
  </si>
  <si>
    <t>Mantenimiento</t>
  </si>
  <si>
    <t>Sueldos brutos</t>
  </si>
  <si>
    <t>Contribuciones</t>
  </si>
  <si>
    <t>Vacaciones (con contribuciones)</t>
  </si>
  <si>
    <t>SAC (con contribuciones)</t>
  </si>
  <si>
    <t>Liquidaciones finales (con contribuciones)</t>
  </si>
  <si>
    <t>porcentaje</t>
  </si>
  <si>
    <t>monto</t>
  </si>
  <si>
    <t>PRESUPUESTO AS SAN TELMO</t>
  </si>
  <si>
    <t>Subtotal</t>
  </si>
  <si>
    <t>Total gastos + sueldos</t>
  </si>
  <si>
    <t>TABLA</t>
  </si>
  <si>
    <t>SCRIPT</t>
  </si>
  <si>
    <t>Tabla_ventas_costo_margen</t>
  </si>
  <si>
    <t>Gastos operativos</t>
  </si>
  <si>
    <t>Gastos financieros</t>
  </si>
  <si>
    <t>Administración</t>
  </si>
  <si>
    <t>Logística</t>
  </si>
  <si>
    <t>Otros gastos</t>
  </si>
  <si>
    <t>Mercado Pago</t>
  </si>
  <si>
    <t>Débito</t>
  </si>
  <si>
    <t>Crédito 1 pago</t>
  </si>
  <si>
    <t>Crédito 3 pagos</t>
  </si>
  <si>
    <t>Incentivo</t>
  </si>
  <si>
    <t>IIBB</t>
  </si>
  <si>
    <t>Crédito 6 pagos</t>
  </si>
  <si>
    <t>Presupuestos_v3</t>
  </si>
  <si>
    <t>Tabla_sueldos_FINAL</t>
  </si>
  <si>
    <t>Tabla_gastos</t>
  </si>
  <si>
    <t>Tabla_gasto_financiero</t>
  </si>
  <si>
    <t>AÑO,MES, TIENDA, CONCEPTO, TOTAL, CATEGORIA</t>
  </si>
  <si>
    <t>AÑO,MES, NRO_CUOTAS, TIENDA, CONCEPTO, TOTAL, CATEGORIA</t>
  </si>
  <si>
    <t>Tabla_impuestos</t>
  </si>
  <si>
    <t>fila_resultado_operativo</t>
  </si>
  <si>
    <t>fila_resultado_final</t>
  </si>
  <si>
    <t>Venta bruta</t>
  </si>
  <si>
    <t>Venta neta</t>
  </si>
  <si>
    <t>Multa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</si>
</sst>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 wrapText="1"/>
    </xf>
    <xf numFmtId="9" fontId="0" fillId="0" borderId="0" xfId="2" applyFon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ont="1" applyFill="1" applyBorder="1" applyAlignment="1">
      <alignment vertical="center" wrapText="1"/>
    </xf>
    <xf numFmtId="164" fontId="1" fillId="3" borderId="0" xfId="2" applyNumberFormat="1" applyFont="1" applyFill="1" applyBorder="1" applyAlignment="1">
      <alignment vertical="center" wrapText="1"/>
    </xf>
    <xf numFmtId="0" fontId="0" fillId="3" borderId="3" xfId="0" applyFont="1" applyFill="1" applyBorder="1" applyAlignment="1">
      <alignment vertical="center" wrapText="1"/>
    </xf>
    <xf numFmtId="9" fontId="1" fillId="3" borderId="3" xfId="2" applyFont="1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164" fontId="0" fillId="3" borderId="0" xfId="1" applyNumberFormat="1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164" fontId="0" fillId="3" borderId="0" xfId="1" applyNumberFormat="1" applyFont="1" applyFill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3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/>
    <xf numFmtId="165" fontId="3" fillId="2" borderId="0" xfId="0" applyNumberFormat="1" applyFont="1" applyFill="1" applyAlignment="1">
      <alignment vertical="center" wrapText="1"/>
    </xf>
    <xf numFmtId="165" fontId="1" fillId="3" borderId="0" xfId="2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0" fontId="7" fillId="3" borderId="0" xfId="0" applyFont="1" applyFill="1" applyBorder="1" applyAlignment="1">
      <alignment vertical="center" wrapText="1"/>
    </xf>
    <xf numFmtId="164" fontId="7" fillId="3" borderId="0" xfId="1" applyNumberFormat="1" applyFont="1" applyFill="1" applyBorder="1" applyAlignment="1">
      <alignment vertical="center" wrapText="1"/>
    </xf>
    <xf numFmtId="164" fontId="0" fillId="0" borderId="0" xfId="0" applyNumberFormat="1"/>
    <xf numFmtId="0" fontId="4" fillId="0" borderId="0" xfId="0" applyFont="1"/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/>
    <xf numFmtId="9" fontId="2" fillId="4" borderId="1" xfId="2" applyFont="1" applyFill="1" applyBorder="1" applyAlignment="1">
      <alignment vertical="center" wrapText="1"/>
    </xf>
    <xf numFmtId="164" fontId="2" fillId="4" borderId="1" xfId="1" applyNumberFormat="1" applyFont="1" applyFill="1" applyBorder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164" fontId="0" fillId="0" borderId="0" xfId="2" applyNumberFormat="1" applyFont="1" applyAlignment="1">
      <alignment vertical="center" wrapText="1"/>
    </xf>
    <xf numFmtId="165" fontId="0" fillId="3" borderId="0" xfId="2" applyNumberFormat="1" applyFont="1" applyFill="1" applyAlignment="1">
      <alignment vertical="center" wrapText="1"/>
    </xf>
    <xf numFmtId="165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topLeftCell="A31" zoomScale="120" zoomScaleNormal="120" workbookViewId="0">
      <selection activeCell="A40" sqref="A40"/>
    </sheetView>
  </sheetViews>
  <sheetFormatPr baseColWidth="10" defaultRowHeight="14.5" x14ac:dyDescent="0.35"/>
  <cols>
    <col min="1" max="1" width="30.81640625" customWidth="1"/>
    <col min="2" max="2" width="15.90625" bestFit="1" customWidth="1"/>
    <col min="3" max="3" width="16.26953125" bestFit="1" customWidth="1"/>
    <col min="4" max="4" width="28.90625" hidden="1" customWidth="1"/>
    <col min="5" max="5" width="26.1796875" hidden="1" customWidth="1"/>
    <col min="6" max="6" width="30.90625" hidden="1" customWidth="1"/>
    <col min="7" max="7" width="12.6328125" bestFit="1" customWidth="1"/>
  </cols>
  <sheetData>
    <row r="1" spans="1:7" ht="18.5" x14ac:dyDescent="0.45">
      <c r="A1" s="19" t="s">
        <v>24</v>
      </c>
      <c r="B1" s="19"/>
      <c r="C1" s="19">
        <v>2026</v>
      </c>
    </row>
    <row r="3" spans="1:7" s="16" customFormat="1" ht="15.5" x14ac:dyDescent="0.35">
      <c r="A3" s="13" t="s">
        <v>0</v>
      </c>
      <c r="B3" s="14" t="s">
        <v>1</v>
      </c>
      <c r="C3" s="14" t="s">
        <v>2</v>
      </c>
      <c r="D3" s="15" t="s">
        <v>27</v>
      </c>
      <c r="E3" s="26" t="s">
        <v>28</v>
      </c>
    </row>
    <row r="4" spans="1:7" x14ac:dyDescent="0.35">
      <c r="A4" s="11" t="s">
        <v>51</v>
      </c>
      <c r="B4" s="12">
        <v>16125916.800000001</v>
      </c>
      <c r="C4" s="12">
        <v>13799296.4</v>
      </c>
      <c r="D4" s="3" t="s">
        <v>29</v>
      </c>
      <c r="E4" t="s">
        <v>42</v>
      </c>
      <c r="F4" t="s">
        <v>46</v>
      </c>
      <c r="G4" s="25"/>
    </row>
    <row r="5" spans="1:7" x14ac:dyDescent="0.35">
      <c r="A5" s="11" t="s">
        <v>52</v>
      </c>
      <c r="B5" s="12">
        <f>B4/1.21</f>
        <v>13327203.96694215</v>
      </c>
      <c r="C5" s="12">
        <f>C4/1.21</f>
        <v>11404377.190082645</v>
      </c>
      <c r="D5" s="3"/>
      <c r="G5" s="25"/>
    </row>
    <row r="6" spans="1:7" x14ac:dyDescent="0.35">
      <c r="A6" s="11" t="s">
        <v>3</v>
      </c>
      <c r="B6" s="12">
        <v>3066505.76</v>
      </c>
      <c r="C6" s="12">
        <v>2627930.23</v>
      </c>
      <c r="D6" s="3" t="s">
        <v>29</v>
      </c>
      <c r="E6" t="s">
        <v>42</v>
      </c>
    </row>
    <row r="7" spans="1:7" ht="20.5" customHeight="1" x14ac:dyDescent="0.35">
      <c r="A7" s="27" t="s">
        <v>4</v>
      </c>
      <c r="B7" s="28"/>
      <c r="C7" s="28"/>
      <c r="D7" s="2"/>
    </row>
    <row r="8" spans="1:7" x14ac:dyDescent="0.35">
      <c r="A8" s="5" t="s">
        <v>23</v>
      </c>
      <c r="B8" s="6">
        <f>B5-B6</f>
        <v>10260698.20694215</v>
      </c>
      <c r="C8" s="6">
        <f>C5-C6</f>
        <v>8776446.9600826446</v>
      </c>
      <c r="D8" s="3" t="s">
        <v>29</v>
      </c>
      <c r="E8" t="s">
        <v>42</v>
      </c>
    </row>
    <row r="9" spans="1:7" x14ac:dyDescent="0.35">
      <c r="A9" s="7" t="s">
        <v>22</v>
      </c>
      <c r="B9" s="8">
        <f>(B5-B6)/B5</f>
        <v>0.76990629335257399</v>
      </c>
      <c r="C9" s="8">
        <f>(C5-C6)/C5</f>
        <v>0.76956828187993698</v>
      </c>
      <c r="D9" s="3" t="s">
        <v>29</v>
      </c>
      <c r="E9" t="s">
        <v>42</v>
      </c>
    </row>
    <row r="10" spans="1:7" ht="20.5" customHeight="1" x14ac:dyDescent="0.35">
      <c r="A10" s="27" t="s">
        <v>30</v>
      </c>
      <c r="B10" s="29"/>
      <c r="C10" s="29"/>
      <c r="D10" s="2"/>
    </row>
    <row r="11" spans="1:7" x14ac:dyDescent="0.35">
      <c r="A11" s="9" t="s">
        <v>5</v>
      </c>
      <c r="B11" s="10">
        <v>1369897.5</v>
      </c>
      <c r="C11" s="10">
        <v>1199300.7</v>
      </c>
      <c r="D11" s="1" t="s">
        <v>44</v>
      </c>
      <c r="E11" t="s">
        <v>42</v>
      </c>
      <c r="F11" t="s">
        <v>46</v>
      </c>
    </row>
    <row r="12" spans="1:7" x14ac:dyDescent="0.35">
      <c r="A12" s="9" t="s">
        <v>6</v>
      </c>
      <c r="B12" s="10">
        <v>1152902.26</v>
      </c>
      <c r="C12" s="10">
        <v>1152902.26</v>
      </c>
      <c r="D12" s="1" t="s">
        <v>44</v>
      </c>
      <c r="E12" t="s">
        <v>42</v>
      </c>
    </row>
    <row r="13" spans="1:7" x14ac:dyDescent="0.35">
      <c r="A13" s="9" t="s">
        <v>12</v>
      </c>
      <c r="B13" s="10">
        <v>19000</v>
      </c>
      <c r="C13" s="10">
        <v>38780</v>
      </c>
      <c r="D13" s="1" t="s">
        <v>44</v>
      </c>
      <c r="E13" t="s">
        <v>42</v>
      </c>
    </row>
    <row r="14" spans="1:7" x14ac:dyDescent="0.35">
      <c r="A14" s="9" t="s">
        <v>13</v>
      </c>
      <c r="B14" s="10">
        <v>20000</v>
      </c>
      <c r="C14" s="10">
        <v>20000</v>
      </c>
      <c r="D14" s="1" t="s">
        <v>44</v>
      </c>
      <c r="E14" t="s">
        <v>42</v>
      </c>
    </row>
    <row r="15" spans="1:7" x14ac:dyDescent="0.35">
      <c r="A15" s="9" t="s">
        <v>14</v>
      </c>
      <c r="B15" s="10">
        <v>45156.800000000003</v>
      </c>
      <c r="C15" s="10">
        <v>161810.85</v>
      </c>
      <c r="D15" s="1" t="s">
        <v>44</v>
      </c>
      <c r="E15" t="s">
        <v>42</v>
      </c>
    </row>
    <row r="16" spans="1:7" x14ac:dyDescent="0.35">
      <c r="A16" s="9" t="s">
        <v>15</v>
      </c>
      <c r="B16" s="10">
        <v>106252</v>
      </c>
      <c r="C16" s="10">
        <v>109332</v>
      </c>
      <c r="D16" s="1" t="s">
        <v>44</v>
      </c>
      <c r="E16" t="s">
        <v>42</v>
      </c>
    </row>
    <row r="17" spans="1:6" x14ac:dyDescent="0.35">
      <c r="A17" s="9" t="s">
        <v>16</v>
      </c>
      <c r="B17" s="10">
        <v>136000</v>
      </c>
      <c r="C17" s="10">
        <v>136000</v>
      </c>
      <c r="D17" s="1" t="s">
        <v>44</v>
      </c>
      <c r="E17" t="s">
        <v>42</v>
      </c>
    </row>
    <row r="18" spans="1:6" x14ac:dyDescent="0.35">
      <c r="A18" s="9" t="s">
        <v>8</v>
      </c>
      <c r="B18" s="10">
        <v>133814.88</v>
      </c>
      <c r="C18" s="10">
        <v>130365.15</v>
      </c>
      <c r="D18" s="1" t="s">
        <v>44</v>
      </c>
      <c r="E18" t="s">
        <v>42</v>
      </c>
    </row>
    <row r="19" spans="1:6" x14ac:dyDescent="0.35">
      <c r="A19" s="9" t="s">
        <v>32</v>
      </c>
      <c r="B19" s="10">
        <f>B4*0.1</f>
        <v>1612591.6800000002</v>
      </c>
      <c r="C19" s="10">
        <f>C4*0.1</f>
        <v>1379929.6400000001</v>
      </c>
      <c r="D19" s="1" t="s">
        <v>44</v>
      </c>
      <c r="E19" t="s">
        <v>42</v>
      </c>
    </row>
    <row r="20" spans="1:6" x14ac:dyDescent="0.35">
      <c r="A20" s="9" t="s">
        <v>33</v>
      </c>
      <c r="B20" s="10">
        <f>B4*0.05</f>
        <v>806295.84000000008</v>
      </c>
      <c r="C20" s="10">
        <f>C4*0.05</f>
        <v>689964.82000000007</v>
      </c>
      <c r="D20" s="1" t="s">
        <v>44</v>
      </c>
      <c r="E20" t="s">
        <v>42</v>
      </c>
    </row>
    <row r="21" spans="1:6" x14ac:dyDescent="0.35">
      <c r="A21" s="9" t="s">
        <v>34</v>
      </c>
      <c r="B21" s="10">
        <f>B4*0.04</f>
        <v>645036.67200000002</v>
      </c>
      <c r="C21" s="10">
        <f>C4*0.04</f>
        <v>551971.85600000003</v>
      </c>
      <c r="D21" s="1" t="s">
        <v>44</v>
      </c>
      <c r="E21" t="s">
        <v>42</v>
      </c>
    </row>
    <row r="22" spans="1:6" x14ac:dyDescent="0.35">
      <c r="A22" s="23" t="s">
        <v>25</v>
      </c>
      <c r="B22" s="24">
        <f>SUM(B11:B21)</f>
        <v>6046947.6319999993</v>
      </c>
      <c r="C22" s="24">
        <f>SUM(C11:C21)</f>
        <v>5570357.2759999996</v>
      </c>
      <c r="D22" s="1" t="s">
        <v>44</v>
      </c>
      <c r="E22" t="s">
        <v>42</v>
      </c>
    </row>
    <row r="23" spans="1:6" ht="20" customHeight="1" x14ac:dyDescent="0.35">
      <c r="A23" s="27" t="s">
        <v>31</v>
      </c>
      <c r="B23" s="29"/>
      <c r="C23" s="29"/>
      <c r="D23" s="1"/>
    </row>
    <row r="24" spans="1:6" x14ac:dyDescent="0.35">
      <c r="A24" s="9" t="s">
        <v>35</v>
      </c>
      <c r="B24" s="10">
        <v>25107</v>
      </c>
      <c r="C24" s="10">
        <v>27023</v>
      </c>
      <c r="D24" s="1" t="s">
        <v>45</v>
      </c>
      <c r="E24" t="s">
        <v>42</v>
      </c>
      <c r="F24" t="s">
        <v>47</v>
      </c>
    </row>
    <row r="25" spans="1:6" x14ac:dyDescent="0.35">
      <c r="A25" s="9" t="s">
        <v>36</v>
      </c>
      <c r="B25" s="10">
        <v>26688</v>
      </c>
      <c r="C25" s="10">
        <v>21971</v>
      </c>
      <c r="D25" s="1" t="s">
        <v>45</v>
      </c>
      <c r="E25" t="s">
        <v>42</v>
      </c>
    </row>
    <row r="26" spans="1:6" x14ac:dyDescent="0.35">
      <c r="A26" s="9" t="s">
        <v>37</v>
      </c>
      <c r="B26" s="10">
        <v>258335</v>
      </c>
      <c r="C26" s="10">
        <v>137211</v>
      </c>
      <c r="D26" s="1" t="s">
        <v>45</v>
      </c>
      <c r="E26" t="s">
        <v>42</v>
      </c>
    </row>
    <row r="27" spans="1:6" x14ac:dyDescent="0.35">
      <c r="A27" s="9" t="s">
        <v>38</v>
      </c>
      <c r="B27" s="10">
        <v>72530</v>
      </c>
      <c r="C27" s="10">
        <v>72668</v>
      </c>
      <c r="D27" s="1" t="s">
        <v>45</v>
      </c>
      <c r="E27" t="s">
        <v>42</v>
      </c>
    </row>
    <row r="28" spans="1:6" x14ac:dyDescent="0.35">
      <c r="A28" s="9" t="s">
        <v>41</v>
      </c>
      <c r="B28" s="10">
        <v>0</v>
      </c>
      <c r="C28" s="10">
        <v>0</v>
      </c>
      <c r="D28" s="1" t="s">
        <v>45</v>
      </c>
      <c r="E28" t="s">
        <v>42</v>
      </c>
    </row>
    <row r="29" spans="1:6" x14ac:dyDescent="0.35">
      <c r="A29" s="23" t="s">
        <v>25</v>
      </c>
      <c r="B29" s="24">
        <f>SUM(B24:B28)</f>
        <v>382660</v>
      </c>
      <c r="C29" s="24">
        <f>SUM(C24:C28)</f>
        <v>258873</v>
      </c>
      <c r="D29" s="1"/>
    </row>
    <row r="30" spans="1:6" ht="19" customHeight="1" x14ac:dyDescent="0.35">
      <c r="A30" s="27" t="s">
        <v>7</v>
      </c>
      <c r="B30" s="29"/>
      <c r="C30" s="29"/>
      <c r="D30" s="1"/>
    </row>
    <row r="31" spans="1:6" x14ac:dyDescent="0.35">
      <c r="A31" s="9" t="s">
        <v>17</v>
      </c>
      <c r="B31" s="10">
        <v>2854386.83</v>
      </c>
      <c r="C31" s="10">
        <v>2442252.61</v>
      </c>
      <c r="D31" s="22" t="s">
        <v>43</v>
      </c>
      <c r="E31" t="s">
        <v>42</v>
      </c>
      <c r="F31" t="s">
        <v>46</v>
      </c>
    </row>
    <row r="32" spans="1:6" x14ac:dyDescent="0.35">
      <c r="A32" s="9" t="s">
        <v>18</v>
      </c>
      <c r="B32" s="10">
        <v>868183.74</v>
      </c>
      <c r="C32" s="10">
        <v>743386.49</v>
      </c>
      <c r="D32" s="22" t="s">
        <v>43</v>
      </c>
      <c r="E32" t="s">
        <v>42</v>
      </c>
    </row>
    <row r="33" spans="1:6" x14ac:dyDescent="0.35">
      <c r="A33" s="9" t="s">
        <v>39</v>
      </c>
      <c r="B33" s="10">
        <v>161259.16800000001</v>
      </c>
      <c r="C33" s="10">
        <v>137992.96400000001</v>
      </c>
      <c r="D33" s="22"/>
    </row>
    <row r="34" spans="1:6" x14ac:dyDescent="0.35">
      <c r="A34" s="9" t="s">
        <v>19</v>
      </c>
      <c r="B34" s="10">
        <v>482739.72</v>
      </c>
      <c r="C34" s="10">
        <v>622629.81999999995</v>
      </c>
      <c r="D34" s="22" t="s">
        <v>43</v>
      </c>
      <c r="E34" t="s">
        <v>42</v>
      </c>
    </row>
    <row r="35" spans="1:6" x14ac:dyDescent="0.35">
      <c r="A35" s="9" t="s">
        <v>20</v>
      </c>
      <c r="B35" s="10"/>
      <c r="C35" s="10"/>
      <c r="D35" s="1"/>
    </row>
    <row r="36" spans="1:6" ht="29" x14ac:dyDescent="0.35">
      <c r="A36" s="9" t="s">
        <v>21</v>
      </c>
      <c r="B36" s="10">
        <v>18379.87</v>
      </c>
      <c r="C36" s="10">
        <v>302877.01</v>
      </c>
      <c r="D36" s="22" t="s">
        <v>43</v>
      </c>
      <c r="E36" t="s">
        <v>42</v>
      </c>
    </row>
    <row r="37" spans="1:6" x14ac:dyDescent="0.35">
      <c r="A37" s="23" t="s">
        <v>25</v>
      </c>
      <c r="B37" s="24">
        <f>SUM(B31:B36)</f>
        <v>4384949.3280000007</v>
      </c>
      <c r="C37" s="24">
        <f>SUM(C31:C36)</f>
        <v>4249138.8939999994</v>
      </c>
      <c r="D37" s="1"/>
      <c r="E37" s="1"/>
    </row>
    <row r="38" spans="1:6" x14ac:dyDescent="0.35">
      <c r="A38" s="27" t="s">
        <v>26</v>
      </c>
      <c r="B38" s="30">
        <f>B37+B29+B22</f>
        <v>10814556.960000001</v>
      </c>
      <c r="C38" s="30">
        <f>C37+C29+C22</f>
        <v>10078369.169999998</v>
      </c>
      <c r="D38" s="25"/>
      <c r="E38" s="25"/>
    </row>
    <row r="39" spans="1:6" ht="21" customHeight="1" x14ac:dyDescent="0.35">
      <c r="A39" s="4" t="s">
        <v>9</v>
      </c>
      <c r="B39" s="21">
        <f>B8-B38</f>
        <v>-553858.75305785052</v>
      </c>
      <c r="C39" s="21">
        <f>C8-C38</f>
        <v>-1301922.2099173535</v>
      </c>
      <c r="D39" s="33" t="s">
        <v>49</v>
      </c>
      <c r="E39" t="s">
        <v>42</v>
      </c>
      <c r="F39" t="s">
        <v>46</v>
      </c>
    </row>
    <row r="40" spans="1:6" x14ac:dyDescent="0.35">
      <c r="A40" s="32" t="s">
        <v>10</v>
      </c>
      <c r="B40" s="21"/>
      <c r="C40" s="21"/>
      <c r="D40" s="2"/>
    </row>
    <row r="41" spans="1:6" x14ac:dyDescent="0.35">
      <c r="A41" s="31" t="s">
        <v>40</v>
      </c>
      <c r="B41" s="34">
        <v>599724.18359999999</v>
      </c>
      <c r="C41" s="34">
        <v>513196.97714999999</v>
      </c>
      <c r="D41" s="2"/>
    </row>
    <row r="42" spans="1:6" x14ac:dyDescent="0.35">
      <c r="A42" s="31" t="s">
        <v>53</v>
      </c>
      <c r="B42" s="11"/>
      <c r="C42" s="11"/>
      <c r="D42" s="1"/>
    </row>
    <row r="43" spans="1:6" x14ac:dyDescent="0.35">
      <c r="A43" s="23" t="s">
        <v>25</v>
      </c>
      <c r="B43" s="24">
        <f>SUM(B41:B42)</f>
        <v>599724.18359999999</v>
      </c>
      <c r="C43" s="24">
        <f>SUM(C41:C42)</f>
        <v>513196.97714999999</v>
      </c>
      <c r="D43" s="2" t="s">
        <v>48</v>
      </c>
      <c r="E43" t="s">
        <v>42</v>
      </c>
    </row>
    <row r="44" spans="1:6" s="16" customFormat="1" ht="23.5" customHeight="1" x14ac:dyDescent="0.35">
      <c r="A44" s="17" t="s">
        <v>11</v>
      </c>
      <c r="B44" s="20">
        <f>B39-B43</f>
        <v>-1153582.9366578506</v>
      </c>
      <c r="C44" s="20">
        <f>C39-C43</f>
        <v>-1815119.1870673534</v>
      </c>
      <c r="D44" s="18" t="s">
        <v>50</v>
      </c>
    </row>
    <row r="46" spans="1:6" x14ac:dyDescent="0.35">
      <c r="B46" s="35"/>
    </row>
    <row r="47" spans="1:6" x14ac:dyDescent="0.35">
      <c r="B47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2026-03-16T14:05:56Z</dcterms:created>
  <dcterms:modified xsi:type="dcterms:W3CDTF">2026-03-31T20:34:08Z</dcterms:modified>
</cp:coreProperties>
</file>