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 gastos proyectados\"/>
    </mc:Choice>
  </mc:AlternateContent>
  <bookViews>
    <workbookView xWindow="0" yWindow="0" windowWidth="23040" windowHeight="9192" activeTab="1"/>
  </bookViews>
  <sheets>
    <sheet name="Tabla resumen" sheetId="5" r:id="rId1"/>
    <sheet name="Alquileres+expensas" sheetId="2" r:id="rId2"/>
    <sheet name="Personal" sheetId="6" r:id="rId3"/>
    <sheet name="Otros gasto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C11" i="2"/>
  <c r="F11" i="2" s="1"/>
  <c r="G11" i="2" s="1"/>
  <c r="C10" i="2"/>
  <c r="F10" i="2" s="1"/>
  <c r="G10" i="2" s="1"/>
  <c r="C9" i="2"/>
  <c r="F9" i="2" s="1"/>
  <c r="G9" i="2" s="1"/>
  <c r="G8" i="2"/>
  <c r="C8" i="2"/>
  <c r="F8" i="2" s="1"/>
  <c r="C7" i="2"/>
  <c r="F7" i="2" s="1"/>
  <c r="G7" i="2" s="1"/>
  <c r="C6" i="2"/>
  <c r="F6" i="2" s="1"/>
  <c r="G6" i="2" s="1"/>
  <c r="E5" i="2"/>
  <c r="G5" i="2" s="1"/>
  <c r="C5" i="2"/>
  <c r="F5" i="2" s="1"/>
  <c r="B21" i="5"/>
  <c r="B18" i="5"/>
  <c r="D20" i="6" l="1"/>
  <c r="S20" i="6" s="1"/>
  <c r="H22" i="2"/>
  <c r="H21" i="2"/>
  <c r="H20" i="2"/>
  <c r="H19" i="2"/>
  <c r="H18" i="2"/>
  <c r="H17" i="2"/>
  <c r="C7" i="5" s="1"/>
  <c r="H16" i="2"/>
  <c r="C6" i="5" s="1"/>
  <c r="K28" i="6"/>
  <c r="J28" i="6"/>
  <c r="I28" i="6"/>
  <c r="H28" i="6"/>
  <c r="G28" i="6"/>
  <c r="F28" i="6"/>
  <c r="E28" i="6"/>
  <c r="L28" i="6" s="1"/>
  <c r="L27" i="6"/>
  <c r="C27" i="6"/>
  <c r="D27" i="6" s="1"/>
  <c r="L26" i="6"/>
  <c r="C26" i="6"/>
  <c r="D26" i="6" s="1"/>
  <c r="L25" i="6"/>
  <c r="C25" i="6"/>
  <c r="D25" i="6" s="1"/>
  <c r="L24" i="6"/>
  <c r="C24" i="6"/>
  <c r="D24" i="6" s="1"/>
  <c r="L23" i="6"/>
  <c r="C23" i="6"/>
  <c r="D23" i="6" s="1"/>
  <c r="L22" i="6"/>
  <c r="C22" i="6"/>
  <c r="D22" i="6" s="1"/>
  <c r="L21" i="6"/>
  <c r="C21" i="6"/>
  <c r="D21" i="6" s="1"/>
  <c r="L20" i="6"/>
  <c r="C20" i="6"/>
  <c r="L19" i="6"/>
  <c r="C19" i="6"/>
  <c r="D19" i="6" s="1"/>
  <c r="L18" i="6"/>
  <c r="C18" i="6"/>
  <c r="D18" i="6" s="1"/>
  <c r="L17" i="6"/>
  <c r="C17" i="6"/>
  <c r="D17" i="6" s="1"/>
  <c r="L16" i="6"/>
  <c r="C16" i="6"/>
  <c r="D16" i="6" s="1"/>
  <c r="L15" i="6"/>
  <c r="C15" i="6"/>
  <c r="D15" i="6" s="1"/>
  <c r="L14" i="6"/>
  <c r="C14" i="6"/>
  <c r="D14" i="6" s="1"/>
  <c r="L13" i="6"/>
  <c r="C13" i="6"/>
  <c r="D13" i="6" s="1"/>
  <c r="L12" i="6"/>
  <c r="C12" i="6"/>
  <c r="D12" i="6" s="1"/>
  <c r="S12" i="6" s="1"/>
  <c r="L11" i="6"/>
  <c r="C11" i="6"/>
  <c r="D11" i="6" s="1"/>
  <c r="L10" i="6"/>
  <c r="C10" i="6"/>
  <c r="D10" i="6" s="1"/>
  <c r="L9" i="6"/>
  <c r="C9" i="6"/>
  <c r="D9" i="6" s="1"/>
  <c r="L8" i="6"/>
  <c r="C8" i="6"/>
  <c r="D8" i="6" s="1"/>
  <c r="L7" i="6"/>
  <c r="C7" i="6"/>
  <c r="D7" i="6" s="1"/>
  <c r="L6" i="6"/>
  <c r="C6" i="6"/>
  <c r="D6" i="6" s="1"/>
  <c r="L5" i="6"/>
  <c r="C5" i="6"/>
  <c r="D5" i="6" s="1"/>
  <c r="L4" i="6"/>
  <c r="C4" i="6"/>
  <c r="D4" i="6" s="1"/>
  <c r="S4" i="6" s="1"/>
  <c r="L3" i="6"/>
  <c r="C3" i="6"/>
  <c r="D3" i="6" s="1"/>
  <c r="T3" i="6" s="1"/>
  <c r="C10" i="5" l="1"/>
  <c r="C11" i="5"/>
  <c r="C8" i="5"/>
  <c r="C12" i="5"/>
  <c r="C9" i="5"/>
  <c r="U17" i="6"/>
  <c r="T17" i="6"/>
  <c r="S17" i="6"/>
  <c r="O17" i="6"/>
  <c r="R17" i="6"/>
  <c r="Q17" i="6"/>
  <c r="P17" i="6"/>
  <c r="P16" i="6"/>
  <c r="U16" i="6"/>
  <c r="O16" i="6"/>
  <c r="T16" i="6"/>
  <c r="S16" i="6"/>
  <c r="R16" i="6"/>
  <c r="Q16" i="6"/>
  <c r="R13" i="6"/>
  <c r="Q13" i="6"/>
  <c r="P13" i="6"/>
  <c r="S13" i="6"/>
  <c r="O13" i="6"/>
  <c r="U13" i="6"/>
  <c r="T13" i="6"/>
  <c r="U18" i="6"/>
  <c r="T18" i="6"/>
  <c r="S18" i="6"/>
  <c r="R18" i="6"/>
  <c r="Q18" i="6"/>
  <c r="O18" i="6"/>
  <c r="P18" i="6"/>
  <c r="U8" i="6"/>
  <c r="O8" i="6"/>
  <c r="T8" i="6"/>
  <c r="S8" i="6"/>
  <c r="P8" i="6"/>
  <c r="R8" i="6"/>
  <c r="Q8" i="6"/>
  <c r="U24" i="6"/>
  <c r="O24" i="6"/>
  <c r="P24" i="6"/>
  <c r="T24" i="6"/>
  <c r="S24" i="6"/>
  <c r="R24" i="6"/>
  <c r="Q24" i="6"/>
  <c r="R5" i="6"/>
  <c r="Q5" i="6"/>
  <c r="P5" i="6"/>
  <c r="U5" i="6"/>
  <c r="O5" i="6"/>
  <c r="T5" i="6"/>
  <c r="S5" i="6"/>
  <c r="R21" i="6"/>
  <c r="S21" i="6"/>
  <c r="Q21" i="6"/>
  <c r="P21" i="6"/>
  <c r="U21" i="6"/>
  <c r="T21" i="6"/>
  <c r="O21" i="6"/>
  <c r="Q6" i="6"/>
  <c r="O6" i="6"/>
  <c r="P6" i="6"/>
  <c r="U6" i="6"/>
  <c r="R6" i="6"/>
  <c r="T6" i="6"/>
  <c r="S6" i="6"/>
  <c r="Q14" i="6"/>
  <c r="O14" i="6"/>
  <c r="P14" i="6"/>
  <c r="U14" i="6"/>
  <c r="T14" i="6"/>
  <c r="R14" i="6"/>
  <c r="S14" i="6"/>
  <c r="Q22" i="6"/>
  <c r="O22" i="6"/>
  <c r="P22" i="6"/>
  <c r="U22" i="6"/>
  <c r="R22" i="6"/>
  <c r="T22" i="6"/>
  <c r="S22" i="6"/>
  <c r="U26" i="6"/>
  <c r="T26" i="6"/>
  <c r="S26" i="6"/>
  <c r="R26" i="6"/>
  <c r="Q26" i="6"/>
  <c r="O26" i="6"/>
  <c r="P26" i="6"/>
  <c r="P7" i="6"/>
  <c r="O7" i="6"/>
  <c r="U7" i="6"/>
  <c r="T7" i="6"/>
  <c r="S7" i="6"/>
  <c r="R7" i="6"/>
  <c r="Q7" i="6"/>
  <c r="P15" i="6"/>
  <c r="O15" i="6"/>
  <c r="U15" i="6"/>
  <c r="T15" i="6"/>
  <c r="S15" i="6"/>
  <c r="Q15" i="6"/>
  <c r="R15" i="6"/>
  <c r="P23" i="6"/>
  <c r="O23" i="6"/>
  <c r="U23" i="6"/>
  <c r="Q23" i="6"/>
  <c r="T23" i="6"/>
  <c r="S23" i="6"/>
  <c r="R23" i="6"/>
  <c r="T27" i="6"/>
  <c r="S27" i="6"/>
  <c r="R27" i="6"/>
  <c r="Q27" i="6"/>
  <c r="U27" i="6"/>
  <c r="P27" i="6"/>
  <c r="O27" i="6"/>
  <c r="U9" i="6"/>
  <c r="T9" i="6"/>
  <c r="S9" i="6"/>
  <c r="O9" i="6"/>
  <c r="R9" i="6"/>
  <c r="Q9" i="6"/>
  <c r="P9" i="6"/>
  <c r="U25" i="6"/>
  <c r="T25" i="6"/>
  <c r="S25" i="6"/>
  <c r="O25" i="6"/>
  <c r="R25" i="6"/>
  <c r="Q25" i="6"/>
  <c r="P25" i="6"/>
  <c r="U10" i="6"/>
  <c r="T10" i="6"/>
  <c r="S10" i="6"/>
  <c r="R10" i="6"/>
  <c r="Q10" i="6"/>
  <c r="O10" i="6"/>
  <c r="P10" i="6"/>
  <c r="T11" i="6"/>
  <c r="S11" i="6"/>
  <c r="R11" i="6"/>
  <c r="Q11" i="6"/>
  <c r="P11" i="6"/>
  <c r="O11" i="6"/>
  <c r="U11" i="6"/>
  <c r="T19" i="6"/>
  <c r="S19" i="6"/>
  <c r="R19" i="6"/>
  <c r="Q19" i="6"/>
  <c r="P19" i="6"/>
  <c r="U19" i="6"/>
  <c r="O19" i="6"/>
  <c r="U3" i="6"/>
  <c r="O3" i="6"/>
  <c r="O20" i="6"/>
  <c r="O12" i="6"/>
  <c r="O4" i="6"/>
  <c r="U4" i="6"/>
  <c r="U12" i="6"/>
  <c r="U20" i="6"/>
  <c r="T12" i="6"/>
  <c r="T4" i="6"/>
  <c r="P3" i="6"/>
  <c r="P4" i="6"/>
  <c r="P12" i="6"/>
  <c r="P20" i="6"/>
  <c r="Q3" i="6"/>
  <c r="T20" i="6"/>
  <c r="Q4" i="6"/>
  <c r="Q12" i="6"/>
  <c r="Q20" i="6"/>
  <c r="R3" i="6"/>
  <c r="R4" i="6"/>
  <c r="R12" i="6"/>
  <c r="R20" i="6"/>
  <c r="S3" i="6"/>
  <c r="E12" i="5"/>
  <c r="E11" i="5"/>
  <c r="E10" i="5"/>
  <c r="E9" i="5"/>
  <c r="E8" i="5"/>
  <c r="E7" i="5"/>
  <c r="E6" i="5"/>
  <c r="B9" i="5"/>
  <c r="B6" i="5"/>
  <c r="T28" i="6" l="1"/>
  <c r="D9" i="5" s="1"/>
  <c r="F9" i="5" s="1"/>
  <c r="R28" i="6"/>
  <c r="D10" i="5" s="1"/>
  <c r="P28" i="6"/>
  <c r="D7" i="5" s="1"/>
  <c r="O28" i="6"/>
  <c r="D6" i="5" s="1"/>
  <c r="F6" i="5" s="1"/>
  <c r="U28" i="6"/>
  <c r="D12" i="5" s="1"/>
  <c r="Q28" i="6"/>
  <c r="D8" i="5" s="1"/>
  <c r="S28" i="6"/>
  <c r="D11" i="5" s="1"/>
  <c r="L23" i="4"/>
  <c r="L22" i="4"/>
  <c r="L21" i="4"/>
  <c r="L20" i="4"/>
  <c r="L19" i="4"/>
  <c r="L18" i="4"/>
  <c r="L17" i="4"/>
  <c r="G19" i="2" l="1"/>
  <c r="G16" i="2"/>
  <c r="F31" i="2"/>
  <c r="G31" i="2" s="1"/>
  <c r="G35" i="2"/>
  <c r="G34" i="2"/>
  <c r="G33" i="2"/>
  <c r="F33" i="2"/>
  <c r="G32" i="2"/>
  <c r="G29" i="2"/>
  <c r="E29" i="2"/>
  <c r="C35" i="2"/>
  <c r="F35" i="2" s="1"/>
  <c r="C34" i="2"/>
  <c r="F34" i="2" s="1"/>
  <c r="C33" i="2"/>
  <c r="C32" i="2"/>
  <c r="F32" i="2" s="1"/>
  <c r="C31" i="2"/>
  <c r="C30" i="2"/>
  <c r="F30" i="2" s="1"/>
  <c r="G30" i="2" s="1"/>
  <c r="C29" i="2"/>
  <c r="F29" i="2" s="1"/>
  <c r="C22" i="2" l="1"/>
  <c r="C21" i="2"/>
  <c r="C20" i="2"/>
  <c r="C19" i="2"/>
  <c r="C18" i="2"/>
  <c r="C17" i="2"/>
  <c r="C16" i="2"/>
  <c r="E16" i="2"/>
  <c r="F22" i="2" l="1"/>
  <c r="G22" i="2" s="1"/>
  <c r="B12" i="5" s="1"/>
  <c r="F12" i="5" s="1"/>
  <c r="F21" i="2"/>
  <c r="G21" i="2" s="1"/>
  <c r="B11" i="5" s="1"/>
  <c r="F11" i="5" s="1"/>
  <c r="F20" i="2"/>
  <c r="G20" i="2" s="1"/>
  <c r="B10" i="5" s="1"/>
  <c r="F10" i="5" s="1"/>
  <c r="F19" i="2"/>
  <c r="F18" i="2"/>
  <c r="G18" i="2" s="1"/>
  <c r="B8" i="5" s="1"/>
  <c r="F8" i="5" s="1"/>
  <c r="F17" i="2"/>
  <c r="G17" i="2" s="1"/>
  <c r="B7" i="5" s="1"/>
  <c r="F7" i="5" s="1"/>
  <c r="F16" i="2"/>
  <c r="K46" i="2" l="1"/>
  <c r="I44" i="2" l="1"/>
  <c r="I41" i="2"/>
  <c r="J42" i="2"/>
  <c r="J43" i="2"/>
  <c r="J44" i="2"/>
  <c r="J45" i="2"/>
  <c r="J46" i="2"/>
  <c r="J47" i="2"/>
  <c r="J41" i="2"/>
  <c r="C47" i="2"/>
  <c r="G47" i="2" s="1"/>
  <c r="I47" i="2" s="1"/>
  <c r="C41" i="2"/>
  <c r="G41" i="2" s="1"/>
  <c r="C42" i="2"/>
  <c r="G42" i="2" s="1"/>
  <c r="I42" i="2" s="1"/>
  <c r="C43" i="2"/>
  <c r="G43" i="2" s="1"/>
  <c r="I43" i="2" s="1"/>
  <c r="C45" i="2"/>
  <c r="G45" i="2" s="1"/>
  <c r="I45" i="2" s="1"/>
  <c r="C46" i="2"/>
  <c r="G46" i="2" s="1"/>
  <c r="I46" i="2" s="1"/>
  <c r="C44" i="2"/>
  <c r="G44" i="2" s="1"/>
</calcChain>
</file>

<file path=xl/sharedStrings.xml><?xml version="1.0" encoding="utf-8"?>
<sst xmlns="http://schemas.openxmlformats.org/spreadsheetml/2006/main" count="293" uniqueCount="107">
  <si>
    <t>Recoleta</t>
  </si>
  <si>
    <t>French</t>
  </si>
  <si>
    <t>Florida</t>
  </si>
  <si>
    <t>Güemes</t>
  </si>
  <si>
    <t>San Telmo 1 (92)</t>
  </si>
  <si>
    <t>AS San Telmo (120/121)</t>
  </si>
  <si>
    <t>San Telmo 2 (122)</t>
  </si>
  <si>
    <t>Venta</t>
  </si>
  <si>
    <t>% Alquiler variable</t>
  </si>
  <si>
    <t>con IVA</t>
  </si>
  <si>
    <t>sin IVA</t>
  </si>
  <si>
    <t>Alquiler variable AGOSTO</t>
  </si>
  <si>
    <t>x contrato</t>
  </si>
  <si>
    <t>pagado</t>
  </si>
  <si>
    <t>Alquiler fijo AGOSTO</t>
  </si>
  <si>
    <t>Cálculos AGOSTO 2025</t>
  </si>
  <si>
    <t>Tiendas</t>
  </si>
  <si>
    <t>Total alquiler</t>
  </si>
  <si>
    <t>PROYECCIÓN A SEPTIEMBRE 2025</t>
  </si>
  <si>
    <t>Alquiler variable</t>
  </si>
  <si>
    <t>Alquiler fijo</t>
  </si>
  <si>
    <t>Con IVA</t>
  </si>
  <si>
    <t>Sin IVA</t>
  </si>
  <si>
    <t>Dólar proyectado:</t>
  </si>
  <si>
    <t>Expensas pagadas en septiembre (son de agosto)</t>
  </si>
  <si>
    <t>Expensas pagadas en agosto (son de julio)</t>
  </si>
  <si>
    <t>Expensas proyectadas a pagar en octubre (son de septiembre)</t>
  </si>
  <si>
    <t>Dólar:</t>
  </si>
  <si>
    <t>Venta agosto</t>
  </si>
  <si>
    <t>ABL</t>
  </si>
  <si>
    <t>ALARMA</t>
  </si>
  <si>
    <t>AYSA</t>
  </si>
  <si>
    <t>EDESUR</t>
  </si>
  <si>
    <t>FUMIGACION</t>
  </si>
  <si>
    <t>INTERNET</t>
  </si>
  <si>
    <t>MATAFUEGO</t>
  </si>
  <si>
    <t>MANTENIMIENTO</t>
  </si>
  <si>
    <t>PERIODICIDAD</t>
  </si>
  <si>
    <t>mensual</t>
  </si>
  <si>
    <t>-</t>
  </si>
  <si>
    <t>CONTROL</t>
  </si>
  <si>
    <t>RECARGA</t>
  </si>
  <si>
    <t>trimestral</t>
  </si>
  <si>
    <t>anual</t>
  </si>
  <si>
    <t>PRÓX CONTROL</t>
  </si>
  <si>
    <t>PRÓX RECARGA</t>
  </si>
  <si>
    <t>OBSERVACIONES</t>
  </si>
  <si>
    <t>Tiene 3 facturas de edesur x mes</t>
  </si>
  <si>
    <t>Tiene 2 facturas de edesur x mes</t>
  </si>
  <si>
    <t>Comparte internet de AS San Telmo</t>
  </si>
  <si>
    <t>eventual</t>
  </si>
  <si>
    <t>PROYECTADO A OCTUBRE</t>
  </si>
  <si>
    <t>TOTAL</t>
  </si>
  <si>
    <t>OTROS</t>
  </si>
  <si>
    <t>VER SI POR EL NUEVO SISTEMA VAMOS A TENER MÁS GASTOS EN OCTUBRE Y SI HAY OTRO TIPO DE GASTO PROYECTADO</t>
  </si>
  <si>
    <t>GASTOS PROYECTADOS</t>
  </si>
  <si>
    <t>OCTUBRE 2025</t>
  </si>
  <si>
    <t>Alquiler</t>
  </si>
  <si>
    <t>Expensas</t>
  </si>
  <si>
    <t>Personal</t>
  </si>
  <si>
    <t>Otros gastos</t>
  </si>
  <si>
    <t>Total</t>
  </si>
  <si>
    <t>HORAS</t>
  </si>
  <si>
    <t>Legajo</t>
  </si>
  <si>
    <t>Apellido y Nombre</t>
  </si>
  <si>
    <t>San Telmo 1</t>
  </si>
  <si>
    <t>San Telmo 2</t>
  </si>
  <si>
    <t>AS San Telmo</t>
  </si>
  <si>
    <t>Total horas</t>
  </si>
  <si>
    <t>Viña Sofia</t>
  </si>
  <si>
    <t>Ruiz de la Torre Maitena</t>
  </si>
  <si>
    <t>Imperiale Candela</t>
  </si>
  <si>
    <t>Balmaceda Luciana</t>
  </si>
  <si>
    <t>Martina Migueles</t>
  </si>
  <si>
    <t>Carrizo Camila</t>
  </si>
  <si>
    <t>Esposito Candela</t>
  </si>
  <si>
    <t>Barajas Barbara</t>
  </si>
  <si>
    <t>De Brito Rocio</t>
  </si>
  <si>
    <t>Lara Robbio</t>
  </si>
  <si>
    <t>Molina Agustina</t>
  </si>
  <si>
    <t>Kiara Corbalan</t>
  </si>
  <si>
    <t>Martínez Brisa</t>
  </si>
  <si>
    <t>CORONEL Mailen</t>
  </si>
  <si>
    <t>Gimenez Candela</t>
  </si>
  <si>
    <t>Oliva Micaela</t>
  </si>
  <si>
    <t>Mohamad Daila</t>
  </si>
  <si>
    <t>Morena Martinez</t>
  </si>
  <si>
    <t>Sarapura Rebecca</t>
  </si>
  <si>
    <t>Bertolo Milagros</t>
  </si>
  <si>
    <t>Machuca Araceli</t>
  </si>
  <si>
    <t>Scholler Chavez Ruth</t>
  </si>
  <si>
    <t>Villarruel Candela</t>
  </si>
  <si>
    <t>Urbieta Barbara Giselle</t>
  </si>
  <si>
    <t>Cabovianco Natalia</t>
  </si>
  <si>
    <t>Valor hora AGOSTO</t>
  </si>
  <si>
    <t>Valor hora proyectada a OCTUBRE</t>
  </si>
  <si>
    <t>aumento estimado de expensas:</t>
  </si>
  <si>
    <t>NOVIEMBRE</t>
  </si>
  <si>
    <t>El Solar</t>
  </si>
  <si>
    <t>PROYECCIÓN A NOVIEMBRE 2025</t>
  </si>
  <si>
    <t>Venta de octubre x Alegra (sin terminar el 31/10)</t>
  </si>
  <si>
    <t>Venta de septiembre (reales)</t>
  </si>
  <si>
    <t>CÁLCULOS OCTUBRE 2025</t>
  </si>
  <si>
    <t>Total alquiler proyectado</t>
  </si>
  <si>
    <t>Alquiler pagado</t>
  </si>
  <si>
    <t>Expensas pagadas</t>
  </si>
  <si>
    <t>Expensas proyectadas a pagar en noviembre (son de octubre)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</si>
</sst>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3" xfId="0" applyBorder="1"/>
    <xf numFmtId="165" fontId="0" fillId="0" borderId="3" xfId="0" applyNumberFormat="1" applyBorder="1"/>
    <xf numFmtId="9" fontId="0" fillId="0" borderId="3" xfId="2" applyFont="1" applyBorder="1"/>
    <xf numFmtId="44" fontId="0" fillId="0" borderId="3" xfId="1" applyFont="1" applyBorder="1"/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0" fillId="0" borderId="3" xfId="1" applyNumberFormat="1" applyFont="1" applyBorder="1"/>
    <xf numFmtId="165" fontId="0" fillId="0" borderId="3" xfId="1" applyNumberFormat="1" applyFont="1" applyBorder="1" applyAlignment="1"/>
    <xf numFmtId="9" fontId="0" fillId="3" borderId="3" xfId="2" quotePrefix="1" applyFont="1" applyFill="1" applyBorder="1"/>
    <xf numFmtId="9" fontId="0" fillId="3" borderId="3" xfId="2" applyFont="1" applyFill="1" applyBorder="1"/>
    <xf numFmtId="0" fontId="2" fillId="0" borderId="3" xfId="0" applyFont="1" applyBorder="1" applyAlignment="1">
      <alignment horizontal="center" vertical="center"/>
    </xf>
    <xf numFmtId="165" fontId="0" fillId="0" borderId="0" xfId="1" applyNumberFormat="1" applyFont="1"/>
    <xf numFmtId="0" fontId="2" fillId="0" borderId="0" xfId="0" applyFont="1" applyBorder="1" applyAlignment="1">
      <alignment vertical="center"/>
    </xf>
    <xf numFmtId="165" fontId="0" fillId="0" borderId="0" xfId="1" applyNumberFormat="1" applyFont="1" applyBorder="1"/>
    <xf numFmtId="165" fontId="0" fillId="0" borderId="0" xfId="0" applyNumberFormat="1" applyBorder="1" applyAlignment="1">
      <alignment wrapText="1"/>
    </xf>
    <xf numFmtId="0" fontId="2" fillId="0" borderId="7" xfId="0" applyFont="1" applyBorder="1" applyAlignment="1">
      <alignment vertical="center"/>
    </xf>
    <xf numFmtId="165" fontId="0" fillId="0" borderId="7" xfId="1" applyNumberFormat="1" applyFont="1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5" fontId="0" fillId="0" borderId="3" xfId="1" applyNumberFormat="1" applyFont="1" applyBorder="1" applyAlignment="1">
      <alignment wrapText="1"/>
    </xf>
    <xf numFmtId="165" fontId="0" fillId="0" borderId="2" xfId="1" applyNumberFormat="1" applyFont="1" applyBorder="1"/>
    <xf numFmtId="165" fontId="0" fillId="0" borderId="6" xfId="1" applyNumberFormat="1" applyFont="1" applyBorder="1"/>
    <xf numFmtId="164" fontId="0" fillId="0" borderId="1" xfId="3" applyNumberFormat="1" applyFont="1" applyBorder="1" applyAlignment="1"/>
    <xf numFmtId="165" fontId="0" fillId="3" borderId="3" xfId="0" applyNumberFormat="1" applyFont="1" applyFill="1" applyBorder="1"/>
    <xf numFmtId="165" fontId="0" fillId="0" borderId="3" xfId="0" applyNumberFormat="1" applyFont="1" applyBorder="1"/>
    <xf numFmtId="165" fontId="3" fillId="2" borderId="3" xfId="1" applyNumberFormat="1" applyFont="1" applyFill="1" applyBorder="1" applyAlignment="1">
      <alignment horizontal="left"/>
    </xf>
    <xf numFmtId="0" fontId="0" fillId="0" borderId="3" xfId="0" applyFont="1" applyBorder="1" applyAlignment="1">
      <alignment wrapText="1"/>
    </xf>
    <xf numFmtId="165" fontId="0" fillId="0" borderId="3" xfId="0" applyNumberFormat="1" applyFont="1" applyBorder="1" applyAlignment="1">
      <alignment wrapText="1"/>
    </xf>
    <xf numFmtId="0" fontId="0" fillId="0" borderId="3" xfId="0" applyFont="1" applyBorder="1"/>
    <xf numFmtId="165" fontId="0" fillId="0" borderId="6" xfId="1" applyNumberFormat="1" applyFont="1" applyBorder="1" applyAlignment="1">
      <alignment wrapText="1"/>
    </xf>
    <xf numFmtId="1" fontId="3" fillId="2" borderId="3" xfId="0" applyNumberFormat="1" applyFont="1" applyFill="1" applyBorder="1"/>
    <xf numFmtId="0" fontId="0" fillId="0" borderId="0" xfId="0" applyFont="1" applyAlignment="1">
      <alignment vertical="center"/>
    </xf>
    <xf numFmtId="0" fontId="0" fillId="0" borderId="3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Font="1" applyBorder="1"/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0" xfId="0" applyNumberFormat="1" applyBorder="1" applyAlignment="1">
      <alignment horizontal="center"/>
    </xf>
    <xf numFmtId="0" fontId="0" fillId="0" borderId="0" xfId="0" applyBorder="1"/>
    <xf numFmtId="165" fontId="0" fillId="0" borderId="3" xfId="1" applyNumberFormat="1" applyFont="1" applyBorder="1" applyAlignment="1">
      <alignment horizontal="center"/>
    </xf>
    <xf numFmtId="165" fontId="0" fillId="0" borderId="3" xfId="1" quotePrefix="1" applyNumberFormat="1" applyFont="1" applyBorder="1" applyAlignment="1">
      <alignment horizontal="center"/>
    </xf>
    <xf numFmtId="165" fontId="0" fillId="0" borderId="0" xfId="0" applyNumberFormat="1"/>
    <xf numFmtId="0" fontId="0" fillId="4" borderId="3" xfId="0" applyFill="1" applyBorder="1"/>
    <xf numFmtId="49" fontId="2" fillId="0" borderId="0" xfId="0" applyNumberFormat="1" applyFont="1"/>
    <xf numFmtId="0" fontId="4" fillId="0" borderId="0" xfId="0" applyFont="1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3" xfId="0" applyFill="1" applyBorder="1"/>
    <xf numFmtId="165" fontId="2" fillId="0" borderId="3" xfId="0" applyNumberFormat="1" applyFont="1" applyBorder="1"/>
    <xf numFmtId="0" fontId="0" fillId="0" borderId="0" xfId="0" quotePrefix="1"/>
    <xf numFmtId="0" fontId="2" fillId="0" borderId="3" xfId="0" applyFont="1" applyBorder="1" applyAlignment="1">
      <alignment horizontal="center" wrapText="1"/>
    </xf>
    <xf numFmtId="165" fontId="0" fillId="0" borderId="6" xfId="0" applyNumberFormat="1" applyFont="1" applyBorder="1" applyAlignment="1">
      <alignment wrapText="1"/>
    </xf>
    <xf numFmtId="9" fontId="0" fillId="0" borderId="0" xfId="2" applyFont="1" applyBorder="1" applyAlignment="1">
      <alignment wrapText="1"/>
    </xf>
    <xf numFmtId="166" fontId="0" fillId="0" borderId="0" xfId="2" applyNumberFormat="1" applyFont="1"/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4">
    <cellStyle name="Moneda" xfId="1" builtinId="4"/>
    <cellStyle name="Moneda 2" xf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Valeria/Reportes/Reporte_gastos/Sueldos%202025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"/>
      <sheetName val="tabla x hora"/>
      <sheetName val="según hora x tienda"/>
    </sheetNames>
    <sheetDataSet>
      <sheetData sheetId="0">
        <row r="2">
          <cell r="A2">
            <v>1</v>
          </cell>
          <cell r="B2" t="str">
            <v>Viña Sofia</v>
          </cell>
          <cell r="C2">
            <v>45139</v>
          </cell>
          <cell r="D2" t="str">
            <v>Lucero Florida</v>
          </cell>
          <cell r="E2">
            <v>117</v>
          </cell>
          <cell r="F2">
            <v>112</v>
          </cell>
          <cell r="G2">
            <v>5</v>
          </cell>
          <cell r="J2" t="str">
            <v>NO</v>
          </cell>
          <cell r="L2">
            <v>44936</v>
          </cell>
          <cell r="M2">
            <v>691596</v>
          </cell>
          <cell r="N2">
            <v>885802.42</v>
          </cell>
          <cell r="O2">
            <v>288986.23</v>
          </cell>
          <cell r="P2">
            <v>1174788.6499999999</v>
          </cell>
          <cell r="Q2">
            <v>10040.928632478632</v>
          </cell>
        </row>
        <row r="3">
          <cell r="A3">
            <v>2</v>
          </cell>
          <cell r="B3" t="str">
            <v>Urbieta Barbara Giselle</v>
          </cell>
          <cell r="C3">
            <v>45341</v>
          </cell>
          <cell r="D3" t="str">
            <v>Supervisora</v>
          </cell>
          <cell r="E3">
            <v>0</v>
          </cell>
          <cell r="H3" t="str">
            <v>8.00</v>
          </cell>
          <cell r="J3" t="str">
            <v>NO</v>
          </cell>
          <cell r="M3">
            <v>790106</v>
          </cell>
          <cell r="N3">
            <v>1220203.23</v>
          </cell>
          <cell r="O3">
            <v>323244.11</v>
          </cell>
          <cell r="P3">
            <v>1543447.34</v>
          </cell>
        </row>
        <row r="4">
          <cell r="A4">
            <v>3</v>
          </cell>
          <cell r="B4" t="str">
            <v>Ruiz de la Torre Maitena</v>
          </cell>
          <cell r="C4">
            <v>45345</v>
          </cell>
          <cell r="D4" t="str">
            <v>Lucero Florida</v>
          </cell>
          <cell r="E4">
            <v>122</v>
          </cell>
          <cell r="F4">
            <v>117</v>
          </cell>
          <cell r="G4">
            <v>5</v>
          </cell>
          <cell r="J4" t="str">
            <v>NO</v>
          </cell>
          <cell r="L4">
            <v>46856</v>
          </cell>
          <cell r="M4">
            <v>712984</v>
          </cell>
          <cell r="N4">
            <v>885802.42</v>
          </cell>
          <cell r="O4">
            <v>297905.84999999998</v>
          </cell>
          <cell r="P4">
            <v>1183708.27</v>
          </cell>
          <cell r="Q4">
            <v>9702.526803278688</v>
          </cell>
        </row>
        <row r="5">
          <cell r="A5">
            <v>4</v>
          </cell>
          <cell r="B5" t="str">
            <v>Imperiale Candela</v>
          </cell>
          <cell r="C5">
            <v>45447</v>
          </cell>
          <cell r="D5" t="str">
            <v>Lucero Florida</v>
          </cell>
          <cell r="E5">
            <v>130</v>
          </cell>
          <cell r="F5">
            <v>124</v>
          </cell>
          <cell r="G5">
            <v>6</v>
          </cell>
          <cell r="J5" t="str">
            <v>NO</v>
          </cell>
          <cell r="L5">
            <v>49929</v>
          </cell>
          <cell r="M5">
            <v>762451</v>
          </cell>
          <cell r="N5">
            <v>976696.34</v>
          </cell>
          <cell r="O5">
            <v>318587.55</v>
          </cell>
          <cell r="P5">
            <v>1295283.8899999999</v>
          </cell>
          <cell r="Q5">
            <v>9963.72223076923</v>
          </cell>
        </row>
        <row r="6">
          <cell r="A6">
            <v>5</v>
          </cell>
          <cell r="B6" t="str">
            <v>Balmaceda Luciana</v>
          </cell>
          <cell r="C6">
            <v>45587</v>
          </cell>
          <cell r="D6" t="str">
            <v>Lucero Florida</v>
          </cell>
          <cell r="E6">
            <v>88</v>
          </cell>
          <cell r="F6">
            <v>0</v>
          </cell>
          <cell r="H6" t="str">
            <v>4.00</v>
          </cell>
          <cell r="J6" t="str">
            <v>NO</v>
          </cell>
          <cell r="M6">
            <v>469077</v>
          </cell>
          <cell r="N6">
            <v>600075</v>
          </cell>
          <cell r="O6">
            <v>195656.48</v>
          </cell>
          <cell r="P6">
            <v>795731.48</v>
          </cell>
          <cell r="Q6">
            <v>9042.4031818181811</v>
          </cell>
        </row>
        <row r="7">
          <cell r="A7">
            <v>6</v>
          </cell>
          <cell r="B7" t="str">
            <v>Martina Migueles</v>
          </cell>
          <cell r="C7">
            <v>45845</v>
          </cell>
          <cell r="D7" t="str">
            <v>Lucero Florida</v>
          </cell>
          <cell r="E7">
            <v>102</v>
          </cell>
          <cell r="F7">
            <v>98</v>
          </cell>
          <cell r="G7">
            <v>4</v>
          </cell>
          <cell r="J7" t="str">
            <v>NO</v>
          </cell>
          <cell r="M7">
            <v>557268</v>
          </cell>
          <cell r="N7">
            <v>713247.24</v>
          </cell>
          <cell r="O7">
            <v>232552.66</v>
          </cell>
          <cell r="P7">
            <v>945799.9</v>
          </cell>
          <cell r="Q7">
            <v>9272.548039215686</v>
          </cell>
        </row>
        <row r="8">
          <cell r="A8">
            <v>9</v>
          </cell>
          <cell r="B8" t="str">
            <v>Cabovianco Natalia</v>
          </cell>
          <cell r="C8">
            <v>40030</v>
          </cell>
          <cell r="D8" t="str">
            <v>Lucero San Telmo</v>
          </cell>
          <cell r="E8">
            <v>8</v>
          </cell>
          <cell r="G8">
            <v>8</v>
          </cell>
          <cell r="J8" t="str">
            <v>NO</v>
          </cell>
          <cell r="M8">
            <v>1171591</v>
          </cell>
          <cell r="N8">
            <v>1444520.21</v>
          </cell>
          <cell r="O8">
            <v>382976.33</v>
          </cell>
          <cell r="P8">
            <v>1827496.54</v>
          </cell>
        </row>
        <row r="9">
          <cell r="A9">
            <v>10</v>
          </cell>
          <cell r="B9" t="str">
            <v>Carrizo Camila</v>
          </cell>
          <cell r="C9">
            <v>44414</v>
          </cell>
          <cell r="D9" t="str">
            <v>AS San Telmo</v>
          </cell>
          <cell r="E9">
            <v>108</v>
          </cell>
          <cell r="F9">
            <v>104</v>
          </cell>
          <cell r="G9">
            <v>4</v>
          </cell>
          <cell r="J9" t="str">
            <v>NO</v>
          </cell>
          <cell r="L9">
            <v>24011</v>
          </cell>
          <cell r="M9">
            <v>633090</v>
          </cell>
          <cell r="N9">
            <v>810623.3</v>
          </cell>
          <cell r="O9">
            <v>264375.61</v>
          </cell>
          <cell r="P9">
            <v>1074998.9099999999</v>
          </cell>
          <cell r="Q9">
            <v>9953.6936111111099</v>
          </cell>
        </row>
        <row r="10">
          <cell r="A10">
            <v>11</v>
          </cell>
          <cell r="B10" t="str">
            <v>Esposito Candela</v>
          </cell>
          <cell r="C10">
            <v>44854</v>
          </cell>
          <cell r="D10" t="str">
            <v>Lucero San Telmo</v>
          </cell>
          <cell r="E10">
            <v>127</v>
          </cell>
          <cell r="F10">
            <v>121</v>
          </cell>
          <cell r="G10">
            <v>6</v>
          </cell>
          <cell r="J10" t="str">
            <v>NO</v>
          </cell>
          <cell r="L10">
            <v>70120</v>
          </cell>
          <cell r="M10">
            <v>771191</v>
          </cell>
          <cell r="N10">
            <v>988051.99</v>
          </cell>
          <cell r="O10">
            <v>322429.92</v>
          </cell>
          <cell r="P10">
            <v>1310481.9099999999</v>
          </cell>
          <cell r="Q10">
            <v>10318.755196850392</v>
          </cell>
        </row>
        <row r="11">
          <cell r="A11">
            <v>12</v>
          </cell>
          <cell r="B11" t="str">
            <v>Barajas Barbara</v>
          </cell>
          <cell r="C11">
            <v>45057</v>
          </cell>
          <cell r="D11" t="str">
            <v>Lucero Recoleta</v>
          </cell>
          <cell r="E11">
            <v>132</v>
          </cell>
          <cell r="F11">
            <v>127</v>
          </cell>
          <cell r="G11">
            <v>5</v>
          </cell>
          <cell r="J11" t="str">
            <v>NO</v>
          </cell>
          <cell r="L11">
            <v>41056</v>
          </cell>
          <cell r="M11">
            <v>768555</v>
          </cell>
          <cell r="N11">
            <v>984423.87</v>
          </cell>
          <cell r="O11">
            <v>321001.18</v>
          </cell>
          <cell r="P11">
            <v>1305425.05</v>
          </cell>
          <cell r="Q11">
            <v>9889.5837121212116</v>
          </cell>
        </row>
        <row r="12">
          <cell r="A12">
            <v>13</v>
          </cell>
          <cell r="B12" t="str">
            <v>De Brito Rocio</v>
          </cell>
          <cell r="C12">
            <v>45085</v>
          </cell>
          <cell r="D12" t="str">
            <v>Lucero Güemes</v>
          </cell>
          <cell r="E12">
            <v>110</v>
          </cell>
          <cell r="F12">
            <v>110</v>
          </cell>
          <cell r="G12">
            <v>0</v>
          </cell>
          <cell r="H12">
            <v>4</v>
          </cell>
          <cell r="J12" t="str">
            <v>NO</v>
          </cell>
          <cell r="L12">
            <v>13862</v>
          </cell>
          <cell r="M12">
            <v>607988</v>
          </cell>
          <cell r="N12">
            <v>778238.68</v>
          </cell>
          <cell r="O12">
            <v>253645.26</v>
          </cell>
          <cell r="P12">
            <v>1031883.94</v>
          </cell>
          <cell r="Q12">
            <v>9380.7630909090913</v>
          </cell>
        </row>
        <row r="13">
          <cell r="A13">
            <v>14</v>
          </cell>
          <cell r="B13" t="str">
            <v>Lara Robbio</v>
          </cell>
          <cell r="C13">
            <v>45139</v>
          </cell>
          <cell r="D13" t="str">
            <v>Lucero San Telmo</v>
          </cell>
          <cell r="E13">
            <v>109</v>
          </cell>
          <cell r="F13">
            <v>103</v>
          </cell>
          <cell r="G13">
            <v>6</v>
          </cell>
          <cell r="J13" t="str">
            <v>NO</v>
          </cell>
          <cell r="L13">
            <v>46328</v>
          </cell>
          <cell r="M13">
            <v>654478</v>
          </cell>
          <cell r="N13">
            <v>838271.4</v>
          </cell>
          <cell r="O13">
            <v>273591.46999999997</v>
          </cell>
          <cell r="P13">
            <v>1111862.8700000001</v>
          </cell>
          <cell r="Q13">
            <v>10200.576788990827</v>
          </cell>
        </row>
        <row r="14">
          <cell r="A14">
            <v>15</v>
          </cell>
          <cell r="B14" t="str">
            <v>Molina Agustina</v>
          </cell>
          <cell r="C14">
            <v>45184</v>
          </cell>
          <cell r="D14" t="str">
            <v>AS San Telmo</v>
          </cell>
          <cell r="E14">
            <v>108</v>
          </cell>
          <cell r="F14">
            <v>104</v>
          </cell>
          <cell r="G14">
            <v>4</v>
          </cell>
          <cell r="J14" t="str">
            <v>NO</v>
          </cell>
          <cell r="L14">
            <v>24011</v>
          </cell>
          <cell r="M14">
            <v>614955</v>
          </cell>
          <cell r="N14">
            <v>787367.14</v>
          </cell>
          <cell r="O14">
            <v>256809.62</v>
          </cell>
          <cell r="P14">
            <v>1044176.76</v>
          </cell>
          <cell r="Q14">
            <v>9668.3033333333333</v>
          </cell>
        </row>
        <row r="15">
          <cell r="A15">
            <v>16</v>
          </cell>
          <cell r="B15" t="str">
            <v>Kiara Corbalan</v>
          </cell>
          <cell r="C15">
            <v>45201</v>
          </cell>
          <cell r="D15" t="str">
            <v>AS San Telmo</v>
          </cell>
          <cell r="E15">
            <v>108</v>
          </cell>
          <cell r="F15">
            <v>104</v>
          </cell>
          <cell r="G15">
            <v>4</v>
          </cell>
          <cell r="J15" t="str">
            <v>NO</v>
          </cell>
          <cell r="L15">
            <v>0</v>
          </cell>
          <cell r="M15">
            <v>0</v>
          </cell>
          <cell r="N15">
            <v>787366.22000000009</v>
          </cell>
          <cell r="O15">
            <v>256809.62</v>
          </cell>
          <cell r="P15">
            <v>1044176.76</v>
          </cell>
          <cell r="Q15">
            <v>9668.3033333333333</v>
          </cell>
        </row>
        <row r="16">
          <cell r="A16">
            <v>17</v>
          </cell>
          <cell r="B16" t="str">
            <v>Martínez Brisa</v>
          </cell>
          <cell r="C16">
            <v>45272</v>
          </cell>
          <cell r="D16" t="str">
            <v>AS San Telmo</v>
          </cell>
          <cell r="E16">
            <v>28</v>
          </cell>
          <cell r="F16">
            <v>28</v>
          </cell>
          <cell r="J16" t="str">
            <v>NO</v>
          </cell>
          <cell r="M16">
            <v>0</v>
          </cell>
          <cell r="N16">
            <v>238250.96000000002</v>
          </cell>
          <cell r="Q16">
            <v>9668.3033333333333</v>
          </cell>
        </row>
        <row r="17">
          <cell r="A17">
            <v>18</v>
          </cell>
          <cell r="B17" t="str">
            <v>CORONEL Mailen</v>
          </cell>
          <cell r="C17">
            <v>45311</v>
          </cell>
          <cell r="D17" t="str">
            <v>Lucero Güemes</v>
          </cell>
          <cell r="E17">
            <v>111</v>
          </cell>
          <cell r="F17">
            <v>111</v>
          </cell>
          <cell r="G17">
            <v>0</v>
          </cell>
          <cell r="H17">
            <v>4</v>
          </cell>
          <cell r="J17" t="str">
            <v>NO</v>
          </cell>
          <cell r="L17">
            <v>14558</v>
          </cell>
          <cell r="M17">
            <v>607960</v>
          </cell>
          <cell r="N17">
            <v>778206.57</v>
          </cell>
          <cell r="O17">
            <v>253638.62</v>
          </cell>
          <cell r="P17">
            <v>1031845.19</v>
          </cell>
          <cell r="Q17">
            <v>9295.9026126126118</v>
          </cell>
        </row>
        <row r="18">
          <cell r="A18">
            <v>19</v>
          </cell>
          <cell r="B18" t="str">
            <v>Gimenez Candela</v>
          </cell>
          <cell r="C18">
            <v>45404</v>
          </cell>
          <cell r="D18" t="str">
            <v>Lucero Recoleta</v>
          </cell>
          <cell r="E18">
            <v>126</v>
          </cell>
          <cell r="F18">
            <v>120</v>
          </cell>
          <cell r="G18">
            <v>6</v>
          </cell>
          <cell r="J18" t="str">
            <v>NO</v>
          </cell>
          <cell r="L18">
            <v>44229</v>
          </cell>
          <cell r="M18">
            <v>736419</v>
          </cell>
          <cell r="N18">
            <v>943286.37</v>
          </cell>
          <cell r="O18">
            <v>307691.21000000002</v>
          </cell>
          <cell r="P18">
            <v>1250977.58</v>
          </cell>
          <cell r="Q18">
            <v>9928.3934920634929</v>
          </cell>
        </row>
        <row r="19">
          <cell r="A19">
            <v>20</v>
          </cell>
          <cell r="B19" t="str">
            <v>Oliva Micaela</v>
          </cell>
          <cell r="C19">
            <v>45597</v>
          </cell>
          <cell r="D19" t="str">
            <v>Lucero Recoleta</v>
          </cell>
          <cell r="E19">
            <v>130</v>
          </cell>
          <cell r="F19">
            <v>130</v>
          </cell>
          <cell r="G19">
            <v>0</v>
          </cell>
          <cell r="H19">
            <v>4</v>
          </cell>
          <cell r="J19" t="str">
            <v>NO</v>
          </cell>
          <cell r="L19">
            <v>40434</v>
          </cell>
          <cell r="M19">
            <v>723404</v>
          </cell>
          <cell r="N19">
            <v>926371.04</v>
          </cell>
          <cell r="O19">
            <v>301962.39</v>
          </cell>
          <cell r="P19">
            <v>1228333.43</v>
          </cell>
          <cell r="Q19">
            <v>9448.7186923076915</v>
          </cell>
        </row>
        <row r="20">
          <cell r="A20">
            <v>21</v>
          </cell>
          <cell r="B20" t="str">
            <v>Mohamad Daila</v>
          </cell>
          <cell r="C20">
            <v>45597</v>
          </cell>
          <cell r="D20" t="str">
            <v>Lucero San Telmo 2</v>
          </cell>
          <cell r="E20">
            <v>112</v>
          </cell>
          <cell r="F20">
            <v>108</v>
          </cell>
          <cell r="G20">
            <v>4</v>
          </cell>
          <cell r="J20" t="str">
            <v>NO</v>
          </cell>
          <cell r="L20">
            <v>23047</v>
          </cell>
          <cell r="M20">
            <v>629089</v>
          </cell>
          <cell r="N20">
            <v>805474.71</v>
          </cell>
          <cell r="O20">
            <v>262682.88</v>
          </cell>
          <cell r="P20">
            <v>1068157.5900000001</v>
          </cell>
          <cell r="Q20">
            <v>9537.1213392857153</v>
          </cell>
        </row>
        <row r="21">
          <cell r="A21">
            <v>22</v>
          </cell>
          <cell r="B21" t="str">
            <v>Morena Martinez</v>
          </cell>
          <cell r="C21">
            <v>45713</v>
          </cell>
          <cell r="D21" t="str">
            <v>Lucero San Telmo</v>
          </cell>
          <cell r="E21">
            <v>115</v>
          </cell>
          <cell r="F21">
            <v>111</v>
          </cell>
          <cell r="G21">
            <v>4</v>
          </cell>
          <cell r="J21" t="str">
            <v>NO</v>
          </cell>
          <cell r="L21">
            <v>48255</v>
          </cell>
          <cell r="M21">
            <v>665994</v>
          </cell>
          <cell r="N21">
            <v>852960.65</v>
          </cell>
          <cell r="O21">
            <v>278291.53000000003</v>
          </cell>
          <cell r="P21">
            <v>1131252.18</v>
          </cell>
          <cell r="Q21">
            <v>9836.9754782608688</v>
          </cell>
        </row>
        <row r="22">
          <cell r="A22">
            <v>23</v>
          </cell>
          <cell r="B22" t="str">
            <v>Sarapura Rebecca</v>
          </cell>
          <cell r="C22">
            <v>45597</v>
          </cell>
          <cell r="D22" t="str">
            <v>Lucero San Telmo</v>
          </cell>
          <cell r="E22">
            <v>39</v>
          </cell>
          <cell r="F22">
            <v>39</v>
          </cell>
          <cell r="J22" t="str">
            <v>NO</v>
          </cell>
          <cell r="M22">
            <v>0</v>
          </cell>
          <cell r="N22">
            <v>264218</v>
          </cell>
          <cell r="Q22">
            <v>9537.1213392857153</v>
          </cell>
        </row>
        <row r="23">
          <cell r="A23">
            <v>47</v>
          </cell>
          <cell r="B23" t="str">
            <v>Eredia Cintia</v>
          </cell>
          <cell r="C23">
            <v>44295</v>
          </cell>
          <cell r="D23" t="str">
            <v>Visual</v>
          </cell>
          <cell r="E23">
            <v>0</v>
          </cell>
          <cell r="J23" t="str">
            <v>NO</v>
          </cell>
          <cell r="M23">
            <v>980117</v>
          </cell>
          <cell r="N23">
            <v>1209823.3999999999</v>
          </cell>
          <cell r="O23">
            <v>321775.27</v>
          </cell>
          <cell r="P23">
            <v>1531598.67</v>
          </cell>
        </row>
        <row r="24">
          <cell r="A24">
            <v>120</v>
          </cell>
          <cell r="B24" t="str">
            <v>Bertolo Milagros</v>
          </cell>
          <cell r="C24">
            <v>45020</v>
          </cell>
          <cell r="D24" t="str">
            <v>Lucero French</v>
          </cell>
          <cell r="E24">
            <v>109</v>
          </cell>
          <cell r="F24">
            <v>105</v>
          </cell>
          <cell r="G24" t="str">
            <v>4.00</v>
          </cell>
          <cell r="J24" t="str">
            <v>NO</v>
          </cell>
          <cell r="L24">
            <v>35485</v>
          </cell>
          <cell r="M24">
            <v>636178</v>
          </cell>
          <cell r="N24">
            <v>814658.31</v>
          </cell>
          <cell r="O24">
            <v>265763.61</v>
          </cell>
          <cell r="P24">
            <v>1080421.92</v>
          </cell>
          <cell r="Q24">
            <v>9912.1277064220176</v>
          </cell>
        </row>
        <row r="25">
          <cell r="A25">
            <v>174</v>
          </cell>
          <cell r="B25" t="str">
            <v>Machuca Araceli</v>
          </cell>
          <cell r="C25">
            <v>45477</v>
          </cell>
          <cell r="D25" t="str">
            <v>Lucero French</v>
          </cell>
          <cell r="E25">
            <v>106</v>
          </cell>
          <cell r="F25">
            <v>102</v>
          </cell>
          <cell r="G25" t="str">
            <v>4.00</v>
          </cell>
          <cell r="J25" t="str">
            <v>NO</v>
          </cell>
          <cell r="L25">
            <v>31634</v>
          </cell>
          <cell r="M25">
            <v>610819</v>
          </cell>
          <cell r="N25">
            <v>782120.41</v>
          </cell>
          <cell r="O25">
            <v>255159.97</v>
          </cell>
          <cell r="P25">
            <v>1037280.38</v>
          </cell>
          <cell r="Q25">
            <v>9785.6639622641505</v>
          </cell>
        </row>
        <row r="26">
          <cell r="A26">
            <v>184</v>
          </cell>
          <cell r="B26" t="str">
            <v>Villarruel Candela</v>
          </cell>
          <cell r="C26">
            <v>45569</v>
          </cell>
          <cell r="D26" t="str">
            <v>AS San Telmo</v>
          </cell>
          <cell r="E26">
            <v>0</v>
          </cell>
          <cell r="J26" t="str">
            <v>NO</v>
          </cell>
          <cell r="O26">
            <v>1420</v>
          </cell>
          <cell r="P26">
            <v>1420</v>
          </cell>
        </row>
        <row r="27">
          <cell r="A27">
            <v>194</v>
          </cell>
          <cell r="B27" t="str">
            <v>Scholler Chavez Ruth</v>
          </cell>
          <cell r="C27">
            <v>45639</v>
          </cell>
          <cell r="D27" t="str">
            <v>Lucero French</v>
          </cell>
          <cell r="E27">
            <v>103</v>
          </cell>
          <cell r="F27">
            <v>99</v>
          </cell>
          <cell r="G27" t="str">
            <v>4.00</v>
          </cell>
          <cell r="J27" t="str">
            <v>NO</v>
          </cell>
          <cell r="L27">
            <v>30178</v>
          </cell>
          <cell r="M27">
            <v>587851</v>
          </cell>
          <cell r="N27">
            <v>752664.78</v>
          </cell>
          <cell r="O27">
            <v>245575.32</v>
          </cell>
          <cell r="P27">
            <v>998240.1</v>
          </cell>
          <cell r="Q27">
            <v>9691.6514563106794</v>
          </cell>
        </row>
        <row r="28">
          <cell r="A28" t="str">
            <v>TOTAL</v>
          </cell>
          <cell r="P28">
            <v>27048789.309999999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B21" sqref="B21"/>
    </sheetView>
  </sheetViews>
  <sheetFormatPr baseColWidth="10" defaultRowHeight="14.4" x14ac:dyDescent="0.3"/>
  <cols>
    <col min="1" max="1" width="22.21875" bestFit="1" customWidth="1"/>
    <col min="2" max="5" width="14.109375" bestFit="1" customWidth="1"/>
    <col min="6" max="6" width="12.6640625" bestFit="1" customWidth="1"/>
  </cols>
  <sheetData>
    <row r="1" spans="1:6" ht="15.6" x14ac:dyDescent="0.3">
      <c r="A1" s="52" t="s">
        <v>55</v>
      </c>
    </row>
    <row r="3" spans="1:6" x14ac:dyDescent="0.3">
      <c r="A3" s="51" t="s">
        <v>56</v>
      </c>
    </row>
    <row r="5" spans="1:6" x14ac:dyDescent="0.3">
      <c r="A5" s="62" t="s">
        <v>16</v>
      </c>
      <c r="B5" s="63" t="s">
        <v>57</v>
      </c>
      <c r="C5" s="63" t="s">
        <v>58</v>
      </c>
      <c r="D5" s="63" t="s">
        <v>59</v>
      </c>
      <c r="E5" s="63" t="s">
        <v>60</v>
      </c>
      <c r="F5" s="63" t="s">
        <v>61</v>
      </c>
    </row>
    <row r="6" spans="1:6" x14ac:dyDescent="0.3">
      <c r="A6" s="36" t="s">
        <v>2</v>
      </c>
      <c r="B6" s="11">
        <f>'Alquileres+expensas'!G16</f>
        <v>7000000</v>
      </c>
      <c r="C6" s="11">
        <f>'Alquileres+expensas'!H16</f>
        <v>315462.52500000002</v>
      </c>
      <c r="D6" s="11">
        <f>Personal!O28</f>
        <v>5492982.2588996133</v>
      </c>
      <c r="E6" s="11">
        <f>'Otros gastos'!L17</f>
        <v>1940453.27</v>
      </c>
      <c r="F6" s="5">
        <f>SUM(B6:E6)</f>
        <v>14748898.053899612</v>
      </c>
    </row>
    <row r="7" spans="1:6" x14ac:dyDescent="0.3">
      <c r="A7" s="36" t="s">
        <v>3</v>
      </c>
      <c r="B7" s="11">
        <f>'Alquileres+expensas'!G17</f>
        <v>644652</v>
      </c>
      <c r="C7" s="11">
        <f>'Alquileres+expensas'!H17</f>
        <v>355772.69700000004</v>
      </c>
      <c r="D7" s="11">
        <f>Personal!P28</f>
        <v>1962173.6994811222</v>
      </c>
      <c r="E7" s="11">
        <f>'Otros gastos'!L18</f>
        <v>109000</v>
      </c>
      <c r="F7" s="5">
        <f t="shared" ref="F7:F12" si="0">SUM(B7:E7)</f>
        <v>3071598.3964811224</v>
      </c>
    </row>
    <row r="8" spans="1:6" x14ac:dyDescent="0.3">
      <c r="A8" s="36" t="s">
        <v>0</v>
      </c>
      <c r="B8" s="11">
        <f>'Alquileres+expensas'!G18</f>
        <v>1503831.8099173554</v>
      </c>
      <c r="C8" s="11">
        <f>'Alquileres+expensas'!H18</f>
        <v>2045417.325</v>
      </c>
      <c r="D8" s="11">
        <f>Personal!Q28</f>
        <v>3254091.0891192639</v>
      </c>
      <c r="E8" s="11">
        <f>'Otros gastos'!L19</f>
        <v>222000</v>
      </c>
      <c r="F8" s="5">
        <f t="shared" si="0"/>
        <v>7025340.2240366191</v>
      </c>
    </row>
    <row r="9" spans="1:6" x14ac:dyDescent="0.3">
      <c r="A9" s="36" t="s">
        <v>1</v>
      </c>
      <c r="B9" s="11">
        <f>'Alquileres+expensas'!G19</f>
        <v>703000</v>
      </c>
      <c r="C9" s="11">
        <f>'Alquileres+expensas'!H19</f>
        <v>231882</v>
      </c>
      <c r="D9" s="11">
        <f>Personal!T28</f>
        <v>2674963.2297321851</v>
      </c>
      <c r="E9" s="11">
        <f>'Otros gastos'!L20</f>
        <v>343000</v>
      </c>
      <c r="F9" s="5">
        <f t="shared" si="0"/>
        <v>3952845.2297321851</v>
      </c>
    </row>
    <row r="10" spans="1:6" x14ac:dyDescent="0.3">
      <c r="A10" s="34" t="s">
        <v>4</v>
      </c>
      <c r="B10" s="11">
        <f>'Alquileres+expensas'!G20</f>
        <v>2190713.3884297521</v>
      </c>
      <c r="C10" s="11">
        <f>'Alquileres+expensas'!H20</f>
        <v>557886.84000000008</v>
      </c>
      <c r="D10" s="11">
        <f>Personal!R28</f>
        <v>3161812.0671197572</v>
      </c>
      <c r="E10" s="11">
        <f>'Otros gastos'!L21</f>
        <v>153000</v>
      </c>
      <c r="F10" s="5">
        <f t="shared" si="0"/>
        <v>6063412.29554951</v>
      </c>
    </row>
    <row r="11" spans="1:6" x14ac:dyDescent="0.3">
      <c r="A11" s="34" t="s">
        <v>6</v>
      </c>
      <c r="B11" s="11">
        <f>'Alquileres+expensas'!G21</f>
        <v>1058553.7190082646</v>
      </c>
      <c r="C11" s="11">
        <f>'Alquileres+expensas'!H21</f>
        <v>557886.84000000008</v>
      </c>
      <c r="D11" s="11">
        <f>Personal!S28</f>
        <v>2475610.5024360041</v>
      </c>
      <c r="E11" s="11">
        <f>'Otros gastos'!L22</f>
        <v>248000</v>
      </c>
      <c r="F11" s="5">
        <f t="shared" si="0"/>
        <v>4340051.0614442686</v>
      </c>
    </row>
    <row r="12" spans="1:6" x14ac:dyDescent="0.3">
      <c r="A12" s="34" t="s">
        <v>5</v>
      </c>
      <c r="B12" s="11">
        <f>'Alquileres+expensas'!G22</f>
        <v>961918.51239669416</v>
      </c>
      <c r="C12" s="11">
        <f>'Alquileres+expensas'!H22</f>
        <v>1115773.6800000002</v>
      </c>
      <c r="D12" s="11">
        <f>Personal!U28</f>
        <v>3519916.5464166664</v>
      </c>
      <c r="E12" s="11">
        <f>'Otros gastos'!L23</f>
        <v>210000</v>
      </c>
      <c r="F12" s="5">
        <f t="shared" si="0"/>
        <v>5807608.7388133612</v>
      </c>
    </row>
    <row r="15" spans="1:6" x14ac:dyDescent="0.3">
      <c r="A15" s="51" t="s">
        <v>97</v>
      </c>
    </row>
    <row r="17" spans="1:3" x14ac:dyDescent="0.3">
      <c r="A17" s="62" t="s">
        <v>16</v>
      </c>
      <c r="B17" s="63" t="s">
        <v>57</v>
      </c>
      <c r="C17" s="63" t="s">
        <v>58</v>
      </c>
    </row>
    <row r="18" spans="1:3" x14ac:dyDescent="0.3">
      <c r="A18" s="36" t="s">
        <v>2</v>
      </c>
      <c r="B18" s="11">
        <f>1450*5000</f>
        <v>7250000</v>
      </c>
      <c r="C18" s="11"/>
    </row>
    <row r="19" spans="1:3" x14ac:dyDescent="0.3">
      <c r="A19" s="36" t="s">
        <v>3</v>
      </c>
      <c r="B19" s="11"/>
      <c r="C19" s="11"/>
    </row>
    <row r="20" spans="1:3" x14ac:dyDescent="0.3">
      <c r="A20" s="36" t="s">
        <v>0</v>
      </c>
      <c r="B20" s="11"/>
      <c r="C20" s="11"/>
    </row>
    <row r="21" spans="1:3" x14ac:dyDescent="0.3">
      <c r="A21" s="36" t="s">
        <v>1</v>
      </c>
      <c r="B21" s="11">
        <f>'Alquileres+expensas'!G31</f>
        <v>1448355.716586777</v>
      </c>
      <c r="C21" s="11"/>
    </row>
    <row r="22" spans="1:3" x14ac:dyDescent="0.3">
      <c r="A22" s="34" t="s">
        <v>4</v>
      </c>
      <c r="B22" s="11"/>
      <c r="C22" s="11"/>
    </row>
    <row r="23" spans="1:3" x14ac:dyDescent="0.3">
      <c r="A23" s="34" t="s">
        <v>6</v>
      </c>
      <c r="B23" s="11"/>
      <c r="C23" s="11"/>
    </row>
    <row r="24" spans="1:3" x14ac:dyDescent="0.3">
      <c r="A24" s="34" t="s">
        <v>5</v>
      </c>
      <c r="B24" s="11"/>
      <c r="C24" s="11"/>
    </row>
    <row r="25" spans="1:3" x14ac:dyDescent="0.3">
      <c r="A25" s="34" t="s">
        <v>98</v>
      </c>
      <c r="B25" s="11"/>
      <c r="C2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7"/>
  <sheetViews>
    <sheetView tabSelected="1" zoomScaleNormal="100" workbookViewId="0">
      <pane xSplit="1" topLeftCell="B1" activePane="topRight" state="frozen"/>
      <selection pane="topRight" activeCell="D10" sqref="D10"/>
    </sheetView>
  </sheetViews>
  <sheetFormatPr baseColWidth="10" defaultRowHeight="14.4" x14ac:dyDescent="0.3"/>
  <cols>
    <col min="1" max="1" width="23.6640625" style="3" customWidth="1"/>
    <col min="2" max="2" width="14.77734375" style="1" bestFit="1" customWidth="1"/>
    <col min="3" max="3" width="15.88671875" bestFit="1" customWidth="1"/>
    <col min="4" max="4" width="16.88671875" style="1" customWidth="1"/>
    <col min="5" max="5" width="11.88671875" bestFit="1" customWidth="1"/>
    <col min="6" max="6" width="14.44140625" style="1" bestFit="1" customWidth="1"/>
    <col min="7" max="7" width="11.77734375" bestFit="1" customWidth="1"/>
    <col min="8" max="8" width="20.21875" style="1" customWidth="1"/>
    <col min="9" max="9" width="23.6640625" customWidth="1"/>
    <col min="10" max="10" width="23.77734375" style="1" customWidth="1"/>
    <col min="11" max="11" width="20.5546875" customWidth="1"/>
    <col min="12" max="12" width="23.77734375" style="1" customWidth="1"/>
    <col min="13" max="13" width="20.5546875" customWidth="1"/>
    <col min="14" max="14" width="23.77734375" style="1" customWidth="1"/>
    <col min="15" max="15" width="20.5546875" customWidth="1"/>
  </cols>
  <sheetData>
    <row r="2" spans="1:14" x14ac:dyDescent="0.3">
      <c r="A2" s="2" t="s">
        <v>99</v>
      </c>
      <c r="B2"/>
      <c r="C2" t="s">
        <v>23</v>
      </c>
      <c r="D2" s="16">
        <v>1460</v>
      </c>
      <c r="F2"/>
      <c r="H2"/>
    </row>
    <row r="3" spans="1:14" x14ac:dyDescent="0.3">
      <c r="A3" s="65" t="s">
        <v>16</v>
      </c>
      <c r="B3" s="81" t="s">
        <v>100</v>
      </c>
      <c r="C3" s="81"/>
      <c r="D3" s="68" t="s">
        <v>8</v>
      </c>
      <c r="E3" s="68" t="s">
        <v>20</v>
      </c>
      <c r="F3" s="68" t="s">
        <v>19</v>
      </c>
      <c r="G3" s="68" t="s">
        <v>17</v>
      </c>
      <c r="H3" s="71" t="s">
        <v>106</v>
      </c>
      <c r="I3" s="20"/>
      <c r="J3" s="17"/>
    </row>
    <row r="4" spans="1:14" ht="30" customHeight="1" x14ac:dyDescent="0.3">
      <c r="A4" s="66"/>
      <c r="B4" s="64" t="s">
        <v>21</v>
      </c>
      <c r="C4" s="64" t="s">
        <v>22</v>
      </c>
      <c r="D4" s="69"/>
      <c r="E4" s="69"/>
      <c r="F4" s="69"/>
      <c r="G4" s="69"/>
      <c r="H4" s="72"/>
      <c r="I4" s="20"/>
      <c r="J4" s="17"/>
    </row>
    <row r="5" spans="1:14" x14ac:dyDescent="0.3">
      <c r="A5" s="36" t="s">
        <v>2</v>
      </c>
      <c r="B5" s="31">
        <v>58172539</v>
      </c>
      <c r="C5" s="31">
        <f>B5/1.21</f>
        <v>48076478.512396693</v>
      </c>
      <c r="D5" s="13"/>
      <c r="E5" s="11">
        <f>5000*D2</f>
        <v>7300000</v>
      </c>
      <c r="F5" s="29">
        <f t="shared" ref="F5:F11" si="0">C5*D5</f>
        <v>0</v>
      </c>
      <c r="G5" s="11">
        <f>E5</f>
        <v>7300000</v>
      </c>
      <c r="H5" s="59">
        <f>J16*$N$16+J16</f>
        <v>484460.02500000002</v>
      </c>
      <c r="M5" s="21" t="s">
        <v>96</v>
      </c>
      <c r="N5" s="60">
        <v>0.05</v>
      </c>
    </row>
    <row r="6" spans="1:14" x14ac:dyDescent="0.3">
      <c r="A6" s="36" t="s">
        <v>3</v>
      </c>
      <c r="B6" s="31">
        <v>6304810</v>
      </c>
      <c r="C6" s="31">
        <f t="shared" ref="C6:C11" si="1">B6/1.21</f>
        <v>5210586.7768595042</v>
      </c>
      <c r="D6" s="6">
        <v>0.09</v>
      </c>
      <c r="E6" s="28">
        <v>645612</v>
      </c>
      <c r="F6" s="30">
        <f t="shared" si="0"/>
        <v>468952.80991735536</v>
      </c>
      <c r="G6" s="11">
        <f>IF(F6&gt;E6,F6,E6)</f>
        <v>645612</v>
      </c>
      <c r="H6" s="59">
        <f t="shared" ref="H6:H11" si="2">J17*$N$16+J17</f>
        <v>373184.7</v>
      </c>
      <c r="M6" s="21"/>
      <c r="N6" s="19"/>
    </row>
    <row r="7" spans="1:14" x14ac:dyDescent="0.3">
      <c r="A7" s="36" t="s">
        <v>0</v>
      </c>
      <c r="B7" s="31">
        <v>32000000</v>
      </c>
      <c r="C7" s="31">
        <f t="shared" si="1"/>
        <v>26446280.991735537</v>
      </c>
      <c r="D7" s="6">
        <v>7.0000000000000007E-2</v>
      </c>
      <c r="E7" s="12">
        <v>1157930</v>
      </c>
      <c r="F7" s="30">
        <f t="shared" si="0"/>
        <v>1851239.6694214877</v>
      </c>
      <c r="G7" s="11">
        <f>IF(E7&gt;F7,E7*1.15,F7*1.15)</f>
        <v>2128925.6198347108</v>
      </c>
      <c r="H7" s="59">
        <f t="shared" si="2"/>
        <v>2131510.3004999999</v>
      </c>
      <c r="M7" s="21"/>
      <c r="N7" s="19"/>
    </row>
    <row r="8" spans="1:14" x14ac:dyDescent="0.3">
      <c r="A8" s="36" t="s">
        <v>1</v>
      </c>
      <c r="B8" s="31">
        <v>19965750</v>
      </c>
      <c r="C8" s="31">
        <f t="shared" si="1"/>
        <v>16500619.834710745</v>
      </c>
      <c r="D8" s="14"/>
      <c r="E8" s="12">
        <v>703000</v>
      </c>
      <c r="F8" s="29">
        <f t="shared" si="0"/>
        <v>0</v>
      </c>
      <c r="G8" s="11">
        <f>E8</f>
        <v>703000</v>
      </c>
      <c r="H8" s="59">
        <f t="shared" si="2"/>
        <v>261699.86850000001</v>
      </c>
      <c r="M8" s="21"/>
      <c r="N8" s="19"/>
    </row>
    <row r="9" spans="1:14" x14ac:dyDescent="0.3">
      <c r="A9" s="34" t="s">
        <v>4</v>
      </c>
      <c r="B9" s="31">
        <v>32300000</v>
      </c>
      <c r="C9" s="31">
        <f t="shared" si="1"/>
        <v>26694214.87603306</v>
      </c>
      <c r="D9" s="6">
        <v>0.08</v>
      </c>
      <c r="E9" s="11"/>
      <c r="F9" s="30">
        <f t="shared" si="0"/>
        <v>2135537.190082645</v>
      </c>
      <c r="G9" s="11">
        <f t="shared" ref="G9:G11" si="3">IF(E9&gt;F9,E9,F9)</f>
        <v>2135537.190082645</v>
      </c>
      <c r="H9" s="59">
        <f t="shared" si="2"/>
        <v>565551.32550000004</v>
      </c>
      <c r="M9" s="21"/>
      <c r="N9" s="19"/>
    </row>
    <row r="10" spans="1:14" x14ac:dyDescent="0.3">
      <c r="A10" s="34" t="s">
        <v>6</v>
      </c>
      <c r="B10" s="31">
        <v>14000000</v>
      </c>
      <c r="C10" s="31">
        <f t="shared" si="1"/>
        <v>11570247.933884298</v>
      </c>
      <c r="D10" s="6">
        <v>0.1</v>
      </c>
      <c r="E10" s="11"/>
      <c r="F10" s="30">
        <f t="shared" si="0"/>
        <v>1157024.7933884298</v>
      </c>
      <c r="G10" s="11">
        <f t="shared" si="3"/>
        <v>1157024.7933884298</v>
      </c>
      <c r="H10" s="59">
        <f t="shared" si="2"/>
        <v>565551.32550000004</v>
      </c>
      <c r="M10" s="21"/>
      <c r="N10" s="19"/>
    </row>
    <row r="11" spans="1:14" x14ac:dyDescent="0.3">
      <c r="A11" s="34" t="s">
        <v>5</v>
      </c>
      <c r="B11" s="31">
        <v>18300000</v>
      </c>
      <c r="C11" s="31">
        <f t="shared" si="1"/>
        <v>15123966.94214876</v>
      </c>
      <c r="D11" s="6">
        <v>0.09</v>
      </c>
      <c r="E11" s="26"/>
      <c r="F11" s="30">
        <f t="shared" si="0"/>
        <v>1361157.0247933883</v>
      </c>
      <c r="G11" s="11">
        <f t="shared" si="3"/>
        <v>1361157.0247933883</v>
      </c>
      <c r="H11" s="59">
        <f t="shared" si="2"/>
        <v>1131102.6510000001</v>
      </c>
      <c r="M11" s="21"/>
      <c r="N11" s="19"/>
    </row>
    <row r="13" spans="1:14" x14ac:dyDescent="0.3">
      <c r="A13" s="2" t="s">
        <v>102</v>
      </c>
      <c r="B13"/>
      <c r="C13" t="s">
        <v>23</v>
      </c>
      <c r="D13" s="16">
        <v>1400</v>
      </c>
      <c r="F13"/>
      <c r="H13"/>
    </row>
    <row r="14" spans="1:14" x14ac:dyDescent="0.3">
      <c r="A14" s="65" t="s">
        <v>16</v>
      </c>
      <c r="B14" s="67" t="s">
        <v>101</v>
      </c>
      <c r="C14" s="67"/>
      <c r="D14" s="68" t="s">
        <v>8</v>
      </c>
      <c r="E14" s="68" t="s">
        <v>20</v>
      </c>
      <c r="F14" s="68" t="s">
        <v>19</v>
      </c>
      <c r="G14" s="71" t="s">
        <v>103</v>
      </c>
      <c r="H14" s="71" t="s">
        <v>26</v>
      </c>
      <c r="I14" s="82" t="s">
        <v>104</v>
      </c>
      <c r="J14" s="82" t="s">
        <v>105</v>
      </c>
      <c r="M14" s="20"/>
      <c r="N14" s="17"/>
    </row>
    <row r="15" spans="1:14" ht="30" customHeight="1" x14ac:dyDescent="0.3">
      <c r="A15" s="66"/>
      <c r="B15" s="15" t="s">
        <v>21</v>
      </c>
      <c r="C15" s="15" t="s">
        <v>22</v>
      </c>
      <c r="D15" s="69"/>
      <c r="E15" s="69"/>
      <c r="F15" s="69"/>
      <c r="G15" s="72"/>
      <c r="H15" s="72"/>
      <c r="I15" s="82"/>
      <c r="J15" s="82"/>
      <c r="M15" s="20"/>
      <c r="N15" s="17"/>
    </row>
    <row r="16" spans="1:14" x14ac:dyDescent="0.3">
      <c r="A16" s="36" t="s">
        <v>2</v>
      </c>
      <c r="B16" s="31">
        <v>61574791</v>
      </c>
      <c r="C16" s="31">
        <f>B16/1.21</f>
        <v>50888257.024793386</v>
      </c>
      <c r="D16" s="13"/>
      <c r="E16" s="11">
        <f>5000*D13</f>
        <v>7000000</v>
      </c>
      <c r="F16" s="29">
        <f t="shared" ref="F16:F22" si="4">C16*D16</f>
        <v>0</v>
      </c>
      <c r="G16" s="11">
        <f>E16</f>
        <v>7000000</v>
      </c>
      <c r="H16" s="59">
        <f>H29*$N$16+H29</f>
        <v>315462.52500000002</v>
      </c>
      <c r="I16" s="25">
        <v>7275000</v>
      </c>
      <c r="J16" s="33">
        <v>461390.5</v>
      </c>
      <c r="M16" s="21" t="s">
        <v>96</v>
      </c>
      <c r="N16" s="60">
        <v>0.05</v>
      </c>
    </row>
    <row r="17" spans="1:12" x14ac:dyDescent="0.3">
      <c r="A17" s="36" t="s">
        <v>3</v>
      </c>
      <c r="B17" s="31">
        <v>4814090</v>
      </c>
      <c r="C17" s="31">
        <f t="shared" ref="C17:C22" si="5">B17/1.21</f>
        <v>3978586.7768595042</v>
      </c>
      <c r="D17" s="6">
        <v>0.09</v>
      </c>
      <c r="E17" s="28">
        <v>644652</v>
      </c>
      <c r="F17" s="30">
        <f t="shared" si="4"/>
        <v>358072.80991735536</v>
      </c>
      <c r="G17" s="11">
        <f>IF(F17&gt;E17,F17,E17)</f>
        <v>644652</v>
      </c>
      <c r="H17" s="59">
        <f>H30*$N$16+H30</f>
        <v>355772.69700000004</v>
      </c>
      <c r="I17" s="25">
        <v>599275</v>
      </c>
      <c r="J17" s="33">
        <v>355414</v>
      </c>
    </row>
    <row r="18" spans="1:12" x14ac:dyDescent="0.3">
      <c r="A18" s="36" t="s">
        <v>0</v>
      </c>
      <c r="B18" s="31">
        <v>22604180</v>
      </c>
      <c r="C18" s="31">
        <f t="shared" si="5"/>
        <v>18681140.49586777</v>
      </c>
      <c r="D18" s="6">
        <v>7.0000000000000007E-2</v>
      </c>
      <c r="E18" s="12">
        <v>1155707</v>
      </c>
      <c r="F18" s="30">
        <f t="shared" si="4"/>
        <v>1307679.834710744</v>
      </c>
      <c r="G18" s="11">
        <f>IF(E18&gt;F18,E18*1.15,F18*1.15)</f>
        <v>1503831.8099173554</v>
      </c>
      <c r="H18" s="59">
        <f>H31*$N$16+H31</f>
        <v>2045417.325</v>
      </c>
      <c r="I18" s="25">
        <v>1572090</v>
      </c>
      <c r="J18" s="33">
        <v>2030009.81</v>
      </c>
    </row>
    <row r="19" spans="1:12" x14ac:dyDescent="0.3">
      <c r="A19" s="36" t="s">
        <v>1</v>
      </c>
      <c r="B19" s="31">
        <v>17753290</v>
      </c>
      <c r="C19" s="31">
        <f t="shared" si="5"/>
        <v>14672140.495867768</v>
      </c>
      <c r="D19" s="14"/>
      <c r="E19" s="12">
        <v>703000</v>
      </c>
      <c r="F19" s="29">
        <f t="shared" si="4"/>
        <v>0</v>
      </c>
      <c r="G19" s="11">
        <f>E19</f>
        <v>703000</v>
      </c>
      <c r="H19" s="59">
        <f>H32*$N$16+H32</f>
        <v>231882</v>
      </c>
      <c r="I19" s="25">
        <v>703000</v>
      </c>
      <c r="J19" s="33">
        <v>249237.97</v>
      </c>
    </row>
    <row r="20" spans="1:12" x14ac:dyDescent="0.3">
      <c r="A20" s="34" t="s">
        <v>4</v>
      </c>
      <c r="B20" s="31">
        <v>33134540</v>
      </c>
      <c r="C20" s="31">
        <f t="shared" si="5"/>
        <v>27383917.3553719</v>
      </c>
      <c r="D20" s="6">
        <v>0.08</v>
      </c>
      <c r="E20" s="11">
        <v>928265</v>
      </c>
      <c r="F20" s="30">
        <f t="shared" si="4"/>
        <v>2190713.3884297521</v>
      </c>
      <c r="G20" s="11">
        <f t="shared" ref="G20:G22" si="6">IF(E20&gt;F20,E20,F20)</f>
        <v>2190713.3884297521</v>
      </c>
      <c r="H20" s="59">
        <f>H33*$N$16+H33</f>
        <v>557886.84000000008</v>
      </c>
      <c r="I20" s="25">
        <v>2190647</v>
      </c>
      <c r="J20" s="33">
        <v>538620.31000000006</v>
      </c>
    </row>
    <row r="21" spans="1:12" x14ac:dyDescent="0.3">
      <c r="A21" s="34" t="s">
        <v>6</v>
      </c>
      <c r="B21" s="31">
        <v>12808500</v>
      </c>
      <c r="C21" s="31">
        <f t="shared" si="5"/>
        <v>10585537.190082645</v>
      </c>
      <c r="D21" s="6">
        <v>0.1</v>
      </c>
      <c r="E21" s="11">
        <v>955000</v>
      </c>
      <c r="F21" s="30">
        <f t="shared" si="4"/>
        <v>1058553.7190082646</v>
      </c>
      <c r="G21" s="11">
        <f t="shared" si="6"/>
        <v>1058553.7190082646</v>
      </c>
      <c r="H21" s="59">
        <f>H34*$N$16+H34</f>
        <v>557886.84000000008</v>
      </c>
      <c r="I21" s="25">
        <v>1058553</v>
      </c>
      <c r="J21" s="33">
        <v>538620.31000000006</v>
      </c>
    </row>
    <row r="22" spans="1:12" x14ac:dyDescent="0.3">
      <c r="A22" s="34" t="s">
        <v>5</v>
      </c>
      <c r="B22" s="31">
        <v>12932460</v>
      </c>
      <c r="C22" s="31">
        <f t="shared" si="5"/>
        <v>10687983.47107438</v>
      </c>
      <c r="D22" s="6">
        <v>0.09</v>
      </c>
      <c r="E22" s="26">
        <v>836100</v>
      </c>
      <c r="F22" s="30">
        <f t="shared" si="4"/>
        <v>961918.51239669416</v>
      </c>
      <c r="G22" s="11">
        <f t="shared" si="6"/>
        <v>961918.51239669416</v>
      </c>
      <c r="H22" s="59">
        <f>H35*$N$16+H35</f>
        <v>1115773.6800000002</v>
      </c>
      <c r="I22" s="25">
        <v>957292.11</v>
      </c>
      <c r="J22" s="33">
        <v>1077240.6200000001</v>
      </c>
    </row>
    <row r="23" spans="1:12" x14ac:dyDescent="0.3">
      <c r="A23" s="37"/>
    </row>
    <row r="24" spans="1:12" x14ac:dyDescent="0.3">
      <c r="A24" s="37"/>
    </row>
    <row r="26" spans="1:12" x14ac:dyDescent="0.3">
      <c r="A26" s="2" t="s">
        <v>18</v>
      </c>
      <c r="B26"/>
      <c r="C26" t="s">
        <v>27</v>
      </c>
      <c r="D26" s="16">
        <v>1400</v>
      </c>
      <c r="F26"/>
      <c r="H26"/>
    </row>
    <row r="27" spans="1:12" x14ac:dyDescent="0.3">
      <c r="A27" s="70" t="s">
        <v>16</v>
      </c>
      <c r="B27" s="67" t="s">
        <v>28</v>
      </c>
      <c r="C27" s="67"/>
      <c r="D27" s="67" t="s">
        <v>8</v>
      </c>
      <c r="E27" s="68" t="s">
        <v>20</v>
      </c>
      <c r="F27" s="68" t="s">
        <v>19</v>
      </c>
      <c r="G27" s="68" t="s">
        <v>17</v>
      </c>
      <c r="H27" s="75" t="s">
        <v>24</v>
      </c>
      <c r="I27" s="73"/>
      <c r="J27" s="74"/>
      <c r="K27" s="74"/>
      <c r="L27" s="22"/>
    </row>
    <row r="28" spans="1:12" x14ac:dyDescent="0.3">
      <c r="A28" s="70"/>
      <c r="B28" s="9" t="s">
        <v>9</v>
      </c>
      <c r="C28" s="9" t="s">
        <v>10</v>
      </c>
      <c r="D28" s="67"/>
      <c r="E28" s="69"/>
      <c r="F28" s="69"/>
      <c r="G28" s="69"/>
      <c r="H28" s="76"/>
      <c r="I28" s="24"/>
      <c r="J28" s="23"/>
      <c r="K28" s="74"/>
      <c r="L28" s="22"/>
    </row>
    <row r="29" spans="1:12" x14ac:dyDescent="0.3">
      <c r="A29" s="36" t="s">
        <v>2</v>
      </c>
      <c r="B29" s="25">
        <v>45735238.490000002</v>
      </c>
      <c r="C29" s="31">
        <f>B29/1.21</f>
        <v>37797717.76033058</v>
      </c>
      <c r="D29" s="13"/>
      <c r="E29" s="11">
        <f>5000*D26</f>
        <v>7000000</v>
      </c>
      <c r="F29" s="29">
        <f t="shared" ref="F29:F35" si="7">C29*D29</f>
        <v>0</v>
      </c>
      <c r="G29" s="11">
        <f>E29</f>
        <v>7000000</v>
      </c>
      <c r="H29" s="27">
        <v>300440.5</v>
      </c>
      <c r="I29" s="21"/>
      <c r="J29" s="19"/>
      <c r="K29" s="18"/>
      <c r="L29" s="22"/>
    </row>
    <row r="30" spans="1:12" x14ac:dyDescent="0.3">
      <c r="A30" s="36" t="s">
        <v>3</v>
      </c>
      <c r="B30" s="25">
        <v>4168817.5</v>
      </c>
      <c r="C30" s="31">
        <f t="shared" ref="C30:C35" si="8">B30/1.21</f>
        <v>3445303.7190082646</v>
      </c>
      <c r="D30" s="6">
        <v>0.09</v>
      </c>
      <c r="E30" s="30">
        <v>599275.1</v>
      </c>
      <c r="F30" s="30">
        <f t="shared" si="7"/>
        <v>310077.3347107438</v>
      </c>
      <c r="G30" s="11">
        <f>IF(F30&gt;E30,F30,E30)</f>
        <v>599275.1</v>
      </c>
      <c r="H30" s="27">
        <v>338831.14</v>
      </c>
      <c r="I30" s="21"/>
      <c r="J30" s="19"/>
      <c r="K30" s="18"/>
      <c r="L30" s="22"/>
    </row>
    <row r="31" spans="1:12" x14ac:dyDescent="0.3">
      <c r="A31" s="36" t="s">
        <v>0</v>
      </c>
      <c r="B31" s="25">
        <v>21770315.739999998</v>
      </c>
      <c r="C31" s="31">
        <f t="shared" si="8"/>
        <v>17991996.479338843</v>
      </c>
      <c r="D31" s="6">
        <v>7.0000000000000007E-2</v>
      </c>
      <c r="E31" s="12">
        <v>1092714</v>
      </c>
      <c r="F31" s="30">
        <f t="shared" si="7"/>
        <v>1259439.7535537193</v>
      </c>
      <c r="G31" s="11">
        <f>IF(E31&gt;F31,E31*1.15,F31*1.15)</f>
        <v>1448355.716586777</v>
      </c>
      <c r="H31" s="35">
        <v>1948016.5</v>
      </c>
      <c r="I31" s="21"/>
      <c r="J31" s="19"/>
      <c r="K31" s="18"/>
      <c r="L31" s="22"/>
    </row>
    <row r="32" spans="1:12" x14ac:dyDescent="0.3">
      <c r="A32" s="36" t="s">
        <v>1</v>
      </c>
      <c r="B32" s="25">
        <v>16141623</v>
      </c>
      <c r="C32" s="31">
        <f t="shared" si="8"/>
        <v>13340184.297520662</v>
      </c>
      <c r="D32" s="14"/>
      <c r="E32" s="12">
        <v>703000</v>
      </c>
      <c r="F32" s="29">
        <f t="shared" si="7"/>
        <v>0</v>
      </c>
      <c r="G32" s="11">
        <f>E32</f>
        <v>703000</v>
      </c>
      <c r="H32" s="27">
        <v>220840</v>
      </c>
      <c r="I32" s="21"/>
      <c r="J32" s="19"/>
      <c r="K32" s="18"/>
      <c r="L32" s="22"/>
    </row>
    <row r="33" spans="1:12" x14ac:dyDescent="0.3">
      <c r="A33" s="34" t="s">
        <v>4</v>
      </c>
      <c r="B33" s="25">
        <v>34037279.990000002</v>
      </c>
      <c r="C33" s="31">
        <f t="shared" si="8"/>
        <v>28129983.46280992</v>
      </c>
      <c r="D33" s="6">
        <v>0.08</v>
      </c>
      <c r="E33" s="11">
        <v>928265</v>
      </c>
      <c r="F33" s="30">
        <f t="shared" si="7"/>
        <v>2250398.6770247938</v>
      </c>
      <c r="G33" s="11">
        <f t="shared" ref="G33:G35" si="9">IF(E33&gt;F33,E33,F33)</f>
        <v>2250398.6770247938</v>
      </c>
      <c r="H33" s="27">
        <v>531320.80000000005</v>
      </c>
      <c r="I33" s="21"/>
      <c r="J33" s="19"/>
      <c r="K33" s="18"/>
      <c r="L33" s="22"/>
    </row>
    <row r="34" spans="1:12" x14ac:dyDescent="0.3">
      <c r="A34" s="34" t="s">
        <v>6</v>
      </c>
      <c r="B34" s="25">
        <v>10898600.01</v>
      </c>
      <c r="C34" s="31">
        <f t="shared" si="8"/>
        <v>9007107.4462809917</v>
      </c>
      <c r="D34" s="6">
        <v>0.1</v>
      </c>
      <c r="E34" s="11">
        <v>887700</v>
      </c>
      <c r="F34" s="30">
        <f t="shared" si="7"/>
        <v>900710.74462809926</v>
      </c>
      <c r="G34" s="11">
        <f t="shared" si="9"/>
        <v>900710.74462809926</v>
      </c>
      <c r="H34" s="27">
        <v>531320.80000000005</v>
      </c>
      <c r="I34" s="21"/>
      <c r="J34" s="19"/>
      <c r="K34" s="18"/>
      <c r="L34" s="22"/>
    </row>
    <row r="35" spans="1:12" x14ac:dyDescent="0.3">
      <c r="A35" s="34" t="s">
        <v>5</v>
      </c>
      <c r="B35" s="25">
        <v>14676490.01</v>
      </c>
      <c r="C35" s="31">
        <f t="shared" si="8"/>
        <v>12129330.58677686</v>
      </c>
      <c r="D35" s="6">
        <v>0.09</v>
      </c>
      <c r="E35" s="26">
        <v>836100</v>
      </c>
      <c r="F35" s="30">
        <f t="shared" si="7"/>
        <v>1091639.7528099173</v>
      </c>
      <c r="G35" s="11">
        <f t="shared" si="9"/>
        <v>1091639.7528099173</v>
      </c>
      <c r="H35" s="27">
        <v>1062641.6000000001</v>
      </c>
      <c r="I35" s="21"/>
      <c r="J35" s="19"/>
      <c r="K35" s="18"/>
      <c r="L35" s="22"/>
    </row>
    <row r="38" spans="1:12" x14ac:dyDescent="0.3">
      <c r="A38" s="2" t="s">
        <v>15</v>
      </c>
      <c r="B38"/>
      <c r="D38"/>
      <c r="F38"/>
      <c r="H38"/>
    </row>
    <row r="39" spans="1:12" s="3" customFormat="1" x14ac:dyDescent="0.3">
      <c r="A39" s="70" t="s">
        <v>16</v>
      </c>
      <c r="B39" s="67" t="s">
        <v>7</v>
      </c>
      <c r="C39" s="67"/>
      <c r="D39" s="67" t="s">
        <v>8</v>
      </c>
      <c r="E39" s="67" t="s">
        <v>14</v>
      </c>
      <c r="F39" s="67"/>
      <c r="G39" s="67" t="s">
        <v>11</v>
      </c>
      <c r="H39" s="67"/>
      <c r="I39" s="67" t="s">
        <v>17</v>
      </c>
      <c r="J39" s="67"/>
      <c r="K39" s="71" t="s">
        <v>25</v>
      </c>
      <c r="L39" s="8"/>
    </row>
    <row r="40" spans="1:12" s="10" customFormat="1" x14ac:dyDescent="0.3">
      <c r="A40" s="70"/>
      <c r="B40" s="9" t="s">
        <v>9</v>
      </c>
      <c r="C40" s="9" t="s">
        <v>10</v>
      </c>
      <c r="D40" s="67"/>
      <c r="E40" s="9" t="s">
        <v>12</v>
      </c>
      <c r="F40" s="9" t="s">
        <v>13</v>
      </c>
      <c r="G40" s="9" t="s">
        <v>12</v>
      </c>
      <c r="H40" s="9" t="s">
        <v>13</v>
      </c>
      <c r="I40" s="9" t="s">
        <v>12</v>
      </c>
      <c r="J40" s="9" t="s">
        <v>13</v>
      </c>
      <c r="K40" s="72"/>
    </row>
    <row r="41" spans="1:12" x14ac:dyDescent="0.3">
      <c r="A41" s="36" t="s">
        <v>2</v>
      </c>
      <c r="B41" s="31">
        <v>35622735</v>
      </c>
      <c r="C41" s="31">
        <f t="shared" ref="C41:C47" si="10">B41/1.21</f>
        <v>29440276.859504133</v>
      </c>
      <c r="D41" s="13"/>
      <c r="E41" s="11"/>
      <c r="F41" s="11">
        <v>6550000</v>
      </c>
      <c r="G41" s="29">
        <f t="shared" ref="G41:G47" si="11">C41*D41</f>
        <v>0</v>
      </c>
      <c r="H41" s="32"/>
      <c r="I41" s="11">
        <f>E41</f>
        <v>0</v>
      </c>
      <c r="J41" s="33">
        <f t="shared" ref="J41:J47" si="12">H41+F41</f>
        <v>6550000</v>
      </c>
      <c r="K41" s="30">
        <v>407740.5</v>
      </c>
    </row>
    <row r="42" spans="1:12" x14ac:dyDescent="0.3">
      <c r="A42" s="36" t="s">
        <v>3</v>
      </c>
      <c r="B42" s="31">
        <v>4523190</v>
      </c>
      <c r="C42" s="31">
        <f t="shared" si="10"/>
        <v>3738173.5537190083</v>
      </c>
      <c r="D42" s="6">
        <v>0.09</v>
      </c>
      <c r="E42" s="12">
        <v>599544</v>
      </c>
      <c r="F42" s="30">
        <v>599275.1</v>
      </c>
      <c r="G42" s="30">
        <f t="shared" si="11"/>
        <v>336435.61983471073</v>
      </c>
      <c r="H42" s="32"/>
      <c r="I42" s="11">
        <f>IF(G42&gt;E42,G42,E42)</f>
        <v>599544</v>
      </c>
      <c r="J42" s="33">
        <f t="shared" si="12"/>
        <v>599275.1</v>
      </c>
      <c r="K42" s="7">
        <v>328003.06</v>
      </c>
    </row>
    <row r="43" spans="1:12" x14ac:dyDescent="0.3">
      <c r="A43" s="36" t="s">
        <v>0</v>
      </c>
      <c r="B43" s="31">
        <v>18589226</v>
      </c>
      <c r="C43" s="31">
        <f t="shared" si="10"/>
        <v>15362996.694214877</v>
      </c>
      <c r="D43" s="6">
        <v>7.0000000000000007E-2</v>
      </c>
      <c r="E43" s="12">
        <v>1092714</v>
      </c>
      <c r="F43" s="7">
        <v>1299988.6000000001</v>
      </c>
      <c r="G43" s="30">
        <f t="shared" si="11"/>
        <v>1075409.7685950415</v>
      </c>
      <c r="H43" s="32"/>
      <c r="I43" s="11">
        <f>IF(G43&gt;E43,G43,E43)</f>
        <v>1092714</v>
      </c>
      <c r="J43" s="33">
        <f t="shared" si="12"/>
        <v>1299988.6000000001</v>
      </c>
      <c r="K43" s="7">
        <v>1901854.12</v>
      </c>
    </row>
    <row r="44" spans="1:12" x14ac:dyDescent="0.3">
      <c r="A44" s="36" t="s">
        <v>1</v>
      </c>
      <c r="B44" s="31">
        <v>15519341</v>
      </c>
      <c r="C44" s="31">
        <f t="shared" si="10"/>
        <v>12825901.652892562</v>
      </c>
      <c r="D44" s="14"/>
      <c r="E44" s="12">
        <v>663059</v>
      </c>
      <c r="F44" s="30">
        <v>667200</v>
      </c>
      <c r="G44" s="29">
        <f t="shared" si="11"/>
        <v>0</v>
      </c>
      <c r="H44" s="32"/>
      <c r="I44" s="11">
        <f>E44</f>
        <v>663059</v>
      </c>
      <c r="J44" s="33">
        <f t="shared" si="12"/>
        <v>667200</v>
      </c>
      <c r="K44" s="30">
        <v>242602</v>
      </c>
    </row>
    <row r="45" spans="1:12" x14ac:dyDescent="0.3">
      <c r="A45" s="34" t="s">
        <v>4</v>
      </c>
      <c r="B45" s="31">
        <v>26482450</v>
      </c>
      <c r="C45" s="31">
        <f t="shared" si="10"/>
        <v>21886322.314049587</v>
      </c>
      <c r="D45" s="6">
        <v>0.08</v>
      </c>
      <c r="E45" s="11"/>
      <c r="F45" s="11">
        <v>928265</v>
      </c>
      <c r="G45" s="30">
        <f t="shared" si="11"/>
        <v>1750905.7851239669</v>
      </c>
      <c r="H45" s="7">
        <v>813248.44</v>
      </c>
      <c r="I45" s="11">
        <f>E45+G45</f>
        <v>1750905.7851239669</v>
      </c>
      <c r="J45" s="33">
        <f t="shared" si="12"/>
        <v>1741513.44</v>
      </c>
      <c r="K45" s="11">
        <v>573285.05000000005</v>
      </c>
    </row>
    <row r="46" spans="1:12" x14ac:dyDescent="0.3">
      <c r="A46" s="34" t="s">
        <v>6</v>
      </c>
      <c r="B46" s="31">
        <v>9569768</v>
      </c>
      <c r="C46" s="31">
        <f t="shared" si="10"/>
        <v>7908899.1735537192</v>
      </c>
      <c r="D46" s="6">
        <v>0.1</v>
      </c>
      <c r="E46" s="11"/>
      <c r="F46" s="11">
        <v>887700</v>
      </c>
      <c r="G46" s="30">
        <f t="shared" si="11"/>
        <v>790889.91735537199</v>
      </c>
      <c r="H46" s="34"/>
      <c r="I46" s="11">
        <f>E46+G46</f>
        <v>790889.91735537199</v>
      </c>
      <c r="J46" s="33">
        <f t="shared" si="12"/>
        <v>887700</v>
      </c>
      <c r="K46" s="11">
        <f>K45</f>
        <v>573285.05000000005</v>
      </c>
    </row>
    <row r="47" spans="1:12" x14ac:dyDescent="0.3">
      <c r="A47" s="34" t="s">
        <v>5</v>
      </c>
      <c r="B47" s="31">
        <v>20997170</v>
      </c>
      <c r="C47" s="31">
        <f t="shared" si="10"/>
        <v>17353033.05785124</v>
      </c>
      <c r="D47" s="6">
        <v>0.09</v>
      </c>
      <c r="E47" s="11"/>
      <c r="F47" s="11">
        <v>836100</v>
      </c>
      <c r="G47" s="30">
        <f t="shared" si="11"/>
        <v>1561772.9752066114</v>
      </c>
      <c r="H47" s="7">
        <v>733664.97</v>
      </c>
      <c r="I47" s="11">
        <f>E47+G47</f>
        <v>1561772.9752066114</v>
      </c>
      <c r="J47" s="33">
        <f t="shared" si="12"/>
        <v>1569764.97</v>
      </c>
      <c r="K47" s="11">
        <v>1146570.1000000001</v>
      </c>
    </row>
  </sheetData>
  <mergeCells count="32">
    <mergeCell ref="G3:G4"/>
    <mergeCell ref="H3:H4"/>
    <mergeCell ref="I14:I15"/>
    <mergeCell ref="J14:J15"/>
    <mergeCell ref="A3:A4"/>
    <mergeCell ref="B3:C3"/>
    <mergeCell ref="D3:D4"/>
    <mergeCell ref="E3:E4"/>
    <mergeCell ref="F3:F4"/>
    <mergeCell ref="F14:F15"/>
    <mergeCell ref="G14:G15"/>
    <mergeCell ref="H14:H15"/>
    <mergeCell ref="E27:E28"/>
    <mergeCell ref="F27:F28"/>
    <mergeCell ref="G27:G28"/>
    <mergeCell ref="H27:H28"/>
    <mergeCell ref="A14:A15"/>
    <mergeCell ref="B14:C14"/>
    <mergeCell ref="D14:D15"/>
    <mergeCell ref="A39:A40"/>
    <mergeCell ref="K39:K40"/>
    <mergeCell ref="I39:J39"/>
    <mergeCell ref="B39:C39"/>
    <mergeCell ref="D39:D40"/>
    <mergeCell ref="G39:H39"/>
    <mergeCell ref="E39:F39"/>
    <mergeCell ref="I27:J27"/>
    <mergeCell ref="K27:K28"/>
    <mergeCell ref="A27:A28"/>
    <mergeCell ref="B27:C27"/>
    <mergeCell ref="D27:D28"/>
    <mergeCell ref="E14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zoomScale="120" zoomScaleNormal="12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E1" sqref="E1"/>
    </sheetView>
  </sheetViews>
  <sheetFormatPr baseColWidth="10" defaultRowHeight="14.4" x14ac:dyDescent="0.3"/>
  <cols>
    <col min="1" max="1" width="6.33203125" bestFit="1" customWidth="1"/>
    <col min="2" max="2" width="20.88671875" bestFit="1" customWidth="1"/>
    <col min="3" max="3" width="17.21875" bestFit="1" customWidth="1"/>
    <col min="4" max="4" width="17.21875" customWidth="1"/>
    <col min="5" max="5" width="11.6640625" bestFit="1" customWidth="1"/>
    <col min="6" max="6" width="13" bestFit="1" customWidth="1"/>
    <col min="7" max="7" width="13.33203125" bestFit="1" customWidth="1"/>
    <col min="8" max="9" width="16.33203125" bestFit="1" customWidth="1"/>
    <col min="11" max="11" width="12" bestFit="1" customWidth="1"/>
    <col min="12" max="12" width="12.6640625" bestFit="1" customWidth="1"/>
    <col min="14" max="14" width="14.33203125" bestFit="1" customWidth="1"/>
    <col min="15" max="20" width="11.88671875" bestFit="1" customWidth="1"/>
    <col min="21" max="21" width="12.44140625" bestFit="1" customWidth="1"/>
    <col min="22" max="22" width="12.6640625" bestFit="1" customWidth="1"/>
  </cols>
  <sheetData>
    <row r="1" spans="1:21" x14ac:dyDescent="0.3">
      <c r="A1" s="2" t="s">
        <v>62</v>
      </c>
      <c r="D1" s="61">
        <v>2.5000000000000001E-2</v>
      </c>
    </row>
    <row r="2" spans="1:21" s="54" customFormat="1" ht="43.2" x14ac:dyDescent="0.3">
      <c r="A2" s="41" t="s">
        <v>63</v>
      </c>
      <c r="B2" s="53" t="s">
        <v>64</v>
      </c>
      <c r="C2" s="41" t="s">
        <v>94</v>
      </c>
      <c r="D2" s="58" t="s">
        <v>95</v>
      </c>
      <c r="E2" s="41" t="s">
        <v>2</v>
      </c>
      <c r="F2" s="41" t="s">
        <v>3</v>
      </c>
      <c r="G2" s="41" t="s">
        <v>0</v>
      </c>
      <c r="H2" s="41" t="s">
        <v>65</v>
      </c>
      <c r="I2" s="41" t="s">
        <v>66</v>
      </c>
      <c r="J2" s="41" t="s">
        <v>1</v>
      </c>
      <c r="K2" s="41" t="s">
        <v>67</v>
      </c>
      <c r="L2" s="41" t="s">
        <v>68</v>
      </c>
      <c r="O2" s="41" t="s">
        <v>2</v>
      </c>
      <c r="P2" s="41" t="s">
        <v>3</v>
      </c>
      <c r="Q2" s="41" t="s">
        <v>0</v>
      </c>
      <c r="R2" s="41" t="s">
        <v>65</v>
      </c>
      <c r="S2" s="41" t="s">
        <v>66</v>
      </c>
      <c r="T2" s="41" t="s">
        <v>1</v>
      </c>
      <c r="U2" s="41" t="s">
        <v>67</v>
      </c>
    </row>
    <row r="3" spans="1:21" x14ac:dyDescent="0.3">
      <c r="A3" s="4">
        <v>1</v>
      </c>
      <c r="B3" s="4" t="s">
        <v>69</v>
      </c>
      <c r="C3" s="11">
        <f>VLOOKUP(A3,[1]Listado!$A$2:$Q$28,17,FALSE)</f>
        <v>10040.928632478632</v>
      </c>
      <c r="D3" s="11">
        <f>C3*$D$1+C3</f>
        <v>10291.951848290597</v>
      </c>
      <c r="E3" s="4">
        <v>117</v>
      </c>
      <c r="F3" s="4"/>
      <c r="G3" s="4"/>
      <c r="H3" s="4"/>
      <c r="I3" s="4"/>
      <c r="J3" s="4"/>
      <c r="K3" s="4"/>
      <c r="L3" s="4">
        <f t="shared" ref="L3:L28" si="0">SUM(E3:K3)</f>
        <v>117</v>
      </c>
      <c r="N3" s="16"/>
      <c r="O3" s="5">
        <f t="shared" ref="O3:U3" si="1">E3*$D3</f>
        <v>1204158.3662499997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</row>
    <row r="4" spans="1:21" x14ac:dyDescent="0.3">
      <c r="A4" s="4">
        <v>3</v>
      </c>
      <c r="B4" s="4" t="s">
        <v>70</v>
      </c>
      <c r="C4" s="11">
        <f>VLOOKUP(A4,[1]Listado!$A$2:$Q$28,17,FALSE)</f>
        <v>9702.526803278688</v>
      </c>
      <c r="D4" s="11">
        <f t="shared" ref="D4:D27" si="2">C4*$D$1+C4</f>
        <v>9945.0899733606548</v>
      </c>
      <c r="E4" s="4">
        <v>122</v>
      </c>
      <c r="F4" s="4"/>
      <c r="G4" s="4"/>
      <c r="H4" s="4"/>
      <c r="I4" s="4"/>
      <c r="J4" s="4"/>
      <c r="K4" s="4"/>
      <c r="L4" s="4">
        <f t="shared" si="0"/>
        <v>122</v>
      </c>
      <c r="O4" s="5">
        <f t="shared" ref="O4:U27" si="3">E4*$D4</f>
        <v>1213300.9767499999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</row>
    <row r="5" spans="1:21" x14ac:dyDescent="0.3">
      <c r="A5" s="4">
        <v>4</v>
      </c>
      <c r="B5" s="4" t="s">
        <v>71</v>
      </c>
      <c r="C5" s="11">
        <f>VLOOKUP(A5,[1]Listado!$A$2:$Q$28,17,FALSE)</f>
        <v>9963.72223076923</v>
      </c>
      <c r="D5" s="11">
        <f t="shared" si="2"/>
        <v>10212.81528653846</v>
      </c>
      <c r="E5" s="4">
        <v>130</v>
      </c>
      <c r="F5" s="4"/>
      <c r="G5" s="4"/>
      <c r="H5" s="4"/>
      <c r="I5" s="4"/>
      <c r="J5" s="4"/>
      <c r="K5" s="4"/>
      <c r="L5" s="4">
        <f t="shared" si="0"/>
        <v>130</v>
      </c>
      <c r="O5" s="5">
        <f t="shared" si="3"/>
        <v>1327665.9872499998</v>
      </c>
      <c r="P5" s="5">
        <f t="shared" si="3"/>
        <v>0</v>
      </c>
      <c r="Q5" s="5">
        <f t="shared" si="3"/>
        <v>0</v>
      </c>
      <c r="R5" s="5">
        <f t="shared" si="3"/>
        <v>0</v>
      </c>
      <c r="S5" s="5">
        <f t="shared" si="3"/>
        <v>0</v>
      </c>
      <c r="T5" s="5">
        <f t="shared" si="3"/>
        <v>0</v>
      </c>
      <c r="U5" s="5">
        <f t="shared" si="3"/>
        <v>0</v>
      </c>
    </row>
    <row r="6" spans="1:21" x14ac:dyDescent="0.3">
      <c r="A6" s="4">
        <v>5</v>
      </c>
      <c r="B6" s="4" t="s">
        <v>72</v>
      </c>
      <c r="C6" s="11">
        <f>VLOOKUP(A6,[1]Listado!$A$2:$Q$28,17,FALSE)</f>
        <v>9042.4031818181811</v>
      </c>
      <c r="D6" s="11">
        <f t="shared" si="2"/>
        <v>9268.463261363635</v>
      </c>
      <c r="E6" s="4"/>
      <c r="F6" s="4"/>
      <c r="G6" s="4"/>
      <c r="H6" s="4"/>
      <c r="I6" s="4"/>
      <c r="J6" s="4"/>
      <c r="K6" s="4"/>
      <c r="L6" s="4">
        <f t="shared" si="0"/>
        <v>0</v>
      </c>
      <c r="O6" s="5">
        <f t="shared" si="3"/>
        <v>0</v>
      </c>
      <c r="P6" s="5">
        <f t="shared" si="3"/>
        <v>0</v>
      </c>
      <c r="Q6" s="5">
        <f t="shared" si="3"/>
        <v>0</v>
      </c>
      <c r="R6" s="5">
        <f t="shared" si="3"/>
        <v>0</v>
      </c>
      <c r="S6" s="5">
        <f t="shared" si="3"/>
        <v>0</v>
      </c>
      <c r="T6" s="5">
        <f t="shared" si="3"/>
        <v>0</v>
      </c>
      <c r="U6" s="5">
        <f t="shared" si="3"/>
        <v>0</v>
      </c>
    </row>
    <row r="7" spans="1:21" x14ac:dyDescent="0.3">
      <c r="A7" s="4">
        <v>6</v>
      </c>
      <c r="B7" s="4" t="s">
        <v>73</v>
      </c>
      <c r="C7" s="11">
        <f>VLOOKUP(A7,[1]Listado!$A$2:$Q$28,17,FALSE)</f>
        <v>9272.548039215686</v>
      </c>
      <c r="D7" s="11">
        <f t="shared" si="2"/>
        <v>9504.3617401960782</v>
      </c>
      <c r="E7" s="4">
        <v>102</v>
      </c>
      <c r="F7" s="4"/>
      <c r="G7" s="4"/>
      <c r="H7" s="4"/>
      <c r="I7" s="4"/>
      <c r="J7" s="4"/>
      <c r="K7" s="4"/>
      <c r="L7" s="4">
        <f t="shared" si="0"/>
        <v>102</v>
      </c>
      <c r="O7" s="5">
        <f t="shared" si="3"/>
        <v>969444.89749999996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</row>
    <row r="8" spans="1:21" x14ac:dyDescent="0.3">
      <c r="A8" s="4">
        <v>10</v>
      </c>
      <c r="B8" s="4" t="s">
        <v>74</v>
      </c>
      <c r="C8" s="11">
        <f>VLOOKUP(A8,[1]Listado!$A$2:$Q$28,17,FALSE)</f>
        <v>9953.6936111111099</v>
      </c>
      <c r="D8" s="11">
        <f t="shared" si="2"/>
        <v>10202.535951388887</v>
      </c>
      <c r="E8" s="4"/>
      <c r="F8" s="4"/>
      <c r="G8" s="4"/>
      <c r="H8" s="4"/>
      <c r="I8" s="4"/>
      <c r="J8" s="4"/>
      <c r="K8" s="4">
        <v>108</v>
      </c>
      <c r="L8" s="4">
        <f t="shared" si="0"/>
        <v>108</v>
      </c>
      <c r="O8" s="5">
        <f t="shared" si="3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1101873.8827499999</v>
      </c>
    </row>
    <row r="9" spans="1:21" x14ac:dyDescent="0.3">
      <c r="A9" s="4">
        <v>11</v>
      </c>
      <c r="B9" s="4" t="s">
        <v>75</v>
      </c>
      <c r="C9" s="11">
        <f>VLOOKUP(A9,[1]Listado!$A$2:$Q$28,17,FALSE)</f>
        <v>10318.755196850392</v>
      </c>
      <c r="D9" s="11">
        <f t="shared" si="2"/>
        <v>10576.724076771652</v>
      </c>
      <c r="E9" s="4"/>
      <c r="F9" s="4"/>
      <c r="G9" s="4"/>
      <c r="H9" s="4">
        <v>127</v>
      </c>
      <c r="I9" s="4"/>
      <c r="J9" s="4"/>
      <c r="K9" s="4"/>
      <c r="L9" s="4">
        <f t="shared" si="0"/>
        <v>127</v>
      </c>
      <c r="O9" s="5">
        <f t="shared" si="3"/>
        <v>0</v>
      </c>
      <c r="P9" s="5">
        <f t="shared" si="3"/>
        <v>0</v>
      </c>
      <c r="Q9" s="5">
        <f t="shared" si="3"/>
        <v>0</v>
      </c>
      <c r="R9" s="5">
        <f t="shared" si="3"/>
        <v>1343243.9577499998</v>
      </c>
      <c r="S9" s="5">
        <f t="shared" si="3"/>
        <v>0</v>
      </c>
      <c r="T9" s="5">
        <f t="shared" si="3"/>
        <v>0</v>
      </c>
      <c r="U9" s="5">
        <f t="shared" si="3"/>
        <v>0</v>
      </c>
    </row>
    <row r="10" spans="1:21" x14ac:dyDescent="0.3">
      <c r="A10" s="4">
        <v>12</v>
      </c>
      <c r="B10" s="4" t="s">
        <v>76</v>
      </c>
      <c r="C10" s="11">
        <f>VLOOKUP(A10,[1]Listado!$A$2:$Q$28,17,FALSE)</f>
        <v>9889.5837121212116</v>
      </c>
      <c r="D10" s="11">
        <f t="shared" si="2"/>
        <v>10136.823304924243</v>
      </c>
      <c r="E10" s="4"/>
      <c r="F10" s="4"/>
      <c r="G10" s="4">
        <v>132</v>
      </c>
      <c r="H10" s="4"/>
      <c r="I10" s="4"/>
      <c r="J10" s="4"/>
      <c r="K10" s="4"/>
      <c r="L10" s="4">
        <f t="shared" si="0"/>
        <v>132</v>
      </c>
      <c r="O10" s="5">
        <f t="shared" si="3"/>
        <v>0</v>
      </c>
      <c r="P10" s="5">
        <f t="shared" si="3"/>
        <v>0</v>
      </c>
      <c r="Q10" s="5">
        <f t="shared" si="3"/>
        <v>1338060.67625</v>
      </c>
      <c r="R10" s="5">
        <f t="shared" si="3"/>
        <v>0</v>
      </c>
      <c r="S10" s="5">
        <f t="shared" si="3"/>
        <v>0</v>
      </c>
      <c r="T10" s="5">
        <f t="shared" si="3"/>
        <v>0</v>
      </c>
      <c r="U10" s="5">
        <f t="shared" si="3"/>
        <v>0</v>
      </c>
    </row>
    <row r="11" spans="1:21" x14ac:dyDescent="0.3">
      <c r="A11" s="4">
        <v>13</v>
      </c>
      <c r="B11" s="4" t="s">
        <v>77</v>
      </c>
      <c r="C11" s="11">
        <f>VLOOKUP(A11,[1]Listado!$A$2:$Q$28,17,FALSE)</f>
        <v>9380.7630909090913</v>
      </c>
      <c r="D11" s="11">
        <f t="shared" si="2"/>
        <v>9615.2821681818186</v>
      </c>
      <c r="E11" s="4"/>
      <c r="F11" s="4">
        <v>102</v>
      </c>
      <c r="G11" s="4">
        <v>8</v>
      </c>
      <c r="H11" s="4"/>
      <c r="I11" s="4"/>
      <c r="J11" s="4"/>
      <c r="K11" s="4"/>
      <c r="L11" s="4">
        <f t="shared" si="0"/>
        <v>110</v>
      </c>
      <c r="O11" s="5">
        <f t="shared" si="3"/>
        <v>0</v>
      </c>
      <c r="P11" s="5">
        <f t="shared" si="3"/>
        <v>980758.78115454549</v>
      </c>
      <c r="Q11" s="5">
        <f t="shared" si="3"/>
        <v>76922.257345454549</v>
      </c>
      <c r="R11" s="5">
        <f t="shared" si="3"/>
        <v>0</v>
      </c>
      <c r="S11" s="5">
        <f t="shared" si="3"/>
        <v>0</v>
      </c>
      <c r="T11" s="5">
        <f t="shared" si="3"/>
        <v>0</v>
      </c>
      <c r="U11" s="5">
        <f t="shared" si="3"/>
        <v>0</v>
      </c>
    </row>
    <row r="12" spans="1:21" x14ac:dyDescent="0.3">
      <c r="A12" s="4">
        <v>14</v>
      </c>
      <c r="B12" s="4" t="s">
        <v>78</v>
      </c>
      <c r="C12" s="11">
        <f>VLOOKUP(A12,[1]Listado!$A$2:$Q$28,17,FALSE)</f>
        <v>10200.576788990827</v>
      </c>
      <c r="D12" s="11">
        <f t="shared" si="2"/>
        <v>10455.591208715598</v>
      </c>
      <c r="E12" s="4"/>
      <c r="F12" s="4"/>
      <c r="G12" s="4"/>
      <c r="H12" s="4">
        <v>69</v>
      </c>
      <c r="I12" s="4">
        <v>40</v>
      </c>
      <c r="J12" s="4"/>
      <c r="K12" s="4"/>
      <c r="L12" s="4">
        <f t="shared" si="0"/>
        <v>109</v>
      </c>
      <c r="O12" s="5">
        <f t="shared" si="3"/>
        <v>0</v>
      </c>
      <c r="P12" s="5">
        <f t="shared" si="3"/>
        <v>0</v>
      </c>
      <c r="Q12" s="5">
        <f t="shared" si="3"/>
        <v>0</v>
      </c>
      <c r="R12" s="5">
        <f t="shared" si="3"/>
        <v>721435.79340137623</v>
      </c>
      <c r="S12" s="5">
        <f t="shared" si="3"/>
        <v>418223.64834862389</v>
      </c>
      <c r="T12" s="5">
        <f t="shared" si="3"/>
        <v>0</v>
      </c>
      <c r="U12" s="5">
        <f t="shared" si="3"/>
        <v>0</v>
      </c>
    </row>
    <row r="13" spans="1:21" x14ac:dyDescent="0.3">
      <c r="A13" s="4">
        <v>15</v>
      </c>
      <c r="B13" s="4" t="s">
        <v>79</v>
      </c>
      <c r="C13" s="11">
        <f>VLOOKUP(A13,[1]Listado!$A$2:$Q$28,17,FALSE)</f>
        <v>9668.3033333333333</v>
      </c>
      <c r="D13" s="11">
        <f t="shared" si="2"/>
        <v>9910.0109166666662</v>
      </c>
      <c r="E13" s="4"/>
      <c r="F13" s="4"/>
      <c r="G13" s="4"/>
      <c r="H13" s="4"/>
      <c r="I13" s="4"/>
      <c r="J13" s="4"/>
      <c r="K13" s="4">
        <v>108</v>
      </c>
      <c r="L13" s="4">
        <f t="shared" si="0"/>
        <v>108</v>
      </c>
      <c r="O13" s="5">
        <f t="shared" si="3"/>
        <v>0</v>
      </c>
      <c r="P13" s="5">
        <f t="shared" si="3"/>
        <v>0</v>
      </c>
      <c r="Q13" s="5">
        <f t="shared" si="3"/>
        <v>0</v>
      </c>
      <c r="R13" s="5">
        <f t="shared" si="3"/>
        <v>0</v>
      </c>
      <c r="S13" s="5">
        <f t="shared" si="3"/>
        <v>0</v>
      </c>
      <c r="T13" s="5">
        <f t="shared" si="3"/>
        <v>0</v>
      </c>
      <c r="U13" s="5">
        <f t="shared" si="3"/>
        <v>1070281.179</v>
      </c>
    </row>
    <row r="14" spans="1:21" x14ac:dyDescent="0.3">
      <c r="A14" s="4">
        <v>16</v>
      </c>
      <c r="B14" s="4" t="s">
        <v>80</v>
      </c>
      <c r="C14" s="11">
        <f>VLOOKUP(A14,[1]Listado!$A$2:$Q$28,17,FALSE)</f>
        <v>9668.3033333333333</v>
      </c>
      <c r="D14" s="11">
        <f t="shared" si="2"/>
        <v>9910.0109166666662</v>
      </c>
      <c r="E14" s="4"/>
      <c r="F14" s="4"/>
      <c r="G14" s="4"/>
      <c r="H14" s="4"/>
      <c r="I14" s="4"/>
      <c r="J14" s="4"/>
      <c r="K14" s="4">
        <v>108</v>
      </c>
      <c r="L14" s="4">
        <f t="shared" si="0"/>
        <v>108</v>
      </c>
      <c r="O14" s="5">
        <f t="shared" si="3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1070281.179</v>
      </c>
    </row>
    <row r="15" spans="1:21" x14ac:dyDescent="0.3">
      <c r="A15" s="4">
        <v>17</v>
      </c>
      <c r="B15" s="4" t="s">
        <v>81</v>
      </c>
      <c r="C15" s="11">
        <f>VLOOKUP(A15,[1]Listado!$A$2:$Q$28,17,FALSE)</f>
        <v>9668.3033333333333</v>
      </c>
      <c r="D15" s="11">
        <f t="shared" si="2"/>
        <v>9910.0109166666662</v>
      </c>
      <c r="E15" s="4"/>
      <c r="F15" s="4"/>
      <c r="G15" s="4"/>
      <c r="H15" s="4"/>
      <c r="I15" s="4"/>
      <c r="J15" s="4"/>
      <c r="K15" s="4">
        <v>28</v>
      </c>
      <c r="L15" s="4">
        <f t="shared" si="0"/>
        <v>28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277480.30566666665</v>
      </c>
    </row>
    <row r="16" spans="1:21" x14ac:dyDescent="0.3">
      <c r="A16" s="4">
        <v>18</v>
      </c>
      <c r="B16" s="4" t="s">
        <v>82</v>
      </c>
      <c r="C16" s="11">
        <f>VLOOKUP(A16,[1]Listado!$A$2:$Q$28,17,FALSE)</f>
        <v>9295.9026126126118</v>
      </c>
      <c r="D16" s="11">
        <f t="shared" si="2"/>
        <v>9528.3001779279275</v>
      </c>
      <c r="E16" s="4">
        <v>8</v>
      </c>
      <c r="F16" s="4">
        <v>103</v>
      </c>
      <c r="G16" s="4"/>
      <c r="H16" s="4"/>
      <c r="I16" s="4"/>
      <c r="J16" s="4"/>
      <c r="K16" s="4"/>
      <c r="L16" s="4">
        <f t="shared" si="0"/>
        <v>111</v>
      </c>
      <c r="O16" s="5">
        <f t="shared" si="3"/>
        <v>76226.40142342342</v>
      </c>
      <c r="P16" s="5">
        <f t="shared" si="3"/>
        <v>981414.91832657659</v>
      </c>
      <c r="Q16" s="5">
        <f t="shared" si="3"/>
        <v>0</v>
      </c>
      <c r="R16" s="5">
        <f t="shared" si="3"/>
        <v>0</v>
      </c>
      <c r="S16" s="5">
        <f t="shared" si="3"/>
        <v>0</v>
      </c>
      <c r="T16" s="5">
        <f t="shared" si="3"/>
        <v>0</v>
      </c>
      <c r="U16" s="5">
        <f t="shared" si="3"/>
        <v>0</v>
      </c>
    </row>
    <row r="17" spans="1:22" x14ac:dyDescent="0.3">
      <c r="A17" s="4">
        <v>19</v>
      </c>
      <c r="B17" s="4" t="s">
        <v>83</v>
      </c>
      <c r="C17" s="11">
        <f>VLOOKUP(A17,[1]Listado!$A$2:$Q$28,17,FALSE)</f>
        <v>9928.3934920634929</v>
      </c>
      <c r="D17" s="11">
        <f t="shared" si="2"/>
        <v>10176.60332936508</v>
      </c>
      <c r="E17" s="4">
        <v>69</v>
      </c>
      <c r="F17" s="4"/>
      <c r="G17" s="4">
        <v>57</v>
      </c>
      <c r="H17" s="4"/>
      <c r="I17" s="4"/>
      <c r="J17" s="4"/>
      <c r="K17" s="4"/>
      <c r="L17" s="4">
        <f t="shared" si="0"/>
        <v>126</v>
      </c>
      <c r="O17" s="5">
        <f t="shared" si="3"/>
        <v>702185.62972619047</v>
      </c>
      <c r="P17" s="5">
        <f t="shared" si="3"/>
        <v>0</v>
      </c>
      <c r="Q17" s="5">
        <f t="shared" si="3"/>
        <v>580066.38977380958</v>
      </c>
      <c r="R17" s="5">
        <f t="shared" si="3"/>
        <v>0</v>
      </c>
      <c r="S17" s="5">
        <f t="shared" si="3"/>
        <v>0</v>
      </c>
      <c r="T17" s="5">
        <f t="shared" si="3"/>
        <v>0</v>
      </c>
      <c r="U17" s="5">
        <f t="shared" si="3"/>
        <v>0</v>
      </c>
    </row>
    <row r="18" spans="1:22" x14ac:dyDescent="0.3">
      <c r="A18" s="4">
        <v>20</v>
      </c>
      <c r="B18" s="4" t="s">
        <v>84</v>
      </c>
      <c r="C18" s="11">
        <f>VLOOKUP(A18,[1]Listado!$A$2:$Q$28,17,FALSE)</f>
        <v>9448.7186923076915</v>
      </c>
      <c r="D18" s="11">
        <f t="shared" si="2"/>
        <v>9684.9366596153832</v>
      </c>
      <c r="E18" s="4"/>
      <c r="F18" s="4"/>
      <c r="G18" s="4">
        <v>130</v>
      </c>
      <c r="H18" s="4"/>
      <c r="I18" s="4"/>
      <c r="J18" s="4"/>
      <c r="K18" s="4"/>
      <c r="L18" s="4">
        <f t="shared" si="0"/>
        <v>130</v>
      </c>
      <c r="O18" s="5">
        <f t="shared" si="3"/>
        <v>0</v>
      </c>
      <c r="P18" s="5">
        <f t="shared" si="3"/>
        <v>0</v>
      </c>
      <c r="Q18" s="5">
        <f t="shared" si="3"/>
        <v>1259041.7657499998</v>
      </c>
      <c r="R18" s="5">
        <f t="shared" si="3"/>
        <v>0</v>
      </c>
      <c r="S18" s="5">
        <f t="shared" si="3"/>
        <v>0</v>
      </c>
      <c r="T18" s="5">
        <f t="shared" si="3"/>
        <v>0</v>
      </c>
      <c r="U18" s="5">
        <f t="shared" si="3"/>
        <v>0</v>
      </c>
    </row>
    <row r="19" spans="1:22" x14ac:dyDescent="0.3">
      <c r="A19" s="4">
        <v>21</v>
      </c>
      <c r="B19" s="4" t="s">
        <v>85</v>
      </c>
      <c r="C19" s="11">
        <f>VLOOKUP(A19,[1]Listado!$A$2:$Q$28,17,FALSE)</f>
        <v>9537.1213392857153</v>
      </c>
      <c r="D19" s="11">
        <f t="shared" si="2"/>
        <v>9775.5493727678586</v>
      </c>
      <c r="E19" s="4"/>
      <c r="F19" s="4"/>
      <c r="G19" s="4"/>
      <c r="H19" s="4"/>
      <c r="I19" s="4">
        <v>112</v>
      </c>
      <c r="J19" s="4"/>
      <c r="K19" s="4"/>
      <c r="L19" s="4">
        <f t="shared" si="0"/>
        <v>112</v>
      </c>
      <c r="O19" s="5">
        <f t="shared" si="3"/>
        <v>0</v>
      </c>
      <c r="P19" s="5">
        <f t="shared" si="3"/>
        <v>0</v>
      </c>
      <c r="Q19" s="5">
        <f t="shared" si="3"/>
        <v>0</v>
      </c>
      <c r="R19" s="5">
        <f t="shared" si="3"/>
        <v>0</v>
      </c>
      <c r="S19" s="5">
        <f t="shared" si="3"/>
        <v>1094861.5297500002</v>
      </c>
      <c r="T19" s="5">
        <f t="shared" si="3"/>
        <v>0</v>
      </c>
      <c r="U19" s="5">
        <f t="shared" si="3"/>
        <v>0</v>
      </c>
    </row>
    <row r="20" spans="1:22" x14ac:dyDescent="0.3">
      <c r="A20" s="4">
        <v>22</v>
      </c>
      <c r="B20" s="4" t="s">
        <v>86</v>
      </c>
      <c r="C20" s="11">
        <f>VLOOKUP(A20,[1]Listado!$A$2:$Q$28,17,FALSE)</f>
        <v>9836.9754782608688</v>
      </c>
      <c r="D20" s="11">
        <f t="shared" si="2"/>
        <v>10082.89986521739</v>
      </c>
      <c r="E20" s="4"/>
      <c r="F20" s="4"/>
      <c r="G20" s="4"/>
      <c r="H20" s="4">
        <v>71</v>
      </c>
      <c r="I20" s="55">
        <v>44</v>
      </c>
      <c r="J20" s="4"/>
      <c r="K20" s="4"/>
      <c r="L20" s="4">
        <f t="shared" si="0"/>
        <v>115</v>
      </c>
      <c r="O20" s="5">
        <f t="shared" si="3"/>
        <v>0</v>
      </c>
      <c r="P20" s="5">
        <f t="shared" si="3"/>
        <v>0</v>
      </c>
      <c r="Q20" s="5">
        <f t="shared" si="3"/>
        <v>0</v>
      </c>
      <c r="R20" s="5">
        <f t="shared" si="3"/>
        <v>715885.89043043472</v>
      </c>
      <c r="S20" s="5">
        <f t="shared" si="3"/>
        <v>443647.59406956518</v>
      </c>
      <c r="T20" s="5">
        <f t="shared" si="3"/>
        <v>0</v>
      </c>
      <c r="U20" s="5">
        <f t="shared" si="3"/>
        <v>0</v>
      </c>
    </row>
    <row r="21" spans="1:22" x14ac:dyDescent="0.3">
      <c r="A21" s="4">
        <v>23</v>
      </c>
      <c r="B21" s="4" t="s">
        <v>87</v>
      </c>
      <c r="C21" s="11">
        <f>VLOOKUP(A21,[1]Listado!$A$2:$Q$28,17,FALSE)</f>
        <v>9537.1213392857153</v>
      </c>
      <c r="D21" s="11">
        <f t="shared" si="2"/>
        <v>9775.5493727678586</v>
      </c>
      <c r="E21" s="4"/>
      <c r="F21" s="4"/>
      <c r="G21" s="4"/>
      <c r="H21" s="4">
        <v>39</v>
      </c>
      <c r="I21" s="4"/>
      <c r="J21" s="4"/>
      <c r="K21" s="4"/>
      <c r="L21" s="4">
        <f t="shared" si="0"/>
        <v>39</v>
      </c>
      <c r="O21" s="5">
        <f t="shared" si="3"/>
        <v>0</v>
      </c>
      <c r="P21" s="5">
        <f t="shared" si="3"/>
        <v>0</v>
      </c>
      <c r="Q21" s="5">
        <f t="shared" si="3"/>
        <v>0</v>
      </c>
      <c r="R21" s="5">
        <f t="shared" si="3"/>
        <v>381246.42553794646</v>
      </c>
      <c r="S21" s="5">
        <f t="shared" si="3"/>
        <v>0</v>
      </c>
      <c r="T21" s="5">
        <f t="shared" si="3"/>
        <v>0</v>
      </c>
      <c r="U21" s="5">
        <f t="shared" si="3"/>
        <v>0</v>
      </c>
    </row>
    <row r="22" spans="1:22" x14ac:dyDescent="0.3">
      <c r="A22" s="4">
        <v>120</v>
      </c>
      <c r="B22" s="4" t="s">
        <v>88</v>
      </c>
      <c r="C22" s="11">
        <f>VLOOKUP(A22,[1]Listado!$A$2:$Q$28,17,FALSE)</f>
        <v>9912.1277064220176</v>
      </c>
      <c r="D22" s="11">
        <f t="shared" si="2"/>
        <v>10159.930899082568</v>
      </c>
      <c r="E22" s="4"/>
      <c r="F22" s="4"/>
      <c r="G22" s="4"/>
      <c r="H22" s="4"/>
      <c r="I22" s="4"/>
      <c r="J22" s="4">
        <v>109</v>
      </c>
      <c r="K22" s="4"/>
      <c r="L22" s="4">
        <f t="shared" si="0"/>
        <v>109</v>
      </c>
      <c r="O22" s="5">
        <f t="shared" si="3"/>
        <v>0</v>
      </c>
      <c r="P22" s="5">
        <f t="shared" si="3"/>
        <v>0</v>
      </c>
      <c r="Q22" s="5">
        <f t="shared" si="3"/>
        <v>0</v>
      </c>
      <c r="R22" s="5">
        <f t="shared" si="3"/>
        <v>0</v>
      </c>
      <c r="S22" s="5">
        <f t="shared" si="3"/>
        <v>0</v>
      </c>
      <c r="T22" s="5">
        <f t="shared" si="3"/>
        <v>1107432.4679999999</v>
      </c>
      <c r="U22" s="5">
        <f t="shared" si="3"/>
        <v>0</v>
      </c>
    </row>
    <row r="23" spans="1:22" x14ac:dyDescent="0.3">
      <c r="A23" s="4">
        <v>174</v>
      </c>
      <c r="B23" s="4" t="s">
        <v>89</v>
      </c>
      <c r="C23" s="11">
        <f>VLOOKUP(A23,[1]Listado!$A$2:$Q$28,17,FALSE)</f>
        <v>9785.6639622641505</v>
      </c>
      <c r="D23" s="11">
        <f t="shared" si="2"/>
        <v>10030.305561320754</v>
      </c>
      <c r="E23" s="4"/>
      <c r="F23" s="4"/>
      <c r="G23" s="4"/>
      <c r="H23" s="4"/>
      <c r="I23" s="4">
        <v>24</v>
      </c>
      <c r="J23" s="4">
        <v>82</v>
      </c>
      <c r="K23" s="4"/>
      <c r="L23" s="4">
        <f t="shared" si="0"/>
        <v>106</v>
      </c>
      <c r="O23" s="5">
        <f t="shared" si="3"/>
        <v>0</v>
      </c>
      <c r="P23" s="5">
        <f t="shared" si="3"/>
        <v>0</v>
      </c>
      <c r="Q23" s="5">
        <f t="shared" si="3"/>
        <v>0</v>
      </c>
      <c r="R23" s="5">
        <f t="shared" si="3"/>
        <v>0</v>
      </c>
      <c r="S23" s="5">
        <f t="shared" si="3"/>
        <v>240727.3334716981</v>
      </c>
      <c r="T23" s="5">
        <f t="shared" si="3"/>
        <v>822485.05602830183</v>
      </c>
      <c r="U23" s="5">
        <f t="shared" si="3"/>
        <v>0</v>
      </c>
    </row>
    <row r="24" spans="1:22" x14ac:dyDescent="0.3">
      <c r="A24" s="4">
        <v>194</v>
      </c>
      <c r="B24" s="4" t="s">
        <v>90</v>
      </c>
      <c r="C24" s="11">
        <f>VLOOKUP(A24,[1]Listado!$A$2:$Q$28,17,FALSE)</f>
        <v>9691.6514563106794</v>
      </c>
      <c r="D24" s="11">
        <f t="shared" si="2"/>
        <v>9933.9427427184455</v>
      </c>
      <c r="E24" s="4"/>
      <c r="F24" s="4"/>
      <c r="G24" s="4"/>
      <c r="H24" s="4"/>
      <c r="I24" s="4">
        <v>28</v>
      </c>
      <c r="J24" s="4">
        <v>75</v>
      </c>
      <c r="K24" s="4"/>
      <c r="L24" s="4">
        <f t="shared" si="0"/>
        <v>103</v>
      </c>
      <c r="M24" s="49"/>
      <c r="N24" s="49"/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278150.39679611649</v>
      </c>
      <c r="T24" s="5">
        <f t="shared" si="3"/>
        <v>745045.70570388343</v>
      </c>
      <c r="U24" s="5">
        <f t="shared" si="3"/>
        <v>0</v>
      </c>
    </row>
    <row r="25" spans="1:22" x14ac:dyDescent="0.3">
      <c r="A25" s="4">
        <v>184</v>
      </c>
      <c r="B25" s="4" t="s">
        <v>91</v>
      </c>
      <c r="C25" s="11">
        <f>VLOOKUP(A25,[1]Listado!$A$2:$Q$28,17,FALSE)</f>
        <v>0</v>
      </c>
      <c r="D25" s="11">
        <f t="shared" si="2"/>
        <v>0</v>
      </c>
      <c r="E25" s="4"/>
      <c r="F25" s="4"/>
      <c r="G25" s="4"/>
      <c r="H25" s="4"/>
      <c r="I25" s="4"/>
      <c r="J25" s="4"/>
      <c r="K25" s="4"/>
      <c r="L25" s="4">
        <f t="shared" si="0"/>
        <v>0</v>
      </c>
      <c r="O25" s="5">
        <f t="shared" si="3"/>
        <v>0</v>
      </c>
      <c r="P25" s="5">
        <f t="shared" si="3"/>
        <v>0</v>
      </c>
      <c r="Q25" s="5">
        <f t="shared" si="3"/>
        <v>0</v>
      </c>
      <c r="R25" s="5">
        <f t="shared" si="3"/>
        <v>0</v>
      </c>
      <c r="S25" s="5">
        <f t="shared" si="3"/>
        <v>0</v>
      </c>
      <c r="T25" s="5">
        <f t="shared" si="3"/>
        <v>0</v>
      </c>
      <c r="U25" s="5">
        <f t="shared" si="3"/>
        <v>0</v>
      </c>
    </row>
    <row r="26" spans="1:22" x14ac:dyDescent="0.3">
      <c r="A26" s="4">
        <v>2</v>
      </c>
      <c r="B26" s="4" t="s">
        <v>92</v>
      </c>
      <c r="C26" s="11">
        <f>VLOOKUP(A26,[1]Listado!$A$2:$Q$28,17,FALSE)</f>
        <v>0</v>
      </c>
      <c r="D26" s="11">
        <f t="shared" si="2"/>
        <v>0</v>
      </c>
      <c r="E26" s="4"/>
      <c r="F26" s="4"/>
      <c r="G26" s="4"/>
      <c r="H26" s="4"/>
      <c r="I26" s="4"/>
      <c r="J26" s="4"/>
      <c r="K26" s="4"/>
      <c r="L26" s="4">
        <f t="shared" si="0"/>
        <v>0</v>
      </c>
      <c r="O26" s="5">
        <f t="shared" si="3"/>
        <v>0</v>
      </c>
      <c r="P26" s="5">
        <f t="shared" si="3"/>
        <v>0</v>
      </c>
      <c r="Q26" s="5">
        <f t="shared" si="3"/>
        <v>0</v>
      </c>
      <c r="R26" s="5">
        <f t="shared" si="3"/>
        <v>0</v>
      </c>
      <c r="S26" s="5">
        <f t="shared" si="3"/>
        <v>0</v>
      </c>
      <c r="T26" s="5">
        <f t="shared" si="3"/>
        <v>0</v>
      </c>
      <c r="U26" s="5">
        <f t="shared" si="3"/>
        <v>0</v>
      </c>
    </row>
    <row r="27" spans="1:22" x14ac:dyDescent="0.3">
      <c r="A27" s="4">
        <v>9</v>
      </c>
      <c r="B27" s="4" t="s">
        <v>93</v>
      </c>
      <c r="C27" s="11">
        <f>VLOOKUP(A27,[1]Listado!$A$2:$Q$28,17,FALSE)</f>
        <v>0</v>
      </c>
      <c r="D27" s="11">
        <f t="shared" si="2"/>
        <v>0</v>
      </c>
      <c r="E27" s="4"/>
      <c r="F27" s="4"/>
      <c r="G27" s="4"/>
      <c r="H27" s="4"/>
      <c r="I27" s="4"/>
      <c r="J27" s="4"/>
      <c r="K27" s="4"/>
      <c r="L27" s="4">
        <f t="shared" si="0"/>
        <v>0</v>
      </c>
      <c r="O27" s="5">
        <f t="shared" si="3"/>
        <v>0</v>
      </c>
      <c r="P27" s="5">
        <f t="shared" si="3"/>
        <v>0</v>
      </c>
      <c r="Q27" s="5">
        <f t="shared" si="3"/>
        <v>0</v>
      </c>
      <c r="R27" s="5">
        <f t="shared" si="3"/>
        <v>0</v>
      </c>
      <c r="S27" s="5">
        <f t="shared" si="3"/>
        <v>0</v>
      </c>
      <c r="T27" s="5">
        <f t="shared" si="3"/>
        <v>0</v>
      </c>
      <c r="U27" s="5">
        <f t="shared" si="3"/>
        <v>0</v>
      </c>
    </row>
    <row r="28" spans="1:22" x14ac:dyDescent="0.3">
      <c r="A28" s="77" t="s">
        <v>61</v>
      </c>
      <c r="B28" s="77"/>
      <c r="C28" s="77"/>
      <c r="D28" s="53"/>
      <c r="E28" s="4">
        <f>SUM(E3:E27)</f>
        <v>548</v>
      </c>
      <c r="F28" s="4">
        <f t="shared" ref="F28:K28" si="4">SUM(F3:F27)</f>
        <v>205</v>
      </c>
      <c r="G28" s="4">
        <f t="shared" si="4"/>
        <v>327</v>
      </c>
      <c r="H28" s="4">
        <f t="shared" si="4"/>
        <v>306</v>
      </c>
      <c r="I28" s="4">
        <f t="shared" si="4"/>
        <v>248</v>
      </c>
      <c r="J28" s="4">
        <f t="shared" si="4"/>
        <v>266</v>
      </c>
      <c r="K28" s="4">
        <f t="shared" si="4"/>
        <v>352</v>
      </c>
      <c r="L28" s="4">
        <f t="shared" si="0"/>
        <v>2252</v>
      </c>
      <c r="O28" s="56">
        <f t="shared" ref="O28:U28" si="5">SUM(O3:O27)</f>
        <v>5492982.2588996133</v>
      </c>
      <c r="P28" s="56">
        <f t="shared" si="5"/>
        <v>1962173.6994811222</v>
      </c>
      <c r="Q28" s="56">
        <f t="shared" si="5"/>
        <v>3254091.0891192639</v>
      </c>
      <c r="R28" s="56">
        <f t="shared" si="5"/>
        <v>3161812.0671197572</v>
      </c>
      <c r="S28" s="56">
        <f t="shared" si="5"/>
        <v>2475610.5024360041</v>
      </c>
      <c r="T28" s="56">
        <f t="shared" si="5"/>
        <v>2674963.2297321851</v>
      </c>
      <c r="U28" s="56">
        <f t="shared" si="5"/>
        <v>3519916.5464166664</v>
      </c>
      <c r="V28" s="49"/>
    </row>
    <row r="29" spans="1:22" x14ac:dyDescent="0.3">
      <c r="U29" s="57"/>
      <c r="V29" s="49"/>
    </row>
  </sheetData>
  <mergeCells count="1">
    <mergeCell ref="A28:C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4"/>
  <sheetViews>
    <sheetView workbookViewId="0">
      <selection activeCell="I10" sqref="I10"/>
    </sheetView>
  </sheetViews>
  <sheetFormatPr baseColWidth="10" defaultRowHeight="14.4" x14ac:dyDescent="0.3"/>
  <cols>
    <col min="1" max="1" width="20.6640625" bestFit="1" customWidth="1"/>
    <col min="2" max="2" width="10.109375" bestFit="1" customWidth="1"/>
    <col min="3" max="3" width="11.5546875" bestFit="1" customWidth="1"/>
    <col min="4" max="4" width="12.5546875" bestFit="1" customWidth="1"/>
    <col min="5" max="5" width="11.5546875" bestFit="1" customWidth="1"/>
    <col min="6" max="6" width="12" bestFit="1" customWidth="1"/>
    <col min="8" max="8" width="11.77734375" bestFit="1" customWidth="1"/>
    <col min="9" max="9" width="13.88671875" bestFit="1" customWidth="1"/>
    <col min="10" max="10" width="15.77734375" bestFit="1" customWidth="1"/>
    <col min="11" max="11" width="13.77734375" bestFit="1" customWidth="1"/>
    <col min="12" max="12" width="15.77734375" bestFit="1" customWidth="1"/>
    <col min="13" max="13" width="16.21875" customWidth="1"/>
    <col min="14" max="14" width="30.6640625" bestFit="1" customWidth="1"/>
  </cols>
  <sheetData>
    <row r="2" spans="1:14" x14ac:dyDescent="0.3">
      <c r="A2" s="2" t="s">
        <v>37</v>
      </c>
    </row>
    <row r="3" spans="1:14" x14ac:dyDescent="0.3">
      <c r="A3" s="71" t="s">
        <v>16</v>
      </c>
      <c r="B3" s="71" t="s">
        <v>29</v>
      </c>
      <c r="C3" s="71" t="s">
        <v>30</v>
      </c>
      <c r="D3" s="71" t="s">
        <v>31</v>
      </c>
      <c r="E3" s="71" t="s">
        <v>32</v>
      </c>
      <c r="F3" s="71" t="s">
        <v>33</v>
      </c>
      <c r="G3" s="71" t="s">
        <v>34</v>
      </c>
      <c r="H3" s="80" t="s">
        <v>35</v>
      </c>
      <c r="I3" s="80"/>
      <c r="J3" s="80"/>
      <c r="K3" s="80"/>
      <c r="L3" s="71" t="s">
        <v>36</v>
      </c>
      <c r="M3" s="67" t="s">
        <v>53</v>
      </c>
      <c r="N3" s="80" t="s">
        <v>46</v>
      </c>
    </row>
    <row r="4" spans="1:14" x14ac:dyDescent="0.3">
      <c r="A4" s="72"/>
      <c r="B4" s="72"/>
      <c r="C4" s="72"/>
      <c r="D4" s="72"/>
      <c r="E4" s="72"/>
      <c r="F4" s="72"/>
      <c r="G4" s="72"/>
      <c r="H4" s="41" t="s">
        <v>40</v>
      </c>
      <c r="I4" s="41" t="s">
        <v>44</v>
      </c>
      <c r="J4" s="41" t="s">
        <v>41</v>
      </c>
      <c r="K4" s="41" t="s">
        <v>45</v>
      </c>
      <c r="L4" s="72"/>
      <c r="M4" s="67"/>
      <c r="N4" s="80"/>
    </row>
    <row r="5" spans="1:14" x14ac:dyDescent="0.3">
      <c r="A5" s="36" t="s">
        <v>2</v>
      </c>
      <c r="B5" s="39" t="s">
        <v>38</v>
      </c>
      <c r="C5" s="39" t="s">
        <v>38</v>
      </c>
      <c r="D5" s="39" t="s">
        <v>38</v>
      </c>
      <c r="E5" s="39" t="s">
        <v>38</v>
      </c>
      <c r="F5" s="39" t="s">
        <v>38</v>
      </c>
      <c r="G5" s="39" t="s">
        <v>38</v>
      </c>
      <c r="H5" s="39" t="s">
        <v>42</v>
      </c>
      <c r="I5" s="40">
        <v>45962</v>
      </c>
      <c r="J5" s="39" t="s">
        <v>43</v>
      </c>
      <c r="K5" s="40">
        <v>45931</v>
      </c>
      <c r="L5" s="39" t="s">
        <v>50</v>
      </c>
      <c r="M5" s="4"/>
      <c r="N5" s="4" t="s">
        <v>47</v>
      </c>
    </row>
    <row r="6" spans="1:14" x14ac:dyDescent="0.3">
      <c r="A6" s="36" t="s">
        <v>3</v>
      </c>
      <c r="B6" s="38" t="s">
        <v>39</v>
      </c>
      <c r="C6" s="39" t="s">
        <v>38</v>
      </c>
      <c r="D6" s="38" t="s">
        <v>39</v>
      </c>
      <c r="E6" s="38" t="s">
        <v>39</v>
      </c>
      <c r="F6" s="39" t="s">
        <v>38</v>
      </c>
      <c r="G6" s="39" t="s">
        <v>38</v>
      </c>
      <c r="H6" s="39" t="s">
        <v>42</v>
      </c>
      <c r="I6" s="40">
        <v>45992</v>
      </c>
      <c r="J6" s="39" t="s">
        <v>43</v>
      </c>
      <c r="K6" s="40">
        <v>45992</v>
      </c>
      <c r="L6" s="39" t="s">
        <v>50</v>
      </c>
      <c r="M6" s="4"/>
      <c r="N6" s="4"/>
    </row>
    <row r="7" spans="1:14" x14ac:dyDescent="0.3">
      <c r="A7" s="36" t="s">
        <v>0</v>
      </c>
      <c r="B7" s="38" t="s">
        <v>39</v>
      </c>
      <c r="C7" s="39" t="s">
        <v>38</v>
      </c>
      <c r="D7" s="38" t="s">
        <v>39</v>
      </c>
      <c r="E7" s="39" t="s">
        <v>38</v>
      </c>
      <c r="F7" s="39" t="s">
        <v>38</v>
      </c>
      <c r="G7" s="39" t="s">
        <v>38</v>
      </c>
      <c r="H7" s="39" t="s">
        <v>42</v>
      </c>
      <c r="I7" s="40">
        <v>45962</v>
      </c>
      <c r="J7" s="39" t="s">
        <v>43</v>
      </c>
      <c r="K7" s="40">
        <v>46054</v>
      </c>
      <c r="L7" s="39" t="s">
        <v>50</v>
      </c>
      <c r="M7" s="4"/>
      <c r="N7" s="4"/>
    </row>
    <row r="8" spans="1:14" x14ac:dyDescent="0.3">
      <c r="A8" s="36" t="s">
        <v>1</v>
      </c>
      <c r="B8" s="38" t="s">
        <v>39</v>
      </c>
      <c r="C8" s="39" t="s">
        <v>38</v>
      </c>
      <c r="D8" s="38" t="s">
        <v>39</v>
      </c>
      <c r="E8" s="39" t="s">
        <v>38</v>
      </c>
      <c r="F8" s="39" t="s">
        <v>38</v>
      </c>
      <c r="G8" s="39" t="s">
        <v>38</v>
      </c>
      <c r="H8" s="39" t="s">
        <v>42</v>
      </c>
      <c r="I8" s="40">
        <v>45962</v>
      </c>
      <c r="J8" s="39" t="s">
        <v>43</v>
      </c>
      <c r="K8" s="40">
        <v>46023</v>
      </c>
      <c r="L8" s="39" t="s">
        <v>50</v>
      </c>
      <c r="M8" s="4"/>
      <c r="N8" s="4" t="s">
        <v>48</v>
      </c>
    </row>
    <row r="9" spans="1:14" x14ac:dyDescent="0.3">
      <c r="A9" s="34" t="s">
        <v>4</v>
      </c>
      <c r="B9" s="38" t="s">
        <v>39</v>
      </c>
      <c r="C9" s="39" t="s">
        <v>38</v>
      </c>
      <c r="D9" s="38" t="s">
        <v>39</v>
      </c>
      <c r="E9" s="39" t="s">
        <v>38</v>
      </c>
      <c r="F9" s="39" t="s">
        <v>38</v>
      </c>
      <c r="G9" s="38" t="s">
        <v>39</v>
      </c>
      <c r="H9" s="39" t="s">
        <v>42</v>
      </c>
      <c r="I9" s="40">
        <v>45962</v>
      </c>
      <c r="J9" s="39" t="s">
        <v>43</v>
      </c>
      <c r="K9" s="40">
        <v>46113</v>
      </c>
      <c r="L9" s="39" t="s">
        <v>50</v>
      </c>
      <c r="M9" s="4"/>
      <c r="N9" s="4" t="s">
        <v>49</v>
      </c>
    </row>
    <row r="10" spans="1:14" x14ac:dyDescent="0.3">
      <c r="A10" s="34" t="s">
        <v>6</v>
      </c>
      <c r="B10" s="38" t="s">
        <v>39</v>
      </c>
      <c r="C10" s="39" t="s">
        <v>38</v>
      </c>
      <c r="D10" s="38" t="s">
        <v>39</v>
      </c>
      <c r="E10" s="39" t="s">
        <v>38</v>
      </c>
      <c r="F10" s="39" t="s">
        <v>38</v>
      </c>
      <c r="G10" s="38" t="s">
        <v>39</v>
      </c>
      <c r="H10" s="39" t="s">
        <v>42</v>
      </c>
      <c r="I10" s="40">
        <v>45992</v>
      </c>
      <c r="J10" s="39" t="s">
        <v>43</v>
      </c>
      <c r="K10" s="40">
        <v>45931</v>
      </c>
      <c r="L10" s="39" t="s">
        <v>50</v>
      </c>
      <c r="M10" s="4"/>
      <c r="N10" s="4" t="s">
        <v>49</v>
      </c>
    </row>
    <row r="11" spans="1:14" x14ac:dyDescent="0.3">
      <c r="A11" s="34" t="s">
        <v>5</v>
      </c>
      <c r="B11" s="38" t="s">
        <v>39</v>
      </c>
      <c r="C11" s="39" t="s">
        <v>38</v>
      </c>
      <c r="D11" s="38" t="s">
        <v>39</v>
      </c>
      <c r="E11" s="39" t="s">
        <v>38</v>
      </c>
      <c r="F11" s="39" t="s">
        <v>38</v>
      </c>
      <c r="G11" s="39" t="s">
        <v>38</v>
      </c>
      <c r="H11" s="39" t="s">
        <v>42</v>
      </c>
      <c r="I11" s="40">
        <v>45992</v>
      </c>
      <c r="J11" s="39" t="s">
        <v>43</v>
      </c>
      <c r="K11" s="40">
        <v>46113</v>
      </c>
      <c r="L11" s="39" t="s">
        <v>50</v>
      </c>
      <c r="M11" s="4"/>
      <c r="N11" s="4"/>
    </row>
    <row r="12" spans="1:14" x14ac:dyDescent="0.3">
      <c r="A12" s="42"/>
      <c r="B12" s="43"/>
      <c r="C12" s="44"/>
      <c r="D12" s="43"/>
      <c r="E12" s="44"/>
      <c r="F12" s="44"/>
      <c r="G12" s="44"/>
      <c r="H12" s="44"/>
      <c r="I12" s="45"/>
      <c r="J12" s="44"/>
      <c r="K12" s="45"/>
      <c r="L12" s="44"/>
      <c r="M12" s="46"/>
    </row>
    <row r="14" spans="1:14" x14ac:dyDescent="0.3">
      <c r="A14" s="2" t="s">
        <v>51</v>
      </c>
    </row>
    <row r="15" spans="1:14" x14ac:dyDescent="0.3">
      <c r="A15" s="71" t="s">
        <v>16</v>
      </c>
      <c r="B15" s="71" t="s">
        <v>29</v>
      </c>
      <c r="C15" s="71" t="s">
        <v>30</v>
      </c>
      <c r="D15" s="71" t="s">
        <v>31</v>
      </c>
      <c r="E15" s="71" t="s">
        <v>32</v>
      </c>
      <c r="F15" s="71" t="s">
        <v>33</v>
      </c>
      <c r="G15" s="71" t="s">
        <v>34</v>
      </c>
      <c r="H15" s="78" t="s">
        <v>35</v>
      </c>
      <c r="I15" s="79"/>
      <c r="J15" s="71" t="s">
        <v>36</v>
      </c>
      <c r="K15" s="67" t="s">
        <v>53</v>
      </c>
      <c r="L15" s="67" t="s">
        <v>52</v>
      </c>
    </row>
    <row r="16" spans="1:14" x14ac:dyDescent="0.3">
      <c r="A16" s="72"/>
      <c r="B16" s="72"/>
      <c r="C16" s="72"/>
      <c r="D16" s="72"/>
      <c r="E16" s="72"/>
      <c r="F16" s="72"/>
      <c r="G16" s="72"/>
      <c r="H16" s="41" t="s">
        <v>40</v>
      </c>
      <c r="I16" s="41" t="s">
        <v>41</v>
      </c>
      <c r="J16" s="72"/>
      <c r="K16" s="67"/>
      <c r="L16" s="67"/>
    </row>
    <row r="17" spans="1:13" x14ac:dyDescent="0.3">
      <c r="A17" s="36" t="s">
        <v>2</v>
      </c>
      <c r="B17" s="47">
        <v>550953.2699999999</v>
      </c>
      <c r="C17" s="47">
        <v>40000</v>
      </c>
      <c r="D17" s="47">
        <v>410000</v>
      </c>
      <c r="E17" s="47">
        <v>650000</v>
      </c>
      <c r="F17" s="47">
        <v>41500</v>
      </c>
      <c r="G17" s="47">
        <v>148000</v>
      </c>
      <c r="H17" s="38" t="s">
        <v>39</v>
      </c>
      <c r="I17" s="47">
        <v>100000</v>
      </c>
      <c r="J17" s="47"/>
      <c r="K17" s="50"/>
      <c r="L17" s="5">
        <f t="shared" ref="L17:L23" si="0">SUM(B17:J17)</f>
        <v>1940453.27</v>
      </c>
      <c r="M17" t="s">
        <v>54</v>
      </c>
    </row>
    <row r="18" spans="1:13" x14ac:dyDescent="0.3">
      <c r="A18" s="36" t="s">
        <v>3</v>
      </c>
      <c r="B18" s="38" t="s">
        <v>39</v>
      </c>
      <c r="C18" s="47">
        <v>40000</v>
      </c>
      <c r="D18" s="38" t="s">
        <v>39</v>
      </c>
      <c r="E18" s="38" t="s">
        <v>39</v>
      </c>
      <c r="F18" s="47">
        <v>33000</v>
      </c>
      <c r="G18" s="47">
        <v>36000</v>
      </c>
      <c r="H18" s="38" t="s">
        <v>39</v>
      </c>
      <c r="I18" s="38" t="s">
        <v>39</v>
      </c>
      <c r="J18" s="47"/>
      <c r="K18" s="50"/>
      <c r="L18" s="5">
        <f t="shared" si="0"/>
        <v>109000</v>
      </c>
    </row>
    <row r="19" spans="1:13" x14ac:dyDescent="0.3">
      <c r="A19" s="36" t="s">
        <v>0</v>
      </c>
      <c r="B19" s="38" t="s">
        <v>39</v>
      </c>
      <c r="C19" s="47">
        <v>40000</v>
      </c>
      <c r="D19" s="38" t="s">
        <v>39</v>
      </c>
      <c r="E19" s="47">
        <v>90000</v>
      </c>
      <c r="F19" s="47">
        <v>33000</v>
      </c>
      <c r="G19" s="47">
        <v>59000</v>
      </c>
      <c r="H19" s="38" t="s">
        <v>39</v>
      </c>
      <c r="I19" s="38" t="s">
        <v>39</v>
      </c>
      <c r="J19" s="47"/>
      <c r="K19" s="50"/>
      <c r="L19" s="5">
        <f t="shared" si="0"/>
        <v>222000</v>
      </c>
    </row>
    <row r="20" spans="1:13" x14ac:dyDescent="0.3">
      <c r="A20" s="36" t="s">
        <v>1</v>
      </c>
      <c r="B20" s="38" t="s">
        <v>39</v>
      </c>
      <c r="C20" s="47">
        <v>40000</v>
      </c>
      <c r="D20" s="38" t="s">
        <v>39</v>
      </c>
      <c r="E20" s="47">
        <v>160000</v>
      </c>
      <c r="F20" s="47">
        <v>33000</v>
      </c>
      <c r="G20" s="47">
        <v>110000</v>
      </c>
      <c r="H20" s="38" t="s">
        <v>39</v>
      </c>
      <c r="I20" s="38" t="s">
        <v>39</v>
      </c>
      <c r="J20" s="47"/>
      <c r="K20" s="50"/>
      <c r="L20" s="5">
        <f t="shared" si="0"/>
        <v>343000</v>
      </c>
    </row>
    <row r="21" spans="1:13" x14ac:dyDescent="0.3">
      <c r="A21" s="34" t="s">
        <v>4</v>
      </c>
      <c r="B21" s="38" t="s">
        <v>39</v>
      </c>
      <c r="C21" s="47">
        <v>40000</v>
      </c>
      <c r="D21" s="38" t="s">
        <v>39</v>
      </c>
      <c r="E21" s="47">
        <v>80000</v>
      </c>
      <c r="F21" s="47">
        <v>33000</v>
      </c>
      <c r="G21" s="38" t="s">
        <v>39</v>
      </c>
      <c r="H21" s="38" t="s">
        <v>39</v>
      </c>
      <c r="I21" s="38" t="s">
        <v>39</v>
      </c>
      <c r="J21" s="47"/>
      <c r="K21" s="50"/>
      <c r="L21" s="5">
        <f t="shared" si="0"/>
        <v>153000</v>
      </c>
    </row>
    <row r="22" spans="1:13" x14ac:dyDescent="0.3">
      <c r="A22" s="34" t="s">
        <v>6</v>
      </c>
      <c r="B22" s="38" t="s">
        <v>39</v>
      </c>
      <c r="C22" s="47">
        <v>40000</v>
      </c>
      <c r="D22" s="38" t="s">
        <v>39</v>
      </c>
      <c r="E22" s="47">
        <v>115000</v>
      </c>
      <c r="F22" s="47">
        <v>33000</v>
      </c>
      <c r="G22" s="38" t="s">
        <v>39</v>
      </c>
      <c r="H22" s="38" t="s">
        <v>39</v>
      </c>
      <c r="I22" s="48">
        <v>60000</v>
      </c>
      <c r="J22" s="47"/>
      <c r="K22" s="50"/>
      <c r="L22" s="5">
        <f t="shared" si="0"/>
        <v>248000</v>
      </c>
    </row>
    <row r="23" spans="1:13" x14ac:dyDescent="0.3">
      <c r="A23" s="34" t="s">
        <v>5</v>
      </c>
      <c r="B23" s="38" t="s">
        <v>39</v>
      </c>
      <c r="C23" s="47">
        <v>40000</v>
      </c>
      <c r="D23" s="38" t="s">
        <v>39</v>
      </c>
      <c r="E23" s="47">
        <v>42000</v>
      </c>
      <c r="F23" s="47">
        <v>33000</v>
      </c>
      <c r="G23" s="47">
        <v>95000</v>
      </c>
      <c r="H23" s="38" t="s">
        <v>39</v>
      </c>
      <c r="I23" s="38" t="s">
        <v>39</v>
      </c>
      <c r="J23" s="47"/>
      <c r="K23" s="50"/>
      <c r="L23" s="5">
        <f t="shared" si="0"/>
        <v>210000</v>
      </c>
    </row>
    <row r="24" spans="1:13" x14ac:dyDescent="0.3">
      <c r="E24" s="49"/>
    </row>
  </sheetData>
  <mergeCells count="22">
    <mergeCell ref="N3:N4"/>
    <mergeCell ref="A15:A16"/>
    <mergeCell ref="B15:B16"/>
    <mergeCell ref="C15:C16"/>
    <mergeCell ref="D15:D16"/>
    <mergeCell ref="E15:E16"/>
    <mergeCell ref="F15:F16"/>
    <mergeCell ref="G15:G16"/>
    <mergeCell ref="H3:K3"/>
    <mergeCell ref="A3:A4"/>
    <mergeCell ref="B3:B4"/>
    <mergeCell ref="C3:C4"/>
    <mergeCell ref="D3:D4"/>
    <mergeCell ref="E3:E4"/>
    <mergeCell ref="F3:F4"/>
    <mergeCell ref="G3:G4"/>
    <mergeCell ref="J15:J16"/>
    <mergeCell ref="L15:L16"/>
    <mergeCell ref="H15:I15"/>
    <mergeCell ref="M3:M4"/>
    <mergeCell ref="K15:K16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resumen</vt:lpstr>
      <vt:lpstr>Alquileres+expensas</vt:lpstr>
      <vt:lpstr>Personal</vt:lpstr>
      <vt:lpstr>Otros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2025-08-12T12:37:48Z</dcterms:created>
  <dcterms:modified xsi:type="dcterms:W3CDTF">2025-10-31T19:47:18Z</dcterms:modified>
</cp:coreProperties>
</file>