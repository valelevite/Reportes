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endas LC" sheetId="1" r:id="rId4"/>
    <sheet state="visible" name="Tiendas SB" sheetId="2" r:id="rId5"/>
    <sheet state="visible" name="Tiendas-Marzo2025" sheetId="3" r:id="rId6"/>
    <sheet state="visible" name="Tiendas-Febrero2025" sheetId="4" r:id="rId7"/>
    <sheet state="visible" name="Tiendas-Enero2025" sheetId="5" r:id="rId8"/>
    <sheet state="visible" name="Tiendas-Diciembre2024" sheetId="6" r:id="rId9"/>
    <sheet state="visible" name="Tiendas-Noviembre2024" sheetId="7" r:id="rId10"/>
  </sheets>
  <definedNames>
    <definedName hidden="1" localSheetId="1" name="_xlnm._FilterDatabase">'Tiendas SB'!$A$1:$O$1271</definedName>
    <definedName hidden="1" localSheetId="4" name="_xlnm._FilterDatabase">'Tiendas-Enero2025'!$A$1:$M$124</definedName>
    <definedName hidden="1" localSheetId="5" name="_xlnm._FilterDatabase">'Tiendas-Diciembre2024'!$A$1:$P$124</definedName>
    <definedName hidden="1" localSheetId="6" name="_xlnm._FilterDatabase">'Tiendas-Noviembre2024'!$A$1:$N$124</definedName>
  </definedNames>
  <calcPr/>
</workbook>
</file>

<file path=xl/sharedStrings.xml><?xml version="1.0" encoding="utf-8"?>
<sst xmlns="http://schemas.openxmlformats.org/spreadsheetml/2006/main" count="4719" uniqueCount="487">
  <si>
    <t>TIENDA / DEPOSITO / OFICINA / FABRICA</t>
  </si>
  <si>
    <t>ITEM</t>
  </si>
  <si>
    <t>RAZON SOCIAL</t>
  </si>
  <si>
    <t>FACTURA</t>
  </si>
  <si>
    <t>FECHA EMISION</t>
  </si>
  <si>
    <t>IMPORTE</t>
  </si>
  <si>
    <t>IVA/OTRO</t>
  </si>
  <si>
    <t>OTRAS PERCEP.</t>
  </si>
  <si>
    <t>TOTAL</t>
  </si>
  <si>
    <t>MEDIO DE PAGO</t>
  </si>
  <si>
    <t>FECHA A PAGAR</t>
  </si>
  <si>
    <t>FECHA 
PAGO</t>
  </si>
  <si>
    <t>OBSERVACIONES</t>
  </si>
  <si>
    <t>OCT VTAS.</t>
  </si>
  <si>
    <t>Mes</t>
  </si>
  <si>
    <t>(libre)</t>
  </si>
  <si>
    <t/>
  </si>
  <si>
    <t>COM AS SAN TELMO</t>
  </si>
  <si>
    <t>SERVICIOS</t>
  </si>
  <si>
    <t>SANABRIA GUSTAVO</t>
  </si>
  <si>
    <t>FA 0005-00002375</t>
  </si>
  <si>
    <t>BBVA</t>
  </si>
  <si>
    <t>COM LUCERO RECOLETA</t>
  </si>
  <si>
    <t>FA 0005-00002376</t>
  </si>
  <si>
    <t>COM LUCERO ST</t>
  </si>
  <si>
    <t>FA 0005-00002373</t>
  </si>
  <si>
    <t>COM LUCERO GUEMES LOCAL 08</t>
  </si>
  <si>
    <t>FA 0005-00002371</t>
  </si>
  <si>
    <t>MANTENIMIENTO</t>
  </si>
  <si>
    <t>CHECK CLIMATIZACION PREVISION PPTO 4902</t>
  </si>
  <si>
    <t>00001-00000191</t>
  </si>
  <si>
    <t>ALARMA</t>
  </si>
  <si>
    <t>SANES JUAN MANUEL</t>
  </si>
  <si>
    <t>FC</t>
  </si>
  <si>
    <t>ALQUILER</t>
  </si>
  <si>
    <t>MESATEL SA</t>
  </si>
  <si>
    <t>FA 00003-00008096</t>
  </si>
  <si>
    <t>EDESUR</t>
  </si>
  <si>
    <t xml:space="preserve"> PROVINCIA</t>
  </si>
  <si>
    <t>EXPENSAS</t>
  </si>
  <si>
    <t>sin comprobante</t>
  </si>
  <si>
    <t>FUMIGACION</t>
  </si>
  <si>
    <t>MANOLIO MARIANO SERGIO</t>
  </si>
  <si>
    <t>INTERNET</t>
  </si>
  <si>
    <t>TELEFONICA MOVILES ARGENTINA SOCIEDAD ANONIMA</t>
  </si>
  <si>
    <t>COM FLORIDA LUCERO CUERO</t>
  </si>
  <si>
    <t>ABL</t>
  </si>
  <si>
    <t>MAGECA S A</t>
  </si>
  <si>
    <t>ND 00002-00000063</t>
  </si>
  <si>
    <t>FA 00002-00000220</t>
  </si>
  <si>
    <t>AYSA</t>
  </si>
  <si>
    <t>MP</t>
  </si>
  <si>
    <t>FA</t>
  </si>
  <si>
    <t>TELECOM ARGENTINA SOCIEDAD ANONIMA</t>
  </si>
  <si>
    <t>COM LUCERO FRENCH</t>
  </si>
  <si>
    <t>Fideicomiso Laguna Oscura</t>
  </si>
  <si>
    <t>RA</t>
  </si>
  <si>
    <t>Solar de french</t>
  </si>
  <si>
    <t>S/C</t>
  </si>
  <si>
    <t>FA 4264-05647876</t>
  </si>
  <si>
    <t>COM LUCERO GUEMES GONDOLA 13</t>
  </si>
  <si>
    <t>GALERIA GRAL GUEMES S A I</t>
  </si>
  <si>
    <t>FA A00003-00019233</t>
  </si>
  <si>
    <t>COM LUCERO GUEMES GONDOLA 7</t>
  </si>
  <si>
    <t>FA A00003-00019217</t>
  </si>
  <si>
    <t>COM LUCERO GUEMES LOCAL 04</t>
  </si>
  <si>
    <t>FA A00003-00019223</t>
  </si>
  <si>
    <t>FA A00003-00019216</t>
  </si>
  <si>
    <t>FORTIN MAURE S.A.</t>
  </si>
  <si>
    <t>FA 0030-00091406</t>
  </si>
  <si>
    <t>FA 00003-00008098</t>
  </si>
  <si>
    <t>COM LUCERO ST 2</t>
  </si>
  <si>
    <t>FA 00003-00008097</t>
  </si>
  <si>
    <t>MATAFUEGO</t>
  </si>
  <si>
    <t>SEGURIDAD DENAPOLI SRL</t>
  </si>
  <si>
    <t>FA 00004-00010052</t>
  </si>
  <si>
    <t>GONDOLA EL SOLAR LUCERO CUERO</t>
  </si>
  <si>
    <t>a confirmar</t>
  </si>
  <si>
    <t>ECHEQ</t>
  </si>
  <si>
    <t>CHACO 25 DE MAYO</t>
  </si>
  <si>
    <t>CRICNOGAP SOCIEDAD ANONIMA</t>
  </si>
  <si>
    <t xml:space="preserve"> CREDICOOP</t>
  </si>
  <si>
    <t>ALUMBRADO</t>
  </si>
  <si>
    <t>AMX ARGENTINA SOCIEDAD ANONIMA</t>
  </si>
  <si>
    <t>A nombre de Carlotex</t>
  </si>
  <si>
    <t>ND</t>
  </si>
  <si>
    <t>DEB. AUT. CRED.</t>
  </si>
  <si>
    <t>EFECTIVO</t>
  </si>
  <si>
    <t>CREDICOOP C de I</t>
  </si>
  <si>
    <t>DEPOSITO 2463</t>
  </si>
  <si>
    <t>Condominio Marinelli</t>
  </si>
  <si>
    <t>Se paga 64% a MARINELLI MA ESTER y 36% a MARINELLI INES</t>
  </si>
  <si>
    <t>DEPOSITO 2468</t>
  </si>
  <si>
    <t>AGIP a cta de otra RS</t>
  </si>
  <si>
    <t>Partida 118462</t>
  </si>
  <si>
    <t>VISION 101 S.A.</t>
  </si>
  <si>
    <t>TELECENTRO</t>
  </si>
  <si>
    <t>A nombre de Le Marroq</t>
  </si>
  <si>
    <t>Cliente  2404938</t>
  </si>
  <si>
    <t>METROGAS</t>
  </si>
  <si>
    <t>Metrogas</t>
  </si>
  <si>
    <t>cliente 10442982300</t>
  </si>
  <si>
    <t>TELEFONIA</t>
  </si>
  <si>
    <t>DEPOSITO PERDRIEL</t>
  </si>
  <si>
    <t>Partida 1381816</t>
  </si>
  <si>
    <t>HOME CITY S.A.</t>
  </si>
  <si>
    <t>OFICINA FLORIDA</t>
  </si>
  <si>
    <t>PRODUCCION SD 2626</t>
  </si>
  <si>
    <t>COM LUCERO FLORIDA</t>
  </si>
  <si>
    <t>FA 0501-02291854</t>
  </si>
  <si>
    <t>FA 0501-02291992</t>
  </si>
  <si>
    <t>FA 9904-02394351</t>
  </si>
  <si>
    <t>FA 00002-00000200</t>
  </si>
  <si>
    <t>ND 00002-00000054</t>
  </si>
  <si>
    <t>FA 00003-00000965</t>
  </si>
  <si>
    <t>FC 00001-00000058</t>
  </si>
  <si>
    <t>FA 4264-05107815</t>
  </si>
  <si>
    <t>FA 0501-02285075</t>
  </si>
  <si>
    <t>FA 0501-02285074</t>
  </si>
  <si>
    <t>RA 00001-00000029</t>
  </si>
  <si>
    <t>s/c</t>
  </si>
  <si>
    <t>FA 4264-05097061</t>
  </si>
  <si>
    <t>PRESIDENCIA GALERIA GUEMES (Andressa)</t>
  </si>
  <si>
    <t>FA 0003-00018624</t>
  </si>
  <si>
    <t>PRESIDENCIA GALERIA GUEMES (OFICINA)</t>
  </si>
  <si>
    <t>FA 00003-00018616</t>
  </si>
  <si>
    <t>FA 0003-00018618</t>
  </si>
  <si>
    <t>COM LUCERO GUEMES</t>
  </si>
  <si>
    <t>FA 00003-00018617</t>
  </si>
  <si>
    <t>FA 4264-05080411</t>
  </si>
  <si>
    <t>COM AS QUILMES</t>
  </si>
  <si>
    <t>FA 3103-00019180</t>
  </si>
  <si>
    <t>FA 0501-02277271</t>
  </si>
  <si>
    <t>FA 0030-00089741</t>
  </si>
  <si>
    <t>FA 0030-00089550</t>
  </si>
  <si>
    <t>FA 4264-05199207</t>
  </si>
  <si>
    <t>FA 0501-02285073</t>
  </si>
  <si>
    <t>FA 00003-00007586</t>
  </si>
  <si>
    <t>FA 0501-02284788</t>
  </si>
  <si>
    <t>FA 00003-00007585</t>
  </si>
  <si>
    <t>FA 00003-00007587</t>
  </si>
  <si>
    <t>ND 00002-00000057</t>
  </si>
  <si>
    <t>FC 00001-00000065</t>
  </si>
  <si>
    <t>FA 00002-00000202</t>
  </si>
  <si>
    <t>FA 0501-02399786</t>
  </si>
  <si>
    <t>emision 29/04/2025</t>
  </si>
  <si>
    <t>FA 0501-02400314</t>
  </si>
  <si>
    <t>FA 9904-02414082</t>
  </si>
  <si>
    <t>Tiene intereses x pago fuera de vto</t>
  </si>
  <si>
    <t>FA 00003-00000974</t>
  </si>
  <si>
    <t>FA 4264-05249336</t>
  </si>
  <si>
    <t>emision 18/04/2025</t>
  </si>
  <si>
    <t>FA 00004-00009645</t>
  </si>
  <si>
    <t>FA 00003-00018750</t>
  </si>
  <si>
    <t>FA 4264-05217439</t>
  </si>
  <si>
    <t>FA 4264-05351455</t>
  </si>
  <si>
    <t>emision 21/05/2025</t>
  </si>
  <si>
    <t>verificar saldo a favor x $40441,50</t>
  </si>
  <si>
    <t>FA 00003-00018767</t>
  </si>
  <si>
    <t>FA 00003-00018751</t>
  </si>
  <si>
    <t>FC 00001-00000066</t>
  </si>
  <si>
    <t>FA 0030-000090177</t>
  </si>
  <si>
    <t>FA 0501-02389941</t>
  </si>
  <si>
    <t>emision 28/04/2025</t>
  </si>
  <si>
    <t>FA 0030-00089982</t>
  </si>
  <si>
    <t>FA 4264-05336176</t>
  </si>
  <si>
    <t>FA 00004-00009643</t>
  </si>
  <si>
    <t>FA 00003-00007697</t>
  </si>
  <si>
    <t>FA 0501-02400315</t>
  </si>
  <si>
    <t>FA 00003-00007699</t>
  </si>
  <si>
    <t>FA 00004-00009644</t>
  </si>
  <si>
    <t>FA 0501-702412401</t>
  </si>
  <si>
    <t xml:space="preserve">cargada en factura y pagos </t>
  </si>
  <si>
    <t>FA 0505-00007707</t>
  </si>
  <si>
    <t>FA 3103-00021024</t>
  </si>
  <si>
    <t>RA 00001-00000056</t>
  </si>
  <si>
    <t>FA 0501-02399784</t>
  </si>
  <si>
    <t>FA 0501-02399785</t>
  </si>
  <si>
    <t>FA 4264-05236055</t>
  </si>
  <si>
    <t>FA 00004-00009640</t>
  </si>
  <si>
    <t>FA 00003-00018757</t>
  </si>
  <si>
    <t>FA 00003-00018749</t>
  </si>
  <si>
    <t>C DE I - OFICINA GALERIA GUEMES</t>
  </si>
  <si>
    <t>FA 00003-00018769 // NCA 00003-00000915</t>
  </si>
  <si>
    <t>FA 00003-00018769</t>
  </si>
  <si>
    <t>FC 00001-00000075</t>
  </si>
  <si>
    <t>FA 00003-00007838</t>
  </si>
  <si>
    <t>FA 0501-02510981</t>
  </si>
  <si>
    <t>FA 00003-00000986</t>
  </si>
  <si>
    <t>FA 3103-00021534</t>
  </si>
  <si>
    <t>ND 00002-00000058</t>
  </si>
  <si>
    <t>FA 00002-00000208</t>
  </si>
  <si>
    <t>FA 9904-02434027</t>
  </si>
  <si>
    <t>FA 0501-02518870</t>
  </si>
  <si>
    <t>FA 0501-02518854</t>
  </si>
  <si>
    <t>FA 4264-05384547</t>
  </si>
  <si>
    <t>FA 00003-00018889</t>
  </si>
  <si>
    <t>FA 00003-00018918</t>
  </si>
  <si>
    <t>FA 00004-00009818</t>
  </si>
  <si>
    <t>FA 00003-00018906</t>
  </si>
  <si>
    <t>FA 00003-00018890</t>
  </si>
  <si>
    <t>FA 00003-00018920</t>
  </si>
  <si>
    <t>FA 0030-00090551</t>
  </si>
  <si>
    <t>FA 0501-02500692</t>
  </si>
  <si>
    <t>FA 0030-00090384</t>
  </si>
  <si>
    <t>FA 4264-05472122</t>
  </si>
  <si>
    <t>FA 00003-00007837</t>
  </si>
  <si>
    <t>FA 00003-00007839</t>
  </si>
  <si>
    <t>RA 00001-00000086</t>
  </si>
  <si>
    <t>FA 0501-02510982</t>
  </si>
  <si>
    <t>FA 0501-02510983</t>
  </si>
  <si>
    <t>FA 4264-05370347</t>
  </si>
  <si>
    <t>FA 0501-02511329</t>
  </si>
  <si>
    <t>FA 00004-00009774</t>
  </si>
  <si>
    <t>FA 00003-00018896</t>
  </si>
  <si>
    <t>FA 00003-00018917</t>
  </si>
  <si>
    <t>FC 00001-00000076</t>
  </si>
  <si>
    <t>FA 00003-00007940</t>
  </si>
  <si>
    <t>FA 0501-02631328</t>
  </si>
  <si>
    <t>FA 00003-00000996</t>
  </si>
  <si>
    <t>FA 3103-00024016</t>
  </si>
  <si>
    <t>ND 00002-00000061</t>
  </si>
  <si>
    <t>FC 00001-00000077</t>
  </si>
  <si>
    <t>FA 00002-00000215</t>
  </si>
  <si>
    <t>FA 0501-02636593</t>
  </si>
  <si>
    <t>FA 0501-02636038</t>
  </si>
  <si>
    <t>FA 9904-0245536217</t>
  </si>
  <si>
    <t>FA 4264-05521129</t>
  </si>
  <si>
    <t>RETAMAR VICTOR</t>
  </si>
  <si>
    <t>FC 00004-00000022</t>
  </si>
  <si>
    <t>RA 00001-00000113</t>
  </si>
  <si>
    <t>FA 0501-02631330</t>
  </si>
  <si>
    <t>FA0501-02631329</t>
  </si>
  <si>
    <t>FA 4264-05508161</t>
  </si>
  <si>
    <t>FA 00003-00019045</t>
  </si>
  <si>
    <t>FA 00003-00019054</t>
  </si>
  <si>
    <t>FA 00003-00019035</t>
  </si>
  <si>
    <t>FA 00003-00019029</t>
  </si>
  <si>
    <t>FA 4264-05488775</t>
  </si>
  <si>
    <t>FA 0030-00090846</t>
  </si>
  <si>
    <t>FA 0501-02614658</t>
  </si>
  <si>
    <t>FA 0030-00090767</t>
  </si>
  <si>
    <t>FA 4264-05609033</t>
  </si>
  <si>
    <t>FA 00003-00007939</t>
  </si>
  <si>
    <t>FA 0501-02626440</t>
  </si>
  <si>
    <t>FA 00003-00007941</t>
  </si>
  <si>
    <t>FA 0501-02737818</t>
  </si>
  <si>
    <t>FA 3103-00025772</t>
  </si>
  <si>
    <t>CHECK CLIMATIZACION</t>
  </si>
  <si>
    <t>FA 00001-00000188</t>
  </si>
  <si>
    <t>PPTO 4902</t>
  </si>
  <si>
    <t>FA 0501-02743414</t>
  </si>
  <si>
    <t>FA 0501-02743784</t>
  </si>
  <si>
    <t>FA 9904-0247509417</t>
  </si>
  <si>
    <t>FA 4264-05658214</t>
  </si>
  <si>
    <t>FA 0501-02737820</t>
  </si>
  <si>
    <t>FA 0501-02737819</t>
  </si>
  <si>
    <t>FA 4264-05624998</t>
  </si>
  <si>
    <t>FA 0501-02731127</t>
  </si>
  <si>
    <t>FA 0030-00091179</t>
  </si>
  <si>
    <t>FA 4264-05746386</t>
  </si>
  <si>
    <t>FA 0501-02735148</t>
  </si>
  <si>
    <t>FECHA PREVISTA</t>
  </si>
  <si>
    <t>PREVISION alquieles tiendas</t>
  </si>
  <si>
    <t>PREVISION alquileres dep/ofic</t>
  </si>
  <si>
    <t>CHACO 25 DE MAYO (FABRICA)</t>
  </si>
  <si>
    <t>FA 00002-00001282</t>
  </si>
  <si>
    <t>ENERGIA</t>
  </si>
  <si>
    <t>CELULAR</t>
  </si>
  <si>
    <t>OTRO</t>
  </si>
  <si>
    <t>FLORIDA (OFICINA)</t>
  </si>
  <si>
    <t>Mageca S.A.</t>
  </si>
  <si>
    <t>FA 00002-00000197</t>
  </si>
  <si>
    <t>ND 00002-00000051</t>
  </si>
  <si>
    <t>FA 00003-00000955</t>
  </si>
  <si>
    <t>Telecom Argentina sa</t>
  </si>
  <si>
    <t>FA 4264-05005193</t>
  </si>
  <si>
    <t>FLORIDA LUCERO (TIENDA)</t>
  </si>
  <si>
    <t>FA 00002-00000198</t>
  </si>
  <si>
    <t>ND 00002-00000052</t>
  </si>
  <si>
    <t>Edesur</t>
  </si>
  <si>
    <t>FA 0501-02178398</t>
  </si>
  <si>
    <t>FA 0501-02178642</t>
  </si>
  <si>
    <t>FA 9904-02372370</t>
  </si>
  <si>
    <t>FA 4264-04971072</t>
  </si>
  <si>
    <t>FRENCH LUC 27 Y 29 (TIENDA)</t>
  </si>
  <si>
    <t>Coceres Josefa</t>
  </si>
  <si>
    <t>FA 0501-02168207</t>
  </si>
  <si>
    <t>FA 0501-02168206</t>
  </si>
  <si>
    <t>FA 4264-04959817</t>
  </si>
  <si>
    <t>PERDRIEL 1591 (DEPOSITO)</t>
  </si>
  <si>
    <t>FA 00002-00000662</t>
  </si>
  <si>
    <t>FA 00002-00000666</t>
  </si>
  <si>
    <t>FA 0501-0214995017</t>
  </si>
  <si>
    <t>FA 4264-005007351</t>
  </si>
  <si>
    <t>QUILMES AS PDI SA (TIENDA)</t>
  </si>
  <si>
    <t>PDI S.A.</t>
  </si>
  <si>
    <t>FA 00003-00006017</t>
  </si>
  <si>
    <t>FA 0501-02195369</t>
  </si>
  <si>
    <t>Telefonica Argentina sa</t>
  </si>
  <si>
    <t>FA 3103-00017419</t>
  </si>
  <si>
    <t>RECOLETA LUCERO (TIENDA)</t>
  </si>
  <si>
    <t>FA 0030-00089325</t>
  </si>
  <si>
    <t>FA 0030-00089164</t>
  </si>
  <si>
    <t>FA 0501-02168204</t>
  </si>
  <si>
    <t>FA 4264-05062879</t>
  </si>
  <si>
    <t>SAN TELMO AS STORE MESATEL LOC 120/121 (TIENDA)</t>
  </si>
  <si>
    <t>MESATEL</t>
  </si>
  <si>
    <t>FA 00003-00007484</t>
  </si>
  <si>
    <t>0501-02168205</t>
  </si>
  <si>
    <t>SAN TELMO LUC MESATEL LOC 92 (TIENDA)</t>
  </si>
  <si>
    <t>FA 00003-00007486</t>
  </si>
  <si>
    <t>FA 0501-02168459</t>
  </si>
  <si>
    <t>SAN TELMO LUCERO 2 MESATEL LOC 122 (TIENDA)</t>
  </si>
  <si>
    <t>FA 00003-00007485</t>
  </si>
  <si>
    <t>cliente 03717992</t>
  </si>
  <si>
    <t>SANTO DOMINGO 2463 (DEPOSITO)</t>
  </si>
  <si>
    <t>FA 00002-00000144</t>
  </si>
  <si>
    <t>0501-021495960</t>
  </si>
  <si>
    <t>FA 4264-05009094</t>
  </si>
  <si>
    <t>SANTO DOMINGO 2468 (DEPOSITO)</t>
  </si>
  <si>
    <t>Vision 101 S.A.</t>
  </si>
  <si>
    <t>FA 1815-00000178</t>
  </si>
  <si>
    <t>AGIP</t>
  </si>
  <si>
    <t>Partida 0118462</t>
  </si>
  <si>
    <t>AMX Argentina SA</t>
  </si>
  <si>
    <t>FA 1331-00021942</t>
  </si>
  <si>
    <t>FA 0063-03212763</t>
  </si>
  <si>
    <t>TODO BIJOU STL MESATEL LOC 196 (TIENDA)</t>
  </si>
  <si>
    <t>GALERIA GUEMES LOC 08 (TIENDA)</t>
  </si>
  <si>
    <t>Galeria Gral Güemes SAI</t>
  </si>
  <si>
    <t>FA 003-0018446</t>
  </si>
  <si>
    <t>se incluye en FA 18446</t>
  </si>
  <si>
    <t>FA 4264-04943959</t>
  </si>
  <si>
    <t>GALERIA GUEMES LOC 07 (GONDOLA)</t>
  </si>
  <si>
    <t>FA 003-0018447</t>
  </si>
  <si>
    <t>se incluye en FA 18447</t>
  </si>
  <si>
    <t>GALERIA GUEMES (OFICINA)</t>
  </si>
  <si>
    <t>FA 003-0018445</t>
  </si>
  <si>
    <t>SANTO DOMINGO 2626 (DEPOSITO)</t>
  </si>
  <si>
    <t>GALERIA GUEMES (Andressa)</t>
  </si>
  <si>
    <t>FA 003-0018453</t>
  </si>
  <si>
    <t>se incluye en FA 18453</t>
  </si>
  <si>
    <t>PROVEEDOR</t>
  </si>
  <si>
    <t>EXPENSAS / SERVICIOS</t>
  </si>
  <si>
    <t>SERIVIOS NO INCLUYE FUMIGACIÓN</t>
  </si>
  <si>
    <t>QUILMES AS PDI SA</t>
  </si>
  <si>
    <t>Local FLORIDA Gastos - Mageca SA</t>
  </si>
  <si>
    <t>Oficina FLORIDA Gastos - Mageca SA</t>
  </si>
  <si>
    <t>DEP, BARRACAS Marinelli Ma Ester e Inés</t>
  </si>
  <si>
    <t xml:space="preserve">RECOLETA LUC Fortín Maure SA </t>
  </si>
  <si>
    <t>SAN TELMO AS STORE Mesatel</t>
  </si>
  <si>
    <t>SAN TELMO LUC Mesatel</t>
  </si>
  <si>
    <t>0</t>
  </si>
  <si>
    <t>Todo Bijou Mesatel</t>
  </si>
  <si>
    <t>FRENCH LUC Alq 27 Cóceres Josefa</t>
  </si>
  <si>
    <t>Pedriel - Home City</t>
  </si>
  <si>
    <t>LUCERO SAN TELMO 2</t>
  </si>
  <si>
    <t>Guemes Gondola</t>
  </si>
  <si>
    <t>Guemes Lucero</t>
  </si>
  <si>
    <t>Guemes Oficina</t>
  </si>
  <si>
    <t>Guemes Andressa</t>
  </si>
  <si>
    <t>Santo Domingo 2468</t>
  </si>
  <si>
    <t>25 de mayo - Chaco</t>
  </si>
  <si>
    <t>TOTAL ALQ Y EXP</t>
  </si>
  <si>
    <t>Mageca S.A FA 00002-00000196</t>
  </si>
  <si>
    <t>Mageca S.A</t>
  </si>
  <si>
    <t>EMPRESA DISTRIBUIDORA SUR S.A. FA 0501-02066527</t>
  </si>
  <si>
    <t>EMPRESA DISTRIBUIDORA SUR S.A. FA 0501-02066588</t>
  </si>
  <si>
    <t>c 05887368</t>
  </si>
  <si>
    <t>FA 00003-00000944</t>
  </si>
  <si>
    <t>ND 00002-00000050</t>
  </si>
  <si>
    <t>Telecom Argentina S.A.</t>
  </si>
  <si>
    <t>FA 4264-04834646</t>
  </si>
  <si>
    <t>Galeria Solar de French</t>
  </si>
  <si>
    <t>Liq exp. Loc27y29</t>
  </si>
  <si>
    <t>EMPRESA DISTRIBUIDORA SUR S.A. FA 0501-02055956</t>
  </si>
  <si>
    <t>EMPRESA DISTRIBUIDORA SUR S.A. FA 0501-02055955</t>
  </si>
  <si>
    <t>Telecom Argentina S.A</t>
  </si>
  <si>
    <t>FA 4264-04823443</t>
  </si>
  <si>
    <t>FA 003-005964</t>
  </si>
  <si>
    <t>Telefonica Moviles Argentina SA</t>
  </si>
  <si>
    <t>FA 3103-00016595</t>
  </si>
  <si>
    <t>Fortin Maure S.A.</t>
  </si>
  <si>
    <t>Fact. 0030-0088947</t>
  </si>
  <si>
    <t>Fact. 0030-0088784</t>
  </si>
  <si>
    <t>EMPRESA DISTRIBUIDORA SUR S.A. FA 0501-02055953</t>
  </si>
  <si>
    <t>FA 4264-04926721</t>
  </si>
  <si>
    <t>Mesatel SA</t>
  </si>
  <si>
    <t>FA 00003-00007336</t>
  </si>
  <si>
    <t>Mesatel</t>
  </si>
  <si>
    <t>Loc. 120y121</t>
  </si>
  <si>
    <t>EMPRESA DISTRIBUIDORA SUR S.A. FA 0501-02055954</t>
  </si>
  <si>
    <t>FA 00003-00007335</t>
  </si>
  <si>
    <t>Loc. 92</t>
  </si>
  <si>
    <t>EMPRESA DISTRIBUIDORA SUR S.A. FA 0501-02056897</t>
  </si>
  <si>
    <t>FA 00003-00007337</t>
  </si>
  <si>
    <t>Loc.122</t>
  </si>
  <si>
    <t>Loc.196</t>
  </si>
  <si>
    <t>Galeria Güemes SAI</t>
  </si>
  <si>
    <t>Fact. 003-0018314</t>
  </si>
  <si>
    <t>se paga con Fact.18314</t>
  </si>
  <si>
    <t>Fact. 003-0018315</t>
  </si>
  <si>
    <t>se paga con Fact.18315</t>
  </si>
  <si>
    <t>GALERIA GUEMES LOC 04 (Andressa)</t>
  </si>
  <si>
    <t>Se paga con Fact y NC</t>
  </si>
  <si>
    <t>Fact. 18321 y NC 907</t>
  </si>
  <si>
    <t>Fact. 003-0018337</t>
  </si>
  <si>
    <t>Fact. 003-0018334</t>
  </si>
  <si>
    <t>MAGECA S.A.</t>
  </si>
  <si>
    <t>FA 00002-00000194</t>
  </si>
  <si>
    <t>vta inf 28,735,451</t>
  </si>
  <si>
    <t>MAP ADMINISTRACION &amp; ASOC.</t>
  </si>
  <si>
    <t xml:space="preserve">se puede manejar </t>
  </si>
  <si>
    <t>EMPRESA DISTRIBUIDORA SUR S.A.</t>
  </si>
  <si>
    <t>CLIENTE 80515243</t>
  </si>
  <si>
    <t>CLIENTE 05862541</t>
  </si>
  <si>
    <t>CLIENTE 05887368</t>
  </si>
  <si>
    <t>INMOBILIARIO Y ABL</t>
  </si>
  <si>
    <t>BRICEÑO CEDEÑO YSENIA DEL VALLE</t>
  </si>
  <si>
    <t>Pagado en la factura general de Satelco</t>
  </si>
  <si>
    <t>FA 00003-00000932</t>
  </si>
  <si>
    <t>TELECOM ARGENTINA S.A.</t>
  </si>
  <si>
    <t>FA 4264-04700976</t>
  </si>
  <si>
    <t>COCERES JOSEFA</t>
  </si>
  <si>
    <t xml:space="preserve">fijate en el wapp del cel chiq q agustina de Gal French manda las exp </t>
  </si>
  <si>
    <t>CLIENTE: 05887359</t>
  </si>
  <si>
    <t>CLIENTE: 05887351</t>
  </si>
  <si>
    <t>FA 4264-04687707</t>
  </si>
  <si>
    <t>cliente 51284895</t>
  </si>
  <si>
    <t>FA 00003-00005929</t>
  </si>
  <si>
    <t>cliente 05648643</t>
  </si>
  <si>
    <t>PAGADO CON ALQUILER</t>
  </si>
  <si>
    <t>Linea 1160853476 - FA 3103-00013042</t>
  </si>
  <si>
    <t>PAGADA CON ALQUILER</t>
  </si>
  <si>
    <t>TELEFONICA MOVILES ARGENTINA S.A.</t>
  </si>
  <si>
    <t>LINEA 5266385548 - Se paga junto a ST FA 3103-00014580</t>
  </si>
  <si>
    <t xml:space="preserve">vta inf 16.643.902 CON IVA                </t>
  </si>
  <si>
    <t>CLIENTE 05887334</t>
  </si>
  <si>
    <t>FA 4264-04791038</t>
  </si>
  <si>
    <t>deb aut Bco Credicoop</t>
  </si>
  <si>
    <t>FA 00003-00007249</t>
  </si>
  <si>
    <t>ADMINISTRACION MERCADO ST</t>
  </si>
  <si>
    <t>CLIENTE 05887343</t>
  </si>
  <si>
    <t>LINEA 1160853471 - FA 3103-00013042</t>
  </si>
  <si>
    <t>LINEA 5266385623 - Se paga junto a ST FA 3103-00014580</t>
  </si>
  <si>
    <t>FA 00003-00007250</t>
  </si>
  <si>
    <t>CLIENTE 05862583</t>
  </si>
  <si>
    <t>Se paga junto a ST</t>
  </si>
  <si>
    <t>FA 00003-00007248</t>
  </si>
  <si>
    <t>CLIENTE 03717992</t>
  </si>
  <si>
    <t>FA 00003-00007251</t>
  </si>
  <si>
    <t>CLIENTE 04215859</t>
  </si>
  <si>
    <t>TIENDAS FORTIN MAURE FA 030-087469 (ajuste alquiler 10/2024)</t>
  </si>
  <si>
    <t>GALERIA GENERAL GÜEMES SAI</t>
  </si>
  <si>
    <t>FA 4264-04672931</t>
  </si>
  <si>
    <t>FECHA 
 PAGO</t>
  </si>
  <si>
    <t>FA 00002-00000192</t>
  </si>
  <si>
    <t>se puede manejar</t>
  </si>
  <si>
    <t>FC 00001-00000158</t>
  </si>
  <si>
    <t>FA 00003-00000922</t>
  </si>
  <si>
    <t>deb aut bco Credicoop</t>
  </si>
  <si>
    <t>fijate en el wapp del cel chiq q agustina de Gal French manda las exp</t>
  </si>
  <si>
    <t>Saldo a favor Importe $ 0,-</t>
  </si>
  <si>
    <t>FA 00003-000005846</t>
  </si>
  <si>
    <t>RECUPERO DE AGUA</t>
  </si>
  <si>
    <t>$ -</t>
  </si>
  <si>
    <t>LINEA 5266385548 - Se paga junto a ST FA 3103-00013042</t>
  </si>
  <si>
    <t>vta inf 16.643.902 CON IVA</t>
  </si>
  <si>
    <t>Fact 030-088014</t>
  </si>
  <si>
    <t>Debito automatico</t>
  </si>
  <si>
    <t>FA 0003-00007107</t>
  </si>
  <si>
    <t>LINEA 5266385623 - Se paga junto a ST FA 3103-00013042</t>
  </si>
  <si>
    <t>FA 0003-00007106</t>
  </si>
  <si>
    <t>FA 0003-00007108</t>
  </si>
  <si>
    <t>FA 00003-00018052</t>
  </si>
  <si>
    <t>FA 00003-00018053</t>
  </si>
  <si>
    <t>CREDICOOP</t>
  </si>
  <si>
    <t>PROVINCIA</t>
  </si>
  <si>
    <t>00003-00005808</t>
  </si>
  <si>
    <t>RECUPERO DE IMP. INMOB. Y AGUA</t>
  </si>
  <si>
    <t>FA 0030-00087858</t>
  </si>
  <si>
    <t>vta inf 12.955.741 SIN IVA</t>
  </si>
  <si>
    <t>SALDO A FAVOR</t>
  </si>
  <si>
    <t>vta inf 21.519.363</t>
  </si>
  <si>
    <t>vta inf 600.793 SIN IVA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</si>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</sst>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&quot;/&quot;mm&quot;/&quot;yyyy"/>
    <numFmt numFmtId="165" formatCode="_-&quot;$&quot;\ * #,##0.00_-;\-&quot;$&quot;\ * #,##0.00_-;_-&quot;$&quot;\ * &quot;-&quot;??_-;_-@"/>
    <numFmt numFmtId="166" formatCode="&quot;-&quot;mmm&quot;-&quot;yy"/>
    <numFmt numFmtId="167" formatCode="&quot;-&quot;mmmm&quot;-&quot;yyyy"/>
    <numFmt numFmtId="168" formatCode="_-&quot;$&quot;* #,##0.00_-;_-&quot;$&quot;* \-#,##0.00_-;_-&quot;$&quot;* &quot;-&quot;??_-;_-@"/>
    <numFmt numFmtId="169" formatCode="d/m"/>
    <numFmt numFmtId="170" formatCode="mmmm&quot;/año&quot;yyyy"/>
    <numFmt numFmtId="171" formatCode="dd/mm/yyyy"/>
    <numFmt numFmtId="172" formatCode="d/M/yyyy"/>
  </numFmts>
  <fonts count="23">
    <font>
      <sz val="11.0"/>
      <color theme="1"/>
      <name val="Calibri"/>
      <scheme val="minor"/>
    </font>
    <font>
      <b/>
      <sz val="13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color rgb="FFE69138"/>
      <name val="Calibri"/>
      <scheme val="minor"/>
    </font>
    <font>
      <sz val="12.0"/>
      <color theme="1"/>
      <name val="Calibri"/>
    </font>
    <font>
      <b/>
      <sz val="13.0"/>
      <color rgb="FFFF0000"/>
      <name val="Calibri"/>
    </font>
    <font>
      <color rgb="FF000000"/>
      <name val="Calibri"/>
      <scheme val="minor"/>
    </font>
    <font>
      <color rgb="FFCC4125"/>
      <name val="Calibri"/>
      <scheme val="minor"/>
    </font>
    <font>
      <color rgb="FFFFFFFF"/>
      <name val="Calibri"/>
      <scheme val="minor"/>
    </font>
    <font>
      <color rgb="FF073763"/>
      <name val="Calibri"/>
      <scheme val="minor"/>
    </font>
    <font>
      <sz val="11.0"/>
      <color rgb="FF000000"/>
      <name val="Calibri"/>
    </font>
    <font>
      <color rgb="FFFF0000"/>
      <name val="Calibri"/>
      <scheme val="minor"/>
    </font>
    <font>
      <b/>
      <sz val="16.0"/>
      <color rgb="FFFFFFFF"/>
      <name val="Calibri"/>
    </font>
    <font>
      <b/>
      <sz val="14.0"/>
      <color rgb="FF000000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i/>
      <sz val="14.0"/>
      <color theme="1"/>
      <name val="Calibri"/>
    </font>
    <font>
      <sz val="14.0"/>
      <color rgb="FF000000"/>
      <name val="Calibri"/>
    </font>
    <font>
      <b/>
      <color rgb="FFFF0000"/>
      <name val="Calibri"/>
      <scheme val="minor"/>
    </font>
    <font>
      <sz val="12.0"/>
      <color rgb="FF000000"/>
      <name val="Calibri"/>
    </font>
    <font>
      <b/>
      <sz val="11.0"/>
      <color rgb="FFFF0000"/>
      <name val="Calibri"/>
    </font>
    <font>
      <sz val="11.0"/>
      <color rgb="FFFF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CC4125"/>
        <bgColor rgb="FFCC4125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1155CC"/>
        <bgColor rgb="FF1155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</fills>
  <borders count="15">
    <border/>
    <border>
      <left/>
      <right/>
      <top style="medium">
        <color rgb="FF000000"/>
      </top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2" fillId="2" fontId="1" numFmtId="165" xfId="0" applyAlignment="1" applyBorder="1" applyFont="1" applyNumberFormat="1">
      <alignment horizontal="center" shrinkToFit="0" vertical="center" wrapText="1"/>
    </xf>
    <xf borderId="2" fillId="2" fontId="1" numFmtId="165" xfId="0" applyAlignment="1" applyBorder="1" applyFont="1" applyNumberFormat="1">
      <alignment horizontal="center" readingOrder="0" shrinkToFit="0" vertical="center" wrapText="1"/>
    </xf>
    <xf borderId="0" fillId="0" fontId="2" numFmtId="166" xfId="0" applyAlignment="1" applyFont="1" applyNumberFormat="1">
      <alignment horizontal="center" vertical="center"/>
    </xf>
    <xf borderId="3" fillId="3" fontId="1" numFmtId="167" xfId="0" applyAlignment="1" applyBorder="1" applyFill="1" applyFont="1" applyNumberFormat="1">
      <alignment horizontal="left" readingOrder="0" shrinkToFit="0" vertical="center" wrapText="1"/>
    </xf>
    <xf borderId="3" fillId="3" fontId="2" numFmtId="0" xfId="0" applyAlignment="1" applyBorder="1" applyFont="1">
      <alignment horizontal="center"/>
    </xf>
    <xf borderId="3" fillId="3" fontId="2" numFmtId="168" xfId="0" applyAlignment="1" applyBorder="1" applyFont="1" applyNumberFormat="1">
      <alignment readingOrder="0"/>
    </xf>
    <xf borderId="3" fillId="3" fontId="2" numFmtId="164" xfId="0" applyAlignment="1" applyBorder="1" applyFont="1" applyNumberFormat="1">
      <alignment horizontal="center" readingOrder="0"/>
    </xf>
    <xf borderId="3" fillId="3" fontId="3" numFmtId="168" xfId="0" applyAlignment="1" applyBorder="1" applyFont="1" applyNumberFormat="1">
      <alignment vertical="bottom"/>
    </xf>
    <xf borderId="3" fillId="3" fontId="4" numFmtId="164" xfId="0" applyAlignment="1" applyBorder="1" applyFont="1" applyNumberFormat="1">
      <alignment readingOrder="0"/>
    </xf>
    <xf borderId="3" fillId="3" fontId="2" numFmtId="0" xfId="0" applyBorder="1" applyFont="1"/>
    <xf borderId="0" fillId="0" fontId="2" numFmtId="166" xfId="0" applyAlignment="1" applyFont="1" applyNumberFormat="1">
      <alignment horizontal="center" readingOrder="0"/>
    </xf>
    <xf borderId="3" fillId="4" fontId="2" numFmtId="0" xfId="0" applyAlignment="1" applyBorder="1" applyFill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left" readingOrder="0"/>
    </xf>
    <xf borderId="3" fillId="0" fontId="2" numFmtId="0" xfId="0" applyAlignment="1" applyBorder="1" applyFont="1">
      <alignment readingOrder="0"/>
    </xf>
    <xf borderId="3" fillId="0" fontId="2" numFmtId="164" xfId="0" applyAlignment="1" applyBorder="1" applyFont="1" applyNumberFormat="1">
      <alignment horizontal="center" readingOrder="0"/>
    </xf>
    <xf borderId="3" fillId="0" fontId="2" numFmtId="168" xfId="0" applyAlignment="1" applyBorder="1" applyFont="1" applyNumberFormat="1">
      <alignment readingOrder="0"/>
    </xf>
    <xf borderId="3" fillId="0" fontId="2" numFmtId="164" xfId="0" applyAlignment="1" applyBorder="1" applyFont="1" applyNumberFormat="1">
      <alignment readingOrder="0"/>
    </xf>
    <xf borderId="3" fillId="0" fontId="5" numFmtId="169" xfId="0" applyAlignment="1" applyBorder="1" applyFont="1" applyNumberFormat="1">
      <alignment horizontal="right" readingOrder="0" vertical="bottom"/>
    </xf>
    <xf borderId="3" fillId="0" fontId="2" numFmtId="0" xfId="0" applyBorder="1" applyFont="1"/>
    <xf borderId="3" fillId="0" fontId="3" numFmtId="168" xfId="0" applyAlignment="1" applyBorder="1" applyFont="1" applyNumberFormat="1">
      <alignment readingOrder="0" vertical="bottom"/>
    </xf>
    <xf borderId="3" fillId="0" fontId="5" numFmtId="169" xfId="0" applyAlignment="1" applyBorder="1" applyFont="1" applyNumberFormat="1">
      <alignment horizontal="right" vertical="bottom"/>
    </xf>
    <xf borderId="3" fillId="0" fontId="6" numFmtId="0" xfId="0" applyAlignment="1" applyBorder="1" applyFont="1">
      <alignment vertical="bottom"/>
    </xf>
    <xf borderId="3" fillId="0" fontId="2" numFmtId="0" xfId="0" applyAlignment="1" applyBorder="1" applyFont="1">
      <alignment horizontal="center"/>
    </xf>
    <xf borderId="3" fillId="0" fontId="6" numFmtId="0" xfId="0" applyAlignment="1" applyBorder="1" applyFont="1">
      <alignment readingOrder="0" vertical="bottom"/>
    </xf>
    <xf borderId="3" fillId="0" fontId="5" numFmtId="0" xfId="0" applyAlignment="1" applyBorder="1" applyFont="1">
      <alignment horizontal="right" readingOrder="0" vertical="bottom"/>
    </xf>
    <xf borderId="3" fillId="2" fontId="2" numFmtId="0" xfId="0" applyAlignment="1" applyBorder="1" applyFont="1">
      <alignment readingOrder="0"/>
    </xf>
    <xf borderId="3" fillId="2" fontId="2" numFmtId="164" xfId="0" applyAlignment="1" applyBorder="1" applyFont="1" applyNumberFormat="1">
      <alignment horizontal="center" readingOrder="0"/>
    </xf>
    <xf borderId="3" fillId="2" fontId="2" numFmtId="168" xfId="0" applyAlignment="1" applyBorder="1" applyFont="1" applyNumberFormat="1">
      <alignment readingOrder="0"/>
    </xf>
    <xf borderId="3" fillId="2" fontId="2" numFmtId="164" xfId="0" applyAlignment="1" applyBorder="1" applyFont="1" applyNumberFormat="1">
      <alignment readingOrder="0"/>
    </xf>
    <xf borderId="3" fillId="0" fontId="5" numFmtId="0" xfId="0" applyAlignment="1" applyBorder="1" applyFont="1">
      <alignment horizontal="left" readingOrder="0" vertical="bottom"/>
    </xf>
    <xf borderId="3" fillId="5" fontId="2" numFmtId="0" xfId="0" applyAlignment="1" applyBorder="1" applyFill="1" applyFont="1">
      <alignment readingOrder="0"/>
    </xf>
    <xf borderId="3" fillId="5" fontId="2" numFmtId="164" xfId="0" applyAlignment="1" applyBorder="1" applyFont="1" applyNumberFormat="1">
      <alignment horizontal="center" readingOrder="0"/>
    </xf>
    <xf borderId="3" fillId="5" fontId="2" numFmtId="168" xfId="0" applyAlignment="1" applyBorder="1" applyFont="1" applyNumberFormat="1">
      <alignment readingOrder="0"/>
    </xf>
    <xf borderId="3" fillId="5" fontId="2" numFmtId="164" xfId="0" applyAlignment="1" applyBorder="1" applyFont="1" applyNumberFormat="1">
      <alignment readingOrder="0"/>
    </xf>
    <xf borderId="3" fillId="0" fontId="7" numFmtId="168" xfId="0" applyAlignment="1" applyBorder="1" applyFont="1" applyNumberFormat="1">
      <alignment readingOrder="0"/>
    </xf>
    <xf borderId="3" fillId="0" fontId="2" numFmtId="168" xfId="0" applyAlignment="1" applyBorder="1" applyFont="1" applyNumberFormat="1">
      <alignment horizontal="left" readingOrder="0"/>
    </xf>
    <xf borderId="0" fillId="0" fontId="2" numFmtId="0" xfId="0" applyAlignment="1" applyFont="1">
      <alignment readingOrder="0"/>
    </xf>
    <xf borderId="3" fillId="4" fontId="2" numFmtId="0" xfId="0" applyBorder="1" applyFont="1"/>
    <xf borderId="3" fillId="0" fontId="3" numFmtId="168" xfId="0" applyAlignment="1" applyBorder="1" applyFont="1" applyNumberFormat="1">
      <alignment vertical="bottom"/>
    </xf>
    <xf borderId="3" fillId="0" fontId="3" numFmtId="168" xfId="0" applyAlignment="1" applyBorder="1" applyFont="1" applyNumberFormat="1">
      <alignment horizontal="right" vertical="bottom"/>
    </xf>
    <xf borderId="3" fillId="0" fontId="2" numFmtId="164" xfId="0" applyAlignment="1" applyBorder="1" applyFont="1" applyNumberFormat="1">
      <alignment readingOrder="0" vertical="center"/>
    </xf>
    <xf borderId="3" fillId="0" fontId="3" numFmtId="168" xfId="0" applyAlignment="1" applyBorder="1" applyFont="1" applyNumberFormat="1">
      <alignment horizontal="right" readingOrder="0" vertical="bottom"/>
    </xf>
    <xf borderId="3" fillId="0" fontId="1" numFmtId="167" xfId="0" applyAlignment="1" applyBorder="1" applyFont="1" applyNumberFormat="1">
      <alignment horizontal="left" readingOrder="0" shrinkToFit="0" vertical="center" wrapText="1"/>
    </xf>
    <xf borderId="3" fillId="0" fontId="8" numFmtId="164" xfId="0" applyAlignment="1" applyBorder="1" applyFont="1" applyNumberFormat="1">
      <alignment readingOrder="0"/>
    </xf>
    <xf borderId="3" fillId="0" fontId="9" numFmtId="164" xfId="0" applyAlignment="1" applyBorder="1" applyFont="1" applyNumberFormat="1">
      <alignment readingOrder="0"/>
    </xf>
    <xf borderId="3" fillId="0" fontId="2" numFmtId="170" xfId="0" applyAlignment="1" applyBorder="1" applyFont="1" applyNumberFormat="1">
      <alignment readingOrder="0"/>
    </xf>
    <xf borderId="3" fillId="0" fontId="2" numFmtId="0" xfId="0" applyBorder="1" applyFont="1"/>
    <xf borderId="1" fillId="0" fontId="2" numFmtId="0" xfId="0" applyAlignment="1" applyBorder="1" applyFont="1">
      <alignment readingOrder="0"/>
    </xf>
    <xf borderId="3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center" vertical="bottom"/>
    </xf>
    <xf borderId="3" fillId="0" fontId="3" numFmtId="164" xfId="0" applyAlignment="1" applyBorder="1" applyFont="1" applyNumberFormat="1">
      <alignment horizontal="center" vertical="bottom"/>
    </xf>
    <xf borderId="3" fillId="0" fontId="3" numFmtId="164" xfId="0" applyAlignment="1" applyBorder="1" applyFont="1" applyNumberFormat="1">
      <alignment horizontal="right" readingOrder="0" vertical="bottom"/>
    </xf>
    <xf borderId="0" fillId="0" fontId="3" numFmtId="166" xfId="0" applyAlignment="1" applyFont="1" applyNumberFormat="1">
      <alignment horizontal="center" vertical="bottom"/>
    </xf>
    <xf borderId="3" fillId="0" fontId="3" numFmtId="0" xfId="0" applyAlignment="1" applyBorder="1" applyFont="1">
      <alignment vertical="bottom"/>
    </xf>
    <xf borderId="3" fillId="0" fontId="3" numFmtId="169" xfId="0" applyAlignment="1" applyBorder="1" applyFont="1" applyNumberFormat="1">
      <alignment vertical="bottom"/>
    </xf>
    <xf borderId="3" fillId="0" fontId="9" numFmtId="164" xfId="0" applyAlignment="1" applyBorder="1" applyFont="1" applyNumberFormat="1">
      <alignment horizontal="center" readingOrder="0"/>
    </xf>
    <xf borderId="3" fillId="0" fontId="10" numFmtId="164" xfId="0" applyAlignment="1" applyBorder="1" applyFont="1" applyNumberFormat="1">
      <alignment readingOrder="0"/>
    </xf>
    <xf borderId="3" fillId="0" fontId="2" numFmtId="171" xfId="0" applyAlignment="1" applyBorder="1" applyFont="1" applyNumberFormat="1">
      <alignment horizontal="center" readingOrder="0"/>
    </xf>
    <xf borderId="1" fillId="2" fontId="1" numFmtId="167" xfId="0" applyAlignment="1" applyBorder="1" applyFont="1" applyNumberFormat="1">
      <alignment horizontal="left" readingOrder="0" shrinkToFit="0" vertical="center" wrapText="1"/>
    </xf>
    <xf borderId="3" fillId="2" fontId="2" numFmtId="0" xfId="0" applyAlignment="1" applyBorder="1" applyFont="1">
      <alignment horizontal="center"/>
    </xf>
    <xf borderId="3" fillId="2" fontId="3" numFmtId="168" xfId="0" applyAlignment="1" applyBorder="1" applyFont="1" applyNumberFormat="1">
      <alignment vertical="bottom"/>
    </xf>
    <xf borderId="3" fillId="2" fontId="2" numFmtId="0" xfId="0" applyBorder="1" applyFont="1"/>
    <xf borderId="3" fillId="6" fontId="2" numFmtId="0" xfId="0" applyAlignment="1" applyBorder="1" applyFill="1" applyFont="1">
      <alignment readingOrder="0"/>
    </xf>
    <xf borderId="3" fillId="6" fontId="2" numFmtId="0" xfId="0" applyBorder="1" applyFont="1"/>
    <xf borderId="0" fillId="0" fontId="2" numFmtId="168" xfId="0" applyAlignment="1" applyFont="1" applyNumberFormat="1">
      <alignment horizontal="left"/>
    </xf>
    <xf borderId="0" fillId="0" fontId="2" numFmtId="168" xfId="0" applyFont="1" applyNumberFormat="1"/>
    <xf borderId="0" fillId="0" fontId="2" numFmtId="164" xfId="0" applyAlignment="1" applyFont="1" applyNumberFormat="1">
      <alignment horizontal="center"/>
    </xf>
    <xf borderId="0" fillId="0" fontId="2" numFmtId="172" xfId="0" applyFont="1" applyNumberFormat="1"/>
    <xf borderId="0" fillId="0" fontId="2" numFmtId="164" xfId="0" applyFont="1" applyNumberFormat="1"/>
    <xf borderId="0" fillId="0" fontId="2" numFmtId="166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3" fillId="7" fontId="1" numFmtId="167" xfId="0" applyAlignment="1" applyBorder="1" applyFill="1" applyFont="1" applyNumberFormat="1">
      <alignment horizontal="left" readingOrder="0" shrinkToFit="0" vertical="center" wrapText="1"/>
    </xf>
    <xf borderId="3" fillId="7" fontId="2" numFmtId="0" xfId="0" applyAlignment="1" applyBorder="1" applyFont="1">
      <alignment horizontal="center"/>
    </xf>
    <xf borderId="3" fillId="7" fontId="2" numFmtId="168" xfId="0" applyAlignment="1" applyBorder="1" applyFont="1" applyNumberFormat="1">
      <alignment readingOrder="0"/>
    </xf>
    <xf borderId="3" fillId="7" fontId="2" numFmtId="164" xfId="0" applyAlignment="1" applyBorder="1" applyFont="1" applyNumberFormat="1">
      <alignment horizontal="center" readingOrder="0"/>
    </xf>
    <xf borderId="3" fillId="7" fontId="3" numFmtId="168" xfId="0" applyAlignment="1" applyBorder="1" applyFont="1" applyNumberFormat="1">
      <alignment vertical="bottom"/>
    </xf>
    <xf borderId="3" fillId="7" fontId="8" numFmtId="164" xfId="0" applyAlignment="1" applyBorder="1" applyFont="1" applyNumberFormat="1">
      <alignment readingOrder="0"/>
    </xf>
    <xf borderId="3" fillId="7" fontId="2" numFmtId="0" xfId="0" applyBorder="1" applyFont="1"/>
    <xf borderId="3" fillId="8" fontId="2" numFmtId="0" xfId="0" applyAlignment="1" applyBorder="1" applyFill="1" applyFont="1">
      <alignment readingOrder="0"/>
    </xf>
    <xf borderId="3" fillId="8" fontId="2" numFmtId="170" xfId="0" applyAlignment="1" applyBorder="1" applyFont="1" applyNumberFormat="1">
      <alignment readingOrder="0"/>
    </xf>
    <xf borderId="3" fillId="9" fontId="2" numFmtId="0" xfId="0" applyAlignment="1" applyBorder="1" applyFill="1" applyFont="1">
      <alignment readingOrder="0"/>
    </xf>
    <xf borderId="3" fillId="9" fontId="2" numFmtId="164" xfId="0" applyAlignment="1" applyBorder="1" applyFont="1" applyNumberFormat="1">
      <alignment horizontal="center" readingOrder="0"/>
    </xf>
    <xf borderId="3" fillId="9" fontId="2" numFmtId="168" xfId="0" applyAlignment="1" applyBorder="1" applyFont="1" applyNumberFormat="1">
      <alignment readingOrder="0"/>
    </xf>
    <xf borderId="3" fillId="8" fontId="2" numFmtId="0" xfId="0" applyBorder="1" applyFont="1"/>
    <xf borderId="3" fillId="10" fontId="2" numFmtId="0" xfId="0" applyAlignment="1" applyBorder="1" applyFill="1" applyFont="1">
      <alignment readingOrder="0"/>
    </xf>
    <xf borderId="3" fillId="10" fontId="2" numFmtId="164" xfId="0" applyAlignment="1" applyBorder="1" applyFont="1" applyNumberFormat="1">
      <alignment horizontal="center" readingOrder="0"/>
    </xf>
    <xf borderId="3" fillId="10" fontId="2" numFmtId="168" xfId="0" applyAlignment="1" applyBorder="1" applyFont="1" applyNumberFormat="1">
      <alignment readingOrder="0"/>
    </xf>
    <xf borderId="3" fillId="11" fontId="2" numFmtId="168" xfId="0" applyAlignment="1" applyBorder="1" applyFill="1" applyFont="1" applyNumberFormat="1">
      <alignment readingOrder="0"/>
    </xf>
    <xf borderId="3" fillId="11" fontId="2" numFmtId="0" xfId="0" applyAlignment="1" applyBorder="1" applyFont="1">
      <alignment readingOrder="0"/>
    </xf>
    <xf borderId="3" fillId="11" fontId="2" numFmtId="164" xfId="0" applyAlignment="1" applyBorder="1" applyFont="1" applyNumberFormat="1">
      <alignment horizontal="center" readingOrder="0"/>
    </xf>
    <xf borderId="3" fillId="11" fontId="3" numFmtId="168" xfId="0" applyAlignment="1" applyBorder="1" applyFont="1" applyNumberFormat="1">
      <alignment horizontal="right" vertical="bottom"/>
    </xf>
    <xf borderId="3" fillId="11" fontId="3" numFmtId="168" xfId="0" applyAlignment="1" applyBorder="1" applyFont="1" applyNumberFormat="1">
      <alignment readingOrder="0" vertical="bottom"/>
    </xf>
    <xf borderId="3" fillId="11" fontId="2" numFmtId="164" xfId="0" applyAlignment="1" applyBorder="1" applyFont="1" applyNumberFormat="1">
      <alignment readingOrder="0"/>
    </xf>
    <xf borderId="1" fillId="12" fontId="1" numFmtId="167" xfId="0" applyAlignment="1" applyBorder="1" applyFill="1" applyFont="1" applyNumberFormat="1">
      <alignment horizontal="left" readingOrder="0" shrinkToFit="0" vertical="center" wrapText="1"/>
    </xf>
    <xf borderId="3" fillId="12" fontId="2" numFmtId="0" xfId="0" applyAlignment="1" applyBorder="1" applyFont="1">
      <alignment horizontal="center"/>
    </xf>
    <xf borderId="3" fillId="12" fontId="2" numFmtId="168" xfId="0" applyAlignment="1" applyBorder="1" applyFont="1" applyNumberFormat="1">
      <alignment readingOrder="0"/>
    </xf>
    <xf borderId="3" fillId="12" fontId="2" numFmtId="164" xfId="0" applyAlignment="1" applyBorder="1" applyFont="1" applyNumberFormat="1">
      <alignment horizontal="center" readingOrder="0"/>
    </xf>
    <xf borderId="3" fillId="12" fontId="3" numFmtId="168" xfId="0" applyAlignment="1" applyBorder="1" applyFont="1" applyNumberFormat="1">
      <alignment vertical="bottom"/>
    </xf>
    <xf borderId="3" fillId="12" fontId="2" numFmtId="164" xfId="0" applyAlignment="1" applyBorder="1" applyFont="1" applyNumberFormat="1">
      <alignment readingOrder="0"/>
    </xf>
    <xf borderId="3" fillId="12" fontId="2" numFmtId="0" xfId="0" applyBorder="1" applyFont="1"/>
    <xf borderId="3" fillId="13" fontId="2" numFmtId="0" xfId="0" applyAlignment="1" applyBorder="1" applyFill="1" applyFont="1">
      <alignment readingOrder="0"/>
    </xf>
    <xf borderId="3" fillId="13" fontId="3" numFmtId="0" xfId="0" applyAlignment="1" applyBorder="1" applyFont="1">
      <alignment vertical="bottom"/>
    </xf>
    <xf borderId="3" fillId="13" fontId="2" numFmtId="0" xfId="0" applyBorder="1" applyFont="1"/>
    <xf borderId="3" fillId="2" fontId="9" numFmtId="164" xfId="0" applyAlignment="1" applyBorder="1" applyFont="1" applyNumberFormat="1">
      <alignment horizontal="center" readingOrder="0"/>
    </xf>
    <xf borderId="3" fillId="14" fontId="1" numFmtId="167" xfId="0" applyAlignment="1" applyBorder="1" applyFill="1" applyFont="1" applyNumberFormat="1">
      <alignment horizontal="left" readingOrder="0" shrinkToFit="0" vertical="center" wrapText="1"/>
    </xf>
    <xf borderId="3" fillId="14" fontId="2" numFmtId="0" xfId="0" applyAlignment="1" applyBorder="1" applyFont="1">
      <alignment horizontal="center"/>
    </xf>
    <xf borderId="3" fillId="14" fontId="2" numFmtId="168" xfId="0" applyAlignment="1" applyBorder="1" applyFont="1" applyNumberFormat="1">
      <alignment readingOrder="0"/>
    </xf>
    <xf borderId="3" fillId="14" fontId="2" numFmtId="164" xfId="0" applyAlignment="1" applyBorder="1" applyFont="1" applyNumberFormat="1">
      <alignment horizontal="center" readingOrder="0"/>
    </xf>
    <xf borderId="3" fillId="14" fontId="3" numFmtId="168" xfId="0" applyAlignment="1" applyBorder="1" applyFont="1" applyNumberFormat="1">
      <alignment vertical="bottom"/>
    </xf>
    <xf borderId="3" fillId="14" fontId="10" numFmtId="164" xfId="0" applyAlignment="1" applyBorder="1" applyFont="1" applyNumberFormat="1">
      <alignment readingOrder="0"/>
    </xf>
    <xf borderId="3" fillId="14" fontId="2" numFmtId="0" xfId="0" applyBorder="1" applyFont="1"/>
    <xf borderId="3" fillId="15" fontId="2" numFmtId="0" xfId="0" applyAlignment="1" applyBorder="1" applyFill="1" applyFont="1">
      <alignment readingOrder="0"/>
    </xf>
    <xf borderId="3" fillId="16" fontId="2" numFmtId="0" xfId="0" applyAlignment="1" applyBorder="1" applyFill="1" applyFont="1">
      <alignment readingOrder="0"/>
    </xf>
    <xf borderId="3" fillId="17" fontId="2" numFmtId="0" xfId="0" applyAlignment="1" applyBorder="1" applyFill="1" applyFont="1">
      <alignment readingOrder="0"/>
    </xf>
    <xf borderId="3" fillId="18" fontId="2" numFmtId="0" xfId="0" applyAlignment="1" applyBorder="1" applyFill="1" applyFont="1">
      <alignment readingOrder="0"/>
    </xf>
    <xf borderId="3" fillId="9" fontId="3" numFmtId="168" xfId="0" applyAlignment="1" applyBorder="1" applyFont="1" applyNumberFormat="1">
      <alignment readingOrder="0" vertical="bottom"/>
    </xf>
    <xf borderId="3" fillId="15" fontId="2" numFmtId="0" xfId="0" applyBorder="1" applyFont="1"/>
    <xf borderId="1" fillId="3" fontId="1" numFmtId="167" xfId="0" applyAlignment="1" applyBorder="1" applyFont="1" applyNumberFormat="1">
      <alignment horizontal="left" readingOrder="0" shrinkToFit="0" vertical="center" wrapText="1"/>
    </xf>
    <xf borderId="0" fillId="0" fontId="2" numFmtId="168" xfId="0" applyAlignment="1" applyFont="1" applyNumberFormat="1">
      <alignment horizontal="left" readingOrder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shrinkToFit="0" vertical="center" wrapText="1"/>
    </xf>
    <xf borderId="3" fillId="19" fontId="11" numFmtId="0" xfId="0" applyAlignment="1" applyBorder="1" applyFill="1" applyFont="1">
      <alignment readingOrder="0" shrinkToFit="0" vertical="bottom" wrapText="0"/>
    </xf>
    <xf borderId="3" fillId="19" fontId="2" numFmtId="0" xfId="0" applyAlignment="1" applyBorder="1" applyFont="1">
      <alignment horizontal="center" readingOrder="0"/>
    </xf>
    <xf borderId="3" fillId="19" fontId="2" numFmtId="168" xfId="0" applyAlignment="1" applyBorder="1" applyFont="1" applyNumberFormat="1">
      <alignment readingOrder="0"/>
    </xf>
    <xf borderId="3" fillId="19" fontId="3" numFmtId="168" xfId="0" applyAlignment="1" applyBorder="1" applyFont="1" applyNumberFormat="1">
      <alignment horizontal="right" vertical="bottom"/>
    </xf>
    <xf borderId="3" fillId="19" fontId="3" numFmtId="168" xfId="0" applyAlignment="1" applyBorder="1" applyFont="1" applyNumberFormat="1">
      <alignment vertical="bottom"/>
    </xf>
    <xf borderId="3" fillId="19" fontId="2" numFmtId="164" xfId="0" applyAlignment="1" applyBorder="1" applyFont="1" applyNumberFormat="1">
      <alignment readingOrder="0"/>
    </xf>
    <xf borderId="3" fillId="19" fontId="5" numFmtId="169" xfId="0" applyAlignment="1" applyBorder="1" applyFont="1" applyNumberFormat="1">
      <alignment horizontal="right" vertical="bottom"/>
    </xf>
    <xf borderId="3" fillId="19" fontId="6" numFmtId="0" xfId="0" applyAlignment="1" applyBorder="1" applyFont="1">
      <alignment vertical="bottom"/>
    </xf>
    <xf borderId="3" fillId="20" fontId="11" numFmtId="0" xfId="0" applyAlignment="1" applyBorder="1" applyFill="1" applyFont="1">
      <alignment readingOrder="0" shrinkToFit="0" vertical="bottom" wrapText="0"/>
    </xf>
    <xf borderId="3" fillId="20" fontId="2" numFmtId="0" xfId="0" applyAlignment="1" applyBorder="1" applyFont="1">
      <alignment horizontal="center" readingOrder="0"/>
    </xf>
    <xf borderId="3" fillId="20" fontId="2" numFmtId="168" xfId="0" applyAlignment="1" applyBorder="1" applyFont="1" applyNumberFormat="1">
      <alignment readingOrder="0"/>
    </xf>
    <xf borderId="3" fillId="20" fontId="3" numFmtId="168" xfId="0" applyAlignment="1" applyBorder="1" applyFont="1" applyNumberFormat="1">
      <alignment horizontal="right" readingOrder="0" vertical="bottom"/>
    </xf>
    <xf borderId="3" fillId="19" fontId="3" numFmtId="168" xfId="0" applyAlignment="1" applyBorder="1" applyFont="1" applyNumberFormat="1">
      <alignment readingOrder="0" vertical="bottom"/>
    </xf>
    <xf borderId="3" fillId="20" fontId="2" numFmtId="164" xfId="0" applyAlignment="1" applyBorder="1" applyFont="1" applyNumberFormat="1">
      <alignment readingOrder="0"/>
    </xf>
    <xf borderId="3" fillId="20" fontId="2" numFmtId="0" xfId="0" applyBorder="1" applyFont="1"/>
    <xf borderId="3" fillId="19" fontId="3" numFmtId="168" xfId="0" applyAlignment="1" applyBorder="1" applyFont="1" applyNumberFormat="1">
      <alignment horizontal="right" readingOrder="0" vertical="bottom"/>
    </xf>
    <xf borderId="3" fillId="19" fontId="2" numFmtId="0" xfId="0" applyBorder="1" applyFont="1"/>
    <xf borderId="3" fillId="4" fontId="2" numFmtId="0" xfId="0" applyAlignment="1" applyBorder="1" applyFont="1">
      <alignment horizontal="center"/>
    </xf>
    <xf borderId="3" fillId="4" fontId="2" numFmtId="168" xfId="0" applyAlignment="1" applyBorder="1" applyFont="1" applyNumberFormat="1">
      <alignment readingOrder="0"/>
    </xf>
    <xf borderId="3" fillId="4" fontId="3" numFmtId="168" xfId="0" applyAlignment="1" applyBorder="1" applyFont="1" applyNumberFormat="1">
      <alignment horizontal="right" vertical="bottom"/>
    </xf>
    <xf borderId="3" fillId="4" fontId="3" numFmtId="168" xfId="0" applyAlignment="1" applyBorder="1" applyFont="1" applyNumberFormat="1">
      <alignment readingOrder="0" vertical="bottom"/>
    </xf>
    <xf borderId="3" fillId="4" fontId="2" numFmtId="164" xfId="0" applyAlignment="1" applyBorder="1" applyFont="1" applyNumberFormat="1">
      <alignment readingOrder="0"/>
    </xf>
    <xf borderId="3" fillId="4" fontId="5" numFmtId="169" xfId="0" applyAlignment="1" applyBorder="1" applyFont="1" applyNumberFormat="1">
      <alignment horizontal="right" vertical="bottom"/>
    </xf>
    <xf borderId="3" fillId="4" fontId="6" numFmtId="0" xfId="0" applyAlignment="1" applyBorder="1" applyFont="1">
      <alignment vertical="bottom"/>
    </xf>
    <xf borderId="3" fillId="11" fontId="2" numFmtId="0" xfId="0" applyAlignment="1" applyBorder="1" applyFont="1">
      <alignment horizontal="center"/>
    </xf>
    <xf borderId="3" fillId="11" fontId="2" numFmtId="0" xfId="0" applyBorder="1" applyFont="1"/>
    <xf borderId="3" fillId="4" fontId="2" numFmtId="0" xfId="0" applyAlignment="1" applyBorder="1" applyFont="1">
      <alignment horizontal="center" readingOrder="0"/>
    </xf>
    <xf borderId="3" fillId="11" fontId="3" numFmtId="168" xfId="0" applyAlignment="1" applyBorder="1" applyFont="1" applyNumberFormat="1">
      <alignment vertical="bottom"/>
    </xf>
    <xf borderId="3" fillId="2" fontId="3" numFmtId="168" xfId="0" applyAlignment="1" applyBorder="1" applyFont="1" applyNumberFormat="1">
      <alignment horizontal="right" vertical="bottom"/>
    </xf>
    <xf borderId="3" fillId="4" fontId="6" numFmtId="0" xfId="0" applyAlignment="1" applyBorder="1" applyFont="1">
      <alignment readingOrder="0" vertical="bottom"/>
    </xf>
    <xf borderId="3" fillId="11" fontId="2" numFmtId="164" xfId="0" applyAlignment="1" applyBorder="1" applyFont="1" applyNumberFormat="1">
      <alignment readingOrder="0" vertical="center"/>
    </xf>
    <xf borderId="3" fillId="2" fontId="2" numFmtId="164" xfId="0" applyAlignment="1" applyBorder="1" applyFont="1" applyNumberFormat="1">
      <alignment readingOrder="0" vertical="center"/>
    </xf>
    <xf borderId="3" fillId="4" fontId="3" numFmtId="168" xfId="0" applyAlignment="1" applyBorder="1" applyFont="1" applyNumberFormat="1">
      <alignment vertical="bottom"/>
    </xf>
    <xf borderId="3" fillId="11" fontId="2" numFmtId="168" xfId="0" applyAlignment="1" applyBorder="1" applyFont="1" applyNumberFormat="1">
      <alignment readingOrder="0" vertical="center"/>
    </xf>
    <xf borderId="3" fillId="11" fontId="3" numFmtId="168" xfId="0" applyAlignment="1" applyBorder="1" applyFont="1" applyNumberFormat="1">
      <alignment vertical="center"/>
    </xf>
    <xf borderId="3" fillId="15" fontId="2" numFmtId="0" xfId="0" applyAlignment="1" applyBorder="1" applyFont="1">
      <alignment horizontal="center"/>
    </xf>
    <xf borderId="3" fillId="15" fontId="2" numFmtId="168" xfId="0" applyAlignment="1" applyBorder="1" applyFont="1" applyNumberFormat="1">
      <alignment readingOrder="0"/>
    </xf>
    <xf borderId="3" fillId="15" fontId="3" numFmtId="168" xfId="0" applyAlignment="1" applyBorder="1" applyFont="1" applyNumberFormat="1">
      <alignment vertical="bottom"/>
    </xf>
    <xf borderId="3" fillId="15" fontId="2" numFmtId="164" xfId="0" applyAlignment="1" applyBorder="1" applyFont="1" applyNumberFormat="1">
      <alignment readingOrder="0"/>
    </xf>
    <xf borderId="3" fillId="15" fontId="5" numFmtId="169" xfId="0" applyAlignment="1" applyBorder="1" applyFont="1" applyNumberFormat="1">
      <alignment horizontal="right" readingOrder="0" vertical="bottom"/>
    </xf>
    <xf borderId="3" fillId="15" fontId="2" numFmtId="0" xfId="0" applyBorder="1" applyFont="1"/>
    <xf borderId="3" fillId="21" fontId="2" numFmtId="0" xfId="0" applyAlignment="1" applyBorder="1" applyFill="1" applyFont="1">
      <alignment readingOrder="0"/>
    </xf>
    <xf borderId="3" fillId="21" fontId="2" numFmtId="0" xfId="0" applyAlignment="1" applyBorder="1" applyFont="1">
      <alignment horizontal="center"/>
    </xf>
    <xf borderId="3" fillId="21" fontId="2" numFmtId="168" xfId="0" applyAlignment="1" applyBorder="1" applyFont="1" applyNumberFormat="1">
      <alignment readingOrder="0"/>
    </xf>
    <xf borderId="3" fillId="21" fontId="3" numFmtId="168" xfId="0" applyAlignment="1" applyBorder="1" applyFont="1" applyNumberFormat="1">
      <alignment readingOrder="0" vertical="bottom"/>
    </xf>
    <xf borderId="3" fillId="21" fontId="2" numFmtId="164" xfId="0" applyAlignment="1" applyBorder="1" applyFont="1" applyNumberFormat="1">
      <alignment readingOrder="0"/>
    </xf>
    <xf borderId="3" fillId="21" fontId="5" numFmtId="169" xfId="0" applyAlignment="1" applyBorder="1" applyFont="1" applyNumberFormat="1">
      <alignment horizontal="right" readingOrder="0" vertical="bottom"/>
    </xf>
    <xf borderId="3" fillId="21" fontId="2" numFmtId="0" xfId="0" applyBorder="1" applyFont="1"/>
    <xf borderId="3" fillId="21" fontId="3" numFmtId="168" xfId="0" applyAlignment="1" applyBorder="1" applyFont="1" applyNumberFormat="1">
      <alignment vertical="bottom"/>
    </xf>
    <xf borderId="3" fillId="21" fontId="5" numFmtId="0" xfId="0" applyAlignment="1" applyBorder="1" applyFont="1">
      <alignment horizontal="left" readingOrder="0" vertical="bottom"/>
    </xf>
    <xf borderId="3" fillId="2" fontId="2" numFmtId="168" xfId="0" applyBorder="1" applyFont="1" applyNumberFormat="1"/>
    <xf borderId="3" fillId="21" fontId="2" numFmtId="168" xfId="0" applyBorder="1" applyFont="1" applyNumberFormat="1"/>
    <xf borderId="3" fillId="2" fontId="3" numFmtId="168" xfId="0" applyAlignment="1" applyBorder="1" applyFont="1" applyNumberFormat="1">
      <alignment readingOrder="0" vertical="bottom"/>
    </xf>
    <xf borderId="3" fillId="4" fontId="2" numFmtId="0" xfId="0" applyBorder="1" applyFont="1"/>
    <xf borderId="3" fillId="21" fontId="2" numFmtId="0" xfId="0" applyAlignment="1" applyBorder="1" applyFont="1">
      <alignment horizontal="center" readingOrder="0"/>
    </xf>
    <xf borderId="3" fillId="21" fontId="5" numFmtId="0" xfId="0" applyAlignment="1" applyBorder="1" applyFont="1">
      <alignment horizontal="right" readingOrder="0" vertical="bottom"/>
    </xf>
    <xf borderId="3" fillId="4" fontId="5" numFmtId="0" xfId="0" applyAlignment="1" applyBorder="1" applyFont="1">
      <alignment horizontal="left" readingOrder="0" vertical="bottom"/>
    </xf>
    <xf borderId="3" fillId="4" fontId="5" numFmtId="169" xfId="0" applyAlignment="1" applyBorder="1" applyFont="1" applyNumberFormat="1">
      <alignment horizontal="left" vertical="bottom"/>
    </xf>
    <xf borderId="3" fillId="11" fontId="2" numFmtId="0" xfId="0" applyAlignment="1" applyBorder="1" applyFont="1">
      <alignment horizontal="left" readingOrder="0"/>
    </xf>
    <xf borderId="3" fillId="15" fontId="2" numFmtId="168" xfId="0" applyBorder="1" applyFont="1" applyNumberFormat="1"/>
    <xf borderId="3" fillId="4" fontId="5" numFmtId="0" xfId="0" applyAlignment="1" applyBorder="1" applyFont="1">
      <alignment horizontal="right" readingOrder="0" vertical="bottom"/>
    </xf>
    <xf borderId="3" fillId="15" fontId="5" numFmtId="0" xfId="0" applyAlignment="1" applyBorder="1" applyFont="1">
      <alignment horizontal="right" readingOrder="0" vertical="bottom"/>
    </xf>
    <xf borderId="3" fillId="4" fontId="5" numFmtId="169" xfId="0" applyAlignment="1" applyBorder="1" applyFont="1" applyNumberFormat="1">
      <alignment horizontal="right" readingOrder="0" vertical="bottom"/>
    </xf>
    <xf borderId="3" fillId="11" fontId="2" numFmtId="169" xfId="0" applyAlignment="1" applyBorder="1" applyFont="1" applyNumberFormat="1">
      <alignment readingOrder="0"/>
    </xf>
    <xf borderId="3" fillId="4" fontId="2" numFmtId="168" xfId="0" applyBorder="1" applyFont="1" applyNumberFormat="1"/>
    <xf borderId="3" fillId="15" fontId="5" numFmtId="0" xfId="0" applyAlignment="1" applyBorder="1" applyFont="1">
      <alignment horizontal="left" readingOrder="0" vertical="bottom"/>
    </xf>
    <xf borderId="3" fillId="21" fontId="2" numFmtId="0" xfId="0" applyBorder="1" applyFont="1"/>
    <xf borderId="3" fillId="11" fontId="12" numFmtId="168" xfId="0" applyAlignment="1" applyBorder="1" applyFont="1" applyNumberFormat="1">
      <alignment readingOrder="0"/>
    </xf>
    <xf borderId="4" fillId="2" fontId="13" numFmtId="0" xfId="0" applyAlignment="1" applyBorder="1" applyFont="1">
      <alignment horizontal="center" readingOrder="0" vertical="bottom"/>
    </xf>
    <xf borderId="5" fillId="2" fontId="13" numFmtId="0" xfId="0" applyAlignment="1" applyBorder="1" applyFont="1">
      <alignment horizontal="center" vertical="bottom"/>
    </xf>
    <xf borderId="5" fillId="2" fontId="13" numFmtId="168" xfId="0" applyAlignment="1" applyBorder="1" applyFont="1" applyNumberFormat="1">
      <alignment horizontal="center" readingOrder="0" vertical="bottom"/>
    </xf>
    <xf borderId="3" fillId="9" fontId="14" numFmtId="0" xfId="0" applyAlignment="1" applyBorder="1" applyFont="1">
      <alignment readingOrder="0" vertical="bottom"/>
    </xf>
    <xf borderId="6" fillId="9" fontId="15" numFmtId="0" xfId="0" applyAlignment="1" applyBorder="1" applyFont="1">
      <alignment vertical="bottom"/>
    </xf>
    <xf borderId="3" fillId="9" fontId="16" numFmtId="49" xfId="0" applyAlignment="1" applyBorder="1" applyFont="1" applyNumberFormat="1">
      <alignment horizontal="right" readingOrder="0" vertical="bottom"/>
    </xf>
    <xf borderId="6" fillId="9" fontId="16" numFmtId="49" xfId="0" applyAlignment="1" applyBorder="1" applyFont="1" applyNumberFormat="1">
      <alignment vertical="bottom"/>
    </xf>
    <xf borderId="7" fillId="9" fontId="14" numFmtId="0" xfId="0" applyAlignment="1" applyBorder="1" applyFont="1">
      <alignment readingOrder="0" vertical="bottom"/>
    </xf>
    <xf borderId="8" fillId="9" fontId="15" numFmtId="0" xfId="0" applyAlignment="1" applyBorder="1" applyFont="1">
      <alignment vertical="bottom"/>
    </xf>
    <xf borderId="7" fillId="9" fontId="16" numFmtId="49" xfId="0" applyAlignment="1" applyBorder="1" applyFont="1" applyNumberFormat="1">
      <alignment horizontal="right" vertical="bottom"/>
    </xf>
    <xf borderId="9" fillId="9" fontId="16" numFmtId="49" xfId="0" applyAlignment="1" applyBorder="1" applyFont="1" applyNumberFormat="1">
      <alignment horizontal="right" readingOrder="0" vertical="bottom"/>
    </xf>
    <xf borderId="7" fillId="9" fontId="16" numFmtId="49" xfId="0" applyAlignment="1" applyBorder="1" applyFont="1" applyNumberFormat="1">
      <alignment horizontal="right" readingOrder="0" vertical="bottom"/>
    </xf>
    <xf borderId="7" fillId="9" fontId="15" numFmtId="49" xfId="0" applyAlignment="1" applyBorder="1" applyFont="1" applyNumberFormat="1">
      <alignment horizontal="right" vertical="bottom"/>
    </xf>
    <xf borderId="10" fillId="9" fontId="14" numFmtId="0" xfId="0" applyAlignment="1" applyBorder="1" applyFont="1">
      <alignment readingOrder="0" vertical="bottom"/>
    </xf>
    <xf borderId="11" fillId="9" fontId="15" numFmtId="0" xfId="0" applyAlignment="1" applyBorder="1" applyFont="1">
      <alignment vertical="bottom"/>
    </xf>
    <xf borderId="11" fillId="9" fontId="16" numFmtId="49" xfId="0" applyAlignment="1" applyBorder="1" applyFont="1" applyNumberFormat="1">
      <alignment horizontal="right" readingOrder="0" vertical="bottom"/>
    </xf>
    <xf borderId="6" fillId="9" fontId="14" numFmtId="49" xfId="0" applyAlignment="1" applyBorder="1" applyFont="1" applyNumberFormat="1">
      <alignment readingOrder="0" vertical="bottom"/>
    </xf>
    <xf borderId="6" fillId="9" fontId="16" numFmtId="49" xfId="0" applyAlignment="1" applyBorder="1" applyFont="1" applyNumberFormat="1">
      <alignment horizontal="right" readingOrder="0" vertical="bottom"/>
    </xf>
    <xf borderId="9" fillId="9" fontId="15" numFmtId="0" xfId="0" applyAlignment="1" applyBorder="1" applyFont="1">
      <alignment vertical="bottom"/>
    </xf>
    <xf borderId="9" fillId="9" fontId="14" numFmtId="49" xfId="0" applyAlignment="1" applyBorder="1" applyFont="1" applyNumberFormat="1">
      <alignment vertical="bottom"/>
    </xf>
    <xf borderId="9" fillId="9" fontId="14" numFmtId="49" xfId="0" applyAlignment="1" applyBorder="1" applyFont="1" applyNumberFormat="1">
      <alignment readingOrder="0" vertical="bottom"/>
    </xf>
    <xf borderId="11" fillId="9" fontId="17" numFmtId="49" xfId="0" applyBorder="1" applyFont="1" applyNumberFormat="1"/>
    <xf borderId="12" fillId="9" fontId="16" numFmtId="49" xfId="0" applyAlignment="1" applyBorder="1" applyFont="1" applyNumberFormat="1">
      <alignment horizontal="right" readingOrder="0" vertical="bottom"/>
    </xf>
    <xf borderId="8" fillId="9" fontId="16" numFmtId="0" xfId="0" applyAlignment="1" applyBorder="1" applyFont="1">
      <alignment vertical="bottom"/>
    </xf>
    <xf borderId="0" fillId="9" fontId="15" numFmtId="0" xfId="0" applyAlignment="1" applyFont="1">
      <alignment vertical="bottom"/>
    </xf>
    <xf borderId="10" fillId="9" fontId="16" numFmtId="49" xfId="0" applyAlignment="1" applyBorder="1" applyFont="1" applyNumberFormat="1">
      <alignment horizontal="right" vertical="bottom"/>
    </xf>
    <xf borderId="11" fillId="9" fontId="16" numFmtId="49" xfId="0" applyAlignment="1" applyBorder="1" applyFont="1" applyNumberFormat="1">
      <alignment horizontal="right" vertical="bottom"/>
    </xf>
    <xf borderId="13" fillId="9" fontId="14" numFmtId="0" xfId="0" applyAlignment="1" applyBorder="1" applyFont="1">
      <alignment readingOrder="0" vertical="bottom"/>
    </xf>
    <xf borderId="3" fillId="9" fontId="15" numFmtId="0" xfId="0" applyAlignment="1" applyBorder="1" applyFont="1">
      <alignment vertical="bottom"/>
    </xf>
    <xf borderId="14" fillId="9" fontId="14" numFmtId="0" xfId="0" applyAlignment="1" applyBorder="1" applyFont="1">
      <alignment readingOrder="0" vertical="bottom"/>
    </xf>
    <xf borderId="14" fillId="9" fontId="15" numFmtId="0" xfId="0" applyAlignment="1" applyBorder="1" applyFont="1">
      <alignment vertical="bottom"/>
    </xf>
    <xf borderId="10" fillId="9" fontId="14" numFmtId="49" xfId="0" applyAlignment="1" applyBorder="1" applyFont="1" applyNumberFormat="1">
      <alignment readingOrder="0" vertical="bottom"/>
    </xf>
    <xf borderId="13" fillId="9" fontId="18" numFmtId="0" xfId="0" applyAlignment="1" applyBorder="1" applyFont="1">
      <alignment vertical="bottom"/>
    </xf>
    <xf borderId="3" fillId="9" fontId="14" numFmtId="49" xfId="0" applyAlignment="1" applyBorder="1" applyFont="1" applyNumberFormat="1">
      <alignment readingOrder="0" vertical="bottom"/>
    </xf>
    <xf borderId="12" fillId="9" fontId="16" numFmtId="49" xfId="0" applyAlignment="1" applyBorder="1" applyFont="1" applyNumberFormat="1">
      <alignment horizontal="right" vertical="bottom"/>
    </xf>
    <xf borderId="7" fillId="9" fontId="18" numFmtId="0" xfId="0" applyAlignment="1" applyBorder="1" applyFont="1">
      <alignment vertical="bottom"/>
    </xf>
    <xf borderId="14" fillId="2" fontId="13" numFmtId="0" xfId="0" applyAlignment="1" applyBorder="1" applyFont="1">
      <alignment readingOrder="0" vertical="bottom"/>
    </xf>
    <xf borderId="14" fillId="2" fontId="13" numFmtId="0" xfId="0" applyAlignment="1" applyBorder="1" applyFont="1">
      <alignment vertical="bottom"/>
    </xf>
    <xf borderId="14" fillId="2" fontId="13" numFmtId="168" xfId="0" applyAlignment="1" applyBorder="1" applyFont="1" applyNumberFormat="1">
      <alignment horizontal="right" readingOrder="0" vertical="bottom"/>
    </xf>
    <xf borderId="3" fillId="15" fontId="2" numFmtId="172" xfId="0" applyAlignment="1" applyBorder="1" applyFont="1" applyNumberFormat="1">
      <alignment readingOrder="0"/>
    </xf>
    <xf borderId="3" fillId="21" fontId="2" numFmtId="172" xfId="0" applyAlignment="1" applyBorder="1" applyFont="1" applyNumberFormat="1">
      <alignment readingOrder="0"/>
    </xf>
    <xf borderId="3" fillId="15" fontId="3" numFmtId="168" xfId="0" applyAlignment="1" applyBorder="1" applyFont="1" applyNumberFormat="1">
      <alignment readingOrder="0" vertical="bottom"/>
    </xf>
    <xf borderId="3" fillId="4" fontId="2" numFmtId="172" xfId="0" applyAlignment="1" applyBorder="1" applyFont="1" applyNumberFormat="1">
      <alignment readingOrder="0"/>
    </xf>
    <xf borderId="3" fillId="11" fontId="2" numFmtId="172" xfId="0" applyAlignment="1" applyBorder="1" applyFont="1" applyNumberFormat="1">
      <alignment readingOrder="0"/>
    </xf>
    <xf borderId="3" fillId="11" fontId="2" numFmtId="172" xfId="0" applyAlignment="1" applyBorder="1" applyFont="1" applyNumberFormat="1">
      <alignment readingOrder="0" vertical="center"/>
    </xf>
    <xf borderId="3" fillId="4" fontId="3" numFmtId="0" xfId="0" applyAlignment="1" applyBorder="1" applyFont="1">
      <alignment vertical="bottom"/>
    </xf>
    <xf borderId="3" fillId="4" fontId="3" numFmtId="0" xfId="0" applyAlignment="1" applyBorder="1" applyFont="1">
      <alignment horizontal="center" vertical="bottom"/>
    </xf>
    <xf borderId="3" fillId="4" fontId="3" numFmtId="168" xfId="0" applyAlignment="1" applyBorder="1" applyFont="1" applyNumberFormat="1">
      <alignment horizontal="right" readingOrder="0" vertical="bottom"/>
    </xf>
    <xf borderId="3" fillId="4" fontId="3" numFmtId="172" xfId="0" applyAlignment="1" applyBorder="1" applyFont="1" applyNumberFormat="1">
      <alignment horizontal="right" readingOrder="0" vertical="bottom"/>
    </xf>
    <xf borderId="3" fillId="4" fontId="3" numFmtId="169" xfId="0" applyAlignment="1" applyBorder="1" applyFont="1" applyNumberFormat="1">
      <alignment vertical="bottom"/>
    </xf>
    <xf borderId="3" fillId="15" fontId="3" numFmtId="0" xfId="0" applyAlignment="1" applyBorder="1" applyFont="1">
      <alignment vertical="bottom"/>
    </xf>
    <xf borderId="3" fillId="15" fontId="3" numFmtId="0" xfId="0" applyAlignment="1" applyBorder="1" applyFont="1">
      <alignment horizontal="center" vertical="bottom"/>
    </xf>
    <xf borderId="3" fillId="15" fontId="3" numFmtId="168" xfId="0" applyAlignment="1" applyBorder="1" applyFont="1" applyNumberFormat="1">
      <alignment horizontal="right" readingOrder="0" vertical="bottom"/>
    </xf>
    <xf borderId="3" fillId="15" fontId="3" numFmtId="168" xfId="0" applyAlignment="1" applyBorder="1" applyFont="1" applyNumberFormat="1">
      <alignment horizontal="right" vertical="bottom"/>
    </xf>
    <xf borderId="3" fillId="15" fontId="3" numFmtId="172" xfId="0" applyAlignment="1" applyBorder="1" applyFont="1" applyNumberFormat="1">
      <alignment horizontal="right" readingOrder="0" vertical="bottom"/>
    </xf>
    <xf borderId="3" fillId="15" fontId="3" numFmtId="169" xfId="0" applyAlignment="1" applyBorder="1" applyFont="1" applyNumberFormat="1">
      <alignment vertical="bottom"/>
    </xf>
    <xf borderId="3" fillId="10" fontId="5" numFmtId="169" xfId="0" applyAlignment="1" applyBorder="1" applyFont="1" applyNumberFormat="1">
      <alignment horizontal="right" readingOrder="0" vertical="bottom"/>
    </xf>
    <xf borderId="3" fillId="10" fontId="19" numFmtId="0" xfId="0" applyBorder="1" applyFont="1"/>
    <xf borderId="3" fillId="10" fontId="6" numFmtId="0" xfId="0" applyAlignment="1" applyBorder="1" applyFont="1">
      <alignment vertical="bottom"/>
    </xf>
    <xf borderId="3" fillId="11" fontId="5" numFmtId="169" xfId="0" applyAlignment="1" applyBorder="1" applyFont="1" applyNumberFormat="1">
      <alignment horizontal="right" readingOrder="0" vertical="bottom"/>
    </xf>
    <xf borderId="5" fillId="2" fontId="1" numFmtId="0" xfId="0" applyAlignment="1" applyBorder="1" applyFont="1">
      <alignment horizontal="center" readingOrder="0"/>
    </xf>
    <xf borderId="0" fillId="2" fontId="1" numFmtId="165" xfId="0" applyAlignment="1" applyFont="1" applyNumberFormat="1">
      <alignment horizontal="center" readingOrder="0"/>
    </xf>
    <xf borderId="7" fillId="15" fontId="11" numFmtId="168" xfId="0" applyAlignment="1" applyBorder="1" applyFont="1" applyNumberFormat="1">
      <alignment readingOrder="0" shrinkToFit="0" vertical="bottom" wrapText="0"/>
    </xf>
    <xf borderId="9" fillId="15" fontId="11" numFmtId="168" xfId="0" applyAlignment="1" applyBorder="1" applyFont="1" applyNumberFormat="1">
      <alignment readingOrder="0" shrinkToFit="0" vertical="bottom" wrapText="0"/>
    </xf>
    <xf borderId="9" fillId="15" fontId="11" numFmtId="168" xfId="0" applyAlignment="1" applyBorder="1" applyFont="1" applyNumberFormat="1">
      <alignment shrinkToFit="0" vertical="bottom" wrapText="0"/>
    </xf>
    <xf borderId="7" fillId="15" fontId="11" numFmtId="172" xfId="0" applyAlignment="1" applyBorder="1" applyFont="1" applyNumberFormat="1">
      <alignment horizontal="right" readingOrder="0" shrinkToFit="0" vertical="bottom" wrapText="0"/>
    </xf>
    <xf borderId="9" fillId="15" fontId="11" numFmtId="172" xfId="0" applyAlignment="1" applyBorder="1" applyFont="1" applyNumberFormat="1">
      <alignment horizontal="right" readingOrder="0" shrinkToFit="0" vertical="bottom" wrapText="0"/>
    </xf>
    <xf borderId="9" fillId="15" fontId="20" numFmtId="169" xfId="0" applyAlignment="1" applyBorder="1" applyFont="1" applyNumberFormat="1">
      <alignment horizontal="right" shrinkToFit="0" vertical="bottom" wrapText="0"/>
    </xf>
    <xf borderId="9" fillId="15" fontId="11" numFmtId="0" xfId="0" applyAlignment="1" applyBorder="1" applyFont="1">
      <alignment readingOrder="0" shrinkToFit="0" vertical="bottom" wrapText="0"/>
    </xf>
    <xf borderId="7" fillId="21" fontId="11" numFmtId="168" xfId="0" applyAlignment="1" applyBorder="1" applyFont="1" applyNumberFormat="1">
      <alignment shrinkToFit="0" vertical="bottom" wrapText="0"/>
    </xf>
    <xf borderId="9" fillId="21" fontId="11" numFmtId="168" xfId="0" applyAlignment="1" applyBorder="1" applyFont="1" applyNumberFormat="1">
      <alignment readingOrder="0" shrinkToFit="0" vertical="bottom" wrapText="0"/>
    </xf>
    <xf borderId="9" fillId="21" fontId="11" numFmtId="168" xfId="0" applyAlignment="1" applyBorder="1" applyFont="1" applyNumberFormat="1">
      <alignment shrinkToFit="0" vertical="bottom" wrapText="0"/>
    </xf>
    <xf borderId="7" fillId="21" fontId="11" numFmtId="172" xfId="0" applyAlignment="1" applyBorder="1" applyFont="1" applyNumberFormat="1">
      <alignment horizontal="right" readingOrder="0" shrinkToFit="0" vertical="bottom" wrapText="0"/>
    </xf>
    <xf borderId="9" fillId="21" fontId="11" numFmtId="172" xfId="0" applyAlignment="1" applyBorder="1" applyFont="1" applyNumberFormat="1">
      <alignment horizontal="right" readingOrder="0" shrinkToFit="0" vertical="bottom" wrapText="0"/>
    </xf>
    <xf borderId="9" fillId="10" fontId="20" numFmtId="0" xfId="0" applyAlignment="1" applyBorder="1" applyFont="1">
      <alignment horizontal="right" readingOrder="0" shrinkToFit="0" vertical="bottom" wrapText="0"/>
    </xf>
    <xf borderId="9" fillId="21" fontId="11" numFmtId="0" xfId="0" applyAlignment="1" applyBorder="1" applyFont="1">
      <alignment shrinkToFit="0" vertical="bottom" wrapText="0"/>
    </xf>
    <xf borderId="9" fillId="15" fontId="11" numFmtId="0" xfId="0" applyAlignment="1" applyBorder="1" applyFont="1">
      <alignment shrinkToFit="0" vertical="bottom" wrapText="0"/>
    </xf>
    <xf borderId="7" fillId="21" fontId="11" numFmtId="168" xfId="0" applyAlignment="1" applyBorder="1" applyFont="1" applyNumberFormat="1">
      <alignment readingOrder="0" shrinkToFit="0" vertical="bottom" wrapText="0"/>
    </xf>
    <xf borderId="9" fillId="21" fontId="20" numFmtId="169" xfId="0" applyAlignment="1" applyBorder="1" applyFont="1" applyNumberFormat="1">
      <alignment horizontal="right" shrinkToFit="0" vertical="bottom" wrapText="0"/>
    </xf>
    <xf borderId="9" fillId="10" fontId="20" numFmtId="169" xfId="0" applyAlignment="1" applyBorder="1" applyFont="1" applyNumberFormat="1">
      <alignment horizontal="right" shrinkToFit="0" vertical="bottom" wrapText="0"/>
    </xf>
    <xf borderId="7" fillId="21" fontId="11" numFmtId="172" xfId="0" applyAlignment="1" applyBorder="1" applyFont="1" applyNumberFormat="1">
      <alignment shrinkToFit="0" vertical="bottom" wrapText="0"/>
    </xf>
    <xf borderId="9" fillId="21" fontId="11" numFmtId="172" xfId="0" applyAlignment="1" applyBorder="1" applyFont="1" applyNumberFormat="1">
      <alignment shrinkToFit="0" vertical="bottom" wrapText="0"/>
    </xf>
    <xf borderId="7" fillId="15" fontId="11" numFmtId="168" xfId="0" applyAlignment="1" applyBorder="1" applyFont="1" applyNumberFormat="1">
      <alignment shrinkToFit="0" vertical="bottom" wrapText="0"/>
    </xf>
    <xf borderId="9" fillId="21" fontId="20" numFmtId="0" xfId="0" applyAlignment="1" applyBorder="1" applyFont="1">
      <alignment horizontal="left" readingOrder="0" shrinkToFit="0" vertical="bottom" wrapText="0"/>
    </xf>
    <xf borderId="7" fillId="15" fontId="11" numFmtId="172" xfId="0" applyAlignment="1" applyBorder="1" applyFont="1" applyNumberFormat="1">
      <alignment shrinkToFit="0" vertical="bottom" wrapText="0"/>
    </xf>
    <xf borderId="9" fillId="15" fontId="11" numFmtId="172" xfId="0" applyAlignment="1" applyBorder="1" applyFont="1" applyNumberFormat="1">
      <alignment shrinkToFit="0" vertical="bottom" wrapText="0"/>
    </xf>
    <xf borderId="9" fillId="15" fontId="11" numFmtId="0" xfId="0" applyAlignment="1" applyBorder="1" applyFont="1">
      <alignment shrinkToFit="0" vertical="bottom" wrapText="0"/>
    </xf>
    <xf borderId="7" fillId="4" fontId="11" numFmtId="168" xfId="0" applyAlignment="1" applyBorder="1" applyFont="1" applyNumberFormat="1">
      <alignment shrinkToFit="0" vertical="bottom" wrapText="0"/>
    </xf>
    <xf borderId="9" fillId="4" fontId="11" numFmtId="168" xfId="0" applyAlignment="1" applyBorder="1" applyFont="1" applyNumberFormat="1">
      <alignment readingOrder="0" shrinkToFit="0" vertical="bottom" wrapText="0"/>
    </xf>
    <xf borderId="9" fillId="4" fontId="11" numFmtId="168" xfId="0" applyAlignment="1" applyBorder="1" applyFont="1" applyNumberFormat="1">
      <alignment shrinkToFit="0" vertical="bottom" wrapText="0"/>
    </xf>
    <xf borderId="7" fillId="4" fontId="11" numFmtId="172" xfId="0" applyAlignment="1" applyBorder="1" applyFont="1" applyNumberFormat="1">
      <alignment horizontal="right" readingOrder="0" shrinkToFit="0" vertical="bottom" wrapText="0"/>
    </xf>
    <xf borderId="9" fillId="4" fontId="11" numFmtId="172" xfId="0" applyAlignment="1" applyBorder="1" applyFont="1" applyNumberFormat="1">
      <alignment horizontal="right" readingOrder="0" shrinkToFit="0" vertical="bottom" wrapText="0"/>
    </xf>
    <xf borderId="9" fillId="4" fontId="20" numFmtId="169" xfId="0" applyAlignment="1" applyBorder="1" applyFont="1" applyNumberFormat="1">
      <alignment horizontal="right" shrinkToFit="0" vertical="bottom" wrapText="0"/>
    </xf>
    <xf borderId="9" fillId="4" fontId="6" numFmtId="0" xfId="0" applyAlignment="1" applyBorder="1" applyFont="1">
      <alignment shrinkToFit="0" vertical="bottom" wrapText="0"/>
    </xf>
    <xf borderId="7" fillId="11" fontId="11" numFmtId="168" xfId="0" applyAlignment="1" applyBorder="1" applyFont="1" applyNumberFormat="1">
      <alignment shrinkToFit="0" vertical="bottom" wrapText="0"/>
    </xf>
    <xf borderId="9" fillId="11" fontId="11" numFmtId="168" xfId="0" applyAlignment="1" applyBorder="1" applyFont="1" applyNumberFormat="1">
      <alignment readingOrder="0" shrinkToFit="0" vertical="bottom" wrapText="0"/>
    </xf>
    <xf borderId="9" fillId="11" fontId="11" numFmtId="168" xfId="0" applyAlignment="1" applyBorder="1" applyFont="1" applyNumberFormat="1">
      <alignment shrinkToFit="0" vertical="bottom" wrapText="0"/>
    </xf>
    <xf borderId="7" fillId="11" fontId="11" numFmtId="172" xfId="0" applyAlignment="1" applyBorder="1" applyFont="1" applyNumberFormat="1">
      <alignment horizontal="right" readingOrder="0" shrinkToFit="0" vertical="bottom" wrapText="0"/>
    </xf>
    <xf borderId="9" fillId="11" fontId="11" numFmtId="172" xfId="0" applyAlignment="1" applyBorder="1" applyFont="1" applyNumberFormat="1">
      <alignment horizontal="right" readingOrder="0" shrinkToFit="0" vertical="bottom" wrapText="0"/>
    </xf>
    <xf borderId="9" fillId="11" fontId="11" numFmtId="0" xfId="0" applyAlignment="1" applyBorder="1" applyFont="1">
      <alignment readingOrder="0" shrinkToFit="0" vertical="bottom" wrapText="0"/>
    </xf>
    <xf borderId="9" fillId="11" fontId="11" numFmtId="0" xfId="0" applyAlignment="1" applyBorder="1" applyFont="1">
      <alignment shrinkToFit="0" vertical="bottom" wrapText="0"/>
    </xf>
    <xf borderId="7" fillId="4" fontId="11" numFmtId="168" xfId="0" applyAlignment="1" applyBorder="1" applyFont="1" applyNumberFormat="1">
      <alignment readingOrder="0" shrinkToFit="0" vertical="bottom" wrapText="0"/>
    </xf>
    <xf borderId="7" fillId="11" fontId="11" numFmtId="168" xfId="0" applyAlignment="1" applyBorder="1" applyFont="1" applyNumberFormat="1">
      <alignment readingOrder="0" shrinkToFit="0" vertical="bottom" wrapText="0"/>
    </xf>
    <xf borderId="7" fillId="11" fontId="11" numFmtId="172" xfId="0" applyAlignment="1" applyBorder="1" applyFont="1" applyNumberFormat="1">
      <alignment shrinkToFit="0" vertical="bottom" wrapText="0"/>
    </xf>
    <xf borderId="9" fillId="11" fontId="11" numFmtId="172" xfId="0" applyAlignment="1" applyBorder="1" applyFont="1" applyNumberFormat="1">
      <alignment shrinkToFit="0" vertical="bottom" wrapText="0"/>
    </xf>
    <xf borderId="9" fillId="11" fontId="11" numFmtId="169" xfId="0" applyAlignment="1" applyBorder="1" applyFont="1" applyNumberFormat="1">
      <alignment shrinkToFit="0" vertical="bottom" wrapText="0"/>
    </xf>
    <xf borderId="7" fillId="4" fontId="11" numFmtId="172" xfId="0" applyAlignment="1" applyBorder="1" applyFont="1" applyNumberFormat="1">
      <alignment shrinkToFit="0" vertical="bottom" wrapText="0"/>
    </xf>
    <xf borderId="9" fillId="4" fontId="11" numFmtId="172" xfId="0" applyAlignment="1" applyBorder="1" applyFont="1" applyNumberFormat="1">
      <alignment shrinkToFit="0" vertical="bottom" wrapText="0"/>
    </xf>
    <xf borderId="9" fillId="4" fontId="20" numFmtId="0" xfId="0" applyAlignment="1" applyBorder="1" applyFont="1">
      <alignment horizontal="right" shrinkToFit="0" vertical="bottom" wrapText="0"/>
    </xf>
    <xf borderId="9" fillId="4" fontId="20" numFmtId="0" xfId="0" applyAlignment="1" applyBorder="1" applyFont="1">
      <alignment horizontal="right" readingOrder="0" shrinkToFit="0" vertical="bottom" wrapText="0"/>
    </xf>
    <xf borderId="9" fillId="4" fontId="20" numFmtId="0" xfId="0" applyAlignment="1" applyBorder="1" applyFont="1">
      <alignment horizontal="left" readingOrder="0" shrinkToFit="0" vertical="bottom" wrapText="0"/>
    </xf>
    <xf borderId="9" fillId="11" fontId="11" numFmtId="0" xfId="0" applyAlignment="1" applyBorder="1" applyFont="1">
      <alignment horizontal="left" readingOrder="0" shrinkToFit="0" vertical="bottom" wrapText="0"/>
    </xf>
    <xf borderId="9" fillId="10" fontId="21" numFmtId="0" xfId="0" applyAlignment="1" applyBorder="1" applyFont="1">
      <alignment readingOrder="0" shrinkToFit="0" vertical="bottom" wrapText="0"/>
    </xf>
    <xf borderId="9" fillId="15" fontId="20" numFmtId="168" xfId="0" applyAlignment="1" applyBorder="1" applyFont="1" applyNumberFormat="1">
      <alignment horizontal="right" readingOrder="0" shrinkToFit="0" vertical="bottom" wrapText="0"/>
    </xf>
    <xf borderId="9" fillId="10" fontId="6" numFmtId="0" xfId="0" applyAlignment="1" applyBorder="1" applyFont="1">
      <alignment shrinkToFit="0" vertical="bottom" wrapText="0"/>
    </xf>
    <xf borderId="9" fillId="11" fontId="20" numFmtId="0" xfId="0" applyAlignment="1" applyBorder="1" applyFont="1">
      <alignment horizontal="right" shrinkToFit="0" vertical="bottom" wrapText="0"/>
    </xf>
    <xf borderId="9" fillId="4" fontId="20" numFmtId="0" xfId="0" applyAlignment="1" applyBorder="1" applyFont="1">
      <alignment horizontal="right" shrinkToFit="0" vertical="bottom" wrapText="0"/>
    </xf>
    <xf borderId="9" fillId="15" fontId="20" numFmtId="0" xfId="0" applyAlignment="1" applyBorder="1" applyFont="1">
      <alignment horizontal="right" shrinkToFit="0" vertical="bottom" wrapText="0"/>
    </xf>
    <xf borderId="9" fillId="10" fontId="21" numFmtId="0" xfId="0" applyAlignment="1" applyBorder="1" applyFont="1">
      <alignment shrinkToFit="0" vertical="bottom" wrapText="0"/>
    </xf>
    <xf borderId="7" fillId="21" fontId="11" numFmtId="0" xfId="0" applyAlignment="1" applyBorder="1" applyFont="1">
      <alignment readingOrder="0" shrinkToFit="0" vertical="bottom" wrapText="0"/>
    </xf>
    <xf borderId="9" fillId="11" fontId="22" numFmtId="168" xfId="0" applyAlignment="1" applyBorder="1" applyFont="1" applyNumberFormat="1">
      <alignment shrinkToFit="0" vertical="bottom" wrapText="0"/>
    </xf>
    <xf borderId="7" fillId="21" fontId="11" numFmtId="0" xfId="0" applyAlignment="1" applyBorder="1" applyFont="1">
      <alignment shrinkToFit="0" vertical="bottom" wrapText="0"/>
    </xf>
    <xf borderId="3" fillId="15" fontId="11" numFmtId="168" xfId="0" applyAlignment="1" applyBorder="1" applyFont="1" applyNumberFormat="1">
      <alignment shrinkToFit="0" vertical="bottom" wrapText="0"/>
    </xf>
    <xf borderId="6" fillId="15" fontId="11" numFmtId="168" xfId="0" applyAlignment="1" applyBorder="1" applyFont="1" applyNumberFormat="1">
      <alignment readingOrder="0" shrinkToFit="0" vertical="bottom" wrapText="0"/>
    </xf>
    <xf borderId="6" fillId="15" fontId="11" numFmtId="168" xfId="0" applyAlignment="1" applyBorder="1" applyFont="1" applyNumberFormat="1">
      <alignment shrinkToFit="0" vertical="bottom" wrapText="0"/>
    </xf>
    <xf borderId="6" fillId="15" fontId="11" numFmtId="172" xfId="0" applyAlignment="1" applyBorder="1" applyFont="1" applyNumberFormat="1">
      <alignment horizontal="right" readingOrder="0" shrinkToFit="0" vertical="bottom" wrapText="0"/>
    </xf>
    <xf borderId="6" fillId="15" fontId="20" numFmtId="169" xfId="0" applyAlignment="1" applyBorder="1" applyFont="1" applyNumberFormat="1">
      <alignment horizontal="right" shrinkToFit="0" vertical="bottom" wrapText="0"/>
    </xf>
    <xf borderId="6" fillId="15" fontId="11" numFmtId="0" xfId="0" applyAlignment="1" applyBorder="1" applyFont="1">
      <alignment readingOrder="0" shrinkToFit="0" vertical="bottom" wrapText="0"/>
    </xf>
    <xf borderId="9" fillId="21" fontId="22" numFmtId="168" xfId="0" applyAlignment="1" applyBorder="1" applyFont="1" applyNumberFormat="1">
      <alignment readingOrder="0" shrinkToFit="0" vertical="bottom" wrapText="0"/>
    </xf>
    <xf borderId="9" fillId="15" fontId="22" numFmtId="168" xfId="0" applyAlignment="1" applyBorder="1" applyFont="1" applyNumberFormat="1">
      <alignment readingOrder="0" shrinkToFit="0" vertical="bottom" wrapText="0"/>
    </xf>
    <xf borderId="9" fillId="21" fontId="20" numFmtId="0" xfId="0" applyAlignment="1" applyBorder="1" applyFont="1">
      <alignment horizontal="right" shrinkToFit="0" vertical="bottom" wrapText="0"/>
    </xf>
    <xf borderId="3" fillId="4" fontId="11" numFmtId="168" xfId="0" applyAlignment="1" applyBorder="1" applyFont="1" applyNumberFormat="1">
      <alignment shrinkToFit="0" vertical="bottom" wrapText="0"/>
    </xf>
    <xf borderId="6" fillId="4" fontId="11" numFmtId="168" xfId="0" applyAlignment="1" applyBorder="1" applyFont="1" applyNumberFormat="1">
      <alignment readingOrder="0" shrinkToFit="0" vertical="bottom" wrapText="0"/>
    </xf>
    <xf borderId="6" fillId="4" fontId="11" numFmtId="168" xfId="0" applyAlignment="1" applyBorder="1" applyFont="1" applyNumberFormat="1">
      <alignment shrinkToFit="0" vertical="bottom" wrapText="0"/>
    </xf>
    <xf borderId="6" fillId="4" fontId="11" numFmtId="168" xfId="0" applyAlignment="1" applyBorder="1" applyFont="1" applyNumberFormat="1">
      <alignment horizontal="right" readingOrder="0" shrinkToFit="0" vertical="bottom" wrapText="0"/>
    </xf>
    <xf borderId="6" fillId="4" fontId="11" numFmtId="172" xfId="0" applyAlignment="1" applyBorder="1" applyFont="1" applyNumberFormat="1">
      <alignment horizontal="right" readingOrder="0" shrinkToFit="0" vertical="bottom" wrapText="0"/>
    </xf>
    <xf borderId="6" fillId="4" fontId="20" numFmtId="169" xfId="0" applyAlignment="1" applyBorder="1" applyFont="1" applyNumberFormat="1">
      <alignment horizontal="right" shrinkToFit="0" vertical="bottom" wrapText="0"/>
    </xf>
    <xf borderId="6" fillId="4" fontId="6" numFmtId="0" xfId="0" applyAlignment="1" applyBorder="1" applyFont="1">
      <alignment shrinkToFit="0" vertical="bottom" wrapText="0"/>
    </xf>
    <xf borderId="9" fillId="4" fontId="22" numFmtId="168" xfId="0" applyAlignment="1" applyBorder="1" applyFont="1" applyNumberFormat="1">
      <alignment horizontal="right" readingOrder="0" shrinkToFit="0" vertical="bottom" wrapText="0"/>
    </xf>
    <xf borderId="9" fillId="11" fontId="22" numFmtId="168" xfId="0" applyAlignment="1" applyBorder="1" applyFont="1" applyNumberFormat="1">
      <alignment readingOrder="0" shrinkToFit="0" vertical="bottom" wrapText="0"/>
    </xf>
    <xf borderId="9" fillId="11" fontId="11" numFmtId="168" xfId="0" applyAlignment="1" applyBorder="1" applyFont="1" applyNumberFormat="1">
      <alignment horizontal="right" shrinkToFit="0" vertical="bottom" wrapText="0"/>
    </xf>
    <xf borderId="3" fillId="4" fontId="11" numFmtId="168" xfId="0" applyAlignment="1" applyBorder="1" applyFont="1" applyNumberFormat="1">
      <alignment readingOrder="0" shrinkToFit="0" vertical="bottom" wrapText="0"/>
    </xf>
    <xf borderId="6" fillId="4" fontId="20" numFmtId="0" xfId="0" applyAlignment="1" applyBorder="1" applyFont="1">
      <alignment horizontal="left" readingOrder="0" shrinkToFit="0" vertical="bottom" wrapText="0"/>
    </xf>
    <xf borderId="9" fillId="4" fontId="11" numFmtId="168" xfId="0" applyAlignment="1" applyBorder="1" applyFont="1" applyNumberFormat="1">
      <alignment horizontal="right" readingOrder="0" shrinkToFit="0" vertical="bottom" wrapText="0"/>
    </xf>
    <xf borderId="9" fillId="11" fontId="11" numFmtId="0" xfId="0" applyAlignment="1" applyBorder="1" applyFont="1">
      <alignment shrinkToFit="0" vertical="bottom" wrapText="0"/>
    </xf>
    <xf borderId="3" fillId="15" fontId="11" numFmtId="168" xfId="0" applyAlignment="1" applyBorder="1" applyFont="1" applyNumberFormat="1">
      <alignment readingOrder="0" shrinkToFit="0" vertical="bottom" wrapText="0"/>
    </xf>
    <xf borderId="6" fillId="10" fontId="21" numFmtId="0" xfId="0" applyAlignment="1" applyBorder="1" applyFont="1">
      <alignment readingOrder="0" shrinkToFit="0" vertical="bottom" wrapText="0"/>
    </xf>
    <xf borderId="9" fillId="15" fontId="20" numFmtId="168" xfId="0" applyAlignment="1" applyBorder="1" applyFont="1" applyNumberFormat="1">
      <alignment horizontal="right" shrinkToFit="0" vertical="bottom" wrapText="0"/>
    </xf>
    <xf borderId="6" fillId="10" fontId="6" numFmtId="0" xfId="0" applyAlignment="1" applyBorder="1" applyFont="1">
      <alignment readingOrder="0" shrinkToFit="0" vertical="bottom" wrapText="0"/>
    </xf>
    <xf borderId="9" fillId="11" fontId="20" numFmtId="169" xfId="0" applyAlignment="1" applyBorder="1" applyFont="1" applyNumberFormat="1">
      <alignment horizontal="right" readingOrder="0" shrinkToFit="0" vertical="bottom" wrapText="0"/>
    </xf>
    <xf borderId="9" fillId="21" fontId="20" numFmtId="169" xfId="0" applyAlignment="1" applyBorder="1" applyFont="1" applyNumberFormat="1">
      <alignment horizontal="right" readingOrder="0" shrinkToFit="0" vertical="bottom" wrapText="0"/>
    </xf>
    <xf borderId="9" fillId="15" fontId="20" numFmtId="0" xfId="0" applyAlignment="1" applyBorder="1" applyFont="1">
      <alignment horizontal="right" readingOrder="0" shrinkToFit="0" vertical="bottom" wrapText="0"/>
    </xf>
    <xf borderId="9" fillId="4" fontId="22" numFmtId="168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14"/>
    <col customWidth="1" min="3" max="3" width="26.86"/>
    <col customWidth="1" min="4" max="4" width="23.29"/>
    <col customWidth="1" min="5" max="5" width="11.43"/>
    <col customWidth="1" min="6" max="6" width="15.71"/>
    <col customWidth="1" min="7" max="10" width="15.29"/>
    <col customWidth="1" min="11" max="11" width="10.86"/>
    <col customWidth="1" min="12" max="12" width="11.29"/>
    <col customWidth="1" min="13" max="13" width="23.86"/>
    <col customWidth="1" min="14" max="14" width="19.71"/>
    <col customWidth="1" min="15" max="15" width="9.0"/>
  </cols>
  <sheetData>
    <row r="1" ht="33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4" t="s">
        <v>12</v>
      </c>
      <c r="N1" s="5" t="s">
        <v>13</v>
      </c>
      <c r="O1" s="6" t="s">
        <v>14</v>
      </c>
    </row>
    <row r="2" ht="15.0" customHeight="1">
      <c r="A2" s="7">
        <v>45870.0</v>
      </c>
      <c r="B2" s="8"/>
      <c r="C2" s="9"/>
      <c r="D2" s="9"/>
      <c r="E2" s="10"/>
      <c r="F2" s="9"/>
      <c r="G2" s="9">
        <f>F2*21%</f>
        <v>0</v>
      </c>
      <c r="H2" s="9"/>
      <c r="I2" s="9"/>
      <c r="J2" s="11"/>
      <c r="K2" s="12">
        <v>45870.0</v>
      </c>
      <c r="L2" s="12">
        <v>45870.0</v>
      </c>
      <c r="M2" s="13"/>
      <c r="N2" s="13"/>
      <c r="O2" s="14">
        <v>45870.0</v>
      </c>
    </row>
    <row r="3" ht="15.0" customHeight="1">
      <c r="A3" s="15" t="s">
        <v>15</v>
      </c>
      <c r="B3" s="16"/>
      <c r="C3" s="17" t="s">
        <v>15</v>
      </c>
      <c r="D3" s="18"/>
      <c r="E3" s="19"/>
      <c r="F3" s="20"/>
      <c r="G3" s="20">
        <v>0.0</v>
      </c>
      <c r="H3" s="20"/>
      <c r="I3" s="20" t="s">
        <v>16</v>
      </c>
      <c r="J3" s="20"/>
      <c r="K3" s="21"/>
      <c r="L3" s="21"/>
      <c r="M3" s="22"/>
      <c r="N3" s="23"/>
      <c r="O3" s="14">
        <v>45870.0</v>
      </c>
    </row>
    <row r="4" ht="15.0" customHeight="1">
      <c r="A4" s="15" t="s">
        <v>17</v>
      </c>
      <c r="B4" s="16" t="s">
        <v>18</v>
      </c>
      <c r="C4" s="17" t="s">
        <v>19</v>
      </c>
      <c r="D4" s="18" t="s">
        <v>20</v>
      </c>
      <c r="E4" s="19">
        <v>45873.0</v>
      </c>
      <c r="F4" s="20">
        <v>90000.0</v>
      </c>
      <c r="G4" s="20">
        <v>18900.0</v>
      </c>
      <c r="H4" s="20"/>
      <c r="I4" s="20">
        <v>108900.0</v>
      </c>
      <c r="J4" s="20" t="s">
        <v>21</v>
      </c>
      <c r="K4" s="21">
        <v>45891.0</v>
      </c>
      <c r="L4" s="21"/>
      <c r="M4" s="22"/>
      <c r="N4" s="23"/>
      <c r="O4" s="14">
        <v>45870.0</v>
      </c>
    </row>
    <row r="5" ht="15.0" customHeight="1">
      <c r="A5" s="15" t="s">
        <v>22</v>
      </c>
      <c r="B5" s="16" t="s">
        <v>18</v>
      </c>
      <c r="C5" s="17" t="s">
        <v>19</v>
      </c>
      <c r="D5" s="18" t="s">
        <v>23</v>
      </c>
      <c r="E5" s="19">
        <v>45873.0</v>
      </c>
      <c r="F5" s="20">
        <v>190000.0</v>
      </c>
      <c r="G5" s="20">
        <v>39900.0</v>
      </c>
      <c r="H5" s="20"/>
      <c r="I5" s="20">
        <v>229900.0</v>
      </c>
      <c r="J5" s="24" t="s">
        <v>21</v>
      </c>
      <c r="K5" s="21">
        <v>45891.0</v>
      </c>
      <c r="L5" s="21"/>
      <c r="M5" s="25"/>
      <c r="N5" s="26"/>
      <c r="O5" s="14">
        <v>45870.0</v>
      </c>
    </row>
    <row r="6" ht="15.0" customHeight="1">
      <c r="A6" s="15" t="s">
        <v>24</v>
      </c>
      <c r="B6" s="16" t="s">
        <v>18</v>
      </c>
      <c r="C6" s="17" t="s">
        <v>19</v>
      </c>
      <c r="D6" s="18" t="s">
        <v>25</v>
      </c>
      <c r="E6" s="19">
        <v>45869.0</v>
      </c>
      <c r="F6" s="20">
        <v>90000.0</v>
      </c>
      <c r="G6" s="20">
        <v>18900.0</v>
      </c>
      <c r="H6" s="20"/>
      <c r="I6" s="20">
        <v>108900.0</v>
      </c>
      <c r="J6" s="24" t="s">
        <v>21</v>
      </c>
      <c r="K6" s="21">
        <v>45888.0</v>
      </c>
      <c r="L6" s="21"/>
      <c r="M6" s="23"/>
      <c r="N6" s="23"/>
      <c r="O6" s="14">
        <v>45870.0</v>
      </c>
    </row>
    <row r="7" ht="15.0" customHeight="1">
      <c r="A7" s="15" t="s">
        <v>26</v>
      </c>
      <c r="B7" s="16" t="s">
        <v>18</v>
      </c>
      <c r="C7" s="17" t="s">
        <v>19</v>
      </c>
      <c r="D7" s="18" t="s">
        <v>27</v>
      </c>
      <c r="E7" s="19">
        <v>45869.0</v>
      </c>
      <c r="F7" s="20">
        <v>190000.0</v>
      </c>
      <c r="G7" s="20">
        <v>39900.0</v>
      </c>
      <c r="H7" s="20"/>
      <c r="I7" s="20">
        <v>229900.0</v>
      </c>
      <c r="J7" s="24" t="s">
        <v>21</v>
      </c>
      <c r="K7" s="21">
        <v>45888.0</v>
      </c>
      <c r="L7" s="21"/>
      <c r="M7" s="25"/>
      <c r="N7" s="26"/>
      <c r="O7" s="14">
        <v>45870.0</v>
      </c>
    </row>
    <row r="8" ht="15.0" customHeight="1">
      <c r="A8" s="15" t="s">
        <v>15</v>
      </c>
      <c r="B8" s="27"/>
      <c r="C8" s="18" t="s">
        <v>15</v>
      </c>
      <c r="D8" s="18"/>
      <c r="E8" s="19"/>
      <c r="F8" s="20"/>
      <c r="G8" s="20">
        <v>0.0</v>
      </c>
      <c r="H8" s="20"/>
      <c r="I8" s="20" t="s">
        <v>16</v>
      </c>
      <c r="J8" s="24"/>
      <c r="K8" s="21"/>
      <c r="L8" s="21"/>
      <c r="M8" s="17"/>
      <c r="N8" s="23"/>
      <c r="O8" s="14">
        <v>45870.0</v>
      </c>
    </row>
    <row r="9" ht="15.0" customHeight="1">
      <c r="A9" s="15" t="s">
        <v>17</v>
      </c>
      <c r="B9" s="16" t="s">
        <v>28</v>
      </c>
      <c r="C9" s="17" t="s">
        <v>29</v>
      </c>
      <c r="D9" s="18" t="s">
        <v>30</v>
      </c>
      <c r="E9" s="19">
        <v>45883.0</v>
      </c>
      <c r="F9" s="20">
        <v>1638723.03</v>
      </c>
      <c r="G9" s="20">
        <v>344131.83629999997</v>
      </c>
      <c r="H9" s="20"/>
      <c r="I9" s="20">
        <v>1982854.8662999999</v>
      </c>
      <c r="J9" s="24" t="s">
        <v>21</v>
      </c>
      <c r="K9" s="21">
        <v>45888.0</v>
      </c>
      <c r="L9" s="21"/>
      <c r="M9" s="25"/>
      <c r="N9" s="26"/>
      <c r="O9" s="14">
        <v>45870.0</v>
      </c>
    </row>
    <row r="10" ht="15.0" customHeight="1">
      <c r="A10" s="15" t="s">
        <v>17</v>
      </c>
      <c r="B10" s="16" t="s">
        <v>28</v>
      </c>
      <c r="C10" s="17"/>
      <c r="D10" s="18"/>
      <c r="E10" s="19"/>
      <c r="F10" s="20"/>
      <c r="G10" s="20">
        <v>0.0</v>
      </c>
      <c r="H10" s="20"/>
      <c r="I10" s="20"/>
      <c r="J10" s="20"/>
      <c r="K10" s="21"/>
      <c r="L10" s="21"/>
      <c r="M10" s="22"/>
      <c r="N10" s="23"/>
      <c r="O10" s="14">
        <v>45870.0</v>
      </c>
    </row>
    <row r="11" ht="15.0" customHeight="1">
      <c r="A11" s="15" t="s">
        <v>17</v>
      </c>
      <c r="B11" s="27" t="s">
        <v>31</v>
      </c>
      <c r="C11" s="20" t="s">
        <v>32</v>
      </c>
      <c r="D11" s="18" t="s">
        <v>33</v>
      </c>
      <c r="E11" s="19"/>
      <c r="F11" s="20"/>
      <c r="G11" s="20">
        <v>0.0</v>
      </c>
      <c r="H11" s="20"/>
      <c r="I11" s="20" t="s">
        <v>16</v>
      </c>
      <c r="J11" s="24"/>
      <c r="K11" s="21"/>
      <c r="L11" s="21"/>
      <c r="M11" s="17"/>
      <c r="N11" s="23"/>
      <c r="O11" s="14">
        <v>45870.0</v>
      </c>
    </row>
    <row r="12" ht="15.0" customHeight="1">
      <c r="A12" s="15" t="s">
        <v>17</v>
      </c>
      <c r="B12" s="27" t="s">
        <v>34</v>
      </c>
      <c r="C12" s="20" t="s">
        <v>35</v>
      </c>
      <c r="D12" s="18" t="s">
        <v>36</v>
      </c>
      <c r="E12" s="19">
        <v>45870.0</v>
      </c>
      <c r="F12" s="20">
        <v>1569764.97</v>
      </c>
      <c r="G12" s="20">
        <f>F12*21%</f>
        <v>329650.6437</v>
      </c>
      <c r="H12" s="20"/>
      <c r="I12" s="20">
        <f>IF(SUM(F12:H12)=0,"",SUM(F12:H12))</f>
        <v>1899415.614</v>
      </c>
      <c r="J12" s="24" t="s">
        <v>21</v>
      </c>
      <c r="K12" s="21">
        <v>45881.0</v>
      </c>
      <c r="L12" s="21">
        <v>45881.0</v>
      </c>
      <c r="M12" s="25"/>
      <c r="N12" s="28"/>
      <c r="O12" s="14">
        <v>45870.0</v>
      </c>
    </row>
    <row r="13" ht="15.0" customHeight="1">
      <c r="A13" s="15" t="s">
        <v>17</v>
      </c>
      <c r="B13" s="27" t="s">
        <v>37</v>
      </c>
      <c r="C13" s="20" t="s">
        <v>37</v>
      </c>
      <c r="D13" s="18"/>
      <c r="E13" s="19"/>
      <c r="F13" s="20"/>
      <c r="G13" s="20"/>
      <c r="H13" s="20"/>
      <c r="I13" s="20"/>
      <c r="J13" s="24" t="s">
        <v>38</v>
      </c>
      <c r="K13" s="21"/>
      <c r="L13" s="21"/>
      <c r="M13" s="29"/>
      <c r="N13" s="26"/>
      <c r="O13" s="14">
        <v>45870.0</v>
      </c>
    </row>
    <row r="14" ht="15.0" customHeight="1">
      <c r="A14" s="15" t="s">
        <v>17</v>
      </c>
      <c r="B14" s="27" t="s">
        <v>39</v>
      </c>
      <c r="C14" s="20" t="s">
        <v>40</v>
      </c>
      <c r="D14" s="18"/>
      <c r="E14" s="19"/>
      <c r="F14" s="20"/>
      <c r="G14" s="20"/>
      <c r="H14" s="20"/>
      <c r="I14" s="20" t="s">
        <v>16</v>
      </c>
      <c r="J14" s="24"/>
      <c r="K14" s="21"/>
      <c r="L14" s="21"/>
      <c r="M14" s="23"/>
      <c r="N14" s="23"/>
      <c r="O14" s="14">
        <v>45870.0</v>
      </c>
    </row>
    <row r="15" ht="15.0" customHeight="1">
      <c r="A15" s="15" t="s">
        <v>17</v>
      </c>
      <c r="B15" s="27" t="s">
        <v>41</v>
      </c>
      <c r="C15" s="20" t="s">
        <v>42</v>
      </c>
      <c r="D15" s="30"/>
      <c r="E15" s="31"/>
      <c r="F15" s="32"/>
      <c r="G15" s="32"/>
      <c r="H15" s="32"/>
      <c r="I15" s="32"/>
      <c r="J15" s="32"/>
      <c r="K15" s="33"/>
      <c r="L15" s="33"/>
      <c r="M15" s="25"/>
      <c r="N15" s="26"/>
      <c r="O15" s="14">
        <v>45870.0</v>
      </c>
    </row>
    <row r="16" ht="15.0" customHeight="1">
      <c r="A16" s="15" t="s">
        <v>17</v>
      </c>
      <c r="B16" s="27" t="s">
        <v>43</v>
      </c>
      <c r="C16" s="20" t="s">
        <v>44</v>
      </c>
      <c r="D16" s="30"/>
      <c r="E16" s="31"/>
      <c r="F16" s="32"/>
      <c r="G16" s="32"/>
      <c r="H16" s="32"/>
      <c r="I16" s="32"/>
      <c r="J16" s="32"/>
      <c r="K16" s="33"/>
      <c r="L16" s="33"/>
      <c r="M16" s="25"/>
      <c r="N16" s="26"/>
      <c r="O16" s="14">
        <v>45870.0</v>
      </c>
    </row>
    <row r="17" ht="15.0" customHeight="1">
      <c r="A17" s="15" t="s">
        <v>45</v>
      </c>
      <c r="B17" s="27" t="s">
        <v>46</v>
      </c>
      <c r="C17" s="20" t="s">
        <v>47</v>
      </c>
      <c r="D17" s="18" t="s">
        <v>48</v>
      </c>
      <c r="E17" s="19">
        <v>45877.0</v>
      </c>
      <c r="F17" s="20"/>
      <c r="G17" s="20">
        <v>0.0</v>
      </c>
      <c r="H17" s="20">
        <v>532322.0</v>
      </c>
      <c r="I17" s="20">
        <v>532322.0</v>
      </c>
      <c r="J17" s="20" t="s">
        <v>21</v>
      </c>
      <c r="K17" s="21">
        <v>45888.0</v>
      </c>
      <c r="L17" s="21"/>
      <c r="M17" s="22"/>
      <c r="N17" s="23"/>
      <c r="O17" s="14">
        <v>45870.0</v>
      </c>
    </row>
    <row r="18" ht="15.0" customHeight="1">
      <c r="A18" s="15" t="s">
        <v>45</v>
      </c>
      <c r="B18" s="27" t="s">
        <v>31</v>
      </c>
      <c r="C18" s="20" t="s">
        <v>32</v>
      </c>
      <c r="D18" s="18" t="s">
        <v>33</v>
      </c>
      <c r="E18" s="19"/>
      <c r="F18" s="20"/>
      <c r="G18" s="20">
        <v>0.0</v>
      </c>
      <c r="H18" s="20"/>
      <c r="I18" s="20" t="s">
        <v>16</v>
      </c>
      <c r="J18" s="20"/>
      <c r="K18" s="21"/>
      <c r="L18" s="21"/>
      <c r="M18" s="34"/>
      <c r="N18" s="23"/>
      <c r="O18" s="14">
        <v>45870.0</v>
      </c>
    </row>
    <row r="19" ht="15.0" customHeight="1">
      <c r="A19" s="15" t="s">
        <v>45</v>
      </c>
      <c r="B19" s="27" t="s">
        <v>34</v>
      </c>
      <c r="C19" s="20" t="s">
        <v>47</v>
      </c>
      <c r="D19" s="18" t="s">
        <v>49</v>
      </c>
      <c r="E19" s="19">
        <v>45880.0</v>
      </c>
      <c r="F19" s="20">
        <v>6550000.0</v>
      </c>
      <c r="G19" s="20">
        <f>F19*21%</f>
        <v>1375500</v>
      </c>
      <c r="H19" s="20"/>
      <c r="I19" s="20">
        <f>IF(SUM(F19:H19)=0,"",SUM(F19:H19))</f>
        <v>7925500</v>
      </c>
      <c r="J19" s="20" t="s">
        <v>21</v>
      </c>
      <c r="K19" s="21">
        <v>45880.0</v>
      </c>
      <c r="L19" s="21">
        <v>45880.0</v>
      </c>
      <c r="M19" s="22"/>
      <c r="N19" s="23"/>
      <c r="O19" s="14">
        <v>45870.0</v>
      </c>
    </row>
    <row r="20" ht="15.0" customHeight="1">
      <c r="A20" s="15" t="s">
        <v>45</v>
      </c>
      <c r="B20" s="27" t="s">
        <v>50</v>
      </c>
      <c r="C20" s="20" t="s">
        <v>47</v>
      </c>
      <c r="D20" s="18" t="s">
        <v>48</v>
      </c>
      <c r="E20" s="19">
        <v>45877.0</v>
      </c>
      <c r="F20" s="20">
        <v>405183.12</v>
      </c>
      <c r="G20" s="20">
        <v>109399.4424</v>
      </c>
      <c r="H20" s="20">
        <v>25486.01</v>
      </c>
      <c r="I20" s="20">
        <v>540068.5724</v>
      </c>
      <c r="J20" s="20" t="s">
        <v>21</v>
      </c>
      <c r="K20" s="21">
        <v>45888.0</v>
      </c>
      <c r="L20" s="21"/>
      <c r="M20" s="22"/>
      <c r="N20" s="23"/>
      <c r="O20" s="14">
        <v>45870.0</v>
      </c>
    </row>
    <row r="21" ht="15.0" customHeight="1">
      <c r="A21" s="15" t="s">
        <v>45</v>
      </c>
      <c r="B21" s="27" t="s">
        <v>37</v>
      </c>
      <c r="C21" s="20" t="s">
        <v>37</v>
      </c>
      <c r="D21" s="18"/>
      <c r="E21" s="19"/>
      <c r="F21" s="20"/>
      <c r="G21" s="20"/>
      <c r="H21" s="20"/>
      <c r="I21" s="20"/>
      <c r="J21" s="20" t="s">
        <v>38</v>
      </c>
      <c r="K21" s="21"/>
      <c r="L21" s="21"/>
      <c r="M21" s="22"/>
      <c r="N21" s="23"/>
      <c r="O21" s="14">
        <v>45870.0</v>
      </c>
    </row>
    <row r="22" ht="15.0" customHeight="1">
      <c r="A22" s="15" t="s">
        <v>45</v>
      </c>
      <c r="B22" s="27" t="s">
        <v>37</v>
      </c>
      <c r="C22" s="20" t="s">
        <v>37</v>
      </c>
      <c r="D22" s="18"/>
      <c r="E22" s="19"/>
      <c r="F22" s="20"/>
      <c r="G22" s="20"/>
      <c r="H22" s="20"/>
      <c r="I22" s="20"/>
      <c r="J22" s="20" t="s">
        <v>38</v>
      </c>
      <c r="K22" s="21"/>
      <c r="L22" s="21"/>
      <c r="M22" s="22"/>
      <c r="N22" s="23"/>
      <c r="O22" s="14">
        <v>45870.0</v>
      </c>
    </row>
    <row r="23" ht="15.0" customHeight="1">
      <c r="A23" s="15" t="s">
        <v>45</v>
      </c>
      <c r="B23" s="27" t="s">
        <v>37</v>
      </c>
      <c r="C23" s="20" t="s">
        <v>37</v>
      </c>
      <c r="D23" s="35"/>
      <c r="E23" s="36"/>
      <c r="F23" s="37"/>
      <c r="G23" s="37"/>
      <c r="H23" s="37"/>
      <c r="I23" s="37"/>
      <c r="J23" s="37" t="s">
        <v>51</v>
      </c>
      <c r="K23" s="38"/>
      <c r="L23" s="38"/>
      <c r="M23" s="22"/>
      <c r="N23" s="23"/>
      <c r="O23" s="14">
        <v>45870.0</v>
      </c>
    </row>
    <row r="24" ht="15.0" customHeight="1">
      <c r="A24" s="15" t="s">
        <v>45</v>
      </c>
      <c r="B24" s="27" t="s">
        <v>39</v>
      </c>
      <c r="C24" s="20" t="s">
        <v>47</v>
      </c>
      <c r="D24" s="18" t="s">
        <v>48</v>
      </c>
      <c r="E24" s="19">
        <v>45877.0</v>
      </c>
      <c r="F24" s="20"/>
      <c r="G24" s="20">
        <v>0.0</v>
      </c>
      <c r="H24" s="20">
        <v>407740.5</v>
      </c>
      <c r="I24" s="20">
        <v>407740.5</v>
      </c>
      <c r="J24" s="20" t="s">
        <v>21</v>
      </c>
      <c r="K24" s="21">
        <v>45888.0</v>
      </c>
      <c r="L24" s="21"/>
      <c r="M24" s="22"/>
      <c r="N24" s="23"/>
      <c r="O24" s="14">
        <v>45870.0</v>
      </c>
    </row>
    <row r="25" ht="15.0" customHeight="1">
      <c r="A25" s="15" t="s">
        <v>45</v>
      </c>
      <c r="B25" s="27" t="s">
        <v>41</v>
      </c>
      <c r="C25" s="20" t="s">
        <v>42</v>
      </c>
      <c r="D25" s="18" t="s">
        <v>52</v>
      </c>
      <c r="E25" s="19"/>
      <c r="F25" s="20"/>
      <c r="G25" s="20">
        <v>0.0</v>
      </c>
      <c r="H25" s="20"/>
      <c r="I25" s="20" t="s">
        <v>16</v>
      </c>
      <c r="J25" s="24"/>
      <c r="K25" s="21"/>
      <c r="L25" s="21"/>
      <c r="M25" s="22"/>
      <c r="N25" s="23"/>
      <c r="O25" s="14">
        <v>45870.0</v>
      </c>
    </row>
    <row r="26" ht="15.0" customHeight="1">
      <c r="A26" s="15" t="s">
        <v>45</v>
      </c>
      <c r="B26" s="27" t="s">
        <v>43</v>
      </c>
      <c r="C26" s="20" t="s">
        <v>53</v>
      </c>
      <c r="D26" s="30"/>
      <c r="E26" s="31"/>
      <c r="F26" s="32"/>
      <c r="G26" s="32"/>
      <c r="H26" s="32"/>
      <c r="I26" s="32"/>
      <c r="J26" s="32"/>
      <c r="K26" s="33"/>
      <c r="L26" s="33"/>
      <c r="M26" s="22"/>
      <c r="N26" s="18"/>
      <c r="O26" s="14">
        <v>45870.0</v>
      </c>
    </row>
    <row r="27" ht="15.0" customHeight="1">
      <c r="A27" s="15" t="s">
        <v>54</v>
      </c>
      <c r="B27" s="27" t="s">
        <v>31</v>
      </c>
      <c r="C27" s="20" t="s">
        <v>32</v>
      </c>
      <c r="D27" s="18" t="s">
        <v>33</v>
      </c>
      <c r="E27" s="19"/>
      <c r="F27" s="20"/>
      <c r="G27" s="20">
        <v>0.0</v>
      </c>
      <c r="H27" s="20"/>
      <c r="I27" s="20" t="s">
        <v>16</v>
      </c>
      <c r="J27" s="24"/>
      <c r="K27" s="21"/>
      <c r="L27" s="21"/>
      <c r="M27" s="25"/>
      <c r="N27" s="26"/>
      <c r="O27" s="14">
        <v>45870.0</v>
      </c>
    </row>
    <row r="28" ht="15.0" customHeight="1">
      <c r="A28" s="15" t="s">
        <v>54</v>
      </c>
      <c r="B28" s="27" t="s">
        <v>34</v>
      </c>
      <c r="C28" s="20" t="s">
        <v>55</v>
      </c>
      <c r="D28" s="18" t="s">
        <v>56</v>
      </c>
      <c r="E28" s="19"/>
      <c r="F28" s="20"/>
      <c r="G28" s="20">
        <v>0.0</v>
      </c>
      <c r="H28" s="20"/>
      <c r="I28" s="20"/>
      <c r="J28" s="24"/>
      <c r="K28" s="18"/>
      <c r="L28" s="21"/>
      <c r="M28" s="25"/>
      <c r="N28" s="26"/>
      <c r="O28" s="14">
        <v>45870.0</v>
      </c>
    </row>
    <row r="29" ht="15.0" customHeight="1">
      <c r="A29" s="15" t="s">
        <v>54</v>
      </c>
      <c r="B29" s="27" t="s">
        <v>37</v>
      </c>
      <c r="C29" s="20" t="s">
        <v>37</v>
      </c>
      <c r="D29" s="18"/>
      <c r="E29" s="19"/>
      <c r="F29" s="20"/>
      <c r="G29" s="20"/>
      <c r="H29" s="20"/>
      <c r="I29" s="20"/>
      <c r="J29" s="24" t="s">
        <v>38</v>
      </c>
      <c r="K29" s="21"/>
      <c r="L29" s="21"/>
      <c r="M29" s="25"/>
      <c r="N29" s="26"/>
      <c r="O29" s="14">
        <v>45870.0</v>
      </c>
    </row>
    <row r="30" ht="15.0" customHeight="1">
      <c r="A30" s="15" t="s">
        <v>54</v>
      </c>
      <c r="B30" s="27" t="s">
        <v>37</v>
      </c>
      <c r="C30" s="20" t="s">
        <v>37</v>
      </c>
      <c r="D30" s="18"/>
      <c r="E30" s="19"/>
      <c r="F30" s="20"/>
      <c r="G30" s="20"/>
      <c r="H30" s="20"/>
      <c r="I30" s="20"/>
      <c r="J30" s="24" t="s">
        <v>38</v>
      </c>
      <c r="K30" s="21"/>
      <c r="L30" s="21"/>
      <c r="M30" s="23"/>
      <c r="N30" s="23"/>
      <c r="O30" s="14">
        <v>45870.0</v>
      </c>
    </row>
    <row r="31" ht="15.0" customHeight="1">
      <c r="A31" s="15" t="s">
        <v>54</v>
      </c>
      <c r="B31" s="27" t="s">
        <v>39</v>
      </c>
      <c r="C31" s="20" t="s">
        <v>57</v>
      </c>
      <c r="D31" s="18" t="s">
        <v>58</v>
      </c>
      <c r="E31" s="19"/>
      <c r="F31" s="20"/>
      <c r="G31" s="20">
        <v>0.0</v>
      </c>
      <c r="H31" s="20"/>
      <c r="I31" s="20" t="s">
        <v>16</v>
      </c>
      <c r="J31" s="24"/>
      <c r="K31" s="21"/>
      <c r="L31" s="21"/>
      <c r="M31" s="23"/>
      <c r="N31" s="23"/>
      <c r="O31" s="14">
        <v>45870.0</v>
      </c>
    </row>
    <row r="32" ht="15.0" customHeight="1">
      <c r="A32" s="15" t="s">
        <v>54</v>
      </c>
      <c r="B32" s="27" t="s">
        <v>41</v>
      </c>
      <c r="C32" s="20" t="s">
        <v>42</v>
      </c>
      <c r="D32" s="30"/>
      <c r="E32" s="31"/>
      <c r="F32" s="32"/>
      <c r="G32" s="32"/>
      <c r="H32" s="32"/>
      <c r="I32" s="32"/>
      <c r="J32" s="32"/>
      <c r="K32" s="33"/>
      <c r="L32" s="33"/>
      <c r="M32" s="23"/>
      <c r="N32" s="23"/>
      <c r="O32" s="14">
        <v>45870.0</v>
      </c>
    </row>
    <row r="33" ht="15.0" customHeight="1">
      <c r="A33" s="15" t="s">
        <v>54</v>
      </c>
      <c r="B33" s="27" t="s">
        <v>43</v>
      </c>
      <c r="C33" s="20" t="s">
        <v>53</v>
      </c>
      <c r="D33" s="18" t="s">
        <v>59</v>
      </c>
      <c r="E33" s="19">
        <v>45855.0</v>
      </c>
      <c r="F33" s="20">
        <v>102700.0</v>
      </c>
      <c r="G33" s="20">
        <f t="shared" ref="G33:G45" si="1">F33*21%</f>
        <v>21567</v>
      </c>
      <c r="H33" s="39">
        <f>5135+3081</f>
        <v>8216</v>
      </c>
      <c r="I33" s="20">
        <f t="shared" ref="I33:I40" si="2">IF(SUM(F33:H33)=0,"",SUM(F33:H33))</f>
        <v>132483</v>
      </c>
      <c r="J33" s="24" t="s">
        <v>38</v>
      </c>
      <c r="K33" s="21">
        <v>45874.0</v>
      </c>
      <c r="L33" s="21">
        <v>45873.0</v>
      </c>
      <c r="M33" s="23"/>
      <c r="N33" s="23"/>
      <c r="O33" s="14">
        <v>45870.0</v>
      </c>
    </row>
    <row r="34" ht="15.0" customHeight="1">
      <c r="A34" s="15" t="s">
        <v>60</v>
      </c>
      <c r="B34" s="27" t="s">
        <v>34</v>
      </c>
      <c r="C34" s="40" t="s">
        <v>61</v>
      </c>
      <c r="E34" s="19"/>
      <c r="F34" s="20"/>
      <c r="G34" s="20">
        <f t="shared" si="1"/>
        <v>0</v>
      </c>
      <c r="H34" s="20"/>
      <c r="I34" s="20" t="str">
        <f t="shared" si="2"/>
        <v/>
      </c>
      <c r="J34" s="20"/>
      <c r="K34" s="21"/>
      <c r="L34" s="21"/>
      <c r="M34" s="29"/>
      <c r="N34" s="23"/>
      <c r="O34" s="14">
        <v>45870.0</v>
      </c>
    </row>
    <row r="35" ht="15.0" customHeight="1">
      <c r="A35" s="15" t="s">
        <v>60</v>
      </c>
      <c r="B35" s="16" t="s">
        <v>34</v>
      </c>
      <c r="C35" s="40" t="s">
        <v>61</v>
      </c>
      <c r="D35" s="18" t="s">
        <v>62</v>
      </c>
      <c r="E35" s="19">
        <v>45870.0</v>
      </c>
      <c r="F35" s="20">
        <v>250000.0</v>
      </c>
      <c r="G35" s="20">
        <f t="shared" si="1"/>
        <v>52500</v>
      </c>
      <c r="H35" s="20"/>
      <c r="I35" s="20">
        <f t="shared" si="2"/>
        <v>302500</v>
      </c>
      <c r="J35" s="20" t="s">
        <v>21</v>
      </c>
      <c r="K35" s="21">
        <v>45880.0</v>
      </c>
      <c r="L35" s="21">
        <v>45880.0</v>
      </c>
      <c r="M35" s="22"/>
      <c r="N35" s="23"/>
      <c r="O35" s="14">
        <v>45870.0</v>
      </c>
    </row>
    <row r="36" ht="15.0" customHeight="1">
      <c r="A36" s="15" t="s">
        <v>60</v>
      </c>
      <c r="B36" s="27" t="s">
        <v>37</v>
      </c>
      <c r="C36" s="40" t="s">
        <v>61</v>
      </c>
      <c r="D36" s="41" t="s">
        <v>52</v>
      </c>
      <c r="E36" s="19"/>
      <c r="F36" s="20"/>
      <c r="G36" s="20">
        <f t="shared" si="1"/>
        <v>0</v>
      </c>
      <c r="H36" s="20"/>
      <c r="I36" s="20" t="str">
        <f t="shared" si="2"/>
        <v/>
      </c>
      <c r="J36" s="20"/>
      <c r="K36" s="21"/>
      <c r="L36" s="21"/>
      <c r="M36" s="22"/>
      <c r="N36" s="23"/>
      <c r="O36" s="14">
        <v>45870.0</v>
      </c>
    </row>
    <row r="37" ht="15.0" customHeight="1">
      <c r="A37" s="15" t="s">
        <v>60</v>
      </c>
      <c r="B37" s="27" t="s">
        <v>39</v>
      </c>
      <c r="C37" s="40" t="s">
        <v>61</v>
      </c>
      <c r="D37" s="18" t="s">
        <v>62</v>
      </c>
      <c r="E37" s="19">
        <v>45870.0</v>
      </c>
      <c r="F37" s="20"/>
      <c r="G37" s="20">
        <f t="shared" si="1"/>
        <v>0</v>
      </c>
      <c r="H37" s="20">
        <v>18181.99</v>
      </c>
      <c r="I37" s="20">
        <f t="shared" si="2"/>
        <v>18181.99</v>
      </c>
      <c r="J37" s="20" t="s">
        <v>21</v>
      </c>
      <c r="K37" s="21">
        <v>45880.0</v>
      </c>
      <c r="L37" s="21">
        <v>45880.0</v>
      </c>
      <c r="M37" s="29"/>
      <c r="N37" s="23"/>
      <c r="O37" s="14">
        <v>45870.0</v>
      </c>
    </row>
    <row r="38" ht="15.0" customHeight="1">
      <c r="A38" s="15" t="s">
        <v>60</v>
      </c>
      <c r="B38" s="16" t="s">
        <v>39</v>
      </c>
      <c r="C38" s="40" t="s">
        <v>61</v>
      </c>
      <c r="D38" s="18"/>
      <c r="E38" s="19"/>
      <c r="F38" s="20"/>
      <c r="G38" s="20">
        <f t="shared" si="1"/>
        <v>0</v>
      </c>
      <c r="H38" s="20"/>
      <c r="I38" s="20" t="str">
        <f t="shared" si="2"/>
        <v/>
      </c>
      <c r="J38" s="20"/>
      <c r="K38" s="21"/>
      <c r="L38" s="21"/>
      <c r="M38" s="22"/>
      <c r="N38" s="23"/>
      <c r="O38" s="14">
        <v>45870.0</v>
      </c>
    </row>
    <row r="39" ht="15.0" customHeight="1">
      <c r="A39" s="15" t="s">
        <v>63</v>
      </c>
      <c r="B39" s="27" t="s">
        <v>34</v>
      </c>
      <c r="C39" s="40" t="s">
        <v>61</v>
      </c>
      <c r="D39" s="18" t="s">
        <v>64</v>
      </c>
      <c r="E39" s="19">
        <v>45870.0</v>
      </c>
      <c r="F39" s="20">
        <v>428053.64</v>
      </c>
      <c r="G39" s="20">
        <f t="shared" si="1"/>
        <v>89891.2644</v>
      </c>
      <c r="H39" s="20"/>
      <c r="I39" s="20">
        <f t="shared" si="2"/>
        <v>517944.9044</v>
      </c>
      <c r="J39" s="20" t="s">
        <v>21</v>
      </c>
      <c r="K39" s="21">
        <v>45880.0</v>
      </c>
      <c r="L39" s="21">
        <v>45880.0</v>
      </c>
      <c r="M39" s="22"/>
      <c r="N39" s="23"/>
      <c r="O39" s="14">
        <v>45870.0</v>
      </c>
    </row>
    <row r="40" ht="15.0" customHeight="1">
      <c r="A40" s="15" t="s">
        <v>63</v>
      </c>
      <c r="B40" s="27" t="s">
        <v>37</v>
      </c>
      <c r="C40" s="40" t="s">
        <v>61</v>
      </c>
      <c r="D40" s="18" t="s">
        <v>64</v>
      </c>
      <c r="E40" s="19"/>
      <c r="F40" s="20">
        <f>357.53+7150.69</f>
        <v>7508.22</v>
      </c>
      <c r="G40" s="20">
        <f t="shared" si="1"/>
        <v>1576.7262</v>
      </c>
      <c r="H40" s="20"/>
      <c r="I40" s="20">
        <f t="shared" si="2"/>
        <v>9084.9462</v>
      </c>
      <c r="J40" s="20" t="s">
        <v>21</v>
      </c>
      <c r="K40" s="21">
        <v>45880.0</v>
      </c>
      <c r="L40" s="21">
        <v>45880.0</v>
      </c>
      <c r="M40" s="29"/>
      <c r="N40" s="23"/>
      <c r="O40" s="14">
        <v>45870.0</v>
      </c>
    </row>
    <row r="41" ht="15.0" customHeight="1">
      <c r="A41" s="15" t="s">
        <v>63</v>
      </c>
      <c r="B41" s="27" t="s">
        <v>39</v>
      </c>
      <c r="C41" s="40" t="s">
        <v>61</v>
      </c>
      <c r="D41" s="18" t="s">
        <v>64</v>
      </c>
      <c r="E41" s="19">
        <v>45870.0</v>
      </c>
      <c r="F41" s="20"/>
      <c r="G41" s="20">
        <f t="shared" si="1"/>
        <v>0</v>
      </c>
      <c r="H41" s="20">
        <v>50182.29</v>
      </c>
      <c r="I41" s="20">
        <v>50182.29</v>
      </c>
      <c r="J41" s="20" t="s">
        <v>21</v>
      </c>
      <c r="K41" s="21">
        <v>45880.0</v>
      </c>
      <c r="L41" s="21">
        <v>45880.0</v>
      </c>
      <c r="M41" s="22"/>
      <c r="N41" s="23"/>
      <c r="O41" s="14">
        <v>45870.0</v>
      </c>
    </row>
    <row r="42" ht="15.0" customHeight="1">
      <c r="A42" s="15" t="s">
        <v>65</v>
      </c>
      <c r="B42" s="27" t="s">
        <v>34</v>
      </c>
      <c r="C42" s="40" t="s">
        <v>61</v>
      </c>
      <c r="D42" s="18" t="s">
        <v>66</v>
      </c>
      <c r="E42" s="19">
        <v>45870.0</v>
      </c>
      <c r="F42" s="20">
        <v>554000.0</v>
      </c>
      <c r="G42" s="20">
        <f t="shared" si="1"/>
        <v>116340</v>
      </c>
      <c r="I42" s="20">
        <f t="shared" ref="I42:I45" si="3">IF(SUM(F42:H42)=0,"",SUM(F42:H42))</f>
        <v>670340</v>
      </c>
      <c r="J42" s="20" t="s">
        <v>21</v>
      </c>
      <c r="K42" s="21">
        <v>45880.0</v>
      </c>
      <c r="L42" s="21">
        <v>45880.0</v>
      </c>
      <c r="M42" s="25"/>
      <c r="N42" s="26"/>
      <c r="O42" s="14">
        <v>45870.0</v>
      </c>
    </row>
    <row r="43" ht="15.0" customHeight="1">
      <c r="A43" s="15" t="s">
        <v>65</v>
      </c>
      <c r="B43" s="27" t="s">
        <v>39</v>
      </c>
      <c r="C43" s="40" t="s">
        <v>61</v>
      </c>
      <c r="D43" s="18" t="s">
        <v>66</v>
      </c>
      <c r="E43" s="19">
        <v>45870.0</v>
      </c>
      <c r="F43" s="20"/>
      <c r="G43" s="20">
        <f t="shared" si="1"/>
        <v>0</v>
      </c>
      <c r="H43" s="20">
        <v>314184.75</v>
      </c>
      <c r="I43" s="20">
        <f t="shared" si="3"/>
        <v>314184.75</v>
      </c>
      <c r="J43" s="24"/>
      <c r="K43" s="21">
        <v>45880.0</v>
      </c>
      <c r="L43" s="21">
        <v>45880.0</v>
      </c>
      <c r="M43" s="23"/>
      <c r="N43" s="23"/>
      <c r="O43" s="14">
        <v>45870.0</v>
      </c>
    </row>
    <row r="44" ht="15.0" customHeight="1">
      <c r="A44" s="15" t="s">
        <v>26</v>
      </c>
      <c r="B44" s="27" t="s">
        <v>34</v>
      </c>
      <c r="C44" s="40" t="s">
        <v>61</v>
      </c>
      <c r="D44" s="18" t="s">
        <v>67</v>
      </c>
      <c r="E44" s="19">
        <v>45870.0</v>
      </c>
      <c r="F44" s="20">
        <v>599275.1</v>
      </c>
      <c r="G44" s="20">
        <f t="shared" si="1"/>
        <v>125847.771</v>
      </c>
      <c r="I44" s="20">
        <f t="shared" si="3"/>
        <v>725122.871</v>
      </c>
      <c r="J44" s="20" t="s">
        <v>21</v>
      </c>
      <c r="K44" s="21">
        <v>45880.0</v>
      </c>
      <c r="L44" s="21">
        <v>45880.0</v>
      </c>
      <c r="M44" s="25"/>
      <c r="N44" s="26"/>
      <c r="O44" s="14">
        <v>45870.0</v>
      </c>
    </row>
    <row r="45" ht="15.0" customHeight="1">
      <c r="A45" s="15" t="s">
        <v>26</v>
      </c>
      <c r="B45" s="27" t="s">
        <v>39</v>
      </c>
      <c r="C45" s="40" t="s">
        <v>61</v>
      </c>
      <c r="D45" s="18" t="s">
        <v>67</v>
      </c>
      <c r="E45" s="19">
        <v>45870.0</v>
      </c>
      <c r="F45" s="20"/>
      <c r="G45" s="20">
        <f t="shared" si="1"/>
        <v>0</v>
      </c>
      <c r="H45" s="20">
        <v>328003.06</v>
      </c>
      <c r="I45" s="20">
        <f t="shared" si="3"/>
        <v>328003.06</v>
      </c>
      <c r="J45" s="24"/>
      <c r="K45" s="21">
        <v>45880.0</v>
      </c>
      <c r="L45" s="21">
        <v>45880.0</v>
      </c>
      <c r="M45" s="23"/>
      <c r="N45" s="23"/>
      <c r="O45" s="14">
        <v>45870.0</v>
      </c>
    </row>
    <row r="46" ht="15.0" customHeight="1">
      <c r="A46" s="15" t="s">
        <v>26</v>
      </c>
      <c r="B46" s="27" t="s">
        <v>41</v>
      </c>
      <c r="C46" s="40" t="s">
        <v>42</v>
      </c>
      <c r="D46" s="30"/>
      <c r="E46" s="31"/>
      <c r="F46" s="32"/>
      <c r="G46" s="32"/>
      <c r="H46" s="32"/>
      <c r="I46" s="32"/>
      <c r="J46" s="32"/>
      <c r="K46" s="33"/>
      <c r="L46" s="33"/>
      <c r="M46" s="25"/>
      <c r="N46" s="26"/>
      <c r="O46" s="14">
        <v>45870.0</v>
      </c>
    </row>
    <row r="47" ht="15.0" customHeight="1">
      <c r="A47" s="15" t="s">
        <v>26</v>
      </c>
      <c r="B47" s="27" t="s">
        <v>43</v>
      </c>
      <c r="C47" s="20" t="s">
        <v>53</v>
      </c>
      <c r="D47" s="30"/>
      <c r="E47" s="31"/>
      <c r="F47" s="32"/>
      <c r="G47" s="32"/>
      <c r="H47" s="32"/>
      <c r="I47" s="32"/>
      <c r="J47" s="32"/>
      <c r="K47" s="33"/>
      <c r="L47" s="33"/>
      <c r="M47" s="25"/>
      <c r="N47" s="26"/>
      <c r="O47" s="14">
        <v>45870.0</v>
      </c>
    </row>
    <row r="48" ht="15.0" customHeight="1">
      <c r="A48" s="15" t="s">
        <v>22</v>
      </c>
      <c r="B48" s="27" t="s">
        <v>31</v>
      </c>
      <c r="C48" s="20" t="s">
        <v>32</v>
      </c>
      <c r="D48" s="18" t="s">
        <v>33</v>
      </c>
      <c r="E48" s="19"/>
      <c r="F48" s="20"/>
      <c r="G48" s="20">
        <v>0.0</v>
      </c>
      <c r="H48" s="20"/>
      <c r="I48" s="20" t="s">
        <v>16</v>
      </c>
      <c r="J48" s="20"/>
      <c r="K48" s="21"/>
      <c r="L48" s="21"/>
      <c r="M48" s="34"/>
      <c r="N48" s="23"/>
      <c r="O48" s="14">
        <v>45870.0</v>
      </c>
    </row>
    <row r="49" ht="15.0" customHeight="1">
      <c r="A49" s="15" t="s">
        <v>22</v>
      </c>
      <c r="B49" s="27" t="s">
        <v>34</v>
      </c>
      <c r="C49" s="20" t="s">
        <v>68</v>
      </c>
      <c r="D49" s="18" t="s">
        <v>69</v>
      </c>
      <c r="E49" s="19">
        <v>45876.0</v>
      </c>
      <c r="F49" s="20">
        <v>1299988.6</v>
      </c>
      <c r="G49" s="20">
        <f>F49*21%</f>
        <v>272997.606</v>
      </c>
      <c r="H49" s="20">
        <v>38999.66</v>
      </c>
      <c r="I49" s="20">
        <f>IF(SUM(F49:H49)=0,"",SUM(F49:H49))</f>
        <v>1611985.866</v>
      </c>
      <c r="J49" s="20" t="s">
        <v>21</v>
      </c>
      <c r="K49" s="21">
        <v>45880.0</v>
      </c>
      <c r="L49" s="21">
        <v>45880.0</v>
      </c>
      <c r="M49" s="22"/>
      <c r="N49" s="23"/>
      <c r="O49" s="14">
        <v>45870.0</v>
      </c>
    </row>
    <row r="50" ht="15.0" customHeight="1">
      <c r="A50" s="15" t="s">
        <v>22</v>
      </c>
      <c r="B50" s="27" t="s">
        <v>37</v>
      </c>
      <c r="C50" s="20" t="s">
        <v>37</v>
      </c>
      <c r="D50" s="18"/>
      <c r="E50" s="19"/>
      <c r="F50" s="20"/>
      <c r="G50" s="20"/>
      <c r="H50" s="20"/>
      <c r="I50" s="20" t="s">
        <v>16</v>
      </c>
      <c r="J50" s="20" t="s">
        <v>38</v>
      </c>
      <c r="K50" s="21"/>
      <c r="L50" s="21"/>
      <c r="M50" s="29"/>
      <c r="N50" s="23"/>
      <c r="O50" s="14">
        <v>45870.0</v>
      </c>
    </row>
    <row r="51" ht="15.0" customHeight="1">
      <c r="A51" s="15" t="s">
        <v>22</v>
      </c>
      <c r="B51" s="27" t="s">
        <v>39</v>
      </c>
      <c r="C51" s="20" t="s">
        <v>68</v>
      </c>
      <c r="D51" s="18" t="s">
        <v>52</v>
      </c>
      <c r="E51" s="19"/>
      <c r="F51" s="20"/>
      <c r="G51" s="20">
        <v>0.0</v>
      </c>
      <c r="H51" s="20"/>
      <c r="I51" s="20" t="s">
        <v>16</v>
      </c>
      <c r="J51" s="20"/>
      <c r="K51" s="21"/>
      <c r="L51" s="21"/>
      <c r="M51" s="22"/>
      <c r="N51" s="23"/>
      <c r="O51" s="14">
        <v>45870.0</v>
      </c>
    </row>
    <row r="52" ht="15.0" customHeight="1">
      <c r="A52" s="15" t="s">
        <v>22</v>
      </c>
      <c r="B52" s="27" t="s">
        <v>41</v>
      </c>
      <c r="C52" s="20" t="s">
        <v>42</v>
      </c>
      <c r="D52" s="30"/>
      <c r="E52" s="31"/>
      <c r="F52" s="32"/>
      <c r="G52" s="32"/>
      <c r="H52" s="32"/>
      <c r="I52" s="32"/>
      <c r="J52" s="32"/>
      <c r="K52" s="33"/>
      <c r="L52" s="33"/>
      <c r="M52" s="22"/>
      <c r="N52" s="23"/>
      <c r="O52" s="14">
        <v>45870.0</v>
      </c>
    </row>
    <row r="53" ht="15.0" customHeight="1">
      <c r="A53" s="15" t="s">
        <v>22</v>
      </c>
      <c r="B53" s="27" t="s">
        <v>43</v>
      </c>
      <c r="C53" s="20" t="s">
        <v>53</v>
      </c>
      <c r="D53" s="30"/>
      <c r="E53" s="31"/>
      <c r="F53" s="32"/>
      <c r="G53" s="32"/>
      <c r="H53" s="32"/>
      <c r="I53" s="32"/>
      <c r="J53" s="32"/>
      <c r="K53" s="33"/>
      <c r="L53" s="33"/>
      <c r="M53" s="20"/>
      <c r="N53" s="23"/>
      <c r="O53" s="14">
        <v>45870.0</v>
      </c>
    </row>
    <row r="54" ht="15.0" customHeight="1">
      <c r="A54" s="15" t="s">
        <v>24</v>
      </c>
      <c r="B54" s="27" t="s">
        <v>31</v>
      </c>
      <c r="C54" s="20" t="s">
        <v>32</v>
      </c>
      <c r="D54" s="18" t="s">
        <v>33</v>
      </c>
      <c r="E54" s="19"/>
      <c r="F54" s="20"/>
      <c r="G54" s="20">
        <v>0.0</v>
      </c>
      <c r="H54" s="20"/>
      <c r="I54" s="20" t="s">
        <v>16</v>
      </c>
      <c r="J54" s="20"/>
      <c r="K54" s="21"/>
      <c r="L54" s="21"/>
      <c r="M54" s="34"/>
      <c r="N54" s="23"/>
      <c r="O54" s="14">
        <v>45870.0</v>
      </c>
    </row>
    <row r="55" ht="15.0" customHeight="1">
      <c r="A55" s="42" t="s">
        <v>24</v>
      </c>
      <c r="B55" s="27" t="s">
        <v>34</v>
      </c>
      <c r="C55" s="20" t="s">
        <v>35</v>
      </c>
      <c r="D55" s="18" t="s">
        <v>70</v>
      </c>
      <c r="E55" s="19">
        <v>45870.0</v>
      </c>
      <c r="F55" s="20">
        <v>1741513.44</v>
      </c>
      <c r="G55" s="20">
        <f>F55*21%</f>
        <v>365717.8224</v>
      </c>
      <c r="H55" s="20"/>
      <c r="I55" s="20">
        <f>IF(SUM(F55:H55)=0,"",SUM(F55:H55))</f>
        <v>2107231.262</v>
      </c>
      <c r="J55" s="20" t="s">
        <v>21</v>
      </c>
      <c r="K55" s="21">
        <v>45881.0</v>
      </c>
      <c r="L55" s="21">
        <v>45881.0</v>
      </c>
      <c r="M55" s="22"/>
      <c r="N55" s="23"/>
      <c r="O55" s="14">
        <v>45870.0</v>
      </c>
    </row>
    <row r="56" ht="15.0" customHeight="1">
      <c r="A56" s="15" t="s">
        <v>24</v>
      </c>
      <c r="B56" s="27" t="s">
        <v>37</v>
      </c>
      <c r="C56" s="20" t="s">
        <v>37</v>
      </c>
      <c r="D56" s="30"/>
      <c r="E56" s="31"/>
      <c r="F56" s="32"/>
      <c r="G56" s="32"/>
      <c r="H56" s="32"/>
      <c r="I56" s="32"/>
      <c r="J56" s="32"/>
      <c r="K56" s="33"/>
      <c r="L56" s="33"/>
      <c r="M56" s="29"/>
      <c r="N56" s="23"/>
      <c r="O56" s="14">
        <v>45870.0</v>
      </c>
    </row>
    <row r="57" ht="15.0" customHeight="1">
      <c r="A57" s="15" t="s">
        <v>24</v>
      </c>
      <c r="B57" s="27" t="s">
        <v>39</v>
      </c>
      <c r="C57" s="20" t="s">
        <v>40</v>
      </c>
      <c r="D57" s="18"/>
      <c r="E57" s="19"/>
      <c r="F57" s="20"/>
      <c r="G57" s="20"/>
      <c r="H57" s="20"/>
      <c r="I57" s="20" t="s">
        <v>16</v>
      </c>
      <c r="J57" s="20"/>
      <c r="K57" s="21"/>
      <c r="L57" s="21"/>
      <c r="M57" s="22"/>
      <c r="N57" s="23"/>
      <c r="O57" s="14">
        <v>45870.0</v>
      </c>
    </row>
    <row r="58" ht="15.0" customHeight="1">
      <c r="A58" s="15" t="s">
        <v>24</v>
      </c>
      <c r="B58" s="27" t="s">
        <v>41</v>
      </c>
      <c r="C58" s="20" t="s">
        <v>42</v>
      </c>
      <c r="D58" s="30"/>
      <c r="E58" s="31"/>
      <c r="F58" s="32"/>
      <c r="G58" s="32"/>
      <c r="H58" s="32"/>
      <c r="I58" s="32"/>
      <c r="J58" s="32"/>
      <c r="K58" s="33"/>
      <c r="L58" s="33"/>
      <c r="M58" s="22"/>
      <c r="N58" s="23"/>
      <c r="O58" s="14">
        <v>45870.0</v>
      </c>
    </row>
    <row r="59" ht="15.0" customHeight="1">
      <c r="A59" s="42" t="s">
        <v>71</v>
      </c>
      <c r="B59" s="27" t="s">
        <v>34</v>
      </c>
      <c r="C59" s="20" t="s">
        <v>35</v>
      </c>
      <c r="D59" s="18" t="s">
        <v>72</v>
      </c>
      <c r="E59" s="19">
        <v>45870.0</v>
      </c>
      <c r="F59" s="20">
        <v>887700.0</v>
      </c>
      <c r="G59" s="20">
        <f t="shared" ref="G59:G60" si="4">F59*21%</f>
        <v>186417</v>
      </c>
      <c r="H59" s="20"/>
      <c r="I59" s="20">
        <f>IF(SUM(F59:H59)=0,"",SUM(F59:H59))</f>
        <v>1074117</v>
      </c>
      <c r="J59" s="24" t="s">
        <v>21</v>
      </c>
      <c r="K59" s="21">
        <v>45881.0</v>
      </c>
      <c r="L59" s="21">
        <v>45881.0</v>
      </c>
      <c r="M59" s="22"/>
      <c r="N59" s="26"/>
      <c r="O59" s="14">
        <v>45870.0</v>
      </c>
    </row>
    <row r="60" ht="15.0" customHeight="1">
      <c r="A60" s="15" t="s">
        <v>71</v>
      </c>
      <c r="B60" s="27" t="s">
        <v>37</v>
      </c>
      <c r="C60" s="20" t="s">
        <v>37</v>
      </c>
      <c r="D60" s="18" t="s">
        <v>58</v>
      </c>
      <c r="E60" s="19"/>
      <c r="F60" s="20"/>
      <c r="G60" s="20">
        <f t="shared" si="4"/>
        <v>0</v>
      </c>
      <c r="H60" s="20"/>
      <c r="I60" s="20">
        <v>104085.8</v>
      </c>
      <c r="J60" s="24" t="s">
        <v>38</v>
      </c>
      <c r="K60" s="21">
        <v>45875.0</v>
      </c>
      <c r="L60" s="21">
        <v>45873.0</v>
      </c>
      <c r="M60" s="25"/>
      <c r="N60" s="26"/>
      <c r="O60" s="14">
        <v>45870.0</v>
      </c>
    </row>
    <row r="61" ht="15.0" customHeight="1">
      <c r="A61" s="15" t="s">
        <v>71</v>
      </c>
      <c r="B61" s="27" t="s">
        <v>39</v>
      </c>
      <c r="C61" s="20" t="s">
        <v>40</v>
      </c>
      <c r="D61" s="18"/>
      <c r="E61" s="19"/>
      <c r="F61" s="20"/>
      <c r="G61" s="20"/>
      <c r="H61" s="20"/>
      <c r="I61" s="20" t="s">
        <v>16</v>
      </c>
      <c r="J61" s="24"/>
      <c r="K61" s="21"/>
      <c r="L61" s="21"/>
      <c r="M61" s="23"/>
      <c r="N61" s="23"/>
      <c r="O61" s="14">
        <v>45870.0</v>
      </c>
    </row>
    <row r="62" ht="15.0" customHeight="1">
      <c r="A62" s="15" t="s">
        <v>71</v>
      </c>
      <c r="B62" s="27" t="s">
        <v>41</v>
      </c>
      <c r="C62" s="20" t="s">
        <v>42</v>
      </c>
      <c r="D62" s="30"/>
      <c r="E62" s="31"/>
      <c r="F62" s="32"/>
      <c r="G62" s="32"/>
      <c r="H62" s="32"/>
      <c r="I62" s="32"/>
      <c r="J62" s="32"/>
      <c r="K62" s="33"/>
      <c r="L62" s="33"/>
      <c r="M62" s="25"/>
      <c r="N62" s="26"/>
      <c r="O62" s="14">
        <v>45870.0</v>
      </c>
    </row>
    <row r="63" ht="15.0" customHeight="1">
      <c r="A63" s="15" t="s">
        <v>22</v>
      </c>
      <c r="B63" s="16" t="s">
        <v>73</v>
      </c>
      <c r="C63" s="20" t="s">
        <v>74</v>
      </c>
      <c r="D63" s="20" t="s">
        <v>75</v>
      </c>
      <c r="E63" s="19">
        <v>45883.0</v>
      </c>
      <c r="F63" s="20">
        <v>62539.0</v>
      </c>
      <c r="G63" s="20">
        <v>13133.189999999999</v>
      </c>
      <c r="H63" s="20"/>
      <c r="I63" s="20">
        <v>75672.19</v>
      </c>
      <c r="J63" s="16" t="s">
        <v>21</v>
      </c>
      <c r="K63" s="21">
        <v>45891.0</v>
      </c>
      <c r="L63" s="21"/>
      <c r="M63" s="20"/>
      <c r="N63" s="20"/>
      <c r="O63" s="14"/>
    </row>
    <row r="64" ht="15.0" customHeight="1">
      <c r="A64" s="18"/>
      <c r="B64" s="16"/>
      <c r="C64" s="20"/>
      <c r="D64" s="20"/>
      <c r="E64" s="19"/>
      <c r="F64" s="20"/>
      <c r="G64" s="20"/>
      <c r="H64" s="20"/>
      <c r="I64" s="24"/>
      <c r="J64" s="24"/>
      <c r="K64" s="21"/>
      <c r="L64" s="21"/>
      <c r="M64" s="25"/>
      <c r="N64" s="26"/>
      <c r="O64" s="14"/>
    </row>
    <row r="65" ht="15.0" customHeight="1">
      <c r="A65" s="18"/>
      <c r="B65" s="27"/>
      <c r="C65" s="20"/>
      <c r="D65" s="20"/>
      <c r="E65" s="19"/>
      <c r="F65" s="20"/>
      <c r="G65" s="20"/>
      <c r="H65" s="20"/>
      <c r="I65" s="43"/>
      <c r="J65" s="24"/>
      <c r="K65" s="21"/>
      <c r="L65" s="21"/>
      <c r="M65" s="23"/>
      <c r="N65" s="23"/>
      <c r="O65" s="14"/>
    </row>
    <row r="66" ht="15.0" customHeight="1">
      <c r="A66" s="18"/>
      <c r="B66" s="27"/>
      <c r="C66" s="20"/>
      <c r="D66" s="20"/>
      <c r="E66" s="19"/>
      <c r="F66" s="20"/>
      <c r="G66" s="20"/>
      <c r="H66" s="20"/>
      <c r="I66" s="44"/>
      <c r="J66" s="24"/>
      <c r="K66" s="21"/>
      <c r="L66" s="21"/>
      <c r="M66" s="25"/>
      <c r="N66" s="28"/>
      <c r="O66" s="14"/>
    </row>
    <row r="67" ht="15.0" customHeight="1">
      <c r="A67" s="18"/>
      <c r="B67" s="27"/>
      <c r="C67" s="20"/>
      <c r="D67" s="20"/>
      <c r="E67" s="19"/>
      <c r="F67" s="20"/>
      <c r="G67" s="20"/>
      <c r="H67" s="20"/>
      <c r="I67" s="24"/>
      <c r="J67" s="24"/>
      <c r="K67" s="45"/>
      <c r="L67" s="45"/>
      <c r="M67" s="23"/>
      <c r="N67" s="23"/>
      <c r="O67" s="14"/>
    </row>
    <row r="68" ht="15.0" customHeight="1">
      <c r="A68" s="18"/>
      <c r="B68" s="27"/>
      <c r="C68" s="20"/>
      <c r="D68" s="20"/>
      <c r="E68" s="19"/>
      <c r="F68" s="20"/>
      <c r="G68" s="20"/>
      <c r="H68" s="20"/>
      <c r="I68" s="24"/>
      <c r="J68" s="24"/>
      <c r="K68" s="21"/>
      <c r="L68" s="21"/>
      <c r="M68" s="25"/>
      <c r="N68" s="28"/>
      <c r="O68" s="14"/>
    </row>
    <row r="69" ht="15.0" customHeight="1">
      <c r="A69" s="18"/>
      <c r="B69" s="27"/>
      <c r="C69" s="20"/>
      <c r="D69" s="20"/>
      <c r="E69" s="19"/>
      <c r="F69" s="20"/>
      <c r="G69" s="20"/>
      <c r="H69" s="20"/>
      <c r="I69" s="24"/>
      <c r="J69" s="24"/>
      <c r="K69" s="21"/>
      <c r="L69" s="21"/>
      <c r="M69" s="25"/>
      <c r="N69" s="28"/>
      <c r="O69" s="14"/>
    </row>
    <row r="70" ht="15.0" customHeight="1">
      <c r="A70" s="18"/>
      <c r="B70" s="27"/>
      <c r="C70" s="20"/>
      <c r="D70" s="20"/>
      <c r="E70" s="19"/>
      <c r="F70" s="20"/>
      <c r="G70" s="20"/>
      <c r="H70" s="20"/>
      <c r="I70" s="43"/>
      <c r="J70" s="24"/>
      <c r="K70" s="45"/>
      <c r="L70" s="45"/>
      <c r="M70" s="23"/>
      <c r="N70" s="23"/>
      <c r="O70" s="14"/>
    </row>
    <row r="71" ht="15.0" customHeight="1">
      <c r="A71" s="18"/>
      <c r="B71" s="27"/>
      <c r="C71" s="20"/>
      <c r="D71" s="20"/>
      <c r="E71" s="19"/>
      <c r="F71" s="20"/>
      <c r="G71" s="20"/>
      <c r="H71" s="20"/>
      <c r="I71" s="43"/>
      <c r="J71" s="24"/>
      <c r="K71" s="21"/>
      <c r="L71" s="21"/>
      <c r="M71" s="25"/>
      <c r="N71" s="28"/>
      <c r="O71" s="14"/>
    </row>
    <row r="72" ht="15.0" customHeight="1">
      <c r="A72" s="18"/>
      <c r="B72" s="27"/>
      <c r="C72" s="20"/>
      <c r="D72" s="20"/>
      <c r="E72" s="19"/>
      <c r="F72" s="20"/>
      <c r="G72" s="20"/>
      <c r="H72" s="20"/>
      <c r="I72" s="43"/>
      <c r="J72" s="24"/>
      <c r="K72" s="21"/>
      <c r="L72" s="21"/>
      <c r="M72" s="25"/>
      <c r="N72" s="28"/>
      <c r="O72" s="14"/>
    </row>
    <row r="73" ht="15.0" customHeight="1">
      <c r="A73" s="18"/>
      <c r="B73" s="27"/>
      <c r="C73" s="20"/>
      <c r="D73" s="20"/>
      <c r="E73" s="19"/>
      <c r="F73" s="20"/>
      <c r="G73" s="20"/>
      <c r="H73" s="20"/>
      <c r="I73" s="43"/>
      <c r="J73" s="20"/>
      <c r="K73" s="21"/>
      <c r="L73" s="21"/>
      <c r="M73" s="22"/>
      <c r="N73" s="23"/>
      <c r="O73" s="14"/>
    </row>
    <row r="74" ht="15.0" customHeight="1">
      <c r="A74" s="18"/>
      <c r="B74" s="27"/>
      <c r="C74" s="20"/>
      <c r="D74" s="20"/>
      <c r="E74" s="19"/>
      <c r="F74" s="20"/>
      <c r="G74" s="20"/>
      <c r="H74" s="20"/>
      <c r="I74" s="43"/>
      <c r="J74" s="20"/>
      <c r="K74" s="21"/>
      <c r="L74" s="21"/>
      <c r="M74" s="22"/>
      <c r="N74" s="23"/>
      <c r="O74" s="14"/>
    </row>
    <row r="75" ht="15.0" customHeight="1">
      <c r="A75" s="18"/>
      <c r="B75" s="27"/>
      <c r="C75" s="20"/>
      <c r="D75" s="20"/>
      <c r="E75" s="19"/>
      <c r="F75" s="20"/>
      <c r="G75" s="20"/>
      <c r="H75" s="20"/>
      <c r="I75" s="43"/>
      <c r="J75" s="20"/>
      <c r="K75" s="21"/>
      <c r="L75" s="21"/>
      <c r="M75" s="22"/>
      <c r="N75" s="23"/>
      <c r="O75" s="14"/>
    </row>
    <row r="76" ht="15.0" customHeight="1">
      <c r="A76" s="18"/>
      <c r="B76" s="27"/>
      <c r="C76" s="20"/>
      <c r="D76" s="20"/>
      <c r="E76" s="19"/>
      <c r="F76" s="20"/>
      <c r="G76" s="20"/>
      <c r="H76" s="20"/>
      <c r="I76" s="43"/>
      <c r="J76" s="20"/>
      <c r="K76" s="21"/>
      <c r="L76" s="21"/>
      <c r="M76" s="22"/>
      <c r="N76" s="23"/>
      <c r="O76" s="14"/>
    </row>
    <row r="77" ht="15.0" customHeight="1">
      <c r="A77" s="18"/>
      <c r="B77" s="27"/>
      <c r="C77" s="20"/>
      <c r="D77" s="20"/>
      <c r="E77" s="19"/>
      <c r="F77" s="20"/>
      <c r="G77" s="20"/>
      <c r="H77" s="20"/>
      <c r="I77" s="24"/>
      <c r="J77" s="20"/>
      <c r="K77" s="21"/>
      <c r="L77" s="21"/>
      <c r="M77" s="22"/>
      <c r="N77" s="23"/>
      <c r="O77" s="14"/>
    </row>
    <row r="78" ht="15.0" customHeight="1">
      <c r="A78" s="18"/>
      <c r="B78" s="27"/>
      <c r="C78" s="20"/>
      <c r="D78" s="20"/>
      <c r="E78" s="19"/>
      <c r="F78" s="20"/>
      <c r="G78" s="20"/>
      <c r="H78" s="20"/>
      <c r="I78" s="24"/>
      <c r="J78" s="20"/>
      <c r="K78" s="21"/>
      <c r="L78" s="21"/>
      <c r="M78" s="22"/>
      <c r="N78" s="23"/>
      <c r="O78" s="14"/>
    </row>
    <row r="79" ht="15.0" customHeight="1">
      <c r="A79" s="18"/>
      <c r="B79" s="27"/>
      <c r="C79" s="20"/>
      <c r="D79" s="20"/>
      <c r="E79" s="19"/>
      <c r="F79" s="20"/>
      <c r="G79" s="20"/>
      <c r="H79" s="20"/>
      <c r="I79" s="43"/>
      <c r="J79" s="20"/>
      <c r="K79" s="21"/>
      <c r="L79" s="21"/>
      <c r="M79" s="22"/>
      <c r="N79" s="23"/>
      <c r="O79" s="14"/>
    </row>
    <row r="80" ht="15.0" customHeight="1">
      <c r="A80" s="18"/>
      <c r="B80" s="27"/>
      <c r="C80" s="20"/>
      <c r="D80" s="20"/>
      <c r="E80" s="19"/>
      <c r="F80" s="20"/>
      <c r="G80" s="20"/>
      <c r="H80" s="20"/>
      <c r="I80" s="43"/>
      <c r="J80" s="24"/>
      <c r="K80" s="21"/>
      <c r="L80" s="21"/>
      <c r="M80" s="22"/>
      <c r="N80" s="23"/>
      <c r="O80" s="14"/>
    </row>
    <row r="81" ht="15.0" customHeight="1">
      <c r="A81" s="18"/>
      <c r="B81" s="27"/>
      <c r="C81" s="20"/>
      <c r="D81" s="20"/>
      <c r="E81" s="19"/>
      <c r="F81" s="20"/>
      <c r="G81" s="20"/>
      <c r="H81" s="20"/>
      <c r="I81" s="24"/>
      <c r="J81" s="20"/>
      <c r="K81" s="21"/>
      <c r="L81" s="21"/>
      <c r="M81" s="34"/>
      <c r="N81" s="23"/>
      <c r="O81" s="14"/>
    </row>
    <row r="82" ht="15.0" customHeight="1">
      <c r="A82" s="18"/>
      <c r="B82" s="27"/>
      <c r="C82" s="20"/>
      <c r="D82" s="20"/>
      <c r="E82" s="19"/>
      <c r="F82" s="20"/>
      <c r="G82" s="20"/>
      <c r="H82" s="20"/>
      <c r="I82" s="43"/>
      <c r="J82" s="20"/>
      <c r="K82" s="21"/>
      <c r="L82" s="21"/>
      <c r="M82" s="22"/>
      <c r="N82" s="18"/>
      <c r="O82" s="14"/>
    </row>
    <row r="83" ht="15.0" customHeight="1">
      <c r="A83" s="18"/>
      <c r="B83" s="27"/>
      <c r="C83" s="20"/>
      <c r="D83" s="20"/>
      <c r="E83" s="19"/>
      <c r="F83" s="20"/>
      <c r="G83" s="20"/>
      <c r="H83" s="20"/>
      <c r="I83" s="43"/>
      <c r="J83" s="24"/>
      <c r="K83" s="21"/>
      <c r="L83" s="21"/>
      <c r="M83" s="25"/>
      <c r="N83" s="26"/>
      <c r="O83" s="14"/>
    </row>
    <row r="84" ht="15.0" customHeight="1">
      <c r="A84" s="18"/>
      <c r="B84" s="27"/>
      <c r="C84" s="20"/>
      <c r="D84" s="20"/>
      <c r="E84" s="19"/>
      <c r="F84" s="20"/>
      <c r="G84" s="20"/>
      <c r="H84" s="20"/>
      <c r="I84" s="43"/>
      <c r="J84" s="24"/>
      <c r="K84" s="21"/>
      <c r="L84" s="21"/>
      <c r="M84" s="23"/>
      <c r="N84" s="23"/>
      <c r="O84" s="14"/>
    </row>
    <row r="85" ht="15.0" customHeight="1">
      <c r="A85" s="18"/>
      <c r="B85" s="27"/>
      <c r="C85" s="20"/>
      <c r="D85" s="20"/>
      <c r="E85" s="19"/>
      <c r="F85" s="20"/>
      <c r="G85" s="20"/>
      <c r="H85" s="20"/>
      <c r="I85" s="46"/>
      <c r="J85" s="24"/>
      <c r="K85" s="21"/>
      <c r="L85" s="21"/>
      <c r="M85" s="25"/>
      <c r="N85" s="26"/>
      <c r="O85" s="14"/>
    </row>
    <row r="86" ht="15.0" customHeight="1">
      <c r="A86" s="18"/>
      <c r="B86" s="27"/>
      <c r="C86" s="20"/>
      <c r="D86" s="20"/>
      <c r="E86" s="19"/>
      <c r="F86" s="20"/>
      <c r="G86" s="20"/>
      <c r="H86" s="20"/>
      <c r="I86" s="43"/>
      <c r="J86" s="24"/>
      <c r="K86" s="45"/>
      <c r="L86" s="21"/>
      <c r="M86" s="23"/>
      <c r="N86" s="23"/>
      <c r="O86" s="14"/>
    </row>
    <row r="87" ht="15.0" customHeight="1">
      <c r="A87" s="18"/>
      <c r="B87" s="27"/>
      <c r="C87" s="20"/>
      <c r="D87" s="20"/>
      <c r="E87" s="19"/>
      <c r="F87" s="20"/>
      <c r="G87" s="20"/>
      <c r="H87" s="20"/>
      <c r="I87" s="24"/>
      <c r="J87" s="24"/>
      <c r="K87" s="21"/>
      <c r="L87" s="21"/>
      <c r="M87" s="25"/>
      <c r="N87" s="26"/>
      <c r="O87" s="14"/>
    </row>
    <row r="88" ht="15.0" customHeight="1">
      <c r="A88" s="18"/>
      <c r="B88" s="27"/>
      <c r="C88" s="20"/>
      <c r="D88" s="20"/>
      <c r="E88" s="19"/>
      <c r="F88" s="20"/>
      <c r="G88" s="20"/>
      <c r="H88" s="20"/>
      <c r="I88" s="43"/>
      <c r="J88" s="24"/>
      <c r="K88" s="21"/>
      <c r="L88" s="21"/>
      <c r="M88" s="23"/>
      <c r="N88" s="23"/>
      <c r="O88" s="14"/>
    </row>
    <row r="89" ht="15.0" customHeight="1">
      <c r="A89" s="18"/>
      <c r="B89" s="27"/>
      <c r="C89" s="20"/>
      <c r="D89" s="20"/>
      <c r="E89" s="19"/>
      <c r="F89" s="20"/>
      <c r="G89" s="20"/>
      <c r="H89" s="20"/>
      <c r="I89" s="44"/>
      <c r="J89" s="24"/>
      <c r="K89" s="21"/>
      <c r="L89" s="21"/>
      <c r="M89" s="23"/>
      <c r="N89" s="23"/>
      <c r="O89" s="14"/>
    </row>
    <row r="90" ht="15.0" customHeight="1">
      <c r="A90" s="18"/>
      <c r="B90" s="27"/>
      <c r="C90" s="40"/>
      <c r="D90" s="20"/>
      <c r="E90" s="19"/>
      <c r="F90" s="20"/>
      <c r="G90" s="20"/>
      <c r="H90" s="20"/>
      <c r="I90" s="44"/>
      <c r="J90" s="24"/>
      <c r="K90" s="21"/>
      <c r="L90" s="21"/>
      <c r="M90" s="25"/>
      <c r="N90" s="26"/>
      <c r="O90" s="14"/>
    </row>
    <row r="91" ht="15.0" customHeight="1">
      <c r="A91" s="18"/>
      <c r="B91" s="27"/>
      <c r="C91" s="40"/>
      <c r="D91" s="20"/>
      <c r="E91" s="19"/>
      <c r="F91" s="20"/>
      <c r="G91" s="20"/>
      <c r="H91" s="20"/>
      <c r="I91" s="43"/>
      <c r="J91" s="24"/>
      <c r="K91" s="21"/>
      <c r="L91" s="21"/>
      <c r="M91" s="23"/>
      <c r="N91" s="23"/>
      <c r="O91" s="14"/>
    </row>
    <row r="92" ht="15.0" customHeight="1">
      <c r="A92" s="18"/>
      <c r="B92" s="27"/>
      <c r="C92" s="40"/>
      <c r="D92" s="20"/>
      <c r="E92" s="19"/>
      <c r="F92" s="20"/>
      <c r="G92" s="20"/>
      <c r="H92" s="20"/>
      <c r="I92" s="44"/>
      <c r="J92" s="24"/>
      <c r="K92" s="21"/>
      <c r="L92" s="21"/>
      <c r="M92" s="25"/>
      <c r="N92" s="26"/>
      <c r="O92" s="14"/>
    </row>
    <row r="93" ht="15.0" customHeight="1">
      <c r="A93" s="18"/>
      <c r="B93" s="27"/>
      <c r="C93" s="40"/>
      <c r="D93" s="20"/>
      <c r="E93" s="19"/>
      <c r="F93" s="20"/>
      <c r="G93" s="20"/>
      <c r="H93" s="20"/>
      <c r="I93" s="43"/>
      <c r="J93" s="24"/>
      <c r="K93" s="21"/>
      <c r="L93" s="21"/>
      <c r="M93" s="23"/>
      <c r="N93" s="23"/>
      <c r="O93" s="14"/>
    </row>
    <row r="94" ht="15.0" customHeight="1">
      <c r="A94" s="18"/>
      <c r="B94" s="27"/>
      <c r="C94" s="40"/>
      <c r="D94" s="20"/>
      <c r="E94" s="19"/>
      <c r="F94" s="20"/>
      <c r="G94" s="20"/>
      <c r="H94" s="20"/>
      <c r="I94" s="43"/>
      <c r="J94" s="20"/>
      <c r="K94" s="21"/>
      <c r="L94" s="21"/>
      <c r="M94" s="22"/>
      <c r="N94" s="23"/>
      <c r="O94" s="14"/>
    </row>
    <row r="95" ht="15.0" customHeight="1">
      <c r="A95" s="18"/>
      <c r="B95" s="27"/>
      <c r="C95" s="40"/>
      <c r="D95" s="20"/>
      <c r="E95" s="19"/>
      <c r="F95" s="20"/>
      <c r="G95" s="20"/>
      <c r="H95" s="20"/>
      <c r="I95" s="43"/>
      <c r="J95" s="20"/>
      <c r="K95" s="21"/>
      <c r="L95" s="21"/>
      <c r="M95" s="22"/>
      <c r="N95" s="23"/>
      <c r="O95" s="14"/>
    </row>
    <row r="96" ht="15.0" customHeight="1">
      <c r="A96" s="18"/>
      <c r="B96" s="27"/>
      <c r="C96" s="40"/>
      <c r="D96" s="20"/>
      <c r="E96" s="19"/>
      <c r="F96" s="20"/>
      <c r="G96" s="20"/>
      <c r="H96" s="20"/>
      <c r="I96" s="43"/>
      <c r="J96" s="20"/>
      <c r="K96" s="21"/>
      <c r="L96" s="21"/>
      <c r="M96" s="29"/>
      <c r="N96" s="23"/>
      <c r="O96" s="14"/>
    </row>
    <row r="97" ht="15.0" customHeight="1">
      <c r="A97" s="18"/>
      <c r="B97" s="27"/>
      <c r="C97" s="40"/>
      <c r="D97" s="20"/>
      <c r="E97" s="19"/>
      <c r="F97" s="20"/>
      <c r="G97" s="20"/>
      <c r="H97" s="20"/>
      <c r="I97" s="44"/>
      <c r="J97" s="24"/>
      <c r="K97" s="21"/>
      <c r="L97" s="21"/>
      <c r="M97" s="25"/>
      <c r="N97" s="26"/>
      <c r="O97" s="14"/>
    </row>
    <row r="98" ht="15.0" customHeight="1">
      <c r="A98" s="18"/>
      <c r="B98" s="27"/>
      <c r="C98" s="40"/>
      <c r="D98" s="20"/>
      <c r="E98" s="19"/>
      <c r="F98" s="20"/>
      <c r="G98" s="20"/>
      <c r="H98" s="20"/>
      <c r="I98" s="43"/>
      <c r="J98" s="24"/>
      <c r="K98" s="21"/>
      <c r="L98" s="21"/>
      <c r="M98" s="23"/>
      <c r="N98" s="23"/>
      <c r="O98" s="14"/>
    </row>
    <row r="99" ht="15.0" customHeight="1">
      <c r="A99" s="18"/>
      <c r="B99" s="27"/>
      <c r="C99" s="40"/>
      <c r="D99" s="20"/>
      <c r="E99" s="19"/>
      <c r="F99" s="20"/>
      <c r="G99" s="20"/>
      <c r="H99" s="20"/>
      <c r="I99" s="43"/>
      <c r="J99" s="24"/>
      <c r="K99" s="21"/>
      <c r="L99" s="21"/>
      <c r="M99" s="25"/>
      <c r="N99" s="26"/>
      <c r="O99" s="14"/>
    </row>
    <row r="100" ht="15.0" customHeight="1">
      <c r="A100" s="18"/>
      <c r="B100" s="27"/>
      <c r="C100" s="20"/>
      <c r="D100" s="20"/>
      <c r="E100" s="19"/>
      <c r="F100" s="20"/>
      <c r="G100" s="20"/>
      <c r="H100" s="20"/>
      <c r="I100" s="43"/>
      <c r="J100" s="24"/>
      <c r="K100" s="21"/>
      <c r="L100" s="21"/>
      <c r="M100" s="25"/>
      <c r="N100" s="26"/>
      <c r="O100" s="14"/>
    </row>
    <row r="101" ht="15.0" customHeight="1">
      <c r="A101" s="18"/>
      <c r="B101" s="27"/>
      <c r="C101" s="20"/>
      <c r="D101" s="20"/>
      <c r="E101" s="19"/>
      <c r="F101" s="20"/>
      <c r="G101" s="20"/>
      <c r="H101" s="20"/>
      <c r="I101" s="43"/>
      <c r="J101" s="20"/>
      <c r="K101" s="21"/>
      <c r="L101" s="21"/>
      <c r="M101" s="29"/>
      <c r="N101" s="23"/>
      <c r="O101" s="14"/>
    </row>
    <row r="102" ht="15.0" customHeight="1">
      <c r="A102" s="18"/>
      <c r="B102" s="27"/>
      <c r="C102" s="20"/>
      <c r="D102" s="20"/>
      <c r="E102" s="19"/>
      <c r="F102" s="20"/>
      <c r="G102" s="20"/>
      <c r="H102" s="20"/>
      <c r="I102" s="43"/>
      <c r="J102" s="20"/>
      <c r="K102" s="21"/>
      <c r="L102" s="21"/>
      <c r="M102" s="22"/>
      <c r="N102" s="23"/>
      <c r="O102" s="14"/>
    </row>
    <row r="103" ht="15.0" customHeight="1">
      <c r="A103" s="18"/>
      <c r="B103" s="16"/>
      <c r="C103" s="20"/>
      <c r="D103" s="20"/>
      <c r="E103" s="19"/>
      <c r="F103" s="20"/>
      <c r="G103" s="20"/>
      <c r="H103" s="20"/>
      <c r="I103" s="43"/>
      <c r="J103" s="20"/>
      <c r="K103" s="21"/>
      <c r="L103" s="21"/>
      <c r="M103" s="22"/>
      <c r="N103" s="23"/>
      <c r="O103" s="14"/>
    </row>
    <row r="104" ht="15.0" customHeight="1">
      <c r="A104" s="18"/>
      <c r="B104" s="27"/>
      <c r="C104" s="20"/>
      <c r="D104" s="20"/>
      <c r="E104" s="19"/>
      <c r="F104" s="20"/>
      <c r="G104" s="20"/>
      <c r="H104" s="20"/>
      <c r="I104" s="43"/>
      <c r="J104" s="24"/>
      <c r="K104" s="21"/>
      <c r="L104" s="21"/>
      <c r="M104" s="22"/>
      <c r="N104" s="23"/>
      <c r="O104" s="14"/>
    </row>
    <row r="105" ht="15.0" customHeight="1">
      <c r="A105" s="18"/>
      <c r="B105" s="27"/>
      <c r="C105" s="20"/>
      <c r="D105" s="18"/>
      <c r="E105" s="19"/>
      <c r="F105" s="20"/>
      <c r="G105" s="20"/>
      <c r="H105" s="20"/>
      <c r="I105" s="24"/>
      <c r="J105" s="20"/>
      <c r="K105" s="21"/>
      <c r="L105" s="21"/>
      <c r="M105" s="18"/>
      <c r="N105" s="23"/>
      <c r="O105" s="14"/>
    </row>
    <row r="106" ht="15.0" customHeight="1">
      <c r="A106" s="18"/>
      <c r="B106" s="27"/>
      <c r="C106" s="20"/>
      <c r="D106" s="18"/>
      <c r="E106" s="19"/>
      <c r="F106" s="20"/>
      <c r="G106" s="20"/>
      <c r="H106" s="20"/>
      <c r="I106" s="24"/>
      <c r="J106" s="20"/>
      <c r="K106" s="21"/>
      <c r="L106" s="21"/>
      <c r="M106" s="29"/>
      <c r="N106" s="23"/>
      <c r="O106" s="14"/>
    </row>
    <row r="107" ht="15.0" customHeight="1">
      <c r="A107" s="18"/>
      <c r="B107" s="16"/>
      <c r="C107" s="20"/>
      <c r="D107" s="18"/>
      <c r="E107" s="19"/>
      <c r="F107" s="20"/>
      <c r="G107" s="20"/>
      <c r="H107" s="20"/>
      <c r="I107" s="24"/>
      <c r="J107" s="20"/>
      <c r="K107" s="21"/>
      <c r="L107" s="21"/>
      <c r="M107" s="22"/>
      <c r="N107" s="23"/>
      <c r="O107" s="14"/>
    </row>
    <row r="108" ht="15.0" customHeight="1">
      <c r="A108" s="18"/>
      <c r="B108" s="27"/>
      <c r="C108" s="20"/>
      <c r="D108" s="20"/>
      <c r="E108" s="19"/>
      <c r="F108" s="20"/>
      <c r="G108" s="20"/>
      <c r="H108" s="20"/>
      <c r="I108" s="43"/>
      <c r="J108" s="20"/>
      <c r="K108" s="21"/>
      <c r="L108" s="21"/>
      <c r="M108" s="20"/>
      <c r="N108" s="23"/>
      <c r="O108" s="14"/>
    </row>
    <row r="109" ht="15.0" customHeight="1">
      <c r="A109" s="18"/>
      <c r="B109" s="27"/>
      <c r="C109" s="20"/>
      <c r="D109" s="20"/>
      <c r="E109" s="19"/>
      <c r="F109" s="20"/>
      <c r="G109" s="20"/>
      <c r="H109" s="20"/>
      <c r="I109" s="43"/>
      <c r="J109" s="24"/>
      <c r="K109" s="21"/>
      <c r="L109" s="21"/>
      <c r="M109" s="25"/>
      <c r="N109" s="26"/>
      <c r="O109" s="14"/>
    </row>
    <row r="110" ht="15.0" customHeight="1">
      <c r="A110" s="18"/>
      <c r="B110" s="27"/>
      <c r="C110" s="20"/>
      <c r="D110" s="20"/>
      <c r="E110" s="19"/>
      <c r="F110" s="20"/>
      <c r="G110" s="20"/>
      <c r="H110" s="20"/>
      <c r="I110" s="24"/>
      <c r="J110" s="24"/>
      <c r="K110" s="21"/>
      <c r="L110" s="21"/>
      <c r="M110" s="17"/>
      <c r="N110" s="23"/>
      <c r="O110" s="14"/>
    </row>
    <row r="111" ht="15.0" customHeight="1">
      <c r="A111" s="18"/>
      <c r="B111" s="27"/>
      <c r="C111" s="20"/>
      <c r="D111" s="20"/>
      <c r="E111" s="19"/>
      <c r="F111" s="20"/>
      <c r="G111" s="20"/>
      <c r="H111" s="20"/>
      <c r="I111" s="43"/>
      <c r="J111" s="24"/>
      <c r="K111" s="21"/>
      <c r="L111" s="21"/>
      <c r="M111" s="25"/>
      <c r="N111" s="26"/>
      <c r="O111" s="14"/>
    </row>
    <row r="112" ht="15.0" customHeight="1">
      <c r="A112" s="18"/>
      <c r="B112" s="27"/>
      <c r="C112" s="20"/>
      <c r="D112" s="20"/>
      <c r="E112" s="19"/>
      <c r="F112" s="20"/>
      <c r="G112" s="20"/>
      <c r="H112" s="20"/>
      <c r="I112" s="43"/>
      <c r="J112" s="20"/>
      <c r="K112" s="21"/>
      <c r="L112" s="21"/>
      <c r="M112" s="22"/>
      <c r="N112" s="23"/>
      <c r="O112" s="14"/>
    </row>
    <row r="113" ht="15.0" customHeight="1">
      <c r="A113" s="18"/>
      <c r="B113" s="27"/>
      <c r="C113" s="20"/>
      <c r="D113" s="20"/>
      <c r="E113" s="19"/>
      <c r="F113" s="20"/>
      <c r="G113" s="20"/>
      <c r="H113" s="20"/>
      <c r="I113" s="43"/>
      <c r="J113" s="20"/>
      <c r="K113" s="21"/>
      <c r="L113" s="21"/>
      <c r="M113" s="22"/>
      <c r="N113" s="23"/>
      <c r="O113" s="14"/>
    </row>
    <row r="114" ht="15.0" customHeight="1">
      <c r="A114" s="18"/>
      <c r="B114" s="27"/>
      <c r="C114" s="20"/>
      <c r="D114" s="20"/>
      <c r="E114" s="19"/>
      <c r="F114" s="20"/>
      <c r="G114" s="20"/>
      <c r="H114" s="20"/>
      <c r="I114" s="43"/>
      <c r="J114" s="20"/>
      <c r="K114" s="21"/>
      <c r="L114" s="21"/>
      <c r="M114" s="22"/>
      <c r="N114" s="23"/>
      <c r="O114" s="14"/>
    </row>
    <row r="115" ht="15.0" customHeight="1">
      <c r="A115" s="18"/>
      <c r="B115" s="27"/>
      <c r="C115" s="20"/>
      <c r="D115" s="20"/>
      <c r="E115" s="19"/>
      <c r="F115" s="20"/>
      <c r="G115" s="20"/>
      <c r="H115" s="20"/>
      <c r="I115" s="43"/>
      <c r="J115" s="24"/>
      <c r="K115" s="21"/>
      <c r="L115" s="21"/>
      <c r="M115" s="22"/>
      <c r="N115" s="23"/>
      <c r="O115" s="14"/>
    </row>
    <row r="116" ht="15.0" customHeight="1">
      <c r="A116" s="18"/>
      <c r="B116" s="27"/>
      <c r="C116" s="20"/>
      <c r="D116" s="20"/>
      <c r="E116" s="19"/>
      <c r="F116" s="20"/>
      <c r="G116" s="20"/>
      <c r="H116" s="20"/>
      <c r="I116" s="24"/>
      <c r="J116" s="20"/>
      <c r="K116" s="21"/>
      <c r="L116" s="21"/>
      <c r="M116" s="34"/>
      <c r="N116" s="23"/>
      <c r="O116" s="14"/>
    </row>
    <row r="117" ht="15.0" customHeight="1">
      <c r="A117" s="18"/>
      <c r="B117" s="27"/>
      <c r="C117" s="20"/>
      <c r="D117" s="20"/>
      <c r="E117" s="19"/>
      <c r="F117" s="20"/>
      <c r="G117" s="20"/>
      <c r="H117" s="20"/>
      <c r="I117" s="43"/>
      <c r="J117" s="20"/>
      <c r="K117" s="21"/>
      <c r="L117" s="21"/>
      <c r="M117" s="20"/>
      <c r="N117" s="23"/>
      <c r="O117" s="14"/>
    </row>
    <row r="118" ht="15.0" customHeight="1">
      <c r="A118" s="18"/>
      <c r="B118" s="27"/>
      <c r="C118" s="20"/>
      <c r="D118" s="20"/>
      <c r="E118" s="19"/>
      <c r="F118" s="20"/>
      <c r="G118" s="20"/>
      <c r="H118" s="20"/>
      <c r="I118" s="43"/>
      <c r="J118" s="24"/>
      <c r="K118" s="21"/>
      <c r="L118" s="21"/>
      <c r="M118" s="29"/>
      <c r="N118" s="26"/>
      <c r="O118" s="14"/>
    </row>
    <row r="119" ht="15.0" customHeight="1">
      <c r="A119" s="18"/>
      <c r="B119" s="27"/>
      <c r="C119" s="20"/>
      <c r="D119" s="20"/>
      <c r="E119" s="19"/>
      <c r="F119" s="20"/>
      <c r="G119" s="20"/>
      <c r="H119" s="20"/>
      <c r="I119" s="43"/>
      <c r="J119" s="24"/>
      <c r="K119" s="21"/>
      <c r="L119" s="21"/>
      <c r="M119" s="25"/>
      <c r="N119" s="26"/>
      <c r="O119" s="14"/>
    </row>
    <row r="120" ht="15.0" customHeight="1">
      <c r="A120" s="18"/>
      <c r="B120" s="27"/>
      <c r="C120" s="20"/>
      <c r="D120" s="20"/>
      <c r="E120" s="19"/>
      <c r="F120" s="20"/>
      <c r="G120" s="20"/>
      <c r="H120" s="20"/>
      <c r="I120" s="44"/>
      <c r="J120" s="24"/>
      <c r="K120" s="21"/>
      <c r="L120" s="21"/>
      <c r="M120" s="25"/>
      <c r="N120" s="28"/>
      <c r="O120" s="14"/>
    </row>
    <row r="121" ht="15.0" customHeight="1">
      <c r="A121" s="18"/>
      <c r="B121" s="27"/>
      <c r="C121" s="20"/>
      <c r="D121" s="20"/>
      <c r="E121" s="19"/>
      <c r="F121" s="20"/>
      <c r="G121" s="20"/>
      <c r="H121" s="20"/>
      <c r="I121" s="24"/>
      <c r="J121" s="24"/>
      <c r="K121" s="21"/>
      <c r="L121" s="21"/>
      <c r="M121" s="23"/>
      <c r="N121" s="23"/>
      <c r="O121" s="14"/>
    </row>
    <row r="122" ht="15.0" customHeight="1">
      <c r="A122" s="18"/>
      <c r="B122" s="27"/>
      <c r="C122" s="20"/>
      <c r="D122" s="20"/>
      <c r="E122" s="19"/>
      <c r="F122" s="20"/>
      <c r="G122" s="20"/>
      <c r="H122" s="20"/>
      <c r="I122" s="24"/>
      <c r="J122" s="24"/>
      <c r="K122" s="21"/>
      <c r="L122" s="21"/>
      <c r="M122" s="17"/>
      <c r="N122" s="23"/>
      <c r="O122" s="14"/>
    </row>
    <row r="123" ht="15.0" customHeight="1">
      <c r="A123" s="18"/>
      <c r="B123" s="27"/>
      <c r="C123" s="20"/>
      <c r="D123" s="20"/>
      <c r="E123" s="19"/>
      <c r="F123" s="20"/>
      <c r="G123" s="20"/>
      <c r="H123" s="20"/>
      <c r="I123" s="43"/>
      <c r="J123" s="24"/>
      <c r="K123" s="21"/>
      <c r="L123" s="21"/>
      <c r="M123" s="25"/>
      <c r="N123" s="26"/>
      <c r="O123" s="14"/>
    </row>
    <row r="124" ht="15.0" customHeight="1">
      <c r="A124" s="18"/>
      <c r="B124" s="27"/>
      <c r="C124" s="20"/>
      <c r="D124" s="20"/>
      <c r="E124" s="19"/>
      <c r="F124" s="20"/>
      <c r="G124" s="20"/>
      <c r="H124" s="20"/>
      <c r="I124" s="43"/>
      <c r="J124" s="20"/>
      <c r="K124" s="21"/>
      <c r="L124" s="21"/>
      <c r="M124" s="29"/>
      <c r="N124" s="23"/>
      <c r="O124" s="14"/>
    </row>
    <row r="125" ht="15.0" customHeight="1">
      <c r="A125" s="18"/>
      <c r="B125" s="27"/>
      <c r="C125" s="20"/>
      <c r="D125" s="20"/>
      <c r="E125" s="19"/>
      <c r="F125" s="20"/>
      <c r="G125" s="20"/>
      <c r="H125" s="20"/>
      <c r="I125" s="43"/>
      <c r="J125" s="24"/>
      <c r="K125" s="21"/>
      <c r="L125" s="21"/>
      <c r="M125" s="22"/>
      <c r="N125" s="23"/>
      <c r="O125" s="14"/>
    </row>
    <row r="126" ht="15.0" customHeight="1">
      <c r="A126" s="18"/>
      <c r="B126" s="27"/>
      <c r="C126" s="20"/>
      <c r="D126" s="20"/>
      <c r="E126" s="19"/>
      <c r="F126" s="20"/>
      <c r="G126" s="20"/>
      <c r="H126" s="20"/>
      <c r="I126" s="43"/>
      <c r="J126" s="20"/>
      <c r="K126" s="21"/>
      <c r="L126" s="21"/>
      <c r="M126" s="22"/>
      <c r="N126" s="23"/>
      <c r="O126" s="14"/>
    </row>
    <row r="127" ht="15.0" customHeight="1">
      <c r="A127" s="18"/>
      <c r="B127" s="27"/>
      <c r="C127" s="20"/>
      <c r="D127" s="20"/>
      <c r="E127" s="19"/>
      <c r="F127" s="20"/>
      <c r="G127" s="20"/>
      <c r="H127" s="20"/>
      <c r="I127" s="24"/>
      <c r="J127" s="20"/>
      <c r="K127" s="21"/>
      <c r="L127" s="21"/>
      <c r="M127" s="22"/>
      <c r="N127" s="23"/>
      <c r="O127" s="14"/>
    </row>
    <row r="128" ht="15.0" customHeight="1">
      <c r="A128" s="18"/>
      <c r="B128" s="27"/>
      <c r="C128" s="20"/>
      <c r="D128" s="20"/>
      <c r="E128" s="19"/>
      <c r="F128" s="20"/>
      <c r="G128" s="20"/>
      <c r="H128" s="20"/>
      <c r="I128" s="24"/>
      <c r="J128" s="20"/>
      <c r="K128" s="21"/>
      <c r="L128" s="21"/>
      <c r="M128" s="34"/>
      <c r="N128" s="23"/>
      <c r="O128" s="14"/>
    </row>
    <row r="129" ht="15.0" customHeight="1">
      <c r="A129" s="18"/>
      <c r="B129" s="27"/>
      <c r="C129" s="20"/>
      <c r="D129" s="20"/>
      <c r="E129" s="19"/>
      <c r="F129" s="20"/>
      <c r="G129" s="20"/>
      <c r="H129" s="20"/>
      <c r="I129" s="24"/>
      <c r="J129" s="24"/>
      <c r="K129" s="21"/>
      <c r="L129" s="21"/>
      <c r="M129" s="25"/>
      <c r="N129" s="26"/>
      <c r="O129" s="14"/>
    </row>
    <row r="130" ht="15.0" customHeight="1">
      <c r="A130" s="18"/>
      <c r="B130" s="27"/>
      <c r="C130" s="20"/>
      <c r="D130" s="20"/>
      <c r="E130" s="19"/>
      <c r="F130" s="20"/>
      <c r="G130" s="20"/>
      <c r="H130" s="20"/>
      <c r="I130" s="43"/>
      <c r="J130" s="24"/>
      <c r="K130" s="21"/>
      <c r="L130" s="21"/>
      <c r="M130" s="25"/>
      <c r="N130" s="26"/>
      <c r="O130" s="14"/>
    </row>
    <row r="131" ht="15.0" customHeight="1">
      <c r="A131" s="18"/>
      <c r="B131" s="27"/>
      <c r="C131" s="20"/>
      <c r="D131" s="20"/>
      <c r="E131" s="19"/>
      <c r="F131" s="20"/>
      <c r="G131" s="20"/>
      <c r="H131" s="20"/>
      <c r="I131" s="44"/>
      <c r="J131" s="24"/>
      <c r="K131" s="21"/>
      <c r="L131" s="21"/>
      <c r="M131" s="22"/>
      <c r="N131" s="26"/>
      <c r="O131" s="14"/>
    </row>
    <row r="132" ht="15.0" customHeight="1">
      <c r="A132" s="18"/>
      <c r="B132" s="27"/>
      <c r="C132" s="20"/>
      <c r="D132" s="20"/>
      <c r="E132" s="19"/>
      <c r="F132" s="20"/>
      <c r="G132" s="20"/>
      <c r="H132" s="20"/>
      <c r="I132" s="24"/>
      <c r="J132" s="24"/>
      <c r="K132" s="21"/>
      <c r="L132" s="21"/>
      <c r="M132" s="23"/>
      <c r="N132" s="23"/>
      <c r="O132" s="14"/>
    </row>
    <row r="133" ht="15.0" customHeight="1">
      <c r="A133" s="18"/>
      <c r="B133" s="27"/>
      <c r="C133" s="20"/>
      <c r="D133" s="20"/>
      <c r="E133" s="19"/>
      <c r="F133" s="20"/>
      <c r="G133" s="20"/>
      <c r="H133" s="20"/>
      <c r="I133" s="43"/>
      <c r="J133" s="20"/>
      <c r="K133" s="21"/>
      <c r="L133" s="21"/>
      <c r="M133" s="34"/>
      <c r="N133" s="23"/>
      <c r="O133" s="14"/>
    </row>
    <row r="134" ht="15.0" customHeight="1">
      <c r="A134" s="18"/>
      <c r="B134" s="27"/>
      <c r="C134" s="20"/>
      <c r="D134" s="20"/>
      <c r="E134" s="19"/>
      <c r="F134" s="20"/>
      <c r="G134" s="20"/>
      <c r="H134" s="20"/>
      <c r="I134" s="43"/>
      <c r="J134" s="20"/>
      <c r="K134" s="21"/>
      <c r="L134" s="21"/>
      <c r="M134" s="22"/>
      <c r="N134" s="23"/>
      <c r="O134" s="14"/>
    </row>
    <row r="135" ht="15.0" customHeight="1">
      <c r="A135" s="18"/>
      <c r="B135" s="27"/>
      <c r="C135" s="20"/>
      <c r="D135" s="20"/>
      <c r="E135" s="19"/>
      <c r="F135" s="20"/>
      <c r="G135" s="20"/>
      <c r="H135" s="20"/>
      <c r="I135" s="43"/>
      <c r="J135" s="24"/>
      <c r="K135" s="21"/>
      <c r="L135" s="21"/>
      <c r="M135" s="22"/>
      <c r="N135" s="23"/>
      <c r="O135" s="14"/>
    </row>
    <row r="136" ht="15.0" customHeight="1">
      <c r="A136" s="18"/>
      <c r="B136" s="27"/>
      <c r="C136" s="20"/>
      <c r="D136" s="20"/>
      <c r="E136" s="19"/>
      <c r="F136" s="20"/>
      <c r="G136" s="20"/>
      <c r="H136" s="20"/>
      <c r="I136" s="24"/>
      <c r="J136" s="20"/>
      <c r="K136" s="21"/>
      <c r="L136" s="21"/>
      <c r="M136" s="34"/>
      <c r="N136" s="23"/>
      <c r="O136" s="14"/>
    </row>
    <row r="137" ht="15.0" customHeight="1">
      <c r="A137" s="18"/>
      <c r="B137" s="27"/>
      <c r="C137" s="20"/>
      <c r="D137" s="20"/>
      <c r="E137" s="19"/>
      <c r="F137" s="20"/>
      <c r="G137" s="20"/>
      <c r="H137" s="20"/>
      <c r="I137" s="43"/>
      <c r="J137" s="20"/>
      <c r="K137" s="21"/>
      <c r="L137" s="21"/>
      <c r="M137" s="29"/>
      <c r="N137" s="23"/>
      <c r="O137" s="14"/>
    </row>
    <row r="138" ht="15.0" customHeight="1">
      <c r="A138" s="18"/>
      <c r="B138" s="27"/>
      <c r="C138" s="20"/>
      <c r="D138" s="18"/>
      <c r="E138" s="19"/>
      <c r="F138" s="20"/>
      <c r="G138" s="20"/>
      <c r="H138" s="20"/>
      <c r="I138" s="24"/>
      <c r="J138" s="24"/>
      <c r="K138" s="21"/>
      <c r="L138" s="21"/>
      <c r="M138" s="18"/>
      <c r="N138" s="26"/>
      <c r="O138" s="14"/>
    </row>
    <row r="139" ht="15.0" customHeight="1">
      <c r="A139" s="18"/>
      <c r="B139" s="27"/>
      <c r="C139" s="20"/>
      <c r="D139" s="20"/>
      <c r="E139" s="19"/>
      <c r="F139" s="20"/>
      <c r="G139" s="20"/>
      <c r="H139" s="20"/>
      <c r="I139" s="20"/>
      <c r="J139" s="24"/>
      <c r="K139" s="21"/>
      <c r="L139" s="21"/>
      <c r="M139" s="18"/>
      <c r="N139" s="23"/>
      <c r="O139" s="14"/>
    </row>
    <row r="140" ht="15.0" customHeight="1">
      <c r="A140" s="18"/>
      <c r="B140" s="27"/>
      <c r="C140" s="20"/>
      <c r="D140" s="20"/>
      <c r="E140" s="19"/>
      <c r="F140" s="20"/>
      <c r="G140" s="20"/>
      <c r="H140" s="20"/>
      <c r="I140" s="43"/>
      <c r="J140" s="24"/>
      <c r="K140" s="21"/>
      <c r="L140" s="21"/>
      <c r="M140" s="29"/>
      <c r="N140" s="26"/>
      <c r="O140" s="14"/>
    </row>
    <row r="141" ht="15.0" customHeight="1">
      <c r="A141" s="18"/>
      <c r="B141" s="27"/>
      <c r="C141" s="20"/>
      <c r="D141" s="20"/>
      <c r="E141" s="19"/>
      <c r="F141" s="20"/>
      <c r="G141" s="20"/>
      <c r="H141" s="20"/>
      <c r="I141" s="24"/>
      <c r="J141" s="24"/>
      <c r="K141" s="21"/>
      <c r="L141" s="21"/>
      <c r="M141" s="23"/>
      <c r="N141" s="23"/>
      <c r="O141" s="14"/>
    </row>
    <row r="142" ht="15.0" customHeight="1">
      <c r="A142" s="18"/>
      <c r="B142" s="27"/>
      <c r="C142" s="20"/>
      <c r="D142" s="18"/>
      <c r="E142" s="19"/>
      <c r="F142" s="20"/>
      <c r="G142" s="20"/>
      <c r="H142" s="20"/>
      <c r="I142" s="24"/>
      <c r="J142" s="24"/>
      <c r="K142" s="21"/>
      <c r="L142" s="21"/>
      <c r="M142" s="20"/>
      <c r="N142" s="26"/>
      <c r="O142" s="14"/>
    </row>
    <row r="143" ht="15.0" customHeight="1">
      <c r="A143" s="18"/>
      <c r="B143" s="27"/>
      <c r="C143" s="20"/>
      <c r="D143" s="20"/>
      <c r="E143" s="19"/>
      <c r="F143" s="20"/>
      <c r="G143" s="20"/>
      <c r="H143" s="20"/>
      <c r="I143" s="43"/>
      <c r="J143" s="24"/>
      <c r="K143" s="21"/>
      <c r="L143" s="21"/>
      <c r="M143" s="18"/>
      <c r="N143" s="23"/>
      <c r="O143" s="14"/>
    </row>
    <row r="144" ht="15.0" customHeight="1">
      <c r="A144" s="18"/>
      <c r="B144" s="27"/>
      <c r="C144" s="20"/>
      <c r="D144" s="20"/>
      <c r="E144" s="19"/>
      <c r="F144" s="20"/>
      <c r="G144" s="20"/>
      <c r="H144" s="20"/>
      <c r="I144" s="24"/>
      <c r="J144" s="24"/>
      <c r="K144" s="21"/>
      <c r="L144" s="21"/>
      <c r="M144" s="29"/>
      <c r="N144" s="26"/>
      <c r="O144" s="14"/>
    </row>
    <row r="145" ht="15.0" customHeight="1">
      <c r="A145" s="18"/>
      <c r="B145" s="27"/>
      <c r="C145" s="20"/>
      <c r="D145" s="20"/>
      <c r="E145" s="19"/>
      <c r="F145" s="20"/>
      <c r="G145" s="20"/>
      <c r="H145" s="20"/>
      <c r="I145" s="24"/>
      <c r="J145" s="24"/>
      <c r="K145" s="21"/>
      <c r="L145" s="21"/>
      <c r="M145" s="18"/>
      <c r="N145" s="23"/>
      <c r="O145" s="14"/>
    </row>
    <row r="146" ht="15.0" customHeight="1">
      <c r="A146" s="18"/>
      <c r="B146" s="16"/>
      <c r="C146" s="20"/>
      <c r="D146" s="20"/>
      <c r="E146" s="19"/>
      <c r="F146" s="20"/>
      <c r="G146" s="20"/>
      <c r="H146" s="20"/>
      <c r="I146" s="43"/>
      <c r="J146" s="20"/>
      <c r="K146" s="21"/>
      <c r="L146" s="21"/>
      <c r="M146" s="22"/>
      <c r="N146" s="23"/>
      <c r="O146" s="14"/>
    </row>
    <row r="147" ht="15.0" customHeight="1">
      <c r="A147" s="47"/>
      <c r="B147" s="27"/>
      <c r="C147" s="20"/>
      <c r="D147" s="20"/>
      <c r="E147" s="19"/>
      <c r="F147" s="20"/>
      <c r="G147" s="20"/>
      <c r="H147" s="20"/>
      <c r="I147" s="43"/>
      <c r="J147" s="43"/>
      <c r="K147" s="48"/>
      <c r="L147" s="48"/>
      <c r="M147" s="23"/>
      <c r="N147" s="23"/>
      <c r="O147" s="14"/>
    </row>
    <row r="148" ht="15.0" customHeight="1">
      <c r="A148" s="18"/>
      <c r="B148" s="27"/>
      <c r="C148" s="20"/>
      <c r="D148" s="18"/>
      <c r="E148" s="19"/>
      <c r="F148" s="20"/>
      <c r="G148" s="20"/>
      <c r="H148" s="20"/>
      <c r="I148" s="20"/>
      <c r="J148" s="27"/>
      <c r="K148" s="21"/>
      <c r="L148" s="21"/>
      <c r="M148" s="20"/>
      <c r="N148" s="20"/>
      <c r="O148" s="14"/>
    </row>
    <row r="149" ht="15.0" customHeight="1">
      <c r="A149" s="18"/>
      <c r="B149" s="16"/>
      <c r="C149" s="20"/>
      <c r="D149" s="18"/>
      <c r="E149" s="19"/>
      <c r="F149" s="20"/>
      <c r="G149" s="20"/>
      <c r="H149" s="20"/>
      <c r="I149" s="20"/>
      <c r="J149" s="24"/>
      <c r="K149" s="49"/>
      <c r="L149" s="49"/>
      <c r="M149" s="25"/>
      <c r="N149" s="26"/>
      <c r="O149" s="14"/>
    </row>
    <row r="150" ht="15.0" customHeight="1">
      <c r="A150" s="18"/>
      <c r="B150" s="27"/>
      <c r="C150" s="20"/>
      <c r="D150" s="18"/>
      <c r="E150" s="19"/>
      <c r="F150" s="20"/>
      <c r="G150" s="20"/>
      <c r="H150" s="20"/>
      <c r="I150" s="20"/>
      <c r="J150" s="24"/>
      <c r="K150" s="49"/>
      <c r="L150" s="49"/>
      <c r="M150" s="23"/>
      <c r="N150" s="23"/>
      <c r="O150" s="14"/>
    </row>
    <row r="151" ht="15.0" customHeight="1">
      <c r="A151" s="18"/>
      <c r="B151" s="27"/>
      <c r="C151" s="20"/>
      <c r="D151" s="20"/>
      <c r="E151" s="19"/>
      <c r="F151" s="20"/>
      <c r="G151" s="20"/>
      <c r="H151" s="20"/>
      <c r="I151" s="20"/>
      <c r="J151" s="24"/>
      <c r="K151" s="21"/>
      <c r="L151" s="21"/>
      <c r="M151" s="34"/>
      <c r="N151" s="26"/>
      <c r="O151" s="14"/>
    </row>
    <row r="152" ht="15.0" customHeight="1">
      <c r="A152" s="18"/>
      <c r="B152" s="27"/>
      <c r="C152" s="20"/>
      <c r="D152" s="18"/>
      <c r="E152" s="19"/>
      <c r="F152" s="20"/>
      <c r="G152" s="20"/>
      <c r="H152" s="20"/>
      <c r="I152" s="20"/>
      <c r="J152" s="24"/>
      <c r="K152" s="49"/>
      <c r="L152" s="49"/>
      <c r="M152" s="17"/>
      <c r="N152" s="23"/>
      <c r="O152" s="14"/>
    </row>
    <row r="153" ht="15.0" customHeight="1">
      <c r="A153" s="18"/>
      <c r="B153" s="27"/>
      <c r="C153" s="20"/>
      <c r="D153" s="18"/>
      <c r="E153" s="19"/>
      <c r="F153" s="20"/>
      <c r="G153" s="20"/>
      <c r="H153" s="20"/>
      <c r="I153" s="20"/>
      <c r="J153" s="24"/>
      <c r="K153" s="21"/>
      <c r="L153" s="21"/>
      <c r="M153" s="25"/>
      <c r="N153" s="28"/>
      <c r="O153" s="14"/>
    </row>
    <row r="154" ht="15.0" customHeight="1">
      <c r="A154" s="18"/>
      <c r="B154" s="27"/>
      <c r="C154" s="20"/>
      <c r="D154" s="18"/>
      <c r="E154" s="19"/>
      <c r="F154" s="20"/>
      <c r="G154" s="20"/>
      <c r="H154" s="20"/>
      <c r="I154" s="20"/>
      <c r="J154" s="24"/>
      <c r="K154" s="21"/>
      <c r="L154" s="21"/>
      <c r="M154" s="29"/>
      <c r="N154" s="26"/>
      <c r="O154" s="14"/>
    </row>
    <row r="155" ht="15.0" customHeight="1">
      <c r="A155" s="18"/>
      <c r="B155" s="27"/>
      <c r="C155" s="20"/>
      <c r="D155" s="18"/>
      <c r="E155" s="19"/>
      <c r="F155" s="20"/>
      <c r="G155" s="20"/>
      <c r="H155" s="20"/>
      <c r="I155" s="20"/>
      <c r="J155" s="24"/>
      <c r="K155" s="21"/>
      <c r="L155" s="21"/>
      <c r="M155" s="23"/>
      <c r="N155" s="23"/>
      <c r="O155" s="14"/>
    </row>
    <row r="156" ht="15.0" customHeight="1">
      <c r="A156" s="18"/>
      <c r="B156" s="27"/>
      <c r="C156" s="20"/>
      <c r="D156" s="18"/>
      <c r="E156" s="19"/>
      <c r="F156" s="20"/>
      <c r="G156" s="20"/>
      <c r="H156" s="20"/>
      <c r="I156" s="20"/>
      <c r="J156" s="24"/>
      <c r="K156" s="21"/>
      <c r="L156" s="21"/>
      <c r="M156" s="25"/>
      <c r="N156" s="26"/>
      <c r="O156" s="14"/>
    </row>
    <row r="157" ht="15.0" customHeight="1">
      <c r="A157" s="18"/>
      <c r="B157" s="27"/>
      <c r="C157" s="20"/>
      <c r="D157" s="18"/>
      <c r="E157" s="19"/>
      <c r="F157" s="20"/>
      <c r="G157" s="20"/>
      <c r="H157" s="20"/>
      <c r="I157" s="43"/>
      <c r="J157" s="24"/>
      <c r="K157" s="21"/>
      <c r="L157" s="21"/>
      <c r="M157" s="25"/>
      <c r="N157" s="26"/>
      <c r="O157" s="14"/>
    </row>
    <row r="158" ht="15.0" customHeight="1">
      <c r="A158" s="18"/>
      <c r="B158" s="27"/>
      <c r="C158" s="20"/>
      <c r="D158" s="18"/>
      <c r="E158" s="19"/>
      <c r="F158" s="20"/>
      <c r="G158" s="20"/>
      <c r="H158" s="20"/>
      <c r="I158" s="20"/>
      <c r="J158" s="20"/>
      <c r="K158" s="21"/>
      <c r="L158" s="21"/>
      <c r="M158" s="22"/>
      <c r="N158" s="23"/>
      <c r="O158" s="14"/>
    </row>
    <row r="159" ht="15.0" customHeight="1">
      <c r="A159" s="18"/>
      <c r="B159" s="27"/>
      <c r="C159" s="20"/>
      <c r="D159" s="18"/>
      <c r="E159" s="19"/>
      <c r="F159" s="20"/>
      <c r="G159" s="20"/>
      <c r="H159" s="20"/>
      <c r="I159" s="20"/>
      <c r="J159" s="20"/>
      <c r="K159" s="21"/>
      <c r="L159" s="21"/>
      <c r="M159" s="34"/>
      <c r="N159" s="23"/>
      <c r="O159" s="14"/>
    </row>
    <row r="160" ht="15.0" customHeight="1">
      <c r="A160" s="18"/>
      <c r="B160" s="27"/>
      <c r="C160" s="20"/>
      <c r="D160" s="18"/>
      <c r="E160" s="19"/>
      <c r="F160" s="20"/>
      <c r="G160" s="20"/>
      <c r="H160" s="20"/>
      <c r="I160" s="20"/>
      <c r="J160" s="20"/>
      <c r="K160" s="21"/>
      <c r="L160" s="21"/>
      <c r="M160" s="22"/>
      <c r="N160" s="23"/>
      <c r="O160" s="14"/>
    </row>
    <row r="161" ht="15.0" customHeight="1">
      <c r="A161" s="18"/>
      <c r="B161" s="27"/>
      <c r="C161" s="20"/>
      <c r="D161" s="18"/>
      <c r="E161" s="19"/>
      <c r="F161" s="20"/>
      <c r="G161" s="20"/>
      <c r="H161" s="20"/>
      <c r="I161" s="20"/>
      <c r="J161" s="20"/>
      <c r="K161" s="21"/>
      <c r="L161" s="21"/>
      <c r="M161" s="22"/>
      <c r="N161" s="23"/>
      <c r="O161" s="14"/>
    </row>
    <row r="162" ht="15.0" customHeight="1">
      <c r="A162" s="50"/>
      <c r="B162" s="27"/>
      <c r="C162" s="20"/>
      <c r="D162" s="18"/>
      <c r="E162" s="19"/>
      <c r="F162" s="20"/>
      <c r="G162" s="20"/>
      <c r="H162" s="20"/>
      <c r="I162" s="20"/>
      <c r="J162" s="20"/>
      <c r="K162" s="21"/>
      <c r="L162" s="21"/>
      <c r="M162" s="29"/>
      <c r="N162" s="23"/>
      <c r="O162" s="14"/>
    </row>
    <row r="163" ht="15.0" customHeight="1">
      <c r="A163" s="18"/>
      <c r="B163" s="27"/>
      <c r="C163" s="20"/>
      <c r="D163" s="18"/>
      <c r="E163" s="19"/>
      <c r="F163" s="20"/>
      <c r="G163" s="20"/>
      <c r="H163" s="20"/>
      <c r="I163" s="20"/>
      <c r="J163" s="20"/>
      <c r="K163" s="21"/>
      <c r="L163" s="21"/>
      <c r="M163" s="29"/>
      <c r="N163" s="23"/>
      <c r="O163" s="14"/>
    </row>
    <row r="164" ht="15.0" customHeight="1">
      <c r="A164" s="18"/>
      <c r="B164" s="27"/>
      <c r="C164" s="20"/>
      <c r="D164" s="18"/>
      <c r="E164" s="19"/>
      <c r="F164" s="20"/>
      <c r="G164" s="20"/>
      <c r="H164" s="20"/>
      <c r="I164" s="20"/>
      <c r="J164" s="20"/>
      <c r="K164" s="21"/>
      <c r="L164" s="21"/>
      <c r="M164" s="20"/>
      <c r="N164" s="23"/>
      <c r="O164" s="14"/>
    </row>
    <row r="165" ht="15.0" customHeight="1">
      <c r="A165" s="18"/>
      <c r="B165" s="27"/>
      <c r="C165" s="20"/>
      <c r="D165" s="18"/>
      <c r="E165" s="19"/>
      <c r="F165" s="20"/>
      <c r="G165" s="20"/>
      <c r="H165" s="20"/>
      <c r="I165" s="20"/>
      <c r="J165" s="20"/>
      <c r="K165" s="21"/>
      <c r="L165" s="21"/>
      <c r="M165" s="22"/>
      <c r="N165" s="23"/>
      <c r="O165" s="14"/>
    </row>
    <row r="166" ht="15.0" customHeight="1">
      <c r="A166" s="18"/>
      <c r="B166" s="27"/>
      <c r="C166" s="20"/>
      <c r="D166" s="18"/>
      <c r="E166" s="19"/>
      <c r="F166" s="20"/>
      <c r="G166" s="20"/>
      <c r="H166" s="20"/>
      <c r="I166" s="20"/>
      <c r="J166" s="24"/>
      <c r="K166" s="21"/>
      <c r="L166" s="21"/>
      <c r="M166" s="22"/>
      <c r="N166" s="23"/>
      <c r="O166" s="14"/>
    </row>
    <row r="167" ht="15.0" customHeight="1">
      <c r="A167" s="18"/>
      <c r="B167" s="27"/>
      <c r="C167" s="20"/>
      <c r="D167" s="18"/>
      <c r="E167" s="19"/>
      <c r="F167" s="20"/>
      <c r="G167" s="20"/>
      <c r="H167" s="20"/>
      <c r="I167" s="20"/>
      <c r="J167" s="20"/>
      <c r="K167" s="21"/>
      <c r="L167" s="21"/>
      <c r="M167" s="29"/>
      <c r="N167" s="18"/>
      <c r="O167" s="14"/>
    </row>
    <row r="168" ht="15.0" customHeight="1">
      <c r="A168" s="51"/>
      <c r="B168" s="16"/>
      <c r="C168" s="20"/>
      <c r="D168" s="20"/>
      <c r="E168" s="19"/>
      <c r="F168" s="20"/>
      <c r="G168" s="20"/>
      <c r="H168" s="20"/>
      <c r="I168" s="44"/>
      <c r="J168" s="24"/>
      <c r="K168" s="21"/>
      <c r="L168" s="21"/>
      <c r="M168" s="34"/>
      <c r="N168" s="23"/>
      <c r="O168" s="14"/>
    </row>
    <row r="169" ht="15.0" customHeight="1">
      <c r="A169" s="18"/>
      <c r="B169" s="27"/>
      <c r="C169" s="40"/>
      <c r="D169" s="18"/>
      <c r="E169" s="19"/>
      <c r="F169" s="20"/>
      <c r="G169" s="20"/>
      <c r="H169" s="20"/>
      <c r="I169" s="20"/>
      <c r="J169" s="24"/>
      <c r="K169" s="21"/>
      <c r="L169" s="21"/>
      <c r="M169" s="25"/>
      <c r="N169" s="26"/>
      <c r="O169" s="14"/>
    </row>
    <row r="170" ht="15.0" customHeight="1">
      <c r="A170" s="18"/>
      <c r="B170" s="27"/>
      <c r="C170" s="40"/>
      <c r="D170" s="18"/>
      <c r="E170" s="19"/>
      <c r="F170" s="20"/>
      <c r="G170" s="20"/>
      <c r="H170" s="20"/>
      <c r="I170" s="20"/>
      <c r="J170" s="24"/>
      <c r="K170" s="21"/>
      <c r="L170" s="21"/>
      <c r="M170" s="23"/>
      <c r="N170" s="23"/>
      <c r="O170" s="14"/>
    </row>
    <row r="171" ht="15.0" customHeight="1">
      <c r="A171" s="18"/>
      <c r="B171" s="27"/>
      <c r="C171" s="40"/>
      <c r="D171" s="18"/>
      <c r="E171" s="19"/>
      <c r="F171" s="20"/>
      <c r="G171" s="20"/>
      <c r="H171" s="20"/>
      <c r="I171" s="20"/>
      <c r="J171" s="24"/>
      <c r="K171" s="21"/>
      <c r="L171" s="21"/>
      <c r="M171" s="25"/>
      <c r="N171" s="26"/>
      <c r="O171" s="14"/>
    </row>
    <row r="172" ht="15.0" customHeight="1">
      <c r="A172" s="18"/>
      <c r="B172" s="27"/>
      <c r="C172" s="20"/>
      <c r="D172" s="18"/>
      <c r="E172" s="19"/>
      <c r="F172" s="20"/>
      <c r="G172" s="20"/>
      <c r="H172" s="20"/>
      <c r="I172" s="20"/>
      <c r="J172" s="24"/>
      <c r="K172" s="21"/>
      <c r="L172" s="21"/>
      <c r="M172" s="20"/>
      <c r="N172" s="28"/>
      <c r="O172" s="14"/>
    </row>
    <row r="173" ht="15.0" customHeight="1">
      <c r="A173" s="18"/>
      <c r="B173" s="27"/>
      <c r="C173" s="20"/>
      <c r="D173" s="18"/>
      <c r="E173" s="19"/>
      <c r="F173" s="20"/>
      <c r="G173" s="20"/>
      <c r="H173" s="20"/>
      <c r="I173" s="20"/>
      <c r="J173" s="24"/>
      <c r="K173" s="21"/>
      <c r="L173" s="21"/>
      <c r="M173" s="20"/>
      <c r="N173" s="28"/>
      <c r="O173" s="14"/>
    </row>
    <row r="174" ht="15.0" customHeight="1">
      <c r="A174" s="18"/>
      <c r="B174" s="27"/>
      <c r="C174" s="40"/>
      <c r="D174" s="18"/>
      <c r="E174" s="19"/>
      <c r="F174" s="20"/>
      <c r="G174" s="20"/>
      <c r="H174" s="20"/>
      <c r="I174" s="20"/>
      <c r="J174" s="20"/>
      <c r="K174" s="21"/>
      <c r="L174" s="21"/>
      <c r="M174" s="29"/>
      <c r="N174" s="23"/>
      <c r="O174" s="14"/>
    </row>
    <row r="175" ht="15.0" customHeight="1">
      <c r="A175" s="18"/>
      <c r="B175" s="27"/>
      <c r="C175" s="40"/>
      <c r="D175" s="18"/>
      <c r="E175" s="19"/>
      <c r="F175" s="20"/>
      <c r="G175" s="20"/>
      <c r="H175" s="20"/>
      <c r="I175" s="20"/>
      <c r="J175" s="20"/>
      <c r="K175" s="21"/>
      <c r="L175" s="21"/>
      <c r="M175" s="29"/>
      <c r="N175" s="23"/>
      <c r="O175" s="14"/>
    </row>
    <row r="176" ht="15.0" customHeight="1">
      <c r="A176" s="18"/>
      <c r="B176" s="27"/>
      <c r="C176" s="40"/>
      <c r="D176" s="18"/>
      <c r="E176" s="19"/>
      <c r="F176" s="20"/>
      <c r="G176" s="20"/>
      <c r="H176" s="20"/>
      <c r="I176" s="20"/>
      <c r="J176" s="20"/>
      <c r="K176" s="21"/>
      <c r="L176" s="21"/>
      <c r="M176" s="22"/>
      <c r="N176" s="23"/>
      <c r="O176" s="14"/>
    </row>
    <row r="177" ht="15.0" customHeight="1">
      <c r="A177" s="18"/>
      <c r="B177" s="27"/>
      <c r="C177" s="40"/>
      <c r="D177" s="18"/>
      <c r="E177" s="19"/>
      <c r="F177" s="20"/>
      <c r="G177" s="20"/>
      <c r="H177" s="20"/>
      <c r="I177" s="20"/>
      <c r="J177" s="20"/>
      <c r="K177" s="21"/>
      <c r="L177" s="21"/>
      <c r="M177" s="29"/>
      <c r="N177" s="23"/>
      <c r="O177" s="14"/>
    </row>
    <row r="178" ht="15.0" customHeight="1">
      <c r="A178" s="18"/>
      <c r="B178" s="27"/>
      <c r="C178" s="40"/>
      <c r="D178" s="18"/>
      <c r="E178" s="19"/>
      <c r="F178" s="20"/>
      <c r="G178" s="20"/>
      <c r="H178" s="20"/>
      <c r="I178" s="20"/>
      <c r="J178" s="20"/>
      <c r="K178" s="21"/>
      <c r="L178" s="21"/>
      <c r="M178" s="22"/>
      <c r="N178" s="23"/>
      <c r="O178" s="14"/>
    </row>
    <row r="179" ht="15.0" customHeight="1">
      <c r="A179" s="18"/>
      <c r="B179" s="27"/>
      <c r="C179" s="20"/>
      <c r="D179" s="18"/>
      <c r="E179" s="19"/>
      <c r="F179" s="20"/>
      <c r="G179" s="20"/>
      <c r="H179" s="20"/>
      <c r="I179" s="20"/>
      <c r="J179" s="20"/>
      <c r="K179" s="21"/>
      <c r="L179" s="21"/>
      <c r="M179" s="34"/>
      <c r="N179" s="23"/>
      <c r="O179" s="14"/>
    </row>
    <row r="180" ht="15.0" customHeight="1">
      <c r="A180" s="18"/>
      <c r="B180" s="27"/>
      <c r="C180" s="20"/>
      <c r="D180" s="18"/>
      <c r="E180" s="19"/>
      <c r="F180" s="20"/>
      <c r="G180" s="20"/>
      <c r="H180" s="20"/>
      <c r="I180" s="20"/>
      <c r="J180" s="20"/>
      <c r="K180" s="21"/>
      <c r="L180" s="21"/>
      <c r="M180" s="22"/>
      <c r="N180" s="23"/>
      <c r="O180" s="14"/>
    </row>
    <row r="181" ht="15.0" customHeight="1">
      <c r="A181" s="18"/>
      <c r="B181" s="27"/>
      <c r="C181" s="20"/>
      <c r="D181" s="18"/>
      <c r="E181" s="19"/>
      <c r="F181" s="20"/>
      <c r="G181" s="20"/>
      <c r="H181" s="20"/>
      <c r="I181" s="20"/>
      <c r="J181" s="20"/>
      <c r="K181" s="21"/>
      <c r="L181" s="21"/>
      <c r="M181" s="29"/>
      <c r="N181" s="23"/>
      <c r="O181" s="14"/>
    </row>
    <row r="182" ht="15.0" customHeight="1">
      <c r="A182" s="18"/>
      <c r="B182" s="27"/>
      <c r="C182" s="20"/>
      <c r="D182" s="18"/>
      <c r="E182" s="19"/>
      <c r="F182" s="20"/>
      <c r="G182" s="20"/>
      <c r="H182" s="20"/>
      <c r="I182" s="20"/>
      <c r="J182" s="20"/>
      <c r="K182" s="21"/>
      <c r="L182" s="21"/>
      <c r="M182" s="22"/>
      <c r="N182" s="23"/>
      <c r="O182" s="14"/>
    </row>
    <row r="183" ht="15.0" customHeight="1">
      <c r="A183" s="18"/>
      <c r="B183" s="27"/>
      <c r="C183" s="20"/>
      <c r="D183" s="18"/>
      <c r="E183" s="19"/>
      <c r="F183" s="20"/>
      <c r="G183" s="20"/>
      <c r="H183" s="20"/>
      <c r="I183" s="20"/>
      <c r="J183" s="24"/>
      <c r="K183" s="21"/>
      <c r="L183" s="21"/>
      <c r="M183" s="22"/>
      <c r="N183" s="23"/>
      <c r="O183" s="14"/>
    </row>
    <row r="184" ht="15.0" customHeight="1">
      <c r="A184" s="18"/>
      <c r="B184" s="27"/>
      <c r="C184" s="20"/>
      <c r="D184" s="18"/>
      <c r="E184" s="19"/>
      <c r="F184" s="20"/>
      <c r="G184" s="20"/>
      <c r="H184" s="20"/>
      <c r="I184" s="20"/>
      <c r="J184" s="24"/>
      <c r="K184" s="21"/>
      <c r="L184" s="21"/>
      <c r="M184" s="29"/>
      <c r="N184" s="23"/>
      <c r="O184" s="14"/>
    </row>
    <row r="185" ht="15.0" customHeight="1">
      <c r="A185" s="51"/>
      <c r="B185" s="16"/>
      <c r="C185" s="20"/>
      <c r="D185" s="20"/>
      <c r="E185" s="19"/>
      <c r="F185" s="20"/>
      <c r="G185" s="20"/>
      <c r="H185" s="20"/>
      <c r="I185" s="44"/>
      <c r="J185" s="24"/>
      <c r="K185" s="21"/>
      <c r="L185" s="21"/>
      <c r="M185" s="34"/>
      <c r="N185" s="23"/>
      <c r="O185" s="14"/>
    </row>
    <row r="186" ht="15.0" customHeight="1">
      <c r="A186" s="18"/>
      <c r="B186" s="27"/>
      <c r="C186" s="20"/>
      <c r="D186" s="18"/>
      <c r="E186" s="19"/>
      <c r="F186" s="20"/>
      <c r="G186" s="20"/>
      <c r="H186" s="20"/>
      <c r="I186" s="20"/>
      <c r="J186" s="20"/>
      <c r="K186" s="49"/>
      <c r="L186" s="49"/>
      <c r="M186" s="34"/>
      <c r="N186" s="23"/>
      <c r="O186" s="14"/>
    </row>
    <row r="187" ht="15.0" customHeight="1">
      <c r="A187" s="18"/>
      <c r="B187" s="27"/>
      <c r="C187" s="20"/>
      <c r="D187" s="18"/>
      <c r="E187" s="19"/>
      <c r="F187" s="20"/>
      <c r="G187" s="20"/>
      <c r="H187" s="20"/>
      <c r="I187" s="20"/>
      <c r="J187" s="20"/>
      <c r="K187" s="21"/>
      <c r="L187" s="21"/>
      <c r="M187" s="22"/>
      <c r="N187" s="23"/>
      <c r="O187" s="14"/>
    </row>
    <row r="188" ht="15.0" customHeight="1">
      <c r="A188" s="18"/>
      <c r="B188" s="27"/>
      <c r="C188" s="20"/>
      <c r="D188" s="18"/>
      <c r="E188" s="19"/>
      <c r="F188" s="20"/>
      <c r="G188" s="20"/>
      <c r="H188" s="20"/>
      <c r="I188" s="20"/>
      <c r="J188" s="20"/>
      <c r="K188" s="21"/>
      <c r="L188" s="21"/>
      <c r="M188" s="29"/>
      <c r="N188" s="23"/>
      <c r="O188" s="14"/>
    </row>
    <row r="189" ht="15.0" customHeight="1">
      <c r="A189" s="18"/>
      <c r="B189" s="27"/>
      <c r="C189" s="20"/>
      <c r="D189" s="18"/>
      <c r="E189" s="19"/>
      <c r="F189" s="20"/>
      <c r="G189" s="20"/>
      <c r="H189" s="20"/>
      <c r="I189" s="20"/>
      <c r="J189" s="20"/>
      <c r="K189" s="21"/>
      <c r="L189" s="21"/>
      <c r="M189" s="22"/>
      <c r="N189" s="23"/>
      <c r="O189" s="14"/>
    </row>
    <row r="190" ht="15.0" customHeight="1">
      <c r="A190" s="52"/>
      <c r="B190" s="27"/>
      <c r="C190" s="20"/>
      <c r="D190" s="18"/>
      <c r="E190" s="19"/>
      <c r="F190" s="20"/>
      <c r="G190" s="20"/>
      <c r="H190" s="20"/>
      <c r="I190" s="20"/>
      <c r="J190" s="24"/>
      <c r="K190" s="21"/>
      <c r="L190" s="21"/>
      <c r="M190" s="22"/>
      <c r="N190" s="23"/>
      <c r="O190" s="14"/>
    </row>
    <row r="191" ht="15.0" customHeight="1">
      <c r="A191" s="18"/>
      <c r="B191" s="27"/>
      <c r="C191" s="20"/>
      <c r="D191" s="18"/>
      <c r="E191" s="19"/>
      <c r="F191" s="20"/>
      <c r="G191" s="20"/>
      <c r="H191" s="20"/>
      <c r="I191" s="20"/>
      <c r="J191" s="24"/>
      <c r="K191" s="21"/>
      <c r="L191" s="21"/>
      <c r="M191" s="22"/>
      <c r="N191" s="26"/>
      <c r="O191" s="14"/>
    </row>
    <row r="192" ht="15.0" customHeight="1">
      <c r="A192" s="18"/>
      <c r="B192" s="27"/>
      <c r="C192" s="20"/>
      <c r="D192" s="18"/>
      <c r="E192" s="19"/>
      <c r="F192" s="20"/>
      <c r="G192" s="20"/>
      <c r="H192" s="20"/>
      <c r="I192" s="20"/>
      <c r="J192" s="24"/>
      <c r="K192" s="21"/>
      <c r="L192" s="21"/>
      <c r="M192" s="25"/>
      <c r="N192" s="26"/>
      <c r="O192" s="14"/>
    </row>
    <row r="193" ht="15.0" customHeight="1">
      <c r="A193" s="18"/>
      <c r="B193" s="27"/>
      <c r="C193" s="20"/>
      <c r="D193" s="18"/>
      <c r="E193" s="19"/>
      <c r="F193" s="20"/>
      <c r="G193" s="20"/>
      <c r="H193" s="20"/>
      <c r="I193" s="20"/>
      <c r="J193" s="24"/>
      <c r="K193" s="21"/>
      <c r="L193" s="21"/>
      <c r="M193" s="23"/>
      <c r="N193" s="23"/>
      <c r="O193" s="14"/>
    </row>
    <row r="194" ht="15.0" customHeight="1">
      <c r="A194" s="18"/>
      <c r="B194" s="27"/>
      <c r="C194" s="20"/>
      <c r="D194" s="18"/>
      <c r="E194" s="19"/>
      <c r="F194" s="20"/>
      <c r="G194" s="20"/>
      <c r="H194" s="20"/>
      <c r="I194" s="20"/>
      <c r="J194" s="24"/>
      <c r="K194" s="21"/>
      <c r="L194" s="21"/>
      <c r="M194" s="25"/>
      <c r="N194" s="26"/>
      <c r="O194" s="14"/>
    </row>
    <row r="195" ht="15.0" customHeight="1">
      <c r="A195" s="51"/>
      <c r="B195" s="16"/>
      <c r="C195" s="20"/>
      <c r="D195" s="20"/>
      <c r="E195" s="19"/>
      <c r="F195" s="20"/>
      <c r="G195" s="20"/>
      <c r="H195" s="20"/>
      <c r="I195" s="44"/>
      <c r="J195" s="24"/>
      <c r="K195" s="21"/>
      <c r="L195" s="21"/>
      <c r="M195" s="34"/>
      <c r="N195" s="23"/>
      <c r="O195" s="14"/>
    </row>
    <row r="196" ht="15.0" customHeight="1">
      <c r="A196" s="18"/>
      <c r="B196" s="16"/>
      <c r="C196" s="20"/>
      <c r="D196" s="18"/>
      <c r="E196" s="19"/>
      <c r="F196" s="20"/>
      <c r="G196" s="20"/>
      <c r="H196" s="20"/>
      <c r="I196" s="44"/>
      <c r="J196" s="24"/>
      <c r="K196" s="21"/>
      <c r="L196" s="21"/>
      <c r="M196" s="17"/>
      <c r="N196" s="23"/>
      <c r="O196" s="14"/>
    </row>
    <row r="197" ht="15.0" customHeight="1">
      <c r="A197" s="18"/>
      <c r="B197" s="16"/>
      <c r="C197" s="20"/>
      <c r="D197" s="18"/>
      <c r="E197" s="19"/>
      <c r="F197" s="20"/>
      <c r="G197" s="20"/>
      <c r="H197" s="20"/>
      <c r="I197" s="44"/>
      <c r="J197" s="24"/>
      <c r="K197" s="21"/>
      <c r="L197" s="21"/>
      <c r="M197" s="29"/>
      <c r="N197" s="26"/>
      <c r="O197" s="14"/>
    </row>
    <row r="198" ht="15.0" customHeight="1">
      <c r="A198" s="18"/>
      <c r="B198" s="27"/>
      <c r="C198" s="20"/>
      <c r="D198" s="18"/>
      <c r="E198" s="19"/>
      <c r="F198" s="20"/>
      <c r="G198" s="20"/>
      <c r="H198" s="20"/>
      <c r="I198" s="43"/>
      <c r="J198" s="24"/>
      <c r="K198" s="21"/>
      <c r="L198" s="21"/>
      <c r="M198" s="25"/>
      <c r="N198" s="26"/>
      <c r="O198" s="14"/>
    </row>
    <row r="199" ht="15.0" customHeight="1">
      <c r="A199" s="18"/>
      <c r="B199" s="27"/>
      <c r="C199" s="20"/>
      <c r="D199" s="18"/>
      <c r="E199" s="19"/>
      <c r="F199" s="20"/>
      <c r="G199" s="20"/>
      <c r="H199" s="20"/>
      <c r="I199" s="44"/>
      <c r="J199" s="24"/>
      <c r="K199" s="49"/>
      <c r="L199" s="49"/>
      <c r="M199" s="25"/>
      <c r="N199" s="26"/>
      <c r="O199" s="14"/>
    </row>
    <row r="200" ht="15.0" customHeight="1">
      <c r="A200" s="18"/>
      <c r="B200" s="27"/>
      <c r="C200" s="20"/>
      <c r="D200" s="18"/>
      <c r="E200" s="19"/>
      <c r="F200" s="20"/>
      <c r="G200" s="20"/>
      <c r="H200" s="20"/>
      <c r="I200" s="20"/>
      <c r="J200" s="24"/>
      <c r="K200" s="21"/>
      <c r="L200" s="21"/>
      <c r="M200" s="25"/>
      <c r="N200" s="26"/>
      <c r="O200" s="14"/>
    </row>
    <row r="201" ht="15.0" customHeight="1">
      <c r="A201" s="18"/>
      <c r="B201" s="27"/>
      <c r="C201" s="20"/>
      <c r="D201" s="18"/>
      <c r="E201" s="19"/>
      <c r="F201" s="20"/>
      <c r="G201" s="20"/>
      <c r="H201" s="20"/>
      <c r="I201" s="20"/>
      <c r="J201" s="24"/>
      <c r="K201" s="21"/>
      <c r="L201" s="21"/>
      <c r="M201" s="29"/>
      <c r="N201" s="26"/>
      <c r="O201" s="14"/>
    </row>
    <row r="202" ht="15.0" customHeight="1">
      <c r="A202" s="18"/>
      <c r="B202" s="27"/>
      <c r="C202" s="20"/>
      <c r="D202" s="18"/>
      <c r="E202" s="19"/>
      <c r="F202" s="20"/>
      <c r="G202" s="20"/>
      <c r="H202" s="20"/>
      <c r="I202" s="20"/>
      <c r="J202" s="24"/>
      <c r="K202" s="21"/>
      <c r="L202" s="21"/>
      <c r="M202" s="29"/>
      <c r="N202" s="23"/>
      <c r="O202" s="14"/>
    </row>
    <row r="203" ht="15.0" customHeight="1">
      <c r="A203" s="18"/>
      <c r="B203" s="27"/>
      <c r="C203" s="20"/>
      <c r="D203" s="18"/>
      <c r="E203" s="19"/>
      <c r="F203" s="20"/>
      <c r="G203" s="20"/>
      <c r="H203" s="20"/>
      <c r="I203" s="20"/>
      <c r="J203" s="24"/>
      <c r="K203" s="21"/>
      <c r="L203" s="21"/>
      <c r="M203" s="23"/>
      <c r="N203" s="23"/>
      <c r="O203" s="14"/>
    </row>
    <row r="204" ht="15.0" customHeight="1">
      <c r="A204" s="18"/>
      <c r="B204" s="27"/>
      <c r="C204" s="20"/>
      <c r="D204" s="18"/>
      <c r="E204" s="19"/>
      <c r="F204" s="20"/>
      <c r="G204" s="20"/>
      <c r="H204" s="20"/>
      <c r="I204" s="20"/>
      <c r="J204" s="24"/>
      <c r="K204" s="21"/>
      <c r="L204" s="21"/>
      <c r="M204" s="23"/>
      <c r="N204" s="23"/>
      <c r="O204" s="14"/>
    </row>
    <row r="205" ht="15.0" customHeight="1">
      <c r="A205" s="18"/>
      <c r="B205" s="27"/>
      <c r="C205" s="20"/>
      <c r="D205" s="18"/>
      <c r="E205" s="19"/>
      <c r="F205" s="20"/>
      <c r="G205" s="20"/>
      <c r="H205" s="20"/>
      <c r="I205" s="20"/>
      <c r="J205" s="24"/>
      <c r="K205" s="21"/>
      <c r="L205" s="21"/>
      <c r="M205" s="29"/>
      <c r="N205" s="23"/>
      <c r="O205" s="14"/>
    </row>
    <row r="206" ht="15.0" customHeight="1">
      <c r="A206" s="18"/>
      <c r="B206" s="16"/>
      <c r="C206" s="20"/>
      <c r="D206" s="20"/>
      <c r="E206" s="19"/>
      <c r="F206" s="20"/>
      <c r="G206" s="20"/>
      <c r="H206" s="20"/>
      <c r="I206" s="44"/>
      <c r="J206" s="24"/>
      <c r="K206" s="21"/>
      <c r="L206" s="21"/>
      <c r="M206" s="34"/>
      <c r="N206" s="23"/>
      <c r="O206" s="14"/>
    </row>
    <row r="207" ht="15.0" customHeight="1">
      <c r="A207" s="18"/>
      <c r="B207" s="27"/>
      <c r="C207" s="20"/>
      <c r="D207" s="18"/>
      <c r="E207" s="19"/>
      <c r="F207" s="20"/>
      <c r="G207" s="20"/>
      <c r="H207" s="20"/>
      <c r="I207" s="20"/>
      <c r="J207" s="20"/>
      <c r="K207" s="49"/>
      <c r="L207" s="49"/>
      <c r="M207" s="34"/>
      <c r="N207" s="23"/>
      <c r="O207" s="14"/>
    </row>
    <row r="208" ht="15.0" customHeight="1">
      <c r="A208" s="18"/>
      <c r="B208" s="27"/>
      <c r="C208" s="20"/>
      <c r="D208" s="18"/>
      <c r="E208" s="19"/>
      <c r="F208" s="20"/>
      <c r="G208" s="20"/>
      <c r="H208" s="20"/>
      <c r="I208" s="20"/>
      <c r="J208" s="20"/>
      <c r="K208" s="21"/>
      <c r="L208" s="21"/>
      <c r="M208" s="34"/>
      <c r="N208" s="23"/>
      <c r="O208" s="14"/>
    </row>
    <row r="209" ht="15.0" customHeight="1">
      <c r="A209" s="18"/>
      <c r="B209" s="27"/>
      <c r="C209" s="20"/>
      <c r="D209" s="18"/>
      <c r="E209" s="19"/>
      <c r="F209" s="20"/>
      <c r="G209" s="20"/>
      <c r="H209" s="20"/>
      <c r="I209" s="20"/>
      <c r="J209" s="20"/>
      <c r="K209" s="21"/>
      <c r="L209" s="21"/>
      <c r="M209" s="29"/>
      <c r="N209" s="23"/>
      <c r="O209" s="14"/>
    </row>
    <row r="210" ht="15.0" customHeight="1">
      <c r="A210" s="18"/>
      <c r="B210" s="27"/>
      <c r="C210" s="20"/>
      <c r="D210" s="18"/>
      <c r="E210" s="19"/>
      <c r="F210" s="20"/>
      <c r="G210" s="20"/>
      <c r="H210" s="20"/>
      <c r="I210" s="20"/>
      <c r="J210" s="24"/>
      <c r="K210" s="21"/>
      <c r="L210" s="21"/>
      <c r="M210" s="22"/>
      <c r="N210" s="23"/>
      <c r="O210" s="14"/>
    </row>
    <row r="211" ht="15.0" customHeight="1">
      <c r="A211" s="18"/>
      <c r="B211" s="27"/>
      <c r="C211" s="20"/>
      <c r="D211" s="18"/>
      <c r="E211" s="19"/>
      <c r="F211" s="20"/>
      <c r="G211" s="20"/>
      <c r="H211" s="20"/>
      <c r="I211" s="20"/>
      <c r="J211" s="20"/>
      <c r="K211" s="21"/>
      <c r="L211" s="21"/>
      <c r="M211" s="29"/>
      <c r="N211" s="23"/>
      <c r="O211" s="14"/>
    </row>
    <row r="212" ht="15.0" customHeight="1">
      <c r="A212" s="18"/>
      <c r="B212" s="27"/>
      <c r="C212" s="20"/>
      <c r="D212" s="18"/>
      <c r="E212" s="19"/>
      <c r="F212" s="20"/>
      <c r="G212" s="20"/>
      <c r="H212" s="20"/>
      <c r="I212" s="20"/>
      <c r="J212" s="24"/>
      <c r="K212" s="21"/>
      <c r="L212" s="21"/>
      <c r="M212" s="18"/>
      <c r="N212" s="26"/>
      <c r="O212" s="14"/>
    </row>
    <row r="213" ht="15.0" customHeight="1">
      <c r="A213" s="18"/>
      <c r="B213" s="27"/>
      <c r="C213" s="20"/>
      <c r="D213" s="18"/>
      <c r="E213" s="19"/>
      <c r="F213" s="20"/>
      <c r="G213" s="20"/>
      <c r="H213" s="20"/>
      <c r="I213" s="20"/>
      <c r="J213" s="24"/>
      <c r="K213" s="21"/>
      <c r="L213" s="21"/>
      <c r="M213" s="18"/>
      <c r="N213" s="23"/>
      <c r="O213" s="14"/>
    </row>
    <row r="214" ht="15.0" customHeight="1">
      <c r="A214" s="18"/>
      <c r="B214" s="27"/>
      <c r="C214" s="20"/>
      <c r="D214" s="53"/>
      <c r="E214" s="19"/>
      <c r="F214" s="20"/>
      <c r="G214" s="20"/>
      <c r="H214" s="20"/>
      <c r="I214" s="20"/>
      <c r="J214" s="24"/>
      <c r="K214" s="21"/>
      <c r="L214" s="21"/>
      <c r="M214" s="18"/>
      <c r="N214" s="28"/>
      <c r="O214" s="14"/>
    </row>
    <row r="215" ht="15.0" customHeight="1">
      <c r="A215" s="54"/>
      <c r="B215" s="55"/>
      <c r="C215" s="43"/>
      <c r="D215" s="53"/>
      <c r="E215" s="56"/>
      <c r="F215" s="43"/>
      <c r="G215" s="43"/>
      <c r="H215" s="43"/>
      <c r="I215" s="46"/>
      <c r="J215" s="43"/>
      <c r="K215" s="57"/>
      <c r="L215" s="57"/>
      <c r="M215" s="54"/>
      <c r="N215" s="26"/>
      <c r="O215" s="58"/>
    </row>
    <row r="216" ht="15.0" customHeight="1">
      <c r="A216" s="18"/>
      <c r="B216" s="27"/>
      <c r="C216" s="20"/>
      <c r="D216" s="18"/>
      <c r="E216" s="19"/>
      <c r="F216" s="20"/>
      <c r="G216" s="20"/>
      <c r="H216" s="20"/>
      <c r="I216" s="20"/>
      <c r="J216" s="24"/>
      <c r="K216" s="21"/>
      <c r="L216" s="21"/>
      <c r="M216" s="18"/>
      <c r="N216" s="23"/>
      <c r="O216" s="14"/>
    </row>
    <row r="217" ht="15.0" customHeight="1">
      <c r="A217" s="18"/>
      <c r="B217" s="27"/>
      <c r="C217" s="20"/>
      <c r="D217" s="18"/>
      <c r="E217" s="19"/>
      <c r="F217" s="20"/>
      <c r="G217" s="20"/>
      <c r="H217" s="20"/>
      <c r="I217" s="20"/>
      <c r="J217" s="24"/>
      <c r="K217" s="21"/>
      <c r="L217" s="21"/>
      <c r="M217" s="29"/>
      <c r="N217" s="26"/>
      <c r="O217" s="14"/>
    </row>
    <row r="218" ht="15.0" customHeight="1">
      <c r="A218" s="18"/>
      <c r="B218" s="27"/>
      <c r="C218" s="20"/>
      <c r="D218" s="18"/>
      <c r="E218" s="19"/>
      <c r="F218" s="20"/>
      <c r="G218" s="20"/>
      <c r="H218" s="20"/>
      <c r="I218" s="20"/>
      <c r="J218" s="24"/>
      <c r="K218" s="21"/>
      <c r="L218" s="21"/>
      <c r="M218" s="29"/>
      <c r="N218" s="26"/>
      <c r="O218" s="14"/>
    </row>
    <row r="219" ht="15.0" customHeight="1">
      <c r="A219" s="18"/>
      <c r="B219" s="27"/>
      <c r="C219" s="20"/>
      <c r="D219" s="18"/>
      <c r="E219" s="19"/>
      <c r="F219" s="20"/>
      <c r="G219" s="20"/>
      <c r="H219" s="20"/>
      <c r="I219" s="20"/>
      <c r="J219" s="24"/>
      <c r="K219" s="21"/>
      <c r="L219" s="21"/>
      <c r="M219" s="20"/>
      <c r="N219" s="26"/>
      <c r="O219" s="14"/>
    </row>
    <row r="220" ht="15.0" customHeight="1">
      <c r="A220" s="18"/>
      <c r="B220" s="16"/>
      <c r="C220" s="20"/>
      <c r="D220" s="20"/>
      <c r="E220" s="19"/>
      <c r="F220" s="20"/>
      <c r="G220" s="20"/>
      <c r="H220" s="20"/>
      <c r="I220" s="44"/>
      <c r="J220" s="24"/>
      <c r="K220" s="21"/>
      <c r="L220" s="21"/>
      <c r="M220" s="34"/>
      <c r="N220" s="23"/>
      <c r="O220" s="14"/>
    </row>
    <row r="221" ht="15.0" customHeight="1">
      <c r="A221" s="18"/>
      <c r="B221" s="27"/>
      <c r="C221" s="20"/>
      <c r="D221" s="18"/>
      <c r="E221" s="19"/>
      <c r="F221" s="20"/>
      <c r="G221" s="20"/>
      <c r="H221" s="20"/>
      <c r="I221" s="20"/>
      <c r="J221" s="24"/>
      <c r="K221" s="21"/>
      <c r="L221" s="21"/>
      <c r="M221" s="23"/>
      <c r="N221" s="23"/>
      <c r="O221" s="14"/>
    </row>
    <row r="222" ht="15.0" customHeight="1">
      <c r="A222" s="18"/>
      <c r="B222" s="27"/>
      <c r="C222" s="20"/>
      <c r="D222" s="18"/>
      <c r="E222" s="19"/>
      <c r="F222" s="20"/>
      <c r="G222" s="20"/>
      <c r="H222" s="20"/>
      <c r="I222" s="20"/>
      <c r="J222" s="24"/>
      <c r="K222" s="49"/>
      <c r="L222" s="49"/>
      <c r="M222" s="18"/>
      <c r="N222" s="23"/>
      <c r="O222" s="14"/>
    </row>
    <row r="223" ht="15.0" customHeight="1">
      <c r="A223" s="18"/>
      <c r="B223" s="27"/>
      <c r="C223" s="20"/>
      <c r="D223" s="18"/>
      <c r="E223" s="19"/>
      <c r="F223" s="20"/>
      <c r="G223" s="20"/>
      <c r="H223" s="20"/>
      <c r="I223" s="20"/>
      <c r="J223" s="20"/>
      <c r="K223" s="21"/>
      <c r="L223" s="21"/>
      <c r="M223" s="18"/>
      <c r="N223" s="23"/>
      <c r="O223" s="14"/>
    </row>
    <row r="224" ht="15.0" customHeight="1">
      <c r="A224" s="18"/>
      <c r="B224" s="16"/>
      <c r="C224" s="20"/>
      <c r="D224" s="18"/>
      <c r="E224" s="19"/>
      <c r="F224" s="20"/>
      <c r="G224" s="20"/>
      <c r="H224" s="20"/>
      <c r="I224" s="20"/>
      <c r="J224" s="20"/>
      <c r="K224" s="21"/>
      <c r="L224" s="21"/>
      <c r="M224" s="34"/>
      <c r="N224" s="23"/>
      <c r="O224" s="14"/>
    </row>
    <row r="225" ht="15.0" customHeight="1">
      <c r="A225" s="18"/>
      <c r="B225" s="16"/>
      <c r="C225" s="20"/>
      <c r="D225" s="20"/>
      <c r="E225" s="19"/>
      <c r="F225" s="20"/>
      <c r="G225" s="20"/>
      <c r="H225" s="20"/>
      <c r="I225" s="43"/>
      <c r="J225" s="20"/>
      <c r="K225" s="21"/>
      <c r="L225" s="21"/>
      <c r="M225" s="22"/>
      <c r="N225" s="23"/>
      <c r="O225" s="14"/>
    </row>
    <row r="226" ht="15.0" customHeight="1">
      <c r="A226" s="18"/>
      <c r="B226" s="27"/>
      <c r="C226" s="20"/>
      <c r="D226" s="18"/>
      <c r="E226" s="19"/>
      <c r="F226" s="20"/>
      <c r="G226" s="20"/>
      <c r="H226" s="20"/>
      <c r="I226" s="20"/>
      <c r="J226" s="20"/>
      <c r="K226" s="21"/>
      <c r="L226" s="21"/>
      <c r="M226" s="22"/>
      <c r="N226" s="23"/>
      <c r="O226" s="14"/>
    </row>
    <row r="227" ht="15.0" customHeight="1">
      <c r="A227" s="18"/>
      <c r="B227" s="27"/>
      <c r="C227" s="20"/>
      <c r="D227" s="18"/>
      <c r="E227" s="19"/>
      <c r="F227" s="20"/>
      <c r="G227" s="20"/>
      <c r="H227" s="20"/>
      <c r="I227" s="20"/>
      <c r="J227" s="20"/>
      <c r="K227" s="49"/>
      <c r="L227" s="49"/>
      <c r="M227" s="22"/>
      <c r="N227" s="23"/>
      <c r="O227" s="14"/>
    </row>
    <row r="228" ht="15.0" customHeight="1">
      <c r="A228" s="18"/>
      <c r="B228" s="16"/>
      <c r="C228" s="20"/>
      <c r="D228" s="18"/>
      <c r="E228" s="19"/>
      <c r="F228" s="20"/>
      <c r="G228" s="20"/>
      <c r="H228" s="20"/>
      <c r="I228" s="20"/>
      <c r="J228" s="20"/>
      <c r="K228" s="49"/>
      <c r="L228" s="49"/>
      <c r="M228" s="22"/>
      <c r="N228" s="23"/>
      <c r="O228" s="14"/>
    </row>
    <row r="229" ht="15.0" customHeight="1">
      <c r="A229" s="18"/>
      <c r="B229" s="27"/>
      <c r="C229" s="20"/>
      <c r="D229" s="18"/>
      <c r="E229" s="19"/>
      <c r="F229" s="20"/>
      <c r="G229" s="20"/>
      <c r="H229" s="20"/>
      <c r="I229" s="20"/>
      <c r="J229" s="20"/>
      <c r="K229" s="21"/>
      <c r="L229" s="21"/>
      <c r="M229" s="29"/>
      <c r="N229" s="23"/>
      <c r="O229" s="14"/>
    </row>
    <row r="230" ht="15.0" customHeight="1">
      <c r="A230" s="18"/>
      <c r="B230" s="27"/>
      <c r="C230" s="20"/>
      <c r="D230" s="18"/>
      <c r="E230" s="19"/>
      <c r="F230" s="20"/>
      <c r="G230" s="20"/>
      <c r="H230" s="20"/>
      <c r="I230" s="20"/>
      <c r="J230" s="24"/>
      <c r="K230" s="21"/>
      <c r="L230" s="21"/>
      <c r="M230" s="22"/>
      <c r="N230" s="23"/>
      <c r="O230" s="14"/>
    </row>
    <row r="231" ht="15.0" customHeight="1">
      <c r="A231" s="18"/>
      <c r="B231" s="27"/>
      <c r="C231" s="20"/>
      <c r="D231" s="18"/>
      <c r="E231" s="19"/>
      <c r="F231" s="20"/>
      <c r="G231" s="20"/>
      <c r="H231" s="20"/>
      <c r="I231" s="20"/>
      <c r="J231" s="20"/>
      <c r="K231" s="21"/>
      <c r="L231" s="21"/>
      <c r="M231" s="20"/>
      <c r="N231" s="23"/>
      <c r="O231" s="14"/>
    </row>
    <row r="232" ht="15.0" customHeight="1">
      <c r="A232" s="18"/>
      <c r="B232" s="16"/>
      <c r="C232" s="20"/>
      <c r="D232" s="20"/>
      <c r="E232" s="19"/>
      <c r="F232" s="20"/>
      <c r="G232" s="20"/>
      <c r="H232" s="20"/>
      <c r="I232" s="44"/>
      <c r="J232" s="24"/>
      <c r="K232" s="21"/>
      <c r="L232" s="21"/>
      <c r="M232" s="34"/>
      <c r="N232" s="23"/>
      <c r="O232" s="14"/>
    </row>
    <row r="233" ht="15.0" customHeight="1">
      <c r="A233" s="18"/>
      <c r="B233" s="27"/>
      <c r="C233" s="20"/>
      <c r="D233" s="18"/>
      <c r="E233" s="19"/>
      <c r="F233" s="20"/>
      <c r="G233" s="20"/>
      <c r="H233" s="20"/>
      <c r="I233" s="20"/>
      <c r="J233" s="24"/>
      <c r="K233" s="21"/>
      <c r="L233" s="21"/>
      <c r="M233" s="25"/>
      <c r="N233" s="28"/>
      <c r="O233" s="14"/>
    </row>
    <row r="234" ht="15.0" customHeight="1">
      <c r="A234" s="18"/>
      <c r="B234" s="27"/>
      <c r="C234" s="20"/>
      <c r="D234" s="18"/>
      <c r="E234" s="19"/>
      <c r="F234" s="20"/>
      <c r="G234" s="20"/>
      <c r="H234" s="20"/>
      <c r="I234" s="20"/>
      <c r="J234" s="24"/>
      <c r="K234" s="21"/>
      <c r="L234" s="21"/>
      <c r="M234" s="25"/>
      <c r="N234" s="28"/>
      <c r="O234" s="14"/>
    </row>
    <row r="235" ht="15.0" customHeight="1">
      <c r="A235" s="18"/>
      <c r="B235" s="27"/>
      <c r="C235" s="20"/>
      <c r="D235" s="18"/>
      <c r="E235" s="19"/>
      <c r="F235" s="20"/>
      <c r="G235" s="20"/>
      <c r="H235" s="20"/>
      <c r="I235" s="20"/>
      <c r="J235" s="24"/>
      <c r="K235" s="45"/>
      <c r="L235" s="45"/>
      <c r="M235" s="23"/>
      <c r="N235" s="23"/>
      <c r="O235" s="14"/>
    </row>
    <row r="236" ht="15.0" customHeight="1">
      <c r="A236" s="18"/>
      <c r="B236" s="27"/>
      <c r="C236" s="20"/>
      <c r="D236" s="18"/>
      <c r="E236" s="19"/>
      <c r="F236" s="20"/>
      <c r="G236" s="20"/>
      <c r="H236" s="20"/>
      <c r="I236" s="20"/>
      <c r="J236" s="24"/>
      <c r="K236" s="21"/>
      <c r="L236" s="21"/>
      <c r="M236" s="25"/>
      <c r="N236" s="28"/>
      <c r="O236" s="14"/>
    </row>
    <row r="237" ht="15.0" customHeight="1">
      <c r="A237" s="18"/>
      <c r="B237" s="27"/>
      <c r="C237" s="20"/>
      <c r="D237" s="18"/>
      <c r="E237" s="19"/>
      <c r="F237" s="20"/>
      <c r="G237" s="20"/>
      <c r="H237" s="20"/>
      <c r="I237" s="20"/>
      <c r="J237" s="24"/>
      <c r="K237" s="45"/>
      <c r="L237" s="45"/>
      <c r="M237" s="23"/>
      <c r="N237" s="23"/>
      <c r="O237" s="14"/>
    </row>
    <row r="238" ht="15.0" customHeight="1">
      <c r="A238" s="18"/>
      <c r="B238" s="27"/>
      <c r="C238" s="20"/>
      <c r="D238" s="18"/>
      <c r="E238" s="19"/>
      <c r="F238" s="20"/>
      <c r="G238" s="20"/>
      <c r="H238" s="20"/>
      <c r="I238" s="20"/>
      <c r="J238" s="24"/>
      <c r="K238" s="21"/>
      <c r="L238" s="21"/>
      <c r="M238" s="25"/>
      <c r="N238" s="28"/>
      <c r="O238" s="14"/>
    </row>
    <row r="239" ht="15.0" customHeight="1">
      <c r="A239" s="18"/>
      <c r="B239" s="27"/>
      <c r="C239" s="20"/>
      <c r="D239" s="18"/>
      <c r="E239" s="19"/>
      <c r="F239" s="20"/>
      <c r="G239" s="20"/>
      <c r="H239" s="20"/>
      <c r="I239" s="20"/>
      <c r="J239" s="24"/>
      <c r="K239" s="21"/>
      <c r="L239" s="21"/>
      <c r="M239" s="29"/>
      <c r="N239" s="28"/>
      <c r="O239" s="14"/>
    </row>
    <row r="240" ht="15.0" customHeight="1">
      <c r="A240" s="18"/>
      <c r="B240" s="27"/>
      <c r="C240" s="40"/>
      <c r="D240" s="18"/>
      <c r="E240" s="19"/>
      <c r="F240" s="20"/>
      <c r="G240" s="20"/>
      <c r="H240" s="20"/>
      <c r="I240" s="20"/>
      <c r="J240" s="24"/>
      <c r="K240" s="21"/>
      <c r="L240" s="21"/>
      <c r="M240" s="25"/>
      <c r="N240" s="26"/>
      <c r="O240" s="14"/>
    </row>
    <row r="241" ht="15.0" customHeight="1">
      <c r="A241" s="18"/>
      <c r="B241" s="27"/>
      <c r="C241" s="40"/>
      <c r="D241" s="18"/>
      <c r="E241" s="19"/>
      <c r="F241" s="20"/>
      <c r="G241" s="20"/>
      <c r="H241" s="20"/>
      <c r="I241" s="20"/>
      <c r="J241" s="24"/>
      <c r="K241" s="21"/>
      <c r="L241" s="21"/>
      <c r="M241" s="23"/>
      <c r="N241" s="23"/>
      <c r="O241" s="14"/>
    </row>
    <row r="242" ht="15.0" customHeight="1">
      <c r="A242" s="18"/>
      <c r="B242" s="27"/>
      <c r="C242" s="40"/>
      <c r="D242" s="18"/>
      <c r="E242" s="19"/>
      <c r="F242" s="20"/>
      <c r="G242" s="20"/>
      <c r="H242" s="20"/>
      <c r="I242" s="20"/>
      <c r="J242" s="24"/>
      <c r="K242" s="21"/>
      <c r="L242" s="21"/>
      <c r="M242" s="25"/>
      <c r="N242" s="26"/>
      <c r="O242" s="14"/>
    </row>
    <row r="243" ht="15.0" customHeight="1">
      <c r="A243" s="18"/>
      <c r="B243" s="27"/>
      <c r="C243" s="40"/>
      <c r="D243" s="18"/>
      <c r="E243" s="19"/>
      <c r="F243" s="20"/>
      <c r="G243" s="20"/>
      <c r="H243" s="20"/>
      <c r="I243" s="20"/>
      <c r="J243" s="24"/>
      <c r="K243" s="21"/>
      <c r="L243" s="21"/>
      <c r="M243" s="23"/>
      <c r="N243" s="23"/>
      <c r="O243" s="14"/>
    </row>
    <row r="244" ht="15.0" customHeight="1">
      <c r="A244" s="18"/>
      <c r="B244" s="16"/>
      <c r="C244" s="20"/>
      <c r="D244" s="18"/>
      <c r="E244" s="19"/>
      <c r="F244" s="20"/>
      <c r="G244" s="20"/>
      <c r="H244" s="20"/>
      <c r="I244" s="20"/>
      <c r="J244" s="20"/>
      <c r="K244" s="21"/>
      <c r="L244" s="21"/>
      <c r="M244" s="22"/>
      <c r="N244" s="23"/>
      <c r="O244" s="14"/>
    </row>
    <row r="245" ht="15.0" customHeight="1">
      <c r="A245" s="18"/>
      <c r="B245" s="16"/>
      <c r="C245" s="40"/>
      <c r="D245" s="18"/>
      <c r="E245" s="19"/>
      <c r="F245" s="20"/>
      <c r="G245" s="20"/>
      <c r="H245" s="20"/>
      <c r="I245" s="20"/>
      <c r="J245" s="20"/>
      <c r="K245" s="49"/>
      <c r="L245" s="49"/>
      <c r="M245" s="22"/>
      <c r="N245" s="23"/>
      <c r="O245" s="14"/>
    </row>
    <row r="246" ht="15.0" customHeight="1">
      <c r="A246" s="18"/>
      <c r="B246" s="16"/>
      <c r="C246" s="40"/>
      <c r="D246" s="18"/>
      <c r="E246" s="19"/>
      <c r="F246" s="20"/>
      <c r="G246" s="20"/>
      <c r="H246" s="20"/>
      <c r="I246" s="20"/>
      <c r="J246" s="20"/>
      <c r="K246" s="49"/>
      <c r="L246" s="49"/>
      <c r="M246" s="22"/>
      <c r="N246" s="23"/>
      <c r="O246" s="14"/>
    </row>
    <row r="247" ht="15.0" customHeight="1">
      <c r="A247" s="18"/>
      <c r="B247" s="27"/>
      <c r="C247" s="40"/>
      <c r="D247" s="18"/>
      <c r="E247" s="19"/>
      <c r="F247" s="20"/>
      <c r="G247" s="20"/>
      <c r="H247" s="20"/>
      <c r="I247" s="20"/>
      <c r="J247" s="20"/>
      <c r="K247" s="49"/>
      <c r="L247" s="49"/>
      <c r="M247" s="22"/>
      <c r="N247" s="23"/>
      <c r="O247" s="14"/>
    </row>
    <row r="248" ht="15.0" customHeight="1">
      <c r="A248" s="18"/>
      <c r="B248" s="16"/>
      <c r="C248" s="40"/>
      <c r="D248" s="18"/>
      <c r="E248" s="19"/>
      <c r="F248" s="20"/>
      <c r="G248" s="20"/>
      <c r="H248" s="20"/>
      <c r="I248" s="20"/>
      <c r="J248" s="20"/>
      <c r="K248" s="21"/>
      <c r="L248" s="21"/>
      <c r="M248" s="22"/>
      <c r="N248" s="23"/>
      <c r="O248" s="14"/>
    </row>
    <row r="249" ht="15.0" customHeight="1">
      <c r="A249" s="18"/>
      <c r="B249" s="16"/>
      <c r="C249" s="40"/>
      <c r="D249" s="18"/>
      <c r="E249" s="19"/>
      <c r="F249" s="20"/>
      <c r="G249" s="20"/>
      <c r="H249" s="20"/>
      <c r="I249" s="20"/>
      <c r="J249" s="20"/>
      <c r="K249" s="21"/>
      <c r="L249" s="21"/>
      <c r="M249" s="22"/>
      <c r="N249" s="23"/>
      <c r="O249" s="14"/>
    </row>
    <row r="250" ht="15.0" customHeight="1">
      <c r="A250" s="18"/>
      <c r="B250" s="27"/>
      <c r="C250" s="40"/>
      <c r="D250" s="18"/>
      <c r="E250" s="19"/>
      <c r="F250" s="20"/>
      <c r="G250" s="20"/>
      <c r="H250" s="20"/>
      <c r="I250" s="20"/>
      <c r="J250" s="20"/>
      <c r="K250" s="49"/>
      <c r="L250" s="49"/>
      <c r="M250" s="22"/>
      <c r="N250" s="23"/>
      <c r="O250" s="14"/>
    </row>
    <row r="251" ht="15.0" customHeight="1">
      <c r="A251" s="47"/>
      <c r="B251" s="27"/>
      <c r="C251" s="20"/>
      <c r="D251" s="20"/>
      <c r="E251" s="19"/>
      <c r="F251" s="20"/>
      <c r="G251" s="20"/>
      <c r="H251" s="20"/>
      <c r="I251" s="20"/>
      <c r="J251" s="43"/>
      <c r="K251" s="21"/>
      <c r="L251" s="21"/>
      <c r="M251" s="23"/>
      <c r="N251" s="23"/>
      <c r="O251" s="14"/>
    </row>
    <row r="252" ht="15.0" customHeight="1">
      <c r="A252" s="18"/>
      <c r="B252" s="27"/>
      <c r="C252" s="20"/>
      <c r="D252" s="18"/>
      <c r="E252" s="19"/>
      <c r="F252" s="20"/>
      <c r="G252" s="20"/>
      <c r="H252" s="20"/>
      <c r="I252" s="20"/>
      <c r="J252" s="24"/>
      <c r="K252" s="21"/>
      <c r="L252" s="21"/>
      <c r="M252" s="18"/>
      <c r="N252" s="23"/>
      <c r="O252" s="14"/>
    </row>
    <row r="253" ht="15.0" customHeight="1">
      <c r="A253" s="18"/>
      <c r="B253" s="27"/>
      <c r="C253" s="20"/>
      <c r="D253" s="18"/>
      <c r="E253" s="19"/>
      <c r="F253" s="20"/>
      <c r="G253" s="20"/>
      <c r="H253" s="20"/>
      <c r="I253" s="20"/>
      <c r="J253" s="16"/>
      <c r="K253" s="21"/>
      <c r="L253" s="21"/>
      <c r="M253" s="20"/>
      <c r="N253" s="20"/>
      <c r="O253" s="14"/>
    </row>
    <row r="254" ht="15.0" customHeight="1">
      <c r="A254" s="18"/>
      <c r="B254" s="16"/>
      <c r="C254" s="20"/>
      <c r="D254" s="18"/>
      <c r="E254" s="19"/>
      <c r="F254" s="20"/>
      <c r="G254" s="20"/>
      <c r="H254" s="20"/>
      <c r="I254" s="20"/>
      <c r="J254" s="24"/>
      <c r="K254" s="21"/>
      <c r="L254" s="21"/>
      <c r="M254" s="25"/>
      <c r="N254" s="26"/>
      <c r="O254" s="14"/>
    </row>
    <row r="255" ht="15.0" customHeight="1">
      <c r="A255" s="18"/>
      <c r="B255" s="27"/>
      <c r="C255" s="20"/>
      <c r="D255" s="18"/>
      <c r="E255" s="19"/>
      <c r="F255" s="20"/>
      <c r="G255" s="20"/>
      <c r="H255" s="20"/>
      <c r="I255" s="20"/>
      <c r="J255" s="24"/>
      <c r="K255" s="21"/>
      <c r="L255" s="21"/>
      <c r="M255" s="23"/>
      <c r="N255" s="23"/>
      <c r="O255" s="14"/>
    </row>
    <row r="256" ht="15.0" customHeight="1">
      <c r="A256" s="18"/>
      <c r="B256" s="27"/>
      <c r="C256" s="20"/>
      <c r="D256" s="20"/>
      <c r="E256" s="19"/>
      <c r="F256" s="20"/>
      <c r="G256" s="20"/>
      <c r="H256" s="20"/>
      <c r="I256" s="20"/>
      <c r="J256" s="24"/>
      <c r="K256" s="21"/>
      <c r="L256" s="21"/>
      <c r="M256" s="25"/>
      <c r="N256" s="26"/>
      <c r="O256" s="14"/>
    </row>
    <row r="257" ht="15.0" customHeight="1">
      <c r="A257" s="18"/>
      <c r="B257" s="27"/>
      <c r="C257" s="20"/>
      <c r="D257" s="18"/>
      <c r="E257" s="19"/>
      <c r="F257" s="20"/>
      <c r="G257" s="20"/>
      <c r="H257" s="20"/>
      <c r="I257" s="20"/>
      <c r="J257" s="24"/>
      <c r="K257" s="21"/>
      <c r="L257" s="21"/>
      <c r="M257" s="17"/>
      <c r="N257" s="23"/>
      <c r="O257" s="14"/>
    </row>
    <row r="258" ht="15.0" customHeight="1">
      <c r="A258" s="18"/>
      <c r="B258" s="27"/>
      <c r="C258" s="20"/>
      <c r="D258" s="18"/>
      <c r="E258" s="19"/>
      <c r="F258" s="20"/>
      <c r="G258" s="20"/>
      <c r="H258" s="20"/>
      <c r="I258" s="20"/>
      <c r="J258" s="24"/>
      <c r="K258" s="21"/>
      <c r="L258" s="21"/>
      <c r="M258" s="25"/>
      <c r="N258" s="28"/>
      <c r="O258" s="14"/>
    </row>
    <row r="259" ht="15.0" customHeight="1">
      <c r="A259" s="18"/>
      <c r="B259" s="27"/>
      <c r="C259" s="20"/>
      <c r="D259" s="18"/>
      <c r="E259" s="19"/>
      <c r="F259" s="20"/>
      <c r="G259" s="20"/>
      <c r="H259" s="20"/>
      <c r="I259" s="20"/>
      <c r="J259" s="24"/>
      <c r="K259" s="21"/>
      <c r="L259" s="21"/>
      <c r="M259" s="29"/>
      <c r="N259" s="26"/>
      <c r="O259" s="14"/>
    </row>
    <row r="260" ht="15.0" customHeight="1">
      <c r="A260" s="54"/>
      <c r="B260" s="55"/>
      <c r="C260" s="43"/>
      <c r="D260" s="43"/>
      <c r="E260" s="56"/>
      <c r="F260" s="43"/>
      <c r="G260" s="43"/>
      <c r="H260" s="43"/>
      <c r="I260" s="44"/>
      <c r="J260" s="24"/>
      <c r="K260" s="21"/>
      <c r="L260" s="57"/>
      <c r="M260" s="54"/>
      <c r="N260" s="59"/>
      <c r="O260" s="14"/>
    </row>
    <row r="261" ht="15.0" customHeight="1">
      <c r="A261" s="18"/>
      <c r="B261" s="27"/>
      <c r="C261" s="20"/>
      <c r="D261" s="18"/>
      <c r="E261" s="19"/>
      <c r="F261" s="20"/>
      <c r="G261" s="20"/>
      <c r="H261" s="20"/>
      <c r="I261" s="20"/>
      <c r="J261" s="24"/>
      <c r="K261" s="21"/>
      <c r="L261" s="21"/>
      <c r="M261" s="25"/>
      <c r="N261" s="26"/>
      <c r="O261" s="14"/>
    </row>
    <row r="262" ht="15.0" customHeight="1">
      <c r="A262" s="18"/>
      <c r="B262" s="27"/>
      <c r="C262" s="20"/>
      <c r="D262" s="18"/>
      <c r="E262" s="19"/>
      <c r="F262" s="20"/>
      <c r="G262" s="20"/>
      <c r="H262" s="20"/>
      <c r="I262" s="20"/>
      <c r="J262" s="24"/>
      <c r="K262" s="21"/>
      <c r="L262" s="21"/>
      <c r="M262" s="25"/>
      <c r="N262" s="26"/>
      <c r="O262" s="14"/>
    </row>
    <row r="263" ht="15.0" customHeight="1">
      <c r="A263" s="18"/>
      <c r="B263" s="27"/>
      <c r="C263" s="20"/>
      <c r="D263" s="18"/>
      <c r="E263" s="19"/>
      <c r="F263" s="20"/>
      <c r="G263" s="20"/>
      <c r="H263" s="20"/>
      <c r="I263" s="20"/>
      <c r="J263" s="20"/>
      <c r="K263" s="21"/>
      <c r="L263" s="21"/>
      <c r="M263" s="22"/>
      <c r="N263" s="23"/>
      <c r="O263" s="14"/>
    </row>
    <row r="264" ht="15.0" customHeight="1">
      <c r="A264" s="18"/>
      <c r="B264" s="27"/>
      <c r="C264" s="20"/>
      <c r="D264" s="18"/>
      <c r="E264" s="19"/>
      <c r="F264" s="20"/>
      <c r="G264" s="20"/>
      <c r="H264" s="20"/>
      <c r="I264" s="20"/>
      <c r="J264" s="20"/>
      <c r="K264" s="21"/>
      <c r="L264" s="21"/>
      <c r="M264" s="34"/>
      <c r="N264" s="23"/>
      <c r="O264" s="14"/>
    </row>
    <row r="265" ht="15.0" customHeight="1">
      <c r="A265" s="18"/>
      <c r="B265" s="27"/>
      <c r="C265" s="20"/>
      <c r="D265" s="18"/>
      <c r="E265" s="19"/>
      <c r="F265" s="20"/>
      <c r="G265" s="20"/>
      <c r="H265" s="20"/>
      <c r="I265" s="20"/>
      <c r="J265" s="20"/>
      <c r="K265" s="21"/>
      <c r="L265" s="21"/>
      <c r="M265" s="22"/>
      <c r="N265" s="23"/>
      <c r="O265" s="14"/>
    </row>
    <row r="266" ht="15.0" customHeight="1">
      <c r="A266" s="18"/>
      <c r="B266" s="27"/>
      <c r="C266" s="20"/>
      <c r="D266" s="18"/>
      <c r="E266" s="19"/>
      <c r="F266" s="20"/>
      <c r="G266" s="20"/>
      <c r="H266" s="20"/>
      <c r="I266" s="20"/>
      <c r="J266" s="20"/>
      <c r="K266" s="49"/>
      <c r="L266" s="49"/>
      <c r="M266" s="22"/>
      <c r="N266" s="23"/>
      <c r="O266" s="14"/>
    </row>
    <row r="267" ht="15.0" customHeight="1">
      <c r="A267" s="18"/>
      <c r="B267" s="27"/>
      <c r="C267" s="20"/>
      <c r="D267" s="18"/>
      <c r="E267" s="19"/>
      <c r="F267" s="20"/>
      <c r="G267" s="20"/>
      <c r="H267" s="20"/>
      <c r="I267" s="20"/>
      <c r="J267" s="20"/>
      <c r="K267" s="21"/>
      <c r="L267" s="21"/>
      <c r="M267" s="22"/>
      <c r="N267" s="23"/>
      <c r="O267" s="14"/>
    </row>
    <row r="268" ht="15.0" customHeight="1">
      <c r="A268" s="18"/>
      <c r="B268" s="27"/>
      <c r="C268" s="20"/>
      <c r="D268" s="18"/>
      <c r="E268" s="19"/>
      <c r="F268" s="20"/>
      <c r="G268" s="20"/>
      <c r="H268" s="20"/>
      <c r="I268" s="20"/>
      <c r="J268" s="20"/>
      <c r="K268" s="21"/>
      <c r="L268" s="21"/>
      <c r="M268" s="22"/>
      <c r="N268" s="23"/>
      <c r="O268" s="14"/>
    </row>
    <row r="269" ht="15.0" customHeight="1">
      <c r="A269" s="18"/>
      <c r="B269" s="27"/>
      <c r="C269" s="20"/>
      <c r="D269" s="18"/>
      <c r="E269" s="19"/>
      <c r="F269" s="20"/>
      <c r="G269" s="20"/>
      <c r="H269" s="20"/>
      <c r="I269" s="20"/>
      <c r="J269" s="20"/>
      <c r="K269" s="21"/>
      <c r="L269" s="21"/>
      <c r="M269" s="22"/>
      <c r="N269" s="23"/>
      <c r="O269" s="14"/>
    </row>
    <row r="270" ht="15.0" customHeight="1">
      <c r="A270" s="18"/>
      <c r="B270" s="27"/>
      <c r="C270" s="20"/>
      <c r="D270" s="18"/>
      <c r="E270" s="19"/>
      <c r="F270" s="20"/>
      <c r="G270" s="20"/>
      <c r="H270" s="20"/>
      <c r="I270" s="20"/>
      <c r="J270" s="20"/>
      <c r="K270" s="21"/>
      <c r="L270" s="21"/>
      <c r="M270" s="22"/>
      <c r="N270" s="23"/>
      <c r="O270" s="14"/>
    </row>
    <row r="271" ht="15.0" customHeight="1">
      <c r="A271" s="18"/>
      <c r="B271" s="27"/>
      <c r="C271" s="20"/>
      <c r="D271" s="18"/>
      <c r="E271" s="19"/>
      <c r="F271" s="20"/>
      <c r="G271" s="20"/>
      <c r="H271" s="20"/>
      <c r="I271" s="20"/>
      <c r="J271" s="24"/>
      <c r="K271" s="21"/>
      <c r="L271" s="21"/>
      <c r="M271" s="22"/>
      <c r="N271" s="23"/>
      <c r="O271" s="14"/>
    </row>
    <row r="272" ht="15.0" customHeight="1">
      <c r="A272" s="18"/>
      <c r="B272" s="27"/>
      <c r="C272" s="20"/>
      <c r="D272" s="18"/>
      <c r="E272" s="19"/>
      <c r="F272" s="20"/>
      <c r="G272" s="20"/>
      <c r="H272" s="20"/>
      <c r="I272" s="20"/>
      <c r="J272" s="20"/>
      <c r="K272" s="21"/>
      <c r="L272" s="21"/>
      <c r="M272" s="22"/>
      <c r="N272" s="18"/>
      <c r="O272" s="14"/>
    </row>
    <row r="273" ht="15.0" customHeight="1">
      <c r="A273" s="18"/>
      <c r="B273" s="27"/>
      <c r="C273" s="40"/>
      <c r="D273" s="18"/>
      <c r="E273" s="19"/>
      <c r="F273" s="20"/>
      <c r="G273" s="20"/>
      <c r="H273" s="20"/>
      <c r="I273" s="20"/>
      <c r="J273" s="24"/>
      <c r="K273" s="21"/>
      <c r="L273" s="21"/>
      <c r="M273" s="25"/>
      <c r="N273" s="26"/>
      <c r="O273" s="14"/>
    </row>
    <row r="274" ht="15.0" customHeight="1">
      <c r="A274" s="18"/>
      <c r="B274" s="27"/>
      <c r="C274" s="40"/>
      <c r="D274" s="18"/>
      <c r="E274" s="19"/>
      <c r="F274" s="20"/>
      <c r="G274" s="20"/>
      <c r="H274" s="20"/>
      <c r="I274" s="20"/>
      <c r="J274" s="24"/>
      <c r="K274" s="21"/>
      <c r="L274" s="21"/>
      <c r="M274" s="25"/>
      <c r="N274" s="26"/>
      <c r="O274" s="14"/>
    </row>
    <row r="275" ht="15.0" customHeight="1">
      <c r="A275" s="18"/>
      <c r="B275" s="27"/>
      <c r="C275" s="40"/>
      <c r="D275" s="18"/>
      <c r="E275" s="19"/>
      <c r="F275" s="20"/>
      <c r="G275" s="20"/>
      <c r="H275" s="20"/>
      <c r="I275" s="20"/>
      <c r="J275" s="24"/>
      <c r="K275" s="21"/>
      <c r="L275" s="21"/>
      <c r="M275" s="23"/>
      <c r="N275" s="23"/>
      <c r="O275" s="14"/>
    </row>
    <row r="276" ht="15.0" customHeight="1">
      <c r="A276" s="18"/>
      <c r="B276" s="27"/>
      <c r="C276" s="40"/>
      <c r="D276" s="18"/>
      <c r="E276" s="19"/>
      <c r="F276" s="20"/>
      <c r="G276" s="20"/>
      <c r="H276" s="20"/>
      <c r="I276" s="20"/>
      <c r="J276" s="24"/>
      <c r="K276" s="21"/>
      <c r="L276" s="21"/>
      <c r="M276" s="25"/>
      <c r="N276" s="26"/>
      <c r="O276" s="14"/>
    </row>
    <row r="277" ht="15.0" customHeight="1">
      <c r="A277" s="18"/>
      <c r="B277" s="27"/>
      <c r="C277" s="20"/>
      <c r="D277" s="18"/>
      <c r="E277" s="19"/>
      <c r="F277" s="20"/>
      <c r="G277" s="20"/>
      <c r="H277" s="20"/>
      <c r="I277" s="20"/>
      <c r="J277" s="24"/>
      <c r="K277" s="21"/>
      <c r="L277" s="21"/>
      <c r="M277" s="20"/>
      <c r="N277" s="28"/>
      <c r="O277" s="14"/>
    </row>
    <row r="278" ht="15.0" customHeight="1">
      <c r="A278" s="18"/>
      <c r="B278" s="16"/>
      <c r="C278" s="20"/>
      <c r="D278" s="18"/>
      <c r="E278" s="19"/>
      <c r="F278" s="20"/>
      <c r="G278" s="20"/>
      <c r="H278" s="20"/>
      <c r="I278" s="20"/>
      <c r="J278" s="20"/>
      <c r="K278" s="21"/>
      <c r="L278" s="21"/>
      <c r="M278" s="29"/>
      <c r="N278" s="23"/>
      <c r="O278" s="14"/>
    </row>
    <row r="279" ht="15.0" customHeight="1">
      <c r="A279" s="18"/>
      <c r="B279" s="16"/>
      <c r="C279" s="20"/>
      <c r="D279" s="18"/>
      <c r="E279" s="19"/>
      <c r="F279" s="20"/>
      <c r="G279" s="20"/>
      <c r="H279" s="20"/>
      <c r="I279" s="20"/>
      <c r="J279" s="20"/>
      <c r="K279" s="21"/>
      <c r="L279" s="21"/>
      <c r="M279" s="23"/>
      <c r="N279" s="23"/>
      <c r="O279" s="14"/>
    </row>
    <row r="280" ht="15.0" customHeight="1">
      <c r="A280" s="18"/>
      <c r="B280" s="27"/>
      <c r="C280" s="40"/>
      <c r="D280" s="18"/>
      <c r="E280" s="19"/>
      <c r="F280" s="20"/>
      <c r="G280" s="20"/>
      <c r="H280" s="20"/>
      <c r="I280" s="20"/>
      <c r="J280" s="20"/>
      <c r="K280" s="21"/>
      <c r="L280" s="21"/>
      <c r="M280" s="29"/>
      <c r="N280" s="23"/>
      <c r="O280" s="14"/>
    </row>
    <row r="281" ht="15.0" customHeight="1">
      <c r="A281" s="18"/>
      <c r="B281" s="27"/>
      <c r="C281" s="40"/>
      <c r="D281" s="18"/>
      <c r="E281" s="19"/>
      <c r="F281" s="20"/>
      <c r="G281" s="20"/>
      <c r="H281" s="20"/>
      <c r="I281" s="20"/>
      <c r="J281" s="20"/>
      <c r="K281" s="21"/>
      <c r="L281" s="21"/>
      <c r="M281" s="29"/>
      <c r="N281" s="23"/>
      <c r="O281" s="14"/>
    </row>
    <row r="282" ht="15.0" customHeight="1">
      <c r="A282" s="18"/>
      <c r="B282" s="27"/>
      <c r="C282" s="40"/>
      <c r="D282" s="18"/>
      <c r="E282" s="19"/>
      <c r="F282" s="20"/>
      <c r="G282" s="20"/>
      <c r="H282" s="20"/>
      <c r="I282" s="20"/>
      <c r="J282" s="20"/>
      <c r="K282" s="21"/>
      <c r="L282" s="21"/>
      <c r="M282" s="22"/>
      <c r="N282" s="23"/>
      <c r="O282" s="14"/>
    </row>
    <row r="283" ht="15.0" customHeight="1">
      <c r="A283" s="18"/>
      <c r="B283" s="27"/>
      <c r="C283" s="40"/>
      <c r="D283" s="18"/>
      <c r="E283" s="19"/>
      <c r="F283" s="20"/>
      <c r="G283" s="20"/>
      <c r="H283" s="20"/>
      <c r="I283" s="20"/>
      <c r="J283" s="20"/>
      <c r="K283" s="21"/>
      <c r="L283" s="21"/>
      <c r="M283" s="29"/>
      <c r="N283" s="23"/>
      <c r="O283" s="14"/>
    </row>
    <row r="284" ht="15.0" customHeight="1">
      <c r="A284" s="18"/>
      <c r="B284" s="27"/>
      <c r="C284" s="40"/>
      <c r="D284" s="18"/>
      <c r="E284" s="19"/>
      <c r="F284" s="20"/>
      <c r="G284" s="20"/>
      <c r="H284" s="20"/>
      <c r="I284" s="20"/>
      <c r="J284" s="20"/>
      <c r="K284" s="21"/>
      <c r="L284" s="21"/>
      <c r="M284" s="22"/>
      <c r="N284" s="23"/>
      <c r="O284" s="14"/>
    </row>
    <row r="285" ht="15.0" customHeight="1">
      <c r="A285" s="18"/>
      <c r="B285" s="16"/>
      <c r="C285" s="40"/>
      <c r="D285" s="18"/>
      <c r="E285" s="19"/>
      <c r="F285" s="20"/>
      <c r="G285" s="20"/>
      <c r="H285" s="20"/>
      <c r="I285" s="20"/>
      <c r="J285" s="20"/>
      <c r="K285" s="21"/>
      <c r="L285" s="21"/>
      <c r="M285" s="22"/>
      <c r="N285" s="23"/>
      <c r="O285" s="14"/>
    </row>
    <row r="286" ht="15.0" customHeight="1">
      <c r="A286" s="18"/>
      <c r="B286" s="27"/>
      <c r="C286" s="20"/>
      <c r="D286" s="18"/>
      <c r="E286" s="19"/>
      <c r="F286" s="20"/>
      <c r="G286" s="20"/>
      <c r="H286" s="20"/>
      <c r="I286" s="20"/>
      <c r="J286" s="20"/>
      <c r="K286" s="21"/>
      <c r="L286" s="21"/>
      <c r="M286" s="34"/>
      <c r="N286" s="23"/>
      <c r="O286" s="14"/>
    </row>
    <row r="287" ht="15.0" customHeight="1">
      <c r="A287" s="18"/>
      <c r="B287" s="27"/>
      <c r="C287" s="20"/>
      <c r="D287" s="18"/>
      <c r="E287" s="19"/>
      <c r="F287" s="20"/>
      <c r="G287" s="20"/>
      <c r="H287" s="20"/>
      <c r="I287" s="20"/>
      <c r="J287" s="20"/>
      <c r="K287" s="21"/>
      <c r="L287" s="57"/>
      <c r="M287" s="22"/>
      <c r="N287" s="23"/>
      <c r="O287" s="14"/>
    </row>
    <row r="288" ht="15.0" customHeight="1">
      <c r="A288" s="18"/>
      <c r="B288" s="27"/>
      <c r="C288" s="20"/>
      <c r="D288" s="18"/>
      <c r="E288" s="19"/>
      <c r="F288" s="20"/>
      <c r="G288" s="20"/>
      <c r="H288" s="20"/>
      <c r="I288" s="20"/>
      <c r="J288" s="20"/>
      <c r="K288" s="21"/>
      <c r="L288" s="21"/>
      <c r="M288" s="29"/>
      <c r="N288" s="23"/>
      <c r="O288" s="14"/>
    </row>
    <row r="289" ht="15.0" customHeight="1">
      <c r="A289" s="18"/>
      <c r="B289" s="27"/>
      <c r="C289" s="20"/>
      <c r="D289" s="18"/>
      <c r="E289" s="19"/>
      <c r="F289" s="20"/>
      <c r="G289" s="20"/>
      <c r="H289" s="20"/>
      <c r="I289" s="20"/>
      <c r="J289" s="20"/>
      <c r="K289" s="21"/>
      <c r="L289" s="21"/>
      <c r="M289" s="22"/>
      <c r="N289" s="23"/>
      <c r="O289" s="14"/>
    </row>
    <row r="290" ht="15.0" customHeight="1">
      <c r="A290" s="18"/>
      <c r="B290" s="27"/>
      <c r="C290" s="20"/>
      <c r="D290" s="18"/>
      <c r="E290" s="19"/>
      <c r="F290" s="20"/>
      <c r="G290" s="20"/>
      <c r="H290" s="20"/>
      <c r="I290" s="20"/>
      <c r="J290" s="24"/>
      <c r="K290" s="21"/>
      <c r="L290" s="21"/>
      <c r="M290" s="22"/>
      <c r="N290" s="23"/>
      <c r="O290" s="14"/>
    </row>
    <row r="291" ht="15.0" customHeight="1">
      <c r="A291" s="18"/>
      <c r="B291" s="27"/>
      <c r="C291" s="20"/>
      <c r="D291" s="18"/>
      <c r="E291" s="19"/>
      <c r="F291" s="20"/>
      <c r="G291" s="20"/>
      <c r="H291" s="20"/>
      <c r="I291" s="20"/>
      <c r="J291" s="20"/>
      <c r="K291" s="21"/>
      <c r="L291" s="21"/>
      <c r="M291" s="20"/>
      <c r="N291" s="23"/>
      <c r="O291" s="14"/>
    </row>
    <row r="292" ht="15.0" customHeight="1">
      <c r="A292" s="54"/>
      <c r="B292" s="27"/>
      <c r="C292" s="20"/>
      <c r="D292" s="18"/>
      <c r="E292" s="19"/>
      <c r="F292" s="20"/>
      <c r="G292" s="20"/>
      <c r="H292" s="20"/>
      <c r="I292" s="20"/>
      <c r="J292" s="20"/>
      <c r="K292" s="21"/>
      <c r="L292" s="57"/>
      <c r="M292" s="22"/>
      <c r="N292" s="23"/>
      <c r="O292" s="14"/>
    </row>
    <row r="293" ht="15.0" customHeight="1">
      <c r="A293" s="54"/>
      <c r="B293" s="55"/>
      <c r="C293" s="43"/>
      <c r="D293" s="43"/>
      <c r="E293" s="19"/>
      <c r="F293" s="43"/>
      <c r="G293" s="43"/>
      <c r="H293" s="43"/>
      <c r="I293" s="46"/>
      <c r="J293" s="24"/>
      <c r="K293" s="21"/>
      <c r="L293" s="21"/>
      <c r="M293" s="60"/>
      <c r="N293" s="59"/>
      <c r="O293" s="14"/>
    </row>
    <row r="294" ht="15.0" customHeight="1">
      <c r="A294" s="51"/>
      <c r="B294" s="27"/>
      <c r="C294" s="20"/>
      <c r="D294" s="18"/>
      <c r="E294" s="19"/>
      <c r="F294" s="20"/>
      <c r="G294" s="20"/>
      <c r="H294" s="20"/>
      <c r="I294" s="20"/>
      <c r="J294" s="24"/>
      <c r="K294" s="21"/>
      <c r="L294" s="21"/>
      <c r="M294" s="22"/>
      <c r="N294" s="26"/>
      <c r="O294" s="14"/>
    </row>
    <row r="295" ht="15.0" customHeight="1">
      <c r="A295" s="54"/>
      <c r="B295" s="55"/>
      <c r="C295" s="43"/>
      <c r="D295" s="43"/>
      <c r="E295" s="56"/>
      <c r="F295" s="43"/>
      <c r="G295" s="44"/>
      <c r="H295" s="43"/>
      <c r="I295" s="46"/>
      <c r="J295" s="43"/>
      <c r="K295" s="21"/>
      <c r="L295" s="21"/>
      <c r="M295" s="54"/>
      <c r="N295" s="59"/>
      <c r="O295" s="14"/>
    </row>
    <row r="296" ht="15.0" customHeight="1">
      <c r="A296" s="18"/>
      <c r="B296" s="27"/>
      <c r="C296" s="20"/>
      <c r="D296" s="18"/>
      <c r="E296" s="19"/>
      <c r="F296" s="20"/>
      <c r="G296" s="20"/>
      <c r="H296" s="20"/>
      <c r="I296" s="20"/>
      <c r="J296" s="24"/>
      <c r="K296" s="21"/>
      <c r="L296" s="21"/>
      <c r="M296" s="25"/>
      <c r="N296" s="26"/>
      <c r="O296" s="14"/>
    </row>
    <row r="297" ht="15.0" customHeight="1">
      <c r="A297" s="18"/>
      <c r="B297" s="27"/>
      <c r="C297" s="20"/>
      <c r="D297" s="18"/>
      <c r="E297" s="19"/>
      <c r="F297" s="20"/>
      <c r="G297" s="20"/>
      <c r="H297" s="20"/>
      <c r="I297" s="20"/>
      <c r="J297" s="24"/>
      <c r="K297" s="21"/>
      <c r="L297" s="21"/>
      <c r="M297" s="25"/>
      <c r="N297" s="26"/>
      <c r="O297" s="14"/>
    </row>
    <row r="298" ht="15.0" customHeight="1">
      <c r="A298" s="18"/>
      <c r="B298" s="27"/>
      <c r="C298" s="20"/>
      <c r="D298" s="18"/>
      <c r="E298" s="19"/>
      <c r="F298" s="20"/>
      <c r="G298" s="20"/>
      <c r="H298" s="20"/>
      <c r="I298" s="20"/>
      <c r="J298" s="24"/>
      <c r="K298" s="21"/>
      <c r="L298" s="21"/>
      <c r="M298" s="25"/>
      <c r="N298" s="26"/>
      <c r="O298" s="14"/>
    </row>
    <row r="299" ht="15.0" customHeight="1">
      <c r="A299" s="18"/>
      <c r="B299" s="27"/>
      <c r="C299" s="20"/>
      <c r="D299" s="18"/>
      <c r="E299" s="19"/>
      <c r="F299" s="20"/>
      <c r="G299" s="20"/>
      <c r="H299" s="20"/>
      <c r="I299" s="20"/>
      <c r="J299" s="24"/>
      <c r="K299" s="21"/>
      <c r="L299" s="21"/>
      <c r="M299" s="23"/>
      <c r="N299" s="23"/>
      <c r="O299" s="14"/>
    </row>
    <row r="300" ht="15.0" customHeight="1">
      <c r="A300" s="18"/>
      <c r="B300" s="27"/>
      <c r="C300" s="20"/>
      <c r="D300" s="18"/>
      <c r="E300" s="19"/>
      <c r="F300" s="20"/>
      <c r="G300" s="20"/>
      <c r="H300" s="20"/>
      <c r="I300" s="20"/>
      <c r="J300" s="24"/>
      <c r="K300" s="21"/>
      <c r="L300" s="21"/>
      <c r="M300" s="23"/>
      <c r="N300" s="23"/>
      <c r="O300" s="14"/>
    </row>
    <row r="301" ht="15.0" customHeight="1">
      <c r="A301" s="18"/>
      <c r="B301" s="27"/>
      <c r="C301" s="20"/>
      <c r="D301" s="18"/>
      <c r="E301" s="19"/>
      <c r="F301" s="20"/>
      <c r="G301" s="20"/>
      <c r="H301" s="20"/>
      <c r="I301" s="20"/>
      <c r="J301" s="24"/>
      <c r="K301" s="21"/>
      <c r="L301" s="21"/>
      <c r="M301" s="23"/>
      <c r="N301" s="23"/>
      <c r="O301" s="14"/>
    </row>
    <row r="302" ht="15.0" customHeight="1">
      <c r="A302" s="18"/>
      <c r="B302" s="27"/>
      <c r="C302" s="20"/>
      <c r="D302" s="18"/>
      <c r="E302" s="19"/>
      <c r="F302" s="20"/>
      <c r="G302" s="20"/>
      <c r="H302" s="20"/>
      <c r="I302" s="20"/>
      <c r="J302" s="24"/>
      <c r="K302" s="21"/>
      <c r="L302" s="21"/>
      <c r="M302" s="23"/>
      <c r="N302" s="23"/>
      <c r="O302" s="14"/>
    </row>
    <row r="303" ht="15.0" customHeight="1">
      <c r="A303" s="18"/>
      <c r="B303" s="27"/>
      <c r="C303" s="20"/>
      <c r="D303" s="18"/>
      <c r="E303" s="19"/>
      <c r="F303" s="20"/>
      <c r="G303" s="20"/>
      <c r="H303" s="20"/>
      <c r="I303" s="20"/>
      <c r="J303" s="20"/>
      <c r="K303" s="21"/>
      <c r="L303" s="21"/>
      <c r="M303" s="29"/>
      <c r="N303" s="23"/>
      <c r="O303" s="14"/>
    </row>
    <row r="304" ht="15.0" customHeight="1">
      <c r="A304" s="18"/>
      <c r="B304" s="27"/>
      <c r="C304" s="20"/>
      <c r="D304" s="18"/>
      <c r="E304" s="19"/>
      <c r="F304" s="20"/>
      <c r="G304" s="20"/>
      <c r="H304" s="20"/>
      <c r="I304" s="20"/>
      <c r="J304" s="24"/>
      <c r="K304" s="21"/>
      <c r="L304" s="21"/>
      <c r="M304" s="22"/>
      <c r="N304" s="23"/>
      <c r="O304" s="14"/>
    </row>
    <row r="305" ht="15.0" customHeight="1">
      <c r="A305" s="18"/>
      <c r="B305" s="16"/>
      <c r="C305" s="20"/>
      <c r="D305" s="18"/>
      <c r="E305" s="19"/>
      <c r="F305" s="20"/>
      <c r="G305" s="20"/>
      <c r="H305" s="20"/>
      <c r="I305" s="20"/>
      <c r="J305" s="24"/>
      <c r="K305" s="21"/>
      <c r="L305" s="21"/>
      <c r="M305" s="23"/>
      <c r="N305" s="23"/>
      <c r="O305" s="14"/>
    </row>
    <row r="306" ht="15.0" customHeight="1">
      <c r="A306" s="18"/>
      <c r="B306" s="27"/>
      <c r="C306" s="20"/>
      <c r="D306" s="18"/>
      <c r="E306" s="61"/>
      <c r="F306" s="20"/>
      <c r="G306" s="20"/>
      <c r="H306" s="20"/>
      <c r="I306" s="20"/>
      <c r="J306" s="24"/>
      <c r="K306" s="21"/>
      <c r="L306" s="21"/>
      <c r="M306" s="25"/>
      <c r="N306" s="26"/>
      <c r="O306" s="14"/>
    </row>
    <row r="307" ht="15.0" customHeight="1">
      <c r="A307" s="18"/>
      <c r="B307" s="27"/>
      <c r="C307" s="20"/>
      <c r="D307" s="18"/>
      <c r="E307" s="19"/>
      <c r="F307" s="20"/>
      <c r="G307" s="20"/>
      <c r="H307" s="20"/>
      <c r="I307" s="20"/>
      <c r="J307" s="24"/>
      <c r="K307" s="21"/>
      <c r="L307" s="21"/>
      <c r="M307" s="25"/>
      <c r="N307" s="26"/>
      <c r="O307" s="14"/>
    </row>
    <row r="308" ht="15.0" customHeight="1">
      <c r="A308" s="18"/>
      <c r="B308" s="16"/>
      <c r="C308" s="20"/>
      <c r="D308" s="18"/>
      <c r="E308" s="19"/>
      <c r="F308" s="20"/>
      <c r="G308" s="20"/>
      <c r="H308" s="20"/>
      <c r="I308" s="20"/>
      <c r="J308" s="24"/>
      <c r="K308" s="21"/>
      <c r="L308" s="57"/>
      <c r="M308" s="23"/>
      <c r="N308" s="23"/>
      <c r="O308" s="14"/>
    </row>
    <row r="309" ht="15.0" customHeight="1">
      <c r="A309" s="18"/>
      <c r="B309" s="27"/>
      <c r="C309" s="20"/>
      <c r="D309" s="18"/>
      <c r="E309" s="19"/>
      <c r="F309" s="20"/>
      <c r="G309" s="20"/>
      <c r="H309" s="20"/>
      <c r="I309" s="20"/>
      <c r="J309" s="20"/>
      <c r="K309" s="21"/>
      <c r="L309" s="21"/>
      <c r="M309" s="34"/>
      <c r="N309" s="23"/>
      <c r="O309" s="14"/>
    </row>
    <row r="310" ht="15.0" customHeight="1">
      <c r="A310" s="18"/>
      <c r="B310" s="27"/>
      <c r="C310" s="20"/>
      <c r="D310" s="18"/>
      <c r="E310" s="19"/>
      <c r="F310" s="20"/>
      <c r="G310" s="20"/>
      <c r="H310" s="20"/>
      <c r="I310" s="20"/>
      <c r="J310" s="20"/>
      <c r="K310" s="21"/>
      <c r="L310" s="21"/>
      <c r="M310" s="34"/>
      <c r="N310" s="23"/>
      <c r="O310" s="14"/>
    </row>
    <row r="311" ht="15.0" customHeight="1">
      <c r="A311" s="18"/>
      <c r="B311" s="27"/>
      <c r="C311" s="20"/>
      <c r="D311" s="18"/>
      <c r="E311" s="19"/>
      <c r="F311" s="20"/>
      <c r="G311" s="20"/>
      <c r="H311" s="20"/>
      <c r="I311" s="20"/>
      <c r="J311" s="20"/>
      <c r="K311" s="21"/>
      <c r="L311" s="21"/>
      <c r="M311" s="22"/>
      <c r="N311" s="23"/>
      <c r="O311" s="14"/>
    </row>
    <row r="312" ht="15.0" customHeight="1">
      <c r="A312" s="18"/>
      <c r="B312" s="27"/>
      <c r="C312" s="20"/>
      <c r="D312" s="18"/>
      <c r="E312" s="19"/>
      <c r="F312" s="20"/>
      <c r="G312" s="20"/>
      <c r="H312" s="20"/>
      <c r="I312" s="20"/>
      <c r="J312" s="24"/>
      <c r="K312" s="21"/>
      <c r="L312" s="21"/>
      <c r="M312" s="22"/>
      <c r="N312" s="23"/>
      <c r="O312" s="14"/>
    </row>
    <row r="313" ht="15.0" customHeight="1">
      <c r="A313" s="18"/>
      <c r="B313" s="27"/>
      <c r="C313" s="20"/>
      <c r="D313" s="18"/>
      <c r="E313" s="19"/>
      <c r="F313" s="20"/>
      <c r="G313" s="20"/>
      <c r="H313" s="20"/>
      <c r="I313" s="20"/>
      <c r="J313" s="20"/>
      <c r="K313" s="21"/>
      <c r="L313" s="21"/>
      <c r="M313" s="29"/>
      <c r="N313" s="23"/>
      <c r="O313" s="14"/>
    </row>
    <row r="314" ht="15.0" customHeight="1">
      <c r="A314" s="18"/>
      <c r="B314" s="27"/>
      <c r="C314" s="20"/>
      <c r="D314" s="18"/>
      <c r="E314" s="19"/>
      <c r="F314" s="20"/>
      <c r="G314" s="20"/>
      <c r="H314" s="20"/>
      <c r="I314" s="20"/>
      <c r="J314" s="20"/>
      <c r="K314" s="21"/>
      <c r="L314" s="21"/>
      <c r="M314" s="34"/>
      <c r="N314" s="23"/>
      <c r="O314" s="14"/>
    </row>
    <row r="315" ht="15.0" customHeight="1">
      <c r="A315" s="18"/>
      <c r="B315" s="27"/>
      <c r="C315" s="20"/>
      <c r="D315" s="18"/>
      <c r="E315" s="19"/>
      <c r="F315" s="20"/>
      <c r="G315" s="20"/>
      <c r="H315" s="20"/>
      <c r="I315" s="20"/>
      <c r="J315" s="24"/>
      <c r="K315" s="21"/>
      <c r="L315" s="21"/>
      <c r="M315" s="18"/>
      <c r="N315" s="26"/>
      <c r="O315" s="14"/>
    </row>
    <row r="316" ht="15.0" customHeight="1">
      <c r="A316" s="18"/>
      <c r="B316" s="27"/>
      <c r="C316" s="20"/>
      <c r="D316" s="18"/>
      <c r="E316" s="19"/>
      <c r="F316" s="20"/>
      <c r="G316" s="20"/>
      <c r="H316" s="20"/>
      <c r="I316" s="20"/>
      <c r="J316" s="24"/>
      <c r="K316" s="49"/>
      <c r="L316" s="49"/>
      <c r="M316" s="18"/>
      <c r="N316" s="23"/>
      <c r="O316" s="14"/>
    </row>
    <row r="317" ht="15.0" customHeight="1">
      <c r="A317" s="18"/>
      <c r="B317" s="27"/>
      <c r="C317" s="20"/>
      <c r="D317" s="18"/>
      <c r="E317" s="19"/>
      <c r="F317" s="20"/>
      <c r="G317" s="20"/>
      <c r="H317" s="20"/>
      <c r="I317" s="20"/>
      <c r="J317" s="24"/>
      <c r="K317" s="21"/>
      <c r="L317" s="21"/>
      <c r="M317" s="18"/>
      <c r="N317" s="23"/>
      <c r="O317" s="14"/>
    </row>
    <row r="318" ht="15.0" customHeight="1">
      <c r="A318" s="18"/>
      <c r="B318" s="27"/>
      <c r="C318" s="20"/>
      <c r="D318" s="18"/>
      <c r="E318" s="19"/>
      <c r="F318" s="20"/>
      <c r="G318" s="20"/>
      <c r="H318" s="20"/>
      <c r="I318" s="20"/>
      <c r="J318" s="24"/>
      <c r="K318" s="21"/>
      <c r="L318" s="21"/>
      <c r="M318" s="29"/>
      <c r="N318" s="26"/>
      <c r="O318" s="14"/>
    </row>
    <row r="319" ht="15.0" customHeight="1">
      <c r="A319" s="18"/>
      <c r="B319" s="27"/>
      <c r="C319" s="20"/>
      <c r="D319" s="18"/>
      <c r="E319" s="19"/>
      <c r="F319" s="20"/>
      <c r="G319" s="20"/>
      <c r="H319" s="20"/>
      <c r="I319" s="20"/>
      <c r="J319" s="24"/>
      <c r="K319" s="21"/>
      <c r="L319" s="21"/>
      <c r="M319" s="29"/>
      <c r="N319" s="26"/>
      <c r="O319" s="14"/>
    </row>
    <row r="320" ht="15.0" customHeight="1">
      <c r="A320" s="18"/>
      <c r="B320" s="27"/>
      <c r="C320" s="20"/>
      <c r="D320" s="18"/>
      <c r="E320" s="19"/>
      <c r="F320" s="20"/>
      <c r="G320" s="20"/>
      <c r="H320" s="20"/>
      <c r="I320" s="20"/>
      <c r="J320" s="24"/>
      <c r="K320" s="21"/>
      <c r="L320" s="21"/>
      <c r="M320" s="20"/>
      <c r="N320" s="26"/>
      <c r="O320" s="14"/>
    </row>
    <row r="321" ht="15.0" customHeight="1">
      <c r="A321" s="18"/>
      <c r="B321" s="27"/>
      <c r="C321" s="20"/>
      <c r="D321" s="18"/>
      <c r="E321" s="19"/>
      <c r="F321" s="20"/>
      <c r="G321" s="20"/>
      <c r="H321" s="20"/>
      <c r="I321" s="20"/>
      <c r="J321" s="24"/>
      <c r="K321" s="21"/>
      <c r="L321" s="21"/>
      <c r="M321" s="23"/>
      <c r="N321" s="23"/>
      <c r="O321" s="14"/>
    </row>
    <row r="322" ht="15.0" customHeight="1">
      <c r="A322" s="18"/>
      <c r="B322" s="27"/>
      <c r="C322" s="20"/>
      <c r="D322" s="18"/>
      <c r="E322" s="19"/>
      <c r="F322" s="20"/>
      <c r="G322" s="20"/>
      <c r="H322" s="20"/>
      <c r="I322" s="20"/>
      <c r="J322" s="20"/>
      <c r="K322" s="21"/>
      <c r="L322" s="21"/>
      <c r="M322" s="18"/>
      <c r="N322" s="23"/>
      <c r="O322" s="14"/>
    </row>
    <row r="323" ht="15.0" customHeight="1">
      <c r="A323" s="18"/>
      <c r="B323" s="27"/>
      <c r="C323" s="20"/>
      <c r="D323" s="18"/>
      <c r="E323" s="19"/>
      <c r="F323" s="20"/>
      <c r="G323" s="20"/>
      <c r="H323" s="20"/>
      <c r="I323" s="20"/>
      <c r="J323" s="20"/>
      <c r="K323" s="21"/>
      <c r="L323" s="21"/>
      <c r="M323" s="22"/>
      <c r="N323" s="23"/>
      <c r="O323" s="14"/>
    </row>
    <row r="324" ht="15.0" customHeight="1">
      <c r="A324" s="18"/>
      <c r="B324" s="16"/>
      <c r="C324" s="20"/>
      <c r="D324" s="18"/>
      <c r="E324" s="19"/>
      <c r="F324" s="20"/>
      <c r="G324" s="20"/>
      <c r="H324" s="20"/>
      <c r="I324" s="20"/>
      <c r="J324" s="20"/>
      <c r="K324" s="21"/>
      <c r="L324" s="21"/>
      <c r="M324" s="22"/>
      <c r="N324" s="23"/>
      <c r="O324" s="14"/>
    </row>
    <row r="325" ht="15.0" customHeight="1">
      <c r="A325" s="18"/>
      <c r="B325" s="27"/>
      <c r="C325" s="20"/>
      <c r="D325" s="18"/>
      <c r="E325" s="19"/>
      <c r="F325" s="20"/>
      <c r="G325" s="20"/>
      <c r="H325" s="20"/>
      <c r="I325" s="20"/>
      <c r="J325" s="20"/>
      <c r="K325" s="21"/>
      <c r="L325" s="21"/>
      <c r="M325" s="22"/>
      <c r="N325" s="23"/>
      <c r="O325" s="14"/>
    </row>
    <row r="326" ht="15.0" customHeight="1">
      <c r="A326" s="18"/>
      <c r="B326" s="16"/>
      <c r="C326" s="20"/>
      <c r="D326" s="18"/>
      <c r="E326" s="19"/>
      <c r="F326" s="20"/>
      <c r="G326" s="20"/>
      <c r="H326" s="20"/>
      <c r="I326" s="20"/>
      <c r="J326" s="20"/>
      <c r="K326" s="49"/>
      <c r="L326" s="49"/>
      <c r="M326" s="22"/>
      <c r="N326" s="23"/>
      <c r="O326" s="14"/>
    </row>
    <row r="327" ht="15.0" customHeight="1">
      <c r="A327" s="18"/>
      <c r="B327" s="27"/>
      <c r="C327" s="20"/>
      <c r="D327" s="18"/>
      <c r="E327" s="19"/>
      <c r="F327" s="20"/>
      <c r="G327" s="20"/>
      <c r="H327" s="20"/>
      <c r="I327" s="20"/>
      <c r="J327" s="20"/>
      <c r="K327" s="21"/>
      <c r="L327" s="21"/>
      <c r="M327" s="29"/>
      <c r="N327" s="23"/>
      <c r="O327" s="14"/>
    </row>
    <row r="328" ht="15.0" customHeight="1">
      <c r="A328" s="18"/>
      <c r="B328" s="27"/>
      <c r="C328" s="20"/>
      <c r="D328" s="18"/>
      <c r="E328" s="19"/>
      <c r="F328" s="20"/>
      <c r="G328" s="20"/>
      <c r="H328" s="20"/>
      <c r="I328" s="20"/>
      <c r="J328" s="24"/>
      <c r="K328" s="21"/>
      <c r="L328" s="21"/>
      <c r="M328" s="22"/>
      <c r="N328" s="23"/>
      <c r="O328" s="14"/>
    </row>
    <row r="329" ht="15.0" customHeight="1">
      <c r="A329" s="18"/>
      <c r="B329" s="27"/>
      <c r="C329" s="20"/>
      <c r="D329" s="18"/>
      <c r="E329" s="19"/>
      <c r="F329" s="20"/>
      <c r="G329" s="20"/>
      <c r="H329" s="20"/>
      <c r="I329" s="20"/>
      <c r="J329" s="20"/>
      <c r="K329" s="21"/>
      <c r="L329" s="21"/>
      <c r="M329" s="20"/>
      <c r="N329" s="23"/>
      <c r="O329" s="14"/>
    </row>
    <row r="330" ht="15.0" customHeight="1">
      <c r="A330" s="18"/>
      <c r="B330" s="16"/>
      <c r="C330" s="20"/>
      <c r="D330" s="18"/>
      <c r="E330" s="19"/>
      <c r="F330" s="20"/>
      <c r="G330" s="20"/>
      <c r="H330" s="20"/>
      <c r="I330" s="20"/>
      <c r="J330" s="20"/>
      <c r="K330" s="21"/>
      <c r="L330" s="21"/>
      <c r="M330" s="29"/>
      <c r="N330" s="23"/>
      <c r="O330" s="14"/>
    </row>
    <row r="331" ht="15.0" customHeight="1">
      <c r="A331" s="18"/>
      <c r="B331" s="27"/>
      <c r="C331" s="20"/>
      <c r="D331" s="18"/>
      <c r="E331" s="19"/>
      <c r="F331" s="20"/>
      <c r="G331" s="20"/>
      <c r="H331" s="20"/>
      <c r="I331" s="44"/>
      <c r="J331" s="24"/>
      <c r="K331" s="21"/>
      <c r="L331" s="21"/>
      <c r="M331" s="17"/>
      <c r="N331" s="23"/>
      <c r="O331" s="14"/>
    </row>
    <row r="332" ht="15.0" customHeight="1">
      <c r="A332" s="18"/>
      <c r="B332" s="27"/>
      <c r="C332" s="20"/>
      <c r="D332" s="18"/>
      <c r="E332" s="19"/>
      <c r="F332" s="20"/>
      <c r="G332" s="20"/>
      <c r="H332" s="20"/>
      <c r="I332" s="20"/>
      <c r="J332" s="24"/>
      <c r="K332" s="21"/>
      <c r="L332" s="21"/>
      <c r="M332" s="25"/>
      <c r="N332" s="28"/>
      <c r="O332" s="14"/>
    </row>
    <row r="333" ht="15.0" customHeight="1">
      <c r="A333" s="18"/>
      <c r="B333" s="27"/>
      <c r="C333" s="20"/>
      <c r="D333" s="18"/>
      <c r="E333" s="19"/>
      <c r="F333" s="20"/>
      <c r="G333" s="20"/>
      <c r="H333" s="20"/>
      <c r="I333" s="20"/>
      <c r="J333" s="24"/>
      <c r="K333" s="21"/>
      <c r="L333" s="21"/>
      <c r="M333" s="25"/>
      <c r="N333" s="28"/>
      <c r="O333" s="14"/>
    </row>
    <row r="334" ht="15.0" customHeight="1">
      <c r="A334" s="18"/>
      <c r="B334" s="27"/>
      <c r="C334" s="20"/>
      <c r="D334" s="18"/>
      <c r="E334" s="19"/>
      <c r="F334" s="20"/>
      <c r="G334" s="20"/>
      <c r="H334" s="20"/>
      <c r="I334" s="20"/>
      <c r="J334" s="24"/>
      <c r="K334" s="21"/>
      <c r="L334" s="21"/>
      <c r="M334" s="23"/>
      <c r="N334" s="23"/>
      <c r="O334" s="14"/>
    </row>
    <row r="335" ht="15.0" customHeight="1">
      <c r="A335" s="18"/>
      <c r="B335" s="27"/>
      <c r="C335" s="20"/>
      <c r="D335" s="18"/>
      <c r="E335" s="19"/>
      <c r="F335" s="20"/>
      <c r="G335" s="20"/>
      <c r="H335" s="20"/>
      <c r="I335" s="20"/>
      <c r="J335" s="24"/>
      <c r="K335" s="21"/>
      <c r="L335" s="21"/>
      <c r="M335" s="25"/>
      <c r="N335" s="28"/>
      <c r="O335" s="14"/>
    </row>
    <row r="336" ht="15.0" customHeight="1">
      <c r="A336" s="18"/>
      <c r="B336" s="27"/>
      <c r="C336" s="20"/>
      <c r="D336" s="18"/>
      <c r="E336" s="19"/>
      <c r="F336" s="20"/>
      <c r="G336" s="20"/>
      <c r="H336" s="20"/>
      <c r="I336" s="20"/>
      <c r="J336" s="24"/>
      <c r="K336" s="21"/>
      <c r="L336" s="21"/>
      <c r="M336" s="23"/>
      <c r="N336" s="23"/>
      <c r="O336" s="14"/>
    </row>
    <row r="337" ht="15.0" customHeight="1">
      <c r="A337" s="18"/>
      <c r="B337" s="27"/>
      <c r="C337" s="20"/>
      <c r="D337" s="18"/>
      <c r="E337" s="19"/>
      <c r="F337" s="20"/>
      <c r="G337" s="20"/>
      <c r="H337" s="20"/>
      <c r="I337" s="20"/>
      <c r="J337" s="24"/>
      <c r="K337" s="21"/>
      <c r="L337" s="21"/>
      <c r="M337" s="25"/>
      <c r="N337" s="28"/>
      <c r="O337" s="14"/>
    </row>
    <row r="338" ht="15.0" customHeight="1">
      <c r="A338" s="18"/>
      <c r="B338" s="27"/>
      <c r="C338" s="20"/>
      <c r="D338" s="18"/>
      <c r="E338" s="19"/>
      <c r="F338" s="20"/>
      <c r="G338" s="20"/>
      <c r="H338" s="20"/>
      <c r="I338" s="20"/>
      <c r="J338" s="24"/>
      <c r="K338" s="21"/>
      <c r="L338" s="21"/>
      <c r="M338" s="25"/>
      <c r="N338" s="28"/>
      <c r="O338" s="14"/>
    </row>
    <row r="339" ht="15.0" customHeight="1">
      <c r="A339" s="18"/>
      <c r="B339" s="27"/>
      <c r="C339" s="40"/>
      <c r="D339" s="18"/>
      <c r="E339" s="19"/>
      <c r="F339" s="20"/>
      <c r="G339" s="20"/>
      <c r="H339" s="20"/>
      <c r="I339" s="20"/>
      <c r="J339" s="24"/>
      <c r="K339" s="21"/>
      <c r="L339" s="21"/>
      <c r="M339" s="25"/>
      <c r="N339" s="26"/>
      <c r="O339" s="14"/>
    </row>
    <row r="340" ht="15.0" customHeight="1">
      <c r="A340" s="18"/>
      <c r="B340" s="27"/>
      <c r="C340" s="40"/>
      <c r="D340" s="18"/>
      <c r="E340" s="19"/>
      <c r="F340" s="20"/>
      <c r="G340" s="20"/>
      <c r="H340" s="20"/>
      <c r="I340" s="20"/>
      <c r="J340" s="24"/>
      <c r="K340" s="21"/>
      <c r="L340" s="21"/>
      <c r="M340" s="25"/>
      <c r="N340" s="26"/>
      <c r="O340" s="14"/>
    </row>
    <row r="341" ht="15.0" customHeight="1">
      <c r="A341" s="18"/>
      <c r="B341" s="16"/>
      <c r="C341" s="40"/>
      <c r="D341" s="18"/>
      <c r="E341" s="19"/>
      <c r="F341" s="20"/>
      <c r="G341" s="20"/>
      <c r="H341" s="20"/>
      <c r="I341" s="20"/>
      <c r="J341" s="24"/>
      <c r="K341" s="21"/>
      <c r="L341" s="21"/>
      <c r="M341" s="23"/>
      <c r="N341" s="23"/>
      <c r="O341" s="14"/>
    </row>
    <row r="342" ht="15.0" customHeight="1">
      <c r="A342" s="18"/>
      <c r="B342" s="27"/>
      <c r="C342" s="40"/>
      <c r="D342" s="18"/>
      <c r="E342" s="19"/>
      <c r="F342" s="20"/>
      <c r="G342" s="20"/>
      <c r="H342" s="20"/>
      <c r="I342" s="20"/>
      <c r="J342" s="24"/>
      <c r="K342" s="21"/>
      <c r="L342" s="21"/>
      <c r="M342" s="23"/>
      <c r="N342" s="23"/>
      <c r="O342" s="14"/>
    </row>
    <row r="343" ht="15.0" customHeight="1">
      <c r="A343" s="18"/>
      <c r="B343" s="27"/>
      <c r="C343" s="40"/>
      <c r="D343" s="18"/>
      <c r="E343" s="19"/>
      <c r="F343" s="20"/>
      <c r="G343" s="20"/>
      <c r="H343" s="20"/>
      <c r="I343" s="20"/>
      <c r="J343" s="24"/>
      <c r="K343" s="21"/>
      <c r="L343" s="21"/>
      <c r="M343" s="25"/>
      <c r="N343" s="26"/>
      <c r="O343" s="14"/>
    </row>
    <row r="344" ht="15.0" customHeight="1">
      <c r="A344" s="18"/>
      <c r="B344" s="27"/>
      <c r="C344" s="40"/>
      <c r="D344" s="18"/>
      <c r="E344" s="19"/>
      <c r="F344" s="20"/>
      <c r="G344" s="20"/>
      <c r="H344" s="20"/>
      <c r="I344" s="20"/>
      <c r="J344" s="24"/>
      <c r="K344" s="21"/>
      <c r="L344" s="21"/>
      <c r="M344" s="25"/>
      <c r="N344" s="26"/>
      <c r="O344" s="14"/>
    </row>
    <row r="345" ht="15.0" customHeight="1">
      <c r="A345" s="18"/>
      <c r="B345" s="16"/>
      <c r="C345" s="40"/>
      <c r="D345" s="18"/>
      <c r="E345" s="19"/>
      <c r="F345" s="20"/>
      <c r="G345" s="20"/>
      <c r="H345" s="20"/>
      <c r="I345" s="20"/>
      <c r="J345" s="24"/>
      <c r="K345" s="21"/>
      <c r="L345" s="21"/>
      <c r="M345" s="23"/>
      <c r="N345" s="23"/>
      <c r="O345" s="14"/>
    </row>
    <row r="346" ht="15.0" customHeight="1">
      <c r="A346" s="18"/>
      <c r="B346" s="27"/>
      <c r="C346" s="40"/>
      <c r="D346" s="18"/>
      <c r="E346" s="19"/>
      <c r="F346" s="20"/>
      <c r="G346" s="20"/>
      <c r="H346" s="20"/>
      <c r="I346" s="20"/>
      <c r="J346" s="24"/>
      <c r="K346" s="21"/>
      <c r="L346" s="21"/>
      <c r="M346" s="23"/>
      <c r="N346" s="23"/>
      <c r="O346" s="14"/>
    </row>
    <row r="347" ht="15.0" customHeight="1">
      <c r="A347" s="18"/>
      <c r="B347" s="16"/>
      <c r="C347" s="20"/>
      <c r="D347" s="18"/>
      <c r="E347" s="19"/>
      <c r="F347" s="20"/>
      <c r="G347" s="20"/>
      <c r="H347" s="20"/>
      <c r="I347" s="20"/>
      <c r="J347" s="20"/>
      <c r="K347" s="21"/>
      <c r="L347" s="21"/>
      <c r="M347" s="22"/>
      <c r="N347" s="23"/>
      <c r="O347" s="14"/>
    </row>
    <row r="348" ht="15.0" customHeight="1">
      <c r="A348" s="47"/>
      <c r="B348" s="27"/>
      <c r="C348" s="20"/>
      <c r="D348" s="20"/>
      <c r="E348" s="19"/>
      <c r="F348" s="20"/>
      <c r="G348" s="20"/>
      <c r="H348" s="20"/>
      <c r="I348" s="20"/>
      <c r="J348" s="43"/>
      <c r="K348" s="62"/>
      <c r="L348" s="62"/>
      <c r="M348" s="23"/>
      <c r="N348" s="23"/>
      <c r="O348" s="14"/>
    </row>
    <row r="349" ht="15.0" customHeight="1">
      <c r="A349" s="23"/>
      <c r="B349" s="16"/>
      <c r="C349" s="17"/>
      <c r="D349" s="18"/>
      <c r="E349" s="19"/>
      <c r="F349" s="20"/>
      <c r="G349" s="20"/>
      <c r="H349" s="20"/>
      <c r="I349" s="20"/>
      <c r="J349" s="20"/>
      <c r="K349" s="21"/>
      <c r="L349" s="21"/>
      <c r="M349" s="29"/>
      <c r="N349" s="23"/>
      <c r="O349" s="14"/>
    </row>
    <row r="350" ht="15.0" customHeight="1">
      <c r="A350" s="23"/>
      <c r="B350" s="16"/>
      <c r="C350" s="20"/>
      <c r="D350" s="18"/>
      <c r="E350" s="19"/>
      <c r="F350" s="20"/>
      <c r="G350" s="20"/>
      <c r="H350" s="20"/>
      <c r="I350" s="20"/>
      <c r="J350" s="20"/>
      <c r="K350" s="21"/>
      <c r="L350" s="21"/>
      <c r="M350" s="29"/>
      <c r="N350" s="23"/>
      <c r="O350" s="14"/>
    </row>
    <row r="351" ht="15.0" customHeight="1">
      <c r="A351" s="18"/>
      <c r="B351" s="27"/>
      <c r="C351" s="17"/>
      <c r="D351" s="18"/>
      <c r="E351" s="19"/>
      <c r="F351" s="20"/>
      <c r="G351" s="20"/>
      <c r="H351" s="20"/>
      <c r="I351" s="20"/>
      <c r="J351" s="20"/>
      <c r="K351" s="21"/>
      <c r="L351" s="21"/>
      <c r="M351" s="22"/>
      <c r="N351" s="23"/>
      <c r="O351" s="14"/>
    </row>
    <row r="352" ht="15.0" customHeight="1">
      <c r="A352" s="18"/>
      <c r="B352" s="27"/>
      <c r="C352" s="17"/>
      <c r="D352" s="18"/>
      <c r="E352" s="19"/>
      <c r="F352" s="20"/>
      <c r="G352" s="20"/>
      <c r="H352" s="20"/>
      <c r="I352" s="20"/>
      <c r="J352" s="20"/>
      <c r="K352" s="21"/>
      <c r="L352" s="21"/>
      <c r="M352" s="18"/>
      <c r="N352" s="23"/>
      <c r="O352" s="14"/>
    </row>
    <row r="353" ht="15.0" customHeight="1">
      <c r="A353" s="18"/>
      <c r="B353" s="27"/>
      <c r="C353" s="17"/>
      <c r="D353" s="18"/>
      <c r="E353" s="19"/>
      <c r="F353" s="20"/>
      <c r="G353" s="20"/>
      <c r="H353" s="20"/>
      <c r="I353" s="20"/>
      <c r="J353" s="20"/>
      <c r="K353" s="21"/>
      <c r="L353" s="21"/>
      <c r="M353" s="22"/>
      <c r="N353" s="23"/>
      <c r="O353" s="14"/>
    </row>
    <row r="354" ht="15.0" customHeight="1">
      <c r="A354" s="18"/>
      <c r="B354" s="27"/>
      <c r="C354" s="17"/>
      <c r="D354" s="18"/>
      <c r="E354" s="19"/>
      <c r="F354" s="20"/>
      <c r="G354" s="20"/>
      <c r="H354" s="20"/>
      <c r="I354" s="20"/>
      <c r="J354" s="20"/>
      <c r="K354" s="21"/>
      <c r="L354" s="21"/>
      <c r="M354" s="22"/>
      <c r="N354" s="23"/>
      <c r="O354" s="14"/>
    </row>
    <row r="355" ht="15.0" customHeight="1">
      <c r="A355" s="18"/>
      <c r="B355" s="27"/>
      <c r="C355" s="17"/>
      <c r="D355" s="18"/>
      <c r="E355" s="19"/>
      <c r="F355" s="20"/>
      <c r="G355" s="20"/>
      <c r="H355" s="20"/>
      <c r="I355" s="20"/>
      <c r="J355" s="20"/>
      <c r="K355" s="21"/>
      <c r="L355" s="21"/>
      <c r="M355" s="25"/>
      <c r="N355" s="26"/>
      <c r="O355" s="14"/>
    </row>
    <row r="356" ht="15.0" customHeight="1">
      <c r="A356" s="18"/>
      <c r="B356" s="16"/>
      <c r="C356" s="17"/>
      <c r="D356" s="18"/>
      <c r="E356" s="19"/>
      <c r="F356" s="20"/>
      <c r="G356" s="20"/>
      <c r="H356" s="20"/>
      <c r="I356" s="20"/>
      <c r="J356" s="20"/>
      <c r="K356" s="21"/>
      <c r="L356" s="21"/>
      <c r="M356" s="23"/>
      <c r="N356" s="23"/>
      <c r="O356" s="14"/>
    </row>
    <row r="357" ht="15.0" customHeight="1">
      <c r="A357" s="18"/>
      <c r="B357" s="27"/>
      <c r="C357" s="20"/>
      <c r="D357" s="18"/>
      <c r="E357" s="19"/>
      <c r="F357" s="20"/>
      <c r="G357" s="20"/>
      <c r="H357" s="20"/>
      <c r="I357" s="20"/>
      <c r="J357" s="27"/>
      <c r="K357" s="21"/>
      <c r="L357" s="21"/>
      <c r="M357" s="20"/>
      <c r="N357" s="20"/>
      <c r="O357" s="14"/>
    </row>
    <row r="358" ht="15.0" customHeight="1">
      <c r="A358" s="18"/>
      <c r="B358" s="27"/>
      <c r="C358" s="20"/>
      <c r="D358" s="20"/>
      <c r="E358" s="19"/>
      <c r="F358" s="20"/>
      <c r="G358" s="20"/>
      <c r="H358" s="20"/>
      <c r="I358" s="20"/>
      <c r="J358" s="24"/>
      <c r="K358" s="21"/>
      <c r="L358" s="21"/>
      <c r="M358" s="25"/>
      <c r="N358" s="26"/>
      <c r="O358" s="14"/>
    </row>
    <row r="359" ht="15.0" customHeight="1">
      <c r="A359" s="18"/>
      <c r="B359" s="27"/>
      <c r="C359" s="20"/>
      <c r="D359" s="18"/>
      <c r="E359" s="19"/>
      <c r="F359" s="20"/>
      <c r="G359" s="20"/>
      <c r="H359" s="20"/>
      <c r="I359" s="20"/>
      <c r="J359" s="24"/>
      <c r="K359" s="21"/>
      <c r="L359" s="21"/>
      <c r="M359" s="17"/>
      <c r="N359" s="23"/>
      <c r="O359" s="14"/>
    </row>
    <row r="360" ht="15.0" customHeight="1">
      <c r="A360" s="18"/>
      <c r="B360" s="27"/>
      <c r="C360" s="20"/>
      <c r="D360" s="18"/>
      <c r="E360" s="19"/>
      <c r="F360" s="20"/>
      <c r="G360" s="20"/>
      <c r="H360" s="20"/>
      <c r="I360" s="20"/>
      <c r="J360" s="24"/>
      <c r="K360" s="21"/>
      <c r="L360" s="21"/>
      <c r="M360" s="25"/>
      <c r="N360" s="28"/>
      <c r="O360" s="14"/>
    </row>
    <row r="361" ht="15.0" customHeight="1">
      <c r="A361" s="18"/>
      <c r="B361" s="27"/>
      <c r="C361" s="20"/>
      <c r="D361" s="18"/>
      <c r="E361" s="19"/>
      <c r="F361" s="20"/>
      <c r="G361" s="20"/>
      <c r="H361" s="20"/>
      <c r="I361" s="20"/>
      <c r="J361" s="24"/>
      <c r="K361" s="21"/>
      <c r="L361" s="21"/>
      <c r="M361" s="29"/>
      <c r="N361" s="26"/>
      <c r="O361" s="14"/>
    </row>
    <row r="362" ht="15.0" customHeight="1">
      <c r="A362" s="18"/>
      <c r="B362" s="27"/>
      <c r="C362" s="20"/>
      <c r="D362" s="18"/>
      <c r="E362" s="19"/>
      <c r="F362" s="20"/>
      <c r="G362" s="20"/>
      <c r="H362" s="20"/>
      <c r="I362" s="20"/>
      <c r="J362" s="24"/>
      <c r="K362" s="21"/>
      <c r="L362" s="21"/>
      <c r="M362" s="23"/>
      <c r="N362" s="23"/>
      <c r="O362" s="14"/>
    </row>
    <row r="363" ht="15.0" customHeight="1">
      <c r="A363" s="18"/>
      <c r="B363" s="27"/>
      <c r="C363" s="20"/>
      <c r="D363" s="18"/>
      <c r="E363" s="19"/>
      <c r="F363" s="20"/>
      <c r="G363" s="20"/>
      <c r="H363" s="20"/>
      <c r="I363" s="20"/>
      <c r="J363" s="24"/>
      <c r="K363" s="21"/>
      <c r="L363" s="21"/>
      <c r="M363" s="25"/>
      <c r="N363" s="26"/>
      <c r="O363" s="14"/>
    </row>
    <row r="364" ht="15.0" customHeight="1">
      <c r="A364" s="18"/>
      <c r="B364" s="27"/>
      <c r="C364" s="20"/>
      <c r="D364" s="18"/>
      <c r="E364" s="19"/>
      <c r="F364" s="20"/>
      <c r="G364" s="20"/>
      <c r="H364" s="20"/>
      <c r="I364" s="20"/>
      <c r="J364" s="24"/>
      <c r="K364" s="21"/>
      <c r="L364" s="21"/>
      <c r="M364" s="25"/>
      <c r="N364" s="26"/>
      <c r="O364" s="14"/>
    </row>
    <row r="365" ht="15.0" customHeight="1">
      <c r="A365" s="18"/>
      <c r="B365" s="27"/>
      <c r="C365" s="20"/>
      <c r="D365" s="18"/>
      <c r="E365" s="19"/>
      <c r="F365" s="20"/>
      <c r="G365" s="20"/>
      <c r="H365" s="20"/>
      <c r="I365" s="20"/>
      <c r="J365" s="20"/>
      <c r="K365" s="21"/>
      <c r="L365" s="21"/>
      <c r="M365" s="22"/>
      <c r="N365" s="23"/>
      <c r="O365" s="14"/>
    </row>
    <row r="366" ht="15.0" customHeight="1">
      <c r="A366" s="18"/>
      <c r="B366" s="27"/>
      <c r="C366" s="20"/>
      <c r="D366" s="18"/>
      <c r="E366" s="19"/>
      <c r="F366" s="20"/>
      <c r="G366" s="20"/>
      <c r="H366" s="20"/>
      <c r="I366" s="20"/>
      <c r="J366" s="24"/>
      <c r="K366" s="21"/>
      <c r="L366" s="21"/>
      <c r="M366" s="23"/>
      <c r="N366" s="23"/>
      <c r="O366" s="14"/>
    </row>
    <row r="367" ht="15.0" customHeight="1">
      <c r="A367" s="18"/>
      <c r="B367" s="27"/>
      <c r="C367" s="20"/>
      <c r="D367" s="18"/>
      <c r="E367" s="19"/>
      <c r="F367" s="20"/>
      <c r="G367" s="20"/>
      <c r="H367" s="20"/>
      <c r="I367" s="20"/>
      <c r="J367" s="20"/>
      <c r="K367" s="21"/>
      <c r="L367" s="21"/>
      <c r="M367" s="34"/>
      <c r="N367" s="23"/>
      <c r="O367" s="14"/>
    </row>
    <row r="368" ht="15.0" customHeight="1">
      <c r="A368" s="18"/>
      <c r="B368" s="27"/>
      <c r="C368" s="20"/>
      <c r="D368" s="18"/>
      <c r="E368" s="19"/>
      <c r="F368" s="20"/>
      <c r="G368" s="20"/>
      <c r="H368" s="20"/>
      <c r="I368" s="20"/>
      <c r="J368" s="20"/>
      <c r="K368" s="21"/>
      <c r="L368" s="21"/>
      <c r="M368" s="22"/>
      <c r="N368" s="23"/>
      <c r="O368" s="14"/>
    </row>
    <row r="369" ht="15.0" customHeight="1">
      <c r="A369" s="18"/>
      <c r="B369" s="27"/>
      <c r="C369" s="20"/>
      <c r="D369" s="18"/>
      <c r="E369" s="19"/>
      <c r="F369" s="20"/>
      <c r="G369" s="20"/>
      <c r="H369" s="20"/>
      <c r="I369" s="20"/>
      <c r="J369" s="20"/>
      <c r="K369" s="21"/>
      <c r="L369" s="21"/>
      <c r="M369" s="22"/>
      <c r="N369" s="23"/>
      <c r="O369" s="14"/>
    </row>
    <row r="370" ht="15.0" customHeight="1">
      <c r="A370" s="18"/>
      <c r="B370" s="27"/>
      <c r="C370" s="20"/>
      <c r="D370" s="18"/>
      <c r="E370" s="19"/>
      <c r="F370" s="20"/>
      <c r="G370" s="20"/>
      <c r="H370" s="20"/>
      <c r="I370" s="20"/>
      <c r="J370" s="20"/>
      <c r="K370" s="21"/>
      <c r="L370" s="21"/>
      <c r="M370" s="22"/>
      <c r="N370" s="23"/>
      <c r="O370" s="14"/>
    </row>
    <row r="371" ht="15.0" customHeight="1">
      <c r="A371" s="18"/>
      <c r="B371" s="27"/>
      <c r="C371" s="20"/>
      <c r="D371" s="18"/>
      <c r="E371" s="19"/>
      <c r="F371" s="20"/>
      <c r="G371" s="20"/>
      <c r="H371" s="20"/>
      <c r="I371" s="20"/>
      <c r="J371" s="20"/>
      <c r="K371" s="21"/>
      <c r="L371" s="21"/>
      <c r="M371" s="22"/>
      <c r="N371" s="23"/>
      <c r="O371" s="14"/>
    </row>
    <row r="372" ht="15.0" customHeight="1">
      <c r="A372" s="18"/>
      <c r="B372" s="27"/>
      <c r="C372" s="20"/>
      <c r="D372" s="18"/>
      <c r="E372" s="19"/>
      <c r="F372" s="20"/>
      <c r="G372" s="20"/>
      <c r="H372" s="20"/>
      <c r="I372" s="20"/>
      <c r="J372" s="20"/>
      <c r="K372" s="21"/>
      <c r="L372" s="21"/>
      <c r="M372" s="22"/>
      <c r="N372" s="23"/>
      <c r="O372" s="14"/>
    </row>
    <row r="373" ht="15.0" customHeight="1">
      <c r="A373" s="18"/>
      <c r="B373" s="27"/>
      <c r="C373" s="20"/>
      <c r="D373" s="18"/>
      <c r="E373" s="19"/>
      <c r="F373" s="20"/>
      <c r="G373" s="20"/>
      <c r="H373" s="20"/>
      <c r="I373" s="20"/>
      <c r="J373" s="20"/>
      <c r="K373" s="21"/>
      <c r="L373" s="21"/>
      <c r="M373" s="22"/>
      <c r="N373" s="23"/>
      <c r="O373" s="14"/>
    </row>
    <row r="374" ht="15.0" customHeight="1">
      <c r="A374" s="18"/>
      <c r="B374" s="27"/>
      <c r="C374" s="20"/>
      <c r="D374" s="18"/>
      <c r="E374" s="19"/>
      <c r="F374" s="20"/>
      <c r="G374" s="20"/>
      <c r="H374" s="20"/>
      <c r="I374" s="20"/>
      <c r="J374" s="24"/>
      <c r="K374" s="21"/>
      <c r="L374" s="21"/>
      <c r="M374" s="22"/>
      <c r="N374" s="23"/>
      <c r="O374" s="14"/>
    </row>
    <row r="375" ht="15.0" customHeight="1">
      <c r="A375" s="18"/>
      <c r="B375" s="27"/>
      <c r="C375" s="20"/>
      <c r="D375" s="18"/>
      <c r="E375" s="19"/>
      <c r="F375" s="20"/>
      <c r="G375" s="20"/>
      <c r="H375" s="20"/>
      <c r="I375" s="20"/>
      <c r="J375" s="20"/>
      <c r="K375" s="21"/>
      <c r="L375" s="21"/>
      <c r="M375" s="22"/>
      <c r="N375" s="18"/>
      <c r="O375" s="14"/>
    </row>
    <row r="376" ht="15.0" customHeight="1">
      <c r="A376" s="18"/>
      <c r="B376" s="16"/>
      <c r="C376" s="40"/>
      <c r="D376" s="18"/>
      <c r="E376" s="19"/>
      <c r="F376" s="20"/>
      <c r="G376" s="20"/>
      <c r="H376" s="20"/>
      <c r="I376" s="20"/>
      <c r="J376" s="20"/>
      <c r="K376" s="21"/>
      <c r="L376" s="21"/>
      <c r="M376" s="22"/>
      <c r="N376" s="23"/>
      <c r="O376" s="14"/>
    </row>
    <row r="377" ht="15.0" customHeight="1">
      <c r="A377" s="18"/>
      <c r="B377" s="27"/>
      <c r="C377" s="20"/>
      <c r="D377" s="18"/>
      <c r="E377" s="19"/>
      <c r="F377" s="20"/>
      <c r="G377" s="20"/>
      <c r="H377" s="20"/>
      <c r="I377" s="20"/>
      <c r="J377" s="24"/>
      <c r="K377" s="21"/>
      <c r="L377" s="21"/>
      <c r="M377" s="25"/>
      <c r="N377" s="26"/>
      <c r="O377" s="14"/>
    </row>
    <row r="378" ht="15.0" customHeight="1">
      <c r="A378" s="18"/>
      <c r="B378" s="27"/>
      <c r="C378" s="20"/>
      <c r="D378" s="18"/>
      <c r="E378" s="19"/>
      <c r="F378" s="20"/>
      <c r="G378" s="20"/>
      <c r="H378" s="20"/>
      <c r="I378" s="20"/>
      <c r="J378" s="24"/>
      <c r="K378" s="21"/>
      <c r="L378" s="21"/>
      <c r="M378" s="25"/>
      <c r="N378" s="26"/>
      <c r="O378" s="14"/>
    </row>
    <row r="379" ht="15.0" customHeight="1">
      <c r="A379" s="18"/>
      <c r="B379" s="27"/>
      <c r="C379" s="20"/>
      <c r="D379" s="18"/>
      <c r="E379" s="19"/>
      <c r="F379" s="20"/>
      <c r="G379" s="20"/>
      <c r="H379" s="20"/>
      <c r="I379" s="20"/>
      <c r="J379" s="24"/>
      <c r="K379" s="21"/>
      <c r="L379" s="21"/>
      <c r="M379" s="25"/>
      <c r="N379" s="26"/>
      <c r="O379" s="14"/>
    </row>
    <row r="380" ht="15.0" customHeight="1">
      <c r="A380" s="18"/>
      <c r="B380" s="27"/>
      <c r="C380" s="20"/>
      <c r="D380" s="18"/>
      <c r="E380" s="19"/>
      <c r="F380" s="20"/>
      <c r="G380" s="20"/>
      <c r="H380" s="20"/>
      <c r="I380" s="20"/>
      <c r="J380" s="24"/>
      <c r="K380" s="21"/>
      <c r="L380" s="21"/>
      <c r="M380" s="25"/>
      <c r="N380" s="26"/>
      <c r="O380" s="14"/>
    </row>
    <row r="381" ht="15.0" customHeight="1">
      <c r="A381" s="18"/>
      <c r="B381" s="27"/>
      <c r="C381" s="20"/>
      <c r="D381" s="18"/>
      <c r="E381" s="19"/>
      <c r="F381" s="20"/>
      <c r="G381" s="20"/>
      <c r="H381" s="20"/>
      <c r="I381" s="20"/>
      <c r="J381" s="24"/>
      <c r="K381" s="21"/>
      <c r="L381" s="21"/>
      <c r="M381" s="23"/>
      <c r="N381" s="23"/>
      <c r="O381" s="14"/>
    </row>
    <row r="382" ht="15.0" customHeight="1">
      <c r="A382" s="18"/>
      <c r="B382" s="27"/>
      <c r="C382" s="20"/>
      <c r="D382" s="18"/>
      <c r="E382" s="19"/>
      <c r="F382" s="20"/>
      <c r="G382" s="20"/>
      <c r="H382" s="20"/>
      <c r="I382" s="20"/>
      <c r="J382" s="24"/>
      <c r="K382" s="21"/>
      <c r="L382" s="21"/>
      <c r="M382" s="23"/>
      <c r="N382" s="23"/>
      <c r="O382" s="14"/>
    </row>
    <row r="383" ht="15.0" customHeight="1">
      <c r="A383" s="18"/>
      <c r="B383" s="27"/>
      <c r="C383" s="20"/>
      <c r="D383" s="18"/>
      <c r="E383" s="19"/>
      <c r="F383" s="20"/>
      <c r="G383" s="20"/>
      <c r="H383" s="20"/>
      <c r="I383" s="20"/>
      <c r="J383" s="24"/>
      <c r="K383" s="21"/>
      <c r="L383" s="21"/>
      <c r="M383" s="23"/>
      <c r="N383" s="23"/>
      <c r="O383" s="14"/>
    </row>
    <row r="384" ht="15.0" customHeight="1">
      <c r="A384" s="18"/>
      <c r="B384" s="27"/>
      <c r="C384" s="20"/>
      <c r="D384" s="18"/>
      <c r="E384" s="19"/>
      <c r="F384" s="20"/>
      <c r="G384" s="20"/>
      <c r="H384" s="20"/>
      <c r="I384" s="20"/>
      <c r="J384" s="24"/>
      <c r="K384" s="21"/>
      <c r="L384" s="21"/>
      <c r="M384" s="23"/>
      <c r="N384" s="23"/>
      <c r="O384" s="14"/>
    </row>
    <row r="385" ht="15.0" customHeight="1">
      <c r="A385" s="52"/>
      <c r="B385" s="27"/>
      <c r="C385" s="40"/>
      <c r="D385" s="18"/>
      <c r="E385" s="19"/>
      <c r="F385" s="20"/>
      <c r="G385" s="20"/>
      <c r="H385" s="20"/>
      <c r="I385" s="20"/>
      <c r="J385" s="20"/>
      <c r="K385" s="21"/>
      <c r="L385" s="21"/>
      <c r="M385" s="29"/>
      <c r="N385" s="23"/>
      <c r="O385" s="14"/>
    </row>
    <row r="386" ht="15.0" customHeight="1">
      <c r="A386" s="18"/>
      <c r="B386" s="16"/>
      <c r="C386" s="40"/>
      <c r="D386" s="18"/>
      <c r="E386" s="19"/>
      <c r="F386" s="20"/>
      <c r="G386" s="20"/>
      <c r="H386" s="20"/>
      <c r="I386" s="20"/>
      <c r="J386" s="20"/>
      <c r="K386" s="21"/>
      <c r="L386" s="21"/>
      <c r="M386" s="22"/>
      <c r="N386" s="23"/>
      <c r="O386" s="14"/>
    </row>
    <row r="387" ht="15.0" customHeight="1">
      <c r="A387" s="18"/>
      <c r="B387" s="27"/>
      <c r="C387" s="40"/>
      <c r="D387" s="18"/>
      <c r="E387" s="19"/>
      <c r="F387" s="20"/>
      <c r="G387" s="20"/>
      <c r="H387" s="20"/>
      <c r="I387" s="20"/>
      <c r="J387" s="20"/>
      <c r="K387" s="21"/>
      <c r="L387" s="21"/>
      <c r="M387" s="22"/>
      <c r="N387" s="23"/>
      <c r="O387" s="14"/>
    </row>
    <row r="388" ht="15.0" customHeight="1">
      <c r="A388" s="18"/>
      <c r="B388" s="27"/>
      <c r="C388" s="40"/>
      <c r="D388" s="18"/>
      <c r="E388" s="19"/>
      <c r="F388" s="20"/>
      <c r="G388" s="20"/>
      <c r="H388" s="20"/>
      <c r="I388" s="20"/>
      <c r="J388" s="20"/>
      <c r="K388" s="21"/>
      <c r="L388" s="21"/>
      <c r="M388" s="29"/>
      <c r="N388" s="23"/>
      <c r="O388" s="14"/>
    </row>
    <row r="389" ht="15.0" customHeight="1">
      <c r="A389" s="18"/>
      <c r="B389" s="27"/>
      <c r="C389" s="40"/>
      <c r="D389" s="18"/>
      <c r="E389" s="19"/>
      <c r="F389" s="20"/>
      <c r="G389" s="20"/>
      <c r="H389" s="20"/>
      <c r="I389" s="20"/>
      <c r="J389" s="20"/>
      <c r="K389" s="21"/>
      <c r="L389" s="21"/>
      <c r="M389" s="22"/>
      <c r="N389" s="23"/>
      <c r="O389" s="14"/>
    </row>
    <row r="390" ht="15.0" customHeight="1">
      <c r="A390" s="18"/>
      <c r="B390" s="27"/>
      <c r="C390" s="40"/>
      <c r="D390" s="18"/>
      <c r="E390" s="19"/>
      <c r="F390" s="20"/>
      <c r="G390" s="20"/>
      <c r="H390" s="20"/>
      <c r="I390" s="20"/>
      <c r="J390" s="24"/>
      <c r="K390" s="21"/>
      <c r="L390" s="21"/>
      <c r="M390" s="25"/>
      <c r="N390" s="26"/>
      <c r="O390" s="14"/>
    </row>
    <row r="391" ht="15.0" customHeight="1">
      <c r="A391" s="18"/>
      <c r="B391" s="27"/>
      <c r="C391" s="40"/>
      <c r="D391" s="18"/>
      <c r="E391" s="19"/>
      <c r="F391" s="20"/>
      <c r="G391" s="20"/>
      <c r="H391" s="20"/>
      <c r="I391" s="20"/>
      <c r="J391" s="24"/>
      <c r="K391" s="21"/>
      <c r="L391" s="21"/>
      <c r="M391" s="23"/>
      <c r="N391" s="23"/>
      <c r="O391" s="14"/>
    </row>
    <row r="392" ht="15.0" customHeight="1">
      <c r="A392" s="18"/>
      <c r="B392" s="27"/>
      <c r="C392" s="20"/>
      <c r="D392" s="18"/>
      <c r="E392" s="19"/>
      <c r="F392" s="20"/>
      <c r="G392" s="20"/>
      <c r="H392" s="20"/>
      <c r="I392" s="20"/>
      <c r="J392" s="24"/>
      <c r="K392" s="21"/>
      <c r="L392" s="21"/>
      <c r="M392" s="25"/>
      <c r="N392" s="26"/>
      <c r="O392" s="14"/>
    </row>
    <row r="393" ht="15.0" customHeight="1">
      <c r="A393" s="18"/>
      <c r="B393" s="27"/>
      <c r="C393" s="40"/>
      <c r="D393" s="18"/>
      <c r="E393" s="19"/>
      <c r="F393" s="20"/>
      <c r="G393" s="20"/>
      <c r="H393" s="20"/>
      <c r="I393" s="20"/>
      <c r="J393" s="24"/>
      <c r="K393" s="21"/>
      <c r="L393" s="21"/>
      <c r="M393" s="25"/>
      <c r="N393" s="26"/>
      <c r="O393" s="14"/>
    </row>
    <row r="394" ht="15.0" customHeight="1">
      <c r="A394" s="18"/>
      <c r="B394" s="27"/>
      <c r="C394" s="40"/>
      <c r="D394" s="18"/>
      <c r="E394" s="19"/>
      <c r="F394" s="20"/>
      <c r="G394" s="20"/>
      <c r="H394" s="20"/>
      <c r="I394" s="20"/>
      <c r="J394" s="24"/>
      <c r="K394" s="21"/>
      <c r="L394" s="21"/>
      <c r="M394" s="23"/>
      <c r="N394" s="23"/>
      <c r="O394" s="14"/>
    </row>
    <row r="395" ht="15.0" customHeight="1">
      <c r="A395" s="18"/>
      <c r="B395" s="27"/>
      <c r="C395" s="40"/>
      <c r="D395" s="18"/>
      <c r="E395" s="19"/>
      <c r="F395" s="20"/>
      <c r="G395" s="20"/>
      <c r="H395" s="20"/>
      <c r="I395" s="20"/>
      <c r="J395" s="24"/>
      <c r="K395" s="21"/>
      <c r="L395" s="21"/>
      <c r="M395" s="25"/>
      <c r="N395" s="26"/>
      <c r="O395" s="14"/>
    </row>
    <row r="396" ht="15.0" customHeight="1">
      <c r="A396" s="18"/>
      <c r="B396" s="27"/>
      <c r="C396" s="20"/>
      <c r="D396" s="18"/>
      <c r="E396" s="19"/>
      <c r="F396" s="20"/>
      <c r="G396" s="20"/>
      <c r="H396" s="20"/>
      <c r="I396" s="20"/>
      <c r="J396" s="24"/>
      <c r="K396" s="21"/>
      <c r="L396" s="21"/>
      <c r="M396" s="25"/>
      <c r="N396" s="26"/>
      <c r="O396" s="14"/>
    </row>
    <row r="397" ht="15.0" customHeight="1">
      <c r="A397" s="18"/>
      <c r="B397" s="27"/>
      <c r="C397" s="20"/>
      <c r="D397" s="18"/>
      <c r="E397" s="19"/>
      <c r="F397" s="20"/>
      <c r="G397" s="20"/>
      <c r="H397" s="20"/>
      <c r="I397" s="20"/>
      <c r="J397" s="20"/>
      <c r="K397" s="21"/>
      <c r="L397" s="21"/>
      <c r="M397" s="34"/>
      <c r="N397" s="23"/>
      <c r="O397" s="14"/>
    </row>
    <row r="398" ht="15.0" customHeight="1">
      <c r="A398" s="18"/>
      <c r="B398" s="27"/>
      <c r="C398" s="20"/>
      <c r="D398" s="18"/>
      <c r="E398" s="19"/>
      <c r="F398" s="20"/>
      <c r="G398" s="20"/>
      <c r="H398" s="20"/>
      <c r="I398" s="20"/>
      <c r="J398" s="24"/>
      <c r="K398" s="21"/>
      <c r="L398" s="21"/>
      <c r="M398" s="25"/>
      <c r="N398" s="26"/>
      <c r="O398" s="14"/>
    </row>
    <row r="399" ht="15.0" customHeight="1">
      <c r="A399" s="18"/>
      <c r="B399" s="27"/>
      <c r="C399" s="20"/>
      <c r="D399" s="18"/>
      <c r="E399" s="19"/>
      <c r="F399" s="20"/>
      <c r="G399" s="20"/>
      <c r="H399" s="20"/>
      <c r="I399" s="20"/>
      <c r="J399" s="20"/>
      <c r="K399" s="21"/>
      <c r="L399" s="21"/>
      <c r="M399" s="22"/>
      <c r="N399" s="23"/>
      <c r="O399" s="14"/>
    </row>
    <row r="400" ht="15.0" customHeight="1">
      <c r="A400" s="18"/>
      <c r="B400" s="27"/>
      <c r="C400" s="20"/>
      <c r="D400" s="18"/>
      <c r="E400" s="19"/>
      <c r="F400" s="20"/>
      <c r="G400" s="20"/>
      <c r="H400" s="20"/>
      <c r="I400" s="20"/>
      <c r="J400" s="20"/>
      <c r="K400" s="21"/>
      <c r="L400" s="21"/>
      <c r="M400" s="29"/>
      <c r="N400" s="23"/>
      <c r="O400" s="14"/>
    </row>
    <row r="401" ht="15.0" customHeight="1">
      <c r="A401" s="18"/>
      <c r="B401" s="27"/>
      <c r="C401" s="20"/>
      <c r="D401" s="18"/>
      <c r="E401" s="19"/>
      <c r="F401" s="20"/>
      <c r="G401" s="20"/>
      <c r="H401" s="20"/>
      <c r="I401" s="20"/>
      <c r="J401" s="20"/>
      <c r="K401" s="21"/>
      <c r="L401" s="21"/>
      <c r="M401" s="22"/>
      <c r="N401" s="23"/>
      <c r="O401" s="14"/>
    </row>
    <row r="402" ht="15.0" customHeight="1">
      <c r="A402" s="18"/>
      <c r="B402" s="27"/>
      <c r="C402" s="20"/>
      <c r="D402" s="18"/>
      <c r="E402" s="19"/>
      <c r="F402" s="20"/>
      <c r="G402" s="20"/>
      <c r="H402" s="20"/>
      <c r="I402" s="20"/>
      <c r="J402" s="24"/>
      <c r="K402" s="21"/>
      <c r="L402" s="21"/>
      <c r="M402" s="22"/>
      <c r="N402" s="23"/>
      <c r="O402" s="14"/>
    </row>
    <row r="403" ht="15.0" customHeight="1">
      <c r="A403" s="18"/>
      <c r="B403" s="27"/>
      <c r="C403" s="20"/>
      <c r="D403" s="18"/>
      <c r="E403" s="19"/>
      <c r="F403" s="20"/>
      <c r="G403" s="20"/>
      <c r="H403" s="20"/>
      <c r="I403" s="20"/>
      <c r="J403" s="20"/>
      <c r="K403" s="21"/>
      <c r="L403" s="21"/>
      <c r="M403" s="20"/>
      <c r="N403" s="23"/>
      <c r="O403" s="14"/>
    </row>
    <row r="404" ht="15.0" customHeight="1">
      <c r="A404" s="51"/>
      <c r="B404" s="27"/>
      <c r="C404" s="20"/>
      <c r="D404" s="18"/>
      <c r="E404" s="19"/>
      <c r="F404" s="20"/>
      <c r="G404" s="20"/>
      <c r="H404" s="20"/>
      <c r="I404" s="20"/>
      <c r="J404" s="24"/>
      <c r="K404" s="21"/>
      <c r="L404" s="21"/>
      <c r="M404" s="25"/>
      <c r="N404" s="26"/>
      <c r="O404" s="14"/>
    </row>
    <row r="405" ht="15.0" customHeight="1">
      <c r="A405" s="18"/>
      <c r="B405" s="27"/>
      <c r="C405" s="20"/>
      <c r="D405" s="18"/>
      <c r="E405" s="19"/>
      <c r="F405" s="20"/>
      <c r="G405" s="20"/>
      <c r="H405" s="20"/>
      <c r="I405" s="20"/>
      <c r="J405" s="20"/>
      <c r="K405" s="21"/>
      <c r="L405" s="21"/>
      <c r="M405" s="34"/>
      <c r="N405" s="23"/>
      <c r="O405" s="14"/>
    </row>
    <row r="406" ht="15.0" customHeight="1">
      <c r="A406" s="51"/>
      <c r="B406" s="27"/>
      <c r="C406" s="20"/>
      <c r="D406" s="18"/>
      <c r="E406" s="19"/>
      <c r="F406" s="20"/>
      <c r="G406" s="20"/>
      <c r="H406" s="20"/>
      <c r="I406" s="20"/>
      <c r="J406" s="20"/>
      <c r="K406" s="21"/>
      <c r="L406" s="21"/>
      <c r="M406" s="22"/>
      <c r="N406" s="23"/>
      <c r="O406" s="14"/>
    </row>
    <row r="407" ht="15.0" customHeight="1">
      <c r="A407" s="18"/>
      <c r="B407" s="27"/>
      <c r="C407" s="20"/>
      <c r="D407" s="18"/>
      <c r="E407" s="19"/>
      <c r="F407" s="20"/>
      <c r="G407" s="20"/>
      <c r="H407" s="20"/>
      <c r="I407" s="20"/>
      <c r="J407" s="20"/>
      <c r="K407" s="21"/>
      <c r="L407" s="21"/>
      <c r="M407" s="29"/>
      <c r="N407" s="23"/>
      <c r="O407" s="14"/>
    </row>
    <row r="408" ht="15.0" customHeight="1">
      <c r="A408" s="18"/>
      <c r="B408" s="27"/>
      <c r="C408" s="20"/>
      <c r="D408" s="18"/>
      <c r="E408" s="19"/>
      <c r="F408" s="20"/>
      <c r="G408" s="20"/>
      <c r="H408" s="20"/>
      <c r="I408" s="20"/>
      <c r="J408" s="20"/>
      <c r="K408" s="21"/>
      <c r="L408" s="21"/>
      <c r="M408" s="22"/>
      <c r="N408" s="23"/>
      <c r="O408" s="14"/>
    </row>
    <row r="409" ht="15.0" customHeight="1">
      <c r="A409" s="18"/>
      <c r="B409" s="27"/>
      <c r="C409" s="20"/>
      <c r="D409" s="18"/>
      <c r="E409" s="19"/>
      <c r="F409" s="20"/>
      <c r="G409" s="20"/>
      <c r="H409" s="20"/>
      <c r="I409" s="20"/>
      <c r="J409" s="24"/>
      <c r="K409" s="21"/>
      <c r="L409" s="21"/>
      <c r="M409" s="22"/>
      <c r="N409" s="23"/>
      <c r="O409" s="14"/>
    </row>
    <row r="410" ht="15.0" customHeight="1">
      <c r="A410" s="51"/>
      <c r="B410" s="27"/>
      <c r="C410" s="20"/>
      <c r="D410" s="18"/>
      <c r="E410" s="19"/>
      <c r="F410" s="20"/>
      <c r="G410" s="20"/>
      <c r="H410" s="20"/>
      <c r="I410" s="20"/>
      <c r="J410" s="24"/>
      <c r="K410" s="21"/>
      <c r="L410" s="21"/>
      <c r="M410" s="22"/>
      <c r="N410" s="26"/>
      <c r="O410" s="14"/>
    </row>
    <row r="411" ht="15.0" customHeight="1">
      <c r="A411" s="18"/>
      <c r="B411" s="27"/>
      <c r="C411" s="20"/>
      <c r="D411" s="18"/>
      <c r="E411" s="19"/>
      <c r="F411" s="20"/>
      <c r="G411" s="20"/>
      <c r="H411" s="20"/>
      <c r="I411" s="20"/>
      <c r="J411" s="24"/>
      <c r="K411" s="21"/>
      <c r="L411" s="21"/>
      <c r="M411" s="25"/>
      <c r="N411" s="26"/>
      <c r="O411" s="14"/>
    </row>
    <row r="412" ht="15.0" customHeight="1">
      <c r="A412" s="18"/>
      <c r="B412" s="27"/>
      <c r="C412" s="20"/>
      <c r="D412" s="18"/>
      <c r="E412" s="19"/>
      <c r="F412" s="20"/>
      <c r="G412" s="20"/>
      <c r="H412" s="20"/>
      <c r="I412" s="20"/>
      <c r="J412" s="24"/>
      <c r="K412" s="21"/>
      <c r="L412" s="21"/>
      <c r="M412" s="23"/>
      <c r="N412" s="23"/>
      <c r="O412" s="14"/>
    </row>
    <row r="413" ht="15.0" customHeight="1">
      <c r="A413" s="18"/>
      <c r="B413" s="27"/>
      <c r="C413" s="20"/>
      <c r="D413" s="18"/>
      <c r="E413" s="19"/>
      <c r="F413" s="20"/>
      <c r="G413" s="20"/>
      <c r="H413" s="20"/>
      <c r="I413" s="20"/>
      <c r="J413" s="24"/>
      <c r="K413" s="21"/>
      <c r="L413" s="21"/>
      <c r="M413" s="25"/>
      <c r="N413" s="26"/>
      <c r="O413" s="14"/>
    </row>
    <row r="414" ht="15.0" customHeight="1">
      <c r="A414" s="23"/>
      <c r="B414" s="27"/>
      <c r="C414" s="20"/>
      <c r="D414" s="18"/>
      <c r="E414" s="19"/>
      <c r="F414" s="20"/>
      <c r="G414" s="20"/>
      <c r="H414" s="20"/>
      <c r="I414" s="20"/>
      <c r="J414" s="20"/>
      <c r="K414" s="21"/>
      <c r="L414" s="21"/>
      <c r="M414" s="34"/>
      <c r="N414" s="23"/>
      <c r="O414" s="14"/>
    </row>
    <row r="415" ht="15.0" customHeight="1">
      <c r="A415" s="23"/>
      <c r="B415" s="27"/>
      <c r="C415" s="20"/>
      <c r="D415" s="18"/>
      <c r="E415" s="19"/>
      <c r="F415" s="20"/>
      <c r="G415" s="20"/>
      <c r="H415" s="20"/>
      <c r="I415" s="20"/>
      <c r="J415" s="20"/>
      <c r="K415" s="21"/>
      <c r="L415" s="21"/>
      <c r="M415" s="34"/>
      <c r="N415" s="23"/>
      <c r="O415" s="14"/>
    </row>
    <row r="416" ht="15.0" customHeight="1">
      <c r="A416" s="23"/>
      <c r="B416" s="27"/>
      <c r="C416" s="20"/>
      <c r="D416" s="18"/>
      <c r="E416" s="19"/>
      <c r="F416" s="20"/>
      <c r="G416" s="20"/>
      <c r="H416" s="20"/>
      <c r="I416" s="20"/>
      <c r="J416" s="20"/>
      <c r="K416" s="21"/>
      <c r="L416" s="21"/>
      <c r="M416" s="22"/>
      <c r="N416" s="23"/>
      <c r="O416" s="14"/>
    </row>
    <row r="417" ht="15.0" customHeight="1">
      <c r="A417" s="23"/>
      <c r="B417" s="27"/>
      <c r="C417" s="20"/>
      <c r="D417" s="18"/>
      <c r="E417" s="19"/>
      <c r="F417" s="20"/>
      <c r="G417" s="20"/>
      <c r="H417" s="20"/>
      <c r="I417" s="20"/>
      <c r="J417" s="24"/>
      <c r="K417" s="21"/>
      <c r="L417" s="21"/>
      <c r="M417" s="22"/>
      <c r="N417" s="23"/>
      <c r="O417" s="14"/>
    </row>
    <row r="418" ht="15.0" customHeight="1">
      <c r="A418" s="23"/>
      <c r="B418" s="27"/>
      <c r="C418" s="20"/>
      <c r="D418" s="18"/>
      <c r="E418" s="19"/>
      <c r="F418" s="20"/>
      <c r="G418" s="20"/>
      <c r="H418" s="20"/>
      <c r="I418" s="20"/>
      <c r="J418" s="20"/>
      <c r="K418" s="21"/>
      <c r="L418" s="21"/>
      <c r="M418" s="29"/>
      <c r="N418" s="23"/>
      <c r="O418" s="14"/>
    </row>
    <row r="419" ht="15.0" customHeight="1">
      <c r="A419" s="23"/>
      <c r="B419" s="27"/>
      <c r="C419" s="20"/>
      <c r="D419" s="18"/>
      <c r="E419" s="19"/>
      <c r="F419" s="20"/>
      <c r="G419" s="20"/>
      <c r="H419" s="20"/>
      <c r="I419" s="20"/>
      <c r="J419" s="24"/>
      <c r="K419" s="21"/>
      <c r="L419" s="21"/>
      <c r="M419" s="18"/>
      <c r="N419" s="23"/>
      <c r="O419" s="14"/>
    </row>
    <row r="420" ht="15.0" customHeight="1">
      <c r="A420" s="23"/>
      <c r="B420" s="27"/>
      <c r="C420" s="20"/>
      <c r="D420" s="18"/>
      <c r="E420" s="19"/>
      <c r="F420" s="20"/>
      <c r="G420" s="20"/>
      <c r="H420" s="20"/>
      <c r="I420" s="20"/>
      <c r="J420" s="20"/>
      <c r="K420" s="21"/>
      <c r="L420" s="21"/>
      <c r="M420" s="22"/>
      <c r="N420" s="23"/>
      <c r="O420" s="14"/>
    </row>
    <row r="421" ht="15.0" customHeight="1">
      <c r="A421" s="23"/>
      <c r="B421" s="27"/>
      <c r="C421" s="20"/>
      <c r="D421" s="18"/>
      <c r="E421" s="19"/>
      <c r="F421" s="20"/>
      <c r="G421" s="20"/>
      <c r="H421" s="20"/>
      <c r="I421" s="20"/>
      <c r="J421" s="24"/>
      <c r="K421" s="21"/>
      <c r="L421" s="21"/>
      <c r="M421" s="17"/>
      <c r="N421" s="23"/>
      <c r="O421" s="14"/>
    </row>
    <row r="422" ht="15.0" customHeight="1">
      <c r="A422" s="23"/>
      <c r="B422" s="27"/>
      <c r="C422" s="20"/>
      <c r="D422" s="18"/>
      <c r="E422" s="19"/>
      <c r="F422" s="20"/>
      <c r="G422" s="20"/>
      <c r="H422" s="20"/>
      <c r="I422" s="20"/>
      <c r="J422" s="24"/>
      <c r="K422" s="21"/>
      <c r="L422" s="21"/>
      <c r="M422" s="18"/>
      <c r="N422" s="23"/>
      <c r="O422" s="14"/>
    </row>
    <row r="423" ht="15.0" customHeight="1">
      <c r="A423" s="23"/>
      <c r="B423" s="27"/>
      <c r="C423" s="20"/>
      <c r="D423" s="18"/>
      <c r="E423" s="19"/>
      <c r="F423" s="20"/>
      <c r="G423" s="20"/>
      <c r="H423" s="20"/>
      <c r="I423" s="20"/>
      <c r="J423" s="24"/>
      <c r="K423" s="21"/>
      <c r="L423" s="21"/>
      <c r="M423" s="18"/>
      <c r="N423" s="23"/>
      <c r="O423" s="14"/>
    </row>
    <row r="424" ht="15.0" customHeight="1">
      <c r="A424" s="23"/>
      <c r="B424" s="27"/>
      <c r="C424" s="20"/>
      <c r="D424" s="18"/>
      <c r="E424" s="19"/>
      <c r="F424" s="20"/>
      <c r="G424" s="20"/>
      <c r="H424" s="20"/>
      <c r="I424" s="20"/>
      <c r="J424" s="24"/>
      <c r="K424" s="21"/>
      <c r="L424" s="21"/>
      <c r="M424" s="29"/>
      <c r="N424" s="23"/>
      <c r="O424" s="14"/>
    </row>
    <row r="425" ht="15.0" customHeight="1">
      <c r="A425" s="23"/>
      <c r="B425" s="27"/>
      <c r="C425" s="20"/>
      <c r="D425" s="18"/>
      <c r="E425" s="19"/>
      <c r="F425" s="20"/>
      <c r="G425" s="20"/>
      <c r="H425" s="20"/>
      <c r="I425" s="20"/>
      <c r="J425" s="24"/>
      <c r="K425" s="21"/>
      <c r="L425" s="21"/>
      <c r="M425" s="29"/>
      <c r="N425" s="23"/>
      <c r="O425" s="14"/>
    </row>
    <row r="426" ht="15.0" customHeight="1">
      <c r="A426" s="23"/>
      <c r="B426" s="27"/>
      <c r="C426" s="20"/>
      <c r="D426" s="18"/>
      <c r="E426" s="19"/>
      <c r="F426" s="20"/>
      <c r="G426" s="20"/>
      <c r="H426" s="20"/>
      <c r="I426" s="20"/>
      <c r="J426" s="24"/>
      <c r="K426" s="21"/>
      <c r="L426" s="21"/>
      <c r="M426" s="20"/>
      <c r="N426" s="23"/>
      <c r="O426" s="14"/>
    </row>
    <row r="427" ht="15.0" customHeight="1">
      <c r="A427" s="23"/>
      <c r="B427" s="16"/>
      <c r="C427" s="20"/>
      <c r="D427" s="18"/>
      <c r="E427" s="19"/>
      <c r="F427" s="20"/>
      <c r="G427" s="20"/>
      <c r="H427" s="20"/>
      <c r="I427" s="20"/>
      <c r="J427" s="24"/>
      <c r="K427" s="21"/>
      <c r="L427" s="21"/>
      <c r="M427" s="29"/>
      <c r="N427" s="23"/>
      <c r="O427" s="14"/>
    </row>
    <row r="428" ht="15.0" customHeight="1">
      <c r="A428" s="23"/>
      <c r="B428" s="16"/>
      <c r="C428" s="20"/>
      <c r="D428" s="18"/>
      <c r="E428" s="19"/>
      <c r="F428" s="20"/>
      <c r="G428" s="20"/>
      <c r="H428" s="20"/>
      <c r="I428" s="20"/>
      <c r="J428" s="24"/>
      <c r="K428" s="21"/>
      <c r="L428" s="21"/>
      <c r="M428" s="18"/>
      <c r="N428" s="23"/>
      <c r="O428" s="14"/>
    </row>
    <row r="429" ht="15.0" customHeight="1">
      <c r="A429" s="23"/>
      <c r="B429" s="27"/>
      <c r="C429" s="20"/>
      <c r="D429" s="18"/>
      <c r="E429" s="19"/>
      <c r="F429" s="20"/>
      <c r="G429" s="20"/>
      <c r="H429" s="20"/>
      <c r="I429" s="20"/>
      <c r="J429" s="24"/>
      <c r="K429" s="21"/>
      <c r="L429" s="21"/>
      <c r="M429" s="23"/>
      <c r="N429" s="23"/>
      <c r="O429" s="14"/>
    </row>
    <row r="430" ht="15.0" customHeight="1">
      <c r="A430" s="23"/>
      <c r="B430" s="27"/>
      <c r="C430" s="20"/>
      <c r="D430" s="18"/>
      <c r="E430" s="19"/>
      <c r="F430" s="20"/>
      <c r="G430" s="20"/>
      <c r="H430" s="20"/>
      <c r="I430" s="20"/>
      <c r="J430" s="20"/>
      <c r="K430" s="21"/>
      <c r="L430" s="21"/>
      <c r="M430" s="18"/>
      <c r="N430" s="23"/>
      <c r="O430" s="14"/>
    </row>
    <row r="431" ht="15.0" customHeight="1">
      <c r="A431" s="23"/>
      <c r="B431" s="27"/>
      <c r="C431" s="20"/>
      <c r="D431" s="18"/>
      <c r="E431" s="19"/>
      <c r="F431" s="20"/>
      <c r="G431" s="20"/>
      <c r="H431" s="20"/>
      <c r="I431" s="20"/>
      <c r="J431" s="20"/>
      <c r="K431" s="21"/>
      <c r="L431" s="21"/>
      <c r="M431" s="22"/>
      <c r="N431" s="23"/>
      <c r="O431" s="14"/>
    </row>
    <row r="432" ht="15.0" customHeight="1">
      <c r="A432" s="23"/>
      <c r="B432" s="27"/>
      <c r="C432" s="20"/>
      <c r="D432" s="18"/>
      <c r="E432" s="19"/>
      <c r="F432" s="20"/>
      <c r="G432" s="20"/>
      <c r="H432" s="20"/>
      <c r="I432" s="20"/>
      <c r="J432" s="24"/>
      <c r="K432" s="21"/>
      <c r="L432" s="21"/>
      <c r="M432" s="25"/>
      <c r="N432" s="23"/>
      <c r="O432" s="14"/>
    </row>
    <row r="433" ht="15.0" customHeight="1">
      <c r="A433" s="23"/>
      <c r="B433" s="27"/>
      <c r="C433" s="20"/>
      <c r="D433" s="18"/>
      <c r="E433" s="19"/>
      <c r="F433" s="20"/>
      <c r="G433" s="20"/>
      <c r="H433" s="20"/>
      <c r="I433" s="20"/>
      <c r="J433" s="20"/>
      <c r="K433" s="21"/>
      <c r="L433" s="21"/>
      <c r="M433" s="22"/>
      <c r="N433" s="23"/>
      <c r="O433" s="14"/>
    </row>
    <row r="434" ht="15.0" customHeight="1">
      <c r="A434" s="23"/>
      <c r="B434" s="27"/>
      <c r="C434" s="20"/>
      <c r="D434" s="18"/>
      <c r="E434" s="19"/>
      <c r="F434" s="20"/>
      <c r="G434" s="20"/>
      <c r="H434" s="20"/>
      <c r="I434" s="20"/>
      <c r="J434" s="20"/>
      <c r="K434" s="21"/>
      <c r="L434" s="21"/>
      <c r="M434" s="22"/>
      <c r="N434" s="23"/>
      <c r="O434" s="14"/>
    </row>
    <row r="435" ht="15.0" customHeight="1">
      <c r="A435" s="23"/>
      <c r="B435" s="27"/>
      <c r="C435" s="20"/>
      <c r="D435" s="18"/>
      <c r="E435" s="19"/>
      <c r="F435" s="20"/>
      <c r="G435" s="20"/>
      <c r="H435" s="20"/>
      <c r="I435" s="20"/>
      <c r="J435" s="20"/>
      <c r="K435" s="21"/>
      <c r="L435" s="21"/>
      <c r="M435" s="29"/>
      <c r="N435" s="23"/>
      <c r="O435" s="14"/>
    </row>
    <row r="436" ht="15.0" customHeight="1">
      <c r="A436" s="23"/>
      <c r="B436" s="27"/>
      <c r="C436" s="20"/>
      <c r="D436" s="18"/>
      <c r="E436" s="19"/>
      <c r="F436" s="20"/>
      <c r="G436" s="20"/>
      <c r="H436" s="20"/>
      <c r="I436" s="20"/>
      <c r="J436" s="24"/>
      <c r="K436" s="21"/>
      <c r="L436" s="21"/>
      <c r="M436" s="22"/>
      <c r="N436" s="23"/>
      <c r="O436" s="14"/>
    </row>
    <row r="437" ht="15.0" customHeight="1">
      <c r="A437" s="23"/>
      <c r="B437" s="27"/>
      <c r="C437" s="20"/>
      <c r="D437" s="18"/>
      <c r="E437" s="19"/>
      <c r="F437" s="20"/>
      <c r="G437" s="20"/>
      <c r="H437" s="20"/>
      <c r="I437" s="20"/>
      <c r="J437" s="20"/>
      <c r="K437" s="21"/>
      <c r="L437" s="21"/>
      <c r="M437" s="20"/>
      <c r="N437" s="23"/>
      <c r="O437" s="14"/>
    </row>
    <row r="438" ht="15.0" customHeight="1">
      <c r="A438" s="23"/>
      <c r="B438" s="27"/>
      <c r="C438" s="20"/>
      <c r="D438" s="18"/>
      <c r="E438" s="19"/>
      <c r="F438" s="20"/>
      <c r="G438" s="20"/>
      <c r="H438" s="20"/>
      <c r="I438" s="20"/>
      <c r="J438" s="24"/>
      <c r="K438" s="21"/>
      <c r="L438" s="21"/>
      <c r="M438" s="25"/>
      <c r="N438" s="23"/>
      <c r="O438" s="14"/>
    </row>
    <row r="439" ht="15.0" customHeight="1">
      <c r="A439" s="23"/>
      <c r="B439" s="27"/>
      <c r="C439" s="20"/>
      <c r="D439" s="18"/>
      <c r="E439" s="19"/>
      <c r="F439" s="20"/>
      <c r="G439" s="20"/>
      <c r="H439" s="20"/>
      <c r="I439" s="20"/>
      <c r="J439" s="24"/>
      <c r="K439" s="21"/>
      <c r="L439" s="21"/>
      <c r="M439" s="25"/>
      <c r="N439" s="23"/>
      <c r="O439" s="14"/>
    </row>
    <row r="440" ht="15.0" customHeight="1">
      <c r="A440" s="23"/>
      <c r="B440" s="27"/>
      <c r="C440" s="20"/>
      <c r="D440" s="18"/>
      <c r="E440" s="19"/>
      <c r="F440" s="20"/>
      <c r="G440" s="20"/>
      <c r="H440" s="20"/>
      <c r="I440" s="20"/>
      <c r="J440" s="24"/>
      <c r="K440" s="21"/>
      <c r="L440" s="21"/>
      <c r="M440" s="23"/>
      <c r="N440" s="23"/>
      <c r="O440" s="14"/>
    </row>
    <row r="441" ht="15.0" customHeight="1">
      <c r="A441" s="23"/>
      <c r="B441" s="27"/>
      <c r="C441" s="20"/>
      <c r="D441" s="18"/>
      <c r="E441" s="19"/>
      <c r="F441" s="20"/>
      <c r="G441" s="20"/>
      <c r="H441" s="20"/>
      <c r="I441" s="20"/>
      <c r="J441" s="24"/>
      <c r="K441" s="21"/>
      <c r="L441" s="21"/>
      <c r="M441" s="25"/>
      <c r="N441" s="23"/>
      <c r="O441" s="14"/>
    </row>
    <row r="442" ht="15.0" customHeight="1">
      <c r="A442" s="23"/>
      <c r="B442" s="27"/>
      <c r="C442" s="20"/>
      <c r="D442" s="18"/>
      <c r="E442" s="19"/>
      <c r="F442" s="20"/>
      <c r="G442" s="20"/>
      <c r="H442" s="20"/>
      <c r="I442" s="20"/>
      <c r="J442" s="24"/>
      <c r="K442" s="45"/>
      <c r="L442" s="45"/>
      <c r="M442" s="23"/>
      <c r="N442" s="23"/>
      <c r="O442" s="14"/>
    </row>
    <row r="443" ht="15.0" customHeight="1">
      <c r="A443" s="23"/>
      <c r="B443" s="27"/>
      <c r="C443" s="20"/>
      <c r="D443" s="18"/>
      <c r="E443" s="19"/>
      <c r="F443" s="20"/>
      <c r="G443" s="20"/>
      <c r="H443" s="20"/>
      <c r="I443" s="20"/>
      <c r="J443" s="24"/>
      <c r="K443" s="21"/>
      <c r="L443" s="21"/>
      <c r="M443" s="25"/>
      <c r="N443" s="23"/>
      <c r="O443" s="14"/>
    </row>
    <row r="444" ht="15.0" customHeight="1">
      <c r="A444" s="23"/>
      <c r="B444" s="27"/>
      <c r="C444" s="20"/>
      <c r="D444" s="18"/>
      <c r="E444" s="19"/>
      <c r="F444" s="20"/>
      <c r="G444" s="20"/>
      <c r="H444" s="20"/>
      <c r="I444" s="20"/>
      <c r="J444" s="24"/>
      <c r="K444" s="21"/>
      <c r="L444" s="21"/>
      <c r="M444" s="25"/>
      <c r="N444" s="23"/>
      <c r="O444" s="14"/>
    </row>
    <row r="445" ht="15.0" customHeight="1">
      <c r="A445" s="18"/>
      <c r="B445" s="16"/>
      <c r="C445" s="20"/>
      <c r="D445" s="18"/>
      <c r="E445" s="19"/>
      <c r="F445" s="20"/>
      <c r="G445" s="20"/>
      <c r="H445" s="20"/>
      <c r="I445" s="20"/>
      <c r="J445" s="20"/>
      <c r="K445" s="21"/>
      <c r="L445" s="21"/>
      <c r="M445" s="22"/>
      <c r="N445" s="23"/>
      <c r="O445" s="14"/>
    </row>
    <row r="446" ht="15.0" customHeight="1">
      <c r="A446" s="18"/>
      <c r="B446" s="27"/>
      <c r="C446" s="20"/>
      <c r="D446" s="18"/>
      <c r="E446" s="19"/>
      <c r="F446" s="20"/>
      <c r="G446" s="20"/>
      <c r="H446" s="20"/>
      <c r="I446" s="20"/>
      <c r="J446" s="27"/>
      <c r="K446" s="21"/>
      <c r="L446" s="21"/>
      <c r="M446" s="20"/>
      <c r="N446" s="20"/>
      <c r="O446" s="14"/>
    </row>
    <row r="447" ht="15.0" customHeight="1">
      <c r="A447" s="18"/>
      <c r="B447" s="16"/>
      <c r="C447" s="20"/>
      <c r="D447" s="18"/>
      <c r="E447" s="19"/>
      <c r="F447" s="20"/>
      <c r="G447" s="20"/>
      <c r="H447" s="20"/>
      <c r="I447" s="20"/>
      <c r="J447" s="24"/>
      <c r="K447" s="21"/>
      <c r="L447" s="21"/>
      <c r="M447" s="25"/>
      <c r="N447" s="26"/>
      <c r="O447" s="14"/>
    </row>
    <row r="448" ht="15.0" customHeight="1">
      <c r="A448" s="18"/>
      <c r="B448" s="27"/>
      <c r="C448" s="20"/>
      <c r="D448" s="18"/>
      <c r="E448" s="19"/>
      <c r="F448" s="20"/>
      <c r="G448" s="20"/>
      <c r="H448" s="20"/>
      <c r="I448" s="20"/>
      <c r="J448" s="24"/>
      <c r="K448" s="21"/>
      <c r="L448" s="21"/>
      <c r="M448" s="23"/>
      <c r="N448" s="23"/>
      <c r="O448" s="14"/>
    </row>
    <row r="449" ht="15.0" customHeight="1">
      <c r="A449" s="18"/>
      <c r="B449" s="27"/>
      <c r="C449" s="20"/>
      <c r="D449" s="20"/>
      <c r="E449" s="19"/>
      <c r="F449" s="20"/>
      <c r="G449" s="20"/>
      <c r="H449" s="20"/>
      <c r="I449" s="20"/>
      <c r="J449" s="24"/>
      <c r="K449" s="21"/>
      <c r="L449" s="21"/>
      <c r="M449" s="25"/>
      <c r="N449" s="26"/>
      <c r="O449" s="14"/>
    </row>
    <row r="450" ht="15.0" customHeight="1">
      <c r="A450" s="23"/>
      <c r="B450" s="27"/>
      <c r="C450" s="20"/>
      <c r="D450" s="18"/>
      <c r="E450" s="19"/>
      <c r="F450" s="20"/>
      <c r="G450" s="20"/>
      <c r="H450" s="20"/>
      <c r="I450" s="20"/>
      <c r="J450" s="20"/>
      <c r="K450" s="21"/>
      <c r="L450" s="21"/>
      <c r="M450" s="34"/>
      <c r="N450" s="23"/>
      <c r="O450" s="14"/>
    </row>
    <row r="451" ht="15.0" customHeight="1">
      <c r="A451" s="23"/>
      <c r="B451" s="27"/>
      <c r="C451" s="20"/>
      <c r="D451" s="18"/>
      <c r="E451" s="19"/>
      <c r="F451" s="20"/>
      <c r="G451" s="20"/>
      <c r="H451" s="20"/>
      <c r="I451" s="20"/>
      <c r="J451" s="20"/>
      <c r="K451" s="21"/>
      <c r="L451" s="21"/>
      <c r="M451" s="34"/>
      <c r="N451" s="23"/>
      <c r="O451" s="14"/>
    </row>
    <row r="452" ht="15.0" customHeight="1">
      <c r="A452" s="23"/>
      <c r="B452" s="27"/>
      <c r="C452" s="20"/>
      <c r="D452" s="18"/>
      <c r="E452" s="19"/>
      <c r="F452" s="20"/>
      <c r="G452" s="20"/>
      <c r="H452" s="20"/>
      <c r="I452" s="20"/>
      <c r="J452" s="20"/>
      <c r="K452" s="21"/>
      <c r="L452" s="21"/>
      <c r="M452" s="22"/>
      <c r="N452" s="23"/>
      <c r="O452" s="14"/>
    </row>
    <row r="453" ht="15.0" customHeight="1">
      <c r="A453" s="23"/>
      <c r="B453" s="27"/>
      <c r="C453" s="20"/>
      <c r="D453" s="18"/>
      <c r="E453" s="19"/>
      <c r="F453" s="20"/>
      <c r="G453" s="20"/>
      <c r="H453" s="20"/>
      <c r="I453" s="20"/>
      <c r="J453" s="24"/>
      <c r="K453" s="21"/>
      <c r="L453" s="21"/>
      <c r="M453" s="22"/>
      <c r="N453" s="23"/>
      <c r="O453" s="14"/>
    </row>
    <row r="454" ht="15.0" customHeight="1">
      <c r="A454" s="23"/>
      <c r="B454" s="27"/>
      <c r="C454" s="20"/>
      <c r="D454" s="18"/>
      <c r="E454" s="19"/>
      <c r="F454" s="20"/>
      <c r="G454" s="20"/>
      <c r="H454" s="20"/>
      <c r="I454" s="20"/>
      <c r="J454" s="20"/>
      <c r="K454" s="21"/>
      <c r="L454" s="21"/>
      <c r="M454" s="29"/>
      <c r="N454" s="23"/>
      <c r="O454" s="14"/>
    </row>
    <row r="455" ht="15.0" customHeight="1">
      <c r="A455" s="18"/>
      <c r="B455" s="27"/>
      <c r="C455" s="20"/>
      <c r="D455" s="18"/>
      <c r="E455" s="19"/>
      <c r="F455" s="20"/>
      <c r="G455" s="20"/>
      <c r="H455" s="20"/>
      <c r="I455" s="20"/>
      <c r="J455" s="24"/>
      <c r="K455" s="21"/>
      <c r="L455" s="21"/>
      <c r="M455" s="18"/>
      <c r="N455" s="26"/>
      <c r="O455" s="14"/>
    </row>
    <row r="456" ht="15.0" customHeight="1">
      <c r="A456" s="18"/>
      <c r="B456" s="27"/>
      <c r="C456" s="20"/>
      <c r="D456" s="18"/>
      <c r="E456" s="19"/>
      <c r="F456" s="20"/>
      <c r="G456" s="20"/>
      <c r="H456" s="20"/>
      <c r="I456" s="20"/>
      <c r="J456" s="24"/>
      <c r="K456" s="21"/>
      <c r="L456" s="21"/>
      <c r="M456" s="18"/>
      <c r="N456" s="23"/>
      <c r="O456" s="14"/>
    </row>
    <row r="457" ht="15.0" customHeight="1">
      <c r="A457" s="18"/>
      <c r="B457" s="27"/>
      <c r="C457" s="20"/>
      <c r="D457" s="18"/>
      <c r="E457" s="19"/>
      <c r="F457" s="20"/>
      <c r="G457" s="20"/>
      <c r="H457" s="20"/>
      <c r="I457" s="20"/>
      <c r="J457" s="24"/>
      <c r="K457" s="21"/>
      <c r="L457" s="21"/>
      <c r="M457" s="18"/>
      <c r="N457" s="23"/>
      <c r="O457" s="14"/>
    </row>
    <row r="458" ht="15.0" customHeight="1">
      <c r="A458" s="18"/>
      <c r="B458" s="27"/>
      <c r="C458" s="20"/>
      <c r="D458" s="18"/>
      <c r="E458" s="19"/>
      <c r="F458" s="20"/>
      <c r="G458" s="20"/>
      <c r="H458" s="20"/>
      <c r="I458" s="20"/>
      <c r="J458" s="24"/>
      <c r="K458" s="21"/>
      <c r="L458" s="21"/>
      <c r="M458" s="29"/>
      <c r="N458" s="26"/>
      <c r="O458" s="14"/>
    </row>
    <row r="459" ht="15.0" customHeight="1">
      <c r="A459" s="18"/>
      <c r="B459" s="27"/>
      <c r="C459" s="20"/>
      <c r="D459" s="18"/>
      <c r="E459" s="19"/>
      <c r="F459" s="20"/>
      <c r="G459" s="20"/>
      <c r="H459" s="20"/>
      <c r="I459" s="20"/>
      <c r="J459" s="24"/>
      <c r="K459" s="21"/>
      <c r="L459" s="21"/>
      <c r="M459" s="29"/>
      <c r="N459" s="26"/>
      <c r="O459" s="14"/>
    </row>
    <row r="460" ht="15.0" customHeight="1">
      <c r="A460" s="18"/>
      <c r="B460" s="27"/>
      <c r="C460" s="20"/>
      <c r="D460" s="18"/>
      <c r="E460" s="19"/>
      <c r="F460" s="20"/>
      <c r="G460" s="20"/>
      <c r="H460" s="20"/>
      <c r="I460" s="20"/>
      <c r="J460" s="24"/>
      <c r="K460" s="21"/>
      <c r="L460" s="21"/>
      <c r="M460" s="20"/>
      <c r="N460" s="26"/>
      <c r="O460" s="14"/>
    </row>
    <row r="461" ht="15.0" customHeight="1">
      <c r="A461" s="18"/>
      <c r="B461" s="27"/>
      <c r="C461" s="20"/>
      <c r="D461" s="18"/>
      <c r="E461" s="19"/>
      <c r="F461" s="20"/>
      <c r="G461" s="20"/>
      <c r="H461" s="20"/>
      <c r="I461" s="20"/>
      <c r="J461" s="24"/>
      <c r="K461" s="21"/>
      <c r="L461" s="21"/>
      <c r="M461" s="23"/>
      <c r="N461" s="23"/>
      <c r="O461" s="14"/>
    </row>
    <row r="462" ht="15.0" customHeight="1">
      <c r="A462" s="18"/>
      <c r="B462" s="27"/>
      <c r="C462" s="20"/>
      <c r="D462" s="18"/>
      <c r="E462" s="19"/>
      <c r="F462" s="20"/>
      <c r="G462" s="39"/>
      <c r="H462" s="39"/>
      <c r="I462" s="39"/>
      <c r="J462" s="24"/>
      <c r="K462" s="21"/>
      <c r="L462" s="21"/>
      <c r="M462" s="18"/>
      <c r="N462" s="23"/>
      <c r="O462" s="14"/>
    </row>
    <row r="463" ht="15.0" customHeight="1">
      <c r="A463" s="18"/>
      <c r="B463" s="27"/>
      <c r="C463" s="20"/>
      <c r="D463" s="18"/>
      <c r="E463" s="19"/>
      <c r="F463" s="20"/>
      <c r="G463" s="20"/>
      <c r="H463" s="20"/>
      <c r="I463" s="20"/>
      <c r="J463" s="20"/>
      <c r="K463" s="21"/>
      <c r="L463" s="21"/>
      <c r="M463" s="18"/>
      <c r="N463" s="23"/>
      <c r="O463" s="14"/>
    </row>
    <row r="464" ht="15.0" customHeight="1">
      <c r="A464" s="18"/>
      <c r="B464" s="27"/>
      <c r="C464" s="20"/>
      <c r="D464" s="18"/>
      <c r="E464" s="19"/>
      <c r="F464" s="20"/>
      <c r="G464" s="20"/>
      <c r="H464" s="20"/>
      <c r="I464" s="20"/>
      <c r="J464" s="20"/>
      <c r="K464" s="21"/>
      <c r="L464" s="21"/>
      <c r="M464" s="22"/>
      <c r="N464" s="23"/>
      <c r="O464" s="14"/>
    </row>
    <row r="465" ht="15.0" customHeight="1">
      <c r="A465" s="18"/>
      <c r="B465" s="16"/>
      <c r="C465" s="20"/>
      <c r="D465" s="18"/>
      <c r="E465" s="19"/>
      <c r="F465" s="20"/>
      <c r="G465" s="20"/>
      <c r="H465" s="20"/>
      <c r="I465" s="20"/>
      <c r="J465" s="20"/>
      <c r="K465" s="21"/>
      <c r="L465" s="21"/>
      <c r="M465" s="22"/>
      <c r="N465" s="23"/>
      <c r="O465" s="14"/>
    </row>
    <row r="466" ht="15.0" customHeight="1">
      <c r="A466" s="18"/>
      <c r="B466" s="27"/>
      <c r="C466" s="20"/>
      <c r="D466" s="18"/>
      <c r="E466" s="19"/>
      <c r="F466" s="20"/>
      <c r="G466" s="20"/>
      <c r="H466" s="20"/>
      <c r="I466" s="20"/>
      <c r="J466" s="20"/>
      <c r="K466" s="21"/>
      <c r="L466" s="21"/>
      <c r="M466" s="22"/>
      <c r="N466" s="23"/>
      <c r="O466" s="14"/>
    </row>
    <row r="467" ht="15.0" customHeight="1">
      <c r="A467" s="18"/>
      <c r="B467" s="16"/>
      <c r="C467" s="20"/>
      <c r="D467" s="18"/>
      <c r="E467" s="19"/>
      <c r="F467" s="20"/>
      <c r="G467" s="20"/>
      <c r="H467" s="20"/>
      <c r="I467" s="20"/>
      <c r="J467" s="20"/>
      <c r="K467" s="21"/>
      <c r="L467" s="21"/>
      <c r="M467" s="22"/>
      <c r="N467" s="23"/>
      <c r="O467" s="14"/>
    </row>
    <row r="468" ht="15.0" customHeight="1">
      <c r="A468" s="18"/>
      <c r="B468" s="27"/>
      <c r="C468" s="20"/>
      <c r="D468" s="18"/>
      <c r="E468" s="19"/>
      <c r="F468" s="20"/>
      <c r="G468" s="20"/>
      <c r="H468" s="20"/>
      <c r="I468" s="20"/>
      <c r="J468" s="20"/>
      <c r="K468" s="21"/>
      <c r="L468" s="21"/>
      <c r="M468" s="29"/>
      <c r="N468" s="23"/>
      <c r="O468" s="14"/>
    </row>
    <row r="469" ht="15.0" customHeight="1">
      <c r="A469" s="18"/>
      <c r="B469" s="27"/>
      <c r="C469" s="20"/>
      <c r="D469" s="18"/>
      <c r="E469" s="19"/>
      <c r="F469" s="20"/>
      <c r="G469" s="20"/>
      <c r="H469" s="20"/>
      <c r="I469" s="20"/>
      <c r="J469" s="24"/>
      <c r="K469" s="21"/>
      <c r="L469" s="21"/>
      <c r="M469" s="22"/>
      <c r="N469" s="23"/>
      <c r="O469" s="14"/>
    </row>
    <row r="470" ht="15.0" customHeight="1">
      <c r="A470" s="18"/>
      <c r="B470" s="27"/>
      <c r="C470" s="20"/>
      <c r="D470" s="18"/>
      <c r="E470" s="19"/>
      <c r="F470" s="20"/>
      <c r="G470" s="20"/>
      <c r="H470" s="20"/>
      <c r="I470" s="20"/>
      <c r="J470" s="20"/>
      <c r="K470" s="21"/>
      <c r="L470" s="21"/>
      <c r="M470" s="20"/>
      <c r="N470" s="23"/>
      <c r="O470" s="14"/>
    </row>
    <row r="471" ht="15.0" customHeight="1">
      <c r="A471" s="23"/>
      <c r="B471" s="27"/>
      <c r="C471" s="20"/>
      <c r="D471" s="18"/>
      <c r="E471" s="19"/>
      <c r="F471" s="20"/>
      <c r="G471" s="20"/>
      <c r="H471" s="20"/>
      <c r="I471" s="20"/>
      <c r="J471" s="24"/>
      <c r="K471" s="21"/>
      <c r="L471" s="21"/>
      <c r="M471" s="25"/>
      <c r="N471" s="28"/>
      <c r="O471" s="14"/>
    </row>
    <row r="472" ht="15.0" customHeight="1">
      <c r="A472" s="23"/>
      <c r="B472" s="27"/>
      <c r="C472" s="20"/>
      <c r="D472" s="18"/>
      <c r="E472" s="19"/>
      <c r="F472" s="20"/>
      <c r="G472" s="20"/>
      <c r="H472" s="20"/>
      <c r="I472" s="20"/>
      <c r="J472" s="24"/>
      <c r="K472" s="21"/>
      <c r="L472" s="21"/>
      <c r="M472" s="25"/>
      <c r="N472" s="28"/>
      <c r="O472" s="14"/>
    </row>
    <row r="473" ht="15.0" customHeight="1">
      <c r="A473" s="23"/>
      <c r="B473" s="27"/>
      <c r="C473" s="20"/>
      <c r="D473" s="18"/>
      <c r="E473" s="19"/>
      <c r="F473" s="20"/>
      <c r="G473" s="20"/>
      <c r="H473" s="20"/>
      <c r="I473" s="20"/>
      <c r="J473" s="24"/>
      <c r="K473" s="45"/>
      <c r="L473" s="45"/>
      <c r="M473" s="23"/>
      <c r="N473" s="23"/>
      <c r="O473" s="14"/>
    </row>
    <row r="474" ht="15.0" customHeight="1">
      <c r="A474" s="23"/>
      <c r="B474" s="27"/>
      <c r="C474" s="20"/>
      <c r="D474" s="18"/>
      <c r="E474" s="19"/>
      <c r="F474" s="20"/>
      <c r="G474" s="20"/>
      <c r="H474" s="20"/>
      <c r="I474" s="20"/>
      <c r="J474" s="24"/>
      <c r="K474" s="21"/>
      <c r="L474" s="21"/>
      <c r="M474" s="25"/>
      <c r="N474" s="28"/>
      <c r="O474" s="14"/>
    </row>
    <row r="475" ht="15.0" customHeight="1">
      <c r="A475" s="23"/>
      <c r="B475" s="27"/>
      <c r="C475" s="20"/>
      <c r="D475" s="18"/>
      <c r="E475" s="19"/>
      <c r="F475" s="20"/>
      <c r="G475" s="20"/>
      <c r="H475" s="20"/>
      <c r="I475" s="20"/>
      <c r="J475" s="24"/>
      <c r="K475" s="45"/>
      <c r="L475" s="45"/>
      <c r="M475" s="23"/>
      <c r="N475" s="23"/>
      <c r="O475" s="14"/>
    </row>
    <row r="476" ht="15.0" customHeight="1">
      <c r="A476" s="23"/>
      <c r="B476" s="27"/>
      <c r="C476" s="20"/>
      <c r="D476" s="18"/>
      <c r="E476" s="19"/>
      <c r="F476" s="20"/>
      <c r="G476" s="20"/>
      <c r="H476" s="20"/>
      <c r="I476" s="20"/>
      <c r="J476" s="24"/>
      <c r="K476" s="21"/>
      <c r="L476" s="21"/>
      <c r="M476" s="25"/>
      <c r="N476" s="28"/>
      <c r="O476" s="14"/>
    </row>
    <row r="477" ht="15.0" customHeight="1">
      <c r="A477" s="23"/>
      <c r="B477" s="27"/>
      <c r="C477" s="20"/>
      <c r="D477" s="18"/>
      <c r="E477" s="63"/>
      <c r="F477" s="20"/>
      <c r="G477" s="20"/>
      <c r="H477" s="20"/>
      <c r="I477" s="20"/>
      <c r="J477" s="24"/>
      <c r="K477" s="21"/>
      <c r="L477" s="21"/>
      <c r="M477" s="25"/>
      <c r="N477" s="28"/>
      <c r="O477" s="14"/>
    </row>
    <row r="478" ht="15.0" customHeight="1">
      <c r="A478" s="18"/>
      <c r="B478" s="16"/>
      <c r="C478" s="20"/>
      <c r="D478" s="18"/>
      <c r="E478" s="19"/>
      <c r="F478" s="20"/>
      <c r="G478" s="20"/>
      <c r="H478" s="20"/>
      <c r="I478" s="20"/>
      <c r="J478" s="20"/>
      <c r="K478" s="21"/>
      <c r="L478" s="21"/>
      <c r="M478" s="22"/>
      <c r="N478" s="23"/>
      <c r="O478" s="14"/>
    </row>
    <row r="479" ht="15.0" customHeight="1">
      <c r="A479" s="64">
        <v>45901.0</v>
      </c>
      <c r="B479" s="65"/>
      <c r="C479" s="32"/>
      <c r="D479" s="32"/>
      <c r="E479" s="31"/>
      <c r="F479" s="32"/>
      <c r="G479" s="32">
        <f>F479*21%</f>
        <v>0</v>
      </c>
      <c r="H479" s="32"/>
      <c r="I479" s="32"/>
      <c r="J479" s="66"/>
      <c r="K479" s="33">
        <f>A479</f>
        <v>45901</v>
      </c>
      <c r="L479" s="33">
        <f>K479</f>
        <v>45901</v>
      </c>
      <c r="M479" s="67"/>
      <c r="N479" s="67"/>
      <c r="O479" s="14">
        <f>L479</f>
        <v>45901</v>
      </c>
    </row>
    <row r="480" ht="15.0" customHeight="1">
      <c r="A480" s="68" t="s">
        <v>15</v>
      </c>
      <c r="B480" s="16"/>
      <c r="C480" s="40"/>
      <c r="D480" s="18"/>
      <c r="E480" s="19"/>
      <c r="F480" s="20"/>
      <c r="G480" s="20">
        <v>0.0</v>
      </c>
      <c r="H480" s="20"/>
      <c r="I480" s="20" t="s">
        <v>16</v>
      </c>
      <c r="J480" s="20"/>
      <c r="K480" s="21"/>
      <c r="L480" s="21"/>
      <c r="M480" s="22"/>
      <c r="N480" s="23"/>
      <c r="O480" s="14">
        <v>45901.0</v>
      </c>
    </row>
    <row r="481" ht="15.0" customHeight="1">
      <c r="A481" s="68" t="s">
        <v>15</v>
      </c>
      <c r="B481" s="16"/>
      <c r="C481" s="40"/>
      <c r="D481" s="18"/>
      <c r="E481" s="19"/>
      <c r="F481" s="20"/>
      <c r="G481" s="20">
        <v>0.0</v>
      </c>
      <c r="H481" s="20"/>
      <c r="I481" s="20" t="s">
        <v>16</v>
      </c>
      <c r="J481" s="20"/>
      <c r="K481" s="21"/>
      <c r="L481" s="21"/>
      <c r="M481" s="22"/>
      <c r="N481" s="23"/>
      <c r="O481" s="14">
        <v>45901.0</v>
      </c>
    </row>
    <row r="482" ht="15.0" customHeight="1">
      <c r="A482" s="68" t="s">
        <v>15</v>
      </c>
      <c r="B482" s="27"/>
      <c r="C482" s="40"/>
      <c r="D482" s="18"/>
      <c r="E482" s="19"/>
      <c r="F482" s="20"/>
      <c r="G482" s="20">
        <v>0.0</v>
      </c>
      <c r="H482" s="20"/>
      <c r="I482" s="20" t="s">
        <v>16</v>
      </c>
      <c r="J482" s="20"/>
      <c r="K482" s="21"/>
      <c r="L482" s="21"/>
      <c r="M482" s="22"/>
      <c r="N482" s="23"/>
      <c r="O482" s="14">
        <v>45901.0</v>
      </c>
    </row>
    <row r="483" ht="15.0" customHeight="1">
      <c r="A483" s="68" t="s">
        <v>15</v>
      </c>
      <c r="B483" s="27"/>
      <c r="C483" s="40"/>
      <c r="D483" s="18"/>
      <c r="E483" s="19"/>
      <c r="F483" s="20"/>
      <c r="G483" s="20">
        <v>0.0</v>
      </c>
      <c r="H483" s="20"/>
      <c r="I483" s="20" t="s">
        <v>16</v>
      </c>
      <c r="J483" s="24"/>
      <c r="K483" s="21"/>
      <c r="L483" s="21"/>
      <c r="M483" s="25"/>
      <c r="N483" s="26"/>
      <c r="O483" s="14">
        <v>45901.0</v>
      </c>
    </row>
    <row r="484" ht="15.0" customHeight="1">
      <c r="A484" s="68" t="s">
        <v>15</v>
      </c>
      <c r="B484" s="27"/>
      <c r="C484" s="40"/>
      <c r="D484" s="18"/>
      <c r="E484" s="19"/>
      <c r="F484" s="20"/>
      <c r="G484" s="20">
        <v>0.0</v>
      </c>
      <c r="H484" s="20"/>
      <c r="I484" s="20" t="s">
        <v>16</v>
      </c>
      <c r="J484" s="24"/>
      <c r="K484" s="21"/>
      <c r="L484" s="21"/>
      <c r="M484" s="23"/>
      <c r="N484" s="23"/>
      <c r="O484" s="14">
        <v>45901.0</v>
      </c>
    </row>
    <row r="485" ht="15.0" customHeight="1">
      <c r="A485" s="68" t="s">
        <v>15</v>
      </c>
      <c r="B485" s="27"/>
      <c r="C485" s="20"/>
      <c r="D485" s="18"/>
      <c r="E485" s="19"/>
      <c r="F485" s="20"/>
      <c r="G485" s="20">
        <v>0.0</v>
      </c>
      <c r="H485" s="20"/>
      <c r="I485" s="20" t="s">
        <v>16</v>
      </c>
      <c r="J485" s="24"/>
      <c r="K485" s="21"/>
      <c r="L485" s="21"/>
      <c r="M485" s="25"/>
      <c r="N485" s="26"/>
      <c r="O485" s="14">
        <v>45901.0</v>
      </c>
    </row>
    <row r="486" ht="15.0" customHeight="1">
      <c r="A486" s="68" t="s">
        <v>15</v>
      </c>
      <c r="B486" s="27"/>
      <c r="C486" s="20"/>
      <c r="D486" s="18"/>
      <c r="E486" s="19"/>
      <c r="F486" s="20"/>
      <c r="G486" s="20">
        <v>0.0</v>
      </c>
      <c r="H486" s="20"/>
      <c r="I486" s="20" t="s">
        <v>16</v>
      </c>
      <c r="J486" s="24"/>
      <c r="K486" s="21"/>
      <c r="L486" s="21"/>
      <c r="M486" s="17"/>
      <c r="N486" s="23"/>
      <c r="O486" s="14">
        <v>45901.0</v>
      </c>
    </row>
    <row r="487" ht="15.0" customHeight="1">
      <c r="A487" s="68" t="s">
        <v>76</v>
      </c>
      <c r="B487" s="27" t="s">
        <v>34</v>
      </c>
      <c r="C487" s="20" t="s">
        <v>77</v>
      </c>
      <c r="D487" s="18"/>
      <c r="E487" s="19"/>
      <c r="F487" s="20"/>
      <c r="G487" s="20">
        <v>0.0</v>
      </c>
      <c r="H487" s="20"/>
      <c r="I487" s="20" t="s">
        <v>16</v>
      </c>
      <c r="J487" s="24" t="s">
        <v>78</v>
      </c>
      <c r="K487" s="21">
        <v>45910.0</v>
      </c>
      <c r="L487" s="21"/>
      <c r="M487" s="25"/>
      <c r="N487" s="26"/>
      <c r="O487" s="14">
        <v>45901.0</v>
      </c>
    </row>
    <row r="488" ht="15.0" customHeight="1">
      <c r="A488" s="68" t="s">
        <v>79</v>
      </c>
      <c r="B488" s="27" t="s">
        <v>34</v>
      </c>
      <c r="C488" s="20" t="s">
        <v>80</v>
      </c>
      <c r="D488" s="18" t="s">
        <v>52</v>
      </c>
      <c r="E488" s="19"/>
      <c r="F488" s="20"/>
      <c r="G488" s="20">
        <v>0.0</v>
      </c>
      <c r="H488" s="20"/>
      <c r="I488" s="20" t="s">
        <v>16</v>
      </c>
      <c r="J488" s="27" t="s">
        <v>81</v>
      </c>
      <c r="K488" s="21"/>
      <c r="L488" s="21"/>
      <c r="M488" s="20"/>
      <c r="N488" s="20"/>
      <c r="O488" s="14">
        <v>45901.0</v>
      </c>
    </row>
    <row r="489" ht="15.0" customHeight="1">
      <c r="A489" s="68" t="s">
        <v>79</v>
      </c>
      <c r="B489" s="16" t="s">
        <v>82</v>
      </c>
      <c r="C489" s="20" t="s">
        <v>80</v>
      </c>
      <c r="D489" s="18" t="s">
        <v>58</v>
      </c>
      <c r="E489" s="19"/>
      <c r="F489" s="20"/>
      <c r="G489" s="20">
        <v>0.0</v>
      </c>
      <c r="H489" s="20"/>
      <c r="I489" s="20" t="s">
        <v>16</v>
      </c>
      <c r="J489" s="24" t="s">
        <v>81</v>
      </c>
      <c r="K489" s="21"/>
      <c r="L489" s="21"/>
      <c r="M489" s="25"/>
      <c r="N489" s="26"/>
      <c r="O489" s="14">
        <v>45901.0</v>
      </c>
    </row>
    <row r="490" ht="15.0" customHeight="1">
      <c r="A490" s="68" t="s">
        <v>79</v>
      </c>
      <c r="B490" s="27" t="s">
        <v>50</v>
      </c>
      <c r="C490" s="20" t="s">
        <v>80</v>
      </c>
      <c r="D490" s="18" t="s">
        <v>58</v>
      </c>
      <c r="E490" s="19"/>
      <c r="F490" s="20"/>
      <c r="G490" s="20">
        <v>0.0</v>
      </c>
      <c r="H490" s="20"/>
      <c r="I490" s="20" t="s">
        <v>16</v>
      </c>
      <c r="J490" s="24" t="s">
        <v>81</v>
      </c>
      <c r="K490" s="21"/>
      <c r="L490" s="21"/>
      <c r="M490" s="23"/>
      <c r="N490" s="23"/>
      <c r="O490" s="14">
        <v>45901.0</v>
      </c>
    </row>
    <row r="491" ht="15.0" customHeight="1">
      <c r="A491" s="68" t="s">
        <v>79</v>
      </c>
      <c r="B491" s="27" t="s">
        <v>43</v>
      </c>
      <c r="C491" s="20" t="s">
        <v>83</v>
      </c>
      <c r="D491" s="20" t="s">
        <v>84</v>
      </c>
      <c r="E491" s="19"/>
      <c r="F491" s="20"/>
      <c r="G491" s="20">
        <v>0.0</v>
      </c>
      <c r="H491" s="20"/>
      <c r="I491" s="20"/>
      <c r="J491" s="24" t="s">
        <v>81</v>
      </c>
      <c r="K491" s="21"/>
      <c r="L491" s="21"/>
      <c r="M491" s="25"/>
      <c r="N491" s="26"/>
      <c r="O491" s="14">
        <v>45901.0</v>
      </c>
    </row>
    <row r="492" ht="15.0" customHeight="1">
      <c r="A492" s="68" t="s">
        <v>17</v>
      </c>
      <c r="B492" s="27" t="s">
        <v>31</v>
      </c>
      <c r="C492" s="20" t="s">
        <v>32</v>
      </c>
      <c r="D492" s="18" t="s">
        <v>33</v>
      </c>
      <c r="E492" s="19"/>
      <c r="F492" s="20"/>
      <c r="G492" s="20">
        <v>0.0</v>
      </c>
      <c r="H492" s="20"/>
      <c r="I492" s="20" t="s">
        <v>16</v>
      </c>
      <c r="J492" s="24" t="s">
        <v>81</v>
      </c>
      <c r="K492" s="21"/>
      <c r="L492" s="21"/>
      <c r="M492" s="17"/>
      <c r="N492" s="23"/>
      <c r="O492" s="14">
        <v>45901.0</v>
      </c>
    </row>
    <row r="493" ht="15.0" customHeight="1">
      <c r="A493" s="68" t="s">
        <v>17</v>
      </c>
      <c r="B493" s="27" t="s">
        <v>34</v>
      </c>
      <c r="C493" s="20" t="s">
        <v>35</v>
      </c>
      <c r="D493" s="18" t="s">
        <v>52</v>
      </c>
      <c r="E493" s="19"/>
      <c r="F493" s="20"/>
      <c r="G493" s="20">
        <v>0.0</v>
      </c>
      <c r="H493" s="20"/>
      <c r="I493" s="20" t="s">
        <v>16</v>
      </c>
      <c r="J493" s="24" t="s">
        <v>81</v>
      </c>
      <c r="K493" s="21"/>
      <c r="L493" s="21"/>
      <c r="M493" s="25"/>
      <c r="N493" s="28"/>
      <c r="O493" s="14">
        <v>45901.0</v>
      </c>
    </row>
    <row r="494" ht="15.0" customHeight="1">
      <c r="A494" s="68" t="s">
        <v>17</v>
      </c>
      <c r="B494" s="27" t="s">
        <v>37</v>
      </c>
      <c r="C494" s="20" t="s">
        <v>37</v>
      </c>
      <c r="D494" s="18" t="s">
        <v>52</v>
      </c>
      <c r="E494" s="19"/>
      <c r="F494" s="20"/>
      <c r="G494" s="20">
        <v>0.0</v>
      </c>
      <c r="H494" s="20"/>
      <c r="I494" s="20" t="s">
        <v>16</v>
      </c>
      <c r="J494" s="24" t="s">
        <v>38</v>
      </c>
      <c r="K494" s="21"/>
      <c r="L494" s="21"/>
      <c r="M494" s="29"/>
      <c r="N494" s="26"/>
      <c r="O494" s="14">
        <v>45901.0</v>
      </c>
    </row>
    <row r="495" ht="15.0" customHeight="1">
      <c r="A495" s="68" t="s">
        <v>17</v>
      </c>
      <c r="B495" s="27" t="s">
        <v>39</v>
      </c>
      <c r="C495" s="20" t="s">
        <v>40</v>
      </c>
      <c r="D495" s="18"/>
      <c r="E495" s="19"/>
      <c r="F495" s="20"/>
      <c r="G495" s="20"/>
      <c r="H495" s="20"/>
      <c r="I495" s="20" t="s">
        <v>16</v>
      </c>
      <c r="J495" s="24" t="s">
        <v>81</v>
      </c>
      <c r="K495" s="21"/>
      <c r="L495" s="21"/>
      <c r="M495" s="23"/>
      <c r="N495" s="23"/>
      <c r="O495" s="14">
        <v>45901.0</v>
      </c>
    </row>
    <row r="496" ht="15.0" customHeight="1">
      <c r="A496" s="68" t="s">
        <v>17</v>
      </c>
      <c r="B496" s="27" t="s">
        <v>41</v>
      </c>
      <c r="C496" s="20" t="s">
        <v>42</v>
      </c>
      <c r="D496" s="18" t="s">
        <v>52</v>
      </c>
      <c r="E496" s="19"/>
      <c r="F496" s="20"/>
      <c r="G496" s="20">
        <v>0.0</v>
      </c>
      <c r="H496" s="20"/>
      <c r="I496" s="20" t="s">
        <v>16</v>
      </c>
      <c r="J496" s="24" t="s">
        <v>81</v>
      </c>
      <c r="K496" s="21"/>
      <c r="L496" s="21"/>
      <c r="M496" s="25"/>
      <c r="N496" s="26"/>
      <c r="O496" s="14">
        <v>45901.0</v>
      </c>
    </row>
    <row r="497" ht="15.0" customHeight="1">
      <c r="A497" s="68" t="s">
        <v>17</v>
      </c>
      <c r="B497" s="27" t="s">
        <v>43</v>
      </c>
      <c r="C497" s="20" t="s">
        <v>44</v>
      </c>
      <c r="D497" s="18" t="s">
        <v>52</v>
      </c>
      <c r="E497" s="19"/>
      <c r="F497" s="20"/>
      <c r="G497" s="20">
        <v>0.0</v>
      </c>
      <c r="H497" s="20"/>
      <c r="I497" s="20" t="s">
        <v>16</v>
      </c>
      <c r="J497" s="24" t="s">
        <v>38</v>
      </c>
      <c r="K497" s="21"/>
      <c r="L497" s="21"/>
      <c r="M497" s="25"/>
      <c r="N497" s="26"/>
      <c r="O497" s="14">
        <v>45901.0</v>
      </c>
    </row>
    <row r="498" ht="15.0" customHeight="1">
      <c r="A498" s="68" t="s">
        <v>45</v>
      </c>
      <c r="B498" s="27" t="s">
        <v>46</v>
      </c>
      <c r="C498" s="20" t="s">
        <v>47</v>
      </c>
      <c r="D498" s="18" t="s">
        <v>85</v>
      </c>
      <c r="E498" s="19"/>
      <c r="F498" s="20"/>
      <c r="G498" s="20">
        <v>0.0</v>
      </c>
      <c r="H498" s="20"/>
      <c r="I498" s="20" t="s">
        <v>16</v>
      </c>
      <c r="J498" s="20" t="s">
        <v>81</v>
      </c>
      <c r="K498" s="21"/>
      <c r="L498" s="21"/>
      <c r="M498" s="22"/>
      <c r="N498" s="23"/>
      <c r="O498" s="14">
        <v>45901.0</v>
      </c>
    </row>
    <row r="499" ht="15.0" customHeight="1">
      <c r="A499" s="68" t="s">
        <v>45</v>
      </c>
      <c r="B499" s="27" t="s">
        <v>31</v>
      </c>
      <c r="C499" s="20" t="s">
        <v>32</v>
      </c>
      <c r="D499" s="18" t="s">
        <v>33</v>
      </c>
      <c r="E499" s="19"/>
      <c r="F499" s="20"/>
      <c r="G499" s="20">
        <v>0.0</v>
      </c>
      <c r="H499" s="20"/>
      <c r="I499" s="20" t="s">
        <v>16</v>
      </c>
      <c r="J499" s="20" t="s">
        <v>81</v>
      </c>
      <c r="K499" s="21"/>
      <c r="L499" s="21"/>
      <c r="M499" s="34"/>
      <c r="N499" s="23"/>
      <c r="O499" s="14">
        <v>45901.0</v>
      </c>
    </row>
    <row r="500" ht="15.0" customHeight="1">
      <c r="A500" s="68" t="s">
        <v>45</v>
      </c>
      <c r="B500" s="27" t="s">
        <v>34</v>
      </c>
      <c r="C500" s="20" t="s">
        <v>47</v>
      </c>
      <c r="D500" s="18" t="s">
        <v>52</v>
      </c>
      <c r="E500" s="19"/>
      <c r="F500" s="20"/>
      <c r="G500" s="20">
        <v>0.0</v>
      </c>
      <c r="H500" s="20"/>
      <c r="I500" s="20" t="s">
        <v>16</v>
      </c>
      <c r="J500" s="20" t="s">
        <v>81</v>
      </c>
      <c r="K500" s="21"/>
      <c r="L500" s="21"/>
      <c r="M500" s="22"/>
      <c r="N500" s="23"/>
      <c r="O500" s="14">
        <v>45901.0</v>
      </c>
    </row>
    <row r="501" ht="15.0" customHeight="1">
      <c r="A501" s="68" t="s">
        <v>45</v>
      </c>
      <c r="B501" s="27" t="s">
        <v>50</v>
      </c>
      <c r="C501" s="20" t="s">
        <v>47</v>
      </c>
      <c r="D501" s="18" t="s">
        <v>85</v>
      </c>
      <c r="E501" s="19"/>
      <c r="F501" s="20"/>
      <c r="G501" s="20">
        <v>0.0</v>
      </c>
      <c r="H501" s="20"/>
      <c r="I501" s="20" t="s">
        <v>16</v>
      </c>
      <c r="J501" s="20" t="s">
        <v>81</v>
      </c>
      <c r="K501" s="21"/>
      <c r="L501" s="21"/>
      <c r="M501" s="22"/>
      <c r="N501" s="23"/>
      <c r="O501" s="14">
        <v>45901.0</v>
      </c>
    </row>
    <row r="502" ht="15.0" customHeight="1">
      <c r="A502" s="68" t="s">
        <v>45</v>
      </c>
      <c r="B502" s="27" t="s">
        <v>37</v>
      </c>
      <c r="C502" s="20" t="s">
        <v>37</v>
      </c>
      <c r="D502" s="18" t="s">
        <v>52</v>
      </c>
      <c r="E502" s="19"/>
      <c r="F502" s="20"/>
      <c r="G502" s="20">
        <v>0.0</v>
      </c>
      <c r="H502" s="20"/>
      <c r="I502" s="20" t="s">
        <v>16</v>
      </c>
      <c r="J502" s="20" t="s">
        <v>38</v>
      </c>
      <c r="K502" s="21"/>
      <c r="L502" s="21"/>
      <c r="M502" s="22"/>
      <c r="N502" s="23"/>
      <c r="O502" s="14">
        <v>45901.0</v>
      </c>
    </row>
    <row r="503" ht="15.0" customHeight="1">
      <c r="A503" s="68" t="s">
        <v>45</v>
      </c>
      <c r="B503" s="27" t="s">
        <v>37</v>
      </c>
      <c r="C503" s="20" t="s">
        <v>37</v>
      </c>
      <c r="D503" s="18" t="s">
        <v>52</v>
      </c>
      <c r="E503" s="19"/>
      <c r="F503" s="20"/>
      <c r="G503" s="20">
        <v>0.0</v>
      </c>
      <c r="H503" s="20"/>
      <c r="I503" s="20" t="s">
        <v>16</v>
      </c>
      <c r="J503" s="20" t="s">
        <v>38</v>
      </c>
      <c r="K503" s="21"/>
      <c r="L503" s="21"/>
      <c r="M503" s="22"/>
      <c r="N503" s="23"/>
      <c r="O503" s="14">
        <v>45901.0</v>
      </c>
    </row>
    <row r="504" ht="15.0" customHeight="1">
      <c r="A504" s="68" t="s">
        <v>45</v>
      </c>
      <c r="B504" s="27" t="s">
        <v>37</v>
      </c>
      <c r="C504" s="20" t="s">
        <v>37</v>
      </c>
      <c r="D504" s="18" t="s">
        <v>52</v>
      </c>
      <c r="E504" s="19"/>
      <c r="F504" s="20"/>
      <c r="G504" s="20">
        <v>0.0</v>
      </c>
      <c r="H504" s="20"/>
      <c r="I504" s="20" t="s">
        <v>16</v>
      </c>
      <c r="J504" s="20" t="s">
        <v>38</v>
      </c>
      <c r="K504" s="21"/>
      <c r="L504" s="21"/>
      <c r="M504" s="22"/>
      <c r="N504" s="23"/>
      <c r="O504" s="14">
        <v>45901.0</v>
      </c>
    </row>
    <row r="505" ht="15.0" customHeight="1">
      <c r="A505" s="68" t="s">
        <v>45</v>
      </c>
      <c r="B505" s="27" t="s">
        <v>39</v>
      </c>
      <c r="C505" s="20" t="s">
        <v>47</v>
      </c>
      <c r="D505" s="18" t="s">
        <v>85</v>
      </c>
      <c r="E505" s="19"/>
      <c r="F505" s="20"/>
      <c r="G505" s="20">
        <v>0.0</v>
      </c>
      <c r="H505" s="20"/>
      <c r="I505" s="20" t="s">
        <v>16</v>
      </c>
      <c r="J505" s="20" t="s">
        <v>81</v>
      </c>
      <c r="K505" s="21"/>
      <c r="L505" s="21"/>
      <c r="M505" s="22"/>
      <c r="N505" s="23"/>
      <c r="O505" s="14">
        <v>45901.0</v>
      </c>
    </row>
    <row r="506" ht="15.0" customHeight="1">
      <c r="A506" s="68" t="s">
        <v>45</v>
      </c>
      <c r="B506" s="27" t="s">
        <v>41</v>
      </c>
      <c r="C506" s="20" t="s">
        <v>42</v>
      </c>
      <c r="D506" s="18" t="s">
        <v>52</v>
      </c>
      <c r="E506" s="19"/>
      <c r="F506" s="20"/>
      <c r="G506" s="20">
        <v>0.0</v>
      </c>
      <c r="H506" s="20"/>
      <c r="I506" s="20" t="s">
        <v>16</v>
      </c>
      <c r="J506" s="24" t="s">
        <v>81</v>
      </c>
      <c r="K506" s="21"/>
      <c r="L506" s="21"/>
      <c r="M506" s="22"/>
      <c r="N506" s="23"/>
      <c r="O506" s="14">
        <v>45901.0</v>
      </c>
    </row>
    <row r="507" ht="15.0" customHeight="1">
      <c r="A507" s="68" t="s">
        <v>45</v>
      </c>
      <c r="B507" s="27" t="s">
        <v>43</v>
      </c>
      <c r="C507" s="20" t="s">
        <v>53</v>
      </c>
      <c r="D507" s="18" t="s">
        <v>52</v>
      </c>
      <c r="E507" s="19"/>
      <c r="F507" s="20"/>
      <c r="G507" s="20">
        <v>0.0</v>
      </c>
      <c r="H507" s="20"/>
      <c r="I507" s="20" t="s">
        <v>16</v>
      </c>
      <c r="J507" s="20" t="s">
        <v>86</v>
      </c>
      <c r="K507" s="21"/>
      <c r="L507" s="21"/>
      <c r="M507" s="22"/>
      <c r="N507" s="18"/>
      <c r="O507" s="14">
        <v>45901.0</v>
      </c>
    </row>
    <row r="508" ht="15.0" customHeight="1">
      <c r="A508" s="68" t="s">
        <v>54</v>
      </c>
      <c r="B508" s="27" t="s">
        <v>31</v>
      </c>
      <c r="C508" s="20" t="s">
        <v>32</v>
      </c>
      <c r="D508" s="18" t="s">
        <v>33</v>
      </c>
      <c r="E508" s="19"/>
      <c r="F508" s="20"/>
      <c r="G508" s="20">
        <v>0.0</v>
      </c>
      <c r="H508" s="20"/>
      <c r="I508" s="20" t="s">
        <v>16</v>
      </c>
      <c r="J508" s="24" t="s">
        <v>81</v>
      </c>
      <c r="K508" s="21"/>
      <c r="L508" s="21"/>
      <c r="M508" s="25"/>
      <c r="N508" s="26"/>
      <c r="O508" s="14">
        <v>45901.0</v>
      </c>
    </row>
    <row r="509" ht="15.0" customHeight="1">
      <c r="A509" s="68" t="s">
        <v>54</v>
      </c>
      <c r="B509" s="27" t="s">
        <v>34</v>
      </c>
      <c r="C509" s="20" t="s">
        <v>55</v>
      </c>
      <c r="D509" s="18" t="s">
        <v>56</v>
      </c>
      <c r="E509" s="19"/>
      <c r="F509" s="20"/>
      <c r="G509" s="20">
        <v>0.0</v>
      </c>
      <c r="H509" s="20"/>
      <c r="I509" s="20" t="s">
        <v>16</v>
      </c>
      <c r="J509" s="24" t="s">
        <v>81</v>
      </c>
      <c r="K509" s="21"/>
      <c r="L509" s="21"/>
      <c r="M509" s="25"/>
      <c r="N509" s="26"/>
      <c r="O509" s="14">
        <v>45901.0</v>
      </c>
    </row>
    <row r="510" ht="15.0" customHeight="1">
      <c r="A510" s="68" t="s">
        <v>54</v>
      </c>
      <c r="B510" s="27" t="s">
        <v>37</v>
      </c>
      <c r="C510" s="20" t="s">
        <v>37</v>
      </c>
      <c r="D510" s="18" t="s">
        <v>52</v>
      </c>
      <c r="E510" s="19"/>
      <c r="F510" s="20"/>
      <c r="G510" s="20">
        <v>0.0</v>
      </c>
      <c r="H510" s="20"/>
      <c r="I510" s="20" t="s">
        <v>16</v>
      </c>
      <c r="J510" s="24" t="s">
        <v>38</v>
      </c>
      <c r="K510" s="21"/>
      <c r="L510" s="21"/>
      <c r="M510" s="25"/>
      <c r="N510" s="26"/>
      <c r="O510" s="14">
        <v>45901.0</v>
      </c>
    </row>
    <row r="511" ht="15.0" customHeight="1">
      <c r="A511" s="68" t="s">
        <v>54</v>
      </c>
      <c r="B511" s="27" t="s">
        <v>37</v>
      </c>
      <c r="C511" s="20" t="s">
        <v>37</v>
      </c>
      <c r="D511" s="18" t="s">
        <v>52</v>
      </c>
      <c r="E511" s="19"/>
      <c r="F511" s="20"/>
      <c r="G511" s="20">
        <v>0.0</v>
      </c>
      <c r="H511" s="20"/>
      <c r="I511" s="20" t="s">
        <v>16</v>
      </c>
      <c r="J511" s="24" t="s">
        <v>38</v>
      </c>
      <c r="K511" s="21"/>
      <c r="L511" s="21"/>
      <c r="M511" s="23"/>
      <c r="N511" s="23"/>
      <c r="O511" s="14">
        <v>45901.0</v>
      </c>
    </row>
    <row r="512" ht="15.0" customHeight="1">
      <c r="A512" s="68" t="s">
        <v>54</v>
      </c>
      <c r="B512" s="27" t="s">
        <v>39</v>
      </c>
      <c r="C512" s="20" t="s">
        <v>57</v>
      </c>
      <c r="D512" s="18" t="s">
        <v>58</v>
      </c>
      <c r="E512" s="19"/>
      <c r="F512" s="20"/>
      <c r="G512" s="20">
        <v>0.0</v>
      </c>
      <c r="H512" s="20"/>
      <c r="I512" s="20" t="s">
        <v>16</v>
      </c>
      <c r="J512" s="24" t="s">
        <v>87</v>
      </c>
      <c r="K512" s="21"/>
      <c r="L512" s="21"/>
      <c r="M512" s="23"/>
      <c r="N512" s="23"/>
      <c r="O512" s="14">
        <v>45901.0</v>
      </c>
    </row>
    <row r="513" ht="15.0" customHeight="1">
      <c r="A513" s="68" t="s">
        <v>54</v>
      </c>
      <c r="B513" s="27" t="s">
        <v>41</v>
      </c>
      <c r="C513" s="20" t="s">
        <v>42</v>
      </c>
      <c r="D513" s="30"/>
      <c r="E513" s="31"/>
      <c r="F513" s="32"/>
      <c r="G513" s="32"/>
      <c r="H513" s="32"/>
      <c r="I513" s="32"/>
      <c r="J513" s="32"/>
      <c r="K513" s="33"/>
      <c r="L513" s="33"/>
      <c r="M513" s="23"/>
      <c r="N513" s="23"/>
      <c r="O513" s="14">
        <v>45901.0</v>
      </c>
    </row>
    <row r="514" ht="15.0" customHeight="1">
      <c r="A514" s="68" t="s">
        <v>54</v>
      </c>
      <c r="B514" s="27" t="s">
        <v>43</v>
      </c>
      <c r="C514" s="20" t="s">
        <v>53</v>
      </c>
      <c r="D514" s="18" t="s">
        <v>52</v>
      </c>
      <c r="E514" s="19"/>
      <c r="F514" s="20"/>
      <c r="G514" s="20">
        <v>0.0</v>
      </c>
      <c r="H514" s="20"/>
      <c r="I514" s="20" t="s">
        <v>16</v>
      </c>
      <c r="J514" s="24" t="s">
        <v>38</v>
      </c>
      <c r="K514" s="21"/>
      <c r="L514" s="21"/>
      <c r="M514" s="23"/>
      <c r="N514" s="23"/>
      <c r="O514" s="14">
        <v>45901.0</v>
      </c>
    </row>
    <row r="515" ht="15.0" customHeight="1">
      <c r="A515" s="68" t="s">
        <v>60</v>
      </c>
      <c r="B515" s="27" t="s">
        <v>34</v>
      </c>
      <c r="C515" s="40" t="s">
        <v>61</v>
      </c>
      <c r="D515" s="18" t="s">
        <v>52</v>
      </c>
      <c r="E515" s="19"/>
      <c r="F515" s="20"/>
      <c r="G515" s="20">
        <f t="shared" ref="G515:G526" si="5">F515*21%</f>
        <v>0</v>
      </c>
      <c r="H515" s="20"/>
      <c r="I515" s="20" t="str">
        <f t="shared" ref="I515:I526" si="6">IF(SUM(F515:H515)=0,"",SUM(F515:H515))</f>
        <v/>
      </c>
      <c r="J515" s="20" t="s">
        <v>81</v>
      </c>
      <c r="K515" s="21"/>
      <c r="L515" s="21"/>
      <c r="M515" s="29"/>
      <c r="N515" s="23"/>
      <c r="O515" s="14">
        <f t="shared" ref="O515:O526" si="7">O514</f>
        <v>45901</v>
      </c>
    </row>
    <row r="516" ht="15.0" customHeight="1">
      <c r="A516" s="68" t="s">
        <v>60</v>
      </c>
      <c r="B516" s="16" t="s">
        <v>34</v>
      </c>
      <c r="C516" s="40" t="s">
        <v>61</v>
      </c>
      <c r="D516" s="18"/>
      <c r="E516" s="19"/>
      <c r="F516" s="20"/>
      <c r="G516" s="20">
        <f t="shared" si="5"/>
        <v>0</v>
      </c>
      <c r="H516" s="20"/>
      <c r="I516" s="20" t="str">
        <f t="shared" si="6"/>
        <v/>
      </c>
      <c r="J516" s="20" t="s">
        <v>88</v>
      </c>
      <c r="K516" s="21"/>
      <c r="L516" s="21"/>
      <c r="M516" s="22"/>
      <c r="N516" s="23"/>
      <c r="O516" s="14">
        <f t="shared" si="7"/>
        <v>45901</v>
      </c>
    </row>
    <row r="517" ht="15.0" customHeight="1">
      <c r="A517" s="68" t="s">
        <v>60</v>
      </c>
      <c r="B517" s="27" t="s">
        <v>37</v>
      </c>
      <c r="C517" s="40" t="s">
        <v>61</v>
      </c>
      <c r="D517" s="18"/>
      <c r="E517" s="19"/>
      <c r="F517" s="20"/>
      <c r="G517" s="20">
        <f t="shared" si="5"/>
        <v>0</v>
      </c>
      <c r="H517" s="20"/>
      <c r="I517" s="20" t="str">
        <f t="shared" si="6"/>
        <v/>
      </c>
      <c r="J517" s="20" t="s">
        <v>88</v>
      </c>
      <c r="K517" s="21"/>
      <c r="L517" s="21"/>
      <c r="M517" s="22"/>
      <c r="N517" s="23"/>
      <c r="O517" s="14">
        <f t="shared" si="7"/>
        <v>45901</v>
      </c>
    </row>
    <row r="518" ht="15.0" customHeight="1">
      <c r="A518" s="68" t="s">
        <v>60</v>
      </c>
      <c r="B518" s="27" t="s">
        <v>39</v>
      </c>
      <c r="C518" s="40" t="s">
        <v>61</v>
      </c>
      <c r="D518" s="18" t="s">
        <v>52</v>
      </c>
      <c r="E518" s="19"/>
      <c r="F518" s="20"/>
      <c r="G518" s="20">
        <f t="shared" si="5"/>
        <v>0</v>
      </c>
      <c r="H518" s="20"/>
      <c r="I518" s="20" t="str">
        <f t="shared" si="6"/>
        <v/>
      </c>
      <c r="J518" s="20" t="s">
        <v>81</v>
      </c>
      <c r="K518" s="21"/>
      <c r="L518" s="21"/>
      <c r="M518" s="29"/>
      <c r="N518" s="23"/>
      <c r="O518" s="14">
        <f t="shared" si="7"/>
        <v>45901</v>
      </c>
    </row>
    <row r="519" ht="15.0" customHeight="1">
      <c r="A519" s="68" t="s">
        <v>60</v>
      </c>
      <c r="B519" s="16" t="s">
        <v>39</v>
      </c>
      <c r="C519" s="40" t="s">
        <v>61</v>
      </c>
      <c r="D519" s="18"/>
      <c r="E519" s="19"/>
      <c r="F519" s="20"/>
      <c r="G519" s="20">
        <f t="shared" si="5"/>
        <v>0</v>
      </c>
      <c r="H519" s="20"/>
      <c r="I519" s="20" t="str">
        <f t="shared" si="6"/>
        <v/>
      </c>
      <c r="J519" s="20" t="s">
        <v>88</v>
      </c>
      <c r="K519" s="21"/>
      <c r="L519" s="21"/>
      <c r="M519" s="22"/>
      <c r="N519" s="23"/>
      <c r="O519" s="14">
        <f t="shared" si="7"/>
        <v>45901</v>
      </c>
    </row>
    <row r="520" ht="15.0" customHeight="1">
      <c r="A520" s="68" t="s">
        <v>63</v>
      </c>
      <c r="B520" s="27" t="s">
        <v>34</v>
      </c>
      <c r="C520" s="40" t="s">
        <v>61</v>
      </c>
      <c r="D520" s="18" t="s">
        <v>52</v>
      </c>
      <c r="E520" s="19"/>
      <c r="F520" s="20"/>
      <c r="G520" s="20">
        <f t="shared" si="5"/>
        <v>0</v>
      </c>
      <c r="H520" s="20"/>
      <c r="I520" s="20" t="str">
        <f t="shared" si="6"/>
        <v/>
      </c>
      <c r="J520" s="20" t="s">
        <v>81</v>
      </c>
      <c r="K520" s="21"/>
      <c r="L520" s="21"/>
      <c r="M520" s="22"/>
      <c r="N520" s="23"/>
      <c r="O520" s="14">
        <f t="shared" si="7"/>
        <v>45901</v>
      </c>
    </row>
    <row r="521" ht="15.0" customHeight="1">
      <c r="A521" s="68" t="s">
        <v>63</v>
      </c>
      <c r="B521" s="27" t="s">
        <v>37</v>
      </c>
      <c r="C521" s="40" t="s">
        <v>61</v>
      </c>
      <c r="D521" s="18" t="s">
        <v>52</v>
      </c>
      <c r="E521" s="19"/>
      <c r="F521" s="20"/>
      <c r="G521" s="20">
        <f t="shared" si="5"/>
        <v>0</v>
      </c>
      <c r="H521" s="20"/>
      <c r="I521" s="20" t="str">
        <f t="shared" si="6"/>
        <v/>
      </c>
      <c r="J521" s="20" t="s">
        <v>81</v>
      </c>
      <c r="K521" s="21"/>
      <c r="L521" s="21"/>
      <c r="M521" s="29"/>
      <c r="N521" s="23"/>
      <c r="O521" s="14">
        <f t="shared" si="7"/>
        <v>45901</v>
      </c>
    </row>
    <row r="522" ht="15.0" customHeight="1">
      <c r="A522" s="68" t="s">
        <v>63</v>
      </c>
      <c r="B522" s="27" t="s">
        <v>39</v>
      </c>
      <c r="C522" s="40" t="s">
        <v>61</v>
      </c>
      <c r="D522" s="18" t="s">
        <v>52</v>
      </c>
      <c r="E522" s="19"/>
      <c r="F522" s="20"/>
      <c r="G522" s="20">
        <f t="shared" si="5"/>
        <v>0</v>
      </c>
      <c r="H522" s="20"/>
      <c r="I522" s="20" t="str">
        <f t="shared" si="6"/>
        <v/>
      </c>
      <c r="J522" s="20" t="s">
        <v>81</v>
      </c>
      <c r="K522" s="21"/>
      <c r="L522" s="21"/>
      <c r="M522" s="22"/>
      <c r="N522" s="23"/>
      <c r="O522" s="14">
        <f t="shared" si="7"/>
        <v>45901</v>
      </c>
    </row>
    <row r="523" ht="15.0" customHeight="1">
      <c r="A523" s="68" t="s">
        <v>65</v>
      </c>
      <c r="B523" s="27" t="s">
        <v>34</v>
      </c>
      <c r="C523" s="40" t="s">
        <v>61</v>
      </c>
      <c r="D523" s="18" t="s">
        <v>52</v>
      </c>
      <c r="E523" s="19"/>
      <c r="F523" s="20"/>
      <c r="G523" s="20">
        <f t="shared" si="5"/>
        <v>0</v>
      </c>
      <c r="H523" s="20"/>
      <c r="I523" s="20" t="str">
        <f t="shared" si="6"/>
        <v/>
      </c>
      <c r="J523" s="24" t="s">
        <v>81</v>
      </c>
      <c r="K523" s="21"/>
      <c r="L523" s="21"/>
      <c r="M523" s="25"/>
      <c r="N523" s="26"/>
      <c r="O523" s="14">
        <f t="shared" si="7"/>
        <v>45901</v>
      </c>
    </row>
    <row r="524" ht="15.0" customHeight="1">
      <c r="A524" s="68" t="s">
        <v>65</v>
      </c>
      <c r="B524" s="27" t="s">
        <v>39</v>
      </c>
      <c r="C524" s="40" t="s">
        <v>61</v>
      </c>
      <c r="D524" s="18" t="s">
        <v>52</v>
      </c>
      <c r="E524" s="19"/>
      <c r="F524" s="20"/>
      <c r="G524" s="20">
        <f t="shared" si="5"/>
        <v>0</v>
      </c>
      <c r="H524" s="20"/>
      <c r="I524" s="20" t="str">
        <f t="shared" si="6"/>
        <v/>
      </c>
      <c r="J524" s="24" t="s">
        <v>81</v>
      </c>
      <c r="K524" s="21"/>
      <c r="L524" s="21"/>
      <c r="M524" s="23"/>
      <c r="N524" s="23"/>
      <c r="O524" s="14">
        <f t="shared" si="7"/>
        <v>45901</v>
      </c>
    </row>
    <row r="525" ht="15.0" customHeight="1">
      <c r="A525" s="68" t="s">
        <v>26</v>
      </c>
      <c r="B525" s="27" t="s">
        <v>34</v>
      </c>
      <c r="C525" s="40" t="s">
        <v>61</v>
      </c>
      <c r="D525" s="18" t="s">
        <v>52</v>
      </c>
      <c r="E525" s="19"/>
      <c r="F525" s="20"/>
      <c r="G525" s="20">
        <f t="shared" si="5"/>
        <v>0</v>
      </c>
      <c r="H525" s="20"/>
      <c r="I525" s="20" t="str">
        <f t="shared" si="6"/>
        <v/>
      </c>
      <c r="J525" s="24" t="s">
        <v>81</v>
      </c>
      <c r="K525" s="21"/>
      <c r="L525" s="21"/>
      <c r="M525" s="25"/>
      <c r="N525" s="26"/>
      <c r="O525" s="14">
        <f t="shared" si="7"/>
        <v>45901</v>
      </c>
    </row>
    <row r="526" ht="15.0" customHeight="1">
      <c r="A526" s="68" t="s">
        <v>26</v>
      </c>
      <c r="B526" s="27" t="s">
        <v>39</v>
      </c>
      <c r="C526" s="40" t="s">
        <v>61</v>
      </c>
      <c r="D526" s="18" t="s">
        <v>52</v>
      </c>
      <c r="E526" s="19"/>
      <c r="F526" s="20"/>
      <c r="G526" s="20">
        <f t="shared" si="5"/>
        <v>0</v>
      </c>
      <c r="H526" s="20"/>
      <c r="I526" s="20" t="str">
        <f t="shared" si="6"/>
        <v/>
      </c>
      <c r="J526" s="24" t="s">
        <v>81</v>
      </c>
      <c r="K526" s="21"/>
      <c r="L526" s="21"/>
      <c r="M526" s="23"/>
      <c r="N526" s="23"/>
      <c r="O526" s="14">
        <f t="shared" si="7"/>
        <v>45901</v>
      </c>
    </row>
    <row r="527" ht="15.0" customHeight="1">
      <c r="A527" s="68" t="s">
        <v>26</v>
      </c>
      <c r="B527" s="27" t="s">
        <v>41</v>
      </c>
      <c r="C527" s="40" t="s">
        <v>42</v>
      </c>
      <c r="D527" s="18" t="s">
        <v>52</v>
      </c>
      <c r="E527" s="19"/>
      <c r="F527" s="20"/>
      <c r="G527" s="20">
        <v>0.0</v>
      </c>
      <c r="H527" s="20"/>
      <c r="I527" s="20" t="s">
        <v>16</v>
      </c>
      <c r="J527" s="24" t="s">
        <v>81</v>
      </c>
      <c r="K527" s="21"/>
      <c r="L527" s="21"/>
      <c r="M527" s="25"/>
      <c r="N527" s="26"/>
      <c r="O527" s="14">
        <v>45901.0</v>
      </c>
    </row>
    <row r="528" ht="15.0" customHeight="1">
      <c r="A528" s="68" t="s">
        <v>26</v>
      </c>
      <c r="B528" s="27" t="s">
        <v>43</v>
      </c>
      <c r="C528" s="20" t="s">
        <v>53</v>
      </c>
      <c r="D528" s="18" t="s">
        <v>52</v>
      </c>
      <c r="E528" s="19"/>
      <c r="F528" s="20"/>
      <c r="G528" s="20">
        <v>0.0</v>
      </c>
      <c r="H528" s="20"/>
      <c r="I528" s="20" t="s">
        <v>16</v>
      </c>
      <c r="J528" s="24" t="s">
        <v>51</v>
      </c>
      <c r="K528" s="21"/>
      <c r="L528" s="21"/>
      <c r="M528" s="25"/>
      <c r="N528" s="26"/>
      <c r="O528" s="14">
        <v>45901.0</v>
      </c>
    </row>
    <row r="529" ht="15.0" customHeight="1">
      <c r="A529" s="68" t="s">
        <v>22</v>
      </c>
      <c r="B529" s="27" t="s">
        <v>31</v>
      </c>
      <c r="C529" s="20" t="s">
        <v>32</v>
      </c>
      <c r="D529" s="18" t="s">
        <v>33</v>
      </c>
      <c r="E529" s="19"/>
      <c r="F529" s="20"/>
      <c r="G529" s="20">
        <v>0.0</v>
      </c>
      <c r="H529" s="20"/>
      <c r="I529" s="20" t="s">
        <v>16</v>
      </c>
      <c r="J529" s="20" t="s">
        <v>81</v>
      </c>
      <c r="K529" s="21"/>
      <c r="L529" s="21"/>
      <c r="M529" s="34"/>
      <c r="N529" s="23"/>
      <c r="O529" s="14">
        <v>45901.0</v>
      </c>
    </row>
    <row r="530" ht="15.0" customHeight="1">
      <c r="A530" s="68" t="s">
        <v>22</v>
      </c>
      <c r="B530" s="27" t="s">
        <v>34</v>
      </c>
      <c r="C530" s="20" t="s">
        <v>68</v>
      </c>
      <c r="D530" s="18" t="s">
        <v>52</v>
      </c>
      <c r="E530" s="19"/>
      <c r="F530" s="20"/>
      <c r="G530" s="20">
        <v>0.0</v>
      </c>
      <c r="H530" s="20"/>
      <c r="I530" s="20" t="s">
        <v>16</v>
      </c>
      <c r="J530" s="20" t="s">
        <v>81</v>
      </c>
      <c r="K530" s="21"/>
      <c r="L530" s="21"/>
      <c r="M530" s="22"/>
      <c r="N530" s="23"/>
      <c r="O530" s="14">
        <v>45901.0</v>
      </c>
    </row>
    <row r="531" ht="15.0" customHeight="1">
      <c r="A531" s="68" t="s">
        <v>22</v>
      </c>
      <c r="B531" s="27" t="s">
        <v>37</v>
      </c>
      <c r="C531" s="20" t="s">
        <v>37</v>
      </c>
      <c r="D531" s="18" t="s">
        <v>52</v>
      </c>
      <c r="E531" s="19"/>
      <c r="F531" s="20"/>
      <c r="G531" s="20">
        <v>0.0</v>
      </c>
      <c r="H531" s="20"/>
      <c r="I531" s="20" t="s">
        <v>16</v>
      </c>
      <c r="J531" s="20" t="s">
        <v>38</v>
      </c>
      <c r="K531" s="21"/>
      <c r="L531" s="21"/>
      <c r="M531" s="29"/>
      <c r="N531" s="23"/>
      <c r="O531" s="14">
        <v>45901.0</v>
      </c>
    </row>
    <row r="532" ht="15.0" customHeight="1">
      <c r="A532" s="68" t="s">
        <v>22</v>
      </c>
      <c r="B532" s="27" t="s">
        <v>39</v>
      </c>
      <c r="C532" s="20" t="s">
        <v>68</v>
      </c>
      <c r="D532" s="18" t="s">
        <v>52</v>
      </c>
      <c r="E532" s="19"/>
      <c r="F532" s="20"/>
      <c r="G532" s="20">
        <v>0.0</v>
      </c>
      <c r="H532" s="20"/>
      <c r="I532" s="20" t="s">
        <v>16</v>
      </c>
      <c r="J532" s="20" t="s">
        <v>81</v>
      </c>
      <c r="K532" s="21"/>
      <c r="L532" s="21"/>
      <c r="M532" s="22"/>
      <c r="N532" s="23"/>
      <c r="O532" s="14">
        <v>45901.0</v>
      </c>
    </row>
    <row r="533" ht="15.0" customHeight="1">
      <c r="A533" s="68" t="s">
        <v>22</v>
      </c>
      <c r="B533" s="27" t="s">
        <v>41</v>
      </c>
      <c r="C533" s="20" t="s">
        <v>42</v>
      </c>
      <c r="D533" s="18" t="s">
        <v>52</v>
      </c>
      <c r="E533" s="19"/>
      <c r="F533" s="20"/>
      <c r="G533" s="20">
        <v>0.0</v>
      </c>
      <c r="H533" s="20"/>
      <c r="I533" s="20" t="s">
        <v>16</v>
      </c>
      <c r="J533" s="24" t="s">
        <v>81</v>
      </c>
      <c r="K533" s="21"/>
      <c r="L533" s="21"/>
      <c r="M533" s="22"/>
      <c r="N533" s="23"/>
      <c r="O533" s="14">
        <v>45901.0</v>
      </c>
    </row>
    <row r="534" ht="15.0" customHeight="1">
      <c r="A534" s="68" t="s">
        <v>22</v>
      </c>
      <c r="B534" s="27" t="s">
        <v>43</v>
      </c>
      <c r="C534" s="20" t="s">
        <v>53</v>
      </c>
      <c r="D534" s="18" t="s">
        <v>52</v>
      </c>
      <c r="E534" s="19"/>
      <c r="F534" s="20"/>
      <c r="G534" s="20">
        <v>0.0</v>
      </c>
      <c r="H534" s="20"/>
      <c r="I534" s="20" t="s">
        <v>16</v>
      </c>
      <c r="J534" s="20" t="s">
        <v>86</v>
      </c>
      <c r="K534" s="21"/>
      <c r="L534" s="21"/>
      <c r="M534" s="20"/>
      <c r="N534" s="23"/>
      <c r="O534" s="14">
        <v>45901.0</v>
      </c>
    </row>
    <row r="535" ht="15.0" customHeight="1">
      <c r="A535" s="68" t="s">
        <v>24</v>
      </c>
      <c r="B535" s="27" t="s">
        <v>31</v>
      </c>
      <c r="C535" s="20" t="s">
        <v>32</v>
      </c>
      <c r="D535" s="18" t="s">
        <v>33</v>
      </c>
      <c r="E535" s="19"/>
      <c r="F535" s="20"/>
      <c r="G535" s="20">
        <v>0.0</v>
      </c>
      <c r="H535" s="20"/>
      <c r="I535" s="20" t="s">
        <v>16</v>
      </c>
      <c r="J535" s="20" t="s">
        <v>81</v>
      </c>
      <c r="K535" s="21"/>
      <c r="L535" s="21"/>
      <c r="M535" s="34"/>
      <c r="N535" s="23"/>
      <c r="O535" s="14">
        <v>45901.0</v>
      </c>
    </row>
    <row r="536" ht="15.0" customHeight="1">
      <c r="A536" s="69" t="s">
        <v>24</v>
      </c>
      <c r="B536" s="27" t="s">
        <v>34</v>
      </c>
      <c r="C536" s="20" t="s">
        <v>35</v>
      </c>
      <c r="D536" s="18" t="s">
        <v>52</v>
      </c>
      <c r="E536" s="19"/>
      <c r="F536" s="20"/>
      <c r="G536" s="20">
        <v>0.0</v>
      </c>
      <c r="H536" s="20"/>
      <c r="I536" s="20" t="s">
        <v>16</v>
      </c>
      <c r="J536" s="20" t="s">
        <v>81</v>
      </c>
      <c r="K536" s="21"/>
      <c r="L536" s="21"/>
      <c r="M536" s="22"/>
      <c r="N536" s="23"/>
      <c r="O536" s="14">
        <v>45901.0</v>
      </c>
    </row>
    <row r="537" ht="15.0" customHeight="1">
      <c r="A537" s="68" t="s">
        <v>24</v>
      </c>
      <c r="B537" s="27" t="s">
        <v>37</v>
      </c>
      <c r="C537" s="20" t="s">
        <v>37</v>
      </c>
      <c r="D537" s="18" t="s">
        <v>52</v>
      </c>
      <c r="E537" s="19"/>
      <c r="F537" s="20"/>
      <c r="G537" s="20">
        <v>0.0</v>
      </c>
      <c r="H537" s="20"/>
      <c r="I537" s="20" t="s">
        <v>16</v>
      </c>
      <c r="J537" s="20" t="s">
        <v>38</v>
      </c>
      <c r="K537" s="21"/>
      <c r="L537" s="21"/>
      <c r="M537" s="29"/>
      <c r="N537" s="23"/>
      <c r="O537" s="14">
        <v>45901.0</v>
      </c>
    </row>
    <row r="538" ht="15.0" customHeight="1">
      <c r="A538" s="68" t="s">
        <v>24</v>
      </c>
      <c r="B538" s="27" t="s">
        <v>39</v>
      </c>
      <c r="C538" s="20" t="s">
        <v>40</v>
      </c>
      <c r="D538" s="18"/>
      <c r="E538" s="19"/>
      <c r="F538" s="20"/>
      <c r="G538" s="20"/>
      <c r="H538" s="20"/>
      <c r="I538" s="20" t="s">
        <v>16</v>
      </c>
      <c r="J538" s="20" t="s">
        <v>81</v>
      </c>
      <c r="K538" s="21"/>
      <c r="L538" s="21"/>
      <c r="M538" s="22"/>
      <c r="N538" s="23"/>
      <c r="O538" s="14">
        <v>45901.0</v>
      </c>
    </row>
    <row r="539" ht="15.0" customHeight="1">
      <c r="A539" s="68" t="s">
        <v>24</v>
      </c>
      <c r="B539" s="27" t="s">
        <v>41</v>
      </c>
      <c r="C539" s="20" t="s">
        <v>42</v>
      </c>
      <c r="D539" s="18" t="s">
        <v>52</v>
      </c>
      <c r="E539" s="19"/>
      <c r="F539" s="20"/>
      <c r="G539" s="20">
        <v>0.0</v>
      </c>
      <c r="H539" s="20"/>
      <c r="I539" s="20" t="s">
        <v>16</v>
      </c>
      <c r="J539" s="24" t="s">
        <v>81</v>
      </c>
      <c r="K539" s="21"/>
      <c r="L539" s="21"/>
      <c r="M539" s="22"/>
      <c r="N539" s="23"/>
      <c r="O539" s="14">
        <v>45901.0</v>
      </c>
    </row>
    <row r="540" ht="15.0" customHeight="1">
      <c r="A540" s="69" t="s">
        <v>71</v>
      </c>
      <c r="B540" s="27" t="s">
        <v>34</v>
      </c>
      <c r="C540" s="20" t="s">
        <v>35</v>
      </c>
      <c r="D540" s="18" t="s">
        <v>52</v>
      </c>
      <c r="E540" s="19"/>
      <c r="F540" s="20"/>
      <c r="G540" s="20">
        <v>0.0</v>
      </c>
      <c r="H540" s="20"/>
      <c r="I540" s="20" t="s">
        <v>16</v>
      </c>
      <c r="J540" s="24" t="s">
        <v>81</v>
      </c>
      <c r="K540" s="21"/>
      <c r="L540" s="21"/>
      <c r="M540" s="22"/>
      <c r="N540" s="26"/>
      <c r="O540" s="14">
        <v>45901.0</v>
      </c>
    </row>
    <row r="541" ht="15.0" customHeight="1">
      <c r="A541" s="68" t="s">
        <v>71</v>
      </c>
      <c r="B541" s="27" t="s">
        <v>37</v>
      </c>
      <c r="C541" s="20" t="s">
        <v>37</v>
      </c>
      <c r="D541" s="18" t="s">
        <v>58</v>
      </c>
      <c r="E541" s="19"/>
      <c r="F541" s="20"/>
      <c r="G541" s="20">
        <v>0.0</v>
      </c>
      <c r="H541" s="20"/>
      <c r="I541" s="20" t="s">
        <v>16</v>
      </c>
      <c r="J541" s="24" t="s">
        <v>38</v>
      </c>
      <c r="K541" s="21"/>
      <c r="L541" s="21"/>
      <c r="M541" s="25"/>
      <c r="N541" s="26"/>
      <c r="O541" s="14">
        <v>45901.0</v>
      </c>
    </row>
    <row r="542" ht="15.0" customHeight="1">
      <c r="A542" s="68" t="s">
        <v>71</v>
      </c>
      <c r="B542" s="27" t="s">
        <v>39</v>
      </c>
      <c r="C542" s="20" t="s">
        <v>40</v>
      </c>
      <c r="D542" s="18"/>
      <c r="E542" s="19"/>
      <c r="F542" s="20"/>
      <c r="G542" s="20"/>
      <c r="H542" s="20"/>
      <c r="I542" s="20" t="s">
        <v>16</v>
      </c>
      <c r="J542" s="24" t="s">
        <v>81</v>
      </c>
      <c r="K542" s="21"/>
      <c r="L542" s="21"/>
      <c r="M542" s="23"/>
      <c r="N542" s="23"/>
      <c r="O542" s="14">
        <v>45901.0</v>
      </c>
    </row>
    <row r="543" ht="15.0" customHeight="1">
      <c r="A543" s="68" t="s">
        <v>71</v>
      </c>
      <c r="B543" s="27" t="s">
        <v>41</v>
      </c>
      <c r="C543" s="20" t="s">
        <v>42</v>
      </c>
      <c r="D543" s="18" t="s">
        <v>52</v>
      </c>
      <c r="E543" s="19"/>
      <c r="F543" s="20"/>
      <c r="G543" s="20">
        <v>0.0</v>
      </c>
      <c r="H543" s="20"/>
      <c r="I543" s="20" t="s">
        <v>16</v>
      </c>
      <c r="J543" s="24" t="s">
        <v>81</v>
      </c>
      <c r="K543" s="21"/>
      <c r="L543" s="21"/>
      <c r="M543" s="25"/>
      <c r="N543" s="26"/>
      <c r="O543" s="14">
        <v>45901.0</v>
      </c>
    </row>
    <row r="544" ht="15.0" customHeight="1">
      <c r="A544" s="68" t="s">
        <v>89</v>
      </c>
      <c r="B544" s="27" t="s">
        <v>31</v>
      </c>
      <c r="C544" s="20" t="s">
        <v>32</v>
      </c>
      <c r="D544" s="18" t="s">
        <v>33</v>
      </c>
      <c r="E544" s="19"/>
      <c r="F544" s="20"/>
      <c r="G544" s="20">
        <v>0.0</v>
      </c>
      <c r="H544" s="20"/>
      <c r="I544" s="20" t="s">
        <v>16</v>
      </c>
      <c r="J544" s="20" t="s">
        <v>81</v>
      </c>
      <c r="K544" s="21"/>
      <c r="L544" s="21"/>
      <c r="M544" s="34"/>
      <c r="N544" s="23"/>
      <c r="O544" s="14">
        <v>45901.0</v>
      </c>
    </row>
    <row r="545" ht="15.0" customHeight="1">
      <c r="A545" s="68" t="s">
        <v>89</v>
      </c>
      <c r="B545" s="27" t="s">
        <v>34</v>
      </c>
      <c r="C545" s="20" t="s">
        <v>90</v>
      </c>
      <c r="D545" s="18" t="s">
        <v>52</v>
      </c>
      <c r="E545" s="19"/>
      <c r="F545" s="20"/>
      <c r="G545" s="20">
        <v>0.0</v>
      </c>
      <c r="H545" s="20"/>
      <c r="I545" s="20" t="s">
        <v>16</v>
      </c>
      <c r="J545" s="20" t="s">
        <v>81</v>
      </c>
      <c r="K545" s="21"/>
      <c r="L545" s="21"/>
      <c r="M545" s="34" t="s">
        <v>91</v>
      </c>
      <c r="N545" s="23"/>
      <c r="O545" s="14">
        <v>45901.0</v>
      </c>
    </row>
    <row r="546" ht="15.0" customHeight="1">
      <c r="A546" s="68" t="s">
        <v>89</v>
      </c>
      <c r="B546" s="27" t="s">
        <v>37</v>
      </c>
      <c r="C546" s="20" t="s">
        <v>37</v>
      </c>
      <c r="D546" s="18" t="s">
        <v>52</v>
      </c>
      <c r="E546" s="19"/>
      <c r="F546" s="20"/>
      <c r="G546" s="20">
        <v>0.0</v>
      </c>
      <c r="H546" s="20"/>
      <c r="I546" s="20" t="s">
        <v>16</v>
      </c>
      <c r="J546" s="20" t="s">
        <v>38</v>
      </c>
      <c r="K546" s="21"/>
      <c r="L546" s="21"/>
      <c r="M546" s="22"/>
      <c r="N546" s="23"/>
      <c r="O546" s="14">
        <v>45901.0</v>
      </c>
    </row>
    <row r="547" ht="15.0" customHeight="1">
      <c r="A547" s="68" t="s">
        <v>89</v>
      </c>
      <c r="B547" s="27" t="s">
        <v>41</v>
      </c>
      <c r="C547" s="20" t="s">
        <v>42</v>
      </c>
      <c r="D547" s="18" t="s">
        <v>52</v>
      </c>
      <c r="E547" s="19"/>
      <c r="F547" s="20"/>
      <c r="G547" s="20">
        <v>0.0</v>
      </c>
      <c r="H547" s="20"/>
      <c r="I547" s="20" t="s">
        <v>16</v>
      </c>
      <c r="J547" s="24" t="s">
        <v>81</v>
      </c>
      <c r="K547" s="21"/>
      <c r="L547" s="21"/>
      <c r="M547" s="22"/>
      <c r="N547" s="23"/>
      <c r="O547" s="14">
        <v>45901.0</v>
      </c>
    </row>
    <row r="548" ht="15.0" customHeight="1">
      <c r="A548" s="68" t="s">
        <v>89</v>
      </c>
      <c r="B548" s="27" t="s">
        <v>43</v>
      </c>
      <c r="C548" s="20" t="s">
        <v>53</v>
      </c>
      <c r="D548" s="18" t="s">
        <v>52</v>
      </c>
      <c r="E548" s="19"/>
      <c r="F548" s="20"/>
      <c r="G548" s="20">
        <v>0.0</v>
      </c>
      <c r="H548" s="20"/>
      <c r="I548" s="20" t="s">
        <v>16</v>
      </c>
      <c r="J548" s="20" t="s">
        <v>38</v>
      </c>
      <c r="K548" s="21"/>
      <c r="L548" s="21"/>
      <c r="M548" s="29"/>
      <c r="N548" s="23"/>
      <c r="O548" s="14">
        <v>45901.0</v>
      </c>
    </row>
    <row r="549" ht="15.0" customHeight="1">
      <c r="A549" s="68" t="s">
        <v>92</v>
      </c>
      <c r="B549" s="27" t="s">
        <v>46</v>
      </c>
      <c r="C549" s="20" t="s">
        <v>93</v>
      </c>
      <c r="D549" s="18" t="s">
        <v>58</v>
      </c>
      <c r="E549" s="19"/>
      <c r="F549" s="20"/>
      <c r="G549" s="20">
        <v>0.0</v>
      </c>
      <c r="H549" s="20"/>
      <c r="I549" s="20" t="s">
        <v>16</v>
      </c>
      <c r="J549" s="24" t="s">
        <v>38</v>
      </c>
      <c r="K549" s="21"/>
      <c r="L549" s="21"/>
      <c r="M549" s="18" t="s">
        <v>94</v>
      </c>
      <c r="N549" s="26"/>
      <c r="O549" s="14">
        <v>45901.0</v>
      </c>
    </row>
    <row r="550" ht="15.0" customHeight="1">
      <c r="A550" s="68" t="s">
        <v>92</v>
      </c>
      <c r="B550" s="27" t="s">
        <v>31</v>
      </c>
      <c r="C550" s="20" t="s">
        <v>83</v>
      </c>
      <c r="D550" s="18" t="s">
        <v>52</v>
      </c>
      <c r="E550" s="19"/>
      <c r="F550" s="20"/>
      <c r="G550" s="20">
        <v>0.0</v>
      </c>
      <c r="H550" s="20"/>
      <c r="I550" s="20" t="s">
        <v>16</v>
      </c>
      <c r="J550" s="24" t="s">
        <v>81</v>
      </c>
      <c r="K550" s="21"/>
      <c r="L550" s="21"/>
      <c r="M550" s="18"/>
      <c r="N550" s="23"/>
      <c r="O550" s="14">
        <v>45901.0</v>
      </c>
    </row>
    <row r="551" ht="15.0" customHeight="1">
      <c r="A551" s="68" t="s">
        <v>92</v>
      </c>
      <c r="B551" s="27" t="s">
        <v>50</v>
      </c>
      <c r="C551" s="20" t="s">
        <v>95</v>
      </c>
      <c r="D551" s="18" t="s">
        <v>52</v>
      </c>
      <c r="E551" s="19"/>
      <c r="F551" s="20"/>
      <c r="G551" s="20">
        <v>0.0</v>
      </c>
      <c r="H551" s="20"/>
      <c r="I551" s="20" t="s">
        <v>16</v>
      </c>
      <c r="J551" s="24" t="s">
        <v>81</v>
      </c>
      <c r="K551" s="21"/>
      <c r="L551" s="21"/>
      <c r="M551" s="18"/>
      <c r="N551" s="23"/>
      <c r="O551" s="14">
        <v>45901.0</v>
      </c>
    </row>
    <row r="552" ht="15.0" customHeight="1">
      <c r="A552" s="68" t="s">
        <v>92</v>
      </c>
      <c r="B552" s="27" t="s">
        <v>37</v>
      </c>
      <c r="C552" s="20" t="s">
        <v>95</v>
      </c>
      <c r="D552" s="18" t="s">
        <v>52</v>
      </c>
      <c r="E552" s="19"/>
      <c r="F552" s="20"/>
      <c r="G552" s="20">
        <v>0.0</v>
      </c>
      <c r="H552" s="20"/>
      <c r="I552" s="20" t="s">
        <v>16</v>
      </c>
      <c r="J552" s="24" t="s">
        <v>81</v>
      </c>
      <c r="K552" s="21"/>
      <c r="L552" s="21"/>
      <c r="M552" s="29"/>
      <c r="N552" s="26"/>
      <c r="O552" s="14">
        <v>45901.0</v>
      </c>
    </row>
    <row r="553" ht="15.0" customHeight="1">
      <c r="A553" s="68" t="s">
        <v>92</v>
      </c>
      <c r="B553" s="27" t="s">
        <v>41</v>
      </c>
      <c r="C553" s="20" t="s">
        <v>42</v>
      </c>
      <c r="D553" s="18" t="s">
        <v>52</v>
      </c>
      <c r="E553" s="19"/>
      <c r="F553" s="20"/>
      <c r="G553" s="20">
        <v>0.0</v>
      </c>
      <c r="H553" s="20"/>
      <c r="I553" s="20" t="s">
        <v>16</v>
      </c>
      <c r="J553" s="24" t="s">
        <v>81</v>
      </c>
      <c r="K553" s="21"/>
      <c r="L553" s="21"/>
      <c r="M553" s="29"/>
      <c r="N553" s="26"/>
      <c r="O553" s="14">
        <v>45901.0</v>
      </c>
    </row>
    <row r="554" ht="15.0" customHeight="1">
      <c r="A554" s="68" t="s">
        <v>92</v>
      </c>
      <c r="B554" s="27" t="s">
        <v>43</v>
      </c>
      <c r="C554" s="20" t="s">
        <v>96</v>
      </c>
      <c r="D554" s="18" t="s">
        <v>97</v>
      </c>
      <c r="E554" s="19"/>
      <c r="F554" s="20"/>
      <c r="G554" s="20">
        <v>0.0</v>
      </c>
      <c r="H554" s="20"/>
      <c r="I554" s="20" t="s">
        <v>16</v>
      </c>
      <c r="J554" s="24" t="s">
        <v>51</v>
      </c>
      <c r="K554" s="21"/>
      <c r="L554" s="21"/>
      <c r="M554" s="20" t="s">
        <v>98</v>
      </c>
      <c r="N554" s="26"/>
      <c r="O554" s="14">
        <v>45901.0</v>
      </c>
    </row>
    <row r="555" ht="15.0" customHeight="1">
      <c r="A555" s="68" t="s">
        <v>92</v>
      </c>
      <c r="B555" s="27" t="s">
        <v>99</v>
      </c>
      <c r="C555" s="20" t="s">
        <v>100</v>
      </c>
      <c r="D555" s="18" t="s">
        <v>101</v>
      </c>
      <c r="E555" s="19"/>
      <c r="F555" s="20"/>
      <c r="G555" s="20">
        <v>0.0</v>
      </c>
      <c r="H555" s="20"/>
      <c r="I555" s="20" t="s">
        <v>16</v>
      </c>
      <c r="J555" s="24" t="s">
        <v>38</v>
      </c>
      <c r="K555" s="21"/>
      <c r="L555" s="21"/>
      <c r="M555" s="23"/>
      <c r="N555" s="23"/>
      <c r="O555" s="14">
        <v>45901.0</v>
      </c>
    </row>
    <row r="556" ht="15.0" customHeight="1">
      <c r="A556" s="68" t="s">
        <v>92</v>
      </c>
      <c r="B556" s="27" t="s">
        <v>102</v>
      </c>
      <c r="C556" s="20" t="s">
        <v>53</v>
      </c>
      <c r="D556" s="18" t="s">
        <v>52</v>
      </c>
      <c r="E556" s="19"/>
      <c r="F556" s="20"/>
      <c r="G556" s="20">
        <v>0.0</v>
      </c>
      <c r="H556" s="20"/>
      <c r="I556" s="20" t="s">
        <v>16</v>
      </c>
      <c r="J556" s="24" t="s">
        <v>38</v>
      </c>
      <c r="K556" s="21"/>
      <c r="L556" s="21"/>
      <c r="M556" s="18"/>
      <c r="N556" s="23"/>
      <c r="O556" s="14">
        <v>45901.0</v>
      </c>
    </row>
    <row r="557" ht="15.0" customHeight="1">
      <c r="A557" s="68" t="s">
        <v>103</v>
      </c>
      <c r="B557" s="27" t="s">
        <v>46</v>
      </c>
      <c r="C557" s="20" t="s">
        <v>93</v>
      </c>
      <c r="D557" s="18" t="s">
        <v>58</v>
      </c>
      <c r="E557" s="19"/>
      <c r="F557" s="20"/>
      <c r="G557" s="20">
        <v>0.0</v>
      </c>
      <c r="H557" s="20"/>
      <c r="I557" s="20" t="s">
        <v>16</v>
      </c>
      <c r="J557" s="20" t="s">
        <v>38</v>
      </c>
      <c r="K557" s="21"/>
      <c r="L557" s="21"/>
      <c r="M557" s="18" t="s">
        <v>104</v>
      </c>
      <c r="N557" s="23"/>
      <c r="O557" s="14">
        <v>45901.0</v>
      </c>
    </row>
    <row r="558" ht="15.0" customHeight="1">
      <c r="A558" s="68" t="s">
        <v>103</v>
      </c>
      <c r="B558" s="27" t="s">
        <v>34</v>
      </c>
      <c r="C558" s="20" t="s">
        <v>105</v>
      </c>
      <c r="D558" s="18" t="s">
        <v>52</v>
      </c>
      <c r="E558" s="19"/>
      <c r="F558" s="20"/>
      <c r="G558" s="20">
        <v>0.0</v>
      </c>
      <c r="H558" s="20"/>
      <c r="I558" s="20" t="s">
        <v>16</v>
      </c>
      <c r="J558" s="20" t="s">
        <v>81</v>
      </c>
      <c r="K558" s="21"/>
      <c r="L558" s="21"/>
      <c r="M558" s="22"/>
      <c r="N558" s="23"/>
      <c r="O558" s="14">
        <v>45901.0</v>
      </c>
    </row>
    <row r="559" ht="15.0" customHeight="1">
      <c r="A559" s="68" t="s">
        <v>103</v>
      </c>
      <c r="B559" s="16" t="s">
        <v>34</v>
      </c>
      <c r="C559" s="20" t="s">
        <v>105</v>
      </c>
      <c r="D559" s="18" t="s">
        <v>52</v>
      </c>
      <c r="E559" s="19"/>
      <c r="F559" s="20"/>
      <c r="G559" s="20">
        <v>0.0</v>
      </c>
      <c r="H559" s="20"/>
      <c r="I559" s="20" t="s">
        <v>16</v>
      </c>
      <c r="J559" s="20" t="s">
        <v>81</v>
      </c>
      <c r="K559" s="21"/>
      <c r="L559" s="21"/>
      <c r="M559" s="22"/>
      <c r="N559" s="23"/>
      <c r="O559" s="14">
        <v>45901.0</v>
      </c>
    </row>
    <row r="560" ht="15.0" customHeight="1">
      <c r="A560" s="68" t="s">
        <v>103</v>
      </c>
      <c r="B560" s="27" t="s">
        <v>50</v>
      </c>
      <c r="C560" s="20" t="s">
        <v>40</v>
      </c>
      <c r="D560" s="18" t="s">
        <v>58</v>
      </c>
      <c r="E560" s="19"/>
      <c r="F560" s="20"/>
      <c r="G560" s="20">
        <v>0.0</v>
      </c>
      <c r="H560" s="20"/>
      <c r="I560" s="20" t="s">
        <v>16</v>
      </c>
      <c r="J560" s="20" t="s">
        <v>38</v>
      </c>
      <c r="K560" s="21"/>
      <c r="L560" s="21"/>
      <c r="M560" s="22"/>
      <c r="N560" s="23"/>
      <c r="O560" s="14">
        <v>45901.0</v>
      </c>
    </row>
    <row r="561" ht="15.0" customHeight="1">
      <c r="A561" s="68" t="s">
        <v>103</v>
      </c>
      <c r="B561" s="16" t="s">
        <v>50</v>
      </c>
      <c r="C561" s="20" t="s">
        <v>40</v>
      </c>
      <c r="D561" s="18" t="s">
        <v>58</v>
      </c>
      <c r="E561" s="19"/>
      <c r="F561" s="20"/>
      <c r="G561" s="20">
        <v>0.0</v>
      </c>
      <c r="H561" s="20"/>
      <c r="I561" s="20" t="s">
        <v>16</v>
      </c>
      <c r="J561" s="20" t="s">
        <v>38</v>
      </c>
      <c r="K561" s="21"/>
      <c r="L561" s="21"/>
      <c r="M561" s="22"/>
      <c r="N561" s="23"/>
      <c r="O561" s="14">
        <v>45901.0</v>
      </c>
    </row>
    <row r="562" ht="15.0" customHeight="1">
      <c r="A562" s="68" t="s">
        <v>103</v>
      </c>
      <c r="B562" s="27" t="s">
        <v>37</v>
      </c>
      <c r="C562" s="20" t="s">
        <v>37</v>
      </c>
      <c r="D562" s="18" t="s">
        <v>52</v>
      </c>
      <c r="E562" s="19"/>
      <c r="F562" s="20"/>
      <c r="G562" s="20">
        <v>0.0</v>
      </c>
      <c r="H562" s="20"/>
      <c r="I562" s="20" t="s">
        <v>16</v>
      </c>
      <c r="J562" s="20" t="s">
        <v>38</v>
      </c>
      <c r="K562" s="21"/>
      <c r="L562" s="21"/>
      <c r="M562" s="29"/>
      <c r="N562" s="23"/>
      <c r="O562" s="14">
        <v>45901.0</v>
      </c>
    </row>
    <row r="563" ht="15.0" customHeight="1">
      <c r="A563" s="68" t="s">
        <v>103</v>
      </c>
      <c r="B563" s="27" t="s">
        <v>41</v>
      </c>
      <c r="C563" s="20" t="s">
        <v>42</v>
      </c>
      <c r="D563" s="18" t="s">
        <v>52</v>
      </c>
      <c r="E563" s="19"/>
      <c r="F563" s="20"/>
      <c r="G563" s="20">
        <v>0.0</v>
      </c>
      <c r="H563" s="20"/>
      <c r="I563" s="20" t="s">
        <v>16</v>
      </c>
      <c r="J563" s="24" t="s">
        <v>81</v>
      </c>
      <c r="K563" s="21"/>
      <c r="L563" s="21"/>
      <c r="M563" s="22"/>
      <c r="N563" s="23"/>
      <c r="O563" s="14">
        <v>45901.0</v>
      </c>
    </row>
    <row r="564" ht="15.0" customHeight="1">
      <c r="A564" s="68" t="s">
        <v>103</v>
      </c>
      <c r="B564" s="27" t="s">
        <v>43</v>
      </c>
      <c r="C564" s="20" t="s">
        <v>53</v>
      </c>
      <c r="D564" s="18" t="s">
        <v>52</v>
      </c>
      <c r="E564" s="19"/>
      <c r="F564" s="20"/>
      <c r="G564" s="20">
        <v>0.0</v>
      </c>
      <c r="H564" s="20"/>
      <c r="I564" s="20" t="s">
        <v>16</v>
      </c>
      <c r="J564" s="20" t="s">
        <v>38</v>
      </c>
      <c r="K564" s="21"/>
      <c r="L564" s="21"/>
      <c r="M564" s="20"/>
      <c r="N564" s="23"/>
      <c r="O564" s="14">
        <v>45901.0</v>
      </c>
    </row>
    <row r="565" ht="15.0" customHeight="1">
      <c r="A565" s="68" t="s">
        <v>106</v>
      </c>
      <c r="B565" s="27" t="s">
        <v>46</v>
      </c>
      <c r="C565" s="20" t="s">
        <v>47</v>
      </c>
      <c r="D565" s="18" t="s">
        <v>85</v>
      </c>
      <c r="E565" s="19"/>
      <c r="F565" s="20"/>
      <c r="G565" s="20">
        <v>0.0</v>
      </c>
      <c r="H565" s="20"/>
      <c r="I565" s="20" t="s">
        <v>16</v>
      </c>
      <c r="J565" s="24" t="s">
        <v>81</v>
      </c>
      <c r="K565" s="21"/>
      <c r="L565" s="21"/>
      <c r="M565" s="25"/>
      <c r="N565" s="28"/>
      <c r="O565" s="14">
        <v>45901.0</v>
      </c>
    </row>
    <row r="566" ht="15.0" customHeight="1">
      <c r="A566" s="68" t="s">
        <v>106</v>
      </c>
      <c r="B566" s="27" t="s">
        <v>34</v>
      </c>
      <c r="C566" s="20" t="s">
        <v>47</v>
      </c>
      <c r="D566" s="18" t="s">
        <v>52</v>
      </c>
      <c r="E566" s="19"/>
      <c r="F566" s="20"/>
      <c r="G566" s="20">
        <v>0.0</v>
      </c>
      <c r="H566" s="20"/>
      <c r="I566" s="20" t="s">
        <v>16</v>
      </c>
      <c r="J566" s="24" t="s">
        <v>81</v>
      </c>
      <c r="K566" s="21"/>
      <c r="L566" s="21"/>
      <c r="M566" s="25"/>
      <c r="N566" s="28"/>
      <c r="O566" s="14">
        <v>45901.0</v>
      </c>
    </row>
    <row r="567" ht="15.0" customHeight="1">
      <c r="A567" s="68" t="s">
        <v>106</v>
      </c>
      <c r="B567" s="27" t="s">
        <v>50</v>
      </c>
      <c r="C567" s="20" t="s">
        <v>47</v>
      </c>
      <c r="D567" s="18" t="s">
        <v>85</v>
      </c>
      <c r="E567" s="19"/>
      <c r="F567" s="20"/>
      <c r="G567" s="20">
        <v>0.0</v>
      </c>
      <c r="H567" s="20"/>
      <c r="I567" s="20" t="s">
        <v>16</v>
      </c>
      <c r="J567" s="24" t="s">
        <v>81</v>
      </c>
      <c r="K567" s="45"/>
      <c r="L567" s="45"/>
      <c r="M567" s="23"/>
      <c r="N567" s="23"/>
      <c r="O567" s="14">
        <v>45901.0</v>
      </c>
    </row>
    <row r="568" ht="15.0" customHeight="1">
      <c r="A568" s="68" t="s">
        <v>106</v>
      </c>
      <c r="B568" s="27" t="s">
        <v>37</v>
      </c>
      <c r="C568" s="20" t="s">
        <v>47</v>
      </c>
      <c r="D568" s="18" t="s">
        <v>85</v>
      </c>
      <c r="E568" s="19"/>
      <c r="F568" s="20"/>
      <c r="G568" s="20">
        <v>0.0</v>
      </c>
      <c r="H568" s="20"/>
      <c r="I568" s="20" t="s">
        <v>16</v>
      </c>
      <c r="J568" s="24" t="s">
        <v>81</v>
      </c>
      <c r="K568" s="21"/>
      <c r="L568" s="21"/>
      <c r="M568" s="25"/>
      <c r="N568" s="28"/>
      <c r="O568" s="14">
        <v>45901.0</v>
      </c>
    </row>
    <row r="569" ht="15.0" customHeight="1">
      <c r="A569" s="68" t="s">
        <v>106</v>
      </c>
      <c r="B569" s="27" t="s">
        <v>39</v>
      </c>
      <c r="C569" s="20" t="s">
        <v>47</v>
      </c>
      <c r="D569" s="18" t="s">
        <v>85</v>
      </c>
      <c r="E569" s="19"/>
      <c r="F569" s="20"/>
      <c r="G569" s="20">
        <v>0.0</v>
      </c>
      <c r="H569" s="20"/>
      <c r="I569" s="20" t="s">
        <v>16</v>
      </c>
      <c r="J569" s="24" t="s">
        <v>81</v>
      </c>
      <c r="K569" s="45"/>
      <c r="L569" s="45"/>
      <c r="M569" s="23"/>
      <c r="N569" s="23"/>
      <c r="O569" s="14">
        <v>45901.0</v>
      </c>
    </row>
    <row r="570" ht="15.0" customHeight="1">
      <c r="A570" s="68" t="s">
        <v>106</v>
      </c>
      <c r="B570" s="27" t="s">
        <v>41</v>
      </c>
      <c r="C570" s="20" t="s">
        <v>42</v>
      </c>
      <c r="D570" s="18" t="s">
        <v>52</v>
      </c>
      <c r="E570" s="19"/>
      <c r="F570" s="20"/>
      <c r="G570" s="20">
        <v>0.0</v>
      </c>
      <c r="H570" s="20"/>
      <c r="I570" s="20" t="s">
        <v>16</v>
      </c>
      <c r="J570" s="24" t="s">
        <v>81</v>
      </c>
      <c r="K570" s="21"/>
      <c r="L570" s="21"/>
      <c r="M570" s="25"/>
      <c r="N570" s="28"/>
      <c r="O570" s="14">
        <v>45901.0</v>
      </c>
    </row>
    <row r="571" ht="15.0" customHeight="1">
      <c r="A571" s="68" t="s">
        <v>106</v>
      </c>
      <c r="B571" s="27" t="s">
        <v>43</v>
      </c>
      <c r="C571" s="20" t="s">
        <v>53</v>
      </c>
      <c r="D571" s="18" t="s">
        <v>52</v>
      </c>
      <c r="E571" s="19"/>
      <c r="F571" s="20"/>
      <c r="G571" s="20">
        <v>0.0</v>
      </c>
      <c r="H571" s="20"/>
      <c r="I571" s="20" t="s">
        <v>16</v>
      </c>
      <c r="J571" s="24" t="s">
        <v>86</v>
      </c>
      <c r="K571" s="21"/>
      <c r="L571" s="21"/>
      <c r="M571" s="25"/>
      <c r="N571" s="28"/>
      <c r="O571" s="14">
        <v>45901.0</v>
      </c>
    </row>
    <row r="572" ht="15.0" customHeight="1">
      <c r="A572" s="68" t="s">
        <v>107</v>
      </c>
      <c r="B572" s="16" t="s">
        <v>41</v>
      </c>
      <c r="C572" s="20" t="s">
        <v>42</v>
      </c>
      <c r="D572" s="18" t="s">
        <v>52</v>
      </c>
      <c r="E572" s="19"/>
      <c r="F572" s="20"/>
      <c r="G572" s="20">
        <v>0.0</v>
      </c>
      <c r="H572" s="20"/>
      <c r="I572" s="20" t="s">
        <v>16</v>
      </c>
      <c r="J572" s="20" t="s">
        <v>81</v>
      </c>
      <c r="K572" s="21"/>
      <c r="L572" s="21"/>
      <c r="M572" s="22"/>
      <c r="N572" s="23"/>
      <c r="O572" s="14">
        <v>45901.0</v>
      </c>
    </row>
    <row r="573" ht="15.0" customHeight="1">
      <c r="C573" s="70"/>
      <c r="D573" s="71"/>
      <c r="E573" s="72"/>
      <c r="F573" s="71"/>
      <c r="G573" s="73"/>
      <c r="H573" s="73"/>
      <c r="I573" s="73"/>
      <c r="J573" s="73"/>
      <c r="K573" s="74"/>
      <c r="L573" s="74"/>
      <c r="O573" s="75"/>
    </row>
    <row r="574" ht="15.0" customHeight="1">
      <c r="C574" s="70"/>
      <c r="D574" s="71"/>
      <c r="E574" s="72"/>
      <c r="F574" s="71"/>
      <c r="G574" s="73"/>
      <c r="H574" s="73"/>
      <c r="I574" s="73"/>
      <c r="J574" s="73"/>
      <c r="K574" s="74"/>
      <c r="L574" s="74"/>
      <c r="O574" s="75"/>
    </row>
    <row r="575" ht="15.0" customHeight="1">
      <c r="C575" s="70"/>
      <c r="D575" s="71"/>
      <c r="E575" s="72"/>
      <c r="F575" s="71"/>
      <c r="G575" s="73"/>
      <c r="H575" s="73"/>
      <c r="I575" s="73"/>
      <c r="J575" s="73"/>
      <c r="K575" s="74"/>
      <c r="L575" s="74"/>
      <c r="O575" s="75"/>
    </row>
    <row r="576" ht="15.0" customHeight="1">
      <c r="C576" s="70"/>
      <c r="D576" s="71"/>
      <c r="E576" s="72"/>
      <c r="F576" s="71"/>
      <c r="G576" s="73"/>
      <c r="H576" s="73"/>
      <c r="I576" s="73"/>
      <c r="J576" s="73"/>
      <c r="K576" s="74"/>
      <c r="L576" s="74"/>
      <c r="O576" s="75"/>
    </row>
    <row r="577" ht="15.0" customHeight="1">
      <c r="C577" s="70"/>
      <c r="D577" s="71"/>
      <c r="E577" s="72"/>
      <c r="F577" s="71"/>
      <c r="G577" s="73"/>
      <c r="H577" s="73"/>
      <c r="I577" s="73"/>
      <c r="J577" s="73"/>
      <c r="K577" s="74"/>
      <c r="L577" s="74"/>
      <c r="O577" s="75"/>
    </row>
    <row r="578" ht="15.0" customHeight="1">
      <c r="C578" s="70"/>
      <c r="D578" s="71"/>
      <c r="E578" s="72"/>
      <c r="F578" s="71"/>
      <c r="G578" s="73"/>
      <c r="H578" s="73"/>
      <c r="I578" s="73"/>
      <c r="J578" s="73"/>
      <c r="K578" s="74"/>
      <c r="L578" s="74"/>
      <c r="O578" s="75"/>
    </row>
    <row r="579" ht="15.0" customHeight="1">
      <c r="C579" s="70"/>
      <c r="D579" s="71"/>
      <c r="E579" s="72"/>
      <c r="F579" s="71"/>
      <c r="G579" s="73"/>
      <c r="H579" s="73"/>
      <c r="I579" s="73"/>
      <c r="J579" s="73"/>
      <c r="K579" s="74"/>
      <c r="L579" s="74"/>
      <c r="O579" s="75"/>
    </row>
    <row r="580" ht="15.0" customHeight="1">
      <c r="C580" s="70"/>
      <c r="D580" s="71"/>
      <c r="E580" s="72"/>
      <c r="F580" s="71"/>
      <c r="G580" s="73"/>
      <c r="H580" s="73"/>
      <c r="I580" s="73"/>
      <c r="J580" s="73"/>
      <c r="K580" s="74"/>
      <c r="L580" s="74"/>
      <c r="O580" s="75"/>
    </row>
    <row r="581" ht="15.0" customHeight="1">
      <c r="C581" s="70"/>
      <c r="D581" s="71"/>
      <c r="E581" s="72"/>
      <c r="F581" s="71"/>
      <c r="G581" s="73"/>
      <c r="H581" s="73"/>
      <c r="I581" s="73"/>
      <c r="J581" s="73"/>
      <c r="K581" s="74"/>
      <c r="L581" s="74"/>
      <c r="O581" s="75"/>
    </row>
    <row r="582" ht="15.0" customHeight="1">
      <c r="C582" s="70"/>
      <c r="D582" s="71"/>
      <c r="E582" s="72"/>
      <c r="F582" s="71"/>
      <c r="G582" s="73"/>
      <c r="H582" s="73"/>
      <c r="I582" s="73"/>
      <c r="J582" s="73"/>
      <c r="K582" s="74"/>
      <c r="L582" s="74"/>
      <c r="O582" s="75"/>
    </row>
    <row r="583" ht="15.0" customHeight="1">
      <c r="C583" s="70"/>
      <c r="D583" s="71"/>
      <c r="E583" s="72"/>
      <c r="F583" s="71"/>
      <c r="G583" s="73"/>
      <c r="H583" s="73"/>
      <c r="I583" s="73"/>
      <c r="J583" s="73"/>
      <c r="K583" s="74"/>
      <c r="L583" s="74"/>
      <c r="O583" s="75"/>
    </row>
    <row r="584" ht="15.0" customHeight="1">
      <c r="C584" s="70"/>
      <c r="D584" s="71"/>
      <c r="E584" s="72"/>
      <c r="F584" s="71"/>
      <c r="G584" s="73"/>
      <c r="H584" s="73"/>
      <c r="I584" s="73"/>
      <c r="J584" s="73"/>
      <c r="K584" s="74"/>
      <c r="L584" s="74"/>
      <c r="O584" s="75"/>
    </row>
    <row r="585" ht="15.0" customHeight="1">
      <c r="C585" s="70"/>
      <c r="D585" s="71"/>
      <c r="E585" s="72"/>
      <c r="F585" s="71"/>
      <c r="G585" s="73"/>
      <c r="H585" s="73"/>
      <c r="I585" s="73"/>
      <c r="J585" s="73"/>
      <c r="K585" s="74"/>
      <c r="L585" s="74"/>
      <c r="O585" s="75"/>
    </row>
    <row r="586" ht="15.0" customHeight="1">
      <c r="C586" s="70"/>
      <c r="D586" s="71"/>
      <c r="E586" s="72"/>
      <c r="F586" s="71"/>
      <c r="G586" s="73"/>
      <c r="H586" s="73"/>
      <c r="I586" s="73"/>
      <c r="J586" s="73"/>
      <c r="K586" s="74"/>
      <c r="L586" s="74"/>
      <c r="O586" s="75"/>
    </row>
    <row r="587" ht="15.0" customHeight="1">
      <c r="C587" s="70"/>
      <c r="D587" s="71"/>
      <c r="E587" s="72"/>
      <c r="F587" s="71"/>
      <c r="G587" s="73"/>
      <c r="H587" s="73"/>
      <c r="I587" s="73"/>
      <c r="J587" s="73"/>
      <c r="K587" s="74"/>
      <c r="L587" s="74"/>
      <c r="O587" s="75"/>
    </row>
    <row r="588" ht="15.0" customHeight="1">
      <c r="C588" s="70"/>
      <c r="D588" s="71"/>
      <c r="E588" s="72"/>
      <c r="F588" s="71"/>
      <c r="G588" s="73"/>
      <c r="H588" s="73"/>
      <c r="I588" s="73"/>
      <c r="J588" s="73"/>
      <c r="K588" s="74"/>
      <c r="L588" s="74"/>
      <c r="O588" s="75"/>
    </row>
    <row r="589" ht="15.0" customHeight="1">
      <c r="C589" s="70"/>
      <c r="D589" s="71"/>
      <c r="E589" s="72"/>
      <c r="F589" s="71"/>
      <c r="G589" s="73"/>
      <c r="H589" s="73"/>
      <c r="I589" s="73"/>
      <c r="J589" s="73"/>
      <c r="K589" s="74"/>
      <c r="L589" s="74"/>
      <c r="O589" s="75"/>
    </row>
    <row r="590" ht="15.0" customHeight="1">
      <c r="C590" s="70"/>
      <c r="D590" s="71"/>
      <c r="E590" s="72"/>
      <c r="F590" s="71"/>
      <c r="G590" s="73"/>
      <c r="H590" s="73"/>
      <c r="I590" s="73"/>
      <c r="J590" s="73"/>
      <c r="K590" s="74"/>
      <c r="L590" s="74"/>
      <c r="O590" s="75"/>
    </row>
    <row r="591" ht="15.0" customHeight="1">
      <c r="C591" s="70"/>
      <c r="D591" s="71"/>
      <c r="E591" s="72"/>
      <c r="F591" s="71"/>
      <c r="G591" s="73"/>
      <c r="H591" s="73"/>
      <c r="I591" s="73"/>
      <c r="J591" s="73"/>
      <c r="K591" s="74"/>
      <c r="L591" s="74"/>
      <c r="O591" s="75"/>
    </row>
    <row r="592" ht="15.0" customHeight="1">
      <c r="C592" s="70"/>
      <c r="D592" s="71"/>
      <c r="E592" s="72"/>
      <c r="F592" s="71"/>
      <c r="G592" s="73"/>
      <c r="H592" s="73"/>
      <c r="I592" s="73"/>
      <c r="J592" s="73"/>
      <c r="K592" s="74"/>
      <c r="L592" s="74"/>
      <c r="O592" s="75"/>
    </row>
    <row r="593" ht="15.0" customHeight="1">
      <c r="C593" s="70"/>
      <c r="D593" s="71"/>
      <c r="E593" s="72"/>
      <c r="F593" s="71"/>
      <c r="G593" s="73"/>
      <c r="H593" s="73"/>
      <c r="I593" s="73"/>
      <c r="J593" s="73"/>
      <c r="K593" s="74"/>
      <c r="L593" s="74"/>
      <c r="O593" s="75"/>
    </row>
    <row r="594" ht="15.0" customHeight="1">
      <c r="C594" s="70"/>
      <c r="D594" s="71"/>
      <c r="E594" s="72"/>
      <c r="F594" s="71"/>
      <c r="G594" s="73"/>
      <c r="H594" s="73"/>
      <c r="I594" s="73"/>
      <c r="J594" s="73"/>
      <c r="K594" s="74"/>
      <c r="L594" s="74"/>
      <c r="O594" s="75"/>
    </row>
    <row r="595" ht="15.0" customHeight="1">
      <c r="C595" s="70"/>
      <c r="D595" s="71"/>
      <c r="E595" s="72"/>
      <c r="F595" s="71"/>
      <c r="G595" s="73"/>
      <c r="H595" s="73"/>
      <c r="I595" s="73"/>
      <c r="J595" s="73"/>
      <c r="K595" s="74"/>
      <c r="L595" s="74"/>
      <c r="O595" s="75"/>
    </row>
    <row r="596" ht="15.0" customHeight="1">
      <c r="C596" s="70"/>
      <c r="D596" s="71"/>
      <c r="E596" s="72"/>
      <c r="F596" s="71"/>
      <c r="G596" s="73"/>
      <c r="H596" s="73"/>
      <c r="I596" s="73"/>
      <c r="J596" s="73"/>
      <c r="K596" s="74"/>
      <c r="L596" s="74"/>
      <c r="O596" s="75"/>
    </row>
    <row r="597" ht="15.0" customHeight="1">
      <c r="C597" s="70"/>
      <c r="D597" s="71"/>
      <c r="E597" s="72"/>
      <c r="F597" s="71"/>
      <c r="G597" s="73"/>
      <c r="H597" s="73"/>
      <c r="I597" s="73"/>
      <c r="J597" s="73"/>
      <c r="K597" s="74"/>
      <c r="L597" s="74"/>
      <c r="O597" s="75"/>
    </row>
    <row r="598" ht="15.0" customHeight="1">
      <c r="C598" s="70"/>
      <c r="D598" s="71"/>
      <c r="E598" s="72"/>
      <c r="F598" s="71"/>
      <c r="G598" s="73"/>
      <c r="H598" s="73"/>
      <c r="I598" s="73"/>
      <c r="J598" s="73"/>
      <c r="K598" s="74"/>
      <c r="L598" s="74"/>
      <c r="O598" s="75"/>
    </row>
    <row r="599" ht="15.0" customHeight="1">
      <c r="C599" s="70"/>
      <c r="D599" s="71"/>
      <c r="E599" s="72"/>
      <c r="F599" s="71"/>
      <c r="G599" s="73"/>
      <c r="H599" s="73"/>
      <c r="I599" s="73"/>
      <c r="J599" s="73"/>
      <c r="K599" s="74"/>
      <c r="L599" s="74"/>
      <c r="O599" s="75"/>
    </row>
    <row r="600" ht="15.0" customHeight="1">
      <c r="C600" s="70"/>
      <c r="D600" s="71"/>
      <c r="E600" s="72"/>
      <c r="F600" s="71"/>
      <c r="G600" s="73"/>
      <c r="H600" s="73"/>
      <c r="I600" s="73"/>
      <c r="J600" s="73"/>
      <c r="K600" s="74"/>
      <c r="L600" s="74"/>
      <c r="O600" s="75"/>
    </row>
    <row r="601" ht="15.0" customHeight="1">
      <c r="C601" s="70"/>
      <c r="D601" s="71"/>
      <c r="E601" s="72"/>
      <c r="F601" s="71"/>
      <c r="G601" s="73"/>
      <c r="H601" s="73"/>
      <c r="I601" s="73"/>
      <c r="J601" s="73"/>
      <c r="K601" s="74"/>
      <c r="L601" s="74"/>
      <c r="O601" s="75"/>
    </row>
    <row r="602" ht="15.0" customHeight="1">
      <c r="C602" s="70"/>
      <c r="D602" s="71"/>
      <c r="E602" s="72"/>
      <c r="F602" s="71"/>
      <c r="G602" s="73"/>
      <c r="H602" s="73"/>
      <c r="I602" s="73"/>
      <c r="J602" s="73"/>
      <c r="K602" s="74"/>
      <c r="L602" s="74"/>
      <c r="O602" s="75"/>
    </row>
    <row r="603" ht="15.0" customHeight="1">
      <c r="C603" s="70"/>
      <c r="D603" s="71"/>
      <c r="E603" s="72"/>
      <c r="F603" s="71"/>
      <c r="G603" s="73"/>
      <c r="H603" s="73"/>
      <c r="I603" s="73"/>
      <c r="J603" s="73"/>
      <c r="K603" s="74"/>
      <c r="L603" s="74"/>
      <c r="O603" s="75"/>
    </row>
    <row r="604" ht="15.0" customHeight="1">
      <c r="C604" s="70"/>
      <c r="D604" s="71"/>
      <c r="E604" s="72"/>
      <c r="F604" s="71"/>
      <c r="G604" s="73"/>
      <c r="H604" s="73"/>
      <c r="I604" s="73"/>
      <c r="J604" s="73"/>
      <c r="K604" s="74"/>
      <c r="L604" s="74"/>
      <c r="O604" s="75"/>
    </row>
    <row r="605" ht="15.0" customHeight="1">
      <c r="C605" s="70"/>
      <c r="D605" s="71"/>
      <c r="E605" s="72"/>
      <c r="F605" s="71"/>
      <c r="G605" s="73"/>
      <c r="H605" s="73"/>
      <c r="I605" s="73"/>
      <c r="J605" s="73"/>
      <c r="K605" s="74"/>
      <c r="L605" s="74"/>
      <c r="O605" s="75"/>
    </row>
    <row r="606" ht="15.0" customHeight="1">
      <c r="C606" s="70"/>
      <c r="D606" s="71"/>
      <c r="E606" s="72"/>
      <c r="F606" s="71"/>
      <c r="G606" s="73"/>
      <c r="H606" s="73"/>
      <c r="I606" s="73"/>
      <c r="J606" s="73"/>
      <c r="K606" s="74"/>
      <c r="L606" s="74"/>
      <c r="O606" s="75"/>
    </row>
    <row r="607" ht="15.0" customHeight="1">
      <c r="C607" s="70"/>
      <c r="D607" s="71"/>
      <c r="E607" s="72"/>
      <c r="F607" s="71"/>
      <c r="G607" s="73"/>
      <c r="H607" s="73"/>
      <c r="I607" s="73"/>
      <c r="J607" s="73"/>
      <c r="K607" s="74"/>
      <c r="L607" s="74"/>
      <c r="O607" s="75"/>
    </row>
    <row r="608" ht="15.0" customHeight="1">
      <c r="C608" s="70"/>
      <c r="D608" s="71"/>
      <c r="E608" s="72"/>
      <c r="F608" s="71"/>
      <c r="G608" s="73"/>
      <c r="H608" s="73"/>
      <c r="I608" s="73"/>
      <c r="J608" s="73"/>
      <c r="K608" s="74"/>
      <c r="L608" s="74"/>
      <c r="O608" s="75"/>
    </row>
    <row r="609" ht="15.0" customHeight="1">
      <c r="C609" s="70"/>
      <c r="D609" s="71"/>
      <c r="E609" s="72"/>
      <c r="F609" s="71"/>
      <c r="G609" s="73"/>
      <c r="H609" s="73"/>
      <c r="I609" s="73"/>
      <c r="J609" s="73"/>
      <c r="K609" s="74"/>
      <c r="L609" s="74"/>
      <c r="O609" s="75"/>
    </row>
    <row r="610" ht="15.0" customHeight="1">
      <c r="C610" s="70"/>
      <c r="D610" s="71"/>
      <c r="E610" s="72"/>
      <c r="F610" s="71"/>
      <c r="G610" s="73"/>
      <c r="H610" s="73"/>
      <c r="I610" s="73"/>
      <c r="J610" s="73"/>
      <c r="K610" s="74"/>
      <c r="L610" s="74"/>
      <c r="O610" s="75"/>
    </row>
    <row r="611" ht="15.0" customHeight="1">
      <c r="C611" s="70"/>
      <c r="D611" s="71"/>
      <c r="E611" s="72"/>
      <c r="F611" s="71"/>
      <c r="G611" s="73"/>
      <c r="H611" s="73"/>
      <c r="I611" s="73"/>
      <c r="J611" s="73"/>
      <c r="K611" s="74"/>
      <c r="L611" s="74"/>
      <c r="O611" s="75"/>
    </row>
    <row r="612" ht="15.0" customHeight="1">
      <c r="C612" s="70"/>
      <c r="D612" s="71"/>
      <c r="E612" s="72"/>
      <c r="F612" s="71"/>
      <c r="G612" s="73"/>
      <c r="H612" s="73"/>
      <c r="I612" s="73"/>
      <c r="J612" s="73"/>
      <c r="K612" s="74"/>
      <c r="L612" s="74"/>
      <c r="O612" s="75"/>
    </row>
    <row r="613" ht="15.0" customHeight="1">
      <c r="C613" s="70"/>
      <c r="D613" s="71"/>
      <c r="E613" s="72"/>
      <c r="F613" s="71"/>
      <c r="G613" s="73"/>
      <c r="H613" s="73"/>
      <c r="I613" s="73"/>
      <c r="J613" s="73"/>
      <c r="K613" s="74"/>
      <c r="L613" s="74"/>
      <c r="O613" s="75"/>
    </row>
    <row r="614" ht="15.0" customHeight="1">
      <c r="C614" s="70"/>
      <c r="D614" s="71"/>
      <c r="E614" s="72"/>
      <c r="F614" s="71"/>
      <c r="G614" s="73"/>
      <c r="H614" s="73"/>
      <c r="I614" s="73"/>
      <c r="J614" s="73"/>
      <c r="K614" s="74"/>
      <c r="L614" s="74"/>
      <c r="O614" s="75"/>
    </row>
    <row r="615" ht="15.0" customHeight="1">
      <c r="C615" s="70"/>
      <c r="D615" s="71"/>
      <c r="E615" s="72"/>
      <c r="F615" s="71"/>
      <c r="G615" s="73"/>
      <c r="H615" s="73"/>
      <c r="I615" s="73"/>
      <c r="J615" s="73"/>
      <c r="K615" s="74"/>
      <c r="L615" s="74"/>
      <c r="O615" s="75"/>
    </row>
    <row r="616" ht="15.0" customHeight="1">
      <c r="C616" s="70"/>
      <c r="D616" s="71"/>
      <c r="E616" s="72"/>
      <c r="F616" s="71"/>
      <c r="G616" s="73"/>
      <c r="H616" s="73"/>
      <c r="I616" s="73"/>
      <c r="J616" s="73"/>
      <c r="K616" s="74"/>
      <c r="L616" s="74"/>
      <c r="O616" s="75"/>
    </row>
    <row r="617" ht="15.0" customHeight="1">
      <c r="C617" s="70"/>
      <c r="D617" s="71"/>
      <c r="E617" s="72"/>
      <c r="F617" s="71"/>
      <c r="G617" s="73"/>
      <c r="H617" s="73"/>
      <c r="I617" s="73"/>
      <c r="J617" s="73"/>
      <c r="K617" s="74"/>
      <c r="L617" s="74"/>
      <c r="O617" s="75"/>
    </row>
    <row r="618" ht="15.0" customHeight="1">
      <c r="C618" s="70"/>
      <c r="D618" s="71"/>
      <c r="E618" s="72"/>
      <c r="F618" s="71"/>
      <c r="G618" s="73"/>
      <c r="H618" s="73"/>
      <c r="I618" s="73"/>
      <c r="J618" s="73"/>
      <c r="K618" s="74"/>
      <c r="L618" s="74"/>
      <c r="O618" s="75"/>
    </row>
    <row r="619" ht="15.0" customHeight="1">
      <c r="C619" s="70"/>
      <c r="D619" s="71"/>
      <c r="E619" s="72"/>
      <c r="F619" s="71"/>
      <c r="G619" s="73"/>
      <c r="H619" s="73"/>
      <c r="I619" s="73"/>
      <c r="J619" s="73"/>
      <c r="K619" s="74"/>
      <c r="L619" s="74"/>
      <c r="O619" s="75"/>
    </row>
    <row r="620" ht="15.0" customHeight="1">
      <c r="C620" s="70"/>
      <c r="D620" s="71"/>
      <c r="E620" s="72"/>
      <c r="F620" s="71"/>
      <c r="G620" s="73"/>
      <c r="H620" s="73"/>
      <c r="I620" s="73"/>
      <c r="J620" s="73"/>
      <c r="K620" s="74"/>
      <c r="L620" s="74"/>
      <c r="O620" s="75"/>
    </row>
    <row r="621" ht="15.0" customHeight="1">
      <c r="C621" s="70"/>
      <c r="D621" s="71"/>
      <c r="E621" s="72"/>
      <c r="F621" s="71"/>
      <c r="G621" s="73"/>
      <c r="H621" s="73"/>
      <c r="I621" s="73"/>
      <c r="J621" s="73"/>
      <c r="K621" s="74"/>
      <c r="L621" s="74"/>
      <c r="O621" s="75"/>
    </row>
    <row r="622" ht="15.0" customHeight="1">
      <c r="C622" s="70"/>
      <c r="D622" s="71"/>
      <c r="E622" s="72"/>
      <c r="F622" s="71"/>
      <c r="G622" s="73"/>
      <c r="H622" s="73"/>
      <c r="I622" s="73"/>
      <c r="J622" s="73"/>
      <c r="K622" s="74"/>
      <c r="L622" s="74"/>
      <c r="O622" s="75"/>
    </row>
    <row r="623" ht="15.0" customHeight="1">
      <c r="C623" s="70"/>
      <c r="D623" s="71"/>
      <c r="E623" s="72"/>
      <c r="F623" s="71"/>
      <c r="G623" s="73"/>
      <c r="H623" s="73"/>
      <c r="I623" s="73"/>
      <c r="J623" s="73"/>
      <c r="K623" s="74"/>
      <c r="L623" s="74"/>
      <c r="O623" s="75"/>
    </row>
    <row r="624" ht="15.0" customHeight="1">
      <c r="C624" s="70"/>
      <c r="D624" s="71"/>
      <c r="E624" s="72"/>
      <c r="F624" s="71"/>
      <c r="G624" s="73"/>
      <c r="H624" s="73"/>
      <c r="I624" s="73"/>
      <c r="J624" s="73"/>
      <c r="K624" s="74"/>
      <c r="L624" s="74"/>
      <c r="O624" s="75"/>
    </row>
    <row r="625" ht="15.0" customHeight="1">
      <c r="C625" s="70"/>
      <c r="D625" s="71"/>
      <c r="E625" s="72"/>
      <c r="F625" s="71"/>
      <c r="G625" s="73"/>
      <c r="H625" s="73"/>
      <c r="I625" s="73"/>
      <c r="J625" s="73"/>
      <c r="K625" s="74"/>
      <c r="L625" s="74"/>
      <c r="O625" s="75"/>
    </row>
    <row r="626" ht="15.0" customHeight="1">
      <c r="C626" s="70"/>
      <c r="D626" s="71"/>
      <c r="E626" s="72"/>
      <c r="F626" s="71"/>
      <c r="G626" s="73"/>
      <c r="H626" s="73"/>
      <c r="I626" s="73"/>
      <c r="J626" s="73"/>
      <c r="K626" s="74"/>
      <c r="L626" s="74"/>
      <c r="O626" s="75"/>
    </row>
    <row r="627" ht="15.0" customHeight="1">
      <c r="C627" s="70"/>
      <c r="D627" s="71"/>
      <c r="E627" s="72"/>
      <c r="F627" s="71"/>
      <c r="G627" s="73"/>
      <c r="H627" s="73"/>
      <c r="I627" s="73"/>
      <c r="J627" s="73"/>
      <c r="K627" s="74"/>
      <c r="L627" s="74"/>
      <c r="O627" s="75"/>
    </row>
    <row r="628" ht="15.0" customHeight="1">
      <c r="C628" s="70"/>
      <c r="D628" s="71"/>
      <c r="E628" s="72"/>
      <c r="F628" s="71"/>
      <c r="G628" s="73"/>
      <c r="H628" s="73"/>
      <c r="I628" s="73"/>
      <c r="J628" s="73"/>
      <c r="K628" s="74"/>
      <c r="L628" s="74"/>
      <c r="O628" s="75"/>
    </row>
    <row r="629" ht="15.0" customHeight="1">
      <c r="C629" s="70"/>
      <c r="D629" s="71"/>
      <c r="E629" s="72"/>
      <c r="F629" s="71"/>
      <c r="G629" s="73"/>
      <c r="H629" s="73"/>
      <c r="I629" s="73"/>
      <c r="J629" s="73"/>
      <c r="K629" s="74"/>
      <c r="L629" s="74"/>
      <c r="O629" s="75"/>
    </row>
    <row r="630" ht="15.0" customHeight="1">
      <c r="C630" s="70"/>
      <c r="D630" s="71"/>
      <c r="E630" s="72"/>
      <c r="F630" s="71"/>
      <c r="G630" s="73"/>
      <c r="H630" s="73"/>
      <c r="I630" s="73"/>
      <c r="J630" s="73"/>
      <c r="K630" s="74"/>
      <c r="L630" s="74"/>
      <c r="O630" s="75"/>
    </row>
    <row r="631" ht="15.0" customHeight="1">
      <c r="C631" s="70"/>
      <c r="D631" s="71"/>
      <c r="E631" s="72"/>
      <c r="F631" s="71"/>
      <c r="G631" s="73"/>
      <c r="H631" s="73"/>
      <c r="I631" s="73"/>
      <c r="J631" s="73"/>
      <c r="K631" s="74"/>
      <c r="L631" s="74"/>
      <c r="O631" s="75"/>
    </row>
    <row r="632" ht="15.0" customHeight="1">
      <c r="C632" s="70"/>
      <c r="D632" s="71"/>
      <c r="E632" s="72"/>
      <c r="F632" s="71"/>
      <c r="G632" s="73"/>
      <c r="H632" s="73"/>
      <c r="I632" s="73"/>
      <c r="J632" s="73"/>
      <c r="K632" s="74"/>
      <c r="L632" s="74"/>
      <c r="O632" s="75"/>
    </row>
    <row r="633" ht="15.0" customHeight="1">
      <c r="C633" s="70"/>
      <c r="D633" s="71"/>
      <c r="E633" s="72"/>
      <c r="F633" s="71"/>
      <c r="G633" s="73"/>
      <c r="H633" s="73"/>
      <c r="I633" s="73"/>
      <c r="J633" s="73"/>
      <c r="K633" s="74"/>
      <c r="L633" s="74"/>
      <c r="O633" s="75"/>
    </row>
    <row r="634" ht="15.0" customHeight="1">
      <c r="C634" s="70"/>
      <c r="D634" s="71"/>
      <c r="E634" s="72"/>
      <c r="F634" s="71"/>
      <c r="G634" s="73"/>
      <c r="H634" s="73"/>
      <c r="I634" s="73"/>
      <c r="J634" s="73"/>
      <c r="K634" s="74"/>
      <c r="L634" s="74"/>
      <c r="O634" s="75"/>
    </row>
    <row r="635" ht="15.0" customHeight="1">
      <c r="C635" s="70"/>
      <c r="D635" s="71"/>
      <c r="E635" s="72"/>
      <c r="F635" s="71"/>
      <c r="G635" s="73"/>
      <c r="H635" s="73"/>
      <c r="I635" s="73"/>
      <c r="J635" s="73"/>
      <c r="K635" s="74"/>
      <c r="L635" s="74"/>
      <c r="O635" s="75"/>
    </row>
    <row r="636" ht="15.0" customHeight="1">
      <c r="C636" s="70"/>
      <c r="D636" s="71"/>
      <c r="E636" s="72"/>
      <c r="F636" s="71"/>
      <c r="G636" s="73"/>
      <c r="H636" s="73"/>
      <c r="I636" s="73"/>
      <c r="J636" s="73"/>
      <c r="K636" s="74"/>
      <c r="L636" s="74"/>
      <c r="O636" s="75"/>
    </row>
    <row r="637" ht="15.0" customHeight="1">
      <c r="C637" s="70"/>
      <c r="D637" s="71"/>
      <c r="E637" s="72"/>
      <c r="F637" s="71"/>
      <c r="G637" s="73"/>
      <c r="H637" s="73"/>
      <c r="I637" s="73"/>
      <c r="J637" s="73"/>
      <c r="K637" s="74"/>
      <c r="L637" s="74"/>
      <c r="O637" s="75"/>
    </row>
    <row r="638" ht="15.0" customHeight="1">
      <c r="C638" s="70"/>
      <c r="D638" s="71"/>
      <c r="E638" s="72"/>
      <c r="F638" s="71"/>
      <c r="G638" s="73"/>
      <c r="H638" s="73"/>
      <c r="I638" s="73"/>
      <c r="J638" s="73"/>
      <c r="K638" s="74"/>
      <c r="L638" s="74"/>
      <c r="O638" s="75"/>
    </row>
    <row r="639" ht="15.0" customHeight="1">
      <c r="C639" s="70"/>
      <c r="D639" s="71"/>
      <c r="E639" s="72"/>
      <c r="F639" s="71"/>
      <c r="G639" s="73"/>
      <c r="H639" s="73"/>
      <c r="I639" s="73"/>
      <c r="J639" s="73"/>
      <c r="K639" s="74"/>
      <c r="L639" s="74"/>
      <c r="O639" s="75"/>
    </row>
    <row r="640" ht="15.0" customHeight="1">
      <c r="C640" s="70"/>
      <c r="D640" s="71"/>
      <c r="E640" s="72"/>
      <c r="F640" s="71"/>
      <c r="G640" s="73"/>
      <c r="H640" s="73"/>
      <c r="I640" s="73"/>
      <c r="J640" s="73"/>
      <c r="K640" s="74"/>
      <c r="L640" s="74"/>
      <c r="O640" s="75"/>
    </row>
    <row r="641" ht="15.0" customHeight="1">
      <c r="C641" s="70"/>
      <c r="D641" s="71"/>
      <c r="E641" s="72"/>
      <c r="F641" s="71"/>
      <c r="G641" s="73"/>
      <c r="H641" s="73"/>
      <c r="I641" s="73"/>
      <c r="J641" s="73"/>
      <c r="K641" s="74"/>
      <c r="L641" s="74"/>
      <c r="O641" s="75"/>
    </row>
    <row r="642" ht="15.0" customHeight="1">
      <c r="C642" s="70"/>
      <c r="D642" s="71"/>
      <c r="E642" s="72"/>
      <c r="F642" s="71"/>
      <c r="G642" s="73"/>
      <c r="H642" s="73"/>
      <c r="I642" s="73"/>
      <c r="J642" s="73"/>
      <c r="K642" s="74"/>
      <c r="L642" s="74"/>
      <c r="O642" s="75"/>
    </row>
    <row r="643" ht="15.0" customHeight="1">
      <c r="C643" s="70"/>
      <c r="D643" s="71"/>
      <c r="E643" s="72"/>
      <c r="F643" s="71"/>
      <c r="G643" s="73"/>
      <c r="H643" s="73"/>
      <c r="I643" s="73"/>
      <c r="J643" s="73"/>
      <c r="K643" s="74"/>
      <c r="L643" s="74"/>
      <c r="O643" s="75"/>
    </row>
    <row r="644" ht="15.0" customHeight="1">
      <c r="C644" s="70"/>
      <c r="D644" s="71"/>
      <c r="E644" s="72"/>
      <c r="F644" s="71"/>
      <c r="G644" s="73"/>
      <c r="H644" s="73"/>
      <c r="I644" s="73"/>
      <c r="J644" s="73"/>
      <c r="K644" s="74"/>
      <c r="L644" s="74"/>
      <c r="O644" s="75"/>
    </row>
    <row r="645" ht="15.0" customHeight="1">
      <c r="C645" s="70"/>
      <c r="D645" s="71"/>
      <c r="E645" s="72"/>
      <c r="F645" s="71"/>
      <c r="G645" s="73"/>
      <c r="H645" s="73"/>
      <c r="I645" s="73"/>
      <c r="J645" s="73"/>
      <c r="K645" s="74"/>
      <c r="L645" s="74"/>
      <c r="O645" s="75"/>
    </row>
    <row r="646" ht="15.0" customHeight="1">
      <c r="C646" s="70"/>
      <c r="D646" s="71"/>
      <c r="E646" s="72"/>
      <c r="F646" s="71"/>
      <c r="G646" s="73"/>
      <c r="H646" s="73"/>
      <c r="I646" s="73"/>
      <c r="J646" s="73"/>
      <c r="K646" s="74"/>
      <c r="L646" s="74"/>
      <c r="O646" s="75"/>
    </row>
    <row r="647" ht="15.0" customHeight="1">
      <c r="C647" s="70"/>
      <c r="D647" s="71"/>
      <c r="E647" s="72"/>
      <c r="F647" s="71"/>
      <c r="G647" s="73"/>
      <c r="H647" s="73"/>
      <c r="I647" s="73"/>
      <c r="J647" s="73"/>
      <c r="K647" s="74"/>
      <c r="L647" s="74"/>
      <c r="O647" s="75"/>
    </row>
    <row r="648" ht="15.0" customHeight="1">
      <c r="C648" s="70"/>
      <c r="D648" s="71"/>
      <c r="E648" s="72"/>
      <c r="F648" s="71"/>
      <c r="G648" s="73"/>
      <c r="H648" s="73"/>
      <c r="I648" s="73"/>
      <c r="J648" s="73"/>
      <c r="K648" s="74"/>
      <c r="L648" s="74"/>
      <c r="O648" s="75"/>
    </row>
    <row r="649" ht="15.0" customHeight="1">
      <c r="C649" s="70"/>
      <c r="D649" s="71"/>
      <c r="E649" s="72"/>
      <c r="F649" s="71"/>
      <c r="G649" s="73"/>
      <c r="H649" s="73"/>
      <c r="I649" s="73"/>
      <c r="J649" s="73"/>
      <c r="K649" s="74"/>
      <c r="L649" s="74"/>
      <c r="O649" s="75"/>
    </row>
    <row r="650" ht="15.0" customHeight="1">
      <c r="C650" s="70"/>
      <c r="D650" s="71"/>
      <c r="E650" s="72"/>
      <c r="F650" s="71"/>
      <c r="G650" s="73"/>
      <c r="H650" s="73"/>
      <c r="I650" s="73"/>
      <c r="J650" s="73"/>
      <c r="K650" s="74"/>
      <c r="L650" s="74"/>
      <c r="O650" s="75"/>
    </row>
    <row r="651" ht="15.0" customHeight="1">
      <c r="C651" s="70"/>
      <c r="D651" s="71"/>
      <c r="E651" s="72"/>
      <c r="F651" s="71"/>
      <c r="G651" s="73"/>
      <c r="H651" s="73"/>
      <c r="I651" s="73"/>
      <c r="J651" s="73"/>
      <c r="K651" s="74"/>
      <c r="L651" s="74"/>
      <c r="O651" s="75"/>
    </row>
    <row r="652" ht="15.0" customHeight="1">
      <c r="C652" s="70"/>
      <c r="D652" s="71"/>
      <c r="E652" s="72"/>
      <c r="F652" s="71"/>
      <c r="G652" s="73"/>
      <c r="H652" s="73"/>
      <c r="I652" s="73"/>
      <c r="J652" s="73"/>
      <c r="K652" s="74"/>
      <c r="L652" s="74"/>
      <c r="O652" s="75"/>
    </row>
    <row r="653" ht="15.0" customHeight="1">
      <c r="C653" s="70"/>
      <c r="D653" s="71"/>
      <c r="E653" s="72"/>
      <c r="F653" s="71"/>
      <c r="G653" s="73"/>
      <c r="H653" s="73"/>
      <c r="I653" s="73"/>
      <c r="J653" s="73"/>
      <c r="K653" s="74"/>
      <c r="L653" s="74"/>
      <c r="O653" s="75"/>
    </row>
    <row r="654" ht="15.0" customHeight="1">
      <c r="C654" s="70"/>
      <c r="D654" s="71"/>
      <c r="E654" s="72"/>
      <c r="F654" s="71"/>
      <c r="G654" s="73"/>
      <c r="H654" s="73"/>
      <c r="I654" s="73"/>
      <c r="J654" s="73"/>
      <c r="K654" s="74"/>
      <c r="L654" s="74"/>
      <c r="O654" s="75"/>
    </row>
    <row r="655" ht="15.0" customHeight="1">
      <c r="C655" s="70"/>
      <c r="D655" s="71"/>
      <c r="E655" s="72"/>
      <c r="F655" s="71"/>
      <c r="G655" s="73"/>
      <c r="H655" s="73"/>
      <c r="I655" s="73"/>
      <c r="J655" s="73"/>
      <c r="K655" s="74"/>
      <c r="L655" s="74"/>
      <c r="O655" s="75"/>
    </row>
    <row r="656" ht="15.0" customHeight="1">
      <c r="C656" s="70"/>
      <c r="D656" s="71"/>
      <c r="E656" s="72"/>
      <c r="F656" s="71"/>
      <c r="G656" s="73"/>
      <c r="H656" s="73"/>
      <c r="I656" s="73"/>
      <c r="J656" s="73"/>
      <c r="K656" s="74"/>
      <c r="L656" s="74"/>
      <c r="O656" s="75"/>
    </row>
    <row r="657" ht="15.0" customHeight="1">
      <c r="C657" s="70"/>
      <c r="D657" s="71"/>
      <c r="E657" s="72"/>
      <c r="F657" s="71"/>
      <c r="G657" s="73"/>
      <c r="H657" s="73"/>
      <c r="I657" s="73"/>
      <c r="J657" s="73"/>
      <c r="K657" s="74"/>
      <c r="L657" s="74"/>
      <c r="O657" s="75"/>
    </row>
    <row r="658" ht="15.0" customHeight="1">
      <c r="C658" s="70"/>
      <c r="D658" s="71"/>
      <c r="E658" s="72"/>
      <c r="F658" s="71"/>
      <c r="G658" s="73"/>
      <c r="H658" s="73"/>
      <c r="I658" s="73"/>
      <c r="J658" s="73"/>
      <c r="K658" s="74"/>
      <c r="L658" s="74"/>
      <c r="O658" s="75"/>
    </row>
    <row r="659" ht="15.0" customHeight="1">
      <c r="C659" s="70"/>
      <c r="D659" s="71"/>
      <c r="E659" s="72"/>
      <c r="F659" s="71"/>
      <c r="G659" s="73"/>
      <c r="H659" s="73"/>
      <c r="I659" s="73"/>
      <c r="J659" s="73"/>
      <c r="K659" s="74"/>
      <c r="L659" s="74"/>
      <c r="O659" s="75"/>
    </row>
    <row r="660" ht="15.0" customHeight="1">
      <c r="C660" s="70"/>
      <c r="D660" s="71"/>
      <c r="E660" s="72"/>
      <c r="F660" s="71"/>
      <c r="G660" s="73"/>
      <c r="H660" s="73"/>
      <c r="I660" s="73"/>
      <c r="J660" s="73"/>
      <c r="K660" s="74"/>
      <c r="L660" s="74"/>
      <c r="O660" s="75"/>
    </row>
    <row r="661" ht="15.0" customHeight="1">
      <c r="C661" s="70"/>
      <c r="D661" s="71"/>
      <c r="E661" s="72"/>
      <c r="F661" s="71"/>
      <c r="G661" s="73"/>
      <c r="H661" s="73"/>
      <c r="I661" s="73"/>
      <c r="J661" s="73"/>
      <c r="K661" s="74"/>
      <c r="L661" s="74"/>
      <c r="O661" s="75"/>
    </row>
    <row r="662" ht="15.0" customHeight="1">
      <c r="C662" s="70"/>
      <c r="D662" s="71"/>
      <c r="E662" s="72"/>
      <c r="F662" s="71"/>
      <c r="G662" s="73"/>
      <c r="H662" s="73"/>
      <c r="I662" s="73"/>
      <c r="J662" s="73"/>
      <c r="K662" s="74"/>
      <c r="L662" s="74"/>
      <c r="O662" s="75"/>
    </row>
    <row r="663" ht="15.0" customHeight="1">
      <c r="C663" s="70"/>
      <c r="D663" s="71"/>
      <c r="E663" s="72"/>
      <c r="F663" s="71"/>
      <c r="G663" s="73"/>
      <c r="H663" s="73"/>
      <c r="I663" s="73"/>
      <c r="J663" s="73"/>
      <c r="K663" s="74"/>
      <c r="L663" s="74"/>
      <c r="O663" s="75"/>
    </row>
    <row r="664" ht="15.0" customHeight="1">
      <c r="C664" s="70"/>
      <c r="D664" s="71"/>
      <c r="E664" s="72"/>
      <c r="F664" s="71"/>
      <c r="G664" s="73"/>
      <c r="H664" s="73"/>
      <c r="I664" s="73"/>
      <c r="J664" s="73"/>
      <c r="K664" s="74"/>
      <c r="L664" s="74"/>
      <c r="O664" s="75"/>
    </row>
    <row r="665" ht="15.0" customHeight="1">
      <c r="C665" s="70"/>
      <c r="D665" s="71"/>
      <c r="E665" s="72"/>
      <c r="F665" s="71"/>
      <c r="G665" s="73"/>
      <c r="H665" s="73"/>
      <c r="I665" s="73"/>
      <c r="J665" s="73"/>
      <c r="K665" s="74"/>
      <c r="L665" s="74"/>
      <c r="O665" s="75"/>
    </row>
    <row r="666" ht="15.0" customHeight="1">
      <c r="C666" s="70"/>
      <c r="D666" s="71"/>
      <c r="E666" s="72"/>
      <c r="F666" s="71"/>
      <c r="G666" s="73"/>
      <c r="H666" s="73"/>
      <c r="I666" s="73"/>
      <c r="J666" s="73"/>
      <c r="K666" s="74"/>
      <c r="L666" s="74"/>
      <c r="O666" s="75"/>
    </row>
    <row r="667" ht="15.0" customHeight="1">
      <c r="C667" s="70"/>
      <c r="D667" s="71"/>
      <c r="E667" s="72"/>
      <c r="F667" s="71"/>
      <c r="G667" s="73"/>
      <c r="H667" s="73"/>
      <c r="I667" s="73"/>
      <c r="J667" s="73"/>
      <c r="K667" s="74"/>
      <c r="L667" s="74"/>
      <c r="O667" s="75"/>
    </row>
    <row r="668" ht="15.0" customHeight="1">
      <c r="C668" s="70"/>
      <c r="D668" s="71"/>
      <c r="E668" s="72"/>
      <c r="F668" s="71"/>
      <c r="G668" s="73"/>
      <c r="H668" s="73"/>
      <c r="I668" s="73"/>
      <c r="J668" s="73"/>
      <c r="K668" s="74"/>
      <c r="L668" s="74"/>
      <c r="O668" s="75"/>
    </row>
    <row r="669" ht="15.0" customHeight="1">
      <c r="C669" s="70"/>
      <c r="D669" s="71"/>
      <c r="E669" s="72"/>
      <c r="F669" s="71"/>
      <c r="G669" s="73"/>
      <c r="H669" s="73"/>
      <c r="I669" s="73"/>
      <c r="J669" s="73"/>
      <c r="K669" s="74"/>
      <c r="L669" s="74"/>
      <c r="O669" s="75"/>
    </row>
    <row r="670" ht="15.0" customHeight="1">
      <c r="C670" s="70"/>
      <c r="D670" s="71"/>
      <c r="E670" s="72"/>
      <c r="F670" s="71"/>
      <c r="G670" s="73"/>
      <c r="H670" s="73"/>
      <c r="I670" s="73"/>
      <c r="J670" s="73"/>
      <c r="K670" s="74"/>
      <c r="L670" s="74"/>
      <c r="O670" s="75"/>
    </row>
    <row r="671" ht="15.0" customHeight="1">
      <c r="C671" s="70"/>
      <c r="D671" s="71"/>
      <c r="E671" s="72"/>
      <c r="F671" s="71"/>
      <c r="G671" s="73"/>
      <c r="H671" s="73"/>
      <c r="I671" s="73"/>
      <c r="J671" s="73"/>
      <c r="K671" s="74"/>
      <c r="L671" s="74"/>
      <c r="O671" s="75"/>
    </row>
    <row r="672" ht="15.0" customHeight="1">
      <c r="C672" s="70"/>
      <c r="D672" s="71"/>
      <c r="E672" s="72"/>
      <c r="F672" s="71"/>
      <c r="G672" s="73"/>
      <c r="H672" s="73"/>
      <c r="I672" s="73"/>
      <c r="J672" s="73"/>
      <c r="K672" s="74"/>
      <c r="L672" s="74"/>
      <c r="O672" s="75"/>
    </row>
    <row r="673" ht="15.0" customHeight="1">
      <c r="C673" s="70"/>
      <c r="D673" s="71"/>
      <c r="E673" s="72"/>
      <c r="F673" s="71"/>
      <c r="G673" s="73"/>
      <c r="H673" s="73"/>
      <c r="I673" s="73"/>
      <c r="J673" s="73"/>
      <c r="K673" s="74"/>
      <c r="L673" s="74"/>
      <c r="O673" s="75"/>
    </row>
    <row r="674" ht="15.0" customHeight="1">
      <c r="C674" s="70"/>
      <c r="D674" s="71"/>
      <c r="E674" s="72"/>
      <c r="F674" s="71"/>
      <c r="G674" s="73"/>
      <c r="H674" s="73"/>
      <c r="I674" s="73"/>
      <c r="J674" s="73"/>
      <c r="K674" s="74"/>
      <c r="L674" s="74"/>
      <c r="O674" s="75"/>
    </row>
    <row r="675" ht="15.0" customHeight="1">
      <c r="C675" s="70"/>
      <c r="D675" s="71"/>
      <c r="E675" s="72"/>
      <c r="F675" s="71"/>
      <c r="G675" s="73"/>
      <c r="H675" s="73"/>
      <c r="I675" s="73"/>
      <c r="J675" s="73"/>
      <c r="K675" s="74"/>
      <c r="L675" s="74"/>
      <c r="O675" s="75"/>
    </row>
    <row r="676" ht="15.0" customHeight="1">
      <c r="C676" s="70"/>
      <c r="D676" s="71"/>
      <c r="E676" s="72"/>
      <c r="F676" s="71"/>
      <c r="G676" s="73"/>
      <c r="H676" s="73"/>
      <c r="I676" s="73"/>
      <c r="J676" s="73"/>
      <c r="K676" s="74"/>
      <c r="L676" s="74"/>
      <c r="O676" s="75"/>
    </row>
    <row r="677" ht="15.0" customHeight="1">
      <c r="C677" s="70"/>
      <c r="D677" s="71"/>
      <c r="E677" s="72"/>
      <c r="F677" s="71"/>
      <c r="G677" s="73"/>
      <c r="H677" s="73"/>
      <c r="I677" s="73"/>
      <c r="J677" s="73"/>
      <c r="K677" s="74"/>
      <c r="L677" s="74"/>
      <c r="O677" s="75"/>
    </row>
    <row r="678" ht="15.0" customHeight="1">
      <c r="C678" s="70"/>
      <c r="D678" s="71"/>
      <c r="E678" s="72"/>
      <c r="F678" s="71"/>
      <c r="G678" s="73"/>
      <c r="H678" s="73"/>
      <c r="I678" s="73"/>
      <c r="J678" s="73"/>
      <c r="K678" s="74"/>
      <c r="L678" s="74"/>
      <c r="O678" s="75"/>
    </row>
    <row r="679" ht="15.0" customHeight="1">
      <c r="C679" s="70"/>
      <c r="D679" s="71"/>
      <c r="E679" s="72"/>
      <c r="F679" s="71"/>
      <c r="G679" s="73"/>
      <c r="H679" s="73"/>
      <c r="I679" s="73"/>
      <c r="J679" s="73"/>
      <c r="K679" s="74"/>
      <c r="L679" s="74"/>
      <c r="O679" s="75"/>
    </row>
    <row r="680" ht="15.0" customHeight="1">
      <c r="C680" s="70"/>
      <c r="D680" s="71"/>
      <c r="E680" s="72"/>
      <c r="F680" s="71"/>
      <c r="G680" s="73"/>
      <c r="H680" s="73"/>
      <c r="I680" s="73"/>
      <c r="J680" s="73"/>
      <c r="K680" s="74"/>
      <c r="L680" s="74"/>
      <c r="O680" s="75"/>
    </row>
    <row r="681" ht="15.0" customHeight="1">
      <c r="C681" s="70"/>
      <c r="D681" s="71"/>
      <c r="E681" s="72"/>
      <c r="F681" s="71"/>
      <c r="G681" s="73"/>
      <c r="H681" s="73"/>
      <c r="I681" s="73"/>
      <c r="J681" s="73"/>
      <c r="K681" s="74"/>
      <c r="L681" s="74"/>
      <c r="O681" s="75"/>
    </row>
    <row r="682" ht="15.0" customHeight="1">
      <c r="C682" s="70"/>
      <c r="D682" s="71"/>
      <c r="E682" s="72"/>
      <c r="F682" s="71"/>
      <c r="G682" s="73"/>
      <c r="H682" s="73"/>
      <c r="I682" s="73"/>
      <c r="J682" s="73"/>
      <c r="K682" s="74"/>
      <c r="L682" s="74"/>
      <c r="O682" s="75"/>
    </row>
    <row r="683" ht="15.0" customHeight="1">
      <c r="C683" s="70"/>
      <c r="D683" s="71"/>
      <c r="E683" s="72"/>
      <c r="F683" s="71"/>
      <c r="G683" s="73"/>
      <c r="H683" s="73"/>
      <c r="I683" s="73"/>
      <c r="J683" s="73"/>
      <c r="K683" s="74"/>
      <c r="L683" s="74"/>
      <c r="O683" s="75"/>
    </row>
    <row r="684" ht="15.0" customHeight="1">
      <c r="C684" s="70"/>
      <c r="D684" s="71"/>
      <c r="E684" s="72"/>
      <c r="F684" s="71"/>
      <c r="G684" s="73"/>
      <c r="H684" s="73"/>
      <c r="I684" s="73"/>
      <c r="J684" s="73"/>
      <c r="K684" s="74"/>
      <c r="L684" s="74"/>
      <c r="O684" s="75"/>
    </row>
    <row r="685" ht="15.0" customHeight="1">
      <c r="C685" s="70"/>
      <c r="D685" s="71"/>
      <c r="E685" s="72"/>
      <c r="F685" s="71"/>
      <c r="G685" s="73"/>
      <c r="H685" s="73"/>
      <c r="I685" s="73"/>
      <c r="J685" s="73"/>
      <c r="K685" s="74"/>
      <c r="L685" s="74"/>
      <c r="O685" s="75"/>
    </row>
    <row r="686" ht="15.0" customHeight="1">
      <c r="C686" s="70"/>
      <c r="D686" s="71"/>
      <c r="E686" s="72"/>
      <c r="F686" s="71"/>
      <c r="G686" s="73"/>
      <c r="H686" s="73"/>
      <c r="I686" s="73"/>
      <c r="J686" s="73"/>
      <c r="K686" s="74"/>
      <c r="L686" s="74"/>
      <c r="O686" s="75"/>
    </row>
    <row r="687" ht="15.0" customHeight="1">
      <c r="C687" s="70"/>
      <c r="D687" s="71"/>
      <c r="E687" s="72"/>
      <c r="F687" s="71"/>
      <c r="G687" s="73"/>
      <c r="H687" s="73"/>
      <c r="I687" s="73"/>
      <c r="J687" s="73"/>
      <c r="K687" s="74"/>
      <c r="L687" s="74"/>
      <c r="O687" s="75"/>
    </row>
    <row r="688" ht="15.0" customHeight="1">
      <c r="C688" s="70"/>
      <c r="D688" s="71"/>
      <c r="E688" s="72"/>
      <c r="F688" s="71"/>
      <c r="G688" s="73"/>
      <c r="H688" s="73"/>
      <c r="I688" s="73"/>
      <c r="J688" s="73"/>
      <c r="K688" s="74"/>
      <c r="L688" s="74"/>
      <c r="O688" s="75"/>
    </row>
    <row r="689" ht="15.0" customHeight="1">
      <c r="C689" s="70"/>
      <c r="D689" s="71"/>
      <c r="E689" s="72"/>
      <c r="F689" s="71"/>
      <c r="G689" s="73"/>
      <c r="H689" s="73"/>
      <c r="I689" s="73"/>
      <c r="J689" s="73"/>
      <c r="K689" s="74"/>
      <c r="L689" s="74"/>
      <c r="O689" s="75"/>
    </row>
    <row r="690" ht="15.0" customHeight="1">
      <c r="C690" s="70"/>
      <c r="D690" s="71"/>
      <c r="E690" s="72"/>
      <c r="F690" s="71"/>
      <c r="G690" s="73"/>
      <c r="H690" s="73"/>
      <c r="I690" s="73"/>
      <c r="J690" s="73"/>
      <c r="K690" s="74"/>
      <c r="L690" s="74"/>
      <c r="O690" s="75"/>
    </row>
    <row r="691" ht="15.0" customHeight="1">
      <c r="C691" s="70"/>
      <c r="D691" s="71"/>
      <c r="E691" s="72"/>
      <c r="F691" s="71"/>
      <c r="G691" s="73"/>
      <c r="H691" s="73"/>
      <c r="I691" s="73"/>
      <c r="J691" s="73"/>
      <c r="K691" s="74"/>
      <c r="L691" s="74"/>
      <c r="O691" s="75"/>
    </row>
    <row r="692" ht="15.0" customHeight="1">
      <c r="C692" s="70"/>
      <c r="D692" s="71"/>
      <c r="E692" s="72"/>
      <c r="F692" s="71"/>
      <c r="G692" s="73"/>
      <c r="H692" s="73"/>
      <c r="I692" s="73"/>
      <c r="J692" s="73"/>
      <c r="K692" s="74"/>
      <c r="L692" s="74"/>
      <c r="O692" s="75"/>
    </row>
    <row r="693" ht="15.0" customHeight="1">
      <c r="C693" s="70"/>
      <c r="D693" s="71"/>
      <c r="E693" s="72"/>
      <c r="F693" s="71"/>
      <c r="G693" s="73"/>
      <c r="H693" s="73"/>
      <c r="I693" s="73"/>
      <c r="J693" s="73"/>
      <c r="K693" s="74"/>
      <c r="L693" s="74"/>
      <c r="O693" s="75"/>
    </row>
    <row r="694" ht="15.0" customHeight="1">
      <c r="C694" s="70"/>
      <c r="D694" s="71"/>
      <c r="E694" s="72"/>
      <c r="F694" s="71"/>
      <c r="G694" s="73"/>
      <c r="H694" s="73"/>
      <c r="I694" s="73"/>
      <c r="J694" s="73"/>
      <c r="K694" s="74"/>
      <c r="L694" s="74"/>
      <c r="O694" s="75"/>
    </row>
    <row r="695" ht="15.0" customHeight="1">
      <c r="C695" s="70"/>
      <c r="D695" s="71"/>
      <c r="E695" s="72"/>
      <c r="F695" s="71"/>
      <c r="G695" s="73"/>
      <c r="H695" s="73"/>
      <c r="I695" s="73"/>
      <c r="J695" s="73"/>
      <c r="K695" s="74"/>
      <c r="L695" s="74"/>
      <c r="O695" s="75"/>
    </row>
    <row r="696" ht="15.0" customHeight="1">
      <c r="C696" s="70"/>
      <c r="D696" s="71"/>
      <c r="E696" s="72"/>
      <c r="F696" s="71"/>
      <c r="G696" s="73"/>
      <c r="H696" s="73"/>
      <c r="I696" s="73"/>
      <c r="J696" s="73"/>
      <c r="K696" s="74"/>
      <c r="L696" s="74"/>
      <c r="O696" s="75"/>
    </row>
    <row r="697" ht="15.0" customHeight="1">
      <c r="C697" s="70"/>
      <c r="D697" s="71"/>
      <c r="E697" s="72"/>
      <c r="F697" s="71"/>
      <c r="G697" s="73"/>
      <c r="H697" s="73"/>
      <c r="I697" s="73"/>
      <c r="J697" s="73"/>
      <c r="K697" s="74"/>
      <c r="L697" s="74"/>
      <c r="O697" s="75"/>
    </row>
    <row r="698" ht="15.0" customHeight="1">
      <c r="C698" s="70"/>
      <c r="D698" s="71"/>
      <c r="E698" s="72"/>
      <c r="F698" s="71"/>
      <c r="G698" s="73"/>
      <c r="H698" s="73"/>
      <c r="I698" s="73"/>
      <c r="J698" s="73"/>
      <c r="K698" s="74"/>
      <c r="L698" s="74"/>
      <c r="O698" s="75"/>
    </row>
    <row r="699" ht="15.0" customHeight="1">
      <c r="C699" s="70"/>
      <c r="D699" s="71"/>
      <c r="E699" s="72"/>
      <c r="F699" s="71"/>
      <c r="G699" s="73"/>
      <c r="H699" s="73"/>
      <c r="I699" s="73"/>
      <c r="J699" s="73"/>
      <c r="K699" s="74"/>
      <c r="L699" s="74"/>
      <c r="O699" s="75"/>
    </row>
    <row r="700" ht="15.0" customHeight="1">
      <c r="C700" s="70"/>
      <c r="D700" s="71"/>
      <c r="E700" s="72"/>
      <c r="F700" s="71"/>
      <c r="G700" s="73"/>
      <c r="H700" s="73"/>
      <c r="I700" s="73"/>
      <c r="J700" s="73"/>
      <c r="K700" s="74"/>
      <c r="L700" s="74"/>
      <c r="O700" s="75"/>
    </row>
    <row r="701" ht="15.0" customHeight="1">
      <c r="C701" s="70"/>
      <c r="D701" s="71"/>
      <c r="E701" s="72"/>
      <c r="F701" s="71"/>
      <c r="G701" s="73"/>
      <c r="H701" s="73"/>
      <c r="I701" s="73"/>
      <c r="J701" s="73"/>
      <c r="K701" s="74"/>
      <c r="L701" s="74"/>
      <c r="O701" s="75"/>
    </row>
    <row r="702" ht="15.0" customHeight="1">
      <c r="C702" s="70"/>
      <c r="D702" s="71"/>
      <c r="E702" s="72"/>
      <c r="F702" s="71"/>
      <c r="G702" s="73"/>
      <c r="H702" s="73"/>
      <c r="I702" s="73"/>
      <c r="J702" s="73"/>
      <c r="K702" s="74"/>
      <c r="L702" s="74"/>
      <c r="O702" s="75"/>
    </row>
    <row r="703" ht="15.0" customHeight="1">
      <c r="C703" s="70"/>
      <c r="D703" s="71"/>
      <c r="E703" s="72"/>
      <c r="F703" s="71"/>
      <c r="G703" s="73"/>
      <c r="H703" s="73"/>
      <c r="I703" s="73"/>
      <c r="J703" s="73"/>
      <c r="K703" s="74"/>
      <c r="L703" s="74"/>
      <c r="O703" s="75"/>
    </row>
    <row r="704" ht="15.0" customHeight="1">
      <c r="C704" s="70"/>
      <c r="D704" s="71"/>
      <c r="E704" s="72"/>
      <c r="F704" s="71"/>
      <c r="G704" s="73"/>
      <c r="H704" s="73"/>
      <c r="I704" s="73"/>
      <c r="J704" s="73"/>
      <c r="K704" s="74"/>
      <c r="L704" s="74"/>
      <c r="O704" s="75"/>
    </row>
    <row r="705" ht="15.0" customHeight="1">
      <c r="C705" s="70"/>
      <c r="D705" s="71"/>
      <c r="E705" s="72"/>
      <c r="F705" s="71"/>
      <c r="G705" s="73"/>
      <c r="H705" s="73"/>
      <c r="I705" s="73"/>
      <c r="J705" s="73"/>
      <c r="K705" s="74"/>
      <c r="L705" s="74"/>
      <c r="O705" s="75"/>
    </row>
    <row r="706" ht="15.0" customHeight="1">
      <c r="C706" s="70"/>
      <c r="D706" s="71"/>
      <c r="E706" s="72"/>
      <c r="F706" s="71"/>
      <c r="G706" s="73"/>
      <c r="H706" s="73"/>
      <c r="I706" s="73"/>
      <c r="J706" s="73"/>
      <c r="K706" s="74"/>
      <c r="L706" s="74"/>
      <c r="O706" s="75"/>
    </row>
    <row r="707" ht="15.0" customHeight="1">
      <c r="C707" s="70"/>
      <c r="D707" s="71"/>
      <c r="E707" s="72"/>
      <c r="F707" s="71"/>
      <c r="G707" s="73"/>
      <c r="H707" s="73"/>
      <c r="I707" s="73"/>
      <c r="J707" s="73"/>
      <c r="K707" s="74"/>
      <c r="L707" s="74"/>
      <c r="O707" s="75"/>
    </row>
    <row r="708" ht="15.0" customHeight="1">
      <c r="C708" s="70"/>
      <c r="D708" s="71"/>
      <c r="E708" s="72"/>
      <c r="F708" s="71"/>
      <c r="G708" s="73"/>
      <c r="H708" s="73"/>
      <c r="I708" s="73"/>
      <c r="J708" s="73"/>
      <c r="K708" s="74"/>
      <c r="L708" s="74"/>
      <c r="O708" s="75"/>
    </row>
    <row r="709" ht="15.0" customHeight="1">
      <c r="C709" s="70"/>
      <c r="D709" s="71"/>
      <c r="E709" s="72"/>
      <c r="F709" s="71"/>
      <c r="G709" s="73"/>
      <c r="H709" s="73"/>
      <c r="I709" s="73"/>
      <c r="J709" s="73"/>
      <c r="K709" s="74"/>
      <c r="L709" s="74"/>
      <c r="O709" s="75"/>
    </row>
    <row r="710" ht="15.0" customHeight="1">
      <c r="C710" s="70"/>
      <c r="D710" s="71"/>
      <c r="E710" s="72"/>
      <c r="F710" s="71"/>
      <c r="G710" s="73"/>
      <c r="H710" s="73"/>
      <c r="I710" s="73"/>
      <c r="J710" s="73"/>
      <c r="K710" s="74"/>
      <c r="L710" s="74"/>
      <c r="O710" s="75"/>
    </row>
    <row r="711" ht="15.0" customHeight="1">
      <c r="C711" s="70"/>
      <c r="D711" s="71"/>
      <c r="E711" s="72"/>
      <c r="F711" s="71"/>
      <c r="G711" s="73"/>
      <c r="H711" s="73"/>
      <c r="I711" s="73"/>
      <c r="J711" s="73"/>
      <c r="K711" s="74"/>
      <c r="L711" s="74"/>
      <c r="O711" s="75"/>
    </row>
    <row r="712" ht="15.0" customHeight="1">
      <c r="C712" s="70"/>
      <c r="D712" s="71"/>
      <c r="E712" s="72"/>
      <c r="F712" s="71"/>
      <c r="G712" s="73"/>
      <c r="H712" s="73"/>
      <c r="I712" s="73"/>
      <c r="J712" s="73"/>
      <c r="K712" s="74"/>
      <c r="L712" s="74"/>
      <c r="O712" s="75"/>
    </row>
    <row r="713" ht="15.0" customHeight="1">
      <c r="C713" s="70"/>
      <c r="D713" s="71"/>
      <c r="E713" s="72"/>
      <c r="F713" s="71"/>
      <c r="G713" s="73"/>
      <c r="H713" s="73"/>
      <c r="I713" s="73"/>
      <c r="J713" s="73"/>
      <c r="K713" s="74"/>
      <c r="L713" s="74"/>
      <c r="O713" s="75"/>
    </row>
    <row r="714" ht="15.0" customHeight="1">
      <c r="C714" s="70"/>
      <c r="D714" s="71"/>
      <c r="E714" s="72"/>
      <c r="F714" s="71"/>
      <c r="G714" s="73"/>
      <c r="H714" s="73"/>
      <c r="I714" s="73"/>
      <c r="J714" s="73"/>
      <c r="K714" s="74"/>
      <c r="L714" s="74"/>
      <c r="O714" s="75"/>
    </row>
    <row r="715" ht="15.0" customHeight="1">
      <c r="C715" s="70"/>
      <c r="D715" s="71"/>
      <c r="E715" s="72"/>
      <c r="F715" s="71"/>
      <c r="G715" s="73"/>
      <c r="H715" s="73"/>
      <c r="I715" s="73"/>
      <c r="J715" s="73"/>
      <c r="K715" s="74"/>
      <c r="L715" s="74"/>
      <c r="O715" s="75"/>
    </row>
    <row r="716" ht="15.0" customHeight="1">
      <c r="C716" s="70"/>
      <c r="D716" s="71"/>
      <c r="E716" s="72"/>
      <c r="F716" s="71"/>
      <c r="G716" s="73"/>
      <c r="H716" s="73"/>
      <c r="I716" s="73"/>
      <c r="J716" s="73"/>
      <c r="K716" s="74"/>
      <c r="L716" s="74"/>
      <c r="O716" s="75"/>
    </row>
    <row r="717" ht="15.0" customHeight="1">
      <c r="C717" s="70"/>
      <c r="D717" s="71"/>
      <c r="E717" s="72"/>
      <c r="F717" s="71"/>
      <c r="G717" s="73"/>
      <c r="H717" s="73"/>
      <c r="I717" s="73"/>
      <c r="J717" s="73"/>
      <c r="K717" s="74"/>
      <c r="L717" s="74"/>
      <c r="O717" s="75"/>
    </row>
    <row r="718" ht="15.0" customHeight="1">
      <c r="C718" s="70"/>
      <c r="D718" s="71"/>
      <c r="E718" s="72"/>
      <c r="F718" s="71"/>
      <c r="G718" s="73"/>
      <c r="H718" s="73"/>
      <c r="I718" s="73"/>
      <c r="J718" s="73"/>
      <c r="K718" s="74"/>
      <c r="L718" s="74"/>
      <c r="O718" s="75"/>
    </row>
    <row r="719" ht="15.0" customHeight="1">
      <c r="C719" s="70"/>
      <c r="D719" s="71"/>
      <c r="E719" s="72"/>
      <c r="F719" s="71"/>
      <c r="G719" s="73"/>
      <c r="H719" s="73"/>
      <c r="I719" s="73"/>
      <c r="J719" s="73"/>
      <c r="K719" s="74"/>
      <c r="L719" s="74"/>
      <c r="O719" s="75"/>
    </row>
    <row r="720" ht="15.0" customHeight="1">
      <c r="C720" s="70"/>
      <c r="D720" s="71"/>
      <c r="E720" s="72"/>
      <c r="F720" s="71"/>
      <c r="G720" s="73"/>
      <c r="H720" s="73"/>
      <c r="I720" s="73"/>
      <c r="J720" s="73"/>
      <c r="K720" s="74"/>
      <c r="L720" s="74"/>
      <c r="O720" s="75"/>
    </row>
    <row r="721" ht="15.0" customHeight="1">
      <c r="C721" s="70"/>
      <c r="D721" s="71"/>
      <c r="E721" s="72"/>
      <c r="F721" s="71"/>
      <c r="G721" s="73"/>
      <c r="H721" s="73"/>
      <c r="I721" s="73"/>
      <c r="J721" s="73"/>
      <c r="K721" s="74"/>
      <c r="L721" s="74"/>
      <c r="O721" s="75"/>
    </row>
    <row r="722" ht="15.0" customHeight="1">
      <c r="C722" s="70"/>
      <c r="D722" s="71"/>
      <c r="E722" s="72"/>
      <c r="F722" s="71"/>
      <c r="G722" s="73"/>
      <c r="H722" s="73"/>
      <c r="I722" s="73"/>
      <c r="J722" s="73"/>
      <c r="K722" s="74"/>
      <c r="L722" s="74"/>
      <c r="O722" s="75"/>
    </row>
    <row r="723" ht="15.0" customHeight="1">
      <c r="C723" s="70"/>
      <c r="D723" s="71"/>
      <c r="E723" s="72"/>
      <c r="F723" s="71"/>
      <c r="G723" s="73"/>
      <c r="H723" s="73"/>
      <c r="I723" s="73"/>
      <c r="J723" s="73"/>
      <c r="K723" s="74"/>
      <c r="L723" s="74"/>
      <c r="O723" s="75"/>
    </row>
    <row r="724" ht="15.0" customHeight="1">
      <c r="C724" s="70"/>
      <c r="D724" s="71"/>
      <c r="E724" s="72"/>
      <c r="F724" s="71"/>
      <c r="G724" s="73"/>
      <c r="H724" s="73"/>
      <c r="I724" s="73"/>
      <c r="J724" s="73"/>
      <c r="K724" s="74"/>
      <c r="L724" s="74"/>
      <c r="O724" s="75"/>
    </row>
    <row r="725" ht="15.0" customHeight="1">
      <c r="C725" s="70"/>
      <c r="D725" s="71"/>
      <c r="E725" s="72"/>
      <c r="F725" s="71"/>
      <c r="G725" s="73"/>
      <c r="H725" s="73"/>
      <c r="I725" s="73"/>
      <c r="J725" s="73"/>
      <c r="K725" s="74"/>
      <c r="L725" s="74"/>
      <c r="O725" s="75"/>
    </row>
    <row r="726" ht="15.0" customHeight="1">
      <c r="C726" s="70"/>
      <c r="D726" s="71"/>
      <c r="E726" s="72"/>
      <c r="F726" s="71"/>
      <c r="G726" s="73"/>
      <c r="H726" s="73"/>
      <c r="I726" s="73"/>
      <c r="J726" s="73"/>
      <c r="K726" s="74"/>
      <c r="L726" s="74"/>
      <c r="O726" s="75"/>
    </row>
    <row r="727" ht="15.0" customHeight="1">
      <c r="C727" s="70"/>
      <c r="D727" s="71"/>
      <c r="E727" s="72"/>
      <c r="F727" s="71"/>
      <c r="G727" s="73"/>
      <c r="H727" s="73"/>
      <c r="I727" s="73"/>
      <c r="J727" s="73"/>
      <c r="K727" s="74"/>
      <c r="L727" s="74"/>
      <c r="O727" s="75"/>
    </row>
    <row r="728" ht="15.0" customHeight="1">
      <c r="C728" s="70"/>
      <c r="D728" s="71"/>
      <c r="E728" s="72"/>
      <c r="F728" s="71"/>
      <c r="G728" s="73"/>
      <c r="H728" s="73"/>
      <c r="I728" s="73"/>
      <c r="J728" s="73"/>
      <c r="K728" s="74"/>
      <c r="L728" s="74"/>
      <c r="O728" s="75"/>
    </row>
    <row r="729" ht="15.0" customHeight="1">
      <c r="C729" s="70"/>
      <c r="D729" s="71"/>
      <c r="E729" s="72"/>
      <c r="F729" s="71"/>
      <c r="G729" s="73"/>
      <c r="H729" s="73"/>
      <c r="I729" s="73"/>
      <c r="J729" s="73"/>
      <c r="K729" s="74"/>
      <c r="L729" s="74"/>
      <c r="O729" s="75"/>
    </row>
    <row r="730" ht="15.0" customHeight="1">
      <c r="C730" s="70"/>
      <c r="D730" s="71"/>
      <c r="E730" s="72"/>
      <c r="F730" s="71"/>
      <c r="G730" s="73"/>
      <c r="H730" s="73"/>
      <c r="I730" s="73"/>
      <c r="J730" s="73"/>
      <c r="K730" s="74"/>
      <c r="L730" s="74"/>
      <c r="O730" s="75"/>
    </row>
    <row r="731" ht="15.0" customHeight="1">
      <c r="C731" s="70"/>
      <c r="D731" s="71"/>
      <c r="E731" s="72"/>
      <c r="F731" s="71"/>
      <c r="G731" s="73"/>
      <c r="H731" s="73"/>
      <c r="I731" s="73"/>
      <c r="J731" s="73"/>
      <c r="K731" s="74"/>
      <c r="L731" s="74"/>
      <c r="O731" s="75"/>
    </row>
    <row r="732" ht="15.0" customHeight="1">
      <c r="C732" s="70"/>
      <c r="D732" s="71"/>
      <c r="E732" s="72"/>
      <c r="F732" s="71"/>
      <c r="G732" s="73"/>
      <c r="H732" s="73"/>
      <c r="I732" s="73"/>
      <c r="J732" s="73"/>
      <c r="K732" s="74"/>
      <c r="L732" s="74"/>
      <c r="O732" s="75"/>
    </row>
    <row r="733" ht="15.0" customHeight="1">
      <c r="C733" s="70"/>
      <c r="D733" s="71"/>
      <c r="E733" s="72"/>
      <c r="F733" s="71"/>
      <c r="G733" s="73"/>
      <c r="H733" s="73"/>
      <c r="I733" s="73"/>
      <c r="J733" s="73"/>
      <c r="K733" s="74"/>
      <c r="L733" s="74"/>
      <c r="O733" s="75"/>
    </row>
    <row r="734" ht="15.0" customHeight="1">
      <c r="C734" s="70"/>
      <c r="D734" s="71"/>
      <c r="E734" s="72"/>
      <c r="F734" s="71"/>
      <c r="G734" s="73"/>
      <c r="H734" s="73"/>
      <c r="I734" s="73"/>
      <c r="J734" s="73"/>
      <c r="K734" s="74"/>
      <c r="L734" s="74"/>
      <c r="O734" s="75"/>
    </row>
    <row r="735" ht="15.0" customHeight="1">
      <c r="C735" s="70"/>
      <c r="D735" s="71"/>
      <c r="E735" s="72"/>
      <c r="F735" s="71"/>
      <c r="G735" s="73"/>
      <c r="H735" s="73"/>
      <c r="I735" s="73"/>
      <c r="J735" s="73"/>
      <c r="K735" s="74"/>
      <c r="L735" s="74"/>
      <c r="O735" s="75"/>
    </row>
    <row r="736" ht="15.0" customHeight="1">
      <c r="C736" s="70"/>
      <c r="D736" s="71"/>
      <c r="E736" s="72"/>
      <c r="F736" s="71"/>
      <c r="G736" s="73"/>
      <c r="H736" s="73"/>
      <c r="I736" s="73"/>
      <c r="J736" s="73"/>
      <c r="K736" s="74"/>
      <c r="L736" s="74"/>
      <c r="O736" s="75"/>
    </row>
    <row r="737" ht="15.0" customHeight="1">
      <c r="C737" s="70"/>
      <c r="D737" s="71"/>
      <c r="E737" s="72"/>
      <c r="F737" s="71"/>
      <c r="G737" s="73"/>
      <c r="H737" s="73"/>
      <c r="I737" s="73"/>
      <c r="J737" s="73"/>
      <c r="K737" s="74"/>
      <c r="L737" s="74"/>
      <c r="O737" s="75"/>
    </row>
    <row r="738" ht="15.0" customHeight="1">
      <c r="C738" s="70"/>
      <c r="D738" s="71"/>
      <c r="E738" s="72"/>
      <c r="F738" s="71"/>
      <c r="G738" s="73"/>
      <c r="H738" s="73"/>
      <c r="I738" s="73"/>
      <c r="J738" s="73"/>
      <c r="K738" s="74"/>
      <c r="L738" s="74"/>
      <c r="O738" s="75"/>
    </row>
    <row r="739" ht="15.0" customHeight="1">
      <c r="C739" s="70"/>
      <c r="D739" s="71"/>
      <c r="E739" s="72"/>
      <c r="F739" s="71"/>
      <c r="G739" s="73"/>
      <c r="H739" s="73"/>
      <c r="I739" s="73"/>
      <c r="J739" s="73"/>
      <c r="K739" s="74"/>
      <c r="L739" s="74"/>
      <c r="O739" s="75"/>
    </row>
    <row r="740" ht="15.0" customHeight="1">
      <c r="C740" s="70"/>
      <c r="D740" s="71"/>
      <c r="E740" s="72"/>
      <c r="F740" s="71"/>
      <c r="G740" s="73"/>
      <c r="H740" s="73"/>
      <c r="I740" s="73"/>
      <c r="J740" s="73"/>
      <c r="K740" s="74"/>
      <c r="L740" s="74"/>
      <c r="O740" s="75"/>
    </row>
    <row r="741" ht="15.0" customHeight="1">
      <c r="C741" s="70"/>
      <c r="D741" s="71"/>
      <c r="E741" s="72"/>
      <c r="F741" s="71"/>
      <c r="G741" s="73"/>
      <c r="H741" s="73"/>
      <c r="I741" s="73"/>
      <c r="J741" s="73"/>
      <c r="K741" s="74"/>
      <c r="L741" s="74"/>
      <c r="O741" s="75"/>
    </row>
    <row r="742" ht="15.0" customHeight="1">
      <c r="C742" s="70"/>
      <c r="D742" s="71"/>
      <c r="E742" s="72"/>
      <c r="F742" s="71"/>
      <c r="G742" s="73"/>
      <c r="H742" s="73"/>
      <c r="I742" s="73"/>
      <c r="J742" s="73"/>
      <c r="K742" s="74"/>
      <c r="L742" s="74"/>
      <c r="O742" s="75"/>
    </row>
    <row r="743" ht="15.0" customHeight="1">
      <c r="C743" s="70"/>
      <c r="D743" s="71"/>
      <c r="E743" s="72"/>
      <c r="F743" s="71"/>
      <c r="G743" s="73"/>
      <c r="H743" s="73"/>
      <c r="I743" s="73"/>
      <c r="J743" s="73"/>
      <c r="K743" s="74"/>
      <c r="L743" s="74"/>
      <c r="O743" s="75"/>
    </row>
    <row r="744" ht="15.0" customHeight="1">
      <c r="C744" s="70"/>
      <c r="D744" s="71"/>
      <c r="E744" s="72"/>
      <c r="F744" s="71"/>
      <c r="G744" s="73"/>
      <c r="H744" s="73"/>
      <c r="I744" s="73"/>
      <c r="J744" s="73"/>
      <c r="K744" s="74"/>
      <c r="L744" s="74"/>
      <c r="O744" s="75"/>
    </row>
    <row r="745" ht="15.0" customHeight="1">
      <c r="C745" s="70"/>
      <c r="D745" s="71"/>
      <c r="E745" s="72"/>
      <c r="F745" s="71"/>
      <c r="G745" s="73"/>
      <c r="H745" s="73"/>
      <c r="I745" s="73"/>
      <c r="J745" s="73"/>
      <c r="K745" s="74"/>
      <c r="L745" s="74"/>
      <c r="O745" s="75"/>
    </row>
    <row r="746" ht="15.0" customHeight="1">
      <c r="C746" s="70"/>
      <c r="D746" s="71"/>
      <c r="E746" s="72"/>
      <c r="F746" s="71"/>
      <c r="G746" s="73"/>
      <c r="H746" s="73"/>
      <c r="I746" s="73"/>
      <c r="J746" s="73"/>
      <c r="K746" s="74"/>
      <c r="L746" s="74"/>
      <c r="O746" s="75"/>
    </row>
    <row r="747" ht="15.0" customHeight="1">
      <c r="C747" s="70"/>
      <c r="D747" s="71"/>
      <c r="E747" s="72"/>
      <c r="F747" s="71"/>
      <c r="G747" s="73"/>
      <c r="H747" s="73"/>
      <c r="I747" s="73"/>
      <c r="J747" s="73"/>
      <c r="K747" s="74"/>
      <c r="L747" s="74"/>
      <c r="O747" s="75"/>
    </row>
    <row r="748" ht="15.0" customHeight="1">
      <c r="C748" s="70"/>
      <c r="D748" s="71"/>
      <c r="E748" s="72"/>
      <c r="F748" s="71"/>
      <c r="G748" s="73"/>
      <c r="H748" s="73"/>
      <c r="I748" s="73"/>
      <c r="J748" s="73"/>
      <c r="K748" s="74"/>
      <c r="L748" s="74"/>
      <c r="O748" s="75"/>
    </row>
    <row r="749" ht="15.0" customHeight="1">
      <c r="C749" s="70"/>
      <c r="D749" s="71"/>
      <c r="E749" s="72"/>
      <c r="F749" s="71"/>
      <c r="G749" s="73"/>
      <c r="H749" s="73"/>
      <c r="I749" s="73"/>
      <c r="J749" s="73"/>
      <c r="K749" s="74"/>
      <c r="L749" s="74"/>
      <c r="O749" s="75"/>
    </row>
    <row r="750" ht="15.0" customHeight="1">
      <c r="C750" s="70"/>
      <c r="D750" s="71"/>
      <c r="E750" s="72"/>
      <c r="F750" s="71"/>
      <c r="G750" s="73"/>
      <c r="H750" s="73"/>
      <c r="I750" s="73"/>
      <c r="J750" s="73"/>
      <c r="K750" s="74"/>
      <c r="L750" s="74"/>
      <c r="O750" s="75"/>
    </row>
    <row r="751" ht="15.0" customHeight="1">
      <c r="C751" s="70"/>
      <c r="D751" s="71"/>
      <c r="E751" s="72"/>
      <c r="F751" s="71"/>
      <c r="G751" s="73"/>
      <c r="H751" s="73"/>
      <c r="I751" s="73"/>
      <c r="J751" s="73"/>
      <c r="K751" s="74"/>
      <c r="L751" s="74"/>
      <c r="O751" s="75"/>
    </row>
    <row r="752" ht="15.0" customHeight="1">
      <c r="C752" s="70"/>
      <c r="D752" s="71"/>
      <c r="E752" s="72"/>
      <c r="F752" s="71"/>
      <c r="G752" s="73"/>
      <c r="H752" s="73"/>
      <c r="I752" s="73"/>
      <c r="J752" s="73"/>
      <c r="K752" s="74"/>
      <c r="L752" s="74"/>
      <c r="O752" s="75"/>
    </row>
    <row r="753" ht="15.0" customHeight="1">
      <c r="C753" s="70"/>
      <c r="D753" s="71"/>
      <c r="E753" s="72"/>
      <c r="F753" s="71"/>
      <c r="G753" s="73"/>
      <c r="H753" s="73"/>
      <c r="I753" s="73"/>
      <c r="J753" s="73"/>
      <c r="K753" s="74"/>
      <c r="L753" s="74"/>
      <c r="O753" s="75"/>
    </row>
    <row r="754" ht="15.0" customHeight="1">
      <c r="C754" s="70"/>
      <c r="D754" s="71"/>
      <c r="E754" s="72"/>
      <c r="F754" s="71"/>
      <c r="G754" s="73"/>
      <c r="H754" s="73"/>
      <c r="I754" s="73"/>
      <c r="J754" s="73"/>
      <c r="K754" s="74"/>
      <c r="L754" s="74"/>
      <c r="O754" s="75"/>
    </row>
    <row r="755" ht="15.0" customHeight="1">
      <c r="C755" s="70"/>
      <c r="D755" s="71"/>
      <c r="E755" s="72"/>
      <c r="F755" s="71"/>
      <c r="G755" s="73"/>
      <c r="H755" s="73"/>
      <c r="I755" s="73"/>
      <c r="J755" s="73"/>
      <c r="K755" s="74"/>
      <c r="L755" s="74"/>
      <c r="O755" s="75"/>
    </row>
    <row r="756" ht="15.0" customHeight="1">
      <c r="C756" s="70"/>
      <c r="D756" s="71"/>
      <c r="E756" s="72"/>
      <c r="F756" s="71"/>
      <c r="G756" s="73"/>
      <c r="H756" s="73"/>
      <c r="I756" s="73"/>
      <c r="J756" s="73"/>
      <c r="K756" s="74"/>
      <c r="L756" s="74"/>
      <c r="O756" s="75"/>
    </row>
    <row r="757" ht="15.0" customHeight="1">
      <c r="C757" s="70"/>
      <c r="D757" s="71"/>
      <c r="E757" s="72"/>
      <c r="F757" s="71"/>
      <c r="G757" s="73"/>
      <c r="H757" s="73"/>
      <c r="I757" s="73"/>
      <c r="J757" s="73"/>
      <c r="K757" s="74"/>
      <c r="L757" s="74"/>
      <c r="O757" s="75"/>
    </row>
    <row r="758" ht="15.0" customHeight="1">
      <c r="C758" s="70"/>
      <c r="D758" s="71"/>
      <c r="E758" s="72"/>
      <c r="F758" s="71"/>
      <c r="G758" s="73"/>
      <c r="H758" s="73"/>
      <c r="I758" s="73"/>
      <c r="J758" s="73"/>
      <c r="K758" s="74"/>
      <c r="L758" s="74"/>
      <c r="O758" s="75"/>
    </row>
    <row r="759" ht="15.0" customHeight="1">
      <c r="C759" s="70"/>
      <c r="D759" s="71"/>
      <c r="E759" s="72"/>
      <c r="F759" s="71"/>
      <c r="G759" s="73"/>
      <c r="H759" s="73"/>
      <c r="I759" s="73"/>
      <c r="J759" s="73"/>
      <c r="K759" s="74"/>
      <c r="L759" s="74"/>
      <c r="O759" s="75"/>
    </row>
    <row r="760" ht="15.0" customHeight="1">
      <c r="C760" s="70"/>
      <c r="D760" s="71"/>
      <c r="E760" s="72"/>
      <c r="F760" s="71"/>
      <c r="G760" s="73"/>
      <c r="H760" s="73"/>
      <c r="I760" s="73"/>
      <c r="J760" s="73"/>
      <c r="K760" s="74"/>
      <c r="L760" s="74"/>
      <c r="O760" s="75"/>
    </row>
    <row r="761" ht="15.0" customHeight="1">
      <c r="C761" s="70"/>
      <c r="D761" s="71"/>
      <c r="E761" s="72"/>
      <c r="F761" s="71"/>
      <c r="G761" s="73"/>
      <c r="H761" s="73"/>
      <c r="I761" s="73"/>
      <c r="J761" s="73"/>
      <c r="K761" s="74"/>
      <c r="L761" s="74"/>
      <c r="O761" s="75"/>
    </row>
    <row r="762" ht="15.0" customHeight="1">
      <c r="C762" s="70"/>
      <c r="D762" s="71"/>
      <c r="E762" s="72"/>
      <c r="F762" s="71"/>
      <c r="G762" s="73"/>
      <c r="H762" s="73"/>
      <c r="I762" s="73"/>
      <c r="J762" s="73"/>
      <c r="K762" s="74"/>
      <c r="L762" s="74"/>
      <c r="O762" s="75"/>
    </row>
    <row r="763" ht="15.0" customHeight="1">
      <c r="C763" s="70"/>
      <c r="D763" s="71"/>
      <c r="E763" s="72"/>
      <c r="F763" s="71"/>
      <c r="G763" s="73"/>
      <c r="H763" s="73"/>
      <c r="I763" s="73"/>
      <c r="J763" s="73"/>
      <c r="K763" s="74"/>
      <c r="L763" s="74"/>
      <c r="O763" s="75"/>
    </row>
    <row r="764" ht="15.0" customHeight="1">
      <c r="C764" s="70"/>
      <c r="D764" s="71"/>
      <c r="E764" s="72"/>
      <c r="F764" s="71"/>
      <c r="G764" s="73"/>
      <c r="H764" s="73"/>
      <c r="I764" s="73"/>
      <c r="J764" s="73"/>
      <c r="K764" s="74"/>
      <c r="L764" s="74"/>
      <c r="O764" s="75"/>
    </row>
    <row r="765" ht="15.0" customHeight="1">
      <c r="C765" s="70"/>
      <c r="D765" s="71"/>
      <c r="E765" s="72"/>
      <c r="F765" s="71"/>
      <c r="G765" s="73"/>
      <c r="H765" s="73"/>
      <c r="I765" s="73"/>
      <c r="J765" s="73"/>
      <c r="K765" s="74"/>
      <c r="L765" s="74"/>
      <c r="O765" s="75"/>
    </row>
    <row r="766" ht="15.0" customHeight="1">
      <c r="C766" s="70"/>
      <c r="D766" s="71"/>
      <c r="E766" s="72"/>
      <c r="F766" s="71"/>
      <c r="G766" s="73"/>
      <c r="H766" s="73"/>
      <c r="I766" s="73"/>
      <c r="J766" s="73"/>
      <c r="K766" s="74"/>
      <c r="L766" s="74"/>
      <c r="O766" s="75"/>
    </row>
    <row r="767" ht="15.0" customHeight="1">
      <c r="C767" s="70"/>
      <c r="D767" s="71"/>
      <c r="E767" s="72"/>
      <c r="F767" s="71"/>
      <c r="G767" s="73"/>
      <c r="H767" s="73"/>
      <c r="I767" s="73"/>
      <c r="J767" s="73"/>
      <c r="K767" s="74"/>
      <c r="L767" s="74"/>
      <c r="O767" s="75"/>
    </row>
    <row r="768" ht="15.0" customHeight="1">
      <c r="C768" s="70"/>
      <c r="D768" s="71"/>
      <c r="E768" s="72"/>
      <c r="F768" s="71"/>
      <c r="G768" s="73"/>
      <c r="H768" s="73"/>
      <c r="I768" s="73"/>
      <c r="J768" s="73"/>
      <c r="K768" s="74"/>
      <c r="L768" s="74"/>
      <c r="O768" s="75"/>
    </row>
    <row r="769" ht="15.0" customHeight="1">
      <c r="C769" s="70"/>
      <c r="D769" s="71"/>
      <c r="E769" s="72"/>
      <c r="F769" s="71"/>
      <c r="G769" s="73"/>
      <c r="H769" s="73"/>
      <c r="I769" s="73"/>
      <c r="J769" s="73"/>
      <c r="K769" s="74"/>
      <c r="L769" s="74"/>
      <c r="O769" s="75"/>
    </row>
    <row r="770" ht="15.0" customHeight="1">
      <c r="C770" s="70"/>
      <c r="D770" s="71"/>
      <c r="E770" s="72"/>
      <c r="F770" s="71"/>
      <c r="G770" s="73"/>
      <c r="H770" s="73"/>
      <c r="I770" s="73"/>
      <c r="J770" s="73"/>
      <c r="K770" s="74"/>
      <c r="L770" s="74"/>
      <c r="O770" s="75"/>
    </row>
    <row r="771" ht="15.0" customHeight="1">
      <c r="C771" s="70"/>
      <c r="D771" s="71"/>
      <c r="E771" s="72"/>
      <c r="F771" s="71"/>
      <c r="G771" s="73"/>
      <c r="H771" s="73"/>
      <c r="I771" s="73"/>
      <c r="J771" s="73"/>
      <c r="K771" s="74"/>
      <c r="L771" s="74"/>
      <c r="O771" s="75"/>
    </row>
    <row r="772" ht="15.0" customHeight="1">
      <c r="C772" s="70"/>
      <c r="D772" s="71"/>
      <c r="E772" s="72"/>
      <c r="F772" s="71"/>
      <c r="G772" s="73"/>
      <c r="H772" s="73"/>
      <c r="I772" s="73"/>
      <c r="J772" s="73"/>
      <c r="K772" s="74"/>
      <c r="L772" s="74"/>
      <c r="O772" s="75"/>
    </row>
    <row r="773" ht="15.0" customHeight="1">
      <c r="C773" s="70"/>
      <c r="D773" s="71"/>
      <c r="E773" s="72"/>
      <c r="F773" s="71"/>
      <c r="G773" s="73"/>
      <c r="H773" s="73"/>
      <c r="I773" s="73"/>
      <c r="J773" s="73"/>
      <c r="K773" s="74"/>
      <c r="L773" s="74"/>
      <c r="O773" s="75"/>
    </row>
    <row r="774" ht="15.0" customHeight="1">
      <c r="C774" s="70"/>
      <c r="D774" s="71"/>
      <c r="E774" s="72"/>
      <c r="F774" s="71"/>
      <c r="G774" s="73"/>
      <c r="H774" s="73"/>
      <c r="I774" s="73"/>
      <c r="J774" s="73"/>
      <c r="K774" s="74"/>
      <c r="L774" s="74"/>
      <c r="O774" s="75"/>
    </row>
    <row r="775" ht="15.0" customHeight="1">
      <c r="C775" s="70"/>
      <c r="D775" s="71"/>
      <c r="E775" s="72"/>
      <c r="F775" s="71"/>
      <c r="G775" s="73"/>
      <c r="H775" s="73"/>
      <c r="I775" s="73"/>
      <c r="J775" s="73"/>
      <c r="K775" s="74"/>
      <c r="L775" s="74"/>
      <c r="O775" s="75"/>
    </row>
    <row r="776" ht="15.0" customHeight="1">
      <c r="C776" s="70"/>
      <c r="D776" s="71"/>
      <c r="E776" s="72"/>
      <c r="F776" s="71"/>
      <c r="G776" s="73"/>
      <c r="H776" s="73"/>
      <c r="I776" s="73"/>
      <c r="J776" s="73"/>
      <c r="K776" s="74"/>
      <c r="L776" s="74"/>
      <c r="O776" s="75"/>
    </row>
    <row r="777" ht="15.0" customHeight="1">
      <c r="C777" s="70"/>
      <c r="D777" s="71"/>
      <c r="E777" s="72"/>
      <c r="F777" s="71"/>
      <c r="G777" s="73"/>
      <c r="H777" s="73"/>
      <c r="I777" s="73"/>
      <c r="J777" s="73"/>
      <c r="K777" s="74"/>
      <c r="L777" s="74"/>
      <c r="O777" s="75"/>
    </row>
    <row r="778" ht="15.0" customHeight="1">
      <c r="C778" s="70"/>
      <c r="D778" s="71"/>
      <c r="E778" s="72"/>
      <c r="F778" s="71"/>
      <c r="G778" s="73"/>
      <c r="H778" s="73"/>
      <c r="I778" s="73"/>
      <c r="J778" s="73"/>
      <c r="K778" s="74"/>
      <c r="L778" s="74"/>
      <c r="O778" s="75"/>
    </row>
    <row r="779" ht="15.0" customHeight="1">
      <c r="C779" s="70"/>
      <c r="D779" s="71"/>
      <c r="E779" s="72"/>
      <c r="F779" s="71"/>
      <c r="G779" s="73"/>
      <c r="H779" s="73"/>
      <c r="I779" s="73"/>
      <c r="J779" s="73"/>
      <c r="K779" s="74"/>
      <c r="L779" s="74"/>
      <c r="O779" s="75"/>
    </row>
    <row r="780" ht="15.0" customHeight="1">
      <c r="C780" s="70"/>
      <c r="D780" s="71"/>
      <c r="E780" s="72"/>
      <c r="F780" s="71"/>
      <c r="G780" s="73"/>
      <c r="H780" s="73"/>
      <c r="I780" s="73"/>
      <c r="J780" s="73"/>
      <c r="K780" s="74"/>
      <c r="L780" s="74"/>
      <c r="O780" s="75"/>
    </row>
    <row r="781" ht="15.0" customHeight="1">
      <c r="C781" s="70"/>
      <c r="D781" s="71"/>
      <c r="E781" s="72"/>
      <c r="F781" s="71"/>
      <c r="G781" s="73"/>
      <c r="H781" s="73"/>
      <c r="I781" s="73"/>
      <c r="J781" s="73"/>
      <c r="K781" s="74"/>
      <c r="L781" s="74"/>
      <c r="O781" s="75"/>
    </row>
    <row r="782" ht="15.0" customHeight="1">
      <c r="C782" s="70"/>
      <c r="D782" s="71"/>
      <c r="E782" s="72"/>
      <c r="F782" s="71"/>
      <c r="G782" s="73"/>
      <c r="H782" s="73"/>
      <c r="I782" s="73"/>
      <c r="J782" s="73"/>
      <c r="K782" s="74"/>
      <c r="L782" s="74"/>
      <c r="O782" s="75"/>
    </row>
    <row r="783" ht="15.0" customHeight="1">
      <c r="C783" s="70"/>
      <c r="D783" s="71"/>
      <c r="E783" s="72"/>
      <c r="F783" s="71"/>
      <c r="G783" s="73"/>
      <c r="H783" s="73"/>
      <c r="I783" s="73"/>
      <c r="J783" s="73"/>
      <c r="K783" s="74"/>
      <c r="L783" s="74"/>
      <c r="O783" s="75"/>
    </row>
    <row r="784" ht="15.0" customHeight="1">
      <c r="C784" s="70"/>
      <c r="D784" s="71"/>
      <c r="E784" s="72"/>
      <c r="F784" s="71"/>
      <c r="G784" s="73"/>
      <c r="H784" s="73"/>
      <c r="I784" s="73"/>
      <c r="J784" s="73"/>
      <c r="K784" s="74"/>
      <c r="L784" s="74"/>
      <c r="O784" s="75"/>
    </row>
    <row r="785" ht="15.0" customHeight="1">
      <c r="C785" s="70"/>
      <c r="D785" s="71"/>
      <c r="E785" s="72"/>
      <c r="F785" s="71"/>
      <c r="G785" s="73"/>
      <c r="H785" s="73"/>
      <c r="I785" s="73"/>
      <c r="J785" s="73"/>
      <c r="K785" s="74"/>
      <c r="L785" s="74"/>
      <c r="O785" s="75"/>
    </row>
    <row r="786" ht="15.0" customHeight="1">
      <c r="C786" s="70"/>
      <c r="D786" s="71"/>
      <c r="E786" s="72"/>
      <c r="F786" s="71"/>
      <c r="G786" s="73"/>
      <c r="H786" s="73"/>
      <c r="I786" s="73"/>
      <c r="J786" s="73"/>
      <c r="K786" s="74"/>
      <c r="L786" s="74"/>
      <c r="O786" s="75"/>
    </row>
    <row r="787" ht="15.0" customHeight="1">
      <c r="C787" s="70"/>
      <c r="D787" s="71"/>
      <c r="E787" s="72"/>
      <c r="F787" s="71"/>
      <c r="G787" s="73"/>
      <c r="H787" s="73"/>
      <c r="I787" s="73"/>
      <c r="J787" s="73"/>
      <c r="K787" s="74"/>
      <c r="L787" s="74"/>
      <c r="O787" s="75"/>
    </row>
    <row r="788" ht="15.0" customHeight="1">
      <c r="C788" s="70"/>
      <c r="D788" s="71"/>
      <c r="E788" s="72"/>
      <c r="F788" s="71"/>
      <c r="G788" s="73"/>
      <c r="H788" s="73"/>
      <c r="I788" s="73"/>
      <c r="J788" s="73"/>
      <c r="K788" s="74"/>
      <c r="L788" s="74"/>
      <c r="O788" s="75"/>
    </row>
    <row r="789" ht="15.0" customHeight="1">
      <c r="C789" s="70"/>
      <c r="D789" s="71"/>
      <c r="E789" s="72"/>
      <c r="F789" s="71"/>
      <c r="G789" s="73"/>
      <c r="H789" s="73"/>
      <c r="I789" s="73"/>
      <c r="J789" s="73"/>
      <c r="K789" s="74"/>
      <c r="L789" s="74"/>
      <c r="O789" s="75"/>
    </row>
    <row r="790" ht="15.0" customHeight="1">
      <c r="C790" s="70"/>
      <c r="D790" s="71"/>
      <c r="E790" s="72"/>
      <c r="F790" s="71"/>
      <c r="G790" s="73"/>
      <c r="H790" s="73"/>
      <c r="I790" s="73"/>
      <c r="J790" s="73"/>
      <c r="K790" s="74"/>
      <c r="L790" s="74"/>
      <c r="O790" s="75"/>
    </row>
    <row r="791" ht="15.0" customHeight="1">
      <c r="C791" s="70"/>
      <c r="D791" s="71"/>
      <c r="E791" s="72"/>
      <c r="F791" s="71"/>
      <c r="G791" s="73"/>
      <c r="H791" s="73"/>
      <c r="I791" s="73"/>
      <c r="J791" s="73"/>
      <c r="K791" s="74"/>
      <c r="L791" s="74"/>
      <c r="O791" s="75"/>
    </row>
    <row r="792" ht="15.0" customHeight="1">
      <c r="C792" s="70"/>
      <c r="D792" s="71"/>
      <c r="E792" s="72"/>
      <c r="F792" s="71"/>
      <c r="G792" s="73"/>
      <c r="H792" s="73"/>
      <c r="I792" s="73"/>
      <c r="J792" s="73"/>
      <c r="K792" s="74"/>
      <c r="L792" s="74"/>
      <c r="O792" s="75"/>
    </row>
    <row r="793" ht="15.0" customHeight="1">
      <c r="C793" s="70"/>
      <c r="D793" s="71"/>
      <c r="E793" s="72"/>
      <c r="F793" s="71"/>
      <c r="G793" s="73"/>
      <c r="H793" s="73"/>
      <c r="I793" s="73"/>
      <c r="J793" s="73"/>
      <c r="K793" s="74"/>
      <c r="L793" s="74"/>
      <c r="O793" s="75"/>
    </row>
    <row r="794" ht="15.0" customHeight="1">
      <c r="C794" s="70"/>
      <c r="D794" s="71"/>
      <c r="E794" s="72"/>
      <c r="F794" s="71"/>
      <c r="G794" s="73"/>
      <c r="H794" s="73"/>
      <c r="I794" s="73"/>
      <c r="J794" s="73"/>
      <c r="K794" s="74"/>
      <c r="L794" s="74"/>
      <c r="O794" s="75"/>
    </row>
    <row r="795" ht="15.0" customHeight="1">
      <c r="C795" s="70"/>
      <c r="D795" s="71"/>
      <c r="E795" s="72"/>
      <c r="F795" s="71"/>
      <c r="G795" s="73"/>
      <c r="H795" s="73"/>
      <c r="I795" s="73"/>
      <c r="J795" s="73"/>
      <c r="K795" s="74"/>
      <c r="L795" s="74"/>
      <c r="O795" s="75"/>
    </row>
    <row r="796" ht="15.0" customHeight="1">
      <c r="C796" s="70"/>
      <c r="D796" s="71"/>
      <c r="E796" s="72"/>
      <c r="F796" s="71"/>
      <c r="G796" s="73"/>
      <c r="H796" s="73"/>
      <c r="I796" s="73"/>
      <c r="J796" s="73"/>
      <c r="K796" s="74"/>
      <c r="L796" s="74"/>
      <c r="O796" s="75"/>
    </row>
    <row r="797" ht="15.0" customHeight="1">
      <c r="C797" s="70"/>
      <c r="D797" s="71"/>
      <c r="E797" s="72"/>
      <c r="F797" s="71"/>
      <c r="G797" s="73"/>
      <c r="H797" s="73"/>
      <c r="I797" s="73"/>
      <c r="J797" s="73"/>
      <c r="K797" s="74"/>
      <c r="L797" s="74"/>
      <c r="O797" s="75"/>
    </row>
    <row r="798" ht="15.0" customHeight="1">
      <c r="C798" s="70"/>
      <c r="D798" s="71"/>
      <c r="E798" s="72"/>
      <c r="F798" s="71"/>
      <c r="G798" s="73"/>
      <c r="H798" s="73"/>
      <c r="I798" s="73"/>
      <c r="J798" s="73"/>
      <c r="K798" s="74"/>
      <c r="L798" s="74"/>
      <c r="O798" s="75"/>
    </row>
    <row r="799" ht="15.0" customHeight="1">
      <c r="C799" s="70"/>
      <c r="D799" s="71"/>
      <c r="E799" s="72"/>
      <c r="F799" s="71"/>
      <c r="G799" s="73"/>
      <c r="H799" s="73"/>
      <c r="I799" s="73"/>
      <c r="J799" s="73"/>
      <c r="K799" s="74"/>
      <c r="L799" s="74"/>
      <c r="O799" s="75"/>
    </row>
    <row r="800" ht="15.0" customHeight="1">
      <c r="C800" s="70"/>
      <c r="D800" s="71"/>
      <c r="E800" s="72"/>
      <c r="F800" s="71"/>
      <c r="G800" s="73"/>
      <c r="H800" s="73"/>
      <c r="I800" s="73"/>
      <c r="J800" s="73"/>
      <c r="K800" s="74"/>
      <c r="L800" s="74"/>
      <c r="O800" s="75"/>
    </row>
    <row r="801" ht="15.0" customHeight="1">
      <c r="C801" s="70"/>
      <c r="D801" s="71"/>
      <c r="E801" s="72"/>
      <c r="F801" s="71"/>
      <c r="G801" s="73"/>
      <c r="H801" s="73"/>
      <c r="I801" s="73"/>
      <c r="J801" s="73"/>
      <c r="K801" s="74"/>
      <c r="L801" s="74"/>
      <c r="O801" s="75"/>
    </row>
    <row r="802" ht="15.0" customHeight="1">
      <c r="C802" s="70"/>
      <c r="D802" s="71"/>
      <c r="E802" s="72"/>
      <c r="F802" s="71"/>
      <c r="G802" s="73"/>
      <c r="H802" s="73"/>
      <c r="I802" s="73"/>
      <c r="J802" s="73"/>
      <c r="K802" s="74"/>
      <c r="L802" s="74"/>
      <c r="O802" s="75"/>
    </row>
    <row r="803" ht="15.0" customHeight="1">
      <c r="C803" s="70"/>
      <c r="D803" s="71"/>
      <c r="E803" s="72"/>
      <c r="F803" s="71"/>
      <c r="G803" s="73"/>
      <c r="H803" s="73"/>
      <c r="I803" s="73"/>
      <c r="J803" s="73"/>
      <c r="K803" s="74"/>
      <c r="L803" s="74"/>
      <c r="O803" s="75"/>
    </row>
    <row r="804" ht="15.0" customHeight="1">
      <c r="C804" s="70"/>
      <c r="D804" s="71"/>
      <c r="E804" s="72"/>
      <c r="F804" s="71"/>
      <c r="G804" s="73"/>
      <c r="H804" s="73"/>
      <c r="I804" s="73"/>
      <c r="J804" s="73"/>
      <c r="K804" s="74"/>
      <c r="L804" s="74"/>
      <c r="O804" s="75"/>
    </row>
    <row r="805" ht="15.0" customHeight="1">
      <c r="C805" s="70"/>
      <c r="D805" s="71"/>
      <c r="E805" s="72"/>
      <c r="F805" s="71"/>
      <c r="G805" s="73"/>
      <c r="H805" s="73"/>
      <c r="I805" s="73"/>
      <c r="J805" s="73"/>
      <c r="K805" s="74"/>
      <c r="L805" s="74"/>
      <c r="O805" s="75"/>
    </row>
    <row r="806" ht="15.0" customHeight="1">
      <c r="C806" s="70"/>
      <c r="D806" s="71"/>
      <c r="E806" s="72"/>
      <c r="F806" s="71"/>
      <c r="G806" s="73"/>
      <c r="H806" s="73"/>
      <c r="I806" s="73"/>
      <c r="J806" s="73"/>
      <c r="K806" s="74"/>
      <c r="L806" s="74"/>
      <c r="O806" s="75"/>
    </row>
    <row r="807" ht="15.0" customHeight="1">
      <c r="C807" s="70"/>
      <c r="D807" s="71"/>
      <c r="E807" s="72"/>
      <c r="F807" s="71"/>
      <c r="G807" s="73"/>
      <c r="H807" s="73"/>
      <c r="I807" s="73"/>
      <c r="J807" s="73"/>
      <c r="K807" s="74"/>
      <c r="L807" s="74"/>
      <c r="O807" s="75"/>
    </row>
    <row r="808" ht="15.0" customHeight="1">
      <c r="C808" s="70"/>
      <c r="D808" s="71"/>
      <c r="E808" s="72"/>
      <c r="F808" s="71"/>
      <c r="G808" s="73"/>
      <c r="H808" s="73"/>
      <c r="I808" s="73"/>
      <c r="J808" s="73"/>
      <c r="K808" s="74"/>
      <c r="L808" s="74"/>
      <c r="O808" s="75"/>
    </row>
    <row r="809" ht="15.0" customHeight="1">
      <c r="C809" s="70"/>
      <c r="D809" s="71"/>
      <c r="E809" s="72"/>
      <c r="F809" s="71"/>
      <c r="G809" s="73"/>
      <c r="H809" s="73"/>
      <c r="I809" s="73"/>
      <c r="J809" s="73"/>
      <c r="K809" s="74"/>
      <c r="L809" s="74"/>
      <c r="O809" s="75"/>
    </row>
    <row r="810" ht="15.0" customHeight="1">
      <c r="C810" s="70"/>
      <c r="D810" s="71"/>
      <c r="E810" s="72"/>
      <c r="F810" s="71"/>
      <c r="G810" s="73"/>
      <c r="H810" s="73"/>
      <c r="I810" s="73"/>
      <c r="J810" s="73"/>
      <c r="K810" s="74"/>
      <c r="L810" s="74"/>
      <c r="O810" s="75"/>
    </row>
    <row r="811" ht="15.0" customHeight="1">
      <c r="C811" s="70"/>
      <c r="D811" s="71"/>
      <c r="E811" s="72"/>
      <c r="F811" s="71"/>
      <c r="G811" s="73"/>
      <c r="H811" s="73"/>
      <c r="I811" s="73"/>
      <c r="J811" s="73"/>
      <c r="K811" s="74"/>
      <c r="L811" s="74"/>
      <c r="O811" s="75"/>
    </row>
    <row r="812" ht="15.0" customHeight="1">
      <c r="C812" s="70"/>
      <c r="D812" s="71"/>
      <c r="E812" s="72"/>
      <c r="F812" s="71"/>
      <c r="G812" s="73"/>
      <c r="H812" s="73"/>
      <c r="I812" s="73"/>
      <c r="J812" s="73"/>
      <c r="K812" s="74"/>
      <c r="L812" s="74"/>
      <c r="O812" s="75"/>
    </row>
    <row r="813" ht="15.0" customHeight="1">
      <c r="C813" s="70"/>
      <c r="D813" s="71"/>
      <c r="E813" s="72"/>
      <c r="F813" s="71"/>
      <c r="G813" s="73"/>
      <c r="H813" s="73"/>
      <c r="I813" s="73"/>
      <c r="J813" s="73"/>
      <c r="K813" s="74"/>
      <c r="L813" s="74"/>
      <c r="O813" s="75"/>
    </row>
    <row r="814" ht="15.0" customHeight="1">
      <c r="C814" s="70"/>
      <c r="D814" s="71"/>
      <c r="E814" s="72"/>
      <c r="F814" s="71"/>
      <c r="G814" s="73"/>
      <c r="H814" s="73"/>
      <c r="I814" s="73"/>
      <c r="J814" s="73"/>
      <c r="K814" s="74"/>
      <c r="L814" s="74"/>
      <c r="O814" s="75"/>
    </row>
    <row r="815" ht="15.0" customHeight="1">
      <c r="C815" s="70"/>
      <c r="D815" s="71"/>
      <c r="E815" s="72"/>
      <c r="F815" s="71"/>
      <c r="G815" s="73"/>
      <c r="H815" s="73"/>
      <c r="I815" s="73"/>
      <c r="J815" s="73"/>
      <c r="K815" s="74"/>
      <c r="L815" s="74"/>
      <c r="O815" s="75"/>
    </row>
    <row r="816" ht="15.0" customHeight="1">
      <c r="C816" s="70"/>
      <c r="D816" s="71"/>
      <c r="E816" s="72"/>
      <c r="F816" s="71"/>
      <c r="G816" s="73"/>
      <c r="H816" s="73"/>
      <c r="I816" s="73"/>
      <c r="J816" s="73"/>
      <c r="K816" s="74"/>
      <c r="L816" s="74"/>
      <c r="O816" s="75"/>
    </row>
    <row r="817" ht="15.0" customHeight="1">
      <c r="C817" s="70"/>
      <c r="D817" s="71"/>
      <c r="E817" s="72"/>
      <c r="F817" s="71"/>
      <c r="G817" s="73"/>
      <c r="H817" s="73"/>
      <c r="I817" s="73"/>
      <c r="J817" s="73"/>
      <c r="K817" s="74"/>
      <c r="L817" s="74"/>
      <c r="O817" s="75"/>
    </row>
    <row r="818" ht="15.0" customHeight="1">
      <c r="C818" s="70"/>
      <c r="D818" s="71"/>
      <c r="E818" s="72"/>
      <c r="F818" s="71"/>
      <c r="G818" s="73"/>
      <c r="H818" s="73"/>
      <c r="I818" s="73"/>
      <c r="J818" s="73"/>
      <c r="K818" s="74"/>
      <c r="L818" s="74"/>
      <c r="O818" s="75"/>
    </row>
    <row r="819" ht="15.0" customHeight="1">
      <c r="C819" s="70"/>
      <c r="D819" s="71"/>
      <c r="E819" s="72"/>
      <c r="F819" s="71"/>
      <c r="G819" s="73"/>
      <c r="H819" s="73"/>
      <c r="I819" s="73"/>
      <c r="J819" s="73"/>
      <c r="K819" s="74"/>
      <c r="L819" s="74"/>
      <c r="O819" s="75"/>
    </row>
    <row r="820" ht="15.0" customHeight="1">
      <c r="C820" s="70"/>
      <c r="D820" s="71"/>
      <c r="E820" s="72"/>
      <c r="F820" s="71"/>
      <c r="G820" s="73"/>
      <c r="H820" s="73"/>
      <c r="I820" s="73"/>
      <c r="J820" s="73"/>
      <c r="K820" s="74"/>
      <c r="L820" s="74"/>
      <c r="O820" s="75"/>
    </row>
    <row r="821" ht="15.0" customHeight="1">
      <c r="C821" s="70"/>
      <c r="D821" s="71"/>
      <c r="E821" s="72"/>
      <c r="F821" s="71"/>
      <c r="G821" s="73"/>
      <c r="H821" s="73"/>
      <c r="I821" s="73"/>
      <c r="J821" s="73"/>
      <c r="K821" s="74"/>
      <c r="L821" s="74"/>
      <c r="O821" s="75"/>
    </row>
    <row r="822" ht="15.0" customHeight="1">
      <c r="C822" s="70"/>
      <c r="D822" s="71"/>
      <c r="E822" s="72"/>
      <c r="F822" s="71"/>
      <c r="G822" s="73"/>
      <c r="H822" s="73"/>
      <c r="I822" s="73"/>
      <c r="J822" s="73"/>
      <c r="K822" s="74"/>
      <c r="L822" s="74"/>
      <c r="O822" s="75"/>
    </row>
    <row r="823" ht="15.0" customHeight="1">
      <c r="C823" s="70"/>
      <c r="D823" s="71"/>
      <c r="E823" s="72"/>
      <c r="F823" s="71"/>
      <c r="G823" s="73"/>
      <c r="H823" s="73"/>
      <c r="I823" s="73"/>
      <c r="J823" s="73"/>
      <c r="K823" s="74"/>
      <c r="L823" s="74"/>
      <c r="O823" s="75"/>
    </row>
    <row r="824" ht="15.0" customHeight="1">
      <c r="C824" s="70"/>
      <c r="D824" s="71"/>
      <c r="E824" s="72"/>
      <c r="F824" s="71"/>
      <c r="G824" s="73"/>
      <c r="H824" s="73"/>
      <c r="I824" s="73"/>
      <c r="J824" s="73"/>
      <c r="K824" s="74"/>
      <c r="L824" s="74"/>
      <c r="O824" s="75"/>
    </row>
    <row r="825" ht="15.0" customHeight="1">
      <c r="C825" s="70"/>
      <c r="D825" s="71"/>
      <c r="E825" s="72"/>
      <c r="F825" s="71"/>
      <c r="G825" s="73"/>
      <c r="H825" s="73"/>
      <c r="I825" s="73"/>
      <c r="J825" s="73"/>
      <c r="K825" s="74"/>
      <c r="L825" s="74"/>
      <c r="O825" s="75"/>
    </row>
    <row r="826" ht="15.0" customHeight="1">
      <c r="C826" s="70"/>
      <c r="D826" s="71"/>
      <c r="E826" s="72"/>
      <c r="F826" s="71"/>
      <c r="G826" s="73"/>
      <c r="H826" s="73"/>
      <c r="I826" s="73"/>
      <c r="J826" s="73"/>
      <c r="K826" s="74"/>
      <c r="L826" s="74"/>
      <c r="O826" s="75"/>
    </row>
    <row r="827" ht="15.0" customHeight="1">
      <c r="C827" s="70"/>
      <c r="D827" s="71"/>
      <c r="E827" s="72"/>
      <c r="F827" s="71"/>
      <c r="G827" s="73"/>
      <c r="H827" s="73"/>
      <c r="I827" s="73"/>
      <c r="J827" s="73"/>
      <c r="K827" s="74"/>
      <c r="L827" s="74"/>
      <c r="O827" s="75"/>
    </row>
    <row r="828" ht="15.0" customHeight="1">
      <c r="C828" s="70"/>
      <c r="D828" s="71"/>
      <c r="E828" s="72"/>
      <c r="F828" s="71"/>
      <c r="G828" s="73"/>
      <c r="H828" s="73"/>
      <c r="I828" s="73"/>
      <c r="J828" s="73"/>
      <c r="K828" s="74"/>
      <c r="L828" s="74"/>
      <c r="O828" s="75"/>
    </row>
    <row r="829" ht="15.0" customHeight="1">
      <c r="C829" s="70"/>
      <c r="D829" s="71"/>
      <c r="E829" s="72"/>
      <c r="F829" s="71"/>
      <c r="G829" s="73"/>
      <c r="H829" s="73"/>
      <c r="I829" s="73"/>
      <c r="J829" s="73"/>
      <c r="K829" s="74"/>
      <c r="L829" s="74"/>
      <c r="O829" s="75"/>
    </row>
    <row r="830" ht="15.0" customHeight="1">
      <c r="C830" s="70"/>
      <c r="D830" s="71"/>
      <c r="E830" s="72"/>
      <c r="F830" s="71"/>
      <c r="G830" s="73"/>
      <c r="H830" s="73"/>
      <c r="I830" s="73"/>
      <c r="J830" s="73"/>
      <c r="K830" s="74"/>
      <c r="L830" s="74"/>
      <c r="O830" s="75"/>
    </row>
    <row r="831" ht="15.0" customHeight="1">
      <c r="C831" s="70"/>
      <c r="D831" s="71"/>
      <c r="E831" s="72"/>
      <c r="F831" s="71"/>
      <c r="G831" s="73"/>
      <c r="H831" s="73"/>
      <c r="I831" s="73"/>
      <c r="J831" s="73"/>
      <c r="K831" s="74"/>
      <c r="L831" s="74"/>
      <c r="O831" s="75"/>
    </row>
    <row r="832" ht="15.0" customHeight="1">
      <c r="C832" s="70"/>
      <c r="D832" s="71"/>
      <c r="E832" s="72"/>
      <c r="F832" s="71"/>
      <c r="G832" s="73"/>
      <c r="H832" s="73"/>
      <c r="I832" s="73"/>
      <c r="J832" s="73"/>
      <c r="K832" s="74"/>
      <c r="L832" s="74"/>
      <c r="O832" s="75"/>
    </row>
    <row r="833" ht="15.0" customHeight="1">
      <c r="C833" s="70"/>
      <c r="D833" s="71"/>
      <c r="E833" s="72"/>
      <c r="F833" s="71"/>
      <c r="G833" s="73"/>
      <c r="H833" s="73"/>
      <c r="I833" s="73"/>
      <c r="J833" s="73"/>
      <c r="K833" s="74"/>
      <c r="L833" s="74"/>
      <c r="O833" s="75"/>
    </row>
    <row r="834" ht="15.0" customHeight="1">
      <c r="C834" s="70"/>
      <c r="D834" s="71"/>
      <c r="E834" s="72"/>
      <c r="F834" s="71"/>
      <c r="G834" s="73"/>
      <c r="H834" s="73"/>
      <c r="I834" s="73"/>
      <c r="J834" s="73"/>
      <c r="K834" s="74"/>
      <c r="L834" s="74"/>
      <c r="O834" s="75"/>
    </row>
    <row r="835" ht="15.0" customHeight="1">
      <c r="C835" s="70"/>
      <c r="D835" s="71"/>
      <c r="E835" s="72"/>
      <c r="F835" s="71"/>
      <c r="G835" s="73"/>
      <c r="H835" s="73"/>
      <c r="I835" s="73"/>
      <c r="J835" s="73"/>
      <c r="K835" s="74"/>
      <c r="L835" s="74"/>
      <c r="O835" s="75"/>
    </row>
    <row r="836" ht="15.0" customHeight="1">
      <c r="C836" s="70"/>
      <c r="D836" s="71"/>
      <c r="E836" s="72"/>
      <c r="F836" s="71"/>
      <c r="G836" s="73"/>
      <c r="H836" s="73"/>
      <c r="I836" s="73"/>
      <c r="J836" s="73"/>
      <c r="K836" s="74"/>
      <c r="L836" s="74"/>
      <c r="O836" s="75"/>
    </row>
    <row r="837" ht="15.0" customHeight="1">
      <c r="C837" s="70"/>
      <c r="D837" s="71"/>
      <c r="E837" s="72"/>
      <c r="F837" s="71"/>
      <c r="G837" s="73"/>
      <c r="H837" s="73"/>
      <c r="I837" s="73"/>
      <c r="J837" s="73"/>
      <c r="K837" s="74"/>
      <c r="L837" s="74"/>
      <c r="O837" s="75"/>
    </row>
    <row r="838" ht="15.0" customHeight="1">
      <c r="C838" s="70"/>
      <c r="D838" s="71"/>
      <c r="E838" s="72"/>
      <c r="F838" s="71"/>
      <c r="G838" s="73"/>
      <c r="H838" s="73"/>
      <c r="I838" s="73"/>
      <c r="J838" s="73"/>
      <c r="K838" s="74"/>
      <c r="L838" s="74"/>
      <c r="O838" s="75"/>
    </row>
    <row r="839" ht="15.0" customHeight="1">
      <c r="C839" s="70"/>
      <c r="D839" s="71"/>
      <c r="E839" s="72"/>
      <c r="F839" s="71"/>
      <c r="G839" s="73"/>
      <c r="H839" s="73"/>
      <c r="I839" s="73"/>
      <c r="J839" s="73"/>
      <c r="K839" s="74"/>
      <c r="L839" s="74"/>
      <c r="O839" s="75"/>
    </row>
    <row r="840" ht="15.0" customHeight="1">
      <c r="C840" s="70"/>
      <c r="D840" s="71"/>
      <c r="E840" s="72"/>
      <c r="F840" s="71"/>
      <c r="G840" s="73"/>
      <c r="H840" s="73"/>
      <c r="I840" s="73"/>
      <c r="J840" s="73"/>
      <c r="K840" s="74"/>
      <c r="L840" s="74"/>
      <c r="O840" s="75"/>
    </row>
    <row r="841" ht="15.0" customHeight="1">
      <c r="C841" s="70"/>
      <c r="D841" s="71"/>
      <c r="E841" s="72"/>
      <c r="F841" s="71"/>
      <c r="G841" s="73"/>
      <c r="H841" s="73"/>
      <c r="I841" s="73"/>
      <c r="J841" s="73"/>
      <c r="K841" s="74"/>
      <c r="L841" s="74"/>
      <c r="O841" s="75"/>
    </row>
    <row r="842" ht="15.0" customHeight="1">
      <c r="C842" s="70"/>
      <c r="D842" s="71"/>
      <c r="E842" s="72"/>
      <c r="F842" s="71"/>
      <c r="G842" s="73"/>
      <c r="H842" s="73"/>
      <c r="I842" s="73"/>
      <c r="J842" s="73"/>
      <c r="K842" s="74"/>
      <c r="L842" s="74"/>
      <c r="O842" s="75"/>
    </row>
    <row r="843" ht="15.0" customHeight="1">
      <c r="C843" s="70"/>
      <c r="D843" s="71"/>
      <c r="E843" s="72"/>
      <c r="F843" s="71"/>
      <c r="G843" s="73"/>
      <c r="H843" s="73"/>
      <c r="I843" s="73"/>
      <c r="J843" s="73"/>
      <c r="K843" s="74"/>
      <c r="L843" s="74"/>
      <c r="O843" s="75"/>
    </row>
    <row r="844" ht="15.0" customHeight="1">
      <c r="C844" s="70"/>
      <c r="D844" s="71"/>
      <c r="E844" s="72"/>
      <c r="F844" s="71"/>
      <c r="G844" s="73"/>
      <c r="H844" s="73"/>
      <c r="I844" s="73"/>
      <c r="J844" s="73"/>
      <c r="K844" s="74"/>
      <c r="L844" s="74"/>
      <c r="O844" s="75"/>
    </row>
    <row r="845" ht="15.0" customHeight="1">
      <c r="C845" s="70"/>
      <c r="D845" s="71"/>
      <c r="E845" s="72"/>
      <c r="F845" s="71"/>
      <c r="G845" s="73"/>
      <c r="H845" s="73"/>
      <c r="I845" s="73"/>
      <c r="J845" s="73"/>
      <c r="K845" s="74"/>
      <c r="L845" s="74"/>
      <c r="O845" s="75"/>
    </row>
    <row r="846" ht="15.0" customHeight="1">
      <c r="C846" s="70"/>
      <c r="D846" s="71"/>
      <c r="E846" s="72"/>
      <c r="F846" s="71"/>
      <c r="G846" s="73"/>
      <c r="H846" s="73"/>
      <c r="I846" s="73"/>
      <c r="J846" s="73"/>
      <c r="K846" s="74"/>
      <c r="L846" s="74"/>
      <c r="O846" s="75"/>
    </row>
    <row r="847" ht="15.0" customHeight="1">
      <c r="C847" s="70"/>
      <c r="D847" s="71"/>
      <c r="E847" s="72"/>
      <c r="F847" s="71"/>
      <c r="G847" s="73"/>
      <c r="H847" s="73"/>
      <c r="I847" s="73"/>
      <c r="J847" s="73"/>
      <c r="K847" s="74"/>
      <c r="L847" s="74"/>
      <c r="O847" s="75"/>
    </row>
    <row r="848" ht="15.0" customHeight="1">
      <c r="C848" s="70"/>
      <c r="D848" s="71"/>
      <c r="E848" s="72"/>
      <c r="F848" s="71"/>
      <c r="G848" s="73"/>
      <c r="H848" s="73"/>
      <c r="I848" s="73"/>
      <c r="J848" s="73"/>
      <c r="K848" s="74"/>
      <c r="L848" s="74"/>
      <c r="O848" s="75"/>
    </row>
    <row r="849" ht="15.0" customHeight="1">
      <c r="C849" s="70"/>
      <c r="D849" s="71"/>
      <c r="E849" s="72"/>
      <c r="F849" s="71"/>
      <c r="G849" s="73"/>
      <c r="H849" s="73"/>
      <c r="I849" s="73"/>
      <c r="J849" s="73"/>
      <c r="K849" s="74"/>
      <c r="L849" s="74"/>
      <c r="O849" s="75"/>
    </row>
    <row r="850" ht="15.0" customHeight="1">
      <c r="C850" s="70"/>
      <c r="D850" s="71"/>
      <c r="E850" s="72"/>
      <c r="F850" s="71"/>
      <c r="G850" s="73"/>
      <c r="H850" s="73"/>
      <c r="I850" s="73"/>
      <c r="J850" s="73"/>
      <c r="K850" s="74"/>
      <c r="L850" s="74"/>
      <c r="O850" s="75"/>
    </row>
    <row r="851" ht="15.0" customHeight="1">
      <c r="C851" s="70"/>
      <c r="D851" s="71"/>
      <c r="E851" s="72"/>
      <c r="F851" s="71"/>
      <c r="G851" s="73"/>
      <c r="H851" s="73"/>
      <c r="I851" s="73"/>
      <c r="J851" s="73"/>
      <c r="K851" s="74"/>
      <c r="L851" s="74"/>
      <c r="O851" s="75"/>
    </row>
    <row r="852" ht="15.0" customHeight="1">
      <c r="C852" s="70"/>
      <c r="D852" s="71"/>
      <c r="E852" s="72"/>
      <c r="F852" s="71"/>
      <c r="G852" s="73"/>
      <c r="H852" s="73"/>
      <c r="I852" s="73"/>
      <c r="J852" s="73"/>
      <c r="K852" s="74"/>
      <c r="L852" s="74"/>
      <c r="O852" s="75"/>
    </row>
    <row r="853" ht="15.0" customHeight="1">
      <c r="C853" s="70"/>
      <c r="D853" s="71"/>
      <c r="E853" s="72"/>
      <c r="F853" s="71"/>
      <c r="G853" s="73"/>
      <c r="H853" s="73"/>
      <c r="I853" s="73"/>
      <c r="J853" s="73"/>
      <c r="K853" s="74"/>
      <c r="L853" s="74"/>
      <c r="O853" s="75"/>
    </row>
    <row r="854" ht="15.0" customHeight="1">
      <c r="C854" s="70"/>
      <c r="D854" s="71"/>
      <c r="E854" s="72"/>
      <c r="F854" s="71"/>
      <c r="G854" s="73"/>
      <c r="H854" s="73"/>
      <c r="I854" s="73"/>
      <c r="J854" s="73"/>
      <c r="K854" s="74"/>
      <c r="L854" s="74"/>
      <c r="O854" s="75"/>
    </row>
    <row r="855" ht="15.0" customHeight="1">
      <c r="C855" s="70"/>
      <c r="D855" s="71"/>
      <c r="E855" s="72"/>
      <c r="F855" s="71"/>
      <c r="G855" s="73"/>
      <c r="H855" s="73"/>
      <c r="I855" s="73"/>
      <c r="J855" s="73"/>
      <c r="K855" s="74"/>
      <c r="L855" s="74"/>
      <c r="O855" s="75"/>
    </row>
    <row r="856" ht="15.0" customHeight="1">
      <c r="C856" s="70"/>
      <c r="D856" s="71"/>
      <c r="E856" s="72"/>
      <c r="F856" s="71"/>
      <c r="G856" s="73"/>
      <c r="H856" s="73"/>
      <c r="I856" s="73"/>
      <c r="J856" s="73"/>
      <c r="K856" s="74"/>
      <c r="L856" s="74"/>
      <c r="O856" s="75"/>
    </row>
    <row r="857" ht="15.0" customHeight="1">
      <c r="C857" s="70"/>
      <c r="D857" s="71"/>
      <c r="E857" s="72"/>
      <c r="F857" s="71"/>
      <c r="G857" s="73"/>
      <c r="H857" s="73"/>
      <c r="I857" s="73"/>
      <c r="J857" s="73"/>
      <c r="K857" s="74"/>
      <c r="L857" s="74"/>
      <c r="O857" s="75"/>
    </row>
    <row r="858" ht="15.0" customHeight="1">
      <c r="C858" s="70"/>
      <c r="D858" s="71"/>
      <c r="E858" s="72"/>
      <c r="F858" s="71"/>
      <c r="G858" s="73"/>
      <c r="H858" s="73"/>
      <c r="I858" s="73"/>
      <c r="J858" s="73"/>
      <c r="K858" s="74"/>
      <c r="L858" s="74"/>
      <c r="O858" s="75"/>
    </row>
    <row r="859" ht="15.0" customHeight="1">
      <c r="C859" s="70"/>
      <c r="D859" s="71"/>
      <c r="E859" s="72"/>
      <c r="F859" s="71"/>
      <c r="G859" s="73"/>
      <c r="H859" s="73"/>
      <c r="I859" s="73"/>
      <c r="J859" s="73"/>
      <c r="K859" s="74"/>
      <c r="L859" s="74"/>
      <c r="O859" s="75"/>
    </row>
    <row r="860" ht="15.0" customHeight="1">
      <c r="C860" s="70"/>
      <c r="D860" s="71"/>
      <c r="E860" s="72"/>
      <c r="F860" s="71"/>
      <c r="G860" s="73"/>
      <c r="H860" s="73"/>
      <c r="I860" s="73"/>
      <c r="J860" s="73"/>
      <c r="K860" s="74"/>
      <c r="L860" s="74"/>
      <c r="O860" s="75"/>
    </row>
    <row r="861" ht="15.0" customHeight="1">
      <c r="C861" s="70"/>
      <c r="D861" s="71"/>
      <c r="E861" s="72"/>
      <c r="F861" s="71"/>
      <c r="G861" s="73"/>
      <c r="H861" s="73"/>
      <c r="I861" s="73"/>
      <c r="J861" s="73"/>
      <c r="K861" s="74"/>
      <c r="L861" s="74"/>
      <c r="O861" s="75"/>
    </row>
    <row r="862" ht="15.0" customHeight="1">
      <c r="C862" s="70"/>
      <c r="D862" s="71"/>
      <c r="E862" s="72"/>
      <c r="F862" s="71"/>
      <c r="G862" s="73"/>
      <c r="H862" s="73"/>
      <c r="I862" s="73"/>
      <c r="J862" s="73"/>
      <c r="K862" s="74"/>
      <c r="L862" s="74"/>
      <c r="O862" s="75"/>
    </row>
    <row r="863" ht="15.0" customHeight="1">
      <c r="C863" s="70"/>
      <c r="D863" s="71"/>
      <c r="E863" s="72"/>
      <c r="F863" s="71"/>
      <c r="G863" s="73"/>
      <c r="H863" s="73"/>
      <c r="I863" s="73"/>
      <c r="J863" s="73"/>
      <c r="K863" s="74"/>
      <c r="L863" s="74"/>
      <c r="O863" s="75"/>
    </row>
    <row r="864" ht="15.0" customHeight="1">
      <c r="C864" s="70"/>
      <c r="D864" s="71"/>
      <c r="E864" s="72"/>
      <c r="F864" s="71"/>
      <c r="G864" s="73"/>
      <c r="H864" s="73"/>
      <c r="I864" s="73"/>
      <c r="J864" s="73"/>
      <c r="K864" s="74"/>
      <c r="L864" s="74"/>
      <c r="O864" s="75"/>
    </row>
    <row r="865" ht="15.0" customHeight="1">
      <c r="C865" s="70"/>
      <c r="D865" s="71"/>
      <c r="E865" s="72"/>
      <c r="F865" s="71"/>
      <c r="G865" s="73"/>
      <c r="H865" s="73"/>
      <c r="I865" s="73"/>
      <c r="J865" s="73"/>
      <c r="K865" s="74"/>
      <c r="L865" s="74"/>
      <c r="O865" s="75"/>
    </row>
    <row r="866" ht="15.0" customHeight="1">
      <c r="C866" s="70"/>
      <c r="D866" s="71"/>
      <c r="E866" s="72"/>
      <c r="F866" s="71"/>
      <c r="G866" s="73"/>
      <c r="H866" s="73"/>
      <c r="I866" s="73"/>
      <c r="J866" s="73"/>
      <c r="K866" s="74"/>
      <c r="L866" s="74"/>
      <c r="O866" s="75"/>
    </row>
    <row r="867" ht="15.0" customHeight="1">
      <c r="C867" s="70"/>
      <c r="D867" s="71"/>
      <c r="E867" s="72"/>
      <c r="F867" s="71"/>
      <c r="G867" s="73"/>
      <c r="H867" s="73"/>
      <c r="I867" s="73"/>
      <c r="J867" s="73"/>
      <c r="K867" s="74"/>
      <c r="L867" s="74"/>
      <c r="O867" s="75"/>
    </row>
    <row r="868" ht="15.0" customHeight="1">
      <c r="C868" s="70"/>
      <c r="D868" s="71"/>
      <c r="E868" s="72"/>
      <c r="F868" s="71"/>
      <c r="G868" s="73"/>
      <c r="H868" s="73"/>
      <c r="I868" s="73"/>
      <c r="J868" s="73"/>
      <c r="K868" s="74"/>
      <c r="L868" s="74"/>
      <c r="O868" s="75"/>
    </row>
    <row r="869" ht="15.0" customHeight="1">
      <c r="C869" s="70"/>
      <c r="D869" s="71"/>
      <c r="E869" s="72"/>
      <c r="F869" s="71"/>
      <c r="G869" s="73"/>
      <c r="H869" s="73"/>
      <c r="I869" s="73"/>
      <c r="J869" s="73"/>
      <c r="K869" s="74"/>
      <c r="L869" s="74"/>
      <c r="O869" s="75"/>
    </row>
    <row r="870" ht="15.0" customHeight="1">
      <c r="C870" s="70"/>
      <c r="D870" s="71"/>
      <c r="E870" s="72"/>
      <c r="F870" s="71"/>
      <c r="G870" s="73"/>
      <c r="H870" s="73"/>
      <c r="I870" s="73"/>
      <c r="J870" s="73"/>
      <c r="K870" s="74"/>
      <c r="L870" s="74"/>
      <c r="O870" s="75"/>
    </row>
    <row r="871" ht="15.0" customHeight="1">
      <c r="C871" s="70"/>
      <c r="D871" s="71"/>
      <c r="E871" s="72"/>
      <c r="F871" s="71"/>
      <c r="G871" s="73"/>
      <c r="H871" s="73"/>
      <c r="I871" s="73"/>
      <c r="J871" s="73"/>
      <c r="K871" s="74"/>
      <c r="L871" s="74"/>
      <c r="O871" s="75"/>
    </row>
    <row r="872" ht="15.0" customHeight="1">
      <c r="C872" s="70"/>
      <c r="D872" s="71"/>
      <c r="E872" s="72"/>
      <c r="F872" s="71"/>
      <c r="G872" s="73"/>
      <c r="H872" s="73"/>
      <c r="I872" s="73"/>
      <c r="J872" s="73"/>
      <c r="K872" s="74"/>
      <c r="L872" s="74"/>
      <c r="O872" s="75"/>
    </row>
    <row r="873" ht="15.0" customHeight="1">
      <c r="C873" s="70"/>
      <c r="D873" s="71"/>
      <c r="E873" s="72"/>
      <c r="F873" s="71"/>
      <c r="G873" s="73"/>
      <c r="H873" s="73"/>
      <c r="I873" s="73"/>
      <c r="J873" s="73"/>
      <c r="K873" s="74"/>
      <c r="L873" s="74"/>
      <c r="O873" s="75"/>
    </row>
    <row r="874" ht="15.0" customHeight="1">
      <c r="C874" s="70"/>
      <c r="D874" s="71"/>
      <c r="E874" s="72"/>
      <c r="F874" s="71"/>
      <c r="G874" s="73"/>
      <c r="H874" s="73"/>
      <c r="I874" s="73"/>
      <c r="J874" s="73"/>
      <c r="K874" s="74"/>
      <c r="L874" s="74"/>
      <c r="O874" s="75"/>
    </row>
    <row r="875" ht="15.0" customHeight="1">
      <c r="C875" s="70"/>
      <c r="D875" s="71"/>
      <c r="E875" s="72"/>
      <c r="F875" s="71"/>
      <c r="G875" s="73"/>
      <c r="H875" s="73"/>
      <c r="I875" s="73"/>
      <c r="J875" s="73"/>
      <c r="K875" s="74"/>
      <c r="L875" s="74"/>
      <c r="O875" s="75"/>
    </row>
    <row r="876" ht="15.0" customHeight="1">
      <c r="C876" s="70"/>
      <c r="D876" s="71"/>
      <c r="E876" s="72"/>
      <c r="F876" s="71"/>
      <c r="G876" s="73"/>
      <c r="H876" s="73"/>
      <c r="I876" s="73"/>
      <c r="J876" s="73"/>
      <c r="K876" s="74"/>
      <c r="L876" s="74"/>
      <c r="O876" s="75"/>
    </row>
    <row r="877" ht="15.0" customHeight="1">
      <c r="C877" s="70"/>
      <c r="D877" s="71"/>
      <c r="E877" s="72"/>
      <c r="F877" s="71"/>
      <c r="G877" s="73"/>
      <c r="H877" s="73"/>
      <c r="I877" s="73"/>
      <c r="J877" s="73"/>
      <c r="K877" s="74"/>
      <c r="L877" s="74"/>
      <c r="O877" s="75"/>
    </row>
    <row r="878" ht="15.0" customHeight="1">
      <c r="C878" s="70"/>
      <c r="D878" s="71"/>
      <c r="E878" s="72"/>
      <c r="F878" s="71"/>
      <c r="G878" s="73"/>
      <c r="H878" s="73"/>
      <c r="I878" s="73"/>
      <c r="J878" s="73"/>
      <c r="K878" s="74"/>
      <c r="L878" s="74"/>
      <c r="O878" s="75"/>
    </row>
    <row r="879" ht="15.0" customHeight="1">
      <c r="C879" s="70"/>
      <c r="D879" s="71"/>
      <c r="E879" s="72"/>
      <c r="F879" s="71"/>
      <c r="G879" s="73"/>
      <c r="H879" s="73"/>
      <c r="I879" s="73"/>
      <c r="J879" s="73"/>
      <c r="K879" s="74"/>
      <c r="L879" s="74"/>
      <c r="O879" s="75"/>
    </row>
    <row r="880" ht="15.0" customHeight="1">
      <c r="C880" s="70"/>
      <c r="D880" s="71"/>
      <c r="E880" s="72"/>
      <c r="F880" s="71"/>
      <c r="G880" s="73"/>
      <c r="H880" s="73"/>
      <c r="I880" s="73"/>
      <c r="J880" s="73"/>
      <c r="K880" s="74"/>
      <c r="L880" s="74"/>
      <c r="O880" s="75"/>
    </row>
    <row r="881" ht="15.0" customHeight="1">
      <c r="C881" s="70"/>
      <c r="D881" s="71"/>
      <c r="E881" s="72"/>
      <c r="F881" s="71"/>
      <c r="G881" s="73"/>
      <c r="H881" s="73"/>
      <c r="I881" s="73"/>
      <c r="J881" s="73"/>
      <c r="K881" s="74"/>
      <c r="L881" s="74"/>
      <c r="O881" s="75"/>
    </row>
    <row r="882" ht="15.0" customHeight="1">
      <c r="C882" s="70"/>
      <c r="D882" s="71"/>
      <c r="E882" s="72"/>
      <c r="F882" s="71"/>
      <c r="G882" s="73"/>
      <c r="H882" s="73"/>
      <c r="I882" s="73"/>
      <c r="J882" s="73"/>
      <c r="K882" s="74"/>
      <c r="L882" s="74"/>
      <c r="O882" s="75"/>
    </row>
    <row r="883" ht="15.0" customHeight="1">
      <c r="C883" s="70"/>
      <c r="D883" s="71"/>
      <c r="E883" s="72"/>
      <c r="F883" s="71"/>
      <c r="G883" s="73"/>
      <c r="H883" s="73"/>
      <c r="I883" s="73"/>
      <c r="J883" s="73"/>
      <c r="K883" s="74"/>
      <c r="L883" s="74"/>
      <c r="O883" s="75"/>
    </row>
    <row r="884" ht="15.0" customHeight="1">
      <c r="C884" s="70"/>
      <c r="D884" s="71"/>
      <c r="E884" s="72"/>
      <c r="F884" s="71"/>
      <c r="G884" s="73"/>
      <c r="H884" s="73"/>
      <c r="I884" s="73"/>
      <c r="J884" s="73"/>
      <c r="K884" s="74"/>
      <c r="L884" s="74"/>
      <c r="O884" s="75"/>
    </row>
    <row r="885" ht="15.0" customHeight="1">
      <c r="C885" s="70"/>
      <c r="D885" s="71"/>
      <c r="E885" s="72"/>
      <c r="F885" s="71"/>
      <c r="G885" s="73"/>
      <c r="H885" s="73"/>
      <c r="I885" s="73"/>
      <c r="J885" s="73"/>
      <c r="K885" s="74"/>
      <c r="L885" s="74"/>
      <c r="O885" s="75"/>
    </row>
    <row r="886" ht="15.0" customHeight="1">
      <c r="C886" s="70"/>
      <c r="D886" s="71"/>
      <c r="E886" s="72"/>
      <c r="F886" s="71"/>
      <c r="G886" s="73"/>
      <c r="H886" s="73"/>
      <c r="I886" s="73"/>
      <c r="J886" s="73"/>
      <c r="K886" s="74"/>
      <c r="L886" s="74"/>
      <c r="O886" s="75"/>
    </row>
    <row r="887" ht="15.0" customHeight="1">
      <c r="C887" s="70"/>
      <c r="D887" s="71"/>
      <c r="E887" s="72"/>
      <c r="F887" s="71"/>
      <c r="G887" s="73"/>
      <c r="H887" s="73"/>
      <c r="I887" s="73"/>
      <c r="J887" s="73"/>
      <c r="K887" s="74"/>
      <c r="L887" s="74"/>
      <c r="O887" s="75"/>
    </row>
    <row r="888" ht="15.0" customHeight="1">
      <c r="C888" s="70"/>
      <c r="D888" s="71"/>
      <c r="E888" s="72"/>
      <c r="F888" s="71"/>
      <c r="G888" s="73"/>
      <c r="H888" s="73"/>
      <c r="I888" s="73"/>
      <c r="J888" s="73"/>
      <c r="K888" s="74"/>
      <c r="L888" s="74"/>
      <c r="O888" s="75"/>
    </row>
    <row r="889" ht="15.0" customHeight="1">
      <c r="C889" s="70"/>
      <c r="D889" s="71"/>
      <c r="E889" s="72"/>
      <c r="F889" s="71"/>
      <c r="G889" s="73"/>
      <c r="H889" s="73"/>
      <c r="I889" s="73"/>
      <c r="J889" s="73"/>
      <c r="K889" s="74"/>
      <c r="L889" s="74"/>
      <c r="O889" s="75"/>
    </row>
    <row r="890" ht="15.0" customHeight="1">
      <c r="C890" s="70"/>
      <c r="D890" s="71"/>
      <c r="E890" s="72"/>
      <c r="F890" s="71"/>
      <c r="G890" s="73"/>
      <c r="H890" s="73"/>
      <c r="I890" s="73"/>
      <c r="J890" s="73"/>
      <c r="K890" s="74"/>
      <c r="L890" s="74"/>
      <c r="O890" s="75"/>
    </row>
    <row r="891" ht="15.0" customHeight="1">
      <c r="C891" s="70"/>
      <c r="D891" s="71"/>
      <c r="E891" s="72"/>
      <c r="F891" s="71"/>
      <c r="G891" s="73"/>
      <c r="H891" s="73"/>
      <c r="I891" s="73"/>
      <c r="J891" s="73"/>
      <c r="K891" s="74"/>
      <c r="L891" s="74"/>
      <c r="O891" s="75"/>
    </row>
    <row r="892" ht="15.0" customHeight="1">
      <c r="C892" s="70"/>
      <c r="D892" s="71"/>
      <c r="E892" s="72"/>
      <c r="F892" s="71"/>
      <c r="G892" s="73"/>
      <c r="H892" s="73"/>
      <c r="I892" s="73"/>
      <c r="J892" s="73"/>
      <c r="K892" s="74"/>
      <c r="L892" s="74"/>
      <c r="O892" s="75"/>
    </row>
    <row r="893" ht="15.0" customHeight="1">
      <c r="C893" s="70"/>
      <c r="D893" s="71"/>
      <c r="E893" s="72"/>
      <c r="F893" s="71"/>
      <c r="G893" s="73"/>
      <c r="H893" s="73"/>
      <c r="I893" s="73"/>
      <c r="J893" s="73"/>
      <c r="K893" s="74"/>
      <c r="L893" s="74"/>
      <c r="O893" s="75"/>
    </row>
    <row r="894" ht="15.0" customHeight="1">
      <c r="C894" s="70"/>
      <c r="D894" s="71"/>
      <c r="E894" s="72"/>
      <c r="F894" s="71"/>
      <c r="G894" s="73"/>
      <c r="H894" s="73"/>
      <c r="I894" s="73"/>
      <c r="J894" s="73"/>
      <c r="K894" s="74"/>
      <c r="L894" s="74"/>
      <c r="O894" s="75"/>
    </row>
    <row r="895" ht="15.0" customHeight="1">
      <c r="C895" s="70"/>
      <c r="D895" s="71"/>
      <c r="E895" s="72"/>
      <c r="F895" s="71"/>
      <c r="G895" s="73"/>
      <c r="H895" s="73"/>
      <c r="I895" s="73"/>
      <c r="J895" s="73"/>
      <c r="K895" s="74"/>
      <c r="L895" s="74"/>
      <c r="O895" s="75"/>
    </row>
    <row r="896" ht="15.0" customHeight="1">
      <c r="C896" s="70"/>
      <c r="D896" s="71"/>
      <c r="E896" s="72"/>
      <c r="F896" s="71"/>
      <c r="G896" s="73"/>
      <c r="H896" s="73"/>
      <c r="I896" s="73"/>
      <c r="J896" s="73"/>
      <c r="K896" s="74"/>
      <c r="L896" s="74"/>
      <c r="O896" s="75"/>
    </row>
    <row r="897" ht="15.0" customHeight="1">
      <c r="C897" s="70"/>
      <c r="D897" s="71"/>
      <c r="E897" s="72"/>
      <c r="F897" s="71"/>
      <c r="G897" s="73"/>
      <c r="H897" s="73"/>
      <c r="I897" s="73"/>
      <c r="J897" s="73"/>
      <c r="K897" s="74"/>
      <c r="L897" s="74"/>
      <c r="O897" s="75"/>
    </row>
    <row r="898" ht="15.0" customHeight="1">
      <c r="C898" s="70"/>
      <c r="D898" s="71"/>
      <c r="E898" s="72"/>
      <c r="F898" s="71"/>
      <c r="G898" s="73"/>
      <c r="H898" s="73"/>
      <c r="I898" s="73"/>
      <c r="J898" s="73"/>
      <c r="K898" s="74"/>
      <c r="L898" s="74"/>
      <c r="O898" s="75"/>
    </row>
    <row r="899" ht="15.0" customHeight="1">
      <c r="C899" s="70"/>
      <c r="D899" s="71"/>
      <c r="E899" s="72"/>
      <c r="F899" s="71"/>
      <c r="G899" s="73"/>
      <c r="H899" s="73"/>
      <c r="I899" s="73"/>
      <c r="J899" s="73"/>
      <c r="K899" s="74"/>
      <c r="L899" s="74"/>
      <c r="O899" s="75"/>
    </row>
    <row r="900" ht="15.0" customHeight="1">
      <c r="C900" s="70"/>
      <c r="D900" s="71"/>
      <c r="E900" s="72"/>
      <c r="F900" s="71"/>
      <c r="G900" s="73"/>
      <c r="H900" s="73"/>
      <c r="I900" s="73"/>
      <c r="J900" s="73"/>
      <c r="K900" s="74"/>
      <c r="L900" s="74"/>
      <c r="O900" s="75"/>
    </row>
    <row r="901" ht="15.0" customHeight="1">
      <c r="C901" s="70"/>
      <c r="D901" s="71"/>
      <c r="E901" s="72"/>
      <c r="F901" s="71"/>
      <c r="G901" s="73"/>
      <c r="H901" s="73"/>
      <c r="I901" s="73"/>
      <c r="J901" s="73"/>
      <c r="K901" s="74"/>
      <c r="L901" s="74"/>
      <c r="O901" s="75"/>
    </row>
    <row r="902" ht="15.0" customHeight="1">
      <c r="C902" s="70"/>
      <c r="D902" s="71"/>
      <c r="E902" s="72"/>
      <c r="F902" s="71"/>
      <c r="G902" s="73"/>
      <c r="H902" s="73"/>
      <c r="I902" s="73"/>
      <c r="J902" s="73"/>
      <c r="K902" s="74"/>
      <c r="L902" s="74"/>
      <c r="O902" s="75"/>
    </row>
    <row r="903" ht="15.0" customHeight="1">
      <c r="C903" s="70"/>
      <c r="D903" s="71"/>
      <c r="E903" s="72"/>
      <c r="F903" s="71"/>
      <c r="G903" s="73"/>
      <c r="H903" s="73"/>
      <c r="I903" s="73"/>
      <c r="J903" s="73"/>
      <c r="K903" s="74"/>
      <c r="L903" s="74"/>
      <c r="O903" s="75"/>
    </row>
    <row r="904" ht="15.0" customHeight="1">
      <c r="C904" s="70"/>
      <c r="D904" s="71"/>
      <c r="E904" s="72"/>
      <c r="F904" s="71"/>
      <c r="G904" s="73"/>
      <c r="H904" s="73"/>
      <c r="I904" s="73"/>
      <c r="J904" s="73"/>
      <c r="K904" s="74"/>
      <c r="L904" s="74"/>
      <c r="O904" s="75"/>
    </row>
    <row r="905" ht="15.0" customHeight="1">
      <c r="C905" s="70"/>
      <c r="D905" s="71"/>
      <c r="E905" s="72"/>
      <c r="F905" s="71"/>
      <c r="G905" s="73"/>
      <c r="H905" s="73"/>
      <c r="I905" s="73"/>
      <c r="J905" s="73"/>
      <c r="K905" s="74"/>
      <c r="L905" s="74"/>
      <c r="O905" s="75"/>
    </row>
    <row r="906" ht="15.0" customHeight="1">
      <c r="C906" s="70"/>
      <c r="D906" s="71"/>
      <c r="E906" s="72"/>
      <c r="F906" s="71"/>
      <c r="G906" s="73"/>
      <c r="H906" s="73"/>
      <c r="I906" s="73"/>
      <c r="J906" s="73"/>
      <c r="K906" s="74"/>
      <c r="L906" s="74"/>
      <c r="O906" s="75"/>
    </row>
    <row r="907" ht="15.0" customHeight="1">
      <c r="C907" s="70"/>
      <c r="D907" s="71"/>
      <c r="E907" s="72"/>
      <c r="F907" s="71"/>
      <c r="G907" s="73"/>
      <c r="H907" s="73"/>
      <c r="I907" s="73"/>
      <c r="J907" s="73"/>
      <c r="K907" s="74"/>
      <c r="L907" s="74"/>
      <c r="O907" s="75"/>
    </row>
    <row r="908" ht="15.0" customHeight="1">
      <c r="C908" s="70"/>
      <c r="D908" s="71"/>
      <c r="E908" s="72"/>
      <c r="F908" s="71"/>
      <c r="G908" s="73"/>
      <c r="H908" s="73"/>
      <c r="I908" s="73"/>
      <c r="J908" s="73"/>
      <c r="K908" s="74"/>
      <c r="L908" s="74"/>
      <c r="O908" s="75"/>
    </row>
    <row r="909" ht="15.0" customHeight="1">
      <c r="C909" s="70"/>
      <c r="D909" s="71"/>
      <c r="E909" s="72"/>
      <c r="F909" s="71"/>
      <c r="G909" s="73"/>
      <c r="H909" s="73"/>
      <c r="I909" s="73"/>
      <c r="J909" s="73"/>
      <c r="K909" s="74"/>
      <c r="L909" s="74"/>
      <c r="O909" s="75"/>
    </row>
    <row r="910" ht="15.0" customHeight="1">
      <c r="C910" s="70"/>
      <c r="D910" s="71"/>
      <c r="E910" s="72"/>
      <c r="F910" s="71"/>
      <c r="G910" s="73"/>
      <c r="H910" s="73"/>
      <c r="I910" s="73"/>
      <c r="J910" s="73"/>
      <c r="K910" s="74"/>
      <c r="L910" s="74"/>
      <c r="O910" s="75"/>
    </row>
    <row r="911" ht="15.0" customHeight="1">
      <c r="C911" s="70"/>
      <c r="D911" s="71"/>
      <c r="E911" s="72"/>
      <c r="F911" s="71"/>
      <c r="G911" s="73"/>
      <c r="H911" s="73"/>
      <c r="I911" s="73"/>
      <c r="J911" s="73"/>
      <c r="K911" s="74"/>
      <c r="L911" s="74"/>
      <c r="O911" s="75"/>
    </row>
    <row r="912" ht="15.0" customHeight="1">
      <c r="C912" s="70"/>
      <c r="D912" s="71"/>
      <c r="E912" s="72"/>
      <c r="F912" s="71"/>
      <c r="G912" s="73"/>
      <c r="H912" s="73"/>
      <c r="I912" s="73"/>
      <c r="J912" s="73"/>
      <c r="K912" s="74"/>
      <c r="L912" s="74"/>
      <c r="O912" s="75"/>
    </row>
    <row r="913" ht="15.0" customHeight="1">
      <c r="C913" s="70"/>
      <c r="D913" s="71"/>
      <c r="E913" s="72"/>
      <c r="F913" s="71"/>
      <c r="G913" s="73"/>
      <c r="H913" s="73"/>
      <c r="I913" s="73"/>
      <c r="J913" s="73"/>
      <c r="K913" s="74"/>
      <c r="L913" s="74"/>
      <c r="O913" s="75"/>
    </row>
    <row r="914" ht="15.0" customHeight="1">
      <c r="C914" s="70"/>
      <c r="D914" s="71"/>
      <c r="E914" s="72"/>
      <c r="F914" s="71"/>
      <c r="G914" s="73"/>
      <c r="H914" s="73"/>
      <c r="I914" s="73"/>
      <c r="J914" s="73"/>
      <c r="K914" s="74"/>
      <c r="L914" s="74"/>
      <c r="O914" s="75"/>
    </row>
    <row r="915" ht="15.0" customHeight="1">
      <c r="C915" s="70"/>
      <c r="D915" s="71"/>
      <c r="E915" s="72"/>
      <c r="F915" s="71"/>
      <c r="G915" s="73"/>
      <c r="H915" s="73"/>
      <c r="I915" s="73"/>
      <c r="J915" s="73"/>
      <c r="K915" s="74"/>
      <c r="L915" s="74"/>
      <c r="O915" s="75"/>
    </row>
    <row r="916" ht="15.0" customHeight="1">
      <c r="C916" s="70"/>
      <c r="D916" s="71"/>
      <c r="E916" s="72"/>
      <c r="F916" s="71"/>
      <c r="G916" s="73"/>
      <c r="H916" s="73"/>
      <c r="I916" s="73"/>
      <c r="J916" s="73"/>
      <c r="K916" s="74"/>
      <c r="L916" s="74"/>
      <c r="O916" s="75"/>
    </row>
    <row r="917" ht="15.0" customHeight="1">
      <c r="C917" s="70"/>
      <c r="D917" s="71"/>
      <c r="E917" s="72"/>
      <c r="F917" s="71"/>
      <c r="G917" s="73"/>
      <c r="H917" s="73"/>
      <c r="I917" s="73"/>
      <c r="J917" s="73"/>
      <c r="K917" s="74"/>
      <c r="L917" s="74"/>
      <c r="O917" s="75"/>
    </row>
    <row r="918" ht="15.0" customHeight="1">
      <c r="C918" s="70"/>
      <c r="D918" s="71"/>
      <c r="E918" s="72"/>
      <c r="F918" s="71"/>
      <c r="G918" s="73"/>
      <c r="H918" s="73"/>
      <c r="I918" s="73"/>
      <c r="J918" s="73"/>
      <c r="K918" s="74"/>
      <c r="L918" s="74"/>
      <c r="O918" s="75"/>
    </row>
    <row r="919" ht="15.0" customHeight="1">
      <c r="C919" s="70"/>
      <c r="D919" s="71"/>
      <c r="E919" s="72"/>
      <c r="F919" s="71"/>
      <c r="G919" s="73"/>
      <c r="H919" s="73"/>
      <c r="I919" s="73"/>
      <c r="J919" s="73"/>
      <c r="K919" s="74"/>
      <c r="L919" s="74"/>
      <c r="O919" s="75"/>
    </row>
    <row r="920" ht="15.0" customHeight="1">
      <c r="C920" s="70"/>
      <c r="D920" s="71"/>
      <c r="E920" s="72"/>
      <c r="F920" s="71"/>
      <c r="G920" s="73"/>
      <c r="H920" s="73"/>
      <c r="I920" s="73"/>
      <c r="J920" s="73"/>
      <c r="K920" s="74"/>
      <c r="L920" s="74"/>
      <c r="O920" s="75"/>
    </row>
    <row r="921" ht="15.0" customHeight="1">
      <c r="C921" s="70"/>
      <c r="D921" s="71"/>
      <c r="E921" s="72"/>
      <c r="F921" s="71"/>
      <c r="G921" s="73"/>
      <c r="H921" s="73"/>
      <c r="I921" s="73"/>
      <c r="J921" s="73"/>
      <c r="K921" s="74"/>
      <c r="L921" s="74"/>
      <c r="O921" s="75"/>
    </row>
    <row r="922" ht="15.0" customHeight="1">
      <c r="C922" s="70"/>
      <c r="D922" s="71"/>
      <c r="E922" s="72"/>
      <c r="F922" s="71"/>
      <c r="G922" s="73"/>
      <c r="H922" s="73"/>
      <c r="I922" s="73"/>
      <c r="J922" s="73"/>
      <c r="K922" s="74"/>
      <c r="L922" s="74"/>
      <c r="O922" s="75"/>
    </row>
    <row r="923" ht="15.0" customHeight="1">
      <c r="C923" s="70"/>
      <c r="D923" s="71"/>
      <c r="E923" s="72"/>
      <c r="F923" s="71"/>
      <c r="G923" s="73"/>
      <c r="H923" s="73"/>
      <c r="I923" s="73"/>
      <c r="J923" s="73"/>
      <c r="K923" s="74"/>
      <c r="L923" s="74"/>
      <c r="O923" s="75"/>
    </row>
    <row r="924" ht="15.0" customHeight="1">
      <c r="C924" s="70"/>
      <c r="D924" s="71"/>
      <c r="E924" s="72"/>
      <c r="F924" s="71"/>
      <c r="G924" s="73"/>
      <c r="H924" s="73"/>
      <c r="I924" s="73"/>
      <c r="J924" s="73"/>
      <c r="K924" s="74"/>
      <c r="L924" s="74"/>
      <c r="O924" s="75"/>
    </row>
    <row r="925" ht="15.0" customHeight="1">
      <c r="C925" s="70"/>
      <c r="D925" s="71"/>
      <c r="E925" s="72"/>
      <c r="F925" s="71"/>
      <c r="G925" s="73"/>
      <c r="H925" s="73"/>
      <c r="I925" s="73"/>
      <c r="J925" s="73"/>
      <c r="K925" s="74"/>
      <c r="L925" s="74"/>
      <c r="O925" s="75"/>
    </row>
    <row r="926" ht="15.0" customHeight="1">
      <c r="C926" s="70"/>
      <c r="D926" s="71"/>
      <c r="E926" s="72"/>
      <c r="F926" s="71"/>
      <c r="G926" s="73"/>
      <c r="H926" s="73"/>
      <c r="I926" s="73"/>
      <c r="J926" s="73"/>
      <c r="K926" s="74"/>
      <c r="L926" s="74"/>
      <c r="O926" s="75"/>
    </row>
    <row r="927" ht="15.0" customHeight="1">
      <c r="C927" s="70"/>
      <c r="D927" s="71"/>
      <c r="E927" s="72"/>
      <c r="F927" s="71"/>
      <c r="G927" s="73"/>
      <c r="H927" s="73"/>
      <c r="I927" s="73"/>
      <c r="J927" s="73"/>
      <c r="K927" s="74"/>
      <c r="L927" s="74"/>
      <c r="O927" s="75"/>
    </row>
    <row r="928" ht="15.0" customHeight="1">
      <c r="C928" s="70"/>
      <c r="D928" s="71"/>
      <c r="E928" s="72"/>
      <c r="F928" s="71"/>
      <c r="G928" s="73"/>
      <c r="H928" s="73"/>
      <c r="I928" s="73"/>
      <c r="J928" s="73"/>
      <c r="K928" s="74"/>
      <c r="L928" s="74"/>
      <c r="O928" s="75"/>
    </row>
    <row r="929" ht="15.0" customHeight="1">
      <c r="C929" s="70"/>
      <c r="D929" s="71"/>
      <c r="E929" s="72"/>
      <c r="F929" s="71"/>
      <c r="G929" s="73"/>
      <c r="H929" s="73"/>
      <c r="I929" s="73"/>
      <c r="J929" s="73"/>
      <c r="K929" s="74"/>
      <c r="L929" s="74"/>
      <c r="O929" s="75"/>
    </row>
    <row r="930" ht="15.0" customHeight="1">
      <c r="C930" s="70"/>
      <c r="D930" s="71"/>
      <c r="E930" s="72"/>
      <c r="F930" s="71"/>
      <c r="G930" s="73"/>
      <c r="H930" s="73"/>
      <c r="I930" s="73"/>
      <c r="J930" s="73"/>
      <c r="K930" s="74"/>
      <c r="L930" s="74"/>
      <c r="O930" s="75"/>
    </row>
    <row r="931" ht="15.0" customHeight="1">
      <c r="C931" s="70"/>
      <c r="D931" s="71"/>
      <c r="E931" s="72"/>
      <c r="F931" s="71"/>
      <c r="G931" s="73"/>
      <c r="H931" s="73"/>
      <c r="I931" s="73"/>
      <c r="J931" s="73"/>
      <c r="K931" s="74"/>
      <c r="L931" s="74"/>
      <c r="O931" s="75"/>
    </row>
    <row r="932" ht="15.0" customHeight="1">
      <c r="C932" s="70"/>
      <c r="D932" s="71"/>
      <c r="E932" s="72"/>
      <c r="F932" s="71"/>
      <c r="G932" s="73"/>
      <c r="H932" s="73"/>
      <c r="I932" s="73"/>
      <c r="J932" s="73"/>
      <c r="K932" s="74"/>
      <c r="L932" s="74"/>
      <c r="O932" s="75"/>
    </row>
    <row r="933" ht="15.0" customHeight="1">
      <c r="C933" s="70"/>
      <c r="D933" s="71"/>
      <c r="E933" s="72"/>
      <c r="F933" s="71"/>
      <c r="G933" s="73"/>
      <c r="H933" s="73"/>
      <c r="I933" s="73"/>
      <c r="J933" s="73"/>
      <c r="K933" s="74"/>
      <c r="L933" s="74"/>
      <c r="O933" s="75"/>
    </row>
    <row r="934" ht="15.0" customHeight="1">
      <c r="C934" s="70"/>
      <c r="D934" s="71"/>
      <c r="E934" s="72"/>
      <c r="F934" s="71"/>
      <c r="G934" s="73"/>
      <c r="H934" s="73"/>
      <c r="I934" s="73"/>
      <c r="J934" s="73"/>
      <c r="K934" s="74"/>
      <c r="L934" s="74"/>
      <c r="O934" s="75"/>
    </row>
    <row r="935" ht="15.0" customHeight="1">
      <c r="C935" s="70"/>
      <c r="D935" s="71"/>
      <c r="E935" s="72"/>
      <c r="F935" s="71"/>
      <c r="G935" s="73"/>
      <c r="H935" s="73"/>
      <c r="I935" s="73"/>
      <c r="J935" s="73"/>
      <c r="K935" s="74"/>
      <c r="L935" s="74"/>
      <c r="O935" s="75"/>
    </row>
    <row r="936" ht="15.0" customHeight="1">
      <c r="C936" s="70"/>
      <c r="D936" s="71"/>
      <c r="E936" s="72"/>
      <c r="F936" s="71"/>
      <c r="G936" s="73"/>
      <c r="H936" s="73"/>
      <c r="I936" s="73"/>
      <c r="J936" s="73"/>
      <c r="K936" s="74"/>
      <c r="L936" s="74"/>
      <c r="O936" s="75"/>
    </row>
    <row r="937" ht="15.0" customHeight="1">
      <c r="C937" s="70"/>
      <c r="D937" s="71"/>
      <c r="E937" s="72"/>
      <c r="F937" s="71"/>
      <c r="G937" s="73"/>
      <c r="H937" s="73"/>
      <c r="I937" s="73"/>
      <c r="J937" s="73"/>
      <c r="K937" s="74"/>
      <c r="L937" s="74"/>
      <c r="O937" s="75"/>
    </row>
    <row r="938" ht="15.0" customHeight="1">
      <c r="C938" s="70"/>
      <c r="D938" s="71"/>
      <c r="E938" s="72"/>
      <c r="F938" s="71"/>
      <c r="G938" s="73"/>
      <c r="H938" s="73"/>
      <c r="I938" s="73"/>
      <c r="J938" s="73"/>
      <c r="K938" s="74"/>
      <c r="L938" s="74"/>
      <c r="O938" s="75"/>
    </row>
    <row r="939" ht="15.0" customHeight="1">
      <c r="C939" s="70"/>
      <c r="D939" s="71"/>
      <c r="E939" s="72"/>
      <c r="F939" s="71"/>
      <c r="G939" s="73"/>
      <c r="H939" s="73"/>
      <c r="I939" s="73"/>
      <c r="J939" s="73"/>
      <c r="K939" s="74"/>
      <c r="L939" s="74"/>
      <c r="O939" s="75"/>
    </row>
    <row r="940" ht="15.0" customHeight="1">
      <c r="C940" s="70"/>
      <c r="D940" s="71"/>
      <c r="E940" s="72"/>
      <c r="F940" s="71"/>
      <c r="G940" s="73"/>
      <c r="H940" s="73"/>
      <c r="I940" s="73"/>
      <c r="J940" s="73"/>
      <c r="K940" s="74"/>
      <c r="L940" s="74"/>
      <c r="O940" s="75"/>
    </row>
    <row r="941" ht="15.0" customHeight="1">
      <c r="C941" s="70"/>
      <c r="D941" s="71"/>
      <c r="E941" s="72"/>
      <c r="F941" s="71"/>
      <c r="G941" s="73"/>
      <c r="H941" s="73"/>
      <c r="I941" s="73"/>
      <c r="J941" s="73"/>
      <c r="K941" s="74"/>
      <c r="L941" s="74"/>
      <c r="O941" s="75"/>
    </row>
    <row r="942" ht="15.0" customHeight="1">
      <c r="C942" s="70"/>
      <c r="D942" s="71"/>
      <c r="E942" s="72"/>
      <c r="F942" s="71"/>
      <c r="G942" s="73"/>
      <c r="H942" s="73"/>
      <c r="I942" s="73"/>
      <c r="J942" s="73"/>
      <c r="K942" s="74"/>
      <c r="L942" s="74"/>
      <c r="O942" s="75"/>
    </row>
    <row r="943" ht="15.0" customHeight="1">
      <c r="C943" s="70"/>
      <c r="D943" s="71"/>
      <c r="E943" s="72"/>
      <c r="F943" s="71"/>
      <c r="G943" s="73"/>
      <c r="H943" s="73"/>
      <c r="I943" s="73"/>
      <c r="J943" s="73"/>
      <c r="K943" s="74"/>
      <c r="L943" s="74"/>
      <c r="O943" s="75"/>
    </row>
    <row r="944" ht="15.0" customHeight="1">
      <c r="C944" s="70"/>
      <c r="D944" s="71"/>
      <c r="E944" s="72"/>
      <c r="F944" s="71"/>
      <c r="G944" s="73"/>
      <c r="H944" s="73"/>
      <c r="I944" s="73"/>
      <c r="J944" s="73"/>
      <c r="K944" s="74"/>
      <c r="L944" s="74"/>
      <c r="O944" s="75"/>
    </row>
    <row r="945" ht="15.0" customHeight="1">
      <c r="C945" s="70"/>
      <c r="D945" s="71"/>
      <c r="E945" s="72"/>
      <c r="F945" s="71"/>
      <c r="G945" s="73"/>
      <c r="H945" s="73"/>
      <c r="I945" s="73"/>
      <c r="J945" s="73"/>
      <c r="K945" s="74"/>
      <c r="L945" s="74"/>
      <c r="O945" s="75"/>
    </row>
    <row r="946" ht="15.0" customHeight="1">
      <c r="C946" s="70"/>
      <c r="D946" s="71"/>
      <c r="E946" s="72"/>
      <c r="F946" s="71"/>
      <c r="G946" s="73"/>
      <c r="H946" s="73"/>
      <c r="I946" s="73"/>
      <c r="J946" s="73"/>
      <c r="K946" s="74"/>
      <c r="L946" s="74"/>
      <c r="O946" s="75"/>
    </row>
    <row r="947" ht="15.0" customHeight="1">
      <c r="C947" s="70"/>
      <c r="D947" s="71"/>
      <c r="E947" s="72"/>
      <c r="F947" s="71"/>
      <c r="G947" s="73"/>
      <c r="H947" s="73"/>
      <c r="I947" s="73"/>
      <c r="J947" s="73"/>
      <c r="K947" s="74"/>
      <c r="L947" s="74"/>
      <c r="O947" s="75"/>
    </row>
    <row r="948" ht="15.0" customHeight="1">
      <c r="C948" s="70"/>
      <c r="D948" s="71"/>
      <c r="E948" s="72"/>
      <c r="F948" s="71"/>
      <c r="G948" s="73"/>
      <c r="H948" s="73"/>
      <c r="I948" s="73"/>
      <c r="J948" s="73"/>
      <c r="K948" s="74"/>
      <c r="L948" s="74"/>
      <c r="O948" s="75"/>
    </row>
    <row r="949" ht="15.0" customHeight="1">
      <c r="C949" s="70"/>
      <c r="D949" s="71"/>
      <c r="E949" s="72"/>
      <c r="F949" s="71"/>
      <c r="G949" s="73"/>
      <c r="H949" s="73"/>
      <c r="I949" s="73"/>
      <c r="J949" s="73"/>
      <c r="K949" s="74"/>
      <c r="L949" s="74"/>
      <c r="O949" s="75"/>
    </row>
    <row r="950" ht="15.0" customHeight="1">
      <c r="C950" s="70"/>
      <c r="D950" s="71"/>
      <c r="E950" s="72"/>
      <c r="F950" s="71"/>
      <c r="G950" s="73"/>
      <c r="H950" s="73"/>
      <c r="I950" s="73"/>
      <c r="J950" s="73"/>
      <c r="K950" s="74"/>
      <c r="L950" s="74"/>
      <c r="O950" s="75"/>
    </row>
    <row r="951" ht="15.0" customHeight="1">
      <c r="C951" s="70"/>
      <c r="D951" s="71"/>
      <c r="E951" s="72"/>
      <c r="F951" s="71"/>
      <c r="G951" s="73"/>
      <c r="H951" s="73"/>
      <c r="I951" s="73"/>
      <c r="J951" s="73"/>
      <c r="K951" s="74"/>
      <c r="L951" s="74"/>
      <c r="O951" s="75"/>
    </row>
    <row r="952" ht="15.0" customHeight="1">
      <c r="C952" s="70"/>
      <c r="D952" s="71"/>
      <c r="E952" s="72"/>
      <c r="F952" s="71"/>
      <c r="G952" s="73"/>
      <c r="H952" s="73"/>
      <c r="I952" s="73"/>
      <c r="J952" s="73"/>
      <c r="K952" s="74"/>
      <c r="L952" s="74"/>
      <c r="O952" s="75"/>
    </row>
    <row r="953" ht="15.0" customHeight="1">
      <c r="C953" s="70"/>
      <c r="D953" s="71"/>
      <c r="E953" s="72"/>
      <c r="F953" s="71"/>
      <c r="G953" s="73"/>
      <c r="H953" s="73"/>
      <c r="I953" s="73"/>
      <c r="J953" s="73"/>
      <c r="K953" s="74"/>
      <c r="L953" s="74"/>
      <c r="O953" s="75"/>
    </row>
    <row r="954" ht="15.0" customHeight="1">
      <c r="C954" s="70"/>
      <c r="D954" s="71"/>
      <c r="E954" s="72"/>
      <c r="F954" s="71"/>
      <c r="G954" s="73"/>
      <c r="H954" s="73"/>
      <c r="I954" s="73"/>
      <c r="J954" s="73"/>
      <c r="K954" s="74"/>
      <c r="L954" s="74"/>
      <c r="O954" s="75"/>
    </row>
    <row r="955" ht="15.0" customHeight="1">
      <c r="C955" s="70"/>
      <c r="D955" s="71"/>
      <c r="E955" s="72"/>
      <c r="F955" s="71"/>
      <c r="G955" s="73"/>
      <c r="H955" s="73"/>
      <c r="I955" s="73"/>
      <c r="J955" s="73"/>
      <c r="K955" s="74"/>
      <c r="L955" s="74"/>
      <c r="O955" s="75"/>
    </row>
    <row r="956" ht="15.0" customHeight="1">
      <c r="C956" s="70"/>
      <c r="D956" s="71"/>
      <c r="E956" s="72"/>
      <c r="F956" s="71"/>
      <c r="G956" s="73"/>
      <c r="H956" s="73"/>
      <c r="I956" s="73"/>
      <c r="J956" s="73"/>
      <c r="K956" s="74"/>
      <c r="L956" s="74"/>
      <c r="O956" s="75"/>
    </row>
    <row r="957" ht="15.0" customHeight="1">
      <c r="C957" s="70"/>
      <c r="D957" s="71"/>
      <c r="E957" s="72"/>
      <c r="F957" s="71"/>
      <c r="G957" s="73"/>
      <c r="H957" s="73"/>
      <c r="I957" s="73"/>
      <c r="J957" s="73"/>
      <c r="K957" s="74"/>
      <c r="L957" s="74"/>
      <c r="O957" s="75"/>
    </row>
    <row r="958" ht="15.0" customHeight="1">
      <c r="C958" s="70"/>
      <c r="D958" s="71"/>
      <c r="E958" s="72"/>
      <c r="F958" s="71"/>
      <c r="G958" s="73"/>
      <c r="H958" s="73"/>
      <c r="I958" s="73"/>
      <c r="J958" s="73"/>
      <c r="K958" s="74"/>
      <c r="L958" s="74"/>
      <c r="O958" s="75"/>
    </row>
    <row r="959" ht="15.0" customHeight="1">
      <c r="C959" s="70"/>
      <c r="D959" s="71"/>
      <c r="E959" s="72"/>
      <c r="F959" s="71"/>
      <c r="G959" s="73"/>
      <c r="H959" s="73"/>
      <c r="I959" s="73"/>
      <c r="J959" s="73"/>
      <c r="K959" s="74"/>
      <c r="L959" s="74"/>
      <c r="O959" s="75"/>
    </row>
    <row r="960" ht="15.0" customHeight="1">
      <c r="C960" s="70"/>
      <c r="D960" s="71"/>
      <c r="E960" s="72"/>
      <c r="F960" s="71"/>
      <c r="G960" s="73"/>
      <c r="H960" s="73"/>
      <c r="I960" s="73"/>
      <c r="J960" s="73"/>
      <c r="K960" s="74"/>
      <c r="L960" s="74"/>
      <c r="O960" s="75"/>
    </row>
    <row r="961" ht="15.0" customHeight="1">
      <c r="C961" s="70"/>
      <c r="D961" s="71"/>
      <c r="E961" s="72"/>
      <c r="F961" s="71"/>
      <c r="G961" s="73"/>
      <c r="H961" s="73"/>
      <c r="I961" s="73"/>
      <c r="J961" s="73"/>
      <c r="K961" s="74"/>
      <c r="L961" s="74"/>
      <c r="O961" s="75"/>
    </row>
    <row r="962" ht="15.0" customHeight="1">
      <c r="C962" s="70"/>
      <c r="D962" s="71"/>
      <c r="E962" s="72"/>
      <c r="F962" s="71"/>
      <c r="G962" s="73"/>
      <c r="H962" s="73"/>
      <c r="I962" s="73"/>
      <c r="J962" s="73"/>
      <c r="K962" s="74"/>
      <c r="L962" s="74"/>
      <c r="O962" s="75"/>
    </row>
    <row r="963" ht="15.0" customHeight="1">
      <c r="C963" s="70"/>
      <c r="D963" s="71"/>
      <c r="E963" s="72"/>
      <c r="F963" s="71"/>
      <c r="G963" s="73"/>
      <c r="H963" s="73"/>
      <c r="I963" s="73"/>
      <c r="J963" s="73"/>
      <c r="K963" s="74"/>
      <c r="L963" s="74"/>
      <c r="O963" s="75"/>
    </row>
    <row r="964" ht="15.0" customHeight="1">
      <c r="C964" s="70"/>
      <c r="D964" s="71"/>
      <c r="E964" s="72"/>
      <c r="F964" s="71"/>
      <c r="G964" s="73"/>
      <c r="H964" s="73"/>
      <c r="I964" s="73"/>
      <c r="J964" s="73"/>
      <c r="K964" s="74"/>
      <c r="L964" s="74"/>
      <c r="O964" s="75"/>
    </row>
    <row r="965" ht="15.0" customHeight="1">
      <c r="C965" s="70"/>
      <c r="D965" s="71"/>
      <c r="E965" s="72"/>
      <c r="F965" s="71"/>
      <c r="G965" s="73"/>
      <c r="H965" s="73"/>
      <c r="I965" s="73"/>
      <c r="J965" s="73"/>
      <c r="K965" s="74"/>
      <c r="L965" s="74"/>
      <c r="O965" s="75"/>
    </row>
    <row r="966" ht="15.0" customHeight="1">
      <c r="C966" s="70"/>
      <c r="D966" s="71"/>
      <c r="E966" s="72"/>
      <c r="F966" s="71"/>
      <c r="G966" s="73"/>
      <c r="H966" s="73"/>
      <c r="I966" s="73"/>
      <c r="J966" s="73"/>
      <c r="K966" s="74"/>
      <c r="L966" s="74"/>
      <c r="O966" s="75"/>
    </row>
    <row r="967" ht="15.0" customHeight="1">
      <c r="C967" s="70"/>
      <c r="D967" s="71"/>
      <c r="E967" s="72"/>
      <c r="F967" s="71"/>
      <c r="G967" s="73"/>
      <c r="H967" s="73"/>
      <c r="I967" s="73"/>
      <c r="J967" s="73"/>
      <c r="K967" s="74"/>
      <c r="L967" s="74"/>
      <c r="O967" s="75"/>
    </row>
    <row r="968" ht="15.0" customHeight="1">
      <c r="C968" s="70"/>
      <c r="D968" s="71"/>
      <c r="E968" s="72"/>
      <c r="F968" s="71"/>
      <c r="G968" s="73"/>
      <c r="H968" s="73"/>
      <c r="I968" s="73"/>
      <c r="J968" s="73"/>
      <c r="K968" s="74"/>
      <c r="L968" s="74"/>
      <c r="O968" s="75"/>
    </row>
    <row r="969" ht="15.0" customHeight="1">
      <c r="C969" s="70"/>
      <c r="D969" s="71"/>
      <c r="E969" s="72"/>
      <c r="F969" s="71"/>
      <c r="G969" s="73"/>
      <c r="H969" s="73"/>
      <c r="I969" s="73"/>
      <c r="J969" s="73"/>
      <c r="K969" s="74"/>
      <c r="L969" s="74"/>
      <c r="O969" s="75"/>
    </row>
    <row r="970" ht="15.0" customHeight="1">
      <c r="C970" s="70"/>
      <c r="D970" s="71"/>
      <c r="E970" s="72"/>
      <c r="F970" s="71"/>
      <c r="G970" s="73"/>
      <c r="H970" s="73"/>
      <c r="I970" s="73"/>
      <c r="J970" s="73"/>
      <c r="K970" s="74"/>
      <c r="L970" s="74"/>
      <c r="O970" s="75"/>
    </row>
    <row r="971" ht="15.0" customHeight="1">
      <c r="C971" s="70"/>
      <c r="D971" s="71"/>
      <c r="E971" s="72"/>
      <c r="F971" s="71"/>
      <c r="G971" s="73"/>
      <c r="H971" s="73"/>
      <c r="I971" s="73"/>
      <c r="J971" s="73"/>
      <c r="K971" s="74"/>
      <c r="L971" s="74"/>
      <c r="O971" s="75"/>
    </row>
    <row r="972" ht="15.0" customHeight="1">
      <c r="C972" s="70"/>
      <c r="D972" s="71"/>
      <c r="E972" s="72"/>
      <c r="F972" s="71"/>
      <c r="G972" s="73"/>
      <c r="H972" s="73"/>
      <c r="I972" s="73"/>
      <c r="J972" s="73"/>
      <c r="K972" s="74"/>
      <c r="L972" s="74"/>
      <c r="O972" s="75"/>
    </row>
    <row r="973" ht="15.0" customHeight="1">
      <c r="C973" s="70"/>
      <c r="D973" s="71"/>
      <c r="E973" s="72"/>
      <c r="F973" s="71"/>
      <c r="G973" s="73"/>
      <c r="H973" s="73"/>
      <c r="I973" s="73"/>
      <c r="J973" s="73"/>
      <c r="K973" s="74"/>
      <c r="L973" s="74"/>
      <c r="O973" s="75"/>
    </row>
    <row r="974" ht="15.0" customHeight="1">
      <c r="C974" s="70"/>
      <c r="D974" s="71"/>
      <c r="E974" s="72"/>
      <c r="F974" s="71"/>
      <c r="G974" s="73"/>
      <c r="H974" s="73"/>
      <c r="I974" s="73"/>
      <c r="J974" s="73"/>
      <c r="K974" s="74"/>
      <c r="L974" s="74"/>
      <c r="O974" s="75"/>
    </row>
    <row r="975" ht="15.0" customHeight="1">
      <c r="C975" s="70"/>
      <c r="D975" s="71"/>
      <c r="E975" s="72"/>
      <c r="F975" s="71"/>
      <c r="G975" s="73"/>
      <c r="H975" s="73"/>
      <c r="I975" s="73"/>
      <c r="J975" s="73"/>
      <c r="K975" s="74"/>
      <c r="L975" s="74"/>
      <c r="O975" s="75"/>
    </row>
    <row r="976" ht="15.0" customHeight="1">
      <c r="C976" s="70"/>
      <c r="D976" s="71"/>
      <c r="E976" s="72"/>
      <c r="F976" s="71"/>
      <c r="G976" s="73"/>
      <c r="H976" s="73"/>
      <c r="I976" s="73"/>
      <c r="J976" s="73"/>
      <c r="K976" s="74"/>
      <c r="L976" s="74"/>
      <c r="O976" s="75"/>
    </row>
    <row r="977" ht="15.0" customHeight="1">
      <c r="C977" s="70"/>
      <c r="D977" s="71"/>
      <c r="E977" s="72"/>
      <c r="F977" s="71"/>
      <c r="G977" s="73"/>
      <c r="H977" s="73"/>
      <c r="I977" s="73"/>
      <c r="J977" s="73"/>
      <c r="K977" s="74"/>
      <c r="L977" s="74"/>
      <c r="O977" s="75"/>
    </row>
    <row r="978" ht="15.0" customHeight="1">
      <c r="C978" s="70"/>
      <c r="D978" s="71"/>
      <c r="E978" s="72"/>
      <c r="F978" s="71"/>
      <c r="G978" s="73"/>
      <c r="H978" s="73"/>
      <c r="I978" s="73"/>
      <c r="J978" s="73"/>
      <c r="K978" s="74"/>
      <c r="L978" s="74"/>
      <c r="O978" s="75"/>
    </row>
    <row r="979" ht="15.0" customHeight="1">
      <c r="C979" s="70"/>
      <c r="D979" s="71"/>
      <c r="E979" s="72"/>
      <c r="F979" s="71"/>
      <c r="G979" s="73"/>
      <c r="H979" s="73"/>
      <c r="I979" s="73"/>
      <c r="J979" s="73"/>
      <c r="K979" s="74"/>
      <c r="L979" s="74"/>
      <c r="O979" s="75"/>
    </row>
    <row r="980" ht="15.0" customHeight="1">
      <c r="C980" s="70"/>
      <c r="D980" s="71"/>
      <c r="E980" s="72"/>
      <c r="F980" s="71"/>
      <c r="G980" s="73"/>
      <c r="H980" s="73"/>
      <c r="I980" s="73"/>
      <c r="J980" s="73"/>
      <c r="K980" s="74"/>
      <c r="L980" s="74"/>
      <c r="O980" s="75"/>
    </row>
    <row r="981" ht="15.0" customHeight="1">
      <c r="C981" s="70"/>
      <c r="D981" s="71"/>
      <c r="E981" s="72"/>
      <c r="F981" s="71"/>
      <c r="G981" s="73"/>
      <c r="H981" s="73"/>
      <c r="I981" s="73"/>
      <c r="J981" s="73"/>
      <c r="K981" s="74"/>
      <c r="L981" s="74"/>
      <c r="O981" s="75"/>
    </row>
    <row r="982" ht="15.0" customHeight="1">
      <c r="C982" s="70"/>
      <c r="D982" s="71"/>
      <c r="E982" s="72"/>
      <c r="F982" s="71"/>
      <c r="G982" s="73"/>
      <c r="H982" s="73"/>
      <c r="I982" s="73"/>
      <c r="J982" s="73"/>
      <c r="K982" s="74"/>
      <c r="L982" s="74"/>
      <c r="O982" s="75"/>
    </row>
    <row r="983" ht="15.0" customHeight="1">
      <c r="C983" s="70"/>
      <c r="D983" s="71"/>
      <c r="E983" s="72"/>
      <c r="F983" s="71"/>
      <c r="G983" s="73"/>
      <c r="H983" s="73"/>
      <c r="I983" s="73"/>
      <c r="J983" s="73"/>
      <c r="K983" s="74"/>
      <c r="L983" s="74"/>
      <c r="O983" s="75"/>
    </row>
    <row r="984" ht="15.0" customHeight="1">
      <c r="C984" s="70"/>
      <c r="D984" s="71"/>
      <c r="E984" s="72"/>
      <c r="F984" s="71"/>
      <c r="G984" s="73"/>
      <c r="H984" s="73"/>
      <c r="I984" s="73"/>
      <c r="J984" s="73"/>
      <c r="K984" s="74"/>
      <c r="L984" s="74"/>
      <c r="O984" s="75"/>
    </row>
    <row r="985" ht="15.0" customHeight="1">
      <c r="C985" s="70"/>
      <c r="D985" s="71"/>
      <c r="E985" s="72"/>
      <c r="F985" s="71"/>
      <c r="G985" s="73"/>
      <c r="H985" s="73"/>
      <c r="I985" s="73"/>
      <c r="J985" s="73"/>
      <c r="K985" s="74"/>
      <c r="L985" s="74"/>
      <c r="O985" s="75"/>
    </row>
    <row r="986" ht="15.0" customHeight="1">
      <c r="C986" s="70"/>
      <c r="D986" s="71"/>
      <c r="E986" s="72"/>
      <c r="F986" s="71"/>
      <c r="G986" s="73"/>
      <c r="H986" s="73"/>
      <c r="I986" s="73"/>
      <c r="J986" s="73"/>
      <c r="K986" s="74"/>
      <c r="L986" s="74"/>
      <c r="O986" s="75"/>
    </row>
    <row r="987" ht="15.0" customHeight="1">
      <c r="C987" s="70"/>
      <c r="D987" s="71"/>
      <c r="E987" s="72"/>
      <c r="F987" s="71"/>
      <c r="G987" s="73"/>
      <c r="H987" s="73"/>
      <c r="I987" s="73"/>
      <c r="J987" s="73"/>
      <c r="K987" s="74"/>
      <c r="L987" s="74"/>
      <c r="O987" s="75"/>
    </row>
    <row r="988" ht="15.0" customHeight="1">
      <c r="C988" s="70"/>
      <c r="D988" s="71"/>
      <c r="E988" s="72"/>
      <c r="F988" s="71"/>
      <c r="G988" s="73"/>
      <c r="H988" s="73"/>
      <c r="I988" s="73"/>
      <c r="J988" s="73"/>
      <c r="K988" s="74"/>
      <c r="L988" s="74"/>
      <c r="O988" s="75"/>
    </row>
    <row r="989" ht="15.0" customHeight="1">
      <c r="C989" s="70"/>
      <c r="D989" s="71"/>
      <c r="E989" s="72"/>
      <c r="F989" s="71"/>
      <c r="G989" s="73"/>
      <c r="H989" s="73"/>
      <c r="I989" s="73"/>
      <c r="J989" s="73"/>
      <c r="K989" s="74"/>
      <c r="L989" s="74"/>
      <c r="O989" s="75"/>
    </row>
    <row r="990" ht="15.0" customHeight="1">
      <c r="C990" s="70"/>
      <c r="D990" s="71"/>
      <c r="E990" s="72"/>
      <c r="F990" s="71"/>
      <c r="G990" s="73"/>
      <c r="H990" s="73"/>
      <c r="I990" s="73"/>
      <c r="J990" s="73"/>
      <c r="K990" s="74"/>
      <c r="L990" s="74"/>
      <c r="O990" s="75"/>
    </row>
    <row r="991" ht="15.0" customHeight="1">
      <c r="C991" s="70"/>
      <c r="D991" s="71"/>
      <c r="E991" s="72"/>
      <c r="F991" s="71"/>
      <c r="G991" s="73"/>
      <c r="H991" s="73"/>
      <c r="I991" s="73"/>
      <c r="J991" s="73"/>
      <c r="K991" s="74"/>
      <c r="L991" s="74"/>
      <c r="O991" s="75"/>
    </row>
    <row r="992" ht="15.0" customHeight="1">
      <c r="C992" s="70"/>
      <c r="D992" s="71"/>
      <c r="E992" s="72"/>
      <c r="F992" s="71"/>
      <c r="G992" s="73"/>
      <c r="H992" s="73"/>
      <c r="I992" s="73"/>
      <c r="J992" s="73"/>
      <c r="K992" s="74"/>
      <c r="L992" s="74"/>
      <c r="O992" s="75"/>
    </row>
    <row r="993" ht="15.0" customHeight="1">
      <c r="C993" s="70"/>
      <c r="D993" s="71"/>
      <c r="E993" s="72"/>
      <c r="F993" s="71"/>
      <c r="G993" s="73"/>
      <c r="H993" s="73"/>
      <c r="I993" s="73"/>
      <c r="J993" s="73"/>
      <c r="K993" s="74"/>
      <c r="L993" s="74"/>
      <c r="O993" s="75"/>
    </row>
    <row r="994" ht="15.0" customHeight="1">
      <c r="C994" s="70"/>
      <c r="D994" s="71"/>
      <c r="E994" s="72"/>
      <c r="F994" s="71"/>
      <c r="G994" s="73"/>
      <c r="H994" s="73"/>
      <c r="I994" s="73"/>
      <c r="J994" s="73"/>
      <c r="K994" s="74"/>
      <c r="L994" s="74"/>
      <c r="O994" s="75"/>
    </row>
    <row r="995" ht="15.0" customHeight="1">
      <c r="C995" s="70"/>
      <c r="D995" s="71"/>
      <c r="E995" s="72"/>
      <c r="F995" s="71"/>
      <c r="G995" s="73"/>
      <c r="H995" s="73"/>
      <c r="I995" s="73"/>
      <c r="J995" s="73"/>
      <c r="K995" s="74"/>
      <c r="L995" s="74"/>
      <c r="O995" s="75"/>
    </row>
    <row r="996" ht="15.0" customHeight="1">
      <c r="C996" s="70"/>
      <c r="D996" s="71"/>
      <c r="E996" s="72"/>
      <c r="F996" s="71"/>
      <c r="G996" s="73"/>
      <c r="H996" s="73"/>
      <c r="I996" s="73"/>
      <c r="J996" s="73"/>
      <c r="K996" s="74"/>
      <c r="L996" s="74"/>
      <c r="O996" s="75"/>
    </row>
    <row r="997" ht="15.0" customHeight="1">
      <c r="C997" s="70"/>
      <c r="D997" s="71"/>
      <c r="E997" s="72"/>
      <c r="F997" s="71"/>
      <c r="G997" s="73"/>
      <c r="H997" s="73"/>
      <c r="I997" s="73"/>
      <c r="J997" s="73"/>
      <c r="K997" s="74"/>
      <c r="L997" s="74"/>
      <c r="O997" s="75"/>
    </row>
    <row r="998" ht="15.0" customHeight="1">
      <c r="C998" s="70"/>
      <c r="D998" s="71"/>
      <c r="E998" s="72"/>
      <c r="F998" s="71"/>
      <c r="G998" s="73"/>
      <c r="H998" s="73"/>
      <c r="I998" s="73"/>
      <c r="J998" s="73"/>
      <c r="K998" s="74"/>
      <c r="L998" s="74"/>
      <c r="O998" s="75"/>
    </row>
    <row r="999" ht="15.0" customHeight="1">
      <c r="C999" s="70"/>
      <c r="D999" s="71"/>
      <c r="E999" s="72"/>
      <c r="F999" s="71"/>
      <c r="G999" s="73"/>
      <c r="H999" s="73"/>
      <c r="I999" s="73"/>
      <c r="J999" s="73"/>
      <c r="K999" s="74"/>
      <c r="L999" s="74"/>
      <c r="O999" s="75"/>
    </row>
    <row r="1000" ht="15.0" customHeight="1">
      <c r="C1000" s="70"/>
      <c r="D1000" s="71"/>
      <c r="E1000" s="72"/>
      <c r="F1000" s="71"/>
      <c r="G1000" s="73"/>
      <c r="H1000" s="73"/>
      <c r="I1000" s="73"/>
      <c r="J1000" s="73"/>
      <c r="K1000" s="74"/>
      <c r="L1000" s="74"/>
      <c r="O1000" s="75"/>
    </row>
    <row r="1001" ht="15.0" customHeight="1">
      <c r="C1001" s="70"/>
      <c r="D1001" s="71"/>
      <c r="E1001" s="72"/>
      <c r="F1001" s="71"/>
      <c r="G1001" s="73"/>
      <c r="H1001" s="73"/>
      <c r="I1001" s="73"/>
      <c r="J1001" s="73"/>
      <c r="K1001" s="74"/>
      <c r="L1001" s="74"/>
      <c r="O1001" s="75"/>
    </row>
    <row r="1002" ht="15.0" customHeight="1">
      <c r="C1002" s="70"/>
      <c r="D1002" s="71"/>
      <c r="E1002" s="72"/>
      <c r="F1002" s="71"/>
      <c r="G1002" s="73"/>
      <c r="H1002" s="73"/>
      <c r="I1002" s="73"/>
      <c r="J1002" s="73"/>
      <c r="K1002" s="74"/>
      <c r="L1002" s="74"/>
      <c r="O1002" s="75"/>
    </row>
    <row r="1003" ht="15.0" customHeight="1">
      <c r="C1003" s="70"/>
      <c r="D1003" s="71"/>
      <c r="E1003" s="72"/>
      <c r="F1003" s="71"/>
      <c r="G1003" s="73"/>
      <c r="H1003" s="73"/>
      <c r="I1003" s="73"/>
      <c r="J1003" s="73"/>
      <c r="K1003" s="74"/>
      <c r="L1003" s="74"/>
      <c r="O1003" s="75"/>
    </row>
    <row r="1004" ht="15.0" customHeight="1">
      <c r="C1004" s="70"/>
      <c r="D1004" s="71"/>
      <c r="E1004" s="72"/>
      <c r="F1004" s="71"/>
      <c r="G1004" s="73"/>
      <c r="H1004" s="73"/>
      <c r="I1004" s="73"/>
      <c r="J1004" s="73"/>
      <c r="K1004" s="74"/>
      <c r="L1004" s="74"/>
      <c r="O1004" s="75"/>
    </row>
    <row r="1005" ht="15.0" customHeight="1">
      <c r="C1005" s="70"/>
      <c r="D1005" s="71"/>
      <c r="E1005" s="72"/>
      <c r="F1005" s="71"/>
      <c r="G1005" s="73"/>
      <c r="H1005" s="73"/>
      <c r="I1005" s="73"/>
      <c r="J1005" s="73"/>
      <c r="K1005" s="74"/>
      <c r="L1005" s="74"/>
      <c r="O1005" s="75"/>
    </row>
    <row r="1006" ht="15.0" customHeight="1">
      <c r="C1006" s="70"/>
      <c r="D1006" s="71"/>
      <c r="E1006" s="72"/>
      <c r="F1006" s="71"/>
      <c r="G1006" s="73"/>
      <c r="H1006" s="73"/>
      <c r="I1006" s="73"/>
      <c r="J1006" s="73"/>
      <c r="K1006" s="74"/>
      <c r="L1006" s="74"/>
      <c r="O1006" s="75"/>
    </row>
    <row r="1007" ht="15.0" customHeight="1">
      <c r="C1007" s="70"/>
      <c r="D1007" s="71"/>
      <c r="E1007" s="72"/>
      <c r="F1007" s="71"/>
      <c r="G1007" s="73"/>
      <c r="H1007" s="73"/>
      <c r="I1007" s="73"/>
      <c r="J1007" s="73"/>
      <c r="K1007" s="74"/>
      <c r="L1007" s="74"/>
      <c r="O1007" s="75"/>
    </row>
    <row r="1008" ht="15.0" customHeight="1">
      <c r="C1008" s="70"/>
      <c r="D1008" s="71"/>
      <c r="E1008" s="72"/>
      <c r="F1008" s="71"/>
      <c r="G1008" s="73"/>
      <c r="H1008" s="73"/>
      <c r="I1008" s="73"/>
      <c r="J1008" s="73"/>
      <c r="K1008" s="74"/>
      <c r="L1008" s="74"/>
      <c r="O1008" s="75"/>
    </row>
    <row r="1009" ht="15.0" customHeight="1">
      <c r="C1009" s="70"/>
      <c r="D1009" s="71"/>
      <c r="E1009" s="72"/>
      <c r="F1009" s="71"/>
      <c r="G1009" s="73"/>
      <c r="H1009" s="73"/>
      <c r="I1009" s="73"/>
      <c r="J1009" s="73"/>
      <c r="K1009" s="74"/>
      <c r="L1009" s="74"/>
      <c r="O1009" s="75"/>
    </row>
    <row r="1010" ht="15.0" customHeight="1">
      <c r="C1010" s="70"/>
      <c r="D1010" s="71"/>
      <c r="E1010" s="72"/>
      <c r="F1010" s="71"/>
      <c r="G1010" s="73"/>
      <c r="H1010" s="73"/>
      <c r="I1010" s="73"/>
      <c r="J1010" s="73"/>
      <c r="K1010" s="74"/>
      <c r="L1010" s="74"/>
      <c r="O1010" s="75"/>
    </row>
    <row r="1011" ht="15.0" customHeight="1">
      <c r="C1011" s="70"/>
      <c r="D1011" s="71"/>
      <c r="E1011" s="72"/>
      <c r="F1011" s="71"/>
      <c r="G1011" s="73"/>
      <c r="H1011" s="73"/>
      <c r="I1011" s="73"/>
      <c r="J1011" s="73"/>
      <c r="K1011" s="74"/>
      <c r="L1011" s="74"/>
      <c r="O1011" s="75"/>
    </row>
    <row r="1012" ht="15.0" customHeight="1">
      <c r="C1012" s="70"/>
      <c r="D1012" s="71"/>
      <c r="E1012" s="72"/>
      <c r="F1012" s="71"/>
      <c r="G1012" s="73"/>
      <c r="H1012" s="73"/>
      <c r="I1012" s="73"/>
      <c r="J1012" s="73"/>
      <c r="K1012" s="74"/>
      <c r="L1012" s="74"/>
      <c r="O1012" s="75"/>
    </row>
    <row r="1013" ht="15.0" customHeight="1">
      <c r="C1013" s="70"/>
      <c r="D1013" s="71"/>
      <c r="E1013" s="72"/>
      <c r="F1013" s="71"/>
      <c r="G1013" s="73"/>
      <c r="H1013" s="73"/>
      <c r="I1013" s="73"/>
      <c r="J1013" s="73"/>
      <c r="K1013" s="74"/>
      <c r="L1013" s="74"/>
      <c r="O1013" s="75"/>
    </row>
    <row r="1014" ht="15.0" customHeight="1">
      <c r="C1014" s="70"/>
      <c r="D1014" s="71"/>
      <c r="E1014" s="72"/>
      <c r="F1014" s="71"/>
      <c r="G1014" s="73"/>
      <c r="H1014" s="73"/>
      <c r="I1014" s="73"/>
      <c r="J1014" s="73"/>
      <c r="K1014" s="74"/>
      <c r="L1014" s="74"/>
      <c r="O1014" s="75"/>
    </row>
    <row r="1015" ht="15.0" customHeight="1">
      <c r="C1015" s="70"/>
      <c r="D1015" s="71"/>
      <c r="E1015" s="72"/>
      <c r="F1015" s="71"/>
      <c r="G1015" s="73"/>
      <c r="H1015" s="73"/>
      <c r="I1015" s="73"/>
      <c r="J1015" s="73"/>
      <c r="K1015" s="74"/>
      <c r="L1015" s="74"/>
      <c r="O1015" s="75"/>
    </row>
    <row r="1016" ht="15.0" customHeight="1">
      <c r="C1016" s="70"/>
      <c r="D1016" s="71"/>
      <c r="E1016" s="72"/>
      <c r="F1016" s="71"/>
      <c r="G1016" s="73"/>
      <c r="H1016" s="73"/>
      <c r="I1016" s="73"/>
      <c r="J1016" s="73"/>
      <c r="K1016" s="74"/>
      <c r="L1016" s="74"/>
      <c r="O1016" s="75"/>
    </row>
    <row r="1017" ht="15.0" customHeight="1">
      <c r="C1017" s="70"/>
      <c r="D1017" s="71"/>
      <c r="E1017" s="72"/>
      <c r="F1017" s="71"/>
      <c r="G1017" s="73"/>
      <c r="H1017" s="73"/>
      <c r="I1017" s="73"/>
      <c r="J1017" s="73"/>
      <c r="K1017" s="74"/>
      <c r="L1017" s="74"/>
      <c r="O1017" s="75"/>
    </row>
    <row r="1018" ht="15.0" customHeight="1">
      <c r="C1018" s="70"/>
      <c r="D1018" s="71"/>
      <c r="E1018" s="72"/>
      <c r="F1018" s="71"/>
      <c r="G1018" s="73"/>
      <c r="H1018" s="73"/>
      <c r="I1018" s="73"/>
      <c r="J1018" s="73"/>
      <c r="K1018" s="74"/>
      <c r="L1018" s="74"/>
      <c r="O1018" s="75"/>
    </row>
    <row r="1019" ht="15.0" customHeight="1">
      <c r="C1019" s="70"/>
      <c r="D1019" s="71"/>
      <c r="E1019" s="72"/>
      <c r="F1019" s="71"/>
      <c r="G1019" s="73"/>
      <c r="H1019" s="73"/>
      <c r="I1019" s="73"/>
      <c r="J1019" s="73"/>
      <c r="K1019" s="74"/>
      <c r="L1019" s="74"/>
      <c r="O1019" s="75"/>
    </row>
    <row r="1020" ht="15.0" customHeight="1">
      <c r="C1020" s="70"/>
      <c r="D1020" s="71"/>
      <c r="E1020" s="72"/>
      <c r="F1020" s="71"/>
      <c r="G1020" s="73"/>
      <c r="H1020" s="73"/>
      <c r="I1020" s="73"/>
      <c r="J1020" s="73"/>
      <c r="K1020" s="74"/>
      <c r="L1020" s="74"/>
      <c r="O1020" s="75"/>
    </row>
    <row r="1021" ht="15.0" customHeight="1">
      <c r="C1021" s="70"/>
      <c r="D1021" s="71"/>
      <c r="E1021" s="72"/>
      <c r="F1021" s="71"/>
      <c r="G1021" s="73"/>
      <c r="H1021" s="73"/>
      <c r="I1021" s="73"/>
      <c r="J1021" s="73"/>
      <c r="K1021" s="74"/>
      <c r="L1021" s="74"/>
      <c r="O1021" s="75"/>
    </row>
    <row r="1022" ht="15.0" customHeight="1">
      <c r="C1022" s="70"/>
      <c r="D1022" s="71"/>
      <c r="E1022" s="72"/>
      <c r="F1022" s="71"/>
      <c r="G1022" s="73"/>
      <c r="H1022" s="73"/>
      <c r="I1022" s="73"/>
      <c r="J1022" s="73"/>
      <c r="K1022" s="74"/>
      <c r="L1022" s="74"/>
      <c r="O1022" s="75"/>
    </row>
    <row r="1023" ht="15.0" customHeight="1">
      <c r="C1023" s="70"/>
      <c r="D1023" s="71"/>
      <c r="E1023" s="72"/>
      <c r="F1023" s="71"/>
      <c r="G1023" s="73"/>
      <c r="H1023" s="73"/>
      <c r="I1023" s="73"/>
      <c r="J1023" s="73"/>
      <c r="K1023" s="74"/>
      <c r="L1023" s="74"/>
      <c r="O1023" s="75"/>
    </row>
    <row r="1024" ht="15.0" customHeight="1">
      <c r="C1024" s="70"/>
      <c r="D1024" s="71"/>
      <c r="E1024" s="72"/>
      <c r="F1024" s="71"/>
      <c r="G1024" s="73"/>
      <c r="H1024" s="73"/>
      <c r="I1024" s="73"/>
      <c r="J1024" s="73"/>
      <c r="K1024" s="74"/>
      <c r="L1024" s="74"/>
      <c r="O1024" s="75"/>
    </row>
    <row r="1025" ht="15.0" customHeight="1">
      <c r="C1025" s="70"/>
      <c r="D1025" s="71"/>
      <c r="E1025" s="72"/>
      <c r="F1025" s="71"/>
      <c r="G1025" s="73"/>
      <c r="H1025" s="73"/>
      <c r="I1025" s="73"/>
      <c r="J1025" s="73"/>
      <c r="K1025" s="74"/>
      <c r="L1025" s="74"/>
      <c r="O1025" s="75"/>
    </row>
    <row r="1026" ht="15.0" customHeight="1">
      <c r="C1026" s="70"/>
      <c r="D1026" s="71"/>
      <c r="E1026" s="72"/>
      <c r="F1026" s="71"/>
      <c r="G1026" s="73"/>
      <c r="H1026" s="73"/>
      <c r="I1026" s="73"/>
      <c r="J1026" s="73"/>
      <c r="K1026" s="74"/>
      <c r="L1026" s="74"/>
      <c r="O1026" s="75"/>
    </row>
    <row r="1027" ht="15.0" customHeight="1">
      <c r="C1027" s="70"/>
      <c r="D1027" s="71"/>
      <c r="E1027" s="72"/>
      <c r="F1027" s="71"/>
      <c r="G1027" s="73"/>
      <c r="H1027" s="73"/>
      <c r="I1027" s="73"/>
      <c r="J1027" s="73"/>
      <c r="K1027" s="74"/>
      <c r="L1027" s="74"/>
      <c r="O1027" s="75"/>
    </row>
    <row r="1028" ht="15.0" customHeight="1">
      <c r="C1028" s="70"/>
      <c r="D1028" s="71"/>
      <c r="E1028" s="72"/>
      <c r="F1028" s="71"/>
      <c r="G1028" s="73"/>
      <c r="H1028" s="73"/>
      <c r="I1028" s="73"/>
      <c r="J1028" s="73"/>
      <c r="K1028" s="74"/>
      <c r="L1028" s="74"/>
      <c r="O1028" s="75"/>
    </row>
    <row r="1029" ht="15.0" customHeight="1">
      <c r="C1029" s="70"/>
      <c r="D1029" s="71"/>
      <c r="E1029" s="72"/>
      <c r="F1029" s="71"/>
      <c r="G1029" s="73"/>
      <c r="H1029" s="73"/>
      <c r="I1029" s="73"/>
      <c r="J1029" s="73"/>
      <c r="K1029" s="74"/>
      <c r="L1029" s="74"/>
      <c r="O1029" s="75"/>
    </row>
    <row r="1030" ht="15.0" customHeight="1">
      <c r="C1030" s="70"/>
      <c r="D1030" s="71"/>
      <c r="E1030" s="72"/>
      <c r="F1030" s="71"/>
      <c r="G1030" s="73"/>
      <c r="H1030" s="73"/>
      <c r="I1030" s="73"/>
      <c r="J1030" s="73"/>
      <c r="K1030" s="74"/>
      <c r="L1030" s="74"/>
      <c r="O1030" s="75"/>
    </row>
    <row r="1031" ht="15.0" customHeight="1">
      <c r="C1031" s="70"/>
      <c r="D1031" s="71"/>
      <c r="E1031" s="72"/>
      <c r="F1031" s="71"/>
      <c r="G1031" s="73"/>
      <c r="H1031" s="73"/>
      <c r="I1031" s="73"/>
      <c r="J1031" s="73"/>
      <c r="K1031" s="74"/>
      <c r="L1031" s="74"/>
      <c r="O1031" s="75"/>
    </row>
    <row r="1032" ht="15.0" customHeight="1">
      <c r="C1032" s="70"/>
      <c r="D1032" s="71"/>
      <c r="E1032" s="72"/>
      <c r="F1032" s="71"/>
      <c r="G1032" s="73"/>
      <c r="H1032" s="73"/>
      <c r="I1032" s="73"/>
      <c r="J1032" s="73"/>
      <c r="K1032" s="74"/>
      <c r="L1032" s="74"/>
      <c r="O1032" s="75"/>
    </row>
    <row r="1033" ht="15.0" customHeight="1">
      <c r="C1033" s="70"/>
      <c r="D1033" s="71"/>
      <c r="E1033" s="72"/>
      <c r="F1033" s="71"/>
      <c r="G1033" s="73"/>
      <c r="H1033" s="73"/>
      <c r="I1033" s="73"/>
      <c r="J1033" s="73"/>
      <c r="K1033" s="74"/>
      <c r="L1033" s="74"/>
      <c r="O1033" s="75"/>
    </row>
    <row r="1034" ht="15.0" customHeight="1">
      <c r="C1034" s="70"/>
      <c r="D1034" s="71"/>
      <c r="E1034" s="72"/>
      <c r="F1034" s="71"/>
      <c r="G1034" s="73"/>
      <c r="H1034" s="73"/>
      <c r="I1034" s="73"/>
      <c r="J1034" s="73"/>
      <c r="K1034" s="74"/>
      <c r="L1034" s="74"/>
      <c r="O1034" s="75"/>
    </row>
    <row r="1035" ht="15.0" customHeight="1">
      <c r="C1035" s="70"/>
      <c r="D1035" s="71"/>
      <c r="E1035" s="72"/>
      <c r="F1035" s="71"/>
      <c r="G1035" s="73"/>
      <c r="H1035" s="73"/>
      <c r="I1035" s="73"/>
      <c r="J1035" s="73"/>
      <c r="K1035" s="74"/>
      <c r="L1035" s="74"/>
      <c r="O1035" s="75"/>
    </row>
    <row r="1036" ht="15.0" customHeight="1">
      <c r="C1036" s="70"/>
      <c r="D1036" s="71"/>
      <c r="E1036" s="72"/>
      <c r="F1036" s="71"/>
      <c r="G1036" s="73"/>
      <c r="H1036" s="73"/>
      <c r="I1036" s="73"/>
      <c r="J1036" s="73"/>
      <c r="K1036" s="74"/>
      <c r="L1036" s="74"/>
      <c r="O1036" s="75"/>
    </row>
    <row r="1037" ht="15.0" customHeight="1">
      <c r="C1037" s="70"/>
      <c r="D1037" s="71"/>
      <c r="E1037" s="72"/>
      <c r="F1037" s="71"/>
      <c r="G1037" s="73"/>
      <c r="H1037" s="73"/>
      <c r="I1037" s="73"/>
      <c r="J1037" s="73"/>
      <c r="K1037" s="74"/>
      <c r="L1037" s="74"/>
      <c r="O1037" s="75"/>
    </row>
    <row r="1038" ht="15.0" customHeight="1">
      <c r="C1038" s="70"/>
      <c r="D1038" s="71"/>
      <c r="E1038" s="72"/>
      <c r="F1038" s="71"/>
      <c r="G1038" s="73"/>
      <c r="H1038" s="73"/>
      <c r="I1038" s="73"/>
      <c r="J1038" s="73"/>
      <c r="K1038" s="74"/>
      <c r="L1038" s="74"/>
      <c r="O1038" s="75"/>
    </row>
    <row r="1039" ht="15.0" customHeight="1">
      <c r="C1039" s="70"/>
      <c r="D1039" s="71"/>
      <c r="E1039" s="72"/>
      <c r="F1039" s="71"/>
      <c r="G1039" s="73"/>
      <c r="H1039" s="73"/>
      <c r="I1039" s="73"/>
      <c r="J1039" s="73"/>
      <c r="K1039" s="74"/>
      <c r="L1039" s="74"/>
      <c r="O1039" s="75"/>
    </row>
    <row r="1040" ht="15.0" customHeight="1">
      <c r="C1040" s="70"/>
      <c r="D1040" s="71"/>
      <c r="E1040" s="72"/>
      <c r="F1040" s="71"/>
      <c r="G1040" s="73"/>
      <c r="H1040" s="73"/>
      <c r="I1040" s="73"/>
      <c r="J1040" s="73"/>
      <c r="K1040" s="74"/>
      <c r="L1040" s="74"/>
      <c r="O1040" s="75"/>
    </row>
    <row r="1041" ht="15.0" customHeight="1">
      <c r="C1041" s="70"/>
      <c r="D1041" s="71"/>
      <c r="E1041" s="72"/>
      <c r="F1041" s="71"/>
      <c r="G1041" s="73"/>
      <c r="H1041" s="73"/>
      <c r="I1041" s="73"/>
      <c r="J1041" s="73"/>
      <c r="K1041" s="74"/>
      <c r="L1041" s="74"/>
      <c r="O1041" s="75"/>
    </row>
    <row r="1042" ht="15.0" customHeight="1">
      <c r="C1042" s="70"/>
      <c r="D1042" s="71"/>
      <c r="E1042" s="72"/>
      <c r="F1042" s="71"/>
      <c r="G1042" s="73"/>
      <c r="H1042" s="73"/>
      <c r="I1042" s="73"/>
      <c r="J1042" s="73"/>
      <c r="K1042" s="74"/>
      <c r="L1042" s="74"/>
      <c r="O1042" s="75"/>
    </row>
    <row r="1043" ht="15.0" customHeight="1">
      <c r="C1043" s="70"/>
      <c r="D1043" s="71"/>
      <c r="E1043" s="72"/>
      <c r="F1043" s="71"/>
      <c r="G1043" s="73"/>
      <c r="H1043" s="73"/>
      <c r="I1043" s="73"/>
      <c r="J1043" s="73"/>
      <c r="K1043" s="74"/>
      <c r="L1043" s="74"/>
      <c r="O1043" s="75"/>
    </row>
    <row r="1044" ht="15.0" customHeight="1">
      <c r="C1044" s="70"/>
      <c r="D1044" s="71"/>
      <c r="E1044" s="72"/>
      <c r="F1044" s="71"/>
      <c r="G1044" s="73"/>
      <c r="H1044" s="73"/>
      <c r="I1044" s="73"/>
      <c r="J1044" s="73"/>
      <c r="K1044" s="74"/>
      <c r="L1044" s="74"/>
      <c r="O1044" s="75"/>
    </row>
    <row r="1045" ht="15.0" customHeight="1">
      <c r="C1045" s="70"/>
      <c r="D1045" s="71"/>
      <c r="E1045" s="72"/>
      <c r="F1045" s="71"/>
      <c r="G1045" s="73"/>
      <c r="H1045" s="73"/>
      <c r="I1045" s="73"/>
      <c r="J1045" s="73"/>
      <c r="K1045" s="74"/>
      <c r="L1045" s="74"/>
      <c r="O1045" s="75"/>
    </row>
    <row r="1046" ht="15.0" customHeight="1">
      <c r="C1046" s="70"/>
      <c r="D1046" s="71"/>
      <c r="E1046" s="72"/>
      <c r="F1046" s="71"/>
      <c r="G1046" s="73"/>
      <c r="H1046" s="73"/>
      <c r="I1046" s="73"/>
      <c r="J1046" s="73"/>
      <c r="K1046" s="74"/>
      <c r="L1046" s="74"/>
      <c r="O1046" s="75"/>
    </row>
    <row r="1047" ht="15.0" customHeight="1">
      <c r="C1047" s="70"/>
      <c r="D1047" s="71"/>
      <c r="E1047" s="72"/>
      <c r="F1047" s="71"/>
      <c r="G1047" s="73"/>
      <c r="H1047" s="73"/>
      <c r="I1047" s="73"/>
      <c r="J1047" s="73"/>
      <c r="K1047" s="74"/>
      <c r="L1047" s="74"/>
      <c r="O1047" s="75"/>
    </row>
    <row r="1048" ht="15.0" customHeight="1">
      <c r="C1048" s="70"/>
      <c r="D1048" s="71"/>
      <c r="E1048" s="72"/>
      <c r="F1048" s="71"/>
      <c r="G1048" s="73"/>
      <c r="H1048" s="73"/>
      <c r="I1048" s="73"/>
      <c r="J1048" s="73"/>
      <c r="K1048" s="74"/>
      <c r="L1048" s="74"/>
      <c r="O1048" s="75"/>
    </row>
    <row r="1049" ht="15.0" customHeight="1">
      <c r="C1049" s="70"/>
      <c r="D1049" s="71"/>
      <c r="E1049" s="72"/>
      <c r="F1049" s="71"/>
      <c r="G1049" s="73"/>
      <c r="H1049" s="73"/>
      <c r="I1049" s="73"/>
      <c r="J1049" s="73"/>
      <c r="K1049" s="74"/>
      <c r="L1049" s="74"/>
      <c r="O1049" s="75"/>
    </row>
    <row r="1050" ht="15.0" customHeight="1">
      <c r="C1050" s="70"/>
      <c r="D1050" s="71"/>
      <c r="E1050" s="72"/>
      <c r="F1050" s="71"/>
      <c r="G1050" s="73"/>
      <c r="H1050" s="73"/>
      <c r="I1050" s="73"/>
      <c r="J1050" s="73"/>
      <c r="K1050" s="74"/>
      <c r="L1050" s="74"/>
      <c r="O1050" s="75"/>
    </row>
    <row r="1051" ht="15.0" customHeight="1">
      <c r="C1051" s="70"/>
      <c r="D1051" s="71"/>
      <c r="E1051" s="72"/>
      <c r="F1051" s="71"/>
      <c r="G1051" s="73"/>
      <c r="H1051" s="73"/>
      <c r="I1051" s="73"/>
      <c r="J1051" s="73"/>
      <c r="K1051" s="74"/>
      <c r="L1051" s="74"/>
      <c r="O1051" s="75"/>
    </row>
    <row r="1052" ht="15.0" customHeight="1">
      <c r="C1052" s="70"/>
      <c r="D1052" s="71"/>
      <c r="E1052" s="72"/>
      <c r="F1052" s="71"/>
      <c r="G1052" s="73"/>
      <c r="H1052" s="73"/>
      <c r="I1052" s="73"/>
      <c r="J1052" s="73"/>
      <c r="K1052" s="74"/>
      <c r="L1052" s="74"/>
      <c r="O1052" s="75"/>
    </row>
    <row r="1053" ht="15.0" customHeight="1">
      <c r="C1053" s="70"/>
      <c r="D1053" s="71"/>
      <c r="E1053" s="72"/>
      <c r="F1053" s="71"/>
      <c r="G1053" s="73"/>
      <c r="H1053" s="73"/>
      <c r="I1053" s="73"/>
      <c r="J1053" s="73"/>
      <c r="K1053" s="74"/>
      <c r="L1053" s="74"/>
      <c r="O1053" s="75"/>
    </row>
    <row r="1054" ht="15.0" customHeight="1">
      <c r="C1054" s="70"/>
      <c r="D1054" s="71"/>
      <c r="E1054" s="72"/>
      <c r="F1054" s="71"/>
      <c r="G1054" s="73"/>
      <c r="H1054" s="73"/>
      <c r="I1054" s="73"/>
      <c r="J1054" s="73"/>
      <c r="K1054" s="74"/>
      <c r="L1054" s="74"/>
      <c r="O1054" s="75"/>
    </row>
    <row r="1055" ht="15.0" customHeight="1">
      <c r="C1055" s="70"/>
      <c r="D1055" s="71"/>
      <c r="E1055" s="72"/>
      <c r="F1055" s="71"/>
      <c r="G1055" s="73"/>
      <c r="H1055" s="73"/>
      <c r="I1055" s="73"/>
      <c r="J1055" s="73"/>
      <c r="K1055" s="74"/>
      <c r="L1055" s="74"/>
      <c r="O1055" s="75"/>
    </row>
    <row r="1056" ht="15.0" customHeight="1">
      <c r="C1056" s="70"/>
      <c r="D1056" s="71"/>
      <c r="E1056" s="72"/>
      <c r="F1056" s="71"/>
      <c r="G1056" s="73"/>
      <c r="H1056" s="73"/>
      <c r="I1056" s="73"/>
      <c r="J1056" s="73"/>
      <c r="K1056" s="74"/>
      <c r="L1056" s="74"/>
      <c r="O1056" s="75"/>
    </row>
    <row r="1057" ht="15.0" customHeight="1">
      <c r="C1057" s="70"/>
      <c r="D1057" s="71"/>
      <c r="E1057" s="72"/>
      <c r="F1057" s="71"/>
      <c r="G1057" s="73"/>
      <c r="H1057" s="73"/>
      <c r="I1057" s="73"/>
      <c r="J1057" s="73"/>
      <c r="K1057" s="74"/>
      <c r="L1057" s="74"/>
      <c r="O1057" s="75"/>
    </row>
    <row r="1058" ht="15.0" customHeight="1">
      <c r="C1058" s="70"/>
      <c r="D1058" s="71"/>
      <c r="E1058" s="72"/>
      <c r="F1058" s="71"/>
      <c r="G1058" s="73"/>
      <c r="H1058" s="73"/>
      <c r="I1058" s="73"/>
      <c r="J1058" s="73"/>
      <c r="K1058" s="74"/>
      <c r="L1058" s="74"/>
      <c r="O1058" s="75"/>
    </row>
    <row r="1059" ht="15.0" customHeight="1">
      <c r="C1059" s="70"/>
      <c r="D1059" s="71"/>
      <c r="E1059" s="72"/>
      <c r="F1059" s="71"/>
      <c r="G1059" s="73"/>
      <c r="H1059" s="73"/>
      <c r="I1059" s="73"/>
      <c r="J1059" s="73"/>
      <c r="K1059" s="74"/>
      <c r="L1059" s="74"/>
      <c r="O1059" s="75"/>
    </row>
    <row r="1060" ht="15.0" customHeight="1">
      <c r="C1060" s="70"/>
      <c r="D1060" s="71"/>
      <c r="E1060" s="72"/>
      <c r="F1060" s="71"/>
      <c r="G1060" s="73"/>
      <c r="H1060" s="73"/>
      <c r="I1060" s="73"/>
      <c r="J1060" s="73"/>
      <c r="K1060" s="74"/>
      <c r="L1060" s="74"/>
      <c r="O1060" s="75"/>
    </row>
    <row r="1061" ht="15.0" customHeight="1">
      <c r="C1061" s="70"/>
      <c r="D1061" s="71"/>
      <c r="E1061" s="72"/>
      <c r="F1061" s="71"/>
      <c r="G1061" s="73"/>
      <c r="H1061" s="73"/>
      <c r="I1061" s="73"/>
      <c r="J1061" s="73"/>
      <c r="K1061" s="74"/>
      <c r="L1061" s="74"/>
      <c r="O1061" s="75"/>
    </row>
    <row r="1062" ht="15.0" customHeight="1">
      <c r="C1062" s="70"/>
      <c r="D1062" s="71"/>
      <c r="E1062" s="72"/>
      <c r="F1062" s="71"/>
      <c r="G1062" s="73"/>
      <c r="H1062" s="73"/>
      <c r="I1062" s="73"/>
      <c r="J1062" s="73"/>
      <c r="K1062" s="74"/>
      <c r="L1062" s="74"/>
      <c r="O1062" s="75"/>
    </row>
    <row r="1063" ht="15.0" customHeight="1">
      <c r="C1063" s="70"/>
      <c r="D1063" s="71"/>
      <c r="E1063" s="72"/>
      <c r="F1063" s="71"/>
      <c r="G1063" s="73"/>
      <c r="H1063" s="73"/>
      <c r="I1063" s="73"/>
      <c r="J1063" s="73"/>
      <c r="K1063" s="74"/>
      <c r="L1063" s="74"/>
      <c r="O1063" s="75"/>
    </row>
    <row r="1064" ht="15.0" customHeight="1">
      <c r="C1064" s="70"/>
      <c r="D1064" s="71"/>
      <c r="E1064" s="72"/>
      <c r="F1064" s="71"/>
      <c r="G1064" s="73"/>
      <c r="H1064" s="73"/>
      <c r="I1064" s="73"/>
      <c r="J1064" s="73"/>
      <c r="K1064" s="74"/>
      <c r="L1064" s="74"/>
      <c r="O1064" s="75"/>
    </row>
    <row r="1065" ht="15.0" customHeight="1">
      <c r="C1065" s="70"/>
      <c r="D1065" s="71"/>
      <c r="E1065" s="72"/>
      <c r="F1065" s="71"/>
      <c r="G1065" s="73"/>
      <c r="H1065" s="73"/>
      <c r="I1065" s="73"/>
      <c r="J1065" s="73"/>
      <c r="K1065" s="74"/>
      <c r="L1065" s="74"/>
      <c r="O1065" s="75"/>
    </row>
    <row r="1066" ht="15.0" customHeight="1">
      <c r="C1066" s="76"/>
      <c r="E1066" s="72"/>
      <c r="K1066" s="74"/>
      <c r="L1066" s="74"/>
      <c r="O1066" s="75"/>
    </row>
    <row r="1067" ht="15.0" customHeight="1">
      <c r="C1067" s="76"/>
      <c r="E1067" s="72"/>
      <c r="K1067" s="74"/>
      <c r="L1067" s="74"/>
      <c r="O1067" s="75"/>
    </row>
    <row r="1068" ht="15.0" customHeight="1">
      <c r="C1068" s="76"/>
      <c r="E1068" s="72"/>
      <c r="K1068" s="74"/>
      <c r="L1068" s="74"/>
      <c r="O1068" s="75"/>
    </row>
    <row r="1069" ht="15.0" customHeight="1">
      <c r="C1069" s="76"/>
      <c r="E1069" s="72"/>
      <c r="K1069" s="74"/>
      <c r="L1069" s="74"/>
      <c r="O1069" s="75"/>
    </row>
    <row r="1070" ht="15.0" customHeight="1">
      <c r="C1070" s="76"/>
      <c r="E1070" s="72"/>
      <c r="K1070" s="74"/>
      <c r="L1070" s="74"/>
      <c r="O1070" s="75"/>
    </row>
    <row r="1071" ht="15.0" customHeight="1">
      <c r="C1071" s="76"/>
      <c r="E1071" s="72"/>
      <c r="K1071" s="74"/>
      <c r="L1071" s="74"/>
      <c r="O1071" s="75"/>
    </row>
    <row r="1072" ht="15.0" customHeight="1">
      <c r="C1072" s="76"/>
      <c r="E1072" s="72"/>
      <c r="K1072" s="74"/>
      <c r="L1072" s="74"/>
      <c r="O1072" s="75"/>
    </row>
    <row r="1073" ht="15.0" customHeight="1">
      <c r="C1073" s="76"/>
      <c r="E1073" s="72"/>
      <c r="K1073" s="74"/>
      <c r="L1073" s="74"/>
      <c r="O1073" s="75"/>
    </row>
    <row r="1074" ht="15.0" customHeight="1">
      <c r="C1074" s="76"/>
      <c r="E1074" s="72"/>
      <c r="K1074" s="74"/>
      <c r="L1074" s="74"/>
      <c r="O1074" s="75"/>
    </row>
    <row r="1075" ht="15.0" customHeight="1">
      <c r="C1075" s="76"/>
      <c r="E1075" s="72"/>
      <c r="K1075" s="74"/>
      <c r="L1075" s="74"/>
      <c r="O1075" s="75"/>
    </row>
    <row r="1076" ht="15.0" customHeight="1">
      <c r="C1076" s="76"/>
      <c r="E1076" s="72"/>
      <c r="K1076" s="74"/>
      <c r="L1076" s="74"/>
      <c r="O1076" s="75"/>
    </row>
    <row r="1077" ht="15.0" customHeight="1">
      <c r="C1077" s="76"/>
      <c r="E1077" s="72"/>
      <c r="K1077" s="74"/>
      <c r="L1077" s="74"/>
      <c r="O1077" s="75"/>
    </row>
    <row r="1078" ht="15.0" customHeight="1">
      <c r="C1078" s="76"/>
      <c r="E1078" s="72"/>
      <c r="K1078" s="74"/>
      <c r="L1078" s="74"/>
      <c r="O1078" s="75"/>
    </row>
    <row r="1079" ht="15.0" customHeight="1">
      <c r="C1079" s="76"/>
      <c r="E1079" s="72"/>
      <c r="K1079" s="74"/>
      <c r="L1079" s="74"/>
      <c r="O1079" s="75"/>
    </row>
    <row r="1080" ht="15.0" customHeight="1">
      <c r="C1080" s="76"/>
      <c r="E1080" s="72"/>
      <c r="K1080" s="74"/>
      <c r="L1080" s="74"/>
      <c r="O1080" s="75"/>
    </row>
    <row r="1081" ht="15.0" customHeight="1">
      <c r="C1081" s="76"/>
      <c r="E1081" s="72"/>
      <c r="K1081" s="74"/>
      <c r="L1081" s="74"/>
      <c r="O1081" s="75"/>
    </row>
    <row r="1082" ht="15.0" customHeight="1">
      <c r="C1082" s="76"/>
      <c r="E1082" s="72"/>
      <c r="K1082" s="74"/>
      <c r="L1082" s="74"/>
      <c r="O1082" s="75"/>
    </row>
    <row r="1083" ht="15.0" customHeight="1">
      <c r="C1083" s="76"/>
      <c r="E1083" s="72"/>
      <c r="K1083" s="74"/>
      <c r="L1083" s="74"/>
      <c r="O1083" s="75"/>
    </row>
    <row r="1084" ht="15.0" customHeight="1">
      <c r="C1084" s="76"/>
      <c r="E1084" s="72"/>
      <c r="K1084" s="74"/>
      <c r="L1084" s="74"/>
      <c r="O1084" s="75"/>
    </row>
    <row r="1085" ht="15.0" customHeight="1">
      <c r="C1085" s="76"/>
      <c r="E1085" s="72"/>
      <c r="K1085" s="74"/>
      <c r="L1085" s="74"/>
      <c r="O1085" s="75"/>
    </row>
    <row r="1086" ht="15.0" customHeight="1">
      <c r="C1086" s="76"/>
      <c r="E1086" s="72"/>
      <c r="K1086" s="74"/>
      <c r="L1086" s="74"/>
      <c r="O1086" s="75"/>
    </row>
    <row r="1087" ht="15.0" customHeight="1">
      <c r="C1087" s="76"/>
      <c r="E1087" s="72"/>
      <c r="K1087" s="74"/>
      <c r="L1087" s="74"/>
      <c r="O1087" s="75"/>
    </row>
    <row r="1088" ht="15.0" customHeight="1">
      <c r="C1088" s="76"/>
      <c r="E1088" s="72"/>
      <c r="K1088" s="74"/>
      <c r="L1088" s="74"/>
      <c r="O1088" s="75"/>
    </row>
    <row r="1089" ht="15.0" customHeight="1">
      <c r="C1089" s="76"/>
      <c r="E1089" s="72"/>
      <c r="K1089" s="74"/>
      <c r="L1089" s="74"/>
      <c r="O1089" s="75"/>
    </row>
    <row r="1090" ht="15.0" customHeight="1">
      <c r="C1090" s="76"/>
      <c r="E1090" s="72"/>
      <c r="K1090" s="74"/>
      <c r="L1090" s="74"/>
      <c r="O1090" s="75"/>
    </row>
    <row r="1091" ht="15.0" customHeight="1">
      <c r="C1091" s="76"/>
      <c r="E1091" s="72"/>
      <c r="K1091" s="74"/>
      <c r="L1091" s="74"/>
      <c r="O1091" s="75"/>
    </row>
    <row r="1092" ht="15.0" customHeight="1">
      <c r="C1092" s="76"/>
      <c r="E1092" s="72"/>
      <c r="K1092" s="74"/>
      <c r="L1092" s="74"/>
      <c r="O1092" s="75"/>
    </row>
    <row r="1093" ht="15.0" customHeight="1">
      <c r="C1093" s="76"/>
      <c r="E1093" s="72"/>
      <c r="K1093" s="74"/>
      <c r="L1093" s="74"/>
      <c r="O1093" s="75"/>
    </row>
    <row r="1094" ht="15.0" customHeight="1">
      <c r="C1094" s="76"/>
      <c r="E1094" s="72"/>
      <c r="K1094" s="74"/>
      <c r="L1094" s="74"/>
      <c r="O1094" s="75"/>
    </row>
    <row r="1095" ht="15.0" customHeight="1">
      <c r="C1095" s="76"/>
      <c r="E1095" s="72"/>
      <c r="K1095" s="74"/>
      <c r="L1095" s="74"/>
      <c r="O1095" s="75"/>
    </row>
    <row r="1096" ht="15.0" customHeight="1">
      <c r="C1096" s="76"/>
      <c r="E1096" s="72"/>
      <c r="K1096" s="74"/>
      <c r="L1096" s="74"/>
      <c r="O1096" s="75"/>
    </row>
    <row r="1097" ht="15.0" customHeight="1">
      <c r="C1097" s="76"/>
      <c r="E1097" s="72"/>
      <c r="K1097" s="74"/>
      <c r="L1097" s="74"/>
      <c r="O1097" s="75"/>
    </row>
    <row r="1098" ht="15.0" customHeight="1">
      <c r="C1098" s="76"/>
      <c r="E1098" s="72"/>
      <c r="K1098" s="74"/>
      <c r="L1098" s="74"/>
      <c r="O1098" s="75"/>
    </row>
    <row r="1099" ht="15.0" customHeight="1">
      <c r="C1099" s="76"/>
      <c r="E1099" s="72"/>
      <c r="K1099" s="74"/>
      <c r="L1099" s="74"/>
      <c r="O1099" s="75"/>
    </row>
    <row r="1100" ht="15.0" customHeight="1">
      <c r="C1100" s="76"/>
      <c r="E1100" s="72"/>
      <c r="K1100" s="74"/>
      <c r="L1100" s="74"/>
      <c r="O1100" s="75"/>
    </row>
    <row r="1101" ht="15.0" customHeight="1">
      <c r="C1101" s="76"/>
      <c r="E1101" s="72"/>
      <c r="K1101" s="74"/>
      <c r="L1101" s="74"/>
      <c r="O1101" s="75"/>
    </row>
    <row r="1102" ht="15.0" customHeight="1">
      <c r="C1102" s="76"/>
      <c r="E1102" s="72"/>
      <c r="K1102" s="74"/>
      <c r="L1102" s="74"/>
      <c r="O1102" s="75"/>
    </row>
    <row r="1103" ht="15.0" customHeight="1">
      <c r="C1103" s="76"/>
      <c r="E1103" s="72"/>
      <c r="K1103" s="74"/>
      <c r="L1103" s="74"/>
      <c r="O1103" s="75"/>
    </row>
    <row r="1104" ht="15.0" customHeight="1">
      <c r="C1104" s="76"/>
      <c r="E1104" s="72"/>
      <c r="K1104" s="74"/>
      <c r="L1104" s="74"/>
      <c r="O1104" s="75"/>
    </row>
    <row r="1105" ht="15.0" customHeight="1">
      <c r="C1105" s="76"/>
      <c r="E1105" s="72"/>
      <c r="K1105" s="74"/>
      <c r="L1105" s="74"/>
      <c r="O1105" s="75"/>
    </row>
    <row r="1106" ht="15.0" customHeight="1">
      <c r="C1106" s="76"/>
      <c r="E1106" s="72"/>
      <c r="K1106" s="74"/>
      <c r="L1106" s="74"/>
      <c r="O1106" s="75"/>
    </row>
    <row r="1107" ht="15.0" customHeight="1">
      <c r="C1107" s="76"/>
      <c r="E1107" s="72"/>
      <c r="K1107" s="74"/>
      <c r="L1107" s="74"/>
      <c r="O1107" s="75"/>
    </row>
    <row r="1108" ht="15.0" customHeight="1">
      <c r="C1108" s="76"/>
      <c r="E1108" s="72"/>
      <c r="K1108" s="74"/>
      <c r="L1108" s="74"/>
      <c r="O1108" s="75"/>
    </row>
    <row r="1109" ht="15.0" customHeight="1">
      <c r="C1109" s="76"/>
      <c r="E1109" s="72"/>
      <c r="K1109" s="74"/>
      <c r="L1109" s="74"/>
      <c r="O1109" s="75"/>
    </row>
    <row r="1110" ht="15.0" customHeight="1">
      <c r="C1110" s="76"/>
      <c r="E1110" s="72"/>
      <c r="K1110" s="74"/>
      <c r="L1110" s="74"/>
      <c r="O1110" s="75"/>
    </row>
    <row r="1111" ht="15.0" customHeight="1">
      <c r="C1111" s="76"/>
      <c r="E1111" s="72"/>
      <c r="K1111" s="74"/>
      <c r="L1111" s="74"/>
      <c r="O1111" s="75"/>
    </row>
    <row r="1112" ht="15.0" customHeight="1">
      <c r="C1112" s="76"/>
      <c r="E1112" s="72"/>
      <c r="K1112" s="74"/>
      <c r="L1112" s="74"/>
      <c r="O1112" s="75"/>
    </row>
    <row r="1113" ht="15.0" customHeight="1">
      <c r="C1113" s="76"/>
      <c r="E1113" s="72"/>
      <c r="K1113" s="74"/>
      <c r="L1113" s="74"/>
      <c r="O1113" s="75"/>
    </row>
    <row r="1114" ht="15.0" customHeight="1">
      <c r="C1114" s="76"/>
      <c r="E1114" s="72"/>
      <c r="K1114" s="74"/>
      <c r="L1114" s="74"/>
      <c r="O1114" s="75"/>
    </row>
    <row r="1115" ht="15.0" customHeight="1">
      <c r="C1115" s="76"/>
      <c r="E1115" s="72"/>
      <c r="K1115" s="74"/>
      <c r="L1115" s="74"/>
      <c r="O1115" s="75"/>
    </row>
    <row r="1116" ht="15.0" customHeight="1">
      <c r="C1116" s="76"/>
      <c r="E1116" s="72"/>
      <c r="K1116" s="74"/>
      <c r="L1116" s="74"/>
      <c r="O1116" s="75"/>
    </row>
    <row r="1117" ht="15.0" customHeight="1">
      <c r="C1117" s="76"/>
      <c r="E1117" s="72"/>
      <c r="K1117" s="74"/>
      <c r="L1117" s="74"/>
      <c r="O1117" s="75"/>
    </row>
    <row r="1118" ht="15.0" customHeight="1">
      <c r="C1118" s="76"/>
      <c r="E1118" s="72"/>
      <c r="K1118" s="74"/>
      <c r="L1118" s="74"/>
      <c r="O1118" s="75"/>
    </row>
    <row r="1119" ht="15.0" customHeight="1">
      <c r="C1119" s="76"/>
      <c r="E1119" s="72"/>
      <c r="K1119" s="74"/>
      <c r="L1119" s="74"/>
      <c r="O1119" s="75"/>
    </row>
    <row r="1120" ht="15.0" customHeight="1">
      <c r="C1120" s="76"/>
      <c r="E1120" s="72"/>
      <c r="K1120" s="74"/>
      <c r="L1120" s="74"/>
      <c r="O1120" s="75"/>
    </row>
    <row r="1121" ht="15.0" customHeight="1">
      <c r="C1121" s="76"/>
      <c r="E1121" s="72"/>
      <c r="K1121" s="74"/>
      <c r="L1121" s="74"/>
      <c r="O1121" s="75"/>
    </row>
    <row r="1122" ht="15.0" customHeight="1">
      <c r="C1122" s="76"/>
      <c r="E1122" s="72"/>
      <c r="K1122" s="74"/>
      <c r="L1122" s="74"/>
      <c r="O1122" s="75"/>
    </row>
    <row r="1123" ht="15.0" customHeight="1">
      <c r="C1123" s="76"/>
      <c r="E1123" s="72"/>
      <c r="K1123" s="74"/>
      <c r="L1123" s="74"/>
      <c r="O1123" s="75"/>
    </row>
    <row r="1124" ht="15.0" customHeight="1">
      <c r="C1124" s="76"/>
      <c r="E1124" s="72"/>
      <c r="K1124" s="74"/>
      <c r="L1124" s="74"/>
      <c r="O1124" s="75"/>
    </row>
    <row r="1125" ht="15.0" customHeight="1">
      <c r="C1125" s="76"/>
      <c r="E1125" s="72"/>
      <c r="K1125" s="74"/>
      <c r="L1125" s="74"/>
      <c r="O1125" s="75"/>
    </row>
    <row r="1126" ht="15.0" customHeight="1">
      <c r="C1126" s="76"/>
      <c r="E1126" s="72"/>
      <c r="K1126" s="74"/>
      <c r="L1126" s="74"/>
      <c r="O1126" s="75"/>
    </row>
    <row r="1127" ht="15.0" customHeight="1">
      <c r="C1127" s="76"/>
      <c r="E1127" s="72"/>
      <c r="K1127" s="74"/>
      <c r="L1127" s="74"/>
      <c r="O1127" s="75"/>
    </row>
    <row r="1128" ht="15.0" customHeight="1">
      <c r="C1128" s="76"/>
      <c r="E1128" s="72"/>
      <c r="K1128" s="74"/>
      <c r="L1128" s="74"/>
      <c r="O1128" s="75"/>
    </row>
    <row r="1129" ht="15.0" customHeight="1">
      <c r="C1129" s="76"/>
      <c r="E1129" s="72"/>
      <c r="K1129" s="74"/>
      <c r="L1129" s="74"/>
      <c r="O1129" s="75"/>
    </row>
    <row r="1130" ht="15.0" customHeight="1">
      <c r="C1130" s="76"/>
      <c r="E1130" s="72"/>
      <c r="K1130" s="74"/>
      <c r="L1130" s="74"/>
      <c r="O1130" s="75"/>
    </row>
    <row r="1131" ht="15.0" customHeight="1">
      <c r="C1131" s="76"/>
      <c r="E1131" s="72"/>
      <c r="K1131" s="74"/>
      <c r="L1131" s="74"/>
      <c r="O1131" s="75"/>
    </row>
    <row r="1132" ht="15.0" customHeight="1">
      <c r="C1132" s="76"/>
      <c r="E1132" s="72"/>
      <c r="K1132" s="74"/>
      <c r="L1132" s="74"/>
      <c r="O1132" s="75"/>
    </row>
    <row r="1133" ht="15.0" customHeight="1">
      <c r="C1133" s="76"/>
      <c r="E1133" s="72"/>
      <c r="K1133" s="74"/>
      <c r="L1133" s="74"/>
      <c r="O1133" s="75"/>
    </row>
    <row r="1134" ht="15.0" customHeight="1">
      <c r="C1134" s="76"/>
      <c r="E1134" s="72"/>
      <c r="K1134" s="74"/>
      <c r="L1134" s="74"/>
      <c r="O1134" s="75"/>
    </row>
    <row r="1135" ht="15.0" customHeight="1">
      <c r="C1135" s="76"/>
      <c r="E1135" s="72"/>
      <c r="K1135" s="74"/>
      <c r="L1135" s="74"/>
      <c r="O1135" s="75"/>
    </row>
    <row r="1136" ht="15.0" customHeight="1">
      <c r="C1136" s="76"/>
      <c r="E1136" s="72"/>
      <c r="K1136" s="74"/>
      <c r="L1136" s="74"/>
      <c r="O1136" s="75"/>
    </row>
    <row r="1137" ht="15.0" customHeight="1">
      <c r="C1137" s="76"/>
      <c r="E1137" s="72"/>
      <c r="K1137" s="74"/>
      <c r="L1137" s="74"/>
      <c r="O1137" s="75"/>
    </row>
    <row r="1138" ht="15.0" customHeight="1">
      <c r="C1138" s="76"/>
      <c r="E1138" s="72"/>
      <c r="K1138" s="74"/>
      <c r="L1138" s="74"/>
      <c r="O1138" s="75"/>
    </row>
    <row r="1139" ht="15.0" customHeight="1">
      <c r="C1139" s="76"/>
      <c r="E1139" s="72"/>
      <c r="K1139" s="74"/>
      <c r="L1139" s="74"/>
      <c r="O1139" s="75"/>
    </row>
    <row r="1140" ht="15.0" customHeight="1">
      <c r="C1140" s="76"/>
      <c r="E1140" s="72"/>
      <c r="K1140" s="74"/>
      <c r="L1140" s="74"/>
      <c r="O1140" s="75"/>
    </row>
    <row r="1141" ht="15.0" customHeight="1">
      <c r="C1141" s="76"/>
      <c r="E1141" s="72"/>
      <c r="K1141" s="74"/>
      <c r="L1141" s="74"/>
      <c r="O1141" s="75"/>
    </row>
    <row r="1142" ht="15.0" customHeight="1">
      <c r="C1142" s="76"/>
      <c r="E1142" s="72"/>
      <c r="K1142" s="74"/>
      <c r="L1142" s="74"/>
      <c r="O1142" s="75"/>
    </row>
    <row r="1143" ht="15.0" customHeight="1">
      <c r="C1143" s="76"/>
      <c r="E1143" s="72"/>
      <c r="K1143" s="74"/>
      <c r="L1143" s="74"/>
      <c r="O1143" s="75"/>
    </row>
    <row r="1144" ht="15.0" customHeight="1">
      <c r="C1144" s="76"/>
      <c r="E1144" s="72"/>
      <c r="K1144" s="74"/>
      <c r="L1144" s="74"/>
      <c r="O1144" s="75"/>
    </row>
    <row r="1145" ht="15.0" customHeight="1">
      <c r="C1145" s="76"/>
      <c r="E1145" s="72"/>
      <c r="K1145" s="74"/>
      <c r="L1145" s="74"/>
      <c r="O1145" s="75"/>
    </row>
    <row r="1146" ht="15.0" customHeight="1">
      <c r="C1146" s="76"/>
      <c r="E1146" s="72"/>
      <c r="K1146" s="74"/>
      <c r="L1146" s="74"/>
      <c r="O1146" s="75"/>
    </row>
    <row r="1147" ht="15.0" customHeight="1">
      <c r="C1147" s="76"/>
      <c r="E1147" s="72"/>
      <c r="K1147" s="74"/>
      <c r="L1147" s="74"/>
      <c r="O1147" s="75"/>
    </row>
    <row r="1148" ht="15.0" customHeight="1">
      <c r="C1148" s="76"/>
      <c r="E1148" s="72"/>
      <c r="K1148" s="74"/>
      <c r="L1148" s="74"/>
      <c r="O1148" s="75"/>
    </row>
    <row r="1149" ht="15.0" customHeight="1">
      <c r="C1149" s="76"/>
      <c r="E1149" s="72"/>
      <c r="K1149" s="74"/>
      <c r="L1149" s="74"/>
      <c r="O1149" s="75"/>
    </row>
    <row r="1150" ht="15.0" customHeight="1">
      <c r="C1150" s="76"/>
      <c r="E1150" s="72"/>
      <c r="K1150" s="74"/>
      <c r="L1150" s="74"/>
      <c r="O1150" s="75"/>
    </row>
    <row r="1151" ht="15.0" customHeight="1">
      <c r="C1151" s="76"/>
      <c r="E1151" s="72"/>
      <c r="K1151" s="74"/>
      <c r="L1151" s="74"/>
      <c r="O1151" s="75"/>
    </row>
    <row r="1152" ht="15.0" customHeight="1">
      <c r="C1152" s="76"/>
      <c r="E1152" s="72"/>
      <c r="K1152" s="74"/>
      <c r="L1152" s="74"/>
      <c r="O1152" s="75"/>
    </row>
    <row r="1153" ht="15.0" customHeight="1">
      <c r="C1153" s="76"/>
      <c r="E1153" s="72"/>
      <c r="K1153" s="74"/>
      <c r="L1153" s="74"/>
      <c r="O1153" s="75"/>
    </row>
    <row r="1154" ht="15.0" customHeight="1">
      <c r="C1154" s="76"/>
      <c r="E1154" s="72"/>
      <c r="K1154" s="74"/>
      <c r="L1154" s="74"/>
      <c r="O1154" s="75"/>
    </row>
    <row r="1155" ht="15.0" customHeight="1">
      <c r="C1155" s="76"/>
      <c r="E1155" s="72"/>
      <c r="K1155" s="74"/>
      <c r="L1155" s="74"/>
      <c r="O1155" s="75"/>
    </row>
    <row r="1156" ht="15.0" customHeight="1">
      <c r="C1156" s="76"/>
      <c r="E1156" s="72"/>
      <c r="K1156" s="74"/>
      <c r="L1156" s="74"/>
      <c r="O1156" s="75"/>
    </row>
    <row r="1157" ht="15.0" customHeight="1">
      <c r="C1157" s="76"/>
      <c r="E1157" s="72"/>
      <c r="K1157" s="74"/>
      <c r="L1157" s="74"/>
      <c r="O1157" s="75"/>
    </row>
    <row r="1158" ht="15.0" customHeight="1">
      <c r="C1158" s="76"/>
      <c r="E1158" s="72"/>
      <c r="K1158" s="74"/>
      <c r="L1158" s="74"/>
      <c r="O1158" s="75"/>
    </row>
    <row r="1159" ht="15.0" customHeight="1">
      <c r="C1159" s="76"/>
      <c r="E1159" s="72"/>
      <c r="K1159" s="74"/>
      <c r="L1159" s="74"/>
      <c r="O1159" s="75"/>
    </row>
    <row r="1160" ht="15.0" customHeight="1">
      <c r="C1160" s="76"/>
      <c r="E1160" s="72"/>
      <c r="K1160" s="74"/>
      <c r="L1160" s="74"/>
      <c r="O1160" s="75"/>
    </row>
    <row r="1161" ht="15.0" customHeight="1">
      <c r="C1161" s="76"/>
      <c r="E1161" s="72"/>
      <c r="K1161" s="74"/>
      <c r="L1161" s="74"/>
      <c r="O1161" s="75"/>
    </row>
    <row r="1162" ht="15.0" customHeight="1">
      <c r="C1162" s="76"/>
      <c r="E1162" s="72"/>
      <c r="K1162" s="74"/>
      <c r="L1162" s="74"/>
      <c r="O1162" s="75"/>
    </row>
    <row r="1163" ht="15.0" customHeight="1">
      <c r="C1163" s="76"/>
      <c r="E1163" s="72"/>
      <c r="K1163" s="74"/>
      <c r="L1163" s="74"/>
      <c r="O1163" s="75"/>
    </row>
    <row r="1164" ht="15.0" customHeight="1">
      <c r="C1164" s="76"/>
      <c r="E1164" s="72"/>
      <c r="K1164" s="74"/>
      <c r="L1164" s="74"/>
      <c r="O1164" s="75"/>
    </row>
    <row r="1165" ht="15.0" customHeight="1">
      <c r="C1165" s="76"/>
      <c r="E1165" s="72"/>
      <c r="K1165" s="74"/>
      <c r="L1165" s="74"/>
      <c r="O1165" s="75"/>
    </row>
    <row r="1166" ht="15.0" customHeight="1">
      <c r="C1166" s="76"/>
      <c r="E1166" s="72"/>
      <c r="K1166" s="74"/>
      <c r="L1166" s="74"/>
      <c r="O1166" s="75"/>
    </row>
    <row r="1167" ht="15.0" customHeight="1">
      <c r="C1167" s="76"/>
      <c r="E1167" s="72"/>
      <c r="K1167" s="74"/>
      <c r="L1167" s="74"/>
      <c r="O1167" s="75"/>
    </row>
    <row r="1168" ht="15.0" customHeight="1">
      <c r="C1168" s="76"/>
      <c r="E1168" s="72"/>
      <c r="K1168" s="74"/>
      <c r="L1168" s="74"/>
      <c r="O1168" s="75"/>
    </row>
    <row r="1169" ht="15.0" customHeight="1">
      <c r="C1169" s="76"/>
      <c r="E1169" s="72"/>
      <c r="K1169" s="74"/>
      <c r="L1169" s="74"/>
      <c r="O1169" s="75"/>
    </row>
    <row r="1170" ht="15.0" customHeight="1">
      <c r="C1170" s="76"/>
      <c r="E1170" s="72"/>
      <c r="K1170" s="74"/>
      <c r="L1170" s="74"/>
      <c r="O1170" s="75"/>
    </row>
    <row r="1171" ht="15.0" customHeight="1">
      <c r="C1171" s="76"/>
      <c r="E1171" s="72"/>
      <c r="K1171" s="74"/>
      <c r="L1171" s="74"/>
      <c r="O1171" s="75"/>
    </row>
    <row r="1172" ht="15.0" customHeight="1">
      <c r="C1172" s="76"/>
      <c r="E1172" s="72"/>
      <c r="K1172" s="74"/>
      <c r="L1172" s="74"/>
      <c r="O1172" s="75"/>
    </row>
    <row r="1173" ht="15.0" customHeight="1">
      <c r="C1173" s="76"/>
      <c r="E1173" s="72"/>
      <c r="K1173" s="74"/>
      <c r="L1173" s="74"/>
      <c r="O1173" s="75"/>
    </row>
    <row r="1174" ht="15.0" customHeight="1">
      <c r="C1174" s="76"/>
      <c r="E1174" s="72"/>
      <c r="K1174" s="74"/>
      <c r="L1174" s="74"/>
      <c r="O1174" s="75"/>
    </row>
    <row r="1175" ht="15.0" customHeight="1">
      <c r="C1175" s="76"/>
      <c r="E1175" s="72"/>
      <c r="K1175" s="74"/>
      <c r="L1175" s="74"/>
      <c r="O1175" s="75"/>
    </row>
    <row r="1176" ht="15.0" customHeight="1">
      <c r="C1176" s="76"/>
      <c r="E1176" s="72"/>
      <c r="K1176" s="74"/>
      <c r="L1176" s="74"/>
      <c r="O1176" s="75"/>
    </row>
    <row r="1177" ht="15.0" customHeight="1">
      <c r="C1177" s="76"/>
      <c r="E1177" s="72"/>
      <c r="K1177" s="74"/>
      <c r="L1177" s="74"/>
      <c r="O1177" s="75"/>
    </row>
    <row r="1178" ht="15.0" customHeight="1">
      <c r="C1178" s="76"/>
      <c r="E1178" s="72"/>
      <c r="K1178" s="74"/>
      <c r="L1178" s="74"/>
      <c r="O1178" s="75"/>
    </row>
    <row r="1179" ht="15.0" customHeight="1">
      <c r="C1179" s="76"/>
      <c r="E1179" s="72"/>
      <c r="K1179" s="74"/>
      <c r="L1179" s="74"/>
      <c r="O1179" s="75"/>
    </row>
    <row r="1180" ht="15.0" customHeight="1">
      <c r="C1180" s="76"/>
      <c r="E1180" s="72"/>
      <c r="K1180" s="74"/>
      <c r="L1180" s="74"/>
      <c r="O1180" s="75"/>
    </row>
    <row r="1181" ht="15.0" customHeight="1">
      <c r="C1181" s="76"/>
      <c r="E1181" s="72"/>
      <c r="K1181" s="74"/>
      <c r="L1181" s="74"/>
      <c r="O1181" s="75"/>
    </row>
    <row r="1182" ht="15.0" customHeight="1">
      <c r="C1182" s="76"/>
      <c r="E1182" s="72"/>
      <c r="K1182" s="74"/>
      <c r="L1182" s="74"/>
      <c r="O1182" s="75"/>
    </row>
    <row r="1183" ht="15.0" customHeight="1">
      <c r="C1183" s="76"/>
      <c r="E1183" s="72"/>
      <c r="K1183" s="74"/>
      <c r="L1183" s="74"/>
      <c r="O1183" s="75"/>
    </row>
    <row r="1184" ht="15.0" customHeight="1">
      <c r="C1184" s="76"/>
      <c r="E1184" s="72"/>
      <c r="K1184" s="74"/>
      <c r="L1184" s="74"/>
      <c r="O1184" s="75"/>
    </row>
    <row r="1185" ht="15.0" customHeight="1">
      <c r="C1185" s="76"/>
      <c r="E1185" s="72"/>
      <c r="K1185" s="74"/>
      <c r="L1185" s="74"/>
      <c r="O1185" s="75"/>
    </row>
    <row r="1186" ht="15.0" customHeight="1">
      <c r="C1186" s="76"/>
      <c r="E1186" s="72"/>
      <c r="K1186" s="74"/>
      <c r="L1186" s="74"/>
      <c r="O1186" s="75"/>
    </row>
    <row r="1187" ht="15.0" customHeight="1">
      <c r="C1187" s="76"/>
      <c r="E1187" s="72"/>
      <c r="K1187" s="74"/>
      <c r="L1187" s="74"/>
      <c r="O1187" s="75"/>
    </row>
    <row r="1188" ht="15.0" customHeight="1">
      <c r="C1188" s="76"/>
      <c r="E1188" s="72"/>
      <c r="K1188" s="74"/>
      <c r="L1188" s="74"/>
      <c r="O1188" s="75"/>
    </row>
    <row r="1189" ht="15.0" customHeight="1">
      <c r="C1189" s="76"/>
      <c r="E1189" s="72"/>
      <c r="K1189" s="74"/>
      <c r="L1189" s="74"/>
      <c r="O1189" s="75"/>
    </row>
    <row r="1190" ht="15.0" customHeight="1">
      <c r="C1190" s="76"/>
      <c r="E1190" s="72"/>
      <c r="K1190" s="74"/>
      <c r="L1190" s="74"/>
      <c r="O1190" s="75"/>
    </row>
    <row r="1191" ht="15.0" customHeight="1">
      <c r="C1191" s="76"/>
      <c r="E1191" s="72"/>
      <c r="K1191" s="74"/>
      <c r="L1191" s="74"/>
      <c r="O1191" s="75"/>
    </row>
    <row r="1192" ht="15.0" customHeight="1">
      <c r="C1192" s="76"/>
      <c r="E1192" s="72"/>
      <c r="K1192" s="74"/>
      <c r="L1192" s="74"/>
      <c r="O1192" s="75"/>
    </row>
    <row r="1193" ht="15.0" customHeight="1">
      <c r="C1193" s="76"/>
      <c r="E1193" s="72"/>
      <c r="K1193" s="74"/>
      <c r="L1193" s="74"/>
      <c r="O1193" s="75"/>
    </row>
    <row r="1194" ht="15.0" customHeight="1">
      <c r="C1194" s="76"/>
      <c r="E1194" s="72"/>
      <c r="K1194" s="74"/>
      <c r="L1194" s="74"/>
      <c r="O1194" s="75"/>
    </row>
    <row r="1195" ht="15.0" customHeight="1">
      <c r="C1195" s="76"/>
      <c r="E1195" s="72"/>
      <c r="K1195" s="74"/>
      <c r="L1195" s="74"/>
      <c r="O1195" s="75"/>
    </row>
    <row r="1196" ht="15.0" customHeight="1">
      <c r="C1196" s="76"/>
      <c r="E1196" s="72"/>
      <c r="K1196" s="74"/>
      <c r="L1196" s="74"/>
      <c r="O1196" s="75"/>
    </row>
    <row r="1197" ht="15.0" customHeight="1">
      <c r="C1197" s="76"/>
      <c r="E1197" s="72"/>
      <c r="K1197" s="74"/>
      <c r="L1197" s="74"/>
      <c r="O1197" s="75"/>
    </row>
    <row r="1198" ht="15.0" customHeight="1">
      <c r="C1198" s="76"/>
      <c r="E1198" s="72"/>
      <c r="K1198" s="74"/>
      <c r="L1198" s="74"/>
      <c r="O1198" s="75"/>
    </row>
    <row r="1199" ht="15.0" customHeight="1">
      <c r="C1199" s="76"/>
      <c r="E1199" s="72"/>
      <c r="K1199" s="74"/>
      <c r="L1199" s="74"/>
      <c r="O1199" s="75"/>
    </row>
    <row r="1200" ht="15.0" customHeight="1">
      <c r="C1200" s="76"/>
      <c r="E1200" s="72"/>
      <c r="K1200" s="74"/>
      <c r="L1200" s="74"/>
      <c r="O1200" s="75"/>
    </row>
    <row r="1201" ht="15.0" customHeight="1">
      <c r="C1201" s="76"/>
      <c r="E1201" s="72"/>
      <c r="K1201" s="74"/>
      <c r="L1201" s="74"/>
      <c r="O1201" s="75"/>
    </row>
    <row r="1202" ht="15.0" customHeight="1">
      <c r="C1202" s="76"/>
      <c r="E1202" s="72"/>
      <c r="K1202" s="74"/>
      <c r="L1202" s="74"/>
      <c r="O1202" s="75"/>
    </row>
    <row r="1203" ht="15.0" customHeight="1">
      <c r="C1203" s="76"/>
      <c r="E1203" s="72"/>
      <c r="K1203" s="74"/>
      <c r="L1203" s="74"/>
      <c r="O1203" s="75"/>
    </row>
    <row r="1204" ht="15.0" customHeight="1">
      <c r="C1204" s="76"/>
      <c r="E1204" s="72"/>
      <c r="K1204" s="74"/>
      <c r="L1204" s="74"/>
      <c r="O1204" s="75"/>
    </row>
    <row r="1205" ht="15.0" customHeight="1">
      <c r="C1205" s="76"/>
      <c r="E1205" s="72"/>
      <c r="K1205" s="74"/>
      <c r="L1205" s="74"/>
      <c r="O1205" s="75"/>
    </row>
    <row r="1206" ht="15.0" customHeight="1">
      <c r="C1206" s="76"/>
      <c r="E1206" s="72"/>
      <c r="K1206" s="74"/>
      <c r="L1206" s="74"/>
      <c r="O1206" s="75"/>
    </row>
    <row r="1207" ht="15.0" customHeight="1">
      <c r="C1207" s="76"/>
      <c r="E1207" s="72"/>
      <c r="K1207" s="74"/>
      <c r="L1207" s="74"/>
      <c r="O1207" s="75"/>
    </row>
    <row r="1208" ht="15.0" customHeight="1">
      <c r="C1208" s="76"/>
      <c r="E1208" s="72"/>
      <c r="K1208" s="74"/>
      <c r="L1208" s="74"/>
      <c r="O1208" s="75"/>
    </row>
    <row r="1209" ht="15.0" customHeight="1">
      <c r="C1209" s="76"/>
      <c r="E1209" s="72"/>
      <c r="K1209" s="74"/>
      <c r="L1209" s="74"/>
      <c r="O1209" s="75"/>
    </row>
    <row r="1210" ht="15.0" customHeight="1">
      <c r="C1210" s="76"/>
      <c r="E1210" s="72"/>
      <c r="K1210" s="74"/>
      <c r="L1210" s="74"/>
      <c r="O1210" s="75"/>
    </row>
    <row r="1211" ht="15.0" customHeight="1">
      <c r="C1211" s="76"/>
      <c r="E1211" s="72"/>
      <c r="K1211" s="74"/>
      <c r="L1211" s="74"/>
      <c r="O1211" s="75"/>
    </row>
    <row r="1212" ht="15.0" customHeight="1">
      <c r="C1212" s="76"/>
      <c r="E1212" s="72"/>
      <c r="K1212" s="74"/>
      <c r="L1212" s="74"/>
      <c r="O1212" s="75"/>
    </row>
    <row r="1213" ht="15.0" customHeight="1">
      <c r="C1213" s="76"/>
      <c r="E1213" s="72"/>
      <c r="K1213" s="74"/>
      <c r="L1213" s="74"/>
      <c r="O1213" s="75"/>
    </row>
    <row r="1214" ht="15.0" customHeight="1">
      <c r="C1214" s="76"/>
      <c r="E1214" s="72"/>
      <c r="K1214" s="74"/>
      <c r="L1214" s="74"/>
      <c r="O1214" s="75"/>
    </row>
    <row r="1215" ht="15.0" customHeight="1">
      <c r="C1215" s="76"/>
      <c r="E1215" s="72"/>
      <c r="K1215" s="74"/>
      <c r="L1215" s="74"/>
      <c r="O1215" s="75"/>
    </row>
    <row r="1216" ht="15.0" customHeight="1">
      <c r="C1216" s="76"/>
      <c r="E1216" s="72"/>
      <c r="K1216" s="74"/>
      <c r="L1216" s="74"/>
      <c r="O1216" s="75"/>
    </row>
    <row r="1217" ht="15.0" customHeight="1">
      <c r="C1217" s="76"/>
      <c r="E1217" s="72"/>
      <c r="K1217" s="74"/>
      <c r="L1217" s="74"/>
      <c r="O1217" s="75"/>
    </row>
    <row r="1218" ht="15.0" customHeight="1">
      <c r="C1218" s="76"/>
      <c r="E1218" s="72"/>
      <c r="K1218" s="74"/>
      <c r="L1218" s="74"/>
      <c r="O1218" s="75"/>
    </row>
    <row r="1219" ht="15.0" customHeight="1">
      <c r="C1219" s="76"/>
      <c r="E1219" s="72"/>
      <c r="K1219" s="74"/>
      <c r="L1219" s="74"/>
      <c r="O1219" s="75"/>
    </row>
    <row r="1220" ht="15.0" customHeight="1">
      <c r="C1220" s="76"/>
      <c r="E1220" s="72"/>
      <c r="K1220" s="74"/>
      <c r="L1220" s="74"/>
      <c r="O1220" s="75"/>
    </row>
    <row r="1221" ht="15.0" customHeight="1">
      <c r="C1221" s="76"/>
      <c r="E1221" s="72"/>
      <c r="K1221" s="74"/>
      <c r="L1221" s="74"/>
      <c r="O1221" s="75"/>
    </row>
    <row r="1222" ht="15.0" customHeight="1">
      <c r="C1222" s="76"/>
      <c r="E1222" s="72"/>
      <c r="K1222" s="74"/>
      <c r="L1222" s="74"/>
      <c r="O1222" s="75"/>
    </row>
    <row r="1223" ht="15.0" customHeight="1">
      <c r="C1223" s="76"/>
      <c r="E1223" s="72"/>
      <c r="K1223" s="74"/>
      <c r="L1223" s="74"/>
      <c r="O1223" s="75"/>
    </row>
    <row r="1224" ht="15.0" customHeight="1">
      <c r="C1224" s="76"/>
      <c r="E1224" s="72"/>
      <c r="K1224" s="74"/>
      <c r="L1224" s="74"/>
      <c r="O1224" s="75"/>
    </row>
    <row r="1225" ht="15.0" customHeight="1">
      <c r="C1225" s="76"/>
      <c r="E1225" s="72"/>
      <c r="K1225" s="74"/>
      <c r="L1225" s="74"/>
      <c r="O1225" s="75"/>
    </row>
    <row r="1226" ht="15.0" customHeight="1">
      <c r="C1226" s="76"/>
      <c r="E1226" s="72"/>
      <c r="K1226" s="74"/>
      <c r="L1226" s="74"/>
      <c r="O1226" s="75"/>
    </row>
    <row r="1227" ht="15.0" customHeight="1">
      <c r="C1227" s="76"/>
      <c r="E1227" s="72"/>
      <c r="K1227" s="74"/>
      <c r="L1227" s="74"/>
      <c r="O1227" s="75"/>
    </row>
    <row r="1228" ht="15.0" customHeight="1">
      <c r="C1228" s="76"/>
      <c r="E1228" s="72"/>
      <c r="K1228" s="74"/>
      <c r="L1228" s="74"/>
      <c r="O1228" s="75"/>
    </row>
    <row r="1229" ht="15.0" customHeight="1">
      <c r="C1229" s="76"/>
      <c r="E1229" s="72"/>
      <c r="K1229" s="74"/>
      <c r="L1229" s="74"/>
      <c r="O1229" s="75"/>
    </row>
    <row r="1230" ht="15.0" customHeight="1">
      <c r="C1230" s="76"/>
      <c r="E1230" s="72"/>
      <c r="K1230" s="74"/>
      <c r="L1230" s="74"/>
      <c r="O1230" s="75"/>
    </row>
    <row r="1231" ht="15.0" customHeight="1">
      <c r="C1231" s="76"/>
      <c r="E1231" s="72"/>
      <c r="K1231" s="74"/>
      <c r="L1231" s="74"/>
      <c r="O1231" s="75"/>
    </row>
    <row r="1232" ht="15.0" customHeight="1">
      <c r="C1232" s="76"/>
      <c r="E1232" s="72"/>
      <c r="K1232" s="74"/>
      <c r="L1232" s="74"/>
      <c r="O1232" s="75"/>
    </row>
    <row r="1233" ht="15.0" customHeight="1">
      <c r="C1233" s="76"/>
      <c r="E1233" s="72"/>
      <c r="K1233" s="74"/>
      <c r="L1233" s="74"/>
      <c r="O1233" s="75"/>
    </row>
    <row r="1234" ht="15.0" customHeight="1">
      <c r="C1234" s="76"/>
      <c r="E1234" s="72"/>
      <c r="K1234" s="74"/>
      <c r="L1234" s="74"/>
      <c r="O1234" s="75"/>
    </row>
    <row r="1235" ht="15.0" customHeight="1">
      <c r="C1235" s="76"/>
      <c r="E1235" s="72"/>
      <c r="K1235" s="74"/>
      <c r="L1235" s="74"/>
      <c r="O1235" s="75"/>
    </row>
    <row r="1236" ht="15.0" customHeight="1">
      <c r="C1236" s="76"/>
      <c r="E1236" s="72"/>
      <c r="K1236" s="74"/>
      <c r="L1236" s="74"/>
      <c r="O1236" s="75"/>
    </row>
    <row r="1237" ht="15.0" customHeight="1">
      <c r="C1237" s="76"/>
      <c r="E1237" s="72"/>
      <c r="K1237" s="74"/>
      <c r="L1237" s="74"/>
      <c r="O1237" s="75"/>
    </row>
    <row r="1238" ht="15.0" customHeight="1">
      <c r="C1238" s="76"/>
      <c r="E1238" s="72"/>
      <c r="K1238" s="74"/>
      <c r="L1238" s="74"/>
      <c r="O1238" s="75"/>
    </row>
    <row r="1239" ht="15.0" customHeight="1">
      <c r="C1239" s="76"/>
      <c r="E1239" s="72"/>
      <c r="K1239" s="74"/>
      <c r="L1239" s="74"/>
      <c r="O1239" s="75"/>
    </row>
    <row r="1240" ht="15.0" customHeight="1">
      <c r="C1240" s="76"/>
      <c r="E1240" s="72"/>
      <c r="K1240" s="74"/>
      <c r="L1240" s="74"/>
      <c r="O1240" s="75"/>
    </row>
    <row r="1241" ht="15.0" customHeight="1">
      <c r="C1241" s="76"/>
      <c r="E1241" s="72"/>
      <c r="K1241" s="74"/>
      <c r="L1241" s="74"/>
      <c r="O1241" s="75"/>
    </row>
    <row r="1242" ht="15.0" customHeight="1">
      <c r="C1242" s="76"/>
      <c r="E1242" s="72"/>
      <c r="K1242" s="74"/>
      <c r="L1242" s="74"/>
      <c r="O1242" s="75"/>
    </row>
    <row r="1243" ht="15.0" customHeight="1">
      <c r="C1243" s="76"/>
      <c r="E1243" s="72"/>
      <c r="K1243" s="74"/>
      <c r="L1243" s="74"/>
      <c r="O1243" s="75"/>
    </row>
    <row r="1244" ht="15.0" customHeight="1">
      <c r="C1244" s="76"/>
      <c r="E1244" s="72"/>
      <c r="K1244" s="74"/>
      <c r="L1244" s="74"/>
      <c r="O1244" s="75"/>
    </row>
    <row r="1245" ht="15.0" customHeight="1">
      <c r="C1245" s="76"/>
      <c r="E1245" s="72"/>
      <c r="K1245" s="74"/>
      <c r="L1245" s="74"/>
      <c r="O1245" s="75"/>
    </row>
    <row r="1246" ht="15.0" customHeight="1">
      <c r="C1246" s="76"/>
      <c r="E1246" s="72"/>
      <c r="K1246" s="74"/>
      <c r="L1246" s="74"/>
      <c r="O1246" s="75"/>
    </row>
    <row r="1247" ht="15.0" customHeight="1">
      <c r="C1247" s="76"/>
      <c r="E1247" s="72"/>
      <c r="K1247" s="74"/>
      <c r="L1247" s="74"/>
      <c r="O1247" s="75"/>
    </row>
    <row r="1248" ht="15.0" customHeight="1">
      <c r="C1248" s="76"/>
      <c r="E1248" s="72"/>
      <c r="K1248" s="74"/>
      <c r="L1248" s="74"/>
      <c r="O1248" s="75"/>
    </row>
    <row r="1249" ht="15.0" customHeight="1">
      <c r="C1249" s="76"/>
      <c r="E1249" s="72"/>
      <c r="K1249" s="74"/>
      <c r="L1249" s="74"/>
      <c r="O1249" s="75"/>
    </row>
    <row r="1250" ht="15.0" customHeight="1">
      <c r="C1250" s="76"/>
      <c r="E1250" s="72"/>
      <c r="K1250" s="74"/>
      <c r="L1250" s="74"/>
      <c r="O1250" s="75"/>
    </row>
    <row r="1251" ht="15.0" customHeight="1">
      <c r="C1251" s="76"/>
      <c r="E1251" s="72"/>
      <c r="K1251" s="74"/>
      <c r="L1251" s="74"/>
      <c r="O1251" s="75"/>
    </row>
    <row r="1252" ht="15.0" customHeight="1">
      <c r="C1252" s="76"/>
      <c r="E1252" s="72"/>
      <c r="K1252" s="74"/>
      <c r="L1252" s="74"/>
      <c r="O1252" s="75"/>
    </row>
    <row r="1253" ht="15.0" customHeight="1">
      <c r="C1253" s="76"/>
      <c r="E1253" s="72"/>
      <c r="K1253" s="74"/>
      <c r="L1253" s="74"/>
      <c r="O1253" s="75"/>
    </row>
    <row r="1254" ht="15.0" customHeight="1">
      <c r="C1254" s="76"/>
      <c r="E1254" s="72"/>
      <c r="K1254" s="74"/>
      <c r="L1254" s="74"/>
      <c r="O1254" s="75"/>
    </row>
    <row r="1255" ht="15.0" customHeight="1">
      <c r="C1255" s="76"/>
      <c r="E1255" s="72"/>
      <c r="K1255" s="74"/>
      <c r="L1255" s="74"/>
      <c r="O1255" s="75"/>
    </row>
    <row r="1256" ht="15.0" customHeight="1">
      <c r="C1256" s="76"/>
      <c r="E1256" s="72"/>
      <c r="K1256" s="74"/>
      <c r="L1256" s="74"/>
      <c r="O1256" s="75"/>
    </row>
    <row r="1257" ht="15.0" customHeight="1">
      <c r="C1257" s="76"/>
      <c r="E1257" s="72"/>
      <c r="K1257" s="74"/>
      <c r="L1257" s="74"/>
      <c r="O1257" s="75"/>
    </row>
    <row r="1258" ht="15.0" customHeight="1">
      <c r="C1258" s="76"/>
      <c r="E1258" s="72"/>
      <c r="K1258" s="74"/>
      <c r="L1258" s="74"/>
      <c r="O1258" s="75"/>
    </row>
    <row r="1259" ht="15.0" customHeight="1">
      <c r="C1259" s="76"/>
      <c r="E1259" s="72"/>
      <c r="K1259" s="74"/>
      <c r="L1259" s="74"/>
      <c r="O1259" s="75"/>
    </row>
    <row r="1260" ht="15.0" customHeight="1">
      <c r="C1260" s="76"/>
      <c r="E1260" s="72"/>
      <c r="K1260" s="74"/>
      <c r="L1260" s="74"/>
      <c r="O1260" s="75"/>
    </row>
    <row r="1261" ht="15.0" customHeight="1">
      <c r="C1261" s="76"/>
      <c r="E1261" s="72"/>
      <c r="K1261" s="74"/>
      <c r="L1261" s="74"/>
      <c r="O1261" s="75"/>
    </row>
    <row r="1262" ht="15.0" customHeight="1">
      <c r="C1262" s="76"/>
      <c r="E1262" s="72"/>
      <c r="K1262" s="74"/>
      <c r="L1262" s="74"/>
      <c r="O1262" s="75"/>
    </row>
    <row r="1263" ht="15.0" customHeight="1">
      <c r="C1263" s="76"/>
      <c r="E1263" s="72"/>
      <c r="K1263" s="74"/>
      <c r="L1263" s="74"/>
      <c r="O1263" s="75"/>
    </row>
    <row r="1264" ht="15.0" customHeight="1">
      <c r="C1264" s="76"/>
      <c r="E1264" s="72"/>
      <c r="K1264" s="74"/>
      <c r="L1264" s="74"/>
      <c r="O1264" s="75"/>
    </row>
    <row r="1265" ht="15.0" customHeight="1">
      <c r="C1265" s="76"/>
      <c r="E1265" s="72"/>
      <c r="K1265" s="74"/>
      <c r="L1265" s="74"/>
      <c r="O1265" s="75"/>
    </row>
    <row r="1266" ht="15.0" customHeight="1">
      <c r="C1266" s="76"/>
      <c r="E1266" s="72"/>
      <c r="K1266" s="74"/>
      <c r="L1266" s="74"/>
      <c r="O1266" s="75"/>
    </row>
    <row r="1267" ht="15.0" customHeight="1">
      <c r="C1267" s="76"/>
      <c r="E1267" s="72"/>
      <c r="K1267" s="74"/>
      <c r="L1267" s="74"/>
      <c r="O1267" s="75"/>
    </row>
    <row r="1268" ht="15.0" customHeight="1">
      <c r="C1268" s="76"/>
      <c r="E1268" s="72"/>
      <c r="K1268" s="74"/>
      <c r="L1268" s="74"/>
      <c r="O1268" s="75"/>
    </row>
    <row r="1269" ht="15.0" customHeight="1">
      <c r="C1269" s="76"/>
      <c r="E1269" s="72"/>
      <c r="K1269" s="74"/>
      <c r="L1269" s="74"/>
      <c r="O1269" s="75"/>
    </row>
    <row r="1270" ht="15.0" customHeight="1">
      <c r="C1270" s="76"/>
      <c r="E1270" s="72"/>
      <c r="K1270" s="74"/>
      <c r="L1270" s="74"/>
      <c r="O1270" s="75"/>
    </row>
    <row r="1271" ht="15.0" customHeight="1">
      <c r="C1271" s="76"/>
      <c r="E1271" s="72"/>
      <c r="K1271" s="74"/>
      <c r="L1271" s="74"/>
      <c r="O1271" s="75"/>
    </row>
    <row r="1272" ht="15.0" customHeight="1">
      <c r="C1272" s="76"/>
      <c r="E1272" s="72"/>
      <c r="K1272" s="74"/>
      <c r="L1272" s="74"/>
      <c r="O1272" s="75"/>
    </row>
    <row r="1273" ht="15.0" customHeight="1">
      <c r="C1273" s="76"/>
      <c r="E1273" s="72"/>
      <c r="K1273" s="74"/>
      <c r="L1273" s="74"/>
      <c r="O1273" s="75"/>
    </row>
    <row r="1274" ht="15.0" customHeight="1">
      <c r="C1274" s="76"/>
      <c r="E1274" s="72"/>
      <c r="K1274" s="74"/>
      <c r="L1274" s="74"/>
      <c r="O1274" s="75"/>
    </row>
    <row r="1275" ht="15.0" customHeight="1">
      <c r="C1275" s="76"/>
      <c r="E1275" s="72"/>
      <c r="K1275" s="74"/>
      <c r="L1275" s="74"/>
      <c r="O1275" s="75"/>
    </row>
    <row r="1276" ht="15.0" customHeight="1">
      <c r="C1276" s="76"/>
      <c r="E1276" s="72"/>
      <c r="K1276" s="74"/>
      <c r="L1276" s="74"/>
      <c r="O1276" s="75"/>
    </row>
    <row r="1277" ht="15.0" customHeight="1">
      <c r="C1277" s="76"/>
      <c r="E1277" s="72"/>
      <c r="K1277" s="74"/>
      <c r="L1277" s="74"/>
      <c r="O1277" s="75"/>
    </row>
    <row r="1278" ht="15.0" customHeight="1">
      <c r="C1278" s="76"/>
      <c r="E1278" s="72"/>
      <c r="K1278" s="74"/>
      <c r="L1278" s="74"/>
      <c r="O1278" s="75"/>
    </row>
    <row r="1279" ht="15.0" customHeight="1">
      <c r="C1279" s="76"/>
      <c r="E1279" s="72"/>
      <c r="K1279" s="74"/>
      <c r="L1279" s="74"/>
      <c r="O1279" s="75"/>
    </row>
    <row r="1280" ht="15.0" customHeight="1">
      <c r="C1280" s="76"/>
      <c r="E1280" s="72"/>
      <c r="K1280" s="74"/>
      <c r="L1280" s="74"/>
      <c r="O1280" s="75"/>
    </row>
    <row r="1281" ht="15.0" customHeight="1">
      <c r="C1281" s="76"/>
      <c r="E1281" s="72"/>
      <c r="K1281" s="74"/>
      <c r="L1281" s="74"/>
      <c r="O1281" s="75"/>
    </row>
    <row r="1282" ht="15.0" customHeight="1">
      <c r="C1282" s="76"/>
      <c r="E1282" s="72"/>
      <c r="K1282" s="74"/>
      <c r="L1282" s="74"/>
      <c r="O1282" s="75"/>
    </row>
    <row r="1283" ht="15.0" customHeight="1">
      <c r="C1283" s="76"/>
      <c r="E1283" s="72"/>
      <c r="K1283" s="74"/>
      <c r="L1283" s="74"/>
      <c r="O1283" s="75"/>
    </row>
    <row r="1284" ht="15.0" customHeight="1">
      <c r="C1284" s="76"/>
      <c r="E1284" s="72"/>
      <c r="K1284" s="74"/>
      <c r="L1284" s="74"/>
      <c r="O1284" s="75"/>
    </row>
    <row r="1285" ht="15.0" customHeight="1">
      <c r="C1285" s="76"/>
      <c r="E1285" s="72"/>
      <c r="K1285" s="74"/>
      <c r="L1285" s="74"/>
      <c r="O1285" s="75"/>
    </row>
    <row r="1286" ht="15.0" customHeight="1">
      <c r="C1286" s="76"/>
      <c r="E1286" s="72"/>
      <c r="K1286" s="74"/>
      <c r="L1286" s="74"/>
      <c r="O1286" s="75"/>
    </row>
    <row r="1287" ht="15.0" customHeight="1">
      <c r="C1287" s="76"/>
      <c r="E1287" s="72"/>
      <c r="K1287" s="74"/>
      <c r="L1287" s="74"/>
      <c r="O1287" s="75"/>
    </row>
    <row r="1288" ht="15.0" customHeight="1">
      <c r="C1288" s="76"/>
      <c r="E1288" s="72"/>
      <c r="K1288" s="74"/>
      <c r="L1288" s="74"/>
      <c r="O1288" s="75"/>
    </row>
    <row r="1289" ht="15.0" customHeight="1">
      <c r="C1289" s="76"/>
      <c r="E1289" s="72"/>
      <c r="K1289" s="74"/>
      <c r="L1289" s="74"/>
      <c r="O1289" s="75"/>
    </row>
    <row r="1290" ht="15.0" customHeight="1">
      <c r="C1290" s="76"/>
      <c r="E1290" s="72"/>
      <c r="K1290" s="74"/>
      <c r="L1290" s="74"/>
      <c r="O1290" s="75"/>
    </row>
    <row r="1291" ht="15.0" customHeight="1">
      <c r="C1291" s="76"/>
      <c r="E1291" s="72"/>
      <c r="K1291" s="74"/>
      <c r="L1291" s="74"/>
      <c r="O1291" s="75"/>
    </row>
    <row r="1292" ht="15.0" customHeight="1">
      <c r="C1292" s="76"/>
      <c r="E1292" s="72"/>
      <c r="K1292" s="74"/>
      <c r="L1292" s="74"/>
      <c r="O1292" s="75"/>
    </row>
    <row r="1293" ht="15.0" customHeight="1">
      <c r="C1293" s="76"/>
      <c r="E1293" s="72"/>
      <c r="K1293" s="74"/>
      <c r="L1293" s="74"/>
      <c r="O1293" s="75"/>
    </row>
    <row r="1294" ht="15.0" customHeight="1">
      <c r="C1294" s="76"/>
      <c r="E1294" s="72"/>
      <c r="K1294" s="74"/>
      <c r="L1294" s="74"/>
      <c r="O1294" s="75"/>
    </row>
    <row r="1295" ht="15.0" customHeight="1">
      <c r="C1295" s="76"/>
      <c r="E1295" s="72"/>
      <c r="K1295" s="74"/>
      <c r="L1295" s="74"/>
      <c r="O1295" s="75"/>
    </row>
    <row r="1296" ht="15.0" customHeight="1">
      <c r="C1296" s="76"/>
      <c r="E1296" s="72"/>
      <c r="K1296" s="74"/>
      <c r="L1296" s="74"/>
      <c r="O1296" s="75"/>
    </row>
    <row r="1297" ht="15.0" customHeight="1">
      <c r="C1297" s="76"/>
      <c r="E1297" s="72"/>
      <c r="K1297" s="74"/>
      <c r="L1297" s="74"/>
      <c r="O1297" s="75"/>
    </row>
    <row r="1298" ht="15.0" customHeight="1">
      <c r="C1298" s="76"/>
      <c r="E1298" s="72"/>
      <c r="K1298" s="74"/>
      <c r="L1298" s="74"/>
      <c r="O1298" s="75"/>
    </row>
    <row r="1299" ht="15.0" customHeight="1">
      <c r="C1299" s="76"/>
      <c r="E1299" s="72"/>
      <c r="K1299" s="74"/>
      <c r="L1299" s="74"/>
      <c r="O1299" s="75"/>
    </row>
    <row r="1300" ht="15.0" customHeight="1">
      <c r="C1300" s="76"/>
      <c r="E1300" s="72"/>
      <c r="K1300" s="74"/>
      <c r="L1300" s="74"/>
      <c r="O1300" s="75"/>
    </row>
    <row r="1301" ht="15.0" customHeight="1">
      <c r="C1301" s="76"/>
      <c r="E1301" s="72"/>
      <c r="K1301" s="74"/>
      <c r="L1301" s="74"/>
      <c r="O1301" s="75"/>
    </row>
    <row r="1302" ht="15.0" customHeight="1">
      <c r="C1302" s="76"/>
      <c r="E1302" s="72"/>
      <c r="K1302" s="74"/>
      <c r="L1302" s="74"/>
      <c r="O1302" s="75"/>
    </row>
    <row r="1303" ht="15.0" customHeight="1">
      <c r="C1303" s="76"/>
      <c r="E1303" s="72"/>
      <c r="K1303" s="74"/>
      <c r="L1303" s="74"/>
      <c r="O1303" s="75"/>
    </row>
    <row r="1304" ht="15.0" customHeight="1">
      <c r="C1304" s="76"/>
      <c r="E1304" s="72"/>
      <c r="K1304" s="74"/>
      <c r="L1304" s="74"/>
      <c r="O1304" s="75"/>
    </row>
    <row r="1305" ht="15.0" customHeight="1">
      <c r="C1305" s="76"/>
      <c r="E1305" s="72"/>
      <c r="K1305" s="74"/>
      <c r="L1305" s="74"/>
      <c r="O1305" s="75"/>
    </row>
    <row r="1306" ht="15.0" customHeight="1">
      <c r="C1306" s="76"/>
      <c r="E1306" s="72"/>
      <c r="K1306" s="74"/>
      <c r="L1306" s="74"/>
      <c r="O1306" s="75"/>
    </row>
    <row r="1307" ht="15.0" customHeight="1">
      <c r="C1307" s="76"/>
      <c r="E1307" s="72"/>
      <c r="K1307" s="74"/>
      <c r="L1307" s="74"/>
      <c r="O1307" s="75"/>
    </row>
    <row r="1308" ht="15.0" customHeight="1">
      <c r="C1308" s="76"/>
      <c r="E1308" s="72"/>
      <c r="K1308" s="74"/>
      <c r="L1308" s="74"/>
      <c r="O1308" s="75"/>
    </row>
    <row r="1309" ht="15.0" customHeight="1">
      <c r="C1309" s="76"/>
      <c r="E1309" s="72"/>
      <c r="K1309" s="74"/>
      <c r="L1309" s="74"/>
      <c r="O1309" s="75"/>
    </row>
    <row r="1310" ht="15.0" customHeight="1">
      <c r="C1310" s="76"/>
      <c r="E1310" s="72"/>
      <c r="K1310" s="74"/>
      <c r="L1310" s="74"/>
      <c r="O1310" s="75"/>
    </row>
    <row r="1311" ht="15.0" customHeight="1">
      <c r="C1311" s="76"/>
      <c r="E1311" s="72"/>
      <c r="K1311" s="74"/>
      <c r="L1311" s="74"/>
      <c r="O1311" s="75"/>
    </row>
    <row r="1312" ht="15.0" customHeight="1">
      <c r="C1312" s="76"/>
      <c r="E1312" s="72"/>
      <c r="K1312" s="74"/>
      <c r="L1312" s="74"/>
      <c r="O1312" s="75"/>
    </row>
    <row r="1313" ht="15.0" customHeight="1">
      <c r="C1313" s="76"/>
      <c r="E1313" s="72"/>
      <c r="K1313" s="74"/>
      <c r="L1313" s="74"/>
      <c r="O1313" s="75"/>
    </row>
    <row r="1314" ht="15.0" customHeight="1">
      <c r="C1314" s="76"/>
      <c r="E1314" s="72"/>
      <c r="K1314" s="74"/>
      <c r="L1314" s="74"/>
      <c r="O1314" s="75"/>
    </row>
    <row r="1315" ht="15.0" customHeight="1">
      <c r="C1315" s="76"/>
      <c r="E1315" s="72"/>
      <c r="K1315" s="74"/>
      <c r="L1315" s="74"/>
      <c r="O1315" s="75"/>
    </row>
    <row r="1316" ht="15.0" customHeight="1">
      <c r="C1316" s="76"/>
      <c r="E1316" s="72"/>
      <c r="K1316" s="74"/>
      <c r="L1316" s="74"/>
      <c r="O1316" s="75"/>
    </row>
    <row r="1317" ht="15.0" customHeight="1">
      <c r="C1317" s="76"/>
      <c r="E1317" s="72"/>
      <c r="K1317" s="74"/>
      <c r="L1317" s="74"/>
      <c r="O1317" s="75"/>
    </row>
    <row r="1318" ht="15.0" customHeight="1">
      <c r="C1318" s="76"/>
      <c r="E1318" s="72"/>
      <c r="K1318" s="74"/>
      <c r="L1318" s="74"/>
      <c r="O1318" s="75"/>
    </row>
    <row r="1319" ht="15.0" customHeight="1">
      <c r="C1319" s="76"/>
      <c r="E1319" s="72"/>
      <c r="K1319" s="74"/>
      <c r="L1319" s="74"/>
      <c r="O1319" s="75"/>
    </row>
    <row r="1320" ht="15.0" customHeight="1">
      <c r="C1320" s="76"/>
      <c r="E1320" s="72"/>
      <c r="K1320" s="74"/>
      <c r="L1320" s="74"/>
      <c r="O1320" s="75"/>
    </row>
    <row r="1321" ht="15.0" customHeight="1">
      <c r="C1321" s="76"/>
      <c r="E1321" s="72"/>
      <c r="K1321" s="74"/>
      <c r="L1321" s="74"/>
      <c r="O1321" s="75"/>
    </row>
    <row r="1322" ht="15.0" customHeight="1">
      <c r="C1322" s="76"/>
      <c r="E1322" s="72"/>
      <c r="K1322" s="74"/>
      <c r="L1322" s="74"/>
      <c r="O1322" s="75"/>
    </row>
    <row r="1323" ht="15.0" customHeight="1">
      <c r="C1323" s="76"/>
      <c r="E1323" s="72"/>
      <c r="K1323" s="74"/>
      <c r="L1323" s="74"/>
      <c r="O1323" s="75"/>
    </row>
    <row r="1324" ht="15.0" customHeight="1">
      <c r="C1324" s="76"/>
      <c r="E1324" s="72"/>
      <c r="K1324" s="74"/>
      <c r="L1324" s="74"/>
      <c r="O1324" s="75"/>
    </row>
    <row r="1325" ht="15.0" customHeight="1">
      <c r="C1325" s="76"/>
      <c r="E1325" s="72"/>
      <c r="K1325" s="74"/>
      <c r="L1325" s="74"/>
      <c r="O1325" s="75"/>
    </row>
    <row r="1326" ht="15.0" customHeight="1">
      <c r="C1326" s="76"/>
      <c r="E1326" s="72"/>
      <c r="K1326" s="74"/>
      <c r="L1326" s="74"/>
      <c r="O1326" s="75"/>
    </row>
    <row r="1327" ht="15.0" customHeight="1">
      <c r="C1327" s="76"/>
      <c r="E1327" s="72"/>
      <c r="K1327" s="74"/>
      <c r="L1327" s="74"/>
      <c r="O1327" s="75"/>
    </row>
    <row r="1328" ht="15.0" customHeight="1">
      <c r="C1328" s="76"/>
      <c r="E1328" s="72"/>
      <c r="K1328" s="74"/>
      <c r="L1328" s="74"/>
      <c r="O1328" s="75"/>
    </row>
    <row r="1329" ht="15.0" customHeight="1">
      <c r="C1329" s="76"/>
      <c r="E1329" s="72"/>
      <c r="K1329" s="74"/>
      <c r="L1329" s="74"/>
      <c r="O1329" s="75"/>
    </row>
    <row r="1330" ht="15.0" customHeight="1">
      <c r="C1330" s="76"/>
      <c r="E1330" s="72"/>
      <c r="K1330" s="74"/>
      <c r="L1330" s="74"/>
      <c r="O1330" s="75"/>
    </row>
    <row r="1331" ht="15.0" customHeight="1">
      <c r="C1331" s="76"/>
      <c r="E1331" s="72"/>
      <c r="K1331" s="74"/>
      <c r="L1331" s="74"/>
      <c r="O1331" s="75"/>
    </row>
    <row r="1332" ht="15.0" customHeight="1">
      <c r="C1332" s="76"/>
      <c r="E1332" s="72"/>
      <c r="K1332" s="74"/>
      <c r="L1332" s="74"/>
      <c r="O1332" s="75"/>
    </row>
    <row r="1333" ht="15.0" customHeight="1">
      <c r="C1333" s="76"/>
      <c r="E1333" s="72"/>
      <c r="K1333" s="74"/>
      <c r="L1333" s="74"/>
      <c r="O1333" s="75"/>
    </row>
    <row r="1334" ht="15.0" customHeight="1">
      <c r="C1334" s="76"/>
      <c r="E1334" s="72"/>
      <c r="K1334" s="74"/>
      <c r="L1334" s="74"/>
      <c r="O1334" s="75"/>
    </row>
    <row r="1335" ht="15.0" customHeight="1">
      <c r="C1335" s="76"/>
      <c r="E1335" s="72"/>
      <c r="K1335" s="74"/>
      <c r="L1335" s="74"/>
      <c r="O1335" s="75"/>
    </row>
    <row r="1336" ht="15.0" customHeight="1">
      <c r="C1336" s="76"/>
      <c r="E1336" s="72"/>
      <c r="K1336" s="74"/>
      <c r="L1336" s="74"/>
      <c r="O1336" s="75"/>
    </row>
    <row r="1337" ht="15.0" customHeight="1">
      <c r="C1337" s="76"/>
      <c r="E1337" s="72"/>
      <c r="K1337" s="74"/>
      <c r="L1337" s="74"/>
      <c r="O1337" s="75"/>
    </row>
    <row r="1338" ht="15.0" customHeight="1">
      <c r="C1338" s="76"/>
      <c r="E1338" s="72"/>
      <c r="K1338" s="74"/>
      <c r="L1338" s="74"/>
      <c r="O1338" s="75"/>
    </row>
    <row r="1339" ht="15.0" customHeight="1">
      <c r="C1339" s="76"/>
      <c r="E1339" s="72"/>
      <c r="K1339" s="74"/>
      <c r="L1339" s="74"/>
      <c r="O1339" s="75"/>
    </row>
    <row r="1340" ht="15.0" customHeight="1">
      <c r="C1340" s="76"/>
      <c r="E1340" s="72"/>
      <c r="K1340" s="74"/>
      <c r="L1340" s="74"/>
      <c r="O1340" s="75"/>
    </row>
    <row r="1341" ht="15.0" customHeight="1">
      <c r="C1341" s="76"/>
      <c r="E1341" s="72"/>
      <c r="K1341" s="74"/>
      <c r="L1341" s="74"/>
      <c r="O1341" s="75"/>
    </row>
    <row r="1342" ht="15.0" customHeight="1">
      <c r="C1342" s="76"/>
      <c r="E1342" s="72"/>
      <c r="K1342" s="74"/>
      <c r="L1342" s="74"/>
      <c r="O1342" s="75"/>
    </row>
    <row r="1343" ht="15.0" customHeight="1">
      <c r="C1343" s="76"/>
      <c r="E1343" s="72"/>
      <c r="K1343" s="74"/>
      <c r="L1343" s="74"/>
      <c r="O1343" s="75"/>
    </row>
    <row r="1344" ht="15.0" customHeight="1">
      <c r="C1344" s="76"/>
      <c r="E1344" s="72"/>
      <c r="K1344" s="74"/>
      <c r="L1344" s="74"/>
      <c r="O1344" s="75"/>
    </row>
    <row r="1345" ht="15.0" customHeight="1">
      <c r="C1345" s="76"/>
      <c r="E1345" s="72"/>
      <c r="K1345" s="74"/>
      <c r="L1345" s="74"/>
      <c r="O1345" s="75"/>
    </row>
    <row r="1346" ht="15.0" customHeight="1">
      <c r="C1346" s="76"/>
      <c r="E1346" s="72"/>
      <c r="K1346" s="74"/>
      <c r="L1346" s="74"/>
      <c r="O1346" s="75"/>
    </row>
    <row r="1347" ht="15.0" customHeight="1">
      <c r="C1347" s="76"/>
      <c r="E1347" s="72"/>
      <c r="K1347" s="74"/>
      <c r="L1347" s="74"/>
      <c r="O1347" s="75"/>
    </row>
    <row r="1348" ht="15.0" customHeight="1">
      <c r="C1348" s="76"/>
      <c r="E1348" s="72"/>
      <c r="K1348" s="74"/>
      <c r="L1348" s="74"/>
      <c r="O1348" s="75"/>
    </row>
    <row r="1349" ht="15.0" customHeight="1">
      <c r="C1349" s="76"/>
      <c r="E1349" s="72"/>
      <c r="K1349" s="74"/>
      <c r="L1349" s="74"/>
      <c r="O1349" s="75"/>
    </row>
    <row r="1350" ht="15.0" customHeight="1">
      <c r="C1350" s="76"/>
      <c r="E1350" s="72"/>
      <c r="K1350" s="74"/>
      <c r="L1350" s="74"/>
      <c r="O1350" s="75"/>
    </row>
    <row r="1351" ht="15.0" customHeight="1">
      <c r="C1351" s="76"/>
      <c r="E1351" s="72"/>
      <c r="K1351" s="74"/>
      <c r="L1351" s="74"/>
      <c r="O1351" s="75"/>
    </row>
    <row r="1352" ht="15.0" customHeight="1">
      <c r="C1352" s="76"/>
      <c r="E1352" s="72"/>
      <c r="K1352" s="74"/>
      <c r="L1352" s="74"/>
      <c r="O1352" s="75"/>
    </row>
    <row r="1353" ht="15.0" customHeight="1">
      <c r="C1353" s="76"/>
      <c r="E1353" s="72"/>
      <c r="K1353" s="74"/>
      <c r="L1353" s="74"/>
      <c r="O1353" s="75"/>
    </row>
    <row r="1354" ht="15.0" customHeight="1">
      <c r="C1354" s="76"/>
      <c r="E1354" s="72"/>
      <c r="K1354" s="74"/>
      <c r="L1354" s="74"/>
      <c r="O1354" s="75"/>
    </row>
    <row r="1355" ht="15.0" customHeight="1">
      <c r="C1355" s="76"/>
      <c r="E1355" s="72"/>
      <c r="K1355" s="74"/>
      <c r="L1355" s="74"/>
      <c r="O1355" s="75"/>
    </row>
    <row r="1356" ht="15.0" customHeight="1">
      <c r="C1356" s="76"/>
      <c r="E1356" s="72"/>
      <c r="K1356" s="74"/>
      <c r="L1356" s="74"/>
      <c r="O1356" s="75"/>
    </row>
    <row r="1357" ht="15.0" customHeight="1">
      <c r="C1357" s="76"/>
      <c r="E1357" s="72"/>
      <c r="K1357" s="74"/>
      <c r="L1357" s="74"/>
      <c r="O1357" s="75"/>
    </row>
    <row r="1358" ht="15.0" customHeight="1">
      <c r="C1358" s="76"/>
      <c r="E1358" s="72"/>
      <c r="K1358" s="74"/>
      <c r="L1358" s="74"/>
      <c r="O1358" s="75"/>
    </row>
    <row r="1359" ht="15.0" customHeight="1">
      <c r="C1359" s="76"/>
      <c r="E1359" s="72"/>
      <c r="K1359" s="74"/>
      <c r="L1359" s="74"/>
      <c r="O1359" s="75"/>
    </row>
    <row r="1360" ht="15.0" customHeight="1">
      <c r="C1360" s="76"/>
      <c r="E1360" s="72"/>
      <c r="K1360" s="74"/>
      <c r="L1360" s="74"/>
      <c r="O1360" s="75"/>
    </row>
    <row r="1361" ht="15.0" customHeight="1">
      <c r="C1361" s="76"/>
      <c r="E1361" s="72"/>
      <c r="K1361" s="74"/>
      <c r="L1361" s="74"/>
      <c r="O1361" s="75"/>
    </row>
    <row r="1362" ht="15.0" customHeight="1">
      <c r="C1362" s="76"/>
      <c r="E1362" s="72"/>
      <c r="K1362" s="74"/>
      <c r="L1362" s="74"/>
      <c r="O1362" s="75"/>
    </row>
    <row r="1363" ht="15.0" customHeight="1">
      <c r="C1363" s="76"/>
      <c r="E1363" s="72"/>
      <c r="K1363" s="74"/>
      <c r="L1363" s="74"/>
      <c r="O1363" s="75"/>
    </row>
    <row r="1364" ht="15.0" customHeight="1">
      <c r="C1364" s="76"/>
      <c r="E1364" s="72"/>
      <c r="K1364" s="74"/>
      <c r="L1364" s="74"/>
      <c r="O1364" s="75"/>
    </row>
    <row r="1365" ht="15.0" customHeight="1">
      <c r="C1365" s="76"/>
      <c r="E1365" s="72"/>
      <c r="K1365" s="74"/>
      <c r="L1365" s="74"/>
      <c r="O1365" s="75"/>
    </row>
    <row r="1366" ht="15.0" customHeight="1">
      <c r="C1366" s="76"/>
      <c r="E1366" s="72"/>
      <c r="K1366" s="74"/>
      <c r="L1366" s="74"/>
      <c r="O1366" s="75"/>
    </row>
    <row r="1367" ht="15.0" customHeight="1">
      <c r="C1367" s="76"/>
      <c r="E1367" s="72"/>
      <c r="K1367" s="74"/>
      <c r="L1367" s="74"/>
      <c r="O1367" s="75"/>
    </row>
    <row r="1368" ht="15.0" customHeight="1">
      <c r="C1368" s="76"/>
      <c r="E1368" s="72"/>
      <c r="K1368" s="74"/>
      <c r="L1368" s="74"/>
      <c r="O1368" s="75"/>
    </row>
    <row r="1369" ht="15.0" customHeight="1">
      <c r="C1369" s="76"/>
      <c r="E1369" s="72"/>
      <c r="K1369" s="74"/>
      <c r="L1369" s="74"/>
      <c r="O1369" s="75"/>
    </row>
    <row r="1370" ht="15.0" customHeight="1">
      <c r="C1370" s="76"/>
      <c r="E1370" s="72"/>
      <c r="K1370" s="74"/>
      <c r="L1370" s="74"/>
      <c r="O1370" s="75"/>
    </row>
    <row r="1371" ht="15.0" customHeight="1">
      <c r="C1371" s="76"/>
      <c r="E1371" s="72"/>
      <c r="K1371" s="74"/>
      <c r="L1371" s="74"/>
      <c r="O1371" s="75"/>
    </row>
    <row r="1372" ht="15.0" customHeight="1">
      <c r="C1372" s="76"/>
      <c r="E1372" s="72"/>
      <c r="K1372" s="74"/>
      <c r="L1372" s="74"/>
      <c r="O1372" s="75"/>
    </row>
    <row r="1373" ht="15.0" customHeight="1">
      <c r="C1373" s="76"/>
      <c r="E1373" s="72"/>
      <c r="K1373" s="74"/>
      <c r="L1373" s="74"/>
      <c r="O1373" s="75"/>
    </row>
    <row r="1374" ht="15.0" customHeight="1">
      <c r="C1374" s="76"/>
      <c r="E1374" s="72"/>
      <c r="K1374" s="74"/>
      <c r="L1374" s="74"/>
      <c r="O1374" s="75"/>
    </row>
    <row r="1375" ht="15.0" customHeight="1">
      <c r="C1375" s="76"/>
      <c r="E1375" s="72"/>
      <c r="K1375" s="74"/>
      <c r="L1375" s="74"/>
      <c r="O1375" s="75"/>
    </row>
    <row r="1376" ht="15.0" customHeight="1">
      <c r="C1376" s="76"/>
      <c r="E1376" s="72"/>
      <c r="K1376" s="74"/>
      <c r="L1376" s="74"/>
      <c r="O1376" s="75"/>
    </row>
    <row r="1377" ht="15.0" customHeight="1">
      <c r="C1377" s="76"/>
      <c r="E1377" s="72"/>
      <c r="K1377" s="74"/>
      <c r="L1377" s="74"/>
      <c r="O1377" s="75"/>
    </row>
    <row r="1378" ht="15.0" customHeight="1">
      <c r="C1378" s="76"/>
      <c r="E1378" s="72"/>
      <c r="K1378" s="74"/>
      <c r="L1378" s="74"/>
      <c r="O1378" s="75"/>
    </row>
    <row r="1379" ht="15.0" customHeight="1">
      <c r="C1379" s="76"/>
      <c r="E1379" s="72"/>
      <c r="K1379" s="74"/>
      <c r="L1379" s="74"/>
      <c r="O1379" s="75"/>
    </row>
    <row r="1380" ht="15.0" customHeight="1">
      <c r="C1380" s="76"/>
      <c r="E1380" s="72"/>
      <c r="K1380" s="74"/>
      <c r="L1380" s="74"/>
      <c r="O1380" s="75"/>
    </row>
    <row r="1381" ht="15.0" customHeight="1">
      <c r="C1381" s="76"/>
      <c r="E1381" s="72"/>
      <c r="K1381" s="74"/>
      <c r="L1381" s="74"/>
      <c r="O1381" s="75"/>
    </row>
    <row r="1382" ht="15.0" customHeight="1">
      <c r="C1382" s="76"/>
      <c r="E1382" s="72"/>
      <c r="K1382" s="74"/>
      <c r="L1382" s="74"/>
      <c r="O1382" s="75"/>
    </row>
    <row r="1383" ht="15.0" customHeight="1">
      <c r="C1383" s="76"/>
      <c r="E1383" s="72"/>
      <c r="K1383" s="74"/>
      <c r="L1383" s="74"/>
      <c r="O1383" s="75"/>
    </row>
    <row r="1384" ht="15.0" customHeight="1">
      <c r="C1384" s="76"/>
      <c r="E1384" s="72"/>
      <c r="K1384" s="74"/>
      <c r="L1384" s="74"/>
      <c r="O1384" s="75"/>
    </row>
    <row r="1385" ht="15.0" customHeight="1">
      <c r="C1385" s="76"/>
      <c r="E1385" s="72"/>
      <c r="K1385" s="74"/>
      <c r="L1385" s="74"/>
      <c r="O1385" s="75"/>
    </row>
    <row r="1386" ht="15.0" customHeight="1">
      <c r="C1386" s="76"/>
      <c r="E1386" s="72"/>
      <c r="K1386" s="74"/>
      <c r="L1386" s="74"/>
      <c r="O1386" s="75"/>
    </row>
    <row r="1387" ht="15.0" customHeight="1">
      <c r="C1387" s="76"/>
      <c r="E1387" s="72"/>
      <c r="K1387" s="74"/>
      <c r="L1387" s="74"/>
      <c r="O1387" s="75"/>
    </row>
    <row r="1388" ht="15.0" customHeight="1">
      <c r="C1388" s="76"/>
      <c r="E1388" s="72"/>
      <c r="K1388" s="74"/>
      <c r="L1388" s="74"/>
      <c r="O1388" s="75"/>
    </row>
    <row r="1389" ht="15.0" customHeight="1">
      <c r="C1389" s="76"/>
      <c r="E1389" s="72"/>
      <c r="K1389" s="74"/>
      <c r="L1389" s="74"/>
      <c r="O1389" s="75"/>
    </row>
    <row r="1390" ht="15.0" customHeight="1">
      <c r="C1390" s="76"/>
      <c r="E1390" s="72"/>
      <c r="K1390" s="74"/>
      <c r="L1390" s="74"/>
      <c r="O1390" s="75"/>
    </row>
    <row r="1391" ht="15.0" customHeight="1">
      <c r="C1391" s="76"/>
      <c r="E1391" s="72"/>
      <c r="K1391" s="74"/>
      <c r="L1391" s="74"/>
      <c r="O1391" s="75"/>
    </row>
    <row r="1392" ht="15.0" customHeight="1">
      <c r="C1392" s="76"/>
      <c r="E1392" s="72"/>
      <c r="K1392" s="74"/>
      <c r="L1392" s="74"/>
      <c r="O1392" s="75"/>
    </row>
    <row r="1393" ht="15.0" customHeight="1">
      <c r="C1393" s="76"/>
      <c r="E1393" s="72"/>
      <c r="K1393" s="74"/>
      <c r="L1393" s="74"/>
      <c r="O1393" s="75"/>
    </row>
    <row r="1394" ht="15.0" customHeight="1">
      <c r="C1394" s="76"/>
      <c r="E1394" s="72"/>
      <c r="K1394" s="74"/>
      <c r="L1394" s="74"/>
      <c r="O1394" s="75"/>
    </row>
    <row r="1395" ht="15.0" customHeight="1">
      <c r="C1395" s="76"/>
      <c r="E1395" s="72"/>
      <c r="K1395" s="74"/>
      <c r="L1395" s="74"/>
      <c r="O1395" s="75"/>
    </row>
    <row r="1396" ht="15.0" customHeight="1">
      <c r="C1396" s="76"/>
      <c r="E1396" s="72"/>
      <c r="K1396" s="74"/>
      <c r="L1396" s="74"/>
      <c r="O1396" s="75"/>
    </row>
    <row r="1397" ht="15.0" customHeight="1">
      <c r="C1397" s="76"/>
      <c r="E1397" s="72"/>
      <c r="K1397" s="74"/>
      <c r="L1397" s="74"/>
      <c r="O1397" s="75"/>
    </row>
    <row r="1398" ht="15.0" customHeight="1">
      <c r="C1398" s="76"/>
      <c r="E1398" s="72"/>
      <c r="K1398" s="74"/>
      <c r="L1398" s="74"/>
      <c r="O1398" s="75"/>
    </row>
    <row r="1399" ht="15.0" customHeight="1">
      <c r="C1399" s="76"/>
      <c r="E1399" s="72"/>
      <c r="K1399" s="74"/>
      <c r="L1399" s="74"/>
      <c r="O1399" s="75"/>
    </row>
    <row r="1400" ht="15.0" customHeight="1">
      <c r="C1400" s="76"/>
      <c r="E1400" s="72"/>
      <c r="K1400" s="74"/>
      <c r="L1400" s="74"/>
      <c r="O1400" s="75"/>
    </row>
    <row r="1401" ht="15.0" customHeight="1">
      <c r="C1401" s="76"/>
      <c r="E1401" s="72"/>
      <c r="K1401" s="74"/>
      <c r="L1401" s="74"/>
      <c r="O1401" s="75"/>
    </row>
    <row r="1402" ht="15.0" customHeight="1">
      <c r="C1402" s="76"/>
      <c r="E1402" s="72"/>
      <c r="K1402" s="74"/>
      <c r="L1402" s="74"/>
      <c r="O1402" s="75"/>
    </row>
    <row r="1403" ht="15.0" customHeight="1">
      <c r="C1403" s="76"/>
      <c r="E1403" s="72"/>
      <c r="K1403" s="74"/>
      <c r="L1403" s="74"/>
      <c r="O1403" s="75"/>
    </row>
    <row r="1404" ht="15.0" customHeight="1">
      <c r="C1404" s="76"/>
      <c r="E1404" s="72"/>
      <c r="K1404" s="74"/>
      <c r="L1404" s="74"/>
      <c r="O1404" s="75"/>
    </row>
    <row r="1405" ht="15.0" customHeight="1">
      <c r="C1405" s="76"/>
      <c r="E1405" s="72"/>
      <c r="K1405" s="74"/>
      <c r="L1405" s="74"/>
      <c r="O1405" s="75"/>
    </row>
    <row r="1406" ht="15.0" customHeight="1">
      <c r="C1406" s="76"/>
      <c r="E1406" s="72"/>
      <c r="K1406" s="74"/>
      <c r="L1406" s="74"/>
      <c r="O1406" s="75"/>
    </row>
    <row r="1407" ht="15.0" customHeight="1">
      <c r="C1407" s="76"/>
      <c r="E1407" s="72"/>
      <c r="K1407" s="74"/>
      <c r="L1407" s="74"/>
      <c r="O1407" s="75"/>
    </row>
    <row r="1408" ht="15.0" customHeight="1">
      <c r="C1408" s="76"/>
      <c r="E1408" s="72"/>
      <c r="K1408" s="74"/>
      <c r="L1408" s="74"/>
      <c r="O1408" s="75"/>
    </row>
    <row r="1409" ht="15.0" customHeight="1">
      <c r="C1409" s="76"/>
      <c r="E1409" s="72"/>
      <c r="K1409" s="74"/>
      <c r="L1409" s="74"/>
      <c r="O1409" s="75"/>
    </row>
    <row r="1410" ht="15.0" customHeight="1">
      <c r="C1410" s="76"/>
      <c r="E1410" s="72"/>
      <c r="K1410" s="74"/>
      <c r="L1410" s="74"/>
      <c r="O1410" s="75"/>
    </row>
    <row r="1411" ht="15.0" customHeight="1">
      <c r="C1411" s="76"/>
      <c r="E1411" s="72"/>
      <c r="K1411" s="74"/>
      <c r="L1411" s="74"/>
      <c r="O1411" s="75"/>
    </row>
    <row r="1412" ht="15.0" customHeight="1">
      <c r="C1412" s="76"/>
      <c r="E1412" s="72"/>
      <c r="K1412" s="74"/>
      <c r="L1412" s="74"/>
      <c r="O1412" s="75"/>
    </row>
    <row r="1413" ht="15.0" customHeight="1">
      <c r="C1413" s="76"/>
      <c r="E1413" s="72"/>
      <c r="K1413" s="74"/>
      <c r="L1413" s="74"/>
      <c r="O1413" s="75"/>
    </row>
    <row r="1414" ht="15.0" customHeight="1">
      <c r="C1414" s="76"/>
      <c r="E1414" s="72"/>
      <c r="K1414" s="74"/>
      <c r="L1414" s="74"/>
      <c r="O1414" s="75"/>
    </row>
    <row r="1415" ht="15.0" customHeight="1">
      <c r="C1415" s="76"/>
      <c r="E1415" s="72"/>
      <c r="K1415" s="74"/>
      <c r="L1415" s="74"/>
      <c r="O1415" s="75"/>
    </row>
    <row r="1416" ht="15.0" customHeight="1">
      <c r="C1416" s="76"/>
      <c r="E1416" s="72"/>
      <c r="K1416" s="74"/>
      <c r="L1416" s="74"/>
      <c r="O1416" s="75"/>
    </row>
    <row r="1417" ht="15.0" customHeight="1">
      <c r="C1417" s="76"/>
      <c r="E1417" s="72"/>
      <c r="K1417" s="74"/>
      <c r="L1417" s="74"/>
      <c r="O1417" s="75"/>
    </row>
    <row r="1418" ht="15.0" customHeight="1">
      <c r="C1418" s="76"/>
      <c r="E1418" s="72"/>
      <c r="K1418" s="74"/>
      <c r="L1418" s="74"/>
      <c r="O1418" s="75"/>
    </row>
    <row r="1419" ht="15.0" customHeight="1">
      <c r="C1419" s="76"/>
      <c r="E1419" s="72"/>
      <c r="K1419" s="74"/>
      <c r="L1419" s="74"/>
      <c r="O1419" s="75"/>
    </row>
    <row r="1420" ht="15.0" customHeight="1">
      <c r="C1420" s="76"/>
      <c r="E1420" s="72"/>
      <c r="K1420" s="74"/>
      <c r="L1420" s="74"/>
      <c r="O1420" s="75"/>
    </row>
    <row r="1421" ht="15.0" customHeight="1">
      <c r="C1421" s="76"/>
      <c r="E1421" s="72"/>
      <c r="K1421" s="74"/>
      <c r="L1421" s="74"/>
      <c r="O1421" s="75"/>
    </row>
    <row r="1422" ht="15.0" customHeight="1">
      <c r="C1422" s="76"/>
      <c r="E1422" s="72"/>
      <c r="K1422" s="74"/>
      <c r="L1422" s="74"/>
      <c r="O1422" s="75"/>
    </row>
    <row r="1423" ht="15.0" customHeight="1">
      <c r="C1423" s="76"/>
      <c r="E1423" s="72"/>
      <c r="K1423" s="74"/>
      <c r="L1423" s="74"/>
      <c r="O1423" s="75"/>
    </row>
    <row r="1424" ht="15.0" customHeight="1">
      <c r="C1424" s="76"/>
      <c r="E1424" s="72"/>
      <c r="K1424" s="74"/>
      <c r="L1424" s="74"/>
      <c r="O1424" s="75"/>
    </row>
    <row r="1425" ht="15.0" customHeight="1">
      <c r="C1425" s="76"/>
      <c r="E1425" s="72"/>
      <c r="K1425" s="74"/>
      <c r="L1425" s="74"/>
      <c r="O1425" s="75"/>
    </row>
    <row r="1426" ht="15.0" customHeight="1">
      <c r="C1426" s="76"/>
      <c r="E1426" s="72"/>
      <c r="K1426" s="74"/>
      <c r="L1426" s="74"/>
      <c r="O1426" s="75"/>
    </row>
    <row r="1427" ht="15.0" customHeight="1">
      <c r="C1427" s="76"/>
      <c r="E1427" s="72"/>
      <c r="K1427" s="74"/>
      <c r="L1427" s="74"/>
      <c r="O1427" s="75"/>
    </row>
    <row r="1428" ht="15.0" customHeight="1">
      <c r="C1428" s="76"/>
      <c r="E1428" s="72"/>
      <c r="K1428" s="74"/>
      <c r="L1428" s="74"/>
      <c r="O1428" s="75"/>
    </row>
    <row r="1429" ht="15.0" customHeight="1">
      <c r="C1429" s="76"/>
      <c r="E1429" s="72"/>
      <c r="K1429" s="74"/>
      <c r="L1429" s="74"/>
      <c r="O1429" s="75"/>
    </row>
    <row r="1430" ht="15.0" customHeight="1">
      <c r="C1430" s="76"/>
      <c r="E1430" s="72"/>
      <c r="K1430" s="74"/>
      <c r="L1430" s="74"/>
      <c r="O1430" s="75"/>
    </row>
    <row r="1431" ht="15.0" customHeight="1">
      <c r="C1431" s="76"/>
      <c r="E1431" s="72"/>
      <c r="K1431" s="74"/>
      <c r="L1431" s="74"/>
      <c r="O1431" s="75"/>
    </row>
    <row r="1432" ht="15.0" customHeight="1">
      <c r="C1432" s="76"/>
      <c r="E1432" s="72"/>
      <c r="K1432" s="74"/>
      <c r="L1432" s="74"/>
      <c r="O1432" s="75"/>
    </row>
    <row r="1433" ht="15.0" customHeight="1">
      <c r="C1433" s="76"/>
      <c r="E1433" s="72"/>
      <c r="K1433" s="74"/>
      <c r="L1433" s="74"/>
      <c r="O1433" s="75"/>
    </row>
    <row r="1434" ht="15.0" customHeight="1">
      <c r="C1434" s="76"/>
      <c r="E1434" s="72"/>
      <c r="K1434" s="74"/>
      <c r="L1434" s="74"/>
      <c r="O1434" s="75"/>
    </row>
    <row r="1435" ht="15.0" customHeight="1">
      <c r="C1435" s="76"/>
      <c r="E1435" s="72"/>
      <c r="K1435" s="74"/>
      <c r="L1435" s="74"/>
      <c r="O1435" s="75"/>
    </row>
    <row r="1436" ht="15.0" customHeight="1">
      <c r="C1436" s="76"/>
      <c r="E1436" s="72"/>
      <c r="K1436" s="74"/>
      <c r="L1436" s="74"/>
      <c r="O1436" s="75"/>
    </row>
    <row r="1437" ht="15.0" customHeight="1">
      <c r="C1437" s="76"/>
      <c r="E1437" s="72"/>
      <c r="K1437" s="74"/>
      <c r="L1437" s="74"/>
      <c r="O1437" s="75"/>
    </row>
    <row r="1438" ht="15.0" customHeight="1">
      <c r="C1438" s="76"/>
      <c r="E1438" s="72"/>
      <c r="K1438" s="74"/>
      <c r="L1438" s="74"/>
      <c r="O1438" s="75"/>
    </row>
    <row r="1439" ht="15.0" customHeight="1">
      <c r="C1439" s="76"/>
      <c r="E1439" s="72"/>
      <c r="K1439" s="74"/>
      <c r="L1439" s="74"/>
      <c r="O1439" s="75"/>
    </row>
    <row r="1440" ht="15.0" customHeight="1">
      <c r="C1440" s="76"/>
      <c r="E1440" s="72"/>
      <c r="K1440" s="74"/>
      <c r="L1440" s="74"/>
      <c r="O1440" s="75"/>
    </row>
    <row r="1441" ht="15.0" customHeight="1">
      <c r="C1441" s="76"/>
      <c r="E1441" s="72"/>
      <c r="K1441" s="74"/>
      <c r="L1441" s="74"/>
      <c r="O1441" s="75"/>
    </row>
    <row r="1442" ht="15.0" customHeight="1">
      <c r="C1442" s="76"/>
      <c r="E1442" s="72"/>
      <c r="K1442" s="74"/>
      <c r="L1442" s="74"/>
      <c r="O1442" s="75"/>
    </row>
    <row r="1443" ht="15.0" customHeight="1">
      <c r="C1443" s="76"/>
      <c r="E1443" s="72"/>
      <c r="K1443" s="74"/>
      <c r="L1443" s="74"/>
      <c r="O1443" s="75"/>
    </row>
    <row r="1444" ht="15.0" customHeight="1">
      <c r="C1444" s="76"/>
      <c r="E1444" s="72"/>
      <c r="K1444" s="74"/>
      <c r="L1444" s="74"/>
      <c r="O1444" s="75"/>
    </row>
    <row r="1445" ht="15.0" customHeight="1">
      <c r="C1445" s="76"/>
      <c r="E1445" s="72"/>
      <c r="K1445" s="74"/>
      <c r="L1445" s="74"/>
      <c r="O1445" s="75"/>
    </row>
    <row r="1446" ht="15.0" customHeight="1">
      <c r="C1446" s="76"/>
      <c r="E1446" s="72"/>
      <c r="K1446" s="74"/>
      <c r="L1446" s="74"/>
      <c r="O1446" s="75"/>
    </row>
    <row r="1447" ht="15.0" customHeight="1">
      <c r="C1447" s="76"/>
      <c r="E1447" s="72"/>
      <c r="K1447" s="74"/>
      <c r="L1447" s="74"/>
      <c r="O1447" s="75"/>
    </row>
    <row r="1448" ht="15.0" customHeight="1">
      <c r="C1448" s="76"/>
      <c r="E1448" s="72"/>
      <c r="K1448" s="74"/>
      <c r="L1448" s="74"/>
      <c r="O1448" s="75"/>
    </row>
    <row r="1449" ht="15.0" customHeight="1">
      <c r="C1449" s="76"/>
      <c r="E1449" s="72"/>
      <c r="K1449" s="74"/>
      <c r="L1449" s="74"/>
      <c r="O1449" s="75"/>
    </row>
    <row r="1450" ht="15.0" customHeight="1">
      <c r="C1450" s="76"/>
      <c r="E1450" s="72"/>
      <c r="K1450" s="74"/>
      <c r="L1450" s="74"/>
      <c r="O1450" s="75"/>
    </row>
    <row r="1451" ht="15.0" customHeight="1">
      <c r="C1451" s="76"/>
      <c r="E1451" s="72"/>
      <c r="K1451" s="74"/>
      <c r="L1451" s="74"/>
      <c r="O1451" s="75"/>
    </row>
    <row r="1452" ht="15.0" customHeight="1">
      <c r="C1452" s="76"/>
      <c r="E1452" s="72"/>
      <c r="K1452" s="74"/>
      <c r="L1452" s="74"/>
      <c r="O1452" s="75"/>
    </row>
    <row r="1453" ht="15.0" customHeight="1">
      <c r="C1453" s="76"/>
      <c r="E1453" s="72"/>
      <c r="K1453" s="74"/>
      <c r="L1453" s="74"/>
      <c r="O1453" s="75"/>
    </row>
    <row r="1454" ht="15.0" customHeight="1">
      <c r="C1454" s="76"/>
      <c r="E1454" s="72"/>
      <c r="K1454" s="74"/>
      <c r="L1454" s="74"/>
      <c r="O1454" s="75"/>
    </row>
    <row r="1455" ht="15.0" customHeight="1">
      <c r="C1455" s="76"/>
      <c r="E1455" s="72"/>
      <c r="K1455" s="74"/>
      <c r="L1455" s="74"/>
      <c r="O1455" s="75"/>
    </row>
    <row r="1456" ht="15.0" customHeight="1">
      <c r="C1456" s="76"/>
      <c r="E1456" s="72"/>
      <c r="K1456" s="74"/>
      <c r="L1456" s="74"/>
      <c r="O1456" s="75"/>
    </row>
    <row r="1457" ht="15.0" customHeight="1">
      <c r="C1457" s="76"/>
      <c r="E1457" s="72"/>
      <c r="K1457" s="74"/>
      <c r="L1457" s="74"/>
      <c r="O1457" s="75"/>
    </row>
    <row r="1458" ht="15.0" customHeight="1">
      <c r="C1458" s="76"/>
      <c r="E1458" s="72"/>
      <c r="K1458" s="74"/>
      <c r="L1458" s="74"/>
      <c r="O1458" s="75"/>
    </row>
    <row r="1459" ht="15.0" customHeight="1">
      <c r="C1459" s="76"/>
      <c r="E1459" s="72"/>
      <c r="K1459" s="74"/>
      <c r="L1459" s="74"/>
      <c r="O1459" s="75"/>
    </row>
    <row r="1460" ht="15.0" customHeight="1">
      <c r="C1460" s="76"/>
      <c r="E1460" s="72"/>
      <c r="K1460" s="74"/>
      <c r="L1460" s="74"/>
      <c r="O1460" s="75"/>
    </row>
    <row r="1461" ht="15.0" customHeight="1">
      <c r="C1461" s="76"/>
      <c r="E1461" s="72"/>
      <c r="K1461" s="74"/>
      <c r="L1461" s="74"/>
      <c r="O1461" s="75"/>
    </row>
    <row r="1462" ht="15.0" customHeight="1">
      <c r="C1462" s="76"/>
      <c r="E1462" s="72"/>
      <c r="K1462" s="74"/>
      <c r="L1462" s="74"/>
      <c r="O1462" s="75"/>
    </row>
    <row r="1463" ht="15.0" customHeight="1">
      <c r="C1463" s="76"/>
      <c r="E1463" s="72"/>
      <c r="K1463" s="74"/>
      <c r="L1463" s="74"/>
      <c r="O1463" s="75"/>
    </row>
    <row r="1464" ht="15.0" customHeight="1">
      <c r="C1464" s="76"/>
      <c r="E1464" s="72"/>
      <c r="K1464" s="74"/>
      <c r="L1464" s="74"/>
      <c r="O1464" s="75"/>
    </row>
    <row r="1465" ht="15.0" customHeight="1">
      <c r="C1465" s="76"/>
      <c r="E1465" s="72"/>
      <c r="K1465" s="74"/>
      <c r="L1465" s="74"/>
      <c r="O1465" s="75"/>
    </row>
    <row r="1466" ht="15.0" customHeight="1">
      <c r="C1466" s="76"/>
      <c r="E1466" s="72"/>
      <c r="K1466" s="74"/>
      <c r="L1466" s="74"/>
      <c r="O1466" s="75"/>
    </row>
    <row r="1467" ht="15.0" customHeight="1">
      <c r="C1467" s="76"/>
      <c r="E1467" s="72"/>
      <c r="K1467" s="74"/>
      <c r="L1467" s="74"/>
      <c r="O1467" s="75"/>
    </row>
    <row r="1468" ht="15.0" customHeight="1">
      <c r="C1468" s="76"/>
      <c r="E1468" s="72"/>
      <c r="K1468" s="74"/>
      <c r="L1468" s="74"/>
      <c r="O1468" s="75"/>
    </row>
    <row r="1469" ht="15.0" customHeight="1">
      <c r="C1469" s="76"/>
      <c r="E1469" s="72"/>
      <c r="K1469" s="74"/>
      <c r="L1469" s="74"/>
      <c r="O1469" s="75"/>
    </row>
    <row r="1470" ht="15.0" customHeight="1">
      <c r="C1470" s="76"/>
      <c r="E1470" s="72"/>
      <c r="K1470" s="74"/>
      <c r="L1470" s="74"/>
      <c r="O1470" s="75"/>
    </row>
    <row r="1471" ht="15.0" customHeight="1">
      <c r="C1471" s="76"/>
      <c r="E1471" s="72"/>
      <c r="K1471" s="74"/>
      <c r="L1471" s="74"/>
      <c r="O1471" s="75"/>
    </row>
    <row r="1472" ht="15.0" customHeight="1">
      <c r="C1472" s="76"/>
      <c r="E1472" s="72"/>
      <c r="K1472" s="74"/>
      <c r="L1472" s="74"/>
      <c r="O1472" s="75"/>
    </row>
    <row r="1473" ht="15.0" customHeight="1">
      <c r="C1473" s="76"/>
      <c r="E1473" s="72"/>
      <c r="K1473" s="74"/>
      <c r="L1473" s="74"/>
      <c r="O1473" s="75"/>
    </row>
    <row r="1474" ht="15.0" customHeight="1">
      <c r="C1474" s="76"/>
      <c r="E1474" s="72"/>
      <c r="K1474" s="74"/>
      <c r="L1474" s="74"/>
      <c r="O1474" s="75"/>
    </row>
    <row r="1475" ht="15.0" customHeight="1">
      <c r="C1475" s="76"/>
      <c r="E1475" s="72"/>
      <c r="K1475" s="74"/>
      <c r="L1475" s="74"/>
      <c r="O1475" s="75"/>
    </row>
    <row r="1476" ht="15.0" customHeight="1">
      <c r="C1476" s="76"/>
      <c r="E1476" s="72"/>
      <c r="K1476" s="74"/>
      <c r="L1476" s="74"/>
      <c r="O1476" s="75"/>
    </row>
    <row r="1477" ht="15.0" customHeight="1">
      <c r="C1477" s="76"/>
      <c r="E1477" s="72"/>
      <c r="K1477" s="74"/>
      <c r="L1477" s="74"/>
      <c r="O1477" s="75"/>
    </row>
    <row r="1478" ht="15.0" customHeight="1">
      <c r="C1478" s="76"/>
      <c r="E1478" s="72"/>
      <c r="K1478" s="74"/>
      <c r="L1478" s="74"/>
      <c r="O1478" s="75"/>
    </row>
    <row r="1479" ht="15.0" customHeight="1">
      <c r="C1479" s="76"/>
      <c r="E1479" s="72"/>
      <c r="K1479" s="74"/>
      <c r="L1479" s="74"/>
      <c r="O1479" s="75"/>
    </row>
    <row r="1480" ht="15.0" customHeight="1">
      <c r="C1480" s="76"/>
      <c r="E1480" s="72"/>
      <c r="K1480" s="74"/>
      <c r="L1480" s="74"/>
      <c r="O1480" s="75"/>
    </row>
    <row r="1481" ht="15.0" customHeight="1">
      <c r="C1481" s="76"/>
      <c r="E1481" s="72"/>
      <c r="K1481" s="74"/>
      <c r="L1481" s="74"/>
      <c r="O1481" s="75"/>
    </row>
    <row r="1482" ht="15.0" customHeight="1">
      <c r="C1482" s="76"/>
      <c r="E1482" s="72"/>
      <c r="K1482" s="74"/>
      <c r="L1482" s="74"/>
      <c r="O1482" s="75"/>
    </row>
    <row r="1483" ht="15.0" customHeight="1">
      <c r="C1483" s="76"/>
      <c r="E1483" s="72"/>
      <c r="K1483" s="74"/>
      <c r="L1483" s="74"/>
      <c r="O1483" s="75"/>
    </row>
    <row r="1484" ht="15.0" customHeight="1">
      <c r="C1484" s="76"/>
      <c r="E1484" s="72"/>
      <c r="K1484" s="74"/>
      <c r="L1484" s="74"/>
      <c r="O1484" s="75"/>
    </row>
    <row r="1485" ht="15.0" customHeight="1">
      <c r="C1485" s="76"/>
      <c r="E1485" s="72"/>
      <c r="K1485" s="74"/>
      <c r="L1485" s="74"/>
      <c r="O1485" s="75"/>
    </row>
    <row r="1486" ht="15.0" customHeight="1">
      <c r="C1486" s="76"/>
      <c r="E1486" s="72"/>
      <c r="K1486" s="74"/>
      <c r="L1486" s="74"/>
      <c r="O1486" s="75"/>
    </row>
    <row r="1487" ht="15.0" customHeight="1">
      <c r="C1487" s="76"/>
      <c r="E1487" s="72"/>
      <c r="K1487" s="74"/>
      <c r="L1487" s="74"/>
      <c r="O1487" s="75"/>
    </row>
    <row r="1488" ht="15.0" customHeight="1">
      <c r="C1488" s="76"/>
      <c r="E1488" s="72"/>
      <c r="K1488" s="74"/>
      <c r="L1488" s="74"/>
      <c r="O1488" s="75"/>
    </row>
    <row r="1489" ht="15.0" customHeight="1">
      <c r="C1489" s="76"/>
      <c r="E1489" s="72"/>
      <c r="K1489" s="74"/>
      <c r="L1489" s="74"/>
      <c r="O1489" s="75"/>
    </row>
    <row r="1490" ht="15.0" customHeight="1">
      <c r="C1490" s="76"/>
      <c r="E1490" s="72"/>
      <c r="K1490" s="74"/>
      <c r="L1490" s="74"/>
      <c r="O1490" s="75"/>
    </row>
    <row r="1491" ht="15.0" customHeight="1">
      <c r="C1491" s="76"/>
      <c r="E1491" s="72"/>
      <c r="K1491" s="74"/>
      <c r="L1491" s="74"/>
      <c r="O1491" s="75"/>
    </row>
    <row r="1492" ht="15.0" customHeight="1">
      <c r="C1492" s="76"/>
      <c r="E1492" s="72"/>
      <c r="K1492" s="74"/>
      <c r="L1492" s="74"/>
      <c r="O1492" s="75"/>
    </row>
    <row r="1493" ht="15.0" customHeight="1">
      <c r="C1493" s="76"/>
      <c r="E1493" s="72"/>
      <c r="K1493" s="74"/>
      <c r="L1493" s="74"/>
      <c r="O1493" s="75"/>
    </row>
    <row r="1494" ht="15.0" customHeight="1">
      <c r="C1494" s="76"/>
      <c r="E1494" s="72"/>
      <c r="K1494" s="74"/>
      <c r="L1494" s="74"/>
      <c r="O1494" s="75"/>
    </row>
    <row r="1495" ht="15.0" customHeight="1">
      <c r="C1495" s="76"/>
      <c r="E1495" s="72"/>
      <c r="K1495" s="74"/>
      <c r="L1495" s="74"/>
      <c r="O1495" s="75"/>
    </row>
    <row r="1496" ht="15.0" customHeight="1">
      <c r="C1496" s="76"/>
      <c r="E1496" s="72"/>
      <c r="K1496" s="74"/>
      <c r="L1496" s="74"/>
      <c r="O1496" s="75"/>
    </row>
    <row r="1497" ht="15.0" customHeight="1">
      <c r="C1497" s="76"/>
      <c r="E1497" s="72"/>
      <c r="K1497" s="74"/>
      <c r="L1497" s="74"/>
      <c r="O1497" s="75"/>
    </row>
    <row r="1498" ht="15.0" customHeight="1">
      <c r="C1498" s="76"/>
      <c r="E1498" s="72"/>
      <c r="K1498" s="74"/>
      <c r="L1498" s="74"/>
      <c r="O1498" s="75"/>
    </row>
    <row r="1499" ht="15.0" customHeight="1">
      <c r="C1499" s="76"/>
      <c r="E1499" s="72"/>
      <c r="K1499" s="74"/>
      <c r="L1499" s="74"/>
      <c r="O1499" s="75"/>
    </row>
    <row r="1500" ht="15.0" customHeight="1">
      <c r="C1500" s="76"/>
      <c r="E1500" s="72"/>
      <c r="K1500" s="74"/>
      <c r="L1500" s="74"/>
      <c r="O1500" s="75"/>
    </row>
    <row r="1501" ht="15.0" customHeight="1">
      <c r="C1501" s="76"/>
      <c r="E1501" s="72"/>
      <c r="K1501" s="74"/>
      <c r="L1501" s="74"/>
      <c r="O1501" s="75"/>
    </row>
    <row r="1502" ht="15.0" customHeight="1">
      <c r="C1502" s="76"/>
      <c r="E1502" s="72"/>
      <c r="K1502" s="74"/>
      <c r="L1502" s="74"/>
      <c r="O1502" s="75"/>
    </row>
    <row r="1503" ht="15.0" customHeight="1">
      <c r="C1503" s="76"/>
      <c r="E1503" s="72"/>
      <c r="K1503" s="74"/>
      <c r="L1503" s="74"/>
      <c r="O1503" s="75"/>
    </row>
    <row r="1504" ht="15.0" customHeight="1">
      <c r="C1504" s="76"/>
      <c r="E1504" s="72"/>
      <c r="K1504" s="74"/>
      <c r="L1504" s="74"/>
      <c r="O1504" s="75"/>
    </row>
    <row r="1505" ht="15.0" customHeight="1">
      <c r="C1505" s="76"/>
      <c r="E1505" s="72"/>
      <c r="K1505" s="74"/>
      <c r="L1505" s="74"/>
      <c r="O1505" s="75"/>
    </row>
    <row r="1506" ht="15.0" customHeight="1">
      <c r="C1506" s="76"/>
      <c r="E1506" s="72"/>
      <c r="K1506" s="74"/>
      <c r="L1506" s="74"/>
      <c r="O1506" s="75"/>
    </row>
    <row r="1507" ht="15.0" customHeight="1">
      <c r="C1507" s="76"/>
      <c r="E1507" s="72"/>
      <c r="K1507" s="74"/>
      <c r="L1507" s="74"/>
      <c r="O1507" s="75"/>
    </row>
    <row r="1508" ht="15.0" customHeight="1">
      <c r="C1508" s="76"/>
      <c r="E1508" s="72"/>
      <c r="K1508" s="74"/>
      <c r="L1508" s="74"/>
      <c r="O1508" s="75"/>
    </row>
    <row r="1509" ht="15.0" customHeight="1">
      <c r="C1509" s="76"/>
      <c r="E1509" s="72"/>
      <c r="K1509" s="74"/>
      <c r="L1509" s="74"/>
      <c r="O1509" s="75"/>
    </row>
    <row r="1510" ht="15.0" customHeight="1">
      <c r="C1510" s="76"/>
      <c r="E1510" s="72"/>
      <c r="K1510" s="74"/>
      <c r="L1510" s="74"/>
      <c r="O1510" s="75"/>
    </row>
    <row r="1511" ht="15.0" customHeight="1">
      <c r="C1511" s="76"/>
      <c r="E1511" s="72"/>
      <c r="K1511" s="74"/>
      <c r="L1511" s="74"/>
      <c r="O1511" s="75"/>
    </row>
    <row r="1512" ht="15.0" customHeight="1">
      <c r="C1512" s="76"/>
      <c r="E1512" s="72"/>
      <c r="K1512" s="74"/>
      <c r="L1512" s="74"/>
      <c r="O1512" s="75"/>
    </row>
    <row r="1513" ht="15.0" customHeight="1">
      <c r="C1513" s="76"/>
      <c r="E1513" s="72"/>
      <c r="K1513" s="74"/>
      <c r="L1513" s="74"/>
      <c r="O1513" s="75"/>
    </row>
    <row r="1514" ht="15.0" customHeight="1">
      <c r="C1514" s="76"/>
      <c r="E1514" s="72"/>
      <c r="K1514" s="74"/>
      <c r="L1514" s="74"/>
      <c r="O1514" s="75"/>
    </row>
    <row r="1515" ht="15.0" customHeight="1">
      <c r="C1515" s="76"/>
      <c r="E1515" s="72"/>
      <c r="K1515" s="74"/>
      <c r="L1515" s="74"/>
      <c r="O1515" s="75"/>
    </row>
    <row r="1516" ht="15.0" customHeight="1">
      <c r="C1516" s="76"/>
      <c r="E1516" s="72"/>
      <c r="K1516" s="74"/>
      <c r="L1516" s="74"/>
      <c r="O1516" s="75"/>
    </row>
    <row r="1517" ht="15.0" customHeight="1">
      <c r="C1517" s="76"/>
      <c r="E1517" s="72"/>
      <c r="K1517" s="74"/>
      <c r="L1517" s="74"/>
      <c r="O1517" s="75"/>
    </row>
    <row r="1518" ht="15.0" customHeight="1">
      <c r="C1518" s="76"/>
      <c r="E1518" s="72"/>
      <c r="K1518" s="74"/>
      <c r="L1518" s="74"/>
      <c r="O1518" s="75"/>
    </row>
    <row r="1519" ht="15.0" customHeight="1">
      <c r="C1519" s="76"/>
      <c r="E1519" s="72"/>
      <c r="K1519" s="74"/>
      <c r="L1519" s="74"/>
      <c r="O1519" s="75"/>
    </row>
    <row r="1520" ht="15.0" customHeight="1">
      <c r="C1520" s="76"/>
      <c r="E1520" s="72"/>
      <c r="K1520" s="74"/>
      <c r="L1520" s="74"/>
      <c r="O1520" s="75"/>
    </row>
    <row r="1521" ht="15.0" customHeight="1">
      <c r="C1521" s="76"/>
      <c r="E1521" s="72"/>
      <c r="K1521" s="74"/>
      <c r="L1521" s="74"/>
      <c r="O1521" s="75"/>
    </row>
    <row r="1522" ht="15.0" customHeight="1">
      <c r="C1522" s="76"/>
      <c r="E1522" s="72"/>
      <c r="K1522" s="74"/>
      <c r="L1522" s="74"/>
      <c r="O1522" s="75"/>
    </row>
    <row r="1523" ht="15.0" customHeight="1">
      <c r="C1523" s="76"/>
      <c r="E1523" s="72"/>
      <c r="K1523" s="74"/>
      <c r="L1523" s="74"/>
      <c r="O1523" s="75"/>
    </row>
    <row r="1524" ht="15.0" customHeight="1">
      <c r="C1524" s="76"/>
      <c r="E1524" s="72"/>
      <c r="K1524" s="74"/>
      <c r="L1524" s="74"/>
      <c r="O1524" s="75"/>
    </row>
    <row r="1525" ht="15.0" customHeight="1">
      <c r="C1525" s="76"/>
      <c r="E1525" s="72"/>
      <c r="K1525" s="74"/>
      <c r="L1525" s="74"/>
      <c r="O1525" s="75"/>
    </row>
    <row r="1526" ht="15.0" customHeight="1">
      <c r="C1526" s="76"/>
      <c r="E1526" s="72"/>
      <c r="K1526" s="74"/>
      <c r="L1526" s="74"/>
      <c r="O1526" s="75"/>
    </row>
    <row r="1527" ht="15.0" customHeight="1">
      <c r="C1527" s="76"/>
      <c r="E1527" s="72"/>
      <c r="K1527" s="74"/>
      <c r="L1527" s="74"/>
      <c r="O1527" s="75"/>
    </row>
    <row r="1528" ht="15.0" customHeight="1">
      <c r="C1528" s="76"/>
      <c r="E1528" s="72"/>
      <c r="K1528" s="74"/>
      <c r="L1528" s="74"/>
      <c r="O1528" s="75"/>
    </row>
    <row r="1529" ht="15.0" customHeight="1">
      <c r="C1529" s="76"/>
      <c r="E1529" s="72"/>
      <c r="K1529" s="74"/>
      <c r="L1529" s="74"/>
      <c r="O1529" s="75"/>
    </row>
    <row r="1530" ht="15.0" customHeight="1">
      <c r="C1530" s="76"/>
      <c r="E1530" s="72"/>
      <c r="K1530" s="74"/>
      <c r="L1530" s="74"/>
      <c r="O1530" s="75"/>
    </row>
    <row r="1531" ht="15.0" customHeight="1">
      <c r="C1531" s="76"/>
      <c r="E1531" s="72"/>
      <c r="K1531" s="74"/>
      <c r="L1531" s="74"/>
      <c r="O1531" s="75"/>
    </row>
    <row r="1532" ht="15.0" customHeight="1">
      <c r="C1532" s="76"/>
      <c r="E1532" s="72"/>
      <c r="K1532" s="74"/>
      <c r="L1532" s="74"/>
      <c r="O1532" s="75"/>
    </row>
    <row r="1533" ht="15.0" customHeight="1">
      <c r="C1533" s="76"/>
      <c r="E1533" s="72"/>
      <c r="K1533" s="74"/>
      <c r="L1533" s="74"/>
      <c r="O1533" s="75"/>
    </row>
    <row r="1534" ht="15.0" customHeight="1">
      <c r="C1534" s="76"/>
      <c r="E1534" s="72"/>
      <c r="K1534" s="74"/>
      <c r="L1534" s="74"/>
      <c r="O1534" s="75"/>
    </row>
    <row r="1535" ht="15.0" customHeight="1">
      <c r="C1535" s="76"/>
      <c r="E1535" s="72"/>
      <c r="K1535" s="74"/>
      <c r="L1535" s="74"/>
      <c r="O1535" s="75"/>
    </row>
    <row r="1536" ht="15.0" customHeight="1">
      <c r="C1536" s="76"/>
      <c r="E1536" s="72"/>
      <c r="K1536" s="74"/>
      <c r="L1536" s="74"/>
      <c r="O1536" s="75"/>
    </row>
    <row r="1537" ht="15.0" customHeight="1">
      <c r="C1537" s="76"/>
      <c r="E1537" s="72"/>
      <c r="K1537" s="74"/>
      <c r="L1537" s="74"/>
      <c r="O1537" s="75"/>
    </row>
    <row r="1538" ht="15.0" customHeight="1">
      <c r="C1538" s="76"/>
      <c r="E1538" s="72"/>
      <c r="K1538" s="74"/>
      <c r="L1538" s="74"/>
      <c r="O1538" s="75"/>
    </row>
    <row r="1539" ht="15.0" customHeight="1">
      <c r="C1539" s="76"/>
      <c r="E1539" s="72"/>
      <c r="K1539" s="74"/>
      <c r="L1539" s="74"/>
      <c r="O1539" s="75"/>
    </row>
    <row r="1540" ht="15.0" customHeight="1">
      <c r="C1540" s="76"/>
      <c r="E1540" s="72"/>
      <c r="K1540" s="74"/>
      <c r="L1540" s="74"/>
      <c r="O1540" s="75"/>
    </row>
    <row r="1541" ht="15.0" customHeight="1">
      <c r="C1541" s="76"/>
      <c r="E1541" s="72"/>
      <c r="K1541" s="74"/>
      <c r="L1541" s="74"/>
      <c r="O1541" s="75"/>
    </row>
    <row r="1542" ht="15.0" customHeight="1">
      <c r="C1542" s="76"/>
      <c r="E1542" s="72"/>
      <c r="K1542" s="74"/>
      <c r="L1542" s="74"/>
      <c r="O1542" s="75"/>
    </row>
    <row r="1543" ht="15.0" customHeight="1">
      <c r="C1543" s="76"/>
      <c r="E1543" s="72"/>
      <c r="K1543" s="74"/>
      <c r="L1543" s="74"/>
      <c r="O1543" s="75"/>
    </row>
    <row r="1544" ht="15.0" customHeight="1">
      <c r="C1544" s="76"/>
      <c r="E1544" s="72"/>
      <c r="K1544" s="74"/>
      <c r="L1544" s="74"/>
      <c r="O1544" s="75"/>
    </row>
    <row r="1545" ht="15.0" customHeight="1">
      <c r="C1545" s="76"/>
      <c r="E1545" s="72"/>
      <c r="K1545" s="74"/>
      <c r="L1545" s="74"/>
      <c r="O1545" s="75"/>
    </row>
    <row r="1546" ht="15.0" customHeight="1">
      <c r="C1546" s="76"/>
      <c r="E1546" s="72"/>
      <c r="K1546" s="74"/>
      <c r="L1546" s="74"/>
      <c r="O1546" s="75"/>
    </row>
    <row r="1547" ht="15.0" customHeight="1">
      <c r="C1547" s="76"/>
      <c r="E1547" s="72"/>
      <c r="K1547" s="74"/>
      <c r="L1547" s="74"/>
      <c r="O1547" s="75"/>
    </row>
    <row r="1548" ht="15.0" customHeight="1">
      <c r="C1548" s="76"/>
      <c r="E1548" s="72"/>
      <c r="K1548" s="74"/>
      <c r="L1548" s="74"/>
      <c r="O1548" s="75"/>
    </row>
    <row r="1549" ht="15.0" customHeight="1">
      <c r="C1549" s="76"/>
      <c r="E1549" s="72"/>
      <c r="K1549" s="74"/>
      <c r="L1549" s="74"/>
      <c r="O1549" s="75"/>
    </row>
    <row r="1550" ht="15.0" customHeight="1">
      <c r="C1550" s="76"/>
      <c r="E1550" s="72"/>
      <c r="K1550" s="74"/>
      <c r="L1550" s="74"/>
      <c r="O1550" s="75"/>
    </row>
    <row r="1551" ht="15.0" customHeight="1">
      <c r="C1551" s="76"/>
      <c r="E1551" s="72"/>
      <c r="K1551" s="74"/>
      <c r="L1551" s="74"/>
      <c r="O1551" s="75"/>
    </row>
    <row r="1552" ht="15.0" customHeight="1">
      <c r="C1552" s="76"/>
      <c r="E1552" s="72"/>
      <c r="K1552" s="74"/>
      <c r="L1552" s="74"/>
      <c r="O1552" s="75"/>
    </row>
    <row r="1553" ht="15.0" customHeight="1">
      <c r="C1553" s="76"/>
      <c r="E1553" s="72"/>
      <c r="K1553" s="74"/>
      <c r="L1553" s="74"/>
      <c r="O1553" s="75"/>
    </row>
    <row r="1554" ht="15.0" customHeight="1">
      <c r="C1554" s="76"/>
      <c r="E1554" s="72"/>
      <c r="K1554" s="74"/>
      <c r="L1554" s="74"/>
      <c r="O1554" s="75"/>
    </row>
    <row r="1555" ht="15.0" customHeight="1">
      <c r="C1555" s="76"/>
      <c r="E1555" s="72"/>
      <c r="K1555" s="74"/>
      <c r="L1555" s="74"/>
      <c r="O1555" s="75"/>
    </row>
    <row r="1556" ht="15.0" customHeight="1">
      <c r="C1556" s="76"/>
      <c r="E1556" s="72"/>
      <c r="K1556" s="74"/>
      <c r="L1556" s="74"/>
      <c r="O1556" s="75"/>
    </row>
    <row r="1557" ht="15.0" customHeight="1">
      <c r="C1557" s="76"/>
      <c r="E1557" s="72"/>
      <c r="K1557" s="74"/>
      <c r="L1557" s="74"/>
      <c r="O1557" s="75"/>
    </row>
    <row r="1558" ht="15.0" customHeight="1">
      <c r="C1558" s="76"/>
      <c r="E1558" s="72"/>
      <c r="K1558" s="74"/>
      <c r="L1558" s="74"/>
      <c r="O1558" s="75"/>
    </row>
    <row r="1559" ht="15.0" customHeight="1">
      <c r="C1559" s="76"/>
      <c r="E1559" s="72"/>
      <c r="K1559" s="74"/>
      <c r="L1559" s="74"/>
      <c r="O1559" s="75"/>
    </row>
    <row r="1560" ht="15.0" customHeight="1">
      <c r="C1560" s="76"/>
      <c r="E1560" s="72"/>
      <c r="K1560" s="74"/>
      <c r="L1560" s="74"/>
      <c r="O1560" s="75"/>
    </row>
    <row r="1561" ht="15.0" customHeight="1">
      <c r="C1561" s="76"/>
      <c r="E1561" s="72"/>
      <c r="K1561" s="74"/>
      <c r="L1561" s="74"/>
      <c r="O1561" s="75"/>
    </row>
    <row r="1562" ht="15.0" customHeight="1">
      <c r="C1562" s="76"/>
      <c r="E1562" s="72"/>
      <c r="K1562" s="74"/>
      <c r="L1562" s="74"/>
      <c r="O1562" s="75"/>
    </row>
    <row r="1563" ht="15.0" customHeight="1">
      <c r="C1563" s="76"/>
      <c r="E1563" s="72"/>
      <c r="K1563" s="74"/>
      <c r="L1563" s="74"/>
      <c r="O1563" s="75"/>
    </row>
    <row r="1564" ht="15.0" customHeight="1">
      <c r="C1564" s="76"/>
      <c r="E1564" s="72"/>
      <c r="K1564" s="74"/>
      <c r="L1564" s="74"/>
      <c r="O1564" s="75"/>
    </row>
    <row r="1565" ht="15.0" customHeight="1">
      <c r="C1565" s="76"/>
      <c r="E1565" s="72"/>
      <c r="K1565" s="74"/>
      <c r="L1565" s="74"/>
      <c r="O1565" s="75"/>
    </row>
    <row r="1566" ht="15.0" customHeight="1">
      <c r="C1566" s="76"/>
      <c r="E1566" s="72"/>
      <c r="K1566" s="74"/>
      <c r="L1566" s="74"/>
      <c r="O1566" s="75"/>
    </row>
    <row r="1567" ht="15.0" customHeight="1">
      <c r="C1567" s="76"/>
      <c r="E1567" s="72"/>
      <c r="K1567" s="74"/>
      <c r="L1567" s="74"/>
      <c r="O1567" s="75"/>
    </row>
    <row r="1568" ht="15.0" customHeight="1">
      <c r="C1568" s="76"/>
      <c r="E1568" s="72"/>
      <c r="K1568" s="74"/>
      <c r="L1568" s="74"/>
      <c r="O1568" s="75"/>
    </row>
    <row r="1569" ht="15.0" customHeight="1">
      <c r="C1569" s="76"/>
      <c r="E1569" s="72"/>
      <c r="K1569" s="74"/>
      <c r="L1569" s="74"/>
      <c r="O1569" s="75"/>
    </row>
    <row r="1570" ht="15.0" customHeight="1">
      <c r="C1570" s="76"/>
      <c r="E1570" s="72"/>
      <c r="K1570" s="74"/>
      <c r="L1570" s="74"/>
      <c r="O1570" s="75"/>
    </row>
    <row r="1571" ht="15.0" customHeight="1">
      <c r="C1571" s="76"/>
      <c r="E1571" s="72"/>
      <c r="K1571" s="74"/>
      <c r="L1571" s="74"/>
      <c r="O1571" s="75"/>
    </row>
    <row r="1572" ht="15.0" customHeight="1">
      <c r="C1572" s="76"/>
      <c r="E1572" s="72"/>
      <c r="K1572" s="74"/>
      <c r="L1572" s="74"/>
      <c r="O1572" s="75"/>
    </row>
    <row r="1573" ht="15.0" customHeight="1">
      <c r="C1573" s="76"/>
      <c r="E1573" s="72"/>
      <c r="K1573" s="74"/>
      <c r="L1573" s="74"/>
      <c r="O1573" s="75"/>
    </row>
    <row r="1574" ht="15.0" customHeight="1">
      <c r="C1574" s="76"/>
      <c r="E1574" s="72"/>
      <c r="K1574" s="74"/>
      <c r="L1574" s="74"/>
      <c r="O1574" s="75"/>
    </row>
    <row r="1575" ht="15.0" customHeight="1">
      <c r="C1575" s="76"/>
      <c r="E1575" s="72"/>
      <c r="K1575" s="74"/>
      <c r="L1575" s="74"/>
      <c r="O1575" s="75"/>
    </row>
    <row r="1576" ht="15.0" customHeight="1">
      <c r="C1576" s="76"/>
      <c r="E1576" s="72"/>
      <c r="K1576" s="74"/>
      <c r="L1576" s="74"/>
      <c r="O1576" s="75"/>
    </row>
    <row r="1577" ht="15.0" customHeight="1">
      <c r="C1577" s="76"/>
      <c r="E1577" s="72"/>
      <c r="K1577" s="74"/>
      <c r="L1577" s="74"/>
      <c r="O1577" s="75"/>
    </row>
    <row r="1578" ht="15.0" customHeight="1"/>
    <row r="1579" ht="15.0" customHeight="1"/>
    <row r="1580" ht="15.0" customHeight="1"/>
    <row r="1581" ht="15.0" customHeight="1"/>
    <row r="1582" ht="15.0" customHeight="1"/>
    <row r="1583" ht="15.0" customHeight="1"/>
  </sheetData>
  <dataValidations>
    <dataValidation type="list" allowBlank="1" showErrorMessage="1" sqref="J3:J146 J148:J250 J252:J347 J349:J478 J480:J572">
      <formula1>" CREDICOOP, PROVINCIA,BBVA,EFECTIVO,EFECTIVO B,MP,PREVISION,DEB AUT. BBVA,DEB. AUT. CRED.,CREDICOOP C de I,ECHEQ"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14"/>
    <col customWidth="1" min="3" max="3" width="26.86"/>
    <col customWidth="1" min="4" max="4" width="23.29"/>
    <col customWidth="1" min="5" max="5" width="33.14"/>
    <col customWidth="1" min="6" max="6" width="15.71"/>
    <col customWidth="1" min="7" max="10" width="15.29"/>
    <col customWidth="1" min="11" max="11" width="10.86"/>
    <col customWidth="1" min="12" max="12" width="11.29"/>
    <col customWidth="1" min="13" max="13" width="23.86"/>
    <col customWidth="1" min="14" max="14" width="19.71"/>
    <col customWidth="1" min="15" max="15" width="9.0"/>
  </cols>
  <sheetData>
    <row r="1" ht="33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4" t="s">
        <v>12</v>
      </c>
      <c r="N1" s="5" t="s">
        <v>13</v>
      </c>
      <c r="O1" s="6" t="s">
        <v>14</v>
      </c>
    </row>
    <row r="2" ht="15.0" customHeight="1">
      <c r="A2" s="15" t="s">
        <v>108</v>
      </c>
      <c r="B2" s="27" t="s">
        <v>37</v>
      </c>
      <c r="C2" s="20" t="s">
        <v>37</v>
      </c>
      <c r="D2" s="20" t="s">
        <v>109</v>
      </c>
      <c r="E2" s="31"/>
      <c r="F2" s="20">
        <v>118639.49</v>
      </c>
      <c r="G2" s="20">
        <v>32032.66</v>
      </c>
      <c r="H2" s="20">
        <v>10788.909999999998</v>
      </c>
      <c r="I2" s="43">
        <v>161461.06</v>
      </c>
      <c r="J2" s="20" t="s">
        <v>38</v>
      </c>
      <c r="K2" s="21">
        <v>45756.0</v>
      </c>
      <c r="L2" s="21">
        <v>45756.0</v>
      </c>
      <c r="M2" s="22"/>
      <c r="N2" s="23"/>
      <c r="O2" s="14">
        <v>45748.0</v>
      </c>
    </row>
    <row r="3" ht="15.0" customHeight="1">
      <c r="A3" s="15" t="s">
        <v>108</v>
      </c>
      <c r="B3" s="27" t="s">
        <v>37</v>
      </c>
      <c r="C3" s="20" t="s">
        <v>37</v>
      </c>
      <c r="D3" s="20" t="s">
        <v>110</v>
      </c>
      <c r="E3" s="31"/>
      <c r="F3" s="20">
        <v>12202.15</v>
      </c>
      <c r="G3" s="20">
        <v>3294.58</v>
      </c>
      <c r="H3" s="20">
        <v>801.8900000000001</v>
      </c>
      <c r="I3" s="43">
        <v>16298.619999999999</v>
      </c>
      <c r="J3" s="20" t="s">
        <v>38</v>
      </c>
      <c r="K3" s="21">
        <v>45756.0</v>
      </c>
      <c r="L3" s="21">
        <v>45756.0</v>
      </c>
      <c r="M3" s="22"/>
      <c r="N3" s="23"/>
      <c r="O3" s="14">
        <v>45748.0</v>
      </c>
    </row>
    <row r="4" ht="15.0" customHeight="1">
      <c r="A4" s="15" t="s">
        <v>108</v>
      </c>
      <c r="B4" s="27" t="s">
        <v>37</v>
      </c>
      <c r="C4" s="20" t="s">
        <v>37</v>
      </c>
      <c r="D4" s="20" t="s">
        <v>111</v>
      </c>
      <c r="E4" s="31"/>
      <c r="F4" s="20">
        <v>337381.6</v>
      </c>
      <c r="G4" s="20">
        <v>91093.03</v>
      </c>
      <c r="H4" s="20">
        <v>31313.490000000005</v>
      </c>
      <c r="I4" s="43">
        <v>459788.12</v>
      </c>
      <c r="J4" s="20" t="s">
        <v>38</v>
      </c>
      <c r="K4" s="21">
        <v>45762.0</v>
      </c>
      <c r="L4" s="21">
        <v>45762.0</v>
      </c>
      <c r="M4" s="22"/>
      <c r="N4" s="23"/>
      <c r="O4" s="14">
        <v>45748.0</v>
      </c>
    </row>
    <row r="5" ht="15.0" customHeight="1">
      <c r="A5" s="15" t="s">
        <v>108</v>
      </c>
      <c r="B5" s="27" t="s">
        <v>34</v>
      </c>
      <c r="C5" s="20" t="s">
        <v>47</v>
      </c>
      <c r="D5" s="20" t="s">
        <v>112</v>
      </c>
      <c r="E5" s="31"/>
      <c r="F5" s="20">
        <v>2924376.08</v>
      </c>
      <c r="G5" s="20">
        <v>614118.9768</v>
      </c>
      <c r="H5" s="20"/>
      <c r="I5" s="43">
        <v>3538495.0568</v>
      </c>
      <c r="J5" s="20" t="s">
        <v>81</v>
      </c>
      <c r="K5" s="21">
        <v>45754.0</v>
      </c>
      <c r="L5" s="21">
        <v>45754.0</v>
      </c>
      <c r="M5" s="22"/>
      <c r="N5" s="23"/>
      <c r="O5" s="14">
        <v>45748.0</v>
      </c>
    </row>
    <row r="6" ht="15.0" customHeight="1">
      <c r="A6" s="15" t="s">
        <v>108</v>
      </c>
      <c r="B6" s="27" t="s">
        <v>39</v>
      </c>
      <c r="C6" s="20" t="s">
        <v>47</v>
      </c>
      <c r="D6" s="20" t="s">
        <v>113</v>
      </c>
      <c r="E6" s="31"/>
      <c r="F6" s="20"/>
      <c r="G6" s="20"/>
      <c r="H6" s="20"/>
      <c r="I6" s="24">
        <v>407740.5</v>
      </c>
      <c r="J6" s="20" t="s">
        <v>81</v>
      </c>
      <c r="K6" s="21">
        <v>45770.0</v>
      </c>
      <c r="L6" s="21">
        <v>45770.0</v>
      </c>
      <c r="M6" s="22"/>
      <c r="N6" s="23"/>
      <c r="O6" s="14">
        <v>45748.0</v>
      </c>
    </row>
    <row r="7" ht="15.0" customHeight="1">
      <c r="A7" s="15" t="s">
        <v>108</v>
      </c>
      <c r="B7" s="27" t="s">
        <v>46</v>
      </c>
      <c r="C7" s="20" t="s">
        <v>47</v>
      </c>
      <c r="D7" s="20" t="s">
        <v>113</v>
      </c>
      <c r="E7" s="31"/>
      <c r="F7" s="20"/>
      <c r="G7" s="20"/>
      <c r="H7" s="20"/>
      <c r="I7" s="24">
        <v>456619.16</v>
      </c>
      <c r="J7" s="20" t="s">
        <v>81</v>
      </c>
      <c r="K7" s="21">
        <v>45770.0</v>
      </c>
      <c r="L7" s="21">
        <v>45770.0</v>
      </c>
      <c r="M7" s="22"/>
      <c r="N7" s="23"/>
      <c r="O7" s="14">
        <v>45748.0</v>
      </c>
    </row>
    <row r="8" ht="15.0" customHeight="1">
      <c r="A8" s="15" t="s">
        <v>108</v>
      </c>
      <c r="B8" s="27" t="s">
        <v>50</v>
      </c>
      <c r="C8" s="20" t="s">
        <v>47</v>
      </c>
      <c r="D8" s="20" t="s">
        <v>113</v>
      </c>
      <c r="E8" s="31"/>
      <c r="F8" s="20"/>
      <c r="G8" s="20"/>
      <c r="H8" s="20"/>
      <c r="I8" s="43">
        <v>519510.52</v>
      </c>
      <c r="J8" s="20" t="s">
        <v>81</v>
      </c>
      <c r="K8" s="21">
        <v>45770.0</v>
      </c>
      <c r="L8" s="21">
        <v>45770.0</v>
      </c>
      <c r="M8" s="22"/>
      <c r="N8" s="23"/>
      <c r="O8" s="14">
        <v>45748.0</v>
      </c>
    </row>
    <row r="9" ht="15.0" customHeight="1">
      <c r="A9" s="15" t="s">
        <v>108</v>
      </c>
      <c r="B9" s="27" t="s">
        <v>41</v>
      </c>
      <c r="C9" s="20" t="s">
        <v>42</v>
      </c>
      <c r="D9" s="20" t="s">
        <v>114</v>
      </c>
      <c r="E9" s="31"/>
      <c r="F9" s="20">
        <v>24380.0</v>
      </c>
      <c r="G9" s="20">
        <v>5119.8</v>
      </c>
      <c r="H9" s="20"/>
      <c r="I9" s="43">
        <v>29499.8</v>
      </c>
      <c r="J9" s="24" t="s">
        <v>81</v>
      </c>
      <c r="K9" s="21">
        <v>45770.0</v>
      </c>
      <c r="L9" s="21">
        <v>45770.0</v>
      </c>
      <c r="M9" s="22"/>
      <c r="N9" s="23"/>
      <c r="O9" s="14">
        <v>45748.0</v>
      </c>
    </row>
    <row r="10" ht="15.0" customHeight="1">
      <c r="A10" s="15" t="s">
        <v>108</v>
      </c>
      <c r="B10" s="27" t="s">
        <v>31</v>
      </c>
      <c r="C10" s="20" t="s">
        <v>32</v>
      </c>
      <c r="D10" s="20" t="s">
        <v>115</v>
      </c>
      <c r="E10" s="31"/>
      <c r="F10" s="20"/>
      <c r="G10" s="20"/>
      <c r="H10" s="20"/>
      <c r="I10" s="24">
        <v>40000.0</v>
      </c>
      <c r="J10" s="20" t="s">
        <v>81</v>
      </c>
      <c r="K10" s="21">
        <v>45783.0</v>
      </c>
      <c r="L10" s="21">
        <v>45783.0</v>
      </c>
      <c r="M10" s="34"/>
      <c r="N10" s="23"/>
      <c r="O10" s="14">
        <v>45748.0</v>
      </c>
    </row>
    <row r="11" ht="15.0" customHeight="1">
      <c r="A11" s="15" t="s">
        <v>108</v>
      </c>
      <c r="B11" s="27" t="s">
        <v>43</v>
      </c>
      <c r="C11" s="20" t="s">
        <v>53</v>
      </c>
      <c r="D11" s="20" t="s">
        <v>116</v>
      </c>
      <c r="E11" s="31"/>
      <c r="F11" s="20">
        <v>127001.0</v>
      </c>
      <c r="G11" s="20">
        <v>26670.21</v>
      </c>
      <c r="H11" s="20">
        <v>10160.08</v>
      </c>
      <c r="I11" s="43">
        <v>163831.28999999998</v>
      </c>
      <c r="J11" s="20" t="s">
        <v>86</v>
      </c>
      <c r="K11" s="21">
        <v>45754.0</v>
      </c>
      <c r="L11" s="21">
        <v>45754.0</v>
      </c>
      <c r="M11" s="22"/>
      <c r="N11" s="18"/>
      <c r="O11" s="14">
        <v>45748.0</v>
      </c>
    </row>
    <row r="12" ht="15.0" customHeight="1">
      <c r="A12" s="15" t="s">
        <v>54</v>
      </c>
      <c r="B12" s="27" t="s">
        <v>37</v>
      </c>
      <c r="C12" s="20" t="s">
        <v>37</v>
      </c>
      <c r="D12" s="20" t="s">
        <v>117</v>
      </c>
      <c r="E12" s="31"/>
      <c r="F12" s="20">
        <v>117541.92</v>
      </c>
      <c r="G12" s="20">
        <v>31736.32</v>
      </c>
      <c r="H12" s="20">
        <v>10685.929999999998</v>
      </c>
      <c r="I12" s="43">
        <v>159964.16999999998</v>
      </c>
      <c r="J12" s="24" t="s">
        <v>38</v>
      </c>
      <c r="K12" s="21">
        <v>45756.0</v>
      </c>
      <c r="L12" s="21">
        <v>45756.0</v>
      </c>
      <c r="M12" s="25"/>
      <c r="N12" s="26"/>
      <c r="O12" s="14">
        <v>45748.0</v>
      </c>
    </row>
    <row r="13" ht="15.0" customHeight="1">
      <c r="A13" s="15" t="s">
        <v>54</v>
      </c>
      <c r="B13" s="27" t="s">
        <v>37</v>
      </c>
      <c r="C13" s="20" t="s">
        <v>37</v>
      </c>
      <c r="D13" s="20" t="s">
        <v>118</v>
      </c>
      <c r="E13" s="31"/>
      <c r="F13" s="20">
        <v>50547.91</v>
      </c>
      <c r="G13" s="20">
        <v>13647.94</v>
      </c>
      <c r="H13" s="20">
        <v>4399.879999999998</v>
      </c>
      <c r="I13" s="43">
        <v>68595.73000000001</v>
      </c>
      <c r="J13" s="24" t="s">
        <v>38</v>
      </c>
      <c r="K13" s="21">
        <v>45756.0</v>
      </c>
      <c r="L13" s="21">
        <v>45756.0</v>
      </c>
      <c r="M13" s="23"/>
      <c r="N13" s="23"/>
      <c r="O13" s="14">
        <v>45748.0</v>
      </c>
    </row>
    <row r="14" ht="15.0" customHeight="1">
      <c r="A14" s="15" t="s">
        <v>54</v>
      </c>
      <c r="B14" s="27" t="s">
        <v>34</v>
      </c>
      <c r="C14" s="20" t="s">
        <v>55</v>
      </c>
      <c r="D14" s="20" t="s">
        <v>119</v>
      </c>
      <c r="E14" s="31"/>
      <c r="F14" s="20"/>
      <c r="G14" s="20">
        <v>0.0</v>
      </c>
      <c r="H14" s="20"/>
      <c r="I14" s="46">
        <v>738584.0</v>
      </c>
      <c r="J14" s="24" t="s">
        <v>81</v>
      </c>
      <c r="K14" s="21">
        <v>45763.0</v>
      </c>
      <c r="L14" s="21">
        <v>45763.0</v>
      </c>
      <c r="M14" s="25"/>
      <c r="N14" s="26"/>
      <c r="O14" s="14">
        <v>45748.0</v>
      </c>
    </row>
    <row r="15" ht="15.0" customHeight="1">
      <c r="A15" s="15" t="s">
        <v>54</v>
      </c>
      <c r="B15" s="27" t="s">
        <v>41</v>
      </c>
      <c r="C15" s="20" t="s">
        <v>42</v>
      </c>
      <c r="D15" s="20" t="s">
        <v>114</v>
      </c>
      <c r="E15" s="31"/>
      <c r="F15" s="20">
        <v>27480.0</v>
      </c>
      <c r="G15" s="20">
        <v>5770.8</v>
      </c>
      <c r="H15" s="20"/>
      <c r="I15" s="43">
        <v>33250.8</v>
      </c>
      <c r="J15" s="24" t="s">
        <v>81</v>
      </c>
      <c r="K15" s="45">
        <v>45770.0</v>
      </c>
      <c r="L15" s="21">
        <v>45770.0</v>
      </c>
      <c r="M15" s="23"/>
      <c r="N15" s="23"/>
      <c r="O15" s="14">
        <v>45748.0</v>
      </c>
    </row>
    <row r="16" ht="15.0" customHeight="1">
      <c r="A16" s="15" t="s">
        <v>54</v>
      </c>
      <c r="B16" s="27" t="s">
        <v>31</v>
      </c>
      <c r="C16" s="20" t="s">
        <v>32</v>
      </c>
      <c r="D16" s="20" t="s">
        <v>115</v>
      </c>
      <c r="E16" s="31"/>
      <c r="F16" s="20"/>
      <c r="G16" s="20"/>
      <c r="H16" s="20"/>
      <c r="I16" s="24">
        <v>40000.0</v>
      </c>
      <c r="J16" s="24" t="s">
        <v>81</v>
      </c>
      <c r="K16" s="21">
        <v>45783.0</v>
      </c>
      <c r="L16" s="21">
        <v>45783.0</v>
      </c>
      <c r="M16" s="25"/>
      <c r="N16" s="26"/>
      <c r="O16" s="14">
        <v>45748.0</v>
      </c>
    </row>
    <row r="17" ht="15.0" customHeight="1">
      <c r="A17" s="15" t="s">
        <v>54</v>
      </c>
      <c r="B17" s="27" t="s">
        <v>39</v>
      </c>
      <c r="C17" s="20" t="s">
        <v>57</v>
      </c>
      <c r="D17" s="20" t="s">
        <v>120</v>
      </c>
      <c r="E17" s="31"/>
      <c r="F17" s="20">
        <v>214646.93</v>
      </c>
      <c r="G17" s="20"/>
      <c r="H17" s="20"/>
      <c r="I17" s="43">
        <v>214646.93</v>
      </c>
      <c r="J17" s="24" t="s">
        <v>87</v>
      </c>
      <c r="K17" s="21">
        <v>45757.0</v>
      </c>
      <c r="L17" s="21">
        <v>45757.0</v>
      </c>
      <c r="M17" s="23"/>
      <c r="N17" s="23"/>
      <c r="O17" s="14">
        <v>45748.0</v>
      </c>
    </row>
    <row r="18" ht="15.0" customHeight="1">
      <c r="A18" s="15" t="s">
        <v>54</v>
      </c>
      <c r="B18" s="27" t="s">
        <v>43</v>
      </c>
      <c r="C18" s="20" t="s">
        <v>53</v>
      </c>
      <c r="D18" s="20" t="s">
        <v>121</v>
      </c>
      <c r="E18" s="31"/>
      <c r="F18" s="20">
        <v>89800.0</v>
      </c>
      <c r="G18" s="20">
        <v>18858.0</v>
      </c>
      <c r="H18" s="20">
        <v>7184.0</v>
      </c>
      <c r="I18" s="44">
        <v>115842.0</v>
      </c>
      <c r="J18" s="24" t="s">
        <v>38</v>
      </c>
      <c r="K18" s="21">
        <v>45754.0</v>
      </c>
      <c r="L18" s="21">
        <v>45754.0</v>
      </c>
      <c r="M18" s="23"/>
      <c r="N18" s="23"/>
      <c r="O18" s="14">
        <v>45748.0</v>
      </c>
    </row>
    <row r="19" ht="15.0" customHeight="1">
      <c r="A19" s="15" t="s">
        <v>122</v>
      </c>
      <c r="B19" s="27" t="s">
        <v>34</v>
      </c>
      <c r="C19" s="40" t="s">
        <v>61</v>
      </c>
      <c r="D19" s="20" t="s">
        <v>123</v>
      </c>
      <c r="E19" s="31"/>
      <c r="F19" s="20">
        <v>500000.0</v>
      </c>
      <c r="G19" s="20">
        <v>105000.0</v>
      </c>
      <c r="H19" s="20"/>
      <c r="I19" s="44">
        <v>605000.0</v>
      </c>
      <c r="J19" s="24" t="s">
        <v>81</v>
      </c>
      <c r="K19" s="21">
        <v>45761.0</v>
      </c>
      <c r="L19" s="21">
        <v>45761.0</v>
      </c>
      <c r="M19" s="25"/>
      <c r="N19" s="26"/>
      <c r="O19" s="14">
        <v>45748.0</v>
      </c>
    </row>
    <row r="20" ht="15.0" customHeight="1">
      <c r="A20" s="15" t="s">
        <v>122</v>
      </c>
      <c r="B20" s="27" t="s">
        <v>39</v>
      </c>
      <c r="C20" s="40" t="s">
        <v>61</v>
      </c>
      <c r="D20" s="20" t="s">
        <v>123</v>
      </c>
      <c r="E20" s="31"/>
      <c r="F20" s="20"/>
      <c r="G20" s="20"/>
      <c r="H20" s="20">
        <v>268402.17</v>
      </c>
      <c r="I20" s="43">
        <v>268402.17</v>
      </c>
      <c r="J20" s="24" t="s">
        <v>81</v>
      </c>
      <c r="K20" s="21">
        <v>45761.0</v>
      </c>
      <c r="L20" s="21">
        <v>45761.0</v>
      </c>
      <c r="M20" s="23"/>
      <c r="N20" s="23"/>
      <c r="O20" s="14">
        <v>45748.0</v>
      </c>
    </row>
    <row r="21" ht="15.0" customHeight="1">
      <c r="A21" s="15" t="s">
        <v>124</v>
      </c>
      <c r="B21" s="27" t="s">
        <v>34</v>
      </c>
      <c r="C21" s="40" t="s">
        <v>61</v>
      </c>
      <c r="D21" s="20" t="s">
        <v>125</v>
      </c>
      <c r="E21" s="31"/>
      <c r="F21" s="20">
        <v>211929.6</v>
      </c>
      <c r="G21" s="20">
        <v>44505.216</v>
      </c>
      <c r="H21" s="20"/>
      <c r="I21" s="44">
        <v>256434.816</v>
      </c>
      <c r="J21" s="24" t="s">
        <v>81</v>
      </c>
      <c r="K21" s="21">
        <v>45761.0</v>
      </c>
      <c r="L21" s="21">
        <v>45761.0</v>
      </c>
      <c r="M21" s="25"/>
      <c r="N21" s="26"/>
      <c r="O21" s="14">
        <v>45748.0</v>
      </c>
    </row>
    <row r="22" ht="15.0" customHeight="1">
      <c r="A22" s="15" t="s">
        <v>124</v>
      </c>
      <c r="B22" s="27" t="s">
        <v>39</v>
      </c>
      <c r="C22" s="40" t="s">
        <v>61</v>
      </c>
      <c r="D22" s="20" t="s">
        <v>125</v>
      </c>
      <c r="E22" s="31"/>
      <c r="F22" s="20"/>
      <c r="G22" s="20"/>
      <c r="H22" s="20">
        <v>477159.41</v>
      </c>
      <c r="I22" s="43">
        <v>477159.41</v>
      </c>
      <c r="J22" s="24" t="s">
        <v>81</v>
      </c>
      <c r="K22" s="21">
        <v>45761.0</v>
      </c>
      <c r="L22" s="21">
        <v>45761.0</v>
      </c>
      <c r="M22" s="23"/>
      <c r="N22" s="23"/>
      <c r="O22" s="14">
        <v>45748.0</v>
      </c>
    </row>
    <row r="23" ht="15.0" customHeight="1">
      <c r="A23" s="15" t="s">
        <v>63</v>
      </c>
      <c r="B23" s="27" t="s">
        <v>34</v>
      </c>
      <c r="C23" s="40" t="s">
        <v>61</v>
      </c>
      <c r="D23" s="20" t="s">
        <v>126</v>
      </c>
      <c r="E23" s="31"/>
      <c r="F23" s="20">
        <v>386330.0</v>
      </c>
      <c r="G23" s="20">
        <v>81129.3</v>
      </c>
      <c r="H23" s="20"/>
      <c r="I23" s="43">
        <v>467459.3</v>
      </c>
      <c r="J23" s="20" t="s">
        <v>81</v>
      </c>
      <c r="K23" s="21">
        <v>45761.0</v>
      </c>
      <c r="L23" s="21">
        <v>45761.0</v>
      </c>
      <c r="M23" s="22"/>
      <c r="N23" s="23"/>
      <c r="O23" s="14">
        <v>45748.0</v>
      </c>
    </row>
    <row r="24" ht="15.0" customHeight="1">
      <c r="A24" s="15" t="s">
        <v>63</v>
      </c>
      <c r="B24" s="27" t="s">
        <v>39</v>
      </c>
      <c r="C24" s="40" t="s">
        <v>61</v>
      </c>
      <c r="D24" s="20" t="s">
        <v>126</v>
      </c>
      <c r="E24" s="31"/>
      <c r="F24" s="20"/>
      <c r="G24" s="20"/>
      <c r="H24" s="20">
        <v>42869.79</v>
      </c>
      <c r="I24" s="43">
        <v>42869.79</v>
      </c>
      <c r="J24" s="20" t="s">
        <v>81</v>
      </c>
      <c r="K24" s="21">
        <v>45761.0</v>
      </c>
      <c r="L24" s="21">
        <v>45761.0</v>
      </c>
      <c r="M24" s="22"/>
      <c r="N24" s="23"/>
      <c r="O24" s="14">
        <v>45748.0</v>
      </c>
    </row>
    <row r="25" ht="15.0" customHeight="1">
      <c r="A25" s="15" t="s">
        <v>63</v>
      </c>
      <c r="B25" s="27" t="s">
        <v>37</v>
      </c>
      <c r="C25" s="40" t="s">
        <v>61</v>
      </c>
      <c r="D25" s="20" t="s">
        <v>126</v>
      </c>
      <c r="E25" s="31"/>
      <c r="F25" s="20">
        <v>5477.78</v>
      </c>
      <c r="G25" s="20">
        <v>1150.3337999999999</v>
      </c>
      <c r="H25" s="20"/>
      <c r="I25" s="43">
        <v>6628.113799999999</v>
      </c>
      <c r="J25" s="20" t="s">
        <v>81</v>
      </c>
      <c r="K25" s="21">
        <v>45761.0</v>
      </c>
      <c r="L25" s="21">
        <v>45761.0</v>
      </c>
      <c r="M25" s="29"/>
      <c r="N25" s="23"/>
      <c r="O25" s="14">
        <v>45748.0</v>
      </c>
    </row>
    <row r="26" ht="15.0" customHeight="1">
      <c r="A26" s="15" t="s">
        <v>127</v>
      </c>
      <c r="B26" s="27" t="s">
        <v>34</v>
      </c>
      <c r="C26" s="40" t="s">
        <v>61</v>
      </c>
      <c r="D26" s="20" t="s">
        <v>128</v>
      </c>
      <c r="E26" s="31"/>
      <c r="F26" s="20">
        <v>540862.0</v>
      </c>
      <c r="G26" s="20">
        <v>113581.01999999999</v>
      </c>
      <c r="H26" s="20"/>
      <c r="I26" s="44">
        <v>654443.02</v>
      </c>
      <c r="J26" s="24" t="s">
        <v>81</v>
      </c>
      <c r="K26" s="21">
        <v>45761.0</v>
      </c>
      <c r="L26" s="21">
        <v>45761.0</v>
      </c>
      <c r="M26" s="25"/>
      <c r="N26" s="26"/>
      <c r="O26" s="14">
        <v>45748.0</v>
      </c>
    </row>
    <row r="27" ht="15.0" customHeight="1">
      <c r="A27" s="15" t="s">
        <v>127</v>
      </c>
      <c r="B27" s="27" t="s">
        <v>39</v>
      </c>
      <c r="C27" s="40" t="s">
        <v>61</v>
      </c>
      <c r="D27" s="20" t="s">
        <v>128</v>
      </c>
      <c r="E27" s="31"/>
      <c r="F27" s="20"/>
      <c r="G27" s="20"/>
      <c r="H27" s="20">
        <v>280206.89</v>
      </c>
      <c r="I27" s="43">
        <v>280206.89</v>
      </c>
      <c r="J27" s="24" t="s">
        <v>81</v>
      </c>
      <c r="K27" s="21">
        <v>45761.0</v>
      </c>
      <c r="L27" s="21">
        <v>45761.0</v>
      </c>
      <c r="M27" s="23"/>
      <c r="N27" s="23"/>
      <c r="O27" s="14">
        <v>45748.0</v>
      </c>
    </row>
    <row r="28" ht="15.0" customHeight="1">
      <c r="A28" s="15" t="s">
        <v>127</v>
      </c>
      <c r="B28" s="27" t="s">
        <v>41</v>
      </c>
      <c r="C28" s="40" t="s">
        <v>42</v>
      </c>
      <c r="D28" s="20" t="s">
        <v>114</v>
      </c>
      <c r="E28" s="31"/>
      <c r="F28" s="20">
        <v>27480.0</v>
      </c>
      <c r="G28" s="20">
        <v>5770.8</v>
      </c>
      <c r="H28" s="20"/>
      <c r="I28" s="43">
        <v>33250.8</v>
      </c>
      <c r="J28" s="24" t="s">
        <v>81</v>
      </c>
      <c r="K28" s="21">
        <v>45770.0</v>
      </c>
      <c r="L28" s="21">
        <v>45770.0</v>
      </c>
      <c r="M28" s="25"/>
      <c r="N28" s="26"/>
      <c r="O28" s="14">
        <v>45748.0</v>
      </c>
    </row>
    <row r="29" ht="15.0" customHeight="1">
      <c r="A29" s="15" t="s">
        <v>127</v>
      </c>
      <c r="B29" s="27" t="s">
        <v>43</v>
      </c>
      <c r="C29" s="20" t="s">
        <v>53</v>
      </c>
      <c r="D29" s="20" t="s">
        <v>129</v>
      </c>
      <c r="E29" s="31"/>
      <c r="F29" s="20">
        <v>31350.0</v>
      </c>
      <c r="G29" s="20">
        <v>6583.5</v>
      </c>
      <c r="H29" s="20">
        <v>2508.0</v>
      </c>
      <c r="I29" s="43">
        <v>40441.5</v>
      </c>
      <c r="J29" s="24" t="s">
        <v>51</v>
      </c>
      <c r="K29" s="21">
        <v>45761.0</v>
      </c>
      <c r="L29" s="21">
        <v>45770.0</v>
      </c>
      <c r="M29" s="25"/>
      <c r="N29" s="26"/>
      <c r="O29" s="14">
        <v>45748.0</v>
      </c>
    </row>
    <row r="30" ht="15.0" customHeight="1">
      <c r="A30" s="15" t="s">
        <v>130</v>
      </c>
      <c r="B30" s="27" t="s">
        <v>41</v>
      </c>
      <c r="C30" s="20" t="s">
        <v>42</v>
      </c>
      <c r="D30" s="20" t="s">
        <v>114</v>
      </c>
      <c r="E30" s="31"/>
      <c r="F30" s="20">
        <v>27480.0</v>
      </c>
      <c r="G30" s="20">
        <v>5770.8</v>
      </c>
      <c r="H30" s="20"/>
      <c r="I30" s="43">
        <v>33250.8</v>
      </c>
      <c r="J30" s="24" t="s">
        <v>81</v>
      </c>
      <c r="K30" s="21">
        <v>45770.0</v>
      </c>
      <c r="L30" s="21">
        <v>45770.0</v>
      </c>
      <c r="M30" s="25"/>
      <c r="N30" s="26"/>
      <c r="O30" s="14">
        <v>45748.0</v>
      </c>
    </row>
    <row r="31" ht="15.0" customHeight="1">
      <c r="A31" s="15" t="s">
        <v>130</v>
      </c>
      <c r="B31" s="27" t="s">
        <v>31</v>
      </c>
      <c r="C31" s="20" t="s">
        <v>32</v>
      </c>
      <c r="D31" s="20" t="s">
        <v>115</v>
      </c>
      <c r="E31" s="31"/>
      <c r="F31" s="20"/>
      <c r="G31" s="20"/>
      <c r="H31" s="20"/>
      <c r="I31" s="24">
        <v>40000.0</v>
      </c>
      <c r="J31" s="24" t="s">
        <v>81</v>
      </c>
      <c r="K31" s="21">
        <v>45783.0</v>
      </c>
      <c r="L31" s="21">
        <v>45783.0</v>
      </c>
      <c r="M31" s="17"/>
      <c r="N31" s="23"/>
      <c r="O31" s="14">
        <v>45748.0</v>
      </c>
    </row>
    <row r="32" ht="15.0" customHeight="1">
      <c r="A32" s="15" t="s">
        <v>130</v>
      </c>
      <c r="B32" s="27" t="s">
        <v>43</v>
      </c>
      <c r="C32" s="20" t="s">
        <v>44</v>
      </c>
      <c r="D32" s="20" t="s">
        <v>131</v>
      </c>
      <c r="E32" s="31"/>
      <c r="F32" s="20">
        <v>82983.2</v>
      </c>
      <c r="G32" s="20">
        <v>18685.66</v>
      </c>
      <c r="H32" s="20">
        <v>2489.495</v>
      </c>
      <c r="I32" s="43">
        <v>104158.355</v>
      </c>
      <c r="J32" s="24" t="s">
        <v>38</v>
      </c>
      <c r="K32" s="21">
        <v>45772.0</v>
      </c>
      <c r="L32" s="21">
        <v>45771.0</v>
      </c>
      <c r="M32" s="25"/>
      <c r="N32" s="26"/>
      <c r="O32" s="14">
        <v>45748.0</v>
      </c>
    </row>
    <row r="33" ht="15.0" customHeight="1">
      <c r="A33" s="15" t="s">
        <v>22</v>
      </c>
      <c r="B33" s="27" t="s">
        <v>37</v>
      </c>
      <c r="C33" s="20" t="s">
        <v>37</v>
      </c>
      <c r="D33" s="20" t="s">
        <v>132</v>
      </c>
      <c r="E33" s="31"/>
      <c r="F33" s="20">
        <v>84534.62</v>
      </c>
      <c r="G33" s="20">
        <v>22824.35</v>
      </c>
      <c r="H33" s="20">
        <v>7588.850000000001</v>
      </c>
      <c r="I33" s="43">
        <v>114947.82</v>
      </c>
      <c r="J33" s="20" t="s">
        <v>38</v>
      </c>
      <c r="K33" s="21">
        <v>45755.0</v>
      </c>
      <c r="L33" s="21">
        <v>45755.0</v>
      </c>
      <c r="M33" s="22"/>
      <c r="N33" s="23"/>
      <c r="O33" s="14">
        <v>45748.0</v>
      </c>
    </row>
    <row r="34" ht="15.0" customHeight="1">
      <c r="A34" s="15" t="s">
        <v>22</v>
      </c>
      <c r="B34" s="27" t="s">
        <v>34</v>
      </c>
      <c r="C34" s="20" t="s">
        <v>68</v>
      </c>
      <c r="D34" s="20" t="s">
        <v>133</v>
      </c>
      <c r="E34" s="31"/>
      <c r="F34" s="20">
        <v>1776140.28</v>
      </c>
      <c r="G34" s="20">
        <v>372989.45879999996</v>
      </c>
      <c r="H34" s="20">
        <v>88807.01</v>
      </c>
      <c r="I34" s="43">
        <v>2237936.7487999997</v>
      </c>
      <c r="J34" s="20" t="s">
        <v>81</v>
      </c>
      <c r="K34" s="21">
        <v>45758.0</v>
      </c>
      <c r="L34" s="21">
        <v>45758.0</v>
      </c>
      <c r="M34" s="22"/>
      <c r="N34" s="23"/>
      <c r="O34" s="14">
        <v>45748.0</v>
      </c>
    </row>
    <row r="35" ht="15.0" customHeight="1">
      <c r="A35" s="15" t="s">
        <v>22</v>
      </c>
      <c r="B35" s="27" t="s">
        <v>39</v>
      </c>
      <c r="C35" s="20" t="s">
        <v>68</v>
      </c>
      <c r="D35" s="20" t="s">
        <v>134</v>
      </c>
      <c r="E35" s="31"/>
      <c r="F35" s="20">
        <v>1855294.61</v>
      </c>
      <c r="G35" s="20">
        <v>389611.87</v>
      </c>
      <c r="H35" s="20">
        <v>92764.73</v>
      </c>
      <c r="I35" s="43">
        <v>2337671.21</v>
      </c>
      <c r="J35" s="20" t="s">
        <v>81</v>
      </c>
      <c r="K35" s="21">
        <v>45758.0</v>
      </c>
      <c r="L35" s="21">
        <v>45758.0</v>
      </c>
      <c r="M35" s="22"/>
      <c r="N35" s="23"/>
      <c r="O35" s="14">
        <v>45748.0</v>
      </c>
    </row>
    <row r="36" ht="15.0" customHeight="1">
      <c r="A36" s="15" t="s">
        <v>22</v>
      </c>
      <c r="B36" s="27" t="s">
        <v>41</v>
      </c>
      <c r="C36" s="20" t="s">
        <v>42</v>
      </c>
      <c r="D36" s="20" t="s">
        <v>114</v>
      </c>
      <c r="E36" s="31"/>
      <c r="F36" s="20">
        <v>27480.0</v>
      </c>
      <c r="G36" s="20">
        <v>5770.8</v>
      </c>
      <c r="H36" s="20"/>
      <c r="I36" s="43">
        <v>33250.8</v>
      </c>
      <c r="J36" s="24" t="s">
        <v>81</v>
      </c>
      <c r="K36" s="21">
        <v>45770.0</v>
      </c>
      <c r="L36" s="21">
        <v>45770.0</v>
      </c>
      <c r="M36" s="22"/>
      <c r="N36" s="23"/>
      <c r="O36" s="14">
        <v>45748.0</v>
      </c>
    </row>
    <row r="37" ht="15.0" customHeight="1">
      <c r="A37" s="15" t="s">
        <v>22</v>
      </c>
      <c r="B37" s="27" t="s">
        <v>31</v>
      </c>
      <c r="C37" s="20" t="s">
        <v>32</v>
      </c>
      <c r="D37" s="20" t="s">
        <v>115</v>
      </c>
      <c r="E37" s="31"/>
      <c r="F37" s="20"/>
      <c r="G37" s="20"/>
      <c r="H37" s="20"/>
      <c r="I37" s="24">
        <v>40000.0</v>
      </c>
      <c r="J37" s="20" t="s">
        <v>81</v>
      </c>
      <c r="K37" s="21">
        <v>45783.0</v>
      </c>
      <c r="L37" s="21">
        <v>45783.0</v>
      </c>
      <c r="M37" s="34"/>
      <c r="N37" s="23"/>
      <c r="O37" s="14">
        <v>45748.0</v>
      </c>
    </row>
    <row r="38" ht="15.0" customHeight="1">
      <c r="A38" s="15" t="s">
        <v>22</v>
      </c>
      <c r="B38" s="27" t="s">
        <v>43</v>
      </c>
      <c r="C38" s="20" t="s">
        <v>53</v>
      </c>
      <c r="D38" s="20" t="s">
        <v>135</v>
      </c>
      <c r="E38" s="31"/>
      <c r="F38" s="20">
        <v>49512.4</v>
      </c>
      <c r="G38" s="20">
        <v>10397.604</v>
      </c>
      <c r="H38" s="20">
        <v>3960.99</v>
      </c>
      <c r="I38" s="43">
        <v>63870.994</v>
      </c>
      <c r="J38" s="20" t="s">
        <v>86</v>
      </c>
      <c r="K38" s="21">
        <v>45755.0</v>
      </c>
      <c r="L38" s="21">
        <v>45755.0</v>
      </c>
      <c r="M38" s="20"/>
      <c r="N38" s="23"/>
      <c r="O38" s="14">
        <v>45748.0</v>
      </c>
    </row>
    <row r="39" ht="15.0" customHeight="1">
      <c r="A39" s="15" t="s">
        <v>17</v>
      </c>
      <c r="B39" s="27" t="s">
        <v>37</v>
      </c>
      <c r="C39" s="20" t="s">
        <v>37</v>
      </c>
      <c r="D39" s="20" t="s">
        <v>136</v>
      </c>
      <c r="E39" s="31"/>
      <c r="F39" s="20">
        <v>174196.76</v>
      </c>
      <c r="G39" s="20">
        <v>47033.13</v>
      </c>
      <c r="H39" s="20">
        <v>16001.850000000004</v>
      </c>
      <c r="I39" s="43">
        <v>237231.74000000002</v>
      </c>
      <c r="J39" s="24" t="s">
        <v>38</v>
      </c>
      <c r="K39" s="21">
        <v>45756.0</v>
      </c>
      <c r="L39" s="21">
        <v>45756.0</v>
      </c>
      <c r="M39" s="29"/>
      <c r="N39" s="26"/>
      <c r="O39" s="14">
        <v>45748.0</v>
      </c>
    </row>
    <row r="40" ht="15.0" customHeight="1">
      <c r="A40" s="15" t="s">
        <v>17</v>
      </c>
      <c r="B40" s="27" t="s">
        <v>41</v>
      </c>
      <c r="C40" s="20" t="s">
        <v>42</v>
      </c>
      <c r="D40" s="20" t="s">
        <v>114</v>
      </c>
      <c r="E40" s="31"/>
      <c r="F40" s="20">
        <v>27480.0</v>
      </c>
      <c r="G40" s="20">
        <v>5770.8</v>
      </c>
      <c r="H40" s="20"/>
      <c r="I40" s="43">
        <v>33250.8</v>
      </c>
      <c r="J40" s="24" t="s">
        <v>81</v>
      </c>
      <c r="K40" s="21">
        <v>45770.0</v>
      </c>
      <c r="L40" s="21">
        <v>45770.0</v>
      </c>
      <c r="M40" s="25"/>
      <c r="N40" s="26"/>
      <c r="O40" s="14">
        <v>45748.0</v>
      </c>
    </row>
    <row r="41" ht="15.0" customHeight="1">
      <c r="A41" s="15" t="s">
        <v>17</v>
      </c>
      <c r="B41" s="27" t="s">
        <v>34</v>
      </c>
      <c r="C41" s="20" t="s">
        <v>35</v>
      </c>
      <c r="D41" s="20" t="s">
        <v>137</v>
      </c>
      <c r="E41" s="31"/>
      <c r="F41" s="20">
        <v>1696728.4</v>
      </c>
      <c r="G41" s="20">
        <v>356312.964</v>
      </c>
      <c r="H41" s="20"/>
      <c r="I41" s="44">
        <v>2053041.3639999998</v>
      </c>
      <c r="J41" s="24" t="s">
        <v>81</v>
      </c>
      <c r="K41" s="21">
        <v>45762.0</v>
      </c>
      <c r="L41" s="21">
        <v>45762.0</v>
      </c>
      <c r="M41" s="25"/>
      <c r="N41" s="28"/>
      <c r="O41" s="14">
        <v>45748.0</v>
      </c>
    </row>
    <row r="42" ht="15.0" customHeight="1">
      <c r="A42" s="15" t="s">
        <v>17</v>
      </c>
      <c r="B42" s="27" t="s">
        <v>39</v>
      </c>
      <c r="C42" s="20" t="s">
        <v>35</v>
      </c>
      <c r="D42" s="20" t="s">
        <v>120</v>
      </c>
      <c r="E42" s="31"/>
      <c r="F42" s="20"/>
      <c r="G42" s="20"/>
      <c r="H42" s="20"/>
      <c r="I42" s="24">
        <v>686008.98</v>
      </c>
      <c r="J42" s="24" t="s">
        <v>81</v>
      </c>
      <c r="K42" s="21">
        <v>45761.0</v>
      </c>
      <c r="L42" s="21">
        <v>45761.0</v>
      </c>
      <c r="M42" s="23"/>
      <c r="N42" s="23"/>
      <c r="O42" s="14">
        <v>45748.0</v>
      </c>
    </row>
    <row r="43" ht="15.0" customHeight="1">
      <c r="A43" s="15" t="s">
        <v>17</v>
      </c>
      <c r="B43" s="27" t="s">
        <v>31</v>
      </c>
      <c r="C43" s="20" t="s">
        <v>32</v>
      </c>
      <c r="D43" s="20" t="s">
        <v>115</v>
      </c>
      <c r="E43" s="31"/>
      <c r="F43" s="20"/>
      <c r="G43" s="20"/>
      <c r="H43" s="20"/>
      <c r="I43" s="24">
        <v>40000.0</v>
      </c>
      <c r="J43" s="24" t="s">
        <v>81</v>
      </c>
      <c r="K43" s="21">
        <v>45783.0</v>
      </c>
      <c r="L43" s="21">
        <v>45783.0</v>
      </c>
      <c r="M43" s="17"/>
      <c r="N43" s="23"/>
      <c r="O43" s="14">
        <v>45748.0</v>
      </c>
    </row>
    <row r="44" ht="15.0" customHeight="1">
      <c r="A44" s="15" t="s">
        <v>17</v>
      </c>
      <c r="B44" s="27" t="s">
        <v>43</v>
      </c>
      <c r="C44" s="20" t="s">
        <v>44</v>
      </c>
      <c r="D44" s="20" t="s">
        <v>131</v>
      </c>
      <c r="E44" s="31"/>
      <c r="F44" s="20">
        <v>82983.2</v>
      </c>
      <c r="G44" s="20">
        <v>18685.66</v>
      </c>
      <c r="H44" s="20">
        <v>2489.495</v>
      </c>
      <c r="I44" s="43">
        <v>104158.355</v>
      </c>
      <c r="J44" s="24" t="s">
        <v>38</v>
      </c>
      <c r="K44" s="21">
        <v>45772.0</v>
      </c>
      <c r="L44" s="21">
        <v>45771.0</v>
      </c>
      <c r="M44" s="25"/>
      <c r="N44" s="26"/>
      <c r="O44" s="14">
        <v>45748.0</v>
      </c>
    </row>
    <row r="45" ht="15.0" customHeight="1">
      <c r="A45" s="15" t="s">
        <v>24</v>
      </c>
      <c r="B45" s="27" t="s">
        <v>37</v>
      </c>
      <c r="C45" s="20" t="s">
        <v>37</v>
      </c>
      <c r="D45" s="20" t="s">
        <v>138</v>
      </c>
      <c r="E45" s="31"/>
      <c r="F45" s="20">
        <v>79417.99</v>
      </c>
      <c r="G45" s="20">
        <v>21443.86</v>
      </c>
      <c r="H45" s="20">
        <v>7108.760000000001</v>
      </c>
      <c r="I45" s="43">
        <v>107970.61</v>
      </c>
      <c r="J45" s="20" t="s">
        <v>38</v>
      </c>
      <c r="K45" s="21">
        <v>45756.0</v>
      </c>
      <c r="L45" s="21">
        <v>45756.0</v>
      </c>
      <c r="M45" s="29"/>
      <c r="N45" s="23"/>
      <c r="O45" s="14">
        <v>45748.0</v>
      </c>
    </row>
    <row r="46" ht="15.0" customHeight="1">
      <c r="A46" s="15" t="s">
        <v>24</v>
      </c>
      <c r="B46" s="27" t="s">
        <v>41</v>
      </c>
      <c r="C46" s="20" t="s">
        <v>42</v>
      </c>
      <c r="D46" s="20" t="s">
        <v>114</v>
      </c>
      <c r="E46" s="31"/>
      <c r="F46" s="20">
        <v>27480.0</v>
      </c>
      <c r="G46" s="20">
        <v>5770.8</v>
      </c>
      <c r="H46" s="20"/>
      <c r="I46" s="43">
        <v>33250.8</v>
      </c>
      <c r="J46" s="24" t="s">
        <v>81</v>
      </c>
      <c r="K46" s="21">
        <v>45770.0</v>
      </c>
      <c r="L46" s="21">
        <v>45770.0</v>
      </c>
      <c r="M46" s="22"/>
      <c r="N46" s="23"/>
      <c r="O46" s="14">
        <v>45748.0</v>
      </c>
    </row>
    <row r="47" ht="15.0" customHeight="1">
      <c r="A47" s="15" t="s">
        <v>24</v>
      </c>
      <c r="B47" s="27" t="s">
        <v>34</v>
      </c>
      <c r="C47" s="20" t="s">
        <v>35</v>
      </c>
      <c r="D47" s="20" t="s">
        <v>139</v>
      </c>
      <c r="E47" s="31"/>
      <c r="F47" s="20">
        <v>2333371.2</v>
      </c>
      <c r="G47" s="20">
        <v>490007.95200000005</v>
      </c>
      <c r="H47" s="20"/>
      <c r="I47" s="43">
        <v>2823379.1520000002</v>
      </c>
      <c r="J47" s="20" t="s">
        <v>81</v>
      </c>
      <c r="K47" s="21">
        <v>45762.0</v>
      </c>
      <c r="L47" s="21">
        <v>45762.0</v>
      </c>
      <c r="M47" s="22"/>
      <c r="N47" s="23"/>
      <c r="O47" s="14">
        <v>45748.0</v>
      </c>
    </row>
    <row r="48" ht="15.0" customHeight="1">
      <c r="A48" s="15" t="s">
        <v>24</v>
      </c>
      <c r="B48" s="27" t="s">
        <v>39</v>
      </c>
      <c r="C48" s="20" t="s">
        <v>35</v>
      </c>
      <c r="D48" s="20" t="s">
        <v>120</v>
      </c>
      <c r="E48" s="31"/>
      <c r="F48" s="20"/>
      <c r="G48" s="20"/>
      <c r="H48" s="20"/>
      <c r="I48" s="24">
        <v>343004.49</v>
      </c>
      <c r="J48" s="20" t="s">
        <v>81</v>
      </c>
      <c r="K48" s="21">
        <v>45761.0</v>
      </c>
      <c r="L48" s="21">
        <v>45761.0</v>
      </c>
      <c r="M48" s="22"/>
      <c r="N48" s="23"/>
      <c r="O48" s="14">
        <v>45748.0</v>
      </c>
    </row>
    <row r="49" ht="15.0" customHeight="1">
      <c r="A49" s="15" t="s">
        <v>24</v>
      </c>
      <c r="B49" s="27" t="s">
        <v>31</v>
      </c>
      <c r="C49" s="20" t="s">
        <v>32</v>
      </c>
      <c r="D49" s="20" t="s">
        <v>115</v>
      </c>
      <c r="E49" s="31"/>
      <c r="F49" s="20"/>
      <c r="G49" s="20"/>
      <c r="H49" s="20"/>
      <c r="I49" s="24">
        <v>40000.0</v>
      </c>
      <c r="J49" s="20" t="s">
        <v>81</v>
      </c>
      <c r="K49" s="21">
        <v>45783.0</v>
      </c>
      <c r="L49" s="21">
        <v>45783.0</v>
      </c>
      <c r="M49" s="34"/>
      <c r="N49" s="23"/>
      <c r="O49" s="14">
        <v>45748.0</v>
      </c>
    </row>
    <row r="50" ht="15.0" customHeight="1">
      <c r="A50" s="15" t="s">
        <v>71</v>
      </c>
      <c r="B50" s="27" t="s">
        <v>37</v>
      </c>
      <c r="C50" s="20" t="s">
        <v>37</v>
      </c>
      <c r="D50" s="20" t="s">
        <v>40</v>
      </c>
      <c r="E50" s="31"/>
      <c r="F50" s="20"/>
      <c r="G50" s="20"/>
      <c r="H50" s="20"/>
      <c r="I50" s="24">
        <v>110074.67</v>
      </c>
      <c r="J50" s="24" t="s">
        <v>38</v>
      </c>
      <c r="K50" s="21">
        <v>45756.0</v>
      </c>
      <c r="L50" s="21">
        <v>45756.0</v>
      </c>
      <c r="M50" s="25"/>
      <c r="N50" s="26"/>
      <c r="O50" s="14">
        <v>45748.0</v>
      </c>
    </row>
    <row r="51" ht="15.0" customHeight="1">
      <c r="A51" s="15" t="s">
        <v>71</v>
      </c>
      <c r="B51" s="27" t="s">
        <v>41</v>
      </c>
      <c r="C51" s="20" t="s">
        <v>42</v>
      </c>
      <c r="D51" s="20" t="s">
        <v>114</v>
      </c>
      <c r="E51" s="31"/>
      <c r="F51" s="20">
        <v>27480.0</v>
      </c>
      <c r="G51" s="20">
        <v>5770.8</v>
      </c>
      <c r="H51" s="20"/>
      <c r="I51" s="43">
        <v>33250.8</v>
      </c>
      <c r="J51" s="24" t="s">
        <v>81</v>
      </c>
      <c r="K51" s="21">
        <v>45770.0</v>
      </c>
      <c r="L51" s="21">
        <v>45770.0</v>
      </c>
      <c r="M51" s="25"/>
      <c r="N51" s="26"/>
      <c r="O51" s="14">
        <v>45748.0</v>
      </c>
    </row>
    <row r="52" ht="15.0" customHeight="1">
      <c r="A52" s="15" t="s">
        <v>71</v>
      </c>
      <c r="B52" s="27" t="s">
        <v>34</v>
      </c>
      <c r="C52" s="20" t="s">
        <v>35</v>
      </c>
      <c r="D52" s="20" t="s">
        <v>140</v>
      </c>
      <c r="E52" s="31"/>
      <c r="F52" s="20">
        <v>825000.0</v>
      </c>
      <c r="G52" s="20">
        <v>173250.0</v>
      </c>
      <c r="H52" s="20"/>
      <c r="I52" s="44">
        <v>998250.0</v>
      </c>
      <c r="J52" s="24" t="s">
        <v>81</v>
      </c>
      <c r="K52" s="21">
        <v>45762.0</v>
      </c>
      <c r="L52" s="21">
        <v>45762.0</v>
      </c>
      <c r="M52" s="22"/>
      <c r="N52" s="26"/>
      <c r="O52" s="14">
        <v>45748.0</v>
      </c>
    </row>
    <row r="53" ht="15.0" customHeight="1">
      <c r="A53" s="15" t="s">
        <v>71</v>
      </c>
      <c r="B53" s="27" t="s">
        <v>39</v>
      </c>
      <c r="C53" s="20" t="s">
        <v>35</v>
      </c>
      <c r="D53" s="20" t="s">
        <v>120</v>
      </c>
      <c r="E53" s="31"/>
      <c r="F53" s="20"/>
      <c r="G53" s="20">
        <v>0.0</v>
      </c>
      <c r="H53" s="20"/>
      <c r="I53" s="24">
        <v>343004.49</v>
      </c>
      <c r="J53" s="24" t="s">
        <v>81</v>
      </c>
      <c r="K53" s="21">
        <v>45761.0</v>
      </c>
      <c r="L53" s="21">
        <v>45761.0</v>
      </c>
      <c r="M53" s="23"/>
      <c r="N53" s="23"/>
      <c r="O53" s="14">
        <v>45748.0</v>
      </c>
    </row>
    <row r="54" ht="15.0" customHeight="1">
      <c r="A54" s="77">
        <v>45778.0</v>
      </c>
      <c r="B54" s="78"/>
      <c r="C54" s="79"/>
      <c r="D54" s="79"/>
      <c r="E54" s="80"/>
      <c r="F54" s="79"/>
      <c r="G54" s="79"/>
      <c r="H54" s="79"/>
      <c r="I54" s="81"/>
      <c r="J54" s="81"/>
      <c r="K54" s="82">
        <v>45778.0</v>
      </c>
      <c r="L54" s="82">
        <v>45778.0</v>
      </c>
      <c r="M54" s="83"/>
      <c r="N54" s="83"/>
      <c r="O54" s="14">
        <v>45778.0</v>
      </c>
    </row>
    <row r="55" ht="15.0" customHeight="1">
      <c r="A55" s="84" t="s">
        <v>108</v>
      </c>
      <c r="B55" s="27" t="s">
        <v>46</v>
      </c>
      <c r="C55" s="20" t="s">
        <v>47</v>
      </c>
      <c r="D55" s="18" t="s">
        <v>141</v>
      </c>
      <c r="E55" s="19"/>
      <c r="F55" s="20"/>
      <c r="G55" s="20">
        <v>0.0</v>
      </c>
      <c r="H55" s="20"/>
      <c r="I55" s="20">
        <v>471713.48</v>
      </c>
      <c r="J55" s="20" t="s">
        <v>81</v>
      </c>
      <c r="K55" s="21">
        <v>45797.0</v>
      </c>
      <c r="L55" s="21">
        <v>45797.0</v>
      </c>
      <c r="M55" s="22"/>
      <c r="N55" s="23"/>
      <c r="O55" s="14">
        <v>45778.0</v>
      </c>
    </row>
    <row r="56" ht="15.0" customHeight="1">
      <c r="A56" s="84" t="s">
        <v>108</v>
      </c>
      <c r="B56" s="27" t="s">
        <v>31</v>
      </c>
      <c r="C56" s="20" t="s">
        <v>32</v>
      </c>
      <c r="D56" s="18" t="s">
        <v>142</v>
      </c>
      <c r="E56" s="19"/>
      <c r="F56" s="20">
        <v>361000.0</v>
      </c>
      <c r="G56" s="20">
        <v>0.0</v>
      </c>
      <c r="H56" s="20"/>
      <c r="I56" s="20">
        <v>361000.0</v>
      </c>
      <c r="J56" s="20" t="s">
        <v>81</v>
      </c>
      <c r="K56" s="21">
        <v>45800.0</v>
      </c>
      <c r="L56" s="21">
        <v>45800.0</v>
      </c>
      <c r="M56" s="34"/>
      <c r="N56" s="23"/>
      <c r="O56" s="14">
        <v>45778.0</v>
      </c>
    </row>
    <row r="57" ht="15.0" customHeight="1">
      <c r="A57" s="84" t="s">
        <v>108</v>
      </c>
      <c r="B57" s="27" t="s">
        <v>34</v>
      </c>
      <c r="C57" s="20" t="s">
        <v>47</v>
      </c>
      <c r="D57" s="18" t="s">
        <v>143</v>
      </c>
      <c r="E57" s="19"/>
      <c r="F57" s="20">
        <v>2139397.76</v>
      </c>
      <c r="G57" s="20">
        <v>449273.52959999995</v>
      </c>
      <c r="H57" s="20"/>
      <c r="I57" s="20">
        <v>2588671.2896</v>
      </c>
      <c r="J57" s="20" t="s">
        <v>81</v>
      </c>
      <c r="K57" s="21">
        <v>45786.0</v>
      </c>
      <c r="L57" s="21">
        <v>45786.0</v>
      </c>
      <c r="M57" s="22"/>
      <c r="N57" s="23"/>
      <c r="O57" s="14">
        <v>45778.0</v>
      </c>
    </row>
    <row r="58" ht="15.0" customHeight="1">
      <c r="A58" s="84" t="s">
        <v>108</v>
      </c>
      <c r="B58" s="27" t="s">
        <v>50</v>
      </c>
      <c r="C58" s="20" t="s">
        <v>47</v>
      </c>
      <c r="D58" s="18" t="s">
        <v>141</v>
      </c>
      <c r="E58" s="19"/>
      <c r="F58" s="20">
        <v>393527.01</v>
      </c>
      <c r="G58" s="20">
        <v>106252.2927</v>
      </c>
      <c r="H58" s="20">
        <v>24752.85</v>
      </c>
      <c r="I58" s="20">
        <v>524532.1527</v>
      </c>
      <c r="J58" s="20" t="s">
        <v>81</v>
      </c>
      <c r="K58" s="21">
        <v>45797.0</v>
      </c>
      <c r="L58" s="21">
        <v>45797.0</v>
      </c>
      <c r="M58" s="22"/>
      <c r="N58" s="23"/>
      <c r="O58" s="14">
        <v>45778.0</v>
      </c>
    </row>
    <row r="59" ht="15.0" customHeight="1">
      <c r="A59" s="85" t="s">
        <v>108</v>
      </c>
      <c r="B59" s="27" t="s">
        <v>37</v>
      </c>
      <c r="C59" s="20" t="s">
        <v>37</v>
      </c>
      <c r="D59" s="18" t="s">
        <v>144</v>
      </c>
      <c r="E59" s="19">
        <v>45776.0</v>
      </c>
      <c r="F59" s="20">
        <v>12798.46</v>
      </c>
      <c r="G59" s="20">
        <v>3455.58</v>
      </c>
      <c r="H59" s="20">
        <v>1200.88</v>
      </c>
      <c r="I59" s="20">
        <v>17454.92</v>
      </c>
      <c r="J59" s="20" t="s">
        <v>38</v>
      </c>
      <c r="K59" s="21">
        <v>45786.0</v>
      </c>
      <c r="L59" s="21">
        <v>45786.0</v>
      </c>
      <c r="M59" s="29" t="s">
        <v>145</v>
      </c>
      <c r="N59" s="23"/>
      <c r="O59" s="14">
        <v>45778.0</v>
      </c>
    </row>
    <row r="60" ht="15.0" customHeight="1">
      <c r="A60" s="84" t="s">
        <v>108</v>
      </c>
      <c r="B60" s="27" t="s">
        <v>37</v>
      </c>
      <c r="C60" s="20" t="s">
        <v>37</v>
      </c>
      <c r="D60" s="18" t="s">
        <v>146</v>
      </c>
      <c r="E60" s="19">
        <v>45776.0</v>
      </c>
      <c r="F60" s="20">
        <v>120642.94</v>
      </c>
      <c r="G60" s="20">
        <v>32573.59</v>
      </c>
      <c r="H60" s="20">
        <v>11319.929999999997</v>
      </c>
      <c r="I60" s="20">
        <v>164536.46</v>
      </c>
      <c r="J60" s="20" t="s">
        <v>38</v>
      </c>
      <c r="K60" s="21">
        <v>45786.0</v>
      </c>
      <c r="L60" s="21">
        <v>45786.0</v>
      </c>
      <c r="M60" s="29" t="s">
        <v>145</v>
      </c>
      <c r="N60" s="23"/>
      <c r="O60" s="14">
        <v>45778.0</v>
      </c>
    </row>
    <row r="61" ht="15.0" customHeight="1">
      <c r="A61" s="84" t="s">
        <v>108</v>
      </c>
      <c r="B61" s="27" t="s">
        <v>37</v>
      </c>
      <c r="C61" s="20" t="s">
        <v>37</v>
      </c>
      <c r="D61" s="86" t="s">
        <v>147</v>
      </c>
      <c r="E61" s="87">
        <v>45784.0</v>
      </c>
      <c r="F61" s="88">
        <v>268917.41</v>
      </c>
      <c r="G61" s="88">
        <v>72607.7</v>
      </c>
      <c r="H61" s="88">
        <v>50242.28</v>
      </c>
      <c r="I61" s="20">
        <v>391767.39</v>
      </c>
      <c r="J61" s="20" t="s">
        <v>51</v>
      </c>
      <c r="K61" s="21">
        <v>45791.0</v>
      </c>
      <c r="L61" s="21">
        <v>45792.0</v>
      </c>
      <c r="M61" s="20" t="s">
        <v>148</v>
      </c>
      <c r="N61" s="23"/>
      <c r="O61" s="14">
        <v>45778.0</v>
      </c>
    </row>
    <row r="62" ht="15.0" customHeight="1">
      <c r="A62" s="84" t="s">
        <v>108</v>
      </c>
      <c r="B62" s="27" t="s">
        <v>39</v>
      </c>
      <c r="C62" s="20" t="s">
        <v>47</v>
      </c>
      <c r="D62" s="18" t="s">
        <v>141</v>
      </c>
      <c r="E62" s="19"/>
      <c r="F62" s="20"/>
      <c r="G62" s="20">
        <v>0.0</v>
      </c>
      <c r="H62" s="20"/>
      <c r="I62" s="20">
        <v>515040.5</v>
      </c>
      <c r="J62" s="20" t="s">
        <v>81</v>
      </c>
      <c r="K62" s="21">
        <v>45797.0</v>
      </c>
      <c r="L62" s="21">
        <v>45797.0</v>
      </c>
      <c r="M62" s="22"/>
      <c r="N62" s="23"/>
      <c r="O62" s="14">
        <v>45778.0</v>
      </c>
    </row>
    <row r="63" ht="15.0" customHeight="1">
      <c r="A63" s="84" t="s">
        <v>108</v>
      </c>
      <c r="B63" s="27" t="s">
        <v>41</v>
      </c>
      <c r="C63" s="20" t="s">
        <v>42</v>
      </c>
      <c r="D63" s="18" t="s">
        <v>149</v>
      </c>
      <c r="E63" s="19"/>
      <c r="F63" s="20">
        <v>34220.0</v>
      </c>
      <c r="G63" s="20">
        <v>7186.2</v>
      </c>
      <c r="H63" s="20"/>
      <c r="I63" s="20">
        <v>41406.2</v>
      </c>
      <c r="J63" s="24" t="s">
        <v>81</v>
      </c>
      <c r="K63" s="21">
        <v>45797.0</v>
      </c>
      <c r="L63" s="21">
        <v>45797.0</v>
      </c>
      <c r="M63" s="22"/>
      <c r="N63" s="23"/>
      <c r="O63" s="14">
        <v>45778.0</v>
      </c>
    </row>
    <row r="64" ht="15.0" customHeight="1">
      <c r="A64" s="84" t="s">
        <v>108</v>
      </c>
      <c r="B64" s="27" t="s">
        <v>43</v>
      </c>
      <c r="C64" s="20" t="s">
        <v>53</v>
      </c>
      <c r="D64" s="18" t="s">
        <v>150</v>
      </c>
      <c r="E64" s="19">
        <v>45765.0</v>
      </c>
      <c r="F64" s="20">
        <v>130551.0</v>
      </c>
      <c r="G64" s="20">
        <v>27415.71</v>
      </c>
      <c r="H64" s="20">
        <v>10444.08</v>
      </c>
      <c r="I64" s="20">
        <v>168410.78999999998</v>
      </c>
      <c r="J64" s="20" t="s">
        <v>86</v>
      </c>
      <c r="K64" s="21">
        <v>45784.0</v>
      </c>
      <c r="L64" s="21">
        <v>45784.0</v>
      </c>
      <c r="M64" s="29" t="s">
        <v>151</v>
      </c>
      <c r="N64" s="18"/>
      <c r="O64" s="14">
        <v>45778.0</v>
      </c>
    </row>
    <row r="65" ht="15.0" customHeight="1">
      <c r="A65" s="89" t="s">
        <v>108</v>
      </c>
      <c r="B65" s="16" t="s">
        <v>73</v>
      </c>
      <c r="C65" s="20" t="s">
        <v>74</v>
      </c>
      <c r="D65" s="20" t="s">
        <v>152</v>
      </c>
      <c r="E65" s="19"/>
      <c r="F65" s="20">
        <v>38096.0</v>
      </c>
      <c r="G65" s="20">
        <v>8000.16</v>
      </c>
      <c r="H65" s="20"/>
      <c r="I65" s="44">
        <v>46096.16</v>
      </c>
      <c r="J65" s="24" t="s">
        <v>81</v>
      </c>
      <c r="K65" s="21">
        <v>45797.0</v>
      </c>
      <c r="L65" s="21">
        <v>45797.0</v>
      </c>
      <c r="M65" s="34"/>
      <c r="N65" s="23"/>
      <c r="O65" s="14">
        <v>45778.0</v>
      </c>
    </row>
    <row r="66" ht="15.0" customHeight="1">
      <c r="A66" s="84" t="s">
        <v>127</v>
      </c>
      <c r="B66" s="27" t="s">
        <v>34</v>
      </c>
      <c r="C66" s="40" t="s">
        <v>61</v>
      </c>
      <c r="D66" s="86" t="s">
        <v>153</v>
      </c>
      <c r="E66" s="19"/>
      <c r="F66" s="20">
        <v>540862.0</v>
      </c>
      <c r="G66" s="20">
        <v>113581.01999999999</v>
      </c>
      <c r="H66" s="20"/>
      <c r="I66" s="20">
        <v>654443.02</v>
      </c>
      <c r="J66" s="24" t="s">
        <v>81</v>
      </c>
      <c r="K66" s="21">
        <v>45789.0</v>
      </c>
      <c r="L66" s="21">
        <v>45789.0</v>
      </c>
      <c r="M66" s="25"/>
      <c r="N66" s="26"/>
      <c r="O66" s="14">
        <v>45778.0</v>
      </c>
    </row>
    <row r="67" ht="15.0" customHeight="1">
      <c r="A67" s="84" t="s">
        <v>127</v>
      </c>
      <c r="B67" s="27" t="s">
        <v>39</v>
      </c>
      <c r="C67" s="40" t="s">
        <v>61</v>
      </c>
      <c r="D67" s="86" t="s">
        <v>153</v>
      </c>
      <c r="E67" s="19"/>
      <c r="F67" s="20"/>
      <c r="G67" s="20">
        <v>0.0</v>
      </c>
      <c r="H67" s="20">
        <v>274476.14</v>
      </c>
      <c r="I67" s="20">
        <v>274476.14</v>
      </c>
      <c r="J67" s="24" t="s">
        <v>81</v>
      </c>
      <c r="K67" s="21">
        <v>45789.0</v>
      </c>
      <c r="L67" s="21">
        <v>45789.0</v>
      </c>
      <c r="M67" s="23"/>
      <c r="N67" s="23"/>
      <c r="O67" s="14">
        <v>45778.0</v>
      </c>
    </row>
    <row r="68" ht="15.0" customHeight="1">
      <c r="A68" s="84" t="s">
        <v>127</v>
      </c>
      <c r="B68" s="27" t="s">
        <v>41</v>
      </c>
      <c r="C68" s="40" t="s">
        <v>42</v>
      </c>
      <c r="D68" s="18" t="s">
        <v>149</v>
      </c>
      <c r="E68" s="19"/>
      <c r="F68" s="20">
        <v>27480.0</v>
      </c>
      <c r="G68" s="20">
        <v>5770.8</v>
      </c>
      <c r="H68" s="20"/>
      <c r="I68" s="20">
        <v>33250.8</v>
      </c>
      <c r="J68" s="24" t="s">
        <v>81</v>
      </c>
      <c r="K68" s="21">
        <v>45797.0</v>
      </c>
      <c r="L68" s="21">
        <v>45797.0</v>
      </c>
      <c r="M68" s="25"/>
      <c r="N68" s="26"/>
      <c r="O68" s="14">
        <v>45778.0</v>
      </c>
    </row>
    <row r="69" ht="15.0" customHeight="1">
      <c r="A69" s="84" t="s">
        <v>127</v>
      </c>
      <c r="B69" s="27" t="s">
        <v>43</v>
      </c>
      <c r="C69" s="20" t="s">
        <v>53</v>
      </c>
      <c r="D69" s="18" t="s">
        <v>154</v>
      </c>
      <c r="E69" s="19">
        <v>45765.0</v>
      </c>
      <c r="F69" s="20">
        <v>32275.0</v>
      </c>
      <c r="G69" s="20">
        <v>6777.75</v>
      </c>
      <c r="H69" s="20">
        <v>2582.0</v>
      </c>
      <c r="I69" s="20">
        <v>41634.75</v>
      </c>
      <c r="J69" s="24" t="s">
        <v>51</v>
      </c>
      <c r="K69" s="21">
        <v>45784.0</v>
      </c>
      <c r="L69" s="21">
        <v>45785.0</v>
      </c>
      <c r="M69" s="20" t="s">
        <v>151</v>
      </c>
      <c r="N69" s="28"/>
      <c r="O69" s="14">
        <v>45778.0</v>
      </c>
    </row>
    <row r="70" ht="15.0" customHeight="1">
      <c r="A70" s="84" t="s">
        <v>127</v>
      </c>
      <c r="B70" s="27" t="s">
        <v>43</v>
      </c>
      <c r="C70" s="20" t="s">
        <v>53</v>
      </c>
      <c r="D70" s="90" t="s">
        <v>155</v>
      </c>
      <c r="E70" s="91">
        <v>45798.0</v>
      </c>
      <c r="F70" s="92"/>
      <c r="G70" s="92">
        <v>0.0</v>
      </c>
      <c r="H70" s="92"/>
      <c r="I70" s="92">
        <v>40441.5</v>
      </c>
      <c r="J70" s="24" t="s">
        <v>51</v>
      </c>
      <c r="K70" s="21">
        <v>45784.0</v>
      </c>
      <c r="L70" s="21">
        <v>45785.0</v>
      </c>
      <c r="M70" s="20" t="s">
        <v>156</v>
      </c>
      <c r="N70" s="28" t="s">
        <v>157</v>
      </c>
      <c r="O70" s="14">
        <v>45778.0</v>
      </c>
    </row>
    <row r="71" ht="15.0" customHeight="1">
      <c r="A71" s="84" t="s">
        <v>60</v>
      </c>
      <c r="B71" s="27" t="s">
        <v>34</v>
      </c>
      <c r="C71" s="40" t="s">
        <v>61</v>
      </c>
      <c r="D71" s="86" t="s">
        <v>158</v>
      </c>
      <c r="E71" s="19"/>
      <c r="F71" s="20">
        <v>250000.0</v>
      </c>
      <c r="G71" s="20">
        <v>52500.0</v>
      </c>
      <c r="H71" s="20"/>
      <c r="I71" s="20">
        <v>302500.0</v>
      </c>
      <c r="J71" s="20" t="s">
        <v>81</v>
      </c>
      <c r="K71" s="21">
        <v>45789.0</v>
      </c>
      <c r="L71" s="21">
        <v>45789.0</v>
      </c>
      <c r="M71" s="29"/>
      <c r="N71" s="23"/>
      <c r="O71" s="14">
        <v>45778.0</v>
      </c>
    </row>
    <row r="72" ht="15.0" customHeight="1">
      <c r="A72" s="84" t="s">
        <v>60</v>
      </c>
      <c r="B72" s="27" t="s">
        <v>39</v>
      </c>
      <c r="C72" s="40" t="s">
        <v>61</v>
      </c>
      <c r="D72" s="86" t="s">
        <v>158</v>
      </c>
      <c r="E72" s="19"/>
      <c r="F72" s="20"/>
      <c r="G72" s="20">
        <v>0.0</v>
      </c>
      <c r="H72" s="20">
        <v>15214.86</v>
      </c>
      <c r="I72" s="20">
        <v>15214.86</v>
      </c>
      <c r="J72" s="20" t="s">
        <v>81</v>
      </c>
      <c r="K72" s="21">
        <v>45789.0</v>
      </c>
      <c r="L72" s="21">
        <v>45789.0</v>
      </c>
      <c r="M72" s="29"/>
      <c r="N72" s="23"/>
      <c r="O72" s="14">
        <v>45778.0</v>
      </c>
    </row>
    <row r="73" ht="15.0" customHeight="1">
      <c r="A73" s="84" t="s">
        <v>63</v>
      </c>
      <c r="B73" s="27" t="s">
        <v>34</v>
      </c>
      <c r="C73" s="40" t="s">
        <v>61</v>
      </c>
      <c r="D73" s="86" t="s">
        <v>159</v>
      </c>
      <c r="E73" s="19"/>
      <c r="F73" s="20">
        <v>386330.0</v>
      </c>
      <c r="G73" s="20">
        <v>81129.3</v>
      </c>
      <c r="H73" s="20"/>
      <c r="I73" s="20">
        <v>467459.3</v>
      </c>
      <c r="J73" s="20" t="s">
        <v>81</v>
      </c>
      <c r="K73" s="21">
        <v>45789.0</v>
      </c>
      <c r="L73" s="21">
        <v>45789.0</v>
      </c>
      <c r="M73" s="22"/>
      <c r="N73" s="23"/>
      <c r="O73" s="14">
        <v>45778.0</v>
      </c>
    </row>
    <row r="74" ht="15.0" customHeight="1">
      <c r="A74" s="84" t="s">
        <v>63</v>
      </c>
      <c r="B74" s="27" t="s">
        <v>37</v>
      </c>
      <c r="C74" s="40" t="s">
        <v>61</v>
      </c>
      <c r="D74" s="86" t="s">
        <v>159</v>
      </c>
      <c r="E74" s="19"/>
      <c r="F74" s="20">
        <v>12278.57</v>
      </c>
      <c r="G74" s="20">
        <v>2578.4997</v>
      </c>
      <c r="H74" s="20"/>
      <c r="I74" s="20">
        <v>14857.0697</v>
      </c>
      <c r="J74" s="20" t="s">
        <v>81</v>
      </c>
      <c r="K74" s="21">
        <v>45789.0</v>
      </c>
      <c r="L74" s="21">
        <v>45789.0</v>
      </c>
      <c r="M74" s="29"/>
      <c r="N74" s="23"/>
      <c r="O74" s="14">
        <v>45778.0</v>
      </c>
    </row>
    <row r="75" ht="15.0" customHeight="1">
      <c r="A75" s="84" t="s">
        <v>63</v>
      </c>
      <c r="B75" s="27" t="s">
        <v>39</v>
      </c>
      <c r="C75" s="40" t="s">
        <v>61</v>
      </c>
      <c r="D75" s="86" t="s">
        <v>159</v>
      </c>
      <c r="E75" s="19"/>
      <c r="F75" s="20"/>
      <c r="G75" s="20">
        <v>0.0</v>
      </c>
      <c r="H75" s="20">
        <v>41993.02</v>
      </c>
      <c r="I75" s="20">
        <v>41993.02</v>
      </c>
      <c r="J75" s="20" t="s">
        <v>81</v>
      </c>
      <c r="K75" s="21">
        <v>45789.0</v>
      </c>
      <c r="L75" s="21">
        <v>45789.0</v>
      </c>
      <c r="M75" s="22"/>
      <c r="N75" s="23"/>
      <c r="O75" s="14">
        <v>45778.0</v>
      </c>
    </row>
    <row r="76" ht="15.0" customHeight="1">
      <c r="A76" s="84" t="s">
        <v>22</v>
      </c>
      <c r="B76" s="27" t="s">
        <v>31</v>
      </c>
      <c r="C76" s="20" t="s">
        <v>32</v>
      </c>
      <c r="D76" s="18" t="s">
        <v>160</v>
      </c>
      <c r="E76" s="19"/>
      <c r="F76" s="20">
        <v>143450.0</v>
      </c>
      <c r="G76" s="20">
        <v>0.0</v>
      </c>
      <c r="H76" s="20"/>
      <c r="I76" s="20">
        <v>143450.0</v>
      </c>
      <c r="J76" s="20" t="s">
        <v>81</v>
      </c>
      <c r="K76" s="21">
        <v>45800.0</v>
      </c>
      <c r="L76" s="21">
        <v>45800.0</v>
      </c>
      <c r="M76" s="34"/>
      <c r="N76" s="23"/>
      <c r="O76" s="14">
        <v>45778.0</v>
      </c>
    </row>
    <row r="77" ht="15.0" customHeight="1">
      <c r="A77" s="84" t="s">
        <v>22</v>
      </c>
      <c r="B77" s="27" t="s">
        <v>34</v>
      </c>
      <c r="C77" s="20" t="s">
        <v>68</v>
      </c>
      <c r="D77" s="18" t="s">
        <v>161</v>
      </c>
      <c r="E77" s="19"/>
      <c r="F77" s="20">
        <v>1201308.39</v>
      </c>
      <c r="G77" s="20">
        <v>252274.76189999998</v>
      </c>
      <c r="H77" s="20">
        <v>60065.42</v>
      </c>
      <c r="I77" s="20">
        <v>1513648.5718999999</v>
      </c>
      <c r="J77" s="20" t="s">
        <v>81</v>
      </c>
      <c r="K77" s="21">
        <v>45789.0</v>
      </c>
      <c r="L77" s="21">
        <v>45789.0</v>
      </c>
      <c r="M77" s="22"/>
      <c r="N77" s="23"/>
      <c r="O77" s="14">
        <v>45778.0</v>
      </c>
    </row>
    <row r="78" ht="15.0" customHeight="1">
      <c r="A78" s="84" t="s">
        <v>22</v>
      </c>
      <c r="B78" s="27" t="s">
        <v>37</v>
      </c>
      <c r="C78" s="20" t="s">
        <v>37</v>
      </c>
      <c r="D78" s="18" t="s">
        <v>162</v>
      </c>
      <c r="E78" s="19">
        <v>45775.0</v>
      </c>
      <c r="F78" s="20">
        <v>82731.32</v>
      </c>
      <c r="G78" s="20">
        <v>22337.46</v>
      </c>
      <c r="H78" s="20">
        <v>7762.68</v>
      </c>
      <c r="I78" s="20">
        <v>112831.45999999999</v>
      </c>
      <c r="J78" s="20" t="s">
        <v>38</v>
      </c>
      <c r="K78" s="21">
        <v>45785.0</v>
      </c>
      <c r="L78" s="21">
        <v>45785.0</v>
      </c>
      <c r="M78" s="29" t="s">
        <v>163</v>
      </c>
      <c r="N78" s="23"/>
      <c r="O78" s="14">
        <v>45778.0</v>
      </c>
    </row>
    <row r="79" ht="15.0" customHeight="1">
      <c r="A79" s="84" t="s">
        <v>22</v>
      </c>
      <c r="B79" s="27" t="s">
        <v>39</v>
      </c>
      <c r="C79" s="20" t="s">
        <v>68</v>
      </c>
      <c r="D79" s="18" t="s">
        <v>164</v>
      </c>
      <c r="E79" s="19"/>
      <c r="F79" s="20">
        <v>1997735.13</v>
      </c>
      <c r="G79" s="20">
        <v>419524.37729999993</v>
      </c>
      <c r="H79" s="20">
        <v>99886.76</v>
      </c>
      <c r="I79" s="20">
        <v>2517146.2672999995</v>
      </c>
      <c r="J79" s="20" t="s">
        <v>81</v>
      </c>
      <c r="K79" s="21">
        <v>45789.0</v>
      </c>
      <c r="L79" s="21">
        <v>45789.0</v>
      </c>
      <c r="M79" s="22"/>
      <c r="N79" s="23"/>
      <c r="O79" s="14">
        <v>45778.0</v>
      </c>
    </row>
    <row r="80" ht="15.0" customHeight="1">
      <c r="A80" s="84" t="s">
        <v>22</v>
      </c>
      <c r="B80" s="27" t="s">
        <v>41</v>
      </c>
      <c r="C80" s="20" t="s">
        <v>42</v>
      </c>
      <c r="D80" s="18" t="s">
        <v>149</v>
      </c>
      <c r="E80" s="19"/>
      <c r="F80" s="20">
        <v>27480.0</v>
      </c>
      <c r="G80" s="20">
        <v>5770.8</v>
      </c>
      <c r="H80" s="20"/>
      <c r="I80" s="20">
        <v>33250.8</v>
      </c>
      <c r="J80" s="24" t="s">
        <v>81</v>
      </c>
      <c r="K80" s="21">
        <v>45797.0</v>
      </c>
      <c r="L80" s="21">
        <v>45797.0</v>
      </c>
      <c r="M80" s="22"/>
      <c r="N80" s="23"/>
      <c r="O80" s="14">
        <v>45778.0</v>
      </c>
    </row>
    <row r="81" ht="15.0" customHeight="1">
      <c r="A81" s="84" t="s">
        <v>22</v>
      </c>
      <c r="B81" s="27" t="s">
        <v>43</v>
      </c>
      <c r="C81" s="20" t="s">
        <v>53</v>
      </c>
      <c r="D81" s="18" t="s">
        <v>165</v>
      </c>
      <c r="E81" s="19">
        <v>45765.0</v>
      </c>
      <c r="F81" s="20">
        <v>51942.15</v>
      </c>
      <c r="G81" s="20">
        <v>10907.8515</v>
      </c>
      <c r="H81" s="20">
        <v>4155.37</v>
      </c>
      <c r="I81" s="20">
        <v>67005.3715</v>
      </c>
      <c r="J81" s="24" t="s">
        <v>86</v>
      </c>
      <c r="K81" s="21">
        <v>45785.0</v>
      </c>
      <c r="L81" s="21">
        <v>45785.0</v>
      </c>
      <c r="M81" s="29" t="s">
        <v>151</v>
      </c>
      <c r="N81" s="23"/>
      <c r="O81" s="14">
        <v>45778.0</v>
      </c>
    </row>
    <row r="82" ht="15.0" customHeight="1">
      <c r="A82" s="89" t="s">
        <v>22</v>
      </c>
      <c r="B82" s="16" t="s">
        <v>73</v>
      </c>
      <c r="C82" s="20" t="s">
        <v>74</v>
      </c>
      <c r="D82" s="20" t="s">
        <v>166</v>
      </c>
      <c r="E82" s="19"/>
      <c r="F82" s="20">
        <v>38096.0</v>
      </c>
      <c r="G82" s="20">
        <v>8000.16</v>
      </c>
      <c r="H82" s="20"/>
      <c r="I82" s="44">
        <v>46096.16</v>
      </c>
      <c r="J82" s="24" t="s">
        <v>81</v>
      </c>
      <c r="K82" s="21">
        <v>45797.0</v>
      </c>
      <c r="L82" s="21">
        <v>45797.0</v>
      </c>
      <c r="M82" s="34"/>
      <c r="N82" s="23"/>
      <c r="O82" s="14">
        <v>45778.0</v>
      </c>
    </row>
    <row r="83" ht="15.0" customHeight="1">
      <c r="A83" s="84" t="s">
        <v>24</v>
      </c>
      <c r="B83" s="27" t="s">
        <v>31</v>
      </c>
      <c r="C83" s="20" t="s">
        <v>32</v>
      </c>
      <c r="D83" s="18" t="s">
        <v>33</v>
      </c>
      <c r="E83" s="19"/>
      <c r="F83" s="20"/>
      <c r="G83" s="20">
        <v>0.0</v>
      </c>
      <c r="H83" s="20"/>
      <c r="I83" s="20" t="s">
        <v>16</v>
      </c>
      <c r="J83" s="20" t="s">
        <v>81</v>
      </c>
      <c r="K83" s="49">
        <v>45778.0</v>
      </c>
      <c r="L83" s="49">
        <v>45778.0</v>
      </c>
      <c r="M83" s="34"/>
      <c r="N83" s="23"/>
      <c r="O83" s="14">
        <v>45778.0</v>
      </c>
    </row>
    <row r="84" ht="15.0" customHeight="1">
      <c r="A84" s="84" t="s">
        <v>24</v>
      </c>
      <c r="B84" s="27" t="s">
        <v>34</v>
      </c>
      <c r="C84" s="20" t="s">
        <v>35</v>
      </c>
      <c r="D84" s="18" t="s">
        <v>167</v>
      </c>
      <c r="E84" s="19"/>
      <c r="F84" s="20">
        <v>1623633.2</v>
      </c>
      <c r="G84" s="20">
        <v>340962.97199999995</v>
      </c>
      <c r="H84" s="20"/>
      <c r="I84" s="20">
        <v>1964596.1719999998</v>
      </c>
      <c r="J84" s="20" t="s">
        <v>81</v>
      </c>
      <c r="K84" s="21">
        <v>45789.0</v>
      </c>
      <c r="L84" s="21">
        <v>45789.0</v>
      </c>
      <c r="M84" s="22"/>
      <c r="N84" s="23"/>
      <c r="O84" s="14">
        <v>45778.0</v>
      </c>
    </row>
    <row r="85" ht="15.0" customHeight="1">
      <c r="A85" s="84" t="s">
        <v>24</v>
      </c>
      <c r="B85" s="27" t="s">
        <v>37</v>
      </c>
      <c r="C85" s="20" t="s">
        <v>37</v>
      </c>
      <c r="D85" s="18" t="s">
        <v>168</v>
      </c>
      <c r="E85" s="19">
        <v>45776.0</v>
      </c>
      <c r="F85" s="20">
        <v>81062.57</v>
      </c>
      <c r="G85" s="20">
        <v>21886.89</v>
      </c>
      <c r="H85" s="20">
        <v>7606.100000000002</v>
      </c>
      <c r="I85" s="20">
        <v>110555.56000000001</v>
      </c>
      <c r="J85" s="20" t="s">
        <v>38</v>
      </c>
      <c r="K85" s="21">
        <v>45786.0</v>
      </c>
      <c r="L85" s="21">
        <v>45786.0</v>
      </c>
      <c r="M85" s="29" t="s">
        <v>145</v>
      </c>
      <c r="N85" s="23"/>
      <c r="O85" s="14">
        <v>45778.0</v>
      </c>
    </row>
    <row r="86" ht="15.0" customHeight="1">
      <c r="A86" s="84" t="s">
        <v>24</v>
      </c>
      <c r="B86" s="27" t="s">
        <v>39</v>
      </c>
      <c r="C86" s="20" t="s">
        <v>35</v>
      </c>
      <c r="D86" s="18" t="s">
        <v>58</v>
      </c>
      <c r="E86" s="19"/>
      <c r="F86" s="20"/>
      <c r="G86" s="20">
        <v>0.0</v>
      </c>
      <c r="H86" s="20"/>
      <c r="I86" s="20">
        <v>477750.98</v>
      </c>
      <c r="J86" s="20" t="s">
        <v>81</v>
      </c>
      <c r="K86" s="21">
        <v>45786.0</v>
      </c>
      <c r="L86" s="21">
        <v>45786.0</v>
      </c>
      <c r="M86" s="22"/>
      <c r="N86" s="23"/>
      <c r="O86" s="14">
        <v>45778.0</v>
      </c>
    </row>
    <row r="87" ht="15.0" customHeight="1">
      <c r="A87" s="84" t="s">
        <v>24</v>
      </c>
      <c r="B87" s="27" t="s">
        <v>41</v>
      </c>
      <c r="C87" s="20" t="s">
        <v>42</v>
      </c>
      <c r="D87" s="18" t="s">
        <v>149</v>
      </c>
      <c r="E87" s="19"/>
      <c r="F87" s="20">
        <v>27480.0</v>
      </c>
      <c r="G87" s="20">
        <v>5770.8</v>
      </c>
      <c r="H87" s="20"/>
      <c r="I87" s="20">
        <v>33250.8</v>
      </c>
      <c r="J87" s="24" t="s">
        <v>81</v>
      </c>
      <c r="K87" s="21">
        <v>45797.0</v>
      </c>
      <c r="L87" s="21">
        <v>45797.0</v>
      </c>
      <c r="M87" s="22"/>
      <c r="N87" s="23"/>
      <c r="O87" s="14">
        <v>45778.0</v>
      </c>
    </row>
    <row r="88" ht="15.0" customHeight="1">
      <c r="A88" s="84" t="s">
        <v>71</v>
      </c>
      <c r="B88" s="27" t="s">
        <v>34</v>
      </c>
      <c r="C88" s="20" t="s">
        <v>35</v>
      </c>
      <c r="D88" s="18" t="s">
        <v>169</v>
      </c>
      <c r="E88" s="19"/>
      <c r="F88" s="20">
        <v>825000.0</v>
      </c>
      <c r="G88" s="20">
        <v>173250.0</v>
      </c>
      <c r="H88" s="20"/>
      <c r="I88" s="20">
        <v>998250.0</v>
      </c>
      <c r="J88" s="24" t="s">
        <v>81</v>
      </c>
      <c r="K88" s="21">
        <v>45789.0</v>
      </c>
      <c r="L88" s="21">
        <v>45789.0</v>
      </c>
      <c r="M88" s="22"/>
      <c r="N88" s="26"/>
      <c r="O88" s="14">
        <v>45778.0</v>
      </c>
    </row>
    <row r="89" ht="15.0" customHeight="1">
      <c r="A89" s="84" t="s">
        <v>71</v>
      </c>
      <c r="B89" s="27" t="s">
        <v>37</v>
      </c>
      <c r="C89" s="20" t="s">
        <v>37</v>
      </c>
      <c r="D89" s="18" t="s">
        <v>58</v>
      </c>
      <c r="E89" s="19"/>
      <c r="F89" s="20"/>
      <c r="G89" s="20">
        <v>0.0</v>
      </c>
      <c r="H89" s="20"/>
      <c r="I89" s="20">
        <v>112692.44</v>
      </c>
      <c r="J89" s="24" t="s">
        <v>38</v>
      </c>
      <c r="K89" s="21">
        <v>45786.0</v>
      </c>
      <c r="L89" s="21">
        <v>45786.0</v>
      </c>
      <c r="M89" s="25"/>
      <c r="N89" s="26"/>
      <c r="O89" s="14">
        <v>45778.0</v>
      </c>
    </row>
    <row r="90" ht="15.0" customHeight="1">
      <c r="A90" s="84" t="s">
        <v>71</v>
      </c>
      <c r="B90" s="27" t="s">
        <v>39</v>
      </c>
      <c r="C90" s="20" t="s">
        <v>35</v>
      </c>
      <c r="D90" s="18" t="s">
        <v>58</v>
      </c>
      <c r="E90" s="19"/>
      <c r="F90" s="20"/>
      <c r="G90" s="20">
        <v>0.0</v>
      </c>
      <c r="H90" s="20"/>
      <c r="I90" s="20">
        <v>477750.98</v>
      </c>
      <c r="J90" s="24" t="s">
        <v>81</v>
      </c>
      <c r="K90" s="21">
        <v>45786.0</v>
      </c>
      <c r="L90" s="21">
        <v>45786.0</v>
      </c>
      <c r="M90" s="23"/>
      <c r="N90" s="23"/>
      <c r="O90" s="14">
        <v>45778.0</v>
      </c>
    </row>
    <row r="91" ht="15.0" customHeight="1">
      <c r="A91" s="84" t="s">
        <v>71</v>
      </c>
      <c r="B91" s="27" t="s">
        <v>41</v>
      </c>
      <c r="C91" s="20" t="s">
        <v>42</v>
      </c>
      <c r="D91" s="18" t="s">
        <v>149</v>
      </c>
      <c r="E91" s="19"/>
      <c r="F91" s="20">
        <v>27480.0</v>
      </c>
      <c r="G91" s="20">
        <v>5770.8</v>
      </c>
      <c r="H91" s="20"/>
      <c r="I91" s="20">
        <v>33250.8</v>
      </c>
      <c r="J91" s="24" t="s">
        <v>81</v>
      </c>
      <c r="K91" s="21">
        <v>45797.0</v>
      </c>
      <c r="L91" s="21">
        <v>45797.0</v>
      </c>
      <c r="M91" s="25"/>
      <c r="N91" s="26"/>
      <c r="O91" s="14">
        <v>45778.0</v>
      </c>
    </row>
    <row r="92" ht="15.0" customHeight="1">
      <c r="A92" s="89" t="s">
        <v>71</v>
      </c>
      <c r="B92" s="16" t="s">
        <v>73</v>
      </c>
      <c r="C92" s="20" t="s">
        <v>74</v>
      </c>
      <c r="D92" s="20" t="s">
        <v>170</v>
      </c>
      <c r="E92" s="19"/>
      <c r="F92" s="20">
        <v>38096.0</v>
      </c>
      <c r="G92" s="20">
        <v>8000.16</v>
      </c>
      <c r="H92" s="20"/>
      <c r="I92" s="44">
        <v>46096.16</v>
      </c>
      <c r="J92" s="24" t="s">
        <v>81</v>
      </c>
      <c r="K92" s="21">
        <v>45797.0</v>
      </c>
      <c r="L92" s="21">
        <v>45797.0</v>
      </c>
      <c r="M92" s="34"/>
      <c r="N92" s="23"/>
      <c r="O92" s="14">
        <v>45778.0</v>
      </c>
    </row>
    <row r="93" ht="15.0" customHeight="1">
      <c r="A93" s="84" t="s">
        <v>130</v>
      </c>
      <c r="B93" s="16" t="s">
        <v>37</v>
      </c>
      <c r="C93" s="93" t="s">
        <v>37</v>
      </c>
      <c r="D93" s="94" t="s">
        <v>171</v>
      </c>
      <c r="E93" s="95">
        <v>45782.0</v>
      </c>
      <c r="F93" s="93">
        <v>70102.82</v>
      </c>
      <c r="G93" s="93">
        <v>18927.76</v>
      </c>
      <c r="H93" s="93">
        <v>11330.920000000002</v>
      </c>
      <c r="I93" s="96">
        <v>100361.5</v>
      </c>
      <c r="J93" s="97" t="s">
        <v>51</v>
      </c>
      <c r="K93" s="98">
        <v>45790.0</v>
      </c>
      <c r="L93" s="98">
        <v>45792.0</v>
      </c>
      <c r="M93" s="17" t="s">
        <v>172</v>
      </c>
      <c r="N93" s="23"/>
      <c r="O93" s="14">
        <v>45778.0</v>
      </c>
    </row>
    <row r="94" ht="15.0" customHeight="1">
      <c r="A94" s="84" t="s">
        <v>130</v>
      </c>
      <c r="B94" s="16" t="s">
        <v>37</v>
      </c>
      <c r="C94" s="93" t="s">
        <v>37</v>
      </c>
      <c r="D94" s="94" t="s">
        <v>173</v>
      </c>
      <c r="E94" s="95">
        <v>45784.0</v>
      </c>
      <c r="F94" s="93">
        <v>5665.74</v>
      </c>
      <c r="G94" s="93">
        <v>1529.75</v>
      </c>
      <c r="H94" s="93">
        <v>4613.36</v>
      </c>
      <c r="I94" s="96">
        <v>11808.849999999999</v>
      </c>
      <c r="J94" s="97" t="s">
        <v>51</v>
      </c>
      <c r="K94" s="98">
        <v>45792.0</v>
      </c>
      <c r="L94" s="98">
        <v>45792.0</v>
      </c>
      <c r="M94" s="29" t="s">
        <v>172</v>
      </c>
      <c r="N94" s="26"/>
      <c r="O94" s="14">
        <v>45778.0</v>
      </c>
    </row>
    <row r="95" ht="15.0" customHeight="1">
      <c r="A95" s="84" t="s">
        <v>130</v>
      </c>
      <c r="B95" s="27" t="s">
        <v>43</v>
      </c>
      <c r="C95" s="20" t="s">
        <v>44</v>
      </c>
      <c r="D95" s="18" t="s">
        <v>174</v>
      </c>
      <c r="E95" s="19"/>
      <c r="F95" s="20">
        <v>84973.6</v>
      </c>
      <c r="G95" s="20">
        <v>19133.829999999998</v>
      </c>
      <c r="H95" s="20">
        <v>2549.21</v>
      </c>
      <c r="I95" s="43">
        <v>106656.64000000001</v>
      </c>
      <c r="J95" s="24" t="s">
        <v>38</v>
      </c>
      <c r="K95" s="21">
        <v>45802.0</v>
      </c>
      <c r="L95" s="21">
        <v>45800.0</v>
      </c>
      <c r="M95" s="25"/>
      <c r="N95" s="26"/>
      <c r="O95" s="14">
        <v>45778.0</v>
      </c>
    </row>
    <row r="96" ht="15.0" customHeight="1">
      <c r="A96" s="84" t="s">
        <v>54</v>
      </c>
      <c r="B96" s="27" t="s">
        <v>31</v>
      </c>
      <c r="C96" s="20" t="s">
        <v>32</v>
      </c>
      <c r="D96" s="18" t="s">
        <v>33</v>
      </c>
      <c r="E96" s="19"/>
      <c r="F96" s="20"/>
      <c r="G96" s="20">
        <v>0.0</v>
      </c>
      <c r="H96" s="20"/>
      <c r="I96" s="44" t="s">
        <v>16</v>
      </c>
      <c r="J96" s="24" t="s">
        <v>81</v>
      </c>
      <c r="K96" s="49">
        <v>45778.0</v>
      </c>
      <c r="L96" s="49">
        <v>45778.0</v>
      </c>
      <c r="M96" s="25"/>
      <c r="N96" s="26"/>
      <c r="O96" s="14">
        <v>45778.0</v>
      </c>
    </row>
    <row r="97" ht="15.0" customHeight="1">
      <c r="A97" s="84" t="s">
        <v>54</v>
      </c>
      <c r="B97" s="27" t="s">
        <v>34</v>
      </c>
      <c r="C97" s="20" t="s">
        <v>55</v>
      </c>
      <c r="D97" s="18" t="s">
        <v>175</v>
      </c>
      <c r="E97" s="19"/>
      <c r="F97" s="20"/>
      <c r="G97" s="20">
        <v>0.0</v>
      </c>
      <c r="H97" s="20"/>
      <c r="I97" s="20">
        <v>738584.0</v>
      </c>
      <c r="J97" s="24" t="s">
        <v>81</v>
      </c>
      <c r="K97" s="21">
        <v>45789.0</v>
      </c>
      <c r="L97" s="21">
        <v>45789.0</v>
      </c>
      <c r="M97" s="25"/>
      <c r="N97" s="26"/>
      <c r="O97" s="14">
        <v>45778.0</v>
      </c>
    </row>
    <row r="98" ht="15.0" customHeight="1">
      <c r="A98" s="84" t="s">
        <v>54</v>
      </c>
      <c r="B98" s="27" t="s">
        <v>37</v>
      </c>
      <c r="C98" s="20" t="s">
        <v>37</v>
      </c>
      <c r="D98" s="18" t="s">
        <v>176</v>
      </c>
      <c r="E98" s="19">
        <v>45776.0</v>
      </c>
      <c r="F98" s="20">
        <v>51659.38</v>
      </c>
      <c r="G98" s="20">
        <v>13948.03</v>
      </c>
      <c r="H98" s="20">
        <v>4847.199999999999</v>
      </c>
      <c r="I98" s="20">
        <v>70454.61</v>
      </c>
      <c r="J98" s="24" t="s">
        <v>38</v>
      </c>
      <c r="K98" s="21">
        <v>45786.0</v>
      </c>
      <c r="L98" s="21">
        <v>45786.0</v>
      </c>
      <c r="M98" s="29" t="s">
        <v>145</v>
      </c>
      <c r="N98" s="26"/>
      <c r="O98" s="14">
        <v>45778.0</v>
      </c>
    </row>
    <row r="99" ht="15.0" customHeight="1">
      <c r="A99" s="84" t="s">
        <v>54</v>
      </c>
      <c r="B99" s="27" t="s">
        <v>37</v>
      </c>
      <c r="C99" s="20" t="s">
        <v>37</v>
      </c>
      <c r="D99" s="18" t="s">
        <v>177</v>
      </c>
      <c r="E99" s="19">
        <v>45776.0</v>
      </c>
      <c r="F99" s="20">
        <v>119742.24</v>
      </c>
      <c r="G99" s="20">
        <v>32330.4</v>
      </c>
      <c r="H99" s="20">
        <v>11235.419999999998</v>
      </c>
      <c r="I99" s="20">
        <v>163308.06</v>
      </c>
      <c r="J99" s="24" t="s">
        <v>38</v>
      </c>
      <c r="K99" s="21">
        <v>45786.0</v>
      </c>
      <c r="L99" s="21">
        <v>45786.0</v>
      </c>
      <c r="M99" s="29" t="s">
        <v>145</v>
      </c>
      <c r="N99" s="23"/>
      <c r="O99" s="14">
        <v>45778.0</v>
      </c>
    </row>
    <row r="100" ht="15.0" customHeight="1">
      <c r="A100" s="84" t="s">
        <v>54</v>
      </c>
      <c r="B100" s="27" t="s">
        <v>39</v>
      </c>
      <c r="C100" s="20" t="s">
        <v>57</v>
      </c>
      <c r="D100" s="18" t="s">
        <v>58</v>
      </c>
      <c r="E100" s="19"/>
      <c r="F100" s="20"/>
      <c r="G100" s="20">
        <v>0.0</v>
      </c>
      <c r="H100" s="20"/>
      <c r="I100" s="20">
        <v>262951.79</v>
      </c>
      <c r="J100" s="24" t="s">
        <v>87</v>
      </c>
      <c r="K100" s="21">
        <v>45786.0</v>
      </c>
      <c r="L100" s="21">
        <v>45786.0</v>
      </c>
      <c r="M100" s="23"/>
      <c r="N100" s="23"/>
      <c r="O100" s="14">
        <v>45778.0</v>
      </c>
    </row>
    <row r="101" ht="15.0" customHeight="1">
      <c r="A101" s="84" t="s">
        <v>54</v>
      </c>
      <c r="B101" s="27" t="s">
        <v>41</v>
      </c>
      <c r="C101" s="20" t="s">
        <v>42</v>
      </c>
      <c r="D101" s="18" t="s">
        <v>149</v>
      </c>
      <c r="E101" s="19"/>
      <c r="F101" s="20">
        <v>45480.0</v>
      </c>
      <c r="G101" s="20">
        <v>9550.8</v>
      </c>
      <c r="H101" s="20"/>
      <c r="I101" s="20">
        <v>55030.8</v>
      </c>
      <c r="J101" s="24" t="s">
        <v>81</v>
      </c>
      <c r="K101" s="21">
        <v>45797.0</v>
      </c>
      <c r="L101" s="21">
        <v>45797.0</v>
      </c>
      <c r="M101" s="23"/>
      <c r="N101" s="23"/>
      <c r="O101" s="14">
        <v>45778.0</v>
      </c>
    </row>
    <row r="102" ht="15.0" customHeight="1">
      <c r="A102" s="84" t="s">
        <v>54</v>
      </c>
      <c r="B102" s="27" t="s">
        <v>43</v>
      </c>
      <c r="C102" s="20" t="s">
        <v>53</v>
      </c>
      <c r="D102" s="18" t="s">
        <v>178</v>
      </c>
      <c r="E102" s="19">
        <v>45765.0</v>
      </c>
      <c r="F102" s="20">
        <v>92450.0</v>
      </c>
      <c r="G102" s="20">
        <v>19414.5</v>
      </c>
      <c r="H102" s="20">
        <v>7396.0</v>
      </c>
      <c r="I102" s="20">
        <v>119260.5</v>
      </c>
      <c r="J102" s="24" t="s">
        <v>38</v>
      </c>
      <c r="K102" s="21">
        <v>45784.0</v>
      </c>
      <c r="L102" s="21">
        <v>45783.0</v>
      </c>
      <c r="M102" s="29" t="s">
        <v>151</v>
      </c>
      <c r="N102" s="23"/>
      <c r="O102" s="14">
        <v>45778.0</v>
      </c>
    </row>
    <row r="103" ht="15.0" customHeight="1">
      <c r="A103" s="84" t="s">
        <v>54</v>
      </c>
      <c r="B103" s="16" t="s">
        <v>73</v>
      </c>
      <c r="C103" s="20" t="s">
        <v>74</v>
      </c>
      <c r="D103" s="20" t="s">
        <v>179</v>
      </c>
      <c r="E103" s="19"/>
      <c r="F103" s="20">
        <v>38096.0</v>
      </c>
      <c r="G103" s="20">
        <v>8000.16</v>
      </c>
      <c r="H103" s="20"/>
      <c r="I103" s="44">
        <v>46096.16</v>
      </c>
      <c r="J103" s="24" t="s">
        <v>81</v>
      </c>
      <c r="K103" s="21">
        <v>45797.0</v>
      </c>
      <c r="L103" s="21">
        <v>45797.0</v>
      </c>
      <c r="M103" s="34"/>
      <c r="N103" s="23"/>
      <c r="O103" s="14">
        <v>45778.0</v>
      </c>
    </row>
    <row r="104" ht="15.0" customHeight="1">
      <c r="A104" s="84" t="s">
        <v>122</v>
      </c>
      <c r="B104" s="27" t="s">
        <v>34</v>
      </c>
      <c r="C104" s="40" t="s">
        <v>61</v>
      </c>
      <c r="D104" s="86" t="s">
        <v>180</v>
      </c>
      <c r="E104" s="19"/>
      <c r="F104" s="20">
        <v>500000.0</v>
      </c>
      <c r="G104" s="20">
        <v>105000.0</v>
      </c>
      <c r="H104" s="20"/>
      <c r="I104" s="20">
        <v>605000.0</v>
      </c>
      <c r="J104" s="24" t="s">
        <v>81</v>
      </c>
      <c r="K104" s="21">
        <v>45789.0</v>
      </c>
      <c r="L104" s="21">
        <v>45789.0</v>
      </c>
      <c r="M104" s="25"/>
      <c r="N104" s="26"/>
      <c r="O104" s="14">
        <v>45778.0</v>
      </c>
    </row>
    <row r="105" ht="15.0" customHeight="1">
      <c r="A105" s="84" t="s">
        <v>122</v>
      </c>
      <c r="B105" s="27" t="s">
        <v>39</v>
      </c>
      <c r="C105" s="40" t="s">
        <v>61</v>
      </c>
      <c r="D105" s="86" t="s">
        <v>180</v>
      </c>
      <c r="E105" s="19"/>
      <c r="F105" s="20"/>
      <c r="G105" s="20">
        <v>0.0</v>
      </c>
      <c r="H105" s="20">
        <v>262912.84</v>
      </c>
      <c r="I105" s="20">
        <v>262912.84</v>
      </c>
      <c r="J105" s="24" t="s">
        <v>81</v>
      </c>
      <c r="K105" s="21">
        <v>45789.0</v>
      </c>
      <c r="L105" s="21">
        <v>45789.0</v>
      </c>
      <c r="M105" s="23"/>
      <c r="N105" s="23"/>
      <c r="O105" s="14">
        <v>45778.0</v>
      </c>
    </row>
    <row r="106" ht="15.0" customHeight="1">
      <c r="A106" s="84" t="s">
        <v>124</v>
      </c>
      <c r="B106" s="27" t="s">
        <v>34</v>
      </c>
      <c r="C106" s="40" t="s">
        <v>61</v>
      </c>
      <c r="D106" s="86" t="s">
        <v>181</v>
      </c>
      <c r="E106" s="19"/>
      <c r="F106" s="20">
        <v>211929.6</v>
      </c>
      <c r="G106" s="20">
        <v>44505.216</v>
      </c>
      <c r="H106" s="20"/>
      <c r="I106" s="20">
        <v>256434.816</v>
      </c>
      <c r="J106" s="24" t="s">
        <v>81</v>
      </c>
      <c r="K106" s="21">
        <v>45789.0</v>
      </c>
      <c r="L106" s="21">
        <v>45789.0</v>
      </c>
      <c r="M106" s="25"/>
      <c r="N106" s="26"/>
      <c r="O106" s="14">
        <v>45778.0</v>
      </c>
    </row>
    <row r="107" ht="15.0" customHeight="1">
      <c r="A107" s="84" t="s">
        <v>124</v>
      </c>
      <c r="B107" s="27" t="s">
        <v>39</v>
      </c>
      <c r="C107" s="40" t="s">
        <v>61</v>
      </c>
      <c r="D107" s="86" t="s">
        <v>181</v>
      </c>
      <c r="E107" s="19"/>
      <c r="F107" s="20"/>
      <c r="G107" s="20">
        <v>0.0</v>
      </c>
      <c r="H107" s="20">
        <v>467400.61</v>
      </c>
      <c r="I107" s="20">
        <v>467400.61</v>
      </c>
      <c r="J107" s="24" t="s">
        <v>81</v>
      </c>
      <c r="K107" s="21">
        <v>45789.0</v>
      </c>
      <c r="L107" s="21">
        <v>45789.0</v>
      </c>
      <c r="M107" s="23"/>
      <c r="N107" s="23"/>
      <c r="O107" s="14">
        <v>45778.0</v>
      </c>
    </row>
    <row r="108" ht="15.0" customHeight="1">
      <c r="A108" s="84" t="s">
        <v>107</v>
      </c>
      <c r="B108" s="16" t="s">
        <v>41</v>
      </c>
      <c r="C108" s="20" t="s">
        <v>42</v>
      </c>
      <c r="D108" s="18" t="s">
        <v>149</v>
      </c>
      <c r="E108" s="19"/>
      <c r="F108" s="20">
        <v>110047.0</v>
      </c>
      <c r="G108" s="20">
        <v>23109.87</v>
      </c>
      <c r="H108" s="20"/>
      <c r="I108" s="20">
        <v>133156.87</v>
      </c>
      <c r="J108" s="20" t="s">
        <v>81</v>
      </c>
      <c r="K108" s="21">
        <v>45797.0</v>
      </c>
      <c r="L108" s="21">
        <v>45797.0</v>
      </c>
      <c r="M108" s="22"/>
      <c r="N108" s="23"/>
      <c r="O108" s="14">
        <v>45778.0</v>
      </c>
    </row>
    <row r="109" ht="15.0" customHeight="1">
      <c r="A109" s="84" t="s">
        <v>60</v>
      </c>
      <c r="B109" s="16" t="s">
        <v>34</v>
      </c>
      <c r="C109" s="40" t="s">
        <v>61</v>
      </c>
      <c r="D109" s="18"/>
      <c r="E109" s="31"/>
      <c r="F109" s="20"/>
      <c r="G109" s="20">
        <v>0.0</v>
      </c>
      <c r="H109" s="20"/>
      <c r="I109" s="20" t="s">
        <v>16</v>
      </c>
      <c r="J109" s="20" t="s">
        <v>88</v>
      </c>
      <c r="K109" s="49">
        <v>45778.0</v>
      </c>
      <c r="L109" s="49">
        <v>45778.0</v>
      </c>
      <c r="M109" s="22"/>
      <c r="N109" s="23"/>
      <c r="O109" s="14">
        <v>45778.0</v>
      </c>
    </row>
    <row r="110" ht="15.0" customHeight="1">
      <c r="A110" s="84" t="s">
        <v>60</v>
      </c>
      <c r="B110" s="16" t="s">
        <v>39</v>
      </c>
      <c r="C110" s="40" t="s">
        <v>61</v>
      </c>
      <c r="D110" s="18"/>
      <c r="E110" s="31"/>
      <c r="F110" s="20"/>
      <c r="G110" s="20">
        <v>0.0</v>
      </c>
      <c r="H110" s="20"/>
      <c r="I110" s="20" t="s">
        <v>16</v>
      </c>
      <c r="J110" s="20" t="s">
        <v>88</v>
      </c>
      <c r="K110" s="49">
        <v>45778.0</v>
      </c>
      <c r="L110" s="49">
        <v>45778.0</v>
      </c>
      <c r="M110" s="22"/>
      <c r="N110" s="23"/>
      <c r="O110" s="14">
        <v>45778.0</v>
      </c>
    </row>
    <row r="111" ht="15.0" customHeight="1">
      <c r="A111" s="84" t="s">
        <v>60</v>
      </c>
      <c r="B111" s="27" t="s">
        <v>37</v>
      </c>
      <c r="C111" s="40" t="s">
        <v>61</v>
      </c>
      <c r="D111" s="18"/>
      <c r="E111" s="31"/>
      <c r="F111" s="20"/>
      <c r="G111" s="20">
        <v>0.0</v>
      </c>
      <c r="H111" s="20"/>
      <c r="I111" s="20" t="s">
        <v>16</v>
      </c>
      <c r="J111" s="20" t="s">
        <v>88</v>
      </c>
      <c r="K111" s="49">
        <v>45778.0</v>
      </c>
      <c r="L111" s="49">
        <v>45778.0</v>
      </c>
      <c r="M111" s="22"/>
      <c r="N111" s="23"/>
      <c r="O111" s="14">
        <v>45778.0</v>
      </c>
    </row>
    <row r="112" ht="15.0" customHeight="1">
      <c r="A112" s="84" t="s">
        <v>182</v>
      </c>
      <c r="B112" s="16" t="s">
        <v>34</v>
      </c>
      <c r="C112" s="40" t="s">
        <v>61</v>
      </c>
      <c r="D112" s="18" t="s">
        <v>183</v>
      </c>
      <c r="E112" s="31"/>
      <c r="F112" s="20">
        <v>0.0</v>
      </c>
      <c r="G112" s="20">
        <v>0.0</v>
      </c>
      <c r="H112" s="20"/>
      <c r="I112" s="20" t="s">
        <v>16</v>
      </c>
      <c r="J112" s="20" t="s">
        <v>88</v>
      </c>
      <c r="K112" s="21">
        <v>45789.0</v>
      </c>
      <c r="L112" s="21">
        <v>45789.0</v>
      </c>
      <c r="M112" s="22"/>
      <c r="N112" s="23"/>
      <c r="O112" s="14">
        <v>45778.0</v>
      </c>
    </row>
    <row r="113" ht="15.0" customHeight="1">
      <c r="A113" s="84" t="s">
        <v>182</v>
      </c>
      <c r="B113" s="16" t="s">
        <v>39</v>
      </c>
      <c r="C113" s="40" t="s">
        <v>61</v>
      </c>
      <c r="D113" s="18" t="s">
        <v>184</v>
      </c>
      <c r="E113" s="31"/>
      <c r="F113" s="20"/>
      <c r="G113" s="20">
        <v>0.0</v>
      </c>
      <c r="H113" s="20">
        <v>1126508.49</v>
      </c>
      <c r="I113" s="20">
        <v>1126508.49</v>
      </c>
      <c r="J113" s="20" t="s">
        <v>88</v>
      </c>
      <c r="K113" s="21">
        <v>45789.0</v>
      </c>
      <c r="L113" s="21">
        <v>45789.0</v>
      </c>
      <c r="M113" s="22"/>
      <c r="N113" s="23"/>
      <c r="O113" s="14">
        <v>45778.0</v>
      </c>
    </row>
    <row r="114" ht="15.0" customHeight="1">
      <c r="A114" s="84" t="s">
        <v>182</v>
      </c>
      <c r="B114" s="27" t="s">
        <v>37</v>
      </c>
      <c r="C114" s="40" t="s">
        <v>61</v>
      </c>
      <c r="D114" s="18"/>
      <c r="E114" s="31"/>
      <c r="F114" s="20"/>
      <c r="G114" s="20">
        <v>0.0</v>
      </c>
      <c r="H114" s="20"/>
      <c r="I114" s="20" t="s">
        <v>16</v>
      </c>
      <c r="J114" s="20" t="s">
        <v>88</v>
      </c>
      <c r="K114" s="49">
        <v>45778.0</v>
      </c>
      <c r="L114" s="49">
        <v>45778.0</v>
      </c>
      <c r="M114" s="22"/>
      <c r="N114" s="23"/>
      <c r="O114" s="14">
        <v>45778.0</v>
      </c>
    </row>
    <row r="115" ht="15.0" customHeight="1">
      <c r="A115" s="99">
        <v>45809.0</v>
      </c>
      <c r="B115" s="100"/>
      <c r="C115" s="101"/>
      <c r="D115" s="101"/>
      <c r="E115" s="102"/>
      <c r="F115" s="101"/>
      <c r="G115" s="101">
        <v>0.0</v>
      </c>
      <c r="H115" s="101"/>
      <c r="I115" s="101"/>
      <c r="J115" s="103"/>
      <c r="K115" s="104"/>
      <c r="L115" s="104"/>
      <c r="M115" s="105"/>
      <c r="N115" s="105"/>
      <c r="O115" s="14">
        <v>45778.0</v>
      </c>
    </row>
    <row r="116" ht="15.0" customHeight="1">
      <c r="A116" s="106" t="s">
        <v>17</v>
      </c>
      <c r="B116" s="27" t="s">
        <v>31</v>
      </c>
      <c r="C116" s="20" t="s">
        <v>32</v>
      </c>
      <c r="D116" s="18" t="s">
        <v>185</v>
      </c>
      <c r="E116" s="19">
        <v>45845.0</v>
      </c>
      <c r="F116" s="20"/>
      <c r="G116" s="20">
        <v>0.0</v>
      </c>
      <c r="H116" s="20"/>
      <c r="I116" s="20">
        <v>40000.0</v>
      </c>
      <c r="J116" s="24" t="s">
        <v>81</v>
      </c>
      <c r="K116" s="21">
        <v>45860.0</v>
      </c>
      <c r="L116" s="21">
        <v>45860.0</v>
      </c>
      <c r="M116" s="17"/>
      <c r="N116" s="23"/>
      <c r="O116" s="14">
        <v>45809.0</v>
      </c>
    </row>
    <row r="117" ht="15.0" customHeight="1">
      <c r="A117" s="106" t="s">
        <v>17</v>
      </c>
      <c r="B117" s="27" t="s">
        <v>34</v>
      </c>
      <c r="C117" s="20" t="s">
        <v>35</v>
      </c>
      <c r="D117" s="18" t="s">
        <v>186</v>
      </c>
      <c r="E117" s="19">
        <v>45809.0</v>
      </c>
      <c r="F117" s="20">
        <v>1045573.02</v>
      </c>
      <c r="G117" s="20">
        <v>219570.33419999998</v>
      </c>
      <c r="H117" s="20"/>
      <c r="I117" s="20">
        <v>1265143.3542</v>
      </c>
      <c r="J117" s="24" t="s">
        <v>81</v>
      </c>
      <c r="K117" s="21">
        <v>45825.0</v>
      </c>
      <c r="L117" s="21">
        <v>45825.0</v>
      </c>
      <c r="M117" s="25"/>
      <c r="N117" s="28"/>
      <c r="O117" s="14">
        <v>45809.0</v>
      </c>
    </row>
    <row r="118" ht="15.0" customHeight="1">
      <c r="A118" s="106" t="s">
        <v>17</v>
      </c>
      <c r="B118" s="27" t="s">
        <v>37</v>
      </c>
      <c r="C118" s="20" t="s">
        <v>37</v>
      </c>
      <c r="D118" s="18" t="s">
        <v>187</v>
      </c>
      <c r="E118" s="19">
        <v>45806.0</v>
      </c>
      <c r="F118" s="20">
        <v>36803.14</v>
      </c>
      <c r="G118" s="20">
        <v>9936.847800000001</v>
      </c>
      <c r="H118" s="20">
        <v>2397.7099999999996</v>
      </c>
      <c r="I118" s="20">
        <v>49137.6978</v>
      </c>
      <c r="J118" s="24" t="s">
        <v>51</v>
      </c>
      <c r="K118" s="21">
        <v>45814.0</v>
      </c>
      <c r="L118" s="21">
        <v>45814.0</v>
      </c>
      <c r="M118" s="29"/>
      <c r="N118" s="26"/>
      <c r="O118" s="14">
        <v>45809.0</v>
      </c>
    </row>
    <row r="119" ht="15.0" customHeight="1">
      <c r="A119" s="107" t="s">
        <v>17</v>
      </c>
      <c r="B119" s="55" t="s">
        <v>39</v>
      </c>
      <c r="C119" s="43" t="s">
        <v>35</v>
      </c>
      <c r="D119" s="43" t="s">
        <v>120</v>
      </c>
      <c r="E119" s="56"/>
      <c r="F119" s="43"/>
      <c r="G119" s="43"/>
      <c r="H119" s="43"/>
      <c r="I119" s="44">
        <v>1059864.4</v>
      </c>
      <c r="J119" s="24" t="s">
        <v>38</v>
      </c>
      <c r="K119" s="21">
        <v>45818.0</v>
      </c>
      <c r="L119" s="57">
        <v>45818.0</v>
      </c>
      <c r="M119" s="54"/>
      <c r="N119" s="59"/>
      <c r="O119" s="14">
        <v>45809.0</v>
      </c>
    </row>
    <row r="120" ht="15.0" customHeight="1">
      <c r="A120" s="106" t="s">
        <v>17</v>
      </c>
      <c r="B120" s="27" t="s">
        <v>41</v>
      </c>
      <c r="C120" s="20" t="s">
        <v>42</v>
      </c>
      <c r="D120" s="18" t="s">
        <v>188</v>
      </c>
      <c r="E120" s="19">
        <v>45814.0</v>
      </c>
      <c r="F120" s="20">
        <v>27480.0</v>
      </c>
      <c r="G120" s="20">
        <v>5770.8</v>
      </c>
      <c r="H120" s="20"/>
      <c r="I120" s="20">
        <v>33250.8</v>
      </c>
      <c r="J120" s="24" t="s">
        <v>81</v>
      </c>
      <c r="K120" s="21">
        <v>45827.0</v>
      </c>
      <c r="L120" s="21">
        <v>45827.0</v>
      </c>
      <c r="M120" s="25"/>
      <c r="N120" s="26"/>
      <c r="O120" s="14">
        <v>45809.0</v>
      </c>
    </row>
    <row r="121" ht="15.0" customHeight="1">
      <c r="A121" s="106" t="s">
        <v>17</v>
      </c>
      <c r="B121" s="27" t="s">
        <v>43</v>
      </c>
      <c r="C121" s="20" t="s">
        <v>44</v>
      </c>
      <c r="D121" s="18" t="s">
        <v>189</v>
      </c>
      <c r="E121" s="19">
        <v>45821.0</v>
      </c>
      <c r="F121" s="20">
        <v>86841.6</v>
      </c>
      <c r="G121" s="20">
        <v>19554.43</v>
      </c>
      <c r="H121" s="20">
        <v>2605.25</v>
      </c>
      <c r="I121" s="20">
        <v>109001.28</v>
      </c>
      <c r="J121" s="24" t="s">
        <v>38</v>
      </c>
      <c r="K121" s="21">
        <v>45833.0</v>
      </c>
      <c r="L121" s="21">
        <v>45832.0</v>
      </c>
      <c r="M121" s="25"/>
      <c r="N121" s="26"/>
      <c r="O121" s="14">
        <v>45809.0</v>
      </c>
    </row>
    <row r="122" ht="15.0" customHeight="1">
      <c r="A122" s="106" t="s">
        <v>108</v>
      </c>
      <c r="B122" s="27" t="s">
        <v>46</v>
      </c>
      <c r="C122" s="20" t="s">
        <v>47</v>
      </c>
      <c r="D122" s="18" t="s">
        <v>190</v>
      </c>
      <c r="E122" s="19">
        <v>45820.0</v>
      </c>
      <c r="F122" s="20"/>
      <c r="G122" s="20">
        <v>0.0</v>
      </c>
      <c r="H122" s="20">
        <v>487475.77</v>
      </c>
      <c r="I122" s="20">
        <v>487475.77</v>
      </c>
      <c r="J122" s="20" t="s">
        <v>81</v>
      </c>
      <c r="K122" s="21">
        <v>45827.0</v>
      </c>
      <c r="L122" s="21">
        <v>45827.0</v>
      </c>
      <c r="M122" s="22"/>
      <c r="N122" s="23"/>
      <c r="O122" s="14">
        <v>45809.0</v>
      </c>
    </row>
    <row r="123" ht="15.0" customHeight="1">
      <c r="A123" s="106" t="s">
        <v>108</v>
      </c>
      <c r="B123" s="27" t="s">
        <v>31</v>
      </c>
      <c r="C123" s="20" t="s">
        <v>32</v>
      </c>
      <c r="D123" s="18" t="s">
        <v>185</v>
      </c>
      <c r="E123" s="19">
        <v>45845.0</v>
      </c>
      <c r="F123" s="20"/>
      <c r="G123" s="20">
        <v>0.0</v>
      </c>
      <c r="H123" s="20"/>
      <c r="I123" s="20">
        <v>40000.0</v>
      </c>
      <c r="J123" s="20" t="s">
        <v>81</v>
      </c>
      <c r="K123" s="21">
        <v>45860.0</v>
      </c>
      <c r="L123" s="21">
        <v>45860.0</v>
      </c>
      <c r="M123" s="34"/>
      <c r="N123" s="23"/>
      <c r="O123" s="14">
        <v>45809.0</v>
      </c>
    </row>
    <row r="124" ht="15.0" customHeight="1">
      <c r="A124" s="106" t="s">
        <v>108</v>
      </c>
      <c r="B124" s="27" t="s">
        <v>34</v>
      </c>
      <c r="C124" s="20" t="s">
        <v>47</v>
      </c>
      <c r="D124" s="18" t="s">
        <v>191</v>
      </c>
      <c r="E124" s="19">
        <v>45811.0</v>
      </c>
      <c r="F124" s="20">
        <v>2338348.56</v>
      </c>
      <c r="G124" s="20">
        <v>491053.1976</v>
      </c>
      <c r="H124" s="20">
        <v>0.0</v>
      </c>
      <c r="I124" s="20">
        <v>2829401.7576</v>
      </c>
      <c r="J124" s="20" t="s">
        <v>81</v>
      </c>
      <c r="K124" s="21">
        <v>45814.0</v>
      </c>
      <c r="L124" s="21">
        <v>45814.0</v>
      </c>
      <c r="M124" s="22"/>
      <c r="N124" s="23"/>
      <c r="O124" s="14">
        <v>45809.0</v>
      </c>
    </row>
    <row r="125" ht="15.0" customHeight="1">
      <c r="A125" s="106" t="s">
        <v>108</v>
      </c>
      <c r="B125" s="27" t="s">
        <v>50</v>
      </c>
      <c r="C125" s="20" t="s">
        <v>47</v>
      </c>
      <c r="D125" s="18" t="s">
        <v>190</v>
      </c>
      <c r="E125" s="19">
        <v>45820.0</v>
      </c>
      <c r="F125" s="20">
        <v>0.0</v>
      </c>
      <c r="G125" s="20">
        <v>0.0</v>
      </c>
      <c r="H125" s="20"/>
      <c r="I125" s="20">
        <v>0.0</v>
      </c>
      <c r="J125" s="20" t="s">
        <v>81</v>
      </c>
      <c r="K125" s="49">
        <v>45809.0</v>
      </c>
      <c r="L125" s="49">
        <v>45809.0</v>
      </c>
      <c r="M125" s="22"/>
      <c r="N125" s="23"/>
      <c r="O125" s="14">
        <v>45809.0</v>
      </c>
    </row>
    <row r="126" ht="15.0" customHeight="1">
      <c r="A126" s="106" t="s">
        <v>108</v>
      </c>
      <c r="B126" s="27" t="s">
        <v>37</v>
      </c>
      <c r="C126" s="20" t="s">
        <v>37</v>
      </c>
      <c r="D126" s="18" t="s">
        <v>192</v>
      </c>
      <c r="E126" s="19">
        <v>45811.0</v>
      </c>
      <c r="F126" s="20">
        <v>391330.07</v>
      </c>
      <c r="G126" s="20">
        <v>105659.11890000002</v>
      </c>
      <c r="H126" s="20">
        <v>35662.98</v>
      </c>
      <c r="I126" s="20">
        <v>532652.1689</v>
      </c>
      <c r="J126" s="20" t="s">
        <v>51</v>
      </c>
      <c r="K126" s="21">
        <v>45819.0</v>
      </c>
      <c r="L126" s="21">
        <v>45819.0</v>
      </c>
      <c r="M126" s="22"/>
      <c r="N126" s="23"/>
      <c r="O126" s="14">
        <v>45809.0</v>
      </c>
    </row>
    <row r="127" ht="15.0" customHeight="1">
      <c r="A127" s="106" t="s">
        <v>108</v>
      </c>
      <c r="B127" s="27" t="s">
        <v>37</v>
      </c>
      <c r="C127" s="20" t="s">
        <v>37</v>
      </c>
      <c r="D127" s="18" t="s">
        <v>193</v>
      </c>
      <c r="E127" s="19">
        <v>45807.0</v>
      </c>
      <c r="F127" s="20">
        <v>11331.47</v>
      </c>
      <c r="G127" s="20">
        <v>3059.4969</v>
      </c>
      <c r="H127" s="20">
        <v>7.710000000000036</v>
      </c>
      <c r="I127" s="20">
        <v>14398.676899999999</v>
      </c>
      <c r="J127" s="20" t="s">
        <v>51</v>
      </c>
      <c r="K127" s="21">
        <v>45817.0</v>
      </c>
      <c r="L127" s="21">
        <v>45817.0</v>
      </c>
      <c r="M127" s="22"/>
      <c r="N127" s="23"/>
      <c r="O127" s="14">
        <v>45809.0</v>
      </c>
    </row>
    <row r="128" ht="15.0" customHeight="1">
      <c r="A128" s="106" t="s">
        <v>108</v>
      </c>
      <c r="B128" s="27" t="s">
        <v>37</v>
      </c>
      <c r="C128" s="20" t="s">
        <v>37</v>
      </c>
      <c r="D128" s="18" t="s">
        <v>194</v>
      </c>
      <c r="E128" s="19">
        <v>45807.0</v>
      </c>
      <c r="F128" s="20">
        <v>107630.0</v>
      </c>
      <c r="G128" s="20">
        <v>29060.100000000002</v>
      </c>
      <c r="H128" s="20">
        <v>9043.4</v>
      </c>
      <c r="I128" s="20">
        <v>145733.5</v>
      </c>
      <c r="J128" s="20" t="s">
        <v>51</v>
      </c>
      <c r="K128" s="21">
        <v>45817.0</v>
      </c>
      <c r="L128" s="21">
        <v>45817.0</v>
      </c>
      <c r="M128" s="22"/>
      <c r="N128" s="23"/>
      <c r="O128" s="14">
        <v>45809.0</v>
      </c>
    </row>
    <row r="129" ht="15.0" customHeight="1">
      <c r="A129" s="106" t="s">
        <v>108</v>
      </c>
      <c r="B129" s="27" t="s">
        <v>39</v>
      </c>
      <c r="C129" s="20" t="s">
        <v>47</v>
      </c>
      <c r="D129" s="18" t="s">
        <v>190</v>
      </c>
      <c r="E129" s="19">
        <v>45820.0</v>
      </c>
      <c r="F129" s="20">
        <v>0.0</v>
      </c>
      <c r="G129" s="20">
        <v>0.0</v>
      </c>
      <c r="H129" s="20">
        <v>515040.5</v>
      </c>
      <c r="I129" s="20">
        <v>515040.5</v>
      </c>
      <c r="J129" s="20" t="s">
        <v>81</v>
      </c>
      <c r="K129" s="21">
        <v>45827.0</v>
      </c>
      <c r="L129" s="21">
        <v>45827.0</v>
      </c>
      <c r="M129" s="22"/>
      <c r="N129" s="23"/>
      <c r="O129" s="14">
        <v>45809.0</v>
      </c>
    </row>
    <row r="130" ht="15.0" customHeight="1">
      <c r="A130" s="106" t="s">
        <v>108</v>
      </c>
      <c r="B130" s="27" t="s">
        <v>41</v>
      </c>
      <c r="C130" s="20" t="s">
        <v>42</v>
      </c>
      <c r="D130" s="18" t="s">
        <v>188</v>
      </c>
      <c r="E130" s="19">
        <v>45814.0</v>
      </c>
      <c r="F130" s="20">
        <v>34220.0</v>
      </c>
      <c r="G130" s="20">
        <v>7186.2</v>
      </c>
      <c r="H130" s="20"/>
      <c r="I130" s="20">
        <v>41406.2</v>
      </c>
      <c r="J130" s="24" t="s">
        <v>81</v>
      </c>
      <c r="K130" s="21">
        <v>45827.0</v>
      </c>
      <c r="L130" s="21">
        <v>45827.0</v>
      </c>
      <c r="M130" s="22"/>
      <c r="N130" s="23"/>
      <c r="O130" s="14">
        <v>45809.0</v>
      </c>
    </row>
    <row r="131" ht="15.0" customHeight="1">
      <c r="A131" s="106" t="s">
        <v>108</v>
      </c>
      <c r="B131" s="27" t="s">
        <v>43</v>
      </c>
      <c r="C131" s="20" t="s">
        <v>53</v>
      </c>
      <c r="D131" s="18" t="s">
        <v>195</v>
      </c>
      <c r="E131" s="19">
        <v>45798.0</v>
      </c>
      <c r="F131" s="20">
        <v>136229.0</v>
      </c>
      <c r="G131" s="20">
        <v>28608.09</v>
      </c>
      <c r="H131" s="20">
        <v>10898.32</v>
      </c>
      <c r="I131" s="20">
        <v>175735.41</v>
      </c>
      <c r="J131" s="20" t="s">
        <v>86</v>
      </c>
      <c r="K131" s="21">
        <v>45812.0</v>
      </c>
      <c r="L131" s="21">
        <v>45812.0</v>
      </c>
      <c r="M131" s="22"/>
      <c r="N131" s="18"/>
      <c r="O131" s="14">
        <v>45809.0</v>
      </c>
    </row>
    <row r="132" ht="15.0" customHeight="1">
      <c r="A132" s="106" t="s">
        <v>127</v>
      </c>
      <c r="B132" s="27" t="s">
        <v>34</v>
      </c>
      <c r="C132" s="40" t="s">
        <v>61</v>
      </c>
      <c r="D132" s="18" t="s">
        <v>196</v>
      </c>
      <c r="E132" s="19"/>
      <c r="F132" s="20">
        <v>540862.0</v>
      </c>
      <c r="G132" s="20">
        <v>113581.01999999999</v>
      </c>
      <c r="H132" s="20"/>
      <c r="I132" s="20">
        <v>654443.02</v>
      </c>
      <c r="J132" s="24" t="s">
        <v>21</v>
      </c>
      <c r="K132" s="21">
        <v>45818.0</v>
      </c>
      <c r="L132" s="21">
        <v>45818.0</v>
      </c>
      <c r="M132" s="25"/>
      <c r="N132" s="26"/>
      <c r="O132" s="14">
        <v>45809.0</v>
      </c>
    </row>
    <row r="133" ht="15.0" customHeight="1">
      <c r="A133" s="106" t="s">
        <v>127</v>
      </c>
      <c r="B133" s="27" t="s">
        <v>34</v>
      </c>
      <c r="C133" s="40" t="s">
        <v>61</v>
      </c>
      <c r="D133" s="18" t="s">
        <v>197</v>
      </c>
      <c r="E133" s="19">
        <v>45827.0</v>
      </c>
      <c r="F133" s="20">
        <v>58413.1</v>
      </c>
      <c r="G133" s="20">
        <v>12266.750999999998</v>
      </c>
      <c r="H133" s="20"/>
      <c r="I133" s="20">
        <v>70679.851</v>
      </c>
      <c r="J133" s="24" t="s">
        <v>81</v>
      </c>
      <c r="K133" s="21">
        <v>45835.0</v>
      </c>
      <c r="L133" s="21">
        <v>45835.0</v>
      </c>
      <c r="M133" s="25"/>
      <c r="N133" s="26"/>
      <c r="O133" s="14">
        <v>45809.0</v>
      </c>
    </row>
    <row r="134" ht="15.0" customHeight="1">
      <c r="A134" s="106" t="s">
        <v>127</v>
      </c>
      <c r="B134" s="27" t="s">
        <v>39</v>
      </c>
      <c r="C134" s="40" t="s">
        <v>61</v>
      </c>
      <c r="D134" s="18" t="s">
        <v>196</v>
      </c>
      <c r="E134" s="19"/>
      <c r="F134" s="20"/>
      <c r="G134" s="20">
        <v>0.0</v>
      </c>
      <c r="H134" s="20">
        <v>282173.06</v>
      </c>
      <c r="I134" s="20">
        <v>282173.06</v>
      </c>
      <c r="J134" s="24" t="s">
        <v>21</v>
      </c>
      <c r="K134" s="21">
        <v>45818.0</v>
      </c>
      <c r="L134" s="21">
        <v>45818.0</v>
      </c>
      <c r="M134" s="23"/>
      <c r="N134" s="23"/>
      <c r="O134" s="14">
        <v>45809.0</v>
      </c>
    </row>
    <row r="135" ht="15.0" customHeight="1">
      <c r="A135" s="106" t="s">
        <v>127</v>
      </c>
      <c r="B135" s="27" t="s">
        <v>41</v>
      </c>
      <c r="C135" s="40" t="s">
        <v>42</v>
      </c>
      <c r="D135" s="18" t="s">
        <v>188</v>
      </c>
      <c r="E135" s="19">
        <v>45814.0</v>
      </c>
      <c r="F135" s="20">
        <v>27480.0</v>
      </c>
      <c r="G135" s="20">
        <v>5770.8</v>
      </c>
      <c r="H135" s="20"/>
      <c r="I135" s="20">
        <v>33250.8</v>
      </c>
      <c r="J135" s="24" t="s">
        <v>81</v>
      </c>
      <c r="K135" s="21">
        <v>45827.0</v>
      </c>
      <c r="L135" s="21">
        <v>45827.0</v>
      </c>
      <c r="M135" s="25"/>
      <c r="N135" s="26"/>
      <c r="O135" s="14">
        <v>45809.0</v>
      </c>
    </row>
    <row r="136" ht="15.0" customHeight="1">
      <c r="A136" s="106" t="s">
        <v>127</v>
      </c>
      <c r="B136" s="27" t="s">
        <v>43</v>
      </c>
      <c r="C136" s="20" t="s">
        <v>53</v>
      </c>
      <c r="D136" s="90" t="s">
        <v>155</v>
      </c>
      <c r="E136" s="91">
        <v>45798.0</v>
      </c>
      <c r="F136" s="92">
        <v>33675.0</v>
      </c>
      <c r="G136" s="92">
        <v>7071.75</v>
      </c>
      <c r="H136" s="92">
        <v>2694.0</v>
      </c>
      <c r="I136" s="92">
        <v>2999.25</v>
      </c>
      <c r="J136" s="24" t="s">
        <v>51</v>
      </c>
      <c r="K136" s="21">
        <v>45812.0</v>
      </c>
      <c r="L136" s="21">
        <v>45812.0</v>
      </c>
      <c r="M136" s="20" t="s">
        <v>156</v>
      </c>
      <c r="N136" s="28" t="s">
        <v>157</v>
      </c>
      <c r="O136" s="14">
        <v>45809.0</v>
      </c>
    </row>
    <row r="137" ht="15.0" customHeight="1">
      <c r="A137" s="106" t="s">
        <v>127</v>
      </c>
      <c r="B137" s="16" t="s">
        <v>73</v>
      </c>
      <c r="C137" s="20" t="s">
        <v>74</v>
      </c>
      <c r="D137" s="18" t="s">
        <v>198</v>
      </c>
      <c r="E137" s="19">
        <v>45831.0</v>
      </c>
      <c r="F137" s="20">
        <v>38096.0</v>
      </c>
      <c r="G137" s="20">
        <v>8000.16</v>
      </c>
      <c r="H137" s="20"/>
      <c r="I137" s="20">
        <v>46096.16</v>
      </c>
      <c r="J137" s="20" t="s">
        <v>81</v>
      </c>
      <c r="K137" s="21">
        <v>45835.0</v>
      </c>
      <c r="L137" s="21">
        <v>45835.0</v>
      </c>
      <c r="M137" s="29"/>
      <c r="N137" s="23"/>
      <c r="O137" s="14">
        <v>45809.0</v>
      </c>
    </row>
    <row r="138" ht="15.0" customHeight="1">
      <c r="A138" s="106" t="s">
        <v>127</v>
      </c>
      <c r="B138" s="16" t="s">
        <v>31</v>
      </c>
      <c r="C138" s="20" t="s">
        <v>32</v>
      </c>
      <c r="D138" s="18" t="s">
        <v>185</v>
      </c>
      <c r="E138" s="19">
        <v>45845.0</v>
      </c>
      <c r="F138" s="20"/>
      <c r="G138" s="20"/>
      <c r="H138" s="20"/>
      <c r="I138" s="20">
        <v>40000.0</v>
      </c>
      <c r="J138" s="20" t="s">
        <v>81</v>
      </c>
      <c r="K138" s="21">
        <v>45860.0</v>
      </c>
      <c r="L138" s="21">
        <v>45860.0</v>
      </c>
      <c r="M138" s="23"/>
      <c r="N138" s="23"/>
      <c r="O138" s="14">
        <v>45809.0</v>
      </c>
    </row>
    <row r="139" ht="15.0" customHeight="1">
      <c r="A139" s="106" t="s">
        <v>60</v>
      </c>
      <c r="B139" s="27" t="s">
        <v>34</v>
      </c>
      <c r="C139" s="40" t="s">
        <v>61</v>
      </c>
      <c r="D139" s="18" t="s">
        <v>199</v>
      </c>
      <c r="E139" s="19"/>
      <c r="F139" s="20">
        <v>250000.0</v>
      </c>
      <c r="G139" s="20">
        <v>52500.0</v>
      </c>
      <c r="H139" s="20"/>
      <c r="I139" s="20">
        <v>302500.0</v>
      </c>
      <c r="J139" s="20" t="s">
        <v>21</v>
      </c>
      <c r="K139" s="21">
        <v>45818.0</v>
      </c>
      <c r="L139" s="21">
        <v>45818.0</v>
      </c>
      <c r="M139" s="29"/>
      <c r="N139" s="23"/>
      <c r="O139" s="14">
        <v>45809.0</v>
      </c>
    </row>
    <row r="140" ht="15.0" customHeight="1">
      <c r="A140" s="106" t="s">
        <v>60</v>
      </c>
      <c r="B140" s="27" t="s">
        <v>39</v>
      </c>
      <c r="C140" s="40" t="s">
        <v>61</v>
      </c>
      <c r="D140" s="18" t="s">
        <v>199</v>
      </c>
      <c r="E140" s="19"/>
      <c r="F140" s="20"/>
      <c r="G140" s="20">
        <v>0.0</v>
      </c>
      <c r="H140" s="20">
        <v>15641.52</v>
      </c>
      <c r="I140" s="20">
        <v>15641.52</v>
      </c>
      <c r="J140" s="20" t="s">
        <v>21</v>
      </c>
      <c r="K140" s="21">
        <v>45818.0</v>
      </c>
      <c r="L140" s="21">
        <v>45818.0</v>
      </c>
      <c r="M140" s="29"/>
      <c r="N140" s="23"/>
      <c r="O140" s="14">
        <v>45809.0</v>
      </c>
    </row>
    <row r="141" ht="15.0" customHeight="1">
      <c r="A141" s="106" t="s">
        <v>63</v>
      </c>
      <c r="B141" s="27" t="s">
        <v>34</v>
      </c>
      <c r="C141" s="40" t="s">
        <v>61</v>
      </c>
      <c r="D141" s="18" t="s">
        <v>200</v>
      </c>
      <c r="E141" s="19"/>
      <c r="F141" s="20">
        <v>386330.0</v>
      </c>
      <c r="G141" s="20">
        <v>81129.3</v>
      </c>
      <c r="H141" s="20"/>
      <c r="I141" s="20">
        <v>467459.3</v>
      </c>
      <c r="J141" s="20" t="s">
        <v>21</v>
      </c>
      <c r="K141" s="21">
        <v>45818.0</v>
      </c>
      <c r="L141" s="21">
        <v>45818.0</v>
      </c>
      <c r="M141" s="22"/>
      <c r="N141" s="23"/>
      <c r="O141" s="14">
        <v>45809.0</v>
      </c>
    </row>
    <row r="142" ht="15.0" customHeight="1">
      <c r="A142" s="106" t="s">
        <v>63</v>
      </c>
      <c r="B142" s="27" t="s">
        <v>37</v>
      </c>
      <c r="C142" s="40" t="s">
        <v>61</v>
      </c>
      <c r="D142" s="18" t="s">
        <v>200</v>
      </c>
      <c r="E142" s="19"/>
      <c r="F142" s="20">
        <v>1683.48</v>
      </c>
      <c r="G142" s="20">
        <v>353.5308</v>
      </c>
      <c r="H142" s="20"/>
      <c r="I142" s="20">
        <v>2037.0108</v>
      </c>
      <c r="J142" s="20" t="s">
        <v>21</v>
      </c>
      <c r="K142" s="21">
        <v>45818.0</v>
      </c>
      <c r="L142" s="21">
        <v>45818.0</v>
      </c>
      <c r="M142" s="29"/>
      <c r="N142" s="23"/>
      <c r="O142" s="14">
        <v>45809.0</v>
      </c>
    </row>
    <row r="143" ht="15.0" customHeight="1">
      <c r="A143" s="106" t="s">
        <v>63</v>
      </c>
      <c r="B143" s="27" t="s">
        <v>39</v>
      </c>
      <c r="C143" s="40" t="s">
        <v>61</v>
      </c>
      <c r="D143" s="18" t="s">
        <v>200</v>
      </c>
      <c r="E143" s="19"/>
      <c r="F143" s="20"/>
      <c r="G143" s="20">
        <v>0.0</v>
      </c>
      <c r="H143" s="20">
        <v>43170.6</v>
      </c>
      <c r="I143" s="20">
        <v>43170.6</v>
      </c>
      <c r="J143" s="20" t="s">
        <v>21</v>
      </c>
      <c r="K143" s="21">
        <v>45818.0</v>
      </c>
      <c r="L143" s="21">
        <v>45818.0</v>
      </c>
      <c r="M143" s="22"/>
      <c r="N143" s="23"/>
      <c r="O143" s="14">
        <v>45809.0</v>
      </c>
    </row>
    <row r="144" ht="15.0" customHeight="1">
      <c r="A144" s="106" t="s">
        <v>63</v>
      </c>
      <c r="B144" s="16" t="s">
        <v>34</v>
      </c>
      <c r="C144" s="40" t="s">
        <v>61</v>
      </c>
      <c r="D144" s="18" t="s">
        <v>201</v>
      </c>
      <c r="E144" s="19">
        <v>45827.0</v>
      </c>
      <c r="F144" s="20">
        <v>41723.64</v>
      </c>
      <c r="G144" s="20">
        <v>8761.964399999999</v>
      </c>
      <c r="H144" s="20"/>
      <c r="I144" s="20">
        <v>50485.6044</v>
      </c>
      <c r="J144" s="20" t="s">
        <v>81</v>
      </c>
      <c r="K144" s="21">
        <v>45835.0</v>
      </c>
      <c r="L144" s="21">
        <v>45835.0</v>
      </c>
      <c r="M144" s="22"/>
      <c r="N144" s="23"/>
      <c r="O144" s="14">
        <v>45809.0</v>
      </c>
    </row>
    <row r="145" ht="15.0" customHeight="1">
      <c r="A145" s="106" t="s">
        <v>22</v>
      </c>
      <c r="B145" s="27" t="s">
        <v>31</v>
      </c>
      <c r="C145" s="20" t="s">
        <v>32</v>
      </c>
      <c r="D145" s="18" t="s">
        <v>185</v>
      </c>
      <c r="E145" s="19">
        <v>45845.0</v>
      </c>
      <c r="F145" s="20"/>
      <c r="G145" s="20">
        <v>0.0</v>
      </c>
      <c r="H145" s="20"/>
      <c r="I145" s="20">
        <v>40000.0</v>
      </c>
      <c r="J145" s="20" t="s">
        <v>81</v>
      </c>
      <c r="K145" s="21">
        <v>45860.0</v>
      </c>
      <c r="L145" s="21">
        <v>45860.0</v>
      </c>
      <c r="M145" s="34"/>
      <c r="N145" s="23"/>
      <c r="O145" s="14">
        <v>45809.0</v>
      </c>
    </row>
    <row r="146" ht="15.0" customHeight="1">
      <c r="A146" s="106" t="s">
        <v>22</v>
      </c>
      <c r="B146" s="27" t="s">
        <v>34</v>
      </c>
      <c r="C146" s="20" t="s">
        <v>68</v>
      </c>
      <c r="D146" s="18" t="s">
        <v>202</v>
      </c>
      <c r="E146" s="19">
        <v>45813.0</v>
      </c>
      <c r="F146" s="20">
        <v>1201308.39</v>
      </c>
      <c r="G146" s="20">
        <v>252274.76189999998</v>
      </c>
      <c r="H146" s="20">
        <v>60065.42</v>
      </c>
      <c r="I146" s="20">
        <v>1513648.5718999999</v>
      </c>
      <c r="J146" s="20" t="s">
        <v>81</v>
      </c>
      <c r="K146" s="21">
        <v>45821.0</v>
      </c>
      <c r="L146" s="57">
        <v>45821.0</v>
      </c>
      <c r="M146" s="22"/>
      <c r="N146" s="23"/>
      <c r="O146" s="14">
        <v>45809.0</v>
      </c>
    </row>
    <row r="147" ht="15.0" customHeight="1">
      <c r="A147" s="106" t="s">
        <v>22</v>
      </c>
      <c r="B147" s="27" t="s">
        <v>37</v>
      </c>
      <c r="C147" s="20" t="s">
        <v>37</v>
      </c>
      <c r="D147" s="18" t="s">
        <v>203</v>
      </c>
      <c r="E147" s="19">
        <v>45804.0</v>
      </c>
      <c r="F147" s="20">
        <v>84071.59</v>
      </c>
      <c r="G147" s="20">
        <v>22699.3293</v>
      </c>
      <c r="H147" s="20">
        <v>6832.93</v>
      </c>
      <c r="I147" s="20">
        <v>113603.8493</v>
      </c>
      <c r="J147" s="20" t="s">
        <v>51</v>
      </c>
      <c r="K147" s="21">
        <v>45812.0</v>
      </c>
      <c r="L147" s="21">
        <v>45814.0</v>
      </c>
      <c r="M147" s="29"/>
      <c r="N147" s="23"/>
      <c r="O147" s="14">
        <v>45809.0</v>
      </c>
    </row>
    <row r="148" ht="15.0" customHeight="1">
      <c r="A148" s="106" t="s">
        <v>22</v>
      </c>
      <c r="B148" s="27" t="s">
        <v>39</v>
      </c>
      <c r="C148" s="20" t="s">
        <v>68</v>
      </c>
      <c r="D148" s="18" t="s">
        <v>204</v>
      </c>
      <c r="E148" s="19">
        <v>45813.0</v>
      </c>
      <c r="F148" s="20">
        <v>1912694.22</v>
      </c>
      <c r="G148" s="20">
        <v>401665.7862</v>
      </c>
      <c r="H148" s="20">
        <v>95634.71</v>
      </c>
      <c r="I148" s="20">
        <v>2409994.7161999997</v>
      </c>
      <c r="J148" s="20" t="s">
        <v>21</v>
      </c>
      <c r="K148" s="21">
        <v>45818.0</v>
      </c>
      <c r="L148" s="21">
        <v>45818.0</v>
      </c>
      <c r="M148" s="22"/>
      <c r="N148" s="23"/>
      <c r="O148" s="14">
        <v>45809.0</v>
      </c>
    </row>
    <row r="149" ht="15.0" customHeight="1">
      <c r="A149" s="106" t="s">
        <v>22</v>
      </c>
      <c r="B149" s="27" t="s">
        <v>41</v>
      </c>
      <c r="C149" s="20" t="s">
        <v>42</v>
      </c>
      <c r="D149" s="18" t="s">
        <v>188</v>
      </c>
      <c r="E149" s="19">
        <v>45814.0</v>
      </c>
      <c r="F149" s="20">
        <v>27480.0</v>
      </c>
      <c r="G149" s="20">
        <v>5770.8</v>
      </c>
      <c r="H149" s="20"/>
      <c r="I149" s="20">
        <v>33250.8</v>
      </c>
      <c r="J149" s="24" t="s">
        <v>81</v>
      </c>
      <c r="K149" s="21">
        <v>45827.0</v>
      </c>
      <c r="L149" s="21">
        <v>45827.0</v>
      </c>
      <c r="M149" s="22"/>
      <c r="N149" s="23"/>
      <c r="O149" s="14">
        <v>45809.0</v>
      </c>
    </row>
    <row r="150" ht="15.0" customHeight="1">
      <c r="A150" s="106" t="s">
        <v>22</v>
      </c>
      <c r="B150" s="27" t="s">
        <v>43</v>
      </c>
      <c r="C150" s="20" t="s">
        <v>53</v>
      </c>
      <c r="D150" s="18" t="s">
        <v>205</v>
      </c>
      <c r="E150" s="19">
        <v>45798.0</v>
      </c>
      <c r="F150" s="20">
        <v>53247.94</v>
      </c>
      <c r="G150" s="20">
        <v>11182.0674</v>
      </c>
      <c r="H150" s="20">
        <v>4259.84</v>
      </c>
      <c r="I150" s="20">
        <v>68689.8474</v>
      </c>
      <c r="J150" s="20" t="s">
        <v>86</v>
      </c>
      <c r="K150" s="21">
        <v>45814.0</v>
      </c>
      <c r="L150" s="21">
        <v>45814.0</v>
      </c>
      <c r="M150" s="20"/>
      <c r="N150" s="23"/>
      <c r="O150" s="14">
        <v>45809.0</v>
      </c>
    </row>
    <row r="151" ht="15.0" customHeight="1">
      <c r="A151" s="107" t="s">
        <v>24</v>
      </c>
      <c r="B151" s="27" t="s">
        <v>34</v>
      </c>
      <c r="C151" s="20" t="s">
        <v>35</v>
      </c>
      <c r="D151" s="18" t="s">
        <v>206</v>
      </c>
      <c r="E151" s="19">
        <v>45809.0</v>
      </c>
      <c r="F151" s="20">
        <v>1533834.0</v>
      </c>
      <c r="G151" s="20">
        <v>322105.14</v>
      </c>
      <c r="H151" s="20"/>
      <c r="I151" s="20">
        <v>1855939.1400000001</v>
      </c>
      <c r="J151" s="20" t="s">
        <v>81</v>
      </c>
      <c r="K151" s="21">
        <v>45821.0</v>
      </c>
      <c r="L151" s="57">
        <v>45821.0</v>
      </c>
      <c r="M151" s="22"/>
      <c r="N151" s="23"/>
      <c r="O151" s="14">
        <v>45809.0</v>
      </c>
    </row>
    <row r="152" ht="15.0" customHeight="1">
      <c r="A152" s="107" t="s">
        <v>24</v>
      </c>
      <c r="B152" s="55" t="s">
        <v>39</v>
      </c>
      <c r="C152" s="43" t="s">
        <v>35</v>
      </c>
      <c r="D152" s="43" t="s">
        <v>120</v>
      </c>
      <c r="E152" s="19"/>
      <c r="F152" s="43"/>
      <c r="G152" s="43"/>
      <c r="H152" s="43"/>
      <c r="I152" s="46">
        <v>529932.2</v>
      </c>
      <c r="J152" s="24" t="s">
        <v>21</v>
      </c>
      <c r="K152" s="21">
        <v>45818.0</v>
      </c>
      <c r="L152" s="21">
        <v>45818.0</v>
      </c>
      <c r="M152" s="60"/>
      <c r="N152" s="59"/>
      <c r="O152" s="14">
        <v>45809.0</v>
      </c>
    </row>
    <row r="153" ht="15.0" customHeight="1">
      <c r="A153" s="108" t="s">
        <v>71</v>
      </c>
      <c r="B153" s="27" t="s">
        <v>34</v>
      </c>
      <c r="C153" s="20" t="s">
        <v>35</v>
      </c>
      <c r="D153" s="18" t="s">
        <v>207</v>
      </c>
      <c r="E153" s="19">
        <v>45809.0</v>
      </c>
      <c r="F153" s="20">
        <v>887700.0</v>
      </c>
      <c r="G153" s="20">
        <v>186417.0</v>
      </c>
      <c r="H153" s="20"/>
      <c r="I153" s="20">
        <v>1074117.0</v>
      </c>
      <c r="J153" s="24" t="s">
        <v>81</v>
      </c>
      <c r="K153" s="21">
        <v>45825.0</v>
      </c>
      <c r="L153" s="21">
        <v>45825.0</v>
      </c>
      <c r="M153" s="22"/>
      <c r="N153" s="26"/>
      <c r="O153" s="14">
        <v>45809.0</v>
      </c>
    </row>
    <row r="154" ht="15.0" customHeight="1">
      <c r="A154" s="107" t="s">
        <v>71</v>
      </c>
      <c r="B154" s="55" t="s">
        <v>39</v>
      </c>
      <c r="C154" s="43" t="s">
        <v>35</v>
      </c>
      <c r="D154" s="43" t="s">
        <v>120</v>
      </c>
      <c r="E154" s="56"/>
      <c r="F154" s="43"/>
      <c r="G154" s="44">
        <v>0.0</v>
      </c>
      <c r="H154" s="43"/>
      <c r="I154" s="46">
        <v>529932.2</v>
      </c>
      <c r="J154" s="43" t="s">
        <v>81</v>
      </c>
      <c r="K154" s="21">
        <v>45818.0</v>
      </c>
      <c r="L154" s="21">
        <v>45818.0</v>
      </c>
      <c r="M154" s="54"/>
      <c r="N154" s="59"/>
      <c r="O154" s="14">
        <v>45809.0</v>
      </c>
    </row>
    <row r="155" ht="15.0" customHeight="1">
      <c r="A155" s="106" t="s">
        <v>54</v>
      </c>
      <c r="B155" s="27" t="s">
        <v>31</v>
      </c>
      <c r="C155" s="20" t="s">
        <v>32</v>
      </c>
      <c r="D155" s="18" t="s">
        <v>185</v>
      </c>
      <c r="E155" s="19">
        <v>45845.0</v>
      </c>
      <c r="F155" s="20"/>
      <c r="G155" s="20">
        <v>0.0</v>
      </c>
      <c r="H155" s="20"/>
      <c r="I155" s="20">
        <v>40000.0</v>
      </c>
      <c r="J155" s="24" t="s">
        <v>81</v>
      </c>
      <c r="K155" s="21">
        <v>45860.0</v>
      </c>
      <c r="L155" s="21">
        <v>45860.0</v>
      </c>
      <c r="M155" s="25"/>
      <c r="N155" s="26"/>
      <c r="O155" s="14">
        <v>45809.0</v>
      </c>
    </row>
    <row r="156" ht="15.0" customHeight="1">
      <c r="A156" s="106" t="s">
        <v>54</v>
      </c>
      <c r="B156" s="27" t="s">
        <v>34</v>
      </c>
      <c r="C156" s="20" t="s">
        <v>55</v>
      </c>
      <c r="D156" s="18" t="s">
        <v>208</v>
      </c>
      <c r="E156" s="19">
        <v>45825.0</v>
      </c>
      <c r="F156" s="20">
        <v>667200.0</v>
      </c>
      <c r="G156" s="20">
        <v>140112.0</v>
      </c>
      <c r="H156" s="20"/>
      <c r="I156" s="20">
        <v>807312.0</v>
      </c>
      <c r="J156" s="24" t="s">
        <v>81</v>
      </c>
      <c r="K156" s="21">
        <v>45821.0</v>
      </c>
      <c r="L156" s="21">
        <v>45821.0</v>
      </c>
      <c r="M156" s="25"/>
      <c r="N156" s="26"/>
      <c r="O156" s="14">
        <v>45809.0</v>
      </c>
    </row>
    <row r="157" ht="15.0" customHeight="1">
      <c r="A157" s="106" t="s">
        <v>54</v>
      </c>
      <c r="B157" s="27" t="s">
        <v>37</v>
      </c>
      <c r="C157" s="20" t="s">
        <v>37</v>
      </c>
      <c r="D157" s="18" t="s">
        <v>209</v>
      </c>
      <c r="E157" s="19">
        <v>45806.0</v>
      </c>
      <c r="F157" s="20">
        <v>17278.71</v>
      </c>
      <c r="G157" s="20">
        <v>4665.2517</v>
      </c>
      <c r="H157" s="20">
        <v>565.7400000000002</v>
      </c>
      <c r="I157" s="20">
        <v>22509.7017</v>
      </c>
      <c r="J157" s="24" t="s">
        <v>51</v>
      </c>
      <c r="K157" s="21">
        <v>45814.0</v>
      </c>
      <c r="L157" s="21">
        <v>45814.0</v>
      </c>
      <c r="M157" s="25"/>
      <c r="N157" s="26"/>
      <c r="O157" s="14">
        <v>45809.0</v>
      </c>
    </row>
    <row r="158" ht="15.0" customHeight="1">
      <c r="A158" s="106" t="s">
        <v>54</v>
      </c>
      <c r="B158" s="27" t="s">
        <v>37</v>
      </c>
      <c r="C158" s="20" t="s">
        <v>37</v>
      </c>
      <c r="D158" s="18" t="s">
        <v>210</v>
      </c>
      <c r="E158" s="19">
        <v>45806.0</v>
      </c>
      <c r="F158" s="20">
        <v>90456.29</v>
      </c>
      <c r="G158" s="20">
        <v>24423.1983</v>
      </c>
      <c r="H158" s="20">
        <v>7431.99</v>
      </c>
      <c r="I158" s="20">
        <v>122311.4783</v>
      </c>
      <c r="J158" s="24" t="s">
        <v>51</v>
      </c>
      <c r="K158" s="21">
        <v>45814.0</v>
      </c>
      <c r="L158" s="21">
        <v>45814.0</v>
      </c>
      <c r="M158" s="23"/>
      <c r="N158" s="23"/>
      <c r="O158" s="14">
        <v>45809.0</v>
      </c>
    </row>
    <row r="159" ht="15.0" customHeight="1">
      <c r="A159" s="106" t="s">
        <v>54</v>
      </c>
      <c r="B159" s="27" t="s">
        <v>39</v>
      </c>
      <c r="C159" s="20" t="s">
        <v>57</v>
      </c>
      <c r="D159" s="18" t="s">
        <v>58</v>
      </c>
      <c r="E159" s="19"/>
      <c r="F159" s="20"/>
      <c r="G159" s="20">
        <v>0.0</v>
      </c>
      <c r="H159" s="20">
        <v>240529.21</v>
      </c>
      <c r="I159" s="20">
        <v>240529.21</v>
      </c>
      <c r="J159" s="24" t="s">
        <v>87</v>
      </c>
      <c r="K159" s="21">
        <v>45817.0</v>
      </c>
      <c r="L159" s="21">
        <v>45817.0</v>
      </c>
      <c r="M159" s="23"/>
      <c r="N159" s="23"/>
      <c r="O159" s="14">
        <v>45809.0</v>
      </c>
    </row>
    <row r="160" ht="15.0" customHeight="1">
      <c r="A160" s="106" t="s">
        <v>54</v>
      </c>
      <c r="B160" s="27" t="s">
        <v>41</v>
      </c>
      <c r="C160" s="20" t="s">
        <v>42</v>
      </c>
      <c r="D160" s="18" t="s">
        <v>188</v>
      </c>
      <c r="E160" s="19">
        <v>45814.0</v>
      </c>
      <c r="F160" s="20">
        <v>27480.0</v>
      </c>
      <c r="G160" s="20">
        <v>5770.8</v>
      </c>
      <c r="H160" s="20"/>
      <c r="I160" s="20">
        <v>33250.8</v>
      </c>
      <c r="J160" s="24" t="s">
        <v>81</v>
      </c>
      <c r="K160" s="21">
        <v>45827.0</v>
      </c>
      <c r="L160" s="21">
        <v>45827.0</v>
      </c>
      <c r="M160" s="23"/>
      <c r="N160" s="23"/>
      <c r="O160" s="14">
        <v>45809.0</v>
      </c>
    </row>
    <row r="161" ht="15.0" customHeight="1">
      <c r="A161" s="106" t="s">
        <v>54</v>
      </c>
      <c r="B161" s="27" t="s">
        <v>43</v>
      </c>
      <c r="C161" s="20" t="s">
        <v>53</v>
      </c>
      <c r="D161" s="18" t="s">
        <v>211</v>
      </c>
      <c r="E161" s="19">
        <v>45798.0</v>
      </c>
      <c r="F161" s="20">
        <v>96500.0</v>
      </c>
      <c r="G161" s="20">
        <v>20265.0</v>
      </c>
      <c r="H161" s="20">
        <v>7720.0</v>
      </c>
      <c r="I161" s="20">
        <v>124485.0</v>
      </c>
      <c r="J161" s="24" t="s">
        <v>38</v>
      </c>
      <c r="K161" s="21">
        <v>45812.0</v>
      </c>
      <c r="L161" s="21">
        <v>45812.0</v>
      </c>
      <c r="M161" s="23"/>
      <c r="N161" s="23"/>
      <c r="O161" s="14">
        <v>45809.0</v>
      </c>
    </row>
    <row r="162" ht="15.0" customHeight="1">
      <c r="A162" s="106" t="s">
        <v>24</v>
      </c>
      <c r="B162" s="27" t="s">
        <v>37</v>
      </c>
      <c r="C162" s="20" t="s">
        <v>37</v>
      </c>
      <c r="D162" s="18" t="s">
        <v>212</v>
      </c>
      <c r="E162" s="19">
        <v>45806.0</v>
      </c>
      <c r="F162" s="20">
        <v>52854.86</v>
      </c>
      <c r="G162" s="20">
        <v>14270.8122</v>
      </c>
      <c r="H162" s="20">
        <v>3903.86</v>
      </c>
      <c r="I162" s="20">
        <v>71029.5322</v>
      </c>
      <c r="J162" s="20" t="s">
        <v>51</v>
      </c>
      <c r="K162" s="21">
        <v>45814.0</v>
      </c>
      <c r="L162" s="21">
        <v>45814.0</v>
      </c>
      <c r="M162" s="29"/>
      <c r="N162" s="23"/>
      <c r="O162" s="14">
        <v>45809.0</v>
      </c>
    </row>
    <row r="163" ht="15.0" customHeight="1">
      <c r="A163" s="106" t="s">
        <v>24</v>
      </c>
      <c r="B163" s="27" t="s">
        <v>41</v>
      </c>
      <c r="C163" s="20" t="s">
        <v>42</v>
      </c>
      <c r="D163" s="18" t="s">
        <v>188</v>
      </c>
      <c r="E163" s="19">
        <v>45814.0</v>
      </c>
      <c r="F163" s="20">
        <v>27480.0</v>
      </c>
      <c r="G163" s="20">
        <v>5770.8</v>
      </c>
      <c r="H163" s="20"/>
      <c r="I163" s="20">
        <v>33250.8</v>
      </c>
      <c r="J163" s="24" t="s">
        <v>81</v>
      </c>
      <c r="K163" s="21">
        <v>45827.0</v>
      </c>
      <c r="L163" s="21">
        <v>45827.0</v>
      </c>
      <c r="M163" s="22"/>
      <c r="N163" s="23"/>
      <c r="O163" s="14">
        <v>45809.0</v>
      </c>
    </row>
    <row r="164" ht="15.0" customHeight="1">
      <c r="A164" s="106" t="s">
        <v>24</v>
      </c>
      <c r="B164" s="16" t="s">
        <v>31</v>
      </c>
      <c r="C164" s="20" t="s">
        <v>32</v>
      </c>
      <c r="D164" s="18" t="s">
        <v>185</v>
      </c>
      <c r="E164" s="19">
        <v>45845.0</v>
      </c>
      <c r="F164" s="20"/>
      <c r="G164" s="20"/>
      <c r="H164" s="20"/>
      <c r="I164" s="20">
        <v>40000.0</v>
      </c>
      <c r="J164" s="24" t="s">
        <v>81</v>
      </c>
      <c r="K164" s="21">
        <v>45860.0</v>
      </c>
      <c r="L164" s="21">
        <v>45860.0</v>
      </c>
      <c r="M164" s="23"/>
      <c r="N164" s="23"/>
      <c r="O164" s="14">
        <v>45809.0</v>
      </c>
    </row>
    <row r="165" ht="15.0" customHeight="1">
      <c r="A165" s="106" t="s">
        <v>71</v>
      </c>
      <c r="B165" s="27" t="s">
        <v>37</v>
      </c>
      <c r="C165" s="20" t="s">
        <v>37</v>
      </c>
      <c r="D165" s="18" t="s">
        <v>58</v>
      </c>
      <c r="E165" s="109">
        <v>45806.0</v>
      </c>
      <c r="F165" s="32"/>
      <c r="G165" s="32"/>
      <c r="H165" s="32"/>
      <c r="I165" s="20">
        <v>47453.67</v>
      </c>
      <c r="J165" s="24" t="s">
        <v>51</v>
      </c>
      <c r="K165" s="21">
        <v>45814.0</v>
      </c>
      <c r="L165" s="21">
        <v>45814.0</v>
      </c>
      <c r="M165" s="25"/>
      <c r="N165" s="26"/>
      <c r="O165" s="14">
        <v>45809.0</v>
      </c>
    </row>
    <row r="166" ht="15.0" customHeight="1">
      <c r="A166" s="106" t="s">
        <v>71</v>
      </c>
      <c r="B166" s="27" t="s">
        <v>41</v>
      </c>
      <c r="C166" s="20" t="s">
        <v>42</v>
      </c>
      <c r="D166" s="18" t="s">
        <v>188</v>
      </c>
      <c r="E166" s="19">
        <v>45814.0</v>
      </c>
      <c r="F166" s="20">
        <v>27480.0</v>
      </c>
      <c r="G166" s="20">
        <v>5770.8</v>
      </c>
      <c r="H166" s="20"/>
      <c r="I166" s="20">
        <v>33250.8</v>
      </c>
      <c r="J166" s="24" t="s">
        <v>81</v>
      </c>
      <c r="K166" s="21">
        <v>45827.0</v>
      </c>
      <c r="L166" s="21">
        <v>45827.0</v>
      </c>
      <c r="M166" s="25"/>
      <c r="N166" s="26"/>
      <c r="O166" s="14">
        <v>45809.0</v>
      </c>
    </row>
    <row r="167" ht="15.0" customHeight="1">
      <c r="A167" s="106" t="s">
        <v>71</v>
      </c>
      <c r="B167" s="16" t="s">
        <v>73</v>
      </c>
      <c r="C167" s="20" t="s">
        <v>74</v>
      </c>
      <c r="D167" s="18" t="s">
        <v>213</v>
      </c>
      <c r="E167" s="19"/>
      <c r="F167" s="20">
        <v>38096.0</v>
      </c>
      <c r="G167" s="20">
        <v>8000.16</v>
      </c>
      <c r="H167" s="20"/>
      <c r="I167" s="20">
        <v>46096.16</v>
      </c>
      <c r="J167" s="24" t="s">
        <v>81</v>
      </c>
      <c r="K167" s="21">
        <v>45821.0</v>
      </c>
      <c r="L167" s="57">
        <v>45821.0</v>
      </c>
      <c r="M167" s="23"/>
      <c r="N167" s="23"/>
      <c r="O167" s="14">
        <v>45809.0</v>
      </c>
    </row>
    <row r="168" ht="15.0" customHeight="1">
      <c r="A168" s="106" t="s">
        <v>122</v>
      </c>
      <c r="B168" s="27" t="s">
        <v>34</v>
      </c>
      <c r="C168" s="40" t="s">
        <v>61</v>
      </c>
      <c r="D168" s="18" t="s">
        <v>214</v>
      </c>
      <c r="E168" s="19"/>
      <c r="F168" s="20">
        <v>500000.0</v>
      </c>
      <c r="G168" s="20">
        <v>105000.0</v>
      </c>
      <c r="H168" s="20"/>
      <c r="I168" s="20">
        <v>605000.0</v>
      </c>
      <c r="J168" s="24" t="s">
        <v>21</v>
      </c>
      <c r="K168" s="21">
        <v>45818.0</v>
      </c>
      <c r="L168" s="21">
        <v>45818.0</v>
      </c>
      <c r="M168" s="25"/>
      <c r="N168" s="26"/>
      <c r="O168" s="14">
        <v>45809.0</v>
      </c>
    </row>
    <row r="169" ht="15.0" customHeight="1">
      <c r="A169" s="106" t="s">
        <v>122</v>
      </c>
      <c r="B169" s="27" t="s">
        <v>34</v>
      </c>
      <c r="C169" s="40" t="s">
        <v>61</v>
      </c>
      <c r="D169" s="18" t="s">
        <v>215</v>
      </c>
      <c r="E169" s="19">
        <v>45827.0</v>
      </c>
      <c r="F169" s="20">
        <v>54000.0</v>
      </c>
      <c r="G169" s="20">
        <v>11340.0</v>
      </c>
      <c r="H169" s="20"/>
      <c r="I169" s="20">
        <v>65340.0</v>
      </c>
      <c r="J169" s="24" t="s">
        <v>81</v>
      </c>
      <c r="K169" s="21">
        <v>45835.0</v>
      </c>
      <c r="L169" s="21">
        <v>45835.0</v>
      </c>
      <c r="M169" s="25"/>
      <c r="N169" s="26"/>
      <c r="O169" s="14">
        <v>45809.0</v>
      </c>
    </row>
    <row r="170" ht="15.0" customHeight="1">
      <c r="A170" s="106" t="s">
        <v>122</v>
      </c>
      <c r="B170" s="16" t="s">
        <v>37</v>
      </c>
      <c r="C170" s="40" t="s">
        <v>61</v>
      </c>
      <c r="D170" s="18" t="s">
        <v>214</v>
      </c>
      <c r="E170" s="19"/>
      <c r="F170" s="20">
        <v>4208.6900000000005</v>
      </c>
      <c r="G170" s="20">
        <v>883.8249000000001</v>
      </c>
      <c r="H170" s="20"/>
      <c r="I170" s="20">
        <v>5092.5149</v>
      </c>
      <c r="J170" s="24" t="s">
        <v>21</v>
      </c>
      <c r="K170" s="21">
        <v>45818.0</v>
      </c>
      <c r="L170" s="21">
        <v>45818.0</v>
      </c>
      <c r="M170" s="23"/>
      <c r="N170" s="23"/>
      <c r="O170" s="14">
        <v>45809.0</v>
      </c>
    </row>
    <row r="171" ht="15.0" customHeight="1">
      <c r="A171" s="106" t="s">
        <v>122</v>
      </c>
      <c r="B171" s="27" t="s">
        <v>39</v>
      </c>
      <c r="C171" s="40" t="s">
        <v>61</v>
      </c>
      <c r="D171" s="18" t="s">
        <v>214</v>
      </c>
      <c r="E171" s="19"/>
      <c r="F171" s="20"/>
      <c r="G171" s="20">
        <v>0.0</v>
      </c>
      <c r="H171" s="20">
        <v>270285.5</v>
      </c>
      <c r="I171" s="20">
        <v>270285.5</v>
      </c>
      <c r="J171" s="24" t="s">
        <v>21</v>
      </c>
      <c r="K171" s="21">
        <v>45818.0</v>
      </c>
      <c r="L171" s="21">
        <v>45818.0</v>
      </c>
      <c r="M171" s="23"/>
      <c r="N171" s="23"/>
      <c r="O171" s="14">
        <v>45809.0</v>
      </c>
    </row>
    <row r="172" ht="15.0" customHeight="1">
      <c r="A172" s="110">
        <v>45839.0</v>
      </c>
      <c r="B172" s="111"/>
      <c r="C172" s="112"/>
      <c r="D172" s="112"/>
      <c r="E172" s="113"/>
      <c r="F172" s="112"/>
      <c r="G172" s="112">
        <v>0.0</v>
      </c>
      <c r="H172" s="112"/>
      <c r="I172" s="112"/>
      <c r="J172" s="114"/>
      <c r="K172" s="115">
        <v>45839.0</v>
      </c>
      <c r="L172" s="115">
        <v>45839.0</v>
      </c>
      <c r="M172" s="116"/>
      <c r="N172" s="116"/>
      <c r="O172" s="14">
        <v>45839.0</v>
      </c>
    </row>
    <row r="173" ht="15.0" customHeight="1">
      <c r="A173" s="117" t="s">
        <v>17</v>
      </c>
      <c r="B173" s="27" t="s">
        <v>31</v>
      </c>
      <c r="C173" s="20" t="s">
        <v>32</v>
      </c>
      <c r="D173" s="18" t="s">
        <v>216</v>
      </c>
      <c r="E173" s="19">
        <v>45845.0</v>
      </c>
      <c r="F173" s="20"/>
      <c r="G173" s="20">
        <v>0.0</v>
      </c>
      <c r="H173" s="20"/>
      <c r="I173" s="20">
        <v>40000.0</v>
      </c>
      <c r="J173" s="24" t="s">
        <v>81</v>
      </c>
      <c r="K173" s="21">
        <v>45860.0</v>
      </c>
      <c r="L173" s="21">
        <v>45860.0</v>
      </c>
      <c r="M173" s="17"/>
      <c r="N173" s="23"/>
      <c r="O173" s="14">
        <v>45839.0</v>
      </c>
    </row>
    <row r="174" ht="15.0" customHeight="1">
      <c r="A174" s="117" t="s">
        <v>17</v>
      </c>
      <c r="B174" s="27" t="s">
        <v>34</v>
      </c>
      <c r="C174" s="20" t="s">
        <v>35</v>
      </c>
      <c r="D174" s="18" t="s">
        <v>217</v>
      </c>
      <c r="E174" s="19">
        <v>45839.0</v>
      </c>
      <c r="F174" s="20">
        <v>1294257.87</v>
      </c>
      <c r="G174" s="20">
        <v>271794.15270000004</v>
      </c>
      <c r="H174" s="20"/>
      <c r="I174" s="20">
        <v>1566052.0227</v>
      </c>
      <c r="J174" s="24" t="s">
        <v>81</v>
      </c>
      <c r="K174" s="21">
        <v>45848.0</v>
      </c>
      <c r="L174" s="21">
        <v>45848.0</v>
      </c>
      <c r="M174" s="25"/>
      <c r="N174" s="28"/>
      <c r="O174" s="14">
        <v>45839.0</v>
      </c>
    </row>
    <row r="175" ht="15.0" customHeight="1">
      <c r="A175" s="117" t="s">
        <v>17</v>
      </c>
      <c r="B175" s="27" t="s">
        <v>37</v>
      </c>
      <c r="C175" s="20" t="s">
        <v>37</v>
      </c>
      <c r="D175" s="18" t="s">
        <v>218</v>
      </c>
      <c r="E175" s="19">
        <v>45838.0</v>
      </c>
      <c r="F175" s="20">
        <v>38904.29</v>
      </c>
      <c r="G175" s="20">
        <v>10504.16</v>
      </c>
      <c r="H175" s="20">
        <v>3650.3899999999994</v>
      </c>
      <c r="I175" s="20">
        <v>53058.84</v>
      </c>
      <c r="J175" s="24" t="s">
        <v>38</v>
      </c>
      <c r="K175" s="21">
        <v>45846.0</v>
      </c>
      <c r="L175" s="21">
        <v>45846.0</v>
      </c>
      <c r="M175" s="29"/>
      <c r="N175" s="26"/>
      <c r="O175" s="14">
        <v>45839.0</v>
      </c>
    </row>
    <row r="176" ht="15.0" customHeight="1">
      <c r="A176" s="117" t="s">
        <v>17</v>
      </c>
      <c r="B176" s="27" t="s">
        <v>39</v>
      </c>
      <c r="C176" s="20" t="s">
        <v>35</v>
      </c>
      <c r="D176" s="18" t="s">
        <v>58</v>
      </c>
      <c r="E176" s="19"/>
      <c r="F176" s="20"/>
      <c r="G176" s="20"/>
      <c r="H176" s="20"/>
      <c r="I176" s="20">
        <v>964404.3</v>
      </c>
      <c r="J176" s="24" t="s">
        <v>81</v>
      </c>
      <c r="K176" s="21">
        <v>45848.0</v>
      </c>
      <c r="L176" s="21">
        <v>45848.0</v>
      </c>
      <c r="M176" s="23"/>
      <c r="N176" s="23"/>
      <c r="O176" s="14">
        <v>45839.0</v>
      </c>
    </row>
    <row r="177" ht="15.0" customHeight="1">
      <c r="A177" s="117" t="s">
        <v>17</v>
      </c>
      <c r="B177" s="27" t="s">
        <v>41</v>
      </c>
      <c r="C177" s="20" t="s">
        <v>42</v>
      </c>
      <c r="D177" s="118" t="s">
        <v>219</v>
      </c>
      <c r="E177" s="19">
        <v>45847.0</v>
      </c>
      <c r="F177" s="20">
        <v>30230.0</v>
      </c>
      <c r="G177" s="20">
        <v>6348.3</v>
      </c>
      <c r="H177" s="20"/>
      <c r="I177" s="20">
        <v>36578.3</v>
      </c>
      <c r="J177" s="24" t="s">
        <v>81</v>
      </c>
      <c r="K177" s="21">
        <v>45860.0</v>
      </c>
      <c r="L177" s="21">
        <v>45860.0</v>
      </c>
      <c r="M177" s="25"/>
      <c r="N177" s="26"/>
      <c r="O177" s="14">
        <v>45839.0</v>
      </c>
    </row>
    <row r="178" ht="15.0" customHeight="1">
      <c r="A178" s="117" t="s">
        <v>17</v>
      </c>
      <c r="B178" s="27" t="s">
        <v>43</v>
      </c>
      <c r="C178" s="20" t="s">
        <v>44</v>
      </c>
      <c r="D178" s="119" t="s">
        <v>220</v>
      </c>
      <c r="E178" s="19">
        <v>45851.0</v>
      </c>
      <c r="F178" s="20">
        <v>91008.0</v>
      </c>
      <c r="G178" s="20">
        <v>20492.59</v>
      </c>
      <c r="H178" s="20">
        <v>2730.24</v>
      </c>
      <c r="I178" s="20">
        <v>114230.83</v>
      </c>
      <c r="J178" s="24" t="s">
        <v>38</v>
      </c>
      <c r="K178" s="21">
        <v>45863.0</v>
      </c>
      <c r="L178" s="21">
        <v>45863.0</v>
      </c>
      <c r="M178" s="25"/>
      <c r="N178" s="26"/>
      <c r="O178" s="14">
        <v>45839.0</v>
      </c>
    </row>
    <row r="179" ht="15.0" customHeight="1">
      <c r="A179" s="117" t="s">
        <v>45</v>
      </c>
      <c r="B179" s="27" t="s">
        <v>46</v>
      </c>
      <c r="C179" s="20" t="s">
        <v>47</v>
      </c>
      <c r="D179" s="18" t="s">
        <v>221</v>
      </c>
      <c r="E179" s="19">
        <v>45848.0</v>
      </c>
      <c r="F179" s="20"/>
      <c r="G179" s="20">
        <v>0.0</v>
      </c>
      <c r="H179" s="20">
        <v>514117.53</v>
      </c>
      <c r="I179" s="20">
        <v>514117.53</v>
      </c>
      <c r="J179" s="20" t="s">
        <v>81</v>
      </c>
      <c r="K179" s="21">
        <v>45860.0</v>
      </c>
      <c r="L179" s="21">
        <v>45860.0</v>
      </c>
      <c r="M179" s="22"/>
      <c r="N179" s="23"/>
      <c r="O179" s="14">
        <v>45839.0</v>
      </c>
    </row>
    <row r="180" ht="15.0" customHeight="1">
      <c r="A180" s="117" t="s">
        <v>45</v>
      </c>
      <c r="B180" s="27" t="s">
        <v>31</v>
      </c>
      <c r="C180" s="20" t="s">
        <v>32</v>
      </c>
      <c r="D180" s="120" t="s">
        <v>222</v>
      </c>
      <c r="E180" s="19">
        <v>45845.0</v>
      </c>
      <c r="F180" s="20"/>
      <c r="G180" s="20">
        <v>0.0</v>
      </c>
      <c r="H180" s="20"/>
      <c r="I180" s="20">
        <v>55000.0</v>
      </c>
      <c r="J180" s="24" t="s">
        <v>81</v>
      </c>
      <c r="K180" s="21">
        <v>45860.0</v>
      </c>
      <c r="L180" s="21">
        <v>45860.0</v>
      </c>
      <c r="M180" s="23"/>
      <c r="N180" s="23"/>
      <c r="O180" s="14">
        <v>45839.0</v>
      </c>
    </row>
    <row r="181" ht="15.0" customHeight="1">
      <c r="A181" s="117" t="s">
        <v>45</v>
      </c>
      <c r="B181" s="27" t="s">
        <v>31</v>
      </c>
      <c r="C181" s="20" t="s">
        <v>32</v>
      </c>
      <c r="D181" s="18" t="s">
        <v>216</v>
      </c>
      <c r="E181" s="19">
        <v>45845.0</v>
      </c>
      <c r="F181" s="20"/>
      <c r="G181" s="20">
        <v>0.0</v>
      </c>
      <c r="H181" s="20"/>
      <c r="I181" s="20">
        <v>40000.0</v>
      </c>
      <c r="J181" s="20" t="s">
        <v>81</v>
      </c>
      <c r="K181" s="21">
        <v>45860.0</v>
      </c>
      <c r="L181" s="21">
        <v>45860.0</v>
      </c>
      <c r="M181" s="34"/>
      <c r="N181" s="23"/>
      <c r="O181" s="14">
        <v>45839.0</v>
      </c>
    </row>
    <row r="182" ht="15.0" customHeight="1">
      <c r="A182" s="117" t="s">
        <v>45</v>
      </c>
      <c r="B182" s="27" t="s">
        <v>34</v>
      </c>
      <c r="C182" s="20" t="s">
        <v>47</v>
      </c>
      <c r="D182" s="18" t="s">
        <v>223</v>
      </c>
      <c r="E182" s="19">
        <v>45846.0</v>
      </c>
      <c r="F182" s="20">
        <v>6375000.0</v>
      </c>
      <c r="G182" s="20">
        <v>1338750.0</v>
      </c>
      <c r="H182" s="20"/>
      <c r="I182" s="20">
        <v>7713750.0</v>
      </c>
      <c r="J182" s="20" t="s">
        <v>81</v>
      </c>
      <c r="K182" s="21">
        <v>45849.0</v>
      </c>
      <c r="L182" s="21">
        <v>45848.0</v>
      </c>
      <c r="M182" s="22"/>
      <c r="N182" s="23"/>
      <c r="O182" s="14">
        <v>45839.0</v>
      </c>
    </row>
    <row r="183" ht="15.0" customHeight="1">
      <c r="A183" s="117" t="s">
        <v>45</v>
      </c>
      <c r="B183" s="27" t="s">
        <v>50</v>
      </c>
      <c r="C183" s="20" t="s">
        <v>47</v>
      </c>
      <c r="D183" s="18" t="s">
        <v>221</v>
      </c>
      <c r="E183" s="19">
        <v>45848.0</v>
      </c>
      <c r="F183" s="20">
        <v>401304.17</v>
      </c>
      <c r="G183" s="20">
        <v>108352.1259</v>
      </c>
      <c r="H183" s="20">
        <v>25242.03</v>
      </c>
      <c r="I183" s="20">
        <v>534898.3258999999</v>
      </c>
      <c r="J183" s="20" t="s">
        <v>81</v>
      </c>
      <c r="K183" s="21">
        <v>45860.0</v>
      </c>
      <c r="L183" s="21">
        <v>45860.0</v>
      </c>
      <c r="M183" s="22"/>
      <c r="N183" s="23"/>
      <c r="O183" s="14">
        <v>45839.0</v>
      </c>
    </row>
    <row r="184" ht="15.0" customHeight="1">
      <c r="A184" s="117" t="s">
        <v>45</v>
      </c>
      <c r="B184" s="27" t="s">
        <v>37</v>
      </c>
      <c r="C184" s="20" t="s">
        <v>37</v>
      </c>
      <c r="D184" s="18" t="s">
        <v>224</v>
      </c>
      <c r="E184" s="19">
        <v>45839.0</v>
      </c>
      <c r="F184" s="20">
        <v>12233.15</v>
      </c>
      <c r="G184" s="20">
        <v>3302.95</v>
      </c>
      <c r="H184" s="20">
        <v>1147.83</v>
      </c>
      <c r="I184" s="20">
        <v>16683.93</v>
      </c>
      <c r="J184" s="20" t="s">
        <v>38</v>
      </c>
      <c r="K184" s="21">
        <v>45848.0</v>
      </c>
      <c r="L184" s="21">
        <v>45848.0</v>
      </c>
      <c r="M184" s="22"/>
      <c r="N184" s="23"/>
      <c r="O184" s="14">
        <v>45839.0</v>
      </c>
    </row>
    <row r="185" ht="15.0" customHeight="1">
      <c r="A185" s="117" t="s">
        <v>45</v>
      </c>
      <c r="B185" s="27" t="s">
        <v>37</v>
      </c>
      <c r="C185" s="20" t="s">
        <v>37</v>
      </c>
      <c r="D185" s="18" t="s">
        <v>225</v>
      </c>
      <c r="E185" s="19">
        <v>45839.0</v>
      </c>
      <c r="F185" s="20">
        <v>109617.29</v>
      </c>
      <c r="G185" s="20">
        <v>29596.67</v>
      </c>
      <c r="H185" s="20">
        <v>10285.39</v>
      </c>
      <c r="I185" s="20">
        <v>149499.34999999998</v>
      </c>
      <c r="J185" s="20" t="s">
        <v>38</v>
      </c>
      <c r="K185" s="21">
        <v>45848.0</v>
      </c>
      <c r="L185" s="21">
        <v>45848.0</v>
      </c>
      <c r="M185" s="22"/>
      <c r="N185" s="23"/>
      <c r="O185" s="14">
        <v>45839.0</v>
      </c>
    </row>
    <row r="186" ht="15.0" customHeight="1">
      <c r="A186" s="117" t="s">
        <v>45</v>
      </c>
      <c r="B186" s="27" t="s">
        <v>37</v>
      </c>
      <c r="C186" s="20" t="s">
        <v>37</v>
      </c>
      <c r="D186" s="90" t="s">
        <v>226</v>
      </c>
      <c r="E186" s="19">
        <v>45842.0</v>
      </c>
      <c r="F186" s="20">
        <v>518920.99</v>
      </c>
      <c r="G186" s="20">
        <v>140108.6673</v>
      </c>
      <c r="H186" s="20">
        <v>48690.36</v>
      </c>
      <c r="I186" s="20">
        <v>707720.0173</v>
      </c>
      <c r="J186" s="20" t="s">
        <v>38</v>
      </c>
      <c r="K186" s="21">
        <v>45853.0</v>
      </c>
      <c r="L186" s="21">
        <v>45854.0</v>
      </c>
      <c r="M186" s="22"/>
      <c r="N186" s="23"/>
      <c r="O186" s="14">
        <v>45839.0</v>
      </c>
    </row>
    <row r="187" ht="15.0" customHeight="1">
      <c r="A187" s="117" t="s">
        <v>45</v>
      </c>
      <c r="B187" s="27" t="s">
        <v>39</v>
      </c>
      <c r="C187" s="20" t="s">
        <v>47</v>
      </c>
      <c r="D187" s="18" t="s">
        <v>221</v>
      </c>
      <c r="E187" s="19">
        <v>45848.0</v>
      </c>
      <c r="F187" s="20"/>
      <c r="G187" s="20">
        <v>0.0</v>
      </c>
      <c r="H187" s="20">
        <v>515040.5</v>
      </c>
      <c r="I187" s="20">
        <v>515040.5</v>
      </c>
      <c r="J187" s="20" t="s">
        <v>81</v>
      </c>
      <c r="K187" s="21">
        <v>45860.0</v>
      </c>
      <c r="L187" s="21">
        <v>45860.0</v>
      </c>
      <c r="M187" s="22"/>
      <c r="N187" s="23"/>
      <c r="O187" s="14">
        <v>45839.0</v>
      </c>
    </row>
    <row r="188" ht="15.0" customHeight="1">
      <c r="A188" s="117" t="s">
        <v>45</v>
      </c>
      <c r="B188" s="27" t="s">
        <v>41</v>
      </c>
      <c r="C188" s="20" t="s">
        <v>42</v>
      </c>
      <c r="D188" s="118" t="s">
        <v>219</v>
      </c>
      <c r="E188" s="19">
        <v>45847.0</v>
      </c>
      <c r="F188" s="20">
        <v>37650.0</v>
      </c>
      <c r="G188" s="20">
        <v>7906.5</v>
      </c>
      <c r="H188" s="20"/>
      <c r="I188" s="20">
        <v>45556.5</v>
      </c>
      <c r="J188" s="24" t="s">
        <v>81</v>
      </c>
      <c r="K188" s="21">
        <v>45860.0</v>
      </c>
      <c r="L188" s="21">
        <v>45860.0</v>
      </c>
      <c r="M188" s="22"/>
      <c r="N188" s="23"/>
      <c r="O188" s="14">
        <v>45839.0</v>
      </c>
    </row>
    <row r="189" ht="15.0" customHeight="1">
      <c r="A189" s="117" t="s">
        <v>45</v>
      </c>
      <c r="B189" s="27" t="s">
        <v>43</v>
      </c>
      <c r="C189" s="20" t="s">
        <v>53</v>
      </c>
      <c r="D189" s="18" t="s">
        <v>227</v>
      </c>
      <c r="E189" s="19">
        <v>45826.0</v>
      </c>
      <c r="F189" s="20">
        <v>142084.0</v>
      </c>
      <c r="G189" s="20">
        <v>29837.64</v>
      </c>
      <c r="H189" s="20">
        <v>11366.720000000001</v>
      </c>
      <c r="I189" s="20">
        <v>183288.36000000002</v>
      </c>
      <c r="J189" s="20" t="s">
        <v>86</v>
      </c>
      <c r="K189" s="21">
        <v>45841.0</v>
      </c>
      <c r="L189" s="21">
        <v>45841.0</v>
      </c>
      <c r="M189" s="22"/>
      <c r="N189" s="18"/>
      <c r="O189" s="14">
        <v>45839.0</v>
      </c>
    </row>
    <row r="190" ht="15.0" customHeight="1">
      <c r="A190" s="117" t="s">
        <v>45</v>
      </c>
      <c r="B190" s="16" t="s">
        <v>28</v>
      </c>
      <c r="C190" s="40" t="s">
        <v>228</v>
      </c>
      <c r="D190" s="18" t="s">
        <v>229</v>
      </c>
      <c r="E190" s="19">
        <v>45838.0</v>
      </c>
      <c r="F190" s="20"/>
      <c r="G190" s="20">
        <v>0.0</v>
      </c>
      <c r="H190" s="20"/>
      <c r="I190" s="20">
        <v>198000.0</v>
      </c>
      <c r="J190" s="20" t="s">
        <v>88</v>
      </c>
      <c r="K190" s="21">
        <v>45860.0</v>
      </c>
      <c r="L190" s="21">
        <v>45860.0</v>
      </c>
      <c r="M190" s="22"/>
      <c r="N190" s="23"/>
      <c r="O190" s="14">
        <v>45839.0</v>
      </c>
    </row>
    <row r="191" ht="15.0" customHeight="1">
      <c r="A191" s="117" t="s">
        <v>54</v>
      </c>
      <c r="B191" s="27" t="s">
        <v>31</v>
      </c>
      <c r="C191" s="20" t="s">
        <v>32</v>
      </c>
      <c r="D191" s="120" t="s">
        <v>222</v>
      </c>
      <c r="E191" s="19">
        <v>45845.0</v>
      </c>
      <c r="F191" s="20"/>
      <c r="G191" s="20">
        <v>0.0</v>
      </c>
      <c r="H191" s="20"/>
      <c r="I191" s="20">
        <v>55000.0</v>
      </c>
      <c r="J191" s="24" t="s">
        <v>81</v>
      </c>
      <c r="K191" s="21">
        <v>45860.0</v>
      </c>
      <c r="L191" s="21">
        <v>45860.0</v>
      </c>
      <c r="M191" s="25"/>
      <c r="N191" s="26"/>
      <c r="O191" s="14">
        <v>45839.0</v>
      </c>
    </row>
    <row r="192" ht="15.0" customHeight="1">
      <c r="A192" s="117" t="s">
        <v>54</v>
      </c>
      <c r="B192" s="27" t="s">
        <v>31</v>
      </c>
      <c r="C192" s="20" t="s">
        <v>32</v>
      </c>
      <c r="D192" s="18" t="s">
        <v>216</v>
      </c>
      <c r="E192" s="19">
        <v>45845.0</v>
      </c>
      <c r="F192" s="20"/>
      <c r="G192" s="20">
        <v>0.0</v>
      </c>
      <c r="H192" s="20"/>
      <c r="I192" s="20">
        <v>40000.0</v>
      </c>
      <c r="J192" s="24" t="s">
        <v>81</v>
      </c>
      <c r="K192" s="21">
        <v>45860.0</v>
      </c>
      <c r="L192" s="21">
        <v>45860.0</v>
      </c>
      <c r="M192" s="25"/>
      <c r="N192" s="26"/>
      <c r="O192" s="14">
        <v>45839.0</v>
      </c>
    </row>
    <row r="193" ht="15.0" customHeight="1">
      <c r="A193" s="117" t="s">
        <v>54</v>
      </c>
      <c r="B193" s="27" t="s">
        <v>34</v>
      </c>
      <c r="C193" s="20" t="s">
        <v>55</v>
      </c>
      <c r="D193" s="18" t="s">
        <v>230</v>
      </c>
      <c r="E193" s="19">
        <v>45848.0</v>
      </c>
      <c r="F193" s="20">
        <v>667200.0</v>
      </c>
      <c r="G193" s="20">
        <v>140112.0</v>
      </c>
      <c r="H193" s="20"/>
      <c r="I193" s="20">
        <v>807312.0</v>
      </c>
      <c r="J193" s="24" t="s">
        <v>81</v>
      </c>
      <c r="K193" s="21">
        <v>45848.0</v>
      </c>
      <c r="L193" s="21">
        <v>45848.0</v>
      </c>
      <c r="M193" s="25"/>
      <c r="N193" s="26"/>
      <c r="O193" s="14">
        <v>45839.0</v>
      </c>
    </row>
    <row r="194" ht="15.0" customHeight="1">
      <c r="A194" s="117" t="s">
        <v>54</v>
      </c>
      <c r="B194" s="27" t="s">
        <v>37</v>
      </c>
      <c r="C194" s="20" t="s">
        <v>37</v>
      </c>
      <c r="D194" s="18" t="s">
        <v>231</v>
      </c>
      <c r="E194" s="19">
        <v>45838.0</v>
      </c>
      <c r="F194" s="20">
        <v>95503.32</v>
      </c>
      <c r="G194" s="20">
        <v>25785.9</v>
      </c>
      <c r="H194" s="20">
        <v>8961.080000000002</v>
      </c>
      <c r="I194" s="20">
        <v>130250.3</v>
      </c>
      <c r="J194" s="24" t="s">
        <v>38</v>
      </c>
      <c r="K194" s="21">
        <v>45846.0</v>
      </c>
      <c r="L194" s="21">
        <v>45846.0</v>
      </c>
      <c r="M194" s="25"/>
      <c r="N194" s="26"/>
      <c r="O194" s="14">
        <v>45839.0</v>
      </c>
    </row>
    <row r="195" ht="15.0" customHeight="1">
      <c r="A195" s="117" t="s">
        <v>54</v>
      </c>
      <c r="B195" s="27" t="s">
        <v>37</v>
      </c>
      <c r="C195" s="20" t="s">
        <v>37</v>
      </c>
      <c r="D195" s="18" t="s">
        <v>232</v>
      </c>
      <c r="E195" s="19">
        <v>45838.0</v>
      </c>
      <c r="F195" s="20">
        <v>18468.88</v>
      </c>
      <c r="G195" s="20">
        <v>4986.6</v>
      </c>
      <c r="H195" s="20">
        <v>1732.9399999999996</v>
      </c>
      <c r="I195" s="20">
        <v>25188.420000000002</v>
      </c>
      <c r="J195" s="24" t="s">
        <v>38</v>
      </c>
      <c r="K195" s="21">
        <v>45846.0</v>
      </c>
      <c r="L195" s="21">
        <v>45846.0</v>
      </c>
      <c r="M195" s="23"/>
      <c r="N195" s="23"/>
      <c r="O195" s="14">
        <v>45839.0</v>
      </c>
    </row>
    <row r="196" ht="15.0" customHeight="1">
      <c r="A196" s="117" t="s">
        <v>54</v>
      </c>
      <c r="B196" s="27" t="s">
        <v>39</v>
      </c>
      <c r="C196" s="20" t="s">
        <v>57</v>
      </c>
      <c r="D196" s="18" t="s">
        <v>58</v>
      </c>
      <c r="E196" s="19">
        <v>45839.0</v>
      </c>
      <c r="F196" s="20"/>
      <c r="G196" s="20">
        <v>0.0</v>
      </c>
      <c r="H196" s="20"/>
      <c r="I196" s="20">
        <v>217135.92</v>
      </c>
      <c r="J196" s="24" t="s">
        <v>87</v>
      </c>
      <c r="K196" s="21">
        <v>45848.0</v>
      </c>
      <c r="L196" s="21">
        <v>45848.0</v>
      </c>
      <c r="M196" s="23"/>
      <c r="N196" s="23"/>
      <c r="O196" s="14">
        <v>45839.0</v>
      </c>
    </row>
    <row r="197" ht="15.0" customHeight="1">
      <c r="A197" s="117" t="s">
        <v>54</v>
      </c>
      <c r="B197" s="27" t="s">
        <v>41</v>
      </c>
      <c r="C197" s="20" t="s">
        <v>42</v>
      </c>
      <c r="D197" s="118" t="s">
        <v>219</v>
      </c>
      <c r="E197" s="19">
        <v>45847.0</v>
      </c>
      <c r="F197" s="20">
        <v>30230.0</v>
      </c>
      <c r="G197" s="20">
        <v>6348.3</v>
      </c>
      <c r="H197" s="20"/>
      <c r="I197" s="20">
        <v>36578.3</v>
      </c>
      <c r="J197" s="24" t="s">
        <v>81</v>
      </c>
      <c r="K197" s="21">
        <v>45860.0</v>
      </c>
      <c r="L197" s="21">
        <v>45860.0</v>
      </c>
      <c r="M197" s="23"/>
      <c r="N197" s="23"/>
      <c r="O197" s="14">
        <v>45839.0</v>
      </c>
    </row>
    <row r="198" ht="15.0" customHeight="1">
      <c r="A198" s="117" t="s">
        <v>54</v>
      </c>
      <c r="B198" s="27" t="s">
        <v>43</v>
      </c>
      <c r="C198" s="20" t="s">
        <v>53</v>
      </c>
      <c r="D198" s="18" t="s">
        <v>233</v>
      </c>
      <c r="E198" s="19">
        <v>45826.0</v>
      </c>
      <c r="F198" s="20">
        <v>100700.0</v>
      </c>
      <c r="G198" s="20">
        <v>21147.0</v>
      </c>
      <c r="H198" s="20">
        <v>8056.0</v>
      </c>
      <c r="I198" s="20">
        <v>129903.0</v>
      </c>
      <c r="J198" s="24" t="s">
        <v>51</v>
      </c>
      <c r="K198" s="21">
        <v>45841.0</v>
      </c>
      <c r="L198" s="21">
        <v>45853.0</v>
      </c>
      <c r="M198" s="23"/>
      <c r="N198" s="23"/>
      <c r="O198" s="14">
        <v>45839.0</v>
      </c>
    </row>
    <row r="199" ht="15.0" customHeight="1">
      <c r="A199" s="117" t="s">
        <v>60</v>
      </c>
      <c r="B199" s="27" t="s">
        <v>34</v>
      </c>
      <c r="C199" s="40" t="s">
        <v>61</v>
      </c>
      <c r="D199" s="18" t="s">
        <v>234</v>
      </c>
      <c r="E199" s="19">
        <v>45839.0</v>
      </c>
      <c r="F199" s="20">
        <v>250000.0</v>
      </c>
      <c r="G199" s="20">
        <v>52500.0</v>
      </c>
      <c r="H199" s="20"/>
      <c r="I199" s="20">
        <v>302500.0</v>
      </c>
      <c r="J199" s="20" t="s">
        <v>81</v>
      </c>
      <c r="K199" s="21">
        <v>45848.0</v>
      </c>
      <c r="L199" s="21">
        <v>45848.0</v>
      </c>
      <c r="M199" s="29"/>
      <c r="N199" s="23"/>
      <c r="O199" s="14">
        <v>45839.0</v>
      </c>
    </row>
    <row r="200" ht="15.0" customHeight="1">
      <c r="A200" s="117" t="s">
        <v>60</v>
      </c>
      <c r="B200" s="16" t="s">
        <v>39</v>
      </c>
      <c r="C200" s="40" t="s">
        <v>61</v>
      </c>
      <c r="D200" s="18" t="s">
        <v>234</v>
      </c>
      <c r="E200" s="19">
        <v>45839.0</v>
      </c>
      <c r="F200" s="20"/>
      <c r="G200" s="20">
        <v>0.0</v>
      </c>
      <c r="H200" s="20">
        <v>17007.53</v>
      </c>
      <c r="I200" s="20">
        <v>17007.53</v>
      </c>
      <c r="J200" s="20" t="s">
        <v>88</v>
      </c>
      <c r="K200" s="21">
        <v>45848.0</v>
      </c>
      <c r="L200" s="21">
        <v>45848.0</v>
      </c>
      <c r="M200" s="22"/>
      <c r="N200" s="23"/>
      <c r="O200" s="14">
        <v>45839.0</v>
      </c>
    </row>
    <row r="201" ht="15.0" customHeight="1">
      <c r="A201" s="117" t="s">
        <v>63</v>
      </c>
      <c r="B201" s="27" t="s">
        <v>34</v>
      </c>
      <c r="C201" s="40" t="s">
        <v>61</v>
      </c>
      <c r="D201" s="18" t="s">
        <v>235</v>
      </c>
      <c r="E201" s="19">
        <v>45842.0</v>
      </c>
      <c r="F201" s="20">
        <v>428053.64</v>
      </c>
      <c r="G201" s="20">
        <v>89891.2644</v>
      </c>
      <c r="H201" s="20"/>
      <c r="I201" s="20">
        <v>517944.9044</v>
      </c>
      <c r="J201" s="20" t="s">
        <v>81</v>
      </c>
      <c r="K201" s="21">
        <v>45848.0</v>
      </c>
      <c r="L201" s="21">
        <v>45848.0</v>
      </c>
      <c r="M201" s="22"/>
      <c r="N201" s="23"/>
      <c r="O201" s="14">
        <v>45839.0</v>
      </c>
    </row>
    <row r="202" ht="15.0" customHeight="1">
      <c r="A202" s="117" t="s">
        <v>63</v>
      </c>
      <c r="B202" s="27" t="s">
        <v>37</v>
      </c>
      <c r="C202" s="40" t="s">
        <v>61</v>
      </c>
      <c r="D202" s="18" t="s">
        <v>235</v>
      </c>
      <c r="E202" s="19"/>
      <c r="F202" s="20">
        <v>8161.75</v>
      </c>
      <c r="G202" s="20">
        <v>1713.9675</v>
      </c>
      <c r="H202" s="20"/>
      <c r="I202" s="20">
        <v>9875.7175</v>
      </c>
      <c r="J202" s="20" t="s">
        <v>81</v>
      </c>
      <c r="K202" s="21">
        <v>45848.0</v>
      </c>
      <c r="L202" s="21">
        <v>45848.0</v>
      </c>
      <c r="M202" s="29"/>
      <c r="N202" s="23"/>
      <c r="O202" s="14">
        <v>45839.0</v>
      </c>
    </row>
    <row r="203" ht="15.0" customHeight="1">
      <c r="A203" s="117" t="s">
        <v>63</v>
      </c>
      <c r="B203" s="27" t="s">
        <v>39</v>
      </c>
      <c r="C203" s="40" t="s">
        <v>61</v>
      </c>
      <c r="D203" s="18" t="s">
        <v>235</v>
      </c>
      <c r="E203" s="19"/>
      <c r="F203" s="20"/>
      <c r="G203" s="20">
        <v>0.0</v>
      </c>
      <c r="H203" s="20">
        <v>46940.79</v>
      </c>
      <c r="I203" s="20">
        <v>46940.79</v>
      </c>
      <c r="J203" s="20" t="s">
        <v>81</v>
      </c>
      <c r="K203" s="21">
        <v>45848.0</v>
      </c>
      <c r="L203" s="21">
        <v>45848.0</v>
      </c>
      <c r="M203" s="22"/>
      <c r="N203" s="23"/>
      <c r="O203" s="14">
        <v>45839.0</v>
      </c>
    </row>
    <row r="204" ht="15.0" customHeight="1">
      <c r="A204" s="117" t="s">
        <v>65</v>
      </c>
      <c r="B204" s="27" t="s">
        <v>34</v>
      </c>
      <c r="C204" s="40" t="s">
        <v>61</v>
      </c>
      <c r="D204" s="18" t="s">
        <v>236</v>
      </c>
      <c r="E204" s="19">
        <v>45839.0</v>
      </c>
      <c r="F204" s="20">
        <v>554000.0</v>
      </c>
      <c r="G204" s="20">
        <v>116340.0</v>
      </c>
      <c r="H204" s="20"/>
      <c r="I204" s="20">
        <v>670340.0</v>
      </c>
      <c r="J204" s="24" t="s">
        <v>81</v>
      </c>
      <c r="K204" s="21">
        <v>45848.0</v>
      </c>
      <c r="L204" s="21">
        <v>45848.0</v>
      </c>
      <c r="M204" s="25"/>
      <c r="N204" s="26"/>
      <c r="O204" s="14">
        <v>45839.0</v>
      </c>
    </row>
    <row r="205" ht="15.0" customHeight="1">
      <c r="A205" s="117" t="s">
        <v>65</v>
      </c>
      <c r="B205" s="27" t="s">
        <v>39</v>
      </c>
      <c r="C205" s="40" t="s">
        <v>61</v>
      </c>
      <c r="D205" s="18" t="s">
        <v>236</v>
      </c>
      <c r="E205" s="19">
        <v>45839.0</v>
      </c>
      <c r="F205" s="20"/>
      <c r="G205" s="20"/>
      <c r="H205" s="20">
        <v>293890.13</v>
      </c>
      <c r="I205" s="20">
        <v>293890.13</v>
      </c>
      <c r="J205" s="24" t="s">
        <v>81</v>
      </c>
      <c r="K205" s="21">
        <v>45848.0</v>
      </c>
      <c r="L205" s="21">
        <v>45848.0</v>
      </c>
      <c r="M205" s="23"/>
      <c r="N205" s="23"/>
      <c r="O205" s="14">
        <v>45839.0</v>
      </c>
    </row>
    <row r="206" ht="15.0" customHeight="1">
      <c r="A206" s="117" t="s">
        <v>26</v>
      </c>
      <c r="B206" s="27" t="s">
        <v>31</v>
      </c>
      <c r="C206" s="20" t="s">
        <v>32</v>
      </c>
      <c r="D206" s="18" t="s">
        <v>216</v>
      </c>
      <c r="E206" s="19">
        <v>45845.0</v>
      </c>
      <c r="F206" s="88"/>
      <c r="G206" s="88">
        <v>0.0</v>
      </c>
      <c r="H206" s="88"/>
      <c r="I206" s="20">
        <v>40000.0</v>
      </c>
      <c r="J206" s="121" t="s">
        <v>81</v>
      </c>
      <c r="K206" s="21">
        <v>45860.0</v>
      </c>
      <c r="L206" s="21">
        <v>45860.0</v>
      </c>
      <c r="M206" s="25"/>
      <c r="N206" s="26"/>
      <c r="O206" s="14">
        <v>45839.0</v>
      </c>
    </row>
    <row r="207" ht="15.0" customHeight="1">
      <c r="A207" s="117" t="s">
        <v>26</v>
      </c>
      <c r="B207" s="27" t="s">
        <v>34</v>
      </c>
      <c r="C207" s="40" t="s">
        <v>61</v>
      </c>
      <c r="D207" s="18" t="s">
        <v>237</v>
      </c>
      <c r="E207" s="19">
        <v>45839.0</v>
      </c>
      <c r="F207" s="20">
        <v>599275.1</v>
      </c>
      <c r="G207" s="20">
        <v>125847.771</v>
      </c>
      <c r="H207" s="20"/>
      <c r="I207" s="20">
        <v>725122.8709999999</v>
      </c>
      <c r="J207" s="24" t="s">
        <v>81</v>
      </c>
      <c r="K207" s="21">
        <v>45848.0</v>
      </c>
      <c r="L207" s="21">
        <v>45848.0</v>
      </c>
      <c r="M207" s="25"/>
      <c r="N207" s="26"/>
      <c r="O207" s="14">
        <v>45839.0</v>
      </c>
    </row>
    <row r="208" ht="15.0" customHeight="1">
      <c r="A208" s="117" t="s">
        <v>26</v>
      </c>
      <c r="B208" s="27" t="s">
        <v>39</v>
      </c>
      <c r="C208" s="40" t="s">
        <v>61</v>
      </c>
      <c r="D208" s="18" t="s">
        <v>237</v>
      </c>
      <c r="E208" s="19">
        <v>45839.0</v>
      </c>
      <c r="F208" s="20"/>
      <c r="G208" s="20">
        <v>0.0</v>
      </c>
      <c r="H208" s="20">
        <v>306815.86</v>
      </c>
      <c r="I208" s="20">
        <v>306815.86</v>
      </c>
      <c r="J208" s="24" t="s">
        <v>81</v>
      </c>
      <c r="K208" s="21">
        <v>45848.0</v>
      </c>
      <c r="L208" s="21">
        <v>45848.0</v>
      </c>
      <c r="M208" s="23"/>
      <c r="N208" s="23"/>
      <c r="O208" s="14">
        <v>45839.0</v>
      </c>
    </row>
    <row r="209" ht="15.0" customHeight="1">
      <c r="A209" s="117" t="s">
        <v>26</v>
      </c>
      <c r="B209" s="27" t="s">
        <v>41</v>
      </c>
      <c r="C209" s="40" t="s">
        <v>42</v>
      </c>
      <c r="D209" s="118" t="s">
        <v>219</v>
      </c>
      <c r="E209" s="19">
        <v>45847.0</v>
      </c>
      <c r="F209" s="20">
        <v>30230.0</v>
      </c>
      <c r="G209" s="20">
        <v>6348.3</v>
      </c>
      <c r="H209" s="20"/>
      <c r="I209" s="20">
        <v>36578.3</v>
      </c>
      <c r="J209" s="24" t="s">
        <v>81</v>
      </c>
      <c r="K209" s="21">
        <v>45860.0</v>
      </c>
      <c r="L209" s="21">
        <v>45860.0</v>
      </c>
      <c r="M209" s="25"/>
      <c r="N209" s="26"/>
      <c r="O209" s="14">
        <v>45839.0</v>
      </c>
    </row>
    <row r="210" ht="15.0" customHeight="1">
      <c r="A210" s="117" t="s">
        <v>26</v>
      </c>
      <c r="B210" s="27" t="s">
        <v>43</v>
      </c>
      <c r="C210" s="20" t="s">
        <v>53</v>
      </c>
      <c r="D210" s="18" t="s">
        <v>238</v>
      </c>
      <c r="E210" s="19">
        <v>45826.0</v>
      </c>
      <c r="F210" s="20">
        <v>34325.0</v>
      </c>
      <c r="G210" s="20">
        <v>7208.25</v>
      </c>
      <c r="H210" s="20">
        <v>2746.0</v>
      </c>
      <c r="I210" s="20">
        <v>44279.25</v>
      </c>
      <c r="J210" s="24" t="s">
        <v>51</v>
      </c>
      <c r="K210" s="21">
        <v>45841.0</v>
      </c>
      <c r="L210" s="21">
        <v>45841.0</v>
      </c>
      <c r="M210" s="25"/>
      <c r="N210" s="26"/>
      <c r="O210" s="14">
        <v>45839.0</v>
      </c>
    </row>
    <row r="211" ht="15.0" customHeight="1">
      <c r="A211" s="117" t="s">
        <v>22</v>
      </c>
      <c r="B211" s="27" t="s">
        <v>31</v>
      </c>
      <c r="C211" s="20" t="s">
        <v>32</v>
      </c>
      <c r="D211" s="18" t="s">
        <v>216</v>
      </c>
      <c r="E211" s="19">
        <v>45845.0</v>
      </c>
      <c r="F211" s="20"/>
      <c r="G211" s="20">
        <v>0.0</v>
      </c>
      <c r="H211" s="20"/>
      <c r="I211" s="20">
        <v>40000.0</v>
      </c>
      <c r="J211" s="20" t="s">
        <v>81</v>
      </c>
      <c r="K211" s="21">
        <v>45860.0</v>
      </c>
      <c r="L211" s="21">
        <v>45860.0</v>
      </c>
      <c r="M211" s="34"/>
      <c r="N211" s="23"/>
      <c r="O211" s="14">
        <v>45839.0</v>
      </c>
    </row>
    <row r="212" ht="15.0" customHeight="1">
      <c r="A212" s="117" t="s">
        <v>22</v>
      </c>
      <c r="B212" s="27" t="s">
        <v>31</v>
      </c>
      <c r="C212" s="20" t="s">
        <v>32</v>
      </c>
      <c r="D212" s="120" t="s">
        <v>222</v>
      </c>
      <c r="E212" s="19">
        <v>45845.0</v>
      </c>
      <c r="F212" s="20"/>
      <c r="G212" s="20">
        <v>0.0</v>
      </c>
      <c r="H212" s="20"/>
      <c r="I212" s="20">
        <v>55000.0</v>
      </c>
      <c r="J212" s="24" t="s">
        <v>81</v>
      </c>
      <c r="K212" s="21">
        <v>45860.0</v>
      </c>
      <c r="L212" s="21">
        <v>45860.0</v>
      </c>
      <c r="M212" s="25"/>
      <c r="N212" s="26"/>
      <c r="O212" s="14">
        <v>45839.0</v>
      </c>
    </row>
    <row r="213" ht="15.0" customHeight="1">
      <c r="A213" s="117" t="s">
        <v>22</v>
      </c>
      <c r="B213" s="27" t="s">
        <v>34</v>
      </c>
      <c r="C213" s="20" t="s">
        <v>68</v>
      </c>
      <c r="D213" s="18" t="s">
        <v>239</v>
      </c>
      <c r="E213" s="19">
        <v>45842.0</v>
      </c>
      <c r="F213" s="20">
        <v>1299988.6</v>
      </c>
      <c r="G213" s="20">
        <v>272997.606</v>
      </c>
      <c r="H213" s="20">
        <v>64999.43</v>
      </c>
      <c r="I213" s="20">
        <v>1637985.6360000002</v>
      </c>
      <c r="J213" s="20" t="s">
        <v>81</v>
      </c>
      <c r="K213" s="21">
        <v>45848.0</v>
      </c>
      <c r="L213" s="21">
        <v>45848.0</v>
      </c>
      <c r="M213" s="22"/>
      <c r="N213" s="23"/>
      <c r="O213" s="14">
        <v>45839.0</v>
      </c>
    </row>
    <row r="214" ht="15.0" customHeight="1">
      <c r="A214" s="117" t="s">
        <v>22</v>
      </c>
      <c r="B214" s="27" t="s">
        <v>37</v>
      </c>
      <c r="C214" s="20" t="s">
        <v>37</v>
      </c>
      <c r="D214" s="18" t="s">
        <v>240</v>
      </c>
      <c r="E214" s="19">
        <v>45834.0</v>
      </c>
      <c r="F214" s="20">
        <v>85254.03</v>
      </c>
      <c r="G214" s="20">
        <v>23018.5881</v>
      </c>
      <c r="H214" s="20">
        <v>7999.380000000001</v>
      </c>
      <c r="I214" s="20">
        <v>116271.9981</v>
      </c>
      <c r="J214" s="20" t="s">
        <v>38</v>
      </c>
      <c r="K214" s="21">
        <v>45842.0</v>
      </c>
      <c r="L214" s="21">
        <v>45842.0</v>
      </c>
      <c r="M214" s="29"/>
      <c r="N214" s="23"/>
      <c r="O214" s="14">
        <v>45839.0</v>
      </c>
    </row>
    <row r="215" ht="15.0" customHeight="1">
      <c r="A215" s="117" t="s">
        <v>22</v>
      </c>
      <c r="B215" s="27" t="s">
        <v>39</v>
      </c>
      <c r="C215" s="20" t="s">
        <v>68</v>
      </c>
      <c r="D215" s="18" t="s">
        <v>241</v>
      </c>
      <c r="E215" s="19">
        <v>45842.0</v>
      </c>
      <c r="F215" s="20">
        <v>1846064.21</v>
      </c>
      <c r="G215" s="20">
        <v>387673.4841</v>
      </c>
      <c r="H215" s="20">
        <v>92303.21</v>
      </c>
      <c r="I215" s="20">
        <v>2326040.9041</v>
      </c>
      <c r="J215" s="20" t="s">
        <v>81</v>
      </c>
      <c r="K215" s="21">
        <v>45848.0</v>
      </c>
      <c r="L215" s="21">
        <v>45848.0</v>
      </c>
      <c r="M215" s="22"/>
      <c r="N215" s="23"/>
      <c r="O215" s="14">
        <v>45839.0</v>
      </c>
    </row>
    <row r="216" ht="15.0" customHeight="1">
      <c r="A216" s="117" t="s">
        <v>22</v>
      </c>
      <c r="B216" s="27" t="s">
        <v>41</v>
      </c>
      <c r="C216" s="20" t="s">
        <v>42</v>
      </c>
      <c r="D216" s="118" t="s">
        <v>219</v>
      </c>
      <c r="E216" s="19">
        <v>45847.0</v>
      </c>
      <c r="F216" s="20">
        <v>30230.0</v>
      </c>
      <c r="G216" s="20">
        <v>6348.3</v>
      </c>
      <c r="H216" s="20"/>
      <c r="I216" s="20">
        <v>36578.3</v>
      </c>
      <c r="J216" s="24" t="s">
        <v>81</v>
      </c>
      <c r="K216" s="21">
        <v>45860.0</v>
      </c>
      <c r="L216" s="21">
        <v>45860.0</v>
      </c>
      <c r="M216" s="22"/>
      <c r="N216" s="23"/>
      <c r="O216" s="14">
        <v>45839.0</v>
      </c>
    </row>
    <row r="217" ht="15.0" customHeight="1">
      <c r="A217" s="117" t="s">
        <v>22</v>
      </c>
      <c r="B217" s="27" t="s">
        <v>43</v>
      </c>
      <c r="C217" s="20" t="s">
        <v>53</v>
      </c>
      <c r="D217" s="18" t="s">
        <v>242</v>
      </c>
      <c r="E217" s="19">
        <v>45826.0</v>
      </c>
      <c r="F217" s="20">
        <v>55892.57</v>
      </c>
      <c r="G217" s="20">
        <v>11737.439699999999</v>
      </c>
      <c r="H217" s="20">
        <v>4471.41</v>
      </c>
      <c r="I217" s="20">
        <v>72101.4197</v>
      </c>
      <c r="J217" s="20" t="s">
        <v>86</v>
      </c>
      <c r="K217" s="21">
        <v>45845.0</v>
      </c>
      <c r="L217" s="21">
        <v>45845.0</v>
      </c>
      <c r="M217" s="20"/>
      <c r="N217" s="23"/>
      <c r="O217" s="14">
        <v>45839.0</v>
      </c>
    </row>
    <row r="218" ht="15.0" customHeight="1">
      <c r="A218" s="122" t="s">
        <v>24</v>
      </c>
      <c r="B218" s="27" t="s">
        <v>31</v>
      </c>
      <c r="C218" s="20" t="s">
        <v>32</v>
      </c>
      <c r="D218" s="120" t="s">
        <v>222</v>
      </c>
      <c r="E218" s="19">
        <v>45845.0</v>
      </c>
      <c r="F218" s="20"/>
      <c r="G218" s="20">
        <v>0.0</v>
      </c>
      <c r="H218" s="20"/>
      <c r="I218" s="20">
        <v>55000.0</v>
      </c>
      <c r="J218" s="24" t="s">
        <v>38</v>
      </c>
      <c r="K218" s="21">
        <v>45860.0</v>
      </c>
      <c r="L218" s="21">
        <v>45860.0</v>
      </c>
      <c r="M218" s="25"/>
      <c r="N218" s="26"/>
      <c r="O218" s="14">
        <v>45839.0</v>
      </c>
    </row>
    <row r="219" ht="15.0" customHeight="1">
      <c r="A219" s="117" t="s">
        <v>24</v>
      </c>
      <c r="B219" s="27" t="s">
        <v>31</v>
      </c>
      <c r="C219" s="20" t="s">
        <v>32</v>
      </c>
      <c r="D219" s="18" t="s">
        <v>216</v>
      </c>
      <c r="E219" s="19">
        <v>45845.0</v>
      </c>
      <c r="F219" s="20"/>
      <c r="G219" s="20">
        <v>0.0</v>
      </c>
      <c r="H219" s="20"/>
      <c r="I219" s="20">
        <v>40000.0</v>
      </c>
      <c r="J219" s="20" t="s">
        <v>81</v>
      </c>
      <c r="K219" s="21">
        <v>45860.0</v>
      </c>
      <c r="L219" s="21">
        <v>45860.0</v>
      </c>
      <c r="M219" s="34"/>
      <c r="N219" s="23"/>
      <c r="O219" s="14">
        <v>45839.0</v>
      </c>
    </row>
    <row r="220" ht="15.0" customHeight="1">
      <c r="A220" s="122" t="s">
        <v>24</v>
      </c>
      <c r="B220" s="27" t="s">
        <v>34</v>
      </c>
      <c r="C220" s="20" t="s">
        <v>35</v>
      </c>
      <c r="D220" s="18" t="s">
        <v>243</v>
      </c>
      <c r="E220" s="19">
        <v>45839.0</v>
      </c>
      <c r="F220" s="20">
        <v>1594202.96</v>
      </c>
      <c r="G220" s="20">
        <v>334782.62159999995</v>
      </c>
      <c r="H220" s="20"/>
      <c r="I220" s="20">
        <v>1928985.5816</v>
      </c>
      <c r="J220" s="20" t="s">
        <v>81</v>
      </c>
      <c r="K220" s="21">
        <v>45848.0</v>
      </c>
      <c r="L220" s="21">
        <v>45848.0</v>
      </c>
      <c r="M220" s="22"/>
      <c r="N220" s="23"/>
      <c r="O220" s="14">
        <v>45839.0</v>
      </c>
    </row>
    <row r="221" ht="15.0" customHeight="1">
      <c r="A221" s="117" t="s">
        <v>24</v>
      </c>
      <c r="B221" s="27" t="s">
        <v>37</v>
      </c>
      <c r="C221" s="20" t="s">
        <v>37</v>
      </c>
      <c r="D221" s="18" t="s">
        <v>244</v>
      </c>
      <c r="E221" s="19">
        <v>45838.0</v>
      </c>
      <c r="F221" s="20">
        <v>55809.3</v>
      </c>
      <c r="G221" s="20">
        <v>15068.51</v>
      </c>
      <c r="H221" s="20">
        <v>5236.589999999998</v>
      </c>
      <c r="I221" s="20">
        <v>76114.4</v>
      </c>
      <c r="J221" s="20" t="s">
        <v>38</v>
      </c>
      <c r="K221" s="21">
        <v>45846.0</v>
      </c>
      <c r="L221" s="21">
        <v>45846.0</v>
      </c>
      <c r="M221" s="29"/>
      <c r="N221" s="23"/>
      <c r="O221" s="14">
        <v>45839.0</v>
      </c>
    </row>
    <row r="222" ht="15.0" customHeight="1">
      <c r="A222" s="117" t="s">
        <v>24</v>
      </c>
      <c r="B222" s="27" t="s">
        <v>39</v>
      </c>
      <c r="C222" s="20" t="s">
        <v>35</v>
      </c>
      <c r="D222" s="18" t="s">
        <v>58</v>
      </c>
      <c r="E222" s="19"/>
      <c r="F222" s="20"/>
      <c r="G222" s="20"/>
      <c r="H222" s="20"/>
      <c r="I222" s="20">
        <v>482202.15</v>
      </c>
      <c r="J222" s="20" t="s">
        <v>81</v>
      </c>
      <c r="K222" s="21">
        <v>45848.0</v>
      </c>
      <c r="L222" s="21">
        <v>45848.0</v>
      </c>
      <c r="M222" s="22"/>
      <c r="N222" s="23"/>
      <c r="O222" s="14">
        <v>45839.0</v>
      </c>
    </row>
    <row r="223" ht="15.0" customHeight="1">
      <c r="A223" s="117" t="s">
        <v>24</v>
      </c>
      <c r="B223" s="27" t="s">
        <v>41</v>
      </c>
      <c r="C223" s="20" t="s">
        <v>42</v>
      </c>
      <c r="D223" s="118" t="s">
        <v>219</v>
      </c>
      <c r="E223" s="19">
        <v>45847.0</v>
      </c>
      <c r="F223" s="20">
        <v>30230.0</v>
      </c>
      <c r="G223" s="20">
        <v>6348.3</v>
      </c>
      <c r="H223" s="20"/>
      <c r="I223" s="20">
        <v>36578.3</v>
      </c>
      <c r="J223" s="24" t="s">
        <v>81</v>
      </c>
      <c r="K223" s="21">
        <v>45860.0</v>
      </c>
      <c r="L223" s="21">
        <v>45860.0</v>
      </c>
      <c r="M223" s="22"/>
      <c r="N223" s="23"/>
      <c r="O223" s="14">
        <v>45839.0</v>
      </c>
    </row>
    <row r="224" ht="15.0" customHeight="1">
      <c r="A224" s="122" t="s">
        <v>71</v>
      </c>
      <c r="B224" s="27" t="s">
        <v>34</v>
      </c>
      <c r="C224" s="20" t="s">
        <v>35</v>
      </c>
      <c r="D224" s="18" t="s">
        <v>245</v>
      </c>
      <c r="E224" s="19">
        <v>45839.0</v>
      </c>
      <c r="F224" s="20">
        <v>903319.4</v>
      </c>
      <c r="G224" s="20">
        <v>189697.074</v>
      </c>
      <c r="H224" s="20"/>
      <c r="I224" s="20">
        <v>1093016.474</v>
      </c>
      <c r="J224" s="24" t="s">
        <v>81</v>
      </c>
      <c r="K224" s="21">
        <v>45848.0</v>
      </c>
      <c r="L224" s="21">
        <v>45848.0</v>
      </c>
      <c r="M224" s="22"/>
      <c r="N224" s="26"/>
      <c r="O224" s="14">
        <v>45839.0</v>
      </c>
    </row>
    <row r="225" ht="15.0" customHeight="1">
      <c r="A225" s="117" t="s">
        <v>71</v>
      </c>
      <c r="B225" s="27" t="s">
        <v>37</v>
      </c>
      <c r="C225" s="20" t="s">
        <v>37</v>
      </c>
      <c r="D225" s="18" t="s">
        <v>58</v>
      </c>
      <c r="E225" s="19"/>
      <c r="F225" s="20"/>
      <c r="G225" s="20">
        <v>0.0</v>
      </c>
      <c r="H225" s="20"/>
      <c r="I225" s="20">
        <v>51498.47</v>
      </c>
      <c r="J225" s="24" t="s">
        <v>38</v>
      </c>
      <c r="K225" s="21">
        <v>45846.0</v>
      </c>
      <c r="L225" s="21">
        <v>45846.0</v>
      </c>
      <c r="M225" s="25"/>
      <c r="N225" s="26"/>
      <c r="O225" s="14">
        <v>45839.0</v>
      </c>
    </row>
    <row r="226" ht="15.0" customHeight="1">
      <c r="A226" s="117" t="s">
        <v>71</v>
      </c>
      <c r="B226" s="27" t="s">
        <v>39</v>
      </c>
      <c r="C226" s="20" t="s">
        <v>35</v>
      </c>
      <c r="D226" s="18" t="s">
        <v>58</v>
      </c>
      <c r="E226" s="19"/>
      <c r="F226" s="20"/>
      <c r="G226" s="20"/>
      <c r="H226" s="20"/>
      <c r="I226" s="20">
        <v>482202.15</v>
      </c>
      <c r="J226" s="24" t="s">
        <v>81</v>
      </c>
      <c r="K226" s="21">
        <v>45848.0</v>
      </c>
      <c r="L226" s="21">
        <v>45848.0</v>
      </c>
      <c r="M226" s="23"/>
      <c r="N226" s="23"/>
      <c r="O226" s="14">
        <v>45839.0</v>
      </c>
    </row>
    <row r="227" ht="15.0" customHeight="1">
      <c r="A227" s="117" t="s">
        <v>71</v>
      </c>
      <c r="B227" s="27" t="s">
        <v>41</v>
      </c>
      <c r="C227" s="20" t="s">
        <v>42</v>
      </c>
      <c r="D227" s="118" t="s">
        <v>219</v>
      </c>
      <c r="E227" s="19">
        <v>45847.0</v>
      </c>
      <c r="F227" s="20">
        <v>30230.0</v>
      </c>
      <c r="G227" s="20">
        <v>6348.3</v>
      </c>
      <c r="H227" s="20"/>
      <c r="I227" s="20">
        <v>36578.3</v>
      </c>
      <c r="J227" s="24" t="s">
        <v>81</v>
      </c>
      <c r="K227" s="21">
        <v>45860.0</v>
      </c>
      <c r="L227" s="21">
        <v>45860.0</v>
      </c>
      <c r="M227" s="25"/>
      <c r="N227" s="26"/>
      <c r="O227" s="14">
        <v>45839.0</v>
      </c>
    </row>
    <row r="228" ht="15.0" customHeight="1">
      <c r="A228" s="123">
        <v>45870.0</v>
      </c>
      <c r="B228" s="8"/>
      <c r="C228" s="9"/>
      <c r="D228" s="9"/>
      <c r="E228" s="10"/>
      <c r="F228" s="9"/>
      <c r="G228" s="9">
        <v>0.0</v>
      </c>
      <c r="H228" s="9"/>
      <c r="I228" s="9"/>
      <c r="J228" s="11"/>
      <c r="K228" s="12">
        <v>45870.0</v>
      </c>
      <c r="L228" s="12">
        <v>45870.0</v>
      </c>
      <c r="M228" s="13"/>
      <c r="N228" s="13"/>
      <c r="O228" s="14">
        <v>45870.0</v>
      </c>
    </row>
    <row r="229" ht="15.0" customHeight="1">
      <c r="A229" s="15" t="s">
        <v>17</v>
      </c>
      <c r="B229" s="27" t="s">
        <v>31</v>
      </c>
      <c r="C229" s="20" t="s">
        <v>32</v>
      </c>
      <c r="D229" s="18" t="s">
        <v>33</v>
      </c>
      <c r="E229" s="19"/>
      <c r="F229" s="20"/>
      <c r="G229" s="20">
        <v>0.0</v>
      </c>
      <c r="H229" s="20"/>
      <c r="I229" s="20" t="s">
        <v>16</v>
      </c>
      <c r="J229" s="24" t="s">
        <v>81</v>
      </c>
      <c r="K229" s="21"/>
      <c r="L229" s="21"/>
      <c r="M229" s="17"/>
      <c r="N229" s="23"/>
      <c r="O229" s="14">
        <v>45870.0</v>
      </c>
    </row>
    <row r="230" ht="15.0" customHeight="1">
      <c r="A230" s="15" t="s">
        <v>17</v>
      </c>
      <c r="B230" s="27" t="s">
        <v>34</v>
      </c>
      <c r="C230" s="20" t="s">
        <v>35</v>
      </c>
      <c r="D230" s="18" t="s">
        <v>52</v>
      </c>
      <c r="E230" s="19"/>
      <c r="F230" s="20"/>
      <c r="G230" s="20">
        <v>0.0</v>
      </c>
      <c r="H230" s="20"/>
      <c r="I230" s="20" t="s">
        <v>16</v>
      </c>
      <c r="J230" s="24" t="s">
        <v>81</v>
      </c>
      <c r="K230" s="21"/>
      <c r="L230" s="21"/>
      <c r="M230" s="25"/>
      <c r="N230" s="28"/>
      <c r="O230" s="14">
        <v>45870.0</v>
      </c>
    </row>
    <row r="231" ht="15.0" customHeight="1">
      <c r="A231" s="15" t="s">
        <v>17</v>
      </c>
      <c r="B231" s="27" t="s">
        <v>37</v>
      </c>
      <c r="C231" s="20" t="s">
        <v>37</v>
      </c>
      <c r="D231" s="18" t="s">
        <v>246</v>
      </c>
      <c r="E231" s="19">
        <v>45866.0</v>
      </c>
      <c r="F231" s="20">
        <v>39282.27</v>
      </c>
      <c r="G231" s="20">
        <v>10606.21</v>
      </c>
      <c r="H231" s="20">
        <v>3685.8600000000006</v>
      </c>
      <c r="I231" s="20">
        <v>53574.34</v>
      </c>
      <c r="J231" s="24" t="s">
        <v>38</v>
      </c>
      <c r="K231" s="21">
        <v>45874.0</v>
      </c>
      <c r="L231" s="21">
        <v>45873.0</v>
      </c>
      <c r="M231" s="29"/>
      <c r="N231" s="26"/>
      <c r="O231" s="14">
        <v>45870.0</v>
      </c>
    </row>
    <row r="232" ht="15.0" customHeight="1">
      <c r="A232" s="15" t="s">
        <v>17</v>
      </c>
      <c r="B232" s="27" t="s">
        <v>39</v>
      </c>
      <c r="C232" s="20" t="s">
        <v>40</v>
      </c>
      <c r="D232" s="18"/>
      <c r="E232" s="19"/>
      <c r="F232" s="20"/>
      <c r="G232" s="20"/>
      <c r="H232" s="20"/>
      <c r="I232" s="20">
        <v>1146570.01</v>
      </c>
      <c r="J232" s="24" t="s">
        <v>81</v>
      </c>
      <c r="K232" s="21">
        <v>45877.0</v>
      </c>
      <c r="L232" s="21">
        <v>45877.0</v>
      </c>
      <c r="M232" s="23"/>
      <c r="N232" s="23"/>
      <c r="O232" s="14">
        <v>45870.0</v>
      </c>
    </row>
    <row r="233" ht="15.0" customHeight="1">
      <c r="A233" s="15" t="s">
        <v>17</v>
      </c>
      <c r="B233" s="27" t="s">
        <v>41</v>
      </c>
      <c r="C233" s="20" t="s">
        <v>42</v>
      </c>
      <c r="D233" s="18" t="s">
        <v>52</v>
      </c>
      <c r="E233" s="19"/>
      <c r="F233" s="20"/>
      <c r="G233" s="20">
        <v>0.0</v>
      </c>
      <c r="H233" s="20"/>
      <c r="I233" s="20" t="s">
        <v>16</v>
      </c>
      <c r="J233" s="24" t="s">
        <v>81</v>
      </c>
      <c r="K233" s="21"/>
      <c r="L233" s="21"/>
      <c r="M233" s="25"/>
      <c r="N233" s="26"/>
      <c r="O233" s="14">
        <v>45870.0</v>
      </c>
    </row>
    <row r="234" ht="15.0" customHeight="1">
      <c r="A234" s="15" t="s">
        <v>17</v>
      </c>
      <c r="B234" s="27" t="s">
        <v>43</v>
      </c>
      <c r="C234" s="20" t="s">
        <v>44</v>
      </c>
      <c r="D234" s="18" t="s">
        <v>247</v>
      </c>
      <c r="E234" s="19">
        <v>45882.0</v>
      </c>
      <c r="F234" s="20">
        <v>92918.4</v>
      </c>
      <c r="G234" s="20">
        <v>20922.77</v>
      </c>
      <c r="H234" s="20">
        <v>2787.55</v>
      </c>
      <c r="I234" s="20">
        <v>116628.72</v>
      </c>
      <c r="J234" s="24" t="s">
        <v>38</v>
      </c>
      <c r="K234" s="21">
        <v>45894.0</v>
      </c>
      <c r="L234" s="21"/>
      <c r="M234" s="25"/>
      <c r="N234" s="26"/>
      <c r="O234" s="14">
        <v>45870.0</v>
      </c>
    </row>
    <row r="235" ht="15.0" customHeight="1">
      <c r="A235" s="15" t="s">
        <v>17</v>
      </c>
      <c r="B235" s="16" t="s">
        <v>28</v>
      </c>
      <c r="C235" s="17" t="s">
        <v>248</v>
      </c>
      <c r="D235" s="18" t="s">
        <v>249</v>
      </c>
      <c r="E235" s="19">
        <v>45868.0</v>
      </c>
      <c r="F235" s="20">
        <v>692846.25</v>
      </c>
      <c r="G235" s="20">
        <v>145497.7125</v>
      </c>
      <c r="H235" s="20"/>
      <c r="I235" s="20">
        <v>838343.9625</v>
      </c>
      <c r="J235" s="20" t="s">
        <v>81</v>
      </c>
      <c r="K235" s="21">
        <v>45884.0</v>
      </c>
      <c r="L235" s="21"/>
      <c r="M235" s="29" t="s">
        <v>250</v>
      </c>
      <c r="N235" s="23"/>
      <c r="O235" s="14">
        <v>45870.0</v>
      </c>
    </row>
    <row r="236" ht="15.0" customHeight="1">
      <c r="A236" s="15" t="s">
        <v>45</v>
      </c>
      <c r="B236" s="27" t="s">
        <v>46</v>
      </c>
      <c r="C236" s="20" t="s">
        <v>47</v>
      </c>
      <c r="D236" s="18" t="s">
        <v>85</v>
      </c>
      <c r="E236" s="19"/>
      <c r="F236" s="20"/>
      <c r="G236" s="20">
        <v>0.0</v>
      </c>
      <c r="H236" s="20"/>
      <c r="I236" s="20" t="s">
        <v>16</v>
      </c>
      <c r="J236" s="20" t="s">
        <v>81</v>
      </c>
      <c r="K236" s="21"/>
      <c r="L236" s="21"/>
      <c r="M236" s="22"/>
      <c r="N236" s="23"/>
      <c r="O236" s="14">
        <v>45870.0</v>
      </c>
    </row>
    <row r="237" ht="15.0" customHeight="1">
      <c r="A237" s="15" t="s">
        <v>45</v>
      </c>
      <c r="B237" s="27" t="s">
        <v>31</v>
      </c>
      <c r="C237" s="20" t="s">
        <v>32</v>
      </c>
      <c r="D237" s="18" t="s">
        <v>33</v>
      </c>
      <c r="E237" s="19"/>
      <c r="F237" s="20"/>
      <c r="G237" s="20">
        <v>0.0</v>
      </c>
      <c r="H237" s="20"/>
      <c r="I237" s="20" t="s">
        <v>16</v>
      </c>
      <c r="J237" s="20" t="s">
        <v>81</v>
      </c>
      <c r="K237" s="21"/>
      <c r="L237" s="21"/>
      <c r="M237" s="34"/>
      <c r="N237" s="23"/>
      <c r="O237" s="14">
        <v>45870.0</v>
      </c>
    </row>
    <row r="238" ht="15.0" customHeight="1">
      <c r="A238" s="15" t="s">
        <v>45</v>
      </c>
      <c r="B238" s="27" t="s">
        <v>34</v>
      </c>
      <c r="C238" s="32"/>
      <c r="D238" s="30"/>
      <c r="E238" s="31"/>
      <c r="F238" s="32"/>
      <c r="G238" s="32">
        <v>0.0</v>
      </c>
      <c r="H238" s="32"/>
      <c r="I238" s="32" t="s">
        <v>16</v>
      </c>
      <c r="J238" s="32"/>
      <c r="K238" s="33"/>
      <c r="L238" s="33"/>
      <c r="M238" s="22"/>
      <c r="N238" s="23"/>
      <c r="O238" s="14">
        <v>45870.0</v>
      </c>
    </row>
    <row r="239" ht="15.0" customHeight="1">
      <c r="A239" s="15" t="s">
        <v>45</v>
      </c>
      <c r="B239" s="27" t="s">
        <v>50</v>
      </c>
      <c r="C239" s="20" t="s">
        <v>47</v>
      </c>
      <c r="D239" s="18" t="s">
        <v>85</v>
      </c>
      <c r="E239" s="19"/>
      <c r="F239" s="20"/>
      <c r="G239" s="20">
        <v>0.0</v>
      </c>
      <c r="H239" s="20"/>
      <c r="I239" s="20" t="s">
        <v>16</v>
      </c>
      <c r="J239" s="20" t="s">
        <v>81</v>
      </c>
      <c r="K239" s="21"/>
      <c r="L239" s="21"/>
      <c r="M239" s="22"/>
      <c r="N239" s="23"/>
      <c r="O239" s="14">
        <v>45870.0</v>
      </c>
    </row>
    <row r="240" ht="15.0" customHeight="1">
      <c r="A240" s="15" t="s">
        <v>45</v>
      </c>
      <c r="B240" s="27" t="s">
        <v>37</v>
      </c>
      <c r="C240" s="20" t="s">
        <v>37</v>
      </c>
      <c r="D240" s="18" t="s">
        <v>251</v>
      </c>
      <c r="E240" s="19">
        <v>45867.0</v>
      </c>
      <c r="F240" s="20">
        <v>150125.3</v>
      </c>
      <c r="G240" s="20">
        <v>40533.83</v>
      </c>
      <c r="H240" s="20">
        <v>14086.259999999995</v>
      </c>
      <c r="I240" s="20">
        <v>204745.39</v>
      </c>
      <c r="J240" s="20" t="s">
        <v>38</v>
      </c>
      <c r="K240" s="21">
        <v>45875.0</v>
      </c>
      <c r="L240" s="21">
        <v>45873.0</v>
      </c>
      <c r="M240" s="22"/>
      <c r="N240" s="23"/>
      <c r="O240" s="14">
        <v>45870.0</v>
      </c>
    </row>
    <row r="241" ht="15.0" customHeight="1">
      <c r="A241" s="15" t="s">
        <v>45</v>
      </c>
      <c r="B241" s="27" t="s">
        <v>37</v>
      </c>
      <c r="C241" s="20" t="s">
        <v>37</v>
      </c>
      <c r="D241" s="18" t="s">
        <v>252</v>
      </c>
      <c r="E241" s="19">
        <v>45867.0</v>
      </c>
      <c r="F241" s="20">
        <v>15564.05</v>
      </c>
      <c r="G241" s="20">
        <v>4202.29</v>
      </c>
      <c r="H241" s="20">
        <v>1460.37</v>
      </c>
      <c r="I241" s="20">
        <v>21226.71</v>
      </c>
      <c r="J241" s="20" t="s">
        <v>38</v>
      </c>
      <c r="K241" s="21">
        <v>45875.0</v>
      </c>
      <c r="L241" s="21">
        <v>45873.0</v>
      </c>
      <c r="M241" s="22"/>
      <c r="N241" s="23"/>
      <c r="O241" s="14">
        <v>45870.0</v>
      </c>
    </row>
    <row r="242" ht="15.0" customHeight="1">
      <c r="A242" s="15" t="s">
        <v>45</v>
      </c>
      <c r="B242" s="27" t="s">
        <v>37</v>
      </c>
      <c r="C242" s="20" t="s">
        <v>37</v>
      </c>
      <c r="D242" s="18" t="s">
        <v>253</v>
      </c>
      <c r="E242" s="19">
        <v>45873.0</v>
      </c>
      <c r="F242" s="20">
        <v>477296.6</v>
      </c>
      <c r="G242" s="20">
        <v>128870.08200000001</v>
      </c>
      <c r="H242" s="20">
        <v>44784.74</v>
      </c>
      <c r="I242" s="20">
        <v>650951.422</v>
      </c>
      <c r="J242" s="20" t="s">
        <v>51</v>
      </c>
      <c r="K242" s="21">
        <v>45881.0</v>
      </c>
      <c r="L242" s="21">
        <v>45881.0</v>
      </c>
      <c r="M242" s="22"/>
      <c r="N242" s="23"/>
      <c r="O242" s="14">
        <v>45870.0</v>
      </c>
    </row>
    <row r="243" ht="15.0" customHeight="1">
      <c r="A243" s="15" t="s">
        <v>45</v>
      </c>
      <c r="B243" s="27" t="s">
        <v>39</v>
      </c>
      <c r="C243" s="20" t="s">
        <v>47</v>
      </c>
      <c r="D243" s="18" t="s">
        <v>85</v>
      </c>
      <c r="E243" s="19"/>
      <c r="F243" s="20"/>
      <c r="G243" s="20">
        <v>0.0</v>
      </c>
      <c r="H243" s="20"/>
      <c r="I243" s="20" t="s">
        <v>16</v>
      </c>
      <c r="J243" s="20" t="s">
        <v>81</v>
      </c>
      <c r="K243" s="21"/>
      <c r="L243" s="21"/>
      <c r="M243" s="22"/>
      <c r="N243" s="23"/>
      <c r="O243" s="14">
        <v>45870.0</v>
      </c>
    </row>
    <row r="244" ht="15.0" customHeight="1">
      <c r="A244" s="15" t="s">
        <v>45</v>
      </c>
      <c r="B244" s="27" t="s">
        <v>41</v>
      </c>
      <c r="C244" s="20" t="s">
        <v>42</v>
      </c>
      <c r="D244" s="18" t="s">
        <v>52</v>
      </c>
      <c r="E244" s="19"/>
      <c r="F244" s="20"/>
      <c r="G244" s="20">
        <v>0.0</v>
      </c>
      <c r="H244" s="20"/>
      <c r="I244" s="20" t="s">
        <v>16</v>
      </c>
      <c r="J244" s="24" t="s">
        <v>81</v>
      </c>
      <c r="K244" s="21"/>
      <c r="L244" s="21"/>
      <c r="M244" s="22"/>
      <c r="N244" s="23"/>
      <c r="O244" s="14">
        <v>45870.0</v>
      </c>
    </row>
    <row r="245" ht="15.0" customHeight="1">
      <c r="A245" s="15" t="s">
        <v>45</v>
      </c>
      <c r="B245" s="27" t="s">
        <v>43</v>
      </c>
      <c r="C245" s="20" t="s">
        <v>53</v>
      </c>
      <c r="D245" s="18" t="s">
        <v>254</v>
      </c>
      <c r="E245" s="19">
        <v>45855.0</v>
      </c>
      <c r="F245" s="20">
        <v>144997.0</v>
      </c>
      <c r="G245" s="20">
        <v>30449.37</v>
      </c>
      <c r="H245" s="20">
        <v>11599.76</v>
      </c>
      <c r="I245" s="20">
        <v>187046.13</v>
      </c>
      <c r="J245" s="20" t="s">
        <v>86</v>
      </c>
      <c r="K245" s="21">
        <v>45874.0</v>
      </c>
      <c r="L245" s="21">
        <v>45874.0</v>
      </c>
      <c r="M245" s="22"/>
      <c r="N245" s="18"/>
      <c r="O245" s="14">
        <v>45870.0</v>
      </c>
    </row>
    <row r="246" ht="15.0" customHeight="1">
      <c r="A246" s="15" t="s">
        <v>54</v>
      </c>
      <c r="B246" s="27" t="s">
        <v>31</v>
      </c>
      <c r="C246" s="20" t="s">
        <v>32</v>
      </c>
      <c r="D246" s="18" t="s">
        <v>33</v>
      </c>
      <c r="E246" s="19"/>
      <c r="F246" s="20"/>
      <c r="G246" s="20">
        <v>0.0</v>
      </c>
      <c r="H246" s="20"/>
      <c r="I246" s="20" t="s">
        <v>16</v>
      </c>
      <c r="J246" s="24" t="s">
        <v>81</v>
      </c>
      <c r="K246" s="21"/>
      <c r="L246" s="21"/>
      <c r="M246" s="25"/>
      <c r="N246" s="26"/>
      <c r="O246" s="14">
        <v>45870.0</v>
      </c>
    </row>
    <row r="247" ht="15.0" customHeight="1">
      <c r="A247" s="15" t="s">
        <v>54</v>
      </c>
      <c r="B247" s="27" t="s">
        <v>34</v>
      </c>
      <c r="C247" s="20" t="s">
        <v>55</v>
      </c>
      <c r="D247" s="18" t="s">
        <v>56</v>
      </c>
      <c r="E247" s="19"/>
      <c r="F247" s="20"/>
      <c r="G247" s="20">
        <v>0.0</v>
      </c>
      <c r="H247" s="20"/>
      <c r="I247" s="20">
        <v>807312.0</v>
      </c>
      <c r="J247" s="24" t="s">
        <v>81</v>
      </c>
      <c r="K247" s="21">
        <v>45880.0</v>
      </c>
      <c r="L247" s="21">
        <v>45880.0</v>
      </c>
      <c r="M247" s="25"/>
      <c r="N247" s="26"/>
      <c r="O247" s="14">
        <v>45870.0</v>
      </c>
    </row>
    <row r="248" ht="15.0" customHeight="1">
      <c r="A248" s="15" t="s">
        <v>54</v>
      </c>
      <c r="B248" s="27" t="s">
        <v>37</v>
      </c>
      <c r="C248" s="20" t="s">
        <v>37</v>
      </c>
      <c r="D248" s="18" t="s">
        <v>255</v>
      </c>
      <c r="E248" s="19">
        <v>45866.0</v>
      </c>
      <c r="F248" s="20">
        <v>116796.22</v>
      </c>
      <c r="G248" s="20">
        <v>31534.98</v>
      </c>
      <c r="H248" s="20">
        <v>10958.990000000002</v>
      </c>
      <c r="I248" s="20">
        <v>159290.19</v>
      </c>
      <c r="J248" s="24" t="s">
        <v>38</v>
      </c>
      <c r="K248" s="21">
        <v>45874.0</v>
      </c>
      <c r="L248" s="21">
        <v>45873.0</v>
      </c>
      <c r="M248" s="25"/>
      <c r="N248" s="26"/>
      <c r="O248" s="14">
        <v>45870.0</v>
      </c>
    </row>
    <row r="249" ht="15.0" customHeight="1">
      <c r="A249" s="15" t="s">
        <v>54</v>
      </c>
      <c r="B249" s="27" t="s">
        <v>37</v>
      </c>
      <c r="C249" s="20" t="s">
        <v>37</v>
      </c>
      <c r="D249" s="18" t="s">
        <v>256</v>
      </c>
      <c r="E249" s="19">
        <v>45866.0</v>
      </c>
      <c r="F249" s="20">
        <v>28181.54</v>
      </c>
      <c r="G249" s="20">
        <v>7609.02</v>
      </c>
      <c r="H249" s="20">
        <v>2644.279999999999</v>
      </c>
      <c r="I249" s="20">
        <v>38434.84</v>
      </c>
      <c r="J249" s="24" t="s">
        <v>38</v>
      </c>
      <c r="K249" s="21">
        <v>45874.0</v>
      </c>
      <c r="L249" s="21">
        <v>45873.0</v>
      </c>
      <c r="M249" s="23"/>
      <c r="N249" s="23"/>
      <c r="O249" s="14">
        <v>45870.0</v>
      </c>
    </row>
    <row r="250" ht="15.0" customHeight="1">
      <c r="A250" s="15" t="s">
        <v>54</v>
      </c>
      <c r="B250" s="27" t="s">
        <v>39</v>
      </c>
      <c r="C250" s="20" t="s">
        <v>57</v>
      </c>
      <c r="D250" s="18" t="s">
        <v>58</v>
      </c>
      <c r="E250" s="19"/>
      <c r="F250" s="20"/>
      <c r="G250" s="20">
        <v>0.0</v>
      </c>
      <c r="H250" s="20"/>
      <c r="I250" s="20">
        <v>242602.21</v>
      </c>
      <c r="J250" s="24" t="s">
        <v>87</v>
      </c>
      <c r="K250" s="21">
        <v>45881.0</v>
      </c>
      <c r="L250" s="21">
        <v>45881.0</v>
      </c>
      <c r="M250" s="23"/>
      <c r="N250" s="23"/>
      <c r="O250" s="14">
        <v>45870.0</v>
      </c>
    </row>
    <row r="251" ht="15.0" customHeight="1">
      <c r="A251" s="15" t="s">
        <v>54</v>
      </c>
      <c r="B251" s="27" t="s">
        <v>41</v>
      </c>
      <c r="C251" s="20" t="s">
        <v>42</v>
      </c>
      <c r="D251" s="18" t="s">
        <v>52</v>
      </c>
      <c r="E251" s="19"/>
      <c r="F251" s="20"/>
      <c r="G251" s="20">
        <v>0.0</v>
      </c>
      <c r="H251" s="20"/>
      <c r="I251" s="20" t="s">
        <v>16</v>
      </c>
      <c r="J251" s="24" t="s">
        <v>81</v>
      </c>
      <c r="K251" s="45"/>
      <c r="L251" s="21"/>
      <c r="M251" s="23"/>
      <c r="N251" s="23"/>
      <c r="O251" s="14">
        <v>45870.0</v>
      </c>
    </row>
    <row r="252" ht="15.0" customHeight="1">
      <c r="A252" s="15" t="s">
        <v>54</v>
      </c>
      <c r="B252" s="27" t="s">
        <v>43</v>
      </c>
      <c r="C252" s="20" t="s">
        <v>53</v>
      </c>
      <c r="D252" s="18" t="s">
        <v>59</v>
      </c>
      <c r="E252" s="19">
        <v>45855.0</v>
      </c>
      <c r="F252" s="20">
        <v>102700.0</v>
      </c>
      <c r="G252" s="20">
        <v>21567.0</v>
      </c>
      <c r="H252" s="39">
        <v>8216.0</v>
      </c>
      <c r="I252" s="20">
        <v>132483.0</v>
      </c>
      <c r="J252" s="24" t="s">
        <v>38</v>
      </c>
      <c r="K252" s="21">
        <v>45874.0</v>
      </c>
      <c r="L252" s="21">
        <v>45873.0</v>
      </c>
      <c r="M252" s="23"/>
      <c r="N252" s="23"/>
      <c r="O252" s="14">
        <v>45870.0</v>
      </c>
    </row>
    <row r="253" ht="15.0" customHeight="1">
      <c r="A253" s="15" t="s">
        <v>60</v>
      </c>
      <c r="B253" s="27" t="s">
        <v>34</v>
      </c>
      <c r="C253" s="32"/>
      <c r="D253" s="30"/>
      <c r="E253" s="31"/>
      <c r="F253" s="32"/>
      <c r="G253" s="32">
        <v>0.0</v>
      </c>
      <c r="H253" s="32"/>
      <c r="I253" s="32" t="s">
        <v>16</v>
      </c>
      <c r="J253" s="32"/>
      <c r="K253" s="33"/>
      <c r="L253" s="33"/>
      <c r="M253" s="29"/>
      <c r="N253" s="23"/>
      <c r="O253" s="14">
        <v>45870.0</v>
      </c>
    </row>
    <row r="254" ht="15.0" customHeight="1">
      <c r="A254" s="15" t="s">
        <v>60</v>
      </c>
      <c r="B254" s="16" t="s">
        <v>34</v>
      </c>
      <c r="C254" s="32"/>
      <c r="D254" s="30"/>
      <c r="E254" s="31"/>
      <c r="F254" s="32"/>
      <c r="G254" s="32">
        <v>0.0</v>
      </c>
      <c r="H254" s="32"/>
      <c r="I254" s="32" t="s">
        <v>16</v>
      </c>
      <c r="J254" s="32"/>
      <c r="K254" s="33"/>
      <c r="L254" s="33"/>
      <c r="M254" s="22"/>
      <c r="N254" s="23"/>
      <c r="O254" s="14">
        <v>45870.0</v>
      </c>
    </row>
    <row r="255" ht="15.0" customHeight="1">
      <c r="A255" s="15" t="s">
        <v>60</v>
      </c>
      <c r="B255" s="27" t="s">
        <v>37</v>
      </c>
      <c r="C255" s="32"/>
      <c r="D255" s="30"/>
      <c r="E255" s="31"/>
      <c r="F255" s="32"/>
      <c r="G255" s="32">
        <v>0.0</v>
      </c>
      <c r="H255" s="32"/>
      <c r="I255" s="32" t="s">
        <v>16</v>
      </c>
      <c r="J255" s="32"/>
      <c r="K255" s="33"/>
      <c r="L255" s="33"/>
      <c r="M255" s="22"/>
      <c r="N255" s="23"/>
      <c r="O255" s="14">
        <v>45870.0</v>
      </c>
    </row>
    <row r="256" ht="15.0" customHeight="1">
      <c r="A256" s="15" t="s">
        <v>60</v>
      </c>
      <c r="B256" s="27" t="s">
        <v>39</v>
      </c>
      <c r="C256" s="32"/>
      <c r="D256" s="30"/>
      <c r="E256" s="31"/>
      <c r="F256" s="32"/>
      <c r="G256" s="32">
        <v>0.0</v>
      </c>
      <c r="H256" s="32"/>
      <c r="I256" s="32" t="s">
        <v>16</v>
      </c>
      <c r="J256" s="32"/>
      <c r="K256" s="33"/>
      <c r="L256" s="33"/>
      <c r="M256" s="29"/>
      <c r="N256" s="23"/>
      <c r="O256" s="14">
        <v>45870.0</v>
      </c>
    </row>
    <row r="257" ht="15.0" customHeight="1">
      <c r="A257" s="15" t="s">
        <v>60</v>
      </c>
      <c r="B257" s="16" t="s">
        <v>39</v>
      </c>
      <c r="C257" s="32"/>
      <c r="D257" s="30"/>
      <c r="E257" s="31"/>
      <c r="F257" s="32"/>
      <c r="G257" s="32">
        <v>0.0</v>
      </c>
      <c r="H257" s="32"/>
      <c r="I257" s="32" t="s">
        <v>16</v>
      </c>
      <c r="J257" s="32"/>
      <c r="K257" s="33"/>
      <c r="L257" s="33"/>
      <c r="M257" s="22"/>
      <c r="N257" s="23"/>
      <c r="O257" s="14">
        <v>45870.0</v>
      </c>
    </row>
    <row r="258" ht="15.0" customHeight="1">
      <c r="A258" s="15" t="s">
        <v>63</v>
      </c>
      <c r="B258" s="27" t="s">
        <v>34</v>
      </c>
      <c r="C258" s="32"/>
      <c r="D258" s="30"/>
      <c r="E258" s="31"/>
      <c r="F258" s="32"/>
      <c r="G258" s="32">
        <v>0.0</v>
      </c>
      <c r="H258" s="32"/>
      <c r="I258" s="32" t="s">
        <v>16</v>
      </c>
      <c r="J258" s="32"/>
      <c r="K258" s="33"/>
      <c r="L258" s="33"/>
      <c r="M258" s="22"/>
      <c r="N258" s="23"/>
      <c r="O258" s="14">
        <v>45870.0</v>
      </c>
    </row>
    <row r="259" ht="15.0" customHeight="1">
      <c r="A259" s="15" t="s">
        <v>63</v>
      </c>
      <c r="B259" s="27" t="s">
        <v>37</v>
      </c>
      <c r="C259" s="32"/>
      <c r="D259" s="30"/>
      <c r="E259" s="31"/>
      <c r="F259" s="32"/>
      <c r="G259" s="32">
        <v>0.0</v>
      </c>
      <c r="H259" s="32"/>
      <c r="I259" s="32" t="s">
        <v>16</v>
      </c>
      <c r="J259" s="32"/>
      <c r="K259" s="33"/>
      <c r="L259" s="33"/>
      <c r="M259" s="29"/>
      <c r="N259" s="23"/>
      <c r="O259" s="14">
        <v>45870.0</v>
      </c>
    </row>
    <row r="260" ht="15.0" customHeight="1">
      <c r="A260" s="15" t="s">
        <v>63</v>
      </c>
      <c r="B260" s="27" t="s">
        <v>39</v>
      </c>
      <c r="C260" s="32"/>
      <c r="D260" s="30"/>
      <c r="E260" s="31"/>
      <c r="F260" s="32"/>
      <c r="G260" s="32">
        <v>0.0</v>
      </c>
      <c r="H260" s="32"/>
      <c r="I260" s="32" t="s">
        <v>16</v>
      </c>
      <c r="J260" s="32"/>
      <c r="K260" s="33"/>
      <c r="L260" s="33"/>
      <c r="M260" s="22"/>
      <c r="N260" s="23"/>
      <c r="O260" s="14">
        <v>45870.0</v>
      </c>
    </row>
    <row r="261" ht="15.0" customHeight="1">
      <c r="A261" s="15" t="s">
        <v>65</v>
      </c>
      <c r="B261" s="27" t="s">
        <v>34</v>
      </c>
      <c r="C261" s="32"/>
      <c r="D261" s="30"/>
      <c r="E261" s="31"/>
      <c r="F261" s="32"/>
      <c r="G261" s="32">
        <v>0.0</v>
      </c>
      <c r="H261" s="32"/>
      <c r="I261" s="32" t="s">
        <v>16</v>
      </c>
      <c r="J261" s="32"/>
      <c r="K261" s="33"/>
      <c r="L261" s="33"/>
      <c r="M261" s="25"/>
      <c r="N261" s="26"/>
      <c r="O261" s="14">
        <v>45870.0</v>
      </c>
    </row>
    <row r="262" ht="15.0" customHeight="1">
      <c r="A262" s="15" t="s">
        <v>65</v>
      </c>
      <c r="B262" s="27" t="s">
        <v>39</v>
      </c>
      <c r="C262" s="32"/>
      <c r="D262" s="30"/>
      <c r="E262" s="31"/>
      <c r="F262" s="32"/>
      <c r="G262" s="32">
        <v>0.0</v>
      </c>
      <c r="H262" s="32"/>
      <c r="I262" s="32" t="s">
        <v>16</v>
      </c>
      <c r="J262" s="32"/>
      <c r="K262" s="33"/>
      <c r="L262" s="33"/>
      <c r="M262" s="23"/>
      <c r="N262" s="23"/>
      <c r="O262" s="14">
        <v>45870.0</v>
      </c>
    </row>
    <row r="263" ht="15.0" customHeight="1">
      <c r="A263" s="15" t="s">
        <v>26</v>
      </c>
      <c r="B263" s="27" t="s">
        <v>34</v>
      </c>
      <c r="C263" s="32"/>
      <c r="D263" s="30"/>
      <c r="E263" s="31"/>
      <c r="F263" s="32"/>
      <c r="G263" s="32">
        <v>0.0</v>
      </c>
      <c r="H263" s="32"/>
      <c r="I263" s="32" t="s">
        <v>16</v>
      </c>
      <c r="J263" s="32"/>
      <c r="K263" s="33"/>
      <c r="L263" s="33"/>
      <c r="M263" s="25"/>
      <c r="N263" s="26"/>
      <c r="O263" s="14">
        <v>45870.0</v>
      </c>
    </row>
    <row r="264" ht="15.0" customHeight="1">
      <c r="A264" s="15" t="s">
        <v>26</v>
      </c>
      <c r="B264" s="27" t="s">
        <v>39</v>
      </c>
      <c r="C264" s="32"/>
      <c r="D264" s="30"/>
      <c r="E264" s="31"/>
      <c r="F264" s="32"/>
      <c r="G264" s="32">
        <v>0.0</v>
      </c>
      <c r="H264" s="32"/>
      <c r="I264" s="32" t="s">
        <v>16</v>
      </c>
      <c r="J264" s="32"/>
      <c r="K264" s="33"/>
      <c r="L264" s="33"/>
      <c r="M264" s="23"/>
      <c r="N264" s="23"/>
      <c r="O264" s="14">
        <v>45870.0</v>
      </c>
    </row>
    <row r="265" ht="15.0" customHeight="1">
      <c r="A265" s="15" t="s">
        <v>26</v>
      </c>
      <c r="B265" s="27" t="s">
        <v>41</v>
      </c>
      <c r="C265" s="40" t="s">
        <v>42</v>
      </c>
      <c r="D265" s="18" t="s">
        <v>52</v>
      </c>
      <c r="E265" s="19"/>
      <c r="F265" s="20"/>
      <c r="G265" s="20">
        <v>0.0</v>
      </c>
      <c r="H265" s="20"/>
      <c r="I265" s="20" t="s">
        <v>16</v>
      </c>
      <c r="J265" s="24" t="s">
        <v>81</v>
      </c>
      <c r="K265" s="21"/>
      <c r="L265" s="21"/>
      <c r="M265" s="25"/>
      <c r="N265" s="26"/>
      <c r="O265" s="14">
        <v>45870.0</v>
      </c>
    </row>
    <row r="266" ht="15.0" customHeight="1">
      <c r="A266" s="15" t="s">
        <v>26</v>
      </c>
      <c r="B266" s="27" t="s">
        <v>43</v>
      </c>
      <c r="C266" s="20" t="s">
        <v>53</v>
      </c>
      <c r="D266" s="18" t="s">
        <v>257</v>
      </c>
      <c r="E266" s="19">
        <v>45855.0</v>
      </c>
      <c r="F266" s="20">
        <v>35325.0</v>
      </c>
      <c r="G266" s="20">
        <v>7418.25</v>
      </c>
      <c r="H266" s="20">
        <v>2826.0</v>
      </c>
      <c r="I266" s="20">
        <v>45569.25</v>
      </c>
      <c r="J266" s="24" t="s">
        <v>51</v>
      </c>
      <c r="K266" s="21">
        <v>45874.0</v>
      </c>
      <c r="L266" s="21">
        <v>45877.0</v>
      </c>
      <c r="M266" s="25"/>
      <c r="N266" s="26"/>
      <c r="O266" s="14">
        <v>45870.0</v>
      </c>
    </row>
    <row r="267" ht="15.0" customHeight="1">
      <c r="A267" s="15" t="s">
        <v>22</v>
      </c>
      <c r="B267" s="27" t="s">
        <v>31</v>
      </c>
      <c r="C267" s="20" t="s">
        <v>32</v>
      </c>
      <c r="D267" s="18" t="s">
        <v>33</v>
      </c>
      <c r="E267" s="19"/>
      <c r="F267" s="20"/>
      <c r="G267" s="20">
        <v>0.0</v>
      </c>
      <c r="H267" s="20"/>
      <c r="I267" s="20" t="s">
        <v>16</v>
      </c>
      <c r="J267" s="20" t="s">
        <v>81</v>
      </c>
      <c r="K267" s="21"/>
      <c r="L267" s="21"/>
      <c r="M267" s="34"/>
      <c r="N267" s="23"/>
      <c r="O267" s="14">
        <v>45870.0</v>
      </c>
    </row>
    <row r="268" ht="15.0" customHeight="1">
      <c r="A268" s="15" t="s">
        <v>22</v>
      </c>
      <c r="B268" s="27" t="s">
        <v>34</v>
      </c>
      <c r="C268" s="20" t="s">
        <v>68</v>
      </c>
      <c r="D268" s="18" t="s">
        <v>52</v>
      </c>
      <c r="E268" s="19"/>
      <c r="F268" s="20"/>
      <c r="G268" s="20">
        <v>0.0</v>
      </c>
      <c r="H268" s="20"/>
      <c r="I268" s="20" t="s">
        <v>16</v>
      </c>
      <c r="J268" s="20" t="s">
        <v>81</v>
      </c>
      <c r="K268" s="21"/>
      <c r="L268" s="21"/>
      <c r="M268" s="22"/>
      <c r="N268" s="23"/>
      <c r="O268" s="14">
        <v>45870.0</v>
      </c>
    </row>
    <row r="269" ht="15.0" customHeight="1">
      <c r="A269" s="15" t="s">
        <v>22</v>
      </c>
      <c r="B269" s="27" t="s">
        <v>37</v>
      </c>
      <c r="C269" s="20" t="s">
        <v>37</v>
      </c>
      <c r="D269" s="18" t="s">
        <v>258</v>
      </c>
      <c r="E269" s="19">
        <v>45863.0</v>
      </c>
      <c r="F269" s="20">
        <v>87365.62</v>
      </c>
      <c r="G269" s="20">
        <v>23588.72</v>
      </c>
      <c r="H269" s="20">
        <v>8197.52</v>
      </c>
      <c r="I269" s="20">
        <v>119151.86</v>
      </c>
      <c r="J269" s="20" t="s">
        <v>38</v>
      </c>
      <c r="K269" s="21">
        <v>45873.0</v>
      </c>
      <c r="L269" s="21">
        <v>45873.0</v>
      </c>
      <c r="M269" s="29"/>
      <c r="N269" s="23"/>
      <c r="O269" s="14">
        <v>45870.0</v>
      </c>
    </row>
    <row r="270" ht="15.0" customHeight="1">
      <c r="A270" s="15" t="s">
        <v>22</v>
      </c>
      <c r="B270" s="27" t="s">
        <v>39</v>
      </c>
      <c r="C270" s="20" t="s">
        <v>68</v>
      </c>
      <c r="D270" s="18" t="s">
        <v>259</v>
      </c>
      <c r="E270" s="19">
        <v>45874.0</v>
      </c>
      <c r="F270" s="20">
        <v>1901854.12</v>
      </c>
      <c r="G270" s="20">
        <v>399389.3652</v>
      </c>
      <c r="H270" s="20">
        <v>95092.71</v>
      </c>
      <c r="I270" s="20">
        <v>2396336.1952</v>
      </c>
      <c r="J270" s="20" t="s">
        <v>81</v>
      </c>
      <c r="K270" s="21">
        <v>45877.0</v>
      </c>
      <c r="L270" s="21">
        <v>45877.0</v>
      </c>
      <c r="M270" s="22"/>
      <c r="N270" s="23"/>
      <c r="O270" s="14">
        <v>45870.0</v>
      </c>
    </row>
    <row r="271" ht="15.0" customHeight="1">
      <c r="A271" s="15" t="s">
        <v>22</v>
      </c>
      <c r="B271" s="27" t="s">
        <v>41</v>
      </c>
      <c r="C271" s="20" t="s">
        <v>42</v>
      </c>
      <c r="D271" s="18" t="s">
        <v>52</v>
      </c>
      <c r="E271" s="19"/>
      <c r="F271" s="20"/>
      <c r="G271" s="20">
        <v>0.0</v>
      </c>
      <c r="H271" s="20"/>
      <c r="I271" s="20" t="s">
        <v>16</v>
      </c>
      <c r="J271" s="24" t="s">
        <v>81</v>
      </c>
      <c r="K271" s="21"/>
      <c r="L271" s="21"/>
      <c r="M271" s="22"/>
      <c r="N271" s="23"/>
      <c r="O271" s="14">
        <v>45870.0</v>
      </c>
    </row>
    <row r="272" ht="15.0" customHeight="1">
      <c r="A272" s="15" t="s">
        <v>22</v>
      </c>
      <c r="B272" s="27" t="s">
        <v>43</v>
      </c>
      <c r="C272" s="20" t="s">
        <v>53</v>
      </c>
      <c r="D272" s="18" t="s">
        <v>260</v>
      </c>
      <c r="E272" s="19">
        <v>45855.0</v>
      </c>
      <c r="F272" s="20">
        <v>57553.73</v>
      </c>
      <c r="G272" s="20">
        <v>12086.283300000001</v>
      </c>
      <c r="H272" s="20">
        <v>4604.3</v>
      </c>
      <c r="I272" s="20">
        <v>74244.31330000001</v>
      </c>
      <c r="J272" s="20" t="s">
        <v>86</v>
      </c>
      <c r="K272" s="21">
        <v>45876.0</v>
      </c>
      <c r="L272" s="21">
        <v>45876.0</v>
      </c>
      <c r="M272" s="20"/>
      <c r="N272" s="23"/>
      <c r="O272" s="14">
        <v>45870.0</v>
      </c>
    </row>
    <row r="273" ht="15.0" customHeight="1">
      <c r="A273" s="15" t="s">
        <v>24</v>
      </c>
      <c r="B273" s="27" t="s">
        <v>31</v>
      </c>
      <c r="C273" s="20" t="s">
        <v>32</v>
      </c>
      <c r="D273" s="18" t="s">
        <v>33</v>
      </c>
      <c r="E273" s="19"/>
      <c r="F273" s="20"/>
      <c r="G273" s="20">
        <v>0.0</v>
      </c>
      <c r="H273" s="20"/>
      <c r="I273" s="20" t="s">
        <v>16</v>
      </c>
      <c r="J273" s="20" t="s">
        <v>81</v>
      </c>
      <c r="K273" s="21"/>
      <c r="L273" s="21"/>
      <c r="M273" s="34"/>
      <c r="N273" s="23"/>
      <c r="O273" s="14">
        <v>45870.0</v>
      </c>
    </row>
    <row r="274" ht="15.0" customHeight="1">
      <c r="A274" s="42" t="s">
        <v>24</v>
      </c>
      <c r="B274" s="27" t="s">
        <v>34</v>
      </c>
      <c r="C274" s="20" t="s">
        <v>35</v>
      </c>
      <c r="D274" s="18" t="s">
        <v>52</v>
      </c>
      <c r="E274" s="19"/>
      <c r="F274" s="20"/>
      <c r="G274" s="20">
        <v>0.0</v>
      </c>
      <c r="H274" s="20"/>
      <c r="I274" s="20" t="s">
        <v>16</v>
      </c>
      <c r="J274" s="20" t="s">
        <v>81</v>
      </c>
      <c r="K274" s="21"/>
      <c r="L274" s="21"/>
      <c r="M274" s="22"/>
      <c r="N274" s="23"/>
      <c r="O274" s="14">
        <v>45870.0</v>
      </c>
    </row>
    <row r="275" ht="15.0" customHeight="1">
      <c r="A275" s="15" t="s">
        <v>24</v>
      </c>
      <c r="B275" s="27" t="s">
        <v>37</v>
      </c>
      <c r="C275" s="20" t="s">
        <v>37</v>
      </c>
      <c r="D275" s="18" t="s">
        <v>261</v>
      </c>
      <c r="E275" s="19">
        <v>45866.0</v>
      </c>
      <c r="F275" s="20">
        <v>74279.91</v>
      </c>
      <c r="G275" s="20">
        <v>20055.58</v>
      </c>
      <c r="H275" s="20">
        <v>6969.689999999999</v>
      </c>
      <c r="I275" s="20">
        <v>101305.18000000001</v>
      </c>
      <c r="J275" s="20" t="s">
        <v>38</v>
      </c>
      <c r="K275" s="21">
        <v>45874.0</v>
      </c>
      <c r="L275" s="21">
        <v>45873.0</v>
      </c>
      <c r="M275" s="29"/>
      <c r="N275" s="23"/>
      <c r="O275" s="14">
        <v>45870.0</v>
      </c>
    </row>
    <row r="276" ht="15.0" customHeight="1">
      <c r="A276" s="15" t="s">
        <v>24</v>
      </c>
      <c r="B276" s="27" t="s">
        <v>39</v>
      </c>
      <c r="C276" s="20" t="s">
        <v>40</v>
      </c>
      <c r="D276" s="18"/>
      <c r="E276" s="19"/>
      <c r="F276" s="20"/>
      <c r="G276" s="20"/>
      <c r="H276" s="20"/>
      <c r="I276" s="20">
        <v>573285.05</v>
      </c>
      <c r="J276" s="20" t="s">
        <v>81</v>
      </c>
      <c r="K276" s="21">
        <v>45877.0</v>
      </c>
      <c r="L276" s="21">
        <v>45877.0</v>
      </c>
      <c r="M276" s="22"/>
      <c r="N276" s="23"/>
      <c r="O276" s="14">
        <v>45870.0</v>
      </c>
    </row>
    <row r="277" ht="15.0" customHeight="1">
      <c r="A277" s="15" t="s">
        <v>24</v>
      </c>
      <c r="B277" s="27" t="s">
        <v>41</v>
      </c>
      <c r="C277" s="20" t="s">
        <v>42</v>
      </c>
      <c r="D277" s="18" t="s">
        <v>52</v>
      </c>
      <c r="E277" s="19"/>
      <c r="F277" s="20"/>
      <c r="G277" s="20">
        <v>0.0</v>
      </c>
      <c r="H277" s="20"/>
      <c r="I277" s="20" t="s">
        <v>16</v>
      </c>
      <c r="J277" s="24" t="s">
        <v>81</v>
      </c>
      <c r="K277" s="21"/>
      <c r="L277" s="21"/>
      <c r="M277" s="22"/>
      <c r="N277" s="23"/>
      <c r="O277" s="14">
        <v>45870.0</v>
      </c>
    </row>
    <row r="278" ht="15.0" customHeight="1">
      <c r="A278" s="42" t="s">
        <v>71</v>
      </c>
      <c r="B278" s="27" t="s">
        <v>34</v>
      </c>
      <c r="C278" s="20" t="s">
        <v>35</v>
      </c>
      <c r="D278" s="18" t="s">
        <v>52</v>
      </c>
      <c r="E278" s="19"/>
      <c r="F278" s="20"/>
      <c r="G278" s="20">
        <v>0.0</v>
      </c>
      <c r="H278" s="20"/>
      <c r="I278" s="20" t="s">
        <v>16</v>
      </c>
      <c r="J278" s="24" t="s">
        <v>81</v>
      </c>
      <c r="K278" s="21"/>
      <c r="L278" s="21"/>
      <c r="M278" s="22"/>
      <c r="N278" s="26"/>
      <c r="O278" s="14">
        <v>45870.0</v>
      </c>
    </row>
    <row r="279" ht="15.0" customHeight="1">
      <c r="A279" s="15" t="s">
        <v>71</v>
      </c>
      <c r="B279" s="27" t="s">
        <v>37</v>
      </c>
      <c r="C279" s="20" t="s">
        <v>37</v>
      </c>
      <c r="D279" s="18" t="s">
        <v>58</v>
      </c>
      <c r="E279" s="19"/>
      <c r="F279" s="20"/>
      <c r="G279" s="20">
        <v>0.0</v>
      </c>
      <c r="H279" s="20"/>
      <c r="I279" s="20"/>
      <c r="J279" s="24" t="s">
        <v>38</v>
      </c>
      <c r="K279" s="21"/>
      <c r="L279" s="21"/>
      <c r="M279" s="25"/>
      <c r="N279" s="26"/>
      <c r="O279" s="14">
        <v>45870.0</v>
      </c>
    </row>
    <row r="280" ht="15.0" customHeight="1">
      <c r="A280" s="15" t="s">
        <v>71</v>
      </c>
      <c r="B280" s="27" t="s">
        <v>39</v>
      </c>
      <c r="C280" s="20" t="s">
        <v>40</v>
      </c>
      <c r="D280" s="18"/>
      <c r="E280" s="19"/>
      <c r="F280" s="20"/>
      <c r="G280" s="20"/>
      <c r="H280" s="20"/>
      <c r="I280" s="20">
        <v>573285.05</v>
      </c>
      <c r="J280" s="24" t="s">
        <v>81</v>
      </c>
      <c r="K280" s="21">
        <v>45877.0</v>
      </c>
      <c r="L280" s="21">
        <v>45877.0</v>
      </c>
      <c r="M280" s="23"/>
      <c r="N280" s="23"/>
      <c r="O280" s="14">
        <v>45870.0</v>
      </c>
    </row>
    <row r="281" ht="15.0" customHeight="1">
      <c r="A281" s="15" t="s">
        <v>71</v>
      </c>
      <c r="B281" s="27" t="s">
        <v>41</v>
      </c>
      <c r="C281" s="20" t="s">
        <v>42</v>
      </c>
      <c r="D281" s="18" t="s">
        <v>52</v>
      </c>
      <c r="E281" s="19"/>
      <c r="F281" s="20"/>
      <c r="G281" s="20">
        <v>0.0</v>
      </c>
      <c r="H281" s="20"/>
      <c r="I281" s="20" t="s">
        <v>16</v>
      </c>
      <c r="J281" s="24" t="s">
        <v>81</v>
      </c>
      <c r="K281" s="21"/>
      <c r="L281" s="21"/>
      <c r="M281" s="25"/>
      <c r="N281" s="26"/>
      <c r="O281" s="14">
        <v>45870.0</v>
      </c>
    </row>
    <row r="282" ht="15.0" customHeight="1">
      <c r="C282" s="70"/>
      <c r="D282" s="71"/>
      <c r="E282" s="72"/>
      <c r="F282" s="71"/>
      <c r="G282" s="73"/>
      <c r="H282" s="73"/>
      <c r="I282" s="73"/>
      <c r="J282" s="73"/>
      <c r="K282" s="74"/>
      <c r="L282" s="74"/>
      <c r="O282" s="75"/>
    </row>
    <row r="283" ht="15.0" customHeight="1">
      <c r="C283" s="70"/>
      <c r="D283" s="71"/>
      <c r="E283" s="72"/>
      <c r="F283" s="71"/>
      <c r="G283" s="73"/>
      <c r="H283" s="73"/>
      <c r="I283" s="73"/>
      <c r="J283" s="73"/>
      <c r="K283" s="74"/>
      <c r="L283" s="74"/>
      <c r="O283" s="75"/>
    </row>
    <row r="284" ht="15.0" customHeight="1">
      <c r="C284" s="70"/>
      <c r="D284" s="71"/>
      <c r="E284" s="72"/>
      <c r="F284" s="71"/>
      <c r="G284" s="73"/>
      <c r="H284" s="73"/>
      <c r="I284" s="73"/>
      <c r="J284" s="73"/>
      <c r="K284" s="74"/>
      <c r="L284" s="74"/>
      <c r="O284" s="75"/>
    </row>
    <row r="285" ht="15.0" customHeight="1">
      <c r="C285" s="70"/>
      <c r="D285" s="71"/>
      <c r="E285" s="72"/>
      <c r="F285" s="71"/>
      <c r="G285" s="73"/>
      <c r="H285" s="73"/>
      <c r="I285" s="73"/>
      <c r="J285" s="73"/>
      <c r="K285" s="74"/>
      <c r="L285" s="74"/>
      <c r="O285" s="75"/>
    </row>
    <row r="286" ht="15.0" customHeight="1">
      <c r="C286" s="70"/>
      <c r="D286" s="71"/>
      <c r="E286" s="72"/>
      <c r="F286" s="71"/>
      <c r="G286" s="73"/>
      <c r="H286" s="73"/>
      <c r="I286" s="73"/>
      <c r="J286" s="73"/>
      <c r="K286" s="74"/>
      <c r="L286" s="74"/>
      <c r="O286" s="75"/>
    </row>
    <row r="287" ht="15.0" customHeight="1">
      <c r="C287" s="124"/>
      <c r="D287" s="125"/>
      <c r="E287" s="126"/>
      <c r="F287" s="125"/>
      <c r="G287" s="125"/>
      <c r="H287" s="125"/>
      <c r="J287" s="73"/>
      <c r="K287" s="74"/>
      <c r="L287" s="74"/>
      <c r="O287" s="75"/>
    </row>
    <row r="288" ht="15.0" customHeight="1">
      <c r="C288" s="124"/>
      <c r="D288" s="125"/>
      <c r="E288" s="126"/>
      <c r="F288" s="125"/>
      <c r="G288" s="125"/>
      <c r="H288" s="125"/>
      <c r="J288" s="73"/>
      <c r="K288" s="74"/>
      <c r="L288" s="74"/>
      <c r="O288" s="75"/>
    </row>
    <row r="289" ht="15.0" customHeight="1">
      <c r="C289" s="124"/>
      <c r="D289" s="125"/>
      <c r="E289" s="127"/>
      <c r="F289" s="125"/>
      <c r="G289" s="125"/>
      <c r="H289" s="125"/>
      <c r="J289" s="73"/>
      <c r="K289" s="74"/>
      <c r="L289" s="74"/>
      <c r="O289" s="75"/>
    </row>
    <row r="290" ht="15.0" customHeight="1">
      <c r="C290" s="124"/>
      <c r="D290" s="125"/>
      <c r="E290" s="127"/>
      <c r="F290" s="125"/>
      <c r="G290" s="125"/>
      <c r="H290" s="125"/>
      <c r="J290" s="73"/>
      <c r="K290" s="74"/>
      <c r="L290" s="74"/>
      <c r="O290" s="75"/>
    </row>
    <row r="291" ht="15.0" customHeight="1">
      <c r="C291" s="124"/>
      <c r="D291" s="125"/>
      <c r="E291" s="127"/>
      <c r="F291" s="125"/>
      <c r="G291" s="125"/>
      <c r="H291" s="125"/>
      <c r="J291" s="73"/>
      <c r="K291" s="74"/>
      <c r="L291" s="74"/>
      <c r="O291" s="75"/>
    </row>
    <row r="292" ht="15.0" customHeight="1">
      <c r="C292" s="124"/>
      <c r="D292" s="125"/>
      <c r="E292" s="127"/>
      <c r="F292" s="125"/>
      <c r="G292" s="125"/>
      <c r="H292" s="125"/>
      <c r="J292" s="73"/>
      <c r="K292" s="74"/>
      <c r="L292" s="74"/>
      <c r="O292" s="75"/>
    </row>
    <row r="293" ht="15.0" customHeight="1">
      <c r="C293" s="124"/>
      <c r="D293" s="125"/>
      <c r="E293" s="127"/>
      <c r="F293" s="125"/>
      <c r="G293" s="125"/>
      <c r="H293" s="125"/>
      <c r="J293" s="73"/>
      <c r="K293" s="74"/>
      <c r="L293" s="74"/>
      <c r="O293" s="75"/>
    </row>
    <row r="294" ht="15.0" customHeight="1">
      <c r="C294" s="124"/>
      <c r="D294" s="125"/>
      <c r="E294" s="127"/>
      <c r="F294" s="125"/>
      <c r="G294" s="125"/>
      <c r="H294" s="125"/>
      <c r="J294" s="73"/>
      <c r="K294" s="74"/>
      <c r="L294" s="74"/>
      <c r="O294" s="75"/>
    </row>
    <row r="295" ht="15.0" customHeight="1">
      <c r="C295" s="124"/>
      <c r="D295" s="125"/>
      <c r="E295" s="126"/>
      <c r="F295" s="125"/>
      <c r="G295" s="125"/>
      <c r="H295" s="125"/>
      <c r="J295" s="73"/>
      <c r="K295" s="74"/>
      <c r="L295" s="74"/>
      <c r="O295" s="75"/>
    </row>
    <row r="296" ht="15.0" customHeight="1">
      <c r="C296" s="124"/>
      <c r="D296" s="125"/>
      <c r="E296" s="126"/>
      <c r="F296" s="125"/>
      <c r="G296" s="125"/>
      <c r="H296" s="125"/>
      <c r="J296" s="73"/>
      <c r="K296" s="74"/>
      <c r="L296" s="74"/>
      <c r="O296" s="75"/>
    </row>
    <row r="297" ht="15.0" customHeight="1">
      <c r="C297" s="124"/>
      <c r="D297" s="125"/>
      <c r="E297" s="128"/>
      <c r="F297" s="125"/>
      <c r="G297" s="125"/>
      <c r="H297" s="125"/>
      <c r="J297" s="73"/>
      <c r="K297" s="74"/>
      <c r="L297" s="74"/>
      <c r="O297" s="75"/>
    </row>
    <row r="298" ht="15.0" customHeight="1">
      <c r="C298" s="124"/>
      <c r="D298" s="125"/>
      <c r="E298" s="128"/>
      <c r="F298" s="125"/>
      <c r="G298" s="125"/>
      <c r="H298" s="125"/>
      <c r="J298" s="73"/>
      <c r="K298" s="74"/>
      <c r="L298" s="74"/>
      <c r="O298" s="75"/>
    </row>
    <row r="299" ht="15.0" customHeight="1">
      <c r="C299" s="124"/>
      <c r="D299" s="125"/>
      <c r="E299" s="128"/>
      <c r="F299" s="125"/>
      <c r="G299" s="125"/>
      <c r="H299" s="125"/>
      <c r="J299" s="73"/>
      <c r="K299" s="74"/>
      <c r="L299" s="74"/>
      <c r="O299" s="75"/>
    </row>
    <row r="300" ht="15.0" customHeight="1">
      <c r="C300" s="70"/>
      <c r="D300" s="71"/>
      <c r="E300" s="72"/>
      <c r="F300" s="71"/>
      <c r="G300" s="73"/>
      <c r="H300" s="73"/>
      <c r="I300" s="73"/>
      <c r="J300" s="73"/>
      <c r="K300" s="74"/>
      <c r="L300" s="74"/>
      <c r="O300" s="75"/>
    </row>
    <row r="301" ht="15.0" customHeight="1">
      <c r="C301" s="70"/>
      <c r="D301" s="71"/>
      <c r="E301" s="72"/>
      <c r="F301" s="71"/>
      <c r="G301" s="73"/>
      <c r="H301" s="73"/>
      <c r="I301" s="73"/>
      <c r="J301" s="73"/>
      <c r="K301" s="74"/>
      <c r="L301" s="74"/>
      <c r="O301" s="75"/>
    </row>
    <row r="302" ht="15.0" customHeight="1">
      <c r="C302" s="70"/>
      <c r="D302" s="71"/>
      <c r="E302" s="72"/>
      <c r="F302" s="71"/>
      <c r="G302" s="73"/>
      <c r="H302" s="73"/>
      <c r="I302" s="73"/>
      <c r="J302" s="73"/>
      <c r="K302" s="74"/>
      <c r="L302" s="74"/>
      <c r="O302" s="75"/>
    </row>
    <row r="303" ht="15.0" customHeight="1">
      <c r="C303" s="70"/>
      <c r="D303" s="71"/>
      <c r="E303" s="72"/>
      <c r="F303" s="71"/>
      <c r="G303" s="73"/>
      <c r="H303" s="73"/>
      <c r="I303" s="73"/>
      <c r="J303" s="73"/>
      <c r="K303" s="74"/>
      <c r="L303" s="74"/>
      <c r="O303" s="75"/>
    </row>
    <row r="304" ht="15.0" customHeight="1">
      <c r="C304" s="70"/>
      <c r="D304" s="71"/>
      <c r="E304" s="72"/>
      <c r="F304" s="71"/>
      <c r="G304" s="73"/>
      <c r="H304" s="73"/>
      <c r="I304" s="73"/>
      <c r="J304" s="73"/>
      <c r="K304" s="74"/>
      <c r="L304" s="74"/>
      <c r="O304" s="75"/>
    </row>
    <row r="305" ht="15.0" customHeight="1">
      <c r="C305" s="70"/>
      <c r="D305" s="71"/>
      <c r="E305" s="72"/>
      <c r="F305" s="71"/>
      <c r="G305" s="73"/>
      <c r="H305" s="73"/>
      <c r="I305" s="73"/>
      <c r="J305" s="73"/>
      <c r="K305" s="74"/>
      <c r="L305" s="74"/>
      <c r="O305" s="75"/>
    </row>
    <row r="306" ht="15.0" customHeight="1">
      <c r="C306" s="70"/>
      <c r="D306" s="71"/>
      <c r="E306" s="72"/>
      <c r="F306" s="71"/>
      <c r="G306" s="73"/>
      <c r="H306" s="73"/>
      <c r="I306" s="73"/>
      <c r="J306" s="73"/>
      <c r="K306" s="74"/>
      <c r="L306" s="74"/>
      <c r="O306" s="75"/>
    </row>
    <row r="307" ht="15.0" customHeight="1">
      <c r="C307" s="70"/>
      <c r="D307" s="71"/>
      <c r="E307" s="72"/>
      <c r="F307" s="71"/>
      <c r="G307" s="73"/>
      <c r="H307" s="73"/>
      <c r="I307" s="73"/>
      <c r="J307" s="73"/>
      <c r="K307" s="74"/>
      <c r="L307" s="74"/>
      <c r="O307" s="75"/>
    </row>
    <row r="308" ht="15.0" customHeight="1">
      <c r="C308" s="70"/>
      <c r="D308" s="71"/>
      <c r="E308" s="72"/>
      <c r="F308" s="71"/>
      <c r="G308" s="73"/>
      <c r="H308" s="73"/>
      <c r="I308" s="73"/>
      <c r="J308" s="73"/>
      <c r="K308" s="74"/>
      <c r="L308" s="74"/>
      <c r="O308" s="75"/>
    </row>
    <row r="309" ht="15.0" customHeight="1">
      <c r="C309" s="70"/>
      <c r="D309" s="71"/>
      <c r="E309" s="72"/>
      <c r="F309" s="71"/>
      <c r="G309" s="73"/>
      <c r="H309" s="73"/>
      <c r="I309" s="73"/>
      <c r="J309" s="73"/>
      <c r="K309" s="74"/>
      <c r="L309" s="74"/>
      <c r="O309" s="75"/>
    </row>
    <row r="310" ht="15.0" customHeight="1">
      <c r="C310" s="70"/>
      <c r="D310" s="71"/>
      <c r="E310" s="72"/>
      <c r="F310" s="71"/>
      <c r="G310" s="73"/>
      <c r="H310" s="73"/>
      <c r="I310" s="73"/>
      <c r="J310" s="73"/>
      <c r="K310" s="74"/>
      <c r="L310" s="74"/>
      <c r="O310" s="75"/>
    </row>
    <row r="311" ht="15.0" customHeight="1">
      <c r="C311" s="70"/>
      <c r="D311" s="71"/>
      <c r="E311" s="72"/>
      <c r="F311" s="71"/>
      <c r="G311" s="73"/>
      <c r="H311" s="73"/>
      <c r="I311" s="73"/>
      <c r="J311" s="73"/>
      <c r="K311" s="74"/>
      <c r="L311" s="74"/>
      <c r="O311" s="75"/>
    </row>
    <row r="312" ht="15.0" customHeight="1">
      <c r="C312" s="70"/>
      <c r="D312" s="71"/>
      <c r="E312" s="72"/>
      <c r="F312" s="71"/>
      <c r="G312" s="73"/>
      <c r="H312" s="73"/>
      <c r="I312" s="73"/>
      <c r="J312" s="73"/>
      <c r="K312" s="74"/>
      <c r="L312" s="74"/>
      <c r="O312" s="75"/>
    </row>
    <row r="313" ht="15.0" customHeight="1">
      <c r="C313" s="70"/>
      <c r="D313" s="71"/>
      <c r="E313" s="72"/>
      <c r="F313" s="71"/>
      <c r="G313" s="73"/>
      <c r="H313" s="73"/>
      <c r="I313" s="73"/>
      <c r="J313" s="73"/>
      <c r="K313" s="74"/>
      <c r="L313" s="74"/>
      <c r="O313" s="75"/>
    </row>
    <row r="314" ht="15.0" customHeight="1">
      <c r="C314" s="70"/>
      <c r="D314" s="71"/>
      <c r="E314" s="72"/>
      <c r="F314" s="71"/>
      <c r="G314" s="73"/>
      <c r="H314" s="73"/>
      <c r="I314" s="73"/>
      <c r="J314" s="73"/>
      <c r="K314" s="74"/>
      <c r="L314" s="74"/>
      <c r="O314" s="75"/>
    </row>
    <row r="315" ht="15.0" customHeight="1">
      <c r="C315" s="70"/>
      <c r="D315" s="71"/>
      <c r="E315" s="72"/>
      <c r="F315" s="71"/>
      <c r="G315" s="73"/>
      <c r="H315" s="73"/>
      <c r="I315" s="73"/>
      <c r="J315" s="73"/>
      <c r="K315" s="74"/>
      <c r="L315" s="74"/>
      <c r="O315" s="75"/>
    </row>
    <row r="316" ht="15.0" customHeight="1">
      <c r="C316" s="70"/>
      <c r="D316" s="71"/>
      <c r="E316" s="72"/>
      <c r="F316" s="71"/>
      <c r="G316" s="73"/>
      <c r="H316" s="73"/>
      <c r="I316" s="73"/>
      <c r="J316" s="73"/>
      <c r="K316" s="74"/>
      <c r="L316" s="74"/>
      <c r="O316" s="75"/>
    </row>
    <row r="317" ht="15.0" customHeight="1">
      <c r="C317" s="70"/>
      <c r="D317" s="71"/>
      <c r="E317" s="72"/>
      <c r="F317" s="71"/>
      <c r="G317" s="73"/>
      <c r="H317" s="73"/>
      <c r="I317" s="73"/>
      <c r="J317" s="73"/>
      <c r="K317" s="74"/>
      <c r="L317" s="74"/>
      <c r="O317" s="75"/>
    </row>
    <row r="318" ht="15.0" customHeight="1">
      <c r="C318" s="70"/>
      <c r="D318" s="71"/>
      <c r="E318" s="72"/>
      <c r="F318" s="71"/>
      <c r="G318" s="73"/>
      <c r="H318" s="73"/>
      <c r="I318" s="73"/>
      <c r="J318" s="73"/>
      <c r="K318" s="74"/>
      <c r="L318" s="74"/>
      <c r="O318" s="75"/>
    </row>
    <row r="319" ht="15.0" customHeight="1">
      <c r="C319" s="70"/>
      <c r="D319" s="71"/>
      <c r="E319" s="72"/>
      <c r="F319" s="71"/>
      <c r="G319" s="73"/>
      <c r="H319" s="73"/>
      <c r="I319" s="73"/>
      <c r="J319" s="73"/>
      <c r="K319" s="74"/>
      <c r="L319" s="74"/>
      <c r="O319" s="75"/>
    </row>
    <row r="320" ht="15.0" customHeight="1">
      <c r="C320" s="70"/>
      <c r="D320" s="71"/>
      <c r="E320" s="72"/>
      <c r="F320" s="71"/>
      <c r="G320" s="73"/>
      <c r="H320" s="73"/>
      <c r="I320" s="73"/>
      <c r="J320" s="73"/>
      <c r="K320" s="74"/>
      <c r="L320" s="74"/>
      <c r="O320" s="75"/>
    </row>
    <row r="321" ht="15.0" customHeight="1">
      <c r="C321" s="70"/>
      <c r="D321" s="71"/>
      <c r="E321" s="72"/>
      <c r="F321" s="71"/>
      <c r="G321" s="73"/>
      <c r="H321" s="73"/>
      <c r="I321" s="73"/>
      <c r="J321" s="73"/>
      <c r="K321" s="74"/>
      <c r="L321" s="74"/>
      <c r="O321" s="75"/>
    </row>
    <row r="322" ht="15.0" customHeight="1">
      <c r="C322" s="70"/>
      <c r="D322" s="71"/>
      <c r="E322" s="72"/>
      <c r="F322" s="71"/>
      <c r="G322" s="73"/>
      <c r="H322" s="73"/>
      <c r="I322" s="73"/>
      <c r="J322" s="73"/>
      <c r="K322" s="74"/>
      <c r="L322" s="74"/>
      <c r="O322" s="75"/>
    </row>
    <row r="323" ht="15.0" customHeight="1">
      <c r="C323" s="70"/>
      <c r="D323" s="71"/>
      <c r="E323" s="72"/>
      <c r="F323" s="71"/>
      <c r="G323" s="73"/>
      <c r="H323" s="73"/>
      <c r="I323" s="73"/>
      <c r="J323" s="73"/>
      <c r="K323" s="74"/>
      <c r="L323" s="74"/>
      <c r="O323" s="75"/>
    </row>
    <row r="324" ht="15.0" customHeight="1">
      <c r="C324" s="70"/>
      <c r="D324" s="71"/>
      <c r="E324" s="72"/>
      <c r="F324" s="71"/>
      <c r="G324" s="73"/>
      <c r="H324" s="73"/>
      <c r="I324" s="73"/>
      <c r="J324" s="73"/>
      <c r="K324" s="74"/>
      <c r="L324" s="74"/>
      <c r="O324" s="75"/>
    </row>
    <row r="325" ht="15.0" customHeight="1">
      <c r="C325" s="70"/>
      <c r="D325" s="71"/>
      <c r="E325" s="72"/>
      <c r="F325" s="71"/>
      <c r="G325" s="73"/>
      <c r="H325" s="73"/>
      <c r="I325" s="73"/>
      <c r="J325" s="73"/>
      <c r="K325" s="74"/>
      <c r="L325" s="74"/>
      <c r="O325" s="75"/>
    </row>
    <row r="326" ht="15.0" customHeight="1">
      <c r="C326" s="70"/>
      <c r="D326" s="71"/>
      <c r="E326" s="72"/>
      <c r="F326" s="71"/>
      <c r="G326" s="73"/>
      <c r="H326" s="73"/>
      <c r="I326" s="73"/>
      <c r="J326" s="73"/>
      <c r="K326" s="74"/>
      <c r="L326" s="74"/>
      <c r="O326" s="75"/>
    </row>
    <row r="327" ht="15.0" customHeight="1">
      <c r="C327" s="70"/>
      <c r="D327" s="71"/>
      <c r="E327" s="72"/>
      <c r="F327" s="71"/>
      <c r="G327" s="73"/>
      <c r="H327" s="73"/>
      <c r="I327" s="73"/>
      <c r="J327" s="73"/>
      <c r="K327" s="74"/>
      <c r="L327" s="74"/>
      <c r="O327" s="75"/>
    </row>
    <row r="328" ht="15.0" customHeight="1">
      <c r="C328" s="70"/>
      <c r="D328" s="71"/>
      <c r="E328" s="72"/>
      <c r="F328" s="71"/>
      <c r="G328" s="73"/>
      <c r="H328" s="73"/>
      <c r="I328" s="73"/>
      <c r="J328" s="73"/>
      <c r="K328" s="74"/>
      <c r="L328" s="74"/>
      <c r="O328" s="75"/>
    </row>
    <row r="329" ht="15.0" customHeight="1">
      <c r="C329" s="70"/>
      <c r="D329" s="71"/>
      <c r="E329" s="72"/>
      <c r="F329" s="71"/>
      <c r="G329" s="73"/>
      <c r="H329" s="73"/>
      <c r="I329" s="73"/>
      <c r="J329" s="73"/>
      <c r="K329" s="74"/>
      <c r="L329" s="74"/>
      <c r="O329" s="75"/>
    </row>
    <row r="330" ht="15.0" customHeight="1">
      <c r="C330" s="70"/>
      <c r="D330" s="71"/>
      <c r="E330" s="72"/>
      <c r="F330" s="71"/>
      <c r="G330" s="73"/>
      <c r="H330" s="73"/>
      <c r="I330" s="73"/>
      <c r="J330" s="73"/>
      <c r="K330" s="74"/>
      <c r="L330" s="74"/>
      <c r="O330" s="75"/>
    </row>
    <row r="331" ht="15.0" customHeight="1">
      <c r="C331" s="70"/>
      <c r="D331" s="71"/>
      <c r="E331" s="72"/>
      <c r="F331" s="71"/>
      <c r="G331" s="73"/>
      <c r="H331" s="73"/>
      <c r="I331" s="73"/>
      <c r="J331" s="73"/>
      <c r="K331" s="74"/>
      <c r="L331" s="74"/>
      <c r="O331" s="75"/>
    </row>
    <row r="332" ht="15.0" customHeight="1">
      <c r="C332" s="70"/>
      <c r="D332" s="71"/>
      <c r="E332" s="72"/>
      <c r="F332" s="71"/>
      <c r="G332" s="73"/>
      <c r="H332" s="73"/>
      <c r="I332" s="73"/>
      <c r="J332" s="73"/>
      <c r="K332" s="74"/>
      <c r="L332" s="74"/>
      <c r="O332" s="75"/>
    </row>
    <row r="333" ht="15.0" customHeight="1">
      <c r="C333" s="70"/>
      <c r="D333" s="71"/>
      <c r="E333" s="72"/>
      <c r="F333" s="71"/>
      <c r="G333" s="73"/>
      <c r="H333" s="73"/>
      <c r="I333" s="73"/>
      <c r="J333" s="73"/>
      <c r="K333" s="74"/>
      <c r="L333" s="74"/>
      <c r="O333" s="75"/>
    </row>
    <row r="334" ht="15.0" customHeight="1">
      <c r="C334" s="70"/>
      <c r="D334" s="71"/>
      <c r="E334" s="72"/>
      <c r="F334" s="71"/>
      <c r="G334" s="73"/>
      <c r="H334" s="73"/>
      <c r="I334" s="73"/>
      <c r="J334" s="73"/>
      <c r="K334" s="74"/>
      <c r="L334" s="74"/>
      <c r="O334" s="75"/>
    </row>
    <row r="335" ht="15.0" customHeight="1">
      <c r="C335" s="70"/>
      <c r="D335" s="71"/>
      <c r="E335" s="72"/>
      <c r="F335" s="71"/>
      <c r="G335" s="73"/>
      <c r="H335" s="73"/>
      <c r="I335" s="73"/>
      <c r="J335" s="73"/>
      <c r="K335" s="74"/>
      <c r="L335" s="74"/>
      <c r="O335" s="75"/>
    </row>
    <row r="336" ht="15.0" customHeight="1">
      <c r="C336" s="70"/>
      <c r="D336" s="71"/>
      <c r="E336" s="72"/>
      <c r="F336" s="71"/>
      <c r="G336" s="73"/>
      <c r="H336" s="73"/>
      <c r="I336" s="73"/>
      <c r="J336" s="73"/>
      <c r="K336" s="74"/>
      <c r="L336" s="74"/>
      <c r="O336" s="75"/>
    </row>
    <row r="337" ht="15.0" customHeight="1">
      <c r="C337" s="70"/>
      <c r="D337" s="71"/>
      <c r="E337" s="72"/>
      <c r="F337" s="71"/>
      <c r="G337" s="73"/>
      <c r="H337" s="73"/>
      <c r="I337" s="73"/>
      <c r="J337" s="73"/>
      <c r="K337" s="74"/>
      <c r="L337" s="74"/>
      <c r="O337" s="75"/>
    </row>
    <row r="338" ht="15.0" customHeight="1">
      <c r="C338" s="70"/>
      <c r="D338" s="71"/>
      <c r="E338" s="72"/>
      <c r="F338" s="71"/>
      <c r="G338" s="73"/>
      <c r="H338" s="73"/>
      <c r="I338" s="73"/>
      <c r="J338" s="73"/>
      <c r="K338" s="74"/>
      <c r="L338" s="74"/>
      <c r="O338" s="75"/>
    </row>
    <row r="339" ht="15.0" customHeight="1">
      <c r="C339" s="70"/>
      <c r="D339" s="71"/>
      <c r="E339" s="72"/>
      <c r="F339" s="71"/>
      <c r="G339" s="73"/>
      <c r="H339" s="73"/>
      <c r="I339" s="73"/>
      <c r="J339" s="73"/>
      <c r="K339" s="74"/>
      <c r="L339" s="74"/>
      <c r="O339" s="75"/>
    </row>
    <row r="340" ht="15.0" customHeight="1">
      <c r="C340" s="70"/>
      <c r="D340" s="71"/>
      <c r="E340" s="72"/>
      <c r="F340" s="71"/>
      <c r="G340" s="73"/>
      <c r="H340" s="73"/>
      <c r="I340" s="73"/>
      <c r="J340" s="73"/>
      <c r="K340" s="74"/>
      <c r="L340" s="74"/>
      <c r="O340" s="75"/>
    </row>
    <row r="341" ht="15.0" customHeight="1">
      <c r="C341" s="70"/>
      <c r="D341" s="71"/>
      <c r="E341" s="72"/>
      <c r="F341" s="71"/>
      <c r="G341" s="73"/>
      <c r="H341" s="73"/>
      <c r="I341" s="73"/>
      <c r="J341" s="73"/>
      <c r="K341" s="74"/>
      <c r="L341" s="74"/>
      <c r="O341" s="75"/>
    </row>
    <row r="342" ht="15.0" customHeight="1">
      <c r="C342" s="70"/>
      <c r="D342" s="71"/>
      <c r="E342" s="72"/>
      <c r="F342" s="71"/>
      <c r="G342" s="73"/>
      <c r="H342" s="73"/>
      <c r="I342" s="73"/>
      <c r="J342" s="73"/>
      <c r="K342" s="74"/>
      <c r="L342" s="74"/>
      <c r="O342" s="75"/>
    </row>
    <row r="343" ht="15.0" customHeight="1">
      <c r="C343" s="70"/>
      <c r="D343" s="71"/>
      <c r="E343" s="72"/>
      <c r="F343" s="71"/>
      <c r="G343" s="73"/>
      <c r="H343" s="73"/>
      <c r="I343" s="73"/>
      <c r="J343" s="73"/>
      <c r="K343" s="74"/>
      <c r="L343" s="74"/>
      <c r="O343" s="75"/>
    </row>
    <row r="344" ht="15.0" customHeight="1">
      <c r="C344" s="70"/>
      <c r="D344" s="71"/>
      <c r="E344" s="72"/>
      <c r="F344" s="71"/>
      <c r="G344" s="73"/>
      <c r="H344" s="73"/>
      <c r="I344" s="73"/>
      <c r="J344" s="73"/>
      <c r="K344" s="74"/>
      <c r="L344" s="74"/>
      <c r="O344" s="75"/>
    </row>
    <row r="345" ht="15.0" customHeight="1">
      <c r="C345" s="70"/>
      <c r="D345" s="71"/>
      <c r="E345" s="72"/>
      <c r="F345" s="71"/>
      <c r="G345" s="73"/>
      <c r="H345" s="73"/>
      <c r="I345" s="73"/>
      <c r="J345" s="73"/>
      <c r="K345" s="74"/>
      <c r="L345" s="74"/>
      <c r="O345" s="75"/>
    </row>
    <row r="346" ht="15.0" customHeight="1">
      <c r="C346" s="70"/>
      <c r="D346" s="71"/>
      <c r="E346" s="72"/>
      <c r="F346" s="71"/>
      <c r="G346" s="73"/>
      <c r="H346" s="73"/>
      <c r="I346" s="73"/>
      <c r="J346" s="73"/>
      <c r="K346" s="74"/>
      <c r="L346" s="74"/>
      <c r="O346" s="75"/>
    </row>
    <row r="347" ht="15.0" customHeight="1">
      <c r="C347" s="70"/>
      <c r="D347" s="71"/>
      <c r="E347" s="72"/>
      <c r="F347" s="71"/>
      <c r="G347" s="73"/>
      <c r="H347" s="73"/>
      <c r="I347" s="73"/>
      <c r="J347" s="73"/>
      <c r="K347" s="74"/>
      <c r="L347" s="74"/>
      <c r="O347" s="75"/>
    </row>
    <row r="348" ht="15.0" customHeight="1">
      <c r="C348" s="70"/>
      <c r="D348" s="71"/>
      <c r="E348" s="72"/>
      <c r="F348" s="71"/>
      <c r="G348" s="73"/>
      <c r="H348" s="73"/>
      <c r="I348" s="73"/>
      <c r="J348" s="73"/>
      <c r="K348" s="74"/>
      <c r="L348" s="74"/>
      <c r="O348" s="75"/>
    </row>
    <row r="349" ht="15.0" customHeight="1">
      <c r="C349" s="70"/>
      <c r="D349" s="71"/>
      <c r="E349" s="72"/>
      <c r="F349" s="71"/>
      <c r="G349" s="73"/>
      <c r="H349" s="73"/>
      <c r="I349" s="73"/>
      <c r="J349" s="73"/>
      <c r="K349" s="74"/>
      <c r="L349" s="74"/>
      <c r="O349" s="75"/>
    </row>
    <row r="350" ht="15.0" customHeight="1">
      <c r="C350" s="70"/>
      <c r="D350" s="71"/>
      <c r="E350" s="72"/>
      <c r="F350" s="71"/>
      <c r="G350" s="73"/>
      <c r="H350" s="73"/>
      <c r="I350" s="73"/>
      <c r="J350" s="73"/>
      <c r="K350" s="74"/>
      <c r="L350" s="74"/>
      <c r="O350" s="75"/>
    </row>
    <row r="351" ht="15.0" customHeight="1">
      <c r="C351" s="70"/>
      <c r="D351" s="71"/>
      <c r="E351" s="72"/>
      <c r="F351" s="71"/>
      <c r="G351" s="73"/>
      <c r="H351" s="73"/>
      <c r="I351" s="73"/>
      <c r="J351" s="73"/>
      <c r="K351" s="74"/>
      <c r="L351" s="74"/>
      <c r="O351" s="75"/>
    </row>
    <row r="352" ht="15.0" customHeight="1">
      <c r="C352" s="70"/>
      <c r="D352" s="71"/>
      <c r="E352" s="72"/>
      <c r="F352" s="71"/>
      <c r="G352" s="73"/>
      <c r="H352" s="73"/>
      <c r="I352" s="73"/>
      <c r="J352" s="73"/>
      <c r="K352" s="74"/>
      <c r="L352" s="74"/>
      <c r="O352" s="75"/>
    </row>
    <row r="353" ht="15.0" customHeight="1">
      <c r="C353" s="70"/>
      <c r="D353" s="71"/>
      <c r="E353" s="72"/>
      <c r="F353" s="71"/>
      <c r="G353" s="73"/>
      <c r="H353" s="73"/>
      <c r="I353" s="73"/>
      <c r="J353" s="73"/>
      <c r="K353" s="74"/>
      <c r="L353" s="74"/>
      <c r="O353" s="75"/>
    </row>
    <row r="354" ht="15.0" customHeight="1">
      <c r="C354" s="70"/>
      <c r="D354" s="71"/>
      <c r="E354" s="72"/>
      <c r="F354" s="71"/>
      <c r="G354" s="73"/>
      <c r="H354" s="73"/>
      <c r="I354" s="73"/>
      <c r="J354" s="73"/>
      <c r="K354" s="74"/>
      <c r="L354" s="74"/>
      <c r="O354" s="75"/>
    </row>
    <row r="355" ht="15.0" customHeight="1">
      <c r="C355" s="70"/>
      <c r="D355" s="71"/>
      <c r="E355" s="72"/>
      <c r="F355" s="71"/>
      <c r="G355" s="73"/>
      <c r="H355" s="73"/>
      <c r="I355" s="73"/>
      <c r="J355" s="73"/>
      <c r="K355" s="74"/>
      <c r="L355" s="74"/>
      <c r="O355" s="75"/>
    </row>
    <row r="356" ht="15.0" customHeight="1">
      <c r="C356" s="70"/>
      <c r="D356" s="71"/>
      <c r="E356" s="72"/>
      <c r="F356" s="71"/>
      <c r="G356" s="73"/>
      <c r="H356" s="73"/>
      <c r="I356" s="73"/>
      <c r="J356" s="73"/>
      <c r="K356" s="74"/>
      <c r="L356" s="74"/>
      <c r="O356" s="75"/>
    </row>
    <row r="357" ht="15.0" customHeight="1">
      <c r="C357" s="70"/>
      <c r="D357" s="71"/>
      <c r="E357" s="72"/>
      <c r="F357" s="71"/>
      <c r="G357" s="73"/>
      <c r="H357" s="73"/>
      <c r="I357" s="73"/>
      <c r="J357" s="73"/>
      <c r="K357" s="74"/>
      <c r="L357" s="74"/>
      <c r="O357" s="75"/>
    </row>
    <row r="358" ht="15.0" customHeight="1">
      <c r="C358" s="70"/>
      <c r="D358" s="71"/>
      <c r="E358" s="72"/>
      <c r="F358" s="71"/>
      <c r="G358" s="73"/>
      <c r="H358" s="73"/>
      <c r="I358" s="73"/>
      <c r="J358" s="73"/>
      <c r="K358" s="74"/>
      <c r="L358" s="74"/>
      <c r="O358" s="75"/>
    </row>
    <row r="359" ht="15.0" customHeight="1">
      <c r="C359" s="70"/>
      <c r="D359" s="71"/>
      <c r="E359" s="72"/>
      <c r="F359" s="71"/>
      <c r="G359" s="73"/>
      <c r="H359" s="73"/>
      <c r="I359" s="73"/>
      <c r="J359" s="73"/>
      <c r="K359" s="74"/>
      <c r="L359" s="74"/>
      <c r="O359" s="75"/>
    </row>
    <row r="360" ht="15.0" customHeight="1">
      <c r="C360" s="70"/>
      <c r="D360" s="71"/>
      <c r="E360" s="72"/>
      <c r="F360" s="71"/>
      <c r="G360" s="73"/>
      <c r="H360" s="73"/>
      <c r="I360" s="73"/>
      <c r="J360" s="73"/>
      <c r="K360" s="74"/>
      <c r="L360" s="74"/>
      <c r="O360" s="75"/>
    </row>
    <row r="361" ht="15.0" customHeight="1">
      <c r="C361" s="70"/>
      <c r="D361" s="71"/>
      <c r="E361" s="72"/>
      <c r="F361" s="71"/>
      <c r="G361" s="73"/>
      <c r="H361" s="73"/>
      <c r="I361" s="73"/>
      <c r="J361" s="73"/>
      <c r="K361" s="74"/>
      <c r="L361" s="74"/>
      <c r="O361" s="75"/>
    </row>
    <row r="362" ht="15.0" customHeight="1">
      <c r="C362" s="70"/>
      <c r="D362" s="71"/>
      <c r="E362" s="72"/>
      <c r="F362" s="71"/>
      <c r="G362" s="73"/>
      <c r="H362" s="73"/>
      <c r="I362" s="73"/>
      <c r="J362" s="73"/>
      <c r="K362" s="74"/>
      <c r="L362" s="74"/>
      <c r="O362" s="75"/>
    </row>
    <row r="363" ht="15.0" customHeight="1">
      <c r="C363" s="70"/>
      <c r="D363" s="71"/>
      <c r="E363" s="72"/>
      <c r="F363" s="71"/>
      <c r="G363" s="73"/>
      <c r="H363" s="73"/>
      <c r="I363" s="73"/>
      <c r="J363" s="73"/>
      <c r="K363" s="74"/>
      <c r="L363" s="74"/>
      <c r="O363" s="75"/>
    </row>
    <row r="364" ht="15.0" customHeight="1">
      <c r="C364" s="70"/>
      <c r="D364" s="71"/>
      <c r="E364" s="72"/>
      <c r="F364" s="71"/>
      <c r="G364" s="73"/>
      <c r="H364" s="73"/>
      <c r="I364" s="73"/>
      <c r="J364" s="73"/>
      <c r="K364" s="74"/>
      <c r="L364" s="74"/>
      <c r="O364" s="75"/>
    </row>
    <row r="365" ht="15.0" customHeight="1">
      <c r="C365" s="70"/>
      <c r="D365" s="71"/>
      <c r="E365" s="72"/>
      <c r="F365" s="71"/>
      <c r="G365" s="73"/>
      <c r="H365" s="73"/>
      <c r="I365" s="73"/>
      <c r="J365" s="73"/>
      <c r="K365" s="74"/>
      <c r="L365" s="74"/>
      <c r="O365" s="75"/>
    </row>
    <row r="366" ht="15.0" customHeight="1">
      <c r="C366" s="70"/>
      <c r="D366" s="71"/>
      <c r="E366" s="72"/>
      <c r="F366" s="71"/>
      <c r="G366" s="73"/>
      <c r="H366" s="73"/>
      <c r="I366" s="73"/>
      <c r="J366" s="73"/>
      <c r="K366" s="74"/>
      <c r="L366" s="74"/>
      <c r="O366" s="75"/>
    </row>
    <row r="367" ht="15.0" customHeight="1">
      <c r="C367" s="70"/>
      <c r="D367" s="71"/>
      <c r="E367" s="72"/>
      <c r="F367" s="71"/>
      <c r="G367" s="73"/>
      <c r="H367" s="73"/>
      <c r="I367" s="73"/>
      <c r="J367" s="73"/>
      <c r="K367" s="74"/>
      <c r="L367" s="74"/>
      <c r="O367" s="75"/>
    </row>
    <row r="368" ht="15.0" customHeight="1">
      <c r="C368" s="70"/>
      <c r="D368" s="71"/>
      <c r="E368" s="72"/>
      <c r="F368" s="71"/>
      <c r="G368" s="73"/>
      <c r="H368" s="73"/>
      <c r="I368" s="73"/>
      <c r="J368" s="73"/>
      <c r="K368" s="74"/>
      <c r="L368" s="74"/>
      <c r="O368" s="75"/>
    </row>
    <row r="369" ht="15.0" customHeight="1">
      <c r="C369" s="70"/>
      <c r="D369" s="71"/>
      <c r="E369" s="72"/>
      <c r="F369" s="71"/>
      <c r="G369" s="73"/>
      <c r="H369" s="73"/>
      <c r="I369" s="73"/>
      <c r="J369" s="73"/>
      <c r="K369" s="74"/>
      <c r="L369" s="74"/>
      <c r="O369" s="75"/>
    </row>
    <row r="370" ht="15.0" customHeight="1">
      <c r="C370" s="70"/>
      <c r="D370" s="71"/>
      <c r="E370" s="72"/>
      <c r="F370" s="71"/>
      <c r="G370" s="73"/>
      <c r="H370" s="73"/>
      <c r="I370" s="73"/>
      <c r="J370" s="73"/>
      <c r="K370" s="74"/>
      <c r="L370" s="74"/>
      <c r="O370" s="75"/>
    </row>
    <row r="371" ht="15.0" customHeight="1">
      <c r="C371" s="70"/>
      <c r="D371" s="71"/>
      <c r="E371" s="72"/>
      <c r="F371" s="71"/>
      <c r="G371" s="73"/>
      <c r="H371" s="73"/>
      <c r="I371" s="73"/>
      <c r="J371" s="73"/>
      <c r="K371" s="74"/>
      <c r="L371" s="74"/>
      <c r="O371" s="75"/>
    </row>
    <row r="372" ht="15.0" customHeight="1">
      <c r="C372" s="70"/>
      <c r="D372" s="71"/>
      <c r="E372" s="72"/>
      <c r="F372" s="71"/>
      <c r="G372" s="73"/>
      <c r="H372" s="73"/>
      <c r="I372" s="73"/>
      <c r="J372" s="73"/>
      <c r="K372" s="74"/>
      <c r="L372" s="74"/>
      <c r="O372" s="75"/>
    </row>
    <row r="373" ht="15.0" customHeight="1">
      <c r="C373" s="70"/>
      <c r="D373" s="71"/>
      <c r="E373" s="72"/>
      <c r="F373" s="71"/>
      <c r="G373" s="73"/>
      <c r="H373" s="73"/>
      <c r="I373" s="73"/>
      <c r="J373" s="73"/>
      <c r="K373" s="74"/>
      <c r="L373" s="74"/>
      <c r="O373" s="75"/>
    </row>
    <row r="374" ht="15.0" customHeight="1">
      <c r="C374" s="70"/>
      <c r="D374" s="71"/>
      <c r="E374" s="72"/>
      <c r="F374" s="71"/>
      <c r="G374" s="73"/>
      <c r="H374" s="73"/>
      <c r="I374" s="73"/>
      <c r="J374" s="73"/>
      <c r="K374" s="74"/>
      <c r="L374" s="74"/>
      <c r="O374" s="75"/>
    </row>
    <row r="375" ht="15.0" customHeight="1">
      <c r="C375" s="70"/>
      <c r="D375" s="71"/>
      <c r="E375" s="72"/>
      <c r="F375" s="71"/>
      <c r="G375" s="73"/>
      <c r="H375" s="73"/>
      <c r="I375" s="73"/>
      <c r="J375" s="73"/>
      <c r="K375" s="74"/>
      <c r="L375" s="74"/>
      <c r="O375" s="75"/>
    </row>
    <row r="376" ht="15.0" customHeight="1">
      <c r="C376" s="70"/>
      <c r="D376" s="71"/>
      <c r="E376" s="72"/>
      <c r="F376" s="71"/>
      <c r="G376" s="73"/>
      <c r="H376" s="73"/>
      <c r="I376" s="73"/>
      <c r="J376" s="73"/>
      <c r="K376" s="74"/>
      <c r="L376" s="74"/>
      <c r="O376" s="75"/>
    </row>
    <row r="377" ht="15.0" customHeight="1">
      <c r="C377" s="70"/>
      <c r="D377" s="71"/>
      <c r="E377" s="72"/>
      <c r="F377" s="71"/>
      <c r="G377" s="73"/>
      <c r="H377" s="73"/>
      <c r="I377" s="73"/>
      <c r="J377" s="73"/>
      <c r="K377" s="74"/>
      <c r="L377" s="74"/>
      <c r="O377" s="75"/>
    </row>
    <row r="378" ht="15.0" customHeight="1">
      <c r="C378" s="70"/>
      <c r="D378" s="71"/>
      <c r="E378" s="72"/>
      <c r="F378" s="71"/>
      <c r="G378" s="73"/>
      <c r="H378" s="73"/>
      <c r="I378" s="73"/>
      <c r="J378" s="73"/>
      <c r="K378" s="74"/>
      <c r="L378" s="74"/>
      <c r="O378" s="75"/>
    </row>
    <row r="379" ht="15.0" customHeight="1">
      <c r="C379" s="70"/>
      <c r="D379" s="71"/>
      <c r="E379" s="72"/>
      <c r="F379" s="71"/>
      <c r="G379" s="73"/>
      <c r="H379" s="73"/>
      <c r="I379" s="73"/>
      <c r="J379" s="73"/>
      <c r="K379" s="74"/>
      <c r="L379" s="74"/>
      <c r="O379" s="75"/>
    </row>
    <row r="380" ht="15.0" customHeight="1">
      <c r="C380" s="70"/>
      <c r="D380" s="71"/>
      <c r="E380" s="72"/>
      <c r="F380" s="71"/>
      <c r="G380" s="73"/>
      <c r="H380" s="73"/>
      <c r="I380" s="73"/>
      <c r="J380" s="73"/>
      <c r="K380" s="74"/>
      <c r="L380" s="74"/>
      <c r="O380" s="75"/>
    </row>
    <row r="381" ht="15.0" customHeight="1">
      <c r="C381" s="70"/>
      <c r="D381" s="71"/>
      <c r="E381" s="72"/>
      <c r="F381" s="71"/>
      <c r="G381" s="73"/>
      <c r="H381" s="73"/>
      <c r="I381" s="73"/>
      <c r="J381" s="73"/>
      <c r="K381" s="74"/>
      <c r="L381" s="74"/>
      <c r="O381" s="75"/>
    </row>
    <row r="382" ht="15.0" customHeight="1">
      <c r="C382" s="70"/>
      <c r="D382" s="71"/>
      <c r="E382" s="72"/>
      <c r="F382" s="71"/>
      <c r="G382" s="73"/>
      <c r="H382" s="73"/>
      <c r="I382" s="73"/>
      <c r="J382" s="73"/>
      <c r="K382" s="74"/>
      <c r="L382" s="74"/>
      <c r="O382" s="75"/>
    </row>
    <row r="383" ht="15.0" customHeight="1">
      <c r="C383" s="70"/>
      <c r="D383" s="71"/>
      <c r="E383" s="72"/>
      <c r="F383" s="71"/>
      <c r="G383" s="73"/>
      <c r="H383" s="73"/>
      <c r="I383" s="73"/>
      <c r="J383" s="73"/>
      <c r="K383" s="74"/>
      <c r="L383" s="74"/>
      <c r="O383" s="75"/>
    </row>
    <row r="384" ht="15.0" customHeight="1">
      <c r="C384" s="70"/>
      <c r="D384" s="71"/>
      <c r="E384" s="72"/>
      <c r="F384" s="71"/>
      <c r="G384" s="73"/>
      <c r="H384" s="73"/>
      <c r="I384" s="73"/>
      <c r="J384" s="73"/>
      <c r="K384" s="74"/>
      <c r="L384" s="74"/>
      <c r="O384" s="75"/>
    </row>
    <row r="385" ht="15.0" customHeight="1">
      <c r="C385" s="70"/>
      <c r="D385" s="71"/>
      <c r="E385" s="72"/>
      <c r="F385" s="71"/>
      <c r="G385" s="73"/>
      <c r="H385" s="73"/>
      <c r="I385" s="73"/>
      <c r="J385" s="73"/>
      <c r="K385" s="74"/>
      <c r="L385" s="74"/>
      <c r="O385" s="75"/>
    </row>
    <row r="386" ht="15.0" customHeight="1">
      <c r="C386" s="70"/>
      <c r="D386" s="71"/>
      <c r="E386" s="72"/>
      <c r="F386" s="71"/>
      <c r="G386" s="73"/>
      <c r="H386" s="73"/>
      <c r="I386" s="73"/>
      <c r="J386" s="73"/>
      <c r="K386" s="74"/>
      <c r="L386" s="74"/>
      <c r="O386" s="75"/>
    </row>
    <row r="387" ht="15.0" customHeight="1">
      <c r="C387" s="70"/>
      <c r="D387" s="71"/>
      <c r="E387" s="72"/>
      <c r="F387" s="71"/>
      <c r="G387" s="73"/>
      <c r="H387" s="73"/>
      <c r="I387" s="73"/>
      <c r="J387" s="73"/>
      <c r="K387" s="74"/>
      <c r="L387" s="74"/>
      <c r="O387" s="75"/>
    </row>
    <row r="388" ht="15.0" customHeight="1">
      <c r="C388" s="70"/>
      <c r="D388" s="71"/>
      <c r="E388" s="72"/>
      <c r="F388" s="71"/>
      <c r="G388" s="73"/>
      <c r="H388" s="73"/>
      <c r="I388" s="73"/>
      <c r="J388" s="73"/>
      <c r="K388" s="74"/>
      <c r="L388" s="74"/>
      <c r="O388" s="75"/>
    </row>
    <row r="389" ht="15.0" customHeight="1">
      <c r="C389" s="70"/>
      <c r="D389" s="71"/>
      <c r="E389" s="72"/>
      <c r="F389" s="71"/>
      <c r="G389" s="73"/>
      <c r="H389" s="73"/>
      <c r="I389" s="73"/>
      <c r="J389" s="73"/>
      <c r="K389" s="74"/>
      <c r="L389" s="74"/>
      <c r="O389" s="75"/>
    </row>
    <row r="390" ht="15.0" customHeight="1">
      <c r="C390" s="70"/>
      <c r="D390" s="71"/>
      <c r="E390" s="72"/>
      <c r="F390" s="71"/>
      <c r="G390" s="73"/>
      <c r="H390" s="73"/>
      <c r="I390" s="73"/>
      <c r="J390" s="73"/>
      <c r="K390" s="74"/>
      <c r="L390" s="74"/>
      <c r="O390" s="75"/>
    </row>
    <row r="391" ht="15.0" customHeight="1">
      <c r="C391" s="70"/>
      <c r="D391" s="71"/>
      <c r="E391" s="72"/>
      <c r="F391" s="71"/>
      <c r="G391" s="73"/>
      <c r="H391" s="73"/>
      <c r="I391" s="73"/>
      <c r="J391" s="73"/>
      <c r="K391" s="74"/>
      <c r="L391" s="74"/>
      <c r="O391" s="75"/>
    </row>
    <row r="392" ht="15.0" customHeight="1">
      <c r="C392" s="70"/>
      <c r="D392" s="71"/>
      <c r="E392" s="72"/>
      <c r="F392" s="71"/>
      <c r="G392" s="73"/>
      <c r="H392" s="73"/>
      <c r="I392" s="73"/>
      <c r="J392" s="73"/>
      <c r="K392" s="74"/>
      <c r="L392" s="74"/>
      <c r="O392" s="75"/>
    </row>
    <row r="393" ht="15.0" customHeight="1">
      <c r="C393" s="70"/>
      <c r="D393" s="71"/>
      <c r="E393" s="72"/>
      <c r="F393" s="71"/>
      <c r="G393" s="73"/>
      <c r="H393" s="73"/>
      <c r="I393" s="73"/>
      <c r="J393" s="73"/>
      <c r="K393" s="74"/>
      <c r="L393" s="74"/>
      <c r="O393" s="75"/>
    </row>
    <row r="394" ht="15.0" customHeight="1">
      <c r="C394" s="70"/>
      <c r="D394" s="71"/>
      <c r="E394" s="72"/>
      <c r="F394" s="71"/>
      <c r="G394" s="73"/>
      <c r="H394" s="73"/>
      <c r="I394" s="73"/>
      <c r="J394" s="73"/>
      <c r="K394" s="74"/>
      <c r="L394" s="74"/>
      <c r="O394" s="75"/>
    </row>
    <row r="395" ht="15.0" customHeight="1">
      <c r="C395" s="70"/>
      <c r="D395" s="71"/>
      <c r="E395" s="72"/>
      <c r="F395" s="71"/>
      <c r="G395" s="73"/>
      <c r="H395" s="73"/>
      <c r="I395" s="73"/>
      <c r="J395" s="73"/>
      <c r="K395" s="74"/>
      <c r="L395" s="74"/>
      <c r="O395" s="75"/>
    </row>
    <row r="396" ht="15.0" customHeight="1">
      <c r="C396" s="70"/>
      <c r="D396" s="71"/>
      <c r="E396" s="72"/>
      <c r="F396" s="71"/>
      <c r="G396" s="73"/>
      <c r="H396" s="73"/>
      <c r="I396" s="73"/>
      <c r="J396" s="73"/>
      <c r="K396" s="74"/>
      <c r="L396" s="74"/>
      <c r="O396" s="75"/>
    </row>
    <row r="397" ht="15.0" customHeight="1">
      <c r="C397" s="70"/>
      <c r="D397" s="71"/>
      <c r="E397" s="72"/>
      <c r="F397" s="71"/>
      <c r="G397" s="73"/>
      <c r="H397" s="73"/>
      <c r="I397" s="73"/>
      <c r="J397" s="73"/>
      <c r="K397" s="74"/>
      <c r="L397" s="74"/>
      <c r="O397" s="75"/>
    </row>
    <row r="398" ht="15.0" customHeight="1">
      <c r="C398" s="70"/>
      <c r="D398" s="71"/>
      <c r="E398" s="72"/>
      <c r="F398" s="71"/>
      <c r="G398" s="73"/>
      <c r="H398" s="73"/>
      <c r="I398" s="73"/>
      <c r="J398" s="73"/>
      <c r="K398" s="74"/>
      <c r="L398" s="74"/>
      <c r="O398" s="75"/>
    </row>
    <row r="399" ht="15.0" customHeight="1">
      <c r="C399" s="70"/>
      <c r="D399" s="71"/>
      <c r="E399" s="72"/>
      <c r="F399" s="71"/>
      <c r="G399" s="73"/>
      <c r="H399" s="73"/>
      <c r="I399" s="73"/>
      <c r="J399" s="73"/>
      <c r="K399" s="74"/>
      <c r="L399" s="74"/>
      <c r="O399" s="75"/>
    </row>
    <row r="400" ht="15.0" customHeight="1">
      <c r="C400" s="70"/>
      <c r="D400" s="71"/>
      <c r="E400" s="72"/>
      <c r="F400" s="71"/>
      <c r="G400" s="73"/>
      <c r="H400" s="73"/>
      <c r="I400" s="73"/>
      <c r="J400" s="73"/>
      <c r="K400" s="74"/>
      <c r="L400" s="74"/>
      <c r="O400" s="75"/>
    </row>
    <row r="401" ht="15.0" customHeight="1">
      <c r="C401" s="70"/>
      <c r="D401" s="71"/>
      <c r="E401" s="72"/>
      <c r="F401" s="71"/>
      <c r="G401" s="73"/>
      <c r="H401" s="73"/>
      <c r="I401" s="73"/>
      <c r="J401" s="73"/>
      <c r="K401" s="74"/>
      <c r="L401" s="74"/>
      <c r="O401" s="75"/>
    </row>
    <row r="402" ht="15.0" customHeight="1">
      <c r="C402" s="70"/>
      <c r="D402" s="71"/>
      <c r="E402" s="72"/>
      <c r="F402" s="71"/>
      <c r="G402" s="73"/>
      <c r="H402" s="73"/>
      <c r="I402" s="73"/>
      <c r="J402" s="73"/>
      <c r="K402" s="74"/>
      <c r="L402" s="74"/>
      <c r="O402" s="75"/>
    </row>
    <row r="403" ht="15.0" customHeight="1">
      <c r="C403" s="70"/>
      <c r="D403" s="71"/>
      <c r="E403" s="72"/>
      <c r="F403" s="71"/>
      <c r="G403" s="73"/>
      <c r="H403" s="73"/>
      <c r="I403" s="73"/>
      <c r="J403" s="73"/>
      <c r="K403" s="74"/>
      <c r="L403" s="74"/>
      <c r="O403" s="75"/>
    </row>
    <row r="404" ht="15.0" customHeight="1">
      <c r="C404" s="70"/>
      <c r="D404" s="71"/>
      <c r="E404" s="72"/>
      <c r="F404" s="71"/>
      <c r="G404" s="73"/>
      <c r="H404" s="73"/>
      <c r="I404" s="73"/>
      <c r="J404" s="73"/>
      <c r="K404" s="74"/>
      <c r="L404" s="74"/>
      <c r="O404" s="75"/>
    </row>
    <row r="405" ht="15.0" customHeight="1">
      <c r="C405" s="70"/>
      <c r="D405" s="71"/>
      <c r="E405" s="72"/>
      <c r="F405" s="71"/>
      <c r="G405" s="73"/>
      <c r="H405" s="73"/>
      <c r="I405" s="73"/>
      <c r="J405" s="73"/>
      <c r="K405" s="74"/>
      <c r="L405" s="74"/>
      <c r="O405" s="75"/>
    </row>
    <row r="406" ht="15.0" customHeight="1">
      <c r="C406" s="70"/>
      <c r="D406" s="71"/>
      <c r="E406" s="72"/>
      <c r="F406" s="71"/>
      <c r="G406" s="73"/>
      <c r="H406" s="73"/>
      <c r="I406" s="73"/>
      <c r="J406" s="73"/>
      <c r="K406" s="74"/>
      <c r="L406" s="74"/>
      <c r="O406" s="75"/>
    </row>
    <row r="407" ht="15.0" customHeight="1">
      <c r="C407" s="70"/>
      <c r="D407" s="71"/>
      <c r="E407" s="72"/>
      <c r="F407" s="71"/>
      <c r="G407" s="73"/>
      <c r="H407" s="73"/>
      <c r="I407" s="73"/>
      <c r="J407" s="73"/>
      <c r="K407" s="74"/>
      <c r="L407" s="74"/>
      <c r="O407" s="75"/>
    </row>
    <row r="408" ht="15.0" customHeight="1">
      <c r="C408" s="70"/>
      <c r="D408" s="71"/>
      <c r="E408" s="72"/>
      <c r="F408" s="71"/>
      <c r="G408" s="73"/>
      <c r="H408" s="73"/>
      <c r="I408" s="73"/>
      <c r="J408" s="73"/>
      <c r="K408" s="74"/>
      <c r="L408" s="74"/>
      <c r="O408" s="75"/>
    </row>
    <row r="409" ht="15.0" customHeight="1">
      <c r="C409" s="70"/>
      <c r="D409" s="71"/>
      <c r="E409" s="72"/>
      <c r="F409" s="71"/>
      <c r="G409" s="73"/>
      <c r="H409" s="73"/>
      <c r="I409" s="73"/>
      <c r="J409" s="73"/>
      <c r="K409" s="74"/>
      <c r="L409" s="74"/>
      <c r="O409" s="75"/>
    </row>
    <row r="410" ht="15.0" customHeight="1">
      <c r="C410" s="70"/>
      <c r="D410" s="71"/>
      <c r="E410" s="72"/>
      <c r="F410" s="71"/>
      <c r="G410" s="73"/>
      <c r="H410" s="73"/>
      <c r="I410" s="73"/>
      <c r="J410" s="73"/>
      <c r="K410" s="74"/>
      <c r="L410" s="74"/>
      <c r="O410" s="75"/>
    </row>
    <row r="411" ht="15.0" customHeight="1">
      <c r="C411" s="70"/>
      <c r="D411" s="71"/>
      <c r="E411" s="72"/>
      <c r="F411" s="71"/>
      <c r="G411" s="73"/>
      <c r="H411" s="73"/>
      <c r="I411" s="73"/>
      <c r="J411" s="73"/>
      <c r="K411" s="74"/>
      <c r="L411" s="74"/>
      <c r="O411" s="75"/>
    </row>
    <row r="412" ht="15.0" customHeight="1">
      <c r="C412" s="70"/>
      <c r="D412" s="71"/>
      <c r="E412" s="72"/>
      <c r="F412" s="71"/>
      <c r="G412" s="73"/>
      <c r="H412" s="73"/>
      <c r="I412" s="73"/>
      <c r="J412" s="73"/>
      <c r="K412" s="74"/>
      <c r="L412" s="74"/>
      <c r="O412" s="75"/>
    </row>
    <row r="413" ht="15.0" customHeight="1">
      <c r="C413" s="70"/>
      <c r="D413" s="71"/>
      <c r="E413" s="72"/>
      <c r="F413" s="71"/>
      <c r="G413" s="73"/>
      <c r="H413" s="73"/>
      <c r="I413" s="73"/>
      <c r="J413" s="73"/>
      <c r="K413" s="74"/>
      <c r="L413" s="74"/>
      <c r="O413" s="75"/>
    </row>
    <row r="414" ht="15.0" customHeight="1">
      <c r="C414" s="70"/>
      <c r="D414" s="71"/>
      <c r="E414" s="72"/>
      <c r="F414" s="71"/>
      <c r="G414" s="73"/>
      <c r="H414" s="73"/>
      <c r="I414" s="73"/>
      <c r="J414" s="73"/>
      <c r="K414" s="74"/>
      <c r="L414" s="74"/>
      <c r="O414" s="75"/>
    </row>
    <row r="415" ht="15.0" customHeight="1">
      <c r="C415" s="70"/>
      <c r="D415" s="71"/>
      <c r="E415" s="72"/>
      <c r="F415" s="71"/>
      <c r="G415" s="73"/>
      <c r="H415" s="73"/>
      <c r="I415" s="73"/>
      <c r="J415" s="73"/>
      <c r="K415" s="74"/>
      <c r="L415" s="74"/>
      <c r="O415" s="75"/>
    </row>
    <row r="416" ht="15.0" customHeight="1">
      <c r="C416" s="70"/>
      <c r="D416" s="71"/>
      <c r="E416" s="72"/>
      <c r="F416" s="71"/>
      <c r="G416" s="73"/>
      <c r="H416" s="73"/>
      <c r="I416" s="73"/>
      <c r="J416" s="73"/>
      <c r="K416" s="74"/>
      <c r="L416" s="74"/>
      <c r="O416" s="75"/>
    </row>
    <row r="417" ht="15.0" customHeight="1">
      <c r="C417" s="70"/>
      <c r="D417" s="71"/>
      <c r="E417" s="72"/>
      <c r="F417" s="71"/>
      <c r="G417" s="73"/>
      <c r="H417" s="73"/>
      <c r="I417" s="73"/>
      <c r="J417" s="73"/>
      <c r="K417" s="74"/>
      <c r="L417" s="74"/>
      <c r="O417" s="75"/>
    </row>
    <row r="418" ht="15.0" customHeight="1">
      <c r="C418" s="70"/>
      <c r="D418" s="71"/>
      <c r="E418" s="72"/>
      <c r="F418" s="71"/>
      <c r="G418" s="73"/>
      <c r="H418" s="73"/>
      <c r="I418" s="73"/>
      <c r="J418" s="73"/>
      <c r="K418" s="74"/>
      <c r="L418" s="74"/>
      <c r="O418" s="75"/>
    </row>
    <row r="419" ht="15.0" customHeight="1">
      <c r="C419" s="70"/>
      <c r="D419" s="71"/>
      <c r="E419" s="72"/>
      <c r="F419" s="71"/>
      <c r="G419" s="73"/>
      <c r="H419" s="73"/>
      <c r="I419" s="73"/>
      <c r="J419" s="73"/>
      <c r="K419" s="74"/>
      <c r="L419" s="74"/>
      <c r="O419" s="75"/>
    </row>
    <row r="420" ht="15.0" customHeight="1">
      <c r="C420" s="70"/>
      <c r="D420" s="71"/>
      <c r="E420" s="72"/>
      <c r="F420" s="71"/>
      <c r="G420" s="73"/>
      <c r="H420" s="73"/>
      <c r="I420" s="73"/>
      <c r="J420" s="73"/>
      <c r="K420" s="74"/>
      <c r="L420" s="74"/>
      <c r="O420" s="75"/>
    </row>
    <row r="421" ht="15.0" customHeight="1">
      <c r="C421" s="70"/>
      <c r="D421" s="71"/>
      <c r="E421" s="72"/>
      <c r="F421" s="71"/>
      <c r="G421" s="73"/>
      <c r="H421" s="73"/>
      <c r="I421" s="73"/>
      <c r="J421" s="73"/>
      <c r="K421" s="74"/>
      <c r="L421" s="74"/>
      <c r="O421" s="75"/>
    </row>
    <row r="422" ht="15.0" customHeight="1">
      <c r="C422" s="70"/>
      <c r="D422" s="71"/>
      <c r="E422" s="72"/>
      <c r="F422" s="71"/>
      <c r="G422" s="73"/>
      <c r="H422" s="73"/>
      <c r="I422" s="73"/>
      <c r="J422" s="73"/>
      <c r="K422" s="74"/>
      <c r="L422" s="74"/>
      <c r="O422" s="75"/>
    </row>
    <row r="423" ht="15.0" customHeight="1">
      <c r="C423" s="70"/>
      <c r="D423" s="71"/>
      <c r="E423" s="72"/>
      <c r="F423" s="71"/>
      <c r="G423" s="73"/>
      <c r="H423" s="73"/>
      <c r="I423" s="73"/>
      <c r="J423" s="73"/>
      <c r="K423" s="74"/>
      <c r="L423" s="74"/>
      <c r="O423" s="75"/>
    </row>
    <row r="424" ht="15.0" customHeight="1">
      <c r="C424" s="70"/>
      <c r="D424" s="71"/>
      <c r="E424" s="72"/>
      <c r="F424" s="71"/>
      <c r="G424" s="73"/>
      <c r="H424" s="73"/>
      <c r="I424" s="73"/>
      <c r="J424" s="73"/>
      <c r="K424" s="74"/>
      <c r="L424" s="74"/>
      <c r="O424" s="75"/>
    </row>
    <row r="425" ht="15.0" customHeight="1">
      <c r="C425" s="70"/>
      <c r="D425" s="71"/>
      <c r="E425" s="72"/>
      <c r="F425" s="71"/>
      <c r="G425" s="73"/>
      <c r="H425" s="73"/>
      <c r="I425" s="73"/>
      <c r="J425" s="73"/>
      <c r="K425" s="74"/>
      <c r="L425" s="74"/>
      <c r="O425" s="75"/>
    </row>
    <row r="426" ht="15.0" customHeight="1">
      <c r="C426" s="70"/>
      <c r="D426" s="71"/>
      <c r="E426" s="72"/>
      <c r="F426" s="71"/>
      <c r="G426" s="73"/>
      <c r="H426" s="73"/>
      <c r="I426" s="73"/>
      <c r="J426" s="73"/>
      <c r="K426" s="74"/>
      <c r="L426" s="74"/>
      <c r="O426" s="75"/>
    </row>
    <row r="427" ht="15.0" customHeight="1">
      <c r="C427" s="70"/>
      <c r="D427" s="71"/>
      <c r="E427" s="72"/>
      <c r="F427" s="71"/>
      <c r="G427" s="73"/>
      <c r="H427" s="73"/>
      <c r="I427" s="73"/>
      <c r="J427" s="73"/>
      <c r="K427" s="74"/>
      <c r="L427" s="74"/>
      <c r="O427" s="75"/>
    </row>
    <row r="428" ht="15.0" customHeight="1">
      <c r="C428" s="70"/>
      <c r="D428" s="71"/>
      <c r="E428" s="72"/>
      <c r="F428" s="71"/>
      <c r="G428" s="73"/>
      <c r="H428" s="73"/>
      <c r="I428" s="73"/>
      <c r="J428" s="73"/>
      <c r="K428" s="74"/>
      <c r="L428" s="74"/>
      <c r="O428" s="75"/>
    </row>
    <row r="429" ht="15.0" customHeight="1">
      <c r="C429" s="70"/>
      <c r="D429" s="71"/>
      <c r="E429" s="72"/>
      <c r="F429" s="71"/>
      <c r="G429" s="73"/>
      <c r="H429" s="73"/>
      <c r="I429" s="73"/>
      <c r="J429" s="73"/>
      <c r="K429" s="74"/>
      <c r="L429" s="74"/>
      <c r="O429" s="75"/>
    </row>
    <row r="430" ht="15.0" customHeight="1">
      <c r="C430" s="70"/>
      <c r="D430" s="71"/>
      <c r="E430" s="72"/>
      <c r="F430" s="71"/>
      <c r="G430" s="73"/>
      <c r="H430" s="73"/>
      <c r="I430" s="73"/>
      <c r="J430" s="73"/>
      <c r="K430" s="74"/>
      <c r="L430" s="74"/>
      <c r="O430" s="75"/>
    </row>
    <row r="431" ht="15.0" customHeight="1">
      <c r="C431" s="70"/>
      <c r="D431" s="71"/>
      <c r="E431" s="72"/>
      <c r="F431" s="71"/>
      <c r="G431" s="73"/>
      <c r="H431" s="73"/>
      <c r="I431" s="73"/>
      <c r="J431" s="73"/>
      <c r="K431" s="74"/>
      <c r="L431" s="74"/>
      <c r="O431" s="75"/>
    </row>
    <row r="432" ht="15.0" customHeight="1">
      <c r="C432" s="70"/>
      <c r="D432" s="71"/>
      <c r="E432" s="72"/>
      <c r="F432" s="71"/>
      <c r="G432" s="73"/>
      <c r="H432" s="73"/>
      <c r="I432" s="73"/>
      <c r="J432" s="73"/>
      <c r="K432" s="74"/>
      <c r="L432" s="74"/>
      <c r="O432" s="75"/>
    </row>
    <row r="433" ht="15.0" customHeight="1">
      <c r="C433" s="70"/>
      <c r="D433" s="71"/>
      <c r="E433" s="72"/>
      <c r="F433" s="71"/>
      <c r="G433" s="73"/>
      <c r="H433" s="73"/>
      <c r="I433" s="73"/>
      <c r="J433" s="73"/>
      <c r="K433" s="74"/>
      <c r="L433" s="74"/>
      <c r="O433" s="75"/>
    </row>
    <row r="434" ht="15.0" customHeight="1">
      <c r="C434" s="70"/>
      <c r="D434" s="71"/>
      <c r="E434" s="72"/>
      <c r="F434" s="71"/>
      <c r="G434" s="73"/>
      <c r="H434" s="73"/>
      <c r="I434" s="73"/>
      <c r="J434" s="73"/>
      <c r="K434" s="74"/>
      <c r="L434" s="74"/>
      <c r="O434" s="75"/>
    </row>
    <row r="435" ht="15.0" customHeight="1">
      <c r="C435" s="70"/>
      <c r="D435" s="71"/>
      <c r="E435" s="72"/>
      <c r="F435" s="71"/>
      <c r="G435" s="73"/>
      <c r="H435" s="73"/>
      <c r="I435" s="73"/>
      <c r="J435" s="73"/>
      <c r="K435" s="74"/>
      <c r="L435" s="74"/>
      <c r="O435" s="75"/>
    </row>
    <row r="436" ht="15.0" customHeight="1">
      <c r="C436" s="70"/>
      <c r="D436" s="71"/>
      <c r="E436" s="72"/>
      <c r="F436" s="71"/>
      <c r="G436" s="73"/>
      <c r="H436" s="73"/>
      <c r="I436" s="73"/>
      <c r="J436" s="73"/>
      <c r="K436" s="74"/>
      <c r="L436" s="74"/>
      <c r="O436" s="75"/>
    </row>
    <row r="437" ht="15.0" customHeight="1">
      <c r="C437" s="70"/>
      <c r="D437" s="71"/>
      <c r="E437" s="72"/>
      <c r="F437" s="71"/>
      <c r="G437" s="73"/>
      <c r="H437" s="73"/>
      <c r="I437" s="73"/>
      <c r="J437" s="73"/>
      <c r="K437" s="74"/>
      <c r="L437" s="74"/>
      <c r="O437" s="75"/>
    </row>
    <row r="438" ht="15.0" customHeight="1">
      <c r="C438" s="70"/>
      <c r="D438" s="71"/>
      <c r="E438" s="72"/>
      <c r="F438" s="71"/>
      <c r="G438" s="73"/>
      <c r="H438" s="73"/>
      <c r="I438" s="73"/>
      <c r="J438" s="73"/>
      <c r="K438" s="74"/>
      <c r="L438" s="74"/>
      <c r="O438" s="75"/>
    </row>
    <row r="439" ht="15.0" customHeight="1">
      <c r="C439" s="70"/>
      <c r="D439" s="71"/>
      <c r="E439" s="72"/>
      <c r="F439" s="71"/>
      <c r="G439" s="73"/>
      <c r="H439" s="73"/>
      <c r="I439" s="73"/>
      <c r="J439" s="73"/>
      <c r="K439" s="74"/>
      <c r="L439" s="74"/>
      <c r="O439" s="75"/>
    </row>
    <row r="440" ht="15.0" customHeight="1">
      <c r="C440" s="70"/>
      <c r="D440" s="71"/>
      <c r="E440" s="72"/>
      <c r="F440" s="71"/>
      <c r="G440" s="73"/>
      <c r="H440" s="73"/>
      <c r="I440" s="73"/>
      <c r="J440" s="73"/>
      <c r="K440" s="74"/>
      <c r="L440" s="74"/>
      <c r="O440" s="75"/>
    </row>
    <row r="441" ht="15.0" customHeight="1">
      <c r="C441" s="70"/>
      <c r="D441" s="71"/>
      <c r="E441" s="72"/>
      <c r="F441" s="71"/>
      <c r="G441" s="73"/>
      <c r="H441" s="73"/>
      <c r="I441" s="73"/>
      <c r="J441" s="73"/>
      <c r="K441" s="74"/>
      <c r="L441" s="74"/>
      <c r="O441" s="75"/>
    </row>
    <row r="442" ht="15.0" customHeight="1">
      <c r="C442" s="70"/>
      <c r="D442" s="71"/>
      <c r="E442" s="72"/>
      <c r="F442" s="71"/>
      <c r="G442" s="73"/>
      <c r="H442" s="73"/>
      <c r="I442" s="73"/>
      <c r="J442" s="73"/>
      <c r="K442" s="74"/>
      <c r="L442" s="74"/>
      <c r="O442" s="75"/>
    </row>
    <row r="443" ht="15.0" customHeight="1">
      <c r="C443" s="70"/>
      <c r="D443" s="71"/>
      <c r="E443" s="72"/>
      <c r="F443" s="71"/>
      <c r="G443" s="73"/>
      <c r="H443" s="73"/>
      <c r="I443" s="73"/>
      <c r="J443" s="73"/>
      <c r="K443" s="74"/>
      <c r="L443" s="74"/>
      <c r="O443" s="75"/>
    </row>
    <row r="444" ht="15.0" customHeight="1">
      <c r="C444" s="70"/>
      <c r="D444" s="71"/>
      <c r="E444" s="72"/>
      <c r="F444" s="71"/>
      <c r="G444" s="73"/>
      <c r="H444" s="73"/>
      <c r="I444" s="73"/>
      <c r="J444" s="73"/>
      <c r="K444" s="74"/>
      <c r="L444" s="74"/>
      <c r="O444" s="75"/>
    </row>
    <row r="445" ht="15.0" customHeight="1">
      <c r="C445" s="70"/>
      <c r="D445" s="71"/>
      <c r="E445" s="72"/>
      <c r="F445" s="71"/>
      <c r="G445" s="73"/>
      <c r="H445" s="73"/>
      <c r="I445" s="73"/>
      <c r="J445" s="73"/>
      <c r="K445" s="74"/>
      <c r="L445" s="74"/>
      <c r="O445" s="75"/>
    </row>
    <row r="446" ht="15.0" customHeight="1">
      <c r="C446" s="70"/>
      <c r="D446" s="71"/>
      <c r="E446" s="72"/>
      <c r="F446" s="71"/>
      <c r="G446" s="73"/>
      <c r="H446" s="73"/>
      <c r="I446" s="73"/>
      <c r="J446" s="73"/>
      <c r="K446" s="74"/>
      <c r="L446" s="74"/>
      <c r="O446" s="75"/>
    </row>
    <row r="447" ht="15.0" customHeight="1">
      <c r="C447" s="70"/>
      <c r="D447" s="71"/>
      <c r="E447" s="72"/>
      <c r="F447" s="71"/>
      <c r="G447" s="73"/>
      <c r="H447" s="73"/>
      <c r="I447" s="73"/>
      <c r="J447" s="73"/>
      <c r="K447" s="74"/>
      <c r="L447" s="74"/>
      <c r="O447" s="75"/>
    </row>
    <row r="448" ht="15.0" customHeight="1">
      <c r="C448" s="70"/>
      <c r="D448" s="71"/>
      <c r="E448" s="72"/>
      <c r="F448" s="71"/>
      <c r="G448" s="73"/>
      <c r="H448" s="73"/>
      <c r="I448" s="73"/>
      <c r="J448" s="73"/>
      <c r="K448" s="74"/>
      <c r="L448" s="74"/>
      <c r="O448" s="75"/>
    </row>
    <row r="449" ht="15.0" customHeight="1">
      <c r="C449" s="70"/>
      <c r="D449" s="71"/>
      <c r="E449" s="72"/>
      <c r="F449" s="71"/>
      <c r="G449" s="73"/>
      <c r="H449" s="73"/>
      <c r="I449" s="73"/>
      <c r="J449" s="73"/>
      <c r="K449" s="74"/>
      <c r="L449" s="74"/>
      <c r="O449" s="75"/>
    </row>
    <row r="450" ht="15.0" customHeight="1">
      <c r="C450" s="70"/>
      <c r="D450" s="71"/>
      <c r="E450" s="72"/>
      <c r="F450" s="71"/>
      <c r="G450" s="73"/>
      <c r="H450" s="73"/>
      <c r="I450" s="73"/>
      <c r="J450" s="73"/>
      <c r="K450" s="74"/>
      <c r="L450" s="74"/>
      <c r="O450" s="75"/>
    </row>
    <row r="451" ht="15.0" customHeight="1">
      <c r="C451" s="70"/>
      <c r="D451" s="71"/>
      <c r="E451" s="72"/>
      <c r="F451" s="71"/>
      <c r="G451" s="73"/>
      <c r="H451" s="73"/>
      <c r="I451" s="73"/>
      <c r="J451" s="73"/>
      <c r="K451" s="74"/>
      <c r="L451" s="74"/>
      <c r="O451" s="75"/>
    </row>
    <row r="452" ht="15.0" customHeight="1">
      <c r="C452" s="70"/>
      <c r="D452" s="71"/>
      <c r="E452" s="72"/>
      <c r="F452" s="71"/>
      <c r="G452" s="73"/>
      <c r="H452" s="73"/>
      <c r="I452" s="73"/>
      <c r="J452" s="73"/>
      <c r="K452" s="74"/>
      <c r="L452" s="74"/>
      <c r="O452" s="75"/>
    </row>
    <row r="453" ht="15.0" customHeight="1">
      <c r="C453" s="70"/>
      <c r="D453" s="71"/>
      <c r="E453" s="72"/>
      <c r="F453" s="71"/>
      <c r="G453" s="73"/>
      <c r="H453" s="73"/>
      <c r="I453" s="73"/>
      <c r="J453" s="73"/>
      <c r="K453" s="74"/>
      <c r="L453" s="74"/>
      <c r="O453" s="75"/>
    </row>
    <row r="454" ht="15.0" customHeight="1">
      <c r="C454" s="70"/>
      <c r="D454" s="71"/>
      <c r="E454" s="72"/>
      <c r="F454" s="71"/>
      <c r="G454" s="73"/>
      <c r="H454" s="73"/>
      <c r="I454" s="73"/>
      <c r="J454" s="73"/>
      <c r="K454" s="74"/>
      <c r="L454" s="74"/>
      <c r="O454" s="75"/>
    </row>
    <row r="455" ht="15.0" customHeight="1">
      <c r="C455" s="70"/>
      <c r="D455" s="71"/>
      <c r="E455" s="72"/>
      <c r="F455" s="71"/>
      <c r="G455" s="73"/>
      <c r="H455" s="73"/>
      <c r="I455" s="73"/>
      <c r="J455" s="73"/>
      <c r="K455" s="74"/>
      <c r="L455" s="74"/>
      <c r="O455" s="75"/>
    </row>
    <row r="456" ht="15.0" customHeight="1">
      <c r="C456" s="70"/>
      <c r="D456" s="71"/>
      <c r="E456" s="72"/>
      <c r="F456" s="71"/>
      <c r="G456" s="73"/>
      <c r="H456" s="73"/>
      <c r="I456" s="73"/>
      <c r="J456" s="73"/>
      <c r="K456" s="74"/>
      <c r="L456" s="74"/>
      <c r="O456" s="75"/>
    </row>
    <row r="457" ht="15.0" customHeight="1">
      <c r="C457" s="70"/>
      <c r="D457" s="71"/>
      <c r="E457" s="72"/>
      <c r="F457" s="71"/>
      <c r="G457" s="73"/>
      <c r="H457" s="73"/>
      <c r="I457" s="73"/>
      <c r="J457" s="73"/>
      <c r="K457" s="74"/>
      <c r="L457" s="74"/>
      <c r="O457" s="75"/>
    </row>
    <row r="458" ht="15.0" customHeight="1">
      <c r="C458" s="70"/>
      <c r="D458" s="71"/>
      <c r="E458" s="72"/>
      <c r="F458" s="71"/>
      <c r="G458" s="73"/>
      <c r="H458" s="73"/>
      <c r="I458" s="73"/>
      <c r="J458" s="73"/>
      <c r="K458" s="74"/>
      <c r="L458" s="74"/>
      <c r="O458" s="75"/>
    </row>
    <row r="459" ht="15.0" customHeight="1">
      <c r="C459" s="70"/>
      <c r="D459" s="71"/>
      <c r="E459" s="72"/>
      <c r="F459" s="71"/>
      <c r="G459" s="73"/>
      <c r="H459" s="73"/>
      <c r="I459" s="73"/>
      <c r="J459" s="73"/>
      <c r="K459" s="74"/>
      <c r="L459" s="74"/>
      <c r="O459" s="75"/>
    </row>
    <row r="460" ht="15.0" customHeight="1">
      <c r="C460" s="70"/>
      <c r="D460" s="71"/>
      <c r="E460" s="72"/>
      <c r="F460" s="71"/>
      <c r="G460" s="73"/>
      <c r="H460" s="73"/>
      <c r="I460" s="73"/>
      <c r="J460" s="73"/>
      <c r="K460" s="74"/>
      <c r="L460" s="74"/>
      <c r="O460" s="75"/>
    </row>
    <row r="461" ht="15.0" customHeight="1">
      <c r="C461" s="70"/>
      <c r="D461" s="71"/>
      <c r="E461" s="72"/>
      <c r="F461" s="71"/>
      <c r="G461" s="73"/>
      <c r="H461" s="73"/>
      <c r="I461" s="73"/>
      <c r="J461" s="73"/>
      <c r="K461" s="74"/>
      <c r="L461" s="74"/>
      <c r="O461" s="75"/>
    </row>
    <row r="462" ht="15.0" customHeight="1">
      <c r="C462" s="70"/>
      <c r="D462" s="71"/>
      <c r="E462" s="72"/>
      <c r="F462" s="71"/>
      <c r="G462" s="73"/>
      <c r="H462" s="73"/>
      <c r="I462" s="73"/>
      <c r="J462" s="73"/>
      <c r="K462" s="74"/>
      <c r="L462" s="74"/>
      <c r="O462" s="75"/>
    </row>
    <row r="463" ht="15.0" customHeight="1">
      <c r="C463" s="70"/>
      <c r="D463" s="71"/>
      <c r="E463" s="72"/>
      <c r="F463" s="71"/>
      <c r="G463" s="73"/>
      <c r="H463" s="73"/>
      <c r="I463" s="73"/>
      <c r="J463" s="73"/>
      <c r="K463" s="74"/>
      <c r="L463" s="74"/>
      <c r="O463" s="75"/>
    </row>
    <row r="464" ht="15.0" customHeight="1">
      <c r="C464" s="70"/>
      <c r="D464" s="71"/>
      <c r="E464" s="72"/>
      <c r="F464" s="71"/>
      <c r="G464" s="73"/>
      <c r="H464" s="73"/>
      <c r="I464" s="73"/>
      <c r="J464" s="73"/>
      <c r="K464" s="74"/>
      <c r="L464" s="74"/>
      <c r="O464" s="75"/>
    </row>
    <row r="465" ht="15.0" customHeight="1">
      <c r="C465" s="70"/>
      <c r="D465" s="71"/>
      <c r="E465" s="72"/>
      <c r="F465" s="71"/>
      <c r="G465" s="73"/>
      <c r="H465" s="73"/>
      <c r="I465" s="73"/>
      <c r="J465" s="73"/>
      <c r="K465" s="74"/>
      <c r="L465" s="74"/>
      <c r="O465" s="75"/>
    </row>
    <row r="466" ht="15.0" customHeight="1">
      <c r="C466" s="70"/>
      <c r="D466" s="71"/>
      <c r="E466" s="72"/>
      <c r="F466" s="71"/>
      <c r="G466" s="73"/>
      <c r="H466" s="73"/>
      <c r="I466" s="73"/>
      <c r="J466" s="73"/>
      <c r="K466" s="74"/>
      <c r="L466" s="74"/>
      <c r="O466" s="75"/>
    </row>
    <row r="467" ht="15.0" customHeight="1">
      <c r="C467" s="70"/>
      <c r="D467" s="71"/>
      <c r="E467" s="72"/>
      <c r="F467" s="71"/>
      <c r="G467" s="73"/>
      <c r="H467" s="73"/>
      <c r="I467" s="73"/>
      <c r="J467" s="73"/>
      <c r="K467" s="74"/>
      <c r="L467" s="74"/>
      <c r="O467" s="75"/>
    </row>
    <row r="468" ht="15.0" customHeight="1">
      <c r="C468" s="70"/>
      <c r="D468" s="71"/>
      <c r="E468" s="72"/>
      <c r="F468" s="71"/>
      <c r="G468" s="73"/>
      <c r="H468" s="73"/>
      <c r="I468" s="73"/>
      <c r="J468" s="73"/>
      <c r="K468" s="74"/>
      <c r="L468" s="74"/>
      <c r="O468" s="75"/>
    </row>
    <row r="469" ht="15.0" customHeight="1">
      <c r="C469" s="70"/>
      <c r="D469" s="71"/>
      <c r="E469" s="72"/>
      <c r="F469" s="71"/>
      <c r="G469" s="73"/>
      <c r="H469" s="73"/>
      <c r="I469" s="73"/>
      <c r="J469" s="73"/>
      <c r="K469" s="74"/>
      <c r="L469" s="74"/>
      <c r="O469" s="75"/>
    </row>
    <row r="470" ht="15.0" customHeight="1">
      <c r="C470" s="70"/>
      <c r="D470" s="71"/>
      <c r="E470" s="72"/>
      <c r="F470" s="71"/>
      <c r="G470" s="73"/>
      <c r="H470" s="73"/>
      <c r="I470" s="73"/>
      <c r="J470" s="73"/>
      <c r="K470" s="74"/>
      <c r="L470" s="74"/>
      <c r="O470" s="75"/>
    </row>
    <row r="471" ht="15.0" customHeight="1">
      <c r="C471" s="70"/>
      <c r="D471" s="71"/>
      <c r="E471" s="72"/>
      <c r="F471" s="71"/>
      <c r="G471" s="73"/>
      <c r="H471" s="73"/>
      <c r="I471" s="73"/>
      <c r="J471" s="73"/>
      <c r="K471" s="74"/>
      <c r="L471" s="74"/>
      <c r="O471" s="75"/>
    </row>
    <row r="472" ht="15.0" customHeight="1">
      <c r="C472" s="70"/>
      <c r="D472" s="71"/>
      <c r="E472" s="72"/>
      <c r="F472" s="71"/>
      <c r="G472" s="73"/>
      <c r="H472" s="73"/>
      <c r="I472" s="73"/>
      <c r="J472" s="73"/>
      <c r="K472" s="74"/>
      <c r="L472" s="74"/>
      <c r="O472" s="75"/>
    </row>
    <row r="473" ht="15.0" customHeight="1">
      <c r="C473" s="70"/>
      <c r="D473" s="71"/>
      <c r="E473" s="72"/>
      <c r="F473" s="71"/>
      <c r="G473" s="73"/>
      <c r="H473" s="73"/>
      <c r="I473" s="73"/>
      <c r="J473" s="73"/>
      <c r="K473" s="74"/>
      <c r="L473" s="74"/>
      <c r="O473" s="75"/>
    </row>
    <row r="474" ht="15.0" customHeight="1">
      <c r="C474" s="70"/>
      <c r="D474" s="71"/>
      <c r="E474" s="72"/>
      <c r="F474" s="71"/>
      <c r="G474" s="73"/>
      <c r="H474" s="73"/>
      <c r="I474" s="73"/>
      <c r="J474" s="73"/>
      <c r="K474" s="74"/>
      <c r="L474" s="74"/>
      <c r="O474" s="75"/>
    </row>
    <row r="475" ht="15.0" customHeight="1">
      <c r="C475" s="70"/>
      <c r="D475" s="71"/>
      <c r="E475" s="72"/>
      <c r="F475" s="71"/>
      <c r="G475" s="73"/>
      <c r="H475" s="73"/>
      <c r="I475" s="73"/>
      <c r="J475" s="73"/>
      <c r="K475" s="74"/>
      <c r="L475" s="74"/>
      <c r="O475" s="75"/>
    </row>
    <row r="476" ht="15.0" customHeight="1">
      <c r="C476" s="70"/>
      <c r="D476" s="71"/>
      <c r="E476" s="72"/>
      <c r="F476" s="71"/>
      <c r="G476" s="73"/>
      <c r="H476" s="73"/>
      <c r="I476" s="73"/>
      <c r="J476" s="73"/>
      <c r="K476" s="74"/>
      <c r="L476" s="74"/>
      <c r="O476" s="75"/>
    </row>
    <row r="477" ht="15.0" customHeight="1">
      <c r="C477" s="70"/>
      <c r="D477" s="71"/>
      <c r="E477" s="72"/>
      <c r="F477" s="71"/>
      <c r="G477" s="73"/>
      <c r="H477" s="73"/>
      <c r="I477" s="73"/>
      <c r="J477" s="73"/>
      <c r="K477" s="74"/>
      <c r="L477" s="74"/>
      <c r="O477" s="75"/>
    </row>
    <row r="478" ht="15.0" customHeight="1">
      <c r="C478" s="70"/>
      <c r="D478" s="71"/>
      <c r="E478" s="72"/>
      <c r="F478" s="71"/>
      <c r="G478" s="73"/>
      <c r="H478" s="73"/>
      <c r="I478" s="73"/>
      <c r="J478" s="73"/>
      <c r="K478" s="74"/>
      <c r="L478" s="74"/>
      <c r="O478" s="75"/>
    </row>
    <row r="479" ht="15.0" customHeight="1">
      <c r="C479" s="70"/>
      <c r="D479" s="71"/>
      <c r="E479" s="72"/>
      <c r="F479" s="71"/>
      <c r="G479" s="73"/>
      <c r="H479" s="73"/>
      <c r="I479" s="73"/>
      <c r="J479" s="73"/>
      <c r="K479" s="74"/>
      <c r="L479" s="74"/>
      <c r="O479" s="75"/>
    </row>
    <row r="480" ht="15.0" customHeight="1">
      <c r="C480" s="70"/>
      <c r="D480" s="71"/>
      <c r="E480" s="72"/>
      <c r="F480" s="71"/>
      <c r="G480" s="73"/>
      <c r="H480" s="73"/>
      <c r="I480" s="73"/>
      <c r="J480" s="73"/>
      <c r="K480" s="74"/>
      <c r="L480" s="74"/>
      <c r="O480" s="75"/>
    </row>
    <row r="481" ht="15.0" customHeight="1">
      <c r="C481" s="70"/>
      <c r="D481" s="71"/>
      <c r="E481" s="72"/>
      <c r="F481" s="71"/>
      <c r="G481" s="73"/>
      <c r="H481" s="73"/>
      <c r="I481" s="73"/>
      <c r="J481" s="73"/>
      <c r="K481" s="74"/>
      <c r="L481" s="74"/>
      <c r="O481" s="75"/>
    </row>
    <row r="482" ht="15.0" customHeight="1">
      <c r="C482" s="70"/>
      <c r="D482" s="71"/>
      <c r="E482" s="72"/>
      <c r="F482" s="71"/>
      <c r="G482" s="73"/>
      <c r="H482" s="73"/>
      <c r="I482" s="73"/>
      <c r="J482" s="73"/>
      <c r="K482" s="74"/>
      <c r="L482" s="74"/>
      <c r="O482" s="75"/>
    </row>
    <row r="483" ht="15.0" customHeight="1">
      <c r="C483" s="70"/>
      <c r="D483" s="71"/>
      <c r="E483" s="72"/>
      <c r="F483" s="71"/>
      <c r="G483" s="73"/>
      <c r="H483" s="73"/>
      <c r="I483" s="73"/>
      <c r="J483" s="73"/>
      <c r="K483" s="74"/>
      <c r="L483" s="74"/>
      <c r="O483" s="75"/>
    </row>
    <row r="484" ht="15.0" customHeight="1">
      <c r="C484" s="70"/>
      <c r="D484" s="71"/>
      <c r="E484" s="72"/>
      <c r="F484" s="71"/>
      <c r="G484" s="73"/>
      <c r="H484" s="73"/>
      <c r="I484" s="73"/>
      <c r="J484" s="73"/>
      <c r="K484" s="74"/>
      <c r="L484" s="74"/>
      <c r="O484" s="75"/>
    </row>
    <row r="485" ht="15.0" customHeight="1">
      <c r="C485" s="70"/>
      <c r="D485" s="71"/>
      <c r="E485" s="72"/>
      <c r="F485" s="71"/>
      <c r="G485" s="73"/>
      <c r="H485" s="73"/>
      <c r="I485" s="73"/>
      <c r="J485" s="73"/>
      <c r="K485" s="74"/>
      <c r="L485" s="74"/>
      <c r="O485" s="75"/>
    </row>
    <row r="486" ht="15.0" customHeight="1">
      <c r="C486" s="70"/>
      <c r="D486" s="71"/>
      <c r="E486" s="72"/>
      <c r="F486" s="71"/>
      <c r="G486" s="73"/>
      <c r="H486" s="73"/>
      <c r="I486" s="73"/>
      <c r="J486" s="73"/>
      <c r="K486" s="74"/>
      <c r="L486" s="74"/>
      <c r="O486" s="75"/>
    </row>
    <row r="487" ht="15.0" customHeight="1">
      <c r="C487" s="70"/>
      <c r="D487" s="71"/>
      <c r="E487" s="72"/>
      <c r="F487" s="71"/>
      <c r="G487" s="73"/>
      <c r="H487" s="73"/>
      <c r="I487" s="73"/>
      <c r="J487" s="73"/>
      <c r="K487" s="74"/>
      <c r="L487" s="74"/>
      <c r="O487" s="75"/>
    </row>
    <row r="488" ht="15.0" customHeight="1">
      <c r="C488" s="70"/>
      <c r="D488" s="71"/>
      <c r="E488" s="72"/>
      <c r="F488" s="71"/>
      <c r="G488" s="73"/>
      <c r="H488" s="73"/>
      <c r="I488" s="73"/>
      <c r="J488" s="73"/>
      <c r="K488" s="74"/>
      <c r="L488" s="74"/>
      <c r="O488" s="75"/>
    </row>
    <row r="489" ht="15.0" customHeight="1">
      <c r="C489" s="70"/>
      <c r="D489" s="71"/>
      <c r="E489" s="72"/>
      <c r="F489" s="71"/>
      <c r="G489" s="73"/>
      <c r="H489" s="73"/>
      <c r="I489" s="73"/>
      <c r="J489" s="73"/>
      <c r="K489" s="74"/>
      <c r="L489" s="74"/>
      <c r="O489" s="75"/>
    </row>
    <row r="490" ht="15.0" customHeight="1">
      <c r="C490" s="70"/>
      <c r="D490" s="71"/>
      <c r="E490" s="72"/>
      <c r="F490" s="71"/>
      <c r="G490" s="73"/>
      <c r="H490" s="73"/>
      <c r="I490" s="73"/>
      <c r="J490" s="73"/>
      <c r="K490" s="74"/>
      <c r="L490" s="74"/>
      <c r="O490" s="75"/>
    </row>
    <row r="491" ht="15.0" customHeight="1">
      <c r="C491" s="70"/>
      <c r="D491" s="71"/>
      <c r="E491" s="72"/>
      <c r="F491" s="71"/>
      <c r="G491" s="73"/>
      <c r="H491" s="73"/>
      <c r="I491" s="73"/>
      <c r="J491" s="73"/>
      <c r="K491" s="74"/>
      <c r="L491" s="74"/>
      <c r="O491" s="75"/>
    </row>
    <row r="492" ht="15.0" customHeight="1">
      <c r="C492" s="70"/>
      <c r="D492" s="71"/>
      <c r="E492" s="72"/>
      <c r="F492" s="71"/>
      <c r="G492" s="73"/>
      <c r="H492" s="73"/>
      <c r="I492" s="73"/>
      <c r="J492" s="73"/>
      <c r="K492" s="74"/>
      <c r="L492" s="74"/>
      <c r="O492" s="75"/>
    </row>
    <row r="493" ht="15.0" customHeight="1">
      <c r="C493" s="70"/>
      <c r="D493" s="71"/>
      <c r="E493" s="72"/>
      <c r="F493" s="71"/>
      <c r="G493" s="73"/>
      <c r="H493" s="73"/>
      <c r="I493" s="73"/>
      <c r="J493" s="73"/>
      <c r="K493" s="74"/>
      <c r="L493" s="74"/>
      <c r="O493" s="75"/>
    </row>
    <row r="494" ht="15.0" customHeight="1">
      <c r="C494" s="70"/>
      <c r="D494" s="71"/>
      <c r="E494" s="72"/>
      <c r="F494" s="71"/>
      <c r="G494" s="73"/>
      <c r="H494" s="73"/>
      <c r="I494" s="73"/>
      <c r="J494" s="73"/>
      <c r="K494" s="74"/>
      <c r="L494" s="74"/>
      <c r="O494" s="75"/>
    </row>
    <row r="495" ht="15.0" customHeight="1">
      <c r="C495" s="70"/>
      <c r="D495" s="71"/>
      <c r="E495" s="72"/>
      <c r="F495" s="71"/>
      <c r="G495" s="73"/>
      <c r="H495" s="73"/>
      <c r="I495" s="73"/>
      <c r="J495" s="73"/>
      <c r="K495" s="74"/>
      <c r="L495" s="74"/>
      <c r="O495" s="75"/>
    </row>
    <row r="496" ht="15.0" customHeight="1">
      <c r="C496" s="70"/>
      <c r="D496" s="71"/>
      <c r="E496" s="72"/>
      <c r="F496" s="71"/>
      <c r="G496" s="73"/>
      <c r="H496" s="73"/>
      <c r="I496" s="73"/>
      <c r="J496" s="73"/>
      <c r="K496" s="74"/>
      <c r="L496" s="74"/>
      <c r="O496" s="75"/>
    </row>
    <row r="497" ht="15.0" customHeight="1">
      <c r="C497" s="70"/>
      <c r="D497" s="71"/>
      <c r="E497" s="72"/>
      <c r="F497" s="71"/>
      <c r="G497" s="73"/>
      <c r="H497" s="73"/>
      <c r="I497" s="73"/>
      <c r="J497" s="73"/>
      <c r="K497" s="74"/>
      <c r="L497" s="74"/>
      <c r="O497" s="75"/>
    </row>
    <row r="498" ht="15.0" customHeight="1">
      <c r="C498" s="70"/>
      <c r="D498" s="71"/>
      <c r="E498" s="72"/>
      <c r="F498" s="71"/>
      <c r="G498" s="73"/>
      <c r="H498" s="73"/>
      <c r="I498" s="73"/>
      <c r="J498" s="73"/>
      <c r="K498" s="74"/>
      <c r="L498" s="74"/>
      <c r="O498" s="75"/>
    </row>
    <row r="499" ht="15.0" customHeight="1">
      <c r="C499" s="70"/>
      <c r="D499" s="71"/>
      <c r="E499" s="72"/>
      <c r="F499" s="71"/>
      <c r="G499" s="73"/>
      <c r="H499" s="73"/>
      <c r="I499" s="73"/>
      <c r="J499" s="73"/>
      <c r="K499" s="74"/>
      <c r="L499" s="74"/>
      <c r="O499" s="75"/>
    </row>
    <row r="500" ht="15.0" customHeight="1">
      <c r="C500" s="70"/>
      <c r="D500" s="71"/>
      <c r="E500" s="72"/>
      <c r="F500" s="71"/>
      <c r="G500" s="73"/>
      <c r="H500" s="73"/>
      <c r="I500" s="73"/>
      <c r="J500" s="73"/>
      <c r="K500" s="74"/>
      <c r="L500" s="74"/>
      <c r="O500" s="75"/>
    </row>
    <row r="501" ht="15.0" customHeight="1">
      <c r="C501" s="70"/>
      <c r="D501" s="71"/>
      <c r="E501" s="72"/>
      <c r="F501" s="71"/>
      <c r="G501" s="73"/>
      <c r="H501" s="73"/>
      <c r="I501" s="73"/>
      <c r="J501" s="73"/>
      <c r="K501" s="74"/>
      <c r="L501" s="74"/>
      <c r="O501" s="75"/>
    </row>
    <row r="502" ht="15.0" customHeight="1">
      <c r="C502" s="70"/>
      <c r="D502" s="71"/>
      <c r="E502" s="72"/>
      <c r="F502" s="71"/>
      <c r="G502" s="73"/>
      <c r="H502" s="73"/>
      <c r="I502" s="73"/>
      <c r="J502" s="73"/>
      <c r="K502" s="74"/>
      <c r="L502" s="74"/>
      <c r="O502" s="75"/>
    </row>
    <row r="503" ht="15.0" customHeight="1">
      <c r="C503" s="70"/>
      <c r="D503" s="71"/>
      <c r="E503" s="72"/>
      <c r="F503" s="71"/>
      <c r="G503" s="73"/>
      <c r="H503" s="73"/>
      <c r="I503" s="73"/>
      <c r="J503" s="73"/>
      <c r="K503" s="74"/>
      <c r="L503" s="74"/>
      <c r="O503" s="75"/>
    </row>
    <row r="504" ht="15.0" customHeight="1">
      <c r="C504" s="70"/>
      <c r="D504" s="71"/>
      <c r="E504" s="72"/>
      <c r="F504" s="71"/>
      <c r="G504" s="73"/>
      <c r="H504" s="73"/>
      <c r="I504" s="73"/>
      <c r="J504" s="73"/>
      <c r="K504" s="74"/>
      <c r="L504" s="74"/>
      <c r="O504" s="75"/>
    </row>
    <row r="505" ht="15.0" customHeight="1">
      <c r="C505" s="70"/>
      <c r="D505" s="71"/>
      <c r="E505" s="72"/>
      <c r="F505" s="71"/>
      <c r="G505" s="73"/>
      <c r="H505" s="73"/>
      <c r="I505" s="73"/>
      <c r="J505" s="73"/>
      <c r="K505" s="74"/>
      <c r="L505" s="74"/>
      <c r="O505" s="75"/>
    </row>
    <row r="506" ht="15.0" customHeight="1">
      <c r="C506" s="70"/>
      <c r="D506" s="71"/>
      <c r="E506" s="72"/>
      <c r="F506" s="71"/>
      <c r="G506" s="73"/>
      <c r="H506" s="73"/>
      <c r="I506" s="73"/>
      <c r="J506" s="73"/>
      <c r="K506" s="74"/>
      <c r="L506" s="74"/>
      <c r="O506" s="75"/>
    </row>
    <row r="507" ht="15.0" customHeight="1">
      <c r="C507" s="70"/>
      <c r="D507" s="71"/>
      <c r="E507" s="72"/>
      <c r="F507" s="71"/>
      <c r="G507" s="73"/>
      <c r="H507" s="73"/>
      <c r="I507" s="73"/>
      <c r="J507" s="73"/>
      <c r="K507" s="74"/>
      <c r="L507" s="74"/>
      <c r="O507" s="75"/>
    </row>
    <row r="508" ht="15.0" customHeight="1">
      <c r="C508" s="70"/>
      <c r="D508" s="71"/>
      <c r="E508" s="72"/>
      <c r="F508" s="71"/>
      <c r="G508" s="73"/>
      <c r="H508" s="73"/>
      <c r="I508" s="73"/>
      <c r="J508" s="73"/>
      <c r="K508" s="74"/>
      <c r="L508" s="74"/>
      <c r="O508" s="75"/>
    </row>
    <row r="509" ht="15.0" customHeight="1">
      <c r="C509" s="70"/>
      <c r="D509" s="71"/>
      <c r="E509" s="72"/>
      <c r="F509" s="71"/>
      <c r="G509" s="73"/>
      <c r="H509" s="73"/>
      <c r="I509" s="73"/>
      <c r="J509" s="73"/>
      <c r="K509" s="74"/>
      <c r="L509" s="74"/>
      <c r="O509" s="75"/>
    </row>
    <row r="510" ht="15.0" customHeight="1">
      <c r="C510" s="70"/>
      <c r="D510" s="71"/>
      <c r="E510" s="72"/>
      <c r="F510" s="71"/>
      <c r="G510" s="73"/>
      <c r="H510" s="73"/>
      <c r="I510" s="73"/>
      <c r="J510" s="73"/>
      <c r="K510" s="74"/>
      <c r="L510" s="74"/>
      <c r="O510" s="75"/>
    </row>
    <row r="511" ht="15.0" customHeight="1">
      <c r="C511" s="70"/>
      <c r="D511" s="71"/>
      <c r="E511" s="72"/>
      <c r="F511" s="71"/>
      <c r="G511" s="73"/>
      <c r="H511" s="73"/>
      <c r="I511" s="73"/>
      <c r="J511" s="73"/>
      <c r="K511" s="74"/>
      <c r="L511" s="74"/>
      <c r="O511" s="75"/>
    </row>
    <row r="512" ht="15.0" customHeight="1">
      <c r="C512" s="70"/>
      <c r="D512" s="71"/>
      <c r="E512" s="72"/>
      <c r="F512" s="71"/>
      <c r="G512" s="73"/>
      <c r="H512" s="73"/>
      <c r="I512" s="73"/>
      <c r="J512" s="73"/>
      <c r="K512" s="74"/>
      <c r="L512" s="74"/>
      <c r="O512" s="75"/>
    </row>
    <row r="513" ht="15.0" customHeight="1">
      <c r="C513" s="70"/>
      <c r="D513" s="71"/>
      <c r="E513" s="72"/>
      <c r="F513" s="71"/>
      <c r="G513" s="73"/>
      <c r="H513" s="73"/>
      <c r="I513" s="73"/>
      <c r="J513" s="73"/>
      <c r="K513" s="74"/>
      <c r="L513" s="74"/>
      <c r="O513" s="75"/>
    </row>
    <row r="514" ht="15.0" customHeight="1">
      <c r="C514" s="70"/>
      <c r="D514" s="71"/>
      <c r="E514" s="72"/>
      <c r="F514" s="71"/>
      <c r="G514" s="73"/>
      <c r="H514" s="73"/>
      <c r="I514" s="73"/>
      <c r="J514" s="73"/>
      <c r="K514" s="74"/>
      <c r="L514" s="74"/>
      <c r="O514" s="75"/>
    </row>
    <row r="515" ht="15.0" customHeight="1">
      <c r="C515" s="70"/>
      <c r="D515" s="71"/>
      <c r="E515" s="72"/>
      <c r="F515" s="71"/>
      <c r="G515" s="73"/>
      <c r="H515" s="73"/>
      <c r="I515" s="73"/>
      <c r="J515" s="73"/>
      <c r="K515" s="74"/>
      <c r="L515" s="74"/>
      <c r="O515" s="75"/>
    </row>
    <row r="516" ht="15.0" customHeight="1">
      <c r="C516" s="70"/>
      <c r="D516" s="71"/>
      <c r="E516" s="72"/>
      <c r="F516" s="71"/>
      <c r="G516" s="73"/>
      <c r="H516" s="73"/>
      <c r="I516" s="73"/>
      <c r="J516" s="73"/>
      <c r="K516" s="74"/>
      <c r="L516" s="74"/>
      <c r="O516" s="75"/>
    </row>
    <row r="517" ht="15.0" customHeight="1">
      <c r="C517" s="70"/>
      <c r="D517" s="71"/>
      <c r="E517" s="72"/>
      <c r="F517" s="71"/>
      <c r="G517" s="73"/>
      <c r="H517" s="73"/>
      <c r="I517" s="73"/>
      <c r="J517" s="73"/>
      <c r="K517" s="74"/>
      <c r="L517" s="74"/>
      <c r="O517" s="75"/>
    </row>
    <row r="518" ht="15.0" customHeight="1">
      <c r="C518" s="70"/>
      <c r="D518" s="71"/>
      <c r="E518" s="72"/>
      <c r="F518" s="71"/>
      <c r="G518" s="73"/>
      <c r="H518" s="73"/>
      <c r="I518" s="73"/>
      <c r="J518" s="73"/>
      <c r="K518" s="74"/>
      <c r="L518" s="74"/>
      <c r="O518" s="75"/>
    </row>
    <row r="519" ht="15.0" customHeight="1">
      <c r="C519" s="70"/>
      <c r="D519" s="71"/>
      <c r="E519" s="72"/>
      <c r="F519" s="71"/>
      <c r="G519" s="73"/>
      <c r="H519" s="73"/>
      <c r="I519" s="73"/>
      <c r="J519" s="73"/>
      <c r="K519" s="74"/>
      <c r="L519" s="74"/>
      <c r="O519" s="75"/>
    </row>
    <row r="520" ht="15.0" customHeight="1">
      <c r="C520" s="70"/>
      <c r="D520" s="71"/>
      <c r="E520" s="72"/>
      <c r="F520" s="71"/>
      <c r="G520" s="73"/>
      <c r="H520" s="73"/>
      <c r="I520" s="73"/>
      <c r="J520" s="73"/>
      <c r="K520" s="74"/>
      <c r="L520" s="74"/>
      <c r="O520" s="75"/>
    </row>
    <row r="521" ht="15.0" customHeight="1">
      <c r="C521" s="70"/>
      <c r="D521" s="71"/>
      <c r="E521" s="72"/>
      <c r="F521" s="71"/>
      <c r="G521" s="73"/>
      <c r="H521" s="73"/>
      <c r="I521" s="73"/>
      <c r="J521" s="73"/>
      <c r="K521" s="74"/>
      <c r="L521" s="74"/>
      <c r="O521" s="75"/>
    </row>
    <row r="522" ht="15.0" customHeight="1">
      <c r="C522" s="70"/>
      <c r="D522" s="71"/>
      <c r="E522" s="72"/>
      <c r="F522" s="71"/>
      <c r="G522" s="73"/>
      <c r="H522" s="73"/>
      <c r="I522" s="73"/>
      <c r="J522" s="73"/>
      <c r="K522" s="74"/>
      <c r="L522" s="74"/>
      <c r="O522" s="75"/>
    </row>
    <row r="523" ht="15.0" customHeight="1">
      <c r="C523" s="70"/>
      <c r="D523" s="71"/>
      <c r="E523" s="72"/>
      <c r="F523" s="71"/>
      <c r="G523" s="73"/>
      <c r="H523" s="73"/>
      <c r="I523" s="73"/>
      <c r="J523" s="73"/>
      <c r="K523" s="74"/>
      <c r="L523" s="74"/>
      <c r="O523" s="75"/>
    </row>
    <row r="524" ht="15.0" customHeight="1">
      <c r="C524" s="70"/>
      <c r="D524" s="71"/>
      <c r="E524" s="72"/>
      <c r="F524" s="71"/>
      <c r="G524" s="73"/>
      <c r="H524" s="73"/>
      <c r="I524" s="73"/>
      <c r="J524" s="73"/>
      <c r="K524" s="74"/>
      <c r="L524" s="74"/>
      <c r="O524" s="75"/>
    </row>
    <row r="525" ht="15.0" customHeight="1">
      <c r="C525" s="70"/>
      <c r="D525" s="71"/>
      <c r="E525" s="72"/>
      <c r="F525" s="71"/>
      <c r="G525" s="73"/>
      <c r="H525" s="73"/>
      <c r="I525" s="73"/>
      <c r="J525" s="73"/>
      <c r="K525" s="74"/>
      <c r="L525" s="74"/>
      <c r="O525" s="75"/>
    </row>
    <row r="526" ht="15.0" customHeight="1">
      <c r="C526" s="70"/>
      <c r="D526" s="71"/>
      <c r="E526" s="72"/>
      <c r="F526" s="71"/>
      <c r="G526" s="73"/>
      <c r="H526" s="73"/>
      <c r="I526" s="73"/>
      <c r="J526" s="73"/>
      <c r="K526" s="74"/>
      <c r="L526" s="74"/>
      <c r="O526" s="75"/>
    </row>
    <row r="527" ht="15.0" customHeight="1">
      <c r="C527" s="70"/>
      <c r="D527" s="71"/>
      <c r="E527" s="72"/>
      <c r="F527" s="71"/>
      <c r="G527" s="73"/>
      <c r="H527" s="73"/>
      <c r="I527" s="73"/>
      <c r="J527" s="73"/>
      <c r="K527" s="74"/>
      <c r="L527" s="74"/>
      <c r="O527" s="75"/>
    </row>
    <row r="528" ht="15.0" customHeight="1">
      <c r="C528" s="70"/>
      <c r="D528" s="71"/>
      <c r="E528" s="72"/>
      <c r="F528" s="71"/>
      <c r="G528" s="73"/>
      <c r="H528" s="73"/>
      <c r="I528" s="73"/>
      <c r="J528" s="73"/>
      <c r="K528" s="74"/>
      <c r="L528" s="74"/>
      <c r="O528" s="75"/>
    </row>
    <row r="529" ht="15.0" customHeight="1">
      <c r="C529" s="70"/>
      <c r="D529" s="71"/>
      <c r="E529" s="72"/>
      <c r="F529" s="71"/>
      <c r="G529" s="73"/>
      <c r="H529" s="73"/>
      <c r="I529" s="73"/>
      <c r="J529" s="73"/>
      <c r="K529" s="74"/>
      <c r="L529" s="74"/>
      <c r="O529" s="75"/>
    </row>
    <row r="530" ht="15.0" customHeight="1">
      <c r="C530" s="70"/>
      <c r="D530" s="71"/>
      <c r="E530" s="72"/>
      <c r="F530" s="71"/>
      <c r="G530" s="73"/>
      <c r="H530" s="73"/>
      <c r="I530" s="73"/>
      <c r="J530" s="73"/>
      <c r="K530" s="74"/>
      <c r="L530" s="74"/>
      <c r="O530" s="75"/>
    </row>
    <row r="531" ht="15.0" customHeight="1">
      <c r="C531" s="70"/>
      <c r="D531" s="71"/>
      <c r="E531" s="72"/>
      <c r="F531" s="71"/>
      <c r="G531" s="73"/>
      <c r="H531" s="73"/>
      <c r="I531" s="73"/>
      <c r="J531" s="73"/>
      <c r="K531" s="74"/>
      <c r="L531" s="74"/>
      <c r="O531" s="75"/>
    </row>
    <row r="532" ht="15.0" customHeight="1">
      <c r="C532" s="70"/>
      <c r="D532" s="71"/>
      <c r="E532" s="72"/>
      <c r="F532" s="71"/>
      <c r="G532" s="73"/>
      <c r="H532" s="73"/>
      <c r="I532" s="73"/>
      <c r="J532" s="73"/>
      <c r="K532" s="74"/>
      <c r="L532" s="74"/>
      <c r="O532" s="75"/>
    </row>
    <row r="533" ht="15.0" customHeight="1">
      <c r="C533" s="70"/>
      <c r="D533" s="71"/>
      <c r="E533" s="72"/>
      <c r="F533" s="71"/>
      <c r="G533" s="73"/>
      <c r="H533" s="73"/>
      <c r="I533" s="73"/>
      <c r="J533" s="73"/>
      <c r="K533" s="74"/>
      <c r="L533" s="74"/>
      <c r="O533" s="75"/>
    </row>
    <row r="534" ht="15.0" customHeight="1">
      <c r="C534" s="70"/>
      <c r="D534" s="71"/>
      <c r="E534" s="72"/>
      <c r="F534" s="71"/>
      <c r="G534" s="73"/>
      <c r="H534" s="73"/>
      <c r="I534" s="73"/>
      <c r="J534" s="73"/>
      <c r="K534" s="74"/>
      <c r="L534" s="74"/>
      <c r="O534" s="75"/>
    </row>
    <row r="535" ht="15.0" customHeight="1">
      <c r="C535" s="70"/>
      <c r="D535" s="71"/>
      <c r="E535" s="72"/>
      <c r="F535" s="71"/>
      <c r="G535" s="73"/>
      <c r="H535" s="73"/>
      <c r="I535" s="73"/>
      <c r="J535" s="73"/>
      <c r="K535" s="74"/>
      <c r="L535" s="74"/>
      <c r="O535" s="75"/>
    </row>
    <row r="536" ht="15.0" customHeight="1">
      <c r="C536" s="70"/>
      <c r="D536" s="71"/>
      <c r="E536" s="72"/>
      <c r="F536" s="71"/>
      <c r="G536" s="73"/>
      <c r="H536" s="73"/>
      <c r="I536" s="73"/>
      <c r="J536" s="73"/>
      <c r="K536" s="74"/>
      <c r="L536" s="74"/>
      <c r="O536" s="75"/>
    </row>
    <row r="537" ht="15.0" customHeight="1">
      <c r="C537" s="70"/>
      <c r="D537" s="71"/>
      <c r="E537" s="72"/>
      <c r="F537" s="71"/>
      <c r="G537" s="73"/>
      <c r="H537" s="73"/>
      <c r="I537" s="73"/>
      <c r="J537" s="73"/>
      <c r="K537" s="74"/>
      <c r="L537" s="74"/>
      <c r="O537" s="75"/>
    </row>
    <row r="538" ht="15.0" customHeight="1">
      <c r="C538" s="70"/>
      <c r="D538" s="71"/>
      <c r="E538" s="72"/>
      <c r="F538" s="71"/>
      <c r="G538" s="73"/>
      <c r="H538" s="73"/>
      <c r="I538" s="73"/>
      <c r="J538" s="73"/>
      <c r="K538" s="74"/>
      <c r="L538" s="74"/>
      <c r="O538" s="75"/>
    </row>
    <row r="539" ht="15.0" customHeight="1">
      <c r="C539" s="70"/>
      <c r="D539" s="71"/>
      <c r="E539" s="72"/>
      <c r="F539" s="71"/>
      <c r="G539" s="73"/>
      <c r="H539" s="73"/>
      <c r="I539" s="73"/>
      <c r="J539" s="73"/>
      <c r="K539" s="74"/>
      <c r="L539" s="74"/>
      <c r="O539" s="75"/>
    </row>
    <row r="540" ht="15.0" customHeight="1">
      <c r="C540" s="70"/>
      <c r="D540" s="71"/>
      <c r="E540" s="72"/>
      <c r="F540" s="71"/>
      <c r="G540" s="73"/>
      <c r="H540" s="73"/>
      <c r="I540" s="73"/>
      <c r="J540" s="73"/>
      <c r="K540" s="74"/>
      <c r="L540" s="74"/>
      <c r="O540" s="75"/>
    </row>
    <row r="541" ht="15.0" customHeight="1">
      <c r="C541" s="70"/>
      <c r="D541" s="71"/>
      <c r="E541" s="72"/>
      <c r="F541" s="71"/>
      <c r="G541" s="73"/>
      <c r="H541" s="73"/>
      <c r="I541" s="73"/>
      <c r="J541" s="73"/>
      <c r="K541" s="74"/>
      <c r="L541" s="74"/>
      <c r="O541" s="75"/>
    </row>
    <row r="542" ht="15.0" customHeight="1">
      <c r="C542" s="70"/>
      <c r="D542" s="71"/>
      <c r="E542" s="72"/>
      <c r="F542" s="71"/>
      <c r="G542" s="73"/>
      <c r="H542" s="73"/>
      <c r="I542" s="73"/>
      <c r="J542" s="73"/>
      <c r="K542" s="74"/>
      <c r="L542" s="74"/>
      <c r="O542" s="75"/>
    </row>
    <row r="543" ht="15.0" customHeight="1">
      <c r="C543" s="70"/>
      <c r="D543" s="71"/>
      <c r="E543" s="72"/>
      <c r="F543" s="71"/>
      <c r="G543" s="73"/>
      <c r="H543" s="73"/>
      <c r="I543" s="73"/>
      <c r="J543" s="73"/>
      <c r="K543" s="74"/>
      <c r="L543" s="74"/>
      <c r="O543" s="75"/>
    </row>
    <row r="544" ht="15.0" customHeight="1">
      <c r="C544" s="70"/>
      <c r="D544" s="71"/>
      <c r="E544" s="72"/>
      <c r="F544" s="71"/>
      <c r="G544" s="73"/>
      <c r="H544" s="73"/>
      <c r="I544" s="73"/>
      <c r="J544" s="73"/>
      <c r="K544" s="74"/>
      <c r="L544" s="74"/>
      <c r="O544" s="75"/>
    </row>
    <row r="545" ht="15.0" customHeight="1">
      <c r="C545" s="70"/>
      <c r="D545" s="71"/>
      <c r="E545" s="72"/>
      <c r="F545" s="71"/>
      <c r="G545" s="73"/>
      <c r="H545" s="73"/>
      <c r="I545" s="73"/>
      <c r="J545" s="73"/>
      <c r="K545" s="74"/>
      <c r="L545" s="74"/>
      <c r="O545" s="75"/>
    </row>
    <row r="546" ht="15.0" customHeight="1">
      <c r="C546" s="70"/>
      <c r="D546" s="71"/>
      <c r="E546" s="72"/>
      <c r="F546" s="71"/>
      <c r="G546" s="73"/>
      <c r="H546" s="73"/>
      <c r="I546" s="73"/>
      <c r="J546" s="73"/>
      <c r="K546" s="74"/>
      <c r="L546" s="74"/>
      <c r="O546" s="75"/>
    </row>
    <row r="547" ht="15.0" customHeight="1">
      <c r="C547" s="70"/>
      <c r="D547" s="71"/>
      <c r="E547" s="72"/>
      <c r="F547" s="71"/>
      <c r="G547" s="73"/>
      <c r="H547" s="73"/>
      <c r="I547" s="73"/>
      <c r="J547" s="73"/>
      <c r="K547" s="74"/>
      <c r="L547" s="74"/>
      <c r="O547" s="75"/>
    </row>
    <row r="548" ht="15.0" customHeight="1">
      <c r="C548" s="70"/>
      <c r="D548" s="71"/>
      <c r="E548" s="72"/>
      <c r="F548" s="71"/>
      <c r="G548" s="73"/>
      <c r="H548" s="73"/>
      <c r="I548" s="73"/>
      <c r="J548" s="73"/>
      <c r="K548" s="74"/>
      <c r="L548" s="74"/>
      <c r="O548" s="75"/>
    </row>
    <row r="549" ht="15.0" customHeight="1">
      <c r="C549" s="70"/>
      <c r="D549" s="71"/>
      <c r="E549" s="72"/>
      <c r="F549" s="71"/>
      <c r="G549" s="73"/>
      <c r="H549" s="73"/>
      <c r="I549" s="73"/>
      <c r="J549" s="73"/>
      <c r="K549" s="74"/>
      <c r="L549" s="74"/>
      <c r="O549" s="75"/>
    </row>
    <row r="550" ht="15.0" customHeight="1">
      <c r="C550" s="70"/>
      <c r="D550" s="71"/>
      <c r="E550" s="72"/>
      <c r="F550" s="71"/>
      <c r="G550" s="73"/>
      <c r="H550" s="73"/>
      <c r="I550" s="73"/>
      <c r="J550" s="73"/>
      <c r="K550" s="74"/>
      <c r="L550" s="74"/>
      <c r="O550" s="75"/>
    </row>
    <row r="551" ht="15.0" customHeight="1">
      <c r="C551" s="70"/>
      <c r="D551" s="71"/>
      <c r="E551" s="72"/>
      <c r="F551" s="71"/>
      <c r="G551" s="73"/>
      <c r="H551" s="73"/>
      <c r="I551" s="73"/>
      <c r="J551" s="73"/>
      <c r="K551" s="74"/>
      <c r="L551" s="74"/>
      <c r="O551" s="75"/>
    </row>
    <row r="552" ht="15.0" customHeight="1">
      <c r="C552" s="70"/>
      <c r="D552" s="71"/>
      <c r="E552" s="72"/>
      <c r="F552" s="71"/>
      <c r="G552" s="73"/>
      <c r="H552" s="73"/>
      <c r="I552" s="73"/>
      <c r="J552" s="73"/>
      <c r="K552" s="74"/>
      <c r="L552" s="74"/>
      <c r="O552" s="75"/>
    </row>
    <row r="553" ht="15.0" customHeight="1">
      <c r="C553" s="70"/>
      <c r="D553" s="71"/>
      <c r="E553" s="72"/>
      <c r="F553" s="71"/>
      <c r="G553" s="73"/>
      <c r="H553" s="73"/>
      <c r="I553" s="73"/>
      <c r="J553" s="73"/>
      <c r="K553" s="74"/>
      <c r="L553" s="74"/>
      <c r="O553" s="75"/>
    </row>
    <row r="554" ht="15.0" customHeight="1">
      <c r="C554" s="70"/>
      <c r="D554" s="71"/>
      <c r="E554" s="72"/>
      <c r="F554" s="71"/>
      <c r="G554" s="73"/>
      <c r="H554" s="73"/>
      <c r="I554" s="73"/>
      <c r="J554" s="73"/>
      <c r="K554" s="74"/>
      <c r="L554" s="74"/>
      <c r="O554" s="75"/>
    </row>
    <row r="555" ht="15.0" customHeight="1">
      <c r="C555" s="70"/>
      <c r="D555" s="71"/>
      <c r="E555" s="72"/>
      <c r="F555" s="71"/>
      <c r="G555" s="73"/>
      <c r="H555" s="73"/>
      <c r="I555" s="73"/>
      <c r="J555" s="73"/>
      <c r="K555" s="74"/>
      <c r="L555" s="74"/>
      <c r="O555" s="75"/>
    </row>
    <row r="556" ht="15.0" customHeight="1">
      <c r="C556" s="70"/>
      <c r="D556" s="71"/>
      <c r="E556" s="72"/>
      <c r="F556" s="71"/>
      <c r="G556" s="73"/>
      <c r="H556" s="73"/>
      <c r="I556" s="73"/>
      <c r="J556" s="73"/>
      <c r="K556" s="74"/>
      <c r="L556" s="74"/>
      <c r="O556" s="75"/>
    </row>
    <row r="557" ht="15.0" customHeight="1">
      <c r="C557" s="70"/>
      <c r="D557" s="71"/>
      <c r="E557" s="72"/>
      <c r="F557" s="71"/>
      <c r="G557" s="73"/>
      <c r="H557" s="73"/>
      <c r="I557" s="73"/>
      <c r="J557" s="73"/>
      <c r="K557" s="74"/>
      <c r="L557" s="74"/>
      <c r="O557" s="75"/>
    </row>
    <row r="558" ht="15.0" customHeight="1">
      <c r="C558" s="70"/>
      <c r="D558" s="71"/>
      <c r="E558" s="72"/>
      <c r="F558" s="71"/>
      <c r="G558" s="73"/>
      <c r="H558" s="73"/>
      <c r="I558" s="73"/>
      <c r="J558" s="73"/>
      <c r="K558" s="74"/>
      <c r="L558" s="74"/>
      <c r="O558" s="75"/>
    </row>
    <row r="559" ht="15.0" customHeight="1">
      <c r="C559" s="70"/>
      <c r="D559" s="71"/>
      <c r="E559" s="72"/>
      <c r="F559" s="71"/>
      <c r="G559" s="73"/>
      <c r="H559" s="73"/>
      <c r="I559" s="73"/>
      <c r="J559" s="73"/>
      <c r="K559" s="74"/>
      <c r="L559" s="74"/>
      <c r="O559" s="75"/>
    </row>
    <row r="560" ht="15.0" customHeight="1">
      <c r="C560" s="70"/>
      <c r="D560" s="71"/>
      <c r="E560" s="72"/>
      <c r="F560" s="71"/>
      <c r="G560" s="73"/>
      <c r="H560" s="73"/>
      <c r="I560" s="73"/>
      <c r="J560" s="73"/>
      <c r="K560" s="74"/>
      <c r="L560" s="74"/>
      <c r="O560" s="75"/>
    </row>
    <row r="561" ht="15.0" customHeight="1">
      <c r="C561" s="70"/>
      <c r="D561" s="71"/>
      <c r="E561" s="72"/>
      <c r="F561" s="71"/>
      <c r="G561" s="73"/>
      <c r="H561" s="73"/>
      <c r="I561" s="73"/>
      <c r="J561" s="73"/>
      <c r="K561" s="74"/>
      <c r="L561" s="74"/>
      <c r="O561" s="75"/>
    </row>
    <row r="562" ht="15.0" customHeight="1">
      <c r="C562" s="70"/>
      <c r="D562" s="71"/>
      <c r="E562" s="72"/>
      <c r="F562" s="71"/>
      <c r="G562" s="73"/>
      <c r="H562" s="73"/>
      <c r="I562" s="73"/>
      <c r="J562" s="73"/>
      <c r="K562" s="74"/>
      <c r="L562" s="74"/>
      <c r="O562" s="75"/>
    </row>
    <row r="563" ht="15.0" customHeight="1">
      <c r="C563" s="70"/>
      <c r="D563" s="71"/>
      <c r="E563" s="72"/>
      <c r="F563" s="71"/>
      <c r="G563" s="73"/>
      <c r="H563" s="73"/>
      <c r="I563" s="73"/>
      <c r="J563" s="73"/>
      <c r="K563" s="74"/>
      <c r="L563" s="74"/>
      <c r="O563" s="75"/>
    </row>
    <row r="564" ht="15.0" customHeight="1">
      <c r="C564" s="70"/>
      <c r="D564" s="71"/>
      <c r="E564" s="72"/>
      <c r="F564" s="71"/>
      <c r="G564" s="73"/>
      <c r="H564" s="73"/>
      <c r="I564" s="73"/>
      <c r="J564" s="73"/>
      <c r="K564" s="74"/>
      <c r="L564" s="74"/>
      <c r="O564" s="75"/>
    </row>
    <row r="565" ht="15.0" customHeight="1">
      <c r="C565" s="70"/>
      <c r="D565" s="71"/>
      <c r="E565" s="72"/>
      <c r="F565" s="71"/>
      <c r="G565" s="73"/>
      <c r="H565" s="73"/>
      <c r="I565" s="73"/>
      <c r="J565" s="73"/>
      <c r="K565" s="74"/>
      <c r="L565" s="74"/>
      <c r="O565" s="75"/>
    </row>
    <row r="566" ht="15.0" customHeight="1">
      <c r="C566" s="70"/>
      <c r="D566" s="71"/>
      <c r="E566" s="72"/>
      <c r="F566" s="71"/>
      <c r="G566" s="73"/>
      <c r="H566" s="73"/>
      <c r="I566" s="73"/>
      <c r="J566" s="73"/>
      <c r="K566" s="74"/>
      <c r="L566" s="74"/>
      <c r="O566" s="75"/>
    </row>
    <row r="567" ht="15.0" customHeight="1">
      <c r="C567" s="70"/>
      <c r="D567" s="71"/>
      <c r="E567" s="72"/>
      <c r="F567" s="71"/>
      <c r="G567" s="73"/>
      <c r="H567" s="73"/>
      <c r="I567" s="73"/>
      <c r="J567" s="73"/>
      <c r="K567" s="74"/>
      <c r="L567" s="74"/>
      <c r="O567" s="75"/>
    </row>
    <row r="568" ht="15.0" customHeight="1">
      <c r="C568" s="70"/>
      <c r="D568" s="71"/>
      <c r="E568" s="72"/>
      <c r="F568" s="71"/>
      <c r="G568" s="73"/>
      <c r="H568" s="73"/>
      <c r="I568" s="73"/>
      <c r="J568" s="73"/>
      <c r="K568" s="74"/>
      <c r="L568" s="74"/>
      <c r="O568" s="75"/>
    </row>
    <row r="569" ht="15.0" customHeight="1">
      <c r="C569" s="70"/>
      <c r="D569" s="71"/>
      <c r="E569" s="72"/>
      <c r="F569" s="71"/>
      <c r="G569" s="73"/>
      <c r="H569" s="73"/>
      <c r="I569" s="73"/>
      <c r="J569" s="73"/>
      <c r="K569" s="74"/>
      <c r="L569" s="74"/>
      <c r="O569" s="75"/>
    </row>
    <row r="570" ht="15.0" customHeight="1">
      <c r="C570" s="70"/>
      <c r="D570" s="71"/>
      <c r="E570" s="72"/>
      <c r="F570" s="71"/>
      <c r="G570" s="73"/>
      <c r="H570" s="73"/>
      <c r="I570" s="73"/>
      <c r="J570" s="73"/>
      <c r="K570" s="74"/>
      <c r="L570" s="74"/>
      <c r="O570" s="75"/>
    </row>
    <row r="571" ht="15.0" customHeight="1">
      <c r="C571" s="70"/>
      <c r="D571" s="71"/>
      <c r="E571" s="72"/>
      <c r="F571" s="71"/>
      <c r="G571" s="73"/>
      <c r="H571" s="73"/>
      <c r="I571" s="73"/>
      <c r="J571" s="73"/>
      <c r="K571" s="74"/>
      <c r="L571" s="74"/>
      <c r="O571" s="75"/>
    </row>
    <row r="572" ht="15.0" customHeight="1">
      <c r="C572" s="70"/>
      <c r="D572" s="71"/>
      <c r="E572" s="72"/>
      <c r="F572" s="71"/>
      <c r="G572" s="73"/>
      <c r="H572" s="73"/>
      <c r="I572" s="73"/>
      <c r="J572" s="73"/>
      <c r="K572" s="74"/>
      <c r="L572" s="74"/>
      <c r="O572" s="75"/>
    </row>
    <row r="573" ht="15.0" customHeight="1">
      <c r="C573" s="70"/>
      <c r="D573" s="71"/>
      <c r="E573" s="72"/>
      <c r="F573" s="71"/>
      <c r="G573" s="73"/>
      <c r="H573" s="73"/>
      <c r="I573" s="73"/>
      <c r="J573" s="73"/>
      <c r="K573" s="74"/>
      <c r="L573" s="74"/>
      <c r="O573" s="75"/>
    </row>
    <row r="574" ht="15.0" customHeight="1">
      <c r="C574" s="70"/>
      <c r="D574" s="71"/>
      <c r="E574" s="72"/>
      <c r="F574" s="71"/>
      <c r="G574" s="73"/>
      <c r="H574" s="73"/>
      <c r="I574" s="73"/>
      <c r="J574" s="73"/>
      <c r="K574" s="74"/>
      <c r="L574" s="74"/>
      <c r="O574" s="75"/>
    </row>
    <row r="575" ht="15.0" customHeight="1">
      <c r="C575" s="70"/>
      <c r="D575" s="71"/>
      <c r="E575" s="72"/>
      <c r="F575" s="71"/>
      <c r="G575" s="73"/>
      <c r="H575" s="73"/>
      <c r="I575" s="73"/>
      <c r="J575" s="73"/>
      <c r="K575" s="74"/>
      <c r="L575" s="74"/>
      <c r="O575" s="75"/>
    </row>
    <row r="576" ht="15.0" customHeight="1">
      <c r="C576" s="70"/>
      <c r="D576" s="71"/>
      <c r="E576" s="72"/>
      <c r="F576" s="71"/>
      <c r="G576" s="73"/>
      <c r="H576" s="73"/>
      <c r="I576" s="73"/>
      <c r="J576" s="73"/>
      <c r="K576" s="74"/>
      <c r="L576" s="74"/>
      <c r="O576" s="75"/>
    </row>
    <row r="577" ht="15.0" customHeight="1">
      <c r="C577" s="70"/>
      <c r="D577" s="71"/>
      <c r="E577" s="72"/>
      <c r="F577" s="71"/>
      <c r="G577" s="73"/>
      <c r="H577" s="73"/>
      <c r="I577" s="73"/>
      <c r="J577" s="73"/>
      <c r="K577" s="74"/>
      <c r="L577" s="74"/>
      <c r="O577" s="75"/>
    </row>
    <row r="578" ht="15.0" customHeight="1">
      <c r="C578" s="70"/>
      <c r="D578" s="71"/>
      <c r="E578" s="72"/>
      <c r="F578" s="71"/>
      <c r="G578" s="73"/>
      <c r="H578" s="73"/>
      <c r="I578" s="73"/>
      <c r="J578" s="73"/>
      <c r="K578" s="74"/>
      <c r="L578" s="74"/>
      <c r="O578" s="75"/>
    </row>
    <row r="579" ht="15.0" customHeight="1">
      <c r="C579" s="70"/>
      <c r="D579" s="71"/>
      <c r="E579" s="72"/>
      <c r="F579" s="71"/>
      <c r="G579" s="73"/>
      <c r="H579" s="73"/>
      <c r="I579" s="73"/>
      <c r="J579" s="73"/>
      <c r="K579" s="74"/>
      <c r="L579" s="74"/>
      <c r="O579" s="75"/>
    </row>
    <row r="580" ht="15.0" customHeight="1">
      <c r="C580" s="70"/>
      <c r="D580" s="71"/>
      <c r="E580" s="72"/>
      <c r="F580" s="71"/>
      <c r="G580" s="73"/>
      <c r="H580" s="73"/>
      <c r="I580" s="73"/>
      <c r="J580" s="73"/>
      <c r="K580" s="74"/>
      <c r="L580" s="74"/>
      <c r="O580" s="75"/>
    </row>
    <row r="581" ht="15.0" customHeight="1">
      <c r="C581" s="70"/>
      <c r="D581" s="71"/>
      <c r="E581" s="72"/>
      <c r="F581" s="71"/>
      <c r="G581" s="73"/>
      <c r="H581" s="73"/>
      <c r="I581" s="73"/>
      <c r="J581" s="73"/>
      <c r="K581" s="74"/>
      <c r="L581" s="74"/>
      <c r="O581" s="75"/>
    </row>
    <row r="582" ht="15.0" customHeight="1">
      <c r="C582" s="70"/>
      <c r="D582" s="71"/>
      <c r="E582" s="72"/>
      <c r="F582" s="71"/>
      <c r="G582" s="73"/>
      <c r="H582" s="73"/>
      <c r="I582" s="73"/>
      <c r="J582" s="73"/>
      <c r="K582" s="74"/>
      <c r="L582" s="74"/>
      <c r="O582" s="75"/>
    </row>
    <row r="583" ht="15.0" customHeight="1">
      <c r="C583" s="70"/>
      <c r="D583" s="71"/>
      <c r="E583" s="72"/>
      <c r="F583" s="71"/>
      <c r="G583" s="73"/>
      <c r="H583" s="73"/>
      <c r="I583" s="73"/>
      <c r="J583" s="73"/>
      <c r="K583" s="74"/>
      <c r="L583" s="74"/>
      <c r="O583" s="75"/>
    </row>
    <row r="584" ht="15.0" customHeight="1">
      <c r="C584" s="70"/>
      <c r="D584" s="71"/>
      <c r="E584" s="72"/>
      <c r="F584" s="71"/>
      <c r="G584" s="73"/>
      <c r="H584" s="73"/>
      <c r="I584" s="73"/>
      <c r="J584" s="73"/>
      <c r="K584" s="74"/>
      <c r="L584" s="74"/>
      <c r="O584" s="75"/>
    </row>
    <row r="585" ht="15.0" customHeight="1">
      <c r="C585" s="70"/>
      <c r="D585" s="71"/>
      <c r="E585" s="72"/>
      <c r="F585" s="71"/>
      <c r="G585" s="73"/>
      <c r="H585" s="73"/>
      <c r="I585" s="73"/>
      <c r="J585" s="73"/>
      <c r="K585" s="74"/>
      <c r="L585" s="74"/>
      <c r="O585" s="75"/>
    </row>
    <row r="586" ht="15.0" customHeight="1">
      <c r="C586" s="70"/>
      <c r="D586" s="71"/>
      <c r="E586" s="72"/>
      <c r="F586" s="71"/>
      <c r="G586" s="73"/>
      <c r="H586" s="73"/>
      <c r="I586" s="73"/>
      <c r="J586" s="73"/>
      <c r="K586" s="74"/>
      <c r="L586" s="74"/>
      <c r="O586" s="75"/>
    </row>
    <row r="587" ht="15.0" customHeight="1">
      <c r="C587" s="70"/>
      <c r="D587" s="71"/>
      <c r="E587" s="72"/>
      <c r="F587" s="71"/>
      <c r="G587" s="73"/>
      <c r="H587" s="73"/>
      <c r="I587" s="73"/>
      <c r="J587" s="73"/>
      <c r="K587" s="74"/>
      <c r="L587" s="74"/>
      <c r="O587" s="75"/>
    </row>
    <row r="588" ht="15.0" customHeight="1">
      <c r="C588" s="70"/>
      <c r="D588" s="71"/>
      <c r="E588" s="72"/>
      <c r="F588" s="71"/>
      <c r="G588" s="73"/>
      <c r="H588" s="73"/>
      <c r="I588" s="73"/>
      <c r="J588" s="73"/>
      <c r="K588" s="74"/>
      <c r="L588" s="74"/>
      <c r="O588" s="75"/>
    </row>
    <row r="589" ht="15.0" customHeight="1">
      <c r="C589" s="70"/>
      <c r="D589" s="71"/>
      <c r="E589" s="72"/>
      <c r="F589" s="71"/>
      <c r="G589" s="73"/>
      <c r="H589" s="73"/>
      <c r="I589" s="73"/>
      <c r="J589" s="73"/>
      <c r="K589" s="74"/>
      <c r="L589" s="74"/>
      <c r="O589" s="75"/>
    </row>
    <row r="590" ht="15.0" customHeight="1">
      <c r="C590" s="70"/>
      <c r="D590" s="71"/>
      <c r="E590" s="72"/>
      <c r="F590" s="71"/>
      <c r="G590" s="73"/>
      <c r="H590" s="73"/>
      <c r="I590" s="73"/>
      <c r="J590" s="73"/>
      <c r="K590" s="74"/>
      <c r="L590" s="74"/>
      <c r="O590" s="75"/>
    </row>
    <row r="591" ht="15.0" customHeight="1">
      <c r="C591" s="70"/>
      <c r="D591" s="71"/>
      <c r="E591" s="72"/>
      <c r="F591" s="71"/>
      <c r="G591" s="73"/>
      <c r="H591" s="73"/>
      <c r="I591" s="73"/>
      <c r="J591" s="73"/>
      <c r="K591" s="74"/>
      <c r="L591" s="74"/>
      <c r="O591" s="75"/>
    </row>
    <row r="592" ht="15.0" customHeight="1">
      <c r="C592" s="70"/>
      <c r="D592" s="71"/>
      <c r="E592" s="72"/>
      <c r="F592" s="71"/>
      <c r="G592" s="73"/>
      <c r="H592" s="73"/>
      <c r="I592" s="73"/>
      <c r="J592" s="73"/>
      <c r="K592" s="74"/>
      <c r="L592" s="74"/>
      <c r="O592" s="75"/>
    </row>
    <row r="593" ht="15.0" customHeight="1">
      <c r="C593" s="70"/>
      <c r="D593" s="71"/>
      <c r="E593" s="72"/>
      <c r="F593" s="71"/>
      <c r="G593" s="73"/>
      <c r="H593" s="73"/>
      <c r="I593" s="73"/>
      <c r="J593" s="73"/>
      <c r="K593" s="74"/>
      <c r="L593" s="74"/>
      <c r="O593" s="75"/>
    </row>
    <row r="594" ht="15.0" customHeight="1">
      <c r="C594" s="70"/>
      <c r="D594" s="71"/>
      <c r="E594" s="72"/>
      <c r="F594" s="71"/>
      <c r="G594" s="73"/>
      <c r="H594" s="73"/>
      <c r="I594" s="73"/>
      <c r="J594" s="73"/>
      <c r="K594" s="74"/>
      <c r="L594" s="74"/>
      <c r="O594" s="75"/>
    </row>
    <row r="595" ht="15.0" customHeight="1">
      <c r="C595" s="70"/>
      <c r="D595" s="71"/>
      <c r="E595" s="72"/>
      <c r="F595" s="71"/>
      <c r="G595" s="73"/>
      <c r="H595" s="73"/>
      <c r="I595" s="73"/>
      <c r="J595" s="73"/>
      <c r="K595" s="74"/>
      <c r="L595" s="74"/>
      <c r="O595" s="75"/>
    </row>
    <row r="596" ht="15.0" customHeight="1">
      <c r="C596" s="70"/>
      <c r="D596" s="71"/>
      <c r="E596" s="72"/>
      <c r="F596" s="71"/>
      <c r="G596" s="73"/>
      <c r="H596" s="73"/>
      <c r="I596" s="73"/>
      <c r="J596" s="73"/>
      <c r="K596" s="74"/>
      <c r="L596" s="74"/>
      <c r="O596" s="75"/>
    </row>
    <row r="597" ht="15.0" customHeight="1">
      <c r="C597" s="70"/>
      <c r="D597" s="71"/>
      <c r="E597" s="72"/>
      <c r="F597" s="71"/>
      <c r="G597" s="73"/>
      <c r="H597" s="73"/>
      <c r="I597" s="73"/>
      <c r="J597" s="73"/>
      <c r="K597" s="74"/>
      <c r="L597" s="74"/>
      <c r="O597" s="75"/>
    </row>
    <row r="598" ht="15.0" customHeight="1">
      <c r="C598" s="70"/>
      <c r="D598" s="71"/>
      <c r="E598" s="72"/>
      <c r="F598" s="71"/>
      <c r="G598" s="73"/>
      <c r="H598" s="73"/>
      <c r="I598" s="73"/>
      <c r="J598" s="73"/>
      <c r="K598" s="74"/>
      <c r="L598" s="74"/>
      <c r="O598" s="75"/>
    </row>
    <row r="599" ht="15.0" customHeight="1">
      <c r="C599" s="70"/>
      <c r="D599" s="71"/>
      <c r="E599" s="72"/>
      <c r="F599" s="71"/>
      <c r="G599" s="73"/>
      <c r="H599" s="73"/>
      <c r="I599" s="73"/>
      <c r="J599" s="73"/>
      <c r="K599" s="74"/>
      <c r="L599" s="74"/>
      <c r="O599" s="75"/>
    </row>
    <row r="600" ht="15.0" customHeight="1">
      <c r="C600" s="70"/>
      <c r="D600" s="71"/>
      <c r="E600" s="72"/>
      <c r="F600" s="71"/>
      <c r="G600" s="73"/>
      <c r="H600" s="73"/>
      <c r="I600" s="73"/>
      <c r="J600" s="73"/>
      <c r="K600" s="74"/>
      <c r="L600" s="74"/>
      <c r="O600" s="75"/>
    </row>
    <row r="601" ht="15.0" customHeight="1">
      <c r="C601" s="70"/>
      <c r="D601" s="71"/>
      <c r="E601" s="72"/>
      <c r="F601" s="71"/>
      <c r="G601" s="73"/>
      <c r="H601" s="73"/>
      <c r="I601" s="73"/>
      <c r="J601" s="73"/>
      <c r="K601" s="74"/>
      <c r="L601" s="74"/>
      <c r="O601" s="75"/>
    </row>
    <row r="602" ht="15.0" customHeight="1">
      <c r="C602" s="70"/>
      <c r="D602" s="71"/>
      <c r="E602" s="72"/>
      <c r="F602" s="71"/>
      <c r="G602" s="73"/>
      <c r="H602" s="73"/>
      <c r="I602" s="73"/>
      <c r="J602" s="73"/>
      <c r="K602" s="74"/>
      <c r="L602" s="74"/>
      <c r="O602" s="75"/>
    </row>
    <row r="603" ht="15.0" customHeight="1">
      <c r="C603" s="70"/>
      <c r="D603" s="71"/>
      <c r="E603" s="72"/>
      <c r="F603" s="71"/>
      <c r="G603" s="73"/>
      <c r="H603" s="73"/>
      <c r="I603" s="73"/>
      <c r="J603" s="73"/>
      <c r="K603" s="74"/>
      <c r="L603" s="74"/>
      <c r="O603" s="75"/>
    </row>
    <row r="604" ht="15.0" customHeight="1">
      <c r="C604" s="70"/>
      <c r="D604" s="71"/>
      <c r="E604" s="72"/>
      <c r="F604" s="71"/>
      <c r="G604" s="73"/>
      <c r="H604" s="73"/>
      <c r="I604" s="73"/>
      <c r="J604" s="73"/>
      <c r="K604" s="74"/>
      <c r="L604" s="74"/>
      <c r="O604" s="75"/>
    </row>
    <row r="605" ht="15.0" customHeight="1">
      <c r="C605" s="70"/>
      <c r="D605" s="71"/>
      <c r="E605" s="72"/>
      <c r="F605" s="71"/>
      <c r="G605" s="73"/>
      <c r="H605" s="73"/>
      <c r="I605" s="73"/>
      <c r="J605" s="73"/>
      <c r="K605" s="74"/>
      <c r="L605" s="74"/>
      <c r="O605" s="75"/>
    </row>
    <row r="606" ht="15.0" customHeight="1">
      <c r="C606" s="70"/>
      <c r="D606" s="71"/>
      <c r="E606" s="72"/>
      <c r="F606" s="71"/>
      <c r="G606" s="73"/>
      <c r="H606" s="73"/>
      <c r="I606" s="73"/>
      <c r="J606" s="73"/>
      <c r="K606" s="74"/>
      <c r="L606" s="74"/>
      <c r="O606" s="75"/>
    </row>
    <row r="607" ht="15.0" customHeight="1">
      <c r="C607" s="70"/>
      <c r="D607" s="71"/>
      <c r="E607" s="72"/>
      <c r="F607" s="71"/>
      <c r="G607" s="73"/>
      <c r="H607" s="73"/>
      <c r="I607" s="73"/>
      <c r="J607" s="73"/>
      <c r="K607" s="74"/>
      <c r="L607" s="74"/>
      <c r="O607" s="75"/>
    </row>
    <row r="608" ht="15.0" customHeight="1">
      <c r="C608" s="70"/>
      <c r="D608" s="71"/>
      <c r="E608" s="72"/>
      <c r="F608" s="71"/>
      <c r="G608" s="73"/>
      <c r="H608" s="73"/>
      <c r="I608" s="73"/>
      <c r="J608" s="73"/>
      <c r="K608" s="74"/>
      <c r="L608" s="74"/>
      <c r="O608" s="75"/>
    </row>
    <row r="609" ht="15.0" customHeight="1">
      <c r="C609" s="70"/>
      <c r="D609" s="71"/>
      <c r="E609" s="72"/>
      <c r="F609" s="71"/>
      <c r="G609" s="73"/>
      <c r="H609" s="73"/>
      <c r="I609" s="73"/>
      <c r="J609" s="73"/>
      <c r="K609" s="74"/>
      <c r="L609" s="74"/>
      <c r="O609" s="75"/>
    </row>
    <row r="610" ht="15.0" customHeight="1">
      <c r="C610" s="70"/>
      <c r="D610" s="71"/>
      <c r="E610" s="72"/>
      <c r="F610" s="71"/>
      <c r="G610" s="73"/>
      <c r="H610" s="73"/>
      <c r="I610" s="73"/>
      <c r="J610" s="73"/>
      <c r="K610" s="74"/>
      <c r="L610" s="74"/>
      <c r="O610" s="75"/>
    </row>
    <row r="611" ht="15.0" customHeight="1">
      <c r="C611" s="70"/>
      <c r="D611" s="71"/>
      <c r="E611" s="72"/>
      <c r="F611" s="71"/>
      <c r="G611" s="73"/>
      <c r="H611" s="73"/>
      <c r="I611" s="73"/>
      <c r="J611" s="73"/>
      <c r="K611" s="74"/>
      <c r="L611" s="74"/>
      <c r="O611" s="75"/>
    </row>
    <row r="612" ht="15.0" customHeight="1">
      <c r="C612" s="70"/>
      <c r="D612" s="71"/>
      <c r="E612" s="72"/>
      <c r="F612" s="71"/>
      <c r="G612" s="73"/>
      <c r="H612" s="73"/>
      <c r="I612" s="73"/>
      <c r="J612" s="73"/>
      <c r="K612" s="74"/>
      <c r="L612" s="74"/>
      <c r="O612" s="75"/>
    </row>
    <row r="613" ht="15.0" customHeight="1">
      <c r="C613" s="70"/>
      <c r="D613" s="71"/>
      <c r="E613" s="72"/>
      <c r="F613" s="71"/>
      <c r="G613" s="73"/>
      <c r="H613" s="73"/>
      <c r="I613" s="73"/>
      <c r="J613" s="73"/>
      <c r="K613" s="74"/>
      <c r="L613" s="74"/>
      <c r="O613" s="75"/>
    </row>
    <row r="614" ht="15.0" customHeight="1">
      <c r="C614" s="70"/>
      <c r="D614" s="71"/>
      <c r="E614" s="72"/>
      <c r="F614" s="71"/>
      <c r="G614" s="73"/>
      <c r="H614" s="73"/>
      <c r="I614" s="73"/>
      <c r="J614" s="73"/>
      <c r="K614" s="74"/>
      <c r="L614" s="74"/>
      <c r="O614" s="75"/>
    </row>
    <row r="615" ht="15.0" customHeight="1">
      <c r="C615" s="70"/>
      <c r="D615" s="71"/>
      <c r="E615" s="72"/>
      <c r="F615" s="71"/>
      <c r="G615" s="73"/>
      <c r="H615" s="73"/>
      <c r="I615" s="73"/>
      <c r="J615" s="73"/>
      <c r="K615" s="74"/>
      <c r="L615" s="74"/>
      <c r="O615" s="75"/>
    </row>
    <row r="616" ht="15.0" customHeight="1">
      <c r="C616" s="70"/>
      <c r="D616" s="71"/>
      <c r="E616" s="72"/>
      <c r="F616" s="71"/>
      <c r="G616" s="73"/>
      <c r="H616" s="73"/>
      <c r="I616" s="73"/>
      <c r="J616" s="73"/>
      <c r="K616" s="74"/>
      <c r="L616" s="74"/>
      <c r="O616" s="75"/>
    </row>
    <row r="617" ht="15.0" customHeight="1">
      <c r="C617" s="70"/>
      <c r="D617" s="71"/>
      <c r="E617" s="72"/>
      <c r="F617" s="71"/>
      <c r="G617" s="73"/>
      <c r="H617" s="73"/>
      <c r="I617" s="73"/>
      <c r="J617" s="73"/>
      <c r="K617" s="74"/>
      <c r="L617" s="74"/>
      <c r="O617" s="75"/>
    </row>
    <row r="618" ht="15.0" customHeight="1">
      <c r="C618" s="70"/>
      <c r="D618" s="71"/>
      <c r="E618" s="72"/>
      <c r="F618" s="71"/>
      <c r="G618" s="73"/>
      <c r="H618" s="73"/>
      <c r="I618" s="73"/>
      <c r="J618" s="73"/>
      <c r="K618" s="74"/>
      <c r="L618" s="74"/>
      <c r="O618" s="75"/>
    </row>
    <row r="619" ht="15.0" customHeight="1">
      <c r="C619" s="70"/>
      <c r="D619" s="71"/>
      <c r="E619" s="72"/>
      <c r="F619" s="71"/>
      <c r="G619" s="73"/>
      <c r="H619" s="73"/>
      <c r="I619" s="73"/>
      <c r="J619" s="73"/>
      <c r="K619" s="74"/>
      <c r="L619" s="74"/>
      <c r="O619" s="75"/>
    </row>
    <row r="620" ht="15.0" customHeight="1">
      <c r="C620" s="70"/>
      <c r="D620" s="71"/>
      <c r="E620" s="72"/>
      <c r="F620" s="71"/>
      <c r="G620" s="73"/>
      <c r="H620" s="73"/>
      <c r="I620" s="73"/>
      <c r="J620" s="73"/>
      <c r="K620" s="74"/>
      <c r="L620" s="74"/>
      <c r="O620" s="75"/>
    </row>
    <row r="621" ht="15.0" customHeight="1">
      <c r="C621" s="70"/>
      <c r="D621" s="71"/>
      <c r="E621" s="72"/>
      <c r="F621" s="71"/>
      <c r="G621" s="73"/>
      <c r="H621" s="73"/>
      <c r="I621" s="73"/>
      <c r="J621" s="73"/>
      <c r="K621" s="74"/>
      <c r="L621" s="74"/>
      <c r="O621" s="75"/>
    </row>
    <row r="622" ht="15.0" customHeight="1">
      <c r="C622" s="70"/>
      <c r="D622" s="71"/>
      <c r="E622" s="72"/>
      <c r="F622" s="71"/>
      <c r="G622" s="73"/>
      <c r="H622" s="73"/>
      <c r="I622" s="73"/>
      <c r="J622" s="73"/>
      <c r="K622" s="74"/>
      <c r="L622" s="74"/>
      <c r="O622" s="75"/>
    </row>
    <row r="623" ht="15.0" customHeight="1">
      <c r="C623" s="70"/>
      <c r="D623" s="71"/>
      <c r="E623" s="72"/>
      <c r="F623" s="71"/>
      <c r="G623" s="73"/>
      <c r="H623" s="73"/>
      <c r="I623" s="73"/>
      <c r="J623" s="73"/>
      <c r="K623" s="74"/>
      <c r="L623" s="74"/>
      <c r="O623" s="75"/>
    </row>
    <row r="624" ht="15.0" customHeight="1">
      <c r="C624" s="70"/>
      <c r="D624" s="71"/>
      <c r="E624" s="72"/>
      <c r="F624" s="71"/>
      <c r="G624" s="73"/>
      <c r="H624" s="73"/>
      <c r="I624" s="73"/>
      <c r="J624" s="73"/>
      <c r="K624" s="74"/>
      <c r="L624" s="74"/>
      <c r="O624" s="75"/>
    </row>
    <row r="625" ht="15.0" customHeight="1">
      <c r="C625" s="70"/>
      <c r="D625" s="71"/>
      <c r="E625" s="72"/>
      <c r="F625" s="71"/>
      <c r="G625" s="73"/>
      <c r="H625" s="73"/>
      <c r="I625" s="73"/>
      <c r="J625" s="73"/>
      <c r="K625" s="74"/>
      <c r="L625" s="74"/>
      <c r="O625" s="75"/>
    </row>
    <row r="626" ht="15.0" customHeight="1">
      <c r="C626" s="70"/>
      <c r="D626" s="71"/>
      <c r="E626" s="72"/>
      <c r="F626" s="71"/>
      <c r="G626" s="73"/>
      <c r="H626" s="73"/>
      <c r="I626" s="73"/>
      <c r="J626" s="73"/>
      <c r="K626" s="74"/>
      <c r="L626" s="74"/>
      <c r="O626" s="75"/>
    </row>
    <row r="627" ht="15.0" customHeight="1">
      <c r="C627" s="70"/>
      <c r="D627" s="71"/>
      <c r="E627" s="72"/>
      <c r="F627" s="71"/>
      <c r="G627" s="73"/>
      <c r="H627" s="73"/>
      <c r="I627" s="73"/>
      <c r="J627" s="73"/>
      <c r="K627" s="74"/>
      <c r="L627" s="74"/>
      <c r="O627" s="75"/>
    </row>
    <row r="628" ht="15.0" customHeight="1">
      <c r="C628" s="70"/>
      <c r="D628" s="71"/>
      <c r="E628" s="72"/>
      <c r="F628" s="71"/>
      <c r="G628" s="73"/>
      <c r="H628" s="73"/>
      <c r="I628" s="73"/>
      <c r="J628" s="73"/>
      <c r="K628" s="74"/>
      <c r="L628" s="74"/>
      <c r="O628" s="75"/>
    </row>
    <row r="629" ht="15.0" customHeight="1">
      <c r="C629" s="70"/>
      <c r="D629" s="71"/>
      <c r="E629" s="72"/>
      <c r="F629" s="71"/>
      <c r="G629" s="73"/>
      <c r="H629" s="73"/>
      <c r="I629" s="73"/>
      <c r="J629" s="73"/>
      <c r="K629" s="74"/>
      <c r="L629" s="74"/>
      <c r="O629" s="75"/>
    </row>
    <row r="630" ht="15.0" customHeight="1">
      <c r="C630" s="70"/>
      <c r="D630" s="71"/>
      <c r="E630" s="72"/>
      <c r="F630" s="71"/>
      <c r="G630" s="73"/>
      <c r="H630" s="73"/>
      <c r="I630" s="73"/>
      <c r="J630" s="73"/>
      <c r="K630" s="74"/>
      <c r="L630" s="74"/>
      <c r="O630" s="75"/>
    </row>
    <row r="631" ht="15.0" customHeight="1">
      <c r="C631" s="70"/>
      <c r="D631" s="71"/>
      <c r="E631" s="72"/>
      <c r="F631" s="71"/>
      <c r="G631" s="73"/>
      <c r="H631" s="73"/>
      <c r="I631" s="73"/>
      <c r="J631" s="73"/>
      <c r="K631" s="74"/>
      <c r="L631" s="74"/>
      <c r="O631" s="75"/>
    </row>
    <row r="632" ht="15.0" customHeight="1">
      <c r="C632" s="70"/>
      <c r="D632" s="71"/>
      <c r="E632" s="72"/>
      <c r="F632" s="71"/>
      <c r="G632" s="73"/>
      <c r="H632" s="73"/>
      <c r="I632" s="73"/>
      <c r="J632" s="73"/>
      <c r="K632" s="74"/>
      <c r="L632" s="74"/>
      <c r="O632" s="75"/>
    </row>
    <row r="633" ht="15.0" customHeight="1">
      <c r="C633" s="70"/>
      <c r="D633" s="71"/>
      <c r="E633" s="72"/>
      <c r="F633" s="71"/>
      <c r="G633" s="73"/>
      <c r="H633" s="73"/>
      <c r="I633" s="73"/>
      <c r="J633" s="73"/>
      <c r="K633" s="74"/>
      <c r="L633" s="74"/>
      <c r="O633" s="75"/>
    </row>
    <row r="634" ht="15.0" customHeight="1">
      <c r="C634" s="70"/>
      <c r="D634" s="71"/>
      <c r="E634" s="72"/>
      <c r="F634" s="71"/>
      <c r="G634" s="73"/>
      <c r="H634" s="73"/>
      <c r="I634" s="73"/>
      <c r="J634" s="73"/>
      <c r="K634" s="74"/>
      <c r="L634" s="74"/>
      <c r="O634" s="75"/>
    </row>
    <row r="635" ht="15.0" customHeight="1">
      <c r="C635" s="70"/>
      <c r="D635" s="71"/>
      <c r="E635" s="72"/>
      <c r="F635" s="71"/>
      <c r="G635" s="73"/>
      <c r="H635" s="73"/>
      <c r="I635" s="73"/>
      <c r="J635" s="73"/>
      <c r="K635" s="74"/>
      <c r="L635" s="74"/>
      <c r="O635" s="75"/>
    </row>
    <row r="636" ht="15.0" customHeight="1">
      <c r="C636" s="70"/>
      <c r="D636" s="71"/>
      <c r="E636" s="72"/>
      <c r="F636" s="71"/>
      <c r="G636" s="73"/>
      <c r="H636" s="73"/>
      <c r="I636" s="73"/>
      <c r="J636" s="73"/>
      <c r="K636" s="74"/>
      <c r="L636" s="74"/>
      <c r="O636" s="75"/>
    </row>
    <row r="637" ht="15.0" customHeight="1">
      <c r="C637" s="70"/>
      <c r="D637" s="71"/>
      <c r="E637" s="72"/>
      <c r="F637" s="71"/>
      <c r="G637" s="73"/>
      <c r="H637" s="73"/>
      <c r="I637" s="73"/>
      <c r="J637" s="73"/>
      <c r="K637" s="74"/>
      <c r="L637" s="74"/>
      <c r="O637" s="75"/>
    </row>
    <row r="638" ht="15.0" customHeight="1">
      <c r="C638" s="70"/>
      <c r="D638" s="71"/>
      <c r="E638" s="72"/>
      <c r="F638" s="71"/>
      <c r="G638" s="73"/>
      <c r="H638" s="73"/>
      <c r="I638" s="73"/>
      <c r="J638" s="73"/>
      <c r="K638" s="74"/>
      <c r="L638" s="74"/>
      <c r="O638" s="75"/>
    </row>
    <row r="639" ht="15.0" customHeight="1">
      <c r="C639" s="70"/>
      <c r="D639" s="71"/>
      <c r="E639" s="72"/>
      <c r="F639" s="71"/>
      <c r="G639" s="73"/>
      <c r="H639" s="73"/>
      <c r="I639" s="73"/>
      <c r="J639" s="73"/>
      <c r="K639" s="74"/>
      <c r="L639" s="74"/>
      <c r="O639" s="75"/>
    </row>
    <row r="640" ht="15.0" customHeight="1">
      <c r="C640" s="70"/>
      <c r="D640" s="71"/>
      <c r="E640" s="72"/>
      <c r="F640" s="71"/>
      <c r="G640" s="73"/>
      <c r="H640" s="73"/>
      <c r="I640" s="73"/>
      <c r="J640" s="73"/>
      <c r="K640" s="74"/>
      <c r="L640" s="74"/>
      <c r="O640" s="75"/>
    </row>
    <row r="641" ht="15.0" customHeight="1">
      <c r="C641" s="70"/>
      <c r="D641" s="71"/>
      <c r="E641" s="72"/>
      <c r="F641" s="71"/>
      <c r="G641" s="73"/>
      <c r="H641" s="73"/>
      <c r="I641" s="73"/>
      <c r="J641" s="73"/>
      <c r="K641" s="74"/>
      <c r="L641" s="74"/>
      <c r="O641" s="75"/>
    </row>
    <row r="642" ht="15.0" customHeight="1">
      <c r="C642" s="70"/>
      <c r="D642" s="71"/>
      <c r="E642" s="72"/>
      <c r="F642" s="71"/>
      <c r="G642" s="73"/>
      <c r="H642" s="73"/>
      <c r="I642" s="73"/>
      <c r="J642" s="73"/>
      <c r="K642" s="74"/>
      <c r="L642" s="74"/>
      <c r="O642" s="75"/>
    </row>
    <row r="643" ht="15.0" customHeight="1">
      <c r="C643" s="70"/>
      <c r="D643" s="71"/>
      <c r="E643" s="72"/>
      <c r="F643" s="71"/>
      <c r="G643" s="73"/>
      <c r="H643" s="73"/>
      <c r="I643" s="73"/>
      <c r="J643" s="73"/>
      <c r="K643" s="74"/>
      <c r="L643" s="74"/>
      <c r="O643" s="75"/>
    </row>
    <row r="644" ht="15.0" customHeight="1">
      <c r="C644" s="70"/>
      <c r="D644" s="71"/>
      <c r="E644" s="72"/>
      <c r="F644" s="71"/>
      <c r="G644" s="73"/>
      <c r="H644" s="73"/>
      <c r="I644" s="73"/>
      <c r="J644" s="73"/>
      <c r="K644" s="74"/>
      <c r="L644" s="74"/>
      <c r="O644" s="75"/>
    </row>
    <row r="645" ht="15.0" customHeight="1">
      <c r="C645" s="70"/>
      <c r="D645" s="71"/>
      <c r="E645" s="72"/>
      <c r="F645" s="71"/>
      <c r="G645" s="73"/>
      <c r="H645" s="73"/>
      <c r="I645" s="73"/>
      <c r="J645" s="73"/>
      <c r="K645" s="74"/>
      <c r="L645" s="74"/>
      <c r="O645" s="75"/>
    </row>
    <row r="646" ht="15.0" customHeight="1">
      <c r="C646" s="70"/>
      <c r="D646" s="71"/>
      <c r="E646" s="72"/>
      <c r="F646" s="71"/>
      <c r="G646" s="73"/>
      <c r="H646" s="73"/>
      <c r="I646" s="73"/>
      <c r="J646" s="73"/>
      <c r="K646" s="74"/>
      <c r="L646" s="74"/>
      <c r="O646" s="75"/>
    </row>
    <row r="647" ht="15.0" customHeight="1">
      <c r="C647" s="70"/>
      <c r="D647" s="71"/>
      <c r="E647" s="72"/>
      <c r="F647" s="71"/>
      <c r="G647" s="73"/>
      <c r="H647" s="73"/>
      <c r="I647" s="73"/>
      <c r="J647" s="73"/>
      <c r="K647" s="74"/>
      <c r="L647" s="74"/>
      <c r="O647" s="75"/>
    </row>
    <row r="648" ht="15.0" customHeight="1">
      <c r="C648" s="70"/>
      <c r="D648" s="71"/>
      <c r="E648" s="72"/>
      <c r="F648" s="71"/>
      <c r="G648" s="73"/>
      <c r="H648" s="73"/>
      <c r="I648" s="73"/>
      <c r="J648" s="73"/>
      <c r="K648" s="74"/>
      <c r="L648" s="74"/>
      <c r="O648" s="75"/>
    </row>
    <row r="649" ht="15.0" customHeight="1">
      <c r="C649" s="70"/>
      <c r="D649" s="71"/>
      <c r="E649" s="72"/>
      <c r="F649" s="71"/>
      <c r="G649" s="73"/>
      <c r="H649" s="73"/>
      <c r="I649" s="73"/>
      <c r="J649" s="73"/>
      <c r="K649" s="74"/>
      <c r="L649" s="74"/>
      <c r="O649" s="75"/>
    </row>
    <row r="650" ht="15.0" customHeight="1">
      <c r="C650" s="70"/>
      <c r="D650" s="71"/>
      <c r="E650" s="72"/>
      <c r="F650" s="71"/>
      <c r="G650" s="73"/>
      <c r="H650" s="73"/>
      <c r="I650" s="73"/>
      <c r="J650" s="73"/>
      <c r="K650" s="74"/>
      <c r="L650" s="74"/>
      <c r="O650" s="75"/>
    </row>
    <row r="651" ht="15.0" customHeight="1">
      <c r="C651" s="70"/>
      <c r="D651" s="71"/>
      <c r="E651" s="72"/>
      <c r="F651" s="71"/>
      <c r="G651" s="73"/>
      <c r="H651" s="73"/>
      <c r="I651" s="73"/>
      <c r="J651" s="73"/>
      <c r="K651" s="74"/>
      <c r="L651" s="74"/>
      <c r="O651" s="75"/>
    </row>
    <row r="652" ht="15.0" customHeight="1">
      <c r="C652" s="70"/>
      <c r="D652" s="71"/>
      <c r="E652" s="72"/>
      <c r="F652" s="71"/>
      <c r="G652" s="73"/>
      <c r="H652" s="73"/>
      <c r="I652" s="73"/>
      <c r="J652" s="73"/>
      <c r="K652" s="74"/>
      <c r="L652" s="74"/>
      <c r="O652" s="75"/>
    </row>
    <row r="653" ht="15.0" customHeight="1">
      <c r="C653" s="70"/>
      <c r="D653" s="71"/>
      <c r="E653" s="72"/>
      <c r="F653" s="71"/>
      <c r="G653" s="73"/>
      <c r="H653" s="73"/>
      <c r="I653" s="73"/>
      <c r="J653" s="73"/>
      <c r="K653" s="74"/>
      <c r="L653" s="74"/>
      <c r="O653" s="75"/>
    </row>
    <row r="654" ht="15.0" customHeight="1">
      <c r="C654" s="70"/>
      <c r="D654" s="71"/>
      <c r="E654" s="72"/>
      <c r="F654" s="71"/>
      <c r="G654" s="73"/>
      <c r="H654" s="73"/>
      <c r="I654" s="73"/>
      <c r="J654" s="73"/>
      <c r="K654" s="74"/>
      <c r="L654" s="74"/>
      <c r="O654" s="75"/>
    </row>
    <row r="655" ht="15.0" customHeight="1">
      <c r="C655" s="70"/>
      <c r="D655" s="71"/>
      <c r="E655" s="72"/>
      <c r="F655" s="71"/>
      <c r="G655" s="73"/>
      <c r="H655" s="73"/>
      <c r="I655" s="73"/>
      <c r="J655" s="73"/>
      <c r="K655" s="74"/>
      <c r="L655" s="74"/>
      <c r="O655" s="75"/>
    </row>
    <row r="656" ht="15.0" customHeight="1">
      <c r="C656" s="70"/>
      <c r="D656" s="71"/>
      <c r="E656" s="72"/>
      <c r="F656" s="71"/>
      <c r="G656" s="73"/>
      <c r="H656" s="73"/>
      <c r="I656" s="73"/>
      <c r="J656" s="73"/>
      <c r="K656" s="74"/>
      <c r="L656" s="74"/>
      <c r="O656" s="75"/>
    </row>
    <row r="657" ht="15.0" customHeight="1">
      <c r="C657" s="70"/>
      <c r="D657" s="71"/>
      <c r="E657" s="72"/>
      <c r="F657" s="71"/>
      <c r="G657" s="73"/>
      <c r="H657" s="73"/>
      <c r="I657" s="73"/>
      <c r="J657" s="73"/>
      <c r="K657" s="74"/>
      <c r="L657" s="74"/>
      <c r="O657" s="75"/>
    </row>
    <row r="658" ht="15.0" customHeight="1">
      <c r="C658" s="70"/>
      <c r="D658" s="71"/>
      <c r="E658" s="72"/>
      <c r="F658" s="71"/>
      <c r="G658" s="73"/>
      <c r="H658" s="73"/>
      <c r="I658" s="73"/>
      <c r="J658" s="73"/>
      <c r="K658" s="74"/>
      <c r="L658" s="74"/>
      <c r="O658" s="75"/>
    </row>
    <row r="659" ht="15.0" customHeight="1">
      <c r="C659" s="70"/>
      <c r="D659" s="71"/>
      <c r="E659" s="72"/>
      <c r="F659" s="71"/>
      <c r="G659" s="73"/>
      <c r="H659" s="73"/>
      <c r="I659" s="73"/>
      <c r="J659" s="73"/>
      <c r="K659" s="74"/>
      <c r="L659" s="74"/>
      <c r="O659" s="75"/>
    </row>
    <row r="660" ht="15.0" customHeight="1">
      <c r="C660" s="70"/>
      <c r="D660" s="71"/>
      <c r="E660" s="72"/>
      <c r="F660" s="71"/>
      <c r="G660" s="73"/>
      <c r="H660" s="73"/>
      <c r="I660" s="73"/>
      <c r="J660" s="73"/>
      <c r="K660" s="74"/>
      <c r="L660" s="74"/>
      <c r="O660" s="75"/>
    </row>
    <row r="661" ht="15.0" customHeight="1">
      <c r="C661" s="70"/>
      <c r="D661" s="71"/>
      <c r="E661" s="72"/>
      <c r="F661" s="71"/>
      <c r="G661" s="73"/>
      <c r="H661" s="73"/>
      <c r="I661" s="73"/>
      <c r="J661" s="73"/>
      <c r="K661" s="74"/>
      <c r="L661" s="74"/>
      <c r="O661" s="75"/>
    </row>
    <row r="662" ht="15.0" customHeight="1">
      <c r="C662" s="70"/>
      <c r="D662" s="71"/>
      <c r="E662" s="72"/>
      <c r="F662" s="71"/>
      <c r="G662" s="73"/>
      <c r="H662" s="73"/>
      <c r="I662" s="73"/>
      <c r="J662" s="73"/>
      <c r="K662" s="74"/>
      <c r="L662" s="74"/>
      <c r="O662" s="75"/>
    </row>
    <row r="663" ht="15.0" customHeight="1">
      <c r="C663" s="70"/>
      <c r="D663" s="71"/>
      <c r="E663" s="72"/>
      <c r="F663" s="71"/>
      <c r="G663" s="73"/>
      <c r="H663" s="73"/>
      <c r="I663" s="73"/>
      <c r="J663" s="73"/>
      <c r="K663" s="74"/>
      <c r="L663" s="74"/>
      <c r="O663" s="75"/>
    </row>
    <row r="664" ht="15.0" customHeight="1">
      <c r="C664" s="70"/>
      <c r="D664" s="71"/>
      <c r="E664" s="72"/>
      <c r="F664" s="71"/>
      <c r="G664" s="73"/>
      <c r="H664" s="73"/>
      <c r="I664" s="73"/>
      <c r="J664" s="73"/>
      <c r="K664" s="74"/>
      <c r="L664" s="74"/>
      <c r="O664" s="75"/>
    </row>
    <row r="665" ht="15.0" customHeight="1">
      <c r="C665" s="70"/>
      <c r="D665" s="71"/>
      <c r="E665" s="72"/>
      <c r="F665" s="71"/>
      <c r="G665" s="73"/>
      <c r="H665" s="73"/>
      <c r="I665" s="73"/>
      <c r="J665" s="73"/>
      <c r="K665" s="74"/>
      <c r="L665" s="74"/>
      <c r="O665" s="75"/>
    </row>
    <row r="666" ht="15.0" customHeight="1">
      <c r="C666" s="70"/>
      <c r="D666" s="71"/>
      <c r="E666" s="72"/>
      <c r="F666" s="71"/>
      <c r="G666" s="73"/>
      <c r="H666" s="73"/>
      <c r="I666" s="73"/>
      <c r="J666" s="73"/>
      <c r="K666" s="74"/>
      <c r="L666" s="74"/>
      <c r="O666" s="75"/>
    </row>
    <row r="667" ht="15.0" customHeight="1">
      <c r="C667" s="70"/>
      <c r="D667" s="71"/>
      <c r="E667" s="72"/>
      <c r="F667" s="71"/>
      <c r="G667" s="73"/>
      <c r="H667" s="73"/>
      <c r="I667" s="73"/>
      <c r="J667" s="73"/>
      <c r="K667" s="74"/>
      <c r="L667" s="74"/>
      <c r="O667" s="75"/>
    </row>
    <row r="668" ht="15.0" customHeight="1">
      <c r="C668" s="70"/>
      <c r="D668" s="71"/>
      <c r="E668" s="72"/>
      <c r="F668" s="71"/>
      <c r="G668" s="73"/>
      <c r="H668" s="73"/>
      <c r="I668" s="73"/>
      <c r="J668" s="73"/>
      <c r="K668" s="74"/>
      <c r="L668" s="74"/>
      <c r="O668" s="75"/>
    </row>
    <row r="669" ht="15.0" customHeight="1">
      <c r="C669" s="70"/>
      <c r="D669" s="71"/>
      <c r="E669" s="72"/>
      <c r="F669" s="71"/>
      <c r="G669" s="73"/>
      <c r="H669" s="73"/>
      <c r="I669" s="73"/>
      <c r="J669" s="73"/>
      <c r="K669" s="74"/>
      <c r="L669" s="74"/>
      <c r="O669" s="75"/>
    </row>
    <row r="670" ht="15.0" customHeight="1">
      <c r="C670" s="70"/>
      <c r="D670" s="71"/>
      <c r="E670" s="72"/>
      <c r="F670" s="71"/>
      <c r="G670" s="73"/>
      <c r="H670" s="73"/>
      <c r="I670" s="73"/>
      <c r="J670" s="73"/>
      <c r="K670" s="74"/>
      <c r="L670" s="74"/>
      <c r="O670" s="75"/>
    </row>
    <row r="671" ht="15.0" customHeight="1">
      <c r="C671" s="70"/>
      <c r="D671" s="71"/>
      <c r="E671" s="72"/>
      <c r="F671" s="71"/>
      <c r="G671" s="73"/>
      <c r="H671" s="73"/>
      <c r="I671" s="73"/>
      <c r="J671" s="73"/>
      <c r="K671" s="74"/>
      <c r="L671" s="74"/>
      <c r="O671" s="75"/>
    </row>
    <row r="672" ht="15.0" customHeight="1">
      <c r="C672" s="70"/>
      <c r="D672" s="71"/>
      <c r="E672" s="72"/>
      <c r="F672" s="71"/>
      <c r="G672" s="73"/>
      <c r="H672" s="73"/>
      <c r="I672" s="73"/>
      <c r="J672" s="73"/>
      <c r="K672" s="74"/>
      <c r="L672" s="74"/>
      <c r="O672" s="75"/>
    </row>
    <row r="673" ht="15.0" customHeight="1">
      <c r="C673" s="70"/>
      <c r="D673" s="71"/>
      <c r="E673" s="72"/>
      <c r="F673" s="71"/>
      <c r="G673" s="73"/>
      <c r="H673" s="73"/>
      <c r="I673" s="73"/>
      <c r="J673" s="73"/>
      <c r="K673" s="74"/>
      <c r="L673" s="74"/>
      <c r="O673" s="75"/>
    </row>
    <row r="674" ht="15.0" customHeight="1">
      <c r="C674" s="70"/>
      <c r="D674" s="71"/>
      <c r="E674" s="72"/>
      <c r="F674" s="71"/>
      <c r="G674" s="73"/>
      <c r="H674" s="73"/>
      <c r="I674" s="73"/>
      <c r="J674" s="73"/>
      <c r="K674" s="74"/>
      <c r="L674" s="74"/>
      <c r="O674" s="75"/>
    </row>
    <row r="675" ht="15.0" customHeight="1">
      <c r="C675" s="70"/>
      <c r="D675" s="71"/>
      <c r="E675" s="72"/>
      <c r="F675" s="71"/>
      <c r="G675" s="73"/>
      <c r="H675" s="73"/>
      <c r="I675" s="73"/>
      <c r="J675" s="73"/>
      <c r="K675" s="74"/>
      <c r="L675" s="74"/>
      <c r="O675" s="75"/>
    </row>
    <row r="676" ht="15.0" customHeight="1">
      <c r="C676" s="70"/>
      <c r="D676" s="71"/>
      <c r="E676" s="72"/>
      <c r="F676" s="71"/>
      <c r="G676" s="73"/>
      <c r="H676" s="73"/>
      <c r="I676" s="73"/>
      <c r="J676" s="73"/>
      <c r="K676" s="74"/>
      <c r="L676" s="74"/>
      <c r="O676" s="75"/>
    </row>
    <row r="677" ht="15.0" customHeight="1">
      <c r="C677" s="70"/>
      <c r="D677" s="71"/>
      <c r="E677" s="72"/>
      <c r="F677" s="71"/>
      <c r="G677" s="73"/>
      <c r="H677" s="73"/>
      <c r="I677" s="73"/>
      <c r="J677" s="73"/>
      <c r="K677" s="74"/>
      <c r="L677" s="74"/>
      <c r="O677" s="75"/>
    </row>
    <row r="678" ht="15.0" customHeight="1">
      <c r="C678" s="70"/>
      <c r="D678" s="71"/>
      <c r="E678" s="72"/>
      <c r="F678" s="71"/>
      <c r="G678" s="73"/>
      <c r="H678" s="73"/>
      <c r="I678" s="73"/>
      <c r="J678" s="73"/>
      <c r="K678" s="74"/>
      <c r="L678" s="74"/>
      <c r="O678" s="75"/>
    </row>
    <row r="679" ht="15.0" customHeight="1">
      <c r="C679" s="70"/>
      <c r="D679" s="71"/>
      <c r="E679" s="72"/>
      <c r="F679" s="71"/>
      <c r="G679" s="73"/>
      <c r="H679" s="73"/>
      <c r="I679" s="73"/>
      <c r="J679" s="73"/>
      <c r="K679" s="74"/>
      <c r="L679" s="74"/>
      <c r="O679" s="75"/>
    </row>
    <row r="680" ht="15.0" customHeight="1">
      <c r="C680" s="70"/>
      <c r="D680" s="71"/>
      <c r="E680" s="72"/>
      <c r="F680" s="71"/>
      <c r="G680" s="73"/>
      <c r="H680" s="73"/>
      <c r="I680" s="73"/>
      <c r="J680" s="73"/>
      <c r="K680" s="74"/>
      <c r="L680" s="74"/>
      <c r="O680" s="75"/>
    </row>
    <row r="681" ht="15.0" customHeight="1">
      <c r="C681" s="70"/>
      <c r="D681" s="71"/>
      <c r="E681" s="72"/>
      <c r="F681" s="71"/>
      <c r="G681" s="73"/>
      <c r="H681" s="73"/>
      <c r="I681" s="73"/>
      <c r="J681" s="73"/>
      <c r="K681" s="74"/>
      <c r="L681" s="74"/>
      <c r="O681" s="75"/>
    </row>
    <row r="682" ht="15.0" customHeight="1">
      <c r="C682" s="70"/>
      <c r="D682" s="71"/>
      <c r="E682" s="72"/>
      <c r="F682" s="71"/>
      <c r="G682" s="73"/>
      <c r="H682" s="73"/>
      <c r="I682" s="73"/>
      <c r="J682" s="73"/>
      <c r="K682" s="74"/>
      <c r="L682" s="74"/>
      <c r="O682" s="75"/>
    </row>
    <row r="683" ht="15.0" customHeight="1">
      <c r="C683" s="70"/>
      <c r="D683" s="71"/>
      <c r="E683" s="72"/>
      <c r="F683" s="71"/>
      <c r="G683" s="73"/>
      <c r="H683" s="73"/>
      <c r="I683" s="73"/>
      <c r="J683" s="73"/>
      <c r="K683" s="74"/>
      <c r="L683" s="74"/>
      <c r="O683" s="75"/>
    </row>
    <row r="684" ht="15.0" customHeight="1">
      <c r="C684" s="70"/>
      <c r="D684" s="71"/>
      <c r="E684" s="72"/>
      <c r="F684" s="71"/>
      <c r="G684" s="73"/>
      <c r="H684" s="73"/>
      <c r="I684" s="73"/>
      <c r="J684" s="73"/>
      <c r="K684" s="74"/>
      <c r="L684" s="74"/>
      <c r="O684" s="75"/>
    </row>
    <row r="685" ht="15.0" customHeight="1">
      <c r="C685" s="70"/>
      <c r="D685" s="71"/>
      <c r="E685" s="72"/>
      <c r="F685" s="71"/>
      <c r="G685" s="73"/>
      <c r="H685" s="73"/>
      <c r="I685" s="73"/>
      <c r="J685" s="73"/>
      <c r="K685" s="74"/>
      <c r="L685" s="74"/>
      <c r="O685" s="75"/>
    </row>
    <row r="686" ht="15.0" customHeight="1">
      <c r="C686" s="70"/>
      <c r="D686" s="71"/>
      <c r="E686" s="72"/>
      <c r="F686" s="71"/>
      <c r="G686" s="73"/>
      <c r="H686" s="73"/>
      <c r="I686" s="73"/>
      <c r="J686" s="73"/>
      <c r="K686" s="74"/>
      <c r="L686" s="74"/>
      <c r="O686" s="75"/>
    </row>
    <row r="687" ht="15.0" customHeight="1">
      <c r="C687" s="70"/>
      <c r="D687" s="71"/>
      <c r="E687" s="72"/>
      <c r="F687" s="71"/>
      <c r="G687" s="73"/>
      <c r="H687" s="73"/>
      <c r="I687" s="73"/>
      <c r="J687" s="73"/>
      <c r="K687" s="74"/>
      <c r="L687" s="74"/>
      <c r="O687" s="75"/>
    </row>
    <row r="688" ht="15.0" customHeight="1">
      <c r="C688" s="70"/>
      <c r="D688" s="71"/>
      <c r="E688" s="72"/>
      <c r="F688" s="71"/>
      <c r="G688" s="73"/>
      <c r="H688" s="73"/>
      <c r="I688" s="73"/>
      <c r="J688" s="73"/>
      <c r="K688" s="74"/>
      <c r="L688" s="74"/>
      <c r="O688" s="75"/>
    </row>
    <row r="689" ht="15.0" customHeight="1">
      <c r="C689" s="70"/>
      <c r="D689" s="71"/>
      <c r="E689" s="72"/>
      <c r="F689" s="71"/>
      <c r="G689" s="73"/>
      <c r="H689" s="73"/>
      <c r="I689" s="73"/>
      <c r="J689" s="73"/>
      <c r="K689" s="74"/>
      <c r="L689" s="74"/>
      <c r="O689" s="75"/>
    </row>
    <row r="690" ht="15.0" customHeight="1">
      <c r="C690" s="70"/>
      <c r="D690" s="71"/>
      <c r="E690" s="72"/>
      <c r="F690" s="71"/>
      <c r="G690" s="73"/>
      <c r="H690" s="73"/>
      <c r="I690" s="73"/>
      <c r="J690" s="73"/>
      <c r="K690" s="74"/>
      <c r="L690" s="74"/>
      <c r="O690" s="75"/>
    </row>
    <row r="691" ht="15.0" customHeight="1">
      <c r="C691" s="70"/>
      <c r="D691" s="71"/>
      <c r="E691" s="72"/>
      <c r="F691" s="71"/>
      <c r="G691" s="73"/>
      <c r="H691" s="73"/>
      <c r="I691" s="73"/>
      <c r="J691" s="73"/>
      <c r="K691" s="74"/>
      <c r="L691" s="74"/>
      <c r="O691" s="75"/>
    </row>
    <row r="692" ht="15.0" customHeight="1">
      <c r="C692" s="70"/>
      <c r="D692" s="71"/>
      <c r="E692" s="72"/>
      <c r="F692" s="71"/>
      <c r="G692" s="73"/>
      <c r="H692" s="73"/>
      <c r="I692" s="73"/>
      <c r="J692" s="73"/>
      <c r="K692" s="74"/>
      <c r="L692" s="74"/>
      <c r="O692" s="75"/>
    </row>
    <row r="693" ht="15.0" customHeight="1">
      <c r="C693" s="70"/>
      <c r="D693" s="71"/>
      <c r="E693" s="72"/>
      <c r="F693" s="71"/>
      <c r="G693" s="73"/>
      <c r="H693" s="73"/>
      <c r="I693" s="73"/>
      <c r="J693" s="73"/>
      <c r="K693" s="74"/>
      <c r="L693" s="74"/>
      <c r="O693" s="75"/>
    </row>
    <row r="694" ht="15.0" customHeight="1">
      <c r="C694" s="70"/>
      <c r="D694" s="71"/>
      <c r="E694" s="72"/>
      <c r="F694" s="71"/>
      <c r="G694" s="73"/>
      <c r="H694" s="73"/>
      <c r="I694" s="73"/>
      <c r="J694" s="73"/>
      <c r="K694" s="74"/>
      <c r="L694" s="74"/>
      <c r="O694" s="75"/>
    </row>
    <row r="695" ht="15.0" customHeight="1">
      <c r="C695" s="70"/>
      <c r="D695" s="71"/>
      <c r="E695" s="72"/>
      <c r="F695" s="71"/>
      <c r="G695" s="73"/>
      <c r="H695" s="73"/>
      <c r="I695" s="73"/>
      <c r="J695" s="73"/>
      <c r="K695" s="74"/>
      <c r="L695" s="74"/>
      <c r="O695" s="75"/>
    </row>
    <row r="696" ht="15.0" customHeight="1">
      <c r="C696" s="70"/>
      <c r="D696" s="71"/>
      <c r="E696" s="72"/>
      <c r="F696" s="71"/>
      <c r="G696" s="73"/>
      <c r="H696" s="73"/>
      <c r="I696" s="73"/>
      <c r="J696" s="73"/>
      <c r="K696" s="74"/>
      <c r="L696" s="74"/>
      <c r="O696" s="75"/>
    </row>
    <row r="697" ht="15.0" customHeight="1">
      <c r="C697" s="70"/>
      <c r="D697" s="71"/>
      <c r="E697" s="72"/>
      <c r="F697" s="71"/>
      <c r="G697" s="73"/>
      <c r="H697" s="73"/>
      <c r="I697" s="73"/>
      <c r="J697" s="73"/>
      <c r="K697" s="74"/>
      <c r="L697" s="74"/>
      <c r="O697" s="75"/>
    </row>
    <row r="698" ht="15.0" customHeight="1">
      <c r="C698" s="70"/>
      <c r="D698" s="71"/>
      <c r="E698" s="72"/>
      <c r="F698" s="71"/>
      <c r="G698" s="73"/>
      <c r="H698" s="73"/>
      <c r="I698" s="73"/>
      <c r="J698" s="73"/>
      <c r="K698" s="74"/>
      <c r="L698" s="74"/>
      <c r="O698" s="75"/>
    </row>
    <row r="699" ht="15.0" customHeight="1">
      <c r="C699" s="70"/>
      <c r="D699" s="71"/>
      <c r="E699" s="72"/>
      <c r="F699" s="71"/>
      <c r="G699" s="73"/>
      <c r="H699" s="73"/>
      <c r="I699" s="73"/>
      <c r="J699" s="73"/>
      <c r="K699" s="74"/>
      <c r="L699" s="74"/>
      <c r="O699" s="75"/>
    </row>
    <row r="700" ht="15.0" customHeight="1">
      <c r="C700" s="70"/>
      <c r="D700" s="71"/>
      <c r="E700" s="72"/>
      <c r="F700" s="71"/>
      <c r="G700" s="73"/>
      <c r="H700" s="73"/>
      <c r="I700" s="73"/>
      <c r="J700" s="73"/>
      <c r="K700" s="74"/>
      <c r="L700" s="74"/>
      <c r="O700" s="75"/>
    </row>
    <row r="701" ht="15.0" customHeight="1">
      <c r="C701" s="70"/>
      <c r="D701" s="71"/>
      <c r="E701" s="72"/>
      <c r="F701" s="71"/>
      <c r="G701" s="73"/>
      <c r="H701" s="73"/>
      <c r="I701" s="73"/>
      <c r="J701" s="73"/>
      <c r="K701" s="74"/>
      <c r="L701" s="74"/>
      <c r="O701" s="75"/>
    </row>
    <row r="702" ht="15.0" customHeight="1">
      <c r="C702" s="70"/>
      <c r="D702" s="71"/>
      <c r="E702" s="72"/>
      <c r="F702" s="71"/>
      <c r="G702" s="73"/>
      <c r="H702" s="73"/>
      <c r="I702" s="73"/>
      <c r="J702" s="73"/>
      <c r="K702" s="74"/>
      <c r="L702" s="74"/>
      <c r="O702" s="75"/>
    </row>
    <row r="703" ht="15.0" customHeight="1">
      <c r="C703" s="70"/>
      <c r="D703" s="71"/>
      <c r="E703" s="72"/>
      <c r="F703" s="71"/>
      <c r="G703" s="73"/>
      <c r="H703" s="73"/>
      <c r="I703" s="73"/>
      <c r="J703" s="73"/>
      <c r="K703" s="74"/>
      <c r="L703" s="74"/>
      <c r="O703" s="75"/>
    </row>
    <row r="704" ht="15.0" customHeight="1">
      <c r="C704" s="70"/>
      <c r="D704" s="71"/>
      <c r="E704" s="72"/>
      <c r="F704" s="71"/>
      <c r="G704" s="73"/>
      <c r="H704" s="73"/>
      <c r="I704" s="73"/>
      <c r="J704" s="73"/>
      <c r="K704" s="74"/>
      <c r="L704" s="74"/>
      <c r="O704" s="75"/>
    </row>
    <row r="705" ht="15.0" customHeight="1">
      <c r="C705" s="70"/>
      <c r="D705" s="71"/>
      <c r="E705" s="72"/>
      <c r="F705" s="71"/>
      <c r="G705" s="73"/>
      <c r="H705" s="73"/>
      <c r="I705" s="73"/>
      <c r="J705" s="73"/>
      <c r="K705" s="74"/>
      <c r="L705" s="74"/>
      <c r="O705" s="75"/>
    </row>
    <row r="706" ht="15.0" customHeight="1">
      <c r="C706" s="70"/>
      <c r="D706" s="71"/>
      <c r="E706" s="72"/>
      <c r="F706" s="71"/>
      <c r="G706" s="73"/>
      <c r="H706" s="73"/>
      <c r="I706" s="73"/>
      <c r="J706" s="73"/>
      <c r="K706" s="74"/>
      <c r="L706" s="74"/>
      <c r="O706" s="75"/>
    </row>
    <row r="707" ht="15.0" customHeight="1">
      <c r="C707" s="70"/>
      <c r="D707" s="71"/>
      <c r="E707" s="72"/>
      <c r="F707" s="71"/>
      <c r="G707" s="73"/>
      <c r="H707" s="73"/>
      <c r="I707" s="73"/>
      <c r="J707" s="73"/>
      <c r="K707" s="74"/>
      <c r="L707" s="74"/>
      <c r="O707" s="75"/>
    </row>
    <row r="708" ht="15.0" customHeight="1">
      <c r="C708" s="70"/>
      <c r="D708" s="71"/>
      <c r="E708" s="72"/>
      <c r="F708" s="71"/>
      <c r="G708" s="73"/>
      <c r="H708" s="73"/>
      <c r="I708" s="73"/>
      <c r="J708" s="73"/>
      <c r="K708" s="74"/>
      <c r="L708" s="74"/>
      <c r="O708" s="75"/>
    </row>
    <row r="709" ht="15.0" customHeight="1">
      <c r="C709" s="70"/>
      <c r="D709" s="71"/>
      <c r="E709" s="72"/>
      <c r="F709" s="71"/>
      <c r="G709" s="73"/>
      <c r="H709" s="73"/>
      <c r="I709" s="73"/>
      <c r="J709" s="73"/>
      <c r="K709" s="74"/>
      <c r="L709" s="74"/>
      <c r="O709" s="75"/>
    </row>
    <row r="710" ht="15.0" customHeight="1">
      <c r="C710" s="70"/>
      <c r="D710" s="71"/>
      <c r="E710" s="72"/>
      <c r="F710" s="71"/>
      <c r="G710" s="73"/>
      <c r="H710" s="73"/>
      <c r="I710" s="73"/>
      <c r="J710" s="73"/>
      <c r="K710" s="74"/>
      <c r="L710" s="74"/>
      <c r="O710" s="75"/>
    </row>
    <row r="711" ht="15.0" customHeight="1">
      <c r="C711" s="70"/>
      <c r="D711" s="71"/>
      <c r="E711" s="72"/>
      <c r="F711" s="71"/>
      <c r="G711" s="73"/>
      <c r="H711" s="73"/>
      <c r="I711" s="73"/>
      <c r="J711" s="73"/>
      <c r="K711" s="74"/>
      <c r="L711" s="74"/>
      <c r="O711" s="75"/>
    </row>
    <row r="712" ht="15.0" customHeight="1">
      <c r="C712" s="70"/>
      <c r="D712" s="71"/>
      <c r="E712" s="72"/>
      <c r="F712" s="71"/>
      <c r="G712" s="73"/>
      <c r="H712" s="73"/>
      <c r="I712" s="73"/>
      <c r="J712" s="73"/>
      <c r="K712" s="74"/>
      <c r="L712" s="74"/>
      <c r="O712" s="75"/>
    </row>
    <row r="713" ht="15.0" customHeight="1">
      <c r="C713" s="70"/>
      <c r="D713" s="71"/>
      <c r="E713" s="72"/>
      <c r="F713" s="71"/>
      <c r="G713" s="73"/>
      <c r="H713" s="73"/>
      <c r="I713" s="73"/>
      <c r="J713" s="73"/>
      <c r="K713" s="74"/>
      <c r="L713" s="74"/>
      <c r="O713" s="75"/>
    </row>
    <row r="714" ht="15.0" customHeight="1">
      <c r="C714" s="70"/>
      <c r="D714" s="71"/>
      <c r="E714" s="72"/>
      <c r="F714" s="71"/>
      <c r="G714" s="73"/>
      <c r="H714" s="73"/>
      <c r="I714" s="73"/>
      <c r="J714" s="73"/>
      <c r="K714" s="74"/>
      <c r="L714" s="74"/>
      <c r="O714" s="75"/>
    </row>
    <row r="715" ht="15.0" customHeight="1">
      <c r="C715" s="70"/>
      <c r="D715" s="71"/>
      <c r="E715" s="72"/>
      <c r="F715" s="71"/>
      <c r="G715" s="73"/>
      <c r="H715" s="73"/>
      <c r="I715" s="73"/>
      <c r="J715" s="73"/>
      <c r="K715" s="74"/>
      <c r="L715" s="74"/>
      <c r="O715" s="75"/>
    </row>
    <row r="716" ht="15.0" customHeight="1">
      <c r="C716" s="70"/>
      <c r="D716" s="71"/>
      <c r="E716" s="72"/>
      <c r="F716" s="71"/>
      <c r="G716" s="73"/>
      <c r="H716" s="73"/>
      <c r="I716" s="73"/>
      <c r="J716" s="73"/>
      <c r="K716" s="74"/>
      <c r="L716" s="74"/>
      <c r="O716" s="75"/>
    </row>
    <row r="717" ht="15.0" customHeight="1">
      <c r="C717" s="70"/>
      <c r="D717" s="71"/>
      <c r="E717" s="72"/>
      <c r="F717" s="71"/>
      <c r="G717" s="73"/>
      <c r="H717" s="73"/>
      <c r="I717" s="73"/>
      <c r="J717" s="73"/>
      <c r="K717" s="74"/>
      <c r="L717" s="74"/>
      <c r="O717" s="75"/>
    </row>
    <row r="718" ht="15.0" customHeight="1">
      <c r="C718" s="70"/>
      <c r="D718" s="71"/>
      <c r="E718" s="72"/>
      <c r="F718" s="71"/>
      <c r="G718" s="73"/>
      <c r="H718" s="73"/>
      <c r="I718" s="73"/>
      <c r="J718" s="73"/>
      <c r="K718" s="74"/>
      <c r="L718" s="74"/>
      <c r="O718" s="75"/>
    </row>
    <row r="719" ht="15.0" customHeight="1">
      <c r="C719" s="70"/>
      <c r="D719" s="71"/>
      <c r="E719" s="72"/>
      <c r="F719" s="71"/>
      <c r="G719" s="73"/>
      <c r="H719" s="73"/>
      <c r="I719" s="73"/>
      <c r="J719" s="73"/>
      <c r="K719" s="74"/>
      <c r="L719" s="74"/>
      <c r="O719" s="75"/>
    </row>
    <row r="720" ht="15.0" customHeight="1">
      <c r="C720" s="70"/>
      <c r="D720" s="71"/>
      <c r="E720" s="72"/>
      <c r="F720" s="71"/>
      <c r="G720" s="73"/>
      <c r="H720" s="73"/>
      <c r="I720" s="73"/>
      <c r="J720" s="73"/>
      <c r="K720" s="74"/>
      <c r="L720" s="74"/>
      <c r="O720" s="75"/>
    </row>
    <row r="721" ht="15.0" customHeight="1">
      <c r="C721" s="70"/>
      <c r="D721" s="71"/>
      <c r="E721" s="72"/>
      <c r="F721" s="71"/>
      <c r="G721" s="73"/>
      <c r="H721" s="73"/>
      <c r="I721" s="73"/>
      <c r="J721" s="73"/>
      <c r="K721" s="74"/>
      <c r="L721" s="74"/>
      <c r="O721" s="75"/>
    </row>
    <row r="722" ht="15.0" customHeight="1">
      <c r="C722" s="70"/>
      <c r="D722" s="71"/>
      <c r="E722" s="72"/>
      <c r="F722" s="71"/>
      <c r="G722" s="73"/>
      <c r="H722" s="73"/>
      <c r="I722" s="73"/>
      <c r="J722" s="73"/>
      <c r="K722" s="74"/>
      <c r="L722" s="74"/>
      <c r="O722" s="75"/>
    </row>
    <row r="723" ht="15.0" customHeight="1">
      <c r="C723" s="70"/>
      <c r="D723" s="71"/>
      <c r="E723" s="72"/>
      <c r="F723" s="71"/>
      <c r="G723" s="73"/>
      <c r="H723" s="73"/>
      <c r="I723" s="73"/>
      <c r="J723" s="73"/>
      <c r="K723" s="74"/>
      <c r="L723" s="74"/>
      <c r="O723" s="75"/>
    </row>
    <row r="724" ht="15.0" customHeight="1">
      <c r="C724" s="70"/>
      <c r="D724" s="71"/>
      <c r="E724" s="72"/>
      <c r="F724" s="71"/>
      <c r="G724" s="73"/>
      <c r="H724" s="73"/>
      <c r="I724" s="73"/>
      <c r="J724" s="73"/>
      <c r="K724" s="74"/>
      <c r="L724" s="74"/>
      <c r="O724" s="75"/>
    </row>
    <row r="725" ht="15.0" customHeight="1">
      <c r="C725" s="70"/>
      <c r="D725" s="71"/>
      <c r="E725" s="72"/>
      <c r="F725" s="71"/>
      <c r="G725" s="73"/>
      <c r="H725" s="73"/>
      <c r="I725" s="73"/>
      <c r="J725" s="73"/>
      <c r="K725" s="74"/>
      <c r="L725" s="74"/>
      <c r="O725" s="75"/>
    </row>
    <row r="726" ht="15.0" customHeight="1">
      <c r="C726" s="70"/>
      <c r="D726" s="71"/>
      <c r="E726" s="72"/>
      <c r="F726" s="71"/>
      <c r="G726" s="73"/>
      <c r="H726" s="73"/>
      <c r="I726" s="73"/>
      <c r="J726" s="73"/>
      <c r="K726" s="74"/>
      <c r="L726" s="74"/>
      <c r="O726" s="75"/>
    </row>
    <row r="727" ht="15.0" customHeight="1">
      <c r="C727" s="70"/>
      <c r="D727" s="71"/>
      <c r="E727" s="72"/>
      <c r="F727" s="71"/>
      <c r="G727" s="73"/>
      <c r="H727" s="73"/>
      <c r="I727" s="73"/>
      <c r="J727" s="73"/>
      <c r="K727" s="74"/>
      <c r="L727" s="74"/>
      <c r="O727" s="75"/>
    </row>
    <row r="728" ht="15.0" customHeight="1">
      <c r="C728" s="70"/>
      <c r="D728" s="71"/>
      <c r="E728" s="72"/>
      <c r="F728" s="71"/>
      <c r="G728" s="73"/>
      <c r="H728" s="73"/>
      <c r="I728" s="73"/>
      <c r="J728" s="73"/>
      <c r="K728" s="74"/>
      <c r="L728" s="74"/>
      <c r="O728" s="75"/>
    </row>
    <row r="729" ht="15.0" customHeight="1">
      <c r="C729" s="70"/>
      <c r="D729" s="71"/>
      <c r="E729" s="72"/>
      <c r="F729" s="71"/>
      <c r="G729" s="73"/>
      <c r="H729" s="73"/>
      <c r="I729" s="73"/>
      <c r="J729" s="73"/>
      <c r="K729" s="74"/>
      <c r="L729" s="74"/>
      <c r="O729" s="75"/>
    </row>
    <row r="730" ht="15.0" customHeight="1">
      <c r="C730" s="70"/>
      <c r="D730" s="71"/>
      <c r="E730" s="72"/>
      <c r="F730" s="71"/>
      <c r="G730" s="73"/>
      <c r="H730" s="73"/>
      <c r="I730" s="73"/>
      <c r="J730" s="73"/>
      <c r="K730" s="74"/>
      <c r="L730" s="74"/>
      <c r="O730" s="75"/>
    </row>
    <row r="731" ht="15.0" customHeight="1">
      <c r="C731" s="70"/>
      <c r="D731" s="71"/>
      <c r="E731" s="72"/>
      <c r="F731" s="71"/>
      <c r="G731" s="73"/>
      <c r="H731" s="73"/>
      <c r="I731" s="73"/>
      <c r="J731" s="73"/>
      <c r="K731" s="74"/>
      <c r="L731" s="74"/>
      <c r="O731" s="75"/>
    </row>
    <row r="732" ht="15.0" customHeight="1">
      <c r="C732" s="70"/>
      <c r="D732" s="71"/>
      <c r="E732" s="72"/>
      <c r="F732" s="71"/>
      <c r="G732" s="73"/>
      <c r="H732" s="73"/>
      <c r="I732" s="73"/>
      <c r="J732" s="73"/>
      <c r="K732" s="74"/>
      <c r="L732" s="74"/>
      <c r="O732" s="75"/>
    </row>
    <row r="733" ht="15.0" customHeight="1">
      <c r="C733" s="70"/>
      <c r="D733" s="71"/>
      <c r="E733" s="72"/>
      <c r="F733" s="71"/>
      <c r="G733" s="73"/>
      <c r="H733" s="73"/>
      <c r="I733" s="73"/>
      <c r="J733" s="73"/>
      <c r="K733" s="74"/>
      <c r="L733" s="74"/>
      <c r="O733" s="75"/>
    </row>
    <row r="734" ht="15.0" customHeight="1">
      <c r="C734" s="70"/>
      <c r="D734" s="71"/>
      <c r="E734" s="72"/>
      <c r="F734" s="71"/>
      <c r="G734" s="73"/>
      <c r="H734" s="73"/>
      <c r="I734" s="73"/>
      <c r="J734" s="73"/>
      <c r="K734" s="74"/>
      <c r="L734" s="74"/>
      <c r="O734" s="75"/>
    </row>
    <row r="735" ht="15.0" customHeight="1">
      <c r="C735" s="70"/>
      <c r="D735" s="71"/>
      <c r="E735" s="72"/>
      <c r="F735" s="71"/>
      <c r="G735" s="73"/>
      <c r="H735" s="73"/>
      <c r="I735" s="73"/>
      <c r="J735" s="73"/>
      <c r="K735" s="74"/>
      <c r="L735" s="74"/>
      <c r="O735" s="75"/>
    </row>
    <row r="736" ht="15.0" customHeight="1">
      <c r="C736" s="70"/>
      <c r="D736" s="71"/>
      <c r="E736" s="72"/>
      <c r="F736" s="71"/>
      <c r="G736" s="73"/>
      <c r="H736" s="73"/>
      <c r="I736" s="73"/>
      <c r="J736" s="73"/>
      <c r="K736" s="74"/>
      <c r="L736" s="74"/>
      <c r="O736" s="75"/>
    </row>
    <row r="737" ht="15.0" customHeight="1">
      <c r="C737" s="70"/>
      <c r="D737" s="71"/>
      <c r="E737" s="72"/>
      <c r="F737" s="71"/>
      <c r="G737" s="73"/>
      <c r="H737" s="73"/>
      <c r="I737" s="73"/>
      <c r="J737" s="73"/>
      <c r="K737" s="74"/>
      <c r="L737" s="74"/>
      <c r="O737" s="75"/>
    </row>
    <row r="738" ht="15.0" customHeight="1">
      <c r="C738" s="70"/>
      <c r="D738" s="71"/>
      <c r="E738" s="72"/>
      <c r="F738" s="71"/>
      <c r="G738" s="73"/>
      <c r="H738" s="73"/>
      <c r="I738" s="73"/>
      <c r="J738" s="73"/>
      <c r="K738" s="74"/>
      <c r="L738" s="74"/>
      <c r="O738" s="75"/>
    </row>
    <row r="739" ht="15.0" customHeight="1">
      <c r="C739" s="70"/>
      <c r="D739" s="71"/>
      <c r="E739" s="72"/>
      <c r="F739" s="71"/>
      <c r="G739" s="73"/>
      <c r="H739" s="73"/>
      <c r="I739" s="73"/>
      <c r="J739" s="73"/>
      <c r="K739" s="74"/>
      <c r="L739" s="74"/>
      <c r="O739" s="75"/>
    </row>
    <row r="740" ht="15.0" customHeight="1">
      <c r="C740" s="70"/>
      <c r="D740" s="71"/>
      <c r="E740" s="72"/>
      <c r="F740" s="71"/>
      <c r="G740" s="73"/>
      <c r="H740" s="73"/>
      <c r="I740" s="73"/>
      <c r="J740" s="73"/>
      <c r="K740" s="74"/>
      <c r="L740" s="74"/>
      <c r="O740" s="75"/>
    </row>
    <row r="741" ht="15.0" customHeight="1">
      <c r="C741" s="70"/>
      <c r="D741" s="71"/>
      <c r="E741" s="72"/>
      <c r="F741" s="71"/>
      <c r="G741" s="73"/>
      <c r="H741" s="73"/>
      <c r="I741" s="73"/>
      <c r="J741" s="73"/>
      <c r="K741" s="74"/>
      <c r="L741" s="74"/>
      <c r="O741" s="75"/>
    </row>
    <row r="742" ht="15.0" customHeight="1">
      <c r="C742" s="70"/>
      <c r="D742" s="71"/>
      <c r="E742" s="72"/>
      <c r="F742" s="71"/>
      <c r="G742" s="73"/>
      <c r="H742" s="73"/>
      <c r="I742" s="73"/>
      <c r="J742" s="73"/>
      <c r="K742" s="74"/>
      <c r="L742" s="74"/>
      <c r="O742" s="75"/>
    </row>
    <row r="743" ht="15.0" customHeight="1">
      <c r="C743" s="70"/>
      <c r="D743" s="71"/>
      <c r="E743" s="72"/>
      <c r="F743" s="71"/>
      <c r="G743" s="73"/>
      <c r="H743" s="73"/>
      <c r="I743" s="73"/>
      <c r="J743" s="73"/>
      <c r="K743" s="74"/>
      <c r="L743" s="74"/>
      <c r="O743" s="75"/>
    </row>
    <row r="744" ht="15.0" customHeight="1">
      <c r="C744" s="70"/>
      <c r="D744" s="71"/>
      <c r="E744" s="72"/>
      <c r="F744" s="71"/>
      <c r="G744" s="73"/>
      <c r="H744" s="73"/>
      <c r="I744" s="73"/>
      <c r="J744" s="73"/>
      <c r="K744" s="74"/>
      <c r="L744" s="74"/>
      <c r="O744" s="75"/>
    </row>
    <row r="745" ht="15.0" customHeight="1">
      <c r="C745" s="70"/>
      <c r="D745" s="71"/>
      <c r="E745" s="72"/>
      <c r="F745" s="71"/>
      <c r="G745" s="73"/>
      <c r="H745" s="73"/>
      <c r="I745" s="73"/>
      <c r="J745" s="73"/>
      <c r="K745" s="74"/>
      <c r="L745" s="74"/>
      <c r="O745" s="75"/>
    </row>
    <row r="746" ht="15.0" customHeight="1">
      <c r="C746" s="70"/>
      <c r="D746" s="71"/>
      <c r="E746" s="72"/>
      <c r="F746" s="71"/>
      <c r="G746" s="73"/>
      <c r="H746" s="73"/>
      <c r="I746" s="73"/>
      <c r="J746" s="73"/>
      <c r="K746" s="74"/>
      <c r="L746" s="74"/>
      <c r="O746" s="75"/>
    </row>
    <row r="747" ht="15.0" customHeight="1">
      <c r="C747" s="70"/>
      <c r="D747" s="71"/>
      <c r="E747" s="72"/>
      <c r="F747" s="71"/>
      <c r="G747" s="73"/>
      <c r="H747" s="73"/>
      <c r="I747" s="73"/>
      <c r="J747" s="73"/>
      <c r="K747" s="74"/>
      <c r="L747" s="74"/>
      <c r="O747" s="75"/>
    </row>
    <row r="748" ht="15.0" customHeight="1">
      <c r="C748" s="70"/>
      <c r="D748" s="71"/>
      <c r="E748" s="72"/>
      <c r="F748" s="71"/>
      <c r="G748" s="73"/>
      <c r="H748" s="73"/>
      <c r="I748" s="73"/>
      <c r="J748" s="73"/>
      <c r="K748" s="74"/>
      <c r="L748" s="74"/>
      <c r="O748" s="75"/>
    </row>
    <row r="749" ht="15.0" customHeight="1">
      <c r="C749" s="70"/>
      <c r="D749" s="71"/>
      <c r="E749" s="72"/>
      <c r="F749" s="71"/>
      <c r="G749" s="73"/>
      <c r="H749" s="73"/>
      <c r="I749" s="73"/>
      <c r="J749" s="73"/>
      <c r="K749" s="74"/>
      <c r="L749" s="74"/>
      <c r="O749" s="75"/>
    </row>
    <row r="750" ht="15.0" customHeight="1">
      <c r="C750" s="70"/>
      <c r="D750" s="71"/>
      <c r="E750" s="72"/>
      <c r="F750" s="71"/>
      <c r="G750" s="73"/>
      <c r="H750" s="73"/>
      <c r="I750" s="73"/>
      <c r="J750" s="73"/>
      <c r="K750" s="74"/>
      <c r="L750" s="74"/>
      <c r="O750" s="75"/>
    </row>
    <row r="751" ht="15.0" customHeight="1">
      <c r="C751" s="70"/>
      <c r="D751" s="71"/>
      <c r="E751" s="72"/>
      <c r="F751" s="71"/>
      <c r="G751" s="73"/>
      <c r="H751" s="73"/>
      <c r="I751" s="73"/>
      <c r="J751" s="73"/>
      <c r="K751" s="74"/>
      <c r="L751" s="74"/>
      <c r="O751" s="75"/>
    </row>
    <row r="752" ht="15.0" customHeight="1">
      <c r="C752" s="70"/>
      <c r="D752" s="71"/>
      <c r="E752" s="72"/>
      <c r="F752" s="71"/>
      <c r="G752" s="73"/>
      <c r="H752" s="73"/>
      <c r="I752" s="73"/>
      <c r="J752" s="73"/>
      <c r="K752" s="74"/>
      <c r="L752" s="74"/>
      <c r="O752" s="75"/>
    </row>
    <row r="753" ht="15.0" customHeight="1">
      <c r="C753" s="70"/>
      <c r="D753" s="71"/>
      <c r="E753" s="72"/>
      <c r="F753" s="71"/>
      <c r="G753" s="73"/>
      <c r="H753" s="73"/>
      <c r="I753" s="73"/>
      <c r="J753" s="73"/>
      <c r="K753" s="74"/>
      <c r="L753" s="74"/>
      <c r="O753" s="75"/>
    </row>
    <row r="754" ht="15.0" customHeight="1">
      <c r="C754" s="76"/>
      <c r="E754" s="72"/>
      <c r="K754" s="74"/>
      <c r="L754" s="74"/>
      <c r="O754" s="75"/>
    </row>
    <row r="755" ht="15.0" customHeight="1">
      <c r="C755" s="76"/>
      <c r="E755" s="72"/>
      <c r="K755" s="74"/>
      <c r="L755" s="74"/>
      <c r="O755" s="75"/>
    </row>
    <row r="756" ht="15.0" customHeight="1">
      <c r="C756" s="76"/>
      <c r="E756" s="72"/>
      <c r="K756" s="74"/>
      <c r="L756" s="74"/>
      <c r="O756" s="75"/>
    </row>
    <row r="757" ht="15.0" customHeight="1">
      <c r="C757" s="76"/>
      <c r="E757" s="72"/>
      <c r="K757" s="74"/>
      <c r="L757" s="74"/>
      <c r="O757" s="75"/>
    </row>
    <row r="758" ht="15.0" customHeight="1">
      <c r="C758" s="76"/>
      <c r="E758" s="72"/>
      <c r="K758" s="74"/>
      <c r="L758" s="74"/>
      <c r="O758" s="75"/>
    </row>
    <row r="759" ht="15.0" customHeight="1">
      <c r="C759" s="76"/>
      <c r="E759" s="72"/>
      <c r="K759" s="74"/>
      <c r="L759" s="74"/>
      <c r="O759" s="75"/>
    </row>
    <row r="760" ht="15.0" customHeight="1">
      <c r="C760" s="76"/>
      <c r="E760" s="72"/>
      <c r="K760" s="74"/>
      <c r="L760" s="74"/>
      <c r="O760" s="75"/>
    </row>
    <row r="761" ht="15.0" customHeight="1">
      <c r="C761" s="76"/>
      <c r="E761" s="72"/>
      <c r="K761" s="74"/>
      <c r="L761" s="74"/>
      <c r="O761" s="75"/>
    </row>
    <row r="762" ht="15.0" customHeight="1">
      <c r="C762" s="76"/>
      <c r="E762" s="72"/>
      <c r="K762" s="74"/>
      <c r="L762" s="74"/>
      <c r="O762" s="75"/>
    </row>
    <row r="763" ht="15.0" customHeight="1">
      <c r="C763" s="76"/>
      <c r="E763" s="72"/>
      <c r="K763" s="74"/>
      <c r="L763" s="74"/>
      <c r="O763" s="75"/>
    </row>
    <row r="764" ht="15.0" customHeight="1">
      <c r="C764" s="76"/>
      <c r="E764" s="72"/>
      <c r="K764" s="74"/>
      <c r="L764" s="74"/>
      <c r="O764" s="75"/>
    </row>
    <row r="765" ht="15.0" customHeight="1">
      <c r="C765" s="76"/>
      <c r="E765" s="72"/>
      <c r="K765" s="74"/>
      <c r="L765" s="74"/>
      <c r="O765" s="75"/>
    </row>
    <row r="766" ht="15.0" customHeight="1">
      <c r="C766" s="76"/>
      <c r="E766" s="72"/>
      <c r="K766" s="74"/>
      <c r="L766" s="74"/>
      <c r="O766" s="75"/>
    </row>
    <row r="767" ht="15.0" customHeight="1">
      <c r="C767" s="76"/>
      <c r="E767" s="72"/>
      <c r="K767" s="74"/>
      <c r="L767" s="74"/>
      <c r="O767" s="75"/>
    </row>
    <row r="768" ht="15.0" customHeight="1">
      <c r="C768" s="76"/>
      <c r="E768" s="72"/>
      <c r="K768" s="74"/>
      <c r="L768" s="74"/>
      <c r="O768" s="75"/>
    </row>
    <row r="769" ht="15.0" customHeight="1">
      <c r="C769" s="76"/>
      <c r="E769" s="72"/>
      <c r="K769" s="74"/>
      <c r="L769" s="74"/>
      <c r="O769" s="75"/>
    </row>
    <row r="770" ht="15.0" customHeight="1">
      <c r="C770" s="76"/>
      <c r="E770" s="72"/>
      <c r="K770" s="74"/>
      <c r="L770" s="74"/>
      <c r="O770" s="75"/>
    </row>
    <row r="771" ht="15.0" customHeight="1">
      <c r="C771" s="76"/>
      <c r="E771" s="72"/>
      <c r="K771" s="74"/>
      <c r="L771" s="74"/>
      <c r="O771" s="75"/>
    </row>
    <row r="772" ht="15.0" customHeight="1">
      <c r="C772" s="76"/>
      <c r="E772" s="72"/>
      <c r="K772" s="74"/>
      <c r="L772" s="74"/>
      <c r="O772" s="75"/>
    </row>
    <row r="773" ht="15.0" customHeight="1">
      <c r="C773" s="76"/>
      <c r="E773" s="72"/>
      <c r="K773" s="74"/>
      <c r="L773" s="74"/>
      <c r="O773" s="75"/>
    </row>
    <row r="774" ht="15.0" customHeight="1">
      <c r="C774" s="76"/>
      <c r="E774" s="72"/>
      <c r="K774" s="74"/>
      <c r="L774" s="74"/>
      <c r="O774" s="75"/>
    </row>
    <row r="775" ht="15.0" customHeight="1">
      <c r="C775" s="76"/>
      <c r="E775" s="72"/>
      <c r="K775" s="74"/>
      <c r="L775" s="74"/>
      <c r="O775" s="75"/>
    </row>
    <row r="776" ht="15.0" customHeight="1">
      <c r="C776" s="76"/>
      <c r="E776" s="72"/>
      <c r="K776" s="74"/>
      <c r="L776" s="74"/>
      <c r="O776" s="75"/>
    </row>
    <row r="777" ht="15.0" customHeight="1">
      <c r="C777" s="76"/>
      <c r="E777" s="72"/>
      <c r="K777" s="74"/>
      <c r="L777" s="74"/>
      <c r="O777" s="75"/>
    </row>
    <row r="778" ht="15.0" customHeight="1">
      <c r="C778" s="76"/>
      <c r="E778" s="72"/>
      <c r="K778" s="74"/>
      <c r="L778" s="74"/>
      <c r="O778" s="75"/>
    </row>
    <row r="779" ht="15.0" customHeight="1">
      <c r="C779" s="76"/>
      <c r="E779" s="72"/>
      <c r="K779" s="74"/>
      <c r="L779" s="74"/>
      <c r="O779" s="75"/>
    </row>
    <row r="780" ht="15.0" customHeight="1">
      <c r="C780" s="76"/>
      <c r="E780" s="72"/>
      <c r="K780" s="74"/>
      <c r="L780" s="74"/>
      <c r="O780" s="75"/>
    </row>
    <row r="781" ht="15.0" customHeight="1">
      <c r="C781" s="76"/>
      <c r="E781" s="72"/>
      <c r="K781" s="74"/>
      <c r="L781" s="74"/>
      <c r="O781" s="75"/>
    </row>
    <row r="782" ht="15.0" customHeight="1">
      <c r="C782" s="76"/>
      <c r="E782" s="72"/>
      <c r="K782" s="74"/>
      <c r="L782" s="74"/>
      <c r="O782" s="75"/>
    </row>
    <row r="783" ht="15.0" customHeight="1">
      <c r="C783" s="76"/>
      <c r="E783" s="72"/>
      <c r="K783" s="74"/>
      <c r="L783" s="74"/>
      <c r="O783" s="75"/>
    </row>
    <row r="784" ht="15.0" customHeight="1">
      <c r="C784" s="76"/>
      <c r="E784" s="72"/>
      <c r="K784" s="74"/>
      <c r="L784" s="74"/>
      <c r="O784" s="75"/>
    </row>
    <row r="785" ht="15.0" customHeight="1">
      <c r="C785" s="76"/>
      <c r="E785" s="72"/>
      <c r="K785" s="74"/>
      <c r="L785" s="74"/>
      <c r="O785" s="75"/>
    </row>
    <row r="786" ht="15.0" customHeight="1">
      <c r="C786" s="76"/>
      <c r="E786" s="72"/>
      <c r="K786" s="74"/>
      <c r="L786" s="74"/>
      <c r="O786" s="75"/>
    </row>
    <row r="787" ht="15.0" customHeight="1">
      <c r="C787" s="76"/>
      <c r="E787" s="72"/>
      <c r="K787" s="74"/>
      <c r="L787" s="74"/>
      <c r="O787" s="75"/>
    </row>
    <row r="788" ht="15.0" customHeight="1">
      <c r="C788" s="76"/>
      <c r="E788" s="72"/>
      <c r="K788" s="74"/>
      <c r="L788" s="74"/>
      <c r="O788" s="75"/>
    </row>
    <row r="789" ht="15.0" customHeight="1">
      <c r="C789" s="76"/>
      <c r="E789" s="72"/>
      <c r="K789" s="74"/>
      <c r="L789" s="74"/>
      <c r="O789" s="75"/>
    </row>
    <row r="790" ht="15.0" customHeight="1">
      <c r="C790" s="76"/>
      <c r="E790" s="72"/>
      <c r="K790" s="74"/>
      <c r="L790" s="74"/>
      <c r="O790" s="75"/>
    </row>
    <row r="791" ht="15.0" customHeight="1">
      <c r="C791" s="76"/>
      <c r="E791" s="72"/>
      <c r="K791" s="74"/>
      <c r="L791" s="74"/>
      <c r="O791" s="75"/>
    </row>
    <row r="792" ht="15.0" customHeight="1">
      <c r="C792" s="76"/>
      <c r="E792" s="72"/>
      <c r="K792" s="74"/>
      <c r="L792" s="74"/>
      <c r="O792" s="75"/>
    </row>
    <row r="793" ht="15.0" customHeight="1">
      <c r="C793" s="76"/>
      <c r="E793" s="72"/>
      <c r="K793" s="74"/>
      <c r="L793" s="74"/>
      <c r="O793" s="75"/>
    </row>
    <row r="794" ht="15.0" customHeight="1">
      <c r="C794" s="76"/>
      <c r="E794" s="72"/>
      <c r="K794" s="74"/>
      <c r="L794" s="74"/>
      <c r="O794" s="75"/>
    </row>
    <row r="795" ht="15.0" customHeight="1">
      <c r="C795" s="76"/>
      <c r="E795" s="72"/>
      <c r="K795" s="74"/>
      <c r="L795" s="74"/>
      <c r="O795" s="75"/>
    </row>
    <row r="796" ht="15.0" customHeight="1">
      <c r="C796" s="76"/>
      <c r="E796" s="72"/>
      <c r="K796" s="74"/>
      <c r="L796" s="74"/>
      <c r="O796" s="75"/>
    </row>
    <row r="797" ht="15.0" customHeight="1">
      <c r="C797" s="76"/>
      <c r="E797" s="72"/>
      <c r="K797" s="74"/>
      <c r="L797" s="74"/>
      <c r="O797" s="75"/>
    </row>
    <row r="798" ht="15.0" customHeight="1">
      <c r="C798" s="76"/>
      <c r="E798" s="72"/>
      <c r="K798" s="74"/>
      <c r="L798" s="74"/>
      <c r="O798" s="75"/>
    </row>
    <row r="799" ht="15.0" customHeight="1">
      <c r="C799" s="76"/>
      <c r="E799" s="72"/>
      <c r="K799" s="74"/>
      <c r="L799" s="74"/>
      <c r="O799" s="75"/>
    </row>
    <row r="800" ht="15.0" customHeight="1">
      <c r="C800" s="76"/>
      <c r="E800" s="72"/>
      <c r="K800" s="74"/>
      <c r="L800" s="74"/>
      <c r="O800" s="75"/>
    </row>
    <row r="801" ht="15.0" customHeight="1">
      <c r="C801" s="76"/>
      <c r="E801" s="72"/>
      <c r="K801" s="74"/>
      <c r="L801" s="74"/>
      <c r="O801" s="75"/>
    </row>
    <row r="802" ht="15.0" customHeight="1">
      <c r="C802" s="76"/>
      <c r="E802" s="72"/>
      <c r="K802" s="74"/>
      <c r="L802" s="74"/>
      <c r="O802" s="75"/>
    </row>
    <row r="803" ht="15.0" customHeight="1">
      <c r="C803" s="76"/>
      <c r="E803" s="72"/>
      <c r="K803" s="74"/>
      <c r="L803" s="74"/>
      <c r="O803" s="75"/>
    </row>
    <row r="804" ht="15.0" customHeight="1">
      <c r="C804" s="76"/>
      <c r="E804" s="72"/>
      <c r="K804" s="74"/>
      <c r="L804" s="74"/>
      <c r="O804" s="75"/>
    </row>
    <row r="805" ht="15.0" customHeight="1">
      <c r="C805" s="76"/>
      <c r="E805" s="72"/>
      <c r="K805" s="74"/>
      <c r="L805" s="74"/>
      <c r="O805" s="75"/>
    </row>
    <row r="806" ht="15.0" customHeight="1">
      <c r="C806" s="76"/>
      <c r="E806" s="72"/>
      <c r="K806" s="74"/>
      <c r="L806" s="74"/>
      <c r="O806" s="75"/>
    </row>
    <row r="807" ht="15.0" customHeight="1">
      <c r="C807" s="76"/>
      <c r="E807" s="72"/>
      <c r="K807" s="74"/>
      <c r="L807" s="74"/>
      <c r="O807" s="75"/>
    </row>
    <row r="808" ht="15.0" customHeight="1">
      <c r="C808" s="76"/>
      <c r="E808" s="72"/>
      <c r="K808" s="74"/>
      <c r="L808" s="74"/>
      <c r="O808" s="75"/>
    </row>
    <row r="809" ht="15.0" customHeight="1">
      <c r="C809" s="76"/>
      <c r="E809" s="72"/>
      <c r="K809" s="74"/>
      <c r="L809" s="74"/>
      <c r="O809" s="75"/>
    </row>
    <row r="810" ht="15.0" customHeight="1">
      <c r="C810" s="76"/>
      <c r="E810" s="72"/>
      <c r="K810" s="74"/>
      <c r="L810" s="74"/>
      <c r="O810" s="75"/>
    </row>
    <row r="811" ht="15.0" customHeight="1">
      <c r="C811" s="76"/>
      <c r="E811" s="72"/>
      <c r="K811" s="74"/>
      <c r="L811" s="74"/>
      <c r="O811" s="75"/>
    </row>
    <row r="812" ht="15.0" customHeight="1">
      <c r="C812" s="76"/>
      <c r="E812" s="72"/>
      <c r="K812" s="74"/>
      <c r="L812" s="74"/>
      <c r="O812" s="75"/>
    </row>
    <row r="813" ht="15.0" customHeight="1">
      <c r="C813" s="76"/>
      <c r="E813" s="72"/>
      <c r="K813" s="74"/>
      <c r="L813" s="74"/>
      <c r="O813" s="75"/>
    </row>
    <row r="814" ht="15.0" customHeight="1">
      <c r="C814" s="76"/>
      <c r="E814" s="72"/>
      <c r="K814" s="74"/>
      <c r="L814" s="74"/>
      <c r="O814" s="75"/>
    </row>
    <row r="815" ht="15.0" customHeight="1">
      <c r="C815" s="76"/>
      <c r="E815" s="72"/>
      <c r="K815" s="74"/>
      <c r="L815" s="74"/>
      <c r="O815" s="75"/>
    </row>
    <row r="816" ht="15.0" customHeight="1">
      <c r="C816" s="76"/>
      <c r="E816" s="72"/>
      <c r="K816" s="74"/>
      <c r="L816" s="74"/>
      <c r="O816" s="75"/>
    </row>
    <row r="817" ht="15.0" customHeight="1">
      <c r="C817" s="76"/>
      <c r="E817" s="72"/>
      <c r="K817" s="74"/>
      <c r="L817" s="74"/>
      <c r="O817" s="75"/>
    </row>
    <row r="818" ht="15.0" customHeight="1">
      <c r="C818" s="76"/>
      <c r="E818" s="72"/>
      <c r="K818" s="74"/>
      <c r="L818" s="74"/>
      <c r="O818" s="75"/>
    </row>
    <row r="819" ht="15.0" customHeight="1">
      <c r="C819" s="76"/>
      <c r="E819" s="72"/>
      <c r="K819" s="74"/>
      <c r="L819" s="74"/>
      <c r="O819" s="75"/>
    </row>
    <row r="820" ht="15.0" customHeight="1">
      <c r="C820" s="76"/>
      <c r="E820" s="72"/>
      <c r="K820" s="74"/>
      <c r="L820" s="74"/>
      <c r="O820" s="75"/>
    </row>
    <row r="821" ht="15.0" customHeight="1">
      <c r="C821" s="76"/>
      <c r="E821" s="72"/>
      <c r="K821" s="74"/>
      <c r="L821" s="74"/>
      <c r="O821" s="75"/>
    </row>
    <row r="822" ht="15.0" customHeight="1">
      <c r="C822" s="76"/>
      <c r="E822" s="72"/>
      <c r="K822" s="74"/>
      <c r="L822" s="74"/>
      <c r="O822" s="75"/>
    </row>
    <row r="823" ht="15.0" customHeight="1">
      <c r="C823" s="76"/>
      <c r="E823" s="72"/>
      <c r="K823" s="74"/>
      <c r="L823" s="74"/>
      <c r="O823" s="75"/>
    </row>
    <row r="824" ht="15.0" customHeight="1">
      <c r="C824" s="76"/>
      <c r="E824" s="72"/>
      <c r="K824" s="74"/>
      <c r="L824" s="74"/>
      <c r="O824" s="75"/>
    </row>
    <row r="825" ht="15.0" customHeight="1">
      <c r="C825" s="76"/>
      <c r="E825" s="72"/>
      <c r="K825" s="74"/>
      <c r="L825" s="74"/>
      <c r="O825" s="75"/>
    </row>
    <row r="826" ht="15.0" customHeight="1">
      <c r="C826" s="76"/>
      <c r="E826" s="72"/>
      <c r="K826" s="74"/>
      <c r="L826" s="74"/>
      <c r="O826" s="75"/>
    </row>
    <row r="827" ht="15.0" customHeight="1">
      <c r="C827" s="76"/>
      <c r="E827" s="72"/>
      <c r="K827" s="74"/>
      <c r="L827" s="74"/>
      <c r="O827" s="75"/>
    </row>
    <row r="828" ht="15.0" customHeight="1">
      <c r="C828" s="76"/>
      <c r="E828" s="72"/>
      <c r="K828" s="74"/>
      <c r="L828" s="74"/>
      <c r="O828" s="75"/>
    </row>
    <row r="829" ht="15.0" customHeight="1">
      <c r="C829" s="76"/>
      <c r="E829" s="72"/>
      <c r="K829" s="74"/>
      <c r="L829" s="74"/>
      <c r="O829" s="75"/>
    </row>
    <row r="830" ht="15.0" customHeight="1">
      <c r="C830" s="76"/>
      <c r="E830" s="72"/>
      <c r="K830" s="74"/>
      <c r="L830" s="74"/>
      <c r="O830" s="75"/>
    </row>
    <row r="831" ht="15.0" customHeight="1">
      <c r="C831" s="76"/>
      <c r="E831" s="72"/>
      <c r="K831" s="74"/>
      <c r="L831" s="74"/>
      <c r="O831" s="75"/>
    </row>
    <row r="832" ht="15.0" customHeight="1">
      <c r="C832" s="76"/>
      <c r="E832" s="72"/>
      <c r="K832" s="74"/>
      <c r="L832" s="74"/>
      <c r="O832" s="75"/>
    </row>
    <row r="833" ht="15.0" customHeight="1">
      <c r="C833" s="76"/>
      <c r="E833" s="72"/>
      <c r="K833" s="74"/>
      <c r="L833" s="74"/>
      <c r="O833" s="75"/>
    </row>
    <row r="834" ht="15.0" customHeight="1">
      <c r="C834" s="76"/>
      <c r="E834" s="72"/>
      <c r="K834" s="74"/>
      <c r="L834" s="74"/>
      <c r="O834" s="75"/>
    </row>
    <row r="835" ht="15.0" customHeight="1">
      <c r="C835" s="76"/>
      <c r="E835" s="72"/>
      <c r="K835" s="74"/>
      <c r="L835" s="74"/>
      <c r="O835" s="75"/>
    </row>
    <row r="836" ht="15.0" customHeight="1">
      <c r="C836" s="76"/>
      <c r="E836" s="72"/>
      <c r="K836" s="74"/>
      <c r="L836" s="74"/>
      <c r="O836" s="75"/>
    </row>
    <row r="837" ht="15.0" customHeight="1">
      <c r="C837" s="76"/>
      <c r="E837" s="72"/>
      <c r="K837" s="74"/>
      <c r="L837" s="74"/>
      <c r="O837" s="75"/>
    </row>
    <row r="838" ht="15.0" customHeight="1">
      <c r="C838" s="76"/>
      <c r="E838" s="72"/>
      <c r="K838" s="74"/>
      <c r="L838" s="74"/>
      <c r="O838" s="75"/>
    </row>
    <row r="839" ht="15.0" customHeight="1">
      <c r="C839" s="76"/>
      <c r="E839" s="72"/>
      <c r="K839" s="74"/>
      <c r="L839" s="74"/>
      <c r="O839" s="75"/>
    </row>
    <row r="840" ht="15.0" customHeight="1">
      <c r="C840" s="76"/>
      <c r="E840" s="72"/>
      <c r="K840" s="74"/>
      <c r="L840" s="74"/>
      <c r="O840" s="75"/>
    </row>
    <row r="841" ht="15.0" customHeight="1">
      <c r="C841" s="76"/>
      <c r="E841" s="72"/>
      <c r="K841" s="74"/>
      <c r="L841" s="74"/>
      <c r="O841" s="75"/>
    </row>
    <row r="842" ht="15.0" customHeight="1">
      <c r="C842" s="76"/>
      <c r="E842" s="72"/>
      <c r="K842" s="74"/>
      <c r="L842" s="74"/>
      <c r="O842" s="75"/>
    </row>
    <row r="843" ht="15.0" customHeight="1">
      <c r="C843" s="76"/>
      <c r="E843" s="72"/>
      <c r="K843" s="74"/>
      <c r="L843" s="74"/>
      <c r="O843" s="75"/>
    </row>
    <row r="844" ht="15.0" customHeight="1">
      <c r="C844" s="76"/>
      <c r="E844" s="72"/>
      <c r="K844" s="74"/>
      <c r="L844" s="74"/>
      <c r="O844" s="75"/>
    </row>
    <row r="845" ht="15.0" customHeight="1">
      <c r="C845" s="76"/>
      <c r="E845" s="72"/>
      <c r="K845" s="74"/>
      <c r="L845" s="74"/>
      <c r="O845" s="75"/>
    </row>
    <row r="846" ht="15.0" customHeight="1">
      <c r="C846" s="76"/>
      <c r="E846" s="72"/>
      <c r="K846" s="74"/>
      <c r="L846" s="74"/>
      <c r="O846" s="75"/>
    </row>
    <row r="847" ht="15.0" customHeight="1">
      <c r="C847" s="76"/>
      <c r="E847" s="72"/>
      <c r="K847" s="74"/>
      <c r="L847" s="74"/>
      <c r="O847" s="75"/>
    </row>
    <row r="848" ht="15.0" customHeight="1">
      <c r="C848" s="76"/>
      <c r="E848" s="72"/>
      <c r="K848" s="74"/>
      <c r="L848" s="74"/>
      <c r="O848" s="75"/>
    </row>
    <row r="849" ht="15.0" customHeight="1">
      <c r="C849" s="76"/>
      <c r="E849" s="72"/>
      <c r="K849" s="74"/>
      <c r="L849" s="74"/>
      <c r="O849" s="75"/>
    </row>
    <row r="850" ht="15.0" customHeight="1">
      <c r="C850" s="76"/>
      <c r="E850" s="72"/>
      <c r="K850" s="74"/>
      <c r="L850" s="74"/>
      <c r="O850" s="75"/>
    </row>
    <row r="851" ht="15.0" customHeight="1">
      <c r="C851" s="76"/>
      <c r="E851" s="72"/>
      <c r="K851" s="74"/>
      <c r="L851" s="74"/>
      <c r="O851" s="75"/>
    </row>
    <row r="852" ht="15.0" customHeight="1">
      <c r="C852" s="76"/>
      <c r="E852" s="72"/>
      <c r="K852" s="74"/>
      <c r="L852" s="74"/>
      <c r="O852" s="75"/>
    </row>
    <row r="853" ht="15.0" customHeight="1">
      <c r="C853" s="76"/>
      <c r="E853" s="72"/>
      <c r="K853" s="74"/>
      <c r="L853" s="74"/>
      <c r="O853" s="75"/>
    </row>
    <row r="854" ht="15.0" customHeight="1">
      <c r="C854" s="76"/>
      <c r="E854" s="72"/>
      <c r="K854" s="74"/>
      <c r="L854" s="74"/>
      <c r="O854" s="75"/>
    </row>
    <row r="855" ht="15.0" customHeight="1">
      <c r="C855" s="76"/>
      <c r="E855" s="72"/>
      <c r="K855" s="74"/>
      <c r="L855" s="74"/>
      <c r="O855" s="75"/>
    </row>
    <row r="856" ht="15.0" customHeight="1">
      <c r="C856" s="76"/>
      <c r="E856" s="72"/>
      <c r="K856" s="74"/>
      <c r="L856" s="74"/>
      <c r="O856" s="75"/>
    </row>
    <row r="857" ht="15.0" customHeight="1">
      <c r="C857" s="76"/>
      <c r="E857" s="72"/>
      <c r="K857" s="74"/>
      <c r="L857" s="74"/>
      <c r="O857" s="75"/>
    </row>
    <row r="858" ht="15.0" customHeight="1">
      <c r="C858" s="76"/>
      <c r="E858" s="72"/>
      <c r="K858" s="74"/>
      <c r="L858" s="74"/>
      <c r="O858" s="75"/>
    </row>
    <row r="859" ht="15.0" customHeight="1">
      <c r="C859" s="76"/>
      <c r="E859" s="72"/>
      <c r="K859" s="74"/>
      <c r="L859" s="74"/>
      <c r="O859" s="75"/>
    </row>
    <row r="860" ht="15.0" customHeight="1">
      <c r="C860" s="76"/>
      <c r="E860" s="72"/>
      <c r="K860" s="74"/>
      <c r="L860" s="74"/>
      <c r="O860" s="75"/>
    </row>
    <row r="861" ht="15.0" customHeight="1">
      <c r="C861" s="76"/>
      <c r="E861" s="72"/>
      <c r="K861" s="74"/>
      <c r="L861" s="74"/>
      <c r="O861" s="75"/>
    </row>
    <row r="862" ht="15.0" customHeight="1">
      <c r="C862" s="76"/>
      <c r="E862" s="72"/>
      <c r="K862" s="74"/>
      <c r="L862" s="74"/>
      <c r="O862" s="75"/>
    </row>
    <row r="863" ht="15.0" customHeight="1">
      <c r="C863" s="76"/>
      <c r="E863" s="72"/>
      <c r="K863" s="74"/>
      <c r="L863" s="74"/>
      <c r="O863" s="75"/>
    </row>
    <row r="864" ht="15.0" customHeight="1">
      <c r="C864" s="76"/>
      <c r="E864" s="72"/>
      <c r="K864" s="74"/>
      <c r="L864" s="74"/>
      <c r="O864" s="75"/>
    </row>
    <row r="865" ht="15.0" customHeight="1">
      <c r="C865" s="76"/>
      <c r="E865" s="72"/>
      <c r="K865" s="74"/>
      <c r="L865" s="74"/>
      <c r="O865" s="75"/>
    </row>
    <row r="866" ht="15.0" customHeight="1">
      <c r="C866" s="76"/>
      <c r="E866" s="72"/>
      <c r="K866" s="74"/>
      <c r="L866" s="74"/>
      <c r="O866" s="75"/>
    </row>
    <row r="867" ht="15.0" customHeight="1">
      <c r="C867" s="76"/>
      <c r="E867" s="72"/>
      <c r="K867" s="74"/>
      <c r="L867" s="74"/>
      <c r="O867" s="75"/>
    </row>
    <row r="868" ht="15.0" customHeight="1">
      <c r="C868" s="76"/>
      <c r="E868" s="72"/>
      <c r="K868" s="74"/>
      <c r="L868" s="74"/>
      <c r="O868" s="75"/>
    </row>
    <row r="869" ht="15.0" customHeight="1">
      <c r="C869" s="76"/>
      <c r="E869" s="72"/>
      <c r="K869" s="74"/>
      <c r="L869" s="74"/>
      <c r="O869" s="75"/>
    </row>
    <row r="870" ht="15.0" customHeight="1">
      <c r="C870" s="76"/>
      <c r="E870" s="72"/>
      <c r="K870" s="74"/>
      <c r="L870" s="74"/>
      <c r="O870" s="75"/>
    </row>
    <row r="871" ht="15.0" customHeight="1">
      <c r="C871" s="76"/>
      <c r="E871" s="72"/>
      <c r="K871" s="74"/>
      <c r="L871" s="74"/>
      <c r="O871" s="75"/>
    </row>
    <row r="872" ht="15.0" customHeight="1">
      <c r="C872" s="76"/>
      <c r="E872" s="72"/>
      <c r="K872" s="74"/>
      <c r="L872" s="74"/>
      <c r="O872" s="75"/>
    </row>
    <row r="873" ht="15.0" customHeight="1">
      <c r="C873" s="76"/>
      <c r="E873" s="72"/>
      <c r="K873" s="74"/>
      <c r="L873" s="74"/>
      <c r="O873" s="75"/>
    </row>
    <row r="874" ht="15.0" customHeight="1">
      <c r="C874" s="76"/>
      <c r="E874" s="72"/>
      <c r="K874" s="74"/>
      <c r="L874" s="74"/>
      <c r="O874" s="75"/>
    </row>
    <row r="875" ht="15.0" customHeight="1">
      <c r="C875" s="76"/>
      <c r="E875" s="72"/>
      <c r="K875" s="74"/>
      <c r="L875" s="74"/>
      <c r="O875" s="75"/>
    </row>
    <row r="876" ht="15.0" customHeight="1">
      <c r="C876" s="76"/>
      <c r="E876" s="72"/>
      <c r="K876" s="74"/>
      <c r="L876" s="74"/>
      <c r="O876" s="75"/>
    </row>
    <row r="877" ht="15.0" customHeight="1">
      <c r="C877" s="76"/>
      <c r="E877" s="72"/>
      <c r="K877" s="74"/>
      <c r="L877" s="74"/>
      <c r="O877" s="75"/>
    </row>
    <row r="878" ht="15.0" customHeight="1">
      <c r="C878" s="76"/>
      <c r="E878" s="72"/>
      <c r="K878" s="74"/>
      <c r="L878" s="74"/>
      <c r="O878" s="75"/>
    </row>
    <row r="879" ht="15.0" customHeight="1">
      <c r="C879" s="76"/>
      <c r="E879" s="72"/>
      <c r="K879" s="74"/>
      <c r="L879" s="74"/>
      <c r="O879" s="75"/>
    </row>
    <row r="880" ht="15.0" customHeight="1">
      <c r="C880" s="76"/>
      <c r="E880" s="72"/>
      <c r="K880" s="74"/>
      <c r="L880" s="74"/>
      <c r="O880" s="75"/>
    </row>
    <row r="881" ht="15.0" customHeight="1">
      <c r="C881" s="76"/>
      <c r="E881" s="72"/>
      <c r="K881" s="74"/>
      <c r="L881" s="74"/>
      <c r="O881" s="75"/>
    </row>
    <row r="882" ht="15.0" customHeight="1">
      <c r="C882" s="76"/>
      <c r="E882" s="72"/>
      <c r="K882" s="74"/>
      <c r="L882" s="74"/>
      <c r="O882" s="75"/>
    </row>
    <row r="883" ht="15.0" customHeight="1">
      <c r="C883" s="76"/>
      <c r="E883" s="72"/>
      <c r="K883" s="74"/>
      <c r="L883" s="74"/>
      <c r="O883" s="75"/>
    </row>
    <row r="884" ht="15.0" customHeight="1">
      <c r="C884" s="76"/>
      <c r="E884" s="72"/>
      <c r="K884" s="74"/>
      <c r="L884" s="74"/>
      <c r="O884" s="75"/>
    </row>
    <row r="885" ht="15.0" customHeight="1">
      <c r="C885" s="76"/>
      <c r="E885" s="72"/>
      <c r="K885" s="74"/>
      <c r="L885" s="74"/>
      <c r="O885" s="75"/>
    </row>
    <row r="886" ht="15.0" customHeight="1">
      <c r="C886" s="76"/>
      <c r="E886" s="72"/>
      <c r="K886" s="74"/>
      <c r="L886" s="74"/>
      <c r="O886" s="75"/>
    </row>
    <row r="887" ht="15.0" customHeight="1">
      <c r="C887" s="76"/>
      <c r="E887" s="72"/>
      <c r="K887" s="74"/>
      <c r="L887" s="74"/>
      <c r="O887" s="75"/>
    </row>
    <row r="888" ht="15.0" customHeight="1">
      <c r="C888" s="76"/>
      <c r="E888" s="72"/>
      <c r="K888" s="74"/>
      <c r="L888" s="74"/>
      <c r="O888" s="75"/>
    </row>
    <row r="889" ht="15.0" customHeight="1">
      <c r="C889" s="76"/>
      <c r="E889" s="72"/>
      <c r="K889" s="74"/>
      <c r="L889" s="74"/>
      <c r="O889" s="75"/>
    </row>
    <row r="890" ht="15.0" customHeight="1">
      <c r="C890" s="76"/>
      <c r="E890" s="72"/>
      <c r="K890" s="74"/>
      <c r="L890" s="74"/>
      <c r="O890" s="75"/>
    </row>
    <row r="891" ht="15.0" customHeight="1">
      <c r="C891" s="76"/>
      <c r="E891" s="72"/>
      <c r="K891" s="74"/>
      <c r="L891" s="74"/>
      <c r="O891" s="75"/>
    </row>
    <row r="892" ht="15.0" customHeight="1">
      <c r="C892" s="76"/>
      <c r="E892" s="72"/>
      <c r="K892" s="74"/>
      <c r="L892" s="74"/>
      <c r="O892" s="75"/>
    </row>
    <row r="893" ht="15.0" customHeight="1">
      <c r="C893" s="76"/>
      <c r="E893" s="72"/>
      <c r="K893" s="74"/>
      <c r="L893" s="74"/>
      <c r="O893" s="75"/>
    </row>
    <row r="894" ht="15.0" customHeight="1">
      <c r="C894" s="76"/>
      <c r="E894" s="72"/>
      <c r="K894" s="74"/>
      <c r="L894" s="74"/>
      <c r="O894" s="75"/>
    </row>
    <row r="895" ht="15.0" customHeight="1">
      <c r="C895" s="76"/>
      <c r="E895" s="72"/>
      <c r="K895" s="74"/>
      <c r="L895" s="74"/>
      <c r="O895" s="75"/>
    </row>
    <row r="896" ht="15.0" customHeight="1">
      <c r="C896" s="76"/>
      <c r="E896" s="72"/>
      <c r="K896" s="74"/>
      <c r="L896" s="74"/>
      <c r="O896" s="75"/>
    </row>
    <row r="897" ht="15.0" customHeight="1">
      <c r="C897" s="76"/>
      <c r="E897" s="72"/>
      <c r="K897" s="74"/>
      <c r="L897" s="74"/>
      <c r="O897" s="75"/>
    </row>
    <row r="898" ht="15.0" customHeight="1">
      <c r="C898" s="76"/>
      <c r="E898" s="72"/>
      <c r="K898" s="74"/>
      <c r="L898" s="74"/>
      <c r="O898" s="75"/>
    </row>
    <row r="899" ht="15.0" customHeight="1">
      <c r="C899" s="76"/>
      <c r="E899" s="72"/>
      <c r="K899" s="74"/>
      <c r="L899" s="74"/>
      <c r="O899" s="75"/>
    </row>
    <row r="900" ht="15.0" customHeight="1">
      <c r="C900" s="76"/>
      <c r="E900" s="72"/>
      <c r="K900" s="74"/>
      <c r="L900" s="74"/>
      <c r="O900" s="75"/>
    </row>
    <row r="901" ht="15.0" customHeight="1">
      <c r="C901" s="76"/>
      <c r="E901" s="72"/>
      <c r="K901" s="74"/>
      <c r="L901" s="74"/>
      <c r="O901" s="75"/>
    </row>
    <row r="902" ht="15.0" customHeight="1">
      <c r="C902" s="76"/>
      <c r="E902" s="72"/>
      <c r="K902" s="74"/>
      <c r="L902" s="74"/>
      <c r="O902" s="75"/>
    </row>
    <row r="903" ht="15.0" customHeight="1">
      <c r="C903" s="76"/>
      <c r="E903" s="72"/>
      <c r="K903" s="74"/>
      <c r="L903" s="74"/>
      <c r="O903" s="75"/>
    </row>
    <row r="904" ht="15.0" customHeight="1">
      <c r="C904" s="76"/>
      <c r="E904" s="72"/>
      <c r="K904" s="74"/>
      <c r="L904" s="74"/>
      <c r="O904" s="75"/>
    </row>
    <row r="905" ht="15.0" customHeight="1">
      <c r="C905" s="76"/>
      <c r="E905" s="72"/>
      <c r="K905" s="74"/>
      <c r="L905" s="74"/>
      <c r="O905" s="75"/>
    </row>
    <row r="906" ht="15.0" customHeight="1">
      <c r="C906" s="76"/>
      <c r="E906" s="72"/>
      <c r="K906" s="74"/>
      <c r="L906" s="74"/>
      <c r="O906" s="75"/>
    </row>
    <row r="907" ht="15.0" customHeight="1">
      <c r="C907" s="76"/>
      <c r="E907" s="72"/>
      <c r="K907" s="74"/>
      <c r="L907" s="74"/>
      <c r="O907" s="75"/>
    </row>
    <row r="908" ht="15.0" customHeight="1">
      <c r="C908" s="76"/>
      <c r="E908" s="72"/>
      <c r="K908" s="74"/>
      <c r="L908" s="74"/>
      <c r="O908" s="75"/>
    </row>
    <row r="909" ht="15.0" customHeight="1">
      <c r="C909" s="76"/>
      <c r="E909" s="72"/>
      <c r="K909" s="74"/>
      <c r="L909" s="74"/>
      <c r="O909" s="75"/>
    </row>
    <row r="910" ht="15.0" customHeight="1">
      <c r="C910" s="76"/>
      <c r="E910" s="72"/>
      <c r="K910" s="74"/>
      <c r="L910" s="74"/>
      <c r="O910" s="75"/>
    </row>
    <row r="911" ht="15.0" customHeight="1">
      <c r="C911" s="76"/>
      <c r="E911" s="72"/>
      <c r="K911" s="74"/>
      <c r="L911" s="74"/>
      <c r="O911" s="75"/>
    </row>
    <row r="912" ht="15.0" customHeight="1">
      <c r="C912" s="76"/>
      <c r="E912" s="72"/>
      <c r="K912" s="74"/>
      <c r="L912" s="74"/>
      <c r="O912" s="75"/>
    </row>
    <row r="913" ht="15.0" customHeight="1">
      <c r="C913" s="76"/>
      <c r="E913" s="72"/>
      <c r="K913" s="74"/>
      <c r="L913" s="74"/>
      <c r="O913" s="75"/>
    </row>
    <row r="914" ht="15.0" customHeight="1">
      <c r="C914" s="76"/>
      <c r="E914" s="72"/>
      <c r="K914" s="74"/>
      <c r="L914" s="74"/>
      <c r="O914" s="75"/>
    </row>
    <row r="915" ht="15.0" customHeight="1">
      <c r="C915" s="76"/>
      <c r="E915" s="72"/>
      <c r="K915" s="74"/>
      <c r="L915" s="74"/>
      <c r="O915" s="75"/>
    </row>
    <row r="916" ht="15.0" customHeight="1">
      <c r="C916" s="76"/>
      <c r="E916" s="72"/>
      <c r="K916" s="74"/>
      <c r="L916" s="74"/>
      <c r="O916" s="75"/>
    </row>
    <row r="917" ht="15.0" customHeight="1">
      <c r="C917" s="76"/>
      <c r="E917" s="72"/>
      <c r="K917" s="74"/>
      <c r="L917" s="74"/>
      <c r="O917" s="75"/>
    </row>
    <row r="918" ht="15.0" customHeight="1">
      <c r="C918" s="76"/>
      <c r="E918" s="72"/>
      <c r="K918" s="74"/>
      <c r="L918" s="74"/>
      <c r="O918" s="75"/>
    </row>
    <row r="919" ht="15.0" customHeight="1">
      <c r="C919" s="76"/>
      <c r="E919" s="72"/>
      <c r="K919" s="74"/>
      <c r="L919" s="74"/>
      <c r="O919" s="75"/>
    </row>
    <row r="920" ht="15.0" customHeight="1">
      <c r="C920" s="76"/>
      <c r="E920" s="72"/>
      <c r="K920" s="74"/>
      <c r="L920" s="74"/>
      <c r="O920" s="75"/>
    </row>
    <row r="921" ht="15.0" customHeight="1">
      <c r="C921" s="76"/>
      <c r="E921" s="72"/>
      <c r="K921" s="74"/>
      <c r="L921" s="74"/>
      <c r="O921" s="75"/>
    </row>
    <row r="922" ht="15.0" customHeight="1">
      <c r="C922" s="76"/>
      <c r="E922" s="72"/>
      <c r="K922" s="74"/>
      <c r="L922" s="74"/>
      <c r="O922" s="75"/>
    </row>
    <row r="923" ht="15.0" customHeight="1">
      <c r="C923" s="76"/>
      <c r="E923" s="72"/>
      <c r="K923" s="74"/>
      <c r="L923" s="74"/>
      <c r="O923" s="75"/>
    </row>
    <row r="924" ht="15.0" customHeight="1">
      <c r="C924" s="76"/>
      <c r="E924" s="72"/>
      <c r="K924" s="74"/>
      <c r="L924" s="74"/>
      <c r="O924" s="75"/>
    </row>
    <row r="925" ht="15.0" customHeight="1">
      <c r="C925" s="76"/>
      <c r="E925" s="72"/>
      <c r="K925" s="74"/>
      <c r="L925" s="74"/>
      <c r="O925" s="75"/>
    </row>
    <row r="926" ht="15.0" customHeight="1">
      <c r="C926" s="76"/>
      <c r="E926" s="72"/>
      <c r="K926" s="74"/>
      <c r="L926" s="74"/>
      <c r="O926" s="75"/>
    </row>
    <row r="927" ht="15.0" customHeight="1">
      <c r="C927" s="76"/>
      <c r="E927" s="72"/>
      <c r="K927" s="74"/>
      <c r="L927" s="74"/>
      <c r="O927" s="75"/>
    </row>
    <row r="928" ht="15.0" customHeight="1">
      <c r="C928" s="76"/>
      <c r="E928" s="72"/>
      <c r="K928" s="74"/>
      <c r="L928" s="74"/>
      <c r="O928" s="75"/>
    </row>
    <row r="929" ht="15.0" customHeight="1">
      <c r="C929" s="76"/>
      <c r="E929" s="72"/>
      <c r="K929" s="74"/>
      <c r="L929" s="74"/>
      <c r="O929" s="75"/>
    </row>
    <row r="930" ht="15.0" customHeight="1">
      <c r="C930" s="76"/>
      <c r="E930" s="72"/>
      <c r="K930" s="74"/>
      <c r="L930" s="74"/>
      <c r="O930" s="75"/>
    </row>
    <row r="931" ht="15.0" customHeight="1">
      <c r="C931" s="76"/>
      <c r="E931" s="72"/>
      <c r="K931" s="74"/>
      <c r="L931" s="74"/>
      <c r="O931" s="75"/>
    </row>
    <row r="932" ht="15.0" customHeight="1">
      <c r="C932" s="76"/>
      <c r="E932" s="72"/>
      <c r="K932" s="74"/>
      <c r="L932" s="74"/>
      <c r="O932" s="75"/>
    </row>
    <row r="933" ht="15.0" customHeight="1">
      <c r="C933" s="76"/>
      <c r="E933" s="72"/>
      <c r="K933" s="74"/>
      <c r="L933" s="74"/>
      <c r="O933" s="75"/>
    </row>
    <row r="934" ht="15.0" customHeight="1">
      <c r="C934" s="76"/>
      <c r="E934" s="72"/>
      <c r="K934" s="74"/>
      <c r="L934" s="74"/>
      <c r="O934" s="75"/>
    </row>
    <row r="935" ht="15.0" customHeight="1">
      <c r="C935" s="76"/>
      <c r="E935" s="72"/>
      <c r="K935" s="74"/>
      <c r="L935" s="74"/>
      <c r="O935" s="75"/>
    </row>
    <row r="936" ht="15.0" customHeight="1">
      <c r="C936" s="76"/>
      <c r="E936" s="72"/>
      <c r="K936" s="74"/>
      <c r="L936" s="74"/>
      <c r="O936" s="75"/>
    </row>
    <row r="937" ht="15.0" customHeight="1">
      <c r="C937" s="76"/>
      <c r="E937" s="72"/>
      <c r="K937" s="74"/>
      <c r="L937" s="74"/>
      <c r="O937" s="75"/>
    </row>
    <row r="938" ht="15.0" customHeight="1">
      <c r="C938" s="76"/>
      <c r="E938" s="72"/>
      <c r="K938" s="74"/>
      <c r="L938" s="74"/>
      <c r="O938" s="75"/>
    </row>
    <row r="939" ht="15.0" customHeight="1">
      <c r="C939" s="76"/>
      <c r="E939" s="72"/>
      <c r="K939" s="74"/>
      <c r="L939" s="74"/>
      <c r="O939" s="75"/>
    </row>
    <row r="940" ht="15.0" customHeight="1">
      <c r="C940" s="76"/>
      <c r="E940" s="72"/>
      <c r="K940" s="74"/>
      <c r="L940" s="74"/>
      <c r="O940" s="75"/>
    </row>
    <row r="941" ht="15.0" customHeight="1">
      <c r="C941" s="76"/>
      <c r="E941" s="72"/>
      <c r="K941" s="74"/>
      <c r="L941" s="74"/>
      <c r="O941" s="75"/>
    </row>
    <row r="942" ht="15.0" customHeight="1">
      <c r="C942" s="76"/>
      <c r="E942" s="72"/>
      <c r="K942" s="74"/>
      <c r="L942" s="74"/>
      <c r="O942" s="75"/>
    </row>
    <row r="943" ht="15.0" customHeight="1">
      <c r="C943" s="76"/>
      <c r="E943" s="72"/>
      <c r="K943" s="74"/>
      <c r="L943" s="74"/>
      <c r="O943" s="75"/>
    </row>
    <row r="944" ht="15.0" customHeight="1">
      <c r="C944" s="76"/>
      <c r="E944" s="72"/>
      <c r="K944" s="74"/>
      <c r="L944" s="74"/>
      <c r="O944" s="75"/>
    </row>
    <row r="945" ht="15.0" customHeight="1">
      <c r="C945" s="76"/>
      <c r="E945" s="72"/>
      <c r="K945" s="74"/>
      <c r="L945" s="74"/>
      <c r="O945" s="75"/>
    </row>
    <row r="946" ht="15.0" customHeight="1">
      <c r="C946" s="76"/>
      <c r="E946" s="72"/>
      <c r="K946" s="74"/>
      <c r="L946" s="74"/>
      <c r="O946" s="75"/>
    </row>
    <row r="947" ht="15.0" customHeight="1">
      <c r="C947" s="76"/>
      <c r="E947" s="72"/>
      <c r="K947" s="74"/>
      <c r="L947" s="74"/>
      <c r="O947" s="75"/>
    </row>
    <row r="948" ht="15.0" customHeight="1">
      <c r="C948" s="76"/>
      <c r="E948" s="72"/>
      <c r="K948" s="74"/>
      <c r="L948" s="74"/>
      <c r="O948" s="75"/>
    </row>
    <row r="949" ht="15.0" customHeight="1">
      <c r="C949" s="76"/>
      <c r="E949" s="72"/>
      <c r="K949" s="74"/>
      <c r="L949" s="74"/>
      <c r="O949" s="75"/>
    </row>
    <row r="950" ht="15.0" customHeight="1">
      <c r="C950" s="76"/>
      <c r="E950" s="72"/>
      <c r="K950" s="74"/>
      <c r="L950" s="74"/>
      <c r="O950" s="75"/>
    </row>
    <row r="951" ht="15.0" customHeight="1">
      <c r="C951" s="76"/>
      <c r="E951" s="72"/>
      <c r="K951" s="74"/>
      <c r="L951" s="74"/>
      <c r="O951" s="75"/>
    </row>
    <row r="952" ht="15.0" customHeight="1">
      <c r="C952" s="76"/>
      <c r="E952" s="72"/>
      <c r="K952" s="74"/>
      <c r="L952" s="74"/>
      <c r="O952" s="75"/>
    </row>
    <row r="953" ht="15.0" customHeight="1">
      <c r="C953" s="76"/>
      <c r="E953" s="72"/>
      <c r="K953" s="74"/>
      <c r="L953" s="74"/>
      <c r="O953" s="75"/>
    </row>
    <row r="954" ht="15.0" customHeight="1">
      <c r="C954" s="76"/>
      <c r="E954" s="72"/>
      <c r="K954" s="74"/>
      <c r="L954" s="74"/>
      <c r="O954" s="75"/>
    </row>
    <row r="955" ht="15.0" customHeight="1">
      <c r="C955" s="76"/>
      <c r="E955" s="72"/>
      <c r="K955" s="74"/>
      <c r="L955" s="74"/>
      <c r="O955" s="75"/>
    </row>
    <row r="956" ht="15.0" customHeight="1">
      <c r="C956" s="76"/>
      <c r="E956" s="72"/>
      <c r="K956" s="74"/>
      <c r="L956" s="74"/>
      <c r="O956" s="75"/>
    </row>
    <row r="957" ht="15.0" customHeight="1">
      <c r="C957" s="76"/>
      <c r="E957" s="72"/>
      <c r="K957" s="74"/>
      <c r="L957" s="74"/>
      <c r="O957" s="75"/>
    </row>
    <row r="958" ht="15.0" customHeight="1">
      <c r="C958" s="76"/>
      <c r="E958" s="72"/>
      <c r="K958" s="74"/>
      <c r="L958" s="74"/>
      <c r="O958" s="75"/>
    </row>
    <row r="959" ht="15.0" customHeight="1">
      <c r="C959" s="76"/>
      <c r="E959" s="72"/>
      <c r="K959" s="74"/>
      <c r="L959" s="74"/>
      <c r="O959" s="75"/>
    </row>
    <row r="960" ht="15.0" customHeight="1">
      <c r="C960" s="76"/>
      <c r="E960" s="72"/>
      <c r="K960" s="74"/>
      <c r="L960" s="74"/>
      <c r="O960" s="75"/>
    </row>
    <row r="961" ht="15.0" customHeight="1">
      <c r="C961" s="76"/>
      <c r="E961" s="72"/>
      <c r="K961" s="74"/>
      <c r="L961" s="74"/>
      <c r="O961" s="75"/>
    </row>
    <row r="962" ht="15.0" customHeight="1">
      <c r="C962" s="76"/>
      <c r="E962" s="72"/>
      <c r="K962" s="74"/>
      <c r="L962" s="74"/>
      <c r="O962" s="75"/>
    </row>
    <row r="963" ht="15.0" customHeight="1">
      <c r="C963" s="76"/>
      <c r="E963" s="72"/>
      <c r="K963" s="74"/>
      <c r="L963" s="74"/>
      <c r="O963" s="75"/>
    </row>
    <row r="964" ht="15.0" customHeight="1">
      <c r="C964" s="76"/>
      <c r="E964" s="72"/>
      <c r="K964" s="74"/>
      <c r="L964" s="74"/>
      <c r="O964" s="75"/>
    </row>
    <row r="965" ht="15.0" customHeight="1">
      <c r="C965" s="76"/>
      <c r="E965" s="72"/>
      <c r="K965" s="74"/>
      <c r="L965" s="74"/>
      <c r="O965" s="75"/>
    </row>
    <row r="966" ht="15.0" customHeight="1">
      <c r="C966" s="76"/>
      <c r="E966" s="72"/>
      <c r="K966" s="74"/>
      <c r="L966" s="74"/>
      <c r="O966" s="75"/>
    </row>
    <row r="967" ht="15.0" customHeight="1">
      <c r="C967" s="76"/>
      <c r="E967" s="72"/>
      <c r="K967" s="74"/>
      <c r="L967" s="74"/>
      <c r="O967" s="75"/>
    </row>
    <row r="968" ht="15.0" customHeight="1">
      <c r="C968" s="76"/>
      <c r="E968" s="72"/>
      <c r="K968" s="74"/>
      <c r="L968" s="74"/>
      <c r="O968" s="75"/>
    </row>
    <row r="969" ht="15.0" customHeight="1">
      <c r="C969" s="76"/>
      <c r="E969" s="72"/>
      <c r="K969" s="74"/>
      <c r="L969" s="74"/>
      <c r="O969" s="75"/>
    </row>
    <row r="970" ht="15.0" customHeight="1">
      <c r="C970" s="76"/>
      <c r="E970" s="72"/>
      <c r="K970" s="74"/>
      <c r="L970" s="74"/>
      <c r="O970" s="75"/>
    </row>
    <row r="971" ht="15.0" customHeight="1">
      <c r="C971" s="76"/>
      <c r="E971" s="72"/>
      <c r="K971" s="74"/>
      <c r="L971" s="74"/>
      <c r="O971" s="75"/>
    </row>
    <row r="972" ht="15.0" customHeight="1">
      <c r="C972" s="76"/>
      <c r="E972" s="72"/>
      <c r="K972" s="74"/>
      <c r="L972" s="74"/>
      <c r="O972" s="75"/>
    </row>
    <row r="973" ht="15.0" customHeight="1">
      <c r="C973" s="76"/>
      <c r="E973" s="72"/>
      <c r="K973" s="74"/>
      <c r="L973" s="74"/>
      <c r="O973" s="75"/>
    </row>
    <row r="974" ht="15.0" customHeight="1">
      <c r="C974" s="76"/>
      <c r="E974" s="72"/>
      <c r="K974" s="74"/>
      <c r="L974" s="74"/>
      <c r="O974" s="75"/>
    </row>
    <row r="975" ht="15.0" customHeight="1">
      <c r="C975" s="76"/>
      <c r="E975" s="72"/>
      <c r="K975" s="74"/>
      <c r="L975" s="74"/>
      <c r="O975" s="75"/>
    </row>
    <row r="976" ht="15.0" customHeight="1">
      <c r="C976" s="76"/>
      <c r="E976" s="72"/>
      <c r="K976" s="74"/>
      <c r="L976" s="74"/>
      <c r="O976" s="75"/>
    </row>
    <row r="977" ht="15.0" customHeight="1">
      <c r="C977" s="76"/>
      <c r="E977" s="72"/>
      <c r="K977" s="74"/>
      <c r="L977" s="74"/>
      <c r="O977" s="75"/>
    </row>
    <row r="978" ht="15.0" customHeight="1">
      <c r="C978" s="76"/>
      <c r="E978" s="72"/>
      <c r="K978" s="74"/>
      <c r="L978" s="74"/>
      <c r="O978" s="75"/>
    </row>
    <row r="979" ht="15.0" customHeight="1">
      <c r="C979" s="76"/>
      <c r="E979" s="72"/>
      <c r="K979" s="74"/>
      <c r="L979" s="74"/>
      <c r="O979" s="75"/>
    </row>
    <row r="980" ht="15.0" customHeight="1">
      <c r="C980" s="76"/>
      <c r="E980" s="72"/>
      <c r="K980" s="74"/>
      <c r="L980" s="74"/>
      <c r="O980" s="75"/>
    </row>
    <row r="981" ht="15.0" customHeight="1">
      <c r="C981" s="76"/>
      <c r="E981" s="72"/>
      <c r="K981" s="74"/>
      <c r="L981" s="74"/>
      <c r="O981" s="75"/>
    </row>
    <row r="982" ht="15.0" customHeight="1">
      <c r="C982" s="76"/>
      <c r="E982" s="72"/>
      <c r="K982" s="74"/>
      <c r="L982" s="74"/>
      <c r="O982" s="75"/>
    </row>
    <row r="983" ht="15.0" customHeight="1">
      <c r="C983" s="76"/>
      <c r="E983" s="72"/>
      <c r="K983" s="74"/>
      <c r="L983" s="74"/>
      <c r="O983" s="75"/>
    </row>
    <row r="984" ht="15.0" customHeight="1">
      <c r="C984" s="76"/>
      <c r="E984" s="72"/>
      <c r="K984" s="74"/>
      <c r="L984" s="74"/>
      <c r="O984" s="75"/>
    </row>
    <row r="985" ht="15.0" customHeight="1">
      <c r="C985" s="76"/>
      <c r="E985" s="72"/>
      <c r="K985" s="74"/>
      <c r="L985" s="74"/>
      <c r="O985" s="75"/>
    </row>
    <row r="986" ht="15.0" customHeight="1">
      <c r="C986" s="76"/>
      <c r="E986" s="72"/>
      <c r="K986" s="74"/>
      <c r="L986" s="74"/>
      <c r="O986" s="75"/>
    </row>
    <row r="987" ht="15.0" customHeight="1">
      <c r="C987" s="76"/>
      <c r="E987" s="72"/>
      <c r="K987" s="74"/>
      <c r="L987" s="74"/>
      <c r="O987" s="75"/>
    </row>
    <row r="988" ht="15.0" customHeight="1">
      <c r="C988" s="76"/>
      <c r="E988" s="72"/>
      <c r="K988" s="74"/>
      <c r="L988" s="74"/>
      <c r="O988" s="75"/>
    </row>
    <row r="989" ht="15.0" customHeight="1">
      <c r="C989" s="76"/>
      <c r="E989" s="72"/>
      <c r="K989" s="74"/>
      <c r="L989" s="74"/>
      <c r="O989" s="75"/>
    </row>
    <row r="990" ht="15.0" customHeight="1">
      <c r="C990" s="76"/>
      <c r="E990" s="72"/>
      <c r="K990" s="74"/>
      <c r="L990" s="74"/>
      <c r="O990" s="75"/>
    </row>
    <row r="991" ht="15.0" customHeight="1">
      <c r="C991" s="76"/>
      <c r="E991" s="72"/>
      <c r="K991" s="74"/>
      <c r="L991" s="74"/>
      <c r="O991" s="75"/>
    </row>
    <row r="992" ht="15.0" customHeight="1">
      <c r="C992" s="76"/>
      <c r="E992" s="72"/>
      <c r="K992" s="74"/>
      <c r="L992" s="74"/>
      <c r="O992" s="75"/>
    </row>
    <row r="993" ht="15.0" customHeight="1">
      <c r="C993" s="76"/>
      <c r="E993" s="72"/>
      <c r="K993" s="74"/>
      <c r="L993" s="74"/>
      <c r="O993" s="75"/>
    </row>
    <row r="994" ht="15.0" customHeight="1">
      <c r="C994" s="76"/>
      <c r="E994" s="72"/>
      <c r="K994" s="74"/>
      <c r="L994" s="74"/>
      <c r="O994" s="75"/>
    </row>
    <row r="995" ht="15.0" customHeight="1">
      <c r="C995" s="76"/>
      <c r="E995" s="72"/>
      <c r="K995" s="74"/>
      <c r="L995" s="74"/>
      <c r="O995" s="75"/>
    </row>
    <row r="996" ht="15.0" customHeight="1">
      <c r="C996" s="76"/>
      <c r="E996" s="72"/>
      <c r="K996" s="74"/>
      <c r="L996" s="74"/>
      <c r="O996" s="75"/>
    </row>
    <row r="997" ht="15.0" customHeight="1">
      <c r="C997" s="76"/>
      <c r="E997" s="72"/>
      <c r="K997" s="74"/>
      <c r="L997" s="74"/>
      <c r="O997" s="75"/>
    </row>
    <row r="998" ht="15.0" customHeight="1">
      <c r="C998" s="76"/>
      <c r="E998" s="72"/>
      <c r="K998" s="74"/>
      <c r="L998" s="74"/>
      <c r="O998" s="75"/>
    </row>
    <row r="999" ht="15.0" customHeight="1">
      <c r="C999" s="76"/>
      <c r="E999" s="72"/>
      <c r="K999" s="74"/>
      <c r="L999" s="74"/>
      <c r="O999" s="75"/>
    </row>
    <row r="1000" ht="15.0" customHeight="1">
      <c r="C1000" s="76"/>
      <c r="E1000" s="72"/>
      <c r="K1000" s="74"/>
      <c r="L1000" s="74"/>
      <c r="O1000" s="75"/>
    </row>
    <row r="1001" ht="15.0" customHeight="1">
      <c r="C1001" s="76"/>
      <c r="E1001" s="72"/>
      <c r="K1001" s="74"/>
      <c r="L1001" s="74"/>
      <c r="O1001" s="75"/>
    </row>
    <row r="1002" ht="15.0" customHeight="1">
      <c r="C1002" s="76"/>
      <c r="E1002" s="72"/>
      <c r="K1002" s="74"/>
      <c r="L1002" s="74"/>
      <c r="O1002" s="75"/>
    </row>
    <row r="1003" ht="15.0" customHeight="1">
      <c r="C1003" s="76"/>
      <c r="E1003" s="72"/>
      <c r="K1003" s="74"/>
      <c r="L1003" s="74"/>
      <c r="O1003" s="75"/>
    </row>
    <row r="1004" ht="15.0" customHeight="1">
      <c r="C1004" s="76"/>
      <c r="E1004" s="72"/>
      <c r="K1004" s="74"/>
      <c r="L1004" s="74"/>
      <c r="O1004" s="75"/>
    </row>
    <row r="1005" ht="15.0" customHeight="1">
      <c r="C1005" s="76"/>
      <c r="E1005" s="72"/>
      <c r="K1005" s="74"/>
      <c r="L1005" s="74"/>
      <c r="O1005" s="75"/>
    </row>
    <row r="1006" ht="15.0" customHeight="1">
      <c r="C1006" s="76"/>
      <c r="E1006" s="72"/>
      <c r="K1006" s="74"/>
      <c r="L1006" s="74"/>
      <c r="O1006" s="75"/>
    </row>
    <row r="1007" ht="15.0" customHeight="1">
      <c r="C1007" s="76"/>
      <c r="E1007" s="72"/>
      <c r="K1007" s="74"/>
      <c r="L1007" s="74"/>
      <c r="O1007" s="75"/>
    </row>
    <row r="1008" ht="15.0" customHeight="1">
      <c r="C1008" s="76"/>
      <c r="E1008" s="72"/>
      <c r="K1008" s="74"/>
      <c r="L1008" s="74"/>
      <c r="O1008" s="75"/>
    </row>
    <row r="1009" ht="15.0" customHeight="1">
      <c r="C1009" s="76"/>
      <c r="E1009" s="72"/>
      <c r="K1009" s="74"/>
      <c r="L1009" s="74"/>
      <c r="O1009" s="75"/>
    </row>
    <row r="1010" ht="15.0" customHeight="1">
      <c r="C1010" s="76"/>
      <c r="E1010" s="72"/>
      <c r="K1010" s="74"/>
      <c r="L1010" s="74"/>
      <c r="O1010" s="75"/>
    </row>
    <row r="1011" ht="15.0" customHeight="1">
      <c r="C1011" s="76"/>
      <c r="E1011" s="72"/>
      <c r="K1011" s="74"/>
      <c r="L1011" s="74"/>
      <c r="O1011" s="75"/>
    </row>
    <row r="1012" ht="15.0" customHeight="1">
      <c r="C1012" s="76"/>
      <c r="E1012" s="72"/>
      <c r="K1012" s="74"/>
      <c r="L1012" s="74"/>
      <c r="O1012" s="75"/>
    </row>
    <row r="1013" ht="15.0" customHeight="1">
      <c r="C1013" s="76"/>
      <c r="E1013" s="72"/>
      <c r="K1013" s="74"/>
      <c r="L1013" s="74"/>
      <c r="O1013" s="75"/>
    </row>
    <row r="1014" ht="15.0" customHeight="1">
      <c r="C1014" s="76"/>
      <c r="E1014" s="72"/>
      <c r="K1014" s="74"/>
      <c r="L1014" s="74"/>
      <c r="O1014" s="75"/>
    </row>
    <row r="1015" ht="15.0" customHeight="1">
      <c r="C1015" s="76"/>
      <c r="E1015" s="72"/>
      <c r="K1015" s="74"/>
      <c r="L1015" s="74"/>
      <c r="O1015" s="75"/>
    </row>
    <row r="1016" ht="15.0" customHeight="1">
      <c r="C1016" s="76"/>
      <c r="E1016" s="72"/>
      <c r="K1016" s="74"/>
      <c r="L1016" s="74"/>
      <c r="O1016" s="75"/>
    </row>
    <row r="1017" ht="15.0" customHeight="1">
      <c r="C1017" s="76"/>
      <c r="E1017" s="72"/>
      <c r="K1017" s="74"/>
      <c r="L1017" s="74"/>
      <c r="O1017" s="75"/>
    </row>
    <row r="1018" ht="15.0" customHeight="1">
      <c r="C1018" s="76"/>
      <c r="E1018" s="72"/>
      <c r="K1018" s="74"/>
      <c r="L1018" s="74"/>
      <c r="O1018" s="75"/>
    </row>
    <row r="1019" ht="15.0" customHeight="1">
      <c r="C1019" s="76"/>
      <c r="E1019" s="72"/>
      <c r="K1019" s="74"/>
      <c r="L1019" s="74"/>
      <c r="O1019" s="75"/>
    </row>
    <row r="1020" ht="15.0" customHeight="1">
      <c r="C1020" s="76"/>
      <c r="E1020" s="72"/>
      <c r="K1020" s="74"/>
      <c r="L1020" s="74"/>
      <c r="O1020" s="75"/>
    </row>
    <row r="1021" ht="15.0" customHeight="1">
      <c r="C1021" s="76"/>
      <c r="E1021" s="72"/>
      <c r="K1021" s="74"/>
      <c r="L1021" s="74"/>
      <c r="O1021" s="75"/>
    </row>
    <row r="1022" ht="15.0" customHeight="1">
      <c r="C1022" s="76"/>
      <c r="E1022" s="72"/>
      <c r="K1022" s="74"/>
      <c r="L1022" s="74"/>
      <c r="O1022" s="75"/>
    </row>
    <row r="1023" ht="15.0" customHeight="1">
      <c r="C1023" s="76"/>
      <c r="E1023" s="72"/>
      <c r="K1023" s="74"/>
      <c r="L1023" s="74"/>
      <c r="O1023" s="75"/>
    </row>
    <row r="1024" ht="15.0" customHeight="1">
      <c r="C1024" s="76"/>
      <c r="E1024" s="72"/>
      <c r="K1024" s="74"/>
      <c r="L1024" s="74"/>
      <c r="O1024" s="75"/>
    </row>
    <row r="1025" ht="15.0" customHeight="1">
      <c r="C1025" s="76"/>
      <c r="E1025" s="72"/>
      <c r="K1025" s="74"/>
      <c r="L1025" s="74"/>
      <c r="O1025" s="75"/>
    </row>
    <row r="1026" ht="15.0" customHeight="1">
      <c r="C1026" s="76"/>
      <c r="E1026" s="72"/>
      <c r="K1026" s="74"/>
      <c r="L1026" s="74"/>
      <c r="O1026" s="75"/>
    </row>
    <row r="1027" ht="15.0" customHeight="1">
      <c r="C1027" s="76"/>
      <c r="E1027" s="72"/>
      <c r="K1027" s="74"/>
      <c r="L1027" s="74"/>
      <c r="O1027" s="75"/>
    </row>
    <row r="1028" ht="15.0" customHeight="1">
      <c r="C1028" s="76"/>
      <c r="E1028" s="72"/>
      <c r="K1028" s="74"/>
      <c r="L1028" s="74"/>
      <c r="O1028" s="75"/>
    </row>
    <row r="1029" ht="15.0" customHeight="1">
      <c r="C1029" s="76"/>
      <c r="E1029" s="72"/>
      <c r="K1029" s="74"/>
      <c r="L1029" s="74"/>
      <c r="O1029" s="75"/>
    </row>
    <row r="1030" ht="15.0" customHeight="1">
      <c r="C1030" s="76"/>
      <c r="E1030" s="72"/>
      <c r="K1030" s="74"/>
      <c r="L1030" s="74"/>
      <c r="O1030" s="75"/>
    </row>
    <row r="1031" ht="15.0" customHeight="1">
      <c r="C1031" s="76"/>
      <c r="E1031" s="72"/>
      <c r="K1031" s="74"/>
      <c r="L1031" s="74"/>
      <c r="O1031" s="75"/>
    </row>
    <row r="1032" ht="15.0" customHeight="1">
      <c r="C1032" s="76"/>
      <c r="E1032" s="72"/>
      <c r="K1032" s="74"/>
      <c r="L1032" s="74"/>
      <c r="O1032" s="75"/>
    </row>
    <row r="1033" ht="15.0" customHeight="1">
      <c r="C1033" s="76"/>
      <c r="E1033" s="72"/>
      <c r="K1033" s="74"/>
      <c r="L1033" s="74"/>
      <c r="O1033" s="75"/>
    </row>
    <row r="1034" ht="15.0" customHeight="1">
      <c r="C1034" s="76"/>
      <c r="E1034" s="72"/>
      <c r="K1034" s="74"/>
      <c r="L1034" s="74"/>
      <c r="O1034" s="75"/>
    </row>
    <row r="1035" ht="15.0" customHeight="1">
      <c r="C1035" s="76"/>
      <c r="E1035" s="72"/>
      <c r="K1035" s="74"/>
      <c r="L1035" s="74"/>
      <c r="O1035" s="75"/>
    </row>
    <row r="1036" ht="15.0" customHeight="1">
      <c r="C1036" s="76"/>
      <c r="E1036" s="72"/>
      <c r="K1036" s="74"/>
      <c r="L1036" s="74"/>
      <c r="O1036" s="75"/>
    </row>
    <row r="1037" ht="15.0" customHeight="1">
      <c r="C1037" s="76"/>
      <c r="E1037" s="72"/>
      <c r="K1037" s="74"/>
      <c r="L1037" s="74"/>
      <c r="O1037" s="75"/>
    </row>
    <row r="1038" ht="15.0" customHeight="1">
      <c r="C1038" s="76"/>
      <c r="E1038" s="72"/>
      <c r="K1038" s="74"/>
      <c r="L1038" s="74"/>
      <c r="O1038" s="75"/>
    </row>
    <row r="1039" ht="15.0" customHeight="1">
      <c r="C1039" s="76"/>
      <c r="E1039" s="72"/>
      <c r="K1039" s="74"/>
      <c r="L1039" s="74"/>
      <c r="O1039" s="75"/>
    </row>
    <row r="1040" ht="15.0" customHeight="1">
      <c r="C1040" s="76"/>
      <c r="E1040" s="72"/>
      <c r="K1040" s="74"/>
      <c r="L1040" s="74"/>
      <c r="O1040" s="75"/>
    </row>
    <row r="1041" ht="15.0" customHeight="1">
      <c r="C1041" s="76"/>
      <c r="E1041" s="72"/>
      <c r="K1041" s="74"/>
      <c r="L1041" s="74"/>
      <c r="O1041" s="75"/>
    </row>
    <row r="1042" ht="15.0" customHeight="1">
      <c r="C1042" s="76"/>
      <c r="E1042" s="72"/>
      <c r="K1042" s="74"/>
      <c r="L1042" s="74"/>
      <c r="O1042" s="75"/>
    </row>
    <row r="1043" ht="15.0" customHeight="1">
      <c r="C1043" s="76"/>
      <c r="E1043" s="72"/>
      <c r="K1043" s="74"/>
      <c r="L1043" s="74"/>
      <c r="O1043" s="75"/>
    </row>
    <row r="1044" ht="15.0" customHeight="1">
      <c r="C1044" s="76"/>
      <c r="E1044" s="72"/>
      <c r="K1044" s="74"/>
      <c r="L1044" s="74"/>
      <c r="O1044" s="75"/>
    </row>
    <row r="1045" ht="15.0" customHeight="1">
      <c r="C1045" s="76"/>
      <c r="E1045" s="72"/>
      <c r="K1045" s="74"/>
      <c r="L1045" s="74"/>
      <c r="O1045" s="75"/>
    </row>
    <row r="1046" ht="15.0" customHeight="1">
      <c r="C1046" s="76"/>
      <c r="E1046" s="72"/>
      <c r="K1046" s="74"/>
      <c r="L1046" s="74"/>
      <c r="O1046" s="75"/>
    </row>
    <row r="1047" ht="15.0" customHeight="1">
      <c r="C1047" s="76"/>
      <c r="E1047" s="72"/>
      <c r="K1047" s="74"/>
      <c r="L1047" s="74"/>
      <c r="O1047" s="75"/>
    </row>
    <row r="1048" ht="15.0" customHeight="1">
      <c r="C1048" s="76"/>
      <c r="E1048" s="72"/>
      <c r="K1048" s="74"/>
      <c r="L1048" s="74"/>
      <c r="O1048" s="75"/>
    </row>
    <row r="1049" ht="15.0" customHeight="1">
      <c r="C1049" s="76"/>
      <c r="E1049" s="72"/>
      <c r="K1049" s="74"/>
      <c r="L1049" s="74"/>
      <c r="O1049" s="75"/>
    </row>
    <row r="1050" ht="15.0" customHeight="1">
      <c r="C1050" s="76"/>
      <c r="E1050" s="72"/>
      <c r="K1050" s="74"/>
      <c r="L1050" s="74"/>
      <c r="O1050" s="75"/>
    </row>
    <row r="1051" ht="15.0" customHeight="1">
      <c r="C1051" s="76"/>
      <c r="E1051" s="72"/>
      <c r="K1051" s="74"/>
      <c r="L1051" s="74"/>
      <c r="O1051" s="75"/>
    </row>
    <row r="1052" ht="15.0" customHeight="1">
      <c r="C1052" s="76"/>
      <c r="E1052" s="72"/>
      <c r="K1052" s="74"/>
      <c r="L1052" s="74"/>
      <c r="O1052" s="75"/>
    </row>
    <row r="1053" ht="15.0" customHeight="1">
      <c r="C1053" s="76"/>
      <c r="E1053" s="72"/>
      <c r="K1053" s="74"/>
      <c r="L1053" s="74"/>
      <c r="O1053" s="75"/>
    </row>
    <row r="1054" ht="15.0" customHeight="1">
      <c r="C1054" s="76"/>
      <c r="E1054" s="72"/>
      <c r="K1054" s="74"/>
      <c r="L1054" s="74"/>
      <c r="O1054" s="75"/>
    </row>
    <row r="1055" ht="15.0" customHeight="1">
      <c r="C1055" s="76"/>
      <c r="E1055" s="72"/>
      <c r="K1055" s="74"/>
      <c r="L1055" s="74"/>
      <c r="O1055" s="75"/>
    </row>
    <row r="1056" ht="15.0" customHeight="1">
      <c r="C1056" s="76"/>
      <c r="E1056" s="72"/>
      <c r="K1056" s="74"/>
      <c r="L1056" s="74"/>
      <c r="O1056" s="75"/>
    </row>
    <row r="1057" ht="15.0" customHeight="1">
      <c r="C1057" s="76"/>
      <c r="E1057" s="72"/>
      <c r="K1057" s="74"/>
      <c r="L1057" s="74"/>
      <c r="O1057" s="75"/>
    </row>
    <row r="1058" ht="15.0" customHeight="1">
      <c r="C1058" s="76"/>
      <c r="E1058" s="72"/>
      <c r="K1058" s="74"/>
      <c r="L1058" s="74"/>
      <c r="O1058" s="75"/>
    </row>
    <row r="1059" ht="15.0" customHeight="1">
      <c r="C1059" s="76"/>
      <c r="E1059" s="72"/>
      <c r="K1059" s="74"/>
      <c r="L1059" s="74"/>
      <c r="O1059" s="75"/>
    </row>
    <row r="1060" ht="15.0" customHeight="1">
      <c r="C1060" s="76"/>
      <c r="E1060" s="72"/>
      <c r="K1060" s="74"/>
      <c r="L1060" s="74"/>
      <c r="O1060" s="75"/>
    </row>
    <row r="1061" ht="15.0" customHeight="1">
      <c r="C1061" s="76"/>
      <c r="E1061" s="72"/>
      <c r="K1061" s="74"/>
      <c r="L1061" s="74"/>
      <c r="O1061" s="75"/>
    </row>
    <row r="1062" ht="15.0" customHeight="1">
      <c r="C1062" s="76"/>
      <c r="E1062" s="72"/>
      <c r="K1062" s="74"/>
      <c r="L1062" s="74"/>
      <c r="O1062" s="75"/>
    </row>
    <row r="1063" ht="15.0" customHeight="1">
      <c r="C1063" s="76"/>
      <c r="E1063" s="72"/>
      <c r="K1063" s="74"/>
      <c r="L1063" s="74"/>
      <c r="O1063" s="75"/>
    </row>
    <row r="1064" ht="15.0" customHeight="1">
      <c r="C1064" s="76"/>
      <c r="E1064" s="72"/>
      <c r="K1064" s="74"/>
      <c r="L1064" s="74"/>
      <c r="O1064" s="75"/>
    </row>
    <row r="1065" ht="15.0" customHeight="1">
      <c r="C1065" s="76"/>
      <c r="E1065" s="72"/>
      <c r="K1065" s="74"/>
      <c r="L1065" s="74"/>
      <c r="O1065" s="75"/>
    </row>
    <row r="1066" ht="15.0" customHeight="1">
      <c r="C1066" s="76"/>
      <c r="E1066" s="72"/>
      <c r="K1066" s="74"/>
      <c r="L1066" s="74"/>
      <c r="O1066" s="75"/>
    </row>
    <row r="1067" ht="15.0" customHeight="1">
      <c r="C1067" s="76"/>
      <c r="E1067" s="72"/>
      <c r="K1067" s="74"/>
      <c r="L1067" s="74"/>
      <c r="O1067" s="75"/>
    </row>
    <row r="1068" ht="15.0" customHeight="1">
      <c r="C1068" s="76"/>
      <c r="E1068" s="72"/>
      <c r="K1068" s="74"/>
      <c r="L1068" s="74"/>
      <c r="O1068" s="75"/>
    </row>
    <row r="1069" ht="15.0" customHeight="1">
      <c r="C1069" s="76"/>
      <c r="E1069" s="72"/>
      <c r="K1069" s="74"/>
      <c r="L1069" s="74"/>
      <c r="O1069" s="75"/>
    </row>
    <row r="1070" ht="15.0" customHeight="1">
      <c r="C1070" s="76"/>
      <c r="E1070" s="72"/>
      <c r="K1070" s="74"/>
      <c r="L1070" s="74"/>
      <c r="O1070" s="75"/>
    </row>
    <row r="1071" ht="15.0" customHeight="1">
      <c r="C1071" s="76"/>
      <c r="E1071" s="72"/>
      <c r="K1071" s="74"/>
      <c r="L1071" s="74"/>
      <c r="O1071" s="75"/>
    </row>
    <row r="1072" ht="15.0" customHeight="1">
      <c r="C1072" s="76"/>
      <c r="E1072" s="72"/>
      <c r="K1072" s="74"/>
      <c r="L1072" s="74"/>
      <c r="O1072" s="75"/>
    </row>
    <row r="1073" ht="15.0" customHeight="1">
      <c r="C1073" s="76"/>
      <c r="E1073" s="72"/>
      <c r="K1073" s="74"/>
      <c r="L1073" s="74"/>
      <c r="O1073" s="75"/>
    </row>
    <row r="1074" ht="15.0" customHeight="1">
      <c r="C1074" s="76"/>
      <c r="E1074" s="72"/>
      <c r="K1074" s="74"/>
      <c r="L1074" s="74"/>
      <c r="O1074" s="75"/>
    </row>
    <row r="1075" ht="15.0" customHeight="1">
      <c r="C1075" s="76"/>
      <c r="E1075" s="72"/>
      <c r="K1075" s="74"/>
      <c r="L1075" s="74"/>
      <c r="O1075" s="75"/>
    </row>
    <row r="1076" ht="15.0" customHeight="1">
      <c r="C1076" s="76"/>
      <c r="E1076" s="72"/>
      <c r="K1076" s="74"/>
      <c r="L1076" s="74"/>
      <c r="O1076" s="75"/>
    </row>
    <row r="1077" ht="15.0" customHeight="1">
      <c r="C1077" s="76"/>
      <c r="E1077" s="72"/>
      <c r="K1077" s="74"/>
      <c r="L1077" s="74"/>
      <c r="O1077" s="75"/>
    </row>
    <row r="1078" ht="15.0" customHeight="1">
      <c r="C1078" s="76"/>
      <c r="E1078" s="72"/>
      <c r="K1078" s="74"/>
      <c r="L1078" s="74"/>
      <c r="O1078" s="75"/>
    </row>
    <row r="1079" ht="15.0" customHeight="1">
      <c r="C1079" s="76"/>
      <c r="E1079" s="72"/>
      <c r="K1079" s="74"/>
      <c r="L1079" s="74"/>
      <c r="O1079" s="75"/>
    </row>
    <row r="1080" ht="15.0" customHeight="1">
      <c r="C1080" s="76"/>
      <c r="E1080" s="72"/>
      <c r="K1080" s="74"/>
      <c r="L1080" s="74"/>
      <c r="O1080" s="75"/>
    </row>
    <row r="1081" ht="15.0" customHeight="1">
      <c r="C1081" s="76"/>
      <c r="E1081" s="72"/>
      <c r="K1081" s="74"/>
      <c r="L1081" s="74"/>
      <c r="O1081" s="75"/>
    </row>
    <row r="1082" ht="15.0" customHeight="1">
      <c r="C1082" s="76"/>
      <c r="E1082" s="72"/>
      <c r="K1082" s="74"/>
      <c r="L1082" s="74"/>
      <c r="O1082" s="75"/>
    </row>
    <row r="1083" ht="15.0" customHeight="1">
      <c r="C1083" s="76"/>
      <c r="E1083" s="72"/>
      <c r="K1083" s="74"/>
      <c r="L1083" s="74"/>
      <c r="O1083" s="75"/>
    </row>
    <row r="1084" ht="15.0" customHeight="1">
      <c r="C1084" s="76"/>
      <c r="E1084" s="72"/>
      <c r="K1084" s="74"/>
      <c r="L1084" s="74"/>
      <c r="O1084" s="75"/>
    </row>
    <row r="1085" ht="15.0" customHeight="1">
      <c r="C1085" s="76"/>
      <c r="E1085" s="72"/>
      <c r="K1085" s="74"/>
      <c r="L1085" s="74"/>
      <c r="O1085" s="75"/>
    </row>
    <row r="1086" ht="15.0" customHeight="1">
      <c r="C1086" s="76"/>
      <c r="E1086" s="72"/>
      <c r="K1086" s="74"/>
      <c r="L1086" s="74"/>
      <c r="O1086" s="75"/>
    </row>
    <row r="1087" ht="15.0" customHeight="1">
      <c r="C1087" s="76"/>
      <c r="E1087" s="72"/>
      <c r="K1087" s="74"/>
      <c r="L1087" s="74"/>
      <c r="O1087" s="75"/>
    </row>
    <row r="1088" ht="15.0" customHeight="1">
      <c r="C1088" s="76"/>
      <c r="E1088" s="72"/>
      <c r="K1088" s="74"/>
      <c r="L1088" s="74"/>
      <c r="O1088" s="75"/>
    </row>
    <row r="1089" ht="15.0" customHeight="1">
      <c r="C1089" s="76"/>
      <c r="E1089" s="72"/>
      <c r="K1089" s="74"/>
      <c r="L1089" s="74"/>
      <c r="O1089" s="75"/>
    </row>
    <row r="1090" ht="15.0" customHeight="1">
      <c r="C1090" s="76"/>
      <c r="E1090" s="72"/>
      <c r="K1090" s="74"/>
      <c r="L1090" s="74"/>
      <c r="O1090" s="75"/>
    </row>
    <row r="1091" ht="15.0" customHeight="1">
      <c r="C1091" s="76"/>
      <c r="E1091" s="72"/>
      <c r="K1091" s="74"/>
      <c r="L1091" s="74"/>
      <c r="O1091" s="75"/>
    </row>
    <row r="1092" ht="15.0" customHeight="1">
      <c r="C1092" s="76"/>
      <c r="E1092" s="72"/>
      <c r="K1092" s="74"/>
      <c r="L1092" s="74"/>
      <c r="O1092" s="75"/>
    </row>
    <row r="1093" ht="15.0" customHeight="1">
      <c r="C1093" s="76"/>
      <c r="E1093" s="72"/>
      <c r="K1093" s="74"/>
      <c r="L1093" s="74"/>
      <c r="O1093" s="75"/>
    </row>
    <row r="1094" ht="15.0" customHeight="1">
      <c r="C1094" s="76"/>
      <c r="E1094" s="72"/>
      <c r="K1094" s="74"/>
      <c r="L1094" s="74"/>
      <c r="O1094" s="75"/>
    </row>
    <row r="1095" ht="15.0" customHeight="1">
      <c r="C1095" s="76"/>
      <c r="E1095" s="72"/>
      <c r="K1095" s="74"/>
      <c r="L1095" s="74"/>
      <c r="O1095" s="75"/>
    </row>
    <row r="1096" ht="15.0" customHeight="1">
      <c r="C1096" s="76"/>
      <c r="E1096" s="72"/>
      <c r="K1096" s="74"/>
      <c r="L1096" s="74"/>
      <c r="O1096" s="75"/>
    </row>
    <row r="1097" ht="15.0" customHeight="1">
      <c r="C1097" s="76"/>
      <c r="E1097" s="72"/>
      <c r="K1097" s="74"/>
      <c r="L1097" s="74"/>
      <c r="O1097" s="75"/>
    </row>
    <row r="1098" ht="15.0" customHeight="1">
      <c r="C1098" s="76"/>
      <c r="E1098" s="72"/>
      <c r="K1098" s="74"/>
      <c r="L1098" s="74"/>
      <c r="O1098" s="75"/>
    </row>
    <row r="1099" ht="15.0" customHeight="1">
      <c r="C1099" s="76"/>
      <c r="E1099" s="72"/>
      <c r="K1099" s="74"/>
      <c r="L1099" s="74"/>
      <c r="O1099" s="75"/>
    </row>
    <row r="1100" ht="15.0" customHeight="1">
      <c r="C1100" s="76"/>
      <c r="E1100" s="72"/>
      <c r="K1100" s="74"/>
      <c r="L1100" s="74"/>
      <c r="O1100" s="75"/>
    </row>
    <row r="1101" ht="15.0" customHeight="1">
      <c r="C1101" s="76"/>
      <c r="E1101" s="72"/>
      <c r="K1101" s="74"/>
      <c r="L1101" s="74"/>
      <c r="O1101" s="75"/>
    </row>
    <row r="1102" ht="15.0" customHeight="1">
      <c r="C1102" s="76"/>
      <c r="E1102" s="72"/>
      <c r="K1102" s="74"/>
      <c r="L1102" s="74"/>
      <c r="O1102" s="75"/>
    </row>
    <row r="1103" ht="15.0" customHeight="1">
      <c r="C1103" s="76"/>
      <c r="E1103" s="72"/>
      <c r="K1103" s="74"/>
      <c r="L1103" s="74"/>
      <c r="O1103" s="75"/>
    </row>
    <row r="1104" ht="15.0" customHeight="1">
      <c r="C1104" s="76"/>
      <c r="E1104" s="72"/>
      <c r="K1104" s="74"/>
      <c r="L1104" s="74"/>
      <c r="O1104" s="75"/>
    </row>
    <row r="1105" ht="15.0" customHeight="1">
      <c r="C1105" s="76"/>
      <c r="E1105" s="72"/>
      <c r="K1105" s="74"/>
      <c r="L1105" s="74"/>
      <c r="O1105" s="75"/>
    </row>
    <row r="1106" ht="15.0" customHeight="1">
      <c r="C1106" s="76"/>
      <c r="E1106" s="72"/>
      <c r="K1106" s="74"/>
      <c r="L1106" s="74"/>
      <c r="O1106" s="75"/>
    </row>
    <row r="1107" ht="15.0" customHeight="1">
      <c r="C1107" s="76"/>
      <c r="E1107" s="72"/>
      <c r="K1107" s="74"/>
      <c r="L1107" s="74"/>
      <c r="O1107" s="75"/>
    </row>
    <row r="1108" ht="15.0" customHeight="1">
      <c r="C1108" s="76"/>
      <c r="E1108" s="72"/>
      <c r="K1108" s="74"/>
      <c r="L1108" s="74"/>
      <c r="O1108" s="75"/>
    </row>
    <row r="1109" ht="15.0" customHeight="1">
      <c r="C1109" s="76"/>
      <c r="E1109" s="72"/>
      <c r="K1109" s="74"/>
      <c r="L1109" s="74"/>
      <c r="O1109" s="75"/>
    </row>
    <row r="1110" ht="15.0" customHeight="1">
      <c r="C1110" s="76"/>
      <c r="E1110" s="72"/>
      <c r="K1110" s="74"/>
      <c r="L1110" s="74"/>
      <c r="O1110" s="75"/>
    </row>
    <row r="1111" ht="15.0" customHeight="1">
      <c r="C1111" s="76"/>
      <c r="E1111" s="72"/>
      <c r="K1111" s="74"/>
      <c r="L1111" s="74"/>
      <c r="O1111" s="75"/>
    </row>
    <row r="1112" ht="15.0" customHeight="1">
      <c r="C1112" s="76"/>
      <c r="E1112" s="72"/>
      <c r="K1112" s="74"/>
      <c r="L1112" s="74"/>
      <c r="O1112" s="75"/>
    </row>
    <row r="1113" ht="15.0" customHeight="1">
      <c r="C1113" s="76"/>
      <c r="E1113" s="72"/>
      <c r="K1113" s="74"/>
      <c r="L1113" s="74"/>
      <c r="O1113" s="75"/>
    </row>
    <row r="1114" ht="15.0" customHeight="1">
      <c r="C1114" s="76"/>
      <c r="E1114" s="72"/>
      <c r="K1114" s="74"/>
      <c r="L1114" s="74"/>
      <c r="O1114" s="75"/>
    </row>
    <row r="1115" ht="15.0" customHeight="1">
      <c r="C1115" s="76"/>
      <c r="E1115" s="72"/>
      <c r="K1115" s="74"/>
      <c r="L1115" s="74"/>
      <c r="O1115" s="75"/>
    </row>
    <row r="1116" ht="15.0" customHeight="1">
      <c r="C1116" s="76"/>
      <c r="E1116" s="72"/>
      <c r="K1116" s="74"/>
      <c r="L1116" s="74"/>
      <c r="O1116" s="75"/>
    </row>
    <row r="1117" ht="15.0" customHeight="1">
      <c r="C1117" s="76"/>
      <c r="E1117" s="72"/>
      <c r="K1117" s="74"/>
      <c r="L1117" s="74"/>
      <c r="O1117" s="75"/>
    </row>
    <row r="1118" ht="15.0" customHeight="1">
      <c r="C1118" s="76"/>
      <c r="E1118" s="72"/>
      <c r="K1118" s="74"/>
      <c r="L1118" s="74"/>
      <c r="O1118" s="75"/>
    </row>
    <row r="1119" ht="15.0" customHeight="1">
      <c r="C1119" s="76"/>
      <c r="E1119" s="72"/>
      <c r="K1119" s="74"/>
      <c r="L1119" s="74"/>
      <c r="O1119" s="75"/>
    </row>
    <row r="1120" ht="15.0" customHeight="1">
      <c r="C1120" s="76"/>
      <c r="E1120" s="72"/>
      <c r="K1120" s="74"/>
      <c r="L1120" s="74"/>
      <c r="O1120" s="75"/>
    </row>
    <row r="1121" ht="15.0" customHeight="1">
      <c r="C1121" s="76"/>
      <c r="E1121" s="72"/>
      <c r="K1121" s="74"/>
      <c r="L1121" s="74"/>
      <c r="O1121" s="75"/>
    </row>
    <row r="1122" ht="15.0" customHeight="1">
      <c r="C1122" s="76"/>
      <c r="E1122" s="72"/>
      <c r="K1122" s="74"/>
      <c r="L1122" s="74"/>
      <c r="O1122" s="75"/>
    </row>
    <row r="1123" ht="15.0" customHeight="1">
      <c r="C1123" s="76"/>
      <c r="E1123" s="72"/>
      <c r="K1123" s="74"/>
      <c r="L1123" s="74"/>
      <c r="O1123" s="75"/>
    </row>
    <row r="1124" ht="15.0" customHeight="1">
      <c r="C1124" s="76"/>
      <c r="E1124" s="72"/>
      <c r="K1124" s="74"/>
      <c r="L1124" s="74"/>
      <c r="O1124" s="75"/>
    </row>
    <row r="1125" ht="15.0" customHeight="1">
      <c r="C1125" s="76"/>
      <c r="E1125" s="72"/>
      <c r="K1125" s="74"/>
      <c r="L1125" s="74"/>
      <c r="O1125" s="75"/>
    </row>
    <row r="1126" ht="15.0" customHeight="1">
      <c r="C1126" s="76"/>
      <c r="E1126" s="72"/>
      <c r="K1126" s="74"/>
      <c r="L1126" s="74"/>
      <c r="O1126" s="75"/>
    </row>
    <row r="1127" ht="15.0" customHeight="1">
      <c r="C1127" s="76"/>
      <c r="E1127" s="72"/>
      <c r="K1127" s="74"/>
      <c r="L1127" s="74"/>
      <c r="O1127" s="75"/>
    </row>
    <row r="1128" ht="15.0" customHeight="1">
      <c r="C1128" s="76"/>
      <c r="E1128" s="72"/>
      <c r="K1128" s="74"/>
      <c r="L1128" s="74"/>
      <c r="O1128" s="75"/>
    </row>
    <row r="1129" ht="15.0" customHeight="1">
      <c r="C1129" s="76"/>
      <c r="E1129" s="72"/>
      <c r="K1129" s="74"/>
      <c r="L1129" s="74"/>
      <c r="O1129" s="75"/>
    </row>
    <row r="1130" ht="15.0" customHeight="1">
      <c r="C1130" s="76"/>
      <c r="E1130" s="72"/>
      <c r="K1130" s="74"/>
      <c r="L1130" s="74"/>
      <c r="O1130" s="75"/>
    </row>
    <row r="1131" ht="15.0" customHeight="1">
      <c r="C1131" s="76"/>
      <c r="E1131" s="72"/>
      <c r="K1131" s="74"/>
      <c r="L1131" s="74"/>
      <c r="O1131" s="75"/>
    </row>
    <row r="1132" ht="15.0" customHeight="1">
      <c r="C1132" s="76"/>
      <c r="E1132" s="72"/>
      <c r="K1132" s="74"/>
      <c r="L1132" s="74"/>
      <c r="O1132" s="75"/>
    </row>
    <row r="1133" ht="15.0" customHeight="1">
      <c r="C1133" s="76"/>
      <c r="E1133" s="72"/>
      <c r="K1133" s="74"/>
      <c r="L1133" s="74"/>
      <c r="O1133" s="75"/>
    </row>
    <row r="1134" ht="15.0" customHeight="1">
      <c r="C1134" s="76"/>
      <c r="E1134" s="72"/>
      <c r="K1134" s="74"/>
      <c r="L1134" s="74"/>
      <c r="O1134" s="75"/>
    </row>
    <row r="1135" ht="15.0" customHeight="1">
      <c r="C1135" s="76"/>
      <c r="E1135" s="72"/>
      <c r="K1135" s="74"/>
      <c r="L1135" s="74"/>
      <c r="O1135" s="75"/>
    </row>
    <row r="1136" ht="15.0" customHeight="1">
      <c r="C1136" s="76"/>
      <c r="E1136" s="72"/>
      <c r="K1136" s="74"/>
      <c r="L1136" s="74"/>
      <c r="O1136" s="75"/>
    </row>
    <row r="1137" ht="15.0" customHeight="1">
      <c r="C1137" s="76"/>
      <c r="E1137" s="72"/>
      <c r="K1137" s="74"/>
      <c r="L1137" s="74"/>
      <c r="O1137" s="75"/>
    </row>
    <row r="1138" ht="15.0" customHeight="1">
      <c r="C1138" s="76"/>
      <c r="E1138" s="72"/>
      <c r="K1138" s="74"/>
      <c r="L1138" s="74"/>
      <c r="O1138" s="75"/>
    </row>
    <row r="1139" ht="15.0" customHeight="1">
      <c r="C1139" s="76"/>
      <c r="E1139" s="72"/>
      <c r="K1139" s="74"/>
      <c r="L1139" s="74"/>
      <c r="O1139" s="75"/>
    </row>
    <row r="1140" ht="15.0" customHeight="1">
      <c r="C1140" s="76"/>
      <c r="E1140" s="72"/>
      <c r="K1140" s="74"/>
      <c r="L1140" s="74"/>
      <c r="O1140" s="75"/>
    </row>
    <row r="1141" ht="15.0" customHeight="1">
      <c r="C1141" s="76"/>
      <c r="E1141" s="72"/>
      <c r="K1141" s="74"/>
      <c r="L1141" s="74"/>
      <c r="O1141" s="75"/>
    </row>
    <row r="1142" ht="15.0" customHeight="1">
      <c r="C1142" s="76"/>
      <c r="E1142" s="72"/>
      <c r="K1142" s="74"/>
      <c r="L1142" s="74"/>
      <c r="O1142" s="75"/>
    </row>
    <row r="1143" ht="15.0" customHeight="1">
      <c r="C1143" s="76"/>
      <c r="E1143" s="72"/>
      <c r="K1143" s="74"/>
      <c r="L1143" s="74"/>
      <c r="O1143" s="75"/>
    </row>
    <row r="1144" ht="15.0" customHeight="1">
      <c r="C1144" s="76"/>
      <c r="E1144" s="72"/>
      <c r="K1144" s="74"/>
      <c r="L1144" s="74"/>
      <c r="O1144" s="75"/>
    </row>
    <row r="1145" ht="15.0" customHeight="1">
      <c r="C1145" s="76"/>
      <c r="E1145" s="72"/>
      <c r="K1145" s="74"/>
      <c r="L1145" s="74"/>
      <c r="O1145" s="75"/>
    </row>
    <row r="1146" ht="15.0" customHeight="1">
      <c r="C1146" s="76"/>
      <c r="E1146" s="72"/>
      <c r="K1146" s="74"/>
      <c r="L1146" s="74"/>
      <c r="O1146" s="75"/>
    </row>
    <row r="1147" ht="15.0" customHeight="1">
      <c r="C1147" s="76"/>
      <c r="E1147" s="72"/>
      <c r="K1147" s="74"/>
      <c r="L1147" s="74"/>
      <c r="O1147" s="75"/>
    </row>
    <row r="1148" ht="15.0" customHeight="1">
      <c r="C1148" s="76"/>
      <c r="E1148" s="72"/>
      <c r="K1148" s="74"/>
      <c r="L1148" s="74"/>
      <c r="O1148" s="75"/>
    </row>
    <row r="1149" ht="15.0" customHeight="1">
      <c r="C1149" s="76"/>
      <c r="E1149" s="72"/>
      <c r="K1149" s="74"/>
      <c r="L1149" s="74"/>
      <c r="O1149" s="75"/>
    </row>
    <row r="1150" ht="15.0" customHeight="1">
      <c r="C1150" s="76"/>
      <c r="E1150" s="72"/>
      <c r="K1150" s="74"/>
      <c r="L1150" s="74"/>
      <c r="O1150" s="75"/>
    </row>
    <row r="1151" ht="15.0" customHeight="1">
      <c r="C1151" s="76"/>
      <c r="E1151" s="72"/>
      <c r="K1151" s="74"/>
      <c r="L1151" s="74"/>
      <c r="O1151" s="75"/>
    </row>
    <row r="1152" ht="15.0" customHeight="1">
      <c r="C1152" s="76"/>
      <c r="E1152" s="72"/>
      <c r="K1152" s="74"/>
      <c r="L1152" s="74"/>
      <c r="O1152" s="75"/>
    </row>
    <row r="1153" ht="15.0" customHeight="1">
      <c r="C1153" s="76"/>
      <c r="E1153" s="72"/>
      <c r="K1153" s="74"/>
      <c r="L1153" s="74"/>
      <c r="O1153" s="75"/>
    </row>
    <row r="1154" ht="15.0" customHeight="1">
      <c r="C1154" s="76"/>
      <c r="E1154" s="72"/>
      <c r="K1154" s="74"/>
      <c r="L1154" s="74"/>
      <c r="O1154" s="75"/>
    </row>
    <row r="1155" ht="15.0" customHeight="1">
      <c r="C1155" s="76"/>
      <c r="E1155" s="72"/>
      <c r="K1155" s="74"/>
      <c r="L1155" s="74"/>
      <c r="O1155" s="75"/>
    </row>
    <row r="1156" ht="15.0" customHeight="1">
      <c r="C1156" s="76"/>
      <c r="E1156" s="72"/>
      <c r="K1156" s="74"/>
      <c r="L1156" s="74"/>
      <c r="O1156" s="75"/>
    </row>
    <row r="1157" ht="15.0" customHeight="1">
      <c r="C1157" s="76"/>
      <c r="E1157" s="72"/>
      <c r="K1157" s="74"/>
      <c r="L1157" s="74"/>
      <c r="O1157" s="75"/>
    </row>
    <row r="1158" ht="15.0" customHeight="1">
      <c r="C1158" s="76"/>
      <c r="E1158" s="72"/>
      <c r="K1158" s="74"/>
      <c r="L1158" s="74"/>
      <c r="O1158" s="75"/>
    </row>
    <row r="1159" ht="15.0" customHeight="1">
      <c r="C1159" s="76"/>
      <c r="E1159" s="72"/>
      <c r="K1159" s="74"/>
      <c r="L1159" s="74"/>
      <c r="O1159" s="75"/>
    </row>
    <row r="1160" ht="15.0" customHeight="1">
      <c r="C1160" s="76"/>
      <c r="E1160" s="72"/>
      <c r="K1160" s="74"/>
      <c r="L1160" s="74"/>
      <c r="O1160" s="75"/>
    </row>
    <row r="1161" ht="15.0" customHeight="1">
      <c r="C1161" s="76"/>
      <c r="E1161" s="72"/>
      <c r="K1161" s="74"/>
      <c r="L1161" s="74"/>
      <c r="O1161" s="75"/>
    </row>
    <row r="1162" ht="15.0" customHeight="1">
      <c r="C1162" s="76"/>
      <c r="E1162" s="72"/>
      <c r="K1162" s="74"/>
      <c r="L1162" s="74"/>
      <c r="O1162" s="75"/>
    </row>
    <row r="1163" ht="15.0" customHeight="1">
      <c r="C1163" s="76"/>
      <c r="E1163" s="72"/>
      <c r="K1163" s="74"/>
      <c r="L1163" s="74"/>
      <c r="O1163" s="75"/>
    </row>
    <row r="1164" ht="15.0" customHeight="1">
      <c r="C1164" s="76"/>
      <c r="E1164" s="72"/>
      <c r="K1164" s="74"/>
      <c r="L1164" s="74"/>
      <c r="O1164" s="75"/>
    </row>
    <row r="1165" ht="15.0" customHeight="1">
      <c r="C1165" s="76"/>
      <c r="E1165" s="72"/>
      <c r="K1165" s="74"/>
      <c r="L1165" s="74"/>
      <c r="O1165" s="75"/>
    </row>
    <row r="1166" ht="15.0" customHeight="1">
      <c r="C1166" s="76"/>
      <c r="E1166" s="72"/>
      <c r="K1166" s="74"/>
      <c r="L1166" s="74"/>
      <c r="O1166" s="75"/>
    </row>
    <row r="1167" ht="15.0" customHeight="1">
      <c r="C1167" s="76"/>
      <c r="E1167" s="72"/>
      <c r="K1167" s="74"/>
      <c r="L1167" s="74"/>
      <c r="O1167" s="75"/>
    </row>
    <row r="1168" ht="15.0" customHeight="1">
      <c r="C1168" s="76"/>
      <c r="E1168" s="72"/>
      <c r="K1168" s="74"/>
      <c r="L1168" s="74"/>
      <c r="O1168" s="75"/>
    </row>
    <row r="1169" ht="15.0" customHeight="1">
      <c r="C1169" s="76"/>
      <c r="E1169" s="72"/>
      <c r="K1169" s="74"/>
      <c r="L1169" s="74"/>
      <c r="O1169" s="75"/>
    </row>
    <row r="1170" ht="15.0" customHeight="1">
      <c r="C1170" s="76"/>
      <c r="E1170" s="72"/>
      <c r="K1170" s="74"/>
      <c r="L1170" s="74"/>
      <c r="O1170" s="75"/>
    </row>
    <row r="1171" ht="15.0" customHeight="1">
      <c r="C1171" s="76"/>
      <c r="E1171" s="72"/>
      <c r="K1171" s="74"/>
      <c r="L1171" s="74"/>
      <c r="O1171" s="75"/>
    </row>
    <row r="1172" ht="15.0" customHeight="1">
      <c r="C1172" s="76"/>
      <c r="E1172" s="72"/>
      <c r="K1172" s="74"/>
      <c r="L1172" s="74"/>
      <c r="O1172" s="75"/>
    </row>
    <row r="1173" ht="15.0" customHeight="1">
      <c r="C1173" s="76"/>
      <c r="E1173" s="72"/>
      <c r="K1173" s="74"/>
      <c r="L1173" s="74"/>
      <c r="O1173" s="75"/>
    </row>
    <row r="1174" ht="15.0" customHeight="1">
      <c r="C1174" s="76"/>
      <c r="E1174" s="72"/>
      <c r="K1174" s="74"/>
      <c r="L1174" s="74"/>
      <c r="O1174" s="75"/>
    </row>
    <row r="1175" ht="15.0" customHeight="1">
      <c r="C1175" s="76"/>
      <c r="E1175" s="72"/>
      <c r="K1175" s="74"/>
      <c r="L1175" s="74"/>
      <c r="O1175" s="75"/>
    </row>
    <row r="1176" ht="15.0" customHeight="1">
      <c r="C1176" s="76"/>
      <c r="E1176" s="72"/>
      <c r="K1176" s="74"/>
      <c r="L1176" s="74"/>
      <c r="O1176" s="75"/>
    </row>
    <row r="1177" ht="15.0" customHeight="1">
      <c r="C1177" s="76"/>
      <c r="E1177" s="72"/>
      <c r="K1177" s="74"/>
      <c r="L1177" s="74"/>
      <c r="O1177" s="75"/>
    </row>
    <row r="1178" ht="15.0" customHeight="1">
      <c r="C1178" s="76"/>
      <c r="E1178" s="72"/>
      <c r="K1178" s="74"/>
      <c r="L1178" s="74"/>
      <c r="O1178" s="75"/>
    </row>
    <row r="1179" ht="15.0" customHeight="1">
      <c r="C1179" s="76"/>
      <c r="E1179" s="72"/>
      <c r="K1179" s="74"/>
      <c r="L1179" s="74"/>
      <c r="O1179" s="75"/>
    </row>
    <row r="1180" ht="15.0" customHeight="1">
      <c r="C1180" s="76"/>
      <c r="E1180" s="72"/>
      <c r="K1180" s="74"/>
      <c r="L1180" s="74"/>
      <c r="O1180" s="75"/>
    </row>
    <row r="1181" ht="15.0" customHeight="1">
      <c r="C1181" s="76"/>
      <c r="E1181" s="72"/>
      <c r="K1181" s="74"/>
      <c r="L1181" s="74"/>
      <c r="O1181" s="75"/>
    </row>
    <row r="1182" ht="15.0" customHeight="1">
      <c r="C1182" s="76"/>
      <c r="E1182" s="72"/>
      <c r="K1182" s="74"/>
      <c r="L1182" s="74"/>
      <c r="O1182" s="75"/>
    </row>
    <row r="1183" ht="15.0" customHeight="1">
      <c r="C1183" s="76"/>
      <c r="E1183" s="72"/>
      <c r="K1183" s="74"/>
      <c r="L1183" s="74"/>
      <c r="O1183" s="75"/>
    </row>
    <row r="1184" ht="15.0" customHeight="1">
      <c r="C1184" s="76"/>
      <c r="E1184" s="72"/>
      <c r="K1184" s="74"/>
      <c r="L1184" s="74"/>
      <c r="O1184" s="75"/>
    </row>
    <row r="1185" ht="15.0" customHeight="1">
      <c r="C1185" s="76"/>
      <c r="E1185" s="72"/>
      <c r="K1185" s="74"/>
      <c r="L1185" s="74"/>
      <c r="O1185" s="75"/>
    </row>
    <row r="1186" ht="15.0" customHeight="1">
      <c r="C1186" s="76"/>
      <c r="E1186" s="72"/>
      <c r="K1186" s="74"/>
      <c r="L1186" s="74"/>
      <c r="O1186" s="75"/>
    </row>
    <row r="1187" ht="15.0" customHeight="1">
      <c r="C1187" s="76"/>
      <c r="E1187" s="72"/>
      <c r="K1187" s="74"/>
      <c r="L1187" s="74"/>
      <c r="O1187" s="75"/>
    </row>
    <row r="1188" ht="15.0" customHeight="1">
      <c r="C1188" s="76"/>
      <c r="E1188" s="72"/>
      <c r="K1188" s="74"/>
      <c r="L1188" s="74"/>
      <c r="O1188" s="75"/>
    </row>
    <row r="1189" ht="15.0" customHeight="1">
      <c r="C1189" s="76"/>
      <c r="E1189" s="72"/>
      <c r="K1189" s="74"/>
      <c r="L1189" s="74"/>
      <c r="O1189" s="75"/>
    </row>
    <row r="1190" ht="15.0" customHeight="1">
      <c r="C1190" s="76"/>
      <c r="E1190" s="72"/>
      <c r="K1190" s="74"/>
      <c r="L1190" s="74"/>
      <c r="O1190" s="75"/>
    </row>
    <row r="1191" ht="15.0" customHeight="1">
      <c r="C1191" s="76"/>
      <c r="E1191" s="72"/>
      <c r="K1191" s="74"/>
      <c r="L1191" s="74"/>
      <c r="O1191" s="75"/>
    </row>
    <row r="1192" ht="15.0" customHeight="1">
      <c r="C1192" s="76"/>
      <c r="E1192" s="72"/>
      <c r="K1192" s="74"/>
      <c r="L1192" s="74"/>
      <c r="O1192" s="75"/>
    </row>
    <row r="1193" ht="15.0" customHeight="1">
      <c r="C1193" s="76"/>
      <c r="E1193" s="72"/>
      <c r="K1193" s="74"/>
      <c r="L1193" s="74"/>
      <c r="O1193" s="75"/>
    </row>
    <row r="1194" ht="15.0" customHeight="1">
      <c r="C1194" s="76"/>
      <c r="E1194" s="72"/>
      <c r="K1194" s="74"/>
      <c r="L1194" s="74"/>
      <c r="O1194" s="75"/>
    </row>
    <row r="1195" ht="15.0" customHeight="1">
      <c r="C1195" s="76"/>
      <c r="E1195" s="72"/>
      <c r="K1195" s="74"/>
      <c r="L1195" s="74"/>
      <c r="O1195" s="75"/>
    </row>
    <row r="1196" ht="15.0" customHeight="1">
      <c r="C1196" s="76"/>
      <c r="E1196" s="72"/>
      <c r="K1196" s="74"/>
      <c r="L1196" s="74"/>
      <c r="O1196" s="75"/>
    </row>
    <row r="1197" ht="15.0" customHeight="1">
      <c r="C1197" s="76"/>
      <c r="E1197" s="72"/>
      <c r="K1197" s="74"/>
      <c r="L1197" s="74"/>
      <c r="O1197" s="75"/>
    </row>
    <row r="1198" ht="15.0" customHeight="1">
      <c r="C1198" s="76"/>
      <c r="E1198" s="72"/>
      <c r="K1198" s="74"/>
      <c r="L1198" s="74"/>
      <c r="O1198" s="75"/>
    </row>
    <row r="1199" ht="15.0" customHeight="1">
      <c r="C1199" s="76"/>
      <c r="E1199" s="72"/>
      <c r="K1199" s="74"/>
      <c r="L1199" s="74"/>
      <c r="O1199" s="75"/>
    </row>
    <row r="1200" ht="15.0" customHeight="1">
      <c r="C1200" s="76"/>
      <c r="E1200" s="72"/>
      <c r="K1200" s="74"/>
      <c r="L1200" s="74"/>
      <c r="O1200" s="75"/>
    </row>
    <row r="1201" ht="15.0" customHeight="1">
      <c r="C1201" s="76"/>
      <c r="E1201" s="72"/>
      <c r="K1201" s="74"/>
      <c r="L1201" s="74"/>
      <c r="O1201" s="75"/>
    </row>
    <row r="1202" ht="15.0" customHeight="1">
      <c r="C1202" s="76"/>
      <c r="E1202" s="72"/>
      <c r="K1202" s="74"/>
      <c r="L1202" s="74"/>
      <c r="O1202" s="75"/>
    </row>
    <row r="1203" ht="15.0" customHeight="1">
      <c r="C1203" s="76"/>
      <c r="E1203" s="72"/>
      <c r="K1203" s="74"/>
      <c r="L1203" s="74"/>
      <c r="O1203" s="75"/>
    </row>
    <row r="1204" ht="15.0" customHeight="1">
      <c r="C1204" s="76"/>
      <c r="E1204" s="72"/>
      <c r="K1204" s="74"/>
      <c r="L1204" s="74"/>
      <c r="O1204" s="75"/>
    </row>
    <row r="1205" ht="15.0" customHeight="1">
      <c r="C1205" s="76"/>
      <c r="E1205" s="72"/>
      <c r="K1205" s="74"/>
      <c r="L1205" s="74"/>
      <c r="O1205" s="75"/>
    </row>
    <row r="1206" ht="15.0" customHeight="1">
      <c r="C1206" s="76"/>
      <c r="E1206" s="72"/>
      <c r="K1206" s="74"/>
      <c r="L1206" s="74"/>
      <c r="O1206" s="75"/>
    </row>
    <row r="1207" ht="15.0" customHeight="1">
      <c r="C1207" s="76"/>
      <c r="E1207" s="72"/>
      <c r="K1207" s="74"/>
      <c r="L1207" s="74"/>
      <c r="O1207" s="75"/>
    </row>
    <row r="1208" ht="15.0" customHeight="1">
      <c r="C1208" s="76"/>
      <c r="E1208" s="72"/>
      <c r="K1208" s="74"/>
      <c r="L1208" s="74"/>
      <c r="O1208" s="75"/>
    </row>
    <row r="1209" ht="15.0" customHeight="1">
      <c r="C1209" s="76"/>
      <c r="E1209" s="72"/>
      <c r="K1209" s="74"/>
      <c r="L1209" s="74"/>
      <c r="O1209" s="75"/>
    </row>
    <row r="1210" ht="15.0" customHeight="1">
      <c r="C1210" s="76"/>
      <c r="E1210" s="72"/>
      <c r="K1210" s="74"/>
      <c r="L1210" s="74"/>
      <c r="O1210" s="75"/>
    </row>
    <row r="1211" ht="15.0" customHeight="1">
      <c r="C1211" s="76"/>
      <c r="E1211" s="72"/>
      <c r="K1211" s="74"/>
      <c r="L1211" s="74"/>
      <c r="O1211" s="75"/>
    </row>
    <row r="1212" ht="15.0" customHeight="1">
      <c r="C1212" s="76"/>
      <c r="E1212" s="72"/>
      <c r="K1212" s="74"/>
      <c r="L1212" s="74"/>
      <c r="O1212" s="75"/>
    </row>
    <row r="1213" ht="15.0" customHeight="1">
      <c r="C1213" s="76"/>
      <c r="E1213" s="72"/>
      <c r="K1213" s="74"/>
      <c r="L1213" s="74"/>
      <c r="O1213" s="75"/>
    </row>
    <row r="1214" ht="15.0" customHeight="1">
      <c r="C1214" s="76"/>
      <c r="E1214" s="72"/>
      <c r="K1214" s="74"/>
      <c r="L1214" s="74"/>
      <c r="O1214" s="75"/>
    </row>
    <row r="1215" ht="15.0" customHeight="1">
      <c r="C1215" s="76"/>
      <c r="E1215" s="72"/>
      <c r="K1215" s="74"/>
      <c r="L1215" s="74"/>
      <c r="O1215" s="75"/>
    </row>
    <row r="1216" ht="15.0" customHeight="1">
      <c r="C1216" s="76"/>
      <c r="E1216" s="72"/>
      <c r="K1216" s="74"/>
      <c r="L1216" s="74"/>
      <c r="O1216" s="75"/>
    </row>
    <row r="1217" ht="15.0" customHeight="1">
      <c r="C1217" s="76"/>
      <c r="E1217" s="72"/>
      <c r="K1217" s="74"/>
      <c r="L1217" s="74"/>
      <c r="O1217" s="75"/>
    </row>
    <row r="1218" ht="15.0" customHeight="1">
      <c r="C1218" s="76"/>
      <c r="E1218" s="72"/>
      <c r="K1218" s="74"/>
      <c r="L1218" s="74"/>
      <c r="O1218" s="75"/>
    </row>
    <row r="1219" ht="15.0" customHeight="1">
      <c r="C1219" s="76"/>
      <c r="E1219" s="72"/>
      <c r="K1219" s="74"/>
      <c r="L1219" s="74"/>
      <c r="O1219" s="75"/>
    </row>
    <row r="1220" ht="15.0" customHeight="1">
      <c r="C1220" s="76"/>
      <c r="E1220" s="72"/>
      <c r="K1220" s="74"/>
      <c r="L1220" s="74"/>
      <c r="O1220" s="75"/>
    </row>
    <row r="1221" ht="15.0" customHeight="1">
      <c r="C1221" s="76"/>
      <c r="E1221" s="72"/>
      <c r="K1221" s="74"/>
      <c r="L1221" s="74"/>
      <c r="O1221" s="75"/>
    </row>
    <row r="1222" ht="15.0" customHeight="1">
      <c r="C1222" s="76"/>
      <c r="E1222" s="72"/>
      <c r="K1222" s="74"/>
      <c r="L1222" s="74"/>
      <c r="O1222" s="75"/>
    </row>
    <row r="1223" ht="15.0" customHeight="1">
      <c r="C1223" s="76"/>
      <c r="E1223" s="72"/>
      <c r="K1223" s="74"/>
      <c r="L1223" s="74"/>
      <c r="O1223" s="75"/>
    </row>
    <row r="1224" ht="15.0" customHeight="1">
      <c r="C1224" s="76"/>
      <c r="E1224" s="72"/>
      <c r="K1224" s="74"/>
      <c r="L1224" s="74"/>
      <c r="O1224" s="75"/>
    </row>
    <row r="1225" ht="15.0" customHeight="1">
      <c r="C1225" s="76"/>
      <c r="E1225" s="72"/>
      <c r="K1225" s="74"/>
      <c r="L1225" s="74"/>
      <c r="O1225" s="75"/>
    </row>
    <row r="1226" ht="15.0" customHeight="1">
      <c r="C1226" s="76"/>
      <c r="E1226" s="72"/>
      <c r="K1226" s="74"/>
      <c r="L1226" s="74"/>
      <c r="O1226" s="75"/>
    </row>
    <row r="1227" ht="15.0" customHeight="1">
      <c r="C1227" s="76"/>
      <c r="E1227" s="72"/>
      <c r="K1227" s="74"/>
      <c r="L1227" s="74"/>
      <c r="O1227" s="75"/>
    </row>
    <row r="1228" ht="15.0" customHeight="1">
      <c r="C1228" s="76"/>
      <c r="E1228" s="72"/>
      <c r="K1228" s="74"/>
      <c r="L1228" s="74"/>
      <c r="O1228" s="75"/>
    </row>
    <row r="1229" ht="15.0" customHeight="1">
      <c r="C1229" s="76"/>
      <c r="E1229" s="72"/>
      <c r="K1229" s="74"/>
      <c r="L1229" s="74"/>
      <c r="O1229" s="75"/>
    </row>
    <row r="1230" ht="15.0" customHeight="1">
      <c r="C1230" s="76"/>
      <c r="E1230" s="72"/>
      <c r="K1230" s="74"/>
      <c r="L1230" s="74"/>
      <c r="O1230" s="75"/>
    </row>
    <row r="1231" ht="15.0" customHeight="1">
      <c r="C1231" s="76"/>
      <c r="E1231" s="72"/>
      <c r="K1231" s="74"/>
      <c r="L1231" s="74"/>
      <c r="O1231" s="75"/>
    </row>
    <row r="1232" ht="15.0" customHeight="1">
      <c r="C1232" s="76"/>
      <c r="E1232" s="72"/>
      <c r="K1232" s="74"/>
      <c r="L1232" s="74"/>
      <c r="O1232" s="75"/>
    </row>
    <row r="1233" ht="15.0" customHeight="1">
      <c r="C1233" s="76"/>
      <c r="E1233" s="72"/>
      <c r="K1233" s="74"/>
      <c r="L1233" s="74"/>
      <c r="O1233" s="75"/>
    </row>
    <row r="1234" ht="15.0" customHeight="1">
      <c r="C1234" s="76"/>
      <c r="E1234" s="72"/>
      <c r="K1234" s="74"/>
      <c r="L1234" s="74"/>
      <c r="O1234" s="75"/>
    </row>
    <row r="1235" ht="15.0" customHeight="1">
      <c r="C1235" s="76"/>
      <c r="E1235" s="72"/>
      <c r="K1235" s="74"/>
      <c r="L1235" s="74"/>
      <c r="O1235" s="75"/>
    </row>
    <row r="1236" ht="15.0" customHeight="1">
      <c r="C1236" s="76"/>
      <c r="E1236" s="72"/>
      <c r="K1236" s="74"/>
      <c r="L1236" s="74"/>
      <c r="O1236" s="75"/>
    </row>
    <row r="1237" ht="15.0" customHeight="1">
      <c r="C1237" s="76"/>
      <c r="E1237" s="72"/>
      <c r="K1237" s="74"/>
      <c r="L1237" s="74"/>
      <c r="O1237" s="75"/>
    </row>
    <row r="1238" ht="15.0" customHeight="1">
      <c r="C1238" s="76"/>
      <c r="E1238" s="72"/>
      <c r="K1238" s="74"/>
      <c r="L1238" s="74"/>
      <c r="O1238" s="75"/>
    </row>
    <row r="1239" ht="15.0" customHeight="1">
      <c r="C1239" s="76"/>
      <c r="E1239" s="72"/>
      <c r="K1239" s="74"/>
      <c r="L1239" s="74"/>
      <c r="O1239" s="75"/>
    </row>
    <row r="1240" ht="15.0" customHeight="1">
      <c r="C1240" s="76"/>
      <c r="E1240" s="72"/>
      <c r="K1240" s="74"/>
      <c r="L1240" s="74"/>
      <c r="O1240" s="75"/>
    </row>
    <row r="1241" ht="15.0" customHeight="1">
      <c r="C1241" s="76"/>
      <c r="E1241" s="72"/>
      <c r="K1241" s="74"/>
      <c r="L1241" s="74"/>
      <c r="O1241" s="75"/>
    </row>
    <row r="1242" ht="15.0" customHeight="1">
      <c r="C1242" s="76"/>
      <c r="E1242" s="72"/>
      <c r="K1242" s="74"/>
      <c r="L1242" s="74"/>
      <c r="O1242" s="75"/>
    </row>
    <row r="1243" ht="15.0" customHeight="1">
      <c r="C1243" s="76"/>
      <c r="E1243" s="72"/>
      <c r="K1243" s="74"/>
      <c r="L1243" s="74"/>
      <c r="O1243" s="75"/>
    </row>
    <row r="1244" ht="15.0" customHeight="1">
      <c r="C1244" s="76"/>
      <c r="E1244" s="72"/>
      <c r="K1244" s="74"/>
      <c r="L1244" s="74"/>
      <c r="O1244" s="75"/>
    </row>
    <row r="1245" ht="15.0" customHeight="1">
      <c r="C1245" s="76"/>
      <c r="E1245" s="72"/>
      <c r="K1245" s="74"/>
      <c r="L1245" s="74"/>
      <c r="O1245" s="75"/>
    </row>
    <row r="1246" ht="15.0" customHeight="1">
      <c r="C1246" s="76"/>
      <c r="E1246" s="72"/>
      <c r="K1246" s="74"/>
      <c r="L1246" s="74"/>
      <c r="O1246" s="75"/>
    </row>
    <row r="1247" ht="15.0" customHeight="1">
      <c r="C1247" s="76"/>
      <c r="E1247" s="72"/>
      <c r="K1247" s="74"/>
      <c r="L1247" s="74"/>
      <c r="O1247" s="75"/>
    </row>
    <row r="1248" ht="15.0" customHeight="1">
      <c r="C1248" s="76"/>
      <c r="E1248" s="72"/>
      <c r="K1248" s="74"/>
      <c r="L1248" s="74"/>
      <c r="O1248" s="75"/>
    </row>
    <row r="1249" ht="15.0" customHeight="1">
      <c r="C1249" s="76"/>
      <c r="E1249" s="72"/>
      <c r="K1249" s="74"/>
      <c r="L1249" s="74"/>
      <c r="O1249" s="75"/>
    </row>
    <row r="1250" ht="15.0" customHeight="1">
      <c r="C1250" s="76"/>
      <c r="E1250" s="72"/>
      <c r="K1250" s="74"/>
      <c r="L1250" s="74"/>
      <c r="O1250" s="75"/>
    </row>
    <row r="1251" ht="15.0" customHeight="1">
      <c r="C1251" s="76"/>
      <c r="E1251" s="72"/>
      <c r="K1251" s="74"/>
      <c r="L1251" s="74"/>
      <c r="O1251" s="75"/>
    </row>
    <row r="1252" ht="15.0" customHeight="1">
      <c r="C1252" s="76"/>
      <c r="E1252" s="72"/>
      <c r="K1252" s="74"/>
      <c r="L1252" s="74"/>
      <c r="O1252" s="75"/>
    </row>
    <row r="1253" ht="15.0" customHeight="1">
      <c r="C1253" s="76"/>
      <c r="E1253" s="72"/>
      <c r="K1253" s="74"/>
      <c r="L1253" s="74"/>
      <c r="O1253" s="75"/>
    </row>
    <row r="1254" ht="15.0" customHeight="1">
      <c r="C1254" s="76"/>
      <c r="E1254" s="72"/>
      <c r="K1254" s="74"/>
      <c r="L1254" s="74"/>
      <c r="O1254" s="75"/>
    </row>
    <row r="1255" ht="15.0" customHeight="1">
      <c r="C1255" s="76"/>
      <c r="E1255" s="72"/>
      <c r="K1255" s="74"/>
      <c r="L1255" s="74"/>
      <c r="O1255" s="75"/>
    </row>
    <row r="1256" ht="15.0" customHeight="1">
      <c r="C1256" s="76"/>
      <c r="E1256" s="72"/>
      <c r="K1256" s="74"/>
      <c r="L1256" s="74"/>
      <c r="O1256" s="75"/>
    </row>
    <row r="1257" ht="15.0" customHeight="1">
      <c r="C1257" s="76"/>
      <c r="E1257" s="72"/>
      <c r="K1257" s="74"/>
      <c r="L1257" s="74"/>
      <c r="O1257" s="75"/>
    </row>
    <row r="1258" ht="15.0" customHeight="1">
      <c r="C1258" s="76"/>
      <c r="E1258" s="72"/>
      <c r="K1258" s="74"/>
      <c r="L1258" s="74"/>
      <c r="O1258" s="75"/>
    </row>
    <row r="1259" ht="15.0" customHeight="1">
      <c r="C1259" s="76"/>
      <c r="E1259" s="72"/>
      <c r="K1259" s="74"/>
      <c r="L1259" s="74"/>
      <c r="O1259" s="75"/>
    </row>
    <row r="1260" ht="15.0" customHeight="1">
      <c r="C1260" s="76"/>
      <c r="E1260" s="72"/>
      <c r="K1260" s="74"/>
      <c r="L1260" s="74"/>
      <c r="O1260" s="75"/>
    </row>
    <row r="1261" ht="15.0" customHeight="1">
      <c r="C1261" s="76"/>
      <c r="E1261" s="72"/>
      <c r="K1261" s="74"/>
      <c r="L1261" s="74"/>
      <c r="O1261" s="75"/>
    </row>
    <row r="1262" ht="15.0" customHeight="1">
      <c r="C1262" s="76"/>
      <c r="E1262" s="72"/>
      <c r="K1262" s="74"/>
      <c r="L1262" s="74"/>
      <c r="O1262" s="75"/>
    </row>
    <row r="1263" ht="15.0" customHeight="1">
      <c r="C1263" s="76"/>
      <c r="E1263" s="72"/>
      <c r="K1263" s="74"/>
      <c r="L1263" s="74"/>
      <c r="O1263" s="75"/>
    </row>
    <row r="1264" ht="15.0" customHeight="1">
      <c r="C1264" s="76"/>
      <c r="E1264" s="72"/>
      <c r="K1264" s="74"/>
      <c r="L1264" s="74"/>
      <c r="O1264" s="75"/>
    </row>
    <row r="1265" ht="15.0" customHeight="1">
      <c r="C1265" s="76"/>
      <c r="E1265" s="72"/>
      <c r="K1265" s="74"/>
      <c r="L1265" s="74"/>
      <c r="O1265" s="75"/>
    </row>
    <row r="1266" ht="15.0" customHeight="1"/>
    <row r="1267" ht="15.0" customHeight="1"/>
    <row r="1268" ht="15.0" customHeight="1"/>
    <row r="1269" ht="15.0" customHeight="1"/>
    <row r="1270" ht="15.0" customHeight="1"/>
    <row r="1271" ht="15.0" customHeight="1"/>
  </sheetData>
  <autoFilter ref="$A$1:$O$1271"/>
  <dataValidations>
    <dataValidation type="list" allowBlank="1" showErrorMessage="1" sqref="J2:J53 J55:J114 J116:J171 J173:J227 J229:J281">
      <formula1>" CREDICOOP, PROVINCIA,BBVA,EFECTIVO,EFECTIVO B,MP,PREVISION,DEB AUT. BBVA,DEB. AUT. CRED.,CREDICOOP C de I,ECHEQ"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71"/>
    <col customWidth="1" min="3" max="4" width="24.71"/>
    <col customWidth="1" min="5" max="5" width="15.71"/>
    <col customWidth="1" min="6" max="9" width="15.29"/>
    <col customWidth="1" min="10" max="10" width="10.86"/>
    <col customWidth="1" min="11" max="11" width="11.29"/>
    <col customWidth="1" min="12" max="12" width="23.71"/>
    <col customWidth="1" min="13" max="13" width="33.86"/>
  </cols>
  <sheetData>
    <row r="1">
      <c r="A1" s="1" t="s">
        <v>0</v>
      </c>
      <c r="B1" s="2" t="s">
        <v>1</v>
      </c>
      <c r="C1" s="1" t="s">
        <v>2</v>
      </c>
      <c r="D1" s="2" t="s">
        <v>12</v>
      </c>
      <c r="E1" s="2" t="s">
        <v>5</v>
      </c>
      <c r="F1" s="2" t="s">
        <v>6</v>
      </c>
      <c r="G1" s="1" t="s">
        <v>7</v>
      </c>
      <c r="H1" s="2" t="s">
        <v>8</v>
      </c>
      <c r="I1" s="2" t="s">
        <v>9</v>
      </c>
      <c r="J1" s="129" t="s">
        <v>262</v>
      </c>
      <c r="K1" s="3" t="s">
        <v>11</v>
      </c>
      <c r="L1" s="4" t="s">
        <v>12</v>
      </c>
      <c r="M1" s="5" t="s">
        <v>13</v>
      </c>
    </row>
    <row r="2">
      <c r="A2" s="130"/>
      <c r="B2" s="131" t="s">
        <v>34</v>
      </c>
      <c r="C2" s="132"/>
      <c r="D2" s="132"/>
      <c r="E2" s="132"/>
      <c r="F2" s="132"/>
      <c r="G2" s="132"/>
      <c r="H2" s="133" t="s">
        <v>16</v>
      </c>
      <c r="I2" s="134"/>
      <c r="J2" s="135"/>
      <c r="K2" s="135"/>
      <c r="L2" s="136"/>
      <c r="M2" s="137"/>
    </row>
    <row r="3">
      <c r="A3" s="138" t="s">
        <v>263</v>
      </c>
      <c r="B3" s="139" t="s">
        <v>34</v>
      </c>
      <c r="C3" s="140"/>
      <c r="D3" s="140"/>
      <c r="E3" s="140"/>
      <c r="F3" s="140"/>
      <c r="G3" s="140"/>
      <c r="H3" s="141">
        <v>0.0</v>
      </c>
      <c r="I3" s="142" t="s">
        <v>81</v>
      </c>
      <c r="J3" s="143">
        <v>45730.0</v>
      </c>
      <c r="K3" s="143">
        <v>45730.0</v>
      </c>
      <c r="L3" s="144"/>
      <c r="M3" s="144"/>
    </row>
    <row r="4">
      <c r="A4" s="130" t="s">
        <v>264</v>
      </c>
      <c r="B4" s="131" t="s">
        <v>34</v>
      </c>
      <c r="C4" s="132"/>
      <c r="D4" s="132"/>
      <c r="E4" s="132"/>
      <c r="F4" s="132"/>
      <c r="G4" s="132"/>
      <c r="H4" s="145">
        <v>0.0</v>
      </c>
      <c r="I4" s="142" t="s">
        <v>81</v>
      </c>
      <c r="J4" s="135">
        <v>45730.0</v>
      </c>
      <c r="K4" s="135">
        <v>45730.0</v>
      </c>
      <c r="L4" s="146"/>
      <c r="M4" s="146"/>
    </row>
    <row r="5">
      <c r="A5" s="15" t="s">
        <v>265</v>
      </c>
      <c r="B5" s="147" t="s">
        <v>34</v>
      </c>
      <c r="C5" s="148" t="s">
        <v>80</v>
      </c>
      <c r="D5" s="148" t="s">
        <v>266</v>
      </c>
      <c r="E5" s="148">
        <v>600000.0</v>
      </c>
      <c r="F5" s="148">
        <v>126000.0</v>
      </c>
      <c r="G5" s="148"/>
      <c r="H5" s="149">
        <v>726000.0</v>
      </c>
      <c r="I5" s="150" t="s">
        <v>81</v>
      </c>
      <c r="J5" s="151">
        <v>45727.0</v>
      </c>
      <c r="K5" s="151">
        <v>45727.0</v>
      </c>
      <c r="L5" s="152"/>
      <c r="M5" s="153"/>
    </row>
    <row r="6" hidden="1">
      <c r="A6" s="94" t="s">
        <v>265</v>
      </c>
      <c r="B6" s="154" t="s">
        <v>39</v>
      </c>
      <c r="C6" s="32"/>
      <c r="D6" s="32"/>
      <c r="E6" s="32"/>
      <c r="F6" s="32"/>
      <c r="G6" s="32"/>
      <c r="H6" s="66" t="s">
        <v>16</v>
      </c>
      <c r="I6" s="66"/>
      <c r="J6" s="33"/>
      <c r="K6" s="33"/>
      <c r="L6" s="155"/>
      <c r="M6" s="155"/>
    </row>
    <row r="7" hidden="1">
      <c r="A7" s="15" t="s">
        <v>265</v>
      </c>
      <c r="B7" s="156" t="s">
        <v>267</v>
      </c>
      <c r="C7" s="32"/>
      <c r="D7" s="32"/>
      <c r="E7" s="32"/>
      <c r="F7" s="32"/>
      <c r="G7" s="32"/>
      <c r="H7" s="66" t="s">
        <v>16</v>
      </c>
      <c r="I7" s="66"/>
      <c r="J7" s="33"/>
      <c r="K7" s="33"/>
      <c r="L7" s="152"/>
      <c r="M7" s="153"/>
    </row>
    <row r="8" hidden="1">
      <c r="A8" s="94" t="s">
        <v>265</v>
      </c>
      <c r="B8" s="154" t="s">
        <v>99</v>
      </c>
      <c r="C8" s="32"/>
      <c r="D8" s="32"/>
      <c r="E8" s="32"/>
      <c r="F8" s="32"/>
      <c r="G8" s="32"/>
      <c r="H8" s="66" t="s">
        <v>16</v>
      </c>
      <c r="I8" s="66"/>
      <c r="J8" s="33"/>
      <c r="K8" s="33"/>
      <c r="L8" s="155"/>
      <c r="M8" s="155"/>
    </row>
    <row r="9" hidden="1">
      <c r="A9" s="15" t="s">
        <v>265</v>
      </c>
      <c r="B9" s="147" t="s">
        <v>46</v>
      </c>
      <c r="C9" s="32"/>
      <c r="D9" s="32"/>
      <c r="E9" s="32"/>
      <c r="F9" s="32"/>
      <c r="G9" s="32"/>
      <c r="H9" s="66" t="s">
        <v>16</v>
      </c>
      <c r="I9" s="66"/>
      <c r="J9" s="33"/>
      <c r="K9" s="33"/>
      <c r="L9" s="152"/>
      <c r="M9" s="153"/>
    </row>
    <row r="10" hidden="1">
      <c r="A10" s="94" t="s">
        <v>265</v>
      </c>
      <c r="B10" s="154" t="s">
        <v>31</v>
      </c>
      <c r="C10" s="32"/>
      <c r="D10" s="32"/>
      <c r="E10" s="32"/>
      <c r="F10" s="32"/>
      <c r="G10" s="32"/>
      <c r="H10" s="66" t="s">
        <v>16</v>
      </c>
      <c r="I10" s="66"/>
      <c r="J10" s="33"/>
      <c r="K10" s="33"/>
      <c r="L10" s="155"/>
      <c r="M10" s="155"/>
    </row>
    <row r="11" hidden="1">
      <c r="A11" s="15" t="s">
        <v>265</v>
      </c>
      <c r="B11" s="147" t="s">
        <v>268</v>
      </c>
      <c r="C11" s="32"/>
      <c r="D11" s="32"/>
      <c r="E11" s="32"/>
      <c r="F11" s="32"/>
      <c r="G11" s="32"/>
      <c r="H11" s="66" t="s">
        <v>16</v>
      </c>
      <c r="I11" s="66"/>
      <c r="J11" s="33"/>
      <c r="K11" s="33"/>
      <c r="L11" s="152"/>
      <c r="M11" s="153"/>
    </row>
    <row r="12" hidden="1">
      <c r="A12" s="94" t="s">
        <v>265</v>
      </c>
      <c r="B12" s="154" t="s">
        <v>102</v>
      </c>
      <c r="C12" s="32"/>
      <c r="D12" s="32"/>
      <c r="E12" s="32"/>
      <c r="F12" s="32"/>
      <c r="G12" s="32"/>
      <c r="H12" s="66" t="s">
        <v>16</v>
      </c>
      <c r="I12" s="66"/>
      <c r="J12" s="33"/>
      <c r="K12" s="33"/>
      <c r="L12" s="155"/>
      <c r="M12" s="155"/>
    </row>
    <row r="13" hidden="1">
      <c r="A13" s="15" t="s">
        <v>265</v>
      </c>
      <c r="B13" s="147" t="s">
        <v>41</v>
      </c>
      <c r="C13" s="32"/>
      <c r="D13" s="32"/>
      <c r="E13" s="32"/>
      <c r="F13" s="32"/>
      <c r="G13" s="32"/>
      <c r="H13" s="66" t="s">
        <v>16</v>
      </c>
      <c r="I13" s="66"/>
      <c r="J13" s="33"/>
      <c r="K13" s="33"/>
      <c r="L13" s="152"/>
      <c r="M13" s="153"/>
    </row>
    <row r="14">
      <c r="A14" s="94" t="s">
        <v>265</v>
      </c>
      <c r="B14" s="154" t="s">
        <v>50</v>
      </c>
      <c r="C14" s="93" t="s">
        <v>58</v>
      </c>
      <c r="D14" s="93"/>
      <c r="E14" s="93"/>
      <c r="F14" s="93"/>
      <c r="G14" s="93">
        <v>12750.0</v>
      </c>
      <c r="H14" s="157">
        <v>12750.0</v>
      </c>
      <c r="I14" s="97" t="s">
        <v>81</v>
      </c>
      <c r="J14" s="98">
        <v>45727.0</v>
      </c>
      <c r="K14" s="98">
        <v>45727.0</v>
      </c>
      <c r="L14" s="155"/>
      <c r="M14" s="155"/>
    </row>
    <row r="15">
      <c r="A15" s="15" t="s">
        <v>265</v>
      </c>
      <c r="B15" s="147" t="s">
        <v>43</v>
      </c>
      <c r="C15" s="32"/>
      <c r="D15" s="32"/>
      <c r="E15" s="32"/>
      <c r="F15" s="32"/>
      <c r="G15" s="32"/>
      <c r="H15" s="66" t="s">
        <v>16</v>
      </c>
      <c r="I15" s="66"/>
      <c r="J15" s="33"/>
      <c r="K15" s="33"/>
      <c r="L15" s="152"/>
      <c r="M15" s="153"/>
    </row>
    <row r="16">
      <c r="A16" s="94" t="s">
        <v>265</v>
      </c>
      <c r="B16" s="154" t="s">
        <v>269</v>
      </c>
      <c r="C16" s="32"/>
      <c r="D16" s="32"/>
      <c r="E16" s="32"/>
      <c r="F16" s="32"/>
      <c r="G16" s="32"/>
      <c r="H16" s="158" t="s">
        <v>16</v>
      </c>
      <c r="I16" s="66"/>
      <c r="J16" s="33"/>
      <c r="K16" s="33"/>
      <c r="L16" s="155"/>
      <c r="M16" s="155"/>
    </row>
    <row r="17">
      <c r="A17" s="15" t="s">
        <v>270</v>
      </c>
      <c r="B17" s="147" t="s">
        <v>34</v>
      </c>
      <c r="C17" s="148" t="s">
        <v>271</v>
      </c>
      <c r="D17" s="148" t="s">
        <v>272</v>
      </c>
      <c r="E17" s="148">
        <v>875633.69</v>
      </c>
      <c r="F17" s="148">
        <v>183883.07</v>
      </c>
      <c r="G17" s="148"/>
      <c r="H17" s="149">
        <v>1059516.76</v>
      </c>
      <c r="I17" s="150" t="s">
        <v>81</v>
      </c>
      <c r="J17" s="151">
        <v>45723.0</v>
      </c>
      <c r="K17" s="151">
        <v>45723.0</v>
      </c>
      <c r="L17" s="152"/>
      <c r="M17" s="159"/>
    </row>
    <row r="18">
      <c r="A18" s="94" t="s">
        <v>270</v>
      </c>
      <c r="B18" s="154" t="s">
        <v>39</v>
      </c>
      <c r="C18" s="93" t="s">
        <v>271</v>
      </c>
      <c r="D18" s="93" t="s">
        <v>273</v>
      </c>
      <c r="E18" s="93"/>
      <c r="F18" s="93"/>
      <c r="G18" s="93"/>
      <c r="H18" s="97">
        <v>285021.89</v>
      </c>
      <c r="I18" s="150" t="s">
        <v>81</v>
      </c>
      <c r="J18" s="160">
        <v>45734.0</v>
      </c>
      <c r="K18" s="160">
        <v>45734.0</v>
      </c>
      <c r="L18" s="155"/>
      <c r="M18" s="155"/>
    </row>
    <row r="19">
      <c r="A19" s="15" t="s">
        <v>270</v>
      </c>
      <c r="B19" s="147" t="s">
        <v>37</v>
      </c>
      <c r="C19" s="148" t="s">
        <v>271</v>
      </c>
      <c r="D19" s="148" t="s">
        <v>273</v>
      </c>
      <c r="E19" s="148"/>
      <c r="F19" s="148"/>
      <c r="G19" s="148"/>
      <c r="H19" s="150">
        <v>169181.11</v>
      </c>
      <c r="I19" s="150" t="s">
        <v>81</v>
      </c>
      <c r="J19" s="151">
        <v>45734.0</v>
      </c>
      <c r="K19" s="151">
        <v>45734.0</v>
      </c>
      <c r="L19" s="152"/>
      <c r="M19" s="159"/>
    </row>
    <row r="20" hidden="1">
      <c r="A20" s="94" t="s">
        <v>270</v>
      </c>
      <c r="B20" s="154" t="s">
        <v>99</v>
      </c>
      <c r="C20" s="32"/>
      <c r="D20" s="32"/>
      <c r="E20" s="32"/>
      <c r="F20" s="32"/>
      <c r="G20" s="32"/>
      <c r="H20" s="66" t="s">
        <v>16</v>
      </c>
      <c r="I20" s="66"/>
      <c r="J20" s="161"/>
      <c r="K20" s="161"/>
      <c r="L20" s="155"/>
      <c r="M20" s="155"/>
    </row>
    <row r="21">
      <c r="A21" s="15" t="s">
        <v>270</v>
      </c>
      <c r="B21" s="147" t="s">
        <v>46</v>
      </c>
      <c r="C21" s="148" t="s">
        <v>271</v>
      </c>
      <c r="D21" s="148" t="s">
        <v>273</v>
      </c>
      <c r="E21" s="148"/>
      <c r="F21" s="148"/>
      <c r="G21" s="148"/>
      <c r="H21" s="150">
        <v>33538.49</v>
      </c>
      <c r="I21" s="150" t="s">
        <v>81</v>
      </c>
      <c r="J21" s="151">
        <v>45734.0</v>
      </c>
      <c r="K21" s="151">
        <v>45734.0</v>
      </c>
      <c r="L21" s="152"/>
      <c r="M21" s="159"/>
    </row>
    <row r="22" hidden="1">
      <c r="A22" s="94" t="s">
        <v>270</v>
      </c>
      <c r="B22" s="154" t="s">
        <v>31</v>
      </c>
      <c r="C22" s="93"/>
      <c r="D22" s="93"/>
      <c r="E22" s="93"/>
      <c r="F22" s="93"/>
      <c r="G22" s="93"/>
      <c r="H22" s="157" t="s">
        <v>16</v>
      </c>
      <c r="I22" s="157"/>
      <c r="J22" s="160"/>
      <c r="K22" s="160"/>
      <c r="L22" s="155"/>
      <c r="M22" s="155"/>
    </row>
    <row r="23" hidden="1">
      <c r="A23" s="15" t="s">
        <v>270</v>
      </c>
      <c r="B23" s="147" t="s">
        <v>268</v>
      </c>
      <c r="C23" s="32"/>
      <c r="D23" s="32"/>
      <c r="E23" s="32"/>
      <c r="F23" s="32"/>
      <c r="G23" s="32"/>
      <c r="H23" s="66" t="s">
        <v>16</v>
      </c>
      <c r="I23" s="66"/>
      <c r="J23" s="33"/>
      <c r="K23" s="33"/>
      <c r="L23" s="152"/>
      <c r="M23" s="153"/>
    </row>
    <row r="24" hidden="1">
      <c r="A24" s="94" t="s">
        <v>270</v>
      </c>
      <c r="B24" s="154" t="s">
        <v>102</v>
      </c>
      <c r="C24" s="93"/>
      <c r="D24" s="93"/>
      <c r="E24" s="93"/>
      <c r="F24" s="93"/>
      <c r="G24" s="93"/>
      <c r="H24" s="157" t="s">
        <v>16</v>
      </c>
      <c r="I24" s="157"/>
      <c r="J24" s="98"/>
      <c r="K24" s="98"/>
      <c r="L24" s="155"/>
      <c r="M24" s="155"/>
    </row>
    <row r="25">
      <c r="A25" s="15" t="s">
        <v>270</v>
      </c>
      <c r="B25" s="147" t="s">
        <v>41</v>
      </c>
      <c r="C25" s="148" t="s">
        <v>42</v>
      </c>
      <c r="D25" s="148" t="s">
        <v>274</v>
      </c>
      <c r="E25" s="148">
        <v>21200.0</v>
      </c>
      <c r="F25" s="148">
        <v>4452.0</v>
      </c>
      <c r="G25" s="148"/>
      <c r="H25" s="162">
        <v>25652.0</v>
      </c>
      <c r="I25" s="150" t="s">
        <v>81</v>
      </c>
      <c r="J25" s="151">
        <v>45737.0</v>
      </c>
      <c r="K25" s="151">
        <v>45737.0</v>
      </c>
      <c r="L25" s="152"/>
      <c r="M25" s="159"/>
    </row>
    <row r="26">
      <c r="A26" s="94" t="s">
        <v>270</v>
      </c>
      <c r="B26" s="154" t="s">
        <v>50</v>
      </c>
      <c r="C26" s="93" t="s">
        <v>271</v>
      </c>
      <c r="D26" s="93" t="s">
        <v>273</v>
      </c>
      <c r="E26" s="93">
        <v>60898.38</v>
      </c>
      <c r="F26" s="93">
        <v>16442.5626</v>
      </c>
      <c r="G26" s="93">
        <v>3830.51</v>
      </c>
      <c r="H26" s="157">
        <v>81171.45259999999</v>
      </c>
      <c r="I26" s="150" t="s">
        <v>81</v>
      </c>
      <c r="J26" s="160">
        <v>45734.0</v>
      </c>
      <c r="K26" s="160">
        <v>45734.0</v>
      </c>
      <c r="L26" s="155"/>
      <c r="M26" s="155"/>
    </row>
    <row r="27">
      <c r="A27" s="15" t="s">
        <v>270</v>
      </c>
      <c r="B27" s="147" t="s">
        <v>43</v>
      </c>
      <c r="C27" s="148" t="s">
        <v>275</v>
      </c>
      <c r="D27" s="148" t="s">
        <v>276</v>
      </c>
      <c r="E27" s="148">
        <v>55140.0</v>
      </c>
      <c r="F27" s="148">
        <v>18192.86</v>
      </c>
      <c r="G27" s="148">
        <v>7594.0</v>
      </c>
      <c r="H27" s="162">
        <v>80926.86</v>
      </c>
      <c r="I27" s="150" t="s">
        <v>86</v>
      </c>
      <c r="J27" s="151">
        <v>45722.0</v>
      </c>
      <c r="K27" s="151">
        <v>45722.0</v>
      </c>
      <c r="L27" s="152"/>
      <c r="M27" s="159"/>
    </row>
    <row r="28" hidden="1">
      <c r="A28" s="94" t="s">
        <v>270</v>
      </c>
      <c r="B28" s="154" t="s">
        <v>269</v>
      </c>
      <c r="C28" s="93"/>
      <c r="D28" s="93"/>
      <c r="E28" s="163"/>
      <c r="F28" s="163"/>
      <c r="G28" s="163"/>
      <c r="H28" s="96" t="s">
        <v>16</v>
      </c>
      <c r="I28" s="164"/>
      <c r="J28" s="160"/>
      <c r="K28" s="160"/>
      <c r="L28" s="155"/>
      <c r="M28" s="155"/>
    </row>
    <row r="29">
      <c r="A29" s="117" t="s">
        <v>277</v>
      </c>
      <c r="B29" s="165" t="s">
        <v>34</v>
      </c>
      <c r="C29" s="166" t="s">
        <v>271</v>
      </c>
      <c r="D29" s="166" t="s">
        <v>278</v>
      </c>
      <c r="E29" s="166">
        <v>1577279.92</v>
      </c>
      <c r="F29" s="166">
        <v>331228.78</v>
      </c>
      <c r="G29" s="166"/>
      <c r="H29" s="167">
        <v>1908508.7</v>
      </c>
      <c r="I29" s="166" t="s">
        <v>81</v>
      </c>
      <c r="J29" s="168">
        <v>45723.0</v>
      </c>
      <c r="K29" s="168">
        <v>45723.0</v>
      </c>
      <c r="L29" s="169"/>
      <c r="M29" s="170"/>
    </row>
    <row r="30">
      <c r="A30" s="171" t="s">
        <v>277</v>
      </c>
      <c r="B30" s="172" t="s">
        <v>39</v>
      </c>
      <c r="C30" s="173" t="s">
        <v>271</v>
      </c>
      <c r="D30" s="173" t="s">
        <v>279</v>
      </c>
      <c r="E30" s="173"/>
      <c r="F30" s="173"/>
      <c r="G30" s="173"/>
      <c r="H30" s="174">
        <v>386280.5</v>
      </c>
      <c r="I30" s="173" t="s">
        <v>81</v>
      </c>
      <c r="J30" s="175">
        <v>45734.0</v>
      </c>
      <c r="K30" s="175">
        <v>45734.0</v>
      </c>
      <c r="L30" s="176"/>
      <c r="M30" s="177"/>
    </row>
    <row r="31">
      <c r="A31" s="117" t="s">
        <v>277</v>
      </c>
      <c r="B31" s="165" t="s">
        <v>37</v>
      </c>
      <c r="C31" s="166" t="s">
        <v>280</v>
      </c>
      <c r="D31" s="166" t="s">
        <v>281</v>
      </c>
      <c r="E31" s="166">
        <v>136805.33</v>
      </c>
      <c r="F31" s="166">
        <v>36937.44</v>
      </c>
      <c r="G31" s="166">
        <v>12836.439999999995</v>
      </c>
      <c r="H31" s="167">
        <v>186579.21</v>
      </c>
      <c r="I31" s="166" t="s">
        <v>38</v>
      </c>
      <c r="J31" s="168">
        <v>45728.0</v>
      </c>
      <c r="K31" s="168">
        <v>45727.0</v>
      </c>
      <c r="L31" s="169"/>
      <c r="M31" s="170"/>
    </row>
    <row r="32">
      <c r="A32" s="171" t="s">
        <v>277</v>
      </c>
      <c r="B32" s="172" t="s">
        <v>37</v>
      </c>
      <c r="C32" s="173" t="s">
        <v>280</v>
      </c>
      <c r="D32" s="173" t="s">
        <v>282</v>
      </c>
      <c r="E32" s="173">
        <v>11872.79</v>
      </c>
      <c r="F32" s="173">
        <v>3205.65</v>
      </c>
      <c r="G32" s="173">
        <v>1114.02</v>
      </c>
      <c r="H32" s="178">
        <v>16192.460000000001</v>
      </c>
      <c r="I32" s="173" t="s">
        <v>38</v>
      </c>
      <c r="J32" s="175">
        <v>45728.0</v>
      </c>
      <c r="K32" s="175">
        <v>45727.0</v>
      </c>
      <c r="L32" s="176"/>
      <c r="M32" s="177"/>
    </row>
    <row r="33">
      <c r="A33" s="117" t="s">
        <v>277</v>
      </c>
      <c r="B33" s="165" t="s">
        <v>37</v>
      </c>
      <c r="C33" s="166" t="s">
        <v>280</v>
      </c>
      <c r="D33" s="166" t="s">
        <v>283</v>
      </c>
      <c r="E33" s="166">
        <v>443794.65</v>
      </c>
      <c r="F33" s="166">
        <v>119824.56</v>
      </c>
      <c r="G33" s="166">
        <v>43547.26</v>
      </c>
      <c r="H33" s="167">
        <v>607166.47</v>
      </c>
      <c r="I33" s="166" t="s">
        <v>38</v>
      </c>
      <c r="J33" s="168">
        <v>45733.0</v>
      </c>
      <c r="K33" s="168">
        <v>45733.0</v>
      </c>
      <c r="L33" s="169"/>
      <c r="M33" s="170"/>
    </row>
    <row r="34">
      <c r="A34" s="171" t="s">
        <v>277</v>
      </c>
      <c r="B34" s="172" t="s">
        <v>99</v>
      </c>
      <c r="C34" s="32"/>
      <c r="D34" s="32"/>
      <c r="E34" s="32"/>
      <c r="F34" s="32"/>
      <c r="G34" s="32"/>
      <c r="H34" s="66" t="s">
        <v>16</v>
      </c>
      <c r="I34" s="66"/>
      <c r="J34" s="161"/>
      <c r="K34" s="161"/>
      <c r="L34" s="176"/>
      <c r="M34" s="177"/>
    </row>
    <row r="35">
      <c r="A35" s="117" t="s">
        <v>277</v>
      </c>
      <c r="B35" s="165" t="s">
        <v>46</v>
      </c>
      <c r="C35" s="166" t="s">
        <v>271</v>
      </c>
      <c r="D35" s="166" t="s">
        <v>279</v>
      </c>
      <c r="E35" s="166"/>
      <c r="F35" s="166"/>
      <c r="G35" s="166"/>
      <c r="H35" s="167">
        <v>405356.99</v>
      </c>
      <c r="I35" s="173" t="s">
        <v>81</v>
      </c>
      <c r="J35" s="168">
        <v>45734.0</v>
      </c>
      <c r="K35" s="168">
        <v>45734.0</v>
      </c>
      <c r="L35" s="169"/>
      <c r="M35" s="170"/>
    </row>
    <row r="36">
      <c r="A36" s="171" t="s">
        <v>277</v>
      </c>
      <c r="B36" s="172" t="s">
        <v>31</v>
      </c>
      <c r="C36" s="173"/>
      <c r="D36" s="173"/>
      <c r="E36" s="173"/>
      <c r="F36" s="173"/>
      <c r="G36" s="173"/>
      <c r="H36" s="178" t="s">
        <v>16</v>
      </c>
      <c r="I36" s="173"/>
      <c r="J36" s="175"/>
      <c r="K36" s="175"/>
      <c r="L36" s="179"/>
      <c r="M36" s="177"/>
    </row>
    <row r="37">
      <c r="A37" s="117" t="s">
        <v>277</v>
      </c>
      <c r="B37" s="165" t="s">
        <v>268</v>
      </c>
      <c r="C37" s="180"/>
      <c r="D37" s="180"/>
      <c r="E37" s="32"/>
      <c r="F37" s="32"/>
      <c r="G37" s="32"/>
      <c r="H37" s="66" t="s">
        <v>16</v>
      </c>
      <c r="I37" s="180"/>
      <c r="J37" s="33"/>
      <c r="K37" s="33"/>
      <c r="L37" s="169"/>
      <c r="M37" s="170"/>
    </row>
    <row r="38">
      <c r="A38" s="171" t="s">
        <v>277</v>
      </c>
      <c r="B38" s="172" t="s">
        <v>102</v>
      </c>
      <c r="C38" s="181"/>
      <c r="D38" s="181"/>
      <c r="E38" s="173"/>
      <c r="F38" s="173"/>
      <c r="G38" s="173"/>
      <c r="H38" s="178" t="s">
        <v>16</v>
      </c>
      <c r="I38" s="181"/>
      <c r="J38" s="175"/>
      <c r="K38" s="175"/>
      <c r="L38" s="176"/>
      <c r="M38" s="177"/>
    </row>
    <row r="39">
      <c r="A39" s="117" t="s">
        <v>277</v>
      </c>
      <c r="B39" s="165" t="s">
        <v>41</v>
      </c>
      <c r="C39" s="166" t="s">
        <v>42</v>
      </c>
      <c r="D39" s="166" t="s">
        <v>274</v>
      </c>
      <c r="E39" s="166">
        <v>29756.0</v>
      </c>
      <c r="F39" s="166">
        <v>6248.76</v>
      </c>
      <c r="G39" s="166"/>
      <c r="H39" s="167">
        <v>36004.76</v>
      </c>
      <c r="I39" s="150" t="s">
        <v>81</v>
      </c>
      <c r="J39" s="168">
        <v>45737.0</v>
      </c>
      <c r="K39" s="168">
        <v>45737.0</v>
      </c>
      <c r="L39" s="169"/>
      <c r="M39" s="170"/>
    </row>
    <row r="40">
      <c r="A40" s="171" t="s">
        <v>277</v>
      </c>
      <c r="B40" s="172" t="s">
        <v>50</v>
      </c>
      <c r="C40" s="173" t="s">
        <v>271</v>
      </c>
      <c r="D40" s="173" t="s">
        <v>279</v>
      </c>
      <c r="E40" s="173">
        <v>388901.91</v>
      </c>
      <c r="F40" s="173">
        <v>105003.5157</v>
      </c>
      <c r="G40" s="173">
        <v>24461.93</v>
      </c>
      <c r="H40" s="178">
        <v>518367.35569999996</v>
      </c>
      <c r="I40" s="173" t="s">
        <v>81</v>
      </c>
      <c r="J40" s="175">
        <v>45734.0</v>
      </c>
      <c r="K40" s="175">
        <v>45734.0</v>
      </c>
      <c r="L40" s="176"/>
      <c r="M40" s="177"/>
    </row>
    <row r="41">
      <c r="A41" s="117" t="s">
        <v>277</v>
      </c>
      <c r="B41" s="165" t="s">
        <v>43</v>
      </c>
      <c r="C41" s="166" t="s">
        <v>275</v>
      </c>
      <c r="D41" s="166" t="s">
        <v>284</v>
      </c>
      <c r="E41" s="166">
        <v>115950.0</v>
      </c>
      <c r="F41" s="166">
        <v>35827.76</v>
      </c>
      <c r="G41" s="166">
        <v>7594.0</v>
      </c>
      <c r="H41" s="167">
        <v>159371.76</v>
      </c>
      <c r="I41" s="166" t="s">
        <v>86</v>
      </c>
      <c r="J41" s="168">
        <v>45722.0</v>
      </c>
      <c r="K41" s="168">
        <v>45722.0</v>
      </c>
      <c r="L41" s="169"/>
      <c r="M41" s="117"/>
    </row>
    <row r="42">
      <c r="A42" s="171" t="s">
        <v>277</v>
      </c>
      <c r="B42" s="172" t="s">
        <v>269</v>
      </c>
      <c r="C42" s="173"/>
      <c r="D42" s="173"/>
      <c r="E42" s="173"/>
      <c r="F42" s="173"/>
      <c r="G42" s="173"/>
      <c r="H42" s="178" t="s">
        <v>16</v>
      </c>
      <c r="I42" s="181"/>
      <c r="J42" s="175"/>
      <c r="K42" s="175"/>
      <c r="L42" s="176"/>
      <c r="M42" s="177"/>
    </row>
    <row r="43">
      <c r="A43" s="15" t="s">
        <v>285</v>
      </c>
      <c r="B43" s="147" t="s">
        <v>34</v>
      </c>
      <c r="C43" s="148" t="s">
        <v>286</v>
      </c>
      <c r="D43" s="148"/>
      <c r="E43" s="148">
        <v>738584.0</v>
      </c>
      <c r="F43" s="148"/>
      <c r="G43" s="148"/>
      <c r="H43" s="149">
        <v>738584.0</v>
      </c>
      <c r="I43" s="150" t="s">
        <v>81</v>
      </c>
      <c r="J43" s="151">
        <v>45734.0</v>
      </c>
      <c r="K43" s="151">
        <v>45734.0</v>
      </c>
      <c r="L43" s="152"/>
      <c r="M43" s="153"/>
    </row>
    <row r="44">
      <c r="A44" s="94" t="s">
        <v>285</v>
      </c>
      <c r="B44" s="154" t="s">
        <v>39</v>
      </c>
      <c r="C44" s="93" t="s">
        <v>57</v>
      </c>
      <c r="D44" s="93"/>
      <c r="E44" s="93">
        <v>217830.0</v>
      </c>
      <c r="F44" s="93"/>
      <c r="G44" s="93"/>
      <c r="H44" s="157">
        <v>217830.0</v>
      </c>
      <c r="I44" s="97" t="s">
        <v>87</v>
      </c>
      <c r="J44" s="98">
        <v>45730.0</v>
      </c>
      <c r="K44" s="98">
        <v>45730.0</v>
      </c>
      <c r="L44" s="155"/>
      <c r="M44" s="155"/>
    </row>
    <row r="45">
      <c r="A45" s="15" t="s">
        <v>285</v>
      </c>
      <c r="B45" s="147" t="s">
        <v>37</v>
      </c>
      <c r="C45" s="148" t="s">
        <v>280</v>
      </c>
      <c r="D45" s="148" t="s">
        <v>287</v>
      </c>
      <c r="E45" s="148">
        <v>105781.06</v>
      </c>
      <c r="F45" s="148">
        <v>28560.89</v>
      </c>
      <c r="G45" s="148">
        <v>8914.410000000003</v>
      </c>
      <c r="H45" s="162">
        <v>143256.36000000002</v>
      </c>
      <c r="I45" s="150" t="s">
        <v>38</v>
      </c>
      <c r="J45" s="151">
        <v>45727.0</v>
      </c>
      <c r="K45" s="151">
        <v>45727.0</v>
      </c>
      <c r="L45" s="152"/>
      <c r="M45" s="153"/>
    </row>
    <row r="46">
      <c r="A46" s="94" t="s">
        <v>285</v>
      </c>
      <c r="B46" s="154" t="s">
        <v>37</v>
      </c>
      <c r="C46" s="93" t="s">
        <v>280</v>
      </c>
      <c r="D46" s="93" t="s">
        <v>288</v>
      </c>
      <c r="E46" s="93">
        <v>32735.7</v>
      </c>
      <c r="F46" s="93">
        <v>8838.64</v>
      </c>
      <c r="G46" s="93">
        <v>2060.5600000000004</v>
      </c>
      <c r="H46" s="157">
        <v>43634.899999999994</v>
      </c>
      <c r="I46" s="97" t="s">
        <v>38</v>
      </c>
      <c r="J46" s="98">
        <v>45727.0</v>
      </c>
      <c r="K46" s="98">
        <v>45727.0</v>
      </c>
      <c r="L46" s="155"/>
      <c r="M46" s="155"/>
    </row>
    <row r="47">
      <c r="A47" s="94" t="s">
        <v>285</v>
      </c>
      <c r="B47" s="154" t="s">
        <v>99</v>
      </c>
      <c r="C47" s="32"/>
      <c r="D47" s="32"/>
      <c r="E47" s="32"/>
      <c r="F47" s="32"/>
      <c r="G47" s="32"/>
      <c r="H47" s="66" t="s">
        <v>16</v>
      </c>
      <c r="I47" s="66"/>
      <c r="J47" s="161"/>
      <c r="K47" s="161"/>
      <c r="L47" s="152"/>
      <c r="M47" s="153"/>
    </row>
    <row r="48">
      <c r="A48" s="15" t="s">
        <v>285</v>
      </c>
      <c r="B48" s="147" t="s">
        <v>46</v>
      </c>
      <c r="C48" s="93"/>
      <c r="D48" s="93"/>
      <c r="E48" s="93"/>
      <c r="F48" s="93"/>
      <c r="G48" s="93"/>
      <c r="H48" s="157" t="s">
        <v>16</v>
      </c>
      <c r="I48" s="97"/>
      <c r="J48" s="98"/>
      <c r="K48" s="98"/>
      <c r="L48" s="155"/>
      <c r="M48" s="155"/>
    </row>
    <row r="49">
      <c r="A49" s="94" t="s">
        <v>285</v>
      </c>
      <c r="B49" s="154" t="s">
        <v>31</v>
      </c>
      <c r="C49" s="148"/>
      <c r="D49" s="148"/>
      <c r="E49" s="148"/>
      <c r="F49" s="148"/>
      <c r="G49" s="148"/>
      <c r="H49" s="162" t="s">
        <v>16</v>
      </c>
      <c r="I49" s="150"/>
      <c r="J49" s="151"/>
      <c r="K49" s="151"/>
      <c r="L49" s="152"/>
      <c r="M49" s="153"/>
    </row>
    <row r="50">
      <c r="A50" s="15" t="s">
        <v>285</v>
      </c>
      <c r="B50" s="147" t="s">
        <v>268</v>
      </c>
      <c r="C50" s="32"/>
      <c r="D50" s="32"/>
      <c r="E50" s="32"/>
      <c r="F50" s="32"/>
      <c r="G50" s="32"/>
      <c r="H50" s="66" t="s">
        <v>16</v>
      </c>
      <c r="I50" s="182"/>
      <c r="J50" s="33"/>
      <c r="K50" s="33"/>
      <c r="L50" s="155"/>
      <c r="M50" s="155"/>
    </row>
    <row r="51">
      <c r="A51" s="94" t="s">
        <v>285</v>
      </c>
      <c r="B51" s="154" t="s">
        <v>102</v>
      </c>
      <c r="C51" s="32"/>
      <c r="D51" s="32"/>
      <c r="E51" s="32"/>
      <c r="F51" s="32"/>
      <c r="G51" s="32"/>
      <c r="H51" s="66" t="s">
        <v>16</v>
      </c>
      <c r="I51" s="182"/>
      <c r="J51" s="33"/>
      <c r="K51" s="33"/>
      <c r="L51" s="152"/>
      <c r="M51" s="153"/>
    </row>
    <row r="52">
      <c r="A52" s="15" t="s">
        <v>285</v>
      </c>
      <c r="B52" s="147" t="s">
        <v>41</v>
      </c>
      <c r="C52" s="93" t="s">
        <v>42</v>
      </c>
      <c r="D52" s="93" t="s">
        <v>274</v>
      </c>
      <c r="E52" s="93">
        <v>23896.0</v>
      </c>
      <c r="F52" s="93">
        <v>5018.16</v>
      </c>
      <c r="G52" s="93"/>
      <c r="H52" s="157">
        <v>28914.16</v>
      </c>
      <c r="I52" s="150" t="s">
        <v>81</v>
      </c>
      <c r="J52" s="98">
        <v>45737.0</v>
      </c>
      <c r="K52" s="98">
        <v>45737.0</v>
      </c>
      <c r="L52" s="155"/>
      <c r="M52" s="155"/>
    </row>
    <row r="53">
      <c r="A53" s="94" t="s">
        <v>285</v>
      </c>
      <c r="B53" s="154" t="s">
        <v>50</v>
      </c>
      <c r="C53" s="148"/>
      <c r="D53" s="148"/>
      <c r="E53" s="148"/>
      <c r="F53" s="148"/>
      <c r="G53" s="148"/>
      <c r="H53" s="162" t="s">
        <v>16</v>
      </c>
      <c r="I53" s="150"/>
      <c r="J53" s="151"/>
      <c r="K53" s="151"/>
      <c r="L53" s="152"/>
      <c r="M53" s="153"/>
    </row>
    <row r="54">
      <c r="A54" s="15" t="s">
        <v>285</v>
      </c>
      <c r="B54" s="147" t="s">
        <v>43</v>
      </c>
      <c r="C54" s="148" t="s">
        <v>275</v>
      </c>
      <c r="D54" s="148" t="s">
        <v>289</v>
      </c>
      <c r="E54" s="148">
        <v>81550.0</v>
      </c>
      <c r="F54" s="148">
        <v>23649.5</v>
      </c>
      <c r="G54" s="148">
        <v>0.0</v>
      </c>
      <c r="H54" s="149">
        <v>105199.5</v>
      </c>
      <c r="I54" s="150" t="s">
        <v>38</v>
      </c>
      <c r="J54" s="151">
        <v>45722.0</v>
      </c>
      <c r="K54" s="151">
        <v>45722.0</v>
      </c>
      <c r="L54" s="183"/>
      <c r="M54" s="183"/>
    </row>
    <row r="55">
      <c r="A55" s="94" t="s">
        <v>285</v>
      </c>
      <c r="B55" s="154" t="s">
        <v>269</v>
      </c>
      <c r="C55" s="32"/>
      <c r="D55" s="32"/>
      <c r="E55" s="32"/>
      <c r="F55" s="32"/>
      <c r="G55" s="32"/>
      <c r="H55" s="66" t="s">
        <v>16</v>
      </c>
      <c r="I55" s="66"/>
      <c r="J55" s="161"/>
      <c r="K55" s="161"/>
      <c r="L55" s="152"/>
      <c r="M55" s="153"/>
    </row>
    <row r="56">
      <c r="A56" s="117" t="s">
        <v>290</v>
      </c>
      <c r="B56" s="165" t="s">
        <v>34</v>
      </c>
      <c r="C56" s="166" t="s">
        <v>105</v>
      </c>
      <c r="D56" s="166" t="s">
        <v>291</v>
      </c>
      <c r="E56" s="166">
        <v>1164458.0</v>
      </c>
      <c r="F56" s="166">
        <v>244536.18</v>
      </c>
      <c r="G56" s="166"/>
      <c r="H56" s="167">
        <v>1408994.18</v>
      </c>
      <c r="I56" s="166" t="s">
        <v>51</v>
      </c>
      <c r="J56" s="168">
        <v>45727.0</v>
      </c>
      <c r="K56" s="168">
        <v>45727.0</v>
      </c>
      <c r="L56" s="169"/>
      <c r="M56" s="170"/>
    </row>
    <row r="57">
      <c r="A57" s="171" t="s">
        <v>290</v>
      </c>
      <c r="B57" s="184" t="s">
        <v>34</v>
      </c>
      <c r="C57" s="173" t="s">
        <v>105</v>
      </c>
      <c r="D57" s="173" t="s">
        <v>292</v>
      </c>
      <c r="E57" s="173">
        <v>87083.0</v>
      </c>
      <c r="F57" s="173">
        <v>18287.43</v>
      </c>
      <c r="G57" s="173"/>
      <c r="H57" s="178">
        <v>105370.43</v>
      </c>
      <c r="I57" s="173" t="s">
        <v>81</v>
      </c>
      <c r="J57" s="175">
        <v>45741.0</v>
      </c>
      <c r="K57" s="175">
        <v>45741.0</v>
      </c>
      <c r="L57" s="176"/>
      <c r="M57" s="177"/>
    </row>
    <row r="58">
      <c r="A58" s="117" t="s">
        <v>290</v>
      </c>
      <c r="B58" s="165" t="s">
        <v>39</v>
      </c>
      <c r="C58" s="32"/>
      <c r="D58" s="32"/>
      <c r="E58" s="32"/>
      <c r="F58" s="32"/>
      <c r="G58" s="32"/>
      <c r="H58" s="66" t="s">
        <v>16</v>
      </c>
      <c r="I58" s="32"/>
      <c r="J58" s="33"/>
      <c r="K58" s="33"/>
      <c r="L58" s="169"/>
      <c r="M58" s="170"/>
    </row>
    <row r="59">
      <c r="A59" s="171" t="s">
        <v>290</v>
      </c>
      <c r="B59" s="172" t="s">
        <v>37</v>
      </c>
      <c r="C59" s="173" t="s">
        <v>280</v>
      </c>
      <c r="D59" s="173" t="s">
        <v>293</v>
      </c>
      <c r="E59" s="173">
        <v>82422.36</v>
      </c>
      <c r="F59" s="173">
        <v>22254.04</v>
      </c>
      <c r="G59" s="173">
        <v>6722.659999999999</v>
      </c>
      <c r="H59" s="178">
        <v>111399.06</v>
      </c>
      <c r="I59" s="173" t="s">
        <v>38</v>
      </c>
      <c r="J59" s="175">
        <v>45721.0</v>
      </c>
      <c r="K59" s="175">
        <v>45721.0</v>
      </c>
      <c r="L59" s="185"/>
      <c r="M59" s="177"/>
    </row>
    <row r="60">
      <c r="A60" s="117" t="s">
        <v>290</v>
      </c>
      <c r="B60" s="165" t="s">
        <v>37</v>
      </c>
      <c r="C60" s="32"/>
      <c r="D60" s="32"/>
      <c r="E60" s="32"/>
      <c r="F60" s="32"/>
      <c r="G60" s="32"/>
      <c r="H60" s="66" t="s">
        <v>16</v>
      </c>
      <c r="I60" s="32"/>
      <c r="J60" s="33"/>
      <c r="K60" s="33"/>
      <c r="L60" s="169"/>
      <c r="M60" s="170"/>
    </row>
    <row r="61">
      <c r="A61" s="171" t="s">
        <v>290</v>
      </c>
      <c r="B61" s="172" t="s">
        <v>99</v>
      </c>
      <c r="C61" s="32"/>
      <c r="D61" s="32"/>
      <c r="E61" s="32"/>
      <c r="F61" s="32"/>
      <c r="G61" s="32"/>
      <c r="H61" s="66" t="s">
        <v>16</v>
      </c>
      <c r="I61" s="66"/>
      <c r="J61" s="161"/>
      <c r="K61" s="161"/>
      <c r="L61" s="176"/>
      <c r="M61" s="177"/>
    </row>
    <row r="62">
      <c r="A62" s="117" t="s">
        <v>290</v>
      </c>
      <c r="B62" s="165" t="s">
        <v>46</v>
      </c>
      <c r="C62" s="166"/>
      <c r="D62" s="166"/>
      <c r="E62" s="166"/>
      <c r="F62" s="166"/>
      <c r="G62" s="166"/>
      <c r="H62" s="167" t="s">
        <v>16</v>
      </c>
      <c r="I62" s="166"/>
      <c r="J62" s="168"/>
      <c r="K62" s="168"/>
      <c r="L62" s="169"/>
      <c r="M62" s="170"/>
    </row>
    <row r="63">
      <c r="A63" s="171" t="s">
        <v>290</v>
      </c>
      <c r="B63" s="172" t="s">
        <v>31</v>
      </c>
      <c r="C63" s="181"/>
      <c r="D63" s="181"/>
      <c r="E63" s="173"/>
      <c r="F63" s="173"/>
      <c r="G63" s="173"/>
      <c r="H63" s="178" t="s">
        <v>16</v>
      </c>
      <c r="I63" s="181"/>
      <c r="J63" s="175"/>
      <c r="K63" s="175"/>
      <c r="L63" s="176"/>
      <c r="M63" s="177"/>
    </row>
    <row r="64">
      <c r="A64" s="117" t="s">
        <v>290</v>
      </c>
      <c r="B64" s="165" t="s">
        <v>268</v>
      </c>
      <c r="C64" s="32"/>
      <c r="D64" s="32"/>
      <c r="E64" s="32"/>
      <c r="F64" s="32"/>
      <c r="G64" s="32"/>
      <c r="H64" s="66" t="s">
        <v>16</v>
      </c>
      <c r="I64" s="32"/>
      <c r="J64" s="33"/>
      <c r="K64" s="33"/>
      <c r="L64" s="169"/>
      <c r="M64" s="170"/>
    </row>
    <row r="65">
      <c r="A65" s="171" t="s">
        <v>290</v>
      </c>
      <c r="B65" s="172" t="s">
        <v>102</v>
      </c>
      <c r="C65" s="181"/>
      <c r="D65" s="181"/>
      <c r="E65" s="173"/>
      <c r="F65" s="173"/>
      <c r="G65" s="173"/>
      <c r="H65" s="178" t="s">
        <v>16</v>
      </c>
      <c r="I65" s="181"/>
      <c r="J65" s="175"/>
      <c r="K65" s="175"/>
      <c r="L65" s="176"/>
      <c r="M65" s="177"/>
    </row>
    <row r="66">
      <c r="A66" s="117" t="s">
        <v>290</v>
      </c>
      <c r="B66" s="165" t="s">
        <v>41</v>
      </c>
      <c r="C66" s="166" t="s">
        <v>42</v>
      </c>
      <c r="D66" s="166" t="s">
        <v>274</v>
      </c>
      <c r="E66" s="166">
        <v>70919.0</v>
      </c>
      <c r="F66" s="166">
        <v>14892.99</v>
      </c>
      <c r="G66" s="166"/>
      <c r="H66" s="167">
        <v>85811.99</v>
      </c>
      <c r="I66" s="150" t="s">
        <v>81</v>
      </c>
      <c r="J66" s="168">
        <v>45737.0</v>
      </c>
      <c r="K66" s="168">
        <v>45737.0</v>
      </c>
      <c r="L66" s="169"/>
      <c r="M66" s="170"/>
    </row>
    <row r="67">
      <c r="A67" s="171" t="s">
        <v>290</v>
      </c>
      <c r="B67" s="172" t="s">
        <v>50</v>
      </c>
      <c r="C67" s="173"/>
      <c r="D67" s="181"/>
      <c r="E67" s="173"/>
      <c r="F67" s="173"/>
      <c r="G67" s="173"/>
      <c r="H67" s="174">
        <v>26391.89</v>
      </c>
      <c r="I67" s="173" t="s">
        <v>38</v>
      </c>
      <c r="J67" s="175">
        <v>45722.0</v>
      </c>
      <c r="K67" s="175">
        <v>45722.0</v>
      </c>
      <c r="L67" s="176"/>
      <c r="M67" s="177"/>
    </row>
    <row r="68">
      <c r="A68" s="117" t="s">
        <v>290</v>
      </c>
      <c r="B68" s="165" t="s">
        <v>43</v>
      </c>
      <c r="C68" s="166" t="s">
        <v>275</v>
      </c>
      <c r="D68" s="166" t="s">
        <v>294</v>
      </c>
      <c r="E68" s="166">
        <v>27570.0</v>
      </c>
      <c r="F68" s="166">
        <v>7995.3</v>
      </c>
      <c r="G68" s="166"/>
      <c r="H68" s="167">
        <v>35565.3</v>
      </c>
      <c r="I68" s="166" t="s">
        <v>38</v>
      </c>
      <c r="J68" s="168">
        <v>45722.0</v>
      </c>
      <c r="K68" s="168">
        <v>45722.0</v>
      </c>
      <c r="L68" s="166"/>
      <c r="M68" s="170"/>
    </row>
    <row r="69">
      <c r="A69" s="171" t="s">
        <v>290</v>
      </c>
      <c r="B69" s="172" t="s">
        <v>269</v>
      </c>
      <c r="C69" s="181"/>
      <c r="D69" s="181"/>
      <c r="E69" s="173"/>
      <c r="F69" s="173"/>
      <c r="G69" s="173"/>
      <c r="H69" s="178" t="s">
        <v>16</v>
      </c>
      <c r="I69" s="181"/>
      <c r="J69" s="175"/>
      <c r="K69" s="175"/>
      <c r="L69" s="176"/>
      <c r="M69" s="177"/>
    </row>
    <row r="70">
      <c r="A70" s="15" t="s">
        <v>295</v>
      </c>
      <c r="B70" s="147" t="s">
        <v>34</v>
      </c>
      <c r="C70" s="148" t="s">
        <v>296</v>
      </c>
      <c r="D70" s="148" t="s">
        <v>297</v>
      </c>
      <c r="E70" s="148">
        <v>2835009.62</v>
      </c>
      <c r="F70" s="148">
        <v>525000.0</v>
      </c>
      <c r="G70" s="148"/>
      <c r="H70" s="149">
        <v>3360009.62</v>
      </c>
      <c r="I70" s="150" t="s">
        <v>51</v>
      </c>
      <c r="J70" s="151">
        <v>45727.0</v>
      </c>
      <c r="K70" s="151">
        <v>45727.0</v>
      </c>
      <c r="L70" s="186"/>
      <c r="M70" s="153"/>
    </row>
    <row r="71">
      <c r="A71" s="94" t="s">
        <v>295</v>
      </c>
      <c r="B71" s="154" t="s">
        <v>39</v>
      </c>
      <c r="C71" s="32"/>
      <c r="D71" s="32"/>
      <c r="E71" s="32"/>
      <c r="F71" s="32"/>
      <c r="G71" s="32"/>
      <c r="H71" s="66" t="s">
        <v>16</v>
      </c>
      <c r="I71" s="66"/>
      <c r="J71" s="33"/>
      <c r="K71" s="33"/>
      <c r="L71" s="155"/>
      <c r="M71" s="155"/>
    </row>
    <row r="72">
      <c r="A72" s="15" t="s">
        <v>295</v>
      </c>
      <c r="B72" s="147" t="s">
        <v>37</v>
      </c>
      <c r="C72" s="148" t="s">
        <v>280</v>
      </c>
      <c r="D72" s="148" t="s">
        <v>298</v>
      </c>
      <c r="E72" s="148">
        <v>134929.12</v>
      </c>
      <c r="F72" s="148">
        <v>36430.86</v>
      </c>
      <c r="G72" s="148">
        <v>11907.970000000001</v>
      </c>
      <c r="H72" s="162">
        <v>183267.94999999998</v>
      </c>
      <c r="I72" s="150" t="s">
        <v>38</v>
      </c>
      <c r="J72" s="151">
        <v>45730.0</v>
      </c>
      <c r="K72" s="151">
        <v>45730.0</v>
      </c>
      <c r="L72" s="152"/>
      <c r="M72" s="153"/>
    </row>
    <row r="73" hidden="1">
      <c r="A73" s="94" t="s">
        <v>295</v>
      </c>
      <c r="B73" s="154" t="s">
        <v>99</v>
      </c>
      <c r="C73" s="32"/>
      <c r="D73" s="32"/>
      <c r="E73" s="32"/>
      <c r="F73" s="32"/>
      <c r="G73" s="32"/>
      <c r="H73" s="66" t="s">
        <v>16</v>
      </c>
      <c r="I73" s="66"/>
      <c r="J73" s="161"/>
      <c r="K73" s="161"/>
      <c r="L73" s="155"/>
      <c r="M73" s="155"/>
    </row>
    <row r="74" hidden="1">
      <c r="A74" s="15" t="s">
        <v>295</v>
      </c>
      <c r="B74" s="147" t="s">
        <v>46</v>
      </c>
      <c r="C74" s="148"/>
      <c r="D74" s="148"/>
      <c r="E74" s="148"/>
      <c r="F74" s="148"/>
      <c r="G74" s="148"/>
      <c r="H74" s="162" t="s">
        <v>16</v>
      </c>
      <c r="I74" s="162"/>
      <c r="J74" s="151"/>
      <c r="K74" s="151"/>
      <c r="L74" s="187"/>
      <c r="M74" s="153"/>
    </row>
    <row r="75" hidden="1">
      <c r="A75" s="94" t="s">
        <v>295</v>
      </c>
      <c r="B75" s="154" t="s">
        <v>31</v>
      </c>
      <c r="C75" s="93"/>
      <c r="D75" s="93"/>
      <c r="E75" s="93"/>
      <c r="F75" s="93"/>
      <c r="G75" s="93"/>
      <c r="H75" s="157" t="s">
        <v>16</v>
      </c>
      <c r="I75" s="97"/>
      <c r="J75" s="98"/>
      <c r="K75" s="98"/>
      <c r="L75" s="188"/>
      <c r="M75" s="155"/>
    </row>
    <row r="76" hidden="1">
      <c r="A76" s="15" t="s">
        <v>295</v>
      </c>
      <c r="B76" s="147" t="s">
        <v>268</v>
      </c>
      <c r="C76" s="32"/>
      <c r="D76" s="32"/>
      <c r="E76" s="32"/>
      <c r="F76" s="32"/>
      <c r="G76" s="32"/>
      <c r="H76" s="66" t="s">
        <v>16</v>
      </c>
      <c r="I76" s="66"/>
      <c r="J76" s="33"/>
      <c r="K76" s="33"/>
      <c r="L76" s="152"/>
      <c r="M76" s="153"/>
    </row>
    <row r="77" hidden="1">
      <c r="A77" s="94" t="s">
        <v>295</v>
      </c>
      <c r="B77" s="154" t="s">
        <v>102</v>
      </c>
      <c r="C77" s="32"/>
      <c r="D77" s="32"/>
      <c r="E77" s="32"/>
      <c r="F77" s="32"/>
      <c r="G77" s="32"/>
      <c r="H77" s="66" t="s">
        <v>16</v>
      </c>
      <c r="I77" s="66"/>
      <c r="J77" s="161"/>
      <c r="K77" s="161"/>
      <c r="L77" s="155"/>
      <c r="M77" s="155"/>
    </row>
    <row r="78">
      <c r="A78" s="15" t="s">
        <v>295</v>
      </c>
      <c r="B78" s="147" t="s">
        <v>41</v>
      </c>
      <c r="C78" s="148" t="s">
        <v>42</v>
      </c>
      <c r="D78" s="148" t="s">
        <v>274</v>
      </c>
      <c r="E78" s="148">
        <v>23896.0</v>
      </c>
      <c r="F78" s="148">
        <v>5018.16</v>
      </c>
      <c r="G78" s="148"/>
      <c r="H78" s="162">
        <v>28914.16</v>
      </c>
      <c r="I78" s="150" t="s">
        <v>81</v>
      </c>
      <c r="J78" s="151">
        <v>45737.0</v>
      </c>
      <c r="K78" s="151">
        <v>45737.0</v>
      </c>
      <c r="L78" s="152"/>
      <c r="M78" s="153"/>
    </row>
    <row r="79">
      <c r="A79" s="94" t="s">
        <v>295</v>
      </c>
      <c r="B79" s="154" t="s">
        <v>50</v>
      </c>
      <c r="C79" s="93"/>
      <c r="D79" s="93"/>
      <c r="E79" s="93"/>
      <c r="F79" s="93"/>
      <c r="G79" s="93"/>
      <c r="H79" s="157" t="s">
        <v>16</v>
      </c>
      <c r="I79" s="157"/>
      <c r="J79" s="98"/>
      <c r="K79" s="98"/>
      <c r="L79" s="94"/>
      <c r="M79" s="155"/>
    </row>
    <row r="80">
      <c r="A80" s="15" t="s">
        <v>295</v>
      </c>
      <c r="B80" s="147" t="s">
        <v>43</v>
      </c>
      <c r="C80" s="148" t="s">
        <v>299</v>
      </c>
      <c r="D80" s="148" t="s">
        <v>300</v>
      </c>
      <c r="E80" s="148">
        <v>80802.4</v>
      </c>
      <c r="F80" s="148">
        <v>18194.615</v>
      </c>
      <c r="G80" s="148">
        <v>2424.07</v>
      </c>
      <c r="H80" s="162">
        <v>101421.085</v>
      </c>
      <c r="I80" s="150" t="s">
        <v>38</v>
      </c>
      <c r="J80" s="151">
        <v>45741.0</v>
      </c>
      <c r="K80" s="151">
        <v>45741.0</v>
      </c>
      <c r="L80" s="152"/>
      <c r="M80" s="153"/>
    </row>
    <row r="81">
      <c r="A81" s="94" t="s">
        <v>295</v>
      </c>
      <c r="B81" s="154" t="s">
        <v>269</v>
      </c>
      <c r="C81" s="32"/>
      <c r="D81" s="32"/>
      <c r="E81" s="32"/>
      <c r="F81" s="32"/>
      <c r="G81" s="32"/>
      <c r="H81" s="66" t="s">
        <v>16</v>
      </c>
      <c r="I81" s="66"/>
      <c r="J81" s="161"/>
      <c r="K81" s="161"/>
      <c r="L81" s="155"/>
      <c r="M81" s="155"/>
    </row>
    <row r="82">
      <c r="A82" s="117" t="s">
        <v>301</v>
      </c>
      <c r="B82" s="165" t="s">
        <v>34</v>
      </c>
      <c r="C82" s="166" t="s">
        <v>68</v>
      </c>
      <c r="D82" s="166" t="s">
        <v>302</v>
      </c>
      <c r="E82" s="166">
        <v>1117534.84</v>
      </c>
      <c r="F82" s="166">
        <v>234682.3164</v>
      </c>
      <c r="G82" s="166">
        <v>55876.74</v>
      </c>
      <c r="H82" s="167">
        <v>1408093.8964000002</v>
      </c>
      <c r="I82" s="166" t="s">
        <v>81</v>
      </c>
      <c r="J82" s="168">
        <v>45730.0</v>
      </c>
      <c r="K82" s="168">
        <v>45730.0</v>
      </c>
      <c r="L82" s="169"/>
      <c r="M82" s="170"/>
    </row>
    <row r="83">
      <c r="A83" s="171" t="s">
        <v>301</v>
      </c>
      <c r="B83" s="172" t="s">
        <v>39</v>
      </c>
      <c r="C83" s="173" t="s">
        <v>68</v>
      </c>
      <c r="D83" s="173" t="s">
        <v>303</v>
      </c>
      <c r="E83" s="173">
        <v>1858800.59</v>
      </c>
      <c r="F83" s="173">
        <v>390348.1239</v>
      </c>
      <c r="G83" s="173">
        <v>92940.03</v>
      </c>
      <c r="H83" s="178">
        <v>2342088.7438999997</v>
      </c>
      <c r="I83" s="173" t="s">
        <v>81</v>
      </c>
      <c r="J83" s="175">
        <v>45734.0</v>
      </c>
      <c r="K83" s="175">
        <v>45734.0</v>
      </c>
      <c r="L83" s="176"/>
      <c r="M83" s="177"/>
    </row>
    <row r="84">
      <c r="A84" s="117" t="s">
        <v>301</v>
      </c>
      <c r="B84" s="165" t="s">
        <v>37</v>
      </c>
      <c r="C84" s="166" t="s">
        <v>280</v>
      </c>
      <c r="D84" s="166" t="s">
        <v>304</v>
      </c>
      <c r="E84" s="166">
        <v>82273.04</v>
      </c>
      <c r="F84" s="166">
        <v>22213.72</v>
      </c>
      <c r="G84" s="166">
        <v>6708.650000000001</v>
      </c>
      <c r="H84" s="167">
        <v>111195.40999999999</v>
      </c>
      <c r="I84" s="166" t="s">
        <v>38</v>
      </c>
      <c r="J84" s="168">
        <v>45727.0</v>
      </c>
      <c r="K84" s="168">
        <v>45727.0</v>
      </c>
      <c r="L84" s="169"/>
      <c r="M84" s="170"/>
    </row>
    <row r="85" hidden="1">
      <c r="A85" s="171" t="s">
        <v>301</v>
      </c>
      <c r="B85" s="172" t="s">
        <v>99</v>
      </c>
      <c r="C85" s="32"/>
      <c r="D85" s="32"/>
      <c r="E85" s="32"/>
      <c r="F85" s="32"/>
      <c r="G85" s="32"/>
      <c r="H85" s="66" t="s">
        <v>16</v>
      </c>
      <c r="I85" s="66"/>
      <c r="J85" s="161"/>
      <c r="K85" s="161"/>
      <c r="L85" s="176"/>
      <c r="M85" s="177"/>
    </row>
    <row r="86" hidden="1">
      <c r="A86" s="117" t="s">
        <v>301</v>
      </c>
      <c r="B86" s="165" t="s">
        <v>46</v>
      </c>
      <c r="C86" s="189"/>
      <c r="D86" s="189"/>
      <c r="E86" s="166"/>
      <c r="F86" s="166"/>
      <c r="G86" s="166"/>
      <c r="H86" s="167" t="s">
        <v>16</v>
      </c>
      <c r="I86" s="189"/>
      <c r="J86" s="168"/>
      <c r="K86" s="168"/>
      <c r="L86" s="169"/>
      <c r="M86" s="170"/>
    </row>
    <row r="87" hidden="1">
      <c r="A87" s="171" t="s">
        <v>301</v>
      </c>
      <c r="B87" s="172" t="s">
        <v>31</v>
      </c>
      <c r="C87" s="173"/>
      <c r="D87" s="173"/>
      <c r="E87" s="173"/>
      <c r="F87" s="173"/>
      <c r="G87" s="173"/>
      <c r="H87" s="178" t="s">
        <v>16</v>
      </c>
      <c r="I87" s="173"/>
      <c r="J87" s="175"/>
      <c r="K87" s="175"/>
      <c r="L87" s="179"/>
      <c r="M87" s="177"/>
    </row>
    <row r="88" hidden="1">
      <c r="A88" s="117" t="s">
        <v>301</v>
      </c>
      <c r="B88" s="165" t="s">
        <v>268</v>
      </c>
      <c r="C88" s="180"/>
      <c r="D88" s="180"/>
      <c r="E88" s="32"/>
      <c r="F88" s="32"/>
      <c r="G88" s="32"/>
      <c r="H88" s="66" t="s">
        <v>16</v>
      </c>
      <c r="I88" s="180"/>
      <c r="J88" s="33"/>
      <c r="K88" s="33"/>
      <c r="L88" s="169"/>
      <c r="M88" s="170"/>
    </row>
    <row r="89" hidden="1">
      <c r="A89" s="171" t="s">
        <v>301</v>
      </c>
      <c r="B89" s="172" t="s">
        <v>102</v>
      </c>
      <c r="C89" s="181"/>
      <c r="D89" s="181"/>
      <c r="E89" s="173"/>
      <c r="F89" s="173"/>
      <c r="G89" s="173"/>
      <c r="H89" s="178" t="s">
        <v>16</v>
      </c>
      <c r="I89" s="181"/>
      <c r="J89" s="175"/>
      <c r="K89" s="175"/>
      <c r="L89" s="176"/>
      <c r="M89" s="177"/>
    </row>
    <row r="90">
      <c r="A90" s="117" t="s">
        <v>301</v>
      </c>
      <c r="B90" s="165" t="s">
        <v>41</v>
      </c>
      <c r="C90" s="166" t="s">
        <v>42</v>
      </c>
      <c r="D90" s="166" t="s">
        <v>274</v>
      </c>
      <c r="E90" s="166">
        <v>23896.0</v>
      </c>
      <c r="F90" s="166">
        <v>5018.16</v>
      </c>
      <c r="G90" s="166"/>
      <c r="H90" s="167">
        <v>28914.16</v>
      </c>
      <c r="I90" s="150" t="s">
        <v>81</v>
      </c>
      <c r="J90" s="168">
        <v>45737.0</v>
      </c>
      <c r="K90" s="168">
        <v>45737.0</v>
      </c>
      <c r="L90" s="169"/>
      <c r="M90" s="170"/>
    </row>
    <row r="91">
      <c r="A91" s="171" t="s">
        <v>301</v>
      </c>
      <c r="B91" s="172" t="s">
        <v>50</v>
      </c>
      <c r="C91" s="181"/>
      <c r="D91" s="181"/>
      <c r="E91" s="173"/>
      <c r="F91" s="173"/>
      <c r="G91" s="173"/>
      <c r="H91" s="178" t="s">
        <v>16</v>
      </c>
      <c r="I91" s="181"/>
      <c r="J91" s="175"/>
      <c r="K91" s="175"/>
      <c r="L91" s="176"/>
      <c r="M91" s="177"/>
    </row>
    <row r="92">
      <c r="A92" s="117" t="s">
        <v>301</v>
      </c>
      <c r="B92" s="165" t="s">
        <v>43</v>
      </c>
      <c r="C92" s="166" t="s">
        <v>275</v>
      </c>
      <c r="D92" s="166" t="s">
        <v>305</v>
      </c>
      <c r="E92" s="166">
        <v>48305.79</v>
      </c>
      <c r="F92" s="166">
        <v>14008.68</v>
      </c>
      <c r="G92" s="166">
        <v>0.01</v>
      </c>
      <c r="H92" s="167">
        <v>62314.48</v>
      </c>
      <c r="I92" s="166" t="s">
        <v>86</v>
      </c>
      <c r="J92" s="168">
        <v>45723.0</v>
      </c>
      <c r="K92" s="168">
        <v>45723.0</v>
      </c>
      <c r="L92" s="166"/>
      <c r="M92" s="170"/>
    </row>
    <row r="93">
      <c r="A93" s="171" t="s">
        <v>301</v>
      </c>
      <c r="B93" s="172" t="s">
        <v>269</v>
      </c>
      <c r="C93" s="173"/>
      <c r="D93" s="173"/>
      <c r="E93" s="173"/>
      <c r="F93" s="173"/>
      <c r="G93" s="173"/>
      <c r="H93" s="178" t="s">
        <v>16</v>
      </c>
      <c r="I93" s="181"/>
      <c r="J93" s="175"/>
      <c r="K93" s="175"/>
      <c r="L93" s="176"/>
      <c r="M93" s="177"/>
    </row>
    <row r="94">
      <c r="A94" s="15" t="s">
        <v>306</v>
      </c>
      <c r="B94" s="147" t="s">
        <v>34</v>
      </c>
      <c r="C94" s="148" t="s">
        <v>307</v>
      </c>
      <c r="D94" s="148" t="s">
        <v>308</v>
      </c>
      <c r="E94" s="148">
        <v>1083696.57</v>
      </c>
      <c r="F94" s="148">
        <v>227576.28</v>
      </c>
      <c r="G94" s="148"/>
      <c r="H94" s="149">
        <v>1311272.85</v>
      </c>
      <c r="I94" s="150" t="s">
        <v>81</v>
      </c>
      <c r="J94" s="151">
        <v>45730.0</v>
      </c>
      <c r="K94" s="151">
        <v>45730.0</v>
      </c>
      <c r="L94" s="152"/>
      <c r="M94" s="159"/>
    </row>
    <row r="95">
      <c r="A95" s="94" t="s">
        <v>306</v>
      </c>
      <c r="B95" s="154" t="s">
        <v>39</v>
      </c>
      <c r="C95" s="93" t="s">
        <v>307</v>
      </c>
      <c r="D95" s="93"/>
      <c r="E95" s="93"/>
      <c r="F95" s="93"/>
      <c r="G95" s="93"/>
      <c r="H95" s="97">
        <v>679193.52</v>
      </c>
      <c r="I95" s="150" t="s">
        <v>81</v>
      </c>
      <c r="J95" s="98">
        <v>45727.0</v>
      </c>
      <c r="K95" s="160">
        <v>45727.0</v>
      </c>
      <c r="L95" s="155"/>
      <c r="M95" s="155"/>
    </row>
    <row r="96">
      <c r="A96" s="15" t="s">
        <v>306</v>
      </c>
      <c r="B96" s="147" t="s">
        <v>37</v>
      </c>
      <c r="C96" s="148" t="s">
        <v>280</v>
      </c>
      <c r="D96" s="148" t="s">
        <v>309</v>
      </c>
      <c r="E96" s="148">
        <v>110998.31</v>
      </c>
      <c r="F96" s="148">
        <v>29969.54</v>
      </c>
      <c r="G96" s="148">
        <v>9403.94</v>
      </c>
      <c r="H96" s="162">
        <v>150371.79</v>
      </c>
      <c r="I96" s="150" t="s">
        <v>38</v>
      </c>
      <c r="J96" s="151">
        <v>45727.0</v>
      </c>
      <c r="K96" s="151">
        <v>45727.0</v>
      </c>
      <c r="L96" s="190"/>
      <c r="M96" s="153"/>
    </row>
    <row r="97" hidden="1">
      <c r="A97" s="94" t="s">
        <v>306</v>
      </c>
      <c r="B97" s="154" t="s">
        <v>99</v>
      </c>
      <c r="C97" s="32"/>
      <c r="D97" s="32"/>
      <c r="E97" s="32"/>
      <c r="F97" s="32"/>
      <c r="G97" s="32"/>
      <c r="H97" s="66" t="s">
        <v>16</v>
      </c>
      <c r="I97" s="66"/>
      <c r="J97" s="161"/>
      <c r="K97" s="161"/>
      <c r="L97" s="155"/>
      <c r="M97" s="155"/>
    </row>
    <row r="98" hidden="1">
      <c r="A98" s="15" t="s">
        <v>306</v>
      </c>
      <c r="B98" s="147" t="s">
        <v>46</v>
      </c>
      <c r="C98" s="148"/>
      <c r="D98" s="148"/>
      <c r="E98" s="148"/>
      <c r="F98" s="148"/>
      <c r="G98" s="148"/>
      <c r="H98" s="162" t="s">
        <v>16</v>
      </c>
      <c r="I98" s="162"/>
      <c r="J98" s="151"/>
      <c r="K98" s="151"/>
      <c r="L98" s="152"/>
      <c r="M98" s="153"/>
    </row>
    <row r="99" hidden="1">
      <c r="A99" s="94" t="s">
        <v>306</v>
      </c>
      <c r="B99" s="154" t="s">
        <v>31</v>
      </c>
      <c r="C99" s="93"/>
      <c r="D99" s="93"/>
      <c r="E99" s="93"/>
      <c r="F99" s="93"/>
      <c r="G99" s="93"/>
      <c r="H99" s="157" t="s">
        <v>16</v>
      </c>
      <c r="I99" s="97"/>
      <c r="J99" s="98"/>
      <c r="K99" s="98"/>
      <c r="L99" s="188"/>
      <c r="M99" s="155"/>
    </row>
    <row r="100" hidden="1">
      <c r="A100" s="15" t="s">
        <v>306</v>
      </c>
      <c r="B100" s="147" t="s">
        <v>268</v>
      </c>
      <c r="C100" s="32"/>
      <c r="D100" s="32"/>
      <c r="E100" s="32"/>
      <c r="F100" s="32"/>
      <c r="G100" s="32"/>
      <c r="H100" s="66" t="s">
        <v>16</v>
      </c>
      <c r="I100" s="66"/>
      <c r="J100" s="33"/>
      <c r="K100" s="33"/>
      <c r="L100" s="152"/>
      <c r="M100" s="153"/>
    </row>
    <row r="101" hidden="1">
      <c r="A101" s="94" t="s">
        <v>306</v>
      </c>
      <c r="B101" s="154" t="s">
        <v>102</v>
      </c>
      <c r="C101" s="93"/>
      <c r="D101" s="93"/>
      <c r="E101" s="93"/>
      <c r="F101" s="93"/>
      <c r="G101" s="93"/>
      <c r="H101" s="157" t="s">
        <v>16</v>
      </c>
      <c r="I101" s="157"/>
      <c r="J101" s="98"/>
      <c r="K101" s="98"/>
      <c r="L101" s="155"/>
      <c r="M101" s="155"/>
    </row>
    <row r="102">
      <c r="A102" s="15" t="s">
        <v>306</v>
      </c>
      <c r="B102" s="147" t="s">
        <v>41</v>
      </c>
      <c r="C102" s="148" t="s">
        <v>42</v>
      </c>
      <c r="D102" s="148" t="s">
        <v>274</v>
      </c>
      <c r="E102" s="148">
        <v>23896.0</v>
      </c>
      <c r="F102" s="148">
        <v>5018.16</v>
      </c>
      <c r="G102" s="148"/>
      <c r="H102" s="162">
        <v>28914.16</v>
      </c>
      <c r="I102" s="150" t="s">
        <v>81</v>
      </c>
      <c r="J102" s="151">
        <v>45737.0</v>
      </c>
      <c r="K102" s="151">
        <v>45737.0</v>
      </c>
      <c r="L102" s="152"/>
      <c r="M102" s="153"/>
    </row>
    <row r="103">
      <c r="A103" s="94" t="s">
        <v>306</v>
      </c>
      <c r="B103" s="154" t="s">
        <v>50</v>
      </c>
      <c r="C103" s="93"/>
      <c r="D103" s="93"/>
      <c r="E103" s="93"/>
      <c r="F103" s="93"/>
      <c r="G103" s="93"/>
      <c r="H103" s="157" t="s">
        <v>16</v>
      </c>
      <c r="I103" s="157"/>
      <c r="J103" s="98"/>
      <c r="K103" s="98"/>
      <c r="L103" s="155"/>
      <c r="M103" s="155"/>
    </row>
    <row r="104">
      <c r="A104" s="15" t="s">
        <v>306</v>
      </c>
      <c r="B104" s="147" t="s">
        <v>43</v>
      </c>
      <c r="C104" s="148" t="s">
        <v>299</v>
      </c>
      <c r="D104" s="148" t="s">
        <v>300</v>
      </c>
      <c r="E104" s="148">
        <v>80802.4</v>
      </c>
      <c r="F104" s="148">
        <v>18194.615</v>
      </c>
      <c r="G104" s="148">
        <v>2424.07</v>
      </c>
      <c r="H104" s="162">
        <v>101421.085</v>
      </c>
      <c r="I104" s="150" t="s">
        <v>38</v>
      </c>
      <c r="J104" s="151">
        <v>45741.0</v>
      </c>
      <c r="K104" s="151">
        <v>45741.0</v>
      </c>
      <c r="L104" s="152"/>
      <c r="M104" s="153"/>
    </row>
    <row r="105">
      <c r="A105" s="94" t="s">
        <v>306</v>
      </c>
      <c r="B105" s="154" t="s">
        <v>269</v>
      </c>
      <c r="C105" s="93"/>
      <c r="D105" s="93"/>
      <c r="E105" s="93"/>
      <c r="F105" s="93"/>
      <c r="G105" s="93"/>
      <c r="H105" s="96" t="s">
        <v>16</v>
      </c>
      <c r="I105" s="157"/>
      <c r="J105" s="98"/>
      <c r="K105" s="98"/>
      <c r="L105" s="155"/>
      <c r="M105" s="155"/>
    </row>
    <row r="106">
      <c r="A106" s="117" t="s">
        <v>310</v>
      </c>
      <c r="B106" s="165" t="s">
        <v>34</v>
      </c>
      <c r="C106" s="166" t="s">
        <v>307</v>
      </c>
      <c r="D106" s="166" t="s">
        <v>311</v>
      </c>
      <c r="E106" s="166">
        <v>2143033.36</v>
      </c>
      <c r="F106" s="166">
        <v>450037.01</v>
      </c>
      <c r="G106" s="166"/>
      <c r="H106" s="167">
        <v>2593070.37</v>
      </c>
      <c r="I106" s="166" t="s">
        <v>81</v>
      </c>
      <c r="J106" s="168">
        <v>45730.0</v>
      </c>
      <c r="K106" s="168">
        <v>45730.0</v>
      </c>
      <c r="L106" s="169"/>
      <c r="M106" s="170"/>
    </row>
    <row r="107">
      <c r="A107" s="171" t="s">
        <v>310</v>
      </c>
      <c r="B107" s="172" t="s">
        <v>39</v>
      </c>
      <c r="C107" s="173" t="s">
        <v>307</v>
      </c>
      <c r="D107" s="181"/>
      <c r="E107" s="173"/>
      <c r="F107" s="173"/>
      <c r="G107" s="173"/>
      <c r="H107" s="174">
        <v>339596.76</v>
      </c>
      <c r="I107" s="173" t="s">
        <v>81</v>
      </c>
      <c r="J107" s="175">
        <v>45727.0</v>
      </c>
      <c r="K107" s="175">
        <v>45727.0</v>
      </c>
      <c r="L107" s="176"/>
      <c r="M107" s="177"/>
    </row>
    <row r="108">
      <c r="A108" s="117" t="s">
        <v>310</v>
      </c>
      <c r="B108" s="165" t="s">
        <v>37</v>
      </c>
      <c r="C108" s="166" t="s">
        <v>280</v>
      </c>
      <c r="D108" s="166" t="s">
        <v>312</v>
      </c>
      <c r="E108" s="166">
        <v>68433.78</v>
      </c>
      <c r="F108" s="166">
        <v>18477.12</v>
      </c>
      <c r="G108" s="166">
        <v>5410.11</v>
      </c>
      <c r="H108" s="167">
        <v>92321.01</v>
      </c>
      <c r="I108" s="166" t="s">
        <v>38</v>
      </c>
      <c r="J108" s="168">
        <v>45727.0</v>
      </c>
      <c r="K108" s="168">
        <v>45727.0</v>
      </c>
      <c r="L108" s="191"/>
      <c r="M108" s="170"/>
    </row>
    <row r="109" hidden="1">
      <c r="A109" s="171" t="s">
        <v>310</v>
      </c>
      <c r="B109" s="172" t="s">
        <v>99</v>
      </c>
      <c r="C109" s="32"/>
      <c r="D109" s="32"/>
      <c r="E109" s="32"/>
      <c r="F109" s="32"/>
      <c r="G109" s="32"/>
      <c r="H109" s="66" t="s">
        <v>16</v>
      </c>
      <c r="I109" s="66"/>
      <c r="J109" s="161"/>
      <c r="K109" s="161"/>
      <c r="L109" s="176"/>
      <c r="M109" s="177"/>
    </row>
    <row r="110" hidden="1">
      <c r="A110" s="117" t="s">
        <v>310</v>
      </c>
      <c r="B110" s="165" t="s">
        <v>46</v>
      </c>
      <c r="C110" s="189"/>
      <c r="D110" s="189"/>
      <c r="E110" s="166"/>
      <c r="F110" s="166"/>
      <c r="G110" s="166"/>
      <c r="H110" s="167" t="s">
        <v>16</v>
      </c>
      <c r="I110" s="189"/>
      <c r="J110" s="168"/>
      <c r="K110" s="168"/>
      <c r="L110" s="169"/>
      <c r="M110" s="170"/>
    </row>
    <row r="111" hidden="1">
      <c r="A111" s="171" t="s">
        <v>310</v>
      </c>
      <c r="B111" s="172" t="s">
        <v>31</v>
      </c>
      <c r="C111" s="173"/>
      <c r="D111" s="173"/>
      <c r="E111" s="173"/>
      <c r="F111" s="173"/>
      <c r="G111" s="173"/>
      <c r="H111" s="178" t="s">
        <v>16</v>
      </c>
      <c r="I111" s="173"/>
      <c r="J111" s="175"/>
      <c r="K111" s="175"/>
      <c r="L111" s="179"/>
      <c r="M111" s="177"/>
    </row>
    <row r="112" hidden="1">
      <c r="A112" s="117" t="s">
        <v>310</v>
      </c>
      <c r="B112" s="165" t="s">
        <v>268</v>
      </c>
      <c r="C112" s="180"/>
      <c r="D112" s="180"/>
      <c r="E112" s="32"/>
      <c r="F112" s="32"/>
      <c r="G112" s="32"/>
      <c r="H112" s="66" t="s">
        <v>16</v>
      </c>
      <c r="I112" s="180"/>
      <c r="J112" s="33"/>
      <c r="K112" s="33"/>
      <c r="L112" s="169"/>
      <c r="M112" s="170"/>
    </row>
    <row r="113" hidden="1">
      <c r="A113" s="171" t="s">
        <v>310</v>
      </c>
      <c r="B113" s="172" t="s">
        <v>102</v>
      </c>
      <c r="C113" s="181"/>
      <c r="D113" s="181"/>
      <c r="E113" s="173"/>
      <c r="F113" s="173"/>
      <c r="G113" s="173"/>
      <c r="H113" s="178" t="s">
        <v>16</v>
      </c>
      <c r="I113" s="181"/>
      <c r="J113" s="175"/>
      <c r="K113" s="175"/>
      <c r="L113" s="176"/>
      <c r="M113" s="177"/>
    </row>
    <row r="114">
      <c r="A114" s="117" t="s">
        <v>310</v>
      </c>
      <c r="B114" s="165" t="s">
        <v>41</v>
      </c>
      <c r="C114" s="166" t="s">
        <v>42</v>
      </c>
      <c r="D114" s="166" t="s">
        <v>274</v>
      </c>
      <c r="E114" s="166">
        <v>23896.0</v>
      </c>
      <c r="F114" s="166">
        <v>5018.16</v>
      </c>
      <c r="G114" s="166"/>
      <c r="H114" s="167">
        <v>28914.16</v>
      </c>
      <c r="I114" s="150" t="s">
        <v>81</v>
      </c>
      <c r="J114" s="168">
        <v>45737.0</v>
      </c>
      <c r="K114" s="168">
        <v>45737.0</v>
      </c>
      <c r="L114" s="169"/>
      <c r="M114" s="170"/>
    </row>
    <row r="115" hidden="1">
      <c r="A115" s="171" t="s">
        <v>310</v>
      </c>
      <c r="B115" s="172" t="s">
        <v>50</v>
      </c>
      <c r="C115" s="181"/>
      <c r="D115" s="181"/>
      <c r="E115" s="173"/>
      <c r="F115" s="173"/>
      <c r="G115" s="173"/>
      <c r="H115" s="178" t="s">
        <v>16</v>
      </c>
      <c r="I115" s="181"/>
      <c r="J115" s="175"/>
      <c r="K115" s="175"/>
      <c r="L115" s="176"/>
      <c r="M115" s="177"/>
    </row>
    <row r="116" hidden="1">
      <c r="A116" s="117" t="s">
        <v>310</v>
      </c>
      <c r="B116" s="165" t="s">
        <v>43</v>
      </c>
      <c r="C116" s="166"/>
      <c r="D116" s="166"/>
      <c r="E116" s="166"/>
      <c r="F116" s="166"/>
      <c r="G116" s="166"/>
      <c r="H116" s="167" t="s">
        <v>16</v>
      </c>
      <c r="I116" s="189"/>
      <c r="J116" s="168"/>
      <c r="K116" s="168"/>
      <c r="L116" s="169"/>
      <c r="M116" s="170"/>
    </row>
    <row r="117" hidden="1">
      <c r="A117" s="171" t="s">
        <v>310</v>
      </c>
      <c r="B117" s="172" t="s">
        <v>269</v>
      </c>
      <c r="C117" s="173"/>
      <c r="D117" s="173"/>
      <c r="E117" s="173"/>
      <c r="F117" s="173"/>
      <c r="G117" s="173"/>
      <c r="H117" s="178" t="s">
        <v>16</v>
      </c>
      <c r="I117" s="181"/>
      <c r="J117" s="175"/>
      <c r="K117" s="175"/>
      <c r="L117" s="176"/>
      <c r="M117" s="177"/>
    </row>
    <row r="118">
      <c r="A118" s="15" t="s">
        <v>313</v>
      </c>
      <c r="B118" s="147" t="s">
        <v>34</v>
      </c>
      <c r="C118" s="148" t="s">
        <v>307</v>
      </c>
      <c r="D118" s="148" t="s">
        <v>314</v>
      </c>
      <c r="E118" s="148">
        <v>825000.0</v>
      </c>
      <c r="F118" s="148">
        <v>173250.0</v>
      </c>
      <c r="G118" s="148"/>
      <c r="H118" s="149">
        <v>998250.0</v>
      </c>
      <c r="I118" s="150" t="s">
        <v>81</v>
      </c>
      <c r="J118" s="151">
        <v>45730.0</v>
      </c>
      <c r="K118" s="151">
        <v>45730.0</v>
      </c>
      <c r="L118" s="192"/>
      <c r="M118" s="153"/>
    </row>
    <row r="119">
      <c r="A119" s="94" t="s">
        <v>313</v>
      </c>
      <c r="B119" s="154" t="s">
        <v>39</v>
      </c>
      <c r="C119" s="93" t="s">
        <v>307</v>
      </c>
      <c r="D119" s="93"/>
      <c r="E119" s="93"/>
      <c r="F119" s="93"/>
      <c r="G119" s="93"/>
      <c r="H119" s="97">
        <v>339596.76</v>
      </c>
      <c r="I119" s="97" t="s">
        <v>81</v>
      </c>
      <c r="J119" s="98">
        <v>45727.0</v>
      </c>
      <c r="K119" s="98">
        <v>45727.0</v>
      </c>
      <c r="L119" s="155"/>
      <c r="M119" s="155"/>
    </row>
    <row r="120">
      <c r="A120" s="15" t="s">
        <v>313</v>
      </c>
      <c r="B120" s="147" t="s">
        <v>37</v>
      </c>
      <c r="C120" s="148" t="s">
        <v>280</v>
      </c>
      <c r="D120" s="148" t="s">
        <v>315</v>
      </c>
      <c r="E120" s="148">
        <v>95237.85</v>
      </c>
      <c r="F120" s="148"/>
      <c r="G120" s="148"/>
      <c r="H120" s="162">
        <v>95237.85</v>
      </c>
      <c r="I120" s="150" t="s">
        <v>38</v>
      </c>
      <c r="J120" s="151">
        <v>45727.0</v>
      </c>
      <c r="K120" s="151">
        <v>45727.0</v>
      </c>
      <c r="L120" s="152"/>
      <c r="M120" s="153"/>
    </row>
    <row r="121" hidden="1">
      <c r="A121" s="94" t="s">
        <v>313</v>
      </c>
      <c r="B121" s="154" t="s">
        <v>99</v>
      </c>
      <c r="C121" s="32"/>
      <c r="D121" s="32"/>
      <c r="E121" s="32"/>
      <c r="F121" s="32"/>
      <c r="G121" s="32"/>
      <c r="H121" s="66" t="s">
        <v>16</v>
      </c>
      <c r="I121" s="66"/>
      <c r="J121" s="161"/>
      <c r="K121" s="161"/>
      <c r="L121" s="155"/>
      <c r="M121" s="155"/>
    </row>
    <row r="122" hidden="1">
      <c r="A122" s="15" t="s">
        <v>313</v>
      </c>
      <c r="B122" s="147" t="s">
        <v>46</v>
      </c>
      <c r="C122" s="148"/>
      <c r="D122" s="148"/>
      <c r="E122" s="148"/>
      <c r="F122" s="148"/>
      <c r="G122" s="148"/>
      <c r="H122" s="162" t="s">
        <v>16</v>
      </c>
      <c r="I122" s="162"/>
      <c r="J122" s="151"/>
      <c r="K122" s="151"/>
      <c r="L122" s="152"/>
      <c r="M122" s="153"/>
    </row>
    <row r="123" hidden="1">
      <c r="A123" s="94" t="s">
        <v>313</v>
      </c>
      <c r="B123" s="154" t="s">
        <v>31</v>
      </c>
      <c r="C123" s="93"/>
      <c r="D123" s="93"/>
      <c r="E123" s="93"/>
      <c r="F123" s="93"/>
      <c r="G123" s="93"/>
      <c r="H123" s="157" t="s">
        <v>16</v>
      </c>
      <c r="I123" s="157"/>
      <c r="J123" s="98"/>
      <c r="K123" s="98"/>
      <c r="L123" s="155"/>
      <c r="M123" s="155"/>
    </row>
    <row r="124" hidden="1">
      <c r="A124" s="15" t="s">
        <v>313</v>
      </c>
      <c r="B124" s="147" t="s">
        <v>268</v>
      </c>
      <c r="C124" s="32"/>
      <c r="D124" s="32"/>
      <c r="E124" s="32"/>
      <c r="F124" s="32"/>
      <c r="G124" s="32"/>
      <c r="H124" s="66" t="s">
        <v>16</v>
      </c>
      <c r="I124" s="66"/>
      <c r="J124" s="33"/>
      <c r="K124" s="33"/>
      <c r="L124" s="152"/>
      <c r="M124" s="153"/>
    </row>
    <row r="125" hidden="1">
      <c r="A125" s="94" t="s">
        <v>313</v>
      </c>
      <c r="B125" s="154" t="s">
        <v>102</v>
      </c>
      <c r="C125" s="93"/>
      <c r="D125" s="93"/>
      <c r="E125" s="93"/>
      <c r="F125" s="93"/>
      <c r="G125" s="93"/>
      <c r="H125" s="157" t="s">
        <v>16</v>
      </c>
      <c r="I125" s="157"/>
      <c r="J125" s="98"/>
      <c r="K125" s="98"/>
      <c r="L125" s="155"/>
      <c r="M125" s="155"/>
    </row>
    <row r="126">
      <c r="A126" s="15" t="s">
        <v>313</v>
      </c>
      <c r="B126" s="147" t="s">
        <v>41</v>
      </c>
      <c r="C126" s="148" t="s">
        <v>42</v>
      </c>
      <c r="D126" s="148" t="s">
        <v>274</v>
      </c>
      <c r="E126" s="148">
        <v>23896.0</v>
      </c>
      <c r="F126" s="148">
        <v>5018.16</v>
      </c>
      <c r="G126" s="148"/>
      <c r="H126" s="162">
        <v>28914.16</v>
      </c>
      <c r="I126" s="150" t="s">
        <v>81</v>
      </c>
      <c r="J126" s="151">
        <v>45737.0</v>
      </c>
      <c r="K126" s="151">
        <v>45737.0</v>
      </c>
      <c r="L126" s="152"/>
      <c r="M126" s="153"/>
    </row>
    <row r="127" hidden="1">
      <c r="A127" s="94" t="s">
        <v>313</v>
      </c>
      <c r="B127" s="154" t="s">
        <v>50</v>
      </c>
      <c r="C127" s="93"/>
      <c r="D127" s="93"/>
      <c r="E127" s="93"/>
      <c r="F127" s="93"/>
      <c r="G127" s="93"/>
      <c r="H127" s="157" t="s">
        <v>16</v>
      </c>
      <c r="I127" s="157"/>
      <c r="J127" s="98"/>
      <c r="K127" s="98"/>
      <c r="L127" s="193"/>
      <c r="M127" s="155"/>
    </row>
    <row r="128" hidden="1">
      <c r="A128" s="15" t="s">
        <v>313</v>
      </c>
      <c r="B128" s="147" t="s">
        <v>43</v>
      </c>
      <c r="C128" s="194"/>
      <c r="D128" s="194"/>
      <c r="E128" s="148"/>
      <c r="F128" s="148"/>
      <c r="G128" s="148"/>
      <c r="H128" s="162" t="s">
        <v>16</v>
      </c>
      <c r="I128" s="162"/>
      <c r="J128" s="151"/>
      <c r="K128" s="151"/>
      <c r="L128" s="152"/>
      <c r="M128" s="153"/>
    </row>
    <row r="129" hidden="1">
      <c r="A129" s="94" t="s">
        <v>313</v>
      </c>
      <c r="B129" s="154" t="s">
        <v>269</v>
      </c>
      <c r="C129" s="93"/>
      <c r="D129" s="93"/>
      <c r="E129" s="93"/>
      <c r="F129" s="93"/>
      <c r="G129" s="93"/>
      <c r="H129" s="96" t="s">
        <v>16</v>
      </c>
      <c r="I129" s="157"/>
      <c r="J129" s="98"/>
      <c r="K129" s="98"/>
      <c r="L129" s="155"/>
      <c r="M129" s="155"/>
    </row>
    <row r="130">
      <c r="A130" s="117" t="s">
        <v>316</v>
      </c>
      <c r="B130" s="165" t="s">
        <v>34</v>
      </c>
      <c r="C130" s="166" t="s">
        <v>90</v>
      </c>
      <c r="D130" s="166" t="s">
        <v>317</v>
      </c>
      <c r="E130" s="166">
        <v>1315414.0</v>
      </c>
      <c r="F130" s="166">
        <v>276236.94</v>
      </c>
      <c r="G130" s="166"/>
      <c r="H130" s="167">
        <v>1591650.94</v>
      </c>
      <c r="I130" s="166" t="s">
        <v>51</v>
      </c>
      <c r="J130" s="168">
        <v>45727.0</v>
      </c>
      <c r="K130" s="168">
        <v>45727.0</v>
      </c>
      <c r="L130" s="195" t="s">
        <v>91</v>
      </c>
      <c r="M130" s="170"/>
    </row>
    <row r="131">
      <c r="A131" s="171" t="s">
        <v>316</v>
      </c>
      <c r="B131" s="172" t="s">
        <v>39</v>
      </c>
      <c r="C131" s="180"/>
      <c r="D131" s="180"/>
      <c r="E131" s="32"/>
      <c r="F131" s="32"/>
      <c r="G131" s="32"/>
      <c r="H131" s="66" t="s">
        <v>16</v>
      </c>
      <c r="I131" s="180"/>
      <c r="J131" s="33"/>
      <c r="K131" s="33"/>
      <c r="L131" s="176"/>
      <c r="M131" s="177"/>
    </row>
    <row r="132">
      <c r="A132" s="117" t="s">
        <v>316</v>
      </c>
      <c r="B132" s="165" t="s">
        <v>37</v>
      </c>
      <c r="C132" s="166" t="s">
        <v>280</v>
      </c>
      <c r="D132" s="166" t="s">
        <v>318</v>
      </c>
      <c r="E132" s="166">
        <v>103104.58</v>
      </c>
      <c r="F132" s="166">
        <v>27838.24</v>
      </c>
      <c r="G132" s="166">
        <v>8663.28</v>
      </c>
      <c r="H132" s="167">
        <v>139606.1</v>
      </c>
      <c r="I132" s="166" t="s">
        <v>38</v>
      </c>
      <c r="J132" s="168">
        <v>45728.0</v>
      </c>
      <c r="K132" s="168">
        <v>45727.0</v>
      </c>
      <c r="L132" s="169"/>
      <c r="M132" s="170"/>
    </row>
    <row r="133" hidden="1">
      <c r="A133" s="171" t="s">
        <v>316</v>
      </c>
      <c r="B133" s="172" t="s">
        <v>99</v>
      </c>
      <c r="C133" s="32"/>
      <c r="D133" s="32"/>
      <c r="E133" s="32"/>
      <c r="F133" s="32"/>
      <c r="G133" s="32"/>
      <c r="H133" s="66" t="s">
        <v>16</v>
      </c>
      <c r="I133" s="66"/>
      <c r="J133" s="161"/>
      <c r="K133" s="161"/>
      <c r="L133" s="176"/>
      <c r="M133" s="177"/>
    </row>
    <row r="134" hidden="1">
      <c r="A134" s="117" t="s">
        <v>316</v>
      </c>
      <c r="B134" s="165" t="s">
        <v>46</v>
      </c>
      <c r="C134" s="189"/>
      <c r="D134" s="189"/>
      <c r="E134" s="166"/>
      <c r="F134" s="166"/>
      <c r="G134" s="166"/>
      <c r="H134" s="167" t="s">
        <v>16</v>
      </c>
      <c r="I134" s="189"/>
      <c r="J134" s="168"/>
      <c r="K134" s="168"/>
      <c r="L134" s="169"/>
      <c r="M134" s="170"/>
    </row>
    <row r="135" hidden="1">
      <c r="A135" s="171" t="s">
        <v>316</v>
      </c>
      <c r="B135" s="172" t="s">
        <v>31</v>
      </c>
      <c r="C135" s="173"/>
      <c r="D135" s="173"/>
      <c r="E135" s="173"/>
      <c r="F135" s="173"/>
      <c r="G135" s="173"/>
      <c r="H135" s="178" t="s">
        <v>16</v>
      </c>
      <c r="I135" s="173"/>
      <c r="J135" s="175"/>
      <c r="K135" s="175"/>
      <c r="L135" s="179"/>
      <c r="M135" s="177"/>
    </row>
    <row r="136" hidden="1">
      <c r="A136" s="117" t="s">
        <v>316</v>
      </c>
      <c r="B136" s="165" t="s">
        <v>268</v>
      </c>
      <c r="C136" s="180"/>
      <c r="D136" s="180"/>
      <c r="E136" s="32"/>
      <c r="F136" s="32"/>
      <c r="G136" s="32"/>
      <c r="H136" s="66" t="s">
        <v>16</v>
      </c>
      <c r="I136" s="180"/>
      <c r="J136" s="33"/>
      <c r="K136" s="33"/>
      <c r="L136" s="169"/>
      <c r="M136" s="170"/>
    </row>
    <row r="137" hidden="1">
      <c r="A137" s="171" t="s">
        <v>316</v>
      </c>
      <c r="B137" s="172" t="s">
        <v>102</v>
      </c>
      <c r="C137" s="181"/>
      <c r="D137" s="181"/>
      <c r="E137" s="173"/>
      <c r="F137" s="173"/>
      <c r="G137" s="173"/>
      <c r="H137" s="178" t="s">
        <v>16</v>
      </c>
      <c r="I137" s="181"/>
      <c r="J137" s="175"/>
      <c r="K137" s="175"/>
      <c r="L137" s="176"/>
      <c r="M137" s="177"/>
    </row>
    <row r="138">
      <c r="A138" s="117" t="s">
        <v>316</v>
      </c>
      <c r="B138" s="165" t="s">
        <v>41</v>
      </c>
      <c r="C138" s="166" t="s">
        <v>42</v>
      </c>
      <c r="D138" s="166" t="s">
        <v>274</v>
      </c>
      <c r="E138" s="166">
        <v>52981.0</v>
      </c>
      <c r="F138" s="166">
        <v>11126.01</v>
      </c>
      <c r="G138" s="166"/>
      <c r="H138" s="167">
        <v>64107.01</v>
      </c>
      <c r="I138" s="150" t="s">
        <v>81</v>
      </c>
      <c r="J138" s="168">
        <v>45737.0</v>
      </c>
      <c r="K138" s="168">
        <v>45737.0</v>
      </c>
      <c r="L138" s="169"/>
      <c r="M138" s="170"/>
    </row>
    <row r="139">
      <c r="A139" s="171" t="s">
        <v>316</v>
      </c>
      <c r="B139" s="172" t="s">
        <v>50</v>
      </c>
      <c r="C139" s="181"/>
      <c r="D139" s="181"/>
      <c r="E139" s="173"/>
      <c r="F139" s="173"/>
      <c r="G139" s="173"/>
      <c r="H139" s="178" t="s">
        <v>16</v>
      </c>
      <c r="I139" s="181"/>
      <c r="J139" s="175"/>
      <c r="K139" s="175"/>
      <c r="L139" s="176"/>
      <c r="M139" s="177"/>
    </row>
    <row r="140">
      <c r="A140" s="117" t="s">
        <v>316</v>
      </c>
      <c r="B140" s="165" t="s">
        <v>43</v>
      </c>
      <c r="C140" s="166" t="s">
        <v>275</v>
      </c>
      <c r="D140" s="166" t="s">
        <v>319</v>
      </c>
      <c r="E140" s="166">
        <v>46380.0</v>
      </c>
      <c r="F140" s="166">
        <v>13450.2</v>
      </c>
      <c r="G140" s="166"/>
      <c r="H140" s="167">
        <v>59830.2</v>
      </c>
      <c r="I140" s="166" t="s">
        <v>38</v>
      </c>
      <c r="J140" s="168">
        <v>45722.0</v>
      </c>
      <c r="K140" s="168">
        <v>45722.0</v>
      </c>
      <c r="L140" s="191"/>
      <c r="M140" s="170"/>
    </row>
    <row r="141">
      <c r="A141" s="171" t="s">
        <v>316</v>
      </c>
      <c r="B141" s="172" t="s">
        <v>269</v>
      </c>
      <c r="C141" s="196"/>
      <c r="D141" s="196"/>
      <c r="E141" s="173"/>
      <c r="F141" s="173"/>
      <c r="G141" s="173"/>
      <c r="H141" s="178" t="s">
        <v>16</v>
      </c>
      <c r="I141" s="181"/>
      <c r="J141" s="175"/>
      <c r="K141" s="175"/>
      <c r="L141" s="176"/>
      <c r="M141" s="177"/>
    </row>
    <row r="142">
      <c r="A142" s="15" t="s">
        <v>320</v>
      </c>
      <c r="B142" s="147" t="s">
        <v>34</v>
      </c>
      <c r="C142" s="32"/>
      <c r="D142" s="32"/>
      <c r="E142" s="32"/>
      <c r="F142" s="32"/>
      <c r="G142" s="32"/>
      <c r="H142" s="158" t="s">
        <v>16</v>
      </c>
      <c r="I142" s="66"/>
      <c r="J142" s="33"/>
      <c r="K142" s="33"/>
      <c r="L142" s="152"/>
      <c r="M142" s="153"/>
    </row>
    <row r="143">
      <c r="A143" s="94" t="s">
        <v>320</v>
      </c>
      <c r="B143" s="154" t="s">
        <v>39</v>
      </c>
      <c r="C143" s="32"/>
      <c r="D143" s="32"/>
      <c r="E143" s="32"/>
      <c r="F143" s="32"/>
      <c r="G143" s="32"/>
      <c r="H143" s="66" t="s">
        <v>16</v>
      </c>
      <c r="I143" s="66"/>
      <c r="J143" s="33"/>
      <c r="K143" s="33"/>
      <c r="L143" s="155"/>
      <c r="M143" s="155"/>
    </row>
    <row r="144">
      <c r="A144" s="15" t="s">
        <v>320</v>
      </c>
      <c r="B144" s="147" t="s">
        <v>37</v>
      </c>
      <c r="C144" s="148" t="s">
        <v>321</v>
      </c>
      <c r="D144" s="148" t="s">
        <v>322</v>
      </c>
      <c r="E144" s="148"/>
      <c r="F144" s="148"/>
      <c r="G144" s="148"/>
      <c r="H144" s="150">
        <v>835028.44</v>
      </c>
      <c r="I144" s="150" t="s">
        <v>81</v>
      </c>
      <c r="J144" s="151">
        <v>45748.0</v>
      </c>
      <c r="K144" s="151">
        <v>45748.0</v>
      </c>
      <c r="L144" s="190"/>
      <c r="M144" s="153"/>
    </row>
    <row r="145">
      <c r="A145" s="94" t="s">
        <v>320</v>
      </c>
      <c r="B145" s="154" t="s">
        <v>99</v>
      </c>
      <c r="C145" s="93" t="s">
        <v>100</v>
      </c>
      <c r="D145" s="93" t="s">
        <v>101</v>
      </c>
      <c r="E145" s="93">
        <v>22339.7</v>
      </c>
      <c r="F145" s="93"/>
      <c r="G145" s="93"/>
      <c r="H145" s="157">
        <v>22339.7</v>
      </c>
      <c r="I145" s="97" t="s">
        <v>38</v>
      </c>
      <c r="J145" s="98">
        <v>45722.0</v>
      </c>
      <c r="K145" s="98">
        <v>45722.0</v>
      </c>
      <c r="L145" s="155"/>
      <c r="M145" s="155"/>
    </row>
    <row r="146">
      <c r="A146" s="15" t="s">
        <v>320</v>
      </c>
      <c r="B146" s="147" t="s">
        <v>46</v>
      </c>
      <c r="C146" s="148" t="s">
        <v>323</v>
      </c>
      <c r="D146" s="148" t="s">
        <v>324</v>
      </c>
      <c r="E146" s="148">
        <v>257690.51</v>
      </c>
      <c r="F146" s="148"/>
      <c r="G146" s="148"/>
      <c r="H146" s="162">
        <v>257690.51</v>
      </c>
      <c r="I146" s="150" t="s">
        <v>38</v>
      </c>
      <c r="J146" s="151">
        <v>45723.0</v>
      </c>
      <c r="K146" s="151">
        <v>45723.0</v>
      </c>
      <c r="L146" s="152"/>
      <c r="M146" s="153"/>
    </row>
    <row r="147">
      <c r="A147" s="94" t="s">
        <v>320</v>
      </c>
      <c r="B147" s="154" t="s">
        <v>31</v>
      </c>
      <c r="C147" s="93" t="s">
        <v>325</v>
      </c>
      <c r="D147" s="93" t="s">
        <v>326</v>
      </c>
      <c r="E147" s="93">
        <v>59890.0</v>
      </c>
      <c r="F147" s="93">
        <v>14673.599999999999</v>
      </c>
      <c r="G147" s="93">
        <v>6630.409999999998</v>
      </c>
      <c r="H147" s="157">
        <v>81194.01000000001</v>
      </c>
      <c r="I147" s="97" t="s">
        <v>81</v>
      </c>
      <c r="J147" s="98">
        <v>45733.0</v>
      </c>
      <c r="K147" s="98">
        <v>45733.0</v>
      </c>
      <c r="L147" s="94"/>
      <c r="M147" s="155"/>
    </row>
    <row r="148">
      <c r="A148" s="15" t="s">
        <v>320</v>
      </c>
      <c r="B148" s="147" t="s">
        <v>268</v>
      </c>
      <c r="C148" s="32"/>
      <c r="D148" s="32"/>
      <c r="E148" s="32"/>
      <c r="F148" s="32"/>
      <c r="G148" s="32"/>
      <c r="H148" s="66" t="s">
        <v>16</v>
      </c>
      <c r="I148" s="182"/>
      <c r="J148" s="33"/>
      <c r="K148" s="33"/>
      <c r="L148" s="152"/>
      <c r="M148" s="153"/>
    </row>
    <row r="149">
      <c r="A149" s="94" t="s">
        <v>320</v>
      </c>
      <c r="B149" s="154" t="s">
        <v>102</v>
      </c>
      <c r="C149" s="93"/>
      <c r="D149" s="93"/>
      <c r="E149" s="93"/>
      <c r="F149" s="93"/>
      <c r="G149" s="93"/>
      <c r="H149" s="157" t="s">
        <v>16</v>
      </c>
      <c r="I149" s="157"/>
      <c r="J149" s="98"/>
      <c r="K149" s="98"/>
      <c r="L149" s="94"/>
      <c r="M149" s="155"/>
    </row>
    <row r="150">
      <c r="A150" s="15" t="s">
        <v>320</v>
      </c>
      <c r="B150" s="147" t="s">
        <v>41</v>
      </c>
      <c r="C150" s="148" t="s">
        <v>42</v>
      </c>
      <c r="D150" s="148" t="s">
        <v>274</v>
      </c>
      <c r="E150" s="148">
        <v>67542.0</v>
      </c>
      <c r="F150" s="148">
        <v>14183.82</v>
      </c>
      <c r="G150" s="148"/>
      <c r="H150" s="162">
        <v>81725.82</v>
      </c>
      <c r="I150" s="150" t="s">
        <v>81</v>
      </c>
      <c r="J150" s="151">
        <v>45737.0</v>
      </c>
      <c r="K150" s="151">
        <v>45737.0</v>
      </c>
      <c r="L150" s="190"/>
      <c r="M150" s="153"/>
    </row>
    <row r="151">
      <c r="A151" s="94" t="s">
        <v>320</v>
      </c>
      <c r="B151" s="154" t="s">
        <v>50</v>
      </c>
      <c r="C151" s="148" t="s">
        <v>321</v>
      </c>
      <c r="D151" s="148" t="s">
        <v>322</v>
      </c>
      <c r="E151" s="197"/>
      <c r="F151" s="197"/>
      <c r="G151" s="197"/>
      <c r="H151" s="97">
        <v>217979.71</v>
      </c>
      <c r="I151" s="97" t="s">
        <v>81</v>
      </c>
      <c r="J151" s="98">
        <v>45748.0</v>
      </c>
      <c r="K151" s="98">
        <v>45748.0</v>
      </c>
      <c r="L151" s="94"/>
      <c r="M151" s="155"/>
    </row>
    <row r="152">
      <c r="A152" s="15" t="s">
        <v>320</v>
      </c>
      <c r="B152" s="147" t="s">
        <v>43</v>
      </c>
      <c r="C152" s="148" t="s">
        <v>96</v>
      </c>
      <c r="D152" s="148" t="s">
        <v>327</v>
      </c>
      <c r="E152" s="148">
        <v>72260.0</v>
      </c>
      <c r="F152" s="148">
        <v>15174.599999999999</v>
      </c>
      <c r="G152" s="148">
        <v>3251.7000000000003</v>
      </c>
      <c r="H152" s="162">
        <v>90686.3</v>
      </c>
      <c r="I152" s="150" t="s">
        <v>38</v>
      </c>
      <c r="J152" s="151">
        <v>45737.0</v>
      </c>
      <c r="K152" s="151">
        <v>45737.0</v>
      </c>
      <c r="L152" s="148" t="s">
        <v>98</v>
      </c>
      <c r="M152" s="153"/>
    </row>
    <row r="153">
      <c r="A153" s="94" t="s">
        <v>320</v>
      </c>
      <c r="B153" s="154" t="s">
        <v>269</v>
      </c>
      <c r="C153" s="93"/>
      <c r="D153" s="93"/>
      <c r="E153" s="93"/>
      <c r="F153" s="93"/>
      <c r="G153" s="93"/>
      <c r="H153" s="96" t="s">
        <v>16</v>
      </c>
      <c r="I153" s="157"/>
      <c r="J153" s="98"/>
      <c r="K153" s="98"/>
      <c r="L153" s="155"/>
      <c r="M153" s="155"/>
    </row>
    <row r="154" hidden="1">
      <c r="A154" s="117" t="s">
        <v>328</v>
      </c>
      <c r="B154" s="165" t="s">
        <v>34</v>
      </c>
      <c r="C154" s="32"/>
      <c r="D154" s="32"/>
      <c r="E154" s="32"/>
      <c r="F154" s="32"/>
      <c r="G154" s="32"/>
      <c r="H154" s="158" t="s">
        <v>16</v>
      </c>
      <c r="I154" s="66"/>
      <c r="J154" s="33"/>
      <c r="K154" s="33"/>
      <c r="L154" s="169"/>
      <c r="M154" s="170"/>
    </row>
    <row r="155" hidden="1">
      <c r="A155" s="171" t="s">
        <v>328</v>
      </c>
      <c r="B155" s="172" t="s">
        <v>39</v>
      </c>
      <c r="C155" s="32"/>
      <c r="D155" s="180"/>
      <c r="E155" s="32"/>
      <c r="F155" s="32"/>
      <c r="G155" s="32"/>
      <c r="H155" s="66" t="s">
        <v>16</v>
      </c>
      <c r="I155" s="181"/>
      <c r="J155" s="175"/>
      <c r="K155" s="175"/>
      <c r="L155" s="176"/>
      <c r="M155" s="177"/>
    </row>
    <row r="156" hidden="1">
      <c r="A156" s="117" t="s">
        <v>328</v>
      </c>
      <c r="B156" s="165" t="s">
        <v>37</v>
      </c>
      <c r="C156" s="166"/>
      <c r="D156" s="166"/>
      <c r="E156" s="166"/>
      <c r="F156" s="166"/>
      <c r="G156" s="166"/>
      <c r="H156" s="167" t="s">
        <v>16</v>
      </c>
      <c r="I156" s="166"/>
      <c r="J156" s="168"/>
      <c r="K156" s="168"/>
      <c r="L156" s="169"/>
      <c r="M156" s="170"/>
    </row>
    <row r="157" hidden="1">
      <c r="A157" s="171" t="s">
        <v>328</v>
      </c>
      <c r="B157" s="172" t="s">
        <v>99</v>
      </c>
      <c r="C157" s="32"/>
      <c r="D157" s="32"/>
      <c r="E157" s="32"/>
      <c r="F157" s="32"/>
      <c r="G157" s="32"/>
      <c r="H157" s="66" t="s">
        <v>16</v>
      </c>
      <c r="I157" s="66"/>
      <c r="J157" s="161"/>
      <c r="K157" s="161"/>
      <c r="L157" s="176"/>
      <c r="M157" s="177"/>
    </row>
    <row r="158" hidden="1">
      <c r="A158" s="117" t="s">
        <v>328</v>
      </c>
      <c r="B158" s="165" t="s">
        <v>46</v>
      </c>
      <c r="C158" s="32"/>
      <c r="D158" s="32"/>
      <c r="E158" s="32"/>
      <c r="F158" s="32"/>
      <c r="G158" s="32"/>
      <c r="H158" s="66" t="s">
        <v>16</v>
      </c>
      <c r="I158" s="66"/>
      <c r="J158" s="161"/>
      <c r="K158" s="161"/>
      <c r="L158" s="169"/>
      <c r="M158" s="170"/>
    </row>
    <row r="159" hidden="1">
      <c r="A159" s="171" t="s">
        <v>328</v>
      </c>
      <c r="B159" s="172" t="s">
        <v>31</v>
      </c>
      <c r="C159" s="32"/>
      <c r="D159" s="32"/>
      <c r="E159" s="32"/>
      <c r="F159" s="32"/>
      <c r="G159" s="32"/>
      <c r="H159" s="66" t="s">
        <v>16</v>
      </c>
      <c r="I159" s="66"/>
      <c r="J159" s="161"/>
      <c r="K159" s="161"/>
      <c r="L159" s="179"/>
      <c r="M159" s="177"/>
    </row>
    <row r="160" hidden="1">
      <c r="A160" s="117" t="s">
        <v>328</v>
      </c>
      <c r="B160" s="165" t="s">
        <v>268</v>
      </c>
      <c r="C160" s="180"/>
      <c r="D160" s="180"/>
      <c r="E160" s="32"/>
      <c r="F160" s="32"/>
      <c r="G160" s="32"/>
      <c r="H160" s="66" t="s">
        <v>16</v>
      </c>
      <c r="I160" s="180"/>
      <c r="J160" s="33"/>
      <c r="K160" s="33"/>
      <c r="L160" s="169"/>
      <c r="M160" s="170"/>
    </row>
    <row r="161" hidden="1">
      <c r="A161" s="171" t="s">
        <v>328</v>
      </c>
      <c r="B161" s="172" t="s">
        <v>102</v>
      </c>
      <c r="C161" s="32"/>
      <c r="D161" s="32"/>
      <c r="E161" s="32"/>
      <c r="F161" s="32"/>
      <c r="G161" s="32"/>
      <c r="H161" s="66" t="s">
        <v>16</v>
      </c>
      <c r="I161" s="66"/>
      <c r="J161" s="161"/>
      <c r="K161" s="161"/>
      <c r="L161" s="176"/>
      <c r="M161" s="177"/>
    </row>
    <row r="162" hidden="1">
      <c r="A162" s="117" t="s">
        <v>328</v>
      </c>
      <c r="B162" s="165" t="s">
        <v>41</v>
      </c>
      <c r="C162" s="32"/>
      <c r="D162" s="32"/>
      <c r="E162" s="32"/>
      <c r="F162" s="32"/>
      <c r="G162" s="32"/>
      <c r="H162" s="66" t="s">
        <v>16</v>
      </c>
      <c r="I162" s="66"/>
      <c r="J162" s="161"/>
      <c r="K162" s="161"/>
      <c r="L162" s="169"/>
      <c r="M162" s="170"/>
    </row>
    <row r="163" hidden="1">
      <c r="A163" s="171" t="s">
        <v>328</v>
      </c>
      <c r="B163" s="172" t="s">
        <v>50</v>
      </c>
      <c r="C163" s="32"/>
      <c r="D163" s="32"/>
      <c r="E163" s="32"/>
      <c r="F163" s="32"/>
      <c r="G163" s="32"/>
      <c r="H163" s="66" t="s">
        <v>16</v>
      </c>
      <c r="I163" s="66"/>
      <c r="J163" s="161"/>
      <c r="K163" s="161"/>
      <c r="L163" s="176"/>
      <c r="M163" s="177"/>
    </row>
    <row r="164" hidden="1">
      <c r="A164" s="117" t="s">
        <v>328</v>
      </c>
      <c r="B164" s="165" t="s">
        <v>43</v>
      </c>
      <c r="C164" s="32"/>
      <c r="D164" s="32"/>
      <c r="E164" s="32"/>
      <c r="F164" s="32"/>
      <c r="G164" s="32"/>
      <c r="H164" s="66" t="s">
        <v>16</v>
      </c>
      <c r="I164" s="66"/>
      <c r="J164" s="161"/>
      <c r="K164" s="161"/>
      <c r="L164" s="169"/>
      <c r="M164" s="170"/>
    </row>
    <row r="165" hidden="1">
      <c r="A165" s="171" t="s">
        <v>328</v>
      </c>
      <c r="B165" s="172" t="s">
        <v>269</v>
      </c>
      <c r="C165" s="32"/>
      <c r="D165" s="32"/>
      <c r="E165" s="32"/>
      <c r="F165" s="32"/>
      <c r="G165" s="32"/>
      <c r="H165" s="66" t="s">
        <v>16</v>
      </c>
      <c r="I165" s="66"/>
      <c r="J165" s="161"/>
      <c r="K165" s="161"/>
      <c r="L165" s="176"/>
      <c r="M165" s="177"/>
    </row>
    <row r="166">
      <c r="A166" s="15" t="s">
        <v>329</v>
      </c>
      <c r="B166" s="147" t="s">
        <v>34</v>
      </c>
      <c r="C166" s="148" t="s">
        <v>330</v>
      </c>
      <c r="D166" s="148" t="s">
        <v>331</v>
      </c>
      <c r="E166" s="148">
        <v>798588.97</v>
      </c>
      <c r="F166" s="148">
        <v>113581.02</v>
      </c>
      <c r="G166" s="148"/>
      <c r="H166" s="149">
        <v>912169.99</v>
      </c>
      <c r="I166" s="150" t="s">
        <v>81</v>
      </c>
      <c r="J166" s="151">
        <v>45727.0</v>
      </c>
      <c r="K166" s="151">
        <v>45727.0</v>
      </c>
      <c r="L166" s="152"/>
      <c r="M166" s="153"/>
    </row>
    <row r="167">
      <c r="A167" s="94" t="s">
        <v>329</v>
      </c>
      <c r="B167" s="154" t="s">
        <v>39</v>
      </c>
      <c r="C167" s="93" t="s">
        <v>332</v>
      </c>
      <c r="D167" s="93"/>
      <c r="E167" s="93"/>
      <c r="F167" s="93"/>
      <c r="G167" s="93"/>
      <c r="H167" s="157" t="s">
        <v>16</v>
      </c>
      <c r="I167" s="157"/>
      <c r="J167" s="98"/>
      <c r="K167" s="98"/>
      <c r="L167" s="155"/>
      <c r="M167" s="155"/>
    </row>
    <row r="168" hidden="1">
      <c r="A168" s="15" t="s">
        <v>329</v>
      </c>
      <c r="B168" s="147" t="s">
        <v>37</v>
      </c>
      <c r="C168" s="148"/>
      <c r="D168" s="148"/>
      <c r="E168" s="148"/>
      <c r="F168" s="148"/>
      <c r="G168" s="148"/>
      <c r="H168" s="162" t="s">
        <v>16</v>
      </c>
      <c r="I168" s="162"/>
      <c r="J168" s="151"/>
      <c r="K168" s="151"/>
      <c r="L168" s="152"/>
      <c r="M168" s="153"/>
    </row>
    <row r="169" hidden="1">
      <c r="A169" s="94" t="s">
        <v>329</v>
      </c>
      <c r="B169" s="154" t="s">
        <v>99</v>
      </c>
      <c r="C169" s="32"/>
      <c r="D169" s="32"/>
      <c r="E169" s="32"/>
      <c r="F169" s="32"/>
      <c r="G169" s="32"/>
      <c r="H169" s="66" t="s">
        <v>16</v>
      </c>
      <c r="I169" s="66"/>
      <c r="J169" s="161"/>
      <c r="K169" s="161"/>
      <c r="L169" s="155"/>
      <c r="M169" s="155"/>
    </row>
    <row r="170" hidden="1">
      <c r="A170" s="15" t="s">
        <v>329</v>
      </c>
      <c r="B170" s="147" t="s">
        <v>46</v>
      </c>
      <c r="C170" s="148"/>
      <c r="D170" s="148"/>
      <c r="E170" s="148"/>
      <c r="F170" s="148"/>
      <c r="G170" s="148"/>
      <c r="H170" s="162" t="s">
        <v>16</v>
      </c>
      <c r="I170" s="162"/>
      <c r="J170" s="151"/>
      <c r="K170" s="151"/>
      <c r="L170" s="152"/>
      <c r="M170" s="153"/>
    </row>
    <row r="171" hidden="1">
      <c r="A171" s="94" t="s">
        <v>329</v>
      </c>
      <c r="B171" s="154" t="s">
        <v>31</v>
      </c>
      <c r="C171" s="93"/>
      <c r="D171" s="93"/>
      <c r="E171" s="93"/>
      <c r="F171" s="93"/>
      <c r="G171" s="93"/>
      <c r="H171" s="157" t="s">
        <v>16</v>
      </c>
      <c r="I171" s="157"/>
      <c r="J171" s="98"/>
      <c r="K171" s="98"/>
      <c r="L171" s="155"/>
      <c r="M171" s="155"/>
    </row>
    <row r="172" hidden="1">
      <c r="A172" s="15" t="s">
        <v>329</v>
      </c>
      <c r="B172" s="147" t="s">
        <v>268</v>
      </c>
      <c r="C172" s="32"/>
      <c r="D172" s="32"/>
      <c r="E172" s="32"/>
      <c r="F172" s="32"/>
      <c r="G172" s="32"/>
      <c r="H172" s="66" t="s">
        <v>16</v>
      </c>
      <c r="I172" s="66"/>
      <c r="J172" s="33"/>
      <c r="K172" s="33"/>
      <c r="L172" s="152"/>
      <c r="M172" s="153"/>
    </row>
    <row r="173" hidden="1">
      <c r="A173" s="94" t="s">
        <v>329</v>
      </c>
      <c r="B173" s="154" t="s">
        <v>102</v>
      </c>
      <c r="C173" s="93"/>
      <c r="D173" s="93"/>
      <c r="E173" s="93"/>
      <c r="F173" s="93"/>
      <c r="G173" s="93"/>
      <c r="H173" s="157" t="s">
        <v>16</v>
      </c>
      <c r="I173" s="157"/>
      <c r="J173" s="98"/>
      <c r="K173" s="98"/>
      <c r="L173" s="155"/>
      <c r="M173" s="155"/>
    </row>
    <row r="174">
      <c r="A174" s="15" t="s">
        <v>329</v>
      </c>
      <c r="B174" s="147" t="s">
        <v>41</v>
      </c>
      <c r="C174" s="148" t="s">
        <v>42</v>
      </c>
      <c r="D174" s="148" t="s">
        <v>274</v>
      </c>
      <c r="E174" s="148">
        <v>23896.0</v>
      </c>
      <c r="F174" s="148">
        <v>5018.16</v>
      </c>
      <c r="G174" s="148"/>
      <c r="H174" s="162">
        <v>28914.16</v>
      </c>
      <c r="I174" s="150" t="s">
        <v>81</v>
      </c>
      <c r="J174" s="151">
        <v>45737.0</v>
      </c>
      <c r="K174" s="151">
        <v>45737.0</v>
      </c>
      <c r="L174" s="152"/>
      <c r="M174" s="153"/>
    </row>
    <row r="175">
      <c r="A175" s="94" t="s">
        <v>329</v>
      </c>
      <c r="B175" s="154" t="s">
        <v>50</v>
      </c>
      <c r="C175" s="93"/>
      <c r="D175" s="93"/>
      <c r="E175" s="197"/>
      <c r="F175" s="197"/>
      <c r="G175" s="197"/>
      <c r="H175" s="157" t="s">
        <v>16</v>
      </c>
      <c r="I175" s="157"/>
      <c r="J175" s="98"/>
      <c r="K175" s="98"/>
      <c r="L175" s="155"/>
      <c r="M175" s="155"/>
    </row>
    <row r="176">
      <c r="A176" s="15" t="s">
        <v>329</v>
      </c>
      <c r="B176" s="147" t="s">
        <v>43</v>
      </c>
      <c r="C176" s="148" t="s">
        <v>275</v>
      </c>
      <c r="D176" s="148" t="s">
        <v>333</v>
      </c>
      <c r="E176" s="148">
        <v>30600.0</v>
      </c>
      <c r="F176" s="148">
        <v>8874.0</v>
      </c>
      <c r="G176" s="148"/>
      <c r="H176" s="162">
        <v>39474.0</v>
      </c>
      <c r="I176" s="150" t="s">
        <v>51</v>
      </c>
      <c r="J176" s="151">
        <v>45722.0</v>
      </c>
      <c r="K176" s="151">
        <v>45722.0</v>
      </c>
      <c r="L176" s="152"/>
      <c r="M176" s="153"/>
    </row>
    <row r="177">
      <c r="A177" s="94" t="s">
        <v>329</v>
      </c>
      <c r="B177" s="154" t="s">
        <v>269</v>
      </c>
      <c r="C177" s="93"/>
      <c r="D177" s="93"/>
      <c r="E177" s="93"/>
      <c r="F177" s="93"/>
      <c r="G177" s="93"/>
      <c r="H177" s="96" t="s">
        <v>16</v>
      </c>
      <c r="I177" s="157"/>
      <c r="J177" s="98"/>
      <c r="K177" s="98"/>
      <c r="L177" s="155"/>
      <c r="M177" s="155"/>
    </row>
    <row r="178">
      <c r="A178" s="117" t="s">
        <v>334</v>
      </c>
      <c r="B178" s="165" t="s">
        <v>34</v>
      </c>
      <c r="C178" s="166" t="s">
        <v>330</v>
      </c>
      <c r="D178" s="166" t="s">
        <v>335</v>
      </c>
      <c r="E178" s="166">
        <v>431495.46</v>
      </c>
      <c r="F178" s="166">
        <v>82333.64</v>
      </c>
      <c r="G178" s="166"/>
      <c r="H178" s="167">
        <v>513829.10000000003</v>
      </c>
      <c r="I178" s="166" t="s">
        <v>81</v>
      </c>
      <c r="J178" s="168">
        <v>45727.0</v>
      </c>
      <c r="K178" s="168">
        <v>45727.0</v>
      </c>
      <c r="L178" s="169"/>
      <c r="M178" s="170"/>
    </row>
    <row r="179">
      <c r="A179" s="171" t="s">
        <v>334</v>
      </c>
      <c r="B179" s="172" t="s">
        <v>39</v>
      </c>
      <c r="C179" s="173" t="s">
        <v>336</v>
      </c>
      <c r="D179" s="173"/>
      <c r="E179" s="173"/>
      <c r="F179" s="173"/>
      <c r="G179" s="173"/>
      <c r="H179" s="178" t="s">
        <v>16</v>
      </c>
      <c r="I179" s="181"/>
      <c r="J179" s="175"/>
      <c r="K179" s="175"/>
      <c r="L179" s="176"/>
      <c r="M179" s="177"/>
    </row>
    <row r="180">
      <c r="A180" s="117" t="s">
        <v>334</v>
      </c>
      <c r="B180" s="165" t="s">
        <v>37</v>
      </c>
      <c r="C180" s="173" t="s">
        <v>336</v>
      </c>
      <c r="D180" s="166"/>
      <c r="E180" s="166"/>
      <c r="F180" s="166"/>
      <c r="G180" s="166"/>
      <c r="H180" s="167" t="s">
        <v>16</v>
      </c>
      <c r="I180" s="166"/>
      <c r="J180" s="168"/>
      <c r="K180" s="168"/>
      <c r="L180" s="169"/>
      <c r="M180" s="170"/>
    </row>
    <row r="181" hidden="1">
      <c r="A181" s="171" t="s">
        <v>334</v>
      </c>
      <c r="B181" s="172" t="s">
        <v>99</v>
      </c>
      <c r="C181" s="32"/>
      <c r="D181" s="32"/>
      <c r="E181" s="32"/>
      <c r="F181" s="32"/>
      <c r="G181" s="32"/>
      <c r="H181" s="66" t="s">
        <v>16</v>
      </c>
      <c r="I181" s="66"/>
      <c r="J181" s="161"/>
      <c r="K181" s="161"/>
      <c r="L181" s="176"/>
      <c r="M181" s="177"/>
    </row>
    <row r="182" hidden="1">
      <c r="A182" s="117" t="s">
        <v>334</v>
      </c>
      <c r="B182" s="165" t="s">
        <v>46</v>
      </c>
      <c r="C182" s="189"/>
      <c r="D182" s="189"/>
      <c r="E182" s="166"/>
      <c r="F182" s="166"/>
      <c r="G182" s="166"/>
      <c r="H182" s="167" t="s">
        <v>16</v>
      </c>
      <c r="I182" s="189"/>
      <c r="J182" s="168"/>
      <c r="K182" s="168"/>
      <c r="L182" s="169"/>
      <c r="M182" s="170"/>
    </row>
    <row r="183" hidden="1">
      <c r="A183" s="171" t="s">
        <v>334</v>
      </c>
      <c r="B183" s="172" t="s">
        <v>31</v>
      </c>
      <c r="C183" s="181"/>
      <c r="D183" s="181"/>
      <c r="E183" s="173"/>
      <c r="F183" s="173"/>
      <c r="G183" s="173"/>
      <c r="H183" s="178" t="s">
        <v>16</v>
      </c>
      <c r="I183" s="181"/>
      <c r="J183" s="175"/>
      <c r="K183" s="175"/>
      <c r="L183" s="176"/>
      <c r="M183" s="177"/>
    </row>
    <row r="184" hidden="1">
      <c r="A184" s="117" t="s">
        <v>334</v>
      </c>
      <c r="B184" s="165" t="s">
        <v>268</v>
      </c>
      <c r="C184" s="180"/>
      <c r="D184" s="180"/>
      <c r="E184" s="32"/>
      <c r="F184" s="32"/>
      <c r="G184" s="32"/>
      <c r="H184" s="66" t="s">
        <v>16</v>
      </c>
      <c r="I184" s="180"/>
      <c r="J184" s="33"/>
      <c r="K184" s="33"/>
      <c r="L184" s="169"/>
      <c r="M184" s="170"/>
    </row>
    <row r="185" hidden="1">
      <c r="A185" s="171" t="s">
        <v>334</v>
      </c>
      <c r="B185" s="172" t="s">
        <v>102</v>
      </c>
      <c r="C185" s="181"/>
      <c r="D185" s="181"/>
      <c r="E185" s="173"/>
      <c r="F185" s="173"/>
      <c r="G185" s="173"/>
      <c r="H185" s="178" t="s">
        <v>16</v>
      </c>
      <c r="I185" s="181"/>
      <c r="J185" s="175"/>
      <c r="K185" s="175"/>
      <c r="L185" s="176"/>
      <c r="M185" s="177"/>
    </row>
    <row r="186" hidden="1">
      <c r="A186" s="117" t="s">
        <v>334</v>
      </c>
      <c r="B186" s="165" t="s">
        <v>41</v>
      </c>
      <c r="C186" s="166"/>
      <c r="D186" s="166"/>
      <c r="E186" s="166"/>
      <c r="F186" s="166"/>
      <c r="G186" s="166"/>
      <c r="H186" s="167" t="s">
        <v>16</v>
      </c>
      <c r="I186" s="189"/>
      <c r="J186" s="168"/>
      <c r="K186" s="168"/>
      <c r="L186" s="169"/>
      <c r="M186" s="170"/>
    </row>
    <row r="187" hidden="1">
      <c r="A187" s="171" t="s">
        <v>334</v>
      </c>
      <c r="B187" s="172" t="s">
        <v>50</v>
      </c>
      <c r="C187" s="181"/>
      <c r="D187" s="181"/>
      <c r="E187" s="173"/>
      <c r="F187" s="173"/>
      <c r="G187" s="173"/>
      <c r="H187" s="178" t="s">
        <v>16</v>
      </c>
      <c r="I187" s="181"/>
      <c r="J187" s="175"/>
      <c r="K187" s="175"/>
      <c r="L187" s="176"/>
      <c r="M187" s="177"/>
    </row>
    <row r="188" hidden="1">
      <c r="A188" s="117" t="s">
        <v>334</v>
      </c>
      <c r="B188" s="165" t="s">
        <v>43</v>
      </c>
      <c r="C188" s="189"/>
      <c r="D188" s="189"/>
      <c r="E188" s="166"/>
      <c r="F188" s="166"/>
      <c r="G188" s="166"/>
      <c r="H188" s="167" t="s">
        <v>16</v>
      </c>
      <c r="I188" s="189"/>
      <c r="J188" s="168"/>
      <c r="K188" s="168"/>
      <c r="L188" s="169"/>
      <c r="M188" s="170"/>
    </row>
    <row r="189" hidden="1">
      <c r="A189" s="171" t="s">
        <v>334</v>
      </c>
      <c r="B189" s="172" t="s">
        <v>269</v>
      </c>
      <c r="C189" s="196"/>
      <c r="D189" s="196"/>
      <c r="E189" s="173"/>
      <c r="F189" s="173"/>
      <c r="G189" s="173"/>
      <c r="H189" s="178" t="s">
        <v>16</v>
      </c>
      <c r="I189" s="181"/>
      <c r="J189" s="175"/>
      <c r="K189" s="175"/>
      <c r="L189" s="176"/>
      <c r="M189" s="177"/>
    </row>
    <row r="190">
      <c r="A190" s="15" t="s">
        <v>337</v>
      </c>
      <c r="B190" s="147" t="s">
        <v>34</v>
      </c>
      <c r="C190" s="148" t="s">
        <v>330</v>
      </c>
      <c r="D190" s="148" t="s">
        <v>338</v>
      </c>
      <c r="E190" s="148">
        <v>650808.34</v>
      </c>
      <c r="F190" s="148">
        <v>44505.22</v>
      </c>
      <c r="G190" s="148"/>
      <c r="H190" s="149">
        <v>695313.5599999999</v>
      </c>
      <c r="I190" s="150" t="s">
        <v>81</v>
      </c>
      <c r="J190" s="151">
        <v>45727.0</v>
      </c>
      <c r="K190" s="151">
        <v>45727.0</v>
      </c>
      <c r="L190" s="152"/>
      <c r="M190" s="153"/>
    </row>
    <row r="191" hidden="1">
      <c r="A191" s="94" t="s">
        <v>337</v>
      </c>
      <c r="B191" s="154" t="s">
        <v>39</v>
      </c>
      <c r="C191" s="32"/>
      <c r="D191" s="32"/>
      <c r="E191" s="32"/>
      <c r="F191" s="32"/>
      <c r="G191" s="32"/>
      <c r="H191" s="66" t="s">
        <v>16</v>
      </c>
      <c r="I191" s="66"/>
      <c r="J191" s="33"/>
      <c r="K191" s="33"/>
      <c r="L191" s="155"/>
      <c r="M191" s="155"/>
    </row>
    <row r="192" hidden="1">
      <c r="A192" s="15" t="s">
        <v>337</v>
      </c>
      <c r="B192" s="147" t="s">
        <v>37</v>
      </c>
      <c r="C192" s="148"/>
      <c r="D192" s="148"/>
      <c r="E192" s="148"/>
      <c r="F192" s="148"/>
      <c r="G192" s="148"/>
      <c r="H192" s="162" t="s">
        <v>16</v>
      </c>
      <c r="I192" s="162"/>
      <c r="J192" s="151"/>
      <c r="K192" s="151"/>
      <c r="L192" s="152"/>
      <c r="M192" s="153"/>
    </row>
    <row r="193" hidden="1">
      <c r="A193" s="94" t="s">
        <v>337</v>
      </c>
      <c r="B193" s="154" t="s">
        <v>99</v>
      </c>
      <c r="C193" s="32"/>
      <c r="D193" s="32"/>
      <c r="E193" s="32"/>
      <c r="F193" s="32"/>
      <c r="G193" s="32"/>
      <c r="H193" s="66" t="s">
        <v>16</v>
      </c>
      <c r="I193" s="66"/>
      <c r="J193" s="161"/>
      <c r="K193" s="161"/>
      <c r="L193" s="155"/>
      <c r="M193" s="155"/>
    </row>
    <row r="194" hidden="1">
      <c r="A194" s="15" t="s">
        <v>337</v>
      </c>
      <c r="B194" s="147" t="s">
        <v>46</v>
      </c>
      <c r="C194" s="148"/>
      <c r="D194" s="148"/>
      <c r="E194" s="148"/>
      <c r="F194" s="148"/>
      <c r="G194" s="148"/>
      <c r="H194" s="162" t="s">
        <v>16</v>
      </c>
      <c r="I194" s="162"/>
      <c r="J194" s="151"/>
      <c r="K194" s="151"/>
      <c r="L194" s="152"/>
      <c r="M194" s="153"/>
    </row>
    <row r="195" hidden="1">
      <c r="A195" s="94" t="s">
        <v>337</v>
      </c>
      <c r="B195" s="154" t="s">
        <v>31</v>
      </c>
      <c r="C195" s="93"/>
      <c r="D195" s="93"/>
      <c r="E195" s="93"/>
      <c r="F195" s="93"/>
      <c r="G195" s="93"/>
      <c r="H195" s="157" t="s">
        <v>16</v>
      </c>
      <c r="I195" s="157"/>
      <c r="J195" s="98"/>
      <c r="K195" s="98"/>
      <c r="L195" s="155"/>
      <c r="M195" s="155"/>
    </row>
    <row r="196" hidden="1">
      <c r="A196" s="15" t="s">
        <v>337</v>
      </c>
      <c r="B196" s="147" t="s">
        <v>268</v>
      </c>
      <c r="C196" s="32"/>
      <c r="D196" s="32"/>
      <c r="E196" s="32"/>
      <c r="F196" s="32"/>
      <c r="G196" s="32"/>
      <c r="H196" s="66" t="s">
        <v>16</v>
      </c>
      <c r="I196" s="66"/>
      <c r="J196" s="33"/>
      <c r="K196" s="33"/>
      <c r="L196" s="152"/>
      <c r="M196" s="153"/>
    </row>
    <row r="197" hidden="1">
      <c r="A197" s="94" t="s">
        <v>337</v>
      </c>
      <c r="B197" s="154" t="s">
        <v>102</v>
      </c>
      <c r="C197" s="93"/>
      <c r="D197" s="93"/>
      <c r="E197" s="93"/>
      <c r="F197" s="93"/>
      <c r="G197" s="93"/>
      <c r="H197" s="157" t="s">
        <v>16</v>
      </c>
      <c r="I197" s="157"/>
      <c r="J197" s="98"/>
      <c r="K197" s="98"/>
      <c r="L197" s="155"/>
      <c r="M197" s="155"/>
    </row>
    <row r="198" hidden="1">
      <c r="A198" s="15" t="s">
        <v>337</v>
      </c>
      <c r="B198" s="147" t="s">
        <v>41</v>
      </c>
      <c r="C198" s="148"/>
      <c r="D198" s="148"/>
      <c r="E198" s="148"/>
      <c r="F198" s="148"/>
      <c r="G198" s="148"/>
      <c r="H198" s="162" t="s">
        <v>16</v>
      </c>
      <c r="I198" s="162"/>
      <c r="J198" s="151"/>
      <c r="K198" s="151"/>
      <c r="L198" s="152"/>
      <c r="M198" s="153"/>
    </row>
    <row r="199" hidden="1">
      <c r="A199" s="94" t="s">
        <v>337</v>
      </c>
      <c r="B199" s="154" t="s">
        <v>50</v>
      </c>
      <c r="C199" s="93"/>
      <c r="D199" s="93"/>
      <c r="E199" s="197"/>
      <c r="F199" s="197"/>
      <c r="G199" s="197"/>
      <c r="H199" s="157" t="s">
        <v>16</v>
      </c>
      <c r="I199" s="157"/>
      <c r="J199" s="98"/>
      <c r="K199" s="98"/>
      <c r="L199" s="155"/>
      <c r="M199" s="155"/>
    </row>
    <row r="200" hidden="1">
      <c r="A200" s="15" t="s">
        <v>337</v>
      </c>
      <c r="B200" s="147" t="s">
        <v>43</v>
      </c>
      <c r="C200" s="148"/>
      <c r="D200" s="148"/>
      <c r="E200" s="148"/>
      <c r="F200" s="148"/>
      <c r="G200" s="148"/>
      <c r="H200" s="162" t="s">
        <v>16</v>
      </c>
      <c r="I200" s="162"/>
      <c r="J200" s="151"/>
      <c r="K200" s="151"/>
      <c r="L200" s="152"/>
      <c r="M200" s="153"/>
    </row>
    <row r="201" hidden="1">
      <c r="A201" s="94" t="s">
        <v>337</v>
      </c>
      <c r="B201" s="154" t="s">
        <v>269</v>
      </c>
      <c r="C201" s="93"/>
      <c r="D201" s="93"/>
      <c r="E201" s="93"/>
      <c r="F201" s="93"/>
      <c r="G201" s="93"/>
      <c r="H201" s="96" t="s">
        <v>16</v>
      </c>
      <c r="I201" s="157"/>
      <c r="J201" s="98"/>
      <c r="K201" s="98"/>
      <c r="L201" s="155"/>
      <c r="M201" s="155"/>
    </row>
    <row r="202">
      <c r="A202" s="171" t="s">
        <v>339</v>
      </c>
      <c r="B202" s="184" t="s">
        <v>41</v>
      </c>
      <c r="C202" s="173" t="s">
        <v>42</v>
      </c>
      <c r="D202" s="173" t="s">
        <v>274</v>
      </c>
      <c r="E202" s="173">
        <v>73954.0</v>
      </c>
      <c r="F202" s="173">
        <v>15530.34</v>
      </c>
      <c r="G202" s="173"/>
      <c r="H202" s="178">
        <v>89484.34</v>
      </c>
      <c r="I202" s="173" t="s">
        <v>81</v>
      </c>
      <c r="J202" s="175">
        <v>45737.0</v>
      </c>
      <c r="K202" s="175">
        <v>45737.0</v>
      </c>
      <c r="L202" s="176"/>
      <c r="M202" s="177"/>
    </row>
    <row r="203">
      <c r="A203" s="15" t="s">
        <v>340</v>
      </c>
      <c r="B203" s="147" t="s">
        <v>34</v>
      </c>
      <c r="C203" s="148" t="s">
        <v>330</v>
      </c>
      <c r="D203" s="148" t="s">
        <v>341</v>
      </c>
      <c r="E203" s="148">
        <v>746869.29</v>
      </c>
      <c r="F203" s="148">
        <v>105000.0</v>
      </c>
      <c r="G203" s="148"/>
      <c r="H203" s="149">
        <v>851869.29</v>
      </c>
      <c r="I203" s="150" t="s">
        <v>81</v>
      </c>
      <c r="J203" s="151">
        <v>45727.0</v>
      </c>
      <c r="K203" s="151">
        <v>45727.0</v>
      </c>
      <c r="L203" s="152"/>
      <c r="M203" s="153"/>
    </row>
    <row r="204" hidden="1">
      <c r="A204" s="94" t="s">
        <v>340</v>
      </c>
      <c r="B204" s="154" t="s">
        <v>39</v>
      </c>
      <c r="C204" s="93" t="s">
        <v>342</v>
      </c>
      <c r="D204" s="93"/>
      <c r="E204" s="93"/>
      <c r="F204" s="93"/>
      <c r="G204" s="93"/>
      <c r="H204" s="157" t="s">
        <v>16</v>
      </c>
      <c r="I204" s="157"/>
      <c r="J204" s="98"/>
      <c r="K204" s="98"/>
      <c r="L204" s="155"/>
      <c r="M204" s="155"/>
    </row>
    <row r="205" hidden="1">
      <c r="A205" s="15" t="s">
        <v>340</v>
      </c>
      <c r="B205" s="147" t="s">
        <v>37</v>
      </c>
      <c r="C205" s="148"/>
      <c r="D205" s="148"/>
      <c r="E205" s="148"/>
      <c r="F205" s="148"/>
      <c r="G205" s="148"/>
      <c r="H205" s="162" t="s">
        <v>16</v>
      </c>
      <c r="I205" s="162"/>
      <c r="J205" s="151"/>
      <c r="K205" s="151"/>
      <c r="L205" s="152"/>
      <c r="M205" s="153"/>
    </row>
    <row r="206" hidden="1">
      <c r="A206" s="94" t="s">
        <v>340</v>
      </c>
      <c r="B206" s="154" t="s">
        <v>99</v>
      </c>
      <c r="C206" s="32"/>
      <c r="D206" s="32"/>
      <c r="E206" s="32"/>
      <c r="F206" s="32"/>
      <c r="G206" s="32"/>
      <c r="H206" s="66" t="s">
        <v>16</v>
      </c>
      <c r="I206" s="66"/>
      <c r="J206" s="161"/>
      <c r="K206" s="161"/>
      <c r="L206" s="155"/>
      <c r="M206" s="155"/>
    </row>
    <row r="207" hidden="1">
      <c r="A207" s="15" t="s">
        <v>340</v>
      </c>
      <c r="B207" s="147" t="s">
        <v>46</v>
      </c>
      <c r="C207" s="148"/>
      <c r="D207" s="148"/>
      <c r="E207" s="148"/>
      <c r="F207" s="148"/>
      <c r="G207" s="148"/>
      <c r="H207" s="162" t="s">
        <v>16</v>
      </c>
      <c r="I207" s="162"/>
      <c r="J207" s="151"/>
      <c r="K207" s="151"/>
      <c r="L207" s="152"/>
      <c r="M207" s="153"/>
    </row>
    <row r="208" hidden="1">
      <c r="A208" s="94" t="s">
        <v>340</v>
      </c>
      <c r="B208" s="154" t="s">
        <v>31</v>
      </c>
      <c r="C208" s="93"/>
      <c r="D208" s="93"/>
      <c r="E208" s="93"/>
      <c r="F208" s="93"/>
      <c r="G208" s="93"/>
      <c r="H208" s="157" t="s">
        <v>16</v>
      </c>
      <c r="I208" s="157"/>
      <c r="J208" s="98"/>
      <c r="K208" s="98"/>
      <c r="L208" s="155"/>
      <c r="M208" s="155"/>
    </row>
    <row r="209" hidden="1">
      <c r="A209" s="15" t="s">
        <v>340</v>
      </c>
      <c r="B209" s="147" t="s">
        <v>268</v>
      </c>
      <c r="C209" s="32"/>
      <c r="D209" s="32"/>
      <c r="E209" s="32"/>
      <c r="F209" s="32"/>
      <c r="G209" s="32"/>
      <c r="H209" s="66" t="s">
        <v>16</v>
      </c>
      <c r="I209" s="66"/>
      <c r="J209" s="33"/>
      <c r="K209" s="33"/>
      <c r="L209" s="152"/>
      <c r="M209" s="153"/>
    </row>
    <row r="210" hidden="1">
      <c r="A210" s="94" t="s">
        <v>340</v>
      </c>
      <c r="B210" s="154" t="s">
        <v>102</v>
      </c>
      <c r="C210" s="93"/>
      <c r="D210" s="93"/>
      <c r="E210" s="93"/>
      <c r="F210" s="93"/>
      <c r="G210" s="93"/>
      <c r="H210" s="157" t="s">
        <v>16</v>
      </c>
      <c r="I210" s="157"/>
      <c r="J210" s="98"/>
      <c r="K210" s="98"/>
      <c r="L210" s="155"/>
      <c r="M210" s="155"/>
    </row>
    <row r="211" hidden="1">
      <c r="A211" s="15" t="s">
        <v>340</v>
      </c>
      <c r="B211" s="147" t="s">
        <v>41</v>
      </c>
      <c r="C211" s="148"/>
      <c r="D211" s="148"/>
      <c r="E211" s="148"/>
      <c r="F211" s="148"/>
      <c r="G211" s="148"/>
      <c r="H211" s="162" t="s">
        <v>16</v>
      </c>
      <c r="I211" s="162"/>
      <c r="J211" s="151"/>
      <c r="K211" s="151"/>
      <c r="L211" s="152"/>
      <c r="M211" s="153"/>
    </row>
    <row r="212" hidden="1">
      <c r="A212" s="94" t="s">
        <v>340</v>
      </c>
      <c r="B212" s="154" t="s">
        <v>50</v>
      </c>
      <c r="C212" s="93"/>
      <c r="D212" s="93"/>
      <c r="E212" s="197"/>
      <c r="F212" s="197"/>
      <c r="G212" s="197"/>
      <c r="H212" s="157" t="s">
        <v>16</v>
      </c>
      <c r="I212" s="157"/>
      <c r="J212" s="98"/>
      <c r="K212" s="98"/>
      <c r="L212" s="155"/>
      <c r="M212" s="155"/>
    </row>
    <row r="213" hidden="1">
      <c r="A213" s="15" t="s">
        <v>340</v>
      </c>
      <c r="B213" s="147" t="s">
        <v>43</v>
      </c>
      <c r="C213" s="148"/>
      <c r="D213" s="148"/>
      <c r="E213" s="148"/>
      <c r="F213" s="148"/>
      <c r="G213" s="148"/>
      <c r="H213" s="162" t="s">
        <v>16</v>
      </c>
      <c r="I213" s="162"/>
      <c r="J213" s="151"/>
      <c r="K213" s="151"/>
      <c r="L213" s="152"/>
      <c r="M213" s="153"/>
    </row>
    <row r="214" hidden="1">
      <c r="A214" s="94" t="s">
        <v>340</v>
      </c>
      <c r="B214" s="154" t="s">
        <v>269</v>
      </c>
      <c r="C214" s="93"/>
      <c r="D214" s="93"/>
      <c r="E214" s="93"/>
      <c r="F214" s="93"/>
      <c r="G214" s="93"/>
      <c r="H214" s="96" t="s">
        <v>16</v>
      </c>
      <c r="I214" s="157"/>
      <c r="J214" s="98"/>
      <c r="K214" s="98"/>
      <c r="L214" s="155"/>
      <c r="M214" s="155"/>
    </row>
    <row r="215">
      <c r="C215" s="71"/>
      <c r="D215" s="71"/>
      <c r="E215" s="71"/>
      <c r="F215" s="73"/>
      <c r="G215" s="73"/>
      <c r="H215" s="73"/>
      <c r="I215" s="73"/>
      <c r="J215" s="74"/>
      <c r="K215" s="74"/>
    </row>
    <row r="216">
      <c r="C216" s="71"/>
      <c r="D216" s="71"/>
      <c r="E216" s="71"/>
      <c r="F216" s="73"/>
      <c r="G216" s="73"/>
      <c r="H216" s="73"/>
      <c r="I216" s="73"/>
      <c r="J216" s="74"/>
      <c r="K216" s="74"/>
    </row>
    <row r="217">
      <c r="C217" s="71"/>
      <c r="D217" s="71"/>
      <c r="E217" s="71"/>
      <c r="F217" s="166">
        <v>1018656.6015999999</v>
      </c>
      <c r="G217" s="73"/>
      <c r="H217" s="73"/>
      <c r="I217" s="73"/>
      <c r="J217" s="74"/>
      <c r="K217" s="74"/>
    </row>
    <row r="218">
      <c r="C218" s="71"/>
      <c r="D218" s="71"/>
      <c r="E218" s="71"/>
      <c r="F218" s="166">
        <v>572994.3384</v>
      </c>
      <c r="G218" s="73"/>
      <c r="H218" s="73"/>
      <c r="I218" s="73"/>
      <c r="J218" s="74"/>
      <c r="K218" s="74"/>
    </row>
    <row r="219">
      <c r="C219" s="71"/>
      <c r="D219" s="71"/>
      <c r="E219" s="71"/>
      <c r="F219" s="73"/>
      <c r="G219" s="73"/>
      <c r="H219" s="73"/>
      <c r="I219" s="73"/>
      <c r="J219" s="74"/>
      <c r="K219" s="74"/>
    </row>
    <row r="220">
      <c r="C220" s="71"/>
      <c r="D220" s="71"/>
      <c r="E220" s="71"/>
      <c r="F220" s="73"/>
      <c r="G220" s="73"/>
      <c r="H220" s="73"/>
      <c r="I220" s="73"/>
      <c r="J220" s="74"/>
      <c r="K220" s="74"/>
    </row>
    <row r="221">
      <c r="C221" s="71"/>
      <c r="D221" s="71"/>
      <c r="E221" s="71"/>
      <c r="F221" s="73"/>
      <c r="G221" s="73"/>
      <c r="H221" s="73"/>
      <c r="I221" s="73"/>
      <c r="J221" s="74"/>
      <c r="K221" s="74"/>
    </row>
    <row r="222">
      <c r="A222" s="198" t="s">
        <v>343</v>
      </c>
      <c r="B222" s="199"/>
      <c r="C222" s="200" t="s">
        <v>34</v>
      </c>
      <c r="D222" s="200" t="s">
        <v>344</v>
      </c>
      <c r="E222" s="125" t="s">
        <v>345</v>
      </c>
      <c r="F222" s="73"/>
      <c r="G222" s="73"/>
      <c r="H222" s="73"/>
      <c r="I222" s="73"/>
      <c r="J222" s="74"/>
      <c r="K222" s="74"/>
    </row>
    <row r="223">
      <c r="A223" s="201" t="s">
        <v>346</v>
      </c>
      <c r="B223" s="202"/>
      <c r="C223" s="203">
        <v>2835009.62</v>
      </c>
      <c r="D223" s="204">
        <v>284689.035</v>
      </c>
      <c r="E223" s="71"/>
      <c r="F223" s="73"/>
      <c r="G223" s="73"/>
      <c r="H223" s="73"/>
      <c r="I223" s="73"/>
      <c r="J223" s="74"/>
      <c r="K223" s="74"/>
    </row>
    <row r="224">
      <c r="A224" s="205" t="s">
        <v>347</v>
      </c>
      <c r="B224" s="206"/>
      <c r="C224" s="207">
        <v>1577279.92</v>
      </c>
      <c r="D224" s="208">
        <v>1913424.0999999999</v>
      </c>
      <c r="E224" s="71"/>
      <c r="F224" s="73"/>
      <c r="G224" s="73"/>
      <c r="H224" s="73"/>
      <c r="I224" s="73"/>
      <c r="J224" s="74"/>
      <c r="K224" s="74"/>
    </row>
    <row r="225">
      <c r="A225" s="205" t="s">
        <v>348</v>
      </c>
      <c r="B225" s="206"/>
      <c r="C225" s="207">
        <v>875633.69</v>
      </c>
      <c r="D225" s="208">
        <v>607610.38</v>
      </c>
      <c r="E225" s="71"/>
      <c r="F225" s="73"/>
      <c r="G225" s="73"/>
      <c r="H225" s="73"/>
      <c r="I225" s="73"/>
      <c r="J225" s="74"/>
      <c r="K225" s="74"/>
    </row>
    <row r="226">
      <c r="A226" s="205"/>
      <c r="B226" s="206"/>
      <c r="C226" s="207"/>
      <c r="D226" s="207"/>
      <c r="E226" s="71"/>
      <c r="F226" s="73"/>
      <c r="G226" s="73"/>
      <c r="H226" s="73"/>
      <c r="I226" s="73"/>
      <c r="J226" s="74"/>
      <c r="K226" s="74"/>
    </row>
    <row r="227">
      <c r="A227" s="205"/>
      <c r="B227" s="206"/>
      <c r="C227" s="209"/>
      <c r="D227" s="209"/>
      <c r="E227" s="71"/>
      <c r="F227" s="73"/>
      <c r="G227" s="73"/>
      <c r="H227" s="73"/>
      <c r="I227" s="73"/>
      <c r="J227" s="74"/>
      <c r="K227" s="74"/>
    </row>
    <row r="228">
      <c r="A228" s="205"/>
      <c r="B228" s="206"/>
      <c r="C228" s="209"/>
      <c r="D228" s="209"/>
      <c r="E228" s="71"/>
      <c r="F228" s="73"/>
      <c r="G228" s="73"/>
      <c r="H228" s="73"/>
      <c r="I228" s="73"/>
      <c r="J228" s="74"/>
      <c r="K228" s="74"/>
    </row>
    <row r="229">
      <c r="A229" s="205"/>
      <c r="B229" s="206"/>
      <c r="C229" s="210"/>
      <c r="D229" s="210"/>
      <c r="E229" s="71"/>
      <c r="F229" s="73"/>
      <c r="G229" s="73"/>
      <c r="H229" s="73"/>
      <c r="I229" s="73"/>
      <c r="J229" s="74"/>
      <c r="K229" s="74"/>
    </row>
    <row r="230">
      <c r="A230" s="211" t="s">
        <v>349</v>
      </c>
      <c r="B230" s="212"/>
      <c r="C230" s="213">
        <v>1315414.0</v>
      </c>
      <c r="D230" s="213">
        <v>149484.58000000002</v>
      </c>
      <c r="E230" s="71"/>
      <c r="F230" s="73"/>
      <c r="G230" s="73"/>
      <c r="H230" s="73"/>
      <c r="I230" s="73"/>
      <c r="J230" s="74"/>
      <c r="K230" s="74"/>
    </row>
    <row r="231">
      <c r="A231" s="201" t="s">
        <v>350</v>
      </c>
      <c r="B231" s="202"/>
      <c r="C231" s="214">
        <v>1117534.84</v>
      </c>
      <c r="D231" s="215">
        <v>1989379.4200000002</v>
      </c>
      <c r="E231" s="71"/>
      <c r="F231" s="73"/>
      <c r="G231" s="73"/>
      <c r="H231" s="73"/>
      <c r="I231" s="73"/>
      <c r="J231" s="74"/>
      <c r="K231" s="74"/>
    </row>
    <row r="232">
      <c r="A232" s="205"/>
      <c r="B232" s="216"/>
      <c r="C232" s="217"/>
      <c r="D232" s="217"/>
      <c r="E232" s="71"/>
      <c r="F232" s="73"/>
      <c r="G232" s="73"/>
      <c r="H232" s="73"/>
      <c r="I232" s="73"/>
      <c r="J232" s="74"/>
      <c r="K232" s="74"/>
    </row>
    <row r="233">
      <c r="A233" s="205" t="s">
        <v>351</v>
      </c>
      <c r="B233" s="216"/>
      <c r="C233" s="218">
        <v>1083696.57</v>
      </c>
      <c r="D233" s="208">
        <v>870994.2300000001</v>
      </c>
      <c r="E233" s="71"/>
      <c r="F233" s="73"/>
      <c r="G233" s="73"/>
      <c r="H233" s="73"/>
      <c r="I233" s="73"/>
      <c r="J233" s="74"/>
      <c r="K233" s="74"/>
    </row>
    <row r="234">
      <c r="A234" s="205" t="s">
        <v>352</v>
      </c>
      <c r="B234" s="216"/>
      <c r="C234" s="218">
        <v>2143033.36</v>
      </c>
      <c r="D234" s="208">
        <v>408030.54000000004</v>
      </c>
      <c r="E234" s="71"/>
      <c r="F234" s="73"/>
      <c r="G234" s="73"/>
      <c r="H234" s="73"/>
      <c r="I234" s="73"/>
      <c r="J234" s="74"/>
      <c r="K234" s="74"/>
    </row>
    <row r="235">
      <c r="A235" s="205"/>
      <c r="B235" s="216"/>
      <c r="C235" s="208" t="s">
        <v>353</v>
      </c>
      <c r="D235" s="219"/>
      <c r="E235" s="71"/>
      <c r="F235" s="73"/>
      <c r="G235" s="73"/>
      <c r="H235" s="73"/>
      <c r="I235" s="73"/>
      <c r="J235" s="74"/>
      <c r="K235" s="74"/>
    </row>
    <row r="236">
      <c r="A236" s="205" t="s">
        <v>354</v>
      </c>
      <c r="B236" s="216"/>
      <c r="C236" s="213" t="s">
        <v>353</v>
      </c>
      <c r="D236" s="220">
        <v>0.0</v>
      </c>
      <c r="E236" s="71"/>
      <c r="F236" s="73"/>
      <c r="G236" s="73"/>
      <c r="H236" s="73"/>
      <c r="I236" s="73"/>
      <c r="J236" s="74"/>
      <c r="K236" s="74"/>
    </row>
    <row r="237">
      <c r="A237" s="205" t="s">
        <v>355</v>
      </c>
      <c r="B237" s="221"/>
      <c r="C237" s="203">
        <v>738584.0</v>
      </c>
      <c r="D237" s="215">
        <v>437896.76</v>
      </c>
      <c r="E237" s="71"/>
      <c r="F237" s="73"/>
      <c r="G237" s="73"/>
      <c r="H237" s="73"/>
      <c r="I237" s="73"/>
      <c r="J237" s="74"/>
      <c r="K237" s="74"/>
    </row>
    <row r="238">
      <c r="A238" s="205"/>
      <c r="B238" s="221"/>
      <c r="C238" s="207"/>
      <c r="D238" s="208" t="s">
        <v>353</v>
      </c>
      <c r="E238" s="71"/>
      <c r="F238" s="73"/>
      <c r="G238" s="73"/>
      <c r="H238" s="73"/>
      <c r="I238" s="73"/>
      <c r="J238" s="74"/>
      <c r="K238" s="74"/>
    </row>
    <row r="239">
      <c r="A239" s="211"/>
      <c r="B239" s="222"/>
      <c r="C239" s="223"/>
      <c r="D239" s="224"/>
      <c r="E239" s="71"/>
      <c r="F239" s="73"/>
      <c r="G239" s="73"/>
      <c r="H239" s="73"/>
      <c r="I239" s="73"/>
      <c r="J239" s="74"/>
      <c r="K239" s="74"/>
    </row>
    <row r="240">
      <c r="A240" s="225" t="s">
        <v>356</v>
      </c>
      <c r="B240" s="226"/>
      <c r="C240" s="214">
        <v>1251541.0</v>
      </c>
      <c r="D240" s="213">
        <v>136384.25</v>
      </c>
      <c r="E240" s="71"/>
      <c r="F240" s="73"/>
      <c r="G240" s="73"/>
      <c r="H240" s="73"/>
      <c r="I240" s="73"/>
      <c r="J240" s="74"/>
      <c r="K240" s="74"/>
    </row>
    <row r="241">
      <c r="A241" s="227" t="s">
        <v>357</v>
      </c>
      <c r="B241" s="228"/>
      <c r="C241" s="229">
        <v>825000.0</v>
      </c>
      <c r="D241" s="213">
        <v>434834.61</v>
      </c>
      <c r="E241" s="71"/>
      <c r="F241" s="73"/>
      <c r="G241" s="73"/>
      <c r="H241" s="73"/>
      <c r="I241" s="73"/>
      <c r="J241" s="74"/>
      <c r="K241" s="74"/>
    </row>
    <row r="242">
      <c r="A242" s="227" t="s">
        <v>358</v>
      </c>
      <c r="B242" s="230"/>
      <c r="C242" s="231">
        <v>431495.46</v>
      </c>
      <c r="D242" s="232">
        <v>0.0</v>
      </c>
      <c r="E242" s="71"/>
      <c r="F242" s="73"/>
      <c r="G242" s="73"/>
      <c r="H242" s="73"/>
      <c r="I242" s="73"/>
      <c r="J242" s="74"/>
      <c r="K242" s="74"/>
    </row>
    <row r="243">
      <c r="A243" s="227" t="s">
        <v>359</v>
      </c>
      <c r="B243" s="233"/>
      <c r="C243" s="218">
        <v>798588.97</v>
      </c>
      <c r="D243" s="220">
        <v>30600.0</v>
      </c>
      <c r="E243" s="71"/>
      <c r="F243" s="73"/>
      <c r="G243" s="73"/>
      <c r="H243" s="73"/>
      <c r="I243" s="73"/>
      <c r="J243" s="74"/>
      <c r="K243" s="74"/>
    </row>
    <row r="244">
      <c r="A244" s="227" t="s">
        <v>360</v>
      </c>
      <c r="B244" s="233"/>
      <c r="C244" s="218">
        <v>650808.34</v>
      </c>
      <c r="D244" s="232"/>
      <c r="E244" s="71"/>
      <c r="F244" s="73"/>
      <c r="G244" s="73"/>
      <c r="H244" s="73"/>
      <c r="I244" s="73"/>
      <c r="J244" s="74"/>
      <c r="K244" s="74"/>
    </row>
    <row r="245">
      <c r="A245" s="227" t="s">
        <v>361</v>
      </c>
      <c r="B245" s="233"/>
      <c r="C245" s="218">
        <v>746869.29</v>
      </c>
      <c r="D245" s="232"/>
      <c r="E245" s="71"/>
      <c r="F245" s="73"/>
      <c r="G245" s="73"/>
      <c r="H245" s="73"/>
      <c r="I245" s="73"/>
      <c r="J245" s="74"/>
      <c r="K245" s="74"/>
    </row>
    <row r="246">
      <c r="A246" s="227" t="s">
        <v>362</v>
      </c>
      <c r="B246" s="233"/>
      <c r="C246" s="218"/>
      <c r="D246" s="232">
        <v>1465188.3599999999</v>
      </c>
      <c r="E246" s="71"/>
      <c r="F246" s="73"/>
      <c r="G246" s="73"/>
      <c r="H246" s="73"/>
      <c r="I246" s="73"/>
      <c r="J246" s="74"/>
      <c r="K246" s="74"/>
    </row>
    <row r="247">
      <c r="A247" s="227" t="s">
        <v>363</v>
      </c>
      <c r="B247" s="233"/>
      <c r="C247" s="218">
        <v>600000.0</v>
      </c>
      <c r="D247" s="232">
        <v>12750.0</v>
      </c>
      <c r="E247" s="71"/>
      <c r="F247" s="73"/>
      <c r="G247" s="73"/>
      <c r="H247" s="73"/>
      <c r="I247" s="73"/>
      <c r="J247" s="74"/>
      <c r="K247" s="74"/>
    </row>
    <row r="248">
      <c r="A248" s="234" t="s">
        <v>364</v>
      </c>
      <c r="B248" s="235"/>
      <c r="C248" s="236">
        <v>1.6990489060000002E7</v>
      </c>
      <c r="D248" s="236">
        <v>8741266.265</v>
      </c>
      <c r="E248" s="71"/>
      <c r="F248" s="73"/>
      <c r="G248" s="73"/>
      <c r="H248" s="73"/>
      <c r="I248" s="73"/>
      <c r="J248" s="74"/>
      <c r="K248" s="74"/>
    </row>
    <row r="249">
      <c r="C249" s="71"/>
      <c r="D249" s="71"/>
      <c r="E249" s="71"/>
      <c r="F249" s="73"/>
      <c r="G249" s="73"/>
      <c r="H249" s="73"/>
      <c r="I249" s="73"/>
      <c r="J249" s="74"/>
      <c r="K249" s="74"/>
    </row>
    <row r="250">
      <c r="C250" s="71"/>
      <c r="D250" s="71"/>
      <c r="E250" s="71"/>
      <c r="F250" s="73"/>
      <c r="G250" s="73"/>
      <c r="H250" s="73"/>
      <c r="I250" s="73"/>
      <c r="J250" s="74"/>
      <c r="K250" s="74"/>
    </row>
    <row r="251">
      <c r="C251" s="71"/>
      <c r="D251" s="71"/>
      <c r="E251" s="71"/>
      <c r="F251" s="73"/>
      <c r="G251" s="73"/>
      <c r="H251" s="73"/>
      <c r="I251" s="73"/>
      <c r="J251" s="74"/>
      <c r="K251" s="74"/>
    </row>
    <row r="252">
      <c r="C252" s="71"/>
      <c r="D252" s="71"/>
      <c r="E252" s="71"/>
      <c r="F252" s="73"/>
      <c r="G252" s="73"/>
      <c r="H252" s="73"/>
      <c r="I252" s="73"/>
      <c r="J252" s="74"/>
      <c r="K252" s="74"/>
    </row>
    <row r="253">
      <c r="C253" s="71"/>
      <c r="D253" s="71"/>
      <c r="E253" s="71"/>
      <c r="F253" s="73"/>
      <c r="G253" s="73"/>
      <c r="H253" s="73"/>
      <c r="I253" s="73"/>
      <c r="J253" s="74"/>
      <c r="K253" s="74"/>
    </row>
    <row r="254">
      <c r="C254" s="71"/>
      <c r="D254" s="71"/>
      <c r="E254" s="71"/>
      <c r="F254" s="73"/>
      <c r="G254" s="73"/>
      <c r="H254" s="73"/>
      <c r="I254" s="73"/>
      <c r="J254" s="74"/>
      <c r="K254" s="74"/>
    </row>
    <row r="255">
      <c r="C255" s="71"/>
      <c r="D255" s="71"/>
      <c r="E255" s="71"/>
      <c r="F255" s="73"/>
      <c r="G255" s="73"/>
      <c r="H255" s="73"/>
      <c r="I255" s="73"/>
      <c r="J255" s="74"/>
      <c r="K255" s="74"/>
    </row>
    <row r="256">
      <c r="C256" s="71"/>
      <c r="D256" s="71"/>
      <c r="E256" s="71"/>
      <c r="F256" s="73"/>
      <c r="G256" s="73"/>
      <c r="H256" s="73"/>
      <c r="I256" s="73"/>
      <c r="J256" s="74"/>
      <c r="K256" s="74"/>
    </row>
    <row r="257">
      <c r="C257" s="71"/>
      <c r="D257" s="71"/>
      <c r="E257" s="71"/>
      <c r="F257" s="73"/>
      <c r="G257" s="73"/>
      <c r="H257" s="73"/>
      <c r="I257" s="73"/>
      <c r="J257" s="74"/>
      <c r="K257" s="74"/>
    </row>
    <row r="258">
      <c r="C258" s="71"/>
      <c r="D258" s="71"/>
      <c r="E258" s="71"/>
      <c r="F258" s="73"/>
      <c r="G258" s="73"/>
      <c r="H258" s="73"/>
      <c r="I258" s="73"/>
      <c r="J258" s="74"/>
      <c r="K258" s="74"/>
    </row>
    <row r="259">
      <c r="C259" s="71"/>
      <c r="D259" s="71"/>
      <c r="E259" s="71"/>
      <c r="F259" s="73"/>
      <c r="G259" s="73"/>
      <c r="H259" s="73"/>
      <c r="I259" s="73"/>
      <c r="J259" s="74"/>
      <c r="K259" s="74"/>
    </row>
    <row r="260">
      <c r="C260" s="71"/>
      <c r="D260" s="71"/>
      <c r="E260" s="71"/>
      <c r="F260" s="73"/>
      <c r="G260" s="73"/>
      <c r="H260" s="73"/>
      <c r="I260" s="73"/>
      <c r="J260" s="74"/>
      <c r="K260" s="74"/>
    </row>
    <row r="261">
      <c r="C261" s="71"/>
      <c r="D261" s="71"/>
      <c r="E261" s="71"/>
      <c r="F261" s="73"/>
      <c r="G261" s="73"/>
      <c r="H261" s="73"/>
      <c r="I261" s="73"/>
      <c r="J261" s="74"/>
      <c r="K261" s="74"/>
    </row>
    <row r="262">
      <c r="C262" s="71"/>
      <c r="D262" s="71"/>
      <c r="E262" s="71"/>
      <c r="F262" s="73"/>
      <c r="G262" s="73"/>
      <c r="H262" s="73"/>
      <c r="I262" s="73"/>
      <c r="J262" s="74"/>
      <c r="K262" s="74"/>
    </row>
    <row r="263">
      <c r="C263" s="71"/>
      <c r="D263" s="71"/>
      <c r="E263" s="71"/>
      <c r="F263" s="73"/>
      <c r="G263" s="73"/>
      <c r="H263" s="73"/>
      <c r="I263" s="73"/>
      <c r="J263" s="74"/>
      <c r="K263" s="74"/>
    </row>
    <row r="264">
      <c r="C264" s="71"/>
      <c r="D264" s="71"/>
      <c r="E264" s="71"/>
      <c r="F264" s="73"/>
      <c r="G264" s="73"/>
      <c r="H264" s="73"/>
      <c r="I264" s="73"/>
      <c r="J264" s="74"/>
      <c r="K264" s="74"/>
    </row>
    <row r="265">
      <c r="C265" s="71"/>
      <c r="D265" s="71"/>
      <c r="E265" s="71"/>
      <c r="F265" s="73"/>
      <c r="G265" s="73"/>
      <c r="H265" s="73"/>
      <c r="I265" s="73"/>
      <c r="J265" s="74"/>
      <c r="K265" s="74"/>
    </row>
    <row r="266">
      <c r="C266" s="71"/>
      <c r="D266" s="71"/>
      <c r="E266" s="71"/>
      <c r="F266" s="73"/>
      <c r="G266" s="73"/>
      <c r="H266" s="73"/>
      <c r="I266" s="73"/>
      <c r="J266" s="74"/>
      <c r="K266" s="74"/>
    </row>
    <row r="267">
      <c r="C267" s="71"/>
      <c r="D267" s="71"/>
      <c r="E267" s="71"/>
      <c r="F267" s="73"/>
      <c r="G267" s="73"/>
      <c r="H267" s="73"/>
      <c r="I267" s="73"/>
      <c r="J267" s="74"/>
      <c r="K267" s="74"/>
    </row>
    <row r="268">
      <c r="C268" s="71"/>
      <c r="D268" s="71"/>
      <c r="E268" s="71"/>
      <c r="F268" s="73"/>
      <c r="G268" s="73"/>
      <c r="H268" s="73"/>
      <c r="I268" s="73"/>
      <c r="J268" s="74"/>
      <c r="K268" s="74"/>
    </row>
    <row r="269">
      <c r="C269" s="71"/>
      <c r="D269" s="71"/>
      <c r="E269" s="71"/>
      <c r="F269" s="73"/>
      <c r="G269" s="73"/>
      <c r="H269" s="73"/>
      <c r="I269" s="73"/>
      <c r="J269" s="74"/>
      <c r="K269" s="74"/>
    </row>
    <row r="270">
      <c r="C270" s="71"/>
      <c r="D270" s="71"/>
      <c r="E270" s="71"/>
      <c r="F270" s="73"/>
      <c r="G270" s="73"/>
      <c r="H270" s="73"/>
      <c r="I270" s="73"/>
      <c r="J270" s="74"/>
      <c r="K270" s="74"/>
    </row>
    <row r="271">
      <c r="C271" s="71"/>
      <c r="D271" s="71"/>
      <c r="E271" s="71"/>
      <c r="F271" s="73"/>
      <c r="G271" s="73"/>
      <c r="H271" s="73"/>
      <c r="I271" s="73"/>
      <c r="J271" s="74"/>
      <c r="K271" s="74"/>
    </row>
    <row r="272">
      <c r="C272" s="71"/>
      <c r="D272" s="71"/>
      <c r="E272" s="71"/>
      <c r="F272" s="73"/>
      <c r="G272" s="73"/>
      <c r="H272" s="73"/>
      <c r="I272" s="73"/>
      <c r="J272" s="74"/>
      <c r="K272" s="74"/>
    </row>
    <row r="273">
      <c r="C273" s="71"/>
      <c r="D273" s="71"/>
      <c r="E273" s="71"/>
      <c r="F273" s="73"/>
      <c r="G273" s="73"/>
      <c r="H273" s="73"/>
      <c r="I273" s="73"/>
      <c r="J273" s="74"/>
      <c r="K273" s="74"/>
    </row>
    <row r="274">
      <c r="C274" s="71"/>
      <c r="D274" s="71"/>
      <c r="E274" s="71"/>
      <c r="F274" s="73"/>
      <c r="G274" s="73"/>
      <c r="H274" s="73"/>
      <c r="I274" s="73"/>
      <c r="J274" s="74"/>
      <c r="K274" s="74"/>
    </row>
    <row r="275">
      <c r="C275" s="71"/>
      <c r="D275" s="71"/>
      <c r="E275" s="71"/>
      <c r="F275" s="73"/>
      <c r="G275" s="73"/>
      <c r="H275" s="73"/>
      <c r="I275" s="73"/>
      <c r="J275" s="74"/>
      <c r="K275" s="74"/>
    </row>
    <row r="276">
      <c r="C276" s="71"/>
      <c r="D276" s="71"/>
      <c r="E276" s="71"/>
      <c r="F276" s="73"/>
      <c r="G276" s="73"/>
      <c r="H276" s="73"/>
      <c r="I276" s="73"/>
      <c r="J276" s="74"/>
      <c r="K276" s="74"/>
    </row>
    <row r="277">
      <c r="C277" s="71"/>
      <c r="D277" s="71"/>
      <c r="E277" s="71"/>
      <c r="F277" s="73"/>
      <c r="G277" s="73"/>
      <c r="H277" s="73"/>
      <c r="I277" s="73"/>
      <c r="J277" s="74"/>
      <c r="K277" s="74"/>
    </row>
    <row r="278">
      <c r="C278" s="71"/>
      <c r="D278" s="71"/>
      <c r="E278" s="71"/>
      <c r="F278" s="73"/>
      <c r="G278" s="73"/>
      <c r="H278" s="73"/>
      <c r="I278" s="73"/>
      <c r="J278" s="74"/>
      <c r="K278" s="74"/>
    </row>
    <row r="279">
      <c r="C279" s="71"/>
      <c r="D279" s="71"/>
      <c r="E279" s="71"/>
      <c r="F279" s="73"/>
      <c r="G279" s="73"/>
      <c r="H279" s="73"/>
      <c r="I279" s="73"/>
      <c r="J279" s="74"/>
      <c r="K279" s="74"/>
    </row>
    <row r="280">
      <c r="C280" s="71"/>
      <c r="D280" s="71"/>
      <c r="E280" s="71"/>
      <c r="F280" s="73"/>
      <c r="G280" s="73"/>
      <c r="H280" s="73"/>
      <c r="I280" s="73"/>
      <c r="J280" s="74"/>
      <c r="K280" s="74"/>
    </row>
    <row r="281">
      <c r="C281" s="71"/>
      <c r="D281" s="71"/>
      <c r="E281" s="71"/>
      <c r="F281" s="73"/>
      <c r="G281" s="73"/>
      <c r="H281" s="73"/>
      <c r="I281" s="73"/>
      <c r="J281" s="74"/>
      <c r="K281" s="74"/>
    </row>
    <row r="282">
      <c r="C282" s="71"/>
      <c r="D282" s="71"/>
      <c r="E282" s="71"/>
      <c r="F282" s="73"/>
      <c r="G282" s="73"/>
      <c r="H282" s="73"/>
      <c r="I282" s="73"/>
      <c r="J282" s="74"/>
      <c r="K282" s="74"/>
    </row>
    <row r="283">
      <c r="C283" s="71"/>
      <c r="D283" s="71"/>
      <c r="E283" s="71"/>
      <c r="F283" s="73"/>
      <c r="G283" s="73"/>
      <c r="H283" s="73"/>
      <c r="I283" s="73"/>
      <c r="J283" s="74"/>
      <c r="K283" s="74"/>
    </row>
    <row r="284">
      <c r="C284" s="71"/>
      <c r="D284" s="71"/>
      <c r="E284" s="71"/>
      <c r="F284" s="73"/>
      <c r="G284" s="73"/>
      <c r="H284" s="73"/>
      <c r="I284" s="73"/>
      <c r="J284" s="74"/>
      <c r="K284" s="74"/>
    </row>
    <row r="285">
      <c r="C285" s="71"/>
      <c r="D285" s="71"/>
      <c r="E285" s="71"/>
      <c r="F285" s="73"/>
      <c r="G285" s="73"/>
      <c r="H285" s="73"/>
      <c r="I285" s="73"/>
      <c r="J285" s="74"/>
      <c r="K285" s="74"/>
    </row>
    <row r="286">
      <c r="C286" s="71"/>
      <c r="D286" s="71"/>
      <c r="E286" s="71"/>
      <c r="F286" s="73"/>
      <c r="G286" s="73"/>
      <c r="H286" s="73"/>
      <c r="I286" s="73"/>
      <c r="J286" s="74"/>
      <c r="K286" s="74"/>
    </row>
    <row r="287">
      <c r="C287" s="71"/>
      <c r="D287" s="71"/>
      <c r="E287" s="71"/>
      <c r="F287" s="73"/>
      <c r="G287" s="73"/>
      <c r="H287" s="73"/>
      <c r="I287" s="73"/>
      <c r="J287" s="74"/>
      <c r="K287" s="74"/>
    </row>
    <row r="288">
      <c r="C288" s="71"/>
      <c r="D288" s="71"/>
      <c r="E288" s="71"/>
      <c r="F288" s="73"/>
      <c r="G288" s="73"/>
      <c r="H288" s="73"/>
      <c r="I288" s="73"/>
      <c r="J288" s="74"/>
      <c r="K288" s="74"/>
    </row>
    <row r="289">
      <c r="C289" s="71"/>
      <c r="D289" s="71"/>
      <c r="E289" s="71"/>
      <c r="F289" s="73"/>
      <c r="G289" s="73"/>
      <c r="H289" s="73"/>
      <c r="I289" s="73"/>
      <c r="J289" s="74"/>
      <c r="K289" s="74"/>
    </row>
    <row r="290">
      <c r="C290" s="71"/>
      <c r="D290" s="71"/>
      <c r="E290" s="71"/>
      <c r="F290" s="73"/>
      <c r="G290" s="73"/>
      <c r="H290" s="73"/>
      <c r="I290" s="73"/>
      <c r="J290" s="74"/>
      <c r="K290" s="74"/>
    </row>
    <row r="291">
      <c r="C291" s="71"/>
      <c r="D291" s="71"/>
      <c r="E291" s="71"/>
      <c r="F291" s="73"/>
      <c r="G291" s="73"/>
      <c r="H291" s="73"/>
      <c r="I291" s="73"/>
      <c r="J291" s="74"/>
      <c r="K291" s="74"/>
    </row>
    <row r="292">
      <c r="C292" s="71"/>
      <c r="D292" s="71"/>
      <c r="E292" s="71"/>
      <c r="F292" s="73"/>
      <c r="G292" s="73"/>
      <c r="H292" s="73"/>
      <c r="I292" s="73"/>
      <c r="J292" s="74"/>
      <c r="K292" s="74"/>
    </row>
    <row r="293">
      <c r="C293" s="71"/>
      <c r="D293" s="71"/>
      <c r="E293" s="71"/>
      <c r="F293" s="73"/>
      <c r="G293" s="73"/>
      <c r="H293" s="73"/>
      <c r="I293" s="73"/>
      <c r="J293" s="74"/>
      <c r="K293" s="74"/>
    </row>
    <row r="294">
      <c r="C294" s="71"/>
      <c r="D294" s="71"/>
      <c r="E294" s="71"/>
      <c r="F294" s="73"/>
      <c r="G294" s="73"/>
      <c r="H294" s="73"/>
      <c r="I294" s="73"/>
      <c r="J294" s="74"/>
      <c r="K294" s="74"/>
    </row>
    <row r="295">
      <c r="C295" s="71"/>
      <c r="D295" s="71"/>
      <c r="E295" s="71"/>
      <c r="F295" s="73"/>
      <c r="G295" s="73"/>
      <c r="H295" s="73"/>
      <c r="I295" s="73"/>
      <c r="J295" s="74"/>
      <c r="K295" s="74"/>
    </row>
    <row r="296">
      <c r="C296" s="71"/>
      <c r="D296" s="71"/>
      <c r="E296" s="71"/>
      <c r="F296" s="73"/>
      <c r="G296" s="73"/>
      <c r="H296" s="73"/>
      <c r="I296" s="73"/>
      <c r="J296" s="74"/>
      <c r="K296" s="74"/>
    </row>
    <row r="297">
      <c r="C297" s="71"/>
      <c r="D297" s="71"/>
      <c r="E297" s="71"/>
      <c r="F297" s="73"/>
      <c r="G297" s="73"/>
      <c r="H297" s="73"/>
      <c r="I297" s="73"/>
      <c r="J297" s="74"/>
      <c r="K297" s="74"/>
    </row>
    <row r="298">
      <c r="C298" s="71"/>
      <c r="D298" s="71"/>
      <c r="E298" s="71"/>
      <c r="F298" s="73"/>
      <c r="G298" s="73"/>
      <c r="H298" s="73"/>
      <c r="I298" s="73"/>
      <c r="J298" s="74"/>
      <c r="K298" s="74"/>
    </row>
    <row r="299">
      <c r="C299" s="71"/>
      <c r="D299" s="71"/>
      <c r="E299" s="71"/>
      <c r="F299" s="73"/>
      <c r="G299" s="73"/>
      <c r="H299" s="73"/>
      <c r="I299" s="73"/>
      <c r="J299" s="74"/>
      <c r="K299" s="74"/>
    </row>
    <row r="300">
      <c r="C300" s="71"/>
      <c r="D300" s="71"/>
      <c r="E300" s="71"/>
      <c r="F300" s="73"/>
      <c r="G300" s="73"/>
      <c r="H300" s="73"/>
      <c r="I300" s="73"/>
      <c r="J300" s="74"/>
      <c r="K300" s="74"/>
    </row>
    <row r="301">
      <c r="C301" s="71"/>
      <c r="D301" s="71"/>
      <c r="E301" s="71"/>
      <c r="F301" s="73"/>
      <c r="G301" s="73"/>
      <c r="H301" s="73"/>
      <c r="I301" s="73"/>
      <c r="J301" s="74"/>
      <c r="K301" s="74"/>
    </row>
    <row r="302">
      <c r="C302" s="71"/>
      <c r="D302" s="71"/>
      <c r="E302" s="71"/>
      <c r="F302" s="73"/>
      <c r="G302" s="73"/>
      <c r="H302" s="73"/>
      <c r="I302" s="73"/>
      <c r="J302" s="74"/>
      <c r="K302" s="74"/>
    </row>
    <row r="303">
      <c r="C303" s="71"/>
      <c r="D303" s="71"/>
      <c r="E303" s="71"/>
      <c r="F303" s="73"/>
      <c r="G303" s="73"/>
      <c r="H303" s="73"/>
      <c r="I303" s="73"/>
      <c r="J303" s="74"/>
      <c r="K303" s="74"/>
    </row>
    <row r="304">
      <c r="C304" s="71"/>
      <c r="D304" s="71"/>
      <c r="E304" s="71"/>
      <c r="F304" s="73"/>
      <c r="G304" s="73"/>
      <c r="H304" s="73"/>
      <c r="I304" s="73"/>
      <c r="J304" s="74"/>
      <c r="K304" s="74"/>
    </row>
    <row r="305">
      <c r="C305" s="71"/>
      <c r="D305" s="71"/>
      <c r="E305" s="71"/>
      <c r="F305" s="73"/>
      <c r="G305" s="73"/>
      <c r="H305" s="73"/>
      <c r="I305" s="73"/>
      <c r="J305" s="74"/>
      <c r="K305" s="74"/>
    </row>
    <row r="306">
      <c r="C306" s="71"/>
      <c r="D306" s="71"/>
      <c r="E306" s="71"/>
      <c r="F306" s="73"/>
      <c r="G306" s="73"/>
      <c r="H306" s="73"/>
      <c r="I306" s="73"/>
      <c r="J306" s="74"/>
      <c r="K306" s="74"/>
    </row>
    <row r="307">
      <c r="C307" s="71"/>
      <c r="D307" s="71"/>
      <c r="E307" s="71"/>
      <c r="F307" s="73"/>
      <c r="G307" s="73"/>
      <c r="H307" s="73"/>
      <c r="I307" s="73"/>
      <c r="J307" s="74"/>
      <c r="K307" s="74"/>
    </row>
    <row r="308">
      <c r="C308" s="71"/>
      <c r="D308" s="71"/>
      <c r="E308" s="71"/>
      <c r="F308" s="73"/>
      <c r="G308" s="73"/>
      <c r="H308" s="73"/>
      <c r="I308" s="73"/>
      <c r="J308" s="74"/>
      <c r="K308" s="74"/>
    </row>
    <row r="309">
      <c r="C309" s="71"/>
      <c r="D309" s="71"/>
      <c r="E309" s="71"/>
      <c r="F309" s="73"/>
      <c r="G309" s="73"/>
      <c r="H309" s="73"/>
      <c r="I309" s="73"/>
      <c r="J309" s="74"/>
      <c r="K309" s="74"/>
    </row>
    <row r="310">
      <c r="C310" s="71"/>
      <c r="D310" s="71"/>
      <c r="E310" s="71"/>
      <c r="F310" s="73"/>
      <c r="G310" s="73"/>
      <c r="H310" s="73"/>
      <c r="I310" s="73"/>
      <c r="J310" s="74"/>
      <c r="K310" s="74"/>
    </row>
    <row r="311">
      <c r="C311" s="71"/>
      <c r="D311" s="71"/>
      <c r="E311" s="71"/>
      <c r="F311" s="73"/>
      <c r="G311" s="73"/>
      <c r="H311" s="73"/>
      <c r="I311" s="73"/>
      <c r="J311" s="74"/>
      <c r="K311" s="74"/>
    </row>
    <row r="312">
      <c r="C312" s="71"/>
      <c r="D312" s="71"/>
      <c r="E312" s="71"/>
      <c r="F312" s="73"/>
      <c r="G312" s="73"/>
      <c r="H312" s="73"/>
      <c r="I312" s="73"/>
      <c r="J312" s="74"/>
      <c r="K312" s="74"/>
    </row>
    <row r="313">
      <c r="C313" s="71"/>
      <c r="D313" s="71"/>
      <c r="E313" s="71"/>
      <c r="F313" s="73"/>
      <c r="G313" s="73"/>
      <c r="H313" s="73"/>
      <c r="I313" s="73"/>
      <c r="J313" s="74"/>
      <c r="K313" s="74"/>
    </row>
    <row r="314">
      <c r="C314" s="71"/>
      <c r="D314" s="71"/>
      <c r="E314" s="71"/>
      <c r="F314" s="73"/>
      <c r="G314" s="73"/>
      <c r="H314" s="73"/>
      <c r="I314" s="73"/>
      <c r="J314" s="74"/>
      <c r="K314" s="74"/>
    </row>
    <row r="315">
      <c r="C315" s="71"/>
      <c r="D315" s="71"/>
      <c r="E315" s="71"/>
      <c r="F315" s="73"/>
      <c r="G315" s="73"/>
      <c r="H315" s="73"/>
      <c r="I315" s="73"/>
      <c r="J315" s="74"/>
      <c r="K315" s="74"/>
    </row>
    <row r="316">
      <c r="C316" s="71"/>
      <c r="D316" s="71"/>
      <c r="E316" s="71"/>
      <c r="F316" s="73"/>
      <c r="G316" s="73"/>
      <c r="H316" s="73"/>
      <c r="I316" s="73"/>
      <c r="J316" s="74"/>
      <c r="K316" s="74"/>
    </row>
    <row r="317">
      <c r="C317" s="71"/>
      <c r="D317" s="71"/>
      <c r="E317" s="71"/>
      <c r="F317" s="73"/>
      <c r="G317" s="73"/>
      <c r="H317" s="73"/>
      <c r="I317" s="73"/>
      <c r="J317" s="74"/>
      <c r="K317" s="74"/>
    </row>
    <row r="318">
      <c r="C318" s="71"/>
      <c r="D318" s="71"/>
      <c r="E318" s="71"/>
      <c r="F318" s="73"/>
      <c r="G318" s="73"/>
      <c r="H318" s="73"/>
      <c r="I318" s="73"/>
      <c r="J318" s="74"/>
      <c r="K318" s="74"/>
    </row>
    <row r="319">
      <c r="C319" s="71"/>
      <c r="D319" s="71"/>
      <c r="E319" s="71"/>
      <c r="F319" s="73"/>
      <c r="G319" s="73"/>
      <c r="H319" s="73"/>
      <c r="I319" s="73"/>
      <c r="J319" s="74"/>
      <c r="K319" s="74"/>
    </row>
    <row r="320">
      <c r="C320" s="71"/>
      <c r="D320" s="71"/>
      <c r="E320" s="71"/>
      <c r="F320" s="73"/>
      <c r="G320" s="73"/>
      <c r="H320" s="73"/>
      <c r="I320" s="73"/>
      <c r="J320" s="74"/>
      <c r="K320" s="74"/>
    </row>
    <row r="321">
      <c r="C321" s="71"/>
      <c r="D321" s="71"/>
      <c r="E321" s="71"/>
      <c r="F321" s="73"/>
      <c r="G321" s="73"/>
      <c r="H321" s="73"/>
      <c r="I321" s="73"/>
      <c r="J321" s="74"/>
      <c r="K321" s="74"/>
    </row>
    <row r="322">
      <c r="C322" s="71"/>
      <c r="D322" s="71"/>
      <c r="E322" s="71"/>
      <c r="F322" s="73"/>
      <c r="G322" s="73"/>
      <c r="H322" s="73"/>
      <c r="I322" s="73"/>
      <c r="J322" s="74"/>
      <c r="K322" s="74"/>
    </row>
    <row r="323">
      <c r="C323" s="71"/>
      <c r="D323" s="71"/>
      <c r="E323" s="71"/>
      <c r="F323" s="73"/>
      <c r="G323" s="73"/>
      <c r="H323" s="73"/>
      <c r="I323" s="73"/>
      <c r="J323" s="74"/>
      <c r="K323" s="74"/>
    </row>
    <row r="324">
      <c r="C324" s="71"/>
      <c r="D324" s="71"/>
      <c r="E324" s="71"/>
      <c r="F324" s="73"/>
      <c r="G324" s="73"/>
      <c r="H324" s="73"/>
      <c r="I324" s="73"/>
      <c r="J324" s="74"/>
      <c r="K324" s="74"/>
    </row>
    <row r="325">
      <c r="C325" s="71"/>
      <c r="D325" s="71"/>
      <c r="E325" s="71"/>
      <c r="F325" s="73"/>
      <c r="G325" s="73"/>
      <c r="H325" s="73"/>
      <c r="I325" s="73"/>
      <c r="J325" s="74"/>
      <c r="K325" s="74"/>
    </row>
    <row r="326">
      <c r="C326" s="71"/>
      <c r="D326" s="71"/>
      <c r="E326" s="71"/>
      <c r="F326" s="73"/>
      <c r="G326" s="73"/>
      <c r="H326" s="73"/>
      <c r="I326" s="73"/>
      <c r="J326" s="74"/>
      <c r="K326" s="74"/>
    </row>
    <row r="327">
      <c r="C327" s="71"/>
      <c r="D327" s="71"/>
      <c r="E327" s="71"/>
      <c r="F327" s="73"/>
      <c r="G327" s="73"/>
      <c r="H327" s="73"/>
      <c r="I327" s="73"/>
      <c r="J327" s="74"/>
      <c r="K327" s="74"/>
    </row>
    <row r="328">
      <c r="C328" s="71"/>
      <c r="D328" s="71"/>
      <c r="E328" s="71"/>
      <c r="F328" s="73"/>
      <c r="G328" s="73"/>
      <c r="H328" s="73"/>
      <c r="I328" s="73"/>
      <c r="J328" s="74"/>
      <c r="K328" s="74"/>
    </row>
    <row r="329">
      <c r="C329" s="71"/>
      <c r="D329" s="71"/>
      <c r="E329" s="71"/>
      <c r="F329" s="73"/>
      <c r="G329" s="73"/>
      <c r="H329" s="73"/>
      <c r="I329" s="73"/>
      <c r="J329" s="74"/>
      <c r="K329" s="74"/>
    </row>
    <row r="330">
      <c r="C330" s="71"/>
      <c r="D330" s="71"/>
      <c r="E330" s="71"/>
      <c r="F330" s="73"/>
      <c r="G330" s="73"/>
      <c r="H330" s="73"/>
      <c r="I330" s="73"/>
      <c r="J330" s="74"/>
      <c r="K330" s="74"/>
    </row>
    <row r="331">
      <c r="C331" s="71"/>
      <c r="D331" s="71"/>
      <c r="E331" s="71"/>
      <c r="F331" s="73"/>
      <c r="G331" s="73"/>
      <c r="H331" s="73"/>
      <c r="I331" s="73"/>
      <c r="J331" s="74"/>
      <c r="K331" s="74"/>
    </row>
    <row r="332">
      <c r="C332" s="71"/>
      <c r="D332" s="71"/>
      <c r="E332" s="71"/>
      <c r="F332" s="73"/>
      <c r="G332" s="73"/>
      <c r="H332" s="73"/>
      <c r="I332" s="73"/>
      <c r="J332" s="74"/>
      <c r="K332" s="74"/>
    </row>
    <row r="333">
      <c r="C333" s="71"/>
      <c r="D333" s="71"/>
      <c r="E333" s="71"/>
      <c r="F333" s="73"/>
      <c r="G333" s="73"/>
      <c r="H333" s="73"/>
      <c r="I333" s="73"/>
      <c r="J333" s="74"/>
      <c r="K333" s="74"/>
    </row>
    <row r="334">
      <c r="C334" s="71"/>
      <c r="D334" s="71"/>
      <c r="E334" s="71"/>
      <c r="F334" s="73"/>
      <c r="G334" s="73"/>
      <c r="H334" s="73"/>
      <c r="I334" s="73"/>
      <c r="J334" s="74"/>
      <c r="K334" s="74"/>
    </row>
    <row r="335">
      <c r="C335" s="71"/>
      <c r="D335" s="71"/>
      <c r="E335" s="71"/>
      <c r="F335" s="73"/>
      <c r="G335" s="73"/>
      <c r="H335" s="73"/>
      <c r="I335" s="73"/>
      <c r="J335" s="74"/>
      <c r="K335" s="74"/>
    </row>
    <row r="336">
      <c r="C336" s="71"/>
      <c r="D336" s="71"/>
      <c r="E336" s="71"/>
      <c r="F336" s="73"/>
      <c r="G336" s="73"/>
      <c r="H336" s="73"/>
      <c r="I336" s="73"/>
      <c r="J336" s="74"/>
      <c r="K336" s="74"/>
    </row>
    <row r="337">
      <c r="C337" s="71"/>
      <c r="D337" s="71"/>
      <c r="E337" s="71"/>
      <c r="F337" s="73"/>
      <c r="G337" s="73"/>
      <c r="H337" s="73"/>
      <c r="I337" s="73"/>
      <c r="J337" s="74"/>
      <c r="K337" s="74"/>
    </row>
    <row r="338">
      <c r="C338" s="71"/>
      <c r="D338" s="71"/>
      <c r="E338" s="71"/>
      <c r="F338" s="73"/>
      <c r="G338" s="73"/>
      <c r="H338" s="73"/>
      <c r="I338" s="73"/>
      <c r="J338" s="74"/>
      <c r="K338" s="74"/>
    </row>
    <row r="339">
      <c r="C339" s="71"/>
      <c r="D339" s="71"/>
      <c r="E339" s="71"/>
      <c r="F339" s="73"/>
      <c r="G339" s="73"/>
      <c r="H339" s="73"/>
      <c r="I339" s="73"/>
      <c r="J339" s="74"/>
      <c r="K339" s="74"/>
    </row>
    <row r="340">
      <c r="C340" s="71"/>
      <c r="D340" s="71"/>
      <c r="E340" s="71"/>
      <c r="F340" s="73"/>
      <c r="G340" s="73"/>
      <c r="H340" s="73"/>
      <c r="I340" s="73"/>
      <c r="J340" s="74"/>
      <c r="K340" s="74"/>
    </row>
    <row r="341">
      <c r="C341" s="71"/>
      <c r="D341" s="71"/>
      <c r="E341" s="71"/>
      <c r="F341" s="73"/>
      <c r="G341" s="73"/>
      <c r="H341" s="73"/>
      <c r="I341" s="73"/>
      <c r="J341" s="74"/>
      <c r="K341" s="74"/>
    </row>
    <row r="342">
      <c r="C342" s="71"/>
      <c r="D342" s="71"/>
      <c r="E342" s="71"/>
      <c r="F342" s="73"/>
      <c r="G342" s="73"/>
      <c r="H342" s="73"/>
      <c r="I342" s="73"/>
      <c r="J342" s="74"/>
      <c r="K342" s="74"/>
    </row>
    <row r="343">
      <c r="C343" s="71"/>
      <c r="D343" s="71"/>
      <c r="E343" s="71"/>
      <c r="F343" s="73"/>
      <c r="G343" s="73"/>
      <c r="H343" s="73"/>
      <c r="I343" s="73"/>
      <c r="J343" s="74"/>
      <c r="K343" s="74"/>
    </row>
    <row r="344">
      <c r="C344" s="71"/>
      <c r="D344" s="71"/>
      <c r="E344" s="71"/>
      <c r="F344" s="73"/>
      <c r="G344" s="73"/>
      <c r="H344" s="73"/>
      <c r="I344" s="73"/>
      <c r="J344" s="74"/>
      <c r="K344" s="74"/>
    </row>
    <row r="345">
      <c r="C345" s="71"/>
      <c r="D345" s="71"/>
      <c r="E345" s="71"/>
      <c r="F345" s="73"/>
      <c r="G345" s="73"/>
      <c r="H345" s="73"/>
      <c r="I345" s="73"/>
      <c r="J345" s="74"/>
      <c r="K345" s="74"/>
    </row>
    <row r="346">
      <c r="C346" s="71"/>
      <c r="D346" s="71"/>
      <c r="E346" s="71"/>
      <c r="F346" s="73"/>
      <c r="G346" s="73"/>
      <c r="H346" s="73"/>
      <c r="I346" s="73"/>
      <c r="J346" s="74"/>
      <c r="K346" s="74"/>
    </row>
    <row r="347">
      <c r="C347" s="71"/>
      <c r="D347" s="71"/>
      <c r="E347" s="71"/>
      <c r="F347" s="73"/>
      <c r="G347" s="73"/>
      <c r="H347" s="73"/>
      <c r="I347" s="73"/>
      <c r="J347" s="74"/>
      <c r="K347" s="74"/>
    </row>
    <row r="348">
      <c r="C348" s="71"/>
      <c r="D348" s="71"/>
      <c r="E348" s="71"/>
      <c r="F348" s="73"/>
      <c r="G348" s="73"/>
      <c r="H348" s="73"/>
      <c r="I348" s="73"/>
      <c r="J348" s="74"/>
      <c r="K348" s="74"/>
    </row>
    <row r="349">
      <c r="C349" s="71"/>
      <c r="D349" s="71"/>
      <c r="E349" s="71"/>
      <c r="F349" s="73"/>
      <c r="G349" s="73"/>
      <c r="H349" s="73"/>
      <c r="I349" s="73"/>
      <c r="J349" s="74"/>
      <c r="K349" s="74"/>
    </row>
    <row r="350">
      <c r="C350" s="71"/>
      <c r="D350" s="71"/>
      <c r="E350" s="71"/>
      <c r="F350" s="73"/>
      <c r="G350" s="73"/>
      <c r="H350" s="73"/>
      <c r="I350" s="73"/>
      <c r="J350" s="74"/>
      <c r="K350" s="74"/>
    </row>
    <row r="351">
      <c r="C351" s="71"/>
      <c r="D351" s="71"/>
      <c r="E351" s="71"/>
      <c r="F351" s="73"/>
      <c r="G351" s="73"/>
      <c r="H351" s="73"/>
      <c r="I351" s="73"/>
      <c r="J351" s="74"/>
      <c r="K351" s="74"/>
    </row>
    <row r="352">
      <c r="C352" s="71"/>
      <c r="D352" s="71"/>
      <c r="E352" s="71"/>
      <c r="F352" s="73"/>
      <c r="G352" s="73"/>
      <c r="H352" s="73"/>
      <c r="I352" s="73"/>
      <c r="J352" s="74"/>
      <c r="K352" s="74"/>
    </row>
    <row r="353">
      <c r="C353" s="71"/>
      <c r="D353" s="71"/>
      <c r="E353" s="71"/>
      <c r="F353" s="73"/>
      <c r="G353" s="73"/>
      <c r="H353" s="73"/>
      <c r="I353" s="73"/>
      <c r="J353" s="74"/>
      <c r="K353" s="74"/>
    </row>
    <row r="354">
      <c r="C354" s="71"/>
      <c r="D354" s="71"/>
      <c r="E354" s="71"/>
      <c r="F354" s="73"/>
      <c r="G354" s="73"/>
      <c r="H354" s="73"/>
      <c r="I354" s="73"/>
      <c r="J354" s="74"/>
      <c r="K354" s="74"/>
    </row>
    <row r="355">
      <c r="C355" s="71"/>
      <c r="D355" s="71"/>
      <c r="E355" s="71"/>
      <c r="F355" s="73"/>
      <c r="G355" s="73"/>
      <c r="H355" s="73"/>
      <c r="I355" s="73"/>
      <c r="J355" s="74"/>
      <c r="K355" s="74"/>
    </row>
    <row r="356">
      <c r="C356" s="71"/>
      <c r="D356" s="71"/>
      <c r="E356" s="71"/>
      <c r="F356" s="73"/>
      <c r="G356" s="73"/>
      <c r="H356" s="73"/>
      <c r="I356" s="73"/>
      <c r="J356" s="74"/>
      <c r="K356" s="74"/>
    </row>
    <row r="357">
      <c r="C357" s="71"/>
      <c r="D357" s="71"/>
      <c r="E357" s="71"/>
      <c r="F357" s="73"/>
      <c r="G357" s="73"/>
      <c r="H357" s="73"/>
      <c r="I357" s="73"/>
      <c r="J357" s="74"/>
      <c r="K357" s="74"/>
    </row>
    <row r="358">
      <c r="C358" s="71"/>
      <c r="D358" s="71"/>
      <c r="E358" s="71"/>
      <c r="F358" s="73"/>
      <c r="G358" s="73"/>
      <c r="H358" s="73"/>
      <c r="I358" s="73"/>
      <c r="J358" s="74"/>
      <c r="K358" s="74"/>
    </row>
    <row r="359">
      <c r="C359" s="71"/>
      <c r="D359" s="71"/>
      <c r="E359" s="71"/>
      <c r="F359" s="73"/>
      <c r="G359" s="73"/>
      <c r="H359" s="73"/>
      <c r="I359" s="73"/>
      <c r="J359" s="74"/>
      <c r="K359" s="74"/>
    </row>
    <row r="360">
      <c r="C360" s="71"/>
      <c r="D360" s="71"/>
      <c r="E360" s="71"/>
      <c r="F360" s="73"/>
      <c r="G360" s="73"/>
      <c r="H360" s="73"/>
      <c r="I360" s="73"/>
      <c r="J360" s="74"/>
      <c r="K360" s="74"/>
    </row>
    <row r="361">
      <c r="C361" s="71"/>
      <c r="D361" s="71"/>
      <c r="E361" s="71"/>
      <c r="F361" s="73"/>
      <c r="G361" s="73"/>
      <c r="H361" s="73"/>
      <c r="I361" s="73"/>
      <c r="J361" s="74"/>
      <c r="K361" s="74"/>
    </row>
    <row r="362">
      <c r="C362" s="71"/>
      <c r="D362" s="71"/>
      <c r="E362" s="71"/>
      <c r="F362" s="73"/>
      <c r="G362" s="73"/>
      <c r="H362" s="73"/>
      <c r="I362" s="73"/>
      <c r="J362" s="74"/>
      <c r="K362" s="74"/>
    </row>
    <row r="363">
      <c r="C363" s="71"/>
      <c r="D363" s="71"/>
      <c r="E363" s="71"/>
      <c r="F363" s="73"/>
      <c r="G363" s="73"/>
      <c r="H363" s="73"/>
      <c r="I363" s="73"/>
      <c r="J363" s="74"/>
      <c r="K363" s="74"/>
    </row>
    <row r="364">
      <c r="C364" s="71"/>
      <c r="D364" s="71"/>
      <c r="E364" s="71"/>
      <c r="F364" s="73"/>
      <c r="G364" s="73"/>
      <c r="H364" s="73"/>
      <c r="I364" s="73"/>
      <c r="J364" s="74"/>
      <c r="K364" s="74"/>
    </row>
    <row r="365">
      <c r="C365" s="71"/>
      <c r="D365" s="71"/>
      <c r="E365" s="71"/>
      <c r="F365" s="73"/>
      <c r="G365" s="73"/>
      <c r="H365" s="73"/>
      <c r="I365" s="73"/>
      <c r="J365" s="74"/>
      <c r="K365" s="74"/>
    </row>
    <row r="366">
      <c r="C366" s="71"/>
      <c r="D366" s="71"/>
      <c r="E366" s="71"/>
      <c r="F366" s="73"/>
      <c r="G366" s="73"/>
      <c r="H366" s="73"/>
      <c r="I366" s="73"/>
      <c r="J366" s="74"/>
      <c r="K366" s="74"/>
    </row>
    <row r="367">
      <c r="C367" s="71"/>
      <c r="D367" s="71"/>
      <c r="E367" s="71"/>
      <c r="F367" s="73"/>
      <c r="G367" s="73"/>
      <c r="H367" s="73"/>
      <c r="I367" s="73"/>
      <c r="J367" s="74"/>
      <c r="K367" s="74"/>
    </row>
    <row r="368">
      <c r="C368" s="71"/>
      <c r="D368" s="71"/>
      <c r="E368" s="71"/>
      <c r="F368" s="73"/>
      <c r="G368" s="73"/>
      <c r="H368" s="73"/>
      <c r="I368" s="73"/>
      <c r="J368" s="74"/>
      <c r="K368" s="74"/>
    </row>
    <row r="369">
      <c r="C369" s="71"/>
      <c r="D369" s="71"/>
      <c r="E369" s="71"/>
      <c r="F369" s="73"/>
      <c r="G369" s="73"/>
      <c r="H369" s="73"/>
      <c r="I369" s="73"/>
      <c r="J369" s="74"/>
      <c r="K369" s="74"/>
    </row>
    <row r="370">
      <c r="C370" s="71"/>
      <c r="D370" s="71"/>
      <c r="E370" s="71"/>
      <c r="F370" s="73"/>
      <c r="G370" s="73"/>
      <c r="H370" s="73"/>
      <c r="I370" s="73"/>
      <c r="J370" s="74"/>
      <c r="K370" s="74"/>
    </row>
    <row r="371">
      <c r="C371" s="71"/>
      <c r="D371" s="71"/>
      <c r="E371" s="71"/>
      <c r="F371" s="73"/>
      <c r="G371" s="73"/>
      <c r="H371" s="73"/>
      <c r="I371" s="73"/>
      <c r="J371" s="74"/>
      <c r="K371" s="74"/>
    </row>
    <row r="372">
      <c r="C372" s="71"/>
      <c r="D372" s="71"/>
      <c r="E372" s="71"/>
      <c r="F372" s="73"/>
      <c r="G372" s="73"/>
      <c r="H372" s="73"/>
      <c r="I372" s="73"/>
      <c r="J372" s="74"/>
      <c r="K372" s="74"/>
    </row>
    <row r="373">
      <c r="C373" s="71"/>
      <c r="D373" s="71"/>
      <c r="E373" s="71"/>
      <c r="F373" s="73"/>
      <c r="G373" s="73"/>
      <c r="H373" s="73"/>
      <c r="I373" s="73"/>
      <c r="J373" s="74"/>
      <c r="K373" s="74"/>
    </row>
    <row r="374">
      <c r="C374" s="71"/>
      <c r="D374" s="71"/>
      <c r="E374" s="71"/>
      <c r="F374" s="73"/>
      <c r="G374" s="73"/>
      <c r="H374" s="73"/>
      <c r="I374" s="73"/>
      <c r="J374" s="74"/>
      <c r="K374" s="74"/>
    </row>
    <row r="375">
      <c r="C375" s="71"/>
      <c r="D375" s="71"/>
      <c r="E375" s="71"/>
      <c r="F375" s="73"/>
      <c r="G375" s="73"/>
      <c r="H375" s="73"/>
      <c r="I375" s="73"/>
      <c r="J375" s="74"/>
      <c r="K375" s="74"/>
    </row>
    <row r="376">
      <c r="C376" s="71"/>
      <c r="D376" s="71"/>
      <c r="E376" s="71"/>
      <c r="F376" s="73"/>
      <c r="G376" s="73"/>
      <c r="H376" s="73"/>
      <c r="I376" s="73"/>
      <c r="J376" s="74"/>
      <c r="K376" s="74"/>
    </row>
    <row r="377">
      <c r="C377" s="71"/>
      <c r="D377" s="71"/>
      <c r="E377" s="71"/>
      <c r="F377" s="73"/>
      <c r="G377" s="73"/>
      <c r="H377" s="73"/>
      <c r="I377" s="73"/>
      <c r="J377" s="74"/>
      <c r="K377" s="74"/>
    </row>
    <row r="378">
      <c r="C378" s="71"/>
      <c r="D378" s="71"/>
      <c r="E378" s="71"/>
      <c r="F378" s="73"/>
      <c r="G378" s="73"/>
      <c r="H378" s="73"/>
      <c r="I378" s="73"/>
      <c r="J378" s="74"/>
      <c r="K378" s="74"/>
    </row>
    <row r="379">
      <c r="C379" s="71"/>
      <c r="D379" s="71"/>
      <c r="E379" s="71"/>
      <c r="F379" s="73"/>
      <c r="G379" s="73"/>
      <c r="H379" s="73"/>
      <c r="I379" s="73"/>
      <c r="J379" s="74"/>
      <c r="K379" s="74"/>
    </row>
    <row r="380">
      <c r="C380" s="71"/>
      <c r="D380" s="71"/>
      <c r="E380" s="71"/>
      <c r="F380" s="73"/>
      <c r="G380" s="73"/>
      <c r="H380" s="73"/>
      <c r="I380" s="73"/>
      <c r="J380" s="74"/>
      <c r="K380" s="74"/>
    </row>
    <row r="381">
      <c r="C381" s="71"/>
      <c r="D381" s="71"/>
      <c r="E381" s="71"/>
      <c r="F381" s="73"/>
      <c r="G381" s="73"/>
      <c r="H381" s="73"/>
      <c r="I381" s="73"/>
      <c r="J381" s="74"/>
      <c r="K381" s="74"/>
    </row>
    <row r="382">
      <c r="C382" s="71"/>
      <c r="D382" s="71"/>
      <c r="E382" s="71"/>
      <c r="F382" s="73"/>
      <c r="G382" s="73"/>
      <c r="H382" s="73"/>
      <c r="I382" s="73"/>
      <c r="J382" s="74"/>
      <c r="K382" s="74"/>
    </row>
    <row r="383">
      <c r="C383" s="71"/>
      <c r="D383" s="71"/>
      <c r="E383" s="71"/>
      <c r="F383" s="73"/>
      <c r="G383" s="73"/>
      <c r="H383" s="73"/>
      <c r="I383" s="73"/>
      <c r="J383" s="74"/>
      <c r="K383" s="74"/>
    </row>
    <row r="384">
      <c r="C384" s="71"/>
      <c r="D384" s="71"/>
      <c r="E384" s="71"/>
      <c r="F384" s="73"/>
      <c r="G384" s="73"/>
      <c r="H384" s="73"/>
      <c r="I384" s="73"/>
      <c r="J384" s="74"/>
      <c r="K384" s="74"/>
    </row>
    <row r="385">
      <c r="C385" s="71"/>
      <c r="D385" s="71"/>
      <c r="E385" s="71"/>
      <c r="F385" s="73"/>
      <c r="G385" s="73"/>
      <c r="H385" s="73"/>
      <c r="I385" s="73"/>
      <c r="J385" s="74"/>
      <c r="K385" s="74"/>
    </row>
    <row r="386">
      <c r="C386" s="71"/>
      <c r="D386" s="71"/>
      <c r="E386" s="71"/>
      <c r="F386" s="73"/>
      <c r="G386" s="73"/>
      <c r="H386" s="73"/>
      <c r="I386" s="73"/>
      <c r="J386" s="74"/>
      <c r="K386" s="74"/>
    </row>
    <row r="387">
      <c r="C387" s="71"/>
      <c r="D387" s="71"/>
      <c r="E387" s="71"/>
      <c r="F387" s="73"/>
      <c r="G387" s="73"/>
      <c r="H387" s="73"/>
      <c r="I387" s="73"/>
      <c r="J387" s="74"/>
      <c r="K387" s="74"/>
    </row>
    <row r="388">
      <c r="C388" s="71"/>
      <c r="D388" s="71"/>
      <c r="E388" s="71"/>
      <c r="F388" s="73"/>
      <c r="G388" s="73"/>
      <c r="H388" s="73"/>
      <c r="I388" s="73"/>
      <c r="J388" s="74"/>
      <c r="K388" s="74"/>
    </row>
    <row r="389">
      <c r="C389" s="71"/>
      <c r="D389" s="71"/>
      <c r="E389" s="71"/>
      <c r="F389" s="73"/>
      <c r="G389" s="73"/>
      <c r="H389" s="73"/>
      <c r="I389" s="73"/>
      <c r="J389" s="74"/>
      <c r="K389" s="74"/>
    </row>
    <row r="390">
      <c r="C390" s="71"/>
      <c r="D390" s="71"/>
      <c r="E390" s="71"/>
      <c r="F390" s="73"/>
      <c r="G390" s="73"/>
      <c r="H390" s="73"/>
      <c r="I390" s="73"/>
      <c r="J390" s="74"/>
      <c r="K390" s="74"/>
    </row>
    <row r="391">
      <c r="C391" s="71"/>
      <c r="D391" s="71"/>
      <c r="E391" s="71"/>
      <c r="F391" s="73"/>
      <c r="G391" s="73"/>
      <c r="H391" s="73"/>
      <c r="I391" s="73"/>
      <c r="J391" s="74"/>
      <c r="K391" s="74"/>
    </row>
    <row r="392">
      <c r="C392" s="71"/>
      <c r="D392" s="71"/>
      <c r="E392" s="71"/>
      <c r="F392" s="73"/>
      <c r="G392" s="73"/>
      <c r="H392" s="73"/>
      <c r="I392" s="73"/>
      <c r="J392" s="74"/>
      <c r="K392" s="74"/>
    </row>
    <row r="393">
      <c r="C393" s="71"/>
      <c r="D393" s="71"/>
      <c r="E393" s="71"/>
      <c r="F393" s="73"/>
      <c r="G393" s="73"/>
      <c r="H393" s="73"/>
      <c r="I393" s="73"/>
      <c r="J393" s="74"/>
      <c r="K393" s="74"/>
    </row>
    <row r="394">
      <c r="C394" s="71"/>
      <c r="D394" s="71"/>
      <c r="E394" s="71"/>
      <c r="F394" s="73"/>
      <c r="G394" s="73"/>
      <c r="H394" s="73"/>
      <c r="I394" s="73"/>
      <c r="J394" s="74"/>
      <c r="K394" s="74"/>
    </row>
    <row r="395">
      <c r="C395" s="71"/>
      <c r="D395" s="71"/>
      <c r="E395" s="71"/>
      <c r="F395" s="73"/>
      <c r="G395" s="73"/>
      <c r="H395" s="73"/>
      <c r="I395" s="73"/>
      <c r="J395" s="74"/>
      <c r="K395" s="74"/>
    </row>
    <row r="396">
      <c r="C396" s="71"/>
      <c r="D396" s="71"/>
      <c r="E396" s="71"/>
      <c r="F396" s="73"/>
      <c r="G396" s="73"/>
      <c r="H396" s="73"/>
      <c r="I396" s="73"/>
      <c r="J396" s="74"/>
      <c r="K396" s="74"/>
    </row>
    <row r="397">
      <c r="C397" s="71"/>
      <c r="D397" s="71"/>
      <c r="E397" s="71"/>
      <c r="F397" s="73"/>
      <c r="G397" s="73"/>
      <c r="H397" s="73"/>
      <c r="I397" s="73"/>
      <c r="J397" s="74"/>
      <c r="K397" s="74"/>
    </row>
    <row r="398">
      <c r="C398" s="71"/>
      <c r="D398" s="71"/>
      <c r="E398" s="71"/>
      <c r="F398" s="73"/>
      <c r="G398" s="73"/>
      <c r="H398" s="73"/>
      <c r="I398" s="73"/>
      <c r="J398" s="74"/>
      <c r="K398" s="74"/>
    </row>
    <row r="399">
      <c r="C399" s="71"/>
      <c r="D399" s="71"/>
      <c r="E399" s="71"/>
      <c r="F399" s="73"/>
      <c r="G399" s="73"/>
      <c r="H399" s="73"/>
      <c r="I399" s="73"/>
      <c r="J399" s="74"/>
      <c r="K399" s="74"/>
    </row>
    <row r="400">
      <c r="C400" s="71"/>
      <c r="D400" s="71"/>
      <c r="E400" s="71"/>
      <c r="F400" s="73"/>
      <c r="G400" s="73"/>
      <c r="H400" s="73"/>
      <c r="I400" s="73"/>
      <c r="J400" s="74"/>
      <c r="K400" s="74"/>
    </row>
    <row r="401">
      <c r="C401" s="71"/>
      <c r="D401" s="71"/>
      <c r="E401" s="71"/>
      <c r="F401" s="73"/>
      <c r="G401" s="73"/>
      <c r="H401" s="73"/>
      <c r="I401" s="73"/>
      <c r="J401" s="74"/>
      <c r="K401" s="74"/>
    </row>
    <row r="402">
      <c r="C402" s="71"/>
      <c r="D402" s="71"/>
      <c r="E402" s="71"/>
      <c r="F402" s="73"/>
      <c r="G402" s="73"/>
      <c r="H402" s="73"/>
      <c r="I402" s="73"/>
      <c r="J402" s="74"/>
      <c r="K402" s="74"/>
    </row>
    <row r="403">
      <c r="C403" s="71"/>
      <c r="D403" s="71"/>
      <c r="E403" s="71"/>
      <c r="F403" s="73"/>
      <c r="G403" s="73"/>
      <c r="H403" s="73"/>
      <c r="I403" s="73"/>
      <c r="J403" s="74"/>
      <c r="K403" s="74"/>
    </row>
    <row r="404">
      <c r="C404" s="71"/>
      <c r="D404" s="71"/>
      <c r="E404" s="71"/>
      <c r="F404" s="73"/>
      <c r="G404" s="73"/>
      <c r="H404" s="73"/>
      <c r="I404" s="73"/>
      <c r="J404" s="74"/>
      <c r="K404" s="74"/>
    </row>
    <row r="405">
      <c r="C405" s="71"/>
      <c r="D405" s="71"/>
      <c r="E405" s="71"/>
      <c r="F405" s="73"/>
      <c r="G405" s="73"/>
      <c r="H405" s="73"/>
      <c r="I405" s="73"/>
      <c r="J405" s="74"/>
      <c r="K405" s="74"/>
    </row>
    <row r="406">
      <c r="C406" s="71"/>
      <c r="D406" s="71"/>
      <c r="E406" s="71"/>
      <c r="F406" s="73"/>
      <c r="G406" s="73"/>
      <c r="H406" s="73"/>
      <c r="I406" s="73"/>
      <c r="J406" s="74"/>
      <c r="K406" s="74"/>
    </row>
    <row r="407">
      <c r="C407" s="71"/>
      <c r="D407" s="71"/>
      <c r="E407" s="71"/>
      <c r="F407" s="73"/>
      <c r="G407" s="73"/>
      <c r="H407" s="73"/>
      <c r="I407" s="73"/>
      <c r="J407" s="74"/>
      <c r="K407" s="74"/>
    </row>
    <row r="408">
      <c r="C408" s="71"/>
      <c r="D408" s="71"/>
      <c r="E408" s="71"/>
      <c r="F408" s="73"/>
      <c r="G408" s="73"/>
      <c r="H408" s="73"/>
      <c r="I408" s="73"/>
      <c r="J408" s="74"/>
      <c r="K408" s="74"/>
    </row>
    <row r="409">
      <c r="C409" s="71"/>
      <c r="D409" s="71"/>
      <c r="E409" s="71"/>
      <c r="F409" s="73"/>
      <c r="G409" s="73"/>
      <c r="H409" s="73"/>
      <c r="I409" s="73"/>
      <c r="J409" s="74"/>
      <c r="K409" s="74"/>
    </row>
    <row r="410">
      <c r="C410" s="71"/>
      <c r="D410" s="71"/>
      <c r="E410" s="71"/>
      <c r="F410" s="73"/>
      <c r="G410" s="73"/>
      <c r="H410" s="73"/>
      <c r="I410" s="73"/>
      <c r="J410" s="74"/>
      <c r="K410" s="74"/>
    </row>
    <row r="411">
      <c r="C411" s="71"/>
      <c r="D411" s="71"/>
      <c r="E411" s="71"/>
      <c r="F411" s="73"/>
      <c r="G411" s="73"/>
      <c r="H411" s="73"/>
      <c r="I411" s="73"/>
      <c r="J411" s="74"/>
      <c r="K411" s="74"/>
    </row>
    <row r="412">
      <c r="C412" s="71"/>
      <c r="D412" s="71"/>
      <c r="E412" s="71"/>
      <c r="F412" s="73"/>
      <c r="G412" s="73"/>
      <c r="H412" s="73"/>
      <c r="I412" s="73"/>
      <c r="J412" s="74"/>
      <c r="K412" s="74"/>
    </row>
    <row r="413">
      <c r="C413" s="71"/>
      <c r="D413" s="71"/>
      <c r="E413" s="71"/>
      <c r="F413" s="73"/>
      <c r="G413" s="73"/>
      <c r="H413" s="73"/>
      <c r="I413" s="73"/>
      <c r="J413" s="74"/>
      <c r="K413" s="74"/>
    </row>
    <row r="414">
      <c r="C414" s="71"/>
      <c r="D414" s="71"/>
      <c r="E414" s="71"/>
      <c r="F414" s="73"/>
      <c r="G414" s="73"/>
      <c r="H414" s="73"/>
      <c r="I414" s="73"/>
      <c r="J414" s="74"/>
      <c r="K414" s="74"/>
    </row>
    <row r="415">
      <c r="C415" s="71"/>
      <c r="D415" s="71"/>
      <c r="E415" s="71"/>
      <c r="F415" s="73"/>
      <c r="G415" s="73"/>
      <c r="H415" s="73"/>
      <c r="I415" s="73"/>
      <c r="J415" s="74"/>
      <c r="K415" s="74"/>
    </row>
    <row r="416">
      <c r="C416" s="71"/>
      <c r="D416" s="71"/>
      <c r="E416" s="71"/>
      <c r="F416" s="73"/>
      <c r="G416" s="73"/>
      <c r="H416" s="73"/>
      <c r="I416" s="73"/>
      <c r="J416" s="74"/>
      <c r="K416" s="74"/>
    </row>
    <row r="417">
      <c r="C417" s="71"/>
      <c r="D417" s="71"/>
      <c r="E417" s="71"/>
      <c r="F417" s="73"/>
      <c r="G417" s="73"/>
      <c r="H417" s="73"/>
      <c r="I417" s="73"/>
      <c r="J417" s="74"/>
      <c r="K417" s="74"/>
    </row>
    <row r="418">
      <c r="C418" s="71"/>
      <c r="D418" s="71"/>
      <c r="E418" s="71"/>
      <c r="F418" s="73"/>
      <c r="G418" s="73"/>
      <c r="H418" s="73"/>
      <c r="I418" s="73"/>
      <c r="J418" s="74"/>
      <c r="K418" s="74"/>
    </row>
    <row r="419">
      <c r="C419" s="71"/>
      <c r="D419" s="71"/>
      <c r="E419" s="71"/>
      <c r="F419" s="73"/>
      <c r="G419" s="73"/>
      <c r="H419" s="73"/>
      <c r="I419" s="73"/>
      <c r="J419" s="74"/>
      <c r="K419" s="74"/>
    </row>
    <row r="420">
      <c r="C420" s="71"/>
      <c r="D420" s="71"/>
      <c r="E420" s="71"/>
      <c r="F420" s="73"/>
      <c r="G420" s="73"/>
      <c r="H420" s="73"/>
      <c r="I420" s="73"/>
      <c r="J420" s="74"/>
      <c r="K420" s="74"/>
    </row>
    <row r="421">
      <c r="C421" s="71"/>
      <c r="D421" s="71"/>
      <c r="E421" s="71"/>
      <c r="F421" s="73"/>
      <c r="G421" s="73"/>
      <c r="H421" s="73"/>
      <c r="I421" s="73"/>
      <c r="J421" s="74"/>
      <c r="K421" s="74"/>
    </row>
    <row r="422">
      <c r="C422" s="71"/>
      <c r="D422" s="71"/>
      <c r="E422" s="71"/>
      <c r="F422" s="73"/>
      <c r="G422" s="73"/>
      <c r="H422" s="73"/>
      <c r="I422" s="73"/>
      <c r="J422" s="74"/>
      <c r="K422" s="74"/>
    </row>
    <row r="423">
      <c r="C423" s="71"/>
      <c r="D423" s="71"/>
      <c r="E423" s="71"/>
      <c r="F423" s="73"/>
      <c r="G423" s="73"/>
      <c r="H423" s="73"/>
      <c r="I423" s="73"/>
      <c r="J423" s="74"/>
      <c r="K423" s="74"/>
    </row>
    <row r="424">
      <c r="C424" s="71"/>
      <c r="D424" s="71"/>
      <c r="E424" s="71"/>
      <c r="F424" s="73"/>
      <c r="G424" s="73"/>
      <c r="H424" s="73"/>
      <c r="I424" s="73"/>
      <c r="J424" s="74"/>
      <c r="K424" s="74"/>
    </row>
    <row r="425">
      <c r="C425" s="71"/>
      <c r="D425" s="71"/>
      <c r="E425" s="71"/>
      <c r="F425" s="73"/>
      <c r="G425" s="73"/>
      <c r="H425" s="73"/>
      <c r="I425" s="73"/>
      <c r="J425" s="74"/>
      <c r="K425" s="74"/>
    </row>
    <row r="426">
      <c r="C426" s="71"/>
      <c r="D426" s="71"/>
      <c r="E426" s="71"/>
      <c r="F426" s="73"/>
      <c r="G426" s="73"/>
      <c r="H426" s="73"/>
      <c r="I426" s="73"/>
      <c r="J426" s="74"/>
      <c r="K426" s="74"/>
    </row>
    <row r="427">
      <c r="C427" s="71"/>
      <c r="D427" s="71"/>
      <c r="E427" s="71"/>
      <c r="F427" s="73"/>
      <c r="G427" s="73"/>
      <c r="H427" s="73"/>
      <c r="I427" s="73"/>
      <c r="J427" s="74"/>
      <c r="K427" s="74"/>
    </row>
    <row r="428">
      <c r="C428" s="71"/>
      <c r="D428" s="71"/>
      <c r="E428" s="71"/>
      <c r="F428" s="73"/>
      <c r="G428" s="73"/>
      <c r="H428" s="73"/>
      <c r="I428" s="73"/>
      <c r="J428" s="74"/>
      <c r="K428" s="74"/>
    </row>
    <row r="429">
      <c r="C429" s="71"/>
      <c r="D429" s="71"/>
      <c r="E429" s="71"/>
      <c r="F429" s="73"/>
      <c r="G429" s="73"/>
      <c r="H429" s="73"/>
      <c r="I429" s="73"/>
      <c r="J429" s="74"/>
      <c r="K429" s="74"/>
    </row>
    <row r="430">
      <c r="C430" s="71"/>
      <c r="D430" s="71"/>
      <c r="E430" s="71"/>
      <c r="F430" s="73"/>
      <c r="G430" s="73"/>
      <c r="H430" s="73"/>
      <c r="I430" s="73"/>
      <c r="J430" s="74"/>
      <c r="K430" s="74"/>
    </row>
    <row r="431">
      <c r="C431" s="71"/>
      <c r="D431" s="71"/>
      <c r="E431" s="71"/>
      <c r="F431" s="73"/>
      <c r="G431" s="73"/>
      <c r="H431" s="73"/>
      <c r="I431" s="73"/>
      <c r="J431" s="74"/>
      <c r="K431" s="74"/>
    </row>
    <row r="432">
      <c r="C432" s="71"/>
      <c r="D432" s="71"/>
      <c r="E432" s="71"/>
      <c r="F432" s="73"/>
      <c r="G432" s="73"/>
      <c r="H432" s="73"/>
      <c r="I432" s="73"/>
      <c r="J432" s="74"/>
      <c r="K432" s="74"/>
    </row>
    <row r="433">
      <c r="C433" s="71"/>
      <c r="D433" s="71"/>
      <c r="E433" s="71"/>
      <c r="F433" s="73"/>
      <c r="G433" s="73"/>
      <c r="H433" s="73"/>
      <c r="I433" s="73"/>
      <c r="J433" s="74"/>
      <c r="K433" s="74"/>
    </row>
    <row r="434">
      <c r="C434" s="71"/>
      <c r="D434" s="71"/>
      <c r="E434" s="71"/>
      <c r="F434" s="73"/>
      <c r="G434" s="73"/>
      <c r="H434" s="73"/>
      <c r="I434" s="73"/>
      <c r="J434" s="74"/>
      <c r="K434" s="74"/>
    </row>
    <row r="435">
      <c r="C435" s="71"/>
      <c r="D435" s="71"/>
      <c r="E435" s="71"/>
      <c r="F435" s="73"/>
      <c r="G435" s="73"/>
      <c r="H435" s="73"/>
      <c r="I435" s="73"/>
      <c r="J435" s="74"/>
      <c r="K435" s="74"/>
    </row>
    <row r="436">
      <c r="C436" s="71"/>
      <c r="D436" s="71"/>
      <c r="E436" s="71"/>
      <c r="F436" s="73"/>
      <c r="G436" s="73"/>
      <c r="H436" s="73"/>
      <c r="I436" s="73"/>
      <c r="J436" s="74"/>
      <c r="K436" s="74"/>
    </row>
    <row r="437">
      <c r="C437" s="71"/>
      <c r="D437" s="71"/>
      <c r="E437" s="71"/>
      <c r="F437" s="73"/>
      <c r="G437" s="73"/>
      <c r="H437" s="73"/>
      <c r="I437" s="73"/>
      <c r="J437" s="74"/>
      <c r="K437" s="74"/>
    </row>
    <row r="438">
      <c r="C438" s="71"/>
      <c r="D438" s="71"/>
      <c r="E438" s="71"/>
      <c r="F438" s="73"/>
      <c r="G438" s="73"/>
      <c r="H438" s="73"/>
      <c r="I438" s="73"/>
      <c r="J438" s="74"/>
      <c r="K438" s="74"/>
    </row>
    <row r="439">
      <c r="C439" s="71"/>
      <c r="D439" s="71"/>
      <c r="E439" s="71"/>
      <c r="F439" s="73"/>
      <c r="G439" s="73"/>
      <c r="H439" s="73"/>
      <c r="I439" s="73"/>
      <c r="J439" s="74"/>
      <c r="K439" s="74"/>
    </row>
    <row r="440">
      <c r="C440" s="71"/>
      <c r="D440" s="71"/>
      <c r="E440" s="71"/>
      <c r="F440" s="73"/>
      <c r="G440" s="73"/>
      <c r="H440" s="73"/>
      <c r="I440" s="73"/>
      <c r="J440" s="74"/>
      <c r="K440" s="74"/>
    </row>
    <row r="441">
      <c r="C441" s="71"/>
      <c r="D441" s="71"/>
      <c r="E441" s="71"/>
      <c r="F441" s="73"/>
      <c r="G441" s="73"/>
      <c r="H441" s="73"/>
      <c r="I441" s="73"/>
      <c r="J441" s="74"/>
      <c r="K441" s="74"/>
    </row>
    <row r="442">
      <c r="C442" s="71"/>
      <c r="D442" s="71"/>
      <c r="E442" s="71"/>
      <c r="F442" s="73"/>
      <c r="G442" s="73"/>
      <c r="H442" s="73"/>
      <c r="I442" s="73"/>
      <c r="J442" s="74"/>
      <c r="K442" s="74"/>
    </row>
    <row r="443">
      <c r="C443" s="71"/>
      <c r="D443" s="71"/>
      <c r="E443" s="71"/>
      <c r="F443" s="73"/>
      <c r="G443" s="73"/>
      <c r="H443" s="73"/>
      <c r="I443" s="73"/>
      <c r="J443" s="74"/>
      <c r="K443" s="74"/>
    </row>
    <row r="444">
      <c r="C444" s="71"/>
      <c r="D444" s="71"/>
      <c r="E444" s="71"/>
      <c r="F444" s="73"/>
      <c r="G444" s="73"/>
      <c r="H444" s="73"/>
      <c r="I444" s="73"/>
      <c r="J444" s="74"/>
      <c r="K444" s="74"/>
    </row>
    <row r="445">
      <c r="C445" s="71"/>
      <c r="D445" s="71"/>
      <c r="E445" s="71"/>
      <c r="F445" s="73"/>
      <c r="G445" s="73"/>
      <c r="H445" s="73"/>
      <c r="I445" s="73"/>
      <c r="J445" s="74"/>
      <c r="K445" s="74"/>
    </row>
    <row r="446">
      <c r="C446" s="71"/>
      <c r="D446" s="71"/>
      <c r="E446" s="71"/>
      <c r="F446" s="73"/>
      <c r="G446" s="73"/>
      <c r="H446" s="73"/>
      <c r="I446" s="73"/>
      <c r="J446" s="74"/>
      <c r="K446" s="74"/>
    </row>
    <row r="447">
      <c r="C447" s="71"/>
      <c r="D447" s="71"/>
      <c r="E447" s="71"/>
      <c r="F447" s="73"/>
      <c r="G447" s="73"/>
      <c r="H447" s="73"/>
      <c r="I447" s="73"/>
      <c r="J447" s="74"/>
      <c r="K447" s="74"/>
    </row>
    <row r="448">
      <c r="C448" s="71"/>
      <c r="D448" s="71"/>
      <c r="E448" s="71"/>
      <c r="F448" s="73"/>
      <c r="G448" s="73"/>
      <c r="H448" s="73"/>
      <c r="I448" s="73"/>
      <c r="J448" s="74"/>
      <c r="K448" s="74"/>
    </row>
    <row r="449">
      <c r="C449" s="71"/>
      <c r="D449" s="71"/>
      <c r="E449" s="71"/>
      <c r="F449" s="73"/>
      <c r="G449" s="73"/>
      <c r="H449" s="73"/>
      <c r="I449" s="73"/>
      <c r="J449" s="74"/>
      <c r="K449" s="74"/>
    </row>
    <row r="450">
      <c r="C450" s="71"/>
      <c r="D450" s="71"/>
      <c r="E450" s="71"/>
      <c r="F450" s="73"/>
      <c r="G450" s="73"/>
      <c r="H450" s="73"/>
      <c r="I450" s="73"/>
      <c r="J450" s="74"/>
      <c r="K450" s="74"/>
    </row>
    <row r="451">
      <c r="C451" s="71"/>
      <c r="D451" s="71"/>
      <c r="E451" s="71"/>
      <c r="F451" s="73"/>
      <c r="G451" s="73"/>
      <c r="H451" s="73"/>
      <c r="I451" s="73"/>
      <c r="J451" s="74"/>
      <c r="K451" s="74"/>
    </row>
    <row r="452">
      <c r="C452" s="71"/>
      <c r="D452" s="71"/>
      <c r="E452" s="71"/>
      <c r="F452" s="73"/>
      <c r="G452" s="73"/>
      <c r="H452" s="73"/>
      <c r="I452" s="73"/>
      <c r="J452" s="74"/>
      <c r="K452" s="74"/>
    </row>
    <row r="453">
      <c r="C453" s="71"/>
      <c r="D453" s="71"/>
      <c r="E453" s="71"/>
      <c r="F453" s="73"/>
      <c r="G453" s="73"/>
      <c r="H453" s="73"/>
      <c r="I453" s="73"/>
      <c r="J453" s="74"/>
      <c r="K453" s="74"/>
    </row>
    <row r="454">
      <c r="C454" s="71"/>
      <c r="D454" s="71"/>
      <c r="E454" s="71"/>
      <c r="F454" s="73"/>
      <c r="G454" s="73"/>
      <c r="H454" s="73"/>
      <c r="I454" s="73"/>
      <c r="J454" s="74"/>
      <c r="K454" s="74"/>
    </row>
    <row r="455">
      <c r="C455" s="71"/>
      <c r="D455" s="71"/>
      <c r="E455" s="71"/>
      <c r="F455" s="73"/>
      <c r="G455" s="73"/>
      <c r="H455" s="73"/>
      <c r="I455" s="73"/>
      <c r="J455" s="74"/>
      <c r="K455" s="74"/>
    </row>
    <row r="456">
      <c r="C456" s="71"/>
      <c r="D456" s="71"/>
      <c r="E456" s="71"/>
      <c r="F456" s="73"/>
      <c r="G456" s="73"/>
      <c r="H456" s="73"/>
      <c r="I456" s="73"/>
      <c r="J456" s="74"/>
      <c r="K456" s="74"/>
    </row>
    <row r="457">
      <c r="C457" s="71"/>
      <c r="D457" s="71"/>
      <c r="E457" s="71"/>
      <c r="F457" s="73"/>
      <c r="G457" s="73"/>
      <c r="H457" s="73"/>
      <c r="I457" s="73"/>
      <c r="J457" s="74"/>
      <c r="K457" s="74"/>
    </row>
    <row r="458">
      <c r="C458" s="71"/>
      <c r="D458" s="71"/>
      <c r="E458" s="71"/>
      <c r="F458" s="73"/>
      <c r="G458" s="73"/>
      <c r="H458" s="73"/>
      <c r="I458" s="73"/>
      <c r="J458" s="74"/>
      <c r="K458" s="74"/>
    </row>
    <row r="459">
      <c r="C459" s="71"/>
      <c r="D459" s="71"/>
      <c r="E459" s="71"/>
      <c r="F459" s="73"/>
      <c r="G459" s="73"/>
      <c r="H459" s="73"/>
      <c r="I459" s="73"/>
      <c r="J459" s="74"/>
      <c r="K459" s="74"/>
    </row>
    <row r="460">
      <c r="C460" s="71"/>
      <c r="D460" s="71"/>
      <c r="E460" s="71"/>
      <c r="F460" s="73"/>
      <c r="G460" s="73"/>
      <c r="H460" s="73"/>
      <c r="I460" s="73"/>
      <c r="J460" s="74"/>
      <c r="K460" s="74"/>
    </row>
    <row r="461">
      <c r="C461" s="71"/>
      <c r="D461" s="71"/>
      <c r="E461" s="71"/>
      <c r="F461" s="73"/>
      <c r="G461" s="73"/>
      <c r="H461" s="73"/>
      <c r="I461" s="73"/>
      <c r="J461" s="74"/>
      <c r="K461" s="74"/>
    </row>
    <row r="462">
      <c r="C462" s="71"/>
      <c r="D462" s="71"/>
      <c r="E462" s="71"/>
      <c r="F462" s="73"/>
      <c r="G462" s="73"/>
      <c r="H462" s="73"/>
      <c r="I462" s="73"/>
      <c r="J462" s="74"/>
      <c r="K462" s="74"/>
    </row>
    <row r="463">
      <c r="C463" s="71"/>
      <c r="D463" s="71"/>
      <c r="E463" s="71"/>
      <c r="F463" s="73"/>
      <c r="G463" s="73"/>
      <c r="H463" s="73"/>
      <c r="I463" s="73"/>
      <c r="J463" s="74"/>
      <c r="K463" s="74"/>
    </row>
    <row r="464">
      <c r="C464" s="71"/>
      <c r="D464" s="71"/>
      <c r="E464" s="71"/>
      <c r="F464" s="73"/>
      <c r="G464" s="73"/>
      <c r="H464" s="73"/>
      <c r="I464" s="73"/>
      <c r="J464" s="74"/>
      <c r="K464" s="74"/>
    </row>
    <row r="465">
      <c r="C465" s="71"/>
      <c r="D465" s="71"/>
      <c r="E465" s="71"/>
      <c r="F465" s="73"/>
      <c r="G465" s="73"/>
      <c r="H465" s="73"/>
      <c r="I465" s="73"/>
      <c r="J465" s="74"/>
      <c r="K465" s="74"/>
    </row>
    <row r="466">
      <c r="C466" s="71"/>
      <c r="D466" s="71"/>
      <c r="E466" s="71"/>
      <c r="F466" s="73"/>
      <c r="G466" s="73"/>
      <c r="H466" s="73"/>
      <c r="I466" s="73"/>
      <c r="J466" s="74"/>
      <c r="K466" s="74"/>
    </row>
    <row r="467">
      <c r="C467" s="71"/>
      <c r="D467" s="71"/>
      <c r="E467" s="71"/>
      <c r="F467" s="73"/>
      <c r="G467" s="73"/>
      <c r="H467" s="73"/>
      <c r="I467" s="73"/>
      <c r="J467" s="74"/>
      <c r="K467" s="74"/>
    </row>
    <row r="468">
      <c r="C468" s="71"/>
      <c r="D468" s="71"/>
      <c r="E468" s="71"/>
      <c r="F468" s="73"/>
      <c r="G468" s="73"/>
      <c r="H468" s="73"/>
      <c r="I468" s="73"/>
      <c r="J468" s="74"/>
      <c r="K468" s="74"/>
    </row>
    <row r="469">
      <c r="C469" s="71"/>
      <c r="D469" s="71"/>
      <c r="E469" s="71"/>
      <c r="F469" s="73"/>
      <c r="G469" s="73"/>
      <c r="H469" s="73"/>
      <c r="I469" s="73"/>
      <c r="J469" s="74"/>
      <c r="K469" s="74"/>
    </row>
    <row r="470">
      <c r="C470" s="71"/>
      <c r="D470" s="71"/>
      <c r="E470" s="71"/>
      <c r="F470" s="73"/>
      <c r="G470" s="73"/>
      <c r="H470" s="73"/>
      <c r="I470" s="73"/>
      <c r="J470" s="74"/>
      <c r="K470" s="74"/>
    </row>
    <row r="471">
      <c r="C471" s="71"/>
      <c r="D471" s="71"/>
      <c r="E471" s="71"/>
      <c r="F471" s="73"/>
      <c r="G471" s="73"/>
      <c r="H471" s="73"/>
      <c r="I471" s="73"/>
      <c r="J471" s="74"/>
      <c r="K471" s="74"/>
    </row>
    <row r="472">
      <c r="C472" s="71"/>
      <c r="D472" s="71"/>
      <c r="E472" s="71"/>
      <c r="F472" s="73"/>
      <c r="G472" s="73"/>
      <c r="H472" s="73"/>
      <c r="I472" s="73"/>
      <c r="J472" s="74"/>
      <c r="K472" s="74"/>
    </row>
    <row r="473">
      <c r="C473" s="71"/>
      <c r="D473" s="71"/>
      <c r="E473" s="71"/>
      <c r="F473" s="73"/>
      <c r="G473" s="73"/>
      <c r="H473" s="73"/>
      <c r="I473" s="73"/>
      <c r="J473" s="74"/>
      <c r="K473" s="74"/>
    </row>
    <row r="474">
      <c r="C474" s="71"/>
      <c r="D474" s="71"/>
      <c r="E474" s="71"/>
      <c r="F474" s="73"/>
      <c r="G474" s="73"/>
      <c r="H474" s="73"/>
      <c r="I474" s="73"/>
      <c r="J474" s="74"/>
      <c r="K474" s="74"/>
    </row>
    <row r="475">
      <c r="C475" s="71"/>
      <c r="D475" s="71"/>
      <c r="E475" s="71"/>
      <c r="F475" s="73"/>
      <c r="G475" s="73"/>
      <c r="H475" s="73"/>
      <c r="I475" s="73"/>
      <c r="J475" s="74"/>
      <c r="K475" s="74"/>
    </row>
    <row r="476">
      <c r="C476" s="71"/>
      <c r="D476" s="71"/>
      <c r="E476" s="71"/>
      <c r="F476" s="73"/>
      <c r="G476" s="73"/>
      <c r="H476" s="73"/>
      <c r="I476" s="73"/>
      <c r="J476" s="74"/>
      <c r="K476" s="74"/>
    </row>
    <row r="477">
      <c r="C477" s="71"/>
      <c r="D477" s="71"/>
      <c r="E477" s="71"/>
      <c r="F477" s="73"/>
      <c r="G477" s="73"/>
      <c r="H477" s="73"/>
      <c r="I477" s="73"/>
      <c r="J477" s="74"/>
      <c r="K477" s="74"/>
    </row>
    <row r="478">
      <c r="C478" s="71"/>
      <c r="D478" s="71"/>
      <c r="E478" s="71"/>
      <c r="F478" s="73"/>
      <c r="G478" s="73"/>
      <c r="H478" s="73"/>
      <c r="I478" s="73"/>
      <c r="J478" s="74"/>
      <c r="K478" s="74"/>
    </row>
    <row r="479">
      <c r="C479" s="71"/>
      <c r="D479" s="71"/>
      <c r="E479" s="71"/>
      <c r="F479" s="73"/>
      <c r="G479" s="73"/>
      <c r="H479" s="73"/>
      <c r="I479" s="73"/>
      <c r="J479" s="74"/>
      <c r="K479" s="74"/>
    </row>
    <row r="480">
      <c r="C480" s="71"/>
      <c r="D480" s="71"/>
      <c r="E480" s="71"/>
      <c r="F480" s="73"/>
      <c r="G480" s="73"/>
      <c r="H480" s="73"/>
      <c r="I480" s="73"/>
      <c r="J480" s="74"/>
      <c r="K480" s="74"/>
    </row>
    <row r="481">
      <c r="C481" s="71"/>
      <c r="D481" s="71"/>
      <c r="E481" s="71"/>
      <c r="F481" s="73"/>
      <c r="G481" s="73"/>
      <c r="H481" s="73"/>
      <c r="I481" s="73"/>
      <c r="J481" s="74"/>
      <c r="K481" s="74"/>
    </row>
    <row r="482">
      <c r="C482" s="71"/>
      <c r="D482" s="71"/>
      <c r="E482" s="71"/>
      <c r="F482" s="73"/>
      <c r="G482" s="73"/>
      <c r="H482" s="73"/>
      <c r="I482" s="73"/>
      <c r="J482" s="74"/>
      <c r="K482" s="74"/>
    </row>
    <row r="483">
      <c r="C483" s="71"/>
      <c r="D483" s="71"/>
      <c r="E483" s="71"/>
      <c r="F483" s="73"/>
      <c r="G483" s="73"/>
      <c r="H483" s="73"/>
      <c r="I483" s="73"/>
      <c r="J483" s="74"/>
      <c r="K483" s="74"/>
    </row>
    <row r="484">
      <c r="C484" s="71"/>
      <c r="D484" s="71"/>
      <c r="E484" s="71"/>
      <c r="F484" s="73"/>
      <c r="G484" s="73"/>
      <c r="H484" s="73"/>
      <c r="I484" s="73"/>
      <c r="J484" s="74"/>
      <c r="K484" s="74"/>
    </row>
    <row r="485">
      <c r="C485" s="71"/>
      <c r="D485" s="71"/>
      <c r="E485" s="71"/>
      <c r="F485" s="73"/>
      <c r="G485" s="73"/>
      <c r="H485" s="73"/>
      <c r="I485" s="73"/>
      <c r="J485" s="74"/>
      <c r="K485" s="74"/>
    </row>
    <row r="486">
      <c r="C486" s="71"/>
      <c r="D486" s="71"/>
      <c r="E486" s="71"/>
      <c r="F486" s="73"/>
      <c r="G486" s="73"/>
      <c r="H486" s="73"/>
      <c r="I486" s="73"/>
      <c r="J486" s="74"/>
      <c r="K486" s="74"/>
    </row>
    <row r="487">
      <c r="C487" s="71"/>
      <c r="D487" s="71"/>
      <c r="E487" s="71"/>
      <c r="F487" s="73"/>
      <c r="G487" s="73"/>
      <c r="H487" s="73"/>
      <c r="I487" s="73"/>
      <c r="J487" s="74"/>
      <c r="K487" s="74"/>
    </row>
    <row r="488">
      <c r="C488" s="71"/>
      <c r="D488" s="71"/>
      <c r="E488" s="71"/>
      <c r="F488" s="73"/>
      <c r="G488" s="73"/>
      <c r="H488" s="73"/>
      <c r="I488" s="73"/>
      <c r="J488" s="74"/>
      <c r="K488" s="74"/>
    </row>
    <row r="489">
      <c r="C489" s="71"/>
      <c r="D489" s="71"/>
      <c r="E489" s="71"/>
      <c r="F489" s="73"/>
      <c r="G489" s="73"/>
      <c r="H489" s="73"/>
      <c r="I489" s="73"/>
      <c r="J489" s="74"/>
      <c r="K489" s="74"/>
    </row>
    <row r="490">
      <c r="C490" s="71"/>
      <c r="D490" s="71"/>
      <c r="E490" s="71"/>
      <c r="F490" s="73"/>
      <c r="G490" s="73"/>
      <c r="H490" s="73"/>
      <c r="I490" s="73"/>
      <c r="J490" s="74"/>
      <c r="K490" s="74"/>
    </row>
    <row r="491">
      <c r="C491" s="71"/>
      <c r="D491" s="71"/>
      <c r="E491" s="71"/>
      <c r="F491" s="73"/>
      <c r="G491" s="73"/>
      <c r="H491" s="73"/>
      <c r="I491" s="73"/>
      <c r="J491" s="74"/>
      <c r="K491" s="74"/>
    </row>
    <row r="492">
      <c r="C492" s="71"/>
      <c r="D492" s="71"/>
      <c r="E492" s="71"/>
      <c r="F492" s="73"/>
      <c r="G492" s="73"/>
      <c r="H492" s="73"/>
      <c r="I492" s="73"/>
      <c r="J492" s="74"/>
      <c r="K492" s="74"/>
    </row>
    <row r="493">
      <c r="C493" s="71"/>
      <c r="D493" s="71"/>
      <c r="E493" s="71"/>
      <c r="F493" s="73"/>
      <c r="G493" s="73"/>
      <c r="H493" s="73"/>
      <c r="I493" s="73"/>
      <c r="J493" s="74"/>
      <c r="K493" s="74"/>
    </row>
    <row r="494">
      <c r="C494" s="71"/>
      <c r="D494" s="71"/>
      <c r="E494" s="71"/>
      <c r="F494" s="73"/>
      <c r="G494" s="73"/>
      <c r="H494" s="73"/>
      <c r="I494" s="73"/>
      <c r="J494" s="74"/>
      <c r="K494" s="74"/>
    </row>
    <row r="495">
      <c r="C495" s="71"/>
      <c r="D495" s="71"/>
      <c r="E495" s="71"/>
      <c r="F495" s="73"/>
      <c r="G495" s="73"/>
      <c r="H495" s="73"/>
      <c r="I495" s="73"/>
      <c r="J495" s="74"/>
      <c r="K495" s="74"/>
    </row>
    <row r="496">
      <c r="C496" s="71"/>
      <c r="D496" s="71"/>
      <c r="E496" s="71"/>
      <c r="F496" s="73"/>
      <c r="G496" s="73"/>
      <c r="H496" s="73"/>
      <c r="I496" s="73"/>
      <c r="J496" s="74"/>
      <c r="K496" s="74"/>
    </row>
    <row r="497">
      <c r="C497" s="71"/>
      <c r="D497" s="71"/>
      <c r="E497" s="71"/>
      <c r="F497" s="73"/>
      <c r="G497" s="73"/>
      <c r="H497" s="73"/>
      <c r="I497" s="73"/>
      <c r="J497" s="74"/>
      <c r="K497" s="74"/>
    </row>
    <row r="498">
      <c r="C498" s="71"/>
      <c r="D498" s="71"/>
      <c r="E498" s="71"/>
      <c r="F498" s="73"/>
      <c r="G498" s="73"/>
      <c r="H498" s="73"/>
      <c r="I498" s="73"/>
      <c r="J498" s="74"/>
      <c r="K498" s="74"/>
    </row>
    <row r="499">
      <c r="C499" s="71"/>
      <c r="D499" s="71"/>
      <c r="E499" s="71"/>
      <c r="F499" s="73"/>
      <c r="G499" s="73"/>
      <c r="H499" s="73"/>
      <c r="I499" s="73"/>
      <c r="J499" s="74"/>
      <c r="K499" s="74"/>
    </row>
    <row r="500">
      <c r="C500" s="71"/>
      <c r="D500" s="71"/>
      <c r="E500" s="71"/>
      <c r="F500" s="73"/>
      <c r="G500" s="73"/>
      <c r="H500" s="73"/>
      <c r="I500" s="73"/>
      <c r="J500" s="74"/>
      <c r="K500" s="74"/>
    </row>
    <row r="501">
      <c r="C501" s="71"/>
      <c r="D501" s="71"/>
      <c r="E501" s="71"/>
      <c r="F501" s="73"/>
      <c r="G501" s="73"/>
      <c r="H501" s="73"/>
      <c r="I501" s="73"/>
      <c r="J501" s="74"/>
      <c r="K501" s="74"/>
    </row>
    <row r="502">
      <c r="C502" s="71"/>
      <c r="D502" s="71"/>
      <c r="E502" s="71"/>
      <c r="F502" s="73"/>
      <c r="G502" s="73"/>
      <c r="H502" s="73"/>
      <c r="I502" s="73"/>
      <c r="J502" s="74"/>
      <c r="K502" s="74"/>
    </row>
    <row r="503">
      <c r="C503" s="71"/>
      <c r="D503" s="71"/>
      <c r="E503" s="71"/>
      <c r="F503" s="73"/>
      <c r="G503" s="73"/>
      <c r="H503" s="73"/>
      <c r="I503" s="73"/>
      <c r="J503" s="74"/>
      <c r="K503" s="74"/>
    </row>
    <row r="504">
      <c r="C504" s="71"/>
      <c r="D504" s="71"/>
      <c r="E504" s="71"/>
      <c r="F504" s="73"/>
      <c r="G504" s="73"/>
      <c r="H504" s="73"/>
      <c r="I504" s="73"/>
      <c r="J504" s="74"/>
      <c r="K504" s="74"/>
    </row>
    <row r="505">
      <c r="C505" s="71"/>
      <c r="D505" s="71"/>
      <c r="E505" s="71"/>
      <c r="F505" s="73"/>
      <c r="G505" s="73"/>
      <c r="H505" s="73"/>
      <c r="I505" s="73"/>
      <c r="J505" s="74"/>
      <c r="K505" s="74"/>
    </row>
    <row r="506">
      <c r="C506" s="71"/>
      <c r="D506" s="71"/>
      <c r="E506" s="71"/>
      <c r="F506" s="73"/>
      <c r="G506" s="73"/>
      <c r="H506" s="73"/>
      <c r="I506" s="73"/>
      <c r="J506" s="74"/>
      <c r="K506" s="74"/>
    </row>
    <row r="507">
      <c r="C507" s="71"/>
      <c r="D507" s="71"/>
      <c r="E507" s="71"/>
      <c r="F507" s="73"/>
      <c r="G507" s="73"/>
      <c r="H507" s="73"/>
      <c r="I507" s="73"/>
      <c r="J507" s="74"/>
      <c r="K507" s="74"/>
    </row>
    <row r="508">
      <c r="C508" s="71"/>
      <c r="D508" s="71"/>
      <c r="E508" s="71"/>
      <c r="F508" s="73"/>
      <c r="G508" s="73"/>
      <c r="H508" s="73"/>
      <c r="I508" s="73"/>
      <c r="J508" s="74"/>
      <c r="K508" s="74"/>
    </row>
    <row r="509">
      <c r="C509" s="71"/>
      <c r="D509" s="71"/>
      <c r="E509" s="71"/>
      <c r="F509" s="73"/>
      <c r="G509" s="73"/>
      <c r="H509" s="73"/>
      <c r="I509" s="73"/>
      <c r="J509" s="74"/>
      <c r="K509" s="74"/>
    </row>
    <row r="510">
      <c r="C510" s="71"/>
      <c r="D510" s="71"/>
      <c r="E510" s="71"/>
      <c r="F510" s="73"/>
      <c r="G510" s="73"/>
      <c r="H510" s="73"/>
      <c r="I510" s="73"/>
      <c r="J510" s="74"/>
      <c r="K510" s="74"/>
    </row>
    <row r="511">
      <c r="C511" s="71"/>
      <c r="D511" s="71"/>
      <c r="E511" s="71"/>
      <c r="F511" s="73"/>
      <c r="G511" s="73"/>
      <c r="H511" s="73"/>
      <c r="I511" s="73"/>
      <c r="J511" s="74"/>
      <c r="K511" s="74"/>
    </row>
    <row r="512">
      <c r="C512" s="71"/>
      <c r="D512" s="71"/>
      <c r="E512" s="71"/>
      <c r="F512" s="73"/>
      <c r="G512" s="73"/>
      <c r="H512" s="73"/>
      <c r="I512" s="73"/>
      <c r="J512" s="74"/>
      <c r="K512" s="74"/>
    </row>
    <row r="513">
      <c r="C513" s="71"/>
      <c r="D513" s="71"/>
      <c r="E513" s="71"/>
      <c r="F513" s="73"/>
      <c r="G513" s="73"/>
      <c r="H513" s="73"/>
      <c r="I513" s="73"/>
      <c r="J513" s="74"/>
      <c r="K513" s="74"/>
    </row>
    <row r="514">
      <c r="C514" s="71"/>
      <c r="D514" s="71"/>
      <c r="E514" s="71"/>
      <c r="F514" s="73"/>
      <c r="G514" s="73"/>
      <c r="H514" s="73"/>
      <c r="I514" s="73"/>
      <c r="J514" s="74"/>
      <c r="K514" s="74"/>
    </row>
    <row r="515">
      <c r="C515" s="71"/>
      <c r="D515" s="71"/>
      <c r="E515" s="71"/>
      <c r="F515" s="73"/>
      <c r="G515" s="73"/>
      <c r="H515" s="73"/>
      <c r="I515" s="73"/>
      <c r="J515" s="74"/>
      <c r="K515" s="74"/>
    </row>
    <row r="516">
      <c r="C516" s="71"/>
      <c r="D516" s="71"/>
      <c r="E516" s="71"/>
      <c r="F516" s="73"/>
      <c r="G516" s="73"/>
      <c r="H516" s="73"/>
      <c r="I516" s="73"/>
      <c r="J516" s="74"/>
      <c r="K516" s="74"/>
    </row>
    <row r="517">
      <c r="C517" s="71"/>
      <c r="D517" s="71"/>
      <c r="E517" s="71"/>
      <c r="F517" s="73"/>
      <c r="G517" s="73"/>
      <c r="H517" s="73"/>
      <c r="I517" s="73"/>
      <c r="J517" s="74"/>
      <c r="K517" s="74"/>
    </row>
    <row r="518">
      <c r="C518" s="71"/>
      <c r="D518" s="71"/>
      <c r="E518" s="71"/>
      <c r="F518" s="73"/>
      <c r="G518" s="73"/>
      <c r="H518" s="73"/>
      <c r="I518" s="73"/>
      <c r="J518" s="74"/>
      <c r="K518" s="74"/>
    </row>
    <row r="519">
      <c r="C519" s="71"/>
      <c r="D519" s="71"/>
      <c r="E519" s="71"/>
      <c r="F519" s="73"/>
      <c r="G519" s="73"/>
      <c r="H519" s="73"/>
      <c r="I519" s="73"/>
      <c r="J519" s="74"/>
      <c r="K519" s="74"/>
    </row>
    <row r="520">
      <c r="C520" s="71"/>
      <c r="D520" s="71"/>
      <c r="E520" s="71"/>
      <c r="F520" s="73"/>
      <c r="G520" s="73"/>
      <c r="H520" s="73"/>
      <c r="I520" s="73"/>
      <c r="J520" s="74"/>
      <c r="K520" s="74"/>
    </row>
    <row r="521">
      <c r="C521" s="71"/>
      <c r="D521" s="71"/>
      <c r="E521" s="71"/>
      <c r="F521" s="73"/>
      <c r="G521" s="73"/>
      <c r="H521" s="73"/>
      <c r="I521" s="73"/>
      <c r="J521" s="74"/>
      <c r="K521" s="74"/>
    </row>
    <row r="522">
      <c r="C522" s="71"/>
      <c r="D522" s="71"/>
      <c r="E522" s="71"/>
      <c r="F522" s="73"/>
      <c r="G522" s="73"/>
      <c r="H522" s="73"/>
      <c r="I522" s="73"/>
      <c r="J522" s="74"/>
      <c r="K522" s="74"/>
    </row>
    <row r="523">
      <c r="C523" s="71"/>
      <c r="D523" s="71"/>
      <c r="E523" s="71"/>
      <c r="F523" s="73"/>
      <c r="G523" s="73"/>
      <c r="H523" s="73"/>
      <c r="I523" s="73"/>
      <c r="J523" s="74"/>
      <c r="K523" s="74"/>
    </row>
    <row r="524">
      <c r="C524" s="71"/>
      <c r="D524" s="71"/>
      <c r="E524" s="71"/>
      <c r="F524" s="73"/>
      <c r="G524" s="73"/>
      <c r="H524" s="73"/>
      <c r="I524" s="73"/>
      <c r="J524" s="74"/>
      <c r="K524" s="74"/>
    </row>
    <row r="525">
      <c r="C525" s="71"/>
      <c r="D525" s="71"/>
      <c r="E525" s="71"/>
      <c r="F525" s="73"/>
      <c r="G525" s="73"/>
      <c r="H525" s="73"/>
      <c r="I525" s="73"/>
      <c r="J525" s="74"/>
      <c r="K525" s="74"/>
    </row>
    <row r="526">
      <c r="C526" s="71"/>
      <c r="D526" s="71"/>
      <c r="E526" s="71"/>
      <c r="F526" s="73"/>
      <c r="G526" s="73"/>
      <c r="H526" s="73"/>
      <c r="I526" s="73"/>
      <c r="J526" s="74"/>
      <c r="K526" s="74"/>
    </row>
    <row r="527">
      <c r="C527" s="71"/>
      <c r="D527" s="71"/>
      <c r="E527" s="71"/>
      <c r="F527" s="73"/>
      <c r="G527" s="73"/>
      <c r="H527" s="73"/>
      <c r="I527" s="73"/>
      <c r="J527" s="74"/>
      <c r="K527" s="74"/>
    </row>
    <row r="528">
      <c r="C528" s="71"/>
      <c r="D528" s="71"/>
      <c r="E528" s="71"/>
      <c r="F528" s="73"/>
      <c r="G528" s="73"/>
      <c r="H528" s="73"/>
      <c r="I528" s="73"/>
      <c r="J528" s="74"/>
      <c r="K528" s="74"/>
    </row>
    <row r="529">
      <c r="C529" s="71"/>
      <c r="D529" s="71"/>
      <c r="E529" s="71"/>
      <c r="F529" s="73"/>
      <c r="G529" s="73"/>
      <c r="H529" s="73"/>
      <c r="I529" s="73"/>
      <c r="J529" s="74"/>
      <c r="K529" s="74"/>
    </row>
    <row r="530">
      <c r="C530" s="71"/>
      <c r="D530" s="71"/>
      <c r="E530" s="71"/>
      <c r="F530" s="73"/>
      <c r="G530" s="73"/>
      <c r="H530" s="73"/>
      <c r="I530" s="73"/>
      <c r="J530" s="74"/>
      <c r="K530" s="74"/>
    </row>
    <row r="531">
      <c r="C531" s="71"/>
      <c r="D531" s="71"/>
      <c r="E531" s="71"/>
      <c r="F531" s="73"/>
      <c r="G531" s="73"/>
      <c r="H531" s="73"/>
      <c r="I531" s="73"/>
      <c r="J531" s="74"/>
      <c r="K531" s="74"/>
    </row>
    <row r="532">
      <c r="C532" s="71"/>
      <c r="D532" s="71"/>
      <c r="E532" s="71"/>
      <c r="F532" s="73"/>
      <c r="G532" s="73"/>
      <c r="H532" s="73"/>
      <c r="I532" s="73"/>
      <c r="J532" s="74"/>
      <c r="K532" s="74"/>
    </row>
    <row r="533">
      <c r="C533" s="71"/>
      <c r="D533" s="71"/>
      <c r="E533" s="71"/>
      <c r="F533" s="73"/>
      <c r="G533" s="73"/>
      <c r="H533" s="73"/>
      <c r="I533" s="73"/>
      <c r="J533" s="74"/>
      <c r="K533" s="74"/>
    </row>
    <row r="534">
      <c r="C534" s="71"/>
      <c r="D534" s="71"/>
      <c r="E534" s="71"/>
      <c r="F534" s="73"/>
      <c r="G534" s="73"/>
      <c r="H534" s="73"/>
      <c r="I534" s="73"/>
      <c r="J534" s="74"/>
      <c r="K534" s="74"/>
    </row>
    <row r="535">
      <c r="C535" s="71"/>
      <c r="D535" s="71"/>
      <c r="E535" s="71"/>
      <c r="F535" s="73"/>
      <c r="G535" s="73"/>
      <c r="H535" s="73"/>
      <c r="I535" s="73"/>
      <c r="J535" s="74"/>
      <c r="K535" s="74"/>
    </row>
    <row r="536">
      <c r="C536" s="71"/>
      <c r="D536" s="71"/>
      <c r="E536" s="71"/>
      <c r="F536" s="73"/>
      <c r="G536" s="73"/>
      <c r="H536" s="73"/>
      <c r="I536" s="73"/>
      <c r="J536" s="74"/>
      <c r="K536" s="74"/>
    </row>
    <row r="537">
      <c r="C537" s="71"/>
      <c r="D537" s="71"/>
      <c r="E537" s="71"/>
      <c r="F537" s="73"/>
      <c r="G537" s="73"/>
      <c r="H537" s="73"/>
      <c r="I537" s="73"/>
      <c r="J537" s="74"/>
      <c r="K537" s="74"/>
    </row>
    <row r="538">
      <c r="C538" s="71"/>
      <c r="D538" s="71"/>
      <c r="E538" s="71"/>
      <c r="F538" s="73"/>
      <c r="G538" s="73"/>
      <c r="H538" s="73"/>
      <c r="I538" s="73"/>
      <c r="J538" s="74"/>
      <c r="K538" s="74"/>
    </row>
    <row r="539">
      <c r="C539" s="71"/>
      <c r="D539" s="71"/>
      <c r="E539" s="71"/>
      <c r="F539" s="73"/>
      <c r="G539" s="73"/>
      <c r="H539" s="73"/>
      <c r="I539" s="73"/>
      <c r="J539" s="74"/>
      <c r="K539" s="74"/>
    </row>
    <row r="540">
      <c r="C540" s="71"/>
      <c r="D540" s="71"/>
      <c r="E540" s="71"/>
      <c r="F540" s="73"/>
      <c r="G540" s="73"/>
      <c r="H540" s="73"/>
      <c r="I540" s="73"/>
      <c r="J540" s="74"/>
      <c r="K540" s="74"/>
    </row>
    <row r="541">
      <c r="C541" s="71"/>
      <c r="D541" s="71"/>
      <c r="E541" s="71"/>
      <c r="F541" s="73"/>
      <c r="G541" s="73"/>
      <c r="H541" s="73"/>
      <c r="I541" s="73"/>
      <c r="J541" s="74"/>
      <c r="K541" s="74"/>
    </row>
    <row r="542">
      <c r="C542" s="71"/>
      <c r="D542" s="71"/>
      <c r="E542" s="71"/>
      <c r="F542" s="73"/>
      <c r="G542" s="73"/>
      <c r="H542" s="73"/>
      <c r="I542" s="73"/>
      <c r="J542" s="74"/>
      <c r="K542" s="74"/>
    </row>
    <row r="543">
      <c r="C543" s="71"/>
      <c r="D543" s="71"/>
      <c r="E543" s="71"/>
      <c r="F543" s="73"/>
      <c r="G543" s="73"/>
      <c r="H543" s="73"/>
      <c r="I543" s="73"/>
      <c r="J543" s="74"/>
      <c r="K543" s="74"/>
    </row>
    <row r="544">
      <c r="C544" s="71"/>
      <c r="D544" s="71"/>
      <c r="E544" s="71"/>
      <c r="F544" s="73"/>
      <c r="G544" s="73"/>
      <c r="H544" s="73"/>
      <c r="I544" s="73"/>
      <c r="J544" s="74"/>
      <c r="K544" s="74"/>
    </row>
    <row r="545">
      <c r="C545" s="71"/>
      <c r="D545" s="71"/>
      <c r="E545" s="71"/>
      <c r="F545" s="73"/>
      <c r="G545" s="73"/>
      <c r="H545" s="73"/>
      <c r="I545" s="73"/>
      <c r="J545" s="74"/>
      <c r="K545" s="74"/>
    </row>
    <row r="546">
      <c r="C546" s="71"/>
      <c r="D546" s="71"/>
      <c r="E546" s="71"/>
      <c r="F546" s="73"/>
      <c r="G546" s="73"/>
      <c r="H546" s="73"/>
      <c r="I546" s="73"/>
      <c r="J546" s="74"/>
      <c r="K546" s="74"/>
    </row>
    <row r="547">
      <c r="C547" s="71"/>
      <c r="D547" s="71"/>
      <c r="E547" s="71"/>
      <c r="F547" s="73"/>
      <c r="G547" s="73"/>
      <c r="H547" s="73"/>
      <c r="I547" s="73"/>
      <c r="J547" s="74"/>
      <c r="K547" s="74"/>
    </row>
    <row r="548">
      <c r="C548" s="71"/>
      <c r="D548" s="71"/>
      <c r="E548" s="71"/>
      <c r="F548" s="73"/>
      <c r="G548" s="73"/>
      <c r="H548" s="73"/>
      <c r="I548" s="73"/>
      <c r="J548" s="74"/>
      <c r="K548" s="74"/>
    </row>
    <row r="549">
      <c r="C549" s="71"/>
      <c r="D549" s="71"/>
      <c r="E549" s="71"/>
      <c r="F549" s="73"/>
      <c r="G549" s="73"/>
      <c r="H549" s="73"/>
      <c r="I549" s="73"/>
      <c r="J549" s="74"/>
      <c r="K549" s="74"/>
    </row>
    <row r="550">
      <c r="C550" s="71"/>
      <c r="D550" s="71"/>
      <c r="E550" s="71"/>
      <c r="F550" s="73"/>
      <c r="G550" s="73"/>
      <c r="H550" s="73"/>
      <c r="I550" s="73"/>
      <c r="J550" s="74"/>
      <c r="K550" s="74"/>
    </row>
    <row r="551">
      <c r="C551" s="71"/>
      <c r="D551" s="71"/>
      <c r="E551" s="71"/>
      <c r="F551" s="73"/>
      <c r="G551" s="73"/>
      <c r="H551" s="73"/>
      <c r="I551" s="73"/>
      <c r="J551" s="74"/>
      <c r="K551" s="74"/>
    </row>
    <row r="552">
      <c r="C552" s="71"/>
      <c r="D552" s="71"/>
      <c r="E552" s="71"/>
      <c r="F552" s="73"/>
      <c r="G552" s="73"/>
      <c r="H552" s="73"/>
      <c r="I552" s="73"/>
      <c r="J552" s="74"/>
      <c r="K552" s="74"/>
    </row>
    <row r="553">
      <c r="C553" s="71"/>
      <c r="D553" s="71"/>
      <c r="E553" s="71"/>
      <c r="F553" s="73"/>
      <c r="G553" s="73"/>
      <c r="H553" s="73"/>
      <c r="I553" s="73"/>
      <c r="J553" s="74"/>
      <c r="K553" s="74"/>
    </row>
    <row r="554">
      <c r="C554" s="71"/>
      <c r="D554" s="71"/>
      <c r="E554" s="71"/>
      <c r="F554" s="73"/>
      <c r="G554" s="73"/>
      <c r="H554" s="73"/>
      <c r="I554" s="73"/>
      <c r="J554" s="74"/>
      <c r="K554" s="74"/>
    </row>
    <row r="555">
      <c r="C555" s="71"/>
      <c r="D555" s="71"/>
      <c r="E555" s="71"/>
      <c r="F555" s="73"/>
      <c r="G555" s="73"/>
      <c r="H555" s="73"/>
      <c r="I555" s="73"/>
      <c r="J555" s="74"/>
      <c r="K555" s="74"/>
    </row>
    <row r="556">
      <c r="C556" s="71"/>
      <c r="D556" s="71"/>
      <c r="E556" s="71"/>
      <c r="F556" s="73"/>
      <c r="G556" s="73"/>
      <c r="H556" s="73"/>
      <c r="I556" s="73"/>
      <c r="J556" s="74"/>
      <c r="K556" s="74"/>
    </row>
    <row r="557">
      <c r="C557" s="71"/>
      <c r="D557" s="71"/>
      <c r="E557" s="71"/>
      <c r="F557" s="73"/>
      <c r="G557" s="73"/>
      <c r="H557" s="73"/>
      <c r="I557" s="73"/>
      <c r="J557" s="74"/>
      <c r="K557" s="74"/>
    </row>
    <row r="558">
      <c r="C558" s="71"/>
      <c r="D558" s="71"/>
      <c r="E558" s="71"/>
      <c r="F558" s="73"/>
      <c r="G558" s="73"/>
      <c r="H558" s="73"/>
      <c r="I558" s="73"/>
      <c r="J558" s="74"/>
      <c r="K558" s="74"/>
    </row>
    <row r="559">
      <c r="C559" s="71"/>
      <c r="D559" s="71"/>
      <c r="E559" s="71"/>
      <c r="F559" s="73"/>
      <c r="G559" s="73"/>
      <c r="H559" s="73"/>
      <c r="I559" s="73"/>
      <c r="J559" s="74"/>
      <c r="K559" s="74"/>
    </row>
    <row r="560">
      <c r="C560" s="71"/>
      <c r="D560" s="71"/>
      <c r="E560" s="71"/>
      <c r="F560" s="73"/>
      <c r="G560" s="73"/>
      <c r="H560" s="73"/>
      <c r="I560" s="73"/>
      <c r="J560" s="74"/>
      <c r="K560" s="74"/>
    </row>
    <row r="561">
      <c r="C561" s="71"/>
      <c r="D561" s="71"/>
      <c r="E561" s="71"/>
      <c r="F561" s="73"/>
      <c r="G561" s="73"/>
      <c r="H561" s="73"/>
      <c r="I561" s="73"/>
      <c r="J561" s="74"/>
      <c r="K561" s="74"/>
    </row>
    <row r="562">
      <c r="C562" s="71"/>
      <c r="D562" s="71"/>
      <c r="E562" s="71"/>
      <c r="F562" s="73"/>
      <c r="G562" s="73"/>
      <c r="H562" s="73"/>
      <c r="I562" s="73"/>
      <c r="J562" s="74"/>
      <c r="K562" s="74"/>
    </row>
    <row r="563">
      <c r="C563" s="71"/>
      <c r="D563" s="71"/>
      <c r="E563" s="71"/>
      <c r="F563" s="73"/>
      <c r="G563" s="73"/>
      <c r="H563" s="73"/>
      <c r="I563" s="73"/>
      <c r="J563" s="74"/>
      <c r="K563" s="74"/>
    </row>
    <row r="564">
      <c r="C564" s="71"/>
      <c r="D564" s="71"/>
      <c r="E564" s="71"/>
      <c r="F564" s="73"/>
      <c r="G564" s="73"/>
      <c r="H564" s="73"/>
      <c r="I564" s="73"/>
      <c r="J564" s="74"/>
      <c r="K564" s="74"/>
    </row>
    <row r="565">
      <c r="C565" s="71"/>
      <c r="D565" s="71"/>
      <c r="E565" s="71"/>
      <c r="F565" s="73"/>
      <c r="G565" s="73"/>
      <c r="H565" s="73"/>
      <c r="I565" s="73"/>
      <c r="J565" s="74"/>
      <c r="K565" s="74"/>
    </row>
    <row r="566">
      <c r="C566" s="71"/>
      <c r="D566" s="71"/>
      <c r="E566" s="71"/>
      <c r="F566" s="73"/>
      <c r="G566" s="73"/>
      <c r="H566" s="73"/>
      <c r="I566" s="73"/>
      <c r="J566" s="74"/>
      <c r="K566" s="74"/>
    </row>
    <row r="567">
      <c r="C567" s="71"/>
      <c r="D567" s="71"/>
      <c r="E567" s="71"/>
      <c r="F567" s="73"/>
      <c r="G567" s="73"/>
      <c r="H567" s="73"/>
      <c r="I567" s="73"/>
      <c r="J567" s="74"/>
      <c r="K567" s="74"/>
    </row>
    <row r="568">
      <c r="C568" s="71"/>
      <c r="D568" s="71"/>
      <c r="E568" s="71"/>
      <c r="F568" s="73"/>
      <c r="G568" s="73"/>
      <c r="H568" s="73"/>
      <c r="I568" s="73"/>
      <c r="J568" s="74"/>
      <c r="K568" s="74"/>
    </row>
    <row r="569">
      <c r="C569" s="71"/>
      <c r="D569" s="71"/>
      <c r="E569" s="71"/>
      <c r="F569" s="73"/>
      <c r="G569" s="73"/>
      <c r="H569" s="73"/>
      <c r="I569" s="73"/>
      <c r="J569" s="74"/>
      <c r="K569" s="74"/>
    </row>
    <row r="570">
      <c r="C570" s="71"/>
      <c r="D570" s="71"/>
      <c r="E570" s="71"/>
      <c r="F570" s="73"/>
      <c r="G570" s="73"/>
      <c r="H570" s="73"/>
      <c r="I570" s="73"/>
      <c r="J570" s="74"/>
      <c r="K570" s="74"/>
    </row>
    <row r="571">
      <c r="C571" s="71"/>
      <c r="D571" s="71"/>
      <c r="E571" s="71"/>
      <c r="F571" s="73"/>
      <c r="G571" s="73"/>
      <c r="H571" s="73"/>
      <c r="I571" s="73"/>
      <c r="J571" s="74"/>
      <c r="K571" s="74"/>
    </row>
    <row r="572">
      <c r="C572" s="71"/>
      <c r="D572" s="71"/>
      <c r="E572" s="71"/>
      <c r="F572" s="73"/>
      <c r="G572" s="73"/>
      <c r="H572" s="73"/>
      <c r="I572" s="73"/>
      <c r="J572" s="74"/>
      <c r="K572" s="74"/>
    </row>
    <row r="573">
      <c r="C573" s="71"/>
      <c r="D573" s="71"/>
      <c r="E573" s="71"/>
      <c r="F573" s="73"/>
      <c r="G573" s="73"/>
      <c r="H573" s="73"/>
      <c r="I573" s="73"/>
      <c r="J573" s="74"/>
      <c r="K573" s="74"/>
    </row>
    <row r="574">
      <c r="C574" s="71"/>
      <c r="D574" s="71"/>
      <c r="E574" s="71"/>
      <c r="F574" s="73"/>
      <c r="G574" s="73"/>
      <c r="H574" s="73"/>
      <c r="I574" s="73"/>
      <c r="J574" s="74"/>
      <c r="K574" s="74"/>
    </row>
    <row r="575">
      <c r="C575" s="71"/>
      <c r="D575" s="71"/>
      <c r="E575" s="71"/>
      <c r="F575" s="73"/>
      <c r="G575" s="73"/>
      <c r="H575" s="73"/>
      <c r="I575" s="73"/>
      <c r="J575" s="74"/>
      <c r="K575" s="74"/>
    </row>
    <row r="576">
      <c r="C576" s="71"/>
      <c r="D576" s="71"/>
      <c r="E576" s="71"/>
      <c r="F576" s="73"/>
      <c r="G576" s="73"/>
      <c r="H576" s="73"/>
      <c r="I576" s="73"/>
      <c r="J576" s="74"/>
      <c r="K576" s="74"/>
    </row>
    <row r="577">
      <c r="C577" s="71"/>
      <c r="D577" s="71"/>
      <c r="E577" s="71"/>
      <c r="F577" s="73"/>
      <c r="G577" s="73"/>
      <c r="H577" s="73"/>
      <c r="I577" s="73"/>
      <c r="J577" s="74"/>
      <c r="K577" s="74"/>
    </row>
    <row r="578">
      <c r="C578" s="71"/>
      <c r="D578" s="71"/>
      <c r="E578" s="71"/>
      <c r="F578" s="73"/>
      <c r="G578" s="73"/>
      <c r="H578" s="73"/>
      <c r="I578" s="73"/>
      <c r="J578" s="74"/>
      <c r="K578" s="74"/>
    </row>
    <row r="579">
      <c r="C579" s="71"/>
      <c r="D579" s="71"/>
      <c r="E579" s="71"/>
      <c r="F579" s="73"/>
      <c r="G579" s="73"/>
      <c r="H579" s="73"/>
      <c r="I579" s="73"/>
      <c r="J579" s="74"/>
      <c r="K579" s="74"/>
    </row>
    <row r="580">
      <c r="C580" s="71"/>
      <c r="D580" s="71"/>
      <c r="E580" s="71"/>
      <c r="F580" s="73"/>
      <c r="G580" s="73"/>
      <c r="H580" s="73"/>
      <c r="I580" s="73"/>
      <c r="J580" s="74"/>
      <c r="K580" s="74"/>
    </row>
    <row r="581">
      <c r="C581" s="71"/>
      <c r="D581" s="71"/>
      <c r="E581" s="71"/>
      <c r="F581" s="73"/>
      <c r="G581" s="73"/>
      <c r="H581" s="73"/>
      <c r="I581" s="73"/>
      <c r="J581" s="74"/>
      <c r="K581" s="74"/>
    </row>
    <row r="582">
      <c r="C582" s="71"/>
      <c r="D582" s="71"/>
      <c r="E582" s="71"/>
      <c r="F582" s="73"/>
      <c r="G582" s="73"/>
      <c r="H582" s="73"/>
      <c r="I582" s="73"/>
      <c r="J582" s="74"/>
      <c r="K582" s="74"/>
    </row>
    <row r="583">
      <c r="C583" s="71"/>
      <c r="D583" s="71"/>
      <c r="E583" s="71"/>
      <c r="F583" s="73"/>
      <c r="G583" s="73"/>
      <c r="H583" s="73"/>
      <c r="I583" s="73"/>
      <c r="J583" s="74"/>
      <c r="K583" s="74"/>
    </row>
    <row r="584">
      <c r="C584" s="71"/>
      <c r="D584" s="71"/>
      <c r="E584" s="71"/>
      <c r="F584" s="73"/>
      <c r="G584" s="73"/>
      <c r="H584" s="73"/>
      <c r="I584" s="73"/>
      <c r="J584" s="74"/>
      <c r="K584" s="74"/>
    </row>
    <row r="585">
      <c r="C585" s="71"/>
      <c r="D585" s="71"/>
      <c r="E585" s="71"/>
      <c r="F585" s="73"/>
      <c r="G585" s="73"/>
      <c r="H585" s="73"/>
      <c r="I585" s="73"/>
      <c r="J585" s="74"/>
      <c r="K585" s="74"/>
    </row>
    <row r="586">
      <c r="C586" s="71"/>
      <c r="D586" s="71"/>
      <c r="E586" s="71"/>
      <c r="F586" s="73"/>
      <c r="G586" s="73"/>
      <c r="H586" s="73"/>
      <c r="I586" s="73"/>
      <c r="J586" s="74"/>
      <c r="K586" s="74"/>
    </row>
    <row r="587">
      <c r="C587" s="71"/>
      <c r="D587" s="71"/>
      <c r="E587" s="71"/>
      <c r="F587" s="73"/>
      <c r="G587" s="73"/>
      <c r="H587" s="73"/>
      <c r="I587" s="73"/>
      <c r="J587" s="74"/>
      <c r="K587" s="74"/>
    </row>
    <row r="588">
      <c r="C588" s="71"/>
      <c r="D588" s="71"/>
      <c r="E588" s="71"/>
      <c r="F588" s="73"/>
      <c r="G588" s="73"/>
      <c r="H588" s="73"/>
      <c r="I588" s="73"/>
      <c r="J588" s="74"/>
      <c r="K588" s="74"/>
    </row>
    <row r="589">
      <c r="C589" s="71"/>
      <c r="D589" s="71"/>
      <c r="E589" s="71"/>
      <c r="F589" s="73"/>
      <c r="G589" s="73"/>
      <c r="H589" s="73"/>
      <c r="I589" s="73"/>
      <c r="J589" s="74"/>
      <c r="K589" s="74"/>
    </row>
    <row r="590">
      <c r="C590" s="71"/>
      <c r="D590" s="71"/>
      <c r="E590" s="71"/>
      <c r="F590" s="73"/>
      <c r="G590" s="73"/>
      <c r="H590" s="73"/>
      <c r="I590" s="73"/>
      <c r="J590" s="74"/>
      <c r="K590" s="74"/>
    </row>
    <row r="591">
      <c r="C591" s="71"/>
      <c r="D591" s="71"/>
      <c r="E591" s="71"/>
      <c r="F591" s="73"/>
      <c r="G591" s="73"/>
      <c r="H591" s="73"/>
      <c r="I591" s="73"/>
      <c r="J591" s="74"/>
      <c r="K591" s="74"/>
    </row>
    <row r="592">
      <c r="C592" s="71"/>
      <c r="D592" s="71"/>
      <c r="E592" s="71"/>
      <c r="F592" s="73"/>
      <c r="G592" s="73"/>
      <c r="H592" s="73"/>
      <c r="I592" s="73"/>
      <c r="J592" s="74"/>
      <c r="K592" s="74"/>
    </row>
    <row r="593">
      <c r="C593" s="71"/>
      <c r="D593" s="71"/>
      <c r="E593" s="71"/>
      <c r="F593" s="73"/>
      <c r="G593" s="73"/>
      <c r="H593" s="73"/>
      <c r="I593" s="73"/>
      <c r="J593" s="74"/>
      <c r="K593" s="74"/>
    </row>
    <row r="594">
      <c r="C594" s="71"/>
      <c r="D594" s="71"/>
      <c r="E594" s="71"/>
      <c r="F594" s="73"/>
      <c r="G594" s="73"/>
      <c r="H594" s="73"/>
      <c r="I594" s="73"/>
      <c r="J594" s="74"/>
      <c r="K594" s="74"/>
    </row>
    <row r="595">
      <c r="C595" s="71"/>
      <c r="D595" s="71"/>
      <c r="E595" s="71"/>
      <c r="F595" s="73"/>
      <c r="G595" s="73"/>
      <c r="H595" s="73"/>
      <c r="I595" s="73"/>
      <c r="J595" s="74"/>
      <c r="K595" s="74"/>
    </row>
    <row r="596">
      <c r="C596" s="71"/>
      <c r="D596" s="71"/>
      <c r="E596" s="71"/>
      <c r="F596" s="73"/>
      <c r="G596" s="73"/>
      <c r="H596" s="73"/>
      <c r="I596" s="73"/>
      <c r="J596" s="74"/>
      <c r="K596" s="74"/>
    </row>
    <row r="597">
      <c r="C597" s="71"/>
      <c r="D597" s="71"/>
      <c r="E597" s="71"/>
      <c r="F597" s="73"/>
      <c r="G597" s="73"/>
      <c r="H597" s="73"/>
      <c r="I597" s="73"/>
      <c r="J597" s="74"/>
      <c r="K597" s="74"/>
    </row>
    <row r="598">
      <c r="C598" s="71"/>
      <c r="D598" s="71"/>
      <c r="E598" s="71"/>
      <c r="F598" s="73"/>
      <c r="G598" s="73"/>
      <c r="H598" s="73"/>
      <c r="I598" s="73"/>
      <c r="J598" s="74"/>
      <c r="K598" s="74"/>
    </row>
    <row r="599">
      <c r="C599" s="71"/>
      <c r="D599" s="71"/>
      <c r="E599" s="71"/>
      <c r="F599" s="73"/>
      <c r="G599" s="73"/>
      <c r="H599" s="73"/>
      <c r="I599" s="73"/>
      <c r="J599" s="74"/>
      <c r="K599" s="74"/>
    </row>
    <row r="600">
      <c r="C600" s="71"/>
      <c r="D600" s="71"/>
      <c r="E600" s="71"/>
      <c r="F600" s="73"/>
      <c r="G600" s="73"/>
      <c r="H600" s="73"/>
      <c r="I600" s="73"/>
      <c r="J600" s="74"/>
      <c r="K600" s="74"/>
    </row>
    <row r="601">
      <c r="C601" s="71"/>
      <c r="D601" s="71"/>
      <c r="E601" s="71"/>
      <c r="F601" s="73"/>
      <c r="G601" s="73"/>
      <c r="H601" s="73"/>
      <c r="I601" s="73"/>
      <c r="J601" s="74"/>
      <c r="K601" s="74"/>
    </row>
    <row r="602">
      <c r="C602" s="71"/>
      <c r="D602" s="71"/>
      <c r="E602" s="71"/>
      <c r="F602" s="73"/>
      <c r="G602" s="73"/>
      <c r="H602" s="73"/>
      <c r="I602" s="73"/>
      <c r="J602" s="74"/>
      <c r="K602" s="74"/>
    </row>
    <row r="603">
      <c r="C603" s="71"/>
      <c r="D603" s="71"/>
      <c r="E603" s="71"/>
      <c r="F603" s="73"/>
      <c r="G603" s="73"/>
      <c r="H603" s="73"/>
      <c r="I603" s="73"/>
      <c r="J603" s="74"/>
      <c r="K603" s="74"/>
    </row>
    <row r="604">
      <c r="C604" s="71"/>
      <c r="D604" s="71"/>
      <c r="E604" s="71"/>
      <c r="F604" s="73"/>
      <c r="G604" s="73"/>
      <c r="H604" s="73"/>
      <c r="I604" s="73"/>
      <c r="J604" s="74"/>
      <c r="K604" s="74"/>
    </row>
    <row r="605">
      <c r="C605" s="71"/>
      <c r="D605" s="71"/>
      <c r="E605" s="71"/>
      <c r="F605" s="73"/>
      <c r="G605" s="73"/>
      <c r="H605" s="73"/>
      <c r="I605" s="73"/>
      <c r="J605" s="74"/>
      <c r="K605" s="74"/>
    </row>
    <row r="606">
      <c r="C606" s="71"/>
      <c r="D606" s="71"/>
      <c r="E606" s="71"/>
      <c r="F606" s="73"/>
      <c r="G606" s="73"/>
      <c r="H606" s="73"/>
      <c r="I606" s="73"/>
      <c r="J606" s="74"/>
      <c r="K606" s="74"/>
    </row>
    <row r="607">
      <c r="C607" s="71"/>
      <c r="D607" s="71"/>
      <c r="E607" s="71"/>
      <c r="F607" s="73"/>
      <c r="G607" s="73"/>
      <c r="H607" s="73"/>
      <c r="I607" s="73"/>
      <c r="J607" s="74"/>
      <c r="K607" s="74"/>
    </row>
    <row r="608">
      <c r="C608" s="71"/>
      <c r="D608" s="71"/>
      <c r="E608" s="71"/>
      <c r="F608" s="73"/>
      <c r="G608" s="73"/>
      <c r="H608" s="73"/>
      <c r="I608" s="73"/>
      <c r="J608" s="74"/>
      <c r="K608" s="74"/>
    </row>
    <row r="609">
      <c r="C609" s="71"/>
      <c r="D609" s="71"/>
      <c r="E609" s="71"/>
      <c r="F609" s="73"/>
      <c r="G609" s="73"/>
      <c r="H609" s="73"/>
      <c r="I609" s="73"/>
      <c r="J609" s="74"/>
      <c r="K609" s="74"/>
    </row>
    <row r="610">
      <c r="C610" s="71"/>
      <c r="D610" s="71"/>
      <c r="E610" s="71"/>
      <c r="F610" s="73"/>
      <c r="G610" s="73"/>
      <c r="H610" s="73"/>
      <c r="I610" s="73"/>
      <c r="J610" s="74"/>
      <c r="K610" s="74"/>
    </row>
    <row r="611">
      <c r="C611" s="71"/>
      <c r="D611" s="71"/>
      <c r="E611" s="71"/>
      <c r="F611" s="73"/>
      <c r="G611" s="73"/>
      <c r="H611" s="73"/>
      <c r="I611" s="73"/>
      <c r="J611" s="74"/>
      <c r="K611" s="74"/>
    </row>
    <row r="612">
      <c r="C612" s="71"/>
      <c r="D612" s="71"/>
      <c r="E612" s="71"/>
      <c r="F612" s="73"/>
      <c r="G612" s="73"/>
      <c r="H612" s="73"/>
      <c r="I612" s="73"/>
      <c r="J612" s="74"/>
      <c r="K612" s="74"/>
    </row>
    <row r="613">
      <c r="C613" s="71"/>
      <c r="D613" s="71"/>
      <c r="E613" s="71"/>
      <c r="F613" s="73"/>
      <c r="G613" s="73"/>
      <c r="H613" s="73"/>
      <c r="I613" s="73"/>
      <c r="J613" s="74"/>
      <c r="K613" s="74"/>
    </row>
    <row r="614">
      <c r="C614" s="71"/>
      <c r="D614" s="71"/>
      <c r="E614" s="71"/>
      <c r="F614" s="73"/>
      <c r="G614" s="73"/>
      <c r="H614" s="73"/>
      <c r="I614" s="73"/>
      <c r="J614" s="74"/>
      <c r="K614" s="74"/>
    </row>
    <row r="615">
      <c r="C615" s="71"/>
      <c r="D615" s="71"/>
      <c r="E615" s="71"/>
      <c r="F615" s="73"/>
      <c r="G615" s="73"/>
      <c r="H615" s="73"/>
      <c r="I615" s="73"/>
      <c r="J615" s="74"/>
      <c r="K615" s="74"/>
    </row>
    <row r="616">
      <c r="C616" s="71"/>
      <c r="D616" s="71"/>
      <c r="E616" s="71"/>
      <c r="F616" s="73"/>
      <c r="G616" s="73"/>
      <c r="H616" s="73"/>
      <c r="I616" s="73"/>
      <c r="J616" s="74"/>
      <c r="K616" s="74"/>
    </row>
    <row r="617">
      <c r="C617" s="71"/>
      <c r="D617" s="71"/>
      <c r="E617" s="71"/>
      <c r="F617" s="73"/>
      <c r="G617" s="73"/>
      <c r="H617" s="73"/>
      <c r="I617" s="73"/>
      <c r="J617" s="74"/>
      <c r="K617" s="74"/>
    </row>
    <row r="618">
      <c r="C618" s="71"/>
      <c r="D618" s="71"/>
      <c r="E618" s="71"/>
      <c r="F618" s="73"/>
      <c r="G618" s="73"/>
      <c r="H618" s="73"/>
      <c r="I618" s="73"/>
      <c r="J618" s="74"/>
      <c r="K618" s="74"/>
    </row>
    <row r="619">
      <c r="C619" s="71"/>
      <c r="D619" s="71"/>
      <c r="E619" s="71"/>
      <c r="F619" s="73"/>
      <c r="G619" s="73"/>
      <c r="H619" s="73"/>
      <c r="I619" s="73"/>
      <c r="J619" s="74"/>
      <c r="K619" s="74"/>
    </row>
    <row r="620">
      <c r="C620" s="71"/>
      <c r="D620" s="71"/>
      <c r="E620" s="71"/>
      <c r="F620" s="73"/>
      <c r="G620" s="73"/>
      <c r="H620" s="73"/>
      <c r="I620" s="73"/>
      <c r="J620" s="74"/>
      <c r="K620" s="74"/>
    </row>
    <row r="621">
      <c r="C621" s="71"/>
      <c r="D621" s="71"/>
      <c r="E621" s="71"/>
      <c r="F621" s="73"/>
      <c r="G621" s="73"/>
      <c r="H621" s="73"/>
      <c r="I621" s="73"/>
      <c r="J621" s="74"/>
      <c r="K621" s="74"/>
    </row>
    <row r="622">
      <c r="C622" s="71"/>
      <c r="D622" s="71"/>
      <c r="E622" s="71"/>
      <c r="F622" s="73"/>
      <c r="G622" s="73"/>
      <c r="H622" s="73"/>
      <c r="I622" s="73"/>
      <c r="J622" s="74"/>
      <c r="K622" s="74"/>
    </row>
    <row r="623">
      <c r="C623" s="71"/>
      <c r="D623" s="71"/>
      <c r="E623" s="71"/>
      <c r="F623" s="73"/>
      <c r="G623" s="73"/>
      <c r="H623" s="73"/>
      <c r="I623" s="73"/>
      <c r="J623" s="74"/>
      <c r="K623" s="74"/>
    </row>
    <row r="624">
      <c r="C624" s="71"/>
      <c r="D624" s="71"/>
      <c r="E624" s="71"/>
      <c r="F624" s="73"/>
      <c r="G624" s="73"/>
      <c r="H624" s="73"/>
      <c r="I624" s="73"/>
      <c r="J624" s="74"/>
      <c r="K624" s="74"/>
    </row>
    <row r="625">
      <c r="C625" s="71"/>
      <c r="D625" s="71"/>
      <c r="E625" s="71"/>
      <c r="F625" s="73"/>
      <c r="G625" s="73"/>
      <c r="H625" s="73"/>
      <c r="I625" s="73"/>
      <c r="J625" s="74"/>
      <c r="K625" s="74"/>
    </row>
    <row r="626">
      <c r="C626" s="71"/>
      <c r="D626" s="71"/>
      <c r="E626" s="71"/>
      <c r="F626" s="73"/>
      <c r="G626" s="73"/>
      <c r="H626" s="73"/>
      <c r="I626" s="73"/>
      <c r="J626" s="74"/>
      <c r="K626" s="74"/>
    </row>
    <row r="627">
      <c r="C627" s="71"/>
      <c r="D627" s="71"/>
      <c r="E627" s="71"/>
      <c r="F627" s="73"/>
      <c r="G627" s="73"/>
      <c r="H627" s="73"/>
      <c r="I627" s="73"/>
      <c r="J627" s="74"/>
      <c r="K627" s="74"/>
    </row>
    <row r="628">
      <c r="C628" s="71"/>
      <c r="D628" s="71"/>
      <c r="E628" s="71"/>
      <c r="F628" s="73"/>
      <c r="G628" s="73"/>
      <c r="H628" s="73"/>
      <c r="I628" s="73"/>
      <c r="J628" s="74"/>
      <c r="K628" s="74"/>
    </row>
    <row r="629">
      <c r="C629" s="71"/>
      <c r="D629" s="71"/>
      <c r="E629" s="71"/>
      <c r="F629" s="73"/>
      <c r="G629" s="73"/>
      <c r="H629" s="73"/>
      <c r="I629" s="73"/>
      <c r="J629" s="74"/>
      <c r="K629" s="74"/>
    </row>
    <row r="630">
      <c r="C630" s="71"/>
      <c r="D630" s="71"/>
      <c r="E630" s="71"/>
      <c r="F630" s="73"/>
      <c r="G630" s="73"/>
      <c r="H630" s="73"/>
      <c r="I630" s="73"/>
      <c r="J630" s="74"/>
      <c r="K630" s="74"/>
    </row>
    <row r="631">
      <c r="C631" s="71"/>
      <c r="D631" s="71"/>
      <c r="E631" s="71"/>
      <c r="F631" s="73"/>
      <c r="G631" s="73"/>
      <c r="H631" s="73"/>
      <c r="I631" s="73"/>
      <c r="J631" s="74"/>
      <c r="K631" s="74"/>
    </row>
    <row r="632">
      <c r="C632" s="71"/>
      <c r="D632" s="71"/>
      <c r="E632" s="71"/>
      <c r="F632" s="73"/>
      <c r="G632" s="73"/>
      <c r="H632" s="73"/>
      <c r="I632" s="73"/>
      <c r="J632" s="74"/>
      <c r="K632" s="74"/>
    </row>
    <row r="633">
      <c r="C633" s="71"/>
      <c r="D633" s="71"/>
      <c r="E633" s="71"/>
      <c r="F633" s="73"/>
      <c r="G633" s="73"/>
      <c r="H633" s="73"/>
      <c r="I633" s="73"/>
      <c r="J633" s="74"/>
      <c r="K633" s="74"/>
    </row>
    <row r="634">
      <c r="C634" s="71"/>
      <c r="D634" s="71"/>
      <c r="E634" s="71"/>
      <c r="F634" s="73"/>
      <c r="G634" s="73"/>
      <c r="H634" s="73"/>
      <c r="I634" s="73"/>
      <c r="J634" s="74"/>
      <c r="K634" s="74"/>
    </row>
    <row r="635">
      <c r="C635" s="71"/>
      <c r="D635" s="71"/>
      <c r="E635" s="71"/>
      <c r="F635" s="73"/>
      <c r="G635" s="73"/>
      <c r="H635" s="73"/>
      <c r="I635" s="73"/>
      <c r="J635" s="74"/>
      <c r="K635" s="74"/>
    </row>
    <row r="636">
      <c r="C636" s="71"/>
      <c r="D636" s="71"/>
      <c r="E636" s="71"/>
      <c r="F636" s="73"/>
      <c r="G636" s="73"/>
      <c r="H636" s="73"/>
      <c r="I636" s="73"/>
      <c r="J636" s="74"/>
      <c r="K636" s="74"/>
    </row>
    <row r="637">
      <c r="C637" s="71"/>
      <c r="D637" s="71"/>
      <c r="E637" s="71"/>
      <c r="F637" s="73"/>
      <c r="G637" s="73"/>
      <c r="H637" s="73"/>
      <c r="I637" s="73"/>
      <c r="J637" s="74"/>
      <c r="K637" s="74"/>
    </row>
    <row r="638">
      <c r="C638" s="71"/>
      <c r="D638" s="71"/>
      <c r="E638" s="71"/>
      <c r="F638" s="73"/>
      <c r="G638" s="73"/>
      <c r="H638" s="73"/>
      <c r="I638" s="73"/>
      <c r="J638" s="74"/>
      <c r="K638" s="74"/>
    </row>
    <row r="639">
      <c r="C639" s="71"/>
      <c r="D639" s="71"/>
      <c r="E639" s="71"/>
      <c r="F639" s="73"/>
      <c r="G639" s="73"/>
      <c r="H639" s="73"/>
      <c r="I639" s="73"/>
      <c r="J639" s="74"/>
      <c r="K639" s="74"/>
    </row>
    <row r="640">
      <c r="C640" s="71"/>
      <c r="D640" s="71"/>
      <c r="E640" s="71"/>
      <c r="F640" s="73"/>
      <c r="G640" s="73"/>
      <c r="H640" s="73"/>
      <c r="I640" s="73"/>
      <c r="J640" s="74"/>
      <c r="K640" s="74"/>
    </row>
    <row r="641">
      <c r="C641" s="71"/>
      <c r="D641" s="71"/>
      <c r="E641" s="71"/>
      <c r="F641" s="73"/>
      <c r="G641" s="73"/>
      <c r="H641" s="73"/>
      <c r="I641" s="73"/>
      <c r="J641" s="74"/>
      <c r="K641" s="74"/>
    </row>
    <row r="642">
      <c r="C642" s="71"/>
      <c r="D642" s="71"/>
      <c r="E642" s="71"/>
      <c r="F642" s="73"/>
      <c r="G642" s="73"/>
      <c r="H642" s="73"/>
      <c r="I642" s="73"/>
      <c r="J642" s="74"/>
      <c r="K642" s="74"/>
    </row>
    <row r="643">
      <c r="C643" s="71"/>
      <c r="D643" s="71"/>
      <c r="E643" s="71"/>
      <c r="F643" s="73"/>
      <c r="G643" s="73"/>
      <c r="H643" s="73"/>
      <c r="I643" s="73"/>
      <c r="J643" s="74"/>
      <c r="K643" s="74"/>
    </row>
    <row r="644">
      <c r="C644" s="71"/>
      <c r="D644" s="71"/>
      <c r="E644" s="71"/>
      <c r="F644" s="73"/>
      <c r="G644" s="73"/>
      <c r="H644" s="73"/>
      <c r="I644" s="73"/>
      <c r="J644" s="74"/>
      <c r="K644" s="74"/>
    </row>
    <row r="645">
      <c r="C645" s="71"/>
      <c r="D645" s="71"/>
      <c r="E645" s="71"/>
      <c r="F645" s="73"/>
      <c r="G645" s="73"/>
      <c r="H645" s="73"/>
      <c r="I645" s="73"/>
      <c r="J645" s="74"/>
      <c r="K645" s="74"/>
    </row>
    <row r="646">
      <c r="C646" s="71"/>
      <c r="D646" s="71"/>
      <c r="E646" s="71"/>
      <c r="F646" s="73"/>
      <c r="G646" s="73"/>
      <c r="H646" s="73"/>
      <c r="I646" s="73"/>
      <c r="J646" s="74"/>
      <c r="K646" s="74"/>
    </row>
    <row r="647">
      <c r="C647" s="71"/>
      <c r="D647" s="71"/>
      <c r="E647" s="71"/>
      <c r="F647" s="73"/>
      <c r="G647" s="73"/>
      <c r="H647" s="73"/>
      <c r="I647" s="73"/>
      <c r="J647" s="74"/>
      <c r="K647" s="74"/>
    </row>
    <row r="648">
      <c r="C648" s="71"/>
      <c r="D648" s="71"/>
      <c r="E648" s="71"/>
      <c r="F648" s="73"/>
      <c r="G648" s="73"/>
      <c r="H648" s="73"/>
      <c r="I648" s="73"/>
      <c r="J648" s="74"/>
      <c r="K648" s="74"/>
    </row>
    <row r="649">
      <c r="C649" s="71"/>
      <c r="D649" s="71"/>
      <c r="E649" s="71"/>
      <c r="F649" s="73"/>
      <c r="G649" s="73"/>
      <c r="H649" s="73"/>
      <c r="I649" s="73"/>
      <c r="J649" s="74"/>
      <c r="K649" s="74"/>
    </row>
    <row r="650">
      <c r="C650" s="71"/>
      <c r="D650" s="71"/>
      <c r="E650" s="71"/>
      <c r="F650" s="73"/>
      <c r="G650" s="73"/>
      <c r="H650" s="73"/>
      <c r="I650" s="73"/>
      <c r="J650" s="74"/>
      <c r="K650" s="74"/>
    </row>
    <row r="651">
      <c r="C651" s="71"/>
      <c r="D651" s="71"/>
      <c r="E651" s="71"/>
      <c r="F651" s="73"/>
      <c r="G651" s="73"/>
      <c r="H651" s="73"/>
      <c r="I651" s="73"/>
      <c r="J651" s="74"/>
      <c r="K651" s="74"/>
    </row>
    <row r="652">
      <c r="C652" s="71"/>
      <c r="D652" s="71"/>
      <c r="E652" s="71"/>
      <c r="F652" s="73"/>
      <c r="G652" s="73"/>
      <c r="H652" s="73"/>
      <c r="I652" s="73"/>
      <c r="J652" s="74"/>
      <c r="K652" s="74"/>
    </row>
    <row r="653">
      <c r="C653" s="71"/>
      <c r="D653" s="71"/>
      <c r="E653" s="71"/>
      <c r="F653" s="73"/>
      <c r="G653" s="73"/>
      <c r="H653" s="73"/>
      <c r="I653" s="73"/>
      <c r="J653" s="74"/>
      <c r="K653" s="74"/>
    </row>
    <row r="654">
      <c r="C654" s="71"/>
      <c r="D654" s="71"/>
      <c r="E654" s="71"/>
      <c r="F654" s="73"/>
      <c r="G654" s="73"/>
      <c r="H654" s="73"/>
      <c r="I654" s="73"/>
      <c r="J654" s="74"/>
      <c r="K654" s="74"/>
    </row>
    <row r="655">
      <c r="C655" s="71"/>
      <c r="D655" s="71"/>
      <c r="E655" s="71"/>
      <c r="F655" s="73"/>
      <c r="G655" s="73"/>
      <c r="H655" s="73"/>
      <c r="I655" s="73"/>
      <c r="J655" s="74"/>
      <c r="K655" s="74"/>
    </row>
    <row r="656">
      <c r="C656" s="71"/>
      <c r="D656" s="71"/>
      <c r="E656" s="71"/>
      <c r="F656" s="73"/>
      <c r="G656" s="73"/>
      <c r="H656" s="73"/>
      <c r="I656" s="73"/>
      <c r="J656" s="74"/>
      <c r="K656" s="74"/>
    </row>
    <row r="657">
      <c r="C657" s="71"/>
      <c r="D657" s="71"/>
      <c r="E657" s="71"/>
      <c r="F657" s="73"/>
      <c r="G657" s="73"/>
      <c r="H657" s="73"/>
      <c r="I657" s="73"/>
      <c r="J657" s="74"/>
      <c r="K657" s="74"/>
    </row>
    <row r="658">
      <c r="C658" s="71"/>
      <c r="D658" s="71"/>
      <c r="E658" s="71"/>
      <c r="F658" s="73"/>
      <c r="G658" s="73"/>
      <c r="H658" s="73"/>
      <c r="I658" s="73"/>
      <c r="J658" s="74"/>
      <c r="K658" s="74"/>
    </row>
    <row r="659">
      <c r="C659" s="71"/>
      <c r="D659" s="71"/>
      <c r="E659" s="71"/>
      <c r="F659" s="73"/>
      <c r="G659" s="73"/>
      <c r="H659" s="73"/>
      <c r="I659" s="73"/>
      <c r="J659" s="74"/>
      <c r="K659" s="74"/>
    </row>
    <row r="660">
      <c r="C660" s="71"/>
      <c r="D660" s="71"/>
      <c r="E660" s="71"/>
      <c r="F660" s="73"/>
      <c r="G660" s="73"/>
      <c r="H660" s="73"/>
      <c r="I660" s="73"/>
      <c r="J660" s="74"/>
      <c r="K660" s="74"/>
    </row>
    <row r="661">
      <c r="C661" s="71"/>
      <c r="D661" s="71"/>
      <c r="E661" s="71"/>
      <c r="F661" s="73"/>
      <c r="G661" s="73"/>
      <c r="H661" s="73"/>
      <c r="I661" s="73"/>
      <c r="J661" s="74"/>
      <c r="K661" s="74"/>
    </row>
    <row r="662">
      <c r="C662" s="71"/>
      <c r="D662" s="71"/>
      <c r="E662" s="71"/>
      <c r="F662" s="73"/>
      <c r="G662" s="73"/>
      <c r="H662" s="73"/>
      <c r="I662" s="73"/>
      <c r="J662" s="74"/>
      <c r="K662" s="74"/>
    </row>
    <row r="663">
      <c r="C663" s="71"/>
      <c r="D663" s="71"/>
      <c r="E663" s="71"/>
      <c r="F663" s="73"/>
      <c r="G663" s="73"/>
      <c r="H663" s="73"/>
      <c r="I663" s="73"/>
      <c r="J663" s="74"/>
      <c r="K663" s="74"/>
    </row>
    <row r="664">
      <c r="C664" s="71"/>
      <c r="D664" s="71"/>
      <c r="E664" s="71"/>
      <c r="F664" s="73"/>
      <c r="G664" s="73"/>
      <c r="H664" s="73"/>
      <c r="I664" s="73"/>
      <c r="J664" s="74"/>
      <c r="K664" s="74"/>
    </row>
    <row r="665">
      <c r="C665" s="71"/>
      <c r="D665" s="71"/>
      <c r="E665" s="71"/>
      <c r="F665" s="73"/>
      <c r="G665" s="73"/>
      <c r="H665" s="73"/>
      <c r="I665" s="73"/>
      <c r="J665" s="74"/>
      <c r="K665" s="74"/>
    </row>
    <row r="666">
      <c r="C666" s="71"/>
      <c r="D666" s="71"/>
      <c r="E666" s="71"/>
      <c r="F666" s="73"/>
      <c r="G666" s="73"/>
      <c r="H666" s="73"/>
      <c r="I666" s="73"/>
      <c r="J666" s="74"/>
      <c r="K666" s="74"/>
    </row>
    <row r="667">
      <c r="C667" s="71"/>
      <c r="D667" s="71"/>
      <c r="E667" s="71"/>
      <c r="F667" s="73"/>
      <c r="G667" s="73"/>
      <c r="H667" s="73"/>
      <c r="I667" s="73"/>
      <c r="J667" s="74"/>
      <c r="K667" s="74"/>
    </row>
    <row r="668">
      <c r="C668" s="71"/>
      <c r="D668" s="71"/>
      <c r="E668" s="71"/>
      <c r="F668" s="73"/>
      <c r="G668" s="73"/>
      <c r="H668" s="73"/>
      <c r="I668" s="73"/>
      <c r="J668" s="74"/>
      <c r="K668" s="74"/>
    </row>
    <row r="669">
      <c r="C669" s="71"/>
      <c r="D669" s="71"/>
      <c r="E669" s="71"/>
      <c r="F669" s="73"/>
      <c r="G669" s="73"/>
      <c r="H669" s="73"/>
      <c r="I669" s="73"/>
      <c r="J669" s="74"/>
      <c r="K669" s="74"/>
    </row>
    <row r="670">
      <c r="C670" s="71"/>
      <c r="D670" s="71"/>
      <c r="E670" s="71"/>
      <c r="F670" s="73"/>
      <c r="G670" s="73"/>
      <c r="H670" s="73"/>
      <c r="I670" s="73"/>
      <c r="J670" s="74"/>
      <c r="K670" s="74"/>
    </row>
    <row r="671">
      <c r="C671" s="71"/>
      <c r="D671" s="71"/>
      <c r="E671" s="71"/>
      <c r="F671" s="73"/>
      <c r="G671" s="73"/>
      <c r="H671" s="73"/>
      <c r="I671" s="73"/>
      <c r="J671" s="74"/>
      <c r="K671" s="74"/>
    </row>
    <row r="672">
      <c r="C672" s="71"/>
      <c r="D672" s="71"/>
      <c r="E672" s="71"/>
      <c r="F672" s="73"/>
      <c r="G672" s="73"/>
      <c r="H672" s="73"/>
      <c r="I672" s="73"/>
      <c r="J672" s="74"/>
      <c r="K672" s="74"/>
    </row>
    <row r="673">
      <c r="C673" s="71"/>
      <c r="D673" s="71"/>
      <c r="E673" s="71"/>
      <c r="F673" s="73"/>
      <c r="G673" s="73"/>
      <c r="H673" s="73"/>
      <c r="I673" s="73"/>
      <c r="J673" s="74"/>
      <c r="K673" s="74"/>
    </row>
    <row r="674">
      <c r="C674" s="71"/>
      <c r="D674" s="71"/>
      <c r="E674" s="71"/>
      <c r="F674" s="73"/>
      <c r="G674" s="73"/>
      <c r="H674" s="73"/>
      <c r="I674" s="73"/>
      <c r="J674" s="74"/>
      <c r="K674" s="74"/>
    </row>
    <row r="675">
      <c r="C675" s="71"/>
      <c r="D675" s="71"/>
      <c r="E675" s="71"/>
      <c r="F675" s="73"/>
      <c r="G675" s="73"/>
      <c r="H675" s="73"/>
      <c r="I675" s="73"/>
      <c r="J675" s="74"/>
      <c r="K675" s="74"/>
    </row>
    <row r="676">
      <c r="C676" s="71"/>
      <c r="D676" s="71"/>
      <c r="E676" s="71"/>
      <c r="F676" s="73"/>
      <c r="G676" s="73"/>
      <c r="H676" s="73"/>
      <c r="I676" s="73"/>
      <c r="J676" s="74"/>
      <c r="K676" s="74"/>
    </row>
    <row r="677">
      <c r="C677" s="71"/>
      <c r="D677" s="71"/>
      <c r="E677" s="71"/>
      <c r="F677" s="73"/>
      <c r="G677" s="73"/>
      <c r="H677" s="73"/>
      <c r="I677" s="73"/>
      <c r="J677" s="74"/>
      <c r="K677" s="74"/>
    </row>
    <row r="678">
      <c r="C678" s="71"/>
      <c r="D678" s="71"/>
      <c r="E678" s="71"/>
      <c r="F678" s="73"/>
      <c r="G678" s="73"/>
      <c r="H678" s="73"/>
      <c r="I678" s="73"/>
      <c r="J678" s="74"/>
      <c r="K678" s="74"/>
    </row>
    <row r="679">
      <c r="C679" s="71"/>
      <c r="D679" s="71"/>
      <c r="E679" s="71"/>
      <c r="F679" s="73"/>
      <c r="G679" s="73"/>
      <c r="H679" s="73"/>
      <c r="I679" s="73"/>
      <c r="J679" s="74"/>
      <c r="K679" s="74"/>
    </row>
    <row r="680">
      <c r="C680" s="71"/>
      <c r="D680" s="71"/>
      <c r="E680" s="71"/>
      <c r="F680" s="73"/>
      <c r="G680" s="73"/>
      <c r="H680" s="73"/>
      <c r="I680" s="73"/>
      <c r="J680" s="74"/>
      <c r="K680" s="74"/>
    </row>
    <row r="681">
      <c r="C681" s="71"/>
      <c r="D681" s="71"/>
      <c r="E681" s="71"/>
      <c r="F681" s="73"/>
      <c r="G681" s="73"/>
      <c r="H681" s="73"/>
      <c r="I681" s="73"/>
      <c r="J681" s="74"/>
      <c r="K681" s="74"/>
    </row>
    <row r="682">
      <c r="C682" s="71"/>
      <c r="D682" s="71"/>
      <c r="E682" s="71"/>
      <c r="F682" s="73"/>
      <c r="G682" s="73"/>
      <c r="H682" s="73"/>
      <c r="I682" s="73"/>
      <c r="J682" s="74"/>
      <c r="K682" s="74"/>
    </row>
    <row r="683">
      <c r="C683" s="71"/>
      <c r="D683" s="71"/>
      <c r="E683" s="71"/>
      <c r="F683" s="73"/>
      <c r="G683" s="73"/>
      <c r="H683" s="73"/>
      <c r="I683" s="73"/>
      <c r="J683" s="74"/>
      <c r="K683" s="74"/>
    </row>
    <row r="684">
      <c r="C684" s="71"/>
      <c r="D684" s="71"/>
      <c r="E684" s="71"/>
      <c r="F684" s="73"/>
      <c r="G684" s="73"/>
      <c r="H684" s="73"/>
      <c r="I684" s="73"/>
      <c r="J684" s="74"/>
      <c r="K684" s="74"/>
    </row>
    <row r="685">
      <c r="C685" s="71"/>
      <c r="D685" s="71"/>
      <c r="E685" s="71"/>
      <c r="F685" s="73"/>
      <c r="G685" s="73"/>
      <c r="H685" s="73"/>
      <c r="I685" s="73"/>
      <c r="J685" s="74"/>
      <c r="K685" s="74"/>
    </row>
    <row r="686">
      <c r="C686" s="71"/>
      <c r="D686" s="71"/>
      <c r="E686" s="71"/>
      <c r="F686" s="73"/>
      <c r="G686" s="73"/>
      <c r="H686" s="73"/>
      <c r="I686" s="73"/>
      <c r="J686" s="74"/>
      <c r="K686" s="74"/>
    </row>
    <row r="687">
      <c r="C687" s="71"/>
      <c r="D687" s="71"/>
      <c r="E687" s="71"/>
      <c r="F687" s="73"/>
      <c r="G687" s="73"/>
      <c r="H687" s="73"/>
      <c r="I687" s="73"/>
      <c r="J687" s="74"/>
      <c r="K687" s="74"/>
    </row>
    <row r="688">
      <c r="C688" s="71"/>
      <c r="D688" s="71"/>
      <c r="E688" s="71"/>
      <c r="F688" s="73"/>
      <c r="G688" s="73"/>
      <c r="H688" s="73"/>
      <c r="I688" s="73"/>
      <c r="J688" s="74"/>
      <c r="K688" s="74"/>
    </row>
    <row r="689">
      <c r="C689" s="71"/>
      <c r="D689" s="71"/>
      <c r="E689" s="71"/>
      <c r="F689" s="73"/>
      <c r="G689" s="73"/>
      <c r="H689" s="73"/>
      <c r="I689" s="73"/>
      <c r="J689" s="74"/>
      <c r="K689" s="74"/>
    </row>
    <row r="690">
      <c r="C690" s="71"/>
      <c r="D690" s="71"/>
      <c r="E690" s="71"/>
      <c r="F690" s="73"/>
      <c r="G690" s="73"/>
      <c r="H690" s="73"/>
      <c r="I690" s="73"/>
      <c r="J690" s="74"/>
      <c r="K690" s="74"/>
    </row>
    <row r="691">
      <c r="C691" s="71"/>
      <c r="D691" s="71"/>
      <c r="E691" s="71"/>
      <c r="F691" s="73"/>
      <c r="G691" s="73"/>
      <c r="H691" s="73"/>
      <c r="I691" s="73"/>
      <c r="J691" s="74"/>
      <c r="K691" s="74"/>
    </row>
    <row r="692">
      <c r="C692" s="71"/>
      <c r="D692" s="71"/>
      <c r="E692" s="71"/>
      <c r="F692" s="73"/>
      <c r="G692" s="73"/>
      <c r="H692" s="73"/>
      <c r="I692" s="73"/>
      <c r="J692" s="74"/>
      <c r="K692" s="74"/>
    </row>
    <row r="693">
      <c r="C693" s="71"/>
      <c r="D693" s="71"/>
      <c r="E693" s="71"/>
      <c r="F693" s="73"/>
      <c r="G693" s="73"/>
      <c r="H693" s="73"/>
      <c r="I693" s="73"/>
      <c r="J693" s="74"/>
      <c r="K693" s="74"/>
    </row>
    <row r="694">
      <c r="C694" s="71"/>
      <c r="D694" s="71"/>
      <c r="E694" s="71"/>
      <c r="F694" s="73"/>
      <c r="G694" s="73"/>
      <c r="H694" s="73"/>
      <c r="I694" s="73"/>
      <c r="J694" s="74"/>
      <c r="K694" s="74"/>
    </row>
    <row r="695">
      <c r="C695" s="71"/>
      <c r="D695" s="71"/>
      <c r="E695" s="71"/>
      <c r="F695" s="73"/>
      <c r="G695" s="73"/>
      <c r="H695" s="73"/>
      <c r="I695" s="73"/>
      <c r="J695" s="74"/>
      <c r="K695" s="74"/>
    </row>
    <row r="696">
      <c r="C696" s="71"/>
      <c r="D696" s="71"/>
      <c r="E696" s="71"/>
      <c r="F696" s="73"/>
      <c r="G696" s="73"/>
      <c r="H696" s="73"/>
      <c r="I696" s="73"/>
      <c r="J696" s="74"/>
      <c r="K696" s="74"/>
    </row>
    <row r="697">
      <c r="C697" s="71"/>
      <c r="D697" s="71"/>
      <c r="E697" s="71"/>
      <c r="F697" s="73"/>
      <c r="G697" s="73"/>
      <c r="H697" s="73"/>
      <c r="I697" s="73"/>
      <c r="J697" s="74"/>
      <c r="K697" s="74"/>
    </row>
    <row r="698">
      <c r="C698" s="71"/>
      <c r="D698" s="71"/>
      <c r="E698" s="71"/>
      <c r="F698" s="73"/>
      <c r="G698" s="73"/>
      <c r="H698" s="73"/>
      <c r="I698" s="73"/>
      <c r="J698" s="74"/>
      <c r="K698" s="74"/>
    </row>
    <row r="699">
      <c r="C699" s="71"/>
      <c r="D699" s="71"/>
      <c r="E699" s="71"/>
      <c r="F699" s="73"/>
      <c r="G699" s="73"/>
      <c r="H699" s="73"/>
      <c r="I699" s="73"/>
      <c r="J699" s="74"/>
      <c r="K699" s="74"/>
    </row>
    <row r="700">
      <c r="C700" s="71"/>
      <c r="D700" s="71"/>
      <c r="E700" s="71"/>
      <c r="F700" s="73"/>
      <c r="G700" s="73"/>
      <c r="H700" s="73"/>
      <c r="I700" s="73"/>
      <c r="J700" s="74"/>
      <c r="K700" s="74"/>
    </row>
    <row r="701">
      <c r="C701" s="71"/>
      <c r="D701" s="71"/>
      <c r="E701" s="71"/>
      <c r="F701" s="73"/>
      <c r="G701" s="73"/>
      <c r="H701" s="73"/>
      <c r="I701" s="73"/>
      <c r="J701" s="74"/>
      <c r="K701" s="74"/>
    </row>
    <row r="702">
      <c r="C702" s="71"/>
      <c r="D702" s="71"/>
      <c r="E702" s="71"/>
      <c r="F702" s="73"/>
      <c r="G702" s="73"/>
      <c r="H702" s="73"/>
      <c r="I702" s="73"/>
      <c r="J702" s="74"/>
      <c r="K702" s="74"/>
    </row>
    <row r="703">
      <c r="C703" s="71"/>
      <c r="D703" s="71"/>
      <c r="E703" s="71"/>
      <c r="F703" s="73"/>
      <c r="G703" s="73"/>
      <c r="H703" s="73"/>
      <c r="I703" s="73"/>
      <c r="J703" s="74"/>
      <c r="K703" s="74"/>
    </row>
    <row r="704">
      <c r="C704" s="71"/>
      <c r="D704" s="71"/>
      <c r="E704" s="71"/>
      <c r="F704" s="73"/>
      <c r="G704" s="73"/>
      <c r="H704" s="73"/>
      <c r="I704" s="73"/>
      <c r="J704" s="74"/>
      <c r="K704" s="74"/>
    </row>
    <row r="705">
      <c r="C705" s="71"/>
      <c r="D705" s="71"/>
      <c r="E705" s="71"/>
      <c r="F705" s="73"/>
      <c r="G705" s="73"/>
      <c r="H705" s="73"/>
      <c r="I705" s="73"/>
      <c r="J705" s="74"/>
      <c r="K705" s="74"/>
    </row>
    <row r="706">
      <c r="C706" s="71"/>
      <c r="D706" s="71"/>
      <c r="E706" s="71"/>
      <c r="F706" s="73"/>
      <c r="G706" s="73"/>
      <c r="H706" s="73"/>
      <c r="I706" s="73"/>
      <c r="J706" s="74"/>
      <c r="K706" s="74"/>
    </row>
    <row r="707">
      <c r="C707" s="71"/>
      <c r="D707" s="71"/>
      <c r="E707" s="71"/>
      <c r="F707" s="73"/>
      <c r="G707" s="73"/>
      <c r="H707" s="73"/>
      <c r="I707" s="73"/>
      <c r="J707" s="74"/>
      <c r="K707" s="74"/>
    </row>
    <row r="708">
      <c r="C708" s="71"/>
      <c r="D708" s="71"/>
      <c r="E708" s="71"/>
      <c r="F708" s="73"/>
      <c r="G708" s="73"/>
      <c r="H708" s="73"/>
      <c r="I708" s="73"/>
      <c r="J708" s="74"/>
      <c r="K708" s="74"/>
    </row>
    <row r="709">
      <c r="C709" s="71"/>
      <c r="D709" s="71"/>
      <c r="E709" s="71"/>
      <c r="F709" s="73"/>
      <c r="G709" s="73"/>
      <c r="H709" s="73"/>
      <c r="I709" s="73"/>
      <c r="J709" s="74"/>
      <c r="K709" s="74"/>
    </row>
    <row r="710">
      <c r="C710" s="71"/>
      <c r="D710" s="71"/>
      <c r="E710" s="71"/>
      <c r="F710" s="73"/>
      <c r="G710" s="73"/>
      <c r="H710" s="73"/>
      <c r="I710" s="73"/>
      <c r="J710" s="74"/>
      <c r="K710" s="74"/>
    </row>
    <row r="711">
      <c r="C711" s="71"/>
      <c r="D711" s="71"/>
      <c r="E711" s="71"/>
      <c r="F711" s="73"/>
      <c r="G711" s="73"/>
      <c r="H711" s="73"/>
      <c r="I711" s="73"/>
      <c r="J711" s="74"/>
      <c r="K711" s="74"/>
    </row>
    <row r="712">
      <c r="C712" s="71"/>
      <c r="D712" s="71"/>
      <c r="E712" s="71"/>
      <c r="F712" s="73"/>
      <c r="G712" s="73"/>
      <c r="H712" s="73"/>
      <c r="I712" s="73"/>
      <c r="J712" s="74"/>
      <c r="K712" s="74"/>
    </row>
    <row r="713">
      <c r="C713" s="71"/>
      <c r="D713" s="71"/>
      <c r="E713" s="71"/>
      <c r="F713" s="73"/>
      <c r="G713" s="73"/>
      <c r="H713" s="73"/>
      <c r="I713" s="73"/>
      <c r="J713" s="74"/>
      <c r="K713" s="74"/>
    </row>
    <row r="714">
      <c r="C714" s="71"/>
      <c r="D714" s="71"/>
      <c r="E714" s="71"/>
      <c r="F714" s="73"/>
      <c r="G714" s="73"/>
      <c r="H714" s="73"/>
      <c r="I714" s="73"/>
      <c r="J714" s="74"/>
      <c r="K714" s="74"/>
    </row>
    <row r="715">
      <c r="C715" s="71"/>
      <c r="D715" s="71"/>
      <c r="E715" s="71"/>
      <c r="F715" s="73"/>
      <c r="G715" s="73"/>
      <c r="H715" s="73"/>
      <c r="I715" s="73"/>
      <c r="J715" s="74"/>
      <c r="K715" s="74"/>
    </row>
    <row r="716">
      <c r="C716" s="71"/>
      <c r="D716" s="71"/>
      <c r="E716" s="71"/>
      <c r="F716" s="73"/>
      <c r="G716" s="73"/>
      <c r="H716" s="73"/>
      <c r="I716" s="73"/>
      <c r="J716" s="74"/>
      <c r="K716" s="74"/>
    </row>
    <row r="717">
      <c r="C717" s="71"/>
      <c r="D717" s="71"/>
      <c r="E717" s="71"/>
      <c r="F717" s="73"/>
      <c r="G717" s="73"/>
      <c r="H717" s="73"/>
      <c r="I717" s="73"/>
      <c r="J717" s="74"/>
      <c r="K717" s="74"/>
    </row>
    <row r="718">
      <c r="C718" s="71"/>
      <c r="D718" s="71"/>
      <c r="E718" s="71"/>
      <c r="F718" s="73"/>
      <c r="G718" s="73"/>
      <c r="H718" s="73"/>
      <c r="I718" s="73"/>
      <c r="J718" s="74"/>
      <c r="K718" s="74"/>
    </row>
    <row r="719">
      <c r="C719" s="71"/>
      <c r="D719" s="71"/>
      <c r="E719" s="71"/>
      <c r="F719" s="73"/>
      <c r="G719" s="73"/>
      <c r="H719" s="73"/>
      <c r="I719" s="73"/>
      <c r="J719" s="74"/>
      <c r="K719" s="74"/>
    </row>
    <row r="720">
      <c r="C720" s="71"/>
      <c r="D720" s="71"/>
      <c r="E720" s="71"/>
      <c r="F720" s="73"/>
      <c r="G720" s="73"/>
      <c r="H720" s="73"/>
      <c r="I720" s="73"/>
      <c r="J720" s="74"/>
      <c r="K720" s="74"/>
    </row>
    <row r="721">
      <c r="C721" s="71"/>
      <c r="D721" s="71"/>
      <c r="E721" s="71"/>
      <c r="F721" s="73"/>
      <c r="G721" s="73"/>
      <c r="H721" s="73"/>
      <c r="I721" s="73"/>
      <c r="J721" s="74"/>
      <c r="K721" s="74"/>
    </row>
    <row r="722">
      <c r="C722" s="71"/>
      <c r="D722" s="71"/>
      <c r="E722" s="71"/>
      <c r="F722" s="73"/>
      <c r="G722" s="73"/>
      <c r="H722" s="73"/>
      <c r="I722" s="73"/>
      <c r="J722" s="74"/>
      <c r="K722" s="74"/>
    </row>
    <row r="723">
      <c r="C723" s="71"/>
      <c r="D723" s="71"/>
      <c r="E723" s="71"/>
      <c r="F723" s="73"/>
      <c r="G723" s="73"/>
      <c r="H723" s="73"/>
      <c r="I723" s="73"/>
      <c r="J723" s="74"/>
      <c r="K723" s="74"/>
    </row>
    <row r="724">
      <c r="C724" s="71"/>
      <c r="D724" s="71"/>
      <c r="E724" s="71"/>
      <c r="F724" s="73"/>
      <c r="G724" s="73"/>
      <c r="H724" s="73"/>
      <c r="I724" s="73"/>
      <c r="J724" s="74"/>
      <c r="K724" s="74"/>
    </row>
    <row r="725">
      <c r="C725" s="71"/>
      <c r="D725" s="71"/>
      <c r="E725" s="71"/>
      <c r="F725" s="73"/>
      <c r="G725" s="73"/>
      <c r="H725" s="73"/>
      <c r="I725" s="73"/>
      <c r="J725" s="74"/>
      <c r="K725" s="74"/>
    </row>
    <row r="726">
      <c r="C726" s="71"/>
      <c r="D726" s="71"/>
      <c r="E726" s="71"/>
      <c r="F726" s="73"/>
      <c r="G726" s="73"/>
      <c r="H726" s="73"/>
      <c r="I726" s="73"/>
      <c r="J726" s="74"/>
      <c r="K726" s="74"/>
    </row>
    <row r="727">
      <c r="C727" s="71"/>
      <c r="D727" s="71"/>
      <c r="E727" s="71"/>
      <c r="F727" s="73"/>
      <c r="G727" s="73"/>
      <c r="H727" s="73"/>
      <c r="I727" s="73"/>
      <c r="J727" s="74"/>
      <c r="K727" s="74"/>
    </row>
    <row r="728">
      <c r="C728" s="71"/>
      <c r="D728" s="71"/>
      <c r="E728" s="71"/>
      <c r="F728" s="73"/>
      <c r="G728" s="73"/>
      <c r="H728" s="73"/>
      <c r="I728" s="73"/>
      <c r="J728" s="74"/>
      <c r="K728" s="74"/>
    </row>
    <row r="729">
      <c r="C729" s="71"/>
      <c r="D729" s="71"/>
      <c r="E729" s="71"/>
      <c r="F729" s="73"/>
      <c r="G729" s="73"/>
      <c r="H729" s="73"/>
      <c r="I729" s="73"/>
      <c r="J729" s="74"/>
      <c r="K729" s="74"/>
    </row>
    <row r="730">
      <c r="C730" s="71"/>
      <c r="D730" s="71"/>
      <c r="E730" s="71"/>
      <c r="F730" s="73"/>
      <c r="G730" s="73"/>
      <c r="H730" s="73"/>
      <c r="I730" s="73"/>
      <c r="J730" s="74"/>
      <c r="K730" s="74"/>
    </row>
    <row r="731">
      <c r="C731" s="71"/>
      <c r="D731" s="71"/>
      <c r="E731" s="71"/>
      <c r="F731" s="73"/>
      <c r="G731" s="73"/>
      <c r="H731" s="73"/>
      <c r="I731" s="73"/>
      <c r="J731" s="74"/>
      <c r="K731" s="74"/>
    </row>
    <row r="732">
      <c r="C732" s="71"/>
      <c r="D732" s="71"/>
      <c r="E732" s="71"/>
      <c r="F732" s="73"/>
      <c r="G732" s="73"/>
      <c r="H732" s="73"/>
      <c r="I732" s="73"/>
      <c r="J732" s="74"/>
      <c r="K732" s="74"/>
    </row>
    <row r="733">
      <c r="C733" s="71"/>
      <c r="D733" s="71"/>
      <c r="E733" s="71"/>
      <c r="F733" s="73"/>
      <c r="G733" s="73"/>
      <c r="H733" s="73"/>
      <c r="I733" s="73"/>
      <c r="J733" s="74"/>
      <c r="K733" s="74"/>
    </row>
    <row r="734">
      <c r="C734" s="71"/>
      <c r="D734" s="71"/>
      <c r="E734" s="71"/>
      <c r="F734" s="73"/>
      <c r="G734" s="73"/>
      <c r="H734" s="73"/>
      <c r="I734" s="73"/>
      <c r="J734" s="74"/>
      <c r="K734" s="74"/>
    </row>
    <row r="735">
      <c r="C735" s="71"/>
      <c r="D735" s="71"/>
      <c r="E735" s="71"/>
      <c r="F735" s="73"/>
      <c r="G735" s="73"/>
      <c r="H735" s="73"/>
      <c r="I735" s="73"/>
      <c r="J735" s="74"/>
      <c r="K735" s="74"/>
    </row>
    <row r="736">
      <c r="C736" s="71"/>
      <c r="D736" s="71"/>
      <c r="E736" s="71"/>
      <c r="F736" s="73"/>
      <c r="G736" s="73"/>
      <c r="H736" s="73"/>
      <c r="I736" s="73"/>
      <c r="J736" s="74"/>
      <c r="K736" s="74"/>
    </row>
    <row r="737">
      <c r="C737" s="71"/>
      <c r="D737" s="71"/>
      <c r="E737" s="71"/>
      <c r="F737" s="73"/>
      <c r="G737" s="73"/>
      <c r="H737" s="73"/>
      <c r="I737" s="73"/>
      <c r="J737" s="74"/>
      <c r="K737" s="74"/>
    </row>
    <row r="738">
      <c r="C738" s="71"/>
      <c r="D738" s="71"/>
      <c r="E738" s="71"/>
      <c r="F738" s="73"/>
      <c r="G738" s="73"/>
      <c r="H738" s="73"/>
      <c r="I738" s="73"/>
      <c r="J738" s="74"/>
      <c r="K738" s="74"/>
    </row>
    <row r="739">
      <c r="C739" s="71"/>
      <c r="D739" s="71"/>
      <c r="E739" s="71"/>
      <c r="F739" s="73"/>
      <c r="G739" s="73"/>
      <c r="H739" s="73"/>
      <c r="I739" s="73"/>
      <c r="J739" s="74"/>
      <c r="K739" s="74"/>
    </row>
    <row r="740">
      <c r="C740" s="71"/>
      <c r="D740" s="71"/>
      <c r="E740" s="71"/>
      <c r="F740" s="73"/>
      <c r="G740" s="73"/>
      <c r="H740" s="73"/>
      <c r="I740" s="73"/>
      <c r="J740" s="74"/>
      <c r="K740" s="74"/>
    </row>
    <row r="741">
      <c r="C741" s="71"/>
      <c r="D741" s="71"/>
      <c r="E741" s="71"/>
      <c r="F741" s="73"/>
      <c r="G741" s="73"/>
      <c r="H741" s="73"/>
      <c r="I741" s="73"/>
      <c r="J741" s="74"/>
      <c r="K741" s="74"/>
    </row>
    <row r="742">
      <c r="C742" s="71"/>
      <c r="D742" s="71"/>
      <c r="E742" s="71"/>
      <c r="F742" s="73"/>
      <c r="G742" s="73"/>
      <c r="H742" s="73"/>
      <c r="I742" s="73"/>
      <c r="J742" s="74"/>
      <c r="K742" s="74"/>
    </row>
    <row r="743">
      <c r="C743" s="71"/>
      <c r="D743" s="71"/>
      <c r="E743" s="71"/>
      <c r="F743" s="73"/>
      <c r="G743" s="73"/>
      <c r="H743" s="73"/>
      <c r="I743" s="73"/>
      <c r="J743" s="74"/>
      <c r="K743" s="74"/>
    </row>
    <row r="744">
      <c r="C744" s="71"/>
      <c r="D744" s="71"/>
      <c r="E744" s="71"/>
      <c r="F744" s="73"/>
      <c r="G744" s="73"/>
      <c r="H744" s="73"/>
      <c r="I744" s="73"/>
      <c r="J744" s="74"/>
      <c r="K744" s="74"/>
    </row>
    <row r="745">
      <c r="C745" s="71"/>
      <c r="D745" s="71"/>
      <c r="E745" s="71"/>
      <c r="F745" s="73"/>
      <c r="G745" s="73"/>
      <c r="H745" s="73"/>
      <c r="I745" s="73"/>
      <c r="J745" s="74"/>
      <c r="K745" s="74"/>
    </row>
    <row r="746">
      <c r="C746" s="71"/>
      <c r="D746" s="71"/>
      <c r="E746" s="71"/>
      <c r="F746" s="73"/>
      <c r="G746" s="73"/>
      <c r="H746" s="73"/>
      <c r="I746" s="73"/>
      <c r="J746" s="74"/>
      <c r="K746" s="74"/>
    </row>
    <row r="747">
      <c r="C747" s="71"/>
      <c r="D747" s="71"/>
      <c r="E747" s="71"/>
      <c r="F747" s="73"/>
      <c r="G747" s="73"/>
      <c r="H747" s="73"/>
      <c r="I747" s="73"/>
      <c r="J747" s="74"/>
      <c r="K747" s="74"/>
    </row>
    <row r="748">
      <c r="C748" s="71"/>
      <c r="D748" s="71"/>
      <c r="E748" s="71"/>
      <c r="F748" s="73"/>
      <c r="G748" s="73"/>
      <c r="H748" s="73"/>
      <c r="I748" s="73"/>
      <c r="J748" s="74"/>
      <c r="K748" s="74"/>
    </row>
    <row r="749">
      <c r="C749" s="71"/>
      <c r="D749" s="71"/>
      <c r="E749" s="71"/>
      <c r="F749" s="73"/>
      <c r="G749" s="73"/>
      <c r="H749" s="73"/>
      <c r="I749" s="73"/>
      <c r="J749" s="74"/>
      <c r="K749" s="74"/>
    </row>
    <row r="750">
      <c r="C750" s="71"/>
      <c r="D750" s="71"/>
      <c r="E750" s="71"/>
      <c r="F750" s="73"/>
      <c r="G750" s="73"/>
      <c r="H750" s="73"/>
      <c r="I750" s="73"/>
      <c r="J750" s="74"/>
      <c r="K750" s="74"/>
    </row>
    <row r="751">
      <c r="C751" s="71"/>
      <c r="D751" s="71"/>
      <c r="E751" s="71"/>
      <c r="F751" s="73"/>
      <c r="G751" s="73"/>
      <c r="H751" s="73"/>
      <c r="I751" s="73"/>
      <c r="J751" s="74"/>
      <c r="K751" s="74"/>
    </row>
    <row r="752">
      <c r="C752" s="71"/>
      <c r="D752" s="71"/>
      <c r="E752" s="71"/>
      <c r="F752" s="73"/>
      <c r="G752" s="73"/>
      <c r="H752" s="73"/>
      <c r="I752" s="73"/>
      <c r="J752" s="74"/>
      <c r="K752" s="74"/>
    </row>
    <row r="753">
      <c r="C753" s="71"/>
      <c r="D753" s="71"/>
      <c r="E753" s="71"/>
      <c r="F753" s="73"/>
      <c r="G753" s="73"/>
      <c r="H753" s="73"/>
      <c r="I753" s="73"/>
      <c r="J753" s="74"/>
      <c r="K753" s="74"/>
    </row>
    <row r="754">
      <c r="C754" s="71"/>
      <c r="D754" s="71"/>
      <c r="E754" s="71"/>
      <c r="F754" s="73"/>
      <c r="G754" s="73"/>
      <c r="H754" s="73"/>
      <c r="I754" s="73"/>
      <c r="J754" s="74"/>
      <c r="K754" s="74"/>
    </row>
    <row r="755">
      <c r="C755" s="71"/>
      <c r="D755" s="71"/>
      <c r="E755" s="71"/>
      <c r="F755" s="73"/>
      <c r="G755" s="73"/>
      <c r="H755" s="73"/>
      <c r="I755" s="73"/>
      <c r="J755" s="74"/>
      <c r="K755" s="74"/>
    </row>
    <row r="756">
      <c r="C756" s="71"/>
      <c r="D756" s="71"/>
      <c r="E756" s="71"/>
      <c r="F756" s="73"/>
      <c r="G756" s="73"/>
      <c r="H756" s="73"/>
      <c r="I756" s="73"/>
      <c r="J756" s="74"/>
      <c r="K756" s="74"/>
    </row>
    <row r="757">
      <c r="C757" s="71"/>
      <c r="D757" s="71"/>
      <c r="E757" s="71"/>
      <c r="F757" s="73"/>
      <c r="G757" s="73"/>
      <c r="H757" s="73"/>
      <c r="I757" s="73"/>
      <c r="J757" s="74"/>
      <c r="K757" s="74"/>
    </row>
    <row r="758">
      <c r="C758" s="71"/>
      <c r="D758" s="71"/>
      <c r="E758" s="71"/>
      <c r="F758" s="73"/>
      <c r="G758" s="73"/>
      <c r="H758" s="73"/>
      <c r="I758" s="73"/>
      <c r="J758" s="74"/>
      <c r="K758" s="74"/>
    </row>
    <row r="759">
      <c r="C759" s="71"/>
      <c r="D759" s="71"/>
      <c r="E759" s="71"/>
      <c r="F759" s="73"/>
      <c r="G759" s="73"/>
      <c r="H759" s="73"/>
      <c r="I759" s="73"/>
      <c r="J759" s="74"/>
      <c r="K759" s="74"/>
    </row>
    <row r="760">
      <c r="C760" s="71"/>
      <c r="D760" s="71"/>
      <c r="E760" s="71"/>
      <c r="F760" s="73"/>
      <c r="G760" s="73"/>
      <c r="H760" s="73"/>
      <c r="I760" s="73"/>
      <c r="J760" s="74"/>
      <c r="K760" s="74"/>
    </row>
    <row r="761">
      <c r="C761" s="71"/>
      <c r="D761" s="71"/>
      <c r="E761" s="71"/>
      <c r="F761" s="73"/>
      <c r="G761" s="73"/>
      <c r="H761" s="73"/>
      <c r="I761" s="73"/>
      <c r="J761" s="74"/>
      <c r="K761" s="74"/>
    </row>
    <row r="762">
      <c r="C762" s="71"/>
      <c r="D762" s="71"/>
      <c r="E762" s="71"/>
      <c r="F762" s="73"/>
      <c r="G762" s="73"/>
      <c r="H762" s="73"/>
      <c r="I762" s="73"/>
      <c r="J762" s="74"/>
      <c r="K762" s="74"/>
    </row>
    <row r="763">
      <c r="C763" s="71"/>
      <c r="D763" s="71"/>
      <c r="E763" s="71"/>
      <c r="F763" s="73"/>
      <c r="G763" s="73"/>
      <c r="H763" s="73"/>
      <c r="I763" s="73"/>
      <c r="J763" s="74"/>
      <c r="K763" s="74"/>
    </row>
    <row r="764">
      <c r="C764" s="71"/>
      <c r="D764" s="71"/>
      <c r="E764" s="71"/>
      <c r="F764" s="73"/>
      <c r="G764" s="73"/>
      <c r="H764" s="73"/>
      <c r="I764" s="73"/>
      <c r="J764" s="74"/>
      <c r="K764" s="74"/>
    </row>
    <row r="765">
      <c r="C765" s="71"/>
      <c r="D765" s="71"/>
      <c r="E765" s="71"/>
      <c r="F765" s="73"/>
      <c r="G765" s="73"/>
      <c r="H765" s="73"/>
      <c r="I765" s="73"/>
      <c r="J765" s="74"/>
      <c r="K765" s="74"/>
    </row>
    <row r="766">
      <c r="C766" s="71"/>
      <c r="D766" s="71"/>
      <c r="E766" s="71"/>
      <c r="F766" s="73"/>
      <c r="G766" s="73"/>
      <c r="H766" s="73"/>
      <c r="I766" s="73"/>
      <c r="J766" s="74"/>
      <c r="K766" s="74"/>
    </row>
    <row r="767">
      <c r="C767" s="71"/>
      <c r="D767" s="71"/>
      <c r="E767" s="71"/>
      <c r="F767" s="73"/>
      <c r="G767" s="73"/>
      <c r="H767" s="73"/>
      <c r="I767" s="73"/>
      <c r="J767" s="74"/>
      <c r="K767" s="74"/>
    </row>
    <row r="768">
      <c r="C768" s="71"/>
      <c r="D768" s="71"/>
      <c r="E768" s="71"/>
      <c r="F768" s="73"/>
      <c r="G768" s="73"/>
      <c r="H768" s="73"/>
      <c r="I768" s="73"/>
      <c r="J768" s="74"/>
      <c r="K768" s="74"/>
    </row>
    <row r="769">
      <c r="C769" s="71"/>
      <c r="D769" s="71"/>
      <c r="E769" s="71"/>
      <c r="F769" s="73"/>
      <c r="G769" s="73"/>
      <c r="H769" s="73"/>
      <c r="I769" s="73"/>
      <c r="J769" s="74"/>
      <c r="K769" s="74"/>
    </row>
    <row r="770">
      <c r="C770" s="71"/>
      <c r="D770" s="71"/>
      <c r="E770" s="71"/>
      <c r="F770" s="73"/>
      <c r="G770" s="73"/>
      <c r="H770" s="73"/>
      <c r="I770" s="73"/>
      <c r="J770" s="74"/>
      <c r="K770" s="74"/>
    </row>
    <row r="771">
      <c r="C771" s="71"/>
      <c r="D771" s="71"/>
      <c r="E771" s="71"/>
      <c r="F771" s="73"/>
      <c r="G771" s="73"/>
      <c r="H771" s="73"/>
      <c r="I771" s="73"/>
      <c r="J771" s="74"/>
      <c r="K771" s="74"/>
    </row>
    <row r="772">
      <c r="C772" s="71"/>
      <c r="D772" s="71"/>
      <c r="E772" s="71"/>
      <c r="F772" s="73"/>
      <c r="G772" s="73"/>
      <c r="H772" s="73"/>
      <c r="I772" s="73"/>
      <c r="J772" s="74"/>
      <c r="K772" s="74"/>
    </row>
    <row r="773">
      <c r="C773" s="71"/>
      <c r="D773" s="71"/>
      <c r="E773" s="71"/>
      <c r="F773" s="73"/>
      <c r="G773" s="73"/>
      <c r="H773" s="73"/>
      <c r="I773" s="73"/>
      <c r="J773" s="74"/>
      <c r="K773" s="74"/>
    </row>
    <row r="774">
      <c r="C774" s="71"/>
      <c r="D774" s="71"/>
      <c r="E774" s="71"/>
      <c r="F774" s="73"/>
      <c r="G774" s="73"/>
      <c r="H774" s="73"/>
      <c r="I774" s="73"/>
      <c r="J774" s="74"/>
      <c r="K774" s="74"/>
    </row>
    <row r="775">
      <c r="C775" s="71"/>
      <c r="D775" s="71"/>
      <c r="E775" s="71"/>
      <c r="F775" s="73"/>
      <c r="G775" s="73"/>
      <c r="H775" s="73"/>
      <c r="I775" s="73"/>
      <c r="J775" s="74"/>
      <c r="K775" s="74"/>
    </row>
    <row r="776">
      <c r="C776" s="71"/>
      <c r="D776" s="71"/>
      <c r="E776" s="71"/>
      <c r="F776" s="73"/>
      <c r="G776" s="73"/>
      <c r="H776" s="73"/>
      <c r="I776" s="73"/>
      <c r="J776" s="74"/>
      <c r="K776" s="74"/>
    </row>
    <row r="777">
      <c r="C777" s="71"/>
      <c r="D777" s="71"/>
      <c r="E777" s="71"/>
      <c r="F777" s="73"/>
      <c r="G777" s="73"/>
      <c r="H777" s="73"/>
      <c r="I777" s="73"/>
      <c r="J777" s="74"/>
      <c r="K777" s="74"/>
    </row>
    <row r="778">
      <c r="C778" s="71"/>
      <c r="D778" s="71"/>
      <c r="E778" s="71"/>
      <c r="F778" s="73"/>
      <c r="G778" s="73"/>
      <c r="H778" s="73"/>
      <c r="I778" s="73"/>
      <c r="J778" s="74"/>
      <c r="K778" s="74"/>
    </row>
    <row r="779">
      <c r="C779" s="71"/>
      <c r="D779" s="71"/>
      <c r="E779" s="71"/>
      <c r="F779" s="73"/>
      <c r="G779" s="73"/>
      <c r="H779" s="73"/>
      <c r="I779" s="73"/>
      <c r="J779" s="74"/>
      <c r="K779" s="74"/>
    </row>
    <row r="780">
      <c r="C780" s="71"/>
      <c r="D780" s="71"/>
      <c r="E780" s="71"/>
      <c r="F780" s="73"/>
      <c r="G780" s="73"/>
      <c r="H780" s="73"/>
      <c r="I780" s="73"/>
      <c r="J780" s="74"/>
      <c r="K780" s="74"/>
    </row>
    <row r="781">
      <c r="C781" s="71"/>
      <c r="D781" s="71"/>
      <c r="E781" s="71"/>
      <c r="F781" s="73"/>
      <c r="G781" s="73"/>
      <c r="H781" s="73"/>
      <c r="I781" s="73"/>
      <c r="J781" s="74"/>
      <c r="K781" s="74"/>
    </row>
    <row r="782">
      <c r="C782" s="71"/>
      <c r="D782" s="71"/>
      <c r="E782" s="71"/>
      <c r="F782" s="73"/>
      <c r="G782" s="73"/>
      <c r="H782" s="73"/>
      <c r="I782" s="73"/>
      <c r="J782" s="74"/>
      <c r="K782" s="74"/>
    </row>
    <row r="783">
      <c r="C783" s="71"/>
      <c r="D783" s="71"/>
      <c r="E783" s="71"/>
      <c r="F783" s="73"/>
      <c r="G783" s="73"/>
      <c r="H783" s="73"/>
      <c r="I783" s="73"/>
      <c r="J783" s="74"/>
      <c r="K783" s="74"/>
    </row>
    <row r="784">
      <c r="C784" s="71"/>
      <c r="D784" s="71"/>
      <c r="E784" s="71"/>
      <c r="F784" s="73"/>
      <c r="G784" s="73"/>
      <c r="H784" s="73"/>
      <c r="I784" s="73"/>
      <c r="J784" s="74"/>
      <c r="K784" s="74"/>
    </row>
    <row r="785">
      <c r="C785" s="71"/>
      <c r="D785" s="71"/>
      <c r="E785" s="71"/>
      <c r="F785" s="73"/>
      <c r="G785" s="73"/>
      <c r="H785" s="73"/>
      <c r="I785" s="73"/>
      <c r="J785" s="74"/>
      <c r="K785" s="74"/>
    </row>
    <row r="786">
      <c r="C786" s="71"/>
      <c r="D786" s="71"/>
      <c r="E786" s="71"/>
      <c r="F786" s="73"/>
      <c r="G786" s="73"/>
      <c r="H786" s="73"/>
      <c r="I786" s="73"/>
      <c r="J786" s="74"/>
      <c r="K786" s="74"/>
    </row>
    <row r="787">
      <c r="C787" s="71"/>
      <c r="D787" s="71"/>
      <c r="E787" s="71"/>
      <c r="F787" s="73"/>
      <c r="G787" s="73"/>
      <c r="H787" s="73"/>
      <c r="I787" s="73"/>
      <c r="J787" s="74"/>
      <c r="K787" s="74"/>
    </row>
    <row r="788">
      <c r="C788" s="71"/>
      <c r="D788" s="71"/>
      <c r="E788" s="71"/>
      <c r="F788" s="73"/>
      <c r="G788" s="73"/>
      <c r="H788" s="73"/>
      <c r="I788" s="73"/>
      <c r="J788" s="74"/>
      <c r="K788" s="74"/>
    </row>
    <row r="789">
      <c r="C789" s="71"/>
      <c r="D789" s="71"/>
      <c r="E789" s="71"/>
      <c r="F789" s="73"/>
      <c r="G789" s="73"/>
      <c r="H789" s="73"/>
      <c r="I789" s="73"/>
      <c r="J789" s="74"/>
      <c r="K789" s="74"/>
    </row>
    <row r="790">
      <c r="C790" s="71"/>
      <c r="D790" s="71"/>
      <c r="E790" s="71"/>
      <c r="F790" s="73"/>
      <c r="G790" s="73"/>
      <c r="H790" s="73"/>
      <c r="I790" s="73"/>
      <c r="J790" s="74"/>
      <c r="K790" s="74"/>
    </row>
    <row r="791">
      <c r="C791" s="71"/>
      <c r="D791" s="71"/>
      <c r="E791" s="71"/>
      <c r="F791" s="73"/>
      <c r="G791" s="73"/>
      <c r="H791" s="73"/>
      <c r="I791" s="73"/>
      <c r="J791" s="74"/>
      <c r="K791" s="74"/>
    </row>
    <row r="792">
      <c r="C792" s="71"/>
      <c r="D792" s="71"/>
      <c r="E792" s="71"/>
      <c r="F792" s="73"/>
      <c r="G792" s="73"/>
      <c r="H792" s="73"/>
      <c r="I792" s="73"/>
      <c r="J792" s="74"/>
      <c r="K792" s="74"/>
    </row>
    <row r="793">
      <c r="C793" s="71"/>
      <c r="D793" s="71"/>
      <c r="E793" s="71"/>
      <c r="F793" s="73"/>
      <c r="G793" s="73"/>
      <c r="H793" s="73"/>
      <c r="I793" s="73"/>
      <c r="J793" s="74"/>
      <c r="K793" s="74"/>
    </row>
    <row r="794">
      <c r="C794" s="71"/>
      <c r="D794" s="71"/>
      <c r="E794" s="71"/>
      <c r="F794" s="73"/>
      <c r="G794" s="73"/>
      <c r="H794" s="73"/>
      <c r="I794" s="73"/>
      <c r="J794" s="74"/>
      <c r="K794" s="74"/>
    </row>
    <row r="795">
      <c r="C795" s="71"/>
      <c r="D795" s="71"/>
      <c r="E795" s="71"/>
      <c r="F795" s="73"/>
      <c r="G795" s="73"/>
      <c r="H795" s="73"/>
      <c r="I795" s="73"/>
      <c r="J795" s="74"/>
      <c r="K795" s="74"/>
    </row>
    <row r="796">
      <c r="C796" s="71"/>
      <c r="D796" s="71"/>
      <c r="E796" s="71"/>
      <c r="F796" s="73"/>
      <c r="G796" s="73"/>
      <c r="H796" s="73"/>
      <c r="I796" s="73"/>
      <c r="J796" s="74"/>
      <c r="K796" s="74"/>
    </row>
    <row r="797">
      <c r="C797" s="71"/>
      <c r="D797" s="71"/>
      <c r="E797" s="71"/>
      <c r="F797" s="73"/>
      <c r="G797" s="73"/>
      <c r="H797" s="73"/>
      <c r="I797" s="73"/>
      <c r="J797" s="74"/>
      <c r="K797" s="74"/>
    </row>
    <row r="798">
      <c r="C798" s="71"/>
      <c r="D798" s="71"/>
      <c r="E798" s="71"/>
      <c r="F798" s="73"/>
      <c r="G798" s="73"/>
      <c r="H798" s="73"/>
      <c r="I798" s="73"/>
      <c r="J798" s="74"/>
      <c r="K798" s="74"/>
    </row>
    <row r="799">
      <c r="C799" s="71"/>
      <c r="D799" s="71"/>
      <c r="E799" s="71"/>
      <c r="F799" s="73"/>
      <c r="G799" s="73"/>
      <c r="H799" s="73"/>
      <c r="I799" s="73"/>
      <c r="J799" s="74"/>
      <c r="K799" s="74"/>
    </row>
    <row r="800">
      <c r="C800" s="71"/>
      <c r="D800" s="71"/>
      <c r="E800" s="71"/>
      <c r="F800" s="73"/>
      <c r="G800" s="73"/>
      <c r="H800" s="73"/>
      <c r="I800" s="73"/>
      <c r="J800" s="74"/>
      <c r="K800" s="74"/>
    </row>
    <row r="801">
      <c r="C801" s="71"/>
      <c r="D801" s="71"/>
      <c r="E801" s="71"/>
      <c r="F801" s="73"/>
      <c r="G801" s="73"/>
      <c r="H801" s="73"/>
      <c r="I801" s="73"/>
      <c r="J801" s="74"/>
      <c r="K801" s="74"/>
    </row>
    <row r="802">
      <c r="C802" s="71"/>
      <c r="D802" s="71"/>
      <c r="E802" s="71"/>
      <c r="F802" s="73"/>
      <c r="G802" s="73"/>
      <c r="H802" s="73"/>
      <c r="I802" s="73"/>
      <c r="J802" s="74"/>
      <c r="K802" s="74"/>
    </row>
    <row r="803">
      <c r="C803" s="71"/>
      <c r="D803" s="71"/>
      <c r="E803" s="71"/>
      <c r="F803" s="73"/>
      <c r="G803" s="73"/>
      <c r="H803" s="73"/>
      <c r="I803" s="73"/>
      <c r="J803" s="74"/>
      <c r="K803" s="74"/>
    </row>
    <row r="804">
      <c r="C804" s="71"/>
      <c r="D804" s="71"/>
      <c r="E804" s="71"/>
      <c r="F804" s="73"/>
      <c r="G804" s="73"/>
      <c r="H804" s="73"/>
      <c r="I804" s="73"/>
      <c r="J804" s="74"/>
      <c r="K804" s="74"/>
    </row>
    <row r="805">
      <c r="C805" s="71"/>
      <c r="D805" s="71"/>
      <c r="E805" s="71"/>
      <c r="F805" s="73"/>
      <c r="G805" s="73"/>
      <c r="H805" s="73"/>
      <c r="I805" s="73"/>
      <c r="J805" s="74"/>
      <c r="K805" s="74"/>
    </row>
    <row r="806">
      <c r="C806" s="71"/>
      <c r="D806" s="71"/>
      <c r="E806" s="71"/>
      <c r="F806" s="73"/>
      <c r="G806" s="73"/>
      <c r="H806" s="73"/>
      <c r="I806" s="73"/>
      <c r="J806" s="74"/>
      <c r="K806" s="74"/>
    </row>
    <row r="807">
      <c r="C807" s="71"/>
      <c r="D807" s="71"/>
      <c r="E807" s="71"/>
      <c r="F807" s="73"/>
      <c r="G807" s="73"/>
      <c r="H807" s="73"/>
      <c r="I807" s="73"/>
      <c r="J807" s="74"/>
      <c r="K807" s="74"/>
    </row>
    <row r="808">
      <c r="C808" s="71"/>
      <c r="D808" s="71"/>
      <c r="E808" s="71"/>
      <c r="F808" s="73"/>
      <c r="G808" s="73"/>
      <c r="H808" s="73"/>
      <c r="I808" s="73"/>
      <c r="J808" s="74"/>
      <c r="K808" s="74"/>
    </row>
    <row r="809">
      <c r="C809" s="71"/>
      <c r="D809" s="71"/>
      <c r="E809" s="71"/>
      <c r="F809" s="73"/>
      <c r="G809" s="73"/>
      <c r="H809" s="73"/>
      <c r="I809" s="73"/>
      <c r="J809" s="74"/>
      <c r="K809" s="74"/>
    </row>
    <row r="810">
      <c r="C810" s="71"/>
      <c r="D810" s="71"/>
      <c r="E810" s="71"/>
      <c r="F810" s="73"/>
      <c r="G810" s="73"/>
      <c r="H810" s="73"/>
      <c r="I810" s="73"/>
      <c r="J810" s="74"/>
      <c r="K810" s="74"/>
    </row>
    <row r="811">
      <c r="C811" s="71"/>
      <c r="D811" s="71"/>
      <c r="E811" s="71"/>
      <c r="F811" s="73"/>
      <c r="G811" s="73"/>
      <c r="H811" s="73"/>
      <c r="I811" s="73"/>
      <c r="J811" s="74"/>
      <c r="K811" s="74"/>
    </row>
    <row r="812">
      <c r="C812" s="71"/>
      <c r="D812" s="71"/>
      <c r="E812" s="71"/>
      <c r="F812" s="73"/>
      <c r="G812" s="73"/>
      <c r="H812" s="73"/>
      <c r="I812" s="73"/>
      <c r="J812" s="74"/>
      <c r="K812" s="74"/>
    </row>
    <row r="813">
      <c r="C813" s="71"/>
      <c r="D813" s="71"/>
      <c r="E813" s="71"/>
      <c r="F813" s="73"/>
      <c r="G813" s="73"/>
      <c r="H813" s="73"/>
      <c r="I813" s="73"/>
      <c r="J813" s="74"/>
      <c r="K813" s="74"/>
    </row>
    <row r="814">
      <c r="C814" s="71"/>
      <c r="D814" s="71"/>
      <c r="E814" s="71"/>
      <c r="F814" s="73"/>
      <c r="G814" s="73"/>
      <c r="H814" s="73"/>
      <c r="I814" s="73"/>
      <c r="J814" s="74"/>
      <c r="K814" s="74"/>
    </row>
    <row r="815">
      <c r="C815" s="71"/>
      <c r="D815" s="71"/>
      <c r="E815" s="71"/>
      <c r="F815" s="73"/>
      <c r="G815" s="73"/>
      <c r="H815" s="73"/>
      <c r="I815" s="73"/>
      <c r="J815" s="74"/>
      <c r="K815" s="74"/>
    </row>
    <row r="816">
      <c r="C816" s="71"/>
      <c r="D816" s="71"/>
      <c r="E816" s="71"/>
      <c r="F816" s="73"/>
      <c r="G816" s="73"/>
      <c r="H816" s="73"/>
      <c r="I816" s="73"/>
      <c r="J816" s="74"/>
      <c r="K816" s="74"/>
    </row>
    <row r="817">
      <c r="C817" s="71"/>
      <c r="D817" s="71"/>
      <c r="E817" s="71"/>
      <c r="F817" s="73"/>
      <c r="G817" s="73"/>
      <c r="H817" s="73"/>
      <c r="I817" s="73"/>
      <c r="J817" s="74"/>
      <c r="K817" s="74"/>
    </row>
    <row r="818">
      <c r="C818" s="71"/>
      <c r="D818" s="71"/>
      <c r="E818" s="71"/>
      <c r="F818" s="73"/>
      <c r="G818" s="73"/>
      <c r="H818" s="73"/>
      <c r="I818" s="73"/>
      <c r="J818" s="74"/>
      <c r="K818" s="74"/>
    </row>
    <row r="819">
      <c r="C819" s="71"/>
      <c r="D819" s="71"/>
      <c r="E819" s="71"/>
      <c r="F819" s="73"/>
      <c r="G819" s="73"/>
      <c r="H819" s="73"/>
      <c r="I819" s="73"/>
      <c r="J819" s="74"/>
      <c r="K819" s="74"/>
    </row>
    <row r="820">
      <c r="C820" s="71"/>
      <c r="D820" s="71"/>
      <c r="E820" s="71"/>
      <c r="F820" s="73"/>
      <c r="G820" s="73"/>
      <c r="H820" s="73"/>
      <c r="I820" s="73"/>
      <c r="J820" s="74"/>
      <c r="K820" s="74"/>
    </row>
    <row r="821">
      <c r="C821" s="71"/>
      <c r="D821" s="71"/>
      <c r="E821" s="71"/>
      <c r="F821" s="73"/>
      <c r="G821" s="73"/>
      <c r="H821" s="73"/>
      <c r="I821" s="73"/>
      <c r="J821" s="74"/>
      <c r="K821" s="74"/>
    </row>
    <row r="822">
      <c r="C822" s="71"/>
      <c r="D822" s="71"/>
      <c r="E822" s="71"/>
      <c r="F822" s="73"/>
      <c r="G822" s="73"/>
      <c r="H822" s="73"/>
      <c r="I822" s="73"/>
      <c r="J822" s="74"/>
      <c r="K822" s="74"/>
    </row>
    <row r="823">
      <c r="C823" s="71"/>
      <c r="D823" s="71"/>
      <c r="E823" s="71"/>
      <c r="F823" s="73"/>
      <c r="G823" s="73"/>
      <c r="H823" s="73"/>
      <c r="I823" s="73"/>
      <c r="J823" s="74"/>
      <c r="K823" s="74"/>
    </row>
    <row r="824">
      <c r="C824" s="71"/>
      <c r="D824" s="71"/>
      <c r="E824" s="71"/>
      <c r="F824" s="73"/>
      <c r="G824" s="73"/>
      <c r="H824" s="73"/>
      <c r="I824" s="73"/>
      <c r="J824" s="74"/>
      <c r="K824" s="74"/>
    </row>
    <row r="825">
      <c r="C825" s="71"/>
      <c r="D825" s="71"/>
      <c r="E825" s="71"/>
      <c r="F825" s="73"/>
      <c r="G825" s="73"/>
      <c r="H825" s="73"/>
      <c r="I825" s="73"/>
      <c r="J825" s="74"/>
      <c r="K825" s="74"/>
    </row>
    <row r="826">
      <c r="C826" s="71"/>
      <c r="D826" s="71"/>
      <c r="E826" s="71"/>
      <c r="F826" s="73"/>
      <c r="G826" s="73"/>
      <c r="H826" s="73"/>
      <c r="I826" s="73"/>
      <c r="J826" s="74"/>
      <c r="K826" s="74"/>
    </row>
    <row r="827">
      <c r="C827" s="71"/>
      <c r="D827" s="71"/>
      <c r="E827" s="71"/>
      <c r="F827" s="73"/>
      <c r="G827" s="73"/>
      <c r="H827" s="73"/>
      <c r="I827" s="73"/>
      <c r="J827" s="74"/>
      <c r="K827" s="74"/>
    </row>
    <row r="828">
      <c r="C828" s="71"/>
      <c r="D828" s="71"/>
      <c r="E828" s="71"/>
      <c r="F828" s="73"/>
      <c r="G828" s="73"/>
      <c r="H828" s="73"/>
      <c r="I828" s="73"/>
      <c r="J828" s="74"/>
      <c r="K828" s="74"/>
    </row>
    <row r="829">
      <c r="C829" s="71"/>
      <c r="D829" s="71"/>
      <c r="E829" s="71"/>
      <c r="F829" s="73"/>
      <c r="G829" s="73"/>
      <c r="H829" s="73"/>
      <c r="I829" s="73"/>
      <c r="J829" s="74"/>
      <c r="K829" s="74"/>
    </row>
    <row r="830">
      <c r="C830" s="71"/>
      <c r="D830" s="71"/>
      <c r="E830" s="71"/>
      <c r="F830" s="73"/>
      <c r="G830" s="73"/>
      <c r="H830" s="73"/>
      <c r="I830" s="73"/>
      <c r="J830" s="74"/>
      <c r="K830" s="74"/>
    </row>
    <row r="831">
      <c r="C831" s="71"/>
      <c r="D831" s="71"/>
      <c r="E831" s="71"/>
      <c r="F831" s="73"/>
      <c r="G831" s="73"/>
      <c r="H831" s="73"/>
      <c r="I831" s="73"/>
      <c r="J831" s="74"/>
      <c r="K831" s="74"/>
    </row>
    <row r="832">
      <c r="C832" s="71"/>
      <c r="D832" s="71"/>
      <c r="E832" s="71"/>
      <c r="F832" s="73"/>
      <c r="G832" s="73"/>
      <c r="H832" s="73"/>
      <c r="I832" s="73"/>
      <c r="J832" s="74"/>
      <c r="K832" s="74"/>
    </row>
    <row r="833">
      <c r="C833" s="71"/>
      <c r="D833" s="71"/>
      <c r="E833" s="71"/>
      <c r="F833" s="73"/>
      <c r="G833" s="73"/>
      <c r="H833" s="73"/>
      <c r="I833" s="73"/>
      <c r="J833" s="74"/>
      <c r="K833" s="74"/>
    </row>
    <row r="834">
      <c r="C834" s="71"/>
      <c r="D834" s="71"/>
      <c r="E834" s="71"/>
      <c r="F834" s="73"/>
      <c r="G834" s="73"/>
      <c r="H834" s="73"/>
      <c r="I834" s="73"/>
      <c r="J834" s="74"/>
      <c r="K834" s="74"/>
    </row>
    <row r="835">
      <c r="C835" s="71"/>
      <c r="D835" s="71"/>
      <c r="E835" s="71"/>
      <c r="F835" s="73"/>
      <c r="G835" s="73"/>
      <c r="H835" s="73"/>
      <c r="I835" s="73"/>
      <c r="J835" s="74"/>
      <c r="K835" s="74"/>
    </row>
    <row r="836">
      <c r="C836" s="71"/>
      <c r="D836" s="71"/>
      <c r="E836" s="71"/>
      <c r="F836" s="73"/>
      <c r="G836" s="73"/>
      <c r="H836" s="73"/>
      <c r="I836" s="73"/>
      <c r="J836" s="74"/>
      <c r="K836" s="74"/>
    </row>
    <row r="837">
      <c r="C837" s="71"/>
      <c r="D837" s="71"/>
      <c r="E837" s="71"/>
      <c r="F837" s="73"/>
      <c r="G837" s="73"/>
      <c r="H837" s="73"/>
      <c r="I837" s="73"/>
      <c r="J837" s="74"/>
      <c r="K837" s="74"/>
    </row>
    <row r="838">
      <c r="C838" s="71"/>
      <c r="D838" s="71"/>
      <c r="E838" s="71"/>
      <c r="F838" s="73"/>
      <c r="G838" s="73"/>
      <c r="H838" s="73"/>
      <c r="I838" s="73"/>
      <c r="J838" s="74"/>
      <c r="K838" s="74"/>
    </row>
    <row r="839">
      <c r="C839" s="71"/>
      <c r="D839" s="71"/>
      <c r="E839" s="71"/>
      <c r="F839" s="73"/>
      <c r="G839" s="73"/>
      <c r="H839" s="73"/>
      <c r="I839" s="73"/>
      <c r="J839" s="74"/>
      <c r="K839" s="74"/>
    </row>
    <row r="840">
      <c r="C840" s="71"/>
      <c r="D840" s="71"/>
      <c r="E840" s="71"/>
      <c r="F840" s="73"/>
      <c r="G840" s="73"/>
      <c r="H840" s="73"/>
      <c r="I840" s="73"/>
      <c r="J840" s="74"/>
      <c r="K840" s="74"/>
    </row>
    <row r="841">
      <c r="C841" s="71"/>
      <c r="D841" s="71"/>
      <c r="E841" s="71"/>
      <c r="F841" s="73"/>
      <c r="G841" s="73"/>
      <c r="H841" s="73"/>
      <c r="I841" s="73"/>
      <c r="J841" s="74"/>
      <c r="K841" s="74"/>
    </row>
    <row r="842">
      <c r="C842" s="71"/>
      <c r="D842" s="71"/>
      <c r="E842" s="71"/>
      <c r="F842" s="73"/>
      <c r="G842" s="73"/>
      <c r="H842" s="73"/>
      <c r="I842" s="73"/>
      <c r="J842" s="74"/>
      <c r="K842" s="74"/>
    </row>
    <row r="843">
      <c r="C843" s="71"/>
      <c r="D843" s="71"/>
      <c r="E843" s="71"/>
      <c r="F843" s="73"/>
      <c r="G843" s="73"/>
      <c r="H843" s="73"/>
      <c r="I843" s="73"/>
      <c r="J843" s="74"/>
      <c r="K843" s="74"/>
    </row>
    <row r="844">
      <c r="C844" s="71"/>
      <c r="D844" s="71"/>
      <c r="E844" s="71"/>
      <c r="F844" s="73"/>
      <c r="G844" s="73"/>
      <c r="H844" s="73"/>
      <c r="I844" s="73"/>
      <c r="J844" s="74"/>
      <c r="K844" s="74"/>
    </row>
    <row r="845">
      <c r="C845" s="71"/>
      <c r="D845" s="71"/>
      <c r="E845" s="71"/>
      <c r="F845" s="73"/>
      <c r="G845" s="73"/>
      <c r="H845" s="73"/>
      <c r="I845" s="73"/>
      <c r="J845" s="74"/>
      <c r="K845" s="74"/>
    </row>
    <row r="846">
      <c r="C846" s="71"/>
      <c r="D846" s="71"/>
      <c r="E846" s="71"/>
      <c r="F846" s="73"/>
      <c r="G846" s="73"/>
      <c r="H846" s="73"/>
      <c r="I846" s="73"/>
      <c r="J846" s="74"/>
      <c r="K846" s="74"/>
    </row>
    <row r="847">
      <c r="C847" s="71"/>
      <c r="D847" s="71"/>
      <c r="E847" s="71"/>
      <c r="F847" s="73"/>
      <c r="G847" s="73"/>
      <c r="H847" s="73"/>
      <c r="I847" s="73"/>
      <c r="J847" s="74"/>
      <c r="K847" s="74"/>
    </row>
    <row r="848">
      <c r="C848" s="71"/>
      <c r="D848" s="71"/>
      <c r="E848" s="71"/>
      <c r="F848" s="73"/>
      <c r="G848" s="73"/>
      <c r="H848" s="73"/>
      <c r="I848" s="73"/>
      <c r="J848" s="74"/>
      <c r="K848" s="74"/>
    </row>
    <row r="849">
      <c r="C849" s="71"/>
      <c r="D849" s="71"/>
      <c r="E849" s="71"/>
      <c r="F849" s="73"/>
      <c r="G849" s="73"/>
      <c r="H849" s="73"/>
      <c r="I849" s="73"/>
      <c r="J849" s="74"/>
      <c r="K849" s="74"/>
    </row>
    <row r="850">
      <c r="C850" s="71"/>
      <c r="D850" s="71"/>
      <c r="E850" s="71"/>
      <c r="F850" s="73"/>
      <c r="G850" s="73"/>
      <c r="H850" s="73"/>
      <c r="I850" s="73"/>
      <c r="J850" s="74"/>
      <c r="K850" s="74"/>
    </row>
    <row r="851">
      <c r="C851" s="71"/>
      <c r="D851" s="71"/>
      <c r="E851" s="71"/>
      <c r="F851" s="73"/>
      <c r="G851" s="73"/>
      <c r="H851" s="73"/>
      <c r="I851" s="73"/>
      <c r="J851" s="74"/>
      <c r="K851" s="74"/>
    </row>
    <row r="852">
      <c r="C852" s="71"/>
      <c r="D852" s="71"/>
      <c r="E852" s="71"/>
      <c r="F852" s="73"/>
      <c r="G852" s="73"/>
      <c r="H852" s="73"/>
      <c r="I852" s="73"/>
      <c r="J852" s="74"/>
      <c r="K852" s="74"/>
    </row>
    <row r="853">
      <c r="C853" s="71"/>
      <c r="D853" s="71"/>
      <c r="E853" s="71"/>
      <c r="F853" s="73"/>
      <c r="G853" s="73"/>
      <c r="H853" s="73"/>
      <c r="I853" s="73"/>
      <c r="J853" s="74"/>
      <c r="K853" s="74"/>
    </row>
    <row r="854">
      <c r="C854" s="71"/>
      <c r="D854" s="71"/>
      <c r="E854" s="71"/>
      <c r="F854" s="73"/>
      <c r="G854" s="73"/>
      <c r="H854" s="73"/>
      <c r="I854" s="73"/>
      <c r="J854" s="74"/>
      <c r="K854" s="74"/>
    </row>
    <row r="855">
      <c r="C855" s="71"/>
      <c r="D855" s="71"/>
      <c r="E855" s="71"/>
      <c r="F855" s="73"/>
      <c r="G855" s="73"/>
      <c r="H855" s="73"/>
      <c r="I855" s="73"/>
      <c r="J855" s="74"/>
      <c r="K855" s="74"/>
    </row>
    <row r="856">
      <c r="C856" s="71"/>
      <c r="D856" s="71"/>
      <c r="E856" s="71"/>
      <c r="F856" s="73"/>
      <c r="G856" s="73"/>
      <c r="H856" s="73"/>
      <c r="I856" s="73"/>
      <c r="J856" s="74"/>
      <c r="K856" s="74"/>
    </row>
    <row r="857">
      <c r="C857" s="71"/>
      <c r="D857" s="71"/>
      <c r="E857" s="71"/>
      <c r="F857" s="73"/>
      <c r="G857" s="73"/>
      <c r="H857" s="73"/>
      <c r="I857" s="73"/>
      <c r="J857" s="74"/>
      <c r="K857" s="74"/>
    </row>
    <row r="858">
      <c r="C858" s="71"/>
      <c r="D858" s="71"/>
      <c r="E858" s="71"/>
      <c r="F858" s="73"/>
      <c r="G858" s="73"/>
      <c r="H858" s="73"/>
      <c r="I858" s="73"/>
      <c r="J858" s="74"/>
      <c r="K858" s="74"/>
    </row>
    <row r="859">
      <c r="C859" s="71"/>
      <c r="D859" s="71"/>
      <c r="E859" s="71"/>
      <c r="F859" s="73"/>
      <c r="G859" s="73"/>
      <c r="H859" s="73"/>
      <c r="I859" s="73"/>
      <c r="J859" s="74"/>
      <c r="K859" s="74"/>
    </row>
    <row r="860">
      <c r="C860" s="71"/>
      <c r="D860" s="71"/>
      <c r="E860" s="71"/>
      <c r="F860" s="73"/>
      <c r="G860" s="73"/>
      <c r="H860" s="73"/>
      <c r="I860" s="73"/>
      <c r="J860" s="74"/>
      <c r="K860" s="74"/>
    </row>
    <row r="861">
      <c r="C861" s="71"/>
      <c r="D861" s="71"/>
      <c r="E861" s="71"/>
      <c r="F861" s="73"/>
      <c r="G861" s="73"/>
      <c r="H861" s="73"/>
      <c r="I861" s="73"/>
      <c r="J861" s="74"/>
      <c r="K861" s="74"/>
    </row>
    <row r="862">
      <c r="C862" s="71"/>
      <c r="D862" s="71"/>
      <c r="E862" s="71"/>
      <c r="F862" s="73"/>
      <c r="G862" s="73"/>
      <c r="H862" s="73"/>
      <c r="I862" s="73"/>
      <c r="J862" s="74"/>
      <c r="K862" s="74"/>
    </row>
    <row r="863">
      <c r="C863" s="71"/>
      <c r="D863" s="71"/>
      <c r="E863" s="71"/>
      <c r="F863" s="73"/>
      <c r="G863" s="73"/>
      <c r="H863" s="73"/>
      <c r="I863" s="73"/>
      <c r="J863" s="74"/>
      <c r="K863" s="74"/>
    </row>
    <row r="864">
      <c r="C864" s="71"/>
      <c r="D864" s="71"/>
      <c r="E864" s="71"/>
      <c r="F864" s="73"/>
      <c r="G864" s="73"/>
      <c r="H864" s="73"/>
      <c r="I864" s="73"/>
      <c r="J864" s="74"/>
      <c r="K864" s="74"/>
    </row>
    <row r="865">
      <c r="C865" s="71"/>
      <c r="D865" s="71"/>
      <c r="E865" s="71"/>
      <c r="F865" s="73"/>
      <c r="G865" s="73"/>
      <c r="H865" s="73"/>
      <c r="I865" s="73"/>
      <c r="J865" s="74"/>
      <c r="K865" s="74"/>
    </row>
    <row r="866">
      <c r="C866" s="71"/>
      <c r="D866" s="71"/>
      <c r="E866" s="71"/>
      <c r="F866" s="73"/>
      <c r="G866" s="73"/>
      <c r="H866" s="73"/>
      <c r="I866" s="73"/>
      <c r="J866" s="74"/>
      <c r="K866" s="74"/>
    </row>
    <row r="867">
      <c r="C867" s="71"/>
      <c r="D867" s="71"/>
      <c r="E867" s="71"/>
      <c r="F867" s="73"/>
      <c r="G867" s="73"/>
      <c r="H867" s="73"/>
      <c r="I867" s="73"/>
      <c r="J867" s="74"/>
      <c r="K867" s="74"/>
    </row>
    <row r="868">
      <c r="C868" s="71"/>
      <c r="D868" s="71"/>
      <c r="E868" s="71"/>
      <c r="F868" s="73"/>
      <c r="G868" s="73"/>
      <c r="H868" s="73"/>
      <c r="I868" s="73"/>
      <c r="J868" s="74"/>
      <c r="K868" s="74"/>
    </row>
    <row r="869">
      <c r="C869" s="71"/>
      <c r="D869" s="71"/>
      <c r="E869" s="71"/>
      <c r="F869" s="73"/>
      <c r="G869" s="73"/>
      <c r="H869" s="73"/>
      <c r="I869" s="73"/>
      <c r="J869" s="74"/>
      <c r="K869" s="74"/>
    </row>
    <row r="870">
      <c r="C870" s="71"/>
      <c r="D870" s="71"/>
      <c r="E870" s="71"/>
      <c r="F870" s="73"/>
      <c r="G870" s="73"/>
      <c r="H870" s="73"/>
      <c r="I870" s="73"/>
      <c r="J870" s="74"/>
      <c r="K870" s="74"/>
    </row>
    <row r="871">
      <c r="C871" s="71"/>
      <c r="D871" s="71"/>
      <c r="E871" s="71"/>
      <c r="F871" s="73"/>
      <c r="G871" s="73"/>
      <c r="H871" s="73"/>
      <c r="I871" s="73"/>
      <c r="J871" s="74"/>
      <c r="K871" s="74"/>
    </row>
    <row r="872">
      <c r="C872" s="71"/>
      <c r="D872" s="71"/>
      <c r="E872" s="71"/>
      <c r="F872" s="73"/>
      <c r="G872" s="73"/>
      <c r="H872" s="73"/>
      <c r="I872" s="73"/>
      <c r="J872" s="74"/>
      <c r="K872" s="74"/>
    </row>
    <row r="873">
      <c r="C873" s="71"/>
      <c r="D873" s="71"/>
      <c r="E873" s="71"/>
      <c r="F873" s="73"/>
      <c r="G873" s="73"/>
      <c r="H873" s="73"/>
      <c r="I873" s="73"/>
      <c r="J873" s="74"/>
      <c r="K873" s="74"/>
    </row>
    <row r="874">
      <c r="C874" s="71"/>
      <c r="D874" s="71"/>
      <c r="E874" s="71"/>
      <c r="F874" s="73"/>
      <c r="G874" s="73"/>
      <c r="H874" s="73"/>
      <c r="I874" s="73"/>
      <c r="J874" s="74"/>
      <c r="K874" s="74"/>
    </row>
    <row r="875">
      <c r="C875" s="71"/>
      <c r="D875" s="71"/>
      <c r="E875" s="71"/>
      <c r="F875" s="73"/>
      <c r="G875" s="73"/>
      <c r="H875" s="73"/>
      <c r="I875" s="73"/>
      <c r="J875" s="74"/>
      <c r="K875" s="74"/>
    </row>
    <row r="876">
      <c r="C876" s="71"/>
      <c r="D876" s="71"/>
      <c r="E876" s="71"/>
      <c r="F876" s="73"/>
      <c r="G876" s="73"/>
      <c r="H876" s="73"/>
      <c r="I876" s="73"/>
      <c r="J876" s="74"/>
      <c r="K876" s="74"/>
    </row>
    <row r="877">
      <c r="C877" s="71"/>
      <c r="D877" s="71"/>
      <c r="E877" s="71"/>
      <c r="F877" s="73"/>
      <c r="G877" s="73"/>
      <c r="H877" s="73"/>
      <c r="I877" s="73"/>
      <c r="J877" s="74"/>
      <c r="K877" s="74"/>
    </row>
    <row r="878">
      <c r="C878" s="71"/>
      <c r="D878" s="71"/>
      <c r="E878" s="71"/>
      <c r="F878" s="73"/>
      <c r="G878" s="73"/>
      <c r="H878" s="73"/>
      <c r="I878" s="73"/>
      <c r="J878" s="74"/>
      <c r="K878" s="74"/>
    </row>
    <row r="879">
      <c r="C879" s="71"/>
      <c r="D879" s="71"/>
      <c r="E879" s="71"/>
      <c r="F879" s="73"/>
      <c r="G879" s="73"/>
      <c r="H879" s="73"/>
      <c r="I879" s="73"/>
      <c r="J879" s="74"/>
      <c r="K879" s="74"/>
    </row>
    <row r="880">
      <c r="C880" s="71"/>
      <c r="D880" s="71"/>
      <c r="E880" s="71"/>
      <c r="F880" s="73"/>
      <c r="G880" s="73"/>
      <c r="H880" s="73"/>
      <c r="I880" s="73"/>
      <c r="J880" s="74"/>
      <c r="K880" s="74"/>
    </row>
    <row r="881">
      <c r="C881" s="71"/>
      <c r="D881" s="71"/>
      <c r="E881" s="71"/>
      <c r="F881" s="73"/>
      <c r="G881" s="73"/>
      <c r="H881" s="73"/>
      <c r="I881" s="73"/>
      <c r="J881" s="74"/>
      <c r="K881" s="74"/>
    </row>
    <row r="882">
      <c r="C882" s="71"/>
      <c r="D882" s="71"/>
      <c r="E882" s="71"/>
      <c r="F882" s="73"/>
      <c r="G882" s="73"/>
      <c r="H882" s="73"/>
      <c r="I882" s="73"/>
      <c r="J882" s="74"/>
      <c r="K882" s="74"/>
    </row>
    <row r="883">
      <c r="C883" s="71"/>
      <c r="D883" s="71"/>
      <c r="E883" s="71"/>
      <c r="F883" s="73"/>
      <c r="G883" s="73"/>
      <c r="H883" s="73"/>
      <c r="I883" s="73"/>
      <c r="J883" s="74"/>
      <c r="K883" s="74"/>
    </row>
    <row r="884">
      <c r="C884" s="71"/>
      <c r="D884" s="71"/>
      <c r="E884" s="71"/>
      <c r="F884" s="73"/>
      <c r="G884" s="73"/>
      <c r="H884" s="73"/>
      <c r="I884" s="73"/>
      <c r="J884" s="74"/>
      <c r="K884" s="74"/>
    </row>
    <row r="885">
      <c r="C885" s="71"/>
      <c r="D885" s="71"/>
      <c r="E885" s="71"/>
      <c r="F885" s="73"/>
      <c r="G885" s="73"/>
      <c r="H885" s="73"/>
      <c r="I885" s="73"/>
      <c r="J885" s="74"/>
      <c r="K885" s="74"/>
    </row>
    <row r="886">
      <c r="C886" s="71"/>
      <c r="D886" s="71"/>
      <c r="E886" s="71"/>
      <c r="F886" s="73"/>
      <c r="G886" s="73"/>
      <c r="H886" s="73"/>
      <c r="I886" s="73"/>
      <c r="J886" s="74"/>
      <c r="K886" s="74"/>
    </row>
    <row r="887">
      <c r="C887" s="71"/>
      <c r="D887" s="71"/>
      <c r="E887" s="71"/>
      <c r="F887" s="73"/>
      <c r="G887" s="73"/>
      <c r="H887" s="73"/>
      <c r="I887" s="73"/>
      <c r="J887" s="74"/>
      <c r="K887" s="74"/>
    </row>
    <row r="888">
      <c r="C888" s="71"/>
      <c r="D888" s="71"/>
      <c r="E888" s="71"/>
      <c r="F888" s="73"/>
      <c r="G888" s="73"/>
      <c r="H888" s="73"/>
      <c r="I888" s="73"/>
      <c r="J888" s="74"/>
      <c r="K888" s="74"/>
    </row>
    <row r="889">
      <c r="C889" s="71"/>
      <c r="D889" s="71"/>
      <c r="E889" s="71"/>
      <c r="F889" s="73"/>
      <c r="G889" s="73"/>
      <c r="H889" s="73"/>
      <c r="I889" s="73"/>
      <c r="J889" s="74"/>
      <c r="K889" s="74"/>
    </row>
    <row r="890">
      <c r="C890" s="71"/>
      <c r="D890" s="71"/>
      <c r="E890" s="71"/>
      <c r="F890" s="73"/>
      <c r="G890" s="73"/>
      <c r="H890" s="73"/>
      <c r="I890" s="73"/>
      <c r="J890" s="74"/>
      <c r="K890" s="74"/>
    </row>
    <row r="891">
      <c r="C891" s="71"/>
      <c r="D891" s="71"/>
      <c r="E891" s="71"/>
      <c r="F891" s="73"/>
      <c r="G891" s="73"/>
      <c r="H891" s="73"/>
      <c r="I891" s="73"/>
      <c r="J891" s="74"/>
      <c r="K891" s="74"/>
    </row>
    <row r="892">
      <c r="C892" s="71"/>
      <c r="D892" s="71"/>
      <c r="E892" s="71"/>
      <c r="F892" s="73"/>
      <c r="G892" s="73"/>
      <c r="H892" s="73"/>
      <c r="I892" s="73"/>
      <c r="J892" s="74"/>
      <c r="K892" s="74"/>
    </row>
    <row r="893">
      <c r="C893" s="71"/>
      <c r="D893" s="71"/>
      <c r="E893" s="71"/>
      <c r="F893" s="73"/>
      <c r="G893" s="73"/>
      <c r="H893" s="73"/>
      <c r="I893" s="73"/>
      <c r="J893" s="74"/>
      <c r="K893" s="74"/>
    </row>
    <row r="894">
      <c r="C894" s="71"/>
      <c r="D894" s="71"/>
      <c r="E894" s="71"/>
      <c r="F894" s="73"/>
      <c r="G894" s="73"/>
      <c r="H894" s="73"/>
      <c r="I894" s="73"/>
      <c r="J894" s="74"/>
      <c r="K894" s="74"/>
    </row>
    <row r="895">
      <c r="C895" s="71"/>
      <c r="D895" s="71"/>
      <c r="E895" s="71"/>
      <c r="F895" s="73"/>
      <c r="G895" s="73"/>
      <c r="H895" s="73"/>
      <c r="I895" s="73"/>
      <c r="J895" s="74"/>
      <c r="K895" s="74"/>
    </row>
    <row r="896">
      <c r="C896" s="71"/>
      <c r="D896" s="71"/>
      <c r="E896" s="71"/>
      <c r="F896" s="73"/>
      <c r="G896" s="73"/>
      <c r="H896" s="73"/>
      <c r="I896" s="73"/>
      <c r="J896" s="74"/>
      <c r="K896" s="74"/>
    </row>
    <row r="897">
      <c r="C897" s="71"/>
      <c r="D897" s="71"/>
      <c r="E897" s="71"/>
      <c r="F897" s="73"/>
      <c r="G897" s="73"/>
      <c r="H897" s="73"/>
      <c r="I897" s="73"/>
      <c r="J897" s="74"/>
      <c r="K897" s="74"/>
    </row>
    <row r="898">
      <c r="C898" s="71"/>
      <c r="D898" s="71"/>
      <c r="E898" s="71"/>
      <c r="F898" s="73"/>
      <c r="G898" s="73"/>
      <c r="H898" s="73"/>
      <c r="I898" s="73"/>
      <c r="J898" s="74"/>
      <c r="K898" s="74"/>
    </row>
    <row r="899">
      <c r="C899" s="71"/>
      <c r="D899" s="71"/>
      <c r="E899" s="71"/>
      <c r="F899" s="73"/>
      <c r="G899" s="73"/>
      <c r="H899" s="73"/>
      <c r="I899" s="73"/>
      <c r="J899" s="74"/>
      <c r="K899" s="74"/>
    </row>
    <row r="900">
      <c r="C900" s="71"/>
      <c r="D900" s="71"/>
      <c r="E900" s="71"/>
      <c r="F900" s="73"/>
      <c r="G900" s="73"/>
      <c r="H900" s="73"/>
      <c r="I900" s="73"/>
      <c r="J900" s="74"/>
      <c r="K900" s="74"/>
    </row>
    <row r="901">
      <c r="C901" s="71"/>
      <c r="D901" s="71"/>
      <c r="E901" s="71"/>
      <c r="F901" s="73"/>
      <c r="G901" s="73"/>
      <c r="H901" s="73"/>
      <c r="I901" s="73"/>
      <c r="J901" s="74"/>
      <c r="K901" s="74"/>
    </row>
    <row r="902">
      <c r="C902" s="71"/>
      <c r="D902" s="71"/>
      <c r="E902" s="71"/>
      <c r="F902" s="73"/>
      <c r="G902" s="73"/>
      <c r="H902" s="73"/>
      <c r="I902" s="73"/>
      <c r="J902" s="74"/>
      <c r="K902" s="74"/>
    </row>
    <row r="903">
      <c r="C903" s="71"/>
      <c r="D903" s="71"/>
      <c r="E903" s="71"/>
      <c r="F903" s="73"/>
      <c r="G903" s="73"/>
      <c r="H903" s="73"/>
      <c r="I903" s="73"/>
      <c r="J903" s="74"/>
      <c r="K903" s="74"/>
    </row>
    <row r="904">
      <c r="C904" s="71"/>
      <c r="D904" s="71"/>
      <c r="E904" s="71"/>
      <c r="F904" s="73"/>
      <c r="G904" s="73"/>
      <c r="H904" s="73"/>
      <c r="I904" s="73"/>
      <c r="J904" s="74"/>
      <c r="K904" s="74"/>
    </row>
    <row r="905">
      <c r="C905" s="71"/>
      <c r="D905" s="71"/>
      <c r="E905" s="71"/>
      <c r="F905" s="73"/>
      <c r="G905" s="73"/>
      <c r="H905" s="73"/>
      <c r="I905" s="73"/>
      <c r="J905" s="74"/>
      <c r="K905" s="74"/>
    </row>
    <row r="906">
      <c r="C906" s="71"/>
      <c r="D906" s="71"/>
      <c r="E906" s="71"/>
      <c r="F906" s="73"/>
      <c r="G906" s="73"/>
      <c r="H906" s="73"/>
      <c r="I906" s="73"/>
      <c r="J906" s="74"/>
      <c r="K906" s="74"/>
    </row>
    <row r="907">
      <c r="C907" s="71"/>
      <c r="D907" s="71"/>
      <c r="E907" s="71"/>
      <c r="F907" s="73"/>
      <c r="G907" s="73"/>
      <c r="H907" s="73"/>
      <c r="I907" s="73"/>
      <c r="J907" s="74"/>
      <c r="K907" s="74"/>
    </row>
    <row r="908">
      <c r="C908" s="71"/>
      <c r="D908" s="71"/>
      <c r="E908" s="71"/>
      <c r="F908" s="73"/>
      <c r="G908" s="73"/>
      <c r="H908" s="73"/>
      <c r="I908" s="73"/>
      <c r="J908" s="74"/>
      <c r="K908" s="74"/>
    </row>
    <row r="909">
      <c r="C909" s="71"/>
      <c r="D909" s="71"/>
      <c r="E909" s="71"/>
      <c r="F909" s="73"/>
      <c r="G909" s="73"/>
      <c r="H909" s="73"/>
      <c r="I909" s="73"/>
      <c r="J909" s="74"/>
      <c r="K909" s="74"/>
    </row>
    <row r="910">
      <c r="C910" s="71"/>
      <c r="D910" s="71"/>
      <c r="E910" s="71"/>
      <c r="F910" s="73"/>
      <c r="G910" s="73"/>
      <c r="H910" s="73"/>
      <c r="I910" s="73"/>
      <c r="J910" s="74"/>
      <c r="K910" s="74"/>
    </row>
    <row r="911">
      <c r="C911" s="71"/>
      <c r="D911" s="71"/>
      <c r="E911" s="71"/>
      <c r="F911" s="73"/>
      <c r="G911" s="73"/>
      <c r="H911" s="73"/>
      <c r="I911" s="73"/>
      <c r="J911" s="74"/>
      <c r="K911" s="74"/>
    </row>
    <row r="912">
      <c r="C912" s="71"/>
      <c r="D912" s="71"/>
      <c r="E912" s="71"/>
      <c r="F912" s="73"/>
      <c r="G912" s="73"/>
      <c r="H912" s="73"/>
      <c r="I912" s="73"/>
      <c r="J912" s="74"/>
      <c r="K912" s="74"/>
    </row>
    <row r="913">
      <c r="C913" s="71"/>
      <c r="D913" s="71"/>
      <c r="E913" s="71"/>
      <c r="F913" s="73"/>
      <c r="G913" s="73"/>
      <c r="H913" s="73"/>
      <c r="I913" s="73"/>
      <c r="J913" s="74"/>
      <c r="K913" s="74"/>
    </row>
    <row r="914">
      <c r="C914" s="71"/>
      <c r="D914" s="71"/>
      <c r="E914" s="71"/>
      <c r="F914" s="73"/>
      <c r="G914" s="73"/>
      <c r="H914" s="73"/>
      <c r="I914" s="73"/>
      <c r="J914" s="74"/>
      <c r="K914" s="74"/>
    </row>
    <row r="915">
      <c r="C915" s="71"/>
      <c r="D915" s="71"/>
      <c r="E915" s="71"/>
      <c r="F915" s="73"/>
      <c r="G915" s="73"/>
      <c r="H915" s="73"/>
      <c r="I915" s="73"/>
      <c r="J915" s="74"/>
      <c r="K915" s="74"/>
    </row>
    <row r="916">
      <c r="C916" s="71"/>
      <c r="D916" s="71"/>
      <c r="E916" s="71"/>
      <c r="F916" s="73"/>
      <c r="G916" s="73"/>
      <c r="H916" s="73"/>
      <c r="I916" s="73"/>
      <c r="J916" s="74"/>
      <c r="K916" s="74"/>
    </row>
    <row r="917">
      <c r="C917" s="71"/>
      <c r="D917" s="71"/>
      <c r="E917" s="71"/>
      <c r="F917" s="73"/>
      <c r="G917" s="73"/>
      <c r="H917" s="73"/>
      <c r="I917" s="73"/>
      <c r="J917" s="74"/>
      <c r="K917" s="74"/>
    </row>
    <row r="918">
      <c r="C918" s="71"/>
      <c r="D918" s="71"/>
      <c r="E918" s="71"/>
      <c r="F918" s="73"/>
      <c r="G918" s="73"/>
      <c r="H918" s="73"/>
      <c r="I918" s="73"/>
      <c r="J918" s="74"/>
      <c r="K918" s="74"/>
    </row>
    <row r="919">
      <c r="C919" s="71"/>
      <c r="D919" s="71"/>
      <c r="E919" s="71"/>
      <c r="F919" s="73"/>
      <c r="G919" s="73"/>
      <c r="H919" s="73"/>
      <c r="I919" s="73"/>
      <c r="J919" s="74"/>
      <c r="K919" s="74"/>
    </row>
    <row r="920">
      <c r="C920" s="71"/>
      <c r="D920" s="71"/>
      <c r="E920" s="71"/>
      <c r="F920" s="73"/>
      <c r="G920" s="73"/>
      <c r="H920" s="73"/>
      <c r="I920" s="73"/>
      <c r="J920" s="74"/>
      <c r="K920" s="74"/>
    </row>
    <row r="921">
      <c r="C921" s="71"/>
      <c r="D921" s="71"/>
      <c r="E921" s="71"/>
      <c r="F921" s="73"/>
      <c r="G921" s="73"/>
      <c r="H921" s="73"/>
      <c r="I921" s="73"/>
      <c r="J921" s="74"/>
      <c r="K921" s="74"/>
    </row>
    <row r="922">
      <c r="C922" s="71"/>
      <c r="D922" s="71"/>
      <c r="E922" s="71"/>
      <c r="F922" s="73"/>
      <c r="G922" s="73"/>
      <c r="H922" s="73"/>
      <c r="I922" s="73"/>
      <c r="J922" s="74"/>
      <c r="K922" s="74"/>
    </row>
    <row r="923">
      <c r="C923" s="71"/>
      <c r="D923" s="71"/>
      <c r="E923" s="71"/>
      <c r="F923" s="73"/>
      <c r="G923" s="73"/>
      <c r="H923" s="73"/>
      <c r="I923" s="73"/>
      <c r="J923" s="74"/>
      <c r="K923" s="74"/>
    </row>
    <row r="924">
      <c r="C924" s="71"/>
      <c r="D924" s="71"/>
      <c r="E924" s="71"/>
      <c r="F924" s="73"/>
      <c r="G924" s="73"/>
      <c r="H924" s="73"/>
      <c r="I924" s="73"/>
      <c r="J924" s="74"/>
      <c r="K924" s="74"/>
    </row>
    <row r="925">
      <c r="C925" s="71"/>
      <c r="D925" s="71"/>
      <c r="E925" s="71"/>
      <c r="F925" s="73"/>
      <c r="G925" s="73"/>
      <c r="H925" s="73"/>
      <c r="I925" s="73"/>
      <c r="J925" s="74"/>
      <c r="K925" s="74"/>
    </row>
    <row r="926">
      <c r="C926" s="71"/>
      <c r="D926" s="71"/>
      <c r="E926" s="71"/>
      <c r="F926" s="73"/>
      <c r="G926" s="73"/>
      <c r="H926" s="73"/>
      <c r="I926" s="73"/>
      <c r="J926" s="74"/>
      <c r="K926" s="74"/>
    </row>
    <row r="927">
      <c r="C927" s="71"/>
      <c r="D927" s="71"/>
      <c r="E927" s="71"/>
      <c r="F927" s="73"/>
      <c r="G927" s="73"/>
      <c r="H927" s="73"/>
      <c r="I927" s="73"/>
      <c r="J927" s="74"/>
      <c r="K927" s="74"/>
    </row>
    <row r="928">
      <c r="C928" s="71"/>
      <c r="D928" s="71"/>
      <c r="E928" s="71"/>
      <c r="F928" s="73"/>
      <c r="G928" s="73"/>
      <c r="H928" s="73"/>
      <c r="I928" s="73"/>
      <c r="J928" s="74"/>
      <c r="K928" s="74"/>
    </row>
    <row r="929">
      <c r="C929" s="71"/>
      <c r="D929" s="71"/>
      <c r="E929" s="71"/>
      <c r="F929" s="73"/>
      <c r="G929" s="73"/>
      <c r="H929" s="73"/>
      <c r="I929" s="73"/>
      <c r="J929" s="74"/>
      <c r="K929" s="74"/>
    </row>
    <row r="930">
      <c r="C930" s="71"/>
      <c r="D930" s="71"/>
      <c r="E930" s="71"/>
      <c r="F930" s="73"/>
      <c r="G930" s="73"/>
      <c r="H930" s="73"/>
      <c r="I930" s="73"/>
      <c r="J930" s="74"/>
      <c r="K930" s="74"/>
    </row>
    <row r="931">
      <c r="C931" s="71"/>
      <c r="D931" s="71"/>
      <c r="E931" s="71"/>
      <c r="F931" s="73"/>
      <c r="G931" s="73"/>
      <c r="H931" s="73"/>
      <c r="I931" s="73"/>
      <c r="J931" s="74"/>
      <c r="K931" s="74"/>
    </row>
    <row r="932">
      <c r="C932" s="71"/>
      <c r="D932" s="71"/>
      <c r="E932" s="71"/>
      <c r="F932" s="73"/>
      <c r="G932" s="73"/>
      <c r="H932" s="73"/>
      <c r="I932" s="73"/>
      <c r="J932" s="74"/>
      <c r="K932" s="74"/>
    </row>
    <row r="933">
      <c r="C933" s="71"/>
      <c r="D933" s="71"/>
      <c r="E933" s="71"/>
      <c r="F933" s="73"/>
      <c r="G933" s="73"/>
      <c r="H933" s="73"/>
      <c r="I933" s="73"/>
      <c r="J933" s="74"/>
      <c r="K933" s="74"/>
    </row>
    <row r="934">
      <c r="C934" s="71"/>
      <c r="D934" s="71"/>
      <c r="E934" s="71"/>
      <c r="F934" s="73"/>
      <c r="G934" s="73"/>
      <c r="H934" s="73"/>
      <c r="I934" s="73"/>
      <c r="J934" s="74"/>
      <c r="K934" s="74"/>
    </row>
    <row r="935">
      <c r="C935" s="71"/>
      <c r="D935" s="71"/>
      <c r="E935" s="71"/>
      <c r="F935" s="73"/>
      <c r="G935" s="73"/>
      <c r="H935" s="73"/>
      <c r="I935" s="73"/>
      <c r="J935" s="74"/>
      <c r="K935" s="74"/>
    </row>
    <row r="936">
      <c r="C936" s="71"/>
      <c r="D936" s="71"/>
      <c r="E936" s="71"/>
      <c r="F936" s="73"/>
      <c r="G936" s="73"/>
      <c r="H936" s="73"/>
      <c r="I936" s="73"/>
      <c r="J936" s="74"/>
      <c r="K936" s="74"/>
    </row>
    <row r="937">
      <c r="C937" s="71"/>
      <c r="D937" s="71"/>
      <c r="E937" s="71"/>
      <c r="F937" s="73"/>
      <c r="G937" s="73"/>
      <c r="H937" s="73"/>
      <c r="I937" s="73"/>
      <c r="J937" s="74"/>
      <c r="K937" s="74"/>
    </row>
    <row r="938">
      <c r="C938" s="71"/>
      <c r="D938" s="71"/>
      <c r="E938" s="71"/>
      <c r="F938" s="73"/>
      <c r="G938" s="73"/>
      <c r="H938" s="73"/>
      <c r="I938" s="73"/>
      <c r="J938" s="74"/>
      <c r="K938" s="74"/>
    </row>
    <row r="939">
      <c r="C939" s="71"/>
      <c r="D939" s="71"/>
      <c r="E939" s="71"/>
      <c r="F939" s="73"/>
      <c r="G939" s="73"/>
      <c r="H939" s="73"/>
      <c r="I939" s="73"/>
      <c r="J939" s="74"/>
      <c r="K939" s="74"/>
    </row>
    <row r="940">
      <c r="C940" s="71"/>
      <c r="D940" s="71"/>
      <c r="E940" s="71"/>
      <c r="F940" s="73"/>
      <c r="G940" s="73"/>
      <c r="H940" s="73"/>
      <c r="I940" s="73"/>
      <c r="J940" s="74"/>
      <c r="K940" s="74"/>
    </row>
    <row r="941">
      <c r="C941" s="71"/>
      <c r="D941" s="71"/>
      <c r="E941" s="71"/>
      <c r="F941" s="73"/>
      <c r="G941" s="73"/>
      <c r="H941" s="73"/>
      <c r="I941" s="73"/>
      <c r="J941" s="74"/>
      <c r="K941" s="74"/>
    </row>
    <row r="942">
      <c r="C942" s="71"/>
      <c r="D942" s="71"/>
      <c r="E942" s="71"/>
      <c r="F942" s="73"/>
      <c r="G942" s="73"/>
      <c r="H942" s="73"/>
      <c r="I942" s="73"/>
      <c r="J942" s="74"/>
      <c r="K942" s="74"/>
    </row>
    <row r="943">
      <c r="C943" s="71"/>
      <c r="D943" s="71"/>
      <c r="E943" s="71"/>
      <c r="F943" s="73"/>
      <c r="G943" s="73"/>
      <c r="H943" s="73"/>
      <c r="I943" s="73"/>
      <c r="J943" s="74"/>
      <c r="K943" s="74"/>
    </row>
    <row r="944">
      <c r="C944" s="71"/>
      <c r="D944" s="71"/>
      <c r="E944" s="71"/>
      <c r="F944" s="73"/>
      <c r="G944" s="73"/>
      <c r="H944" s="73"/>
      <c r="I944" s="73"/>
      <c r="J944" s="74"/>
      <c r="K944" s="74"/>
    </row>
    <row r="945">
      <c r="C945" s="71"/>
      <c r="D945" s="71"/>
      <c r="E945" s="71"/>
      <c r="F945" s="73"/>
      <c r="G945" s="73"/>
      <c r="H945" s="73"/>
      <c r="I945" s="73"/>
      <c r="J945" s="74"/>
      <c r="K945" s="74"/>
    </row>
    <row r="946">
      <c r="C946" s="71"/>
      <c r="D946" s="71"/>
      <c r="E946" s="71"/>
      <c r="F946" s="73"/>
      <c r="G946" s="73"/>
      <c r="H946" s="73"/>
      <c r="I946" s="73"/>
      <c r="J946" s="74"/>
      <c r="K946" s="74"/>
    </row>
    <row r="947">
      <c r="C947" s="71"/>
      <c r="D947" s="71"/>
      <c r="E947" s="71"/>
      <c r="F947" s="73"/>
      <c r="G947" s="73"/>
      <c r="H947" s="73"/>
      <c r="I947" s="73"/>
      <c r="J947" s="74"/>
      <c r="K947" s="74"/>
    </row>
    <row r="948">
      <c r="C948" s="71"/>
      <c r="D948" s="71"/>
      <c r="E948" s="71"/>
      <c r="F948" s="73"/>
      <c r="G948" s="73"/>
      <c r="H948" s="73"/>
      <c r="I948" s="73"/>
      <c r="J948" s="74"/>
      <c r="K948" s="74"/>
    </row>
    <row r="949">
      <c r="C949" s="71"/>
      <c r="D949" s="71"/>
      <c r="E949" s="71"/>
      <c r="F949" s="73"/>
      <c r="G949" s="73"/>
      <c r="H949" s="73"/>
      <c r="I949" s="73"/>
      <c r="J949" s="74"/>
      <c r="K949" s="74"/>
    </row>
    <row r="950">
      <c r="C950" s="71"/>
      <c r="D950" s="71"/>
      <c r="E950" s="71"/>
      <c r="F950" s="73"/>
      <c r="G950" s="73"/>
      <c r="H950" s="73"/>
      <c r="I950" s="73"/>
      <c r="J950" s="74"/>
      <c r="K950" s="74"/>
    </row>
    <row r="951">
      <c r="C951" s="71"/>
      <c r="D951" s="71"/>
      <c r="E951" s="71"/>
      <c r="F951" s="73"/>
      <c r="G951" s="73"/>
      <c r="H951" s="73"/>
      <c r="I951" s="73"/>
      <c r="J951" s="74"/>
      <c r="K951" s="74"/>
    </row>
    <row r="952">
      <c r="C952" s="71"/>
      <c r="D952" s="71"/>
      <c r="E952" s="71"/>
      <c r="F952" s="73"/>
      <c r="G952" s="73"/>
      <c r="H952" s="73"/>
      <c r="I952" s="73"/>
      <c r="J952" s="74"/>
      <c r="K952" s="74"/>
    </row>
    <row r="953">
      <c r="C953" s="71"/>
      <c r="D953" s="71"/>
      <c r="E953" s="71"/>
      <c r="F953" s="73"/>
      <c r="G953" s="73"/>
      <c r="H953" s="73"/>
      <c r="I953" s="73"/>
      <c r="J953" s="74"/>
      <c r="K953" s="74"/>
    </row>
    <row r="954">
      <c r="C954" s="71"/>
      <c r="D954" s="71"/>
      <c r="E954" s="71"/>
      <c r="F954" s="73"/>
      <c r="G954" s="73"/>
      <c r="H954" s="73"/>
      <c r="I954" s="73"/>
      <c r="J954" s="74"/>
      <c r="K954" s="74"/>
    </row>
    <row r="955">
      <c r="C955" s="71"/>
      <c r="D955" s="71"/>
      <c r="E955" s="71"/>
      <c r="F955" s="73"/>
      <c r="G955" s="73"/>
      <c r="H955" s="73"/>
      <c r="I955" s="73"/>
      <c r="J955" s="74"/>
      <c r="K955" s="74"/>
    </row>
    <row r="956">
      <c r="C956" s="71"/>
      <c r="D956" s="71"/>
      <c r="E956" s="71"/>
      <c r="F956" s="73"/>
      <c r="G956" s="73"/>
      <c r="H956" s="73"/>
      <c r="I956" s="73"/>
      <c r="J956" s="74"/>
      <c r="K956" s="74"/>
    </row>
    <row r="957">
      <c r="C957" s="71"/>
      <c r="D957" s="71"/>
      <c r="E957" s="71"/>
      <c r="F957" s="73"/>
      <c r="G957" s="73"/>
      <c r="H957" s="73"/>
      <c r="I957" s="73"/>
      <c r="J957" s="74"/>
      <c r="K957" s="74"/>
    </row>
    <row r="958">
      <c r="C958" s="71"/>
      <c r="D958" s="71"/>
      <c r="E958" s="71"/>
      <c r="F958" s="73"/>
      <c r="G958" s="73"/>
      <c r="H958" s="73"/>
      <c r="I958" s="73"/>
      <c r="J958" s="74"/>
      <c r="K958" s="74"/>
    </row>
    <row r="959">
      <c r="C959" s="71"/>
      <c r="D959" s="71"/>
      <c r="E959" s="71"/>
      <c r="F959" s="73"/>
      <c r="G959" s="73"/>
      <c r="H959" s="73"/>
      <c r="I959" s="73"/>
      <c r="J959" s="74"/>
      <c r="K959" s="74"/>
    </row>
    <row r="960">
      <c r="C960" s="71"/>
      <c r="D960" s="71"/>
      <c r="E960" s="71"/>
      <c r="F960" s="73"/>
      <c r="G960" s="73"/>
      <c r="H960" s="73"/>
      <c r="I960" s="73"/>
      <c r="J960" s="74"/>
      <c r="K960" s="74"/>
    </row>
    <row r="961">
      <c r="C961" s="71"/>
      <c r="D961" s="71"/>
      <c r="E961" s="71"/>
      <c r="F961" s="73"/>
      <c r="G961" s="73"/>
      <c r="H961" s="73"/>
      <c r="I961" s="73"/>
      <c r="J961" s="74"/>
      <c r="K961" s="74"/>
    </row>
    <row r="962">
      <c r="C962" s="71"/>
      <c r="D962" s="71"/>
      <c r="E962" s="71"/>
      <c r="F962" s="73"/>
      <c r="G962" s="73"/>
      <c r="H962" s="73"/>
      <c r="I962" s="73"/>
      <c r="J962" s="74"/>
      <c r="K962" s="74"/>
    </row>
    <row r="963">
      <c r="C963" s="71"/>
      <c r="D963" s="71"/>
      <c r="E963" s="71"/>
      <c r="F963" s="73"/>
      <c r="G963" s="73"/>
      <c r="H963" s="73"/>
      <c r="I963" s="73"/>
      <c r="J963" s="74"/>
      <c r="K963" s="74"/>
    </row>
    <row r="964">
      <c r="C964" s="71"/>
      <c r="D964" s="71"/>
      <c r="E964" s="71"/>
      <c r="F964" s="73"/>
      <c r="G964" s="73"/>
      <c r="H964" s="73"/>
      <c r="I964" s="73"/>
      <c r="J964" s="74"/>
      <c r="K964" s="74"/>
    </row>
    <row r="965">
      <c r="C965" s="71"/>
      <c r="D965" s="71"/>
      <c r="E965" s="71"/>
      <c r="F965" s="73"/>
      <c r="G965" s="73"/>
      <c r="H965" s="73"/>
      <c r="I965" s="73"/>
      <c r="J965" s="74"/>
      <c r="K965" s="74"/>
    </row>
    <row r="966">
      <c r="C966" s="71"/>
      <c r="D966" s="71"/>
      <c r="E966" s="71"/>
      <c r="F966" s="73"/>
      <c r="G966" s="73"/>
      <c r="H966" s="73"/>
      <c r="I966" s="73"/>
      <c r="J966" s="74"/>
      <c r="K966" s="74"/>
    </row>
    <row r="967">
      <c r="C967" s="71"/>
      <c r="D967" s="71"/>
      <c r="E967" s="71"/>
      <c r="F967" s="73"/>
      <c r="G967" s="73"/>
      <c r="H967" s="73"/>
      <c r="I967" s="73"/>
      <c r="J967" s="74"/>
      <c r="K967" s="74"/>
    </row>
    <row r="968">
      <c r="C968" s="71"/>
      <c r="D968" s="71"/>
      <c r="E968" s="71"/>
      <c r="F968" s="73"/>
      <c r="G968" s="73"/>
      <c r="H968" s="73"/>
      <c r="I968" s="73"/>
      <c r="J968" s="74"/>
      <c r="K968" s="74"/>
    </row>
    <row r="969">
      <c r="C969" s="71"/>
      <c r="D969" s="71"/>
      <c r="E969" s="71"/>
      <c r="F969" s="73"/>
      <c r="G969" s="73"/>
      <c r="H969" s="73"/>
      <c r="I969" s="73"/>
      <c r="J969" s="74"/>
      <c r="K969" s="74"/>
    </row>
    <row r="970">
      <c r="C970" s="71"/>
      <c r="D970" s="71"/>
      <c r="E970" s="71"/>
      <c r="F970" s="73"/>
      <c r="G970" s="73"/>
      <c r="H970" s="73"/>
      <c r="I970" s="73"/>
      <c r="J970" s="74"/>
      <c r="K970" s="74"/>
    </row>
    <row r="971">
      <c r="C971" s="71"/>
      <c r="D971" s="71"/>
      <c r="E971" s="71"/>
      <c r="F971" s="73"/>
      <c r="G971" s="73"/>
      <c r="H971" s="73"/>
      <c r="I971" s="73"/>
      <c r="J971" s="74"/>
      <c r="K971" s="74"/>
    </row>
    <row r="972">
      <c r="C972" s="71"/>
      <c r="D972" s="71"/>
      <c r="E972" s="71"/>
      <c r="F972" s="73"/>
      <c r="G972" s="73"/>
      <c r="H972" s="73"/>
      <c r="I972" s="73"/>
      <c r="J972" s="74"/>
      <c r="K972" s="74"/>
    </row>
    <row r="973">
      <c r="C973" s="71"/>
      <c r="D973" s="71"/>
      <c r="E973" s="71"/>
      <c r="F973" s="73"/>
      <c r="G973" s="73"/>
      <c r="H973" s="73"/>
      <c r="I973" s="73"/>
      <c r="J973" s="74"/>
      <c r="K973" s="74"/>
    </row>
    <row r="974">
      <c r="C974" s="71"/>
      <c r="D974" s="71"/>
      <c r="E974" s="71"/>
      <c r="F974" s="73"/>
      <c r="G974" s="73"/>
      <c r="H974" s="73"/>
      <c r="I974" s="73"/>
      <c r="J974" s="74"/>
      <c r="K974" s="74"/>
    </row>
    <row r="975">
      <c r="C975" s="71"/>
      <c r="D975" s="71"/>
      <c r="E975" s="71"/>
      <c r="F975" s="73"/>
      <c r="G975" s="73"/>
      <c r="H975" s="73"/>
      <c r="I975" s="73"/>
      <c r="J975" s="74"/>
      <c r="K975" s="74"/>
    </row>
    <row r="976">
      <c r="C976" s="71"/>
      <c r="D976" s="71"/>
      <c r="E976" s="71"/>
      <c r="F976" s="73"/>
      <c r="G976" s="73"/>
      <c r="H976" s="73"/>
      <c r="I976" s="73"/>
      <c r="J976" s="74"/>
      <c r="K976" s="74"/>
    </row>
    <row r="977">
      <c r="C977" s="71"/>
      <c r="D977" s="71"/>
      <c r="E977" s="71"/>
      <c r="F977" s="73"/>
      <c r="G977" s="73"/>
      <c r="H977" s="73"/>
      <c r="I977" s="73"/>
      <c r="J977" s="74"/>
      <c r="K977" s="74"/>
    </row>
    <row r="978">
      <c r="C978" s="71"/>
      <c r="D978" s="71"/>
      <c r="E978" s="71"/>
      <c r="F978" s="73"/>
      <c r="G978" s="73"/>
      <c r="H978" s="73"/>
      <c r="I978" s="73"/>
      <c r="J978" s="74"/>
      <c r="K978" s="74"/>
    </row>
    <row r="979">
      <c r="C979" s="71"/>
      <c r="D979" s="71"/>
      <c r="E979" s="71"/>
      <c r="F979" s="73"/>
      <c r="G979" s="73"/>
      <c r="H979" s="73"/>
      <c r="I979" s="73"/>
      <c r="J979" s="74"/>
      <c r="K979" s="74"/>
    </row>
    <row r="980">
      <c r="C980" s="71"/>
      <c r="D980" s="71"/>
      <c r="E980" s="71"/>
      <c r="F980" s="73"/>
      <c r="G980" s="73"/>
      <c r="H980" s="73"/>
      <c r="I980" s="73"/>
      <c r="J980" s="74"/>
      <c r="K980" s="74"/>
    </row>
    <row r="981">
      <c r="C981" s="71"/>
      <c r="D981" s="71"/>
      <c r="E981" s="71"/>
      <c r="F981" s="73"/>
      <c r="G981" s="73"/>
      <c r="H981" s="73"/>
      <c r="I981" s="73"/>
      <c r="J981" s="74"/>
      <c r="K981" s="74"/>
    </row>
    <row r="982">
      <c r="C982" s="71"/>
      <c r="D982" s="71"/>
      <c r="E982" s="71"/>
      <c r="F982" s="73"/>
      <c r="G982" s="73"/>
      <c r="H982" s="73"/>
      <c r="I982" s="73"/>
      <c r="J982" s="74"/>
      <c r="K982" s="74"/>
    </row>
    <row r="983">
      <c r="C983" s="71"/>
      <c r="D983" s="71"/>
      <c r="E983" s="71"/>
      <c r="F983" s="73"/>
      <c r="G983" s="73"/>
      <c r="H983" s="73"/>
      <c r="I983" s="73"/>
      <c r="J983" s="74"/>
      <c r="K983" s="74"/>
    </row>
    <row r="984">
      <c r="C984" s="71"/>
      <c r="D984" s="71"/>
      <c r="E984" s="71"/>
      <c r="F984" s="73"/>
      <c r="G984" s="73"/>
      <c r="H984" s="73"/>
      <c r="I984" s="73"/>
      <c r="J984" s="74"/>
      <c r="K984" s="74"/>
    </row>
    <row r="985">
      <c r="C985" s="71"/>
      <c r="D985" s="71"/>
      <c r="E985" s="71"/>
      <c r="F985" s="73"/>
      <c r="G985" s="73"/>
      <c r="H985" s="73"/>
      <c r="I985" s="73"/>
      <c r="J985" s="74"/>
      <c r="K985" s="74"/>
    </row>
    <row r="986">
      <c r="C986" s="71"/>
      <c r="D986" s="71"/>
      <c r="E986" s="71"/>
      <c r="F986" s="73"/>
      <c r="G986" s="73"/>
      <c r="H986" s="73"/>
      <c r="I986" s="73"/>
      <c r="J986" s="74"/>
      <c r="K986" s="74"/>
    </row>
    <row r="987">
      <c r="C987" s="71"/>
      <c r="D987" s="71"/>
      <c r="E987" s="71"/>
      <c r="F987" s="73"/>
      <c r="G987" s="73"/>
      <c r="H987" s="73"/>
      <c r="I987" s="73"/>
      <c r="J987" s="74"/>
      <c r="K987" s="74"/>
    </row>
    <row r="988">
      <c r="C988" s="71"/>
      <c r="D988" s="71"/>
      <c r="E988" s="71"/>
      <c r="F988" s="73"/>
      <c r="G988" s="73"/>
      <c r="H988" s="73"/>
      <c r="I988" s="73"/>
      <c r="J988" s="74"/>
      <c r="K988" s="74"/>
    </row>
    <row r="989">
      <c r="C989" s="71"/>
      <c r="D989" s="71"/>
      <c r="E989" s="71"/>
      <c r="F989" s="73"/>
      <c r="G989" s="73"/>
      <c r="H989" s="73"/>
      <c r="I989" s="73"/>
      <c r="J989" s="74"/>
      <c r="K989" s="74"/>
    </row>
    <row r="990">
      <c r="C990" s="71"/>
      <c r="D990" s="71"/>
      <c r="E990" s="71"/>
      <c r="F990" s="73"/>
      <c r="G990" s="73"/>
      <c r="H990" s="73"/>
      <c r="I990" s="73"/>
      <c r="J990" s="74"/>
      <c r="K990" s="74"/>
    </row>
    <row r="991">
      <c r="C991" s="71"/>
      <c r="D991" s="71"/>
      <c r="E991" s="71"/>
      <c r="F991" s="73"/>
      <c r="G991" s="73"/>
      <c r="H991" s="73"/>
      <c r="I991" s="73"/>
      <c r="J991" s="74"/>
      <c r="K991" s="74"/>
    </row>
    <row r="992">
      <c r="C992" s="71"/>
      <c r="D992" s="71"/>
      <c r="E992" s="71"/>
      <c r="F992" s="73"/>
      <c r="G992" s="73"/>
      <c r="H992" s="73"/>
      <c r="I992" s="73"/>
      <c r="J992" s="74"/>
      <c r="K992" s="74"/>
    </row>
    <row r="993">
      <c r="C993" s="71"/>
      <c r="D993" s="71"/>
      <c r="E993" s="71"/>
      <c r="F993" s="73"/>
      <c r="G993" s="73"/>
      <c r="H993" s="73"/>
      <c r="I993" s="73"/>
      <c r="J993" s="74"/>
      <c r="K993" s="74"/>
    </row>
    <row r="994">
      <c r="C994" s="71"/>
      <c r="D994" s="71"/>
      <c r="E994" s="71"/>
      <c r="F994" s="73"/>
      <c r="G994" s="73"/>
      <c r="H994" s="73"/>
      <c r="I994" s="73"/>
      <c r="J994" s="74"/>
      <c r="K994" s="74"/>
    </row>
    <row r="995">
      <c r="C995" s="71"/>
      <c r="D995" s="71"/>
      <c r="E995" s="71"/>
      <c r="F995" s="73"/>
      <c r="G995" s="73"/>
      <c r="H995" s="73"/>
      <c r="I995" s="73"/>
      <c r="J995" s="74"/>
      <c r="K995" s="74"/>
    </row>
    <row r="996">
      <c r="C996" s="71"/>
      <c r="D996" s="71"/>
      <c r="E996" s="71"/>
      <c r="F996" s="73"/>
      <c r="G996" s="73"/>
      <c r="H996" s="73"/>
      <c r="I996" s="73"/>
      <c r="J996" s="74"/>
      <c r="K996" s="74"/>
    </row>
    <row r="997">
      <c r="C997" s="71"/>
      <c r="D997" s="71"/>
      <c r="E997" s="71"/>
      <c r="F997" s="73"/>
      <c r="G997" s="73"/>
      <c r="H997" s="73"/>
      <c r="I997" s="73"/>
      <c r="J997" s="74"/>
      <c r="K997" s="74"/>
    </row>
    <row r="998">
      <c r="C998" s="71"/>
      <c r="D998" s="71"/>
      <c r="E998" s="71"/>
      <c r="F998" s="73"/>
      <c r="G998" s="73"/>
      <c r="H998" s="73"/>
      <c r="I998" s="73"/>
      <c r="J998" s="74"/>
      <c r="K998" s="74"/>
    </row>
    <row r="999">
      <c r="C999" s="71"/>
      <c r="D999" s="71"/>
      <c r="E999" s="71"/>
      <c r="F999" s="73"/>
      <c r="G999" s="73"/>
      <c r="H999" s="73"/>
      <c r="I999" s="73"/>
      <c r="J999" s="74"/>
      <c r="K999" s="74"/>
    </row>
    <row r="1000">
      <c r="C1000" s="71"/>
      <c r="D1000" s="71"/>
      <c r="E1000" s="71"/>
      <c r="F1000" s="73"/>
      <c r="G1000" s="73"/>
      <c r="H1000" s="73"/>
      <c r="I1000" s="73"/>
      <c r="J1000" s="74"/>
      <c r="K1000" s="74"/>
    </row>
    <row r="1001">
      <c r="C1001" s="71"/>
      <c r="D1001" s="71"/>
      <c r="E1001" s="71"/>
      <c r="F1001" s="73"/>
      <c r="G1001" s="73"/>
      <c r="H1001" s="73"/>
      <c r="I1001" s="73"/>
      <c r="J1001" s="74"/>
      <c r="K1001" s="74"/>
    </row>
    <row r="1002">
      <c r="C1002" s="71"/>
      <c r="D1002" s="71"/>
      <c r="E1002" s="71"/>
      <c r="F1002" s="73"/>
      <c r="G1002" s="73"/>
      <c r="H1002" s="73"/>
      <c r="I1002" s="73"/>
      <c r="J1002" s="74"/>
      <c r="K1002" s="74"/>
    </row>
    <row r="1003">
      <c r="C1003" s="71"/>
      <c r="D1003" s="71"/>
      <c r="E1003" s="71"/>
      <c r="F1003" s="73"/>
      <c r="G1003" s="73"/>
      <c r="H1003" s="73"/>
      <c r="I1003" s="73"/>
      <c r="J1003" s="74"/>
      <c r="K1003" s="74"/>
    </row>
    <row r="1004">
      <c r="C1004" s="71"/>
      <c r="D1004" s="71"/>
      <c r="E1004" s="71"/>
      <c r="F1004" s="73"/>
      <c r="G1004" s="73"/>
      <c r="H1004" s="73"/>
      <c r="I1004" s="73"/>
      <c r="J1004" s="74"/>
      <c r="K1004" s="74"/>
    </row>
    <row r="1005">
      <c r="C1005" s="71"/>
      <c r="D1005" s="71"/>
      <c r="E1005" s="71"/>
      <c r="F1005" s="73"/>
      <c r="G1005" s="73"/>
      <c r="H1005" s="73"/>
      <c r="I1005" s="73"/>
      <c r="J1005" s="74"/>
      <c r="K1005" s="74"/>
    </row>
    <row r="1006">
      <c r="C1006" s="71"/>
      <c r="D1006" s="71"/>
      <c r="E1006" s="71"/>
      <c r="F1006" s="73"/>
      <c r="G1006" s="73"/>
      <c r="H1006" s="73"/>
      <c r="I1006" s="73"/>
      <c r="J1006" s="74"/>
      <c r="K1006" s="74"/>
    </row>
    <row r="1007">
      <c r="J1007" s="74"/>
      <c r="K1007" s="74"/>
    </row>
    <row r="1008">
      <c r="J1008" s="74"/>
      <c r="K1008" s="74"/>
    </row>
    <row r="1009">
      <c r="J1009" s="74"/>
      <c r="K1009" s="74"/>
    </row>
    <row r="1010">
      <c r="J1010" s="74"/>
      <c r="K1010" s="74"/>
    </row>
    <row r="1011">
      <c r="J1011" s="74"/>
      <c r="K1011" s="74"/>
    </row>
    <row r="1012">
      <c r="J1012" s="74"/>
      <c r="K1012" s="74"/>
    </row>
    <row r="1013">
      <c r="J1013" s="74"/>
      <c r="K1013" s="74"/>
    </row>
    <row r="1014">
      <c r="J1014" s="74"/>
      <c r="K1014" s="74"/>
    </row>
    <row r="1015">
      <c r="J1015" s="74"/>
      <c r="K1015" s="74"/>
    </row>
    <row r="1016">
      <c r="J1016" s="74"/>
      <c r="K1016" s="74"/>
    </row>
    <row r="1017">
      <c r="J1017" s="74"/>
      <c r="K1017" s="74"/>
    </row>
    <row r="1018">
      <c r="J1018" s="74"/>
      <c r="K1018" s="74"/>
    </row>
  </sheetData>
  <dataValidations>
    <dataValidation type="list" allowBlank="1" showErrorMessage="1" sqref="I2:I214">
      <formula1>" CREDICOOP, PROVINCIA,BBVA,EFECTIVO,EFECTIVO B,MP,PREVISION,DEB AUT. BBVA,DEB. AUT. CRED."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43.71"/>
    <col customWidth="1" min="3" max="4" width="24.71"/>
    <col customWidth="1" min="5" max="5" width="15.71"/>
    <col customWidth="1" min="6" max="9" width="15.29"/>
    <col customWidth="1" min="10" max="10" width="10.86"/>
    <col customWidth="1" min="11" max="11" width="11.29"/>
    <col customWidth="1" min="12" max="12" width="23.71"/>
    <col customWidth="1" min="13" max="13" width="33.86"/>
  </cols>
  <sheetData>
    <row r="1">
      <c r="A1" s="1" t="s">
        <v>0</v>
      </c>
      <c r="B1" s="2" t="s">
        <v>1</v>
      </c>
      <c r="C1" s="1" t="s">
        <v>2</v>
      </c>
      <c r="D1" s="2" t="s">
        <v>12</v>
      </c>
      <c r="E1" s="2" t="s">
        <v>5</v>
      </c>
      <c r="F1" s="2" t="s">
        <v>6</v>
      </c>
      <c r="G1" s="1" t="s">
        <v>7</v>
      </c>
      <c r="H1" s="2" t="s">
        <v>8</v>
      </c>
      <c r="I1" s="2" t="s">
        <v>9</v>
      </c>
      <c r="J1" s="2" t="s">
        <v>262</v>
      </c>
      <c r="K1" s="1" t="s">
        <v>11</v>
      </c>
      <c r="L1" s="4" t="s">
        <v>12</v>
      </c>
      <c r="M1" s="5" t="s">
        <v>13</v>
      </c>
    </row>
    <row r="2">
      <c r="A2" s="117" t="s">
        <v>277</v>
      </c>
      <c r="B2" s="165" t="s">
        <v>34</v>
      </c>
      <c r="C2" s="166" t="s">
        <v>365</v>
      </c>
      <c r="D2" s="166"/>
      <c r="E2" s="166">
        <v>2621100.48</v>
      </c>
      <c r="F2" s="166">
        <v>550431.1008</v>
      </c>
      <c r="G2" s="166"/>
      <c r="H2" s="167">
        <v>3171531.5808</v>
      </c>
      <c r="I2" s="166" t="s">
        <v>81</v>
      </c>
      <c r="J2" s="237">
        <v>45695.0</v>
      </c>
      <c r="K2" s="237">
        <v>45695.0</v>
      </c>
      <c r="L2" s="169"/>
      <c r="M2" s="170"/>
    </row>
    <row r="3">
      <c r="A3" s="171" t="s">
        <v>277</v>
      </c>
      <c r="B3" s="172" t="s">
        <v>39</v>
      </c>
      <c r="C3" s="173" t="s">
        <v>366</v>
      </c>
      <c r="D3" s="181"/>
      <c r="E3" s="173"/>
      <c r="F3" s="173"/>
      <c r="G3" s="173"/>
      <c r="H3" s="174">
        <v>493580.5</v>
      </c>
      <c r="I3" s="173" t="s">
        <v>81</v>
      </c>
      <c r="J3" s="238">
        <v>45702.0</v>
      </c>
      <c r="K3" s="238">
        <v>45702.0</v>
      </c>
      <c r="L3" s="176"/>
      <c r="M3" s="177"/>
    </row>
    <row r="4">
      <c r="A4" s="117" t="s">
        <v>277</v>
      </c>
      <c r="B4" s="165" t="s">
        <v>37</v>
      </c>
      <c r="C4" s="166" t="s">
        <v>367</v>
      </c>
      <c r="D4" s="166"/>
      <c r="E4" s="166">
        <v>133917.83</v>
      </c>
      <c r="F4" s="166">
        <v>36157.814099999996</v>
      </c>
      <c r="G4" s="166">
        <v>11554.48</v>
      </c>
      <c r="H4" s="167">
        <v>181630.1241</v>
      </c>
      <c r="I4" s="166" t="s">
        <v>38</v>
      </c>
      <c r="J4" s="237">
        <v>45692.0</v>
      </c>
      <c r="K4" s="237">
        <v>45692.0</v>
      </c>
      <c r="L4" s="169"/>
      <c r="M4" s="170"/>
    </row>
    <row r="5">
      <c r="A5" s="171" t="s">
        <v>277</v>
      </c>
      <c r="B5" s="172" t="s">
        <v>37</v>
      </c>
      <c r="C5" s="173" t="s">
        <v>368</v>
      </c>
      <c r="D5" s="173"/>
      <c r="E5" s="173">
        <v>11273.76</v>
      </c>
      <c r="F5" s="173">
        <v>3043.9152000000004</v>
      </c>
      <c r="G5" s="173">
        <v>46.77999999999997</v>
      </c>
      <c r="H5" s="178">
        <v>14364.455200000002</v>
      </c>
      <c r="I5" s="166" t="s">
        <v>38</v>
      </c>
      <c r="J5" s="238">
        <v>45692.0</v>
      </c>
      <c r="K5" s="238">
        <v>45692.0</v>
      </c>
      <c r="L5" s="185" t="s">
        <v>369</v>
      </c>
      <c r="M5" s="177"/>
    </row>
    <row r="6">
      <c r="A6" s="117" t="s">
        <v>277</v>
      </c>
      <c r="B6" s="165" t="s">
        <v>37</v>
      </c>
      <c r="C6" s="166"/>
      <c r="D6" s="166"/>
      <c r="E6" s="166"/>
      <c r="F6" s="166"/>
      <c r="G6" s="166"/>
      <c r="H6" s="167" t="s">
        <v>16</v>
      </c>
      <c r="I6" s="166"/>
      <c r="J6" s="237"/>
      <c r="K6" s="237"/>
      <c r="L6" s="169"/>
      <c r="M6" s="170"/>
    </row>
    <row r="7">
      <c r="A7" s="171" t="s">
        <v>277</v>
      </c>
      <c r="B7" s="172" t="s">
        <v>99</v>
      </c>
      <c r="C7" s="181"/>
      <c r="D7" s="181"/>
      <c r="E7" s="173"/>
      <c r="F7" s="173"/>
      <c r="G7" s="173"/>
      <c r="H7" s="178" t="s">
        <v>16</v>
      </c>
      <c r="I7" s="181"/>
      <c r="J7" s="238"/>
      <c r="K7" s="238"/>
      <c r="L7" s="176"/>
      <c r="M7" s="177"/>
    </row>
    <row r="8">
      <c r="A8" s="117" t="s">
        <v>277</v>
      </c>
      <c r="B8" s="165" t="s">
        <v>46</v>
      </c>
      <c r="C8" s="166" t="s">
        <v>323</v>
      </c>
      <c r="D8" s="189"/>
      <c r="E8" s="166"/>
      <c r="F8" s="166"/>
      <c r="G8" s="166"/>
      <c r="H8" s="239">
        <v>405356.99</v>
      </c>
      <c r="I8" s="166" t="s">
        <v>81</v>
      </c>
      <c r="J8" s="237">
        <v>45702.0</v>
      </c>
      <c r="K8" s="237">
        <v>45702.0</v>
      </c>
      <c r="L8" s="169"/>
      <c r="M8" s="170"/>
    </row>
    <row r="9">
      <c r="A9" s="171" t="s">
        <v>277</v>
      </c>
      <c r="B9" s="172" t="s">
        <v>31</v>
      </c>
      <c r="C9" s="173"/>
      <c r="D9" s="173"/>
      <c r="E9" s="173"/>
      <c r="F9" s="173"/>
      <c r="G9" s="173"/>
      <c r="H9" s="178" t="s">
        <v>16</v>
      </c>
      <c r="I9" s="173"/>
      <c r="J9" s="238"/>
      <c r="K9" s="238"/>
      <c r="L9" s="179"/>
      <c r="M9" s="177"/>
    </row>
    <row r="10">
      <c r="A10" s="117" t="s">
        <v>277</v>
      </c>
      <c r="B10" s="165" t="s">
        <v>268</v>
      </c>
      <c r="C10" s="189"/>
      <c r="D10" s="189"/>
      <c r="E10" s="166"/>
      <c r="F10" s="166"/>
      <c r="G10" s="166"/>
      <c r="H10" s="167" t="s">
        <v>16</v>
      </c>
      <c r="I10" s="189"/>
      <c r="J10" s="237"/>
      <c r="K10" s="237"/>
      <c r="L10" s="169"/>
      <c r="M10" s="170"/>
    </row>
    <row r="11">
      <c r="A11" s="171" t="s">
        <v>277</v>
      </c>
      <c r="B11" s="172" t="s">
        <v>102</v>
      </c>
      <c r="C11" s="181"/>
      <c r="D11" s="181"/>
      <c r="E11" s="173"/>
      <c r="F11" s="173"/>
      <c r="G11" s="173"/>
      <c r="H11" s="178" t="s">
        <v>16</v>
      </c>
      <c r="I11" s="181"/>
      <c r="J11" s="238"/>
      <c r="K11" s="238"/>
      <c r="L11" s="176"/>
      <c r="M11" s="177"/>
    </row>
    <row r="12">
      <c r="A12" s="117" t="s">
        <v>277</v>
      </c>
      <c r="B12" s="165" t="s">
        <v>41</v>
      </c>
      <c r="C12" s="166" t="s">
        <v>42</v>
      </c>
      <c r="D12" s="166" t="s">
        <v>370</v>
      </c>
      <c r="E12" s="166">
        <v>29756.0</v>
      </c>
      <c r="F12" s="166">
        <v>6248.76</v>
      </c>
      <c r="G12" s="166"/>
      <c r="H12" s="167">
        <v>36004.76</v>
      </c>
      <c r="I12" s="150" t="s">
        <v>81</v>
      </c>
      <c r="J12" s="237"/>
      <c r="K12" s="237">
        <v>45709.0</v>
      </c>
      <c r="L12" s="169"/>
      <c r="M12" s="170"/>
    </row>
    <row r="13">
      <c r="A13" s="171" t="s">
        <v>277</v>
      </c>
      <c r="B13" s="172" t="s">
        <v>50</v>
      </c>
      <c r="C13" s="173" t="s">
        <v>271</v>
      </c>
      <c r="D13" s="173" t="s">
        <v>371</v>
      </c>
      <c r="E13" s="173">
        <v>385732.15</v>
      </c>
      <c r="F13" s="173">
        <v>104147.68</v>
      </c>
      <c r="G13" s="173">
        <v>24262.52</v>
      </c>
      <c r="H13" s="178">
        <v>514142.35000000003</v>
      </c>
      <c r="I13" s="173" t="s">
        <v>81</v>
      </c>
      <c r="J13" s="238">
        <v>45713.0</v>
      </c>
      <c r="K13" s="238">
        <v>45713.0</v>
      </c>
      <c r="L13" s="176"/>
      <c r="M13" s="177"/>
    </row>
    <row r="14">
      <c r="A14" s="117" t="s">
        <v>277</v>
      </c>
      <c r="B14" s="165" t="s">
        <v>43</v>
      </c>
      <c r="C14" s="166" t="s">
        <v>372</v>
      </c>
      <c r="D14" s="166" t="s">
        <v>373</v>
      </c>
      <c r="E14" s="166">
        <v>123544.0</v>
      </c>
      <c r="F14" s="166">
        <v>25944.24</v>
      </c>
      <c r="G14" s="166">
        <v>9883.52</v>
      </c>
      <c r="H14" s="167">
        <v>159371.75999999998</v>
      </c>
      <c r="I14" s="166" t="s">
        <v>86</v>
      </c>
      <c r="J14" s="237">
        <v>45691.0</v>
      </c>
      <c r="K14" s="237">
        <v>45691.0</v>
      </c>
      <c r="L14" s="169"/>
      <c r="M14" s="117"/>
    </row>
    <row r="15">
      <c r="A15" s="171" t="s">
        <v>277</v>
      </c>
      <c r="B15" s="172" t="s">
        <v>269</v>
      </c>
      <c r="C15" s="173"/>
      <c r="D15" s="173"/>
      <c r="E15" s="173"/>
      <c r="F15" s="173"/>
      <c r="G15" s="173"/>
      <c r="H15" s="178" t="s">
        <v>16</v>
      </c>
      <c r="I15" s="181"/>
      <c r="J15" s="238"/>
      <c r="K15" s="238"/>
      <c r="L15" s="176"/>
      <c r="M15" s="177"/>
    </row>
    <row r="16">
      <c r="A16" s="15" t="s">
        <v>285</v>
      </c>
      <c r="B16" s="147" t="s">
        <v>34</v>
      </c>
      <c r="C16" s="148" t="s">
        <v>286</v>
      </c>
      <c r="D16" s="148"/>
      <c r="E16" s="148">
        <v>570000.0</v>
      </c>
      <c r="F16" s="148">
        <v>119700.0</v>
      </c>
      <c r="G16" s="148"/>
      <c r="H16" s="149">
        <v>689700.0</v>
      </c>
      <c r="I16" s="150" t="s">
        <v>81</v>
      </c>
      <c r="J16" s="240">
        <v>45701.0</v>
      </c>
      <c r="K16" s="240">
        <v>45701.0</v>
      </c>
      <c r="L16" s="152"/>
      <c r="M16" s="153"/>
    </row>
    <row r="17">
      <c r="A17" s="94" t="s">
        <v>285</v>
      </c>
      <c r="B17" s="154" t="s">
        <v>39</v>
      </c>
      <c r="C17" s="93" t="s">
        <v>374</v>
      </c>
      <c r="D17" s="93" t="s">
        <v>375</v>
      </c>
      <c r="E17" s="93">
        <v>214606.28</v>
      </c>
      <c r="F17" s="93"/>
      <c r="G17" s="93"/>
      <c r="H17" s="97">
        <v>214610.0</v>
      </c>
      <c r="I17" s="97" t="s">
        <v>87</v>
      </c>
      <c r="J17" s="241">
        <v>45698.0</v>
      </c>
      <c r="K17" s="241">
        <v>45695.0</v>
      </c>
      <c r="L17" s="155"/>
      <c r="M17" s="155"/>
    </row>
    <row r="18">
      <c r="A18" s="15" t="s">
        <v>285</v>
      </c>
      <c r="B18" s="147" t="s">
        <v>37</v>
      </c>
      <c r="C18" s="148" t="s">
        <v>376</v>
      </c>
      <c r="D18" s="148"/>
      <c r="E18" s="148">
        <v>100569.44</v>
      </c>
      <c r="F18" s="148">
        <v>27153.7488</v>
      </c>
      <c r="G18" s="148">
        <v>9436.43</v>
      </c>
      <c r="H18" s="162">
        <v>137159.6188</v>
      </c>
      <c r="I18" s="166" t="s">
        <v>38</v>
      </c>
      <c r="J18" s="240">
        <v>45692.0</v>
      </c>
      <c r="K18" s="240">
        <v>45692.0</v>
      </c>
      <c r="L18" s="152"/>
      <c r="M18" s="153"/>
    </row>
    <row r="19">
      <c r="A19" s="94" t="s">
        <v>285</v>
      </c>
      <c r="B19" s="154" t="s">
        <v>37</v>
      </c>
      <c r="C19" s="93" t="s">
        <v>377</v>
      </c>
      <c r="D19" s="93"/>
      <c r="E19" s="93">
        <v>30708.27</v>
      </c>
      <c r="F19" s="93">
        <v>8291.2329</v>
      </c>
      <c r="G19" s="93">
        <v>2881.3599999999997</v>
      </c>
      <c r="H19" s="157">
        <v>41880.8629</v>
      </c>
      <c r="I19" s="166" t="s">
        <v>38</v>
      </c>
      <c r="J19" s="241">
        <v>45692.0</v>
      </c>
      <c r="K19" s="241">
        <v>45692.0</v>
      </c>
      <c r="L19" s="155"/>
      <c r="M19" s="155"/>
    </row>
    <row r="20">
      <c r="A20" s="94" t="s">
        <v>285</v>
      </c>
      <c r="B20" s="154" t="s">
        <v>99</v>
      </c>
      <c r="C20" s="148"/>
      <c r="D20" s="148"/>
      <c r="E20" s="148"/>
      <c r="F20" s="148"/>
      <c r="G20" s="148"/>
      <c r="H20" s="162" t="s">
        <v>16</v>
      </c>
      <c r="I20" s="150"/>
      <c r="J20" s="240"/>
      <c r="K20" s="240"/>
      <c r="L20" s="152"/>
      <c r="M20" s="153"/>
    </row>
    <row r="21">
      <c r="A21" s="15" t="s">
        <v>285</v>
      </c>
      <c r="B21" s="147" t="s">
        <v>46</v>
      </c>
      <c r="C21" s="93"/>
      <c r="D21" s="93"/>
      <c r="E21" s="93"/>
      <c r="F21" s="93"/>
      <c r="G21" s="93"/>
      <c r="H21" s="157" t="s">
        <v>16</v>
      </c>
      <c r="I21" s="97"/>
      <c r="J21" s="241"/>
      <c r="K21" s="241"/>
      <c r="L21" s="155"/>
      <c r="M21" s="155"/>
    </row>
    <row r="22">
      <c r="A22" s="94" t="s">
        <v>285</v>
      </c>
      <c r="B22" s="154" t="s">
        <v>31</v>
      </c>
      <c r="C22" s="148"/>
      <c r="D22" s="148"/>
      <c r="E22" s="148"/>
      <c r="F22" s="148"/>
      <c r="G22" s="148"/>
      <c r="H22" s="162" t="s">
        <v>16</v>
      </c>
      <c r="I22" s="150"/>
      <c r="J22" s="240"/>
      <c r="K22" s="240"/>
      <c r="L22" s="152"/>
      <c r="M22" s="153"/>
    </row>
    <row r="23">
      <c r="A23" s="15" t="s">
        <v>285</v>
      </c>
      <c r="B23" s="147" t="s">
        <v>268</v>
      </c>
      <c r="C23" s="93"/>
      <c r="D23" s="93"/>
      <c r="E23" s="93"/>
      <c r="F23" s="93"/>
      <c r="G23" s="93"/>
      <c r="H23" s="157" t="s">
        <v>16</v>
      </c>
      <c r="I23" s="97"/>
      <c r="J23" s="241"/>
      <c r="K23" s="241"/>
      <c r="L23" s="155"/>
      <c r="M23" s="155"/>
    </row>
    <row r="24">
      <c r="A24" s="94" t="s">
        <v>285</v>
      </c>
      <c r="B24" s="154" t="s">
        <v>102</v>
      </c>
      <c r="C24" s="148"/>
      <c r="D24" s="148"/>
      <c r="E24" s="148"/>
      <c r="F24" s="148"/>
      <c r="G24" s="148"/>
      <c r="H24" s="162" t="s">
        <v>16</v>
      </c>
      <c r="I24" s="150"/>
      <c r="J24" s="240"/>
      <c r="K24" s="240"/>
      <c r="L24" s="152"/>
      <c r="M24" s="153"/>
    </row>
    <row r="25">
      <c r="A25" s="15" t="s">
        <v>285</v>
      </c>
      <c r="B25" s="147" t="s">
        <v>41</v>
      </c>
      <c r="C25" s="93" t="s">
        <v>42</v>
      </c>
      <c r="D25" s="93" t="s">
        <v>370</v>
      </c>
      <c r="E25" s="93">
        <v>23896.0</v>
      </c>
      <c r="F25" s="93">
        <v>5018.16</v>
      </c>
      <c r="G25" s="93"/>
      <c r="H25" s="157">
        <v>28914.16</v>
      </c>
      <c r="I25" s="150" t="s">
        <v>81</v>
      </c>
      <c r="J25" s="241"/>
      <c r="K25" s="241">
        <v>45709.0</v>
      </c>
      <c r="L25" s="155"/>
      <c r="M25" s="155"/>
    </row>
    <row r="26">
      <c r="A26" s="94" t="s">
        <v>285</v>
      </c>
      <c r="B26" s="154" t="s">
        <v>50</v>
      </c>
      <c r="C26" s="148"/>
      <c r="D26" s="148"/>
      <c r="E26" s="148"/>
      <c r="F26" s="148"/>
      <c r="G26" s="148"/>
      <c r="H26" s="162" t="s">
        <v>16</v>
      </c>
      <c r="I26" s="150"/>
      <c r="J26" s="240"/>
      <c r="K26" s="240"/>
      <c r="L26" s="152"/>
      <c r="M26" s="153"/>
    </row>
    <row r="27">
      <c r="A27" s="15" t="s">
        <v>285</v>
      </c>
      <c r="B27" s="147" t="s">
        <v>43</v>
      </c>
      <c r="C27" s="93" t="s">
        <v>378</v>
      </c>
      <c r="D27" s="93" t="s">
        <v>379</v>
      </c>
      <c r="E27" s="93">
        <v>81550.0</v>
      </c>
      <c r="F27" s="93">
        <v>17125.5</v>
      </c>
      <c r="G27" s="93">
        <v>6524.0</v>
      </c>
      <c r="H27" s="96">
        <v>105199.5</v>
      </c>
      <c r="I27" s="97" t="s">
        <v>38</v>
      </c>
      <c r="J27" s="241">
        <v>45691.0</v>
      </c>
      <c r="K27" s="241">
        <v>45691.0</v>
      </c>
      <c r="L27" s="155"/>
      <c r="M27" s="155"/>
    </row>
    <row r="28">
      <c r="A28" s="94" t="s">
        <v>285</v>
      </c>
      <c r="B28" s="154" t="s">
        <v>269</v>
      </c>
      <c r="C28" s="148"/>
      <c r="D28" s="148"/>
      <c r="E28" s="148"/>
      <c r="F28" s="148"/>
      <c r="G28" s="148"/>
      <c r="H28" s="162" t="s">
        <v>16</v>
      </c>
      <c r="I28" s="150"/>
      <c r="J28" s="240"/>
      <c r="K28" s="240"/>
      <c r="L28" s="152"/>
      <c r="M28" s="153"/>
    </row>
    <row r="29">
      <c r="A29" s="15" t="s">
        <v>295</v>
      </c>
      <c r="B29" s="147" t="s">
        <v>34</v>
      </c>
      <c r="C29" s="148" t="s">
        <v>296</v>
      </c>
      <c r="D29" s="148" t="s">
        <v>380</v>
      </c>
      <c r="E29" s="148">
        <v>2500000.0</v>
      </c>
      <c r="F29" s="148">
        <v>525000.0</v>
      </c>
      <c r="G29" s="148">
        <v>334529.12</v>
      </c>
      <c r="H29" s="149">
        <v>3359529.12</v>
      </c>
      <c r="I29" s="150" t="s">
        <v>81</v>
      </c>
      <c r="J29" s="240">
        <v>45698.0</v>
      </c>
      <c r="K29" s="240">
        <v>45698.0</v>
      </c>
      <c r="L29" s="186"/>
      <c r="M29" s="153"/>
    </row>
    <row r="30">
      <c r="A30" s="94" t="s">
        <v>295</v>
      </c>
      <c r="B30" s="154" t="s">
        <v>39</v>
      </c>
      <c r="C30" s="93"/>
      <c r="D30" s="93"/>
      <c r="E30" s="93"/>
      <c r="F30" s="93"/>
      <c r="G30" s="93"/>
      <c r="H30" s="157" t="s">
        <v>16</v>
      </c>
      <c r="I30" s="157"/>
      <c r="J30" s="241"/>
      <c r="K30" s="241"/>
      <c r="L30" s="155"/>
      <c r="M30" s="155"/>
    </row>
    <row r="31">
      <c r="A31" s="15" t="s">
        <v>295</v>
      </c>
      <c r="B31" s="147" t="s">
        <v>37</v>
      </c>
      <c r="C31" s="148"/>
      <c r="D31" s="148"/>
      <c r="E31" s="148"/>
      <c r="F31" s="148"/>
      <c r="G31" s="148"/>
      <c r="H31" s="162" t="s">
        <v>16</v>
      </c>
      <c r="I31" s="150"/>
      <c r="J31" s="240"/>
      <c r="K31" s="240"/>
      <c r="L31" s="152"/>
      <c r="M31" s="153"/>
    </row>
    <row r="32">
      <c r="A32" s="94" t="s">
        <v>295</v>
      </c>
      <c r="B32" s="154" t="s">
        <v>99</v>
      </c>
      <c r="C32" s="93"/>
      <c r="D32" s="93"/>
      <c r="E32" s="93"/>
      <c r="F32" s="93"/>
      <c r="G32" s="93"/>
      <c r="H32" s="157" t="s">
        <v>16</v>
      </c>
      <c r="I32" s="157"/>
      <c r="J32" s="241"/>
      <c r="K32" s="241"/>
      <c r="L32" s="155"/>
      <c r="M32" s="155"/>
    </row>
    <row r="33">
      <c r="A33" s="15" t="s">
        <v>295</v>
      </c>
      <c r="B33" s="147" t="s">
        <v>46</v>
      </c>
      <c r="C33" s="148"/>
      <c r="D33" s="148"/>
      <c r="E33" s="148"/>
      <c r="F33" s="148"/>
      <c r="G33" s="148"/>
      <c r="H33" s="162" t="s">
        <v>16</v>
      </c>
      <c r="I33" s="162"/>
      <c r="J33" s="240"/>
      <c r="K33" s="240"/>
      <c r="L33" s="187"/>
      <c r="M33" s="153"/>
    </row>
    <row r="34">
      <c r="A34" s="94" t="s">
        <v>295</v>
      </c>
      <c r="B34" s="154" t="s">
        <v>31</v>
      </c>
      <c r="C34" s="93"/>
      <c r="D34" s="93"/>
      <c r="E34" s="93"/>
      <c r="F34" s="93"/>
      <c r="G34" s="93"/>
      <c r="H34" s="157" t="s">
        <v>16</v>
      </c>
      <c r="I34" s="97"/>
      <c r="J34" s="241"/>
      <c r="K34" s="241"/>
      <c r="L34" s="188"/>
      <c r="M34" s="155"/>
    </row>
    <row r="35">
      <c r="A35" s="15" t="s">
        <v>295</v>
      </c>
      <c r="B35" s="147" t="s">
        <v>268</v>
      </c>
      <c r="C35" s="148"/>
      <c r="D35" s="148"/>
      <c r="E35" s="148"/>
      <c r="F35" s="148"/>
      <c r="G35" s="148"/>
      <c r="H35" s="162" t="s">
        <v>16</v>
      </c>
      <c r="I35" s="162"/>
      <c r="J35" s="240"/>
      <c r="K35" s="240"/>
      <c r="L35" s="152"/>
      <c r="M35" s="153"/>
    </row>
    <row r="36">
      <c r="A36" s="94" t="s">
        <v>295</v>
      </c>
      <c r="B36" s="154" t="s">
        <v>102</v>
      </c>
      <c r="C36" s="93"/>
      <c r="D36" s="93"/>
      <c r="E36" s="93"/>
      <c r="F36" s="93"/>
      <c r="G36" s="93"/>
      <c r="H36" s="157" t="s">
        <v>16</v>
      </c>
      <c r="I36" s="157"/>
      <c r="J36" s="241"/>
      <c r="K36" s="241"/>
      <c r="L36" s="155"/>
      <c r="M36" s="155"/>
    </row>
    <row r="37">
      <c r="A37" s="15" t="s">
        <v>295</v>
      </c>
      <c r="B37" s="147" t="s">
        <v>41</v>
      </c>
      <c r="C37" s="148" t="s">
        <v>42</v>
      </c>
      <c r="D37" s="148" t="s">
        <v>370</v>
      </c>
      <c r="E37" s="148">
        <v>23896.0</v>
      </c>
      <c r="F37" s="148">
        <v>5018.16</v>
      </c>
      <c r="G37" s="148"/>
      <c r="H37" s="162">
        <v>28914.16</v>
      </c>
      <c r="I37" s="150" t="s">
        <v>81</v>
      </c>
      <c r="J37" s="240"/>
      <c r="K37" s="240">
        <v>45709.0</v>
      </c>
      <c r="L37" s="152"/>
      <c r="M37" s="153"/>
    </row>
    <row r="38">
      <c r="A38" s="94" t="s">
        <v>295</v>
      </c>
      <c r="B38" s="154" t="s">
        <v>50</v>
      </c>
      <c r="C38" s="93"/>
      <c r="D38" s="93"/>
      <c r="E38" s="93"/>
      <c r="F38" s="93"/>
      <c r="G38" s="93"/>
      <c r="H38" s="157" t="s">
        <v>16</v>
      </c>
      <c r="I38" s="157"/>
      <c r="J38" s="241"/>
      <c r="K38" s="241"/>
      <c r="L38" s="94"/>
      <c r="M38" s="155"/>
    </row>
    <row r="39">
      <c r="A39" s="15" t="s">
        <v>295</v>
      </c>
      <c r="B39" s="147" t="s">
        <v>43</v>
      </c>
      <c r="C39" s="148" t="s">
        <v>381</v>
      </c>
      <c r="D39" s="148" t="s">
        <v>382</v>
      </c>
      <c r="E39" s="148">
        <v>78526.4</v>
      </c>
      <c r="F39" s="148">
        <v>20037.935</v>
      </c>
      <c r="G39" s="148"/>
      <c r="H39" s="162">
        <v>98564.33499999999</v>
      </c>
      <c r="I39" s="150" t="s">
        <v>38</v>
      </c>
      <c r="J39" s="240">
        <v>45713.0</v>
      </c>
      <c r="K39" s="240">
        <v>45713.0</v>
      </c>
      <c r="L39" s="152"/>
      <c r="M39" s="153"/>
    </row>
    <row r="40">
      <c r="A40" s="94" t="s">
        <v>295</v>
      </c>
      <c r="B40" s="154" t="s">
        <v>269</v>
      </c>
      <c r="C40" s="93"/>
      <c r="D40" s="93"/>
      <c r="E40" s="93"/>
      <c r="F40" s="93"/>
      <c r="G40" s="93"/>
      <c r="H40" s="96" t="s">
        <v>16</v>
      </c>
      <c r="I40" s="157"/>
      <c r="J40" s="241"/>
      <c r="K40" s="241"/>
      <c r="L40" s="155"/>
      <c r="M40" s="155"/>
    </row>
    <row r="41">
      <c r="A41" s="117" t="s">
        <v>301</v>
      </c>
      <c r="B41" s="165" t="s">
        <v>34</v>
      </c>
      <c r="C41" s="166" t="s">
        <v>383</v>
      </c>
      <c r="D41" s="166" t="s">
        <v>384</v>
      </c>
      <c r="E41" s="166">
        <v>1325290.99</v>
      </c>
      <c r="F41" s="166">
        <v>278311.11</v>
      </c>
      <c r="G41" s="166">
        <v>66264.55</v>
      </c>
      <c r="H41" s="167">
        <v>1669866.6500000001</v>
      </c>
      <c r="I41" s="166" t="s">
        <v>81</v>
      </c>
      <c r="J41" s="237">
        <v>45701.0</v>
      </c>
      <c r="K41" s="237">
        <v>45701.0</v>
      </c>
      <c r="L41" s="169"/>
      <c r="M41" s="170"/>
    </row>
    <row r="42">
      <c r="A42" s="171" t="s">
        <v>301</v>
      </c>
      <c r="B42" s="172" t="s">
        <v>39</v>
      </c>
      <c r="C42" s="173" t="s">
        <v>383</v>
      </c>
      <c r="D42" s="173" t="s">
        <v>385</v>
      </c>
      <c r="E42" s="173">
        <v>1744856.35</v>
      </c>
      <c r="F42" s="173">
        <v>366419.83</v>
      </c>
      <c r="G42" s="173">
        <v>87242.82</v>
      </c>
      <c r="H42" s="178">
        <v>2198519.0</v>
      </c>
      <c r="I42" s="173" t="s">
        <v>81</v>
      </c>
      <c r="J42" s="238">
        <v>45701.0</v>
      </c>
      <c r="K42" s="238">
        <v>45701.0</v>
      </c>
      <c r="L42" s="176"/>
      <c r="M42" s="177"/>
    </row>
    <row r="43">
      <c r="A43" s="117" t="s">
        <v>301</v>
      </c>
      <c r="B43" s="165" t="s">
        <v>37</v>
      </c>
      <c r="C43" s="166" t="s">
        <v>386</v>
      </c>
      <c r="D43" s="166"/>
      <c r="E43" s="166">
        <v>73804.14</v>
      </c>
      <c r="F43" s="166">
        <v>19927.1178</v>
      </c>
      <c r="G43" s="166">
        <v>6925.04</v>
      </c>
      <c r="H43" s="167">
        <v>100656.29779999999</v>
      </c>
      <c r="I43" s="166" t="s">
        <v>38</v>
      </c>
      <c r="J43" s="237">
        <v>45692.0</v>
      </c>
      <c r="K43" s="237">
        <v>45692.0</v>
      </c>
      <c r="L43" s="169"/>
      <c r="M43" s="170"/>
    </row>
    <row r="44">
      <c r="A44" s="171" t="s">
        <v>301</v>
      </c>
      <c r="B44" s="172" t="s">
        <v>99</v>
      </c>
      <c r="C44" s="181"/>
      <c r="D44" s="181"/>
      <c r="E44" s="173"/>
      <c r="F44" s="173"/>
      <c r="G44" s="173"/>
      <c r="H44" s="178" t="s">
        <v>16</v>
      </c>
      <c r="I44" s="181"/>
      <c r="J44" s="238"/>
      <c r="K44" s="238"/>
      <c r="L44" s="176"/>
      <c r="M44" s="177"/>
    </row>
    <row r="45">
      <c r="A45" s="117" t="s">
        <v>301</v>
      </c>
      <c r="B45" s="165" t="s">
        <v>46</v>
      </c>
      <c r="C45" s="189"/>
      <c r="D45" s="189"/>
      <c r="E45" s="166"/>
      <c r="F45" s="166"/>
      <c r="G45" s="166"/>
      <c r="H45" s="167" t="s">
        <v>16</v>
      </c>
      <c r="I45" s="189"/>
      <c r="J45" s="237"/>
      <c r="K45" s="237"/>
      <c r="L45" s="169"/>
      <c r="M45" s="170"/>
    </row>
    <row r="46">
      <c r="A46" s="171" t="s">
        <v>301</v>
      </c>
      <c r="B46" s="172" t="s">
        <v>31</v>
      </c>
      <c r="C46" s="173"/>
      <c r="D46" s="173"/>
      <c r="E46" s="173"/>
      <c r="F46" s="173"/>
      <c r="G46" s="173"/>
      <c r="H46" s="178" t="s">
        <v>16</v>
      </c>
      <c r="I46" s="173"/>
      <c r="J46" s="238"/>
      <c r="K46" s="238"/>
      <c r="L46" s="179"/>
      <c r="M46" s="177"/>
    </row>
    <row r="47">
      <c r="A47" s="117" t="s">
        <v>301</v>
      </c>
      <c r="B47" s="165" t="s">
        <v>268</v>
      </c>
      <c r="C47" s="189"/>
      <c r="D47" s="189"/>
      <c r="E47" s="166"/>
      <c r="F47" s="166"/>
      <c r="G47" s="166"/>
      <c r="H47" s="167" t="s">
        <v>16</v>
      </c>
      <c r="I47" s="189"/>
      <c r="J47" s="237"/>
      <c r="K47" s="237"/>
      <c r="L47" s="169"/>
      <c r="M47" s="170"/>
    </row>
    <row r="48">
      <c r="A48" s="171" t="s">
        <v>301</v>
      </c>
      <c r="B48" s="172" t="s">
        <v>102</v>
      </c>
      <c r="C48" s="181"/>
      <c r="D48" s="181"/>
      <c r="E48" s="173"/>
      <c r="F48" s="173"/>
      <c r="G48" s="173"/>
      <c r="H48" s="178" t="s">
        <v>16</v>
      </c>
      <c r="I48" s="181"/>
      <c r="J48" s="238"/>
      <c r="K48" s="238"/>
      <c r="L48" s="176"/>
      <c r="M48" s="177"/>
    </row>
    <row r="49">
      <c r="A49" s="117" t="s">
        <v>301</v>
      </c>
      <c r="B49" s="165" t="s">
        <v>41</v>
      </c>
      <c r="C49" s="166" t="s">
        <v>42</v>
      </c>
      <c r="D49" s="166" t="s">
        <v>370</v>
      </c>
      <c r="E49" s="166">
        <v>23896.0</v>
      </c>
      <c r="F49" s="166">
        <v>5018.16</v>
      </c>
      <c r="G49" s="166"/>
      <c r="H49" s="167">
        <v>28914.16</v>
      </c>
      <c r="I49" s="150" t="s">
        <v>81</v>
      </c>
      <c r="J49" s="237"/>
      <c r="K49" s="237">
        <v>45709.0</v>
      </c>
      <c r="L49" s="169"/>
      <c r="M49" s="170"/>
    </row>
    <row r="50">
      <c r="A50" s="171" t="s">
        <v>301</v>
      </c>
      <c r="B50" s="172" t="s">
        <v>50</v>
      </c>
      <c r="C50" s="181"/>
      <c r="D50" s="181"/>
      <c r="E50" s="173"/>
      <c r="F50" s="173"/>
      <c r="G50" s="173"/>
      <c r="H50" s="178" t="s">
        <v>16</v>
      </c>
      <c r="I50" s="181"/>
      <c r="J50" s="238"/>
      <c r="K50" s="238"/>
      <c r="L50" s="176"/>
      <c r="M50" s="177"/>
    </row>
    <row r="51">
      <c r="A51" s="117" t="s">
        <v>301</v>
      </c>
      <c r="B51" s="165" t="s">
        <v>43</v>
      </c>
      <c r="C51" s="166" t="s">
        <v>372</v>
      </c>
      <c r="D51" s="166" t="s">
        <v>387</v>
      </c>
      <c r="E51" s="166">
        <v>48305.79</v>
      </c>
      <c r="F51" s="166">
        <v>10144.22</v>
      </c>
      <c r="G51" s="166">
        <v>3864.46</v>
      </c>
      <c r="H51" s="167">
        <v>62314.47</v>
      </c>
      <c r="I51" s="166" t="s">
        <v>86</v>
      </c>
      <c r="J51" s="237">
        <v>45693.0</v>
      </c>
      <c r="K51" s="237">
        <v>45693.0</v>
      </c>
      <c r="L51" s="166"/>
      <c r="M51" s="170"/>
    </row>
    <row r="52">
      <c r="A52" s="171" t="s">
        <v>301</v>
      </c>
      <c r="B52" s="172" t="s">
        <v>269</v>
      </c>
      <c r="C52" s="173"/>
      <c r="D52" s="173"/>
      <c r="E52" s="173"/>
      <c r="F52" s="173"/>
      <c r="G52" s="173"/>
      <c r="H52" s="178" t="s">
        <v>16</v>
      </c>
      <c r="I52" s="181"/>
      <c r="J52" s="238"/>
      <c r="K52" s="238"/>
      <c r="L52" s="176"/>
      <c r="M52" s="177"/>
    </row>
    <row r="53">
      <c r="A53" s="15" t="s">
        <v>306</v>
      </c>
      <c r="B53" s="147" t="s">
        <v>34</v>
      </c>
      <c r="C53" s="148" t="s">
        <v>388</v>
      </c>
      <c r="D53" s="148" t="s">
        <v>389</v>
      </c>
      <c r="E53" s="148">
        <v>1770252.69</v>
      </c>
      <c r="F53" s="148">
        <v>371753.0649</v>
      </c>
      <c r="G53" s="148"/>
      <c r="H53" s="149">
        <v>2142005.7549</v>
      </c>
      <c r="I53" s="150" t="s">
        <v>81</v>
      </c>
      <c r="J53" s="240">
        <v>45708.0</v>
      </c>
      <c r="K53" s="240">
        <v>45708.0</v>
      </c>
      <c r="L53" s="152"/>
      <c r="M53" s="159"/>
    </row>
    <row r="54">
      <c r="A54" s="94" t="s">
        <v>306</v>
      </c>
      <c r="B54" s="154" t="s">
        <v>39</v>
      </c>
      <c r="C54" s="93" t="s">
        <v>390</v>
      </c>
      <c r="D54" s="93" t="s">
        <v>391</v>
      </c>
      <c r="E54" s="93">
        <v>834669.92</v>
      </c>
      <c r="F54" s="93"/>
      <c r="G54" s="93"/>
      <c r="H54" s="157">
        <v>834669.92</v>
      </c>
      <c r="I54" s="150" t="s">
        <v>81</v>
      </c>
      <c r="J54" s="242">
        <v>45698.0</v>
      </c>
      <c r="K54" s="242">
        <v>45698.0</v>
      </c>
      <c r="L54" s="155"/>
      <c r="M54" s="155"/>
    </row>
    <row r="55">
      <c r="A55" s="15" t="s">
        <v>306</v>
      </c>
      <c r="B55" s="147" t="s">
        <v>37</v>
      </c>
      <c r="C55" s="148" t="s">
        <v>392</v>
      </c>
      <c r="D55" s="148"/>
      <c r="E55" s="148">
        <v>105308.17</v>
      </c>
      <c r="F55" s="148">
        <v>28433.2059</v>
      </c>
      <c r="G55" s="148">
        <v>9881.07</v>
      </c>
      <c r="H55" s="162">
        <v>143622.4459</v>
      </c>
      <c r="I55" s="166" t="s">
        <v>38</v>
      </c>
      <c r="J55" s="240">
        <v>45692.0</v>
      </c>
      <c r="K55" s="240">
        <v>45692.0</v>
      </c>
      <c r="L55" s="190"/>
      <c r="M55" s="153"/>
    </row>
    <row r="56">
      <c r="A56" s="94" t="s">
        <v>306</v>
      </c>
      <c r="B56" s="154" t="s">
        <v>99</v>
      </c>
      <c r="C56" s="93"/>
      <c r="D56" s="93"/>
      <c r="E56" s="93"/>
      <c r="F56" s="93"/>
      <c r="G56" s="93"/>
      <c r="H56" s="157" t="s">
        <v>16</v>
      </c>
      <c r="I56" s="157"/>
      <c r="J56" s="241"/>
      <c r="K56" s="241"/>
      <c r="L56" s="155"/>
      <c r="M56" s="155"/>
    </row>
    <row r="57">
      <c r="A57" s="15" t="s">
        <v>306</v>
      </c>
      <c r="B57" s="147" t="s">
        <v>46</v>
      </c>
      <c r="C57" s="148"/>
      <c r="D57" s="148"/>
      <c r="E57" s="148"/>
      <c r="F57" s="148"/>
      <c r="G57" s="148"/>
      <c r="H57" s="162" t="s">
        <v>16</v>
      </c>
      <c r="I57" s="162"/>
      <c r="J57" s="240"/>
      <c r="K57" s="240"/>
      <c r="L57" s="152"/>
      <c r="M57" s="153"/>
    </row>
    <row r="58">
      <c r="A58" s="94" t="s">
        <v>306</v>
      </c>
      <c r="B58" s="154" t="s">
        <v>31</v>
      </c>
      <c r="C58" s="93"/>
      <c r="D58" s="93"/>
      <c r="E58" s="93"/>
      <c r="F58" s="93"/>
      <c r="G58" s="93"/>
      <c r="H58" s="157" t="s">
        <v>16</v>
      </c>
      <c r="I58" s="97"/>
      <c r="J58" s="241"/>
      <c r="K58" s="241"/>
      <c r="L58" s="188"/>
      <c r="M58" s="155"/>
    </row>
    <row r="59">
      <c r="A59" s="15" t="s">
        <v>306</v>
      </c>
      <c r="B59" s="147" t="s">
        <v>268</v>
      </c>
      <c r="C59" s="148"/>
      <c r="D59" s="148"/>
      <c r="E59" s="148"/>
      <c r="F59" s="148"/>
      <c r="G59" s="148"/>
      <c r="H59" s="162" t="s">
        <v>16</v>
      </c>
      <c r="I59" s="162"/>
      <c r="J59" s="240"/>
      <c r="K59" s="240"/>
      <c r="L59" s="152"/>
      <c r="M59" s="153"/>
    </row>
    <row r="60">
      <c r="A60" s="94" t="s">
        <v>306</v>
      </c>
      <c r="B60" s="154" t="s">
        <v>102</v>
      </c>
      <c r="C60" s="93"/>
      <c r="D60" s="93"/>
      <c r="E60" s="93"/>
      <c r="F60" s="93"/>
      <c r="G60" s="93"/>
      <c r="H60" s="157" t="s">
        <v>16</v>
      </c>
      <c r="I60" s="157"/>
      <c r="J60" s="241"/>
      <c r="K60" s="241"/>
      <c r="L60" s="155"/>
      <c r="M60" s="155"/>
    </row>
    <row r="61">
      <c r="A61" s="15" t="s">
        <v>306</v>
      </c>
      <c r="B61" s="147" t="s">
        <v>41</v>
      </c>
      <c r="C61" s="148" t="s">
        <v>42</v>
      </c>
      <c r="D61" s="148" t="s">
        <v>370</v>
      </c>
      <c r="E61" s="148">
        <v>23896.0</v>
      </c>
      <c r="F61" s="148">
        <v>5018.16</v>
      </c>
      <c r="G61" s="148"/>
      <c r="H61" s="162">
        <v>28914.16</v>
      </c>
      <c r="I61" s="150" t="s">
        <v>81</v>
      </c>
      <c r="J61" s="240"/>
      <c r="K61" s="240">
        <v>45709.0</v>
      </c>
      <c r="L61" s="152"/>
      <c r="M61" s="153"/>
    </row>
    <row r="62">
      <c r="A62" s="94" t="s">
        <v>306</v>
      </c>
      <c r="B62" s="154" t="s">
        <v>50</v>
      </c>
      <c r="C62" s="93"/>
      <c r="D62" s="93"/>
      <c r="E62" s="93"/>
      <c r="F62" s="93"/>
      <c r="G62" s="93"/>
      <c r="H62" s="157" t="s">
        <v>16</v>
      </c>
      <c r="I62" s="157"/>
      <c r="J62" s="241"/>
      <c r="K62" s="241"/>
      <c r="L62" s="155"/>
      <c r="M62" s="155"/>
    </row>
    <row r="63">
      <c r="A63" s="15" t="s">
        <v>306</v>
      </c>
      <c r="B63" s="147" t="s">
        <v>43</v>
      </c>
      <c r="C63" s="148" t="s">
        <v>381</v>
      </c>
      <c r="D63" s="148" t="s">
        <v>382</v>
      </c>
      <c r="E63" s="148">
        <v>78526.4</v>
      </c>
      <c r="F63" s="148">
        <v>20037.935</v>
      </c>
      <c r="G63" s="148"/>
      <c r="H63" s="162">
        <v>98564.33499999999</v>
      </c>
      <c r="I63" s="150" t="s">
        <v>38</v>
      </c>
      <c r="J63" s="240">
        <v>45713.0</v>
      </c>
      <c r="K63" s="240">
        <v>45713.0</v>
      </c>
      <c r="L63" s="152"/>
      <c r="M63" s="153"/>
    </row>
    <row r="64">
      <c r="A64" s="94" t="s">
        <v>306</v>
      </c>
      <c r="B64" s="154" t="s">
        <v>269</v>
      </c>
      <c r="C64" s="93"/>
      <c r="D64" s="93"/>
      <c r="E64" s="93"/>
      <c r="F64" s="93"/>
      <c r="G64" s="93"/>
      <c r="H64" s="96" t="s">
        <v>16</v>
      </c>
      <c r="I64" s="157"/>
      <c r="J64" s="241"/>
      <c r="K64" s="241"/>
      <c r="L64" s="155"/>
      <c r="M64" s="155"/>
    </row>
    <row r="65">
      <c r="A65" s="117" t="s">
        <v>310</v>
      </c>
      <c r="B65" s="165" t="s">
        <v>34</v>
      </c>
      <c r="C65" s="166" t="s">
        <v>388</v>
      </c>
      <c r="D65" s="166" t="s">
        <v>393</v>
      </c>
      <c r="E65" s="166">
        <v>2639238.4</v>
      </c>
      <c r="F65" s="166">
        <v>554240.064</v>
      </c>
      <c r="G65" s="166"/>
      <c r="H65" s="167">
        <v>3193478.4639999997</v>
      </c>
      <c r="I65" s="166" t="s">
        <v>81</v>
      </c>
      <c r="J65" s="237">
        <v>45708.0</v>
      </c>
      <c r="K65" s="237">
        <v>45708.0</v>
      </c>
      <c r="L65" s="169"/>
      <c r="M65" s="170"/>
    </row>
    <row r="66">
      <c r="A66" s="171" t="s">
        <v>310</v>
      </c>
      <c r="B66" s="172" t="s">
        <v>39</v>
      </c>
      <c r="C66" s="173" t="s">
        <v>390</v>
      </c>
      <c r="D66" s="173" t="s">
        <v>394</v>
      </c>
      <c r="E66" s="173">
        <v>417334.96</v>
      </c>
      <c r="F66" s="173"/>
      <c r="G66" s="173"/>
      <c r="H66" s="178">
        <v>417334.96</v>
      </c>
      <c r="I66" s="173" t="s">
        <v>81</v>
      </c>
      <c r="J66" s="238">
        <v>45698.0</v>
      </c>
      <c r="K66" s="238">
        <v>45698.0</v>
      </c>
      <c r="L66" s="176"/>
      <c r="M66" s="177"/>
    </row>
    <row r="67">
      <c r="A67" s="117" t="s">
        <v>310</v>
      </c>
      <c r="B67" s="165" t="s">
        <v>37</v>
      </c>
      <c r="C67" s="166" t="s">
        <v>395</v>
      </c>
      <c r="D67" s="166"/>
      <c r="E67" s="166">
        <v>64961.06</v>
      </c>
      <c r="F67" s="166">
        <v>17539.4862</v>
      </c>
      <c r="G67" s="166">
        <v>6095.29</v>
      </c>
      <c r="H67" s="167">
        <v>88595.83619999999</v>
      </c>
      <c r="I67" s="166" t="s">
        <v>38</v>
      </c>
      <c r="J67" s="237">
        <v>45692.0</v>
      </c>
      <c r="K67" s="237">
        <v>45692.0</v>
      </c>
      <c r="L67" s="191"/>
      <c r="M67" s="170"/>
    </row>
    <row r="68">
      <c r="A68" s="171" t="s">
        <v>310</v>
      </c>
      <c r="B68" s="172" t="s">
        <v>99</v>
      </c>
      <c r="C68" s="181"/>
      <c r="D68" s="181"/>
      <c r="E68" s="173"/>
      <c r="F68" s="173"/>
      <c r="G68" s="173"/>
      <c r="H68" s="178" t="s">
        <v>16</v>
      </c>
      <c r="I68" s="181"/>
      <c r="J68" s="238"/>
      <c r="K68" s="238"/>
      <c r="L68" s="176"/>
      <c r="M68" s="177"/>
    </row>
    <row r="69">
      <c r="A69" s="117" t="s">
        <v>310</v>
      </c>
      <c r="B69" s="165" t="s">
        <v>46</v>
      </c>
      <c r="C69" s="189"/>
      <c r="D69" s="189"/>
      <c r="E69" s="166"/>
      <c r="F69" s="166"/>
      <c r="G69" s="166"/>
      <c r="H69" s="167" t="s">
        <v>16</v>
      </c>
      <c r="I69" s="189"/>
      <c r="J69" s="237"/>
      <c r="K69" s="237"/>
      <c r="L69" s="169"/>
      <c r="M69" s="170"/>
    </row>
    <row r="70">
      <c r="A70" s="171" t="s">
        <v>310</v>
      </c>
      <c r="B70" s="172" t="s">
        <v>31</v>
      </c>
      <c r="C70" s="173"/>
      <c r="D70" s="173"/>
      <c r="E70" s="173"/>
      <c r="F70" s="173"/>
      <c r="G70" s="173"/>
      <c r="H70" s="178" t="s">
        <v>16</v>
      </c>
      <c r="I70" s="173"/>
      <c r="J70" s="238"/>
      <c r="K70" s="238"/>
      <c r="L70" s="179"/>
      <c r="M70" s="177"/>
    </row>
    <row r="71">
      <c r="A71" s="117" t="s">
        <v>310</v>
      </c>
      <c r="B71" s="165" t="s">
        <v>268</v>
      </c>
      <c r="C71" s="189"/>
      <c r="D71" s="189"/>
      <c r="E71" s="166"/>
      <c r="F71" s="166"/>
      <c r="G71" s="166"/>
      <c r="H71" s="167" t="s">
        <v>16</v>
      </c>
      <c r="I71" s="189"/>
      <c r="J71" s="237"/>
      <c r="K71" s="237"/>
      <c r="L71" s="169"/>
      <c r="M71" s="170"/>
    </row>
    <row r="72">
      <c r="A72" s="171" t="s">
        <v>310</v>
      </c>
      <c r="B72" s="172" t="s">
        <v>102</v>
      </c>
      <c r="C72" s="181"/>
      <c r="D72" s="181"/>
      <c r="E72" s="173"/>
      <c r="F72" s="173"/>
      <c r="G72" s="173"/>
      <c r="H72" s="178" t="s">
        <v>16</v>
      </c>
      <c r="I72" s="181"/>
      <c r="J72" s="238"/>
      <c r="K72" s="238"/>
      <c r="L72" s="176"/>
      <c r="M72" s="177"/>
    </row>
    <row r="73">
      <c r="A73" s="117" t="s">
        <v>310</v>
      </c>
      <c r="B73" s="165" t="s">
        <v>41</v>
      </c>
      <c r="C73" s="166" t="s">
        <v>42</v>
      </c>
      <c r="D73" s="166" t="s">
        <v>370</v>
      </c>
      <c r="E73" s="166">
        <v>23896.0</v>
      </c>
      <c r="F73" s="166">
        <v>5018.16</v>
      </c>
      <c r="G73" s="166"/>
      <c r="H73" s="167">
        <v>28914.16</v>
      </c>
      <c r="I73" s="150" t="s">
        <v>81</v>
      </c>
      <c r="J73" s="237"/>
      <c r="K73" s="237">
        <v>45709.0</v>
      </c>
      <c r="L73" s="169"/>
      <c r="M73" s="170"/>
    </row>
    <row r="74">
      <c r="A74" s="171" t="s">
        <v>310</v>
      </c>
      <c r="B74" s="172" t="s">
        <v>50</v>
      </c>
      <c r="C74" s="181"/>
      <c r="D74" s="181"/>
      <c r="E74" s="173"/>
      <c r="F74" s="173"/>
      <c r="G74" s="173"/>
      <c r="H74" s="178" t="s">
        <v>16</v>
      </c>
      <c r="I74" s="181"/>
      <c r="J74" s="238"/>
      <c r="K74" s="238"/>
      <c r="L74" s="176"/>
      <c r="M74" s="177"/>
    </row>
    <row r="75">
      <c r="A75" s="117" t="s">
        <v>310</v>
      </c>
      <c r="B75" s="165" t="s">
        <v>43</v>
      </c>
      <c r="C75" s="166"/>
      <c r="D75" s="166"/>
      <c r="E75" s="166"/>
      <c r="F75" s="166"/>
      <c r="G75" s="166"/>
      <c r="H75" s="167" t="s">
        <v>16</v>
      </c>
      <c r="I75" s="189"/>
      <c r="J75" s="237"/>
      <c r="K75" s="237"/>
      <c r="L75" s="169"/>
      <c r="M75" s="170"/>
    </row>
    <row r="76">
      <c r="A76" s="171" t="s">
        <v>310</v>
      </c>
      <c r="B76" s="172" t="s">
        <v>269</v>
      </c>
      <c r="C76" s="173"/>
      <c r="D76" s="173"/>
      <c r="E76" s="173"/>
      <c r="F76" s="173"/>
      <c r="G76" s="173"/>
      <c r="H76" s="178" t="s">
        <v>16</v>
      </c>
      <c r="I76" s="181"/>
      <c r="J76" s="238"/>
      <c r="K76" s="238"/>
      <c r="L76" s="176"/>
      <c r="M76" s="177"/>
    </row>
    <row r="77">
      <c r="A77" s="15" t="s">
        <v>313</v>
      </c>
      <c r="B77" s="147" t="s">
        <v>34</v>
      </c>
      <c r="C77" s="148" t="s">
        <v>388</v>
      </c>
      <c r="D77" s="148" t="s">
        <v>396</v>
      </c>
      <c r="E77" s="148">
        <v>825000.0</v>
      </c>
      <c r="F77" s="148">
        <v>173250.0</v>
      </c>
      <c r="G77" s="148"/>
      <c r="H77" s="149">
        <v>998250.0</v>
      </c>
      <c r="I77" s="150" t="s">
        <v>81</v>
      </c>
      <c r="J77" s="240">
        <v>45708.0</v>
      </c>
      <c r="K77" s="240">
        <v>45708.0</v>
      </c>
      <c r="L77" s="192"/>
      <c r="M77" s="153"/>
    </row>
    <row r="78">
      <c r="A78" s="94" t="s">
        <v>313</v>
      </c>
      <c r="B78" s="154" t="s">
        <v>39</v>
      </c>
      <c r="C78" s="93" t="s">
        <v>390</v>
      </c>
      <c r="D78" s="93" t="s">
        <v>397</v>
      </c>
      <c r="E78" s="93">
        <v>417334.96</v>
      </c>
      <c r="F78" s="93"/>
      <c r="G78" s="93"/>
      <c r="H78" s="157">
        <v>417334.96</v>
      </c>
      <c r="I78" s="97" t="s">
        <v>81</v>
      </c>
      <c r="J78" s="241">
        <v>45698.0</v>
      </c>
      <c r="K78" s="241">
        <v>45698.0</v>
      </c>
      <c r="L78" s="155"/>
      <c r="M78" s="155"/>
    </row>
    <row r="79">
      <c r="A79" s="15" t="s">
        <v>313</v>
      </c>
      <c r="B79" s="147" t="s">
        <v>37</v>
      </c>
      <c r="C79" s="148" t="s">
        <v>37</v>
      </c>
      <c r="D79" s="148"/>
      <c r="E79" s="148"/>
      <c r="F79" s="148"/>
      <c r="G79" s="148"/>
      <c r="H79" s="150">
        <v>89282.49</v>
      </c>
      <c r="I79" s="166" t="s">
        <v>38</v>
      </c>
      <c r="J79" s="240">
        <v>45692.0</v>
      </c>
      <c r="K79" s="240">
        <v>45692.0</v>
      </c>
      <c r="L79" s="152"/>
      <c r="M79" s="153"/>
    </row>
    <row r="80">
      <c r="A80" s="94" t="s">
        <v>313</v>
      </c>
      <c r="B80" s="154" t="s">
        <v>99</v>
      </c>
      <c r="C80" s="93"/>
      <c r="D80" s="93"/>
      <c r="E80" s="93"/>
      <c r="F80" s="93"/>
      <c r="G80" s="93"/>
      <c r="H80" s="157" t="s">
        <v>16</v>
      </c>
      <c r="I80" s="157"/>
      <c r="J80" s="241"/>
      <c r="K80" s="241"/>
      <c r="L80" s="155"/>
      <c r="M80" s="155"/>
    </row>
    <row r="81">
      <c r="A81" s="15" t="s">
        <v>313</v>
      </c>
      <c r="B81" s="147" t="s">
        <v>46</v>
      </c>
      <c r="C81" s="148"/>
      <c r="D81" s="148"/>
      <c r="E81" s="148"/>
      <c r="F81" s="148"/>
      <c r="G81" s="148"/>
      <c r="H81" s="162" t="s">
        <v>16</v>
      </c>
      <c r="I81" s="162"/>
      <c r="J81" s="240"/>
      <c r="K81" s="240"/>
      <c r="L81" s="152"/>
      <c r="M81" s="153"/>
    </row>
    <row r="82">
      <c r="A82" s="94" t="s">
        <v>313</v>
      </c>
      <c r="B82" s="154" t="s">
        <v>31</v>
      </c>
      <c r="C82" s="93"/>
      <c r="D82" s="93"/>
      <c r="E82" s="93"/>
      <c r="F82" s="93"/>
      <c r="G82" s="93"/>
      <c r="H82" s="157" t="s">
        <v>16</v>
      </c>
      <c r="I82" s="157"/>
      <c r="J82" s="241"/>
      <c r="K82" s="241"/>
      <c r="L82" s="155"/>
      <c r="M82" s="155"/>
    </row>
    <row r="83">
      <c r="A83" s="15" t="s">
        <v>313</v>
      </c>
      <c r="B83" s="147" t="s">
        <v>268</v>
      </c>
      <c r="C83" s="148"/>
      <c r="D83" s="148"/>
      <c r="E83" s="148"/>
      <c r="F83" s="148"/>
      <c r="G83" s="148"/>
      <c r="H83" s="162" t="s">
        <v>16</v>
      </c>
      <c r="I83" s="162"/>
      <c r="J83" s="240"/>
      <c r="K83" s="240"/>
      <c r="L83" s="152"/>
      <c r="M83" s="153"/>
    </row>
    <row r="84">
      <c r="A84" s="94" t="s">
        <v>313</v>
      </c>
      <c r="B84" s="154" t="s">
        <v>102</v>
      </c>
      <c r="C84" s="93"/>
      <c r="D84" s="93"/>
      <c r="E84" s="93"/>
      <c r="F84" s="93"/>
      <c r="G84" s="93"/>
      <c r="H84" s="157" t="s">
        <v>16</v>
      </c>
      <c r="I84" s="157"/>
      <c r="J84" s="241"/>
      <c r="K84" s="241"/>
      <c r="L84" s="155"/>
      <c r="M84" s="155"/>
    </row>
    <row r="85">
      <c r="A85" s="15" t="s">
        <v>313</v>
      </c>
      <c r="B85" s="147" t="s">
        <v>41</v>
      </c>
      <c r="C85" s="148" t="s">
        <v>42</v>
      </c>
      <c r="D85" s="148" t="s">
        <v>370</v>
      </c>
      <c r="E85" s="148">
        <v>23896.0</v>
      </c>
      <c r="F85" s="148">
        <v>5018.16</v>
      </c>
      <c r="G85" s="148"/>
      <c r="H85" s="162">
        <v>28914.16</v>
      </c>
      <c r="I85" s="150" t="s">
        <v>81</v>
      </c>
      <c r="J85" s="240"/>
      <c r="K85" s="240">
        <v>45709.0</v>
      </c>
      <c r="L85" s="152"/>
      <c r="M85" s="153"/>
    </row>
    <row r="86">
      <c r="A86" s="94" t="s">
        <v>313</v>
      </c>
      <c r="B86" s="154" t="s">
        <v>50</v>
      </c>
      <c r="C86" s="93"/>
      <c r="D86" s="93"/>
      <c r="E86" s="93"/>
      <c r="F86" s="93"/>
      <c r="G86" s="93"/>
      <c r="H86" s="157" t="s">
        <v>16</v>
      </c>
      <c r="I86" s="157"/>
      <c r="J86" s="241"/>
      <c r="K86" s="241"/>
      <c r="L86" s="193"/>
      <c r="M86" s="155"/>
    </row>
    <row r="87">
      <c r="A87" s="15" t="s">
        <v>313</v>
      </c>
      <c r="B87" s="147" t="s">
        <v>43</v>
      </c>
      <c r="C87" s="148"/>
      <c r="D87" s="148"/>
      <c r="E87" s="148"/>
      <c r="F87" s="148"/>
      <c r="G87" s="148"/>
      <c r="H87" s="162" t="s">
        <v>16</v>
      </c>
      <c r="I87" s="162"/>
      <c r="J87" s="240"/>
      <c r="K87" s="240"/>
      <c r="L87" s="152"/>
      <c r="M87" s="153"/>
    </row>
    <row r="88">
      <c r="A88" s="94" t="s">
        <v>313</v>
      </c>
      <c r="B88" s="154" t="s">
        <v>269</v>
      </c>
      <c r="C88" s="93"/>
      <c r="D88" s="93"/>
      <c r="E88" s="93"/>
      <c r="F88" s="93"/>
      <c r="G88" s="93"/>
      <c r="H88" s="96" t="s">
        <v>16</v>
      </c>
      <c r="I88" s="157"/>
      <c r="J88" s="241"/>
      <c r="K88" s="241"/>
      <c r="L88" s="155"/>
      <c r="M88" s="155"/>
    </row>
    <row r="89">
      <c r="A89" s="117" t="s">
        <v>328</v>
      </c>
      <c r="B89" s="165" t="s">
        <v>34</v>
      </c>
      <c r="C89" s="166" t="s">
        <v>388</v>
      </c>
      <c r="D89" s="166"/>
      <c r="E89" s="166"/>
      <c r="F89" s="166">
        <v>0.0</v>
      </c>
      <c r="G89" s="166"/>
      <c r="H89" s="167" t="s">
        <v>16</v>
      </c>
      <c r="I89" s="166" t="s">
        <v>81</v>
      </c>
      <c r="J89" s="237"/>
      <c r="K89" s="237"/>
      <c r="L89" s="169"/>
      <c r="M89" s="170"/>
    </row>
    <row r="90">
      <c r="A90" s="171" t="s">
        <v>328</v>
      </c>
      <c r="B90" s="172" t="s">
        <v>39</v>
      </c>
      <c r="C90" s="173" t="s">
        <v>390</v>
      </c>
      <c r="D90" s="173" t="s">
        <v>398</v>
      </c>
      <c r="E90" s="173">
        <v>417334.96</v>
      </c>
      <c r="F90" s="173"/>
      <c r="G90" s="173"/>
      <c r="H90" s="178">
        <v>417334.96</v>
      </c>
      <c r="I90" s="173" t="s">
        <v>81</v>
      </c>
      <c r="J90" s="238">
        <v>45698.0</v>
      </c>
      <c r="K90" s="238">
        <v>45698.0</v>
      </c>
      <c r="L90" s="176"/>
      <c r="M90" s="177"/>
    </row>
    <row r="91">
      <c r="A91" s="117" t="s">
        <v>328</v>
      </c>
      <c r="B91" s="165" t="s">
        <v>37</v>
      </c>
      <c r="C91" s="166" t="s">
        <v>37</v>
      </c>
      <c r="D91" s="166"/>
      <c r="E91" s="166"/>
      <c r="F91" s="166"/>
      <c r="G91" s="166"/>
      <c r="H91" s="239">
        <v>20342.31</v>
      </c>
      <c r="I91" s="166" t="s">
        <v>38</v>
      </c>
      <c r="J91" s="237">
        <v>45692.0</v>
      </c>
      <c r="K91" s="237">
        <v>45692.0</v>
      </c>
      <c r="L91" s="169"/>
      <c r="M91" s="170"/>
    </row>
    <row r="92">
      <c r="A92" s="171" t="s">
        <v>328</v>
      </c>
      <c r="B92" s="172" t="s">
        <v>99</v>
      </c>
      <c r="C92" s="181"/>
      <c r="D92" s="181"/>
      <c r="E92" s="173"/>
      <c r="F92" s="173"/>
      <c r="G92" s="173"/>
      <c r="H92" s="178" t="s">
        <v>16</v>
      </c>
      <c r="I92" s="181"/>
      <c r="J92" s="238"/>
      <c r="K92" s="238"/>
      <c r="L92" s="176"/>
      <c r="M92" s="177"/>
    </row>
    <row r="93">
      <c r="A93" s="117" t="s">
        <v>328</v>
      </c>
      <c r="B93" s="165" t="s">
        <v>46</v>
      </c>
      <c r="C93" s="189"/>
      <c r="D93" s="189"/>
      <c r="E93" s="166"/>
      <c r="F93" s="166"/>
      <c r="G93" s="166"/>
      <c r="H93" s="167" t="s">
        <v>16</v>
      </c>
      <c r="I93" s="189"/>
      <c r="J93" s="237"/>
      <c r="K93" s="237"/>
      <c r="L93" s="169"/>
      <c r="M93" s="170"/>
    </row>
    <row r="94">
      <c r="A94" s="171" t="s">
        <v>328</v>
      </c>
      <c r="B94" s="172" t="s">
        <v>31</v>
      </c>
      <c r="C94" s="173"/>
      <c r="D94" s="173"/>
      <c r="E94" s="173"/>
      <c r="F94" s="173"/>
      <c r="G94" s="173"/>
      <c r="H94" s="178" t="s">
        <v>16</v>
      </c>
      <c r="I94" s="173"/>
      <c r="J94" s="238"/>
      <c r="K94" s="238"/>
      <c r="L94" s="179"/>
      <c r="M94" s="177"/>
    </row>
    <row r="95">
      <c r="A95" s="117" t="s">
        <v>328</v>
      </c>
      <c r="B95" s="165" t="s">
        <v>268</v>
      </c>
      <c r="C95" s="189"/>
      <c r="D95" s="189"/>
      <c r="E95" s="166"/>
      <c r="F95" s="166"/>
      <c r="G95" s="166"/>
      <c r="H95" s="167" t="s">
        <v>16</v>
      </c>
      <c r="I95" s="189"/>
      <c r="J95" s="237"/>
      <c r="K95" s="237"/>
      <c r="L95" s="169"/>
      <c r="M95" s="170"/>
    </row>
    <row r="96">
      <c r="A96" s="171" t="s">
        <v>328</v>
      </c>
      <c r="B96" s="172" t="s">
        <v>102</v>
      </c>
      <c r="C96" s="181"/>
      <c r="D96" s="181"/>
      <c r="E96" s="173"/>
      <c r="F96" s="173"/>
      <c r="G96" s="173"/>
      <c r="H96" s="178" t="s">
        <v>16</v>
      </c>
      <c r="I96" s="181"/>
      <c r="J96" s="238"/>
      <c r="K96" s="238"/>
      <c r="L96" s="176"/>
      <c r="M96" s="177"/>
    </row>
    <row r="97">
      <c r="A97" s="117" t="s">
        <v>328</v>
      </c>
      <c r="B97" s="165" t="s">
        <v>41</v>
      </c>
      <c r="C97" s="166"/>
      <c r="D97" s="166"/>
      <c r="E97" s="166"/>
      <c r="F97" s="166">
        <v>0.0</v>
      </c>
      <c r="G97" s="166"/>
      <c r="H97" s="167" t="s">
        <v>16</v>
      </c>
      <c r="I97" s="166"/>
      <c r="J97" s="237"/>
      <c r="K97" s="237"/>
      <c r="L97" s="169"/>
      <c r="M97" s="170"/>
    </row>
    <row r="98">
      <c r="A98" s="171" t="s">
        <v>328</v>
      </c>
      <c r="B98" s="172" t="s">
        <v>50</v>
      </c>
      <c r="C98" s="181"/>
      <c r="D98" s="181"/>
      <c r="E98" s="173"/>
      <c r="F98" s="173"/>
      <c r="G98" s="173"/>
      <c r="H98" s="178" t="s">
        <v>16</v>
      </c>
      <c r="I98" s="181"/>
      <c r="J98" s="238"/>
      <c r="K98" s="238"/>
      <c r="L98" s="176"/>
      <c r="M98" s="177"/>
    </row>
    <row r="99">
      <c r="A99" s="117" t="s">
        <v>328</v>
      </c>
      <c r="B99" s="165" t="s">
        <v>43</v>
      </c>
      <c r="C99" s="189"/>
      <c r="D99" s="189"/>
      <c r="E99" s="166"/>
      <c r="F99" s="166"/>
      <c r="G99" s="166"/>
      <c r="H99" s="167" t="s">
        <v>16</v>
      </c>
      <c r="I99" s="189"/>
      <c r="J99" s="237"/>
      <c r="K99" s="237"/>
      <c r="L99" s="169"/>
      <c r="M99" s="170"/>
    </row>
    <row r="100">
      <c r="A100" s="171" t="s">
        <v>328</v>
      </c>
      <c r="B100" s="172" t="s">
        <v>269</v>
      </c>
      <c r="C100" s="196"/>
      <c r="D100" s="196"/>
      <c r="E100" s="173"/>
      <c r="F100" s="173"/>
      <c r="G100" s="173"/>
      <c r="H100" s="178" t="s">
        <v>16</v>
      </c>
      <c r="I100" s="181"/>
      <c r="J100" s="238"/>
      <c r="K100" s="238"/>
      <c r="L100" s="176"/>
      <c r="M100" s="177"/>
    </row>
    <row r="101">
      <c r="A101" s="15" t="s">
        <v>329</v>
      </c>
      <c r="B101" s="147" t="s">
        <v>34</v>
      </c>
      <c r="C101" s="148" t="s">
        <v>399</v>
      </c>
      <c r="D101" s="148" t="s">
        <v>400</v>
      </c>
      <c r="E101" s="148">
        <v>755397.57</v>
      </c>
      <c r="F101" s="148">
        <v>102900.0</v>
      </c>
      <c r="G101" s="148"/>
      <c r="H101" s="149">
        <v>858297.57</v>
      </c>
      <c r="I101" s="150" t="s">
        <v>81</v>
      </c>
      <c r="J101" s="240">
        <v>45698.0</v>
      </c>
      <c r="K101" s="240">
        <v>45698.0</v>
      </c>
      <c r="L101" s="152"/>
      <c r="M101" s="153"/>
    </row>
    <row r="102">
      <c r="A102" s="94" t="s">
        <v>329</v>
      </c>
      <c r="B102" s="154" t="s">
        <v>39</v>
      </c>
      <c r="C102" s="93" t="s">
        <v>399</v>
      </c>
      <c r="D102" s="93" t="s">
        <v>401</v>
      </c>
      <c r="E102" s="93"/>
      <c r="F102" s="93"/>
      <c r="G102" s="93"/>
      <c r="H102" s="157" t="s">
        <v>16</v>
      </c>
      <c r="I102" s="157"/>
      <c r="J102" s="241"/>
      <c r="K102" s="241"/>
      <c r="L102" s="155"/>
      <c r="M102" s="155"/>
    </row>
    <row r="103">
      <c r="A103" s="15" t="s">
        <v>329</v>
      </c>
      <c r="B103" s="147" t="s">
        <v>37</v>
      </c>
      <c r="C103" s="148"/>
      <c r="D103" s="148"/>
      <c r="E103" s="148"/>
      <c r="F103" s="148"/>
      <c r="G103" s="148"/>
      <c r="H103" s="162" t="s">
        <v>16</v>
      </c>
      <c r="I103" s="162"/>
      <c r="J103" s="240"/>
      <c r="K103" s="240"/>
      <c r="L103" s="152"/>
      <c r="M103" s="153"/>
    </row>
    <row r="104">
      <c r="A104" s="94" t="s">
        <v>329</v>
      </c>
      <c r="B104" s="154" t="s">
        <v>99</v>
      </c>
      <c r="C104" s="93"/>
      <c r="D104" s="93"/>
      <c r="E104" s="93"/>
      <c r="F104" s="93"/>
      <c r="G104" s="93"/>
      <c r="H104" s="157" t="s">
        <v>16</v>
      </c>
      <c r="I104" s="157"/>
      <c r="J104" s="241"/>
      <c r="K104" s="241"/>
      <c r="L104" s="155"/>
      <c r="M104" s="155"/>
    </row>
    <row r="105">
      <c r="A105" s="15" t="s">
        <v>329</v>
      </c>
      <c r="B105" s="147" t="s">
        <v>46</v>
      </c>
      <c r="C105" s="148"/>
      <c r="D105" s="148"/>
      <c r="E105" s="148"/>
      <c r="F105" s="148"/>
      <c r="G105" s="148"/>
      <c r="H105" s="162" t="s">
        <v>16</v>
      </c>
      <c r="I105" s="162"/>
      <c r="J105" s="240"/>
      <c r="K105" s="240"/>
      <c r="L105" s="152"/>
      <c r="M105" s="153"/>
    </row>
    <row r="106">
      <c r="A106" s="94" t="s">
        <v>329</v>
      </c>
      <c r="B106" s="154" t="s">
        <v>31</v>
      </c>
      <c r="C106" s="93"/>
      <c r="D106" s="93"/>
      <c r="E106" s="93"/>
      <c r="F106" s="93"/>
      <c r="G106" s="93"/>
      <c r="H106" s="157" t="s">
        <v>16</v>
      </c>
      <c r="I106" s="157"/>
      <c r="J106" s="241"/>
      <c r="K106" s="241"/>
      <c r="L106" s="155"/>
      <c r="M106" s="155"/>
    </row>
    <row r="107">
      <c r="A107" s="15" t="s">
        <v>329</v>
      </c>
      <c r="B107" s="147" t="s">
        <v>268</v>
      </c>
      <c r="C107" s="148"/>
      <c r="D107" s="148"/>
      <c r="E107" s="148"/>
      <c r="F107" s="148"/>
      <c r="G107" s="148"/>
      <c r="H107" s="162" t="s">
        <v>16</v>
      </c>
      <c r="I107" s="162"/>
      <c r="J107" s="240"/>
      <c r="K107" s="240"/>
      <c r="L107" s="152"/>
      <c r="M107" s="153"/>
    </row>
    <row r="108">
      <c r="A108" s="94" t="s">
        <v>329</v>
      </c>
      <c r="B108" s="154" t="s">
        <v>102</v>
      </c>
      <c r="C108" s="93"/>
      <c r="D108" s="93"/>
      <c r="E108" s="93"/>
      <c r="F108" s="93"/>
      <c r="G108" s="93"/>
      <c r="H108" s="157" t="s">
        <v>16</v>
      </c>
      <c r="I108" s="157"/>
      <c r="J108" s="241"/>
      <c r="K108" s="241"/>
      <c r="L108" s="155"/>
      <c r="M108" s="155"/>
    </row>
    <row r="109">
      <c r="A109" s="15" t="s">
        <v>329</v>
      </c>
      <c r="B109" s="147" t="s">
        <v>41</v>
      </c>
      <c r="C109" s="148" t="s">
        <v>42</v>
      </c>
      <c r="D109" s="148" t="s">
        <v>370</v>
      </c>
      <c r="E109" s="148">
        <v>23896.0</v>
      </c>
      <c r="F109" s="148">
        <v>5018.16</v>
      </c>
      <c r="G109" s="148"/>
      <c r="H109" s="162">
        <v>28914.16</v>
      </c>
      <c r="I109" s="150" t="s">
        <v>81</v>
      </c>
      <c r="J109" s="240"/>
      <c r="K109" s="240">
        <v>45709.0</v>
      </c>
      <c r="L109" s="152"/>
      <c r="M109" s="153"/>
    </row>
    <row r="110">
      <c r="A110" s="94" t="s">
        <v>329</v>
      </c>
      <c r="B110" s="154" t="s">
        <v>50</v>
      </c>
      <c r="C110" s="93"/>
      <c r="D110" s="93"/>
      <c r="E110" s="197"/>
      <c r="F110" s="197"/>
      <c r="G110" s="197"/>
      <c r="H110" s="157" t="s">
        <v>16</v>
      </c>
      <c r="I110" s="157"/>
      <c r="J110" s="241"/>
      <c r="K110" s="241"/>
      <c r="L110" s="155"/>
      <c r="M110" s="155"/>
    </row>
    <row r="111">
      <c r="A111" s="15" t="s">
        <v>329</v>
      </c>
      <c r="B111" s="147" t="s">
        <v>43</v>
      </c>
      <c r="C111" s="148"/>
      <c r="D111" s="148"/>
      <c r="E111" s="148"/>
      <c r="F111" s="148"/>
      <c r="G111" s="148"/>
      <c r="H111" s="162" t="s">
        <v>16</v>
      </c>
      <c r="I111" s="150"/>
      <c r="J111" s="240"/>
      <c r="K111" s="240"/>
      <c r="L111" s="152"/>
      <c r="M111" s="153"/>
    </row>
    <row r="112">
      <c r="A112" s="94" t="s">
        <v>329</v>
      </c>
      <c r="B112" s="154" t="s">
        <v>269</v>
      </c>
      <c r="C112" s="93"/>
      <c r="D112" s="93"/>
      <c r="E112" s="93"/>
      <c r="F112" s="93"/>
      <c r="G112" s="93"/>
      <c r="H112" s="96" t="s">
        <v>16</v>
      </c>
      <c r="I112" s="157"/>
      <c r="J112" s="241"/>
      <c r="K112" s="241"/>
      <c r="L112" s="155"/>
      <c r="M112" s="155"/>
    </row>
    <row r="113">
      <c r="A113" s="117" t="s">
        <v>334</v>
      </c>
      <c r="B113" s="165" t="s">
        <v>34</v>
      </c>
      <c r="C113" s="166" t="s">
        <v>399</v>
      </c>
      <c r="D113" s="166" t="s">
        <v>402</v>
      </c>
      <c r="E113" s="166">
        <v>397215.63</v>
      </c>
      <c r="F113" s="166">
        <v>74888.43</v>
      </c>
      <c r="G113" s="166"/>
      <c r="H113" s="167">
        <v>472104.06</v>
      </c>
      <c r="I113" s="166" t="s">
        <v>81</v>
      </c>
      <c r="J113" s="237">
        <v>45698.0</v>
      </c>
      <c r="K113" s="237">
        <v>45698.0</v>
      </c>
      <c r="L113" s="169"/>
      <c r="M113" s="170"/>
    </row>
    <row r="114">
      <c r="A114" s="171" t="s">
        <v>334</v>
      </c>
      <c r="B114" s="172" t="s">
        <v>39</v>
      </c>
      <c r="C114" s="173" t="s">
        <v>399</v>
      </c>
      <c r="D114" s="173" t="s">
        <v>403</v>
      </c>
      <c r="E114" s="173"/>
      <c r="F114" s="173"/>
      <c r="G114" s="173"/>
      <c r="H114" s="178" t="s">
        <v>16</v>
      </c>
      <c r="I114" s="181"/>
      <c r="J114" s="238"/>
      <c r="K114" s="238"/>
      <c r="L114" s="176"/>
      <c r="M114" s="177"/>
    </row>
    <row r="115">
      <c r="A115" s="117" t="s">
        <v>334</v>
      </c>
      <c r="B115" s="165" t="s">
        <v>37</v>
      </c>
      <c r="C115" s="166" t="s">
        <v>399</v>
      </c>
      <c r="D115" s="166" t="s">
        <v>403</v>
      </c>
      <c r="E115" s="166"/>
      <c r="F115" s="166"/>
      <c r="G115" s="166"/>
      <c r="H115" s="167" t="s">
        <v>16</v>
      </c>
      <c r="I115" s="166"/>
      <c r="J115" s="237"/>
      <c r="K115" s="237"/>
      <c r="L115" s="169"/>
      <c r="M115" s="170"/>
    </row>
    <row r="116">
      <c r="A116" s="171" t="s">
        <v>334</v>
      </c>
      <c r="B116" s="172" t="s">
        <v>99</v>
      </c>
      <c r="C116" s="181"/>
      <c r="D116" s="181"/>
      <c r="E116" s="173"/>
      <c r="F116" s="173"/>
      <c r="G116" s="173"/>
      <c r="H116" s="178" t="s">
        <v>16</v>
      </c>
      <c r="I116" s="181"/>
      <c r="J116" s="238"/>
      <c r="K116" s="238"/>
      <c r="L116" s="176"/>
      <c r="M116" s="177"/>
    </row>
    <row r="117">
      <c r="A117" s="117" t="s">
        <v>334</v>
      </c>
      <c r="B117" s="165" t="s">
        <v>46</v>
      </c>
      <c r="C117" s="189"/>
      <c r="D117" s="189"/>
      <c r="E117" s="166"/>
      <c r="F117" s="166"/>
      <c r="G117" s="166"/>
      <c r="H117" s="167" t="s">
        <v>16</v>
      </c>
      <c r="I117" s="189"/>
      <c r="J117" s="237"/>
      <c r="K117" s="237"/>
      <c r="L117" s="169"/>
      <c r="M117" s="170"/>
    </row>
    <row r="118">
      <c r="A118" s="171" t="s">
        <v>334</v>
      </c>
      <c r="B118" s="172" t="s">
        <v>31</v>
      </c>
      <c r="C118" s="181"/>
      <c r="D118" s="181"/>
      <c r="E118" s="173"/>
      <c r="F118" s="173"/>
      <c r="G118" s="173"/>
      <c r="H118" s="178" t="s">
        <v>16</v>
      </c>
      <c r="I118" s="181"/>
      <c r="J118" s="238"/>
      <c r="K118" s="238"/>
      <c r="L118" s="176"/>
      <c r="M118" s="177"/>
    </row>
    <row r="119">
      <c r="A119" s="117" t="s">
        <v>334</v>
      </c>
      <c r="B119" s="165" t="s">
        <v>268</v>
      </c>
      <c r="C119" s="189"/>
      <c r="D119" s="189"/>
      <c r="E119" s="166"/>
      <c r="F119" s="166"/>
      <c r="G119" s="166"/>
      <c r="H119" s="167" t="s">
        <v>16</v>
      </c>
      <c r="I119" s="189"/>
      <c r="J119" s="237"/>
      <c r="K119" s="237"/>
      <c r="L119" s="169"/>
      <c r="M119" s="170"/>
    </row>
    <row r="120">
      <c r="A120" s="171" t="s">
        <v>334</v>
      </c>
      <c r="B120" s="172" t="s">
        <v>102</v>
      </c>
      <c r="C120" s="181"/>
      <c r="D120" s="181"/>
      <c r="E120" s="173"/>
      <c r="F120" s="173"/>
      <c r="G120" s="173"/>
      <c r="H120" s="178" t="s">
        <v>16</v>
      </c>
      <c r="I120" s="181"/>
      <c r="J120" s="238"/>
      <c r="K120" s="238"/>
      <c r="L120" s="176"/>
      <c r="M120" s="177"/>
    </row>
    <row r="121">
      <c r="A121" s="117" t="s">
        <v>334</v>
      </c>
      <c r="B121" s="165" t="s">
        <v>41</v>
      </c>
      <c r="C121" s="166"/>
      <c r="D121" s="166"/>
      <c r="E121" s="166"/>
      <c r="F121" s="166">
        <v>0.0</v>
      </c>
      <c r="G121" s="166"/>
      <c r="H121" s="167" t="s">
        <v>16</v>
      </c>
      <c r="I121" s="189"/>
      <c r="J121" s="237"/>
      <c r="K121" s="237"/>
      <c r="L121" s="169"/>
      <c r="M121" s="170"/>
    </row>
    <row r="122">
      <c r="A122" s="171" t="s">
        <v>334</v>
      </c>
      <c r="B122" s="172" t="s">
        <v>50</v>
      </c>
      <c r="C122" s="181"/>
      <c r="D122" s="181"/>
      <c r="E122" s="173"/>
      <c r="F122" s="173"/>
      <c r="G122" s="173"/>
      <c r="H122" s="178" t="s">
        <v>16</v>
      </c>
      <c r="I122" s="181"/>
      <c r="J122" s="238"/>
      <c r="K122" s="238"/>
      <c r="L122" s="176"/>
      <c r="M122" s="177"/>
    </row>
    <row r="123">
      <c r="A123" s="117" t="s">
        <v>334</v>
      </c>
      <c r="B123" s="165" t="s">
        <v>43</v>
      </c>
      <c r="C123" s="189"/>
      <c r="D123" s="189"/>
      <c r="E123" s="166"/>
      <c r="F123" s="166"/>
      <c r="G123" s="166"/>
      <c r="H123" s="167" t="s">
        <v>16</v>
      </c>
      <c r="I123" s="189"/>
      <c r="J123" s="237"/>
      <c r="K123" s="237"/>
      <c r="L123" s="169"/>
      <c r="M123" s="170"/>
    </row>
    <row r="124">
      <c r="A124" s="171" t="s">
        <v>334</v>
      </c>
      <c r="B124" s="172" t="s">
        <v>269</v>
      </c>
      <c r="C124" s="196"/>
      <c r="D124" s="196"/>
      <c r="E124" s="173"/>
      <c r="F124" s="173"/>
      <c r="G124" s="173"/>
      <c r="H124" s="178" t="s">
        <v>16</v>
      </c>
      <c r="I124" s="181"/>
      <c r="J124" s="238"/>
      <c r="K124" s="238"/>
      <c r="L124" s="176"/>
      <c r="M124" s="177"/>
    </row>
    <row r="125">
      <c r="A125" s="15" t="s">
        <v>404</v>
      </c>
      <c r="B125" s="147" t="s">
        <v>34</v>
      </c>
      <c r="C125" s="148" t="s">
        <v>399</v>
      </c>
      <c r="D125" s="148" t="s">
        <v>405</v>
      </c>
      <c r="E125" s="148"/>
      <c r="F125" s="148">
        <v>0.0</v>
      </c>
      <c r="G125" s="148"/>
      <c r="H125" s="149"/>
      <c r="I125" s="150" t="s">
        <v>81</v>
      </c>
      <c r="J125" s="240"/>
      <c r="K125" s="240"/>
      <c r="L125" s="152"/>
      <c r="M125" s="153"/>
    </row>
    <row r="126">
      <c r="A126" s="15" t="s">
        <v>404</v>
      </c>
      <c r="B126" s="154" t="s">
        <v>39</v>
      </c>
      <c r="C126" s="148" t="s">
        <v>399</v>
      </c>
      <c r="D126" s="93" t="s">
        <v>406</v>
      </c>
      <c r="E126" s="148">
        <v>254216.74</v>
      </c>
      <c r="F126" s="148">
        <v>0.0</v>
      </c>
      <c r="G126" s="148"/>
      <c r="H126" s="149">
        <v>254216.74</v>
      </c>
      <c r="I126" s="97" t="s">
        <v>81</v>
      </c>
      <c r="J126" s="241">
        <v>45698.0</v>
      </c>
      <c r="K126" s="241">
        <v>45698.0</v>
      </c>
      <c r="L126" s="155"/>
      <c r="M126" s="155"/>
    </row>
    <row r="127">
      <c r="A127" s="15" t="s">
        <v>404</v>
      </c>
      <c r="B127" s="147" t="s">
        <v>37</v>
      </c>
      <c r="C127" s="148"/>
      <c r="D127" s="148"/>
      <c r="E127" s="148"/>
      <c r="F127" s="148"/>
      <c r="G127" s="148"/>
      <c r="H127" s="162" t="s">
        <v>16</v>
      </c>
      <c r="I127" s="162"/>
      <c r="J127" s="240"/>
      <c r="K127" s="240"/>
      <c r="L127" s="152"/>
      <c r="M127" s="153"/>
    </row>
    <row r="128">
      <c r="A128" s="15" t="s">
        <v>404</v>
      </c>
      <c r="B128" s="154" t="s">
        <v>99</v>
      </c>
      <c r="C128" s="93"/>
      <c r="D128" s="93"/>
      <c r="E128" s="93"/>
      <c r="F128" s="93"/>
      <c r="G128" s="93"/>
      <c r="H128" s="157" t="s">
        <v>16</v>
      </c>
      <c r="I128" s="157"/>
      <c r="J128" s="241"/>
      <c r="K128" s="241"/>
      <c r="L128" s="155"/>
      <c r="M128" s="155"/>
    </row>
    <row r="129">
      <c r="A129" s="15" t="s">
        <v>404</v>
      </c>
      <c r="B129" s="147" t="s">
        <v>46</v>
      </c>
      <c r="C129" s="148"/>
      <c r="D129" s="148"/>
      <c r="E129" s="148"/>
      <c r="F129" s="148"/>
      <c r="G129" s="148"/>
      <c r="H129" s="162" t="s">
        <v>16</v>
      </c>
      <c r="I129" s="162"/>
      <c r="J129" s="240"/>
      <c r="K129" s="240"/>
      <c r="L129" s="152"/>
      <c r="M129" s="153"/>
    </row>
    <row r="130">
      <c r="A130" s="15" t="s">
        <v>404</v>
      </c>
      <c r="B130" s="154" t="s">
        <v>31</v>
      </c>
      <c r="C130" s="93"/>
      <c r="D130" s="93"/>
      <c r="E130" s="93"/>
      <c r="F130" s="93"/>
      <c r="G130" s="93"/>
      <c r="H130" s="157" t="s">
        <v>16</v>
      </c>
      <c r="I130" s="157"/>
      <c r="J130" s="241"/>
      <c r="K130" s="241"/>
      <c r="L130" s="155"/>
      <c r="M130" s="155"/>
    </row>
    <row r="131">
      <c r="A131" s="15" t="s">
        <v>404</v>
      </c>
      <c r="B131" s="147" t="s">
        <v>268</v>
      </c>
      <c r="C131" s="148"/>
      <c r="D131" s="148"/>
      <c r="E131" s="148"/>
      <c r="F131" s="148"/>
      <c r="G131" s="148"/>
      <c r="H131" s="162" t="s">
        <v>16</v>
      </c>
      <c r="I131" s="162"/>
      <c r="J131" s="240"/>
      <c r="K131" s="240"/>
      <c r="L131" s="152"/>
      <c r="M131" s="153"/>
    </row>
    <row r="132">
      <c r="A132" s="15" t="s">
        <v>404</v>
      </c>
      <c r="B132" s="154" t="s">
        <v>102</v>
      </c>
      <c r="C132" s="93"/>
      <c r="D132" s="93"/>
      <c r="E132" s="93"/>
      <c r="F132" s="93"/>
      <c r="G132" s="93"/>
      <c r="H132" s="157" t="s">
        <v>16</v>
      </c>
      <c r="I132" s="157"/>
      <c r="J132" s="241"/>
      <c r="K132" s="241"/>
      <c r="L132" s="155"/>
      <c r="M132" s="155"/>
    </row>
    <row r="133">
      <c r="A133" s="15" t="s">
        <v>404</v>
      </c>
      <c r="B133" s="147" t="s">
        <v>41</v>
      </c>
      <c r="C133" s="148"/>
      <c r="D133" s="148"/>
      <c r="E133" s="148"/>
      <c r="F133" s="148"/>
      <c r="G133" s="148"/>
      <c r="H133" s="162" t="s">
        <v>16</v>
      </c>
      <c r="I133" s="162"/>
      <c r="J133" s="240"/>
      <c r="K133" s="240"/>
      <c r="L133" s="152"/>
      <c r="M133" s="153"/>
    </row>
    <row r="134">
      <c r="A134" s="15" t="s">
        <v>404</v>
      </c>
      <c r="B134" s="154" t="s">
        <v>50</v>
      </c>
      <c r="C134" s="93"/>
      <c r="D134" s="93"/>
      <c r="E134" s="197"/>
      <c r="F134" s="197"/>
      <c r="G134" s="197"/>
      <c r="H134" s="157" t="s">
        <v>16</v>
      </c>
      <c r="I134" s="157"/>
      <c r="J134" s="241"/>
      <c r="K134" s="241"/>
      <c r="L134" s="155"/>
      <c r="M134" s="155"/>
    </row>
    <row r="135">
      <c r="A135" s="15" t="s">
        <v>404</v>
      </c>
      <c r="B135" s="147" t="s">
        <v>43</v>
      </c>
      <c r="C135" s="148"/>
      <c r="D135" s="148"/>
      <c r="E135" s="148"/>
      <c r="F135" s="148"/>
      <c r="G135" s="148"/>
      <c r="H135" s="162" t="s">
        <v>16</v>
      </c>
      <c r="I135" s="162"/>
      <c r="J135" s="240"/>
      <c r="K135" s="240"/>
      <c r="L135" s="152"/>
      <c r="M135" s="153"/>
    </row>
    <row r="136">
      <c r="A136" s="15" t="s">
        <v>404</v>
      </c>
      <c r="B136" s="154" t="s">
        <v>269</v>
      </c>
      <c r="C136" s="93"/>
      <c r="D136" s="93"/>
      <c r="E136" s="93"/>
      <c r="F136" s="93"/>
      <c r="G136" s="93"/>
      <c r="H136" s="96" t="s">
        <v>16</v>
      </c>
      <c r="I136" s="157"/>
      <c r="J136" s="241"/>
      <c r="K136" s="241"/>
      <c r="L136" s="155"/>
      <c r="M136" s="155"/>
    </row>
    <row r="137">
      <c r="A137" s="243" t="s">
        <v>329</v>
      </c>
      <c r="B137" s="244" t="s">
        <v>34</v>
      </c>
      <c r="C137" s="162" t="s">
        <v>399</v>
      </c>
      <c r="D137" s="150" t="s">
        <v>407</v>
      </c>
      <c r="E137" s="245">
        <v>50862.0</v>
      </c>
      <c r="F137" s="149">
        <v>10681.02</v>
      </c>
      <c r="G137" s="162"/>
      <c r="H137" s="149">
        <v>61543.020000000004</v>
      </c>
      <c r="I137" s="43" t="s">
        <v>81</v>
      </c>
      <c r="J137" s="246">
        <v>45712.0</v>
      </c>
      <c r="K137" s="246">
        <v>45712.0</v>
      </c>
      <c r="L137" s="247"/>
      <c r="M137" s="243"/>
    </row>
    <row r="138">
      <c r="A138" s="248" t="s">
        <v>334</v>
      </c>
      <c r="B138" s="249" t="s">
        <v>34</v>
      </c>
      <c r="C138" s="167" t="s">
        <v>399</v>
      </c>
      <c r="D138" s="239" t="s">
        <v>408</v>
      </c>
      <c r="E138" s="250">
        <v>19929.6</v>
      </c>
      <c r="F138" s="251">
        <v>4185.215999999999</v>
      </c>
      <c r="G138" s="167"/>
      <c r="H138" s="251">
        <v>24114.816</v>
      </c>
      <c r="I138" s="43" t="s">
        <v>81</v>
      </c>
      <c r="J138" s="252">
        <v>45712.0</v>
      </c>
      <c r="K138" s="252">
        <v>45712.0</v>
      </c>
      <c r="L138" s="253"/>
      <c r="M138" s="248"/>
    </row>
    <row r="139">
      <c r="C139" s="71"/>
      <c r="D139" s="71"/>
      <c r="E139" s="71"/>
      <c r="F139" s="73"/>
      <c r="G139" s="73"/>
      <c r="H139" s="73"/>
      <c r="I139" s="73"/>
      <c r="J139" s="73"/>
      <c r="K139" s="73"/>
    </row>
    <row r="140">
      <c r="C140" s="71"/>
      <c r="D140" s="71"/>
      <c r="E140" s="71"/>
      <c r="F140" s="73"/>
      <c r="G140" s="73"/>
      <c r="H140" s="73"/>
      <c r="I140" s="73"/>
      <c r="J140" s="73"/>
      <c r="K140" s="73"/>
    </row>
    <row r="141">
      <c r="C141" s="71"/>
      <c r="D141" s="71"/>
      <c r="E141" s="71"/>
      <c r="F141" s="73"/>
      <c r="G141" s="73"/>
      <c r="H141" s="73"/>
      <c r="I141" s="73"/>
      <c r="J141" s="73"/>
      <c r="K141" s="73"/>
    </row>
    <row r="142">
      <c r="C142" s="71"/>
      <c r="D142" s="71"/>
      <c r="E142" s="71"/>
      <c r="F142" s="73"/>
      <c r="G142" s="73"/>
      <c r="H142" s="73"/>
      <c r="I142" s="73"/>
      <c r="J142" s="73"/>
      <c r="K142" s="73"/>
    </row>
    <row r="143">
      <c r="C143" s="71"/>
      <c r="D143" s="71"/>
      <c r="E143" s="71"/>
      <c r="F143" s="73"/>
      <c r="G143" s="73"/>
      <c r="H143" s="73"/>
      <c r="I143" s="73"/>
      <c r="J143" s="73"/>
      <c r="K143" s="73"/>
    </row>
    <row r="144">
      <c r="C144" s="71"/>
      <c r="D144" s="71"/>
      <c r="E144" s="71"/>
      <c r="F144" s="73"/>
      <c r="G144" s="73"/>
      <c r="H144" s="73"/>
      <c r="I144" s="73"/>
      <c r="J144" s="73"/>
      <c r="K144" s="73"/>
    </row>
    <row r="145">
      <c r="C145" s="71"/>
      <c r="D145" s="71"/>
      <c r="E145" s="71"/>
      <c r="F145" s="73"/>
      <c r="G145" s="73"/>
      <c r="H145" s="73"/>
      <c r="I145" s="73"/>
      <c r="J145" s="73"/>
      <c r="K145" s="73"/>
    </row>
    <row r="146">
      <c r="C146" s="71"/>
      <c r="D146" s="71"/>
      <c r="E146" s="71"/>
      <c r="F146" s="73"/>
      <c r="G146" s="73"/>
      <c r="H146" s="73"/>
      <c r="I146" s="73"/>
      <c r="J146" s="73"/>
      <c r="K146" s="73"/>
    </row>
    <row r="147">
      <c r="C147" s="71"/>
      <c r="D147" s="71"/>
      <c r="E147" s="71"/>
      <c r="F147" s="73"/>
      <c r="G147" s="73"/>
      <c r="H147" s="73"/>
      <c r="I147" s="73"/>
      <c r="J147" s="73"/>
      <c r="K147" s="73"/>
    </row>
    <row r="148">
      <c r="C148" s="71"/>
      <c r="D148" s="71"/>
      <c r="E148" s="71"/>
      <c r="F148" s="73"/>
      <c r="G148" s="73"/>
      <c r="H148" s="73"/>
      <c r="I148" s="73"/>
      <c r="J148" s="73"/>
      <c r="K148" s="73"/>
    </row>
    <row r="149">
      <c r="C149" s="71"/>
      <c r="D149" s="71"/>
      <c r="E149" s="71"/>
      <c r="F149" s="73"/>
      <c r="G149" s="73"/>
      <c r="H149" s="73"/>
      <c r="I149" s="73"/>
      <c r="J149" s="73"/>
      <c r="K149" s="73"/>
    </row>
    <row r="150">
      <c r="C150" s="71"/>
      <c r="D150" s="71"/>
      <c r="E150" s="71"/>
      <c r="F150" s="73"/>
      <c r="G150" s="73"/>
      <c r="H150" s="73"/>
      <c r="I150" s="73"/>
      <c r="J150" s="73"/>
      <c r="K150" s="73"/>
    </row>
    <row r="151">
      <c r="C151" s="71"/>
      <c r="D151" s="71"/>
      <c r="E151" s="71"/>
      <c r="F151" s="73"/>
      <c r="G151" s="73"/>
      <c r="H151" s="73"/>
      <c r="I151" s="73"/>
      <c r="J151" s="73"/>
      <c r="K151" s="73"/>
    </row>
    <row r="152">
      <c r="C152" s="71"/>
      <c r="D152" s="71"/>
      <c r="E152" s="71"/>
      <c r="F152" s="73"/>
      <c r="G152" s="73"/>
      <c r="H152" s="73"/>
      <c r="I152" s="73"/>
      <c r="J152" s="73"/>
      <c r="K152" s="73"/>
    </row>
    <row r="153">
      <c r="C153" s="71"/>
      <c r="D153" s="71"/>
      <c r="E153" s="71"/>
      <c r="F153" s="73"/>
      <c r="G153" s="73"/>
      <c r="H153" s="73"/>
      <c r="I153" s="73"/>
      <c r="J153" s="73"/>
      <c r="K153" s="73"/>
    </row>
    <row r="154">
      <c r="C154" s="71"/>
      <c r="D154" s="71"/>
      <c r="E154" s="71"/>
      <c r="F154" s="73"/>
      <c r="G154" s="73"/>
      <c r="H154" s="73"/>
      <c r="I154" s="73"/>
      <c r="J154" s="73"/>
      <c r="K154" s="73"/>
    </row>
    <row r="155">
      <c r="C155" s="71"/>
      <c r="D155" s="71"/>
      <c r="E155" s="71"/>
      <c r="F155" s="73"/>
      <c r="G155" s="73"/>
      <c r="H155" s="73"/>
      <c r="I155" s="73"/>
      <c r="J155" s="73"/>
      <c r="K155" s="73"/>
    </row>
    <row r="156">
      <c r="C156" s="71"/>
      <c r="D156" s="71"/>
      <c r="E156" s="71"/>
      <c r="F156" s="73"/>
      <c r="G156" s="73"/>
      <c r="H156" s="73"/>
      <c r="I156" s="73"/>
      <c r="J156" s="73"/>
      <c r="K156" s="73"/>
    </row>
    <row r="157">
      <c r="C157" s="71"/>
      <c r="D157" s="71"/>
      <c r="E157" s="71"/>
      <c r="F157" s="73"/>
      <c r="G157" s="73"/>
      <c r="H157" s="73"/>
      <c r="I157" s="73"/>
      <c r="J157" s="73"/>
      <c r="K157" s="73"/>
    </row>
    <row r="158">
      <c r="C158" s="71"/>
      <c r="D158" s="71"/>
      <c r="E158" s="71"/>
      <c r="F158" s="73"/>
      <c r="G158" s="73"/>
      <c r="H158" s="73"/>
      <c r="I158" s="73"/>
      <c r="J158" s="73"/>
      <c r="K158" s="73"/>
    </row>
    <row r="159">
      <c r="C159" s="71"/>
      <c r="D159" s="71"/>
      <c r="E159" s="71"/>
      <c r="F159" s="73"/>
      <c r="G159" s="73"/>
      <c r="H159" s="73"/>
      <c r="I159" s="73"/>
      <c r="J159" s="73"/>
      <c r="K159" s="73"/>
    </row>
    <row r="160">
      <c r="C160" s="71"/>
      <c r="D160" s="71"/>
      <c r="E160" s="71"/>
      <c r="F160" s="73"/>
      <c r="G160" s="73"/>
      <c r="H160" s="73"/>
      <c r="I160" s="73"/>
      <c r="J160" s="73"/>
      <c r="K160" s="73"/>
    </row>
    <row r="161">
      <c r="C161" s="71"/>
      <c r="D161" s="71"/>
      <c r="E161" s="71"/>
      <c r="F161" s="73"/>
      <c r="G161" s="73"/>
      <c r="H161" s="73"/>
      <c r="I161" s="73"/>
      <c r="J161" s="73"/>
      <c r="K161" s="73"/>
    </row>
    <row r="162">
      <c r="C162" s="71"/>
      <c r="D162" s="71"/>
      <c r="E162" s="71"/>
      <c r="F162" s="73"/>
      <c r="G162" s="73"/>
      <c r="H162" s="73"/>
      <c r="I162" s="73"/>
      <c r="J162" s="73"/>
      <c r="K162" s="73"/>
    </row>
    <row r="163">
      <c r="C163" s="71"/>
      <c r="D163" s="71"/>
      <c r="E163" s="71"/>
      <c r="F163" s="73"/>
      <c r="G163" s="73"/>
      <c r="H163" s="73"/>
      <c r="I163" s="73"/>
      <c r="J163" s="73"/>
      <c r="K163" s="73"/>
    </row>
    <row r="164">
      <c r="C164" s="71"/>
      <c r="D164" s="71"/>
      <c r="E164" s="71"/>
      <c r="F164" s="73"/>
      <c r="G164" s="73"/>
      <c r="H164" s="73"/>
      <c r="I164" s="73"/>
      <c r="J164" s="73"/>
      <c r="K164" s="73"/>
    </row>
    <row r="165">
      <c r="C165" s="71"/>
      <c r="D165" s="71"/>
      <c r="E165" s="71"/>
      <c r="F165" s="73"/>
      <c r="G165" s="73"/>
      <c r="H165" s="73"/>
      <c r="I165" s="73"/>
      <c r="J165" s="73"/>
      <c r="K165" s="73"/>
    </row>
    <row r="166">
      <c r="C166" s="71"/>
      <c r="D166" s="71"/>
      <c r="E166" s="71"/>
      <c r="F166" s="73"/>
      <c r="G166" s="73"/>
      <c r="H166" s="73"/>
      <c r="I166" s="73"/>
      <c r="J166" s="73"/>
      <c r="K166" s="73"/>
    </row>
    <row r="167">
      <c r="C167" s="71"/>
      <c r="D167" s="71"/>
      <c r="E167" s="71"/>
      <c r="F167" s="73"/>
      <c r="G167" s="73"/>
      <c r="H167" s="73"/>
      <c r="I167" s="73"/>
      <c r="J167" s="73"/>
      <c r="K167" s="73"/>
    </row>
    <row r="168">
      <c r="C168" s="71"/>
      <c r="D168" s="71"/>
      <c r="E168" s="71"/>
      <c r="F168" s="73"/>
      <c r="G168" s="73"/>
      <c r="H168" s="73"/>
      <c r="I168" s="73"/>
      <c r="J168" s="73"/>
      <c r="K168" s="73"/>
    </row>
    <row r="169">
      <c r="C169" s="71"/>
      <c r="D169" s="71"/>
      <c r="E169" s="71"/>
      <c r="F169" s="73"/>
      <c r="G169" s="73"/>
      <c r="H169" s="73"/>
      <c r="I169" s="73"/>
      <c r="J169" s="73"/>
      <c r="K169" s="73"/>
    </row>
    <row r="170">
      <c r="C170" s="71"/>
      <c r="D170" s="71"/>
      <c r="E170" s="71"/>
      <c r="F170" s="73"/>
      <c r="G170" s="73"/>
      <c r="H170" s="73"/>
      <c r="I170" s="73"/>
      <c r="J170" s="73"/>
      <c r="K170" s="73"/>
    </row>
    <row r="171">
      <c r="C171" s="71"/>
      <c r="D171" s="71"/>
      <c r="E171" s="71"/>
      <c r="F171" s="73"/>
      <c r="G171" s="73"/>
      <c r="H171" s="73"/>
      <c r="I171" s="73"/>
      <c r="J171" s="73"/>
      <c r="K171" s="73"/>
    </row>
    <row r="172">
      <c r="C172" s="71"/>
      <c r="D172" s="71"/>
      <c r="E172" s="71"/>
      <c r="F172" s="73"/>
      <c r="G172" s="73"/>
      <c r="H172" s="73"/>
      <c r="I172" s="73"/>
      <c r="J172" s="73"/>
      <c r="K172" s="73"/>
    </row>
    <row r="173">
      <c r="C173" s="71"/>
      <c r="D173" s="71"/>
      <c r="E173" s="71"/>
      <c r="F173" s="73"/>
      <c r="G173" s="73"/>
      <c r="H173" s="73"/>
      <c r="I173" s="73"/>
      <c r="J173" s="73"/>
      <c r="K173" s="73"/>
    </row>
    <row r="174">
      <c r="C174" s="71"/>
      <c r="D174" s="71"/>
      <c r="E174" s="71"/>
      <c r="F174" s="73"/>
      <c r="G174" s="73"/>
      <c r="H174" s="73"/>
      <c r="I174" s="73"/>
      <c r="J174" s="73"/>
      <c r="K174" s="73"/>
    </row>
    <row r="175">
      <c r="C175" s="71"/>
      <c r="D175" s="71"/>
      <c r="E175" s="71"/>
      <c r="F175" s="73"/>
      <c r="G175" s="73"/>
      <c r="H175" s="73"/>
      <c r="I175" s="73"/>
      <c r="J175" s="73"/>
      <c r="K175" s="73"/>
    </row>
    <row r="176">
      <c r="C176" s="71"/>
      <c r="D176" s="71"/>
      <c r="E176" s="71"/>
      <c r="F176" s="73"/>
      <c r="G176" s="73"/>
      <c r="H176" s="73"/>
      <c r="I176" s="73"/>
      <c r="J176" s="73"/>
      <c r="K176" s="73"/>
    </row>
    <row r="177">
      <c r="C177" s="71"/>
      <c r="D177" s="71"/>
      <c r="E177" s="71"/>
      <c r="F177" s="73"/>
      <c r="G177" s="73"/>
      <c r="H177" s="73"/>
      <c r="I177" s="73"/>
      <c r="J177" s="73"/>
      <c r="K177" s="73"/>
    </row>
    <row r="178">
      <c r="C178" s="71"/>
      <c r="D178" s="71"/>
      <c r="E178" s="71"/>
      <c r="F178" s="73"/>
      <c r="G178" s="73"/>
      <c r="H178" s="73"/>
      <c r="I178" s="73"/>
      <c r="J178" s="73"/>
      <c r="K178" s="73"/>
    </row>
    <row r="179">
      <c r="C179" s="71"/>
      <c r="D179" s="71"/>
      <c r="E179" s="71"/>
      <c r="F179" s="73"/>
      <c r="G179" s="73"/>
      <c r="H179" s="73"/>
      <c r="I179" s="73"/>
      <c r="J179" s="73"/>
      <c r="K179" s="73"/>
    </row>
    <row r="180">
      <c r="C180" s="71"/>
      <c r="D180" s="71"/>
      <c r="E180" s="71"/>
      <c r="F180" s="73"/>
      <c r="G180" s="73"/>
      <c r="H180" s="73"/>
      <c r="I180" s="73"/>
      <c r="J180" s="73"/>
      <c r="K180" s="73"/>
    </row>
    <row r="181">
      <c r="C181" s="71"/>
      <c r="D181" s="71"/>
      <c r="E181" s="71"/>
      <c r="F181" s="73"/>
      <c r="G181" s="73"/>
      <c r="H181" s="73"/>
      <c r="I181" s="73"/>
      <c r="J181" s="73"/>
      <c r="K181" s="73"/>
    </row>
    <row r="182">
      <c r="C182" s="71"/>
      <c r="D182" s="71"/>
      <c r="E182" s="71"/>
      <c r="F182" s="73"/>
      <c r="G182" s="73"/>
      <c r="H182" s="73"/>
      <c r="I182" s="73"/>
      <c r="J182" s="73"/>
      <c r="K182" s="73"/>
    </row>
    <row r="183">
      <c r="C183" s="71"/>
      <c r="D183" s="71"/>
      <c r="E183" s="71"/>
      <c r="F183" s="73"/>
      <c r="G183" s="73"/>
      <c r="H183" s="73"/>
      <c r="I183" s="73"/>
      <c r="J183" s="73"/>
      <c r="K183" s="73"/>
    </row>
    <row r="184">
      <c r="C184" s="71"/>
      <c r="D184" s="71"/>
      <c r="E184" s="71"/>
      <c r="F184" s="73"/>
      <c r="G184" s="73"/>
      <c r="H184" s="73"/>
      <c r="I184" s="73"/>
      <c r="J184" s="73"/>
      <c r="K184" s="73"/>
    </row>
    <row r="185">
      <c r="C185" s="71"/>
      <c r="D185" s="71"/>
      <c r="E185" s="71"/>
      <c r="F185" s="73"/>
      <c r="G185" s="73"/>
      <c r="H185" s="73"/>
      <c r="I185" s="73"/>
      <c r="J185" s="73"/>
      <c r="K185" s="73"/>
    </row>
    <row r="186">
      <c r="C186" s="71"/>
      <c r="D186" s="71"/>
      <c r="E186" s="71"/>
      <c r="F186" s="73"/>
      <c r="G186" s="73"/>
      <c r="H186" s="73"/>
      <c r="I186" s="73"/>
      <c r="J186" s="73"/>
      <c r="K186" s="73"/>
    </row>
    <row r="187">
      <c r="C187" s="71"/>
      <c r="D187" s="71"/>
      <c r="E187" s="71"/>
      <c r="F187" s="73"/>
      <c r="G187" s="73"/>
      <c r="H187" s="73"/>
      <c r="I187" s="73"/>
      <c r="J187" s="73"/>
      <c r="K187" s="73"/>
    </row>
    <row r="188">
      <c r="C188" s="71"/>
      <c r="D188" s="71"/>
      <c r="E188" s="71"/>
      <c r="F188" s="73"/>
      <c r="G188" s="73"/>
      <c r="H188" s="73"/>
      <c r="I188" s="73"/>
      <c r="J188" s="73"/>
      <c r="K188" s="73"/>
    </row>
    <row r="189">
      <c r="C189" s="71"/>
      <c r="D189" s="71"/>
      <c r="E189" s="71"/>
      <c r="F189" s="73"/>
      <c r="G189" s="73"/>
      <c r="H189" s="73"/>
      <c r="I189" s="73"/>
      <c r="J189" s="73"/>
      <c r="K189" s="73"/>
    </row>
    <row r="190">
      <c r="C190" s="71"/>
      <c r="D190" s="71"/>
      <c r="E190" s="71"/>
      <c r="F190" s="73"/>
      <c r="G190" s="73"/>
      <c r="H190" s="73"/>
      <c r="I190" s="73"/>
      <c r="J190" s="73"/>
      <c r="K190" s="73"/>
    </row>
    <row r="191">
      <c r="C191" s="71"/>
      <c r="D191" s="71"/>
      <c r="E191" s="71"/>
      <c r="F191" s="73"/>
      <c r="G191" s="73"/>
      <c r="H191" s="73"/>
      <c r="I191" s="73"/>
      <c r="J191" s="73"/>
      <c r="K191" s="73"/>
    </row>
    <row r="192">
      <c r="C192" s="71"/>
      <c r="D192" s="71"/>
      <c r="E192" s="71"/>
      <c r="F192" s="73"/>
      <c r="G192" s="73"/>
      <c r="H192" s="73"/>
      <c r="I192" s="73"/>
      <c r="J192" s="73"/>
      <c r="K192" s="73"/>
    </row>
    <row r="193">
      <c r="C193" s="71"/>
      <c r="D193" s="71"/>
      <c r="E193" s="71"/>
      <c r="F193" s="73"/>
      <c r="G193" s="73"/>
      <c r="H193" s="73"/>
      <c r="I193" s="73"/>
      <c r="J193" s="73"/>
      <c r="K193" s="73"/>
    </row>
    <row r="194">
      <c r="C194" s="71"/>
      <c r="D194" s="71"/>
      <c r="E194" s="71"/>
      <c r="F194" s="73"/>
      <c r="G194" s="73"/>
      <c r="H194" s="73"/>
      <c r="I194" s="73"/>
      <c r="J194" s="73"/>
      <c r="K194" s="73"/>
    </row>
    <row r="195">
      <c r="C195" s="71"/>
      <c r="D195" s="71"/>
      <c r="E195" s="71"/>
      <c r="F195" s="73"/>
      <c r="G195" s="73"/>
      <c r="H195" s="73"/>
      <c r="I195" s="73"/>
      <c r="J195" s="73"/>
      <c r="K195" s="73"/>
    </row>
    <row r="196">
      <c r="C196" s="71"/>
      <c r="D196" s="71"/>
      <c r="E196" s="71"/>
      <c r="F196" s="73"/>
      <c r="G196" s="73"/>
      <c r="H196" s="73"/>
      <c r="I196" s="73"/>
      <c r="J196" s="73"/>
      <c r="K196" s="73"/>
    </row>
    <row r="197">
      <c r="C197" s="71"/>
      <c r="D197" s="71"/>
      <c r="E197" s="71"/>
      <c r="F197" s="73"/>
      <c r="G197" s="73"/>
      <c r="H197" s="73"/>
      <c r="I197" s="73"/>
      <c r="J197" s="73"/>
      <c r="K197" s="73"/>
    </row>
    <row r="198">
      <c r="C198" s="71"/>
      <c r="D198" s="71"/>
      <c r="E198" s="71"/>
      <c r="F198" s="73"/>
      <c r="G198" s="73"/>
      <c r="H198" s="73"/>
      <c r="I198" s="73"/>
      <c r="J198" s="73"/>
      <c r="K198" s="73"/>
    </row>
    <row r="199">
      <c r="C199" s="71"/>
      <c r="D199" s="71"/>
      <c r="E199" s="71"/>
      <c r="F199" s="73"/>
      <c r="G199" s="73"/>
      <c r="H199" s="73"/>
      <c r="I199" s="73"/>
      <c r="J199" s="73"/>
      <c r="K199" s="73"/>
    </row>
    <row r="200">
      <c r="C200" s="71"/>
      <c r="D200" s="71"/>
      <c r="E200" s="71"/>
      <c r="F200" s="73"/>
      <c r="G200" s="73"/>
      <c r="H200" s="73"/>
      <c r="I200" s="73"/>
      <c r="J200" s="73"/>
      <c r="K200" s="73"/>
    </row>
    <row r="201">
      <c r="C201" s="71"/>
      <c r="D201" s="71"/>
      <c r="E201" s="71"/>
      <c r="F201" s="73"/>
      <c r="G201" s="73"/>
      <c r="H201" s="73"/>
      <c r="I201" s="73"/>
      <c r="J201" s="73"/>
      <c r="K201" s="73"/>
    </row>
    <row r="202">
      <c r="C202" s="71"/>
      <c r="D202" s="71"/>
      <c r="E202" s="71"/>
      <c r="F202" s="73"/>
      <c r="G202" s="73"/>
      <c r="H202" s="73"/>
      <c r="I202" s="73"/>
      <c r="J202" s="73"/>
      <c r="K202" s="73"/>
    </row>
    <row r="203">
      <c r="C203" s="71"/>
      <c r="D203" s="71"/>
      <c r="E203" s="71"/>
      <c r="F203" s="73"/>
      <c r="G203" s="73"/>
      <c r="H203" s="73"/>
      <c r="I203" s="73"/>
      <c r="J203" s="73"/>
      <c r="K203" s="73"/>
    </row>
    <row r="204">
      <c r="C204" s="71"/>
      <c r="D204" s="71"/>
      <c r="E204" s="71"/>
      <c r="F204" s="73"/>
      <c r="G204" s="73"/>
      <c r="H204" s="73"/>
      <c r="I204" s="73"/>
      <c r="J204" s="73"/>
      <c r="K204" s="73"/>
    </row>
    <row r="205">
      <c r="C205" s="71"/>
      <c r="D205" s="71"/>
      <c r="E205" s="71"/>
      <c r="F205" s="73"/>
      <c r="G205" s="73"/>
      <c r="H205" s="73"/>
      <c r="I205" s="73"/>
      <c r="J205" s="73"/>
      <c r="K205" s="73"/>
    </row>
    <row r="206">
      <c r="C206" s="71"/>
      <c r="D206" s="71"/>
      <c r="E206" s="71"/>
      <c r="F206" s="73"/>
      <c r="G206" s="73"/>
      <c r="H206" s="73"/>
      <c r="I206" s="73"/>
      <c r="J206" s="73"/>
      <c r="K206" s="73"/>
    </row>
    <row r="207">
      <c r="C207" s="71"/>
      <c r="D207" s="71"/>
      <c r="E207" s="71"/>
      <c r="F207" s="73"/>
      <c r="G207" s="73"/>
      <c r="H207" s="73"/>
      <c r="I207" s="73"/>
      <c r="J207" s="73"/>
      <c r="K207" s="73"/>
    </row>
    <row r="208">
      <c r="C208" s="71"/>
      <c r="D208" s="71"/>
      <c r="E208" s="71"/>
      <c r="F208" s="73"/>
      <c r="G208" s="73"/>
      <c r="H208" s="73"/>
      <c r="I208" s="73"/>
      <c r="J208" s="73"/>
      <c r="K208" s="73"/>
    </row>
    <row r="209">
      <c r="C209" s="71"/>
      <c r="D209" s="71"/>
      <c r="E209" s="71"/>
      <c r="F209" s="73"/>
      <c r="G209" s="73"/>
      <c r="H209" s="73"/>
      <c r="I209" s="73"/>
      <c r="J209" s="73"/>
      <c r="K209" s="73"/>
    </row>
    <row r="210">
      <c r="C210" s="71"/>
      <c r="D210" s="71"/>
      <c r="E210" s="71"/>
      <c r="F210" s="73"/>
      <c r="G210" s="73"/>
      <c r="H210" s="73"/>
      <c r="I210" s="73"/>
      <c r="J210" s="73"/>
      <c r="K210" s="73"/>
    </row>
    <row r="211">
      <c r="C211" s="71"/>
      <c r="D211" s="71"/>
      <c r="E211" s="71"/>
      <c r="F211" s="73"/>
      <c r="G211" s="73"/>
      <c r="H211" s="73"/>
      <c r="I211" s="73"/>
      <c r="J211" s="73"/>
      <c r="K211" s="73"/>
    </row>
    <row r="212">
      <c r="C212" s="71"/>
      <c r="D212" s="71"/>
      <c r="E212" s="71"/>
      <c r="F212" s="73"/>
      <c r="G212" s="73"/>
      <c r="H212" s="73"/>
      <c r="I212" s="73"/>
      <c r="J212" s="73"/>
      <c r="K212" s="73"/>
    </row>
    <row r="213">
      <c r="C213" s="71"/>
      <c r="D213" s="71"/>
      <c r="E213" s="71"/>
      <c r="F213" s="73"/>
      <c r="G213" s="73"/>
      <c r="H213" s="73"/>
      <c r="I213" s="73"/>
      <c r="J213" s="73"/>
      <c r="K213" s="73"/>
    </row>
    <row r="214">
      <c r="C214" s="71"/>
      <c r="D214" s="71"/>
      <c r="E214" s="71"/>
      <c r="F214" s="73"/>
      <c r="G214" s="73"/>
      <c r="H214" s="73"/>
      <c r="I214" s="73"/>
      <c r="J214" s="73"/>
      <c r="K214" s="73"/>
    </row>
    <row r="215">
      <c r="C215" s="71"/>
      <c r="D215" s="71"/>
      <c r="E215" s="71"/>
      <c r="F215" s="73"/>
      <c r="G215" s="73"/>
      <c r="H215" s="73"/>
      <c r="I215" s="73"/>
      <c r="J215" s="73"/>
      <c r="K215" s="73"/>
    </row>
    <row r="216">
      <c r="C216" s="71"/>
      <c r="D216" s="71"/>
      <c r="E216" s="71"/>
      <c r="F216" s="73"/>
      <c r="G216" s="73"/>
      <c r="H216" s="73"/>
      <c r="I216" s="73"/>
      <c r="J216" s="73"/>
      <c r="K216" s="73"/>
    </row>
    <row r="217">
      <c r="C217" s="71"/>
      <c r="D217" s="71"/>
      <c r="E217" s="71"/>
      <c r="F217" s="73"/>
      <c r="G217" s="73"/>
      <c r="H217" s="73"/>
      <c r="I217" s="73"/>
      <c r="J217" s="73"/>
      <c r="K217" s="73"/>
    </row>
    <row r="218">
      <c r="C218" s="71"/>
      <c r="D218" s="71"/>
      <c r="E218" s="71"/>
      <c r="F218" s="73"/>
      <c r="G218" s="73"/>
      <c r="H218" s="73"/>
      <c r="I218" s="73"/>
      <c r="J218" s="73"/>
      <c r="K218" s="73"/>
    </row>
    <row r="219">
      <c r="C219" s="71"/>
      <c r="D219" s="71"/>
      <c r="E219" s="71"/>
      <c r="F219" s="73"/>
      <c r="G219" s="73"/>
      <c r="H219" s="73"/>
      <c r="I219" s="73"/>
      <c r="J219" s="73"/>
      <c r="K219" s="73"/>
    </row>
    <row r="220">
      <c r="C220" s="71"/>
      <c r="D220" s="71"/>
      <c r="E220" s="71"/>
      <c r="F220" s="73"/>
      <c r="G220" s="73"/>
      <c r="H220" s="73"/>
      <c r="I220" s="73"/>
      <c r="J220" s="73"/>
      <c r="K220" s="73"/>
    </row>
    <row r="221">
      <c r="C221" s="71"/>
      <c r="D221" s="71"/>
      <c r="E221" s="71"/>
      <c r="F221" s="73"/>
      <c r="G221" s="73"/>
      <c r="H221" s="73"/>
      <c r="I221" s="73"/>
      <c r="J221" s="73"/>
      <c r="K221" s="73"/>
    </row>
    <row r="222">
      <c r="C222" s="71"/>
      <c r="D222" s="71"/>
      <c r="E222" s="71"/>
      <c r="F222" s="73"/>
      <c r="G222" s="73"/>
      <c r="H222" s="73"/>
      <c r="I222" s="73"/>
      <c r="J222" s="73"/>
      <c r="K222" s="73"/>
    </row>
    <row r="223">
      <c r="C223" s="71"/>
      <c r="D223" s="71"/>
      <c r="E223" s="71"/>
      <c r="F223" s="73"/>
      <c r="G223" s="73"/>
      <c r="H223" s="73"/>
      <c r="I223" s="73"/>
      <c r="J223" s="73"/>
      <c r="K223" s="73"/>
    </row>
    <row r="224">
      <c r="C224" s="71"/>
      <c r="D224" s="71"/>
      <c r="E224" s="71"/>
      <c r="F224" s="73"/>
      <c r="G224" s="73"/>
      <c r="H224" s="73"/>
      <c r="I224" s="73"/>
      <c r="J224" s="73"/>
      <c r="K224" s="73"/>
    </row>
    <row r="225">
      <c r="C225" s="71"/>
      <c r="D225" s="71"/>
      <c r="E225" s="71"/>
      <c r="F225" s="73"/>
      <c r="G225" s="73"/>
      <c r="H225" s="73"/>
      <c r="I225" s="73"/>
      <c r="J225" s="73"/>
      <c r="K225" s="73"/>
    </row>
    <row r="226">
      <c r="C226" s="71"/>
      <c r="D226" s="71"/>
      <c r="E226" s="71"/>
      <c r="F226" s="73"/>
      <c r="G226" s="73"/>
      <c r="H226" s="73"/>
      <c r="I226" s="73"/>
      <c r="J226" s="73"/>
      <c r="K226" s="73"/>
    </row>
    <row r="227">
      <c r="C227" s="71"/>
      <c r="D227" s="71"/>
      <c r="E227" s="71"/>
      <c r="F227" s="73"/>
      <c r="G227" s="73"/>
      <c r="H227" s="73"/>
      <c r="I227" s="73"/>
      <c r="J227" s="73"/>
      <c r="K227" s="73"/>
    </row>
    <row r="228">
      <c r="C228" s="71"/>
      <c r="D228" s="71"/>
      <c r="E228" s="71"/>
      <c r="F228" s="73"/>
      <c r="G228" s="73"/>
      <c r="H228" s="73"/>
      <c r="I228" s="73"/>
      <c r="J228" s="73"/>
      <c r="K228" s="73"/>
    </row>
    <row r="229">
      <c r="C229" s="71"/>
      <c r="D229" s="71"/>
      <c r="E229" s="71"/>
      <c r="F229" s="73"/>
      <c r="G229" s="73"/>
      <c r="H229" s="73"/>
      <c r="I229" s="73"/>
      <c r="J229" s="73"/>
      <c r="K229" s="73"/>
    </row>
    <row r="230">
      <c r="C230" s="71"/>
      <c r="D230" s="71"/>
      <c r="E230" s="71"/>
      <c r="F230" s="73"/>
      <c r="G230" s="73"/>
      <c r="H230" s="73"/>
      <c r="I230" s="73"/>
      <c r="J230" s="73"/>
      <c r="K230" s="73"/>
    </row>
    <row r="231">
      <c r="C231" s="71"/>
      <c r="D231" s="71"/>
      <c r="E231" s="71"/>
      <c r="F231" s="73"/>
      <c r="G231" s="73"/>
      <c r="H231" s="73"/>
      <c r="I231" s="73"/>
      <c r="J231" s="73"/>
      <c r="K231" s="73"/>
    </row>
    <row r="232">
      <c r="C232" s="71"/>
      <c r="D232" s="71"/>
      <c r="E232" s="71"/>
      <c r="F232" s="73"/>
      <c r="G232" s="73"/>
      <c r="H232" s="73"/>
      <c r="I232" s="73"/>
      <c r="J232" s="73"/>
      <c r="K232" s="73"/>
    </row>
    <row r="233">
      <c r="C233" s="71"/>
      <c r="D233" s="71"/>
      <c r="E233" s="71"/>
      <c r="F233" s="73"/>
      <c r="G233" s="73"/>
      <c r="H233" s="73"/>
      <c r="I233" s="73"/>
      <c r="J233" s="73"/>
      <c r="K233" s="73"/>
    </row>
    <row r="234">
      <c r="C234" s="71"/>
      <c r="D234" s="71"/>
      <c r="E234" s="71"/>
      <c r="F234" s="73"/>
      <c r="G234" s="73"/>
      <c r="H234" s="73"/>
      <c r="I234" s="73"/>
      <c r="J234" s="73"/>
      <c r="K234" s="73"/>
    </row>
    <row r="235">
      <c r="C235" s="71"/>
      <c r="D235" s="71"/>
      <c r="E235" s="71"/>
      <c r="F235" s="73"/>
      <c r="G235" s="73"/>
      <c r="H235" s="73"/>
      <c r="I235" s="73"/>
      <c r="J235" s="73"/>
      <c r="K235" s="73"/>
    </row>
    <row r="236">
      <c r="C236" s="71"/>
      <c r="D236" s="71"/>
      <c r="E236" s="71"/>
      <c r="F236" s="73"/>
      <c r="G236" s="73"/>
      <c r="H236" s="73"/>
      <c r="I236" s="73"/>
      <c r="J236" s="73"/>
      <c r="K236" s="73"/>
    </row>
    <row r="237">
      <c r="C237" s="71"/>
      <c r="D237" s="71"/>
      <c r="E237" s="71"/>
      <c r="F237" s="73"/>
      <c r="G237" s="73"/>
      <c r="H237" s="73"/>
      <c r="I237" s="73"/>
      <c r="J237" s="73"/>
      <c r="K237" s="73"/>
    </row>
    <row r="238">
      <c r="C238" s="71"/>
      <c r="D238" s="71"/>
      <c r="E238" s="71"/>
      <c r="F238" s="73"/>
      <c r="G238" s="73"/>
      <c r="H238" s="73"/>
      <c r="I238" s="73"/>
      <c r="J238" s="73"/>
      <c r="K238" s="73"/>
    </row>
    <row r="239">
      <c r="C239" s="71"/>
      <c r="D239" s="71"/>
      <c r="E239" s="71"/>
      <c r="F239" s="73"/>
      <c r="G239" s="73"/>
      <c r="H239" s="73"/>
      <c r="I239" s="73"/>
      <c r="J239" s="73"/>
      <c r="K239" s="73"/>
    </row>
    <row r="240">
      <c r="C240" s="71"/>
      <c r="D240" s="71"/>
      <c r="E240" s="71"/>
      <c r="F240" s="73"/>
      <c r="G240" s="73"/>
      <c r="H240" s="73"/>
      <c r="I240" s="73"/>
      <c r="J240" s="73"/>
      <c r="K240" s="73"/>
    </row>
    <row r="241">
      <c r="C241" s="71"/>
      <c r="D241" s="71"/>
      <c r="E241" s="71"/>
      <c r="F241" s="73"/>
      <c r="G241" s="73"/>
      <c r="H241" s="73"/>
      <c r="I241" s="73"/>
      <c r="J241" s="73"/>
      <c r="K241" s="73"/>
    </row>
    <row r="242">
      <c r="C242" s="71"/>
      <c r="D242" s="71"/>
      <c r="E242" s="71"/>
      <c r="F242" s="73"/>
      <c r="G242" s="73"/>
      <c r="H242" s="73"/>
      <c r="I242" s="73"/>
      <c r="J242" s="73"/>
      <c r="K242" s="73"/>
    </row>
    <row r="243">
      <c r="C243" s="71"/>
      <c r="D243" s="71"/>
      <c r="E243" s="71"/>
      <c r="F243" s="73"/>
      <c r="G243" s="73"/>
      <c r="H243" s="73"/>
      <c r="I243" s="73"/>
      <c r="J243" s="73"/>
      <c r="K243" s="73"/>
    </row>
    <row r="244">
      <c r="C244" s="71"/>
      <c r="D244" s="71"/>
      <c r="E244" s="71"/>
      <c r="F244" s="73"/>
      <c r="G244" s="73"/>
      <c r="H244" s="73"/>
      <c r="I244" s="73"/>
      <c r="J244" s="73"/>
      <c r="K244" s="73"/>
    </row>
    <row r="245">
      <c r="C245" s="71"/>
      <c r="D245" s="71"/>
      <c r="E245" s="71"/>
      <c r="F245" s="73"/>
      <c r="G245" s="73"/>
      <c r="H245" s="73"/>
      <c r="I245" s="73"/>
      <c r="J245" s="73"/>
      <c r="K245" s="73"/>
    </row>
    <row r="246">
      <c r="C246" s="71"/>
      <c r="D246" s="71"/>
      <c r="E246" s="71"/>
      <c r="F246" s="73"/>
      <c r="G246" s="73"/>
      <c r="H246" s="73"/>
      <c r="I246" s="73"/>
      <c r="J246" s="73"/>
      <c r="K246" s="73"/>
    </row>
    <row r="247">
      <c r="C247" s="71"/>
      <c r="D247" s="71"/>
      <c r="E247" s="71"/>
      <c r="F247" s="73"/>
      <c r="G247" s="73"/>
      <c r="H247" s="73"/>
      <c r="I247" s="73"/>
      <c r="J247" s="73"/>
      <c r="K247" s="73"/>
    </row>
    <row r="248">
      <c r="C248" s="71"/>
      <c r="D248" s="71"/>
      <c r="E248" s="71"/>
      <c r="F248" s="73"/>
      <c r="G248" s="73"/>
      <c r="H248" s="73"/>
      <c r="I248" s="73"/>
      <c r="J248" s="73"/>
      <c r="K248" s="73"/>
    </row>
    <row r="249">
      <c r="C249" s="71"/>
      <c r="D249" s="71"/>
      <c r="E249" s="71"/>
      <c r="F249" s="73"/>
      <c r="G249" s="73"/>
      <c r="H249" s="73"/>
      <c r="I249" s="73"/>
      <c r="J249" s="73"/>
      <c r="K249" s="73"/>
    </row>
    <row r="250">
      <c r="C250" s="71"/>
      <c r="D250" s="71"/>
      <c r="E250" s="71"/>
      <c r="F250" s="73"/>
      <c r="G250" s="73"/>
      <c r="H250" s="73"/>
      <c r="I250" s="73"/>
      <c r="J250" s="73"/>
      <c r="K250" s="73"/>
    </row>
    <row r="251">
      <c r="C251" s="71"/>
      <c r="D251" s="71"/>
      <c r="E251" s="71"/>
      <c r="F251" s="73"/>
      <c r="G251" s="73"/>
      <c r="H251" s="73"/>
      <c r="I251" s="73"/>
      <c r="J251" s="73"/>
      <c r="K251" s="73"/>
    </row>
    <row r="252">
      <c r="C252" s="71"/>
      <c r="D252" s="71"/>
      <c r="E252" s="71"/>
      <c r="F252" s="73"/>
      <c r="G252" s="73"/>
      <c r="H252" s="73"/>
      <c r="I252" s="73"/>
      <c r="J252" s="73"/>
      <c r="K252" s="73"/>
    </row>
    <row r="253">
      <c r="C253" s="71"/>
      <c r="D253" s="71"/>
      <c r="E253" s="71"/>
      <c r="F253" s="73"/>
      <c r="G253" s="73"/>
      <c r="H253" s="73"/>
      <c r="I253" s="73"/>
      <c r="J253" s="73"/>
      <c r="K253" s="73"/>
    </row>
    <row r="254">
      <c r="C254" s="71"/>
      <c r="D254" s="71"/>
      <c r="E254" s="71"/>
      <c r="F254" s="73"/>
      <c r="G254" s="73"/>
      <c r="H254" s="73"/>
      <c r="I254" s="73"/>
      <c r="J254" s="73"/>
      <c r="K254" s="73"/>
    </row>
    <row r="255">
      <c r="C255" s="71"/>
      <c r="D255" s="71"/>
      <c r="E255" s="71"/>
      <c r="F255" s="73"/>
      <c r="G255" s="73"/>
      <c r="H255" s="73"/>
      <c r="I255" s="73"/>
      <c r="J255" s="73"/>
      <c r="K255" s="73"/>
    </row>
    <row r="256">
      <c r="C256" s="71"/>
      <c r="D256" s="71"/>
      <c r="E256" s="71"/>
      <c r="F256" s="73"/>
      <c r="G256" s="73"/>
      <c r="H256" s="73"/>
      <c r="I256" s="73"/>
      <c r="J256" s="73"/>
      <c r="K256" s="73"/>
    </row>
    <row r="257">
      <c r="C257" s="71"/>
      <c r="D257" s="71"/>
      <c r="E257" s="71"/>
      <c r="F257" s="73"/>
      <c r="G257" s="73"/>
      <c r="H257" s="73"/>
      <c r="I257" s="73"/>
      <c r="J257" s="73"/>
      <c r="K257" s="73"/>
    </row>
    <row r="258">
      <c r="C258" s="71"/>
      <c r="D258" s="71"/>
      <c r="E258" s="71"/>
      <c r="F258" s="73"/>
      <c r="G258" s="73"/>
      <c r="H258" s="73"/>
      <c r="I258" s="73"/>
      <c r="J258" s="73"/>
      <c r="K258" s="73"/>
    </row>
    <row r="259">
      <c r="C259" s="71"/>
      <c r="D259" s="71"/>
      <c r="E259" s="71"/>
      <c r="F259" s="73"/>
      <c r="G259" s="73"/>
      <c r="H259" s="73"/>
      <c r="I259" s="73"/>
      <c r="J259" s="73"/>
      <c r="K259" s="73"/>
    </row>
    <row r="260">
      <c r="C260" s="71"/>
      <c r="D260" s="71"/>
      <c r="E260" s="71"/>
      <c r="F260" s="73"/>
      <c r="G260" s="73"/>
      <c r="H260" s="73"/>
      <c r="I260" s="73"/>
      <c r="J260" s="73"/>
      <c r="K260" s="73"/>
    </row>
    <row r="261">
      <c r="C261" s="71"/>
      <c r="D261" s="71"/>
      <c r="E261" s="71"/>
      <c r="F261" s="73"/>
      <c r="G261" s="73"/>
      <c r="H261" s="73"/>
      <c r="I261" s="73"/>
      <c r="J261" s="73"/>
      <c r="K261" s="73"/>
    </row>
    <row r="262">
      <c r="C262" s="71"/>
      <c r="D262" s="71"/>
      <c r="E262" s="71"/>
      <c r="F262" s="73"/>
      <c r="G262" s="73"/>
      <c r="H262" s="73"/>
      <c r="I262" s="73"/>
      <c r="J262" s="73"/>
      <c r="K262" s="73"/>
    </row>
    <row r="263">
      <c r="C263" s="71"/>
      <c r="D263" s="71"/>
      <c r="E263" s="71"/>
      <c r="F263" s="73"/>
      <c r="G263" s="73"/>
      <c r="H263" s="73"/>
      <c r="I263" s="73"/>
      <c r="J263" s="73"/>
      <c r="K263" s="73"/>
    </row>
    <row r="264">
      <c r="C264" s="71"/>
      <c r="D264" s="71"/>
      <c r="E264" s="71"/>
      <c r="F264" s="73"/>
      <c r="G264" s="73"/>
      <c r="H264" s="73"/>
      <c r="I264" s="73"/>
      <c r="J264" s="73"/>
      <c r="K264" s="73"/>
    </row>
    <row r="265">
      <c r="C265" s="71"/>
      <c r="D265" s="71"/>
      <c r="E265" s="71"/>
      <c r="F265" s="73"/>
      <c r="G265" s="73"/>
      <c r="H265" s="73"/>
      <c r="I265" s="73"/>
      <c r="J265" s="73"/>
      <c r="K265" s="73"/>
    </row>
    <row r="266">
      <c r="C266" s="71"/>
      <c r="D266" s="71"/>
      <c r="E266" s="71"/>
      <c r="F266" s="73"/>
      <c r="G266" s="73"/>
      <c r="H266" s="73"/>
      <c r="I266" s="73"/>
      <c r="J266" s="73"/>
      <c r="K266" s="73"/>
    </row>
    <row r="267">
      <c r="C267" s="71"/>
      <c r="D267" s="71"/>
      <c r="E267" s="71"/>
      <c r="F267" s="73"/>
      <c r="G267" s="73"/>
      <c r="H267" s="73"/>
      <c r="I267" s="73"/>
      <c r="J267" s="73"/>
      <c r="K267" s="73"/>
    </row>
    <row r="268">
      <c r="C268" s="71"/>
      <c r="D268" s="71"/>
      <c r="E268" s="71"/>
      <c r="F268" s="73"/>
      <c r="G268" s="73"/>
      <c r="H268" s="73"/>
      <c r="I268" s="73"/>
      <c r="J268" s="73"/>
      <c r="K268" s="73"/>
    </row>
    <row r="269">
      <c r="C269" s="71"/>
      <c r="D269" s="71"/>
      <c r="E269" s="71"/>
      <c r="F269" s="73"/>
      <c r="G269" s="73"/>
      <c r="H269" s="73"/>
      <c r="I269" s="73"/>
      <c r="J269" s="73"/>
      <c r="K269" s="73"/>
    </row>
    <row r="270">
      <c r="C270" s="71"/>
      <c r="D270" s="71"/>
      <c r="E270" s="71"/>
      <c r="F270" s="73"/>
      <c r="G270" s="73"/>
      <c r="H270" s="73"/>
      <c r="I270" s="73"/>
      <c r="J270" s="73"/>
      <c r="K270" s="73"/>
    </row>
    <row r="271">
      <c r="C271" s="71"/>
      <c r="D271" s="71"/>
      <c r="E271" s="71"/>
      <c r="F271" s="73"/>
      <c r="G271" s="73"/>
      <c r="H271" s="73"/>
      <c r="I271" s="73"/>
      <c r="J271" s="73"/>
      <c r="K271" s="73"/>
    </row>
    <row r="272">
      <c r="C272" s="71"/>
      <c r="D272" s="71"/>
      <c r="E272" s="71"/>
      <c r="F272" s="73"/>
      <c r="G272" s="73"/>
      <c r="H272" s="73"/>
      <c r="I272" s="73"/>
      <c r="J272" s="73"/>
      <c r="K272" s="73"/>
    </row>
    <row r="273">
      <c r="C273" s="71"/>
      <c r="D273" s="71"/>
      <c r="E273" s="71"/>
      <c r="F273" s="73"/>
      <c r="G273" s="73"/>
      <c r="H273" s="73"/>
      <c r="I273" s="73"/>
      <c r="J273" s="73"/>
      <c r="K273" s="73"/>
    </row>
    <row r="274">
      <c r="C274" s="71"/>
      <c r="D274" s="71"/>
      <c r="E274" s="71"/>
      <c r="F274" s="73"/>
      <c r="G274" s="73"/>
      <c r="H274" s="73"/>
      <c r="I274" s="73"/>
      <c r="J274" s="73"/>
      <c r="K274" s="73"/>
    </row>
    <row r="275">
      <c r="C275" s="71"/>
      <c r="D275" s="71"/>
      <c r="E275" s="71"/>
      <c r="F275" s="73"/>
      <c r="G275" s="73"/>
      <c r="H275" s="73"/>
      <c r="I275" s="73"/>
      <c r="J275" s="73"/>
      <c r="K275" s="73"/>
    </row>
    <row r="276">
      <c r="C276" s="71"/>
      <c r="D276" s="71"/>
      <c r="E276" s="71"/>
      <c r="F276" s="73"/>
      <c r="G276" s="73"/>
      <c r="H276" s="73"/>
      <c r="I276" s="73"/>
      <c r="J276" s="73"/>
      <c r="K276" s="73"/>
    </row>
    <row r="277">
      <c r="C277" s="71"/>
      <c r="D277" s="71"/>
      <c r="E277" s="71"/>
      <c r="F277" s="73"/>
      <c r="G277" s="73"/>
      <c r="H277" s="73"/>
      <c r="I277" s="73"/>
      <c r="J277" s="73"/>
      <c r="K277" s="73"/>
    </row>
    <row r="278">
      <c r="C278" s="71"/>
      <c r="D278" s="71"/>
      <c r="E278" s="71"/>
      <c r="F278" s="73"/>
      <c r="G278" s="73"/>
      <c r="H278" s="73"/>
      <c r="I278" s="73"/>
      <c r="J278" s="73"/>
      <c r="K278" s="73"/>
    </row>
    <row r="279">
      <c r="C279" s="71"/>
      <c r="D279" s="71"/>
      <c r="E279" s="71"/>
      <c r="F279" s="73"/>
      <c r="G279" s="73"/>
      <c r="H279" s="73"/>
      <c r="I279" s="73"/>
      <c r="J279" s="73"/>
      <c r="K279" s="73"/>
    </row>
    <row r="280">
      <c r="C280" s="71"/>
      <c r="D280" s="71"/>
      <c r="E280" s="71"/>
      <c r="F280" s="73"/>
      <c r="G280" s="73"/>
      <c r="H280" s="73"/>
      <c r="I280" s="73"/>
      <c r="J280" s="73"/>
      <c r="K280" s="73"/>
    </row>
    <row r="281">
      <c r="C281" s="71"/>
      <c r="D281" s="71"/>
      <c r="E281" s="71"/>
      <c r="F281" s="73"/>
      <c r="G281" s="73"/>
      <c r="H281" s="73"/>
      <c r="I281" s="73"/>
      <c r="J281" s="73"/>
      <c r="K281" s="73"/>
    </row>
    <row r="282">
      <c r="C282" s="71"/>
      <c r="D282" s="71"/>
      <c r="E282" s="71"/>
      <c r="F282" s="73"/>
      <c r="G282" s="73"/>
      <c r="H282" s="73"/>
      <c r="I282" s="73"/>
      <c r="J282" s="73"/>
      <c r="K282" s="73"/>
    </row>
    <row r="283">
      <c r="C283" s="71"/>
      <c r="D283" s="71"/>
      <c r="E283" s="71"/>
      <c r="F283" s="73"/>
      <c r="G283" s="73"/>
      <c r="H283" s="73"/>
      <c r="I283" s="73"/>
      <c r="J283" s="73"/>
      <c r="K283" s="73"/>
    </row>
    <row r="284">
      <c r="C284" s="71"/>
      <c r="D284" s="71"/>
      <c r="E284" s="71"/>
      <c r="F284" s="73"/>
      <c r="G284" s="73"/>
      <c r="H284" s="73"/>
      <c r="I284" s="73"/>
      <c r="J284" s="73"/>
      <c r="K284" s="73"/>
    </row>
    <row r="285">
      <c r="C285" s="71"/>
      <c r="D285" s="71"/>
      <c r="E285" s="71"/>
      <c r="F285" s="73"/>
      <c r="G285" s="73"/>
      <c r="H285" s="73"/>
      <c r="I285" s="73"/>
      <c r="J285" s="73"/>
      <c r="K285" s="73"/>
    </row>
    <row r="286">
      <c r="C286" s="71"/>
      <c r="D286" s="71"/>
      <c r="E286" s="71"/>
      <c r="F286" s="73"/>
      <c r="G286" s="73"/>
      <c r="H286" s="73"/>
      <c r="I286" s="73"/>
      <c r="J286" s="73"/>
      <c r="K286" s="73"/>
    </row>
    <row r="287">
      <c r="C287" s="71"/>
      <c r="D287" s="71"/>
      <c r="E287" s="71"/>
      <c r="F287" s="73"/>
      <c r="G287" s="73"/>
      <c r="H287" s="73"/>
      <c r="I287" s="73"/>
      <c r="J287" s="73"/>
      <c r="K287" s="73"/>
    </row>
    <row r="288">
      <c r="C288" s="71"/>
      <c r="D288" s="71"/>
      <c r="E288" s="71"/>
      <c r="F288" s="73"/>
      <c r="G288" s="73"/>
      <c r="H288" s="73"/>
      <c r="I288" s="73"/>
      <c r="J288" s="73"/>
      <c r="K288" s="73"/>
    </row>
    <row r="289">
      <c r="C289" s="71"/>
      <c r="D289" s="71"/>
      <c r="E289" s="71"/>
      <c r="F289" s="73"/>
      <c r="G289" s="73"/>
      <c r="H289" s="73"/>
      <c r="I289" s="73"/>
      <c r="J289" s="73"/>
      <c r="K289" s="73"/>
    </row>
    <row r="290">
      <c r="C290" s="71"/>
      <c r="D290" s="71"/>
      <c r="E290" s="71"/>
      <c r="F290" s="73"/>
      <c r="G290" s="73"/>
      <c r="H290" s="73"/>
      <c r="I290" s="73"/>
      <c r="J290" s="73"/>
      <c r="K290" s="73"/>
    </row>
    <row r="291">
      <c r="C291" s="71"/>
      <c r="D291" s="71"/>
      <c r="E291" s="71"/>
      <c r="F291" s="73"/>
      <c r="G291" s="73"/>
      <c r="H291" s="73"/>
      <c r="I291" s="73"/>
      <c r="J291" s="73"/>
      <c r="K291" s="73"/>
    </row>
    <row r="292">
      <c r="C292" s="71"/>
      <c r="D292" s="71"/>
      <c r="E292" s="71"/>
      <c r="F292" s="73"/>
      <c r="G292" s="73"/>
      <c r="H292" s="73"/>
      <c r="I292" s="73"/>
      <c r="J292" s="73"/>
      <c r="K292" s="73"/>
    </row>
    <row r="293">
      <c r="C293" s="71"/>
      <c r="D293" s="71"/>
      <c r="E293" s="71"/>
      <c r="F293" s="73"/>
      <c r="G293" s="73"/>
      <c r="H293" s="73"/>
      <c r="I293" s="73"/>
      <c r="J293" s="73"/>
      <c r="K293" s="73"/>
    </row>
    <row r="294">
      <c r="C294" s="71"/>
      <c r="D294" s="71"/>
      <c r="E294" s="71"/>
      <c r="F294" s="73"/>
      <c r="G294" s="73"/>
      <c r="H294" s="73"/>
      <c r="I294" s="73"/>
      <c r="J294" s="73"/>
      <c r="K294" s="73"/>
    </row>
    <row r="295">
      <c r="C295" s="71"/>
      <c r="D295" s="71"/>
      <c r="E295" s="71"/>
      <c r="F295" s="73"/>
      <c r="G295" s="73"/>
      <c r="H295" s="73"/>
      <c r="I295" s="73"/>
      <c r="J295" s="73"/>
      <c r="K295" s="73"/>
    </row>
    <row r="296">
      <c r="C296" s="71"/>
      <c r="D296" s="71"/>
      <c r="E296" s="71"/>
      <c r="F296" s="73"/>
      <c r="G296" s="73"/>
      <c r="H296" s="73"/>
      <c r="I296" s="73"/>
      <c r="J296" s="73"/>
      <c r="K296" s="73"/>
    </row>
    <row r="297">
      <c r="C297" s="71"/>
      <c r="D297" s="71"/>
      <c r="E297" s="71"/>
      <c r="F297" s="73"/>
      <c r="G297" s="73"/>
      <c r="H297" s="73"/>
      <c r="I297" s="73"/>
      <c r="J297" s="73"/>
      <c r="K297" s="73"/>
    </row>
    <row r="298">
      <c r="C298" s="71"/>
      <c r="D298" s="71"/>
      <c r="E298" s="71"/>
      <c r="F298" s="73"/>
      <c r="G298" s="73"/>
      <c r="H298" s="73"/>
      <c r="I298" s="73"/>
      <c r="J298" s="73"/>
      <c r="K298" s="73"/>
    </row>
    <row r="299">
      <c r="C299" s="71"/>
      <c r="D299" s="71"/>
      <c r="E299" s="71"/>
      <c r="F299" s="73"/>
      <c r="G299" s="73"/>
      <c r="H299" s="73"/>
      <c r="I299" s="73"/>
      <c r="J299" s="73"/>
      <c r="K299" s="73"/>
    </row>
    <row r="300">
      <c r="C300" s="71"/>
      <c r="D300" s="71"/>
      <c r="E300" s="71"/>
      <c r="F300" s="73"/>
      <c r="G300" s="73"/>
      <c r="H300" s="73"/>
      <c r="I300" s="73"/>
      <c r="J300" s="73"/>
      <c r="K300" s="73"/>
    </row>
    <row r="301">
      <c r="C301" s="71"/>
      <c r="D301" s="71"/>
      <c r="E301" s="71"/>
      <c r="F301" s="73"/>
      <c r="G301" s="73"/>
      <c r="H301" s="73"/>
      <c r="I301" s="73"/>
      <c r="J301" s="73"/>
      <c r="K301" s="73"/>
    </row>
    <row r="302">
      <c r="C302" s="71"/>
      <c r="D302" s="71"/>
      <c r="E302" s="71"/>
      <c r="F302" s="73"/>
      <c r="G302" s="73"/>
      <c r="H302" s="73"/>
      <c r="I302" s="73"/>
      <c r="J302" s="73"/>
      <c r="K302" s="73"/>
    </row>
    <row r="303">
      <c r="C303" s="71"/>
      <c r="D303" s="71"/>
      <c r="E303" s="71"/>
      <c r="F303" s="73"/>
      <c r="G303" s="73"/>
      <c r="H303" s="73"/>
      <c r="I303" s="73"/>
      <c r="J303" s="73"/>
      <c r="K303" s="73"/>
    </row>
    <row r="304">
      <c r="C304" s="71"/>
      <c r="D304" s="71"/>
      <c r="E304" s="71"/>
      <c r="F304" s="73"/>
      <c r="G304" s="73"/>
      <c r="H304" s="73"/>
      <c r="I304" s="73"/>
      <c r="J304" s="73"/>
      <c r="K304" s="73"/>
    </row>
    <row r="305">
      <c r="C305" s="71"/>
      <c r="D305" s="71"/>
      <c r="E305" s="71"/>
      <c r="F305" s="73"/>
      <c r="G305" s="73"/>
      <c r="H305" s="73"/>
      <c r="I305" s="73"/>
      <c r="J305" s="73"/>
      <c r="K305" s="73"/>
    </row>
    <row r="306">
      <c r="C306" s="71"/>
      <c r="D306" s="71"/>
      <c r="E306" s="71"/>
      <c r="F306" s="73"/>
      <c r="G306" s="73"/>
      <c r="H306" s="73"/>
      <c r="I306" s="73"/>
      <c r="J306" s="73"/>
      <c r="K306" s="73"/>
    </row>
    <row r="307">
      <c r="C307" s="71"/>
      <c r="D307" s="71"/>
      <c r="E307" s="71"/>
      <c r="F307" s="73"/>
      <c r="G307" s="73"/>
      <c r="H307" s="73"/>
      <c r="I307" s="73"/>
      <c r="J307" s="73"/>
      <c r="K307" s="73"/>
    </row>
    <row r="308">
      <c r="C308" s="71"/>
      <c r="D308" s="71"/>
      <c r="E308" s="71"/>
      <c r="F308" s="73"/>
      <c r="G308" s="73"/>
      <c r="H308" s="73"/>
      <c r="I308" s="73"/>
      <c r="J308" s="73"/>
      <c r="K308" s="73"/>
    </row>
    <row r="309">
      <c r="C309" s="71"/>
      <c r="D309" s="71"/>
      <c r="E309" s="71"/>
      <c r="F309" s="73"/>
      <c r="G309" s="73"/>
      <c r="H309" s="73"/>
      <c r="I309" s="73"/>
      <c r="J309" s="73"/>
      <c r="K309" s="73"/>
    </row>
    <row r="310">
      <c r="C310" s="71"/>
      <c r="D310" s="71"/>
      <c r="E310" s="71"/>
      <c r="F310" s="73"/>
      <c r="G310" s="73"/>
      <c r="H310" s="73"/>
      <c r="I310" s="73"/>
      <c r="J310" s="73"/>
      <c r="K310" s="73"/>
    </row>
    <row r="311">
      <c r="C311" s="71"/>
      <c r="D311" s="71"/>
      <c r="E311" s="71"/>
      <c r="F311" s="73"/>
      <c r="G311" s="73"/>
      <c r="H311" s="73"/>
      <c r="I311" s="73"/>
      <c r="J311" s="73"/>
      <c r="K311" s="73"/>
    </row>
    <row r="312">
      <c r="C312" s="71"/>
      <c r="D312" s="71"/>
      <c r="E312" s="71"/>
      <c r="F312" s="73"/>
      <c r="G312" s="73"/>
      <c r="H312" s="73"/>
      <c r="I312" s="73"/>
      <c r="J312" s="73"/>
      <c r="K312" s="73"/>
    </row>
    <row r="313">
      <c r="C313" s="71"/>
      <c r="D313" s="71"/>
      <c r="E313" s="71"/>
      <c r="F313" s="73"/>
      <c r="G313" s="73"/>
      <c r="H313" s="73"/>
      <c r="I313" s="73"/>
      <c r="J313" s="73"/>
      <c r="K313" s="73"/>
    </row>
    <row r="314">
      <c r="C314" s="71"/>
      <c r="D314" s="71"/>
      <c r="E314" s="71"/>
      <c r="F314" s="73"/>
      <c r="G314" s="73"/>
      <c r="H314" s="73"/>
      <c r="I314" s="73"/>
      <c r="J314" s="73"/>
      <c r="K314" s="73"/>
    </row>
    <row r="315">
      <c r="C315" s="71"/>
      <c r="D315" s="71"/>
      <c r="E315" s="71"/>
      <c r="F315" s="73"/>
      <c r="G315" s="73"/>
      <c r="H315" s="73"/>
      <c r="I315" s="73"/>
      <c r="J315" s="73"/>
      <c r="K315" s="73"/>
    </row>
    <row r="316">
      <c r="C316" s="71"/>
      <c r="D316" s="71"/>
      <c r="E316" s="71"/>
      <c r="F316" s="73"/>
      <c r="G316" s="73"/>
      <c r="H316" s="73"/>
      <c r="I316" s="73"/>
      <c r="J316" s="73"/>
      <c r="K316" s="73"/>
    </row>
    <row r="317">
      <c r="C317" s="71"/>
      <c r="D317" s="71"/>
      <c r="E317" s="71"/>
      <c r="F317" s="73"/>
      <c r="G317" s="73"/>
      <c r="H317" s="73"/>
      <c r="I317" s="73"/>
      <c r="J317" s="73"/>
      <c r="K317" s="73"/>
    </row>
    <row r="318">
      <c r="C318" s="71"/>
      <c r="D318" s="71"/>
      <c r="E318" s="71"/>
      <c r="F318" s="73"/>
      <c r="G318" s="73"/>
      <c r="H318" s="73"/>
      <c r="I318" s="73"/>
      <c r="J318" s="73"/>
      <c r="K318" s="73"/>
    </row>
    <row r="319">
      <c r="C319" s="71"/>
      <c r="D319" s="71"/>
      <c r="E319" s="71"/>
      <c r="F319" s="73"/>
      <c r="G319" s="73"/>
      <c r="H319" s="73"/>
      <c r="I319" s="73"/>
      <c r="J319" s="73"/>
      <c r="K319" s="73"/>
    </row>
    <row r="320">
      <c r="C320" s="71"/>
      <c r="D320" s="71"/>
      <c r="E320" s="71"/>
      <c r="F320" s="73"/>
      <c r="G320" s="73"/>
      <c r="H320" s="73"/>
      <c r="I320" s="73"/>
      <c r="J320" s="73"/>
      <c r="K320" s="73"/>
    </row>
    <row r="321">
      <c r="C321" s="71"/>
      <c r="D321" s="71"/>
      <c r="E321" s="71"/>
      <c r="F321" s="73"/>
      <c r="G321" s="73"/>
      <c r="H321" s="73"/>
      <c r="I321" s="73"/>
      <c r="J321" s="73"/>
      <c r="K321" s="73"/>
    </row>
    <row r="322">
      <c r="C322" s="71"/>
      <c r="D322" s="71"/>
      <c r="E322" s="71"/>
      <c r="F322" s="73"/>
      <c r="G322" s="73"/>
      <c r="H322" s="73"/>
      <c r="I322" s="73"/>
      <c r="J322" s="73"/>
      <c r="K322" s="73"/>
    </row>
    <row r="323">
      <c r="C323" s="71"/>
      <c r="D323" s="71"/>
      <c r="E323" s="71"/>
      <c r="F323" s="73"/>
      <c r="G323" s="73"/>
      <c r="H323" s="73"/>
      <c r="I323" s="73"/>
      <c r="J323" s="73"/>
      <c r="K323" s="73"/>
    </row>
    <row r="324">
      <c r="C324" s="71"/>
      <c r="D324" s="71"/>
      <c r="E324" s="71"/>
      <c r="F324" s="73"/>
      <c r="G324" s="73"/>
      <c r="H324" s="73"/>
      <c r="I324" s="73"/>
      <c r="J324" s="73"/>
      <c r="K324" s="73"/>
    </row>
    <row r="325">
      <c r="C325" s="71"/>
      <c r="D325" s="71"/>
      <c r="E325" s="71"/>
      <c r="F325" s="73"/>
      <c r="G325" s="73"/>
      <c r="H325" s="73"/>
      <c r="I325" s="73"/>
      <c r="J325" s="73"/>
      <c r="K325" s="73"/>
    </row>
    <row r="326">
      <c r="C326" s="71"/>
      <c r="D326" s="71"/>
      <c r="E326" s="71"/>
      <c r="F326" s="73"/>
      <c r="G326" s="73"/>
      <c r="H326" s="73"/>
      <c r="I326" s="73"/>
      <c r="J326" s="73"/>
      <c r="K326" s="73"/>
    </row>
    <row r="327">
      <c r="C327" s="71"/>
      <c r="D327" s="71"/>
      <c r="E327" s="71"/>
      <c r="F327" s="73"/>
      <c r="G327" s="73"/>
      <c r="H327" s="73"/>
      <c r="I327" s="73"/>
      <c r="J327" s="73"/>
      <c r="K327" s="73"/>
    </row>
    <row r="328">
      <c r="C328" s="71"/>
      <c r="D328" s="71"/>
      <c r="E328" s="71"/>
      <c r="F328" s="73"/>
      <c r="G328" s="73"/>
      <c r="H328" s="73"/>
      <c r="I328" s="73"/>
      <c r="J328" s="73"/>
      <c r="K328" s="73"/>
    </row>
    <row r="329">
      <c r="C329" s="71"/>
      <c r="D329" s="71"/>
      <c r="E329" s="71"/>
      <c r="F329" s="73"/>
      <c r="G329" s="73"/>
      <c r="H329" s="73"/>
      <c r="I329" s="73"/>
      <c r="J329" s="73"/>
      <c r="K329" s="73"/>
    </row>
    <row r="330">
      <c r="C330" s="71"/>
      <c r="D330" s="71"/>
      <c r="E330" s="71"/>
      <c r="F330" s="73"/>
      <c r="G330" s="73"/>
      <c r="H330" s="73"/>
      <c r="I330" s="73"/>
      <c r="J330" s="73"/>
      <c r="K330" s="73"/>
    </row>
    <row r="331">
      <c r="C331" s="71"/>
      <c r="D331" s="71"/>
      <c r="E331" s="71"/>
      <c r="F331" s="73"/>
      <c r="G331" s="73"/>
      <c r="H331" s="73"/>
      <c r="I331" s="73"/>
      <c r="J331" s="73"/>
      <c r="K331" s="73"/>
    </row>
    <row r="332">
      <c r="C332" s="71"/>
      <c r="D332" s="71"/>
      <c r="E332" s="71"/>
      <c r="F332" s="73"/>
      <c r="G332" s="73"/>
      <c r="H332" s="73"/>
      <c r="I332" s="73"/>
      <c r="J332" s="73"/>
      <c r="K332" s="73"/>
    </row>
    <row r="333">
      <c r="C333" s="71"/>
      <c r="D333" s="71"/>
      <c r="E333" s="71"/>
      <c r="F333" s="73"/>
      <c r="G333" s="73"/>
      <c r="H333" s="73"/>
      <c r="I333" s="73"/>
      <c r="J333" s="73"/>
      <c r="K333" s="73"/>
    </row>
    <row r="334">
      <c r="C334" s="71"/>
      <c r="D334" s="71"/>
      <c r="E334" s="71"/>
      <c r="F334" s="73"/>
      <c r="G334" s="73"/>
      <c r="H334" s="73"/>
      <c r="I334" s="73"/>
      <c r="J334" s="73"/>
      <c r="K334" s="73"/>
    </row>
    <row r="335">
      <c r="C335" s="71"/>
      <c r="D335" s="71"/>
      <c r="E335" s="71"/>
      <c r="F335" s="73"/>
      <c r="G335" s="73"/>
      <c r="H335" s="73"/>
      <c r="I335" s="73"/>
      <c r="J335" s="73"/>
      <c r="K335" s="73"/>
    </row>
    <row r="336">
      <c r="C336" s="71"/>
      <c r="D336" s="71"/>
      <c r="E336" s="71"/>
      <c r="F336" s="73"/>
      <c r="G336" s="73"/>
      <c r="H336" s="73"/>
      <c r="I336" s="73"/>
      <c r="J336" s="73"/>
      <c r="K336" s="73"/>
    </row>
    <row r="337">
      <c r="C337" s="71"/>
      <c r="D337" s="71"/>
      <c r="E337" s="71"/>
      <c r="F337" s="73"/>
      <c r="G337" s="73"/>
      <c r="H337" s="73"/>
      <c r="I337" s="73"/>
      <c r="J337" s="73"/>
      <c r="K337" s="73"/>
    </row>
    <row r="338">
      <c r="C338" s="71"/>
      <c r="D338" s="71"/>
      <c r="E338" s="71"/>
      <c r="F338" s="73"/>
      <c r="G338" s="73"/>
      <c r="H338" s="73"/>
      <c r="I338" s="73"/>
      <c r="J338" s="73"/>
      <c r="K338" s="73"/>
    </row>
    <row r="339">
      <c r="C339" s="71"/>
      <c r="D339" s="71"/>
      <c r="E339" s="71"/>
      <c r="F339" s="73"/>
      <c r="G339" s="73"/>
      <c r="H339" s="73"/>
      <c r="I339" s="73"/>
      <c r="J339" s="73"/>
      <c r="K339" s="73"/>
    </row>
    <row r="340">
      <c r="C340" s="71"/>
      <c r="D340" s="71"/>
      <c r="E340" s="71"/>
      <c r="F340" s="73"/>
      <c r="G340" s="73"/>
      <c r="H340" s="73"/>
      <c r="I340" s="73"/>
      <c r="J340" s="73"/>
      <c r="K340" s="73"/>
    </row>
    <row r="341">
      <c r="C341" s="71"/>
      <c r="D341" s="71"/>
      <c r="E341" s="71"/>
      <c r="F341" s="73"/>
      <c r="G341" s="73"/>
      <c r="H341" s="73"/>
      <c r="I341" s="73"/>
      <c r="J341" s="73"/>
      <c r="K341" s="73"/>
    </row>
    <row r="342">
      <c r="C342" s="71"/>
      <c r="D342" s="71"/>
      <c r="E342" s="71"/>
      <c r="F342" s="73"/>
      <c r="G342" s="73"/>
      <c r="H342" s="73"/>
      <c r="I342" s="73"/>
      <c r="J342" s="73"/>
      <c r="K342" s="73"/>
    </row>
    <row r="343">
      <c r="C343" s="71"/>
      <c r="D343" s="71"/>
      <c r="E343" s="71"/>
      <c r="F343" s="73"/>
      <c r="G343" s="73"/>
      <c r="H343" s="73"/>
      <c r="I343" s="73"/>
      <c r="J343" s="73"/>
      <c r="K343" s="73"/>
    </row>
    <row r="344">
      <c r="C344" s="71"/>
      <c r="D344" s="71"/>
      <c r="E344" s="71"/>
      <c r="F344" s="73"/>
      <c r="G344" s="73"/>
      <c r="H344" s="73"/>
      <c r="I344" s="73"/>
      <c r="J344" s="73"/>
      <c r="K344" s="73"/>
    </row>
    <row r="345">
      <c r="C345" s="71"/>
      <c r="D345" s="71"/>
      <c r="E345" s="71"/>
      <c r="F345" s="73"/>
      <c r="G345" s="73"/>
      <c r="H345" s="73"/>
      <c r="I345" s="73"/>
      <c r="J345" s="73"/>
      <c r="K345" s="73"/>
    </row>
    <row r="346">
      <c r="C346" s="71"/>
      <c r="D346" s="71"/>
      <c r="E346" s="71"/>
      <c r="F346" s="73"/>
      <c r="G346" s="73"/>
      <c r="H346" s="73"/>
      <c r="I346" s="73"/>
      <c r="J346" s="73"/>
      <c r="K346" s="73"/>
    </row>
    <row r="347">
      <c r="C347" s="71"/>
      <c r="D347" s="71"/>
      <c r="E347" s="71"/>
      <c r="F347" s="73"/>
      <c r="G347" s="73"/>
      <c r="H347" s="73"/>
      <c r="I347" s="73"/>
      <c r="J347" s="73"/>
      <c r="K347" s="73"/>
    </row>
    <row r="348">
      <c r="C348" s="71"/>
      <c r="D348" s="71"/>
      <c r="E348" s="71"/>
      <c r="F348" s="73"/>
      <c r="G348" s="73"/>
      <c r="H348" s="73"/>
      <c r="I348" s="73"/>
      <c r="J348" s="73"/>
      <c r="K348" s="73"/>
    </row>
    <row r="349">
      <c r="C349" s="71"/>
      <c r="D349" s="71"/>
      <c r="E349" s="71"/>
      <c r="F349" s="73"/>
      <c r="G349" s="73"/>
      <c r="H349" s="73"/>
      <c r="I349" s="73"/>
      <c r="J349" s="73"/>
      <c r="K349" s="73"/>
    </row>
    <row r="350">
      <c r="C350" s="71"/>
      <c r="D350" s="71"/>
      <c r="E350" s="71"/>
      <c r="F350" s="73"/>
      <c r="G350" s="73"/>
      <c r="H350" s="73"/>
      <c r="I350" s="73"/>
      <c r="J350" s="73"/>
      <c r="K350" s="73"/>
    </row>
    <row r="351">
      <c r="C351" s="71"/>
      <c r="D351" s="71"/>
      <c r="E351" s="71"/>
      <c r="F351" s="73"/>
      <c r="G351" s="73"/>
      <c r="H351" s="73"/>
      <c r="I351" s="73"/>
      <c r="J351" s="73"/>
      <c r="K351" s="73"/>
    </row>
    <row r="352">
      <c r="C352" s="71"/>
      <c r="D352" s="71"/>
      <c r="E352" s="71"/>
      <c r="F352" s="73"/>
      <c r="G352" s="73"/>
      <c r="H352" s="73"/>
      <c r="I352" s="73"/>
      <c r="J352" s="73"/>
      <c r="K352" s="73"/>
    </row>
    <row r="353">
      <c r="C353" s="71"/>
      <c r="D353" s="71"/>
      <c r="E353" s="71"/>
      <c r="F353" s="73"/>
      <c r="G353" s="73"/>
      <c r="H353" s="73"/>
      <c r="I353" s="73"/>
      <c r="J353" s="73"/>
      <c r="K353" s="73"/>
    </row>
    <row r="354">
      <c r="C354" s="71"/>
      <c r="D354" s="71"/>
      <c r="E354" s="71"/>
      <c r="F354" s="73"/>
      <c r="G354" s="73"/>
      <c r="H354" s="73"/>
      <c r="I354" s="73"/>
      <c r="J354" s="73"/>
      <c r="K354" s="73"/>
    </row>
    <row r="355">
      <c r="C355" s="71"/>
      <c r="D355" s="71"/>
      <c r="E355" s="71"/>
      <c r="F355" s="73"/>
      <c r="G355" s="73"/>
      <c r="H355" s="73"/>
      <c r="I355" s="73"/>
      <c r="J355" s="73"/>
      <c r="K355" s="73"/>
    </row>
    <row r="356">
      <c r="C356" s="71"/>
      <c r="D356" s="71"/>
      <c r="E356" s="71"/>
      <c r="F356" s="73"/>
      <c r="G356" s="73"/>
      <c r="H356" s="73"/>
      <c r="I356" s="73"/>
      <c r="J356" s="73"/>
      <c r="K356" s="73"/>
    </row>
    <row r="357">
      <c r="C357" s="71"/>
      <c r="D357" s="71"/>
      <c r="E357" s="71"/>
      <c r="F357" s="73"/>
      <c r="G357" s="73"/>
      <c r="H357" s="73"/>
      <c r="I357" s="73"/>
      <c r="J357" s="73"/>
      <c r="K357" s="73"/>
    </row>
    <row r="358">
      <c r="C358" s="71"/>
      <c r="D358" s="71"/>
      <c r="E358" s="71"/>
      <c r="F358" s="73"/>
      <c r="G358" s="73"/>
      <c r="H358" s="73"/>
      <c r="I358" s="73"/>
      <c r="J358" s="73"/>
      <c r="K358" s="73"/>
    </row>
    <row r="359">
      <c r="C359" s="71"/>
      <c r="D359" s="71"/>
      <c r="E359" s="71"/>
      <c r="F359" s="73"/>
      <c r="G359" s="73"/>
      <c r="H359" s="73"/>
      <c r="I359" s="73"/>
      <c r="J359" s="73"/>
      <c r="K359" s="73"/>
    </row>
    <row r="360">
      <c r="C360" s="71"/>
      <c r="D360" s="71"/>
      <c r="E360" s="71"/>
      <c r="F360" s="73"/>
      <c r="G360" s="73"/>
      <c r="H360" s="73"/>
      <c r="I360" s="73"/>
      <c r="J360" s="73"/>
      <c r="K360" s="73"/>
    </row>
    <row r="361">
      <c r="C361" s="71"/>
      <c r="D361" s="71"/>
      <c r="E361" s="71"/>
      <c r="F361" s="73"/>
      <c r="G361" s="73"/>
      <c r="H361" s="73"/>
      <c r="I361" s="73"/>
      <c r="J361" s="73"/>
      <c r="K361" s="73"/>
    </row>
    <row r="362">
      <c r="C362" s="71"/>
      <c r="D362" s="71"/>
      <c r="E362" s="71"/>
      <c r="F362" s="73"/>
      <c r="G362" s="73"/>
      <c r="H362" s="73"/>
      <c r="I362" s="73"/>
      <c r="J362" s="73"/>
      <c r="K362" s="73"/>
    </row>
    <row r="363">
      <c r="C363" s="71"/>
      <c r="D363" s="71"/>
      <c r="E363" s="71"/>
      <c r="F363" s="73"/>
      <c r="G363" s="73"/>
      <c r="H363" s="73"/>
      <c r="I363" s="73"/>
      <c r="J363" s="73"/>
      <c r="K363" s="73"/>
    </row>
    <row r="364">
      <c r="C364" s="71"/>
      <c r="D364" s="71"/>
      <c r="E364" s="71"/>
      <c r="F364" s="73"/>
      <c r="G364" s="73"/>
      <c r="H364" s="73"/>
      <c r="I364" s="73"/>
      <c r="J364" s="73"/>
      <c r="K364" s="73"/>
    </row>
    <row r="365">
      <c r="C365" s="71"/>
      <c r="D365" s="71"/>
      <c r="E365" s="71"/>
      <c r="F365" s="73"/>
      <c r="G365" s="73"/>
      <c r="H365" s="73"/>
      <c r="I365" s="73"/>
      <c r="J365" s="73"/>
      <c r="K365" s="73"/>
    </row>
    <row r="366">
      <c r="C366" s="71"/>
      <c r="D366" s="71"/>
      <c r="E366" s="71"/>
      <c r="F366" s="73"/>
      <c r="G366" s="73"/>
      <c r="H366" s="73"/>
      <c r="I366" s="73"/>
      <c r="J366" s="73"/>
      <c r="K366" s="73"/>
    </row>
    <row r="367">
      <c r="C367" s="71"/>
      <c r="D367" s="71"/>
      <c r="E367" s="71"/>
      <c r="F367" s="73"/>
      <c r="G367" s="73"/>
      <c r="H367" s="73"/>
      <c r="I367" s="73"/>
      <c r="J367" s="73"/>
      <c r="K367" s="73"/>
    </row>
    <row r="368">
      <c r="C368" s="71"/>
      <c r="D368" s="71"/>
      <c r="E368" s="71"/>
      <c r="F368" s="73"/>
      <c r="G368" s="73"/>
      <c r="H368" s="73"/>
      <c r="I368" s="73"/>
      <c r="J368" s="73"/>
      <c r="K368" s="73"/>
    </row>
    <row r="369">
      <c r="C369" s="71"/>
      <c r="D369" s="71"/>
      <c r="E369" s="71"/>
      <c r="F369" s="73"/>
      <c r="G369" s="73"/>
      <c r="H369" s="73"/>
      <c r="I369" s="73"/>
      <c r="J369" s="73"/>
      <c r="K369" s="73"/>
    </row>
    <row r="370">
      <c r="C370" s="71"/>
      <c r="D370" s="71"/>
      <c r="E370" s="71"/>
      <c r="F370" s="73"/>
      <c r="G370" s="73"/>
      <c r="H370" s="73"/>
      <c r="I370" s="73"/>
      <c r="J370" s="73"/>
      <c r="K370" s="73"/>
    </row>
    <row r="371">
      <c r="C371" s="71"/>
      <c r="D371" s="71"/>
      <c r="E371" s="71"/>
      <c r="F371" s="73"/>
      <c r="G371" s="73"/>
      <c r="H371" s="73"/>
      <c r="I371" s="73"/>
      <c r="J371" s="73"/>
      <c r="K371" s="73"/>
    </row>
    <row r="372">
      <c r="C372" s="71"/>
      <c r="D372" s="71"/>
      <c r="E372" s="71"/>
      <c r="F372" s="73"/>
      <c r="G372" s="73"/>
      <c r="H372" s="73"/>
      <c r="I372" s="73"/>
      <c r="J372" s="73"/>
      <c r="K372" s="73"/>
    </row>
    <row r="373">
      <c r="C373" s="71"/>
      <c r="D373" s="71"/>
      <c r="E373" s="71"/>
      <c r="F373" s="73"/>
      <c r="G373" s="73"/>
      <c r="H373" s="73"/>
      <c r="I373" s="73"/>
      <c r="J373" s="73"/>
      <c r="K373" s="73"/>
    </row>
    <row r="374">
      <c r="C374" s="71"/>
      <c r="D374" s="71"/>
      <c r="E374" s="71"/>
      <c r="F374" s="73"/>
      <c r="G374" s="73"/>
      <c r="H374" s="73"/>
      <c r="I374" s="73"/>
      <c r="J374" s="73"/>
      <c r="K374" s="73"/>
    </row>
    <row r="375">
      <c r="C375" s="71"/>
      <c r="D375" s="71"/>
      <c r="E375" s="71"/>
      <c r="F375" s="73"/>
      <c r="G375" s="73"/>
      <c r="H375" s="73"/>
      <c r="I375" s="73"/>
      <c r="J375" s="73"/>
      <c r="K375" s="73"/>
    </row>
    <row r="376">
      <c r="C376" s="71"/>
      <c r="D376" s="71"/>
      <c r="E376" s="71"/>
      <c r="F376" s="73"/>
      <c r="G376" s="73"/>
      <c r="H376" s="73"/>
      <c r="I376" s="73"/>
      <c r="J376" s="73"/>
      <c r="K376" s="73"/>
    </row>
    <row r="377">
      <c r="C377" s="71"/>
      <c r="D377" s="71"/>
      <c r="E377" s="71"/>
      <c r="F377" s="73"/>
      <c r="G377" s="73"/>
      <c r="H377" s="73"/>
      <c r="I377" s="73"/>
      <c r="J377" s="73"/>
      <c r="K377" s="73"/>
    </row>
    <row r="378">
      <c r="C378" s="71"/>
      <c r="D378" s="71"/>
      <c r="E378" s="71"/>
      <c r="F378" s="73"/>
      <c r="G378" s="73"/>
      <c r="H378" s="73"/>
      <c r="I378" s="73"/>
      <c r="J378" s="73"/>
      <c r="K378" s="73"/>
    </row>
    <row r="379">
      <c r="C379" s="71"/>
      <c r="D379" s="71"/>
      <c r="E379" s="71"/>
      <c r="F379" s="73"/>
      <c r="G379" s="73"/>
      <c r="H379" s="73"/>
      <c r="I379" s="73"/>
      <c r="J379" s="73"/>
      <c r="K379" s="73"/>
    </row>
    <row r="380">
      <c r="C380" s="71"/>
      <c r="D380" s="71"/>
      <c r="E380" s="71"/>
      <c r="F380" s="73"/>
      <c r="G380" s="73"/>
      <c r="H380" s="73"/>
      <c r="I380" s="73"/>
      <c r="J380" s="73"/>
      <c r="K380" s="73"/>
    </row>
    <row r="381">
      <c r="C381" s="71"/>
      <c r="D381" s="71"/>
      <c r="E381" s="71"/>
      <c r="F381" s="73"/>
      <c r="G381" s="73"/>
      <c r="H381" s="73"/>
      <c r="I381" s="73"/>
      <c r="J381" s="73"/>
      <c r="K381" s="73"/>
    </row>
    <row r="382">
      <c r="C382" s="71"/>
      <c r="D382" s="71"/>
      <c r="E382" s="71"/>
      <c r="F382" s="73"/>
      <c r="G382" s="73"/>
      <c r="H382" s="73"/>
      <c r="I382" s="73"/>
      <c r="J382" s="73"/>
      <c r="K382" s="73"/>
    </row>
    <row r="383">
      <c r="C383" s="71"/>
      <c r="D383" s="71"/>
      <c r="E383" s="71"/>
      <c r="F383" s="73"/>
      <c r="G383" s="73"/>
      <c r="H383" s="73"/>
      <c r="I383" s="73"/>
      <c r="J383" s="73"/>
      <c r="K383" s="73"/>
    </row>
    <row r="384">
      <c r="C384" s="71"/>
      <c r="D384" s="71"/>
      <c r="E384" s="71"/>
      <c r="F384" s="73"/>
      <c r="G384" s="73"/>
      <c r="H384" s="73"/>
      <c r="I384" s="73"/>
      <c r="J384" s="73"/>
      <c r="K384" s="73"/>
    </row>
    <row r="385">
      <c r="C385" s="71"/>
      <c r="D385" s="71"/>
      <c r="E385" s="71"/>
      <c r="F385" s="73"/>
      <c r="G385" s="73"/>
      <c r="H385" s="73"/>
      <c r="I385" s="73"/>
      <c r="J385" s="73"/>
      <c r="K385" s="73"/>
    </row>
    <row r="386">
      <c r="C386" s="71"/>
      <c r="D386" s="71"/>
      <c r="E386" s="71"/>
      <c r="F386" s="73"/>
      <c r="G386" s="73"/>
      <c r="H386" s="73"/>
      <c r="I386" s="73"/>
      <c r="J386" s="73"/>
      <c r="K386" s="73"/>
    </row>
    <row r="387">
      <c r="C387" s="71"/>
      <c r="D387" s="71"/>
      <c r="E387" s="71"/>
      <c r="F387" s="73"/>
      <c r="G387" s="73"/>
      <c r="H387" s="73"/>
      <c r="I387" s="73"/>
      <c r="J387" s="73"/>
      <c r="K387" s="73"/>
    </row>
    <row r="388">
      <c r="C388" s="71"/>
      <c r="D388" s="71"/>
      <c r="E388" s="71"/>
      <c r="F388" s="73"/>
      <c r="G388" s="73"/>
      <c r="H388" s="73"/>
      <c r="I388" s="73"/>
      <c r="J388" s="73"/>
      <c r="K388" s="73"/>
    </row>
    <row r="389">
      <c r="C389" s="71"/>
      <c r="D389" s="71"/>
      <c r="E389" s="71"/>
      <c r="F389" s="73"/>
      <c r="G389" s="73"/>
      <c r="H389" s="73"/>
      <c r="I389" s="73"/>
      <c r="J389" s="73"/>
      <c r="K389" s="73"/>
    </row>
    <row r="390">
      <c r="C390" s="71"/>
      <c r="D390" s="71"/>
      <c r="E390" s="71"/>
      <c r="F390" s="73"/>
      <c r="G390" s="73"/>
      <c r="H390" s="73"/>
      <c r="I390" s="73"/>
      <c r="J390" s="73"/>
      <c r="K390" s="73"/>
    </row>
    <row r="391">
      <c r="C391" s="71"/>
      <c r="D391" s="71"/>
      <c r="E391" s="71"/>
      <c r="F391" s="73"/>
      <c r="G391" s="73"/>
      <c r="H391" s="73"/>
      <c r="I391" s="73"/>
      <c r="J391" s="73"/>
      <c r="K391" s="73"/>
    </row>
    <row r="392">
      <c r="C392" s="71"/>
      <c r="D392" s="71"/>
      <c r="E392" s="71"/>
      <c r="F392" s="73"/>
      <c r="G392" s="73"/>
      <c r="H392" s="73"/>
      <c r="I392" s="73"/>
      <c r="J392" s="73"/>
      <c r="K392" s="73"/>
    </row>
    <row r="393">
      <c r="C393" s="71"/>
      <c r="D393" s="71"/>
      <c r="E393" s="71"/>
      <c r="F393" s="73"/>
      <c r="G393" s="73"/>
      <c r="H393" s="73"/>
      <c r="I393" s="73"/>
      <c r="J393" s="73"/>
      <c r="K393" s="73"/>
    </row>
    <row r="394">
      <c r="C394" s="71"/>
      <c r="D394" s="71"/>
      <c r="E394" s="71"/>
      <c r="F394" s="73"/>
      <c r="G394" s="73"/>
      <c r="H394" s="73"/>
      <c r="I394" s="73"/>
      <c r="J394" s="73"/>
      <c r="K394" s="73"/>
    </row>
    <row r="395">
      <c r="C395" s="71"/>
      <c r="D395" s="71"/>
      <c r="E395" s="71"/>
      <c r="F395" s="73"/>
      <c r="G395" s="73"/>
      <c r="H395" s="73"/>
      <c r="I395" s="73"/>
      <c r="J395" s="73"/>
      <c r="K395" s="73"/>
    </row>
    <row r="396">
      <c r="C396" s="71"/>
      <c r="D396" s="71"/>
      <c r="E396" s="71"/>
      <c r="F396" s="73"/>
      <c r="G396" s="73"/>
      <c r="H396" s="73"/>
      <c r="I396" s="73"/>
      <c r="J396" s="73"/>
      <c r="K396" s="73"/>
    </row>
    <row r="397">
      <c r="C397" s="71"/>
      <c r="D397" s="71"/>
      <c r="E397" s="71"/>
      <c r="F397" s="73"/>
      <c r="G397" s="73"/>
      <c r="H397" s="73"/>
      <c r="I397" s="73"/>
      <c r="J397" s="73"/>
      <c r="K397" s="73"/>
    </row>
    <row r="398">
      <c r="C398" s="71"/>
      <c r="D398" s="71"/>
      <c r="E398" s="71"/>
      <c r="F398" s="73"/>
      <c r="G398" s="73"/>
      <c r="H398" s="73"/>
      <c r="I398" s="73"/>
      <c r="J398" s="73"/>
      <c r="K398" s="73"/>
    </row>
    <row r="399">
      <c r="C399" s="71"/>
      <c r="D399" s="71"/>
      <c r="E399" s="71"/>
      <c r="F399" s="73"/>
      <c r="G399" s="73"/>
      <c r="H399" s="73"/>
      <c r="I399" s="73"/>
      <c r="J399" s="73"/>
      <c r="K399" s="73"/>
    </row>
    <row r="400">
      <c r="C400" s="71"/>
      <c r="D400" s="71"/>
      <c r="E400" s="71"/>
      <c r="F400" s="73"/>
      <c r="G400" s="73"/>
      <c r="H400" s="73"/>
      <c r="I400" s="73"/>
      <c r="J400" s="73"/>
      <c r="K400" s="73"/>
    </row>
    <row r="401">
      <c r="C401" s="71"/>
      <c r="D401" s="71"/>
      <c r="E401" s="71"/>
      <c r="F401" s="73"/>
      <c r="G401" s="73"/>
      <c r="H401" s="73"/>
      <c r="I401" s="73"/>
      <c r="J401" s="73"/>
      <c r="K401" s="73"/>
    </row>
    <row r="402">
      <c r="C402" s="71"/>
      <c r="D402" s="71"/>
      <c r="E402" s="71"/>
      <c r="F402" s="73"/>
      <c r="G402" s="73"/>
      <c r="H402" s="73"/>
      <c r="I402" s="73"/>
      <c r="J402" s="73"/>
      <c r="K402" s="73"/>
    </row>
    <row r="403">
      <c r="C403" s="71"/>
      <c r="D403" s="71"/>
      <c r="E403" s="71"/>
      <c r="F403" s="73"/>
      <c r="G403" s="73"/>
      <c r="H403" s="73"/>
      <c r="I403" s="73"/>
      <c r="J403" s="73"/>
      <c r="K403" s="73"/>
    </row>
    <row r="404">
      <c r="C404" s="71"/>
      <c r="D404" s="71"/>
      <c r="E404" s="71"/>
      <c r="F404" s="73"/>
      <c r="G404" s="73"/>
      <c r="H404" s="73"/>
      <c r="I404" s="73"/>
      <c r="J404" s="73"/>
      <c r="K404" s="73"/>
    </row>
    <row r="405">
      <c r="C405" s="71"/>
      <c r="D405" s="71"/>
      <c r="E405" s="71"/>
      <c r="F405" s="73"/>
      <c r="G405" s="73"/>
      <c r="H405" s="73"/>
      <c r="I405" s="73"/>
      <c r="J405" s="73"/>
      <c r="K405" s="73"/>
    </row>
    <row r="406">
      <c r="C406" s="71"/>
      <c r="D406" s="71"/>
      <c r="E406" s="71"/>
      <c r="F406" s="73"/>
      <c r="G406" s="73"/>
      <c r="H406" s="73"/>
      <c r="I406" s="73"/>
      <c r="J406" s="73"/>
      <c r="K406" s="73"/>
    </row>
    <row r="407">
      <c r="C407" s="71"/>
      <c r="D407" s="71"/>
      <c r="E407" s="71"/>
      <c r="F407" s="73"/>
      <c r="G407" s="73"/>
      <c r="H407" s="73"/>
      <c r="I407" s="73"/>
      <c r="J407" s="73"/>
      <c r="K407" s="73"/>
    </row>
    <row r="408">
      <c r="C408" s="71"/>
      <c r="D408" s="71"/>
      <c r="E408" s="71"/>
      <c r="F408" s="73"/>
      <c r="G408" s="73"/>
      <c r="H408" s="73"/>
      <c r="I408" s="73"/>
      <c r="J408" s="73"/>
      <c r="K408" s="73"/>
    </row>
    <row r="409">
      <c r="C409" s="71"/>
      <c r="D409" s="71"/>
      <c r="E409" s="71"/>
      <c r="F409" s="73"/>
      <c r="G409" s="73"/>
      <c r="H409" s="73"/>
      <c r="I409" s="73"/>
      <c r="J409" s="73"/>
      <c r="K409" s="73"/>
    </row>
    <row r="410">
      <c r="C410" s="71"/>
      <c r="D410" s="71"/>
      <c r="E410" s="71"/>
      <c r="F410" s="73"/>
      <c r="G410" s="73"/>
      <c r="H410" s="73"/>
      <c r="I410" s="73"/>
      <c r="J410" s="73"/>
      <c r="K410" s="73"/>
    </row>
    <row r="411">
      <c r="C411" s="71"/>
      <c r="D411" s="71"/>
      <c r="E411" s="71"/>
      <c r="F411" s="73"/>
      <c r="G411" s="73"/>
      <c r="H411" s="73"/>
      <c r="I411" s="73"/>
      <c r="J411" s="73"/>
      <c r="K411" s="73"/>
    </row>
    <row r="412">
      <c r="C412" s="71"/>
      <c r="D412" s="71"/>
      <c r="E412" s="71"/>
      <c r="F412" s="73"/>
      <c r="G412" s="73"/>
      <c r="H412" s="73"/>
      <c r="I412" s="73"/>
      <c r="J412" s="73"/>
      <c r="K412" s="73"/>
    </row>
    <row r="413">
      <c r="C413" s="71"/>
      <c r="D413" s="71"/>
      <c r="E413" s="71"/>
      <c r="F413" s="73"/>
      <c r="G413" s="73"/>
      <c r="H413" s="73"/>
      <c r="I413" s="73"/>
      <c r="J413" s="73"/>
      <c r="K413" s="73"/>
    </row>
    <row r="414">
      <c r="C414" s="71"/>
      <c r="D414" s="71"/>
      <c r="E414" s="71"/>
      <c r="F414" s="73"/>
      <c r="G414" s="73"/>
      <c r="H414" s="73"/>
      <c r="I414" s="73"/>
      <c r="J414" s="73"/>
      <c r="K414" s="73"/>
    </row>
    <row r="415">
      <c r="C415" s="71"/>
      <c r="D415" s="71"/>
      <c r="E415" s="71"/>
      <c r="F415" s="73"/>
      <c r="G415" s="73"/>
      <c r="H415" s="73"/>
      <c r="I415" s="73"/>
      <c r="J415" s="73"/>
      <c r="K415" s="73"/>
    </row>
    <row r="416">
      <c r="C416" s="71"/>
      <c r="D416" s="71"/>
      <c r="E416" s="71"/>
      <c r="F416" s="73"/>
      <c r="G416" s="73"/>
      <c r="H416" s="73"/>
      <c r="I416" s="73"/>
      <c r="J416" s="73"/>
      <c r="K416" s="73"/>
    </row>
    <row r="417">
      <c r="C417" s="71"/>
      <c r="D417" s="71"/>
      <c r="E417" s="71"/>
      <c r="F417" s="73"/>
      <c r="G417" s="73"/>
      <c r="H417" s="73"/>
      <c r="I417" s="73"/>
      <c r="J417" s="73"/>
      <c r="K417" s="73"/>
    </row>
    <row r="418">
      <c r="C418" s="71"/>
      <c r="D418" s="71"/>
      <c r="E418" s="71"/>
      <c r="F418" s="73"/>
      <c r="G418" s="73"/>
      <c r="H418" s="73"/>
      <c r="I418" s="73"/>
      <c r="J418" s="73"/>
      <c r="K418" s="73"/>
    </row>
    <row r="419">
      <c r="C419" s="71"/>
      <c r="D419" s="71"/>
      <c r="E419" s="71"/>
      <c r="F419" s="73"/>
      <c r="G419" s="73"/>
      <c r="H419" s="73"/>
      <c r="I419" s="73"/>
      <c r="J419" s="73"/>
      <c r="K419" s="73"/>
    </row>
    <row r="420">
      <c r="C420" s="71"/>
      <c r="D420" s="71"/>
      <c r="E420" s="71"/>
      <c r="F420" s="73"/>
      <c r="G420" s="73"/>
      <c r="H420" s="73"/>
      <c r="I420" s="73"/>
      <c r="J420" s="73"/>
      <c r="K420" s="73"/>
    </row>
    <row r="421">
      <c r="C421" s="71"/>
      <c r="D421" s="71"/>
      <c r="E421" s="71"/>
      <c r="F421" s="73"/>
      <c r="G421" s="73"/>
      <c r="H421" s="73"/>
      <c r="I421" s="73"/>
      <c r="J421" s="73"/>
      <c r="K421" s="73"/>
    </row>
    <row r="422">
      <c r="C422" s="71"/>
      <c r="D422" s="71"/>
      <c r="E422" s="71"/>
      <c r="F422" s="73"/>
      <c r="G422" s="73"/>
      <c r="H422" s="73"/>
      <c r="I422" s="73"/>
      <c r="J422" s="73"/>
      <c r="K422" s="73"/>
    </row>
    <row r="423">
      <c r="C423" s="71"/>
      <c r="D423" s="71"/>
      <c r="E423" s="71"/>
      <c r="F423" s="73"/>
      <c r="G423" s="73"/>
      <c r="H423" s="73"/>
      <c r="I423" s="73"/>
      <c r="J423" s="73"/>
      <c r="K423" s="73"/>
    </row>
    <row r="424">
      <c r="C424" s="71"/>
      <c r="D424" s="71"/>
      <c r="E424" s="71"/>
      <c r="F424" s="73"/>
      <c r="G424" s="73"/>
      <c r="H424" s="73"/>
      <c r="I424" s="73"/>
      <c r="J424" s="73"/>
      <c r="K424" s="73"/>
    </row>
    <row r="425">
      <c r="C425" s="71"/>
      <c r="D425" s="71"/>
      <c r="E425" s="71"/>
      <c r="F425" s="73"/>
      <c r="G425" s="73"/>
      <c r="H425" s="73"/>
      <c r="I425" s="73"/>
      <c r="J425" s="73"/>
      <c r="K425" s="73"/>
    </row>
    <row r="426">
      <c r="C426" s="71"/>
      <c r="D426" s="71"/>
      <c r="E426" s="71"/>
      <c r="F426" s="73"/>
      <c r="G426" s="73"/>
      <c r="H426" s="73"/>
      <c r="I426" s="73"/>
      <c r="J426" s="73"/>
      <c r="K426" s="73"/>
    </row>
    <row r="427">
      <c r="C427" s="71"/>
      <c r="D427" s="71"/>
      <c r="E427" s="71"/>
      <c r="F427" s="73"/>
      <c r="G427" s="73"/>
      <c r="H427" s="73"/>
      <c r="I427" s="73"/>
      <c r="J427" s="73"/>
      <c r="K427" s="73"/>
    </row>
    <row r="428">
      <c r="C428" s="71"/>
      <c r="D428" s="71"/>
      <c r="E428" s="71"/>
      <c r="F428" s="73"/>
      <c r="G428" s="73"/>
      <c r="H428" s="73"/>
      <c r="I428" s="73"/>
      <c r="J428" s="73"/>
      <c r="K428" s="73"/>
    </row>
    <row r="429">
      <c r="C429" s="71"/>
      <c r="D429" s="71"/>
      <c r="E429" s="71"/>
      <c r="F429" s="73"/>
      <c r="G429" s="73"/>
      <c r="H429" s="73"/>
      <c r="I429" s="73"/>
      <c r="J429" s="73"/>
      <c r="K429" s="73"/>
    </row>
    <row r="430">
      <c r="C430" s="71"/>
      <c r="D430" s="71"/>
      <c r="E430" s="71"/>
      <c r="F430" s="73"/>
      <c r="G430" s="73"/>
      <c r="H430" s="73"/>
      <c r="I430" s="73"/>
      <c r="J430" s="73"/>
      <c r="K430" s="73"/>
    </row>
    <row r="431">
      <c r="C431" s="71"/>
      <c r="D431" s="71"/>
      <c r="E431" s="71"/>
      <c r="F431" s="73"/>
      <c r="G431" s="73"/>
      <c r="H431" s="73"/>
      <c r="I431" s="73"/>
      <c r="J431" s="73"/>
      <c r="K431" s="73"/>
    </row>
    <row r="432">
      <c r="C432" s="71"/>
      <c r="D432" s="71"/>
      <c r="E432" s="71"/>
      <c r="F432" s="73"/>
      <c r="G432" s="73"/>
      <c r="H432" s="73"/>
      <c r="I432" s="73"/>
      <c r="J432" s="73"/>
      <c r="K432" s="73"/>
    </row>
    <row r="433">
      <c r="C433" s="71"/>
      <c r="D433" s="71"/>
      <c r="E433" s="71"/>
      <c r="F433" s="73"/>
      <c r="G433" s="73"/>
      <c r="H433" s="73"/>
      <c r="I433" s="73"/>
      <c r="J433" s="73"/>
      <c r="K433" s="73"/>
    </row>
    <row r="434">
      <c r="C434" s="71"/>
      <c r="D434" s="71"/>
      <c r="E434" s="71"/>
      <c r="F434" s="73"/>
      <c r="G434" s="73"/>
      <c r="H434" s="73"/>
      <c r="I434" s="73"/>
      <c r="J434" s="73"/>
      <c r="K434" s="73"/>
    </row>
    <row r="435">
      <c r="C435" s="71"/>
      <c r="D435" s="71"/>
      <c r="E435" s="71"/>
      <c r="F435" s="73"/>
      <c r="G435" s="73"/>
      <c r="H435" s="73"/>
      <c r="I435" s="73"/>
      <c r="J435" s="73"/>
      <c r="K435" s="73"/>
    </row>
    <row r="436">
      <c r="C436" s="71"/>
      <c r="D436" s="71"/>
      <c r="E436" s="71"/>
      <c r="F436" s="73"/>
      <c r="G436" s="73"/>
      <c r="H436" s="73"/>
      <c r="I436" s="73"/>
      <c r="J436" s="73"/>
      <c r="K436" s="73"/>
    </row>
    <row r="437">
      <c r="C437" s="71"/>
      <c r="D437" s="71"/>
      <c r="E437" s="71"/>
      <c r="F437" s="73"/>
      <c r="G437" s="73"/>
      <c r="H437" s="73"/>
      <c r="I437" s="73"/>
      <c r="J437" s="73"/>
      <c r="K437" s="73"/>
    </row>
    <row r="438">
      <c r="C438" s="71"/>
      <c r="D438" s="71"/>
      <c r="E438" s="71"/>
      <c r="F438" s="73"/>
      <c r="G438" s="73"/>
      <c r="H438" s="73"/>
      <c r="I438" s="73"/>
      <c r="J438" s="73"/>
      <c r="K438" s="73"/>
    </row>
    <row r="439">
      <c r="C439" s="71"/>
      <c r="D439" s="71"/>
      <c r="E439" s="71"/>
      <c r="F439" s="73"/>
      <c r="G439" s="73"/>
      <c r="H439" s="73"/>
      <c r="I439" s="73"/>
      <c r="J439" s="73"/>
      <c r="K439" s="73"/>
    </row>
    <row r="440">
      <c r="C440" s="71"/>
      <c r="D440" s="71"/>
      <c r="E440" s="71"/>
      <c r="F440" s="73"/>
      <c r="G440" s="73"/>
      <c r="H440" s="73"/>
      <c r="I440" s="73"/>
      <c r="J440" s="73"/>
      <c r="K440" s="73"/>
    </row>
    <row r="441">
      <c r="C441" s="71"/>
      <c r="D441" s="71"/>
      <c r="E441" s="71"/>
      <c r="F441" s="73"/>
      <c r="G441" s="73"/>
      <c r="H441" s="73"/>
      <c r="I441" s="73"/>
      <c r="J441" s="73"/>
      <c r="K441" s="73"/>
    </row>
    <row r="442">
      <c r="C442" s="71"/>
      <c r="D442" s="71"/>
      <c r="E442" s="71"/>
      <c r="F442" s="73"/>
      <c r="G442" s="73"/>
      <c r="H442" s="73"/>
      <c r="I442" s="73"/>
      <c r="J442" s="73"/>
      <c r="K442" s="73"/>
    </row>
    <row r="443">
      <c r="C443" s="71"/>
      <c r="D443" s="71"/>
      <c r="E443" s="71"/>
      <c r="F443" s="73"/>
      <c r="G443" s="73"/>
      <c r="H443" s="73"/>
      <c r="I443" s="73"/>
      <c r="J443" s="73"/>
      <c r="K443" s="73"/>
    </row>
    <row r="444">
      <c r="C444" s="71"/>
      <c r="D444" s="71"/>
      <c r="E444" s="71"/>
      <c r="F444" s="73"/>
      <c r="G444" s="73"/>
      <c r="H444" s="73"/>
      <c r="I444" s="73"/>
      <c r="J444" s="73"/>
      <c r="K444" s="73"/>
    </row>
    <row r="445">
      <c r="C445" s="71"/>
      <c r="D445" s="71"/>
      <c r="E445" s="71"/>
      <c r="F445" s="73"/>
      <c r="G445" s="73"/>
      <c r="H445" s="73"/>
      <c r="I445" s="73"/>
      <c r="J445" s="73"/>
      <c r="K445" s="73"/>
    </row>
    <row r="446">
      <c r="C446" s="71"/>
      <c r="D446" s="71"/>
      <c r="E446" s="71"/>
      <c r="F446" s="73"/>
      <c r="G446" s="73"/>
      <c r="H446" s="73"/>
      <c r="I446" s="73"/>
      <c r="J446" s="73"/>
      <c r="K446" s="73"/>
    </row>
    <row r="447">
      <c r="C447" s="71"/>
      <c r="D447" s="71"/>
      <c r="E447" s="71"/>
      <c r="F447" s="73"/>
      <c r="G447" s="73"/>
      <c r="H447" s="73"/>
      <c r="I447" s="73"/>
      <c r="J447" s="73"/>
      <c r="K447" s="73"/>
    </row>
    <row r="448">
      <c r="C448" s="71"/>
      <c r="D448" s="71"/>
      <c r="E448" s="71"/>
      <c r="F448" s="73"/>
      <c r="G448" s="73"/>
      <c r="H448" s="73"/>
      <c r="I448" s="73"/>
      <c r="J448" s="73"/>
      <c r="K448" s="73"/>
    </row>
    <row r="449">
      <c r="C449" s="71"/>
      <c r="D449" s="71"/>
      <c r="E449" s="71"/>
      <c r="F449" s="73"/>
      <c r="G449" s="73"/>
      <c r="H449" s="73"/>
      <c r="I449" s="73"/>
      <c r="J449" s="73"/>
      <c r="K449" s="73"/>
    </row>
    <row r="450">
      <c r="C450" s="71"/>
      <c r="D450" s="71"/>
      <c r="E450" s="71"/>
      <c r="F450" s="73"/>
      <c r="G450" s="73"/>
      <c r="H450" s="73"/>
      <c r="I450" s="73"/>
      <c r="J450" s="73"/>
      <c r="K450" s="73"/>
    </row>
    <row r="451">
      <c r="C451" s="71"/>
      <c r="D451" s="71"/>
      <c r="E451" s="71"/>
      <c r="F451" s="73"/>
      <c r="G451" s="73"/>
      <c r="H451" s="73"/>
      <c r="I451" s="73"/>
      <c r="J451" s="73"/>
      <c r="K451" s="73"/>
    </row>
    <row r="452">
      <c r="C452" s="71"/>
      <c r="D452" s="71"/>
      <c r="E452" s="71"/>
      <c r="F452" s="73"/>
      <c r="G452" s="73"/>
      <c r="H452" s="73"/>
      <c r="I452" s="73"/>
      <c r="J452" s="73"/>
      <c r="K452" s="73"/>
    </row>
    <row r="453">
      <c r="C453" s="71"/>
      <c r="D453" s="71"/>
      <c r="E453" s="71"/>
      <c r="F453" s="73"/>
      <c r="G453" s="73"/>
      <c r="H453" s="73"/>
      <c r="I453" s="73"/>
      <c r="J453" s="73"/>
      <c r="K453" s="73"/>
    </row>
    <row r="454">
      <c r="C454" s="71"/>
      <c r="D454" s="71"/>
      <c r="E454" s="71"/>
      <c r="F454" s="73"/>
      <c r="G454" s="73"/>
      <c r="H454" s="73"/>
      <c r="I454" s="73"/>
      <c r="J454" s="73"/>
      <c r="K454" s="73"/>
    </row>
    <row r="455">
      <c r="C455" s="71"/>
      <c r="D455" s="71"/>
      <c r="E455" s="71"/>
      <c r="F455" s="73"/>
      <c r="G455" s="73"/>
      <c r="H455" s="73"/>
      <c r="I455" s="73"/>
      <c r="J455" s="73"/>
      <c r="K455" s="73"/>
    </row>
    <row r="456">
      <c r="C456" s="71"/>
      <c r="D456" s="71"/>
      <c r="E456" s="71"/>
      <c r="F456" s="73"/>
      <c r="G456" s="73"/>
      <c r="H456" s="73"/>
      <c r="I456" s="73"/>
      <c r="J456" s="73"/>
      <c r="K456" s="73"/>
    </row>
    <row r="457">
      <c r="C457" s="71"/>
      <c r="D457" s="71"/>
      <c r="E457" s="71"/>
      <c r="F457" s="73"/>
      <c r="G457" s="73"/>
      <c r="H457" s="73"/>
      <c r="I457" s="73"/>
      <c r="J457" s="73"/>
      <c r="K457" s="73"/>
    </row>
    <row r="458">
      <c r="C458" s="71"/>
      <c r="D458" s="71"/>
      <c r="E458" s="71"/>
      <c r="F458" s="73"/>
      <c r="G458" s="73"/>
      <c r="H458" s="73"/>
      <c r="I458" s="73"/>
      <c r="J458" s="73"/>
      <c r="K458" s="73"/>
    </row>
    <row r="459">
      <c r="C459" s="71"/>
      <c r="D459" s="71"/>
      <c r="E459" s="71"/>
      <c r="F459" s="73"/>
      <c r="G459" s="73"/>
      <c r="H459" s="73"/>
      <c r="I459" s="73"/>
      <c r="J459" s="73"/>
      <c r="K459" s="73"/>
    </row>
    <row r="460">
      <c r="C460" s="71"/>
      <c r="D460" s="71"/>
      <c r="E460" s="71"/>
      <c r="F460" s="73"/>
      <c r="G460" s="73"/>
      <c r="H460" s="73"/>
      <c r="I460" s="73"/>
      <c r="J460" s="73"/>
      <c r="K460" s="73"/>
    </row>
    <row r="461">
      <c r="C461" s="71"/>
      <c r="D461" s="71"/>
      <c r="E461" s="71"/>
      <c r="F461" s="73"/>
      <c r="G461" s="73"/>
      <c r="H461" s="73"/>
      <c r="I461" s="73"/>
      <c r="J461" s="73"/>
      <c r="K461" s="73"/>
    </row>
    <row r="462">
      <c r="C462" s="71"/>
      <c r="D462" s="71"/>
      <c r="E462" s="71"/>
      <c r="F462" s="73"/>
      <c r="G462" s="73"/>
      <c r="H462" s="73"/>
      <c r="I462" s="73"/>
      <c r="J462" s="73"/>
      <c r="K462" s="73"/>
    </row>
    <row r="463">
      <c r="C463" s="71"/>
      <c r="D463" s="71"/>
      <c r="E463" s="71"/>
      <c r="F463" s="73"/>
      <c r="G463" s="73"/>
      <c r="H463" s="73"/>
      <c r="I463" s="73"/>
      <c r="J463" s="73"/>
      <c r="K463" s="73"/>
    </row>
    <row r="464">
      <c r="C464" s="71"/>
      <c r="D464" s="71"/>
      <c r="E464" s="71"/>
      <c r="F464" s="73"/>
      <c r="G464" s="73"/>
      <c r="H464" s="73"/>
      <c r="I464" s="73"/>
      <c r="J464" s="73"/>
      <c r="K464" s="73"/>
    </row>
    <row r="465">
      <c r="C465" s="71"/>
      <c r="D465" s="71"/>
      <c r="E465" s="71"/>
      <c r="F465" s="73"/>
      <c r="G465" s="73"/>
      <c r="H465" s="73"/>
      <c r="I465" s="73"/>
      <c r="J465" s="73"/>
      <c r="K465" s="73"/>
    </row>
    <row r="466">
      <c r="C466" s="71"/>
      <c r="D466" s="71"/>
      <c r="E466" s="71"/>
      <c r="F466" s="73"/>
      <c r="G466" s="73"/>
      <c r="H466" s="73"/>
      <c r="I466" s="73"/>
      <c r="J466" s="73"/>
      <c r="K466" s="73"/>
    </row>
    <row r="467">
      <c r="C467" s="71"/>
      <c r="D467" s="71"/>
      <c r="E467" s="71"/>
      <c r="F467" s="73"/>
      <c r="G467" s="73"/>
      <c r="H467" s="73"/>
      <c r="I467" s="73"/>
      <c r="J467" s="73"/>
      <c r="K467" s="73"/>
    </row>
    <row r="468">
      <c r="C468" s="71"/>
      <c r="D468" s="71"/>
      <c r="E468" s="71"/>
      <c r="F468" s="73"/>
      <c r="G468" s="73"/>
      <c r="H468" s="73"/>
      <c r="I468" s="73"/>
      <c r="J468" s="73"/>
      <c r="K468" s="73"/>
    </row>
    <row r="469">
      <c r="C469" s="71"/>
      <c r="D469" s="71"/>
      <c r="E469" s="71"/>
      <c r="F469" s="73"/>
      <c r="G469" s="73"/>
      <c r="H469" s="73"/>
      <c r="I469" s="73"/>
      <c r="J469" s="73"/>
      <c r="K469" s="73"/>
    </row>
    <row r="470">
      <c r="C470" s="71"/>
      <c r="D470" s="71"/>
      <c r="E470" s="71"/>
      <c r="F470" s="73"/>
      <c r="G470" s="73"/>
      <c r="H470" s="73"/>
      <c r="I470" s="73"/>
      <c r="J470" s="73"/>
      <c r="K470" s="73"/>
    </row>
    <row r="471">
      <c r="C471" s="71"/>
      <c r="D471" s="71"/>
      <c r="E471" s="71"/>
      <c r="F471" s="73"/>
      <c r="G471" s="73"/>
      <c r="H471" s="73"/>
      <c r="I471" s="73"/>
      <c r="J471" s="73"/>
      <c r="K471" s="73"/>
    </row>
    <row r="472">
      <c r="C472" s="71"/>
      <c r="D472" s="71"/>
      <c r="E472" s="71"/>
      <c r="F472" s="73"/>
      <c r="G472" s="73"/>
      <c r="H472" s="73"/>
      <c r="I472" s="73"/>
      <c r="J472" s="73"/>
      <c r="K472" s="73"/>
    </row>
    <row r="473">
      <c r="C473" s="71"/>
      <c r="D473" s="71"/>
      <c r="E473" s="71"/>
      <c r="F473" s="73"/>
      <c r="G473" s="73"/>
      <c r="H473" s="73"/>
      <c r="I473" s="73"/>
      <c r="J473" s="73"/>
      <c r="K473" s="73"/>
    </row>
    <row r="474">
      <c r="C474" s="71"/>
      <c r="D474" s="71"/>
      <c r="E474" s="71"/>
      <c r="F474" s="73"/>
      <c r="G474" s="73"/>
      <c r="H474" s="73"/>
      <c r="I474" s="73"/>
      <c r="J474" s="73"/>
      <c r="K474" s="73"/>
    </row>
    <row r="475">
      <c r="C475" s="71"/>
      <c r="D475" s="71"/>
      <c r="E475" s="71"/>
      <c r="F475" s="73"/>
      <c r="G475" s="73"/>
      <c r="H475" s="73"/>
      <c r="I475" s="73"/>
      <c r="J475" s="73"/>
      <c r="K475" s="73"/>
    </row>
    <row r="476">
      <c r="C476" s="71"/>
      <c r="D476" s="71"/>
      <c r="E476" s="71"/>
      <c r="F476" s="73"/>
      <c r="G476" s="73"/>
      <c r="H476" s="73"/>
      <c r="I476" s="73"/>
      <c r="J476" s="73"/>
      <c r="K476" s="73"/>
    </row>
    <row r="477">
      <c r="C477" s="71"/>
      <c r="D477" s="71"/>
      <c r="E477" s="71"/>
      <c r="F477" s="73"/>
      <c r="G477" s="73"/>
      <c r="H477" s="73"/>
      <c r="I477" s="73"/>
      <c r="J477" s="73"/>
      <c r="K477" s="73"/>
    </row>
    <row r="478">
      <c r="C478" s="71"/>
      <c r="D478" s="71"/>
      <c r="E478" s="71"/>
      <c r="F478" s="73"/>
      <c r="G478" s="73"/>
      <c r="H478" s="73"/>
      <c r="I478" s="73"/>
      <c r="J478" s="73"/>
      <c r="K478" s="73"/>
    </row>
    <row r="479">
      <c r="C479" s="71"/>
      <c r="D479" s="71"/>
      <c r="E479" s="71"/>
      <c r="F479" s="73"/>
      <c r="G479" s="73"/>
      <c r="H479" s="73"/>
      <c r="I479" s="73"/>
      <c r="J479" s="73"/>
      <c r="K479" s="73"/>
    </row>
    <row r="480">
      <c r="C480" s="71"/>
      <c r="D480" s="71"/>
      <c r="E480" s="71"/>
      <c r="F480" s="73"/>
      <c r="G480" s="73"/>
      <c r="H480" s="73"/>
      <c r="I480" s="73"/>
      <c r="J480" s="73"/>
      <c r="K480" s="73"/>
    </row>
    <row r="481">
      <c r="C481" s="71"/>
      <c r="D481" s="71"/>
      <c r="E481" s="71"/>
      <c r="F481" s="73"/>
      <c r="G481" s="73"/>
      <c r="H481" s="73"/>
      <c r="I481" s="73"/>
      <c r="J481" s="73"/>
      <c r="K481" s="73"/>
    </row>
    <row r="482">
      <c r="C482" s="71"/>
      <c r="D482" s="71"/>
      <c r="E482" s="71"/>
      <c r="F482" s="73"/>
      <c r="G482" s="73"/>
      <c r="H482" s="73"/>
      <c r="I482" s="73"/>
      <c r="J482" s="73"/>
      <c r="K482" s="73"/>
    </row>
    <row r="483">
      <c r="C483" s="71"/>
      <c r="D483" s="71"/>
      <c r="E483" s="71"/>
      <c r="F483" s="73"/>
      <c r="G483" s="73"/>
      <c r="H483" s="73"/>
      <c r="I483" s="73"/>
      <c r="J483" s="73"/>
      <c r="K483" s="73"/>
    </row>
    <row r="484">
      <c r="C484" s="71"/>
      <c r="D484" s="71"/>
      <c r="E484" s="71"/>
      <c r="F484" s="73"/>
      <c r="G484" s="73"/>
      <c r="H484" s="73"/>
      <c r="I484" s="73"/>
      <c r="J484" s="73"/>
      <c r="K484" s="73"/>
    </row>
    <row r="485">
      <c r="C485" s="71"/>
      <c r="D485" s="71"/>
      <c r="E485" s="71"/>
      <c r="F485" s="73"/>
      <c r="G485" s="73"/>
      <c r="H485" s="73"/>
      <c r="I485" s="73"/>
      <c r="J485" s="73"/>
      <c r="K485" s="73"/>
    </row>
    <row r="486">
      <c r="C486" s="71"/>
      <c r="D486" s="71"/>
      <c r="E486" s="71"/>
      <c r="F486" s="73"/>
      <c r="G486" s="73"/>
      <c r="H486" s="73"/>
      <c r="I486" s="73"/>
      <c r="J486" s="73"/>
      <c r="K486" s="73"/>
    </row>
    <row r="487">
      <c r="C487" s="71"/>
      <c r="D487" s="71"/>
      <c r="E487" s="71"/>
      <c r="F487" s="73"/>
      <c r="G487" s="73"/>
      <c r="H487" s="73"/>
      <c r="I487" s="73"/>
      <c r="J487" s="73"/>
      <c r="K487" s="73"/>
    </row>
    <row r="488">
      <c r="C488" s="71"/>
      <c r="D488" s="71"/>
      <c r="E488" s="71"/>
      <c r="F488" s="73"/>
      <c r="G488" s="73"/>
      <c r="H488" s="73"/>
      <c r="I488" s="73"/>
      <c r="J488" s="73"/>
      <c r="K488" s="73"/>
    </row>
    <row r="489">
      <c r="C489" s="71"/>
      <c r="D489" s="71"/>
      <c r="E489" s="71"/>
      <c r="F489" s="73"/>
      <c r="G489" s="73"/>
      <c r="H489" s="73"/>
      <c r="I489" s="73"/>
      <c r="J489" s="73"/>
      <c r="K489" s="73"/>
    </row>
    <row r="490">
      <c r="C490" s="71"/>
      <c r="D490" s="71"/>
      <c r="E490" s="71"/>
      <c r="F490" s="73"/>
      <c r="G490" s="73"/>
      <c r="H490" s="73"/>
      <c r="I490" s="73"/>
      <c r="J490" s="73"/>
      <c r="K490" s="73"/>
    </row>
    <row r="491">
      <c r="C491" s="71"/>
      <c r="D491" s="71"/>
      <c r="E491" s="71"/>
      <c r="F491" s="73"/>
      <c r="G491" s="73"/>
      <c r="H491" s="73"/>
      <c r="I491" s="73"/>
      <c r="J491" s="73"/>
      <c r="K491" s="73"/>
    </row>
    <row r="492">
      <c r="C492" s="71"/>
      <c r="D492" s="71"/>
      <c r="E492" s="71"/>
      <c r="F492" s="73"/>
      <c r="G492" s="73"/>
      <c r="H492" s="73"/>
      <c r="I492" s="73"/>
      <c r="J492" s="73"/>
      <c r="K492" s="73"/>
    </row>
    <row r="493">
      <c r="C493" s="71"/>
      <c r="D493" s="71"/>
      <c r="E493" s="71"/>
      <c r="F493" s="73"/>
      <c r="G493" s="73"/>
      <c r="H493" s="73"/>
      <c r="I493" s="73"/>
      <c r="J493" s="73"/>
      <c r="K493" s="73"/>
    </row>
    <row r="494">
      <c r="C494" s="71"/>
      <c r="D494" s="71"/>
      <c r="E494" s="71"/>
      <c r="F494" s="73"/>
      <c r="G494" s="73"/>
      <c r="H494" s="73"/>
      <c r="I494" s="73"/>
      <c r="J494" s="73"/>
      <c r="K494" s="73"/>
    </row>
    <row r="495">
      <c r="C495" s="71"/>
      <c r="D495" s="71"/>
      <c r="E495" s="71"/>
      <c r="F495" s="73"/>
      <c r="G495" s="73"/>
      <c r="H495" s="73"/>
      <c r="I495" s="73"/>
      <c r="J495" s="73"/>
      <c r="K495" s="73"/>
    </row>
    <row r="496">
      <c r="C496" s="71"/>
      <c r="D496" s="71"/>
      <c r="E496" s="71"/>
      <c r="F496" s="73"/>
      <c r="G496" s="73"/>
      <c r="H496" s="73"/>
      <c r="I496" s="73"/>
      <c r="J496" s="73"/>
      <c r="K496" s="73"/>
    </row>
    <row r="497">
      <c r="C497" s="71"/>
      <c r="D497" s="71"/>
      <c r="E497" s="71"/>
      <c r="F497" s="73"/>
      <c r="G497" s="73"/>
      <c r="H497" s="73"/>
      <c r="I497" s="73"/>
      <c r="J497" s="73"/>
      <c r="K497" s="73"/>
    </row>
    <row r="498">
      <c r="C498" s="71"/>
      <c r="D498" s="71"/>
      <c r="E498" s="71"/>
      <c r="F498" s="73"/>
      <c r="G498" s="73"/>
      <c r="H498" s="73"/>
      <c r="I498" s="73"/>
      <c r="J498" s="73"/>
      <c r="K498" s="73"/>
    </row>
    <row r="499">
      <c r="C499" s="71"/>
      <c r="D499" s="71"/>
      <c r="E499" s="71"/>
      <c r="F499" s="73"/>
      <c r="G499" s="73"/>
      <c r="H499" s="73"/>
      <c r="I499" s="73"/>
      <c r="J499" s="73"/>
      <c r="K499" s="73"/>
    </row>
    <row r="500">
      <c r="C500" s="71"/>
      <c r="D500" s="71"/>
      <c r="E500" s="71"/>
      <c r="F500" s="73"/>
      <c r="G500" s="73"/>
      <c r="H500" s="73"/>
      <c r="I500" s="73"/>
      <c r="J500" s="73"/>
      <c r="K500" s="73"/>
    </row>
    <row r="501">
      <c r="C501" s="71"/>
      <c r="D501" s="71"/>
      <c r="E501" s="71"/>
      <c r="F501" s="73"/>
      <c r="G501" s="73"/>
      <c r="H501" s="73"/>
      <c r="I501" s="73"/>
      <c r="J501" s="73"/>
      <c r="K501" s="73"/>
    </row>
    <row r="502">
      <c r="C502" s="71"/>
      <c r="D502" s="71"/>
      <c r="E502" s="71"/>
      <c r="F502" s="73"/>
      <c r="G502" s="73"/>
      <c r="H502" s="73"/>
      <c r="I502" s="73"/>
      <c r="J502" s="73"/>
      <c r="K502" s="73"/>
    </row>
    <row r="503">
      <c r="C503" s="71"/>
      <c r="D503" s="71"/>
      <c r="E503" s="71"/>
      <c r="F503" s="73"/>
      <c r="G503" s="73"/>
      <c r="H503" s="73"/>
      <c r="I503" s="73"/>
      <c r="J503" s="73"/>
      <c r="K503" s="73"/>
    </row>
    <row r="504">
      <c r="C504" s="71"/>
      <c r="D504" s="71"/>
      <c r="E504" s="71"/>
      <c r="F504" s="73"/>
      <c r="G504" s="73"/>
      <c r="H504" s="73"/>
      <c r="I504" s="73"/>
      <c r="J504" s="73"/>
      <c r="K504" s="73"/>
    </row>
    <row r="505">
      <c r="C505" s="71"/>
      <c r="D505" s="71"/>
      <c r="E505" s="71"/>
      <c r="F505" s="73"/>
      <c r="G505" s="73"/>
      <c r="H505" s="73"/>
      <c r="I505" s="73"/>
      <c r="J505" s="73"/>
      <c r="K505" s="73"/>
    </row>
    <row r="506">
      <c r="C506" s="71"/>
      <c r="D506" s="71"/>
      <c r="E506" s="71"/>
      <c r="F506" s="73"/>
      <c r="G506" s="73"/>
      <c r="H506" s="73"/>
      <c r="I506" s="73"/>
      <c r="J506" s="73"/>
      <c r="K506" s="73"/>
    </row>
    <row r="507">
      <c r="C507" s="71"/>
      <c r="D507" s="71"/>
      <c r="E507" s="71"/>
      <c r="F507" s="73"/>
      <c r="G507" s="73"/>
      <c r="H507" s="73"/>
      <c r="I507" s="73"/>
      <c r="J507" s="73"/>
      <c r="K507" s="73"/>
    </row>
    <row r="508">
      <c r="C508" s="71"/>
      <c r="D508" s="71"/>
      <c r="E508" s="71"/>
      <c r="F508" s="73"/>
      <c r="G508" s="73"/>
      <c r="H508" s="73"/>
      <c r="I508" s="73"/>
      <c r="J508" s="73"/>
      <c r="K508" s="73"/>
    </row>
    <row r="509">
      <c r="C509" s="71"/>
      <c r="D509" s="71"/>
      <c r="E509" s="71"/>
      <c r="F509" s="73"/>
      <c r="G509" s="73"/>
      <c r="H509" s="73"/>
      <c r="I509" s="73"/>
      <c r="J509" s="73"/>
      <c r="K509" s="73"/>
    </row>
    <row r="510">
      <c r="C510" s="71"/>
      <c r="D510" s="71"/>
      <c r="E510" s="71"/>
      <c r="F510" s="73"/>
      <c r="G510" s="73"/>
      <c r="H510" s="73"/>
      <c r="I510" s="73"/>
      <c r="J510" s="73"/>
      <c r="K510" s="73"/>
    </row>
    <row r="511">
      <c r="C511" s="71"/>
      <c r="D511" s="71"/>
      <c r="E511" s="71"/>
      <c r="F511" s="73"/>
      <c r="G511" s="73"/>
      <c r="H511" s="73"/>
      <c r="I511" s="73"/>
      <c r="J511" s="73"/>
      <c r="K511" s="73"/>
    </row>
    <row r="512">
      <c r="C512" s="71"/>
      <c r="D512" s="71"/>
      <c r="E512" s="71"/>
      <c r="F512" s="73"/>
      <c r="G512" s="73"/>
      <c r="H512" s="73"/>
      <c r="I512" s="73"/>
      <c r="J512" s="73"/>
      <c r="K512" s="73"/>
    </row>
    <row r="513">
      <c r="C513" s="71"/>
      <c r="D513" s="71"/>
      <c r="E513" s="71"/>
      <c r="F513" s="73"/>
      <c r="G513" s="73"/>
      <c r="H513" s="73"/>
      <c r="I513" s="73"/>
      <c r="J513" s="73"/>
      <c r="K513" s="73"/>
    </row>
    <row r="514">
      <c r="C514" s="71"/>
      <c r="D514" s="71"/>
      <c r="E514" s="71"/>
      <c r="F514" s="73"/>
      <c r="G514" s="73"/>
      <c r="H514" s="73"/>
      <c r="I514" s="73"/>
      <c r="J514" s="73"/>
      <c r="K514" s="73"/>
    </row>
    <row r="515">
      <c r="C515" s="71"/>
      <c r="D515" s="71"/>
      <c r="E515" s="71"/>
      <c r="F515" s="73"/>
      <c r="G515" s="73"/>
      <c r="H515" s="73"/>
      <c r="I515" s="73"/>
      <c r="J515" s="73"/>
      <c r="K515" s="73"/>
    </row>
    <row r="516">
      <c r="C516" s="71"/>
      <c r="D516" s="71"/>
      <c r="E516" s="71"/>
      <c r="F516" s="73"/>
      <c r="G516" s="73"/>
      <c r="H516" s="73"/>
      <c r="I516" s="73"/>
      <c r="J516" s="73"/>
      <c r="K516" s="73"/>
    </row>
    <row r="517">
      <c r="C517" s="71"/>
      <c r="D517" s="71"/>
      <c r="E517" s="71"/>
      <c r="F517" s="73"/>
      <c r="G517" s="73"/>
      <c r="H517" s="73"/>
      <c r="I517" s="73"/>
      <c r="J517" s="73"/>
      <c r="K517" s="73"/>
    </row>
    <row r="518">
      <c r="C518" s="71"/>
      <c r="D518" s="71"/>
      <c r="E518" s="71"/>
      <c r="F518" s="73"/>
      <c r="G518" s="73"/>
      <c r="H518" s="73"/>
      <c r="I518" s="73"/>
      <c r="J518" s="73"/>
      <c r="K518" s="73"/>
    </row>
    <row r="519">
      <c r="C519" s="71"/>
      <c r="D519" s="71"/>
      <c r="E519" s="71"/>
      <c r="F519" s="73"/>
      <c r="G519" s="73"/>
      <c r="H519" s="73"/>
      <c r="I519" s="73"/>
      <c r="J519" s="73"/>
      <c r="K519" s="73"/>
    </row>
    <row r="520">
      <c r="C520" s="71"/>
      <c r="D520" s="71"/>
      <c r="E520" s="71"/>
      <c r="F520" s="73"/>
      <c r="G520" s="73"/>
      <c r="H520" s="73"/>
      <c r="I520" s="73"/>
      <c r="J520" s="73"/>
      <c r="K520" s="73"/>
    </row>
    <row r="521">
      <c r="C521" s="71"/>
      <c r="D521" s="71"/>
      <c r="E521" s="71"/>
      <c r="F521" s="73"/>
      <c r="G521" s="73"/>
      <c r="H521" s="73"/>
      <c r="I521" s="73"/>
      <c r="J521" s="73"/>
      <c r="K521" s="73"/>
    </row>
    <row r="522">
      <c r="C522" s="71"/>
      <c r="D522" s="71"/>
      <c r="E522" s="71"/>
      <c r="F522" s="73"/>
      <c r="G522" s="73"/>
      <c r="H522" s="73"/>
      <c r="I522" s="73"/>
      <c r="J522" s="73"/>
      <c r="K522" s="73"/>
    </row>
    <row r="523">
      <c r="C523" s="71"/>
      <c r="D523" s="71"/>
      <c r="E523" s="71"/>
      <c r="F523" s="73"/>
      <c r="G523" s="73"/>
      <c r="H523" s="73"/>
      <c r="I523" s="73"/>
      <c r="J523" s="73"/>
      <c r="K523" s="73"/>
    </row>
    <row r="524">
      <c r="C524" s="71"/>
      <c r="D524" s="71"/>
      <c r="E524" s="71"/>
      <c r="F524" s="73"/>
      <c r="G524" s="73"/>
      <c r="H524" s="73"/>
      <c r="I524" s="73"/>
      <c r="J524" s="73"/>
      <c r="K524" s="73"/>
    </row>
    <row r="525">
      <c r="C525" s="71"/>
      <c r="D525" s="71"/>
      <c r="E525" s="71"/>
      <c r="F525" s="73"/>
      <c r="G525" s="73"/>
      <c r="H525" s="73"/>
      <c r="I525" s="73"/>
      <c r="J525" s="73"/>
      <c r="K525" s="73"/>
    </row>
    <row r="526">
      <c r="C526" s="71"/>
      <c r="D526" s="71"/>
      <c r="E526" s="71"/>
      <c r="F526" s="73"/>
      <c r="G526" s="73"/>
      <c r="H526" s="73"/>
      <c r="I526" s="73"/>
      <c r="J526" s="73"/>
      <c r="K526" s="73"/>
    </row>
    <row r="527">
      <c r="C527" s="71"/>
      <c r="D527" s="71"/>
      <c r="E527" s="71"/>
      <c r="F527" s="73"/>
      <c r="G527" s="73"/>
      <c r="H527" s="73"/>
      <c r="I527" s="73"/>
      <c r="J527" s="73"/>
      <c r="K527" s="73"/>
    </row>
    <row r="528">
      <c r="C528" s="71"/>
      <c r="D528" s="71"/>
      <c r="E528" s="71"/>
      <c r="F528" s="73"/>
      <c r="G528" s="73"/>
      <c r="H528" s="73"/>
      <c r="I528" s="73"/>
      <c r="J528" s="73"/>
      <c r="K528" s="73"/>
    </row>
    <row r="529">
      <c r="C529" s="71"/>
      <c r="D529" s="71"/>
      <c r="E529" s="71"/>
      <c r="F529" s="73"/>
      <c r="G529" s="73"/>
      <c r="H529" s="73"/>
      <c r="I529" s="73"/>
      <c r="J529" s="73"/>
      <c r="K529" s="73"/>
    </row>
    <row r="530">
      <c r="C530" s="71"/>
      <c r="D530" s="71"/>
      <c r="E530" s="71"/>
      <c r="F530" s="73"/>
      <c r="G530" s="73"/>
      <c r="H530" s="73"/>
      <c r="I530" s="73"/>
      <c r="J530" s="73"/>
      <c r="K530" s="73"/>
    </row>
    <row r="531">
      <c r="C531" s="71"/>
      <c r="D531" s="71"/>
      <c r="E531" s="71"/>
      <c r="F531" s="73"/>
      <c r="G531" s="73"/>
      <c r="H531" s="73"/>
      <c r="I531" s="73"/>
      <c r="J531" s="73"/>
      <c r="K531" s="73"/>
    </row>
    <row r="532">
      <c r="C532" s="71"/>
      <c r="D532" s="71"/>
      <c r="E532" s="71"/>
      <c r="F532" s="73"/>
      <c r="G532" s="73"/>
      <c r="H532" s="73"/>
      <c r="I532" s="73"/>
      <c r="J532" s="73"/>
      <c r="K532" s="73"/>
    </row>
    <row r="533">
      <c r="C533" s="71"/>
      <c r="D533" s="71"/>
      <c r="E533" s="71"/>
      <c r="F533" s="73"/>
      <c r="G533" s="73"/>
      <c r="H533" s="73"/>
      <c r="I533" s="73"/>
      <c r="J533" s="73"/>
      <c r="K533" s="73"/>
    </row>
    <row r="534">
      <c r="C534" s="71"/>
      <c r="D534" s="71"/>
      <c r="E534" s="71"/>
      <c r="F534" s="73"/>
      <c r="G534" s="73"/>
      <c r="H534" s="73"/>
      <c r="I534" s="73"/>
      <c r="J534" s="73"/>
      <c r="K534" s="73"/>
    </row>
    <row r="535">
      <c r="C535" s="71"/>
      <c r="D535" s="71"/>
      <c r="E535" s="71"/>
      <c r="F535" s="73"/>
      <c r="G535" s="73"/>
      <c r="H535" s="73"/>
      <c r="I535" s="73"/>
      <c r="J535" s="73"/>
      <c r="K535" s="73"/>
    </row>
    <row r="536">
      <c r="C536" s="71"/>
      <c r="D536" s="71"/>
      <c r="E536" s="71"/>
      <c r="F536" s="73"/>
      <c r="G536" s="73"/>
      <c r="H536" s="73"/>
      <c r="I536" s="73"/>
      <c r="J536" s="73"/>
      <c r="K536" s="73"/>
    </row>
    <row r="537">
      <c r="C537" s="71"/>
      <c r="D537" s="71"/>
      <c r="E537" s="71"/>
      <c r="F537" s="73"/>
      <c r="G537" s="73"/>
      <c r="H537" s="73"/>
      <c r="I537" s="73"/>
      <c r="J537" s="73"/>
      <c r="K537" s="73"/>
    </row>
    <row r="538">
      <c r="C538" s="71"/>
      <c r="D538" s="71"/>
      <c r="E538" s="71"/>
      <c r="F538" s="73"/>
      <c r="G538" s="73"/>
      <c r="H538" s="73"/>
      <c r="I538" s="73"/>
      <c r="J538" s="73"/>
      <c r="K538" s="73"/>
    </row>
    <row r="539">
      <c r="C539" s="71"/>
      <c r="D539" s="71"/>
      <c r="E539" s="71"/>
      <c r="F539" s="73"/>
      <c r="G539" s="73"/>
      <c r="H539" s="73"/>
      <c r="I539" s="73"/>
      <c r="J539" s="73"/>
      <c r="K539" s="73"/>
    </row>
    <row r="540">
      <c r="C540" s="71"/>
      <c r="D540" s="71"/>
      <c r="E540" s="71"/>
      <c r="F540" s="73"/>
      <c r="G540" s="73"/>
      <c r="H540" s="73"/>
      <c r="I540" s="73"/>
      <c r="J540" s="73"/>
      <c r="K540" s="73"/>
    </row>
    <row r="541">
      <c r="C541" s="71"/>
      <c r="D541" s="71"/>
      <c r="E541" s="71"/>
      <c r="F541" s="73"/>
      <c r="G541" s="73"/>
      <c r="H541" s="73"/>
      <c r="I541" s="73"/>
      <c r="J541" s="73"/>
      <c r="K541" s="73"/>
    </row>
    <row r="542">
      <c r="C542" s="71"/>
      <c r="D542" s="71"/>
      <c r="E542" s="71"/>
      <c r="F542" s="73"/>
      <c r="G542" s="73"/>
      <c r="H542" s="73"/>
      <c r="I542" s="73"/>
      <c r="J542" s="73"/>
      <c r="K542" s="73"/>
    </row>
    <row r="543">
      <c r="C543" s="71"/>
      <c r="D543" s="71"/>
      <c r="E543" s="71"/>
      <c r="F543" s="73"/>
      <c r="G543" s="73"/>
      <c r="H543" s="73"/>
      <c r="I543" s="73"/>
      <c r="J543" s="73"/>
      <c r="K543" s="73"/>
    </row>
    <row r="544">
      <c r="C544" s="71"/>
      <c r="D544" s="71"/>
      <c r="E544" s="71"/>
      <c r="F544" s="73"/>
      <c r="G544" s="73"/>
      <c r="H544" s="73"/>
      <c r="I544" s="73"/>
      <c r="J544" s="73"/>
      <c r="K544" s="73"/>
    </row>
    <row r="545">
      <c r="C545" s="71"/>
      <c r="D545" s="71"/>
      <c r="E545" s="71"/>
      <c r="F545" s="73"/>
      <c r="G545" s="73"/>
      <c r="H545" s="73"/>
      <c r="I545" s="73"/>
      <c r="J545" s="73"/>
      <c r="K545" s="73"/>
    </row>
    <row r="546">
      <c r="C546" s="71"/>
      <c r="D546" s="71"/>
      <c r="E546" s="71"/>
      <c r="F546" s="73"/>
      <c r="G546" s="73"/>
      <c r="H546" s="73"/>
      <c r="I546" s="73"/>
      <c r="J546" s="73"/>
      <c r="K546" s="73"/>
    </row>
    <row r="547">
      <c r="C547" s="71"/>
      <c r="D547" s="71"/>
      <c r="E547" s="71"/>
      <c r="F547" s="73"/>
      <c r="G547" s="73"/>
      <c r="H547" s="73"/>
      <c r="I547" s="73"/>
      <c r="J547" s="73"/>
      <c r="K547" s="73"/>
    </row>
    <row r="548">
      <c r="C548" s="71"/>
      <c r="D548" s="71"/>
      <c r="E548" s="71"/>
      <c r="F548" s="73"/>
      <c r="G548" s="73"/>
      <c r="H548" s="73"/>
      <c r="I548" s="73"/>
      <c r="J548" s="73"/>
      <c r="K548" s="73"/>
    </row>
    <row r="549">
      <c r="C549" s="71"/>
      <c r="D549" s="71"/>
      <c r="E549" s="71"/>
      <c r="F549" s="73"/>
      <c r="G549" s="73"/>
      <c r="H549" s="73"/>
      <c r="I549" s="73"/>
      <c r="J549" s="73"/>
      <c r="K549" s="73"/>
    </row>
    <row r="550">
      <c r="C550" s="71"/>
      <c r="D550" s="71"/>
      <c r="E550" s="71"/>
      <c r="F550" s="73"/>
      <c r="G550" s="73"/>
      <c r="H550" s="73"/>
      <c r="I550" s="73"/>
      <c r="J550" s="73"/>
      <c r="K550" s="73"/>
    </row>
    <row r="551">
      <c r="C551" s="71"/>
      <c r="D551" s="71"/>
      <c r="E551" s="71"/>
      <c r="F551" s="73"/>
      <c r="G551" s="73"/>
      <c r="H551" s="73"/>
      <c r="I551" s="73"/>
      <c r="J551" s="73"/>
      <c r="K551" s="73"/>
    </row>
    <row r="552">
      <c r="C552" s="71"/>
      <c r="D552" s="71"/>
      <c r="E552" s="71"/>
      <c r="F552" s="73"/>
      <c r="G552" s="73"/>
      <c r="H552" s="73"/>
      <c r="I552" s="73"/>
      <c r="J552" s="73"/>
      <c r="K552" s="73"/>
    </row>
    <row r="553">
      <c r="C553" s="71"/>
      <c r="D553" s="71"/>
      <c r="E553" s="71"/>
      <c r="F553" s="73"/>
      <c r="G553" s="73"/>
      <c r="H553" s="73"/>
      <c r="I553" s="73"/>
      <c r="J553" s="73"/>
      <c r="K553" s="73"/>
    </row>
    <row r="554">
      <c r="C554" s="71"/>
      <c r="D554" s="71"/>
      <c r="E554" s="71"/>
      <c r="F554" s="73"/>
      <c r="G554" s="73"/>
      <c r="H554" s="73"/>
      <c r="I554" s="73"/>
      <c r="J554" s="73"/>
      <c r="K554" s="73"/>
    </row>
    <row r="555">
      <c r="C555" s="71"/>
      <c r="D555" s="71"/>
      <c r="E555" s="71"/>
      <c r="F555" s="73"/>
      <c r="G555" s="73"/>
      <c r="H555" s="73"/>
      <c r="I555" s="73"/>
      <c r="J555" s="73"/>
      <c r="K555" s="73"/>
    </row>
    <row r="556">
      <c r="C556" s="71"/>
      <c r="D556" s="71"/>
      <c r="E556" s="71"/>
      <c r="F556" s="73"/>
      <c r="G556" s="73"/>
      <c r="H556" s="73"/>
      <c r="I556" s="73"/>
      <c r="J556" s="73"/>
      <c r="K556" s="73"/>
    </row>
    <row r="557">
      <c r="C557" s="71"/>
      <c r="D557" s="71"/>
      <c r="E557" s="71"/>
      <c r="F557" s="73"/>
      <c r="G557" s="73"/>
      <c r="H557" s="73"/>
      <c r="I557" s="73"/>
      <c r="J557" s="73"/>
      <c r="K557" s="73"/>
    </row>
    <row r="558">
      <c r="C558" s="71"/>
      <c r="D558" s="71"/>
      <c r="E558" s="71"/>
      <c r="F558" s="73"/>
      <c r="G558" s="73"/>
      <c r="H558" s="73"/>
      <c r="I558" s="73"/>
      <c r="J558" s="73"/>
      <c r="K558" s="73"/>
    </row>
    <row r="559">
      <c r="C559" s="71"/>
      <c r="D559" s="71"/>
      <c r="E559" s="71"/>
      <c r="F559" s="73"/>
      <c r="G559" s="73"/>
      <c r="H559" s="73"/>
      <c r="I559" s="73"/>
      <c r="J559" s="73"/>
      <c r="K559" s="73"/>
    </row>
    <row r="560">
      <c r="C560" s="71"/>
      <c r="D560" s="71"/>
      <c r="E560" s="71"/>
      <c r="F560" s="73"/>
      <c r="G560" s="73"/>
      <c r="H560" s="73"/>
      <c r="I560" s="73"/>
      <c r="J560" s="73"/>
      <c r="K560" s="73"/>
    </row>
    <row r="561">
      <c r="C561" s="71"/>
      <c r="D561" s="71"/>
      <c r="E561" s="71"/>
      <c r="F561" s="73"/>
      <c r="G561" s="73"/>
      <c r="H561" s="73"/>
      <c r="I561" s="73"/>
      <c r="J561" s="73"/>
      <c r="K561" s="73"/>
    </row>
    <row r="562">
      <c r="C562" s="71"/>
      <c r="D562" s="71"/>
      <c r="E562" s="71"/>
      <c r="F562" s="73"/>
      <c r="G562" s="73"/>
      <c r="H562" s="73"/>
      <c r="I562" s="73"/>
      <c r="J562" s="73"/>
      <c r="K562" s="73"/>
    </row>
    <row r="563">
      <c r="C563" s="71"/>
      <c r="D563" s="71"/>
      <c r="E563" s="71"/>
      <c r="F563" s="73"/>
      <c r="G563" s="73"/>
      <c r="H563" s="73"/>
      <c r="I563" s="73"/>
      <c r="J563" s="73"/>
      <c r="K563" s="73"/>
    </row>
    <row r="564">
      <c r="C564" s="71"/>
      <c r="D564" s="71"/>
      <c r="E564" s="71"/>
      <c r="F564" s="73"/>
      <c r="G564" s="73"/>
      <c r="H564" s="73"/>
      <c r="I564" s="73"/>
      <c r="J564" s="73"/>
      <c r="K564" s="73"/>
    </row>
    <row r="565">
      <c r="C565" s="71"/>
      <c r="D565" s="71"/>
      <c r="E565" s="71"/>
      <c r="F565" s="73"/>
      <c r="G565" s="73"/>
      <c r="H565" s="73"/>
      <c r="I565" s="73"/>
      <c r="J565" s="73"/>
      <c r="K565" s="73"/>
    </row>
    <row r="566">
      <c r="C566" s="71"/>
      <c r="D566" s="71"/>
      <c r="E566" s="71"/>
      <c r="F566" s="73"/>
      <c r="G566" s="73"/>
      <c r="H566" s="73"/>
      <c r="I566" s="73"/>
      <c r="J566" s="73"/>
      <c r="K566" s="73"/>
    </row>
    <row r="567">
      <c r="C567" s="71"/>
      <c r="D567" s="71"/>
      <c r="E567" s="71"/>
      <c r="F567" s="73"/>
      <c r="G567" s="73"/>
      <c r="H567" s="73"/>
      <c r="I567" s="73"/>
      <c r="J567" s="73"/>
      <c r="K567" s="73"/>
    </row>
    <row r="568">
      <c r="C568" s="71"/>
      <c r="D568" s="71"/>
      <c r="E568" s="71"/>
      <c r="F568" s="73"/>
      <c r="G568" s="73"/>
      <c r="H568" s="73"/>
      <c r="I568" s="73"/>
      <c r="J568" s="73"/>
      <c r="K568" s="73"/>
    </row>
    <row r="569">
      <c r="C569" s="71"/>
      <c r="D569" s="71"/>
      <c r="E569" s="71"/>
      <c r="F569" s="73"/>
      <c r="G569" s="73"/>
      <c r="H569" s="73"/>
      <c r="I569" s="73"/>
      <c r="J569" s="73"/>
      <c r="K569" s="73"/>
    </row>
    <row r="570">
      <c r="C570" s="71"/>
      <c r="D570" s="71"/>
      <c r="E570" s="71"/>
      <c r="F570" s="73"/>
      <c r="G570" s="73"/>
      <c r="H570" s="73"/>
      <c r="I570" s="73"/>
      <c r="J570" s="73"/>
      <c r="K570" s="73"/>
    </row>
    <row r="571">
      <c r="C571" s="71"/>
      <c r="D571" s="71"/>
      <c r="E571" s="71"/>
      <c r="F571" s="73"/>
      <c r="G571" s="73"/>
      <c r="H571" s="73"/>
      <c r="I571" s="73"/>
      <c r="J571" s="73"/>
      <c r="K571" s="73"/>
    </row>
    <row r="572">
      <c r="C572" s="71"/>
      <c r="D572" s="71"/>
      <c r="E572" s="71"/>
      <c r="F572" s="73"/>
      <c r="G572" s="73"/>
      <c r="H572" s="73"/>
      <c r="I572" s="73"/>
      <c r="J572" s="73"/>
      <c r="K572" s="73"/>
    </row>
    <row r="573">
      <c r="C573" s="71"/>
      <c r="D573" s="71"/>
      <c r="E573" s="71"/>
      <c r="F573" s="73"/>
      <c r="G573" s="73"/>
      <c r="H573" s="73"/>
      <c r="I573" s="73"/>
      <c r="J573" s="73"/>
      <c r="K573" s="73"/>
    </row>
    <row r="574">
      <c r="C574" s="71"/>
      <c r="D574" s="71"/>
      <c r="E574" s="71"/>
      <c r="F574" s="73"/>
      <c r="G574" s="73"/>
      <c r="H574" s="73"/>
      <c r="I574" s="73"/>
      <c r="J574" s="73"/>
      <c r="K574" s="73"/>
    </row>
    <row r="575">
      <c r="C575" s="71"/>
      <c r="D575" s="71"/>
      <c r="E575" s="71"/>
      <c r="F575" s="73"/>
      <c r="G575" s="73"/>
      <c r="H575" s="73"/>
      <c r="I575" s="73"/>
      <c r="J575" s="73"/>
      <c r="K575" s="73"/>
    </row>
    <row r="576">
      <c r="C576" s="71"/>
      <c r="D576" s="71"/>
      <c r="E576" s="71"/>
      <c r="F576" s="73"/>
      <c r="G576" s="73"/>
      <c r="H576" s="73"/>
      <c r="I576" s="73"/>
      <c r="J576" s="73"/>
      <c r="K576" s="73"/>
    </row>
    <row r="577">
      <c r="C577" s="71"/>
      <c r="D577" s="71"/>
      <c r="E577" s="71"/>
      <c r="F577" s="73"/>
      <c r="G577" s="73"/>
      <c r="H577" s="73"/>
      <c r="I577" s="73"/>
      <c r="J577" s="73"/>
      <c r="K577" s="73"/>
    </row>
    <row r="578">
      <c r="C578" s="71"/>
      <c r="D578" s="71"/>
      <c r="E578" s="71"/>
      <c r="F578" s="73"/>
      <c r="G578" s="73"/>
      <c r="H578" s="73"/>
      <c r="I578" s="73"/>
      <c r="J578" s="73"/>
      <c r="K578" s="73"/>
    </row>
    <row r="579">
      <c r="C579" s="71"/>
      <c r="D579" s="71"/>
      <c r="E579" s="71"/>
      <c r="F579" s="73"/>
      <c r="G579" s="73"/>
      <c r="H579" s="73"/>
      <c r="I579" s="73"/>
      <c r="J579" s="73"/>
      <c r="K579" s="73"/>
    </row>
    <row r="580">
      <c r="C580" s="71"/>
      <c r="D580" s="71"/>
      <c r="E580" s="71"/>
      <c r="F580" s="73"/>
      <c r="G580" s="73"/>
      <c r="H580" s="73"/>
      <c r="I580" s="73"/>
      <c r="J580" s="73"/>
      <c r="K580" s="73"/>
    </row>
    <row r="581">
      <c r="C581" s="71"/>
      <c r="D581" s="71"/>
      <c r="E581" s="71"/>
      <c r="F581" s="73"/>
      <c r="G581" s="73"/>
      <c r="H581" s="73"/>
      <c r="I581" s="73"/>
      <c r="J581" s="73"/>
      <c r="K581" s="73"/>
    </row>
    <row r="582">
      <c r="C582" s="71"/>
      <c r="D582" s="71"/>
      <c r="E582" s="71"/>
      <c r="F582" s="73"/>
      <c r="G582" s="73"/>
      <c r="H582" s="73"/>
      <c r="I582" s="73"/>
      <c r="J582" s="73"/>
      <c r="K582" s="73"/>
    </row>
    <row r="583">
      <c r="C583" s="71"/>
      <c r="D583" s="71"/>
      <c r="E583" s="71"/>
      <c r="F583" s="73"/>
      <c r="G583" s="73"/>
      <c r="H583" s="73"/>
      <c r="I583" s="73"/>
      <c r="J583" s="73"/>
      <c r="K583" s="73"/>
    </row>
    <row r="584">
      <c r="C584" s="71"/>
      <c r="D584" s="71"/>
      <c r="E584" s="71"/>
      <c r="F584" s="73"/>
      <c r="G584" s="73"/>
      <c r="H584" s="73"/>
      <c r="I584" s="73"/>
      <c r="J584" s="73"/>
      <c r="K584" s="73"/>
    </row>
    <row r="585">
      <c r="C585" s="71"/>
      <c r="D585" s="71"/>
      <c r="E585" s="71"/>
      <c r="F585" s="73"/>
      <c r="G585" s="73"/>
      <c r="H585" s="73"/>
      <c r="I585" s="73"/>
      <c r="J585" s="73"/>
      <c r="K585" s="73"/>
    </row>
    <row r="586">
      <c r="C586" s="71"/>
      <c r="D586" s="71"/>
      <c r="E586" s="71"/>
      <c r="F586" s="73"/>
      <c r="G586" s="73"/>
      <c r="H586" s="73"/>
      <c r="I586" s="73"/>
      <c r="J586" s="73"/>
      <c r="K586" s="73"/>
    </row>
    <row r="587">
      <c r="C587" s="71"/>
      <c r="D587" s="71"/>
      <c r="E587" s="71"/>
      <c r="F587" s="73"/>
      <c r="G587" s="73"/>
      <c r="H587" s="73"/>
      <c r="I587" s="73"/>
      <c r="J587" s="73"/>
      <c r="K587" s="73"/>
    </row>
    <row r="588">
      <c r="C588" s="71"/>
      <c r="D588" s="71"/>
      <c r="E588" s="71"/>
      <c r="F588" s="73"/>
      <c r="G588" s="73"/>
      <c r="H588" s="73"/>
      <c r="I588" s="73"/>
      <c r="J588" s="73"/>
      <c r="K588" s="73"/>
    </row>
    <row r="589">
      <c r="C589" s="71"/>
      <c r="D589" s="71"/>
      <c r="E589" s="71"/>
      <c r="F589" s="73"/>
      <c r="G589" s="73"/>
      <c r="H589" s="73"/>
      <c r="I589" s="73"/>
      <c r="J589" s="73"/>
      <c r="K589" s="73"/>
    </row>
    <row r="590">
      <c r="C590" s="71"/>
      <c r="D590" s="71"/>
      <c r="E590" s="71"/>
      <c r="F590" s="73"/>
      <c r="G590" s="73"/>
      <c r="H590" s="73"/>
      <c r="I590" s="73"/>
      <c r="J590" s="73"/>
      <c r="K590" s="73"/>
    </row>
    <row r="591">
      <c r="C591" s="71"/>
      <c r="D591" s="71"/>
      <c r="E591" s="71"/>
      <c r="F591" s="73"/>
      <c r="G591" s="73"/>
      <c r="H591" s="73"/>
      <c r="I591" s="73"/>
      <c r="J591" s="73"/>
      <c r="K591" s="73"/>
    </row>
    <row r="592">
      <c r="C592" s="71"/>
      <c r="D592" s="71"/>
      <c r="E592" s="71"/>
      <c r="F592" s="73"/>
      <c r="G592" s="73"/>
      <c r="H592" s="73"/>
      <c r="I592" s="73"/>
      <c r="J592" s="73"/>
      <c r="K592" s="73"/>
    </row>
    <row r="593">
      <c r="C593" s="71"/>
      <c r="D593" s="71"/>
      <c r="E593" s="71"/>
      <c r="F593" s="73"/>
      <c r="G593" s="73"/>
      <c r="H593" s="73"/>
      <c r="I593" s="73"/>
      <c r="J593" s="73"/>
      <c r="K593" s="73"/>
    </row>
    <row r="594">
      <c r="C594" s="71"/>
      <c r="D594" s="71"/>
      <c r="E594" s="71"/>
      <c r="F594" s="73"/>
      <c r="G594" s="73"/>
      <c r="H594" s="73"/>
      <c r="I594" s="73"/>
      <c r="J594" s="73"/>
      <c r="K594" s="73"/>
    </row>
    <row r="595">
      <c r="C595" s="71"/>
      <c r="D595" s="71"/>
      <c r="E595" s="71"/>
      <c r="F595" s="73"/>
      <c r="G595" s="73"/>
      <c r="H595" s="73"/>
      <c r="I595" s="73"/>
      <c r="J595" s="73"/>
      <c r="K595" s="73"/>
    </row>
    <row r="596">
      <c r="C596" s="71"/>
      <c r="D596" s="71"/>
      <c r="E596" s="71"/>
      <c r="F596" s="73"/>
      <c r="G596" s="73"/>
      <c r="H596" s="73"/>
      <c r="I596" s="73"/>
      <c r="J596" s="73"/>
      <c r="K596" s="73"/>
    </row>
    <row r="597">
      <c r="C597" s="71"/>
      <c r="D597" s="71"/>
      <c r="E597" s="71"/>
      <c r="F597" s="73"/>
      <c r="G597" s="73"/>
      <c r="H597" s="73"/>
      <c r="I597" s="73"/>
      <c r="J597" s="73"/>
      <c r="K597" s="73"/>
    </row>
    <row r="598">
      <c r="C598" s="71"/>
      <c r="D598" s="71"/>
      <c r="E598" s="71"/>
      <c r="F598" s="73"/>
      <c r="G598" s="73"/>
      <c r="H598" s="73"/>
      <c r="I598" s="73"/>
      <c r="J598" s="73"/>
      <c r="K598" s="73"/>
    </row>
    <row r="599">
      <c r="C599" s="71"/>
      <c r="D599" s="71"/>
      <c r="E599" s="71"/>
      <c r="F599" s="73"/>
      <c r="G599" s="73"/>
      <c r="H599" s="73"/>
      <c r="I599" s="73"/>
      <c r="J599" s="73"/>
      <c r="K599" s="73"/>
    </row>
    <row r="600">
      <c r="C600" s="71"/>
      <c r="D600" s="71"/>
      <c r="E600" s="71"/>
      <c r="F600" s="73"/>
      <c r="G600" s="73"/>
      <c r="H600" s="73"/>
      <c r="I600" s="73"/>
      <c r="J600" s="73"/>
      <c r="K600" s="73"/>
    </row>
    <row r="601">
      <c r="C601" s="71"/>
      <c r="D601" s="71"/>
      <c r="E601" s="71"/>
      <c r="F601" s="73"/>
      <c r="G601" s="73"/>
      <c r="H601" s="73"/>
      <c r="I601" s="73"/>
      <c r="J601" s="73"/>
      <c r="K601" s="73"/>
    </row>
    <row r="602">
      <c r="C602" s="71"/>
      <c r="D602" s="71"/>
      <c r="E602" s="71"/>
      <c r="F602" s="73"/>
      <c r="G602" s="73"/>
      <c r="H602" s="73"/>
      <c r="I602" s="73"/>
      <c r="J602" s="73"/>
      <c r="K602" s="73"/>
    </row>
    <row r="603">
      <c r="C603" s="71"/>
      <c r="D603" s="71"/>
      <c r="E603" s="71"/>
      <c r="F603" s="73"/>
      <c r="G603" s="73"/>
      <c r="H603" s="73"/>
      <c r="I603" s="73"/>
      <c r="J603" s="73"/>
      <c r="K603" s="73"/>
    </row>
    <row r="604">
      <c r="C604" s="71"/>
      <c r="D604" s="71"/>
      <c r="E604" s="71"/>
      <c r="F604" s="73"/>
      <c r="G604" s="73"/>
      <c r="H604" s="73"/>
      <c r="I604" s="73"/>
      <c r="J604" s="73"/>
      <c r="K604" s="73"/>
    </row>
    <row r="605">
      <c r="C605" s="71"/>
      <c r="D605" s="71"/>
      <c r="E605" s="71"/>
      <c r="F605" s="73"/>
      <c r="G605" s="73"/>
      <c r="H605" s="73"/>
      <c r="I605" s="73"/>
      <c r="J605" s="73"/>
      <c r="K605" s="73"/>
    </row>
    <row r="606">
      <c r="C606" s="71"/>
      <c r="D606" s="71"/>
      <c r="E606" s="71"/>
      <c r="F606" s="73"/>
      <c r="G606" s="73"/>
      <c r="H606" s="73"/>
      <c r="I606" s="73"/>
      <c r="J606" s="73"/>
      <c r="K606" s="73"/>
    </row>
    <row r="607">
      <c r="C607" s="71"/>
      <c r="D607" s="71"/>
      <c r="E607" s="71"/>
      <c r="F607" s="73"/>
      <c r="G607" s="73"/>
      <c r="H607" s="73"/>
      <c r="I607" s="73"/>
      <c r="J607" s="73"/>
      <c r="K607" s="73"/>
    </row>
    <row r="608">
      <c r="C608" s="71"/>
      <c r="D608" s="71"/>
      <c r="E608" s="71"/>
      <c r="F608" s="73"/>
      <c r="G608" s="73"/>
      <c r="H608" s="73"/>
      <c r="I608" s="73"/>
      <c r="J608" s="73"/>
      <c r="K608" s="73"/>
    </row>
    <row r="609">
      <c r="C609" s="71"/>
      <c r="D609" s="71"/>
      <c r="E609" s="71"/>
      <c r="F609" s="73"/>
      <c r="G609" s="73"/>
      <c r="H609" s="73"/>
      <c r="I609" s="73"/>
      <c r="J609" s="73"/>
      <c r="K609" s="73"/>
    </row>
    <row r="610">
      <c r="C610" s="71"/>
      <c r="D610" s="71"/>
      <c r="E610" s="71"/>
      <c r="F610" s="73"/>
      <c r="G610" s="73"/>
      <c r="H610" s="73"/>
      <c r="I610" s="73"/>
      <c r="J610" s="73"/>
      <c r="K610" s="73"/>
    </row>
    <row r="611">
      <c r="C611" s="71"/>
      <c r="D611" s="71"/>
      <c r="E611" s="71"/>
      <c r="F611" s="73"/>
      <c r="G611" s="73"/>
      <c r="H611" s="73"/>
      <c r="I611" s="73"/>
      <c r="J611" s="73"/>
      <c r="K611" s="73"/>
    </row>
    <row r="612">
      <c r="C612" s="71"/>
      <c r="D612" s="71"/>
      <c r="E612" s="71"/>
      <c r="F612" s="73"/>
      <c r="G612" s="73"/>
      <c r="H612" s="73"/>
      <c r="I612" s="73"/>
      <c r="J612" s="73"/>
      <c r="K612" s="73"/>
    </row>
    <row r="613">
      <c r="C613" s="71"/>
      <c r="D613" s="71"/>
      <c r="E613" s="71"/>
      <c r="F613" s="73"/>
      <c r="G613" s="73"/>
      <c r="H613" s="73"/>
      <c r="I613" s="73"/>
      <c r="J613" s="73"/>
      <c r="K613" s="73"/>
    </row>
    <row r="614">
      <c r="C614" s="71"/>
      <c r="D614" s="71"/>
      <c r="E614" s="71"/>
      <c r="F614" s="73"/>
      <c r="G614" s="73"/>
      <c r="H614" s="73"/>
      <c r="I614" s="73"/>
      <c r="J614" s="73"/>
      <c r="K614" s="73"/>
    </row>
    <row r="615">
      <c r="C615" s="71"/>
      <c r="D615" s="71"/>
      <c r="E615" s="71"/>
      <c r="F615" s="73"/>
      <c r="G615" s="73"/>
      <c r="H615" s="73"/>
      <c r="I615" s="73"/>
      <c r="J615" s="73"/>
      <c r="K615" s="73"/>
    </row>
    <row r="616">
      <c r="C616" s="71"/>
      <c r="D616" s="71"/>
      <c r="E616" s="71"/>
      <c r="F616" s="73"/>
      <c r="G616" s="73"/>
      <c r="H616" s="73"/>
      <c r="I616" s="73"/>
      <c r="J616" s="73"/>
      <c r="K616" s="73"/>
    </row>
    <row r="617">
      <c r="C617" s="71"/>
      <c r="D617" s="71"/>
      <c r="E617" s="71"/>
      <c r="F617" s="73"/>
      <c r="G617" s="73"/>
      <c r="H617" s="73"/>
      <c r="I617" s="73"/>
      <c r="J617" s="73"/>
      <c r="K617" s="73"/>
    </row>
    <row r="618">
      <c r="C618" s="71"/>
      <c r="D618" s="71"/>
      <c r="E618" s="71"/>
      <c r="F618" s="73"/>
      <c r="G618" s="73"/>
      <c r="H618" s="73"/>
      <c r="I618" s="73"/>
      <c r="J618" s="73"/>
      <c r="K618" s="73"/>
    </row>
    <row r="619">
      <c r="C619" s="71"/>
      <c r="D619" s="71"/>
      <c r="E619" s="71"/>
      <c r="F619" s="73"/>
      <c r="G619" s="73"/>
      <c r="H619" s="73"/>
      <c r="I619" s="73"/>
      <c r="J619" s="73"/>
      <c r="K619" s="73"/>
    </row>
    <row r="620">
      <c r="C620" s="71"/>
      <c r="D620" s="71"/>
      <c r="E620" s="71"/>
      <c r="F620" s="73"/>
      <c r="G620" s="73"/>
      <c r="H620" s="73"/>
      <c r="I620" s="73"/>
      <c r="J620" s="73"/>
      <c r="K620" s="73"/>
    </row>
    <row r="621">
      <c r="C621" s="71"/>
      <c r="D621" s="71"/>
      <c r="E621" s="71"/>
      <c r="F621" s="73"/>
      <c r="G621" s="73"/>
      <c r="H621" s="73"/>
      <c r="I621" s="73"/>
      <c r="J621" s="73"/>
      <c r="K621" s="73"/>
    </row>
    <row r="622">
      <c r="C622" s="71"/>
      <c r="D622" s="71"/>
      <c r="E622" s="71"/>
      <c r="F622" s="73"/>
      <c r="G622" s="73"/>
      <c r="H622" s="73"/>
      <c r="I622" s="73"/>
      <c r="J622" s="73"/>
      <c r="K622" s="73"/>
    </row>
    <row r="623">
      <c r="C623" s="71"/>
      <c r="D623" s="71"/>
      <c r="E623" s="71"/>
      <c r="F623" s="73"/>
      <c r="G623" s="73"/>
      <c r="H623" s="73"/>
      <c r="I623" s="73"/>
      <c r="J623" s="73"/>
      <c r="K623" s="73"/>
    </row>
    <row r="624">
      <c r="C624" s="71"/>
      <c r="D624" s="71"/>
      <c r="E624" s="71"/>
      <c r="F624" s="73"/>
      <c r="G624" s="73"/>
      <c r="H624" s="73"/>
      <c r="I624" s="73"/>
      <c r="J624" s="73"/>
      <c r="K624" s="73"/>
    </row>
    <row r="625">
      <c r="C625" s="71"/>
      <c r="D625" s="71"/>
      <c r="E625" s="71"/>
      <c r="F625" s="73"/>
      <c r="G625" s="73"/>
      <c r="H625" s="73"/>
      <c r="I625" s="73"/>
      <c r="J625" s="73"/>
      <c r="K625" s="73"/>
    </row>
    <row r="626">
      <c r="C626" s="71"/>
      <c r="D626" s="71"/>
      <c r="E626" s="71"/>
      <c r="F626" s="73"/>
      <c r="G626" s="73"/>
      <c r="H626" s="73"/>
      <c r="I626" s="73"/>
      <c r="J626" s="73"/>
      <c r="K626" s="73"/>
    </row>
    <row r="627">
      <c r="C627" s="71"/>
      <c r="D627" s="71"/>
      <c r="E627" s="71"/>
      <c r="F627" s="73"/>
      <c r="G627" s="73"/>
      <c r="H627" s="73"/>
      <c r="I627" s="73"/>
      <c r="J627" s="73"/>
      <c r="K627" s="73"/>
    </row>
    <row r="628">
      <c r="C628" s="71"/>
      <c r="D628" s="71"/>
      <c r="E628" s="71"/>
      <c r="F628" s="73"/>
      <c r="G628" s="73"/>
      <c r="H628" s="73"/>
      <c r="I628" s="73"/>
      <c r="J628" s="73"/>
      <c r="K628" s="73"/>
    </row>
    <row r="629">
      <c r="C629" s="71"/>
      <c r="D629" s="71"/>
      <c r="E629" s="71"/>
      <c r="F629" s="73"/>
      <c r="G629" s="73"/>
      <c r="H629" s="73"/>
      <c r="I629" s="73"/>
      <c r="J629" s="73"/>
      <c r="K629" s="73"/>
    </row>
    <row r="630">
      <c r="C630" s="71"/>
      <c r="D630" s="71"/>
      <c r="E630" s="71"/>
      <c r="F630" s="73"/>
      <c r="G630" s="73"/>
      <c r="H630" s="73"/>
      <c r="I630" s="73"/>
      <c r="J630" s="73"/>
      <c r="K630" s="73"/>
    </row>
    <row r="631">
      <c r="C631" s="71"/>
      <c r="D631" s="71"/>
      <c r="E631" s="71"/>
      <c r="F631" s="73"/>
      <c r="G631" s="73"/>
      <c r="H631" s="73"/>
      <c r="I631" s="73"/>
      <c r="J631" s="73"/>
      <c r="K631" s="73"/>
    </row>
    <row r="632">
      <c r="C632" s="71"/>
      <c r="D632" s="71"/>
      <c r="E632" s="71"/>
      <c r="F632" s="73"/>
      <c r="G632" s="73"/>
      <c r="H632" s="73"/>
      <c r="I632" s="73"/>
      <c r="J632" s="73"/>
      <c r="K632" s="73"/>
    </row>
    <row r="633">
      <c r="C633" s="71"/>
      <c r="D633" s="71"/>
      <c r="E633" s="71"/>
      <c r="F633" s="73"/>
      <c r="G633" s="73"/>
      <c r="H633" s="73"/>
      <c r="I633" s="73"/>
      <c r="J633" s="73"/>
      <c r="K633" s="73"/>
    </row>
    <row r="634">
      <c r="C634" s="71"/>
      <c r="D634" s="71"/>
      <c r="E634" s="71"/>
      <c r="F634" s="73"/>
      <c r="G634" s="73"/>
      <c r="H634" s="73"/>
      <c r="I634" s="73"/>
      <c r="J634" s="73"/>
      <c r="K634" s="73"/>
    </row>
    <row r="635">
      <c r="C635" s="71"/>
      <c r="D635" s="71"/>
      <c r="E635" s="71"/>
      <c r="F635" s="73"/>
      <c r="G635" s="73"/>
      <c r="H635" s="73"/>
      <c r="I635" s="73"/>
      <c r="J635" s="73"/>
      <c r="K635" s="73"/>
    </row>
    <row r="636">
      <c r="C636" s="71"/>
      <c r="D636" s="71"/>
      <c r="E636" s="71"/>
      <c r="F636" s="73"/>
      <c r="G636" s="73"/>
      <c r="H636" s="73"/>
      <c r="I636" s="73"/>
      <c r="J636" s="73"/>
      <c r="K636" s="73"/>
    </row>
    <row r="637">
      <c r="C637" s="71"/>
      <c r="D637" s="71"/>
      <c r="E637" s="71"/>
      <c r="F637" s="73"/>
      <c r="G637" s="73"/>
      <c r="H637" s="73"/>
      <c r="I637" s="73"/>
      <c r="J637" s="73"/>
      <c r="K637" s="73"/>
    </row>
    <row r="638">
      <c r="C638" s="71"/>
      <c r="D638" s="71"/>
      <c r="E638" s="71"/>
      <c r="F638" s="73"/>
      <c r="G638" s="73"/>
      <c r="H638" s="73"/>
      <c r="I638" s="73"/>
      <c r="J638" s="73"/>
      <c r="K638" s="73"/>
    </row>
    <row r="639">
      <c r="C639" s="71"/>
      <c r="D639" s="71"/>
      <c r="E639" s="71"/>
      <c r="F639" s="73"/>
      <c r="G639" s="73"/>
      <c r="H639" s="73"/>
      <c r="I639" s="73"/>
      <c r="J639" s="73"/>
      <c r="K639" s="73"/>
    </row>
    <row r="640">
      <c r="C640" s="71"/>
      <c r="D640" s="71"/>
      <c r="E640" s="71"/>
      <c r="F640" s="73"/>
      <c r="G640" s="73"/>
      <c r="H640" s="73"/>
      <c r="I640" s="73"/>
      <c r="J640" s="73"/>
      <c r="K640" s="73"/>
    </row>
    <row r="641">
      <c r="C641" s="71"/>
      <c r="D641" s="71"/>
      <c r="E641" s="71"/>
      <c r="F641" s="73"/>
      <c r="G641" s="73"/>
      <c r="H641" s="73"/>
      <c r="I641" s="73"/>
      <c r="J641" s="73"/>
      <c r="K641" s="73"/>
    </row>
    <row r="642">
      <c r="C642" s="71"/>
      <c r="D642" s="71"/>
      <c r="E642" s="71"/>
      <c r="F642" s="73"/>
      <c r="G642" s="73"/>
      <c r="H642" s="73"/>
      <c r="I642" s="73"/>
      <c r="J642" s="73"/>
      <c r="K642" s="73"/>
    </row>
    <row r="643">
      <c r="C643" s="71"/>
      <c r="D643" s="71"/>
      <c r="E643" s="71"/>
      <c r="F643" s="73"/>
      <c r="G643" s="73"/>
      <c r="H643" s="73"/>
      <c r="I643" s="73"/>
      <c r="J643" s="73"/>
      <c r="K643" s="73"/>
    </row>
    <row r="644">
      <c r="C644" s="71"/>
      <c r="D644" s="71"/>
      <c r="E644" s="71"/>
      <c r="F644" s="73"/>
      <c r="G644" s="73"/>
      <c r="H644" s="73"/>
      <c r="I644" s="73"/>
      <c r="J644" s="73"/>
      <c r="K644" s="73"/>
    </row>
    <row r="645">
      <c r="C645" s="71"/>
      <c r="D645" s="71"/>
      <c r="E645" s="71"/>
      <c r="F645" s="73"/>
      <c r="G645" s="73"/>
      <c r="H645" s="73"/>
      <c r="I645" s="73"/>
      <c r="J645" s="73"/>
      <c r="K645" s="73"/>
    </row>
    <row r="646">
      <c r="C646" s="71"/>
      <c r="D646" s="71"/>
      <c r="E646" s="71"/>
      <c r="F646" s="73"/>
      <c r="G646" s="73"/>
      <c r="H646" s="73"/>
      <c r="I646" s="73"/>
      <c r="J646" s="73"/>
      <c r="K646" s="73"/>
    </row>
    <row r="647">
      <c r="C647" s="71"/>
      <c r="D647" s="71"/>
      <c r="E647" s="71"/>
      <c r="F647" s="73"/>
      <c r="G647" s="73"/>
      <c r="H647" s="73"/>
      <c r="I647" s="73"/>
      <c r="J647" s="73"/>
      <c r="K647" s="73"/>
    </row>
    <row r="648">
      <c r="C648" s="71"/>
      <c r="D648" s="71"/>
      <c r="E648" s="71"/>
      <c r="F648" s="73"/>
      <c r="G648" s="73"/>
      <c r="H648" s="73"/>
      <c r="I648" s="73"/>
      <c r="J648" s="73"/>
      <c r="K648" s="73"/>
    </row>
    <row r="649">
      <c r="C649" s="71"/>
      <c r="D649" s="71"/>
      <c r="E649" s="71"/>
      <c r="F649" s="73"/>
      <c r="G649" s="73"/>
      <c r="H649" s="73"/>
      <c r="I649" s="73"/>
      <c r="J649" s="73"/>
      <c r="K649" s="73"/>
    </row>
    <row r="650">
      <c r="C650" s="71"/>
      <c r="D650" s="71"/>
      <c r="E650" s="71"/>
      <c r="F650" s="73"/>
      <c r="G650" s="73"/>
      <c r="H650" s="73"/>
      <c r="I650" s="73"/>
      <c r="J650" s="73"/>
      <c r="K650" s="73"/>
    </row>
    <row r="651">
      <c r="C651" s="71"/>
      <c r="D651" s="71"/>
      <c r="E651" s="71"/>
      <c r="F651" s="73"/>
      <c r="G651" s="73"/>
      <c r="H651" s="73"/>
      <c r="I651" s="73"/>
      <c r="J651" s="73"/>
      <c r="K651" s="73"/>
    </row>
    <row r="652">
      <c r="C652" s="71"/>
      <c r="D652" s="71"/>
      <c r="E652" s="71"/>
      <c r="F652" s="73"/>
      <c r="G652" s="73"/>
      <c r="H652" s="73"/>
      <c r="I652" s="73"/>
      <c r="J652" s="73"/>
      <c r="K652" s="73"/>
    </row>
    <row r="653">
      <c r="C653" s="71"/>
      <c r="D653" s="71"/>
      <c r="E653" s="71"/>
      <c r="F653" s="73"/>
      <c r="G653" s="73"/>
      <c r="H653" s="73"/>
      <c r="I653" s="73"/>
      <c r="J653" s="73"/>
      <c r="K653" s="73"/>
    </row>
    <row r="654">
      <c r="C654" s="71"/>
      <c r="D654" s="71"/>
      <c r="E654" s="71"/>
      <c r="F654" s="73"/>
      <c r="G654" s="73"/>
      <c r="H654" s="73"/>
      <c r="I654" s="73"/>
      <c r="J654" s="73"/>
      <c r="K654" s="73"/>
    </row>
    <row r="655">
      <c r="C655" s="71"/>
      <c r="D655" s="71"/>
      <c r="E655" s="71"/>
      <c r="F655" s="73"/>
      <c r="G655" s="73"/>
      <c r="H655" s="73"/>
      <c r="I655" s="73"/>
      <c r="J655" s="73"/>
      <c r="K655" s="73"/>
    </row>
    <row r="656">
      <c r="C656" s="71"/>
      <c r="D656" s="71"/>
      <c r="E656" s="71"/>
      <c r="F656" s="73"/>
      <c r="G656" s="73"/>
      <c r="H656" s="73"/>
      <c r="I656" s="73"/>
      <c r="J656" s="73"/>
      <c r="K656" s="73"/>
    </row>
    <row r="657">
      <c r="C657" s="71"/>
      <c r="D657" s="71"/>
      <c r="E657" s="71"/>
      <c r="F657" s="73"/>
      <c r="G657" s="73"/>
      <c r="H657" s="73"/>
      <c r="I657" s="73"/>
      <c r="J657" s="73"/>
      <c r="K657" s="73"/>
    </row>
    <row r="658">
      <c r="C658" s="71"/>
      <c r="D658" s="71"/>
      <c r="E658" s="71"/>
      <c r="F658" s="73"/>
      <c r="G658" s="73"/>
      <c r="H658" s="73"/>
      <c r="I658" s="73"/>
      <c r="J658" s="73"/>
      <c r="K658" s="73"/>
    </row>
    <row r="659">
      <c r="C659" s="71"/>
      <c r="D659" s="71"/>
      <c r="E659" s="71"/>
      <c r="F659" s="73"/>
      <c r="G659" s="73"/>
      <c r="H659" s="73"/>
      <c r="I659" s="73"/>
      <c r="J659" s="73"/>
      <c r="K659" s="73"/>
    </row>
    <row r="660">
      <c r="C660" s="71"/>
      <c r="D660" s="71"/>
      <c r="E660" s="71"/>
      <c r="F660" s="73"/>
      <c r="G660" s="73"/>
      <c r="H660" s="73"/>
      <c r="I660" s="73"/>
      <c r="J660" s="73"/>
      <c r="K660" s="73"/>
    </row>
    <row r="661">
      <c r="C661" s="71"/>
      <c r="D661" s="71"/>
      <c r="E661" s="71"/>
      <c r="F661" s="73"/>
      <c r="G661" s="73"/>
      <c r="H661" s="73"/>
      <c r="I661" s="73"/>
      <c r="J661" s="73"/>
      <c r="K661" s="73"/>
    </row>
    <row r="662">
      <c r="C662" s="71"/>
      <c r="D662" s="71"/>
      <c r="E662" s="71"/>
      <c r="F662" s="73"/>
      <c r="G662" s="73"/>
      <c r="H662" s="73"/>
      <c r="I662" s="73"/>
      <c r="J662" s="73"/>
      <c r="K662" s="73"/>
    </row>
    <row r="663">
      <c r="C663" s="71"/>
      <c r="D663" s="71"/>
      <c r="E663" s="71"/>
      <c r="F663" s="73"/>
      <c r="G663" s="73"/>
      <c r="H663" s="73"/>
      <c r="I663" s="73"/>
      <c r="J663" s="73"/>
      <c r="K663" s="73"/>
    </row>
    <row r="664">
      <c r="C664" s="71"/>
      <c r="D664" s="71"/>
      <c r="E664" s="71"/>
      <c r="F664" s="73"/>
      <c r="G664" s="73"/>
      <c r="H664" s="73"/>
      <c r="I664" s="73"/>
      <c r="J664" s="73"/>
      <c r="K664" s="73"/>
    </row>
    <row r="665">
      <c r="C665" s="71"/>
      <c r="D665" s="71"/>
      <c r="E665" s="71"/>
      <c r="F665" s="73"/>
      <c r="G665" s="73"/>
      <c r="H665" s="73"/>
      <c r="I665" s="73"/>
      <c r="J665" s="73"/>
      <c r="K665" s="73"/>
    </row>
    <row r="666">
      <c r="C666" s="71"/>
      <c r="D666" s="71"/>
      <c r="E666" s="71"/>
      <c r="F666" s="73"/>
      <c r="G666" s="73"/>
      <c r="H666" s="73"/>
      <c r="I666" s="73"/>
      <c r="J666" s="73"/>
      <c r="K666" s="73"/>
    </row>
    <row r="667">
      <c r="C667" s="71"/>
      <c r="D667" s="71"/>
      <c r="E667" s="71"/>
      <c r="F667" s="73"/>
      <c r="G667" s="73"/>
      <c r="H667" s="73"/>
      <c r="I667" s="73"/>
      <c r="J667" s="73"/>
      <c r="K667" s="73"/>
    </row>
    <row r="668">
      <c r="C668" s="71"/>
      <c r="D668" s="71"/>
      <c r="E668" s="71"/>
      <c r="F668" s="73"/>
      <c r="G668" s="73"/>
      <c r="H668" s="73"/>
      <c r="I668" s="73"/>
      <c r="J668" s="73"/>
      <c r="K668" s="73"/>
    </row>
    <row r="669">
      <c r="C669" s="71"/>
      <c r="D669" s="71"/>
      <c r="E669" s="71"/>
      <c r="F669" s="73"/>
      <c r="G669" s="73"/>
      <c r="H669" s="73"/>
      <c r="I669" s="73"/>
      <c r="J669" s="73"/>
      <c r="K669" s="73"/>
    </row>
    <row r="670">
      <c r="C670" s="71"/>
      <c r="D670" s="71"/>
      <c r="E670" s="71"/>
      <c r="F670" s="73"/>
      <c r="G670" s="73"/>
      <c r="H670" s="73"/>
      <c r="I670" s="73"/>
      <c r="J670" s="73"/>
      <c r="K670" s="73"/>
    </row>
    <row r="671">
      <c r="C671" s="71"/>
      <c r="D671" s="71"/>
      <c r="E671" s="71"/>
      <c r="F671" s="73"/>
      <c r="G671" s="73"/>
      <c r="H671" s="73"/>
      <c r="I671" s="73"/>
      <c r="J671" s="73"/>
      <c r="K671" s="73"/>
    </row>
    <row r="672">
      <c r="C672" s="71"/>
      <c r="D672" s="71"/>
      <c r="E672" s="71"/>
      <c r="F672" s="73"/>
      <c r="G672" s="73"/>
      <c r="H672" s="73"/>
      <c r="I672" s="73"/>
      <c r="J672" s="73"/>
      <c r="K672" s="73"/>
    </row>
    <row r="673">
      <c r="C673" s="71"/>
      <c r="D673" s="71"/>
      <c r="E673" s="71"/>
      <c r="F673" s="73"/>
      <c r="G673" s="73"/>
      <c r="H673" s="73"/>
      <c r="I673" s="73"/>
      <c r="J673" s="73"/>
      <c r="K673" s="73"/>
    </row>
    <row r="674">
      <c r="C674" s="71"/>
      <c r="D674" s="71"/>
      <c r="E674" s="71"/>
      <c r="F674" s="73"/>
      <c r="G674" s="73"/>
      <c r="H674" s="73"/>
      <c r="I674" s="73"/>
      <c r="J674" s="73"/>
      <c r="K674" s="73"/>
    </row>
    <row r="675">
      <c r="C675" s="71"/>
      <c r="D675" s="71"/>
      <c r="E675" s="71"/>
      <c r="F675" s="73"/>
      <c r="G675" s="73"/>
      <c r="H675" s="73"/>
      <c r="I675" s="73"/>
      <c r="J675" s="73"/>
      <c r="K675" s="73"/>
    </row>
    <row r="676">
      <c r="C676" s="71"/>
      <c r="D676" s="71"/>
      <c r="E676" s="71"/>
      <c r="F676" s="73"/>
      <c r="G676" s="73"/>
      <c r="H676" s="73"/>
      <c r="I676" s="73"/>
      <c r="J676" s="73"/>
      <c r="K676" s="73"/>
    </row>
    <row r="677">
      <c r="C677" s="71"/>
      <c r="D677" s="71"/>
      <c r="E677" s="71"/>
      <c r="F677" s="73"/>
      <c r="G677" s="73"/>
      <c r="H677" s="73"/>
      <c r="I677" s="73"/>
      <c r="J677" s="73"/>
      <c r="K677" s="73"/>
    </row>
    <row r="678">
      <c r="C678" s="71"/>
      <c r="D678" s="71"/>
      <c r="E678" s="71"/>
      <c r="F678" s="73"/>
      <c r="G678" s="73"/>
      <c r="H678" s="73"/>
      <c r="I678" s="73"/>
      <c r="J678" s="73"/>
      <c r="K678" s="73"/>
    </row>
    <row r="679">
      <c r="C679" s="71"/>
      <c r="D679" s="71"/>
      <c r="E679" s="71"/>
      <c r="F679" s="73"/>
      <c r="G679" s="73"/>
      <c r="H679" s="73"/>
      <c r="I679" s="73"/>
      <c r="J679" s="73"/>
      <c r="K679" s="73"/>
    </row>
    <row r="680">
      <c r="C680" s="71"/>
      <c r="D680" s="71"/>
      <c r="E680" s="71"/>
      <c r="F680" s="73"/>
      <c r="G680" s="73"/>
      <c r="H680" s="73"/>
      <c r="I680" s="73"/>
      <c r="J680" s="73"/>
      <c r="K680" s="73"/>
    </row>
    <row r="681">
      <c r="C681" s="71"/>
      <c r="D681" s="71"/>
      <c r="E681" s="71"/>
      <c r="F681" s="73"/>
      <c r="G681" s="73"/>
      <c r="H681" s="73"/>
      <c r="I681" s="73"/>
      <c r="J681" s="73"/>
      <c r="K681" s="73"/>
    </row>
    <row r="682">
      <c r="C682" s="71"/>
      <c r="D682" s="71"/>
      <c r="E682" s="71"/>
      <c r="F682" s="73"/>
      <c r="G682" s="73"/>
      <c r="H682" s="73"/>
      <c r="I682" s="73"/>
      <c r="J682" s="73"/>
      <c r="K682" s="73"/>
    </row>
    <row r="683">
      <c r="C683" s="71"/>
      <c r="D683" s="71"/>
      <c r="E683" s="71"/>
      <c r="F683" s="73"/>
      <c r="G683" s="73"/>
      <c r="H683" s="73"/>
      <c r="I683" s="73"/>
      <c r="J683" s="73"/>
      <c r="K683" s="73"/>
    </row>
    <row r="684">
      <c r="C684" s="71"/>
      <c r="D684" s="71"/>
      <c r="E684" s="71"/>
      <c r="F684" s="73"/>
      <c r="G684" s="73"/>
      <c r="H684" s="73"/>
      <c r="I684" s="73"/>
      <c r="J684" s="73"/>
      <c r="K684" s="73"/>
    </row>
    <row r="685">
      <c r="C685" s="71"/>
      <c r="D685" s="71"/>
      <c r="E685" s="71"/>
      <c r="F685" s="73"/>
      <c r="G685" s="73"/>
      <c r="H685" s="73"/>
      <c r="I685" s="73"/>
      <c r="J685" s="73"/>
      <c r="K685" s="73"/>
    </row>
    <row r="686">
      <c r="C686" s="71"/>
      <c r="D686" s="71"/>
      <c r="E686" s="71"/>
      <c r="F686" s="73"/>
      <c r="G686" s="73"/>
      <c r="H686" s="73"/>
      <c r="I686" s="73"/>
      <c r="J686" s="73"/>
      <c r="K686" s="73"/>
    </row>
    <row r="687">
      <c r="C687" s="71"/>
      <c r="D687" s="71"/>
      <c r="E687" s="71"/>
      <c r="F687" s="73"/>
      <c r="G687" s="73"/>
      <c r="H687" s="73"/>
      <c r="I687" s="73"/>
      <c r="J687" s="73"/>
      <c r="K687" s="73"/>
    </row>
    <row r="688">
      <c r="C688" s="71"/>
      <c r="D688" s="71"/>
      <c r="E688" s="71"/>
      <c r="F688" s="73"/>
      <c r="G688" s="73"/>
      <c r="H688" s="73"/>
      <c r="I688" s="73"/>
      <c r="J688" s="73"/>
      <c r="K688" s="73"/>
    </row>
    <row r="689">
      <c r="C689" s="71"/>
      <c r="D689" s="71"/>
      <c r="E689" s="71"/>
      <c r="F689" s="73"/>
      <c r="G689" s="73"/>
      <c r="H689" s="73"/>
      <c r="I689" s="73"/>
      <c r="J689" s="73"/>
      <c r="K689" s="73"/>
    </row>
    <row r="690">
      <c r="C690" s="71"/>
      <c r="D690" s="71"/>
      <c r="E690" s="71"/>
      <c r="F690" s="73"/>
      <c r="G690" s="73"/>
      <c r="H690" s="73"/>
      <c r="I690" s="73"/>
      <c r="J690" s="73"/>
      <c r="K690" s="73"/>
    </row>
    <row r="691">
      <c r="C691" s="71"/>
      <c r="D691" s="71"/>
      <c r="E691" s="71"/>
      <c r="F691" s="73"/>
      <c r="G691" s="73"/>
      <c r="H691" s="73"/>
      <c r="I691" s="73"/>
      <c r="J691" s="73"/>
      <c r="K691" s="73"/>
    </row>
    <row r="692">
      <c r="C692" s="71"/>
      <c r="D692" s="71"/>
      <c r="E692" s="71"/>
      <c r="F692" s="73"/>
      <c r="G692" s="73"/>
      <c r="H692" s="73"/>
      <c r="I692" s="73"/>
      <c r="J692" s="73"/>
      <c r="K692" s="73"/>
    </row>
    <row r="693">
      <c r="C693" s="71"/>
      <c r="D693" s="71"/>
      <c r="E693" s="71"/>
      <c r="F693" s="73"/>
      <c r="G693" s="73"/>
      <c r="H693" s="73"/>
      <c r="I693" s="73"/>
      <c r="J693" s="73"/>
      <c r="K693" s="73"/>
    </row>
    <row r="694">
      <c r="C694" s="71"/>
      <c r="D694" s="71"/>
      <c r="E694" s="71"/>
      <c r="F694" s="73"/>
      <c r="G694" s="73"/>
      <c r="H694" s="73"/>
      <c r="I694" s="73"/>
      <c r="J694" s="73"/>
      <c r="K694" s="73"/>
    </row>
    <row r="695">
      <c r="C695" s="71"/>
      <c r="D695" s="71"/>
      <c r="E695" s="71"/>
      <c r="F695" s="73"/>
      <c r="G695" s="73"/>
      <c r="H695" s="73"/>
      <c r="I695" s="73"/>
      <c r="J695" s="73"/>
      <c r="K695" s="73"/>
    </row>
    <row r="696">
      <c r="C696" s="71"/>
      <c r="D696" s="71"/>
      <c r="E696" s="71"/>
      <c r="F696" s="73"/>
      <c r="G696" s="73"/>
      <c r="H696" s="73"/>
      <c r="I696" s="73"/>
      <c r="J696" s="73"/>
      <c r="K696" s="73"/>
    </row>
    <row r="697">
      <c r="C697" s="71"/>
      <c r="D697" s="71"/>
      <c r="E697" s="71"/>
      <c r="F697" s="73"/>
      <c r="G697" s="73"/>
      <c r="H697" s="73"/>
      <c r="I697" s="73"/>
      <c r="J697" s="73"/>
      <c r="K697" s="73"/>
    </row>
    <row r="698">
      <c r="C698" s="71"/>
      <c r="D698" s="71"/>
      <c r="E698" s="71"/>
      <c r="F698" s="73"/>
      <c r="G698" s="73"/>
      <c r="H698" s="73"/>
      <c r="I698" s="73"/>
      <c r="J698" s="73"/>
      <c r="K698" s="73"/>
    </row>
    <row r="699">
      <c r="C699" s="71"/>
      <c r="D699" s="71"/>
      <c r="E699" s="71"/>
      <c r="F699" s="73"/>
      <c r="G699" s="73"/>
      <c r="H699" s="73"/>
      <c r="I699" s="73"/>
      <c r="J699" s="73"/>
      <c r="K699" s="73"/>
    </row>
    <row r="700">
      <c r="C700" s="71"/>
      <c r="D700" s="71"/>
      <c r="E700" s="71"/>
      <c r="F700" s="73"/>
      <c r="G700" s="73"/>
      <c r="H700" s="73"/>
      <c r="I700" s="73"/>
      <c r="J700" s="73"/>
      <c r="K700" s="73"/>
    </row>
    <row r="701">
      <c r="C701" s="71"/>
      <c r="D701" s="71"/>
      <c r="E701" s="71"/>
      <c r="F701" s="73"/>
      <c r="G701" s="73"/>
      <c r="H701" s="73"/>
      <c r="I701" s="73"/>
      <c r="J701" s="73"/>
      <c r="K701" s="73"/>
    </row>
    <row r="702">
      <c r="C702" s="71"/>
      <c r="D702" s="71"/>
      <c r="E702" s="71"/>
      <c r="F702" s="73"/>
      <c r="G702" s="73"/>
      <c r="H702" s="73"/>
      <c r="I702" s="73"/>
      <c r="J702" s="73"/>
      <c r="K702" s="73"/>
    </row>
    <row r="703">
      <c r="C703" s="71"/>
      <c r="D703" s="71"/>
      <c r="E703" s="71"/>
      <c r="F703" s="73"/>
      <c r="G703" s="73"/>
      <c r="H703" s="73"/>
      <c r="I703" s="73"/>
      <c r="J703" s="73"/>
      <c r="K703" s="73"/>
    </row>
    <row r="704">
      <c r="C704" s="71"/>
      <c r="D704" s="71"/>
      <c r="E704" s="71"/>
      <c r="F704" s="73"/>
      <c r="G704" s="73"/>
      <c r="H704" s="73"/>
      <c r="I704" s="73"/>
      <c r="J704" s="73"/>
      <c r="K704" s="73"/>
    </row>
    <row r="705">
      <c r="C705" s="71"/>
      <c r="D705" s="71"/>
      <c r="E705" s="71"/>
      <c r="F705" s="73"/>
      <c r="G705" s="73"/>
      <c r="H705" s="73"/>
      <c r="I705" s="73"/>
      <c r="J705" s="73"/>
      <c r="K705" s="73"/>
    </row>
    <row r="706">
      <c r="C706" s="71"/>
      <c r="D706" s="71"/>
      <c r="E706" s="71"/>
      <c r="F706" s="73"/>
      <c r="G706" s="73"/>
      <c r="H706" s="73"/>
      <c r="I706" s="73"/>
      <c r="J706" s="73"/>
      <c r="K706" s="73"/>
    </row>
    <row r="707">
      <c r="C707" s="71"/>
      <c r="D707" s="71"/>
      <c r="E707" s="71"/>
      <c r="F707" s="73"/>
      <c r="G707" s="73"/>
      <c r="H707" s="73"/>
      <c r="I707" s="73"/>
      <c r="J707" s="73"/>
      <c r="K707" s="73"/>
    </row>
    <row r="708">
      <c r="C708" s="71"/>
      <c r="D708" s="71"/>
      <c r="E708" s="71"/>
      <c r="F708" s="73"/>
      <c r="G708" s="73"/>
      <c r="H708" s="73"/>
      <c r="I708" s="73"/>
      <c r="J708" s="73"/>
      <c r="K708" s="73"/>
    </row>
    <row r="709">
      <c r="C709" s="71"/>
      <c r="D709" s="71"/>
      <c r="E709" s="71"/>
      <c r="F709" s="73"/>
      <c r="G709" s="73"/>
      <c r="H709" s="73"/>
      <c r="I709" s="73"/>
      <c r="J709" s="73"/>
      <c r="K709" s="73"/>
    </row>
    <row r="710">
      <c r="C710" s="71"/>
      <c r="D710" s="71"/>
      <c r="E710" s="71"/>
      <c r="F710" s="73"/>
      <c r="G710" s="73"/>
      <c r="H710" s="73"/>
      <c r="I710" s="73"/>
      <c r="J710" s="73"/>
      <c r="K710" s="73"/>
    </row>
    <row r="711">
      <c r="C711" s="71"/>
      <c r="D711" s="71"/>
      <c r="E711" s="71"/>
      <c r="F711" s="73"/>
      <c r="G711" s="73"/>
      <c r="H711" s="73"/>
      <c r="I711" s="73"/>
      <c r="J711" s="73"/>
      <c r="K711" s="73"/>
    </row>
    <row r="712">
      <c r="C712" s="71"/>
      <c r="D712" s="71"/>
      <c r="E712" s="71"/>
      <c r="F712" s="73"/>
      <c r="G712" s="73"/>
      <c r="H712" s="73"/>
      <c r="I712" s="73"/>
      <c r="J712" s="73"/>
      <c r="K712" s="73"/>
    </row>
    <row r="713">
      <c r="C713" s="71"/>
      <c r="D713" s="71"/>
      <c r="E713" s="71"/>
      <c r="F713" s="73"/>
      <c r="G713" s="73"/>
      <c r="H713" s="73"/>
      <c r="I713" s="73"/>
      <c r="J713" s="73"/>
      <c r="K713" s="73"/>
    </row>
    <row r="714">
      <c r="C714" s="71"/>
      <c r="D714" s="71"/>
      <c r="E714" s="71"/>
      <c r="F714" s="73"/>
      <c r="G714" s="73"/>
      <c r="H714" s="73"/>
      <c r="I714" s="73"/>
      <c r="J714" s="73"/>
      <c r="K714" s="73"/>
    </row>
    <row r="715">
      <c r="C715" s="71"/>
      <c r="D715" s="71"/>
      <c r="E715" s="71"/>
      <c r="F715" s="73"/>
      <c r="G715" s="73"/>
      <c r="H715" s="73"/>
      <c r="I715" s="73"/>
      <c r="J715" s="73"/>
      <c r="K715" s="73"/>
    </row>
    <row r="716">
      <c r="C716" s="71"/>
      <c r="D716" s="71"/>
      <c r="E716" s="71"/>
      <c r="F716" s="73"/>
      <c r="G716" s="73"/>
      <c r="H716" s="73"/>
      <c r="I716" s="73"/>
      <c r="J716" s="73"/>
      <c r="K716" s="73"/>
    </row>
    <row r="717">
      <c r="C717" s="71"/>
      <c r="D717" s="71"/>
      <c r="E717" s="71"/>
      <c r="F717" s="73"/>
      <c r="G717" s="73"/>
      <c r="H717" s="73"/>
      <c r="I717" s="73"/>
      <c r="J717" s="73"/>
      <c r="K717" s="73"/>
    </row>
    <row r="718">
      <c r="C718" s="71"/>
      <c r="D718" s="71"/>
      <c r="E718" s="71"/>
      <c r="F718" s="73"/>
      <c r="G718" s="73"/>
      <c r="H718" s="73"/>
      <c r="I718" s="73"/>
      <c r="J718" s="73"/>
      <c r="K718" s="73"/>
    </row>
    <row r="719">
      <c r="C719" s="71"/>
      <c r="D719" s="71"/>
      <c r="E719" s="71"/>
      <c r="F719" s="73"/>
      <c r="G719" s="73"/>
      <c r="H719" s="73"/>
      <c r="I719" s="73"/>
      <c r="J719" s="73"/>
      <c r="K719" s="73"/>
    </row>
    <row r="720">
      <c r="C720" s="71"/>
      <c r="D720" s="71"/>
      <c r="E720" s="71"/>
      <c r="F720" s="73"/>
      <c r="G720" s="73"/>
      <c r="H720" s="73"/>
      <c r="I720" s="73"/>
      <c r="J720" s="73"/>
      <c r="K720" s="73"/>
    </row>
    <row r="721">
      <c r="C721" s="71"/>
      <c r="D721" s="71"/>
      <c r="E721" s="71"/>
      <c r="F721" s="73"/>
      <c r="G721" s="73"/>
      <c r="H721" s="73"/>
      <c r="I721" s="73"/>
      <c r="J721" s="73"/>
      <c r="K721" s="73"/>
    </row>
    <row r="722">
      <c r="C722" s="71"/>
      <c r="D722" s="71"/>
      <c r="E722" s="71"/>
      <c r="F722" s="73"/>
      <c r="G722" s="73"/>
      <c r="H722" s="73"/>
      <c r="I722" s="73"/>
      <c r="J722" s="73"/>
      <c r="K722" s="73"/>
    </row>
    <row r="723">
      <c r="C723" s="71"/>
      <c r="D723" s="71"/>
      <c r="E723" s="71"/>
      <c r="F723" s="73"/>
      <c r="G723" s="73"/>
      <c r="H723" s="73"/>
      <c r="I723" s="73"/>
      <c r="J723" s="73"/>
      <c r="K723" s="73"/>
    </row>
    <row r="724">
      <c r="C724" s="71"/>
      <c r="D724" s="71"/>
      <c r="E724" s="71"/>
      <c r="F724" s="73"/>
      <c r="G724" s="73"/>
      <c r="H724" s="73"/>
      <c r="I724" s="73"/>
      <c r="J724" s="73"/>
      <c r="K724" s="73"/>
    </row>
    <row r="725">
      <c r="C725" s="71"/>
      <c r="D725" s="71"/>
      <c r="E725" s="71"/>
      <c r="F725" s="73"/>
      <c r="G725" s="73"/>
      <c r="H725" s="73"/>
      <c r="I725" s="73"/>
      <c r="J725" s="73"/>
      <c r="K725" s="73"/>
    </row>
    <row r="726">
      <c r="C726" s="71"/>
      <c r="D726" s="71"/>
      <c r="E726" s="71"/>
      <c r="F726" s="73"/>
      <c r="G726" s="73"/>
      <c r="H726" s="73"/>
      <c r="I726" s="73"/>
      <c r="J726" s="73"/>
      <c r="K726" s="73"/>
    </row>
    <row r="727">
      <c r="C727" s="71"/>
      <c r="D727" s="71"/>
      <c r="E727" s="71"/>
      <c r="F727" s="73"/>
      <c r="G727" s="73"/>
      <c r="H727" s="73"/>
      <c r="I727" s="73"/>
      <c r="J727" s="73"/>
      <c r="K727" s="73"/>
    </row>
    <row r="728">
      <c r="C728" s="71"/>
      <c r="D728" s="71"/>
      <c r="E728" s="71"/>
      <c r="F728" s="73"/>
      <c r="G728" s="73"/>
      <c r="H728" s="73"/>
      <c r="I728" s="73"/>
      <c r="J728" s="73"/>
      <c r="K728" s="73"/>
    </row>
    <row r="729">
      <c r="C729" s="71"/>
      <c r="D729" s="71"/>
      <c r="E729" s="71"/>
      <c r="F729" s="73"/>
      <c r="G729" s="73"/>
      <c r="H729" s="73"/>
      <c r="I729" s="73"/>
      <c r="J729" s="73"/>
      <c r="K729" s="73"/>
    </row>
    <row r="730">
      <c r="C730" s="71"/>
      <c r="D730" s="71"/>
      <c r="E730" s="71"/>
      <c r="F730" s="73"/>
      <c r="G730" s="73"/>
      <c r="H730" s="73"/>
      <c r="I730" s="73"/>
      <c r="J730" s="73"/>
      <c r="K730" s="73"/>
    </row>
    <row r="731">
      <c r="C731" s="71"/>
      <c r="D731" s="71"/>
      <c r="E731" s="71"/>
      <c r="F731" s="73"/>
      <c r="G731" s="73"/>
      <c r="H731" s="73"/>
      <c r="I731" s="73"/>
      <c r="J731" s="73"/>
      <c r="K731" s="73"/>
    </row>
    <row r="732">
      <c r="C732" s="71"/>
      <c r="D732" s="71"/>
      <c r="E732" s="71"/>
      <c r="F732" s="73"/>
      <c r="G732" s="73"/>
      <c r="H732" s="73"/>
      <c r="I732" s="73"/>
      <c r="J732" s="73"/>
      <c r="K732" s="73"/>
    </row>
    <row r="733">
      <c r="C733" s="71"/>
      <c r="D733" s="71"/>
      <c r="E733" s="71"/>
      <c r="F733" s="73"/>
      <c r="G733" s="73"/>
      <c r="H733" s="73"/>
      <c r="I733" s="73"/>
      <c r="J733" s="73"/>
      <c r="K733" s="73"/>
    </row>
    <row r="734">
      <c r="C734" s="71"/>
      <c r="D734" s="71"/>
      <c r="E734" s="71"/>
      <c r="F734" s="73"/>
      <c r="G734" s="73"/>
      <c r="H734" s="73"/>
      <c r="I734" s="73"/>
      <c r="J734" s="73"/>
      <c r="K734" s="73"/>
    </row>
    <row r="735">
      <c r="C735" s="71"/>
      <c r="D735" s="71"/>
      <c r="E735" s="71"/>
      <c r="F735" s="73"/>
      <c r="G735" s="73"/>
      <c r="H735" s="73"/>
      <c r="I735" s="73"/>
      <c r="J735" s="73"/>
      <c r="K735" s="73"/>
    </row>
    <row r="736">
      <c r="C736" s="71"/>
      <c r="D736" s="71"/>
      <c r="E736" s="71"/>
      <c r="F736" s="73"/>
      <c r="G736" s="73"/>
      <c r="H736" s="73"/>
      <c r="I736" s="73"/>
      <c r="J736" s="73"/>
      <c r="K736" s="73"/>
    </row>
    <row r="737">
      <c r="C737" s="71"/>
      <c r="D737" s="71"/>
      <c r="E737" s="71"/>
      <c r="F737" s="73"/>
      <c r="G737" s="73"/>
      <c r="H737" s="73"/>
      <c r="I737" s="73"/>
      <c r="J737" s="73"/>
      <c r="K737" s="73"/>
    </row>
    <row r="738">
      <c r="C738" s="71"/>
      <c r="D738" s="71"/>
      <c r="E738" s="71"/>
      <c r="F738" s="73"/>
      <c r="G738" s="73"/>
      <c r="H738" s="73"/>
      <c r="I738" s="73"/>
      <c r="J738" s="73"/>
      <c r="K738" s="73"/>
    </row>
    <row r="739">
      <c r="C739" s="71"/>
      <c r="D739" s="71"/>
      <c r="E739" s="71"/>
      <c r="F739" s="73"/>
      <c r="G739" s="73"/>
      <c r="H739" s="73"/>
      <c r="I739" s="73"/>
      <c r="J739" s="73"/>
      <c r="K739" s="73"/>
    </row>
    <row r="740">
      <c r="C740" s="71"/>
      <c r="D740" s="71"/>
      <c r="E740" s="71"/>
      <c r="F740" s="73"/>
      <c r="G740" s="73"/>
      <c r="H740" s="73"/>
      <c r="I740" s="73"/>
      <c r="J740" s="73"/>
      <c r="K740" s="73"/>
    </row>
    <row r="741">
      <c r="C741" s="71"/>
      <c r="D741" s="71"/>
      <c r="E741" s="71"/>
      <c r="F741" s="73"/>
      <c r="G741" s="73"/>
      <c r="H741" s="73"/>
      <c r="I741" s="73"/>
      <c r="J741" s="73"/>
      <c r="K741" s="73"/>
    </row>
    <row r="742">
      <c r="C742" s="71"/>
      <c r="D742" s="71"/>
      <c r="E742" s="71"/>
      <c r="F742" s="73"/>
      <c r="G742" s="73"/>
      <c r="H742" s="73"/>
      <c r="I742" s="73"/>
      <c r="J742" s="73"/>
      <c r="K742" s="73"/>
    </row>
    <row r="743">
      <c r="C743" s="71"/>
      <c r="D743" s="71"/>
      <c r="E743" s="71"/>
      <c r="F743" s="73"/>
      <c r="G743" s="73"/>
      <c r="H743" s="73"/>
      <c r="I743" s="73"/>
      <c r="J743" s="73"/>
      <c r="K743" s="73"/>
    </row>
    <row r="744">
      <c r="C744" s="71"/>
      <c r="D744" s="71"/>
      <c r="E744" s="71"/>
      <c r="F744" s="73"/>
      <c r="G744" s="73"/>
      <c r="H744" s="73"/>
      <c r="I744" s="73"/>
      <c r="J744" s="73"/>
      <c r="K744" s="73"/>
    </row>
    <row r="745">
      <c r="C745" s="71"/>
      <c r="D745" s="71"/>
      <c r="E745" s="71"/>
      <c r="F745" s="73"/>
      <c r="G745" s="73"/>
      <c r="H745" s="73"/>
      <c r="I745" s="73"/>
      <c r="J745" s="73"/>
      <c r="K745" s="73"/>
    </row>
    <row r="746">
      <c r="C746" s="71"/>
      <c r="D746" s="71"/>
      <c r="E746" s="71"/>
      <c r="F746" s="73"/>
      <c r="G746" s="73"/>
      <c r="H746" s="73"/>
      <c r="I746" s="73"/>
      <c r="J746" s="73"/>
      <c r="K746" s="73"/>
    </row>
    <row r="747">
      <c r="C747" s="71"/>
      <c r="D747" s="71"/>
      <c r="E747" s="71"/>
      <c r="F747" s="73"/>
      <c r="G747" s="73"/>
      <c r="H747" s="73"/>
      <c r="I747" s="73"/>
      <c r="J747" s="73"/>
      <c r="K747" s="73"/>
    </row>
    <row r="748">
      <c r="C748" s="71"/>
      <c r="D748" s="71"/>
      <c r="E748" s="71"/>
      <c r="F748" s="73"/>
      <c r="G748" s="73"/>
      <c r="H748" s="73"/>
      <c r="I748" s="73"/>
      <c r="J748" s="73"/>
      <c r="K748" s="73"/>
    </row>
    <row r="749">
      <c r="C749" s="71"/>
      <c r="D749" s="71"/>
      <c r="E749" s="71"/>
      <c r="F749" s="73"/>
      <c r="G749" s="73"/>
      <c r="H749" s="73"/>
      <c r="I749" s="73"/>
      <c r="J749" s="73"/>
      <c r="K749" s="73"/>
    </row>
    <row r="750">
      <c r="C750" s="71"/>
      <c r="D750" s="71"/>
      <c r="E750" s="71"/>
      <c r="F750" s="73"/>
      <c r="G750" s="73"/>
      <c r="H750" s="73"/>
      <c r="I750" s="73"/>
      <c r="J750" s="73"/>
      <c r="K750" s="73"/>
    </row>
    <row r="751">
      <c r="C751" s="71"/>
      <c r="D751" s="71"/>
      <c r="E751" s="71"/>
      <c r="F751" s="73"/>
      <c r="G751" s="73"/>
      <c r="H751" s="73"/>
      <c r="I751" s="73"/>
      <c r="J751" s="73"/>
      <c r="K751" s="73"/>
    </row>
    <row r="752">
      <c r="C752" s="71"/>
      <c r="D752" s="71"/>
      <c r="E752" s="71"/>
      <c r="F752" s="73"/>
      <c r="G752" s="73"/>
      <c r="H752" s="73"/>
      <c r="I752" s="73"/>
      <c r="J752" s="73"/>
      <c r="K752" s="73"/>
    </row>
    <row r="753">
      <c r="C753" s="71"/>
      <c r="D753" s="71"/>
      <c r="E753" s="71"/>
      <c r="F753" s="73"/>
      <c r="G753" s="73"/>
      <c r="H753" s="73"/>
      <c r="I753" s="73"/>
      <c r="J753" s="73"/>
      <c r="K753" s="73"/>
    </row>
    <row r="754">
      <c r="C754" s="71"/>
      <c r="D754" s="71"/>
      <c r="E754" s="71"/>
      <c r="F754" s="73"/>
      <c r="G754" s="73"/>
      <c r="H754" s="73"/>
      <c r="I754" s="73"/>
      <c r="J754" s="73"/>
      <c r="K754" s="73"/>
    </row>
    <row r="755">
      <c r="C755" s="71"/>
      <c r="D755" s="71"/>
      <c r="E755" s="71"/>
      <c r="F755" s="73"/>
      <c r="G755" s="73"/>
      <c r="H755" s="73"/>
      <c r="I755" s="73"/>
      <c r="J755" s="73"/>
      <c r="K755" s="73"/>
    </row>
    <row r="756">
      <c r="C756" s="71"/>
      <c r="D756" s="71"/>
      <c r="E756" s="71"/>
      <c r="F756" s="73"/>
      <c r="G756" s="73"/>
      <c r="H756" s="73"/>
      <c r="I756" s="73"/>
      <c r="J756" s="73"/>
      <c r="K756" s="73"/>
    </row>
    <row r="757">
      <c r="C757" s="71"/>
      <c r="D757" s="71"/>
      <c r="E757" s="71"/>
      <c r="F757" s="73"/>
      <c r="G757" s="73"/>
      <c r="H757" s="73"/>
      <c r="I757" s="73"/>
      <c r="J757" s="73"/>
      <c r="K757" s="73"/>
    </row>
    <row r="758">
      <c r="C758" s="71"/>
      <c r="D758" s="71"/>
      <c r="E758" s="71"/>
      <c r="F758" s="73"/>
      <c r="G758" s="73"/>
      <c r="H758" s="73"/>
      <c r="I758" s="73"/>
      <c r="J758" s="73"/>
      <c r="K758" s="73"/>
    </row>
    <row r="759">
      <c r="C759" s="71"/>
      <c r="D759" s="71"/>
      <c r="E759" s="71"/>
      <c r="F759" s="73"/>
      <c r="G759" s="73"/>
      <c r="H759" s="73"/>
      <c r="I759" s="73"/>
      <c r="J759" s="73"/>
      <c r="K759" s="73"/>
    </row>
    <row r="760">
      <c r="C760" s="71"/>
      <c r="D760" s="71"/>
      <c r="E760" s="71"/>
      <c r="F760" s="73"/>
      <c r="G760" s="73"/>
      <c r="H760" s="73"/>
      <c r="I760" s="73"/>
      <c r="J760" s="73"/>
      <c r="K760" s="73"/>
    </row>
    <row r="761">
      <c r="C761" s="71"/>
      <c r="D761" s="71"/>
      <c r="E761" s="71"/>
      <c r="F761" s="73"/>
      <c r="G761" s="73"/>
      <c r="H761" s="73"/>
      <c r="I761" s="73"/>
      <c r="J761" s="73"/>
      <c r="K761" s="73"/>
    </row>
    <row r="762">
      <c r="C762" s="71"/>
      <c r="D762" s="71"/>
      <c r="E762" s="71"/>
      <c r="F762" s="73"/>
      <c r="G762" s="73"/>
      <c r="H762" s="73"/>
      <c r="I762" s="73"/>
      <c r="J762" s="73"/>
      <c r="K762" s="73"/>
    </row>
    <row r="763">
      <c r="C763" s="71"/>
      <c r="D763" s="71"/>
      <c r="E763" s="71"/>
      <c r="F763" s="73"/>
      <c r="G763" s="73"/>
      <c r="H763" s="73"/>
      <c r="I763" s="73"/>
      <c r="J763" s="73"/>
      <c r="K763" s="73"/>
    </row>
    <row r="764">
      <c r="C764" s="71"/>
      <c r="D764" s="71"/>
      <c r="E764" s="71"/>
      <c r="F764" s="73"/>
      <c r="G764" s="73"/>
      <c r="H764" s="73"/>
      <c r="I764" s="73"/>
      <c r="J764" s="73"/>
      <c r="K764" s="73"/>
    </row>
    <row r="765">
      <c r="C765" s="71"/>
      <c r="D765" s="71"/>
      <c r="E765" s="71"/>
      <c r="F765" s="73"/>
      <c r="G765" s="73"/>
      <c r="H765" s="73"/>
      <c r="I765" s="73"/>
      <c r="J765" s="73"/>
      <c r="K765" s="73"/>
    </row>
    <row r="766">
      <c r="C766" s="71"/>
      <c r="D766" s="71"/>
      <c r="E766" s="71"/>
      <c r="F766" s="73"/>
      <c r="G766" s="73"/>
      <c r="H766" s="73"/>
      <c r="I766" s="73"/>
      <c r="J766" s="73"/>
      <c r="K766" s="73"/>
    </row>
    <row r="767">
      <c r="C767" s="71"/>
      <c r="D767" s="71"/>
      <c r="E767" s="71"/>
      <c r="F767" s="73"/>
      <c r="G767" s="73"/>
      <c r="H767" s="73"/>
      <c r="I767" s="73"/>
      <c r="J767" s="73"/>
      <c r="K767" s="73"/>
    </row>
    <row r="768">
      <c r="C768" s="71"/>
      <c r="D768" s="71"/>
      <c r="E768" s="71"/>
      <c r="F768" s="73"/>
      <c r="G768" s="73"/>
      <c r="H768" s="73"/>
      <c r="I768" s="73"/>
      <c r="J768" s="73"/>
      <c r="K768" s="73"/>
    </row>
    <row r="769">
      <c r="C769" s="71"/>
      <c r="D769" s="71"/>
      <c r="E769" s="71"/>
      <c r="F769" s="73"/>
      <c r="G769" s="73"/>
      <c r="H769" s="73"/>
      <c r="I769" s="73"/>
      <c r="J769" s="73"/>
      <c r="K769" s="73"/>
    </row>
    <row r="770">
      <c r="C770" s="71"/>
      <c r="D770" s="71"/>
      <c r="E770" s="71"/>
      <c r="F770" s="73"/>
      <c r="G770" s="73"/>
      <c r="H770" s="73"/>
      <c r="I770" s="73"/>
      <c r="J770" s="73"/>
      <c r="K770" s="73"/>
    </row>
    <row r="771">
      <c r="C771" s="71"/>
      <c r="D771" s="71"/>
      <c r="E771" s="71"/>
      <c r="F771" s="73"/>
      <c r="G771" s="73"/>
      <c r="H771" s="73"/>
      <c r="I771" s="73"/>
      <c r="J771" s="73"/>
      <c r="K771" s="73"/>
    </row>
    <row r="772">
      <c r="C772" s="71"/>
      <c r="D772" s="71"/>
      <c r="E772" s="71"/>
      <c r="F772" s="73"/>
      <c r="G772" s="73"/>
      <c r="H772" s="73"/>
      <c r="I772" s="73"/>
      <c r="J772" s="73"/>
      <c r="K772" s="73"/>
    </row>
    <row r="773">
      <c r="C773" s="71"/>
      <c r="D773" s="71"/>
      <c r="E773" s="71"/>
      <c r="F773" s="73"/>
      <c r="G773" s="73"/>
      <c r="H773" s="73"/>
      <c r="I773" s="73"/>
      <c r="J773" s="73"/>
      <c r="K773" s="73"/>
    </row>
    <row r="774">
      <c r="C774" s="71"/>
      <c r="D774" s="71"/>
      <c r="E774" s="71"/>
      <c r="F774" s="73"/>
      <c r="G774" s="73"/>
      <c r="H774" s="73"/>
      <c r="I774" s="73"/>
      <c r="J774" s="73"/>
      <c r="K774" s="73"/>
    </row>
    <row r="775">
      <c r="C775" s="71"/>
      <c r="D775" s="71"/>
      <c r="E775" s="71"/>
      <c r="F775" s="73"/>
      <c r="G775" s="73"/>
      <c r="H775" s="73"/>
      <c r="I775" s="73"/>
      <c r="J775" s="73"/>
      <c r="K775" s="73"/>
    </row>
    <row r="776">
      <c r="C776" s="71"/>
      <c r="D776" s="71"/>
      <c r="E776" s="71"/>
      <c r="F776" s="73"/>
      <c r="G776" s="73"/>
      <c r="H776" s="73"/>
      <c r="I776" s="73"/>
      <c r="J776" s="73"/>
      <c r="K776" s="73"/>
    </row>
    <row r="777">
      <c r="C777" s="71"/>
      <c r="D777" s="71"/>
      <c r="E777" s="71"/>
      <c r="F777" s="73"/>
      <c r="G777" s="73"/>
      <c r="H777" s="73"/>
      <c r="I777" s="73"/>
      <c r="J777" s="73"/>
      <c r="K777" s="73"/>
    </row>
    <row r="778">
      <c r="C778" s="71"/>
      <c r="D778" s="71"/>
      <c r="E778" s="71"/>
      <c r="F778" s="73"/>
      <c r="G778" s="73"/>
      <c r="H778" s="73"/>
      <c r="I778" s="73"/>
      <c r="J778" s="73"/>
      <c r="K778" s="73"/>
    </row>
    <row r="779">
      <c r="C779" s="71"/>
      <c r="D779" s="71"/>
      <c r="E779" s="71"/>
      <c r="F779" s="73"/>
      <c r="G779" s="73"/>
      <c r="H779" s="73"/>
      <c r="I779" s="73"/>
      <c r="J779" s="73"/>
      <c r="K779" s="73"/>
    </row>
    <row r="780">
      <c r="C780" s="71"/>
      <c r="D780" s="71"/>
      <c r="E780" s="71"/>
      <c r="F780" s="73"/>
      <c r="G780" s="73"/>
      <c r="H780" s="73"/>
      <c r="I780" s="73"/>
      <c r="J780" s="73"/>
      <c r="K780" s="73"/>
    </row>
    <row r="781">
      <c r="C781" s="71"/>
      <c r="D781" s="71"/>
      <c r="E781" s="71"/>
      <c r="F781" s="73"/>
      <c r="G781" s="73"/>
      <c r="H781" s="73"/>
      <c r="I781" s="73"/>
      <c r="J781" s="73"/>
      <c r="K781" s="73"/>
    </row>
    <row r="782">
      <c r="C782" s="71"/>
      <c r="D782" s="71"/>
      <c r="E782" s="71"/>
      <c r="F782" s="73"/>
      <c r="G782" s="73"/>
      <c r="H782" s="73"/>
      <c r="I782" s="73"/>
      <c r="J782" s="73"/>
      <c r="K782" s="73"/>
    </row>
    <row r="783">
      <c r="C783" s="71"/>
      <c r="D783" s="71"/>
      <c r="E783" s="71"/>
      <c r="F783" s="73"/>
      <c r="G783" s="73"/>
      <c r="H783" s="73"/>
      <c r="I783" s="73"/>
      <c r="J783" s="73"/>
      <c r="K783" s="73"/>
    </row>
    <row r="784">
      <c r="C784" s="71"/>
      <c r="D784" s="71"/>
      <c r="E784" s="71"/>
      <c r="F784" s="73"/>
      <c r="G784" s="73"/>
      <c r="H784" s="73"/>
      <c r="I784" s="73"/>
      <c r="J784" s="73"/>
      <c r="K784" s="73"/>
    </row>
    <row r="785">
      <c r="C785" s="71"/>
      <c r="D785" s="71"/>
      <c r="E785" s="71"/>
      <c r="F785" s="73"/>
      <c r="G785" s="73"/>
      <c r="H785" s="73"/>
      <c r="I785" s="73"/>
      <c r="J785" s="73"/>
      <c r="K785" s="73"/>
    </row>
    <row r="786">
      <c r="C786" s="71"/>
      <c r="D786" s="71"/>
      <c r="E786" s="71"/>
      <c r="F786" s="73"/>
      <c r="G786" s="73"/>
      <c r="H786" s="73"/>
      <c r="I786" s="73"/>
      <c r="J786" s="73"/>
      <c r="K786" s="73"/>
    </row>
    <row r="787">
      <c r="C787" s="71"/>
      <c r="D787" s="71"/>
      <c r="E787" s="71"/>
      <c r="F787" s="73"/>
      <c r="G787" s="73"/>
      <c r="H787" s="73"/>
      <c r="I787" s="73"/>
      <c r="J787" s="73"/>
      <c r="K787" s="73"/>
    </row>
    <row r="788">
      <c r="C788" s="71"/>
      <c r="D788" s="71"/>
      <c r="E788" s="71"/>
      <c r="F788" s="73"/>
      <c r="G788" s="73"/>
      <c r="H788" s="73"/>
      <c r="I788" s="73"/>
      <c r="J788" s="73"/>
      <c r="K788" s="73"/>
    </row>
    <row r="789">
      <c r="C789" s="71"/>
      <c r="D789" s="71"/>
      <c r="E789" s="71"/>
      <c r="F789" s="73"/>
      <c r="G789" s="73"/>
      <c r="H789" s="73"/>
      <c r="I789" s="73"/>
      <c r="J789" s="73"/>
      <c r="K789" s="73"/>
    </row>
    <row r="790">
      <c r="C790" s="71"/>
      <c r="D790" s="71"/>
      <c r="E790" s="71"/>
      <c r="F790" s="73"/>
      <c r="G790" s="73"/>
      <c r="H790" s="73"/>
      <c r="I790" s="73"/>
      <c r="J790" s="73"/>
      <c r="K790" s="73"/>
    </row>
    <row r="791">
      <c r="C791" s="71"/>
      <c r="D791" s="71"/>
      <c r="E791" s="71"/>
      <c r="F791" s="73"/>
      <c r="G791" s="73"/>
      <c r="H791" s="73"/>
      <c r="I791" s="73"/>
      <c r="J791" s="73"/>
      <c r="K791" s="73"/>
    </row>
    <row r="792">
      <c r="C792" s="71"/>
      <c r="D792" s="71"/>
      <c r="E792" s="71"/>
      <c r="F792" s="73"/>
      <c r="G792" s="73"/>
      <c r="H792" s="73"/>
      <c r="I792" s="73"/>
      <c r="J792" s="73"/>
      <c r="K792" s="73"/>
    </row>
    <row r="793">
      <c r="C793" s="71"/>
      <c r="D793" s="71"/>
      <c r="E793" s="71"/>
      <c r="F793" s="73"/>
      <c r="G793" s="73"/>
      <c r="H793" s="73"/>
      <c r="I793" s="73"/>
      <c r="J793" s="73"/>
      <c r="K793" s="73"/>
    </row>
    <row r="794">
      <c r="C794" s="71"/>
      <c r="D794" s="71"/>
      <c r="E794" s="71"/>
      <c r="F794" s="73"/>
      <c r="G794" s="73"/>
      <c r="H794" s="73"/>
      <c r="I794" s="73"/>
      <c r="J794" s="73"/>
      <c r="K794" s="73"/>
    </row>
    <row r="795">
      <c r="C795" s="71"/>
      <c r="D795" s="71"/>
      <c r="E795" s="71"/>
      <c r="F795" s="73"/>
      <c r="G795" s="73"/>
      <c r="H795" s="73"/>
      <c r="I795" s="73"/>
      <c r="J795" s="73"/>
      <c r="K795" s="73"/>
    </row>
    <row r="796">
      <c r="C796" s="71"/>
      <c r="D796" s="71"/>
      <c r="E796" s="71"/>
      <c r="F796" s="73"/>
      <c r="G796" s="73"/>
      <c r="H796" s="73"/>
      <c r="I796" s="73"/>
      <c r="J796" s="73"/>
      <c r="K796" s="73"/>
    </row>
    <row r="797">
      <c r="C797" s="71"/>
      <c r="D797" s="71"/>
      <c r="E797" s="71"/>
      <c r="F797" s="73"/>
      <c r="G797" s="73"/>
      <c r="H797" s="73"/>
      <c r="I797" s="73"/>
      <c r="J797" s="73"/>
      <c r="K797" s="73"/>
    </row>
    <row r="798">
      <c r="C798" s="71"/>
      <c r="D798" s="71"/>
      <c r="E798" s="71"/>
      <c r="F798" s="73"/>
      <c r="G798" s="73"/>
      <c r="H798" s="73"/>
      <c r="I798" s="73"/>
      <c r="J798" s="73"/>
      <c r="K798" s="73"/>
    </row>
    <row r="799">
      <c r="C799" s="71"/>
      <c r="D799" s="71"/>
      <c r="E799" s="71"/>
      <c r="F799" s="73"/>
      <c r="G799" s="73"/>
      <c r="H799" s="73"/>
      <c r="I799" s="73"/>
      <c r="J799" s="73"/>
      <c r="K799" s="73"/>
    </row>
    <row r="800">
      <c r="C800" s="71"/>
      <c r="D800" s="71"/>
      <c r="E800" s="71"/>
      <c r="F800" s="73"/>
      <c r="G800" s="73"/>
      <c r="H800" s="73"/>
      <c r="I800" s="73"/>
      <c r="J800" s="73"/>
      <c r="K800" s="73"/>
    </row>
    <row r="801">
      <c r="C801" s="71"/>
      <c r="D801" s="71"/>
      <c r="E801" s="71"/>
      <c r="F801" s="73"/>
      <c r="G801" s="73"/>
      <c r="H801" s="73"/>
      <c r="I801" s="73"/>
      <c r="J801" s="73"/>
      <c r="K801" s="73"/>
    </row>
    <row r="802">
      <c r="C802" s="71"/>
      <c r="D802" s="71"/>
      <c r="E802" s="71"/>
      <c r="F802" s="73"/>
      <c r="G802" s="73"/>
      <c r="H802" s="73"/>
      <c r="I802" s="73"/>
      <c r="J802" s="73"/>
      <c r="K802" s="73"/>
    </row>
    <row r="803">
      <c r="C803" s="71"/>
      <c r="D803" s="71"/>
      <c r="E803" s="71"/>
      <c r="F803" s="73"/>
      <c r="G803" s="73"/>
      <c r="H803" s="73"/>
      <c r="I803" s="73"/>
      <c r="J803" s="73"/>
      <c r="K803" s="73"/>
    </row>
    <row r="804">
      <c r="C804" s="71"/>
      <c r="D804" s="71"/>
      <c r="E804" s="71"/>
      <c r="F804" s="73"/>
      <c r="G804" s="73"/>
      <c r="H804" s="73"/>
      <c r="I804" s="73"/>
      <c r="J804" s="73"/>
      <c r="K804" s="73"/>
    </row>
    <row r="805">
      <c r="C805" s="71"/>
      <c r="D805" s="71"/>
      <c r="E805" s="71"/>
      <c r="F805" s="73"/>
      <c r="G805" s="73"/>
      <c r="H805" s="73"/>
      <c r="I805" s="73"/>
      <c r="J805" s="73"/>
      <c r="K805" s="73"/>
    </row>
    <row r="806">
      <c r="C806" s="71"/>
      <c r="D806" s="71"/>
      <c r="E806" s="71"/>
      <c r="F806" s="73"/>
      <c r="G806" s="73"/>
      <c r="H806" s="73"/>
      <c r="I806" s="73"/>
      <c r="J806" s="73"/>
      <c r="K806" s="73"/>
    </row>
    <row r="807">
      <c r="C807" s="71"/>
      <c r="D807" s="71"/>
      <c r="E807" s="71"/>
      <c r="F807" s="73"/>
      <c r="G807" s="73"/>
      <c r="H807" s="73"/>
      <c r="I807" s="73"/>
      <c r="J807" s="73"/>
      <c r="K807" s="73"/>
    </row>
    <row r="808">
      <c r="C808" s="71"/>
      <c r="D808" s="71"/>
      <c r="E808" s="71"/>
      <c r="F808" s="73"/>
      <c r="G808" s="73"/>
      <c r="H808" s="73"/>
      <c r="I808" s="73"/>
      <c r="J808" s="73"/>
      <c r="K808" s="73"/>
    </row>
    <row r="809">
      <c r="C809" s="71"/>
      <c r="D809" s="71"/>
      <c r="E809" s="71"/>
      <c r="F809" s="73"/>
      <c r="G809" s="73"/>
      <c r="H809" s="73"/>
      <c r="I809" s="73"/>
      <c r="J809" s="73"/>
      <c r="K809" s="73"/>
    </row>
    <row r="810">
      <c r="C810" s="71"/>
      <c r="D810" s="71"/>
      <c r="E810" s="71"/>
      <c r="F810" s="73"/>
      <c r="G810" s="73"/>
      <c r="H810" s="73"/>
      <c r="I810" s="73"/>
      <c r="J810" s="73"/>
      <c r="K810" s="73"/>
    </row>
    <row r="811">
      <c r="C811" s="71"/>
      <c r="D811" s="71"/>
      <c r="E811" s="71"/>
      <c r="F811" s="73"/>
      <c r="G811" s="73"/>
      <c r="H811" s="73"/>
      <c r="I811" s="73"/>
      <c r="J811" s="73"/>
      <c r="K811" s="73"/>
    </row>
    <row r="812">
      <c r="C812" s="71"/>
      <c r="D812" s="71"/>
      <c r="E812" s="71"/>
      <c r="F812" s="73"/>
      <c r="G812" s="73"/>
      <c r="H812" s="73"/>
      <c r="I812" s="73"/>
      <c r="J812" s="73"/>
      <c r="K812" s="73"/>
    </row>
    <row r="813">
      <c r="C813" s="71"/>
      <c r="D813" s="71"/>
      <c r="E813" s="71"/>
      <c r="F813" s="73"/>
      <c r="G813" s="73"/>
      <c r="H813" s="73"/>
      <c r="I813" s="73"/>
      <c r="J813" s="73"/>
      <c r="K813" s="73"/>
    </row>
    <row r="814">
      <c r="C814" s="71"/>
      <c r="D814" s="71"/>
      <c r="E814" s="71"/>
      <c r="F814" s="73"/>
      <c r="G814" s="73"/>
      <c r="H814" s="73"/>
      <c r="I814" s="73"/>
      <c r="J814" s="73"/>
      <c r="K814" s="73"/>
    </row>
    <row r="815">
      <c r="C815" s="71"/>
      <c r="D815" s="71"/>
      <c r="E815" s="71"/>
      <c r="F815" s="73"/>
      <c r="G815" s="73"/>
      <c r="H815" s="73"/>
      <c r="I815" s="73"/>
      <c r="J815" s="73"/>
      <c r="K815" s="73"/>
    </row>
    <row r="816">
      <c r="C816" s="71"/>
      <c r="D816" s="71"/>
      <c r="E816" s="71"/>
      <c r="F816" s="73"/>
      <c r="G816" s="73"/>
      <c r="H816" s="73"/>
      <c r="I816" s="73"/>
      <c r="J816" s="73"/>
      <c r="K816" s="73"/>
    </row>
    <row r="817">
      <c r="C817" s="71"/>
      <c r="D817" s="71"/>
      <c r="E817" s="71"/>
      <c r="F817" s="73"/>
      <c r="G817" s="73"/>
      <c r="H817" s="73"/>
      <c r="I817" s="73"/>
      <c r="J817" s="73"/>
      <c r="K817" s="73"/>
    </row>
    <row r="818">
      <c r="C818" s="71"/>
      <c r="D818" s="71"/>
      <c r="E818" s="71"/>
      <c r="F818" s="73"/>
      <c r="G818" s="73"/>
      <c r="H818" s="73"/>
      <c r="I818" s="73"/>
      <c r="J818" s="73"/>
      <c r="K818" s="73"/>
    </row>
    <row r="819">
      <c r="C819" s="71"/>
      <c r="D819" s="71"/>
      <c r="E819" s="71"/>
      <c r="F819" s="73"/>
      <c r="G819" s="73"/>
      <c r="H819" s="73"/>
      <c r="I819" s="73"/>
      <c r="J819" s="73"/>
      <c r="K819" s="73"/>
    </row>
    <row r="820">
      <c r="C820" s="71"/>
      <c r="D820" s="71"/>
      <c r="E820" s="71"/>
      <c r="F820" s="73"/>
      <c r="G820" s="73"/>
      <c r="H820" s="73"/>
      <c r="I820" s="73"/>
      <c r="J820" s="73"/>
      <c r="K820" s="73"/>
    </row>
    <row r="821">
      <c r="C821" s="71"/>
      <c r="D821" s="71"/>
      <c r="E821" s="71"/>
      <c r="F821" s="73"/>
      <c r="G821" s="73"/>
      <c r="H821" s="73"/>
      <c r="I821" s="73"/>
      <c r="J821" s="73"/>
      <c r="K821" s="73"/>
    </row>
    <row r="822">
      <c r="C822" s="71"/>
      <c r="D822" s="71"/>
      <c r="E822" s="71"/>
      <c r="F822" s="73"/>
      <c r="G822" s="73"/>
      <c r="H822" s="73"/>
      <c r="I822" s="73"/>
      <c r="J822" s="73"/>
      <c r="K822" s="73"/>
    </row>
    <row r="823">
      <c r="C823" s="71"/>
      <c r="D823" s="71"/>
      <c r="E823" s="71"/>
      <c r="F823" s="73"/>
      <c r="G823" s="73"/>
      <c r="H823" s="73"/>
      <c r="I823" s="73"/>
      <c r="J823" s="73"/>
      <c r="K823" s="73"/>
    </row>
    <row r="824">
      <c r="C824" s="71"/>
      <c r="D824" s="71"/>
      <c r="E824" s="71"/>
      <c r="F824" s="73"/>
      <c r="G824" s="73"/>
      <c r="H824" s="73"/>
      <c r="I824" s="73"/>
      <c r="J824" s="73"/>
      <c r="K824" s="73"/>
    </row>
    <row r="825">
      <c r="C825" s="71"/>
      <c r="D825" s="71"/>
      <c r="E825" s="71"/>
      <c r="F825" s="73"/>
      <c r="G825" s="73"/>
      <c r="H825" s="73"/>
      <c r="I825" s="73"/>
      <c r="J825" s="73"/>
      <c r="K825" s="73"/>
    </row>
    <row r="826">
      <c r="C826" s="71"/>
      <c r="D826" s="71"/>
      <c r="E826" s="71"/>
      <c r="F826" s="73"/>
      <c r="G826" s="73"/>
      <c r="H826" s="73"/>
      <c r="I826" s="73"/>
      <c r="J826" s="73"/>
      <c r="K826" s="73"/>
    </row>
    <row r="827">
      <c r="C827" s="71"/>
      <c r="D827" s="71"/>
      <c r="E827" s="71"/>
      <c r="F827" s="73"/>
      <c r="G827" s="73"/>
      <c r="H827" s="73"/>
      <c r="I827" s="73"/>
      <c r="J827" s="73"/>
      <c r="K827" s="73"/>
    </row>
    <row r="828">
      <c r="C828" s="71"/>
      <c r="D828" s="71"/>
      <c r="E828" s="71"/>
      <c r="F828" s="73"/>
      <c r="G828" s="73"/>
      <c r="H828" s="73"/>
      <c r="I828" s="73"/>
      <c r="J828" s="73"/>
      <c r="K828" s="73"/>
    </row>
    <row r="829">
      <c r="C829" s="71"/>
      <c r="D829" s="71"/>
      <c r="E829" s="71"/>
      <c r="F829" s="73"/>
      <c r="G829" s="73"/>
      <c r="H829" s="73"/>
      <c r="I829" s="73"/>
      <c r="J829" s="73"/>
      <c r="K829" s="73"/>
    </row>
    <row r="830">
      <c r="C830" s="71"/>
      <c r="D830" s="71"/>
      <c r="E830" s="71"/>
      <c r="F830" s="73"/>
      <c r="G830" s="73"/>
      <c r="H830" s="73"/>
      <c r="I830" s="73"/>
      <c r="J830" s="73"/>
      <c r="K830" s="73"/>
    </row>
    <row r="831">
      <c r="C831" s="71"/>
      <c r="D831" s="71"/>
      <c r="E831" s="71"/>
      <c r="F831" s="73"/>
      <c r="G831" s="73"/>
      <c r="H831" s="73"/>
      <c r="I831" s="73"/>
      <c r="J831" s="73"/>
      <c r="K831" s="73"/>
    </row>
    <row r="832">
      <c r="C832" s="71"/>
      <c r="D832" s="71"/>
      <c r="E832" s="71"/>
      <c r="F832" s="73"/>
      <c r="G832" s="73"/>
      <c r="H832" s="73"/>
      <c r="I832" s="73"/>
      <c r="J832" s="73"/>
      <c r="K832" s="73"/>
    </row>
    <row r="833">
      <c r="C833" s="71"/>
      <c r="D833" s="71"/>
      <c r="E833" s="71"/>
      <c r="F833" s="73"/>
      <c r="G833" s="73"/>
      <c r="H833" s="73"/>
      <c r="I833" s="73"/>
      <c r="J833" s="73"/>
      <c r="K833" s="73"/>
    </row>
    <row r="834">
      <c r="C834" s="71"/>
      <c r="D834" s="71"/>
      <c r="E834" s="71"/>
      <c r="F834" s="73"/>
      <c r="G834" s="73"/>
      <c r="H834" s="73"/>
      <c r="I834" s="73"/>
      <c r="J834" s="73"/>
      <c r="K834" s="73"/>
    </row>
    <row r="835">
      <c r="C835" s="71"/>
      <c r="D835" s="71"/>
      <c r="E835" s="71"/>
      <c r="F835" s="73"/>
      <c r="G835" s="73"/>
      <c r="H835" s="73"/>
      <c r="I835" s="73"/>
      <c r="J835" s="73"/>
      <c r="K835" s="73"/>
    </row>
    <row r="836">
      <c r="C836" s="71"/>
      <c r="D836" s="71"/>
      <c r="E836" s="71"/>
      <c r="F836" s="73"/>
      <c r="G836" s="73"/>
      <c r="H836" s="73"/>
      <c r="I836" s="73"/>
      <c r="J836" s="73"/>
      <c r="K836" s="73"/>
    </row>
    <row r="837">
      <c r="C837" s="71"/>
      <c r="D837" s="71"/>
      <c r="E837" s="71"/>
      <c r="F837" s="73"/>
      <c r="G837" s="73"/>
      <c r="H837" s="73"/>
      <c r="I837" s="73"/>
      <c r="J837" s="73"/>
      <c r="K837" s="73"/>
    </row>
    <row r="838">
      <c r="C838" s="71"/>
      <c r="D838" s="71"/>
      <c r="E838" s="71"/>
      <c r="F838" s="73"/>
      <c r="G838" s="73"/>
      <c r="H838" s="73"/>
      <c r="I838" s="73"/>
      <c r="J838" s="73"/>
      <c r="K838" s="73"/>
    </row>
    <row r="839">
      <c r="C839" s="71"/>
      <c r="D839" s="71"/>
      <c r="E839" s="71"/>
      <c r="F839" s="73"/>
      <c r="G839" s="73"/>
      <c r="H839" s="73"/>
      <c r="I839" s="73"/>
      <c r="J839" s="73"/>
      <c r="K839" s="73"/>
    </row>
    <row r="840">
      <c r="C840" s="71"/>
      <c r="D840" s="71"/>
      <c r="E840" s="71"/>
      <c r="F840" s="73"/>
      <c r="G840" s="73"/>
      <c r="H840" s="73"/>
      <c r="I840" s="73"/>
      <c r="J840" s="73"/>
      <c r="K840" s="73"/>
    </row>
    <row r="841">
      <c r="C841" s="71"/>
      <c r="D841" s="71"/>
      <c r="E841" s="71"/>
      <c r="F841" s="73"/>
      <c r="G841" s="73"/>
      <c r="H841" s="73"/>
      <c r="I841" s="73"/>
      <c r="J841" s="73"/>
      <c r="K841" s="73"/>
    </row>
    <row r="842">
      <c r="C842" s="71"/>
      <c r="D842" s="71"/>
      <c r="E842" s="71"/>
      <c r="F842" s="73"/>
      <c r="G842" s="73"/>
      <c r="H842" s="73"/>
      <c r="I842" s="73"/>
      <c r="J842" s="73"/>
      <c r="K842" s="73"/>
    </row>
    <row r="843">
      <c r="C843" s="71"/>
      <c r="D843" s="71"/>
      <c r="E843" s="71"/>
      <c r="F843" s="73"/>
      <c r="G843" s="73"/>
      <c r="H843" s="73"/>
      <c r="I843" s="73"/>
      <c r="J843" s="73"/>
      <c r="K843" s="73"/>
    </row>
    <row r="844">
      <c r="C844" s="71"/>
      <c r="D844" s="71"/>
      <c r="E844" s="71"/>
      <c r="F844" s="73"/>
      <c r="G844" s="73"/>
      <c r="H844" s="73"/>
      <c r="I844" s="73"/>
      <c r="J844" s="73"/>
      <c r="K844" s="73"/>
    </row>
    <row r="845">
      <c r="C845" s="71"/>
      <c r="D845" s="71"/>
      <c r="E845" s="71"/>
      <c r="F845" s="73"/>
      <c r="G845" s="73"/>
      <c r="H845" s="73"/>
      <c r="I845" s="73"/>
      <c r="J845" s="73"/>
      <c r="K845" s="73"/>
    </row>
    <row r="846">
      <c r="C846" s="71"/>
      <c r="D846" s="71"/>
      <c r="E846" s="71"/>
      <c r="F846" s="73"/>
      <c r="G846" s="73"/>
      <c r="H846" s="73"/>
      <c r="I846" s="73"/>
      <c r="J846" s="73"/>
      <c r="K846" s="73"/>
    </row>
    <row r="847">
      <c r="C847" s="71"/>
      <c r="D847" s="71"/>
      <c r="E847" s="71"/>
      <c r="F847" s="73"/>
      <c r="G847" s="73"/>
      <c r="H847" s="73"/>
      <c r="I847" s="73"/>
      <c r="J847" s="73"/>
      <c r="K847" s="73"/>
    </row>
    <row r="848">
      <c r="C848" s="71"/>
      <c r="D848" s="71"/>
      <c r="E848" s="71"/>
      <c r="F848" s="73"/>
      <c r="G848" s="73"/>
      <c r="H848" s="73"/>
      <c r="I848" s="73"/>
      <c r="J848" s="73"/>
      <c r="K848" s="73"/>
    </row>
    <row r="849">
      <c r="C849" s="71"/>
      <c r="D849" s="71"/>
      <c r="E849" s="71"/>
      <c r="F849" s="73"/>
      <c r="G849" s="73"/>
      <c r="H849" s="73"/>
      <c r="I849" s="73"/>
      <c r="J849" s="73"/>
      <c r="K849" s="73"/>
    </row>
    <row r="850">
      <c r="C850" s="71"/>
      <c r="D850" s="71"/>
      <c r="E850" s="71"/>
      <c r="F850" s="73"/>
      <c r="G850" s="73"/>
      <c r="H850" s="73"/>
      <c r="I850" s="73"/>
      <c r="J850" s="73"/>
      <c r="K850" s="73"/>
    </row>
    <row r="851">
      <c r="C851" s="71"/>
      <c r="D851" s="71"/>
      <c r="E851" s="71"/>
      <c r="F851" s="73"/>
      <c r="G851" s="73"/>
      <c r="H851" s="73"/>
      <c r="I851" s="73"/>
      <c r="J851" s="73"/>
      <c r="K851" s="73"/>
    </row>
    <row r="852">
      <c r="C852" s="71"/>
      <c r="D852" s="71"/>
      <c r="E852" s="71"/>
      <c r="F852" s="73"/>
      <c r="G852" s="73"/>
      <c r="H852" s="73"/>
      <c r="I852" s="73"/>
      <c r="J852" s="73"/>
      <c r="K852" s="73"/>
    </row>
    <row r="853">
      <c r="C853" s="71"/>
      <c r="D853" s="71"/>
      <c r="E853" s="71"/>
      <c r="F853" s="73"/>
      <c r="G853" s="73"/>
      <c r="H853" s="73"/>
      <c r="I853" s="73"/>
      <c r="J853" s="73"/>
      <c r="K853" s="73"/>
    </row>
    <row r="854">
      <c r="C854" s="71"/>
      <c r="D854" s="71"/>
      <c r="E854" s="71"/>
      <c r="F854" s="73"/>
      <c r="G854" s="73"/>
      <c r="H854" s="73"/>
      <c r="I854" s="73"/>
      <c r="J854" s="73"/>
      <c r="K854" s="73"/>
    </row>
    <row r="855">
      <c r="C855" s="71"/>
      <c r="D855" s="71"/>
      <c r="E855" s="71"/>
      <c r="F855" s="73"/>
      <c r="G855" s="73"/>
      <c r="H855" s="73"/>
      <c r="I855" s="73"/>
      <c r="J855" s="73"/>
      <c r="K855" s="73"/>
    </row>
    <row r="856">
      <c r="C856" s="71"/>
      <c r="D856" s="71"/>
      <c r="E856" s="71"/>
      <c r="F856" s="73"/>
      <c r="G856" s="73"/>
      <c r="H856" s="73"/>
      <c r="I856" s="73"/>
      <c r="J856" s="73"/>
      <c r="K856" s="73"/>
    </row>
    <row r="857">
      <c r="C857" s="71"/>
      <c r="D857" s="71"/>
      <c r="E857" s="71"/>
      <c r="F857" s="73"/>
      <c r="G857" s="73"/>
      <c r="H857" s="73"/>
      <c r="I857" s="73"/>
      <c r="J857" s="73"/>
      <c r="K857" s="73"/>
    </row>
    <row r="858">
      <c r="C858" s="71"/>
      <c r="D858" s="71"/>
      <c r="E858" s="71"/>
      <c r="F858" s="73"/>
      <c r="G858" s="73"/>
      <c r="H858" s="73"/>
      <c r="I858" s="73"/>
      <c r="J858" s="73"/>
      <c r="K858" s="73"/>
    </row>
    <row r="859">
      <c r="C859" s="71"/>
      <c r="D859" s="71"/>
      <c r="E859" s="71"/>
      <c r="F859" s="73"/>
      <c r="G859" s="73"/>
      <c r="H859" s="73"/>
      <c r="I859" s="73"/>
      <c r="J859" s="73"/>
      <c r="K859" s="73"/>
    </row>
    <row r="860">
      <c r="C860" s="71"/>
      <c r="D860" s="71"/>
      <c r="E860" s="71"/>
      <c r="F860" s="73"/>
      <c r="G860" s="73"/>
      <c r="H860" s="73"/>
      <c r="I860" s="73"/>
      <c r="J860" s="73"/>
      <c r="K860" s="73"/>
    </row>
    <row r="861">
      <c r="C861" s="71"/>
      <c r="D861" s="71"/>
      <c r="E861" s="71"/>
      <c r="F861" s="73"/>
      <c r="G861" s="73"/>
      <c r="H861" s="73"/>
      <c r="I861" s="73"/>
      <c r="J861" s="73"/>
      <c r="K861" s="73"/>
    </row>
    <row r="862">
      <c r="C862" s="71"/>
      <c r="D862" s="71"/>
      <c r="E862" s="71"/>
      <c r="F862" s="73"/>
      <c r="G862" s="73"/>
      <c r="H862" s="73"/>
      <c r="I862" s="73"/>
      <c r="J862" s="73"/>
      <c r="K862" s="73"/>
    </row>
    <row r="863">
      <c r="C863" s="71"/>
      <c r="D863" s="71"/>
      <c r="E863" s="71"/>
      <c r="F863" s="73"/>
      <c r="G863" s="73"/>
      <c r="H863" s="73"/>
      <c r="I863" s="73"/>
      <c r="J863" s="73"/>
      <c r="K863" s="73"/>
    </row>
    <row r="864">
      <c r="C864" s="71"/>
      <c r="D864" s="71"/>
      <c r="E864" s="71"/>
      <c r="F864" s="73"/>
      <c r="G864" s="73"/>
      <c r="H864" s="73"/>
      <c r="I864" s="73"/>
      <c r="J864" s="73"/>
      <c r="K864" s="73"/>
    </row>
    <row r="865">
      <c r="C865" s="71"/>
      <c r="D865" s="71"/>
      <c r="E865" s="71"/>
      <c r="F865" s="73"/>
      <c r="G865" s="73"/>
      <c r="H865" s="73"/>
      <c r="I865" s="73"/>
      <c r="J865" s="73"/>
      <c r="K865" s="73"/>
    </row>
    <row r="866">
      <c r="C866" s="71"/>
      <c r="D866" s="71"/>
      <c r="E866" s="71"/>
      <c r="F866" s="73"/>
      <c r="G866" s="73"/>
      <c r="H866" s="73"/>
      <c r="I866" s="73"/>
      <c r="J866" s="73"/>
      <c r="K866" s="73"/>
    </row>
    <row r="867">
      <c r="C867" s="71"/>
      <c r="D867" s="71"/>
      <c r="E867" s="71"/>
      <c r="F867" s="73"/>
      <c r="G867" s="73"/>
      <c r="H867" s="73"/>
      <c r="I867" s="73"/>
      <c r="J867" s="73"/>
      <c r="K867" s="73"/>
    </row>
    <row r="868">
      <c r="C868" s="71"/>
      <c r="D868" s="71"/>
      <c r="E868" s="71"/>
      <c r="F868" s="73"/>
      <c r="G868" s="73"/>
      <c r="H868" s="73"/>
      <c r="I868" s="73"/>
      <c r="J868" s="73"/>
      <c r="K868" s="73"/>
    </row>
    <row r="869">
      <c r="C869" s="71"/>
      <c r="D869" s="71"/>
      <c r="E869" s="71"/>
      <c r="F869" s="73"/>
      <c r="G869" s="73"/>
      <c r="H869" s="73"/>
      <c r="I869" s="73"/>
      <c r="J869" s="73"/>
      <c r="K869" s="73"/>
    </row>
    <row r="870">
      <c r="C870" s="71"/>
      <c r="D870" s="71"/>
      <c r="E870" s="71"/>
      <c r="F870" s="73"/>
      <c r="G870" s="73"/>
      <c r="H870" s="73"/>
      <c r="I870" s="73"/>
      <c r="J870" s="73"/>
      <c r="K870" s="73"/>
    </row>
    <row r="871">
      <c r="C871" s="71"/>
      <c r="D871" s="71"/>
      <c r="E871" s="71"/>
      <c r="F871" s="73"/>
      <c r="G871" s="73"/>
      <c r="H871" s="73"/>
      <c r="I871" s="73"/>
      <c r="J871" s="73"/>
      <c r="K871" s="73"/>
    </row>
    <row r="872">
      <c r="C872" s="71"/>
      <c r="D872" s="71"/>
      <c r="E872" s="71"/>
      <c r="F872" s="73"/>
      <c r="G872" s="73"/>
      <c r="H872" s="73"/>
      <c r="I872" s="73"/>
      <c r="J872" s="73"/>
      <c r="K872" s="73"/>
    </row>
    <row r="873">
      <c r="C873" s="71"/>
      <c r="D873" s="71"/>
      <c r="E873" s="71"/>
      <c r="F873" s="73"/>
      <c r="G873" s="73"/>
      <c r="H873" s="73"/>
      <c r="I873" s="73"/>
      <c r="J873" s="73"/>
      <c r="K873" s="73"/>
    </row>
    <row r="874">
      <c r="C874" s="71"/>
      <c r="D874" s="71"/>
      <c r="E874" s="71"/>
      <c r="F874" s="73"/>
      <c r="G874" s="73"/>
      <c r="H874" s="73"/>
      <c r="I874" s="73"/>
      <c r="J874" s="73"/>
      <c r="K874" s="73"/>
    </row>
    <row r="875">
      <c r="C875" s="71"/>
      <c r="D875" s="71"/>
      <c r="E875" s="71"/>
      <c r="F875" s="73"/>
      <c r="G875" s="73"/>
      <c r="H875" s="73"/>
      <c r="I875" s="73"/>
      <c r="J875" s="73"/>
      <c r="K875" s="73"/>
    </row>
    <row r="876">
      <c r="C876" s="71"/>
      <c r="D876" s="71"/>
      <c r="E876" s="71"/>
      <c r="F876" s="73"/>
      <c r="G876" s="73"/>
      <c r="H876" s="73"/>
      <c r="I876" s="73"/>
      <c r="J876" s="73"/>
      <c r="K876" s="73"/>
    </row>
    <row r="877">
      <c r="C877" s="71"/>
      <c r="D877" s="71"/>
      <c r="E877" s="71"/>
      <c r="F877" s="73"/>
      <c r="G877" s="73"/>
      <c r="H877" s="73"/>
      <c r="I877" s="73"/>
      <c r="J877" s="73"/>
      <c r="K877" s="73"/>
    </row>
    <row r="878">
      <c r="C878" s="71"/>
      <c r="D878" s="71"/>
      <c r="E878" s="71"/>
      <c r="F878" s="73"/>
      <c r="G878" s="73"/>
      <c r="H878" s="73"/>
      <c r="I878" s="73"/>
      <c r="J878" s="73"/>
      <c r="K878" s="73"/>
    </row>
    <row r="879">
      <c r="C879" s="71"/>
      <c r="D879" s="71"/>
      <c r="E879" s="71"/>
      <c r="F879" s="73"/>
      <c r="G879" s="73"/>
      <c r="H879" s="73"/>
      <c r="I879" s="73"/>
      <c r="J879" s="73"/>
      <c r="K879" s="73"/>
    </row>
    <row r="880">
      <c r="C880" s="71"/>
      <c r="D880" s="71"/>
      <c r="E880" s="71"/>
      <c r="F880" s="73"/>
      <c r="G880" s="73"/>
      <c r="H880" s="73"/>
      <c r="I880" s="73"/>
      <c r="J880" s="73"/>
      <c r="K880" s="73"/>
    </row>
    <row r="881">
      <c r="C881" s="71"/>
      <c r="D881" s="71"/>
      <c r="E881" s="71"/>
      <c r="F881" s="73"/>
      <c r="G881" s="73"/>
      <c r="H881" s="73"/>
      <c r="I881" s="73"/>
      <c r="J881" s="73"/>
      <c r="K881" s="73"/>
    </row>
    <row r="882">
      <c r="C882" s="71"/>
      <c r="D882" s="71"/>
      <c r="E882" s="71"/>
      <c r="F882" s="73"/>
      <c r="G882" s="73"/>
      <c r="H882" s="73"/>
      <c r="I882" s="73"/>
      <c r="J882" s="73"/>
      <c r="K882" s="73"/>
    </row>
    <row r="883">
      <c r="C883" s="71"/>
      <c r="D883" s="71"/>
      <c r="E883" s="71"/>
      <c r="F883" s="73"/>
      <c r="G883" s="73"/>
      <c r="H883" s="73"/>
      <c r="I883" s="73"/>
      <c r="J883" s="73"/>
      <c r="K883" s="73"/>
    </row>
    <row r="884">
      <c r="C884" s="71"/>
      <c r="D884" s="71"/>
      <c r="E884" s="71"/>
      <c r="F884" s="73"/>
      <c r="G884" s="73"/>
      <c r="H884" s="73"/>
      <c r="I884" s="73"/>
      <c r="J884" s="73"/>
      <c r="K884" s="73"/>
    </row>
    <row r="885">
      <c r="C885" s="71"/>
      <c r="D885" s="71"/>
      <c r="E885" s="71"/>
      <c r="F885" s="73"/>
      <c r="G885" s="73"/>
      <c r="H885" s="73"/>
      <c r="I885" s="73"/>
      <c r="J885" s="73"/>
      <c r="K885" s="73"/>
    </row>
    <row r="886">
      <c r="C886" s="71"/>
      <c r="D886" s="71"/>
      <c r="E886" s="71"/>
      <c r="F886" s="73"/>
      <c r="G886" s="73"/>
      <c r="H886" s="73"/>
      <c r="I886" s="73"/>
      <c r="J886" s="73"/>
      <c r="K886" s="73"/>
    </row>
    <row r="887">
      <c r="C887" s="71"/>
      <c r="D887" s="71"/>
      <c r="E887" s="71"/>
      <c r="F887" s="73"/>
      <c r="G887" s="73"/>
      <c r="H887" s="73"/>
      <c r="I887" s="73"/>
      <c r="J887" s="73"/>
      <c r="K887" s="73"/>
    </row>
    <row r="888">
      <c r="C888" s="71"/>
      <c r="D888" s="71"/>
      <c r="E888" s="71"/>
      <c r="F888" s="73"/>
      <c r="G888" s="73"/>
      <c r="H888" s="73"/>
      <c r="I888" s="73"/>
      <c r="J888" s="73"/>
      <c r="K888" s="73"/>
    </row>
    <row r="889">
      <c r="C889" s="71"/>
      <c r="D889" s="71"/>
      <c r="E889" s="71"/>
      <c r="F889" s="73"/>
      <c r="G889" s="73"/>
      <c r="H889" s="73"/>
      <c r="I889" s="73"/>
      <c r="J889" s="73"/>
      <c r="K889" s="73"/>
    </row>
    <row r="890">
      <c r="C890" s="71"/>
      <c r="D890" s="71"/>
      <c r="E890" s="71"/>
      <c r="F890" s="73"/>
      <c r="G890" s="73"/>
      <c r="H890" s="73"/>
      <c r="I890" s="73"/>
      <c r="J890" s="73"/>
      <c r="K890" s="73"/>
    </row>
    <row r="891">
      <c r="C891" s="71"/>
      <c r="D891" s="71"/>
      <c r="E891" s="71"/>
      <c r="F891" s="73"/>
      <c r="G891" s="73"/>
      <c r="H891" s="73"/>
      <c r="I891" s="73"/>
      <c r="J891" s="73"/>
      <c r="K891" s="73"/>
    </row>
    <row r="892">
      <c r="C892" s="71"/>
      <c r="D892" s="71"/>
      <c r="E892" s="71"/>
      <c r="F892" s="73"/>
      <c r="G892" s="73"/>
      <c r="H892" s="73"/>
      <c r="I892" s="73"/>
      <c r="J892" s="73"/>
      <c r="K892" s="73"/>
    </row>
    <row r="893">
      <c r="C893" s="71"/>
      <c r="D893" s="71"/>
      <c r="E893" s="71"/>
      <c r="F893" s="73"/>
      <c r="G893" s="73"/>
      <c r="H893" s="73"/>
      <c r="I893" s="73"/>
      <c r="J893" s="73"/>
      <c r="K893" s="73"/>
    </row>
    <row r="894">
      <c r="C894" s="71"/>
      <c r="D894" s="71"/>
      <c r="E894" s="71"/>
      <c r="F894" s="73"/>
      <c r="G894" s="73"/>
      <c r="H894" s="73"/>
      <c r="I894" s="73"/>
      <c r="J894" s="73"/>
      <c r="K894" s="73"/>
    </row>
    <row r="895">
      <c r="C895" s="71"/>
      <c r="D895" s="71"/>
      <c r="E895" s="71"/>
      <c r="F895" s="73"/>
      <c r="G895" s="73"/>
      <c r="H895" s="73"/>
      <c r="I895" s="73"/>
      <c r="J895" s="73"/>
      <c r="K895" s="73"/>
    </row>
    <row r="896">
      <c r="C896" s="71"/>
      <c r="D896" s="71"/>
      <c r="E896" s="71"/>
      <c r="F896" s="73"/>
      <c r="G896" s="73"/>
      <c r="H896" s="73"/>
      <c r="I896" s="73"/>
      <c r="J896" s="73"/>
      <c r="K896" s="73"/>
    </row>
    <row r="897">
      <c r="C897" s="71"/>
      <c r="D897" s="71"/>
      <c r="E897" s="71"/>
      <c r="F897" s="73"/>
      <c r="G897" s="73"/>
      <c r="H897" s="73"/>
      <c r="I897" s="73"/>
      <c r="J897" s="73"/>
      <c r="K897" s="73"/>
    </row>
    <row r="898">
      <c r="C898" s="71"/>
      <c r="D898" s="71"/>
      <c r="E898" s="71"/>
      <c r="F898" s="73"/>
      <c r="G898" s="73"/>
      <c r="H898" s="73"/>
      <c r="I898" s="73"/>
      <c r="J898" s="73"/>
      <c r="K898" s="73"/>
    </row>
    <row r="899">
      <c r="C899" s="71"/>
      <c r="D899" s="71"/>
      <c r="E899" s="71"/>
      <c r="F899" s="73"/>
      <c r="G899" s="73"/>
      <c r="H899" s="73"/>
      <c r="I899" s="73"/>
      <c r="J899" s="73"/>
      <c r="K899" s="73"/>
    </row>
    <row r="900">
      <c r="C900" s="71"/>
      <c r="D900" s="71"/>
      <c r="E900" s="71"/>
      <c r="F900" s="73"/>
      <c r="G900" s="73"/>
      <c r="H900" s="73"/>
      <c r="I900" s="73"/>
      <c r="J900" s="73"/>
      <c r="K900" s="73"/>
    </row>
    <row r="901">
      <c r="C901" s="71"/>
      <c r="D901" s="71"/>
      <c r="E901" s="71"/>
      <c r="F901" s="73"/>
      <c r="G901" s="73"/>
      <c r="H901" s="73"/>
      <c r="I901" s="73"/>
      <c r="J901" s="73"/>
      <c r="K901" s="73"/>
    </row>
    <row r="902">
      <c r="C902" s="71"/>
      <c r="D902" s="71"/>
      <c r="E902" s="71"/>
      <c r="F902" s="73"/>
      <c r="G902" s="73"/>
      <c r="H902" s="73"/>
      <c r="I902" s="73"/>
      <c r="J902" s="73"/>
      <c r="K902" s="73"/>
    </row>
    <row r="903">
      <c r="C903" s="71"/>
      <c r="D903" s="71"/>
      <c r="E903" s="71"/>
      <c r="F903" s="73"/>
      <c r="G903" s="73"/>
      <c r="H903" s="73"/>
      <c r="I903" s="73"/>
      <c r="J903" s="73"/>
      <c r="K903" s="73"/>
    </row>
    <row r="904">
      <c r="C904" s="71"/>
      <c r="D904" s="71"/>
      <c r="E904" s="71"/>
      <c r="F904" s="73"/>
      <c r="G904" s="73"/>
      <c r="H904" s="73"/>
      <c r="I904" s="73"/>
      <c r="J904" s="73"/>
      <c r="K904" s="73"/>
    </row>
    <row r="905">
      <c r="C905" s="71"/>
      <c r="D905" s="71"/>
      <c r="E905" s="71"/>
      <c r="F905" s="73"/>
      <c r="G905" s="73"/>
      <c r="H905" s="73"/>
      <c r="I905" s="73"/>
      <c r="J905" s="73"/>
      <c r="K905" s="73"/>
    </row>
    <row r="906">
      <c r="C906" s="71"/>
      <c r="D906" s="71"/>
      <c r="E906" s="71"/>
      <c r="F906" s="73"/>
      <c r="G906" s="73"/>
      <c r="H906" s="73"/>
      <c r="I906" s="73"/>
      <c r="J906" s="73"/>
      <c r="K906" s="73"/>
    </row>
    <row r="907">
      <c r="C907" s="71"/>
      <c r="D907" s="71"/>
      <c r="E907" s="71"/>
      <c r="F907" s="73"/>
      <c r="G907" s="73"/>
      <c r="H907" s="73"/>
      <c r="I907" s="73"/>
      <c r="J907" s="73"/>
      <c r="K907" s="73"/>
    </row>
    <row r="908">
      <c r="C908" s="71"/>
      <c r="D908" s="71"/>
      <c r="E908" s="71"/>
      <c r="F908" s="73"/>
      <c r="G908" s="73"/>
      <c r="H908" s="73"/>
      <c r="I908" s="73"/>
      <c r="J908" s="73"/>
      <c r="K908" s="73"/>
    </row>
    <row r="909">
      <c r="C909" s="71"/>
      <c r="D909" s="71"/>
      <c r="E909" s="71"/>
      <c r="F909" s="73"/>
      <c r="G909" s="73"/>
      <c r="H909" s="73"/>
      <c r="I909" s="73"/>
      <c r="J909" s="73"/>
      <c r="K909" s="73"/>
    </row>
    <row r="910">
      <c r="C910" s="71"/>
      <c r="D910" s="71"/>
      <c r="E910" s="71"/>
      <c r="F910" s="73"/>
      <c r="G910" s="73"/>
      <c r="H910" s="73"/>
      <c r="I910" s="73"/>
      <c r="J910" s="73"/>
      <c r="K910" s="73"/>
    </row>
    <row r="911">
      <c r="C911" s="71"/>
      <c r="D911" s="71"/>
      <c r="E911" s="71"/>
      <c r="F911" s="73"/>
      <c r="G911" s="73"/>
      <c r="H911" s="73"/>
      <c r="I911" s="73"/>
      <c r="J911" s="73"/>
      <c r="K911" s="73"/>
    </row>
    <row r="912">
      <c r="C912" s="71"/>
      <c r="D912" s="71"/>
      <c r="E912" s="71"/>
      <c r="F912" s="73"/>
      <c r="G912" s="73"/>
      <c r="H912" s="73"/>
      <c r="I912" s="73"/>
      <c r="J912" s="73"/>
      <c r="K912" s="73"/>
    </row>
    <row r="913">
      <c r="C913" s="71"/>
      <c r="D913" s="71"/>
      <c r="E913" s="71"/>
      <c r="F913" s="73"/>
      <c r="G913" s="73"/>
      <c r="H913" s="73"/>
      <c r="I913" s="73"/>
      <c r="J913" s="73"/>
      <c r="K913" s="73"/>
    </row>
    <row r="914">
      <c r="C914" s="71"/>
      <c r="D914" s="71"/>
      <c r="E914" s="71"/>
      <c r="F914" s="73"/>
      <c r="G914" s="73"/>
      <c r="H914" s="73"/>
      <c r="I914" s="73"/>
      <c r="J914" s="73"/>
      <c r="K914" s="73"/>
    </row>
    <row r="915">
      <c r="C915" s="71"/>
      <c r="D915" s="71"/>
      <c r="E915" s="71"/>
      <c r="F915" s="73"/>
      <c r="G915" s="73"/>
      <c r="H915" s="73"/>
      <c r="I915" s="73"/>
      <c r="J915" s="73"/>
      <c r="K915" s="73"/>
    </row>
    <row r="916">
      <c r="C916" s="71"/>
      <c r="D916" s="71"/>
      <c r="E916" s="71"/>
      <c r="F916" s="73"/>
      <c r="G916" s="73"/>
      <c r="H916" s="73"/>
      <c r="I916" s="73"/>
      <c r="J916" s="73"/>
      <c r="K916" s="73"/>
    </row>
    <row r="917">
      <c r="C917" s="71"/>
      <c r="D917" s="71"/>
      <c r="E917" s="71"/>
      <c r="F917" s="73"/>
      <c r="G917" s="73"/>
      <c r="H917" s="73"/>
      <c r="I917" s="73"/>
      <c r="J917" s="73"/>
      <c r="K917" s="73"/>
    </row>
    <row r="918">
      <c r="C918" s="71"/>
      <c r="D918" s="71"/>
      <c r="E918" s="71"/>
      <c r="F918" s="73"/>
      <c r="G918" s="73"/>
      <c r="H918" s="73"/>
      <c r="I918" s="73"/>
      <c r="J918" s="73"/>
      <c r="K918" s="73"/>
    </row>
    <row r="919">
      <c r="C919" s="71"/>
      <c r="D919" s="71"/>
      <c r="E919" s="71"/>
      <c r="F919" s="73"/>
      <c r="G919" s="73"/>
      <c r="H919" s="73"/>
      <c r="I919" s="73"/>
      <c r="J919" s="73"/>
      <c r="K919" s="73"/>
    </row>
    <row r="920">
      <c r="C920" s="71"/>
      <c r="D920" s="71"/>
      <c r="E920" s="71"/>
      <c r="F920" s="73"/>
      <c r="G920" s="73"/>
      <c r="H920" s="73"/>
      <c r="I920" s="73"/>
      <c r="J920" s="73"/>
      <c r="K920" s="73"/>
    </row>
    <row r="921">
      <c r="C921" s="71"/>
      <c r="D921" s="71"/>
      <c r="E921" s="71"/>
      <c r="F921" s="73"/>
      <c r="G921" s="73"/>
      <c r="H921" s="73"/>
      <c r="I921" s="73"/>
      <c r="J921" s="73"/>
      <c r="K921" s="73"/>
    </row>
    <row r="922">
      <c r="C922" s="71"/>
      <c r="D922" s="71"/>
      <c r="E922" s="71"/>
      <c r="F922" s="73"/>
      <c r="G922" s="73"/>
      <c r="H922" s="73"/>
      <c r="I922" s="73"/>
      <c r="J922" s="73"/>
      <c r="K922" s="73"/>
    </row>
    <row r="923">
      <c r="C923" s="71"/>
      <c r="D923" s="71"/>
      <c r="E923" s="71"/>
      <c r="F923" s="73"/>
      <c r="G923" s="73"/>
      <c r="H923" s="73"/>
      <c r="I923" s="73"/>
      <c r="J923" s="73"/>
      <c r="K923" s="73"/>
    </row>
    <row r="924">
      <c r="C924" s="71"/>
      <c r="D924" s="71"/>
      <c r="E924" s="71"/>
      <c r="F924" s="73"/>
      <c r="G924" s="73"/>
      <c r="H924" s="73"/>
      <c r="I924" s="73"/>
      <c r="J924" s="73"/>
      <c r="K924" s="73"/>
    </row>
  </sheetData>
  <dataValidations>
    <dataValidation type="list" allowBlank="1" showErrorMessage="1" sqref="I2:I138">
      <formula1>" CREDICOOP, PROVINCIA,BBVA,EFECTIVO,EFECTIVO B,MP,PREVISION,DEB AUT. BBVA,DEB. AUT. CRED."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43.71"/>
    <col customWidth="1" min="3" max="4" width="24.71"/>
    <col customWidth="1" min="5" max="5" width="15.71"/>
    <col customWidth="1" min="6" max="9" width="15.29"/>
    <col customWidth="1" min="10" max="10" width="10.86"/>
    <col customWidth="1" min="11" max="11" width="11.29"/>
    <col customWidth="1" min="12" max="12" width="23.71"/>
    <col customWidth="1" min="13" max="13" width="33.86"/>
  </cols>
  <sheetData>
    <row r="1">
      <c r="A1" s="1" t="s">
        <v>0</v>
      </c>
      <c r="B1" s="2" t="s">
        <v>1</v>
      </c>
      <c r="C1" s="1" t="s">
        <v>2</v>
      </c>
      <c r="D1" s="2" t="s">
        <v>12</v>
      </c>
      <c r="E1" s="2" t="s">
        <v>5</v>
      </c>
      <c r="F1" s="2" t="s">
        <v>6</v>
      </c>
      <c r="G1" s="1" t="s">
        <v>7</v>
      </c>
      <c r="H1" s="2" t="s">
        <v>8</v>
      </c>
      <c r="I1" s="2" t="s">
        <v>9</v>
      </c>
      <c r="J1" s="2" t="s">
        <v>262</v>
      </c>
      <c r="K1" s="1" t="s">
        <v>11</v>
      </c>
      <c r="L1" s="4" t="s">
        <v>12</v>
      </c>
      <c r="M1" s="5" t="s">
        <v>13</v>
      </c>
    </row>
    <row r="2">
      <c r="A2" s="117" t="s">
        <v>277</v>
      </c>
      <c r="B2" s="165" t="s">
        <v>34</v>
      </c>
      <c r="C2" s="166" t="s">
        <v>409</v>
      </c>
      <c r="D2" s="166" t="s">
        <v>410</v>
      </c>
      <c r="E2" s="166">
        <v>2943984.8</v>
      </c>
      <c r="F2" s="166">
        <v>618236.81</v>
      </c>
      <c r="G2" s="166"/>
      <c r="H2" s="166">
        <v>3562221.61</v>
      </c>
      <c r="I2" s="166" t="s">
        <v>81</v>
      </c>
      <c r="J2" s="237">
        <v>45664.0</v>
      </c>
      <c r="K2" s="237">
        <v>45664.0</v>
      </c>
      <c r="L2" s="169"/>
      <c r="M2" s="117" t="s">
        <v>411</v>
      </c>
    </row>
    <row r="3">
      <c r="A3" s="171" t="s">
        <v>277</v>
      </c>
      <c r="B3" s="172" t="s">
        <v>39</v>
      </c>
      <c r="C3" s="173" t="s">
        <v>412</v>
      </c>
      <c r="D3" s="181"/>
      <c r="E3" s="173"/>
      <c r="F3" s="173"/>
      <c r="G3" s="173"/>
      <c r="H3" s="173">
        <v>600880.5</v>
      </c>
      <c r="I3" s="173" t="s">
        <v>81</v>
      </c>
      <c r="J3" s="238">
        <v>45670.0</v>
      </c>
      <c r="K3" s="238">
        <v>45670.0</v>
      </c>
      <c r="L3" s="254" t="s">
        <v>413</v>
      </c>
      <c r="M3" s="177"/>
    </row>
    <row r="4">
      <c r="A4" s="117" t="s">
        <v>277</v>
      </c>
      <c r="B4" s="165" t="s">
        <v>37</v>
      </c>
      <c r="C4" s="166" t="s">
        <v>414</v>
      </c>
      <c r="D4" s="166" t="s">
        <v>415</v>
      </c>
      <c r="E4" s="166">
        <v>311621.5</v>
      </c>
      <c r="F4" s="166">
        <v>84137.81</v>
      </c>
      <c r="G4" s="166">
        <v>29239.449999999997</v>
      </c>
      <c r="H4" s="166">
        <v>424998.76</v>
      </c>
      <c r="I4" s="166" t="s">
        <v>38</v>
      </c>
      <c r="J4" s="237">
        <v>45671.0</v>
      </c>
      <c r="K4" s="237">
        <v>45671.0</v>
      </c>
      <c r="L4" s="169"/>
      <c r="M4" s="170"/>
    </row>
    <row r="5">
      <c r="A5" s="171" t="s">
        <v>277</v>
      </c>
      <c r="B5" s="172" t="s">
        <v>37</v>
      </c>
      <c r="C5" s="173" t="s">
        <v>414</v>
      </c>
      <c r="D5" s="173" t="s">
        <v>416</v>
      </c>
      <c r="E5" s="173">
        <v>135376.19</v>
      </c>
      <c r="F5" s="173">
        <v>36551.57</v>
      </c>
      <c r="G5" s="173">
        <v>12702.349999999999</v>
      </c>
      <c r="H5" s="173"/>
      <c r="I5" s="173" t="s">
        <v>38</v>
      </c>
      <c r="J5" s="238">
        <v>45667.0</v>
      </c>
      <c r="K5" s="238">
        <v>45666.0</v>
      </c>
      <c r="L5" s="176"/>
      <c r="M5" s="177"/>
    </row>
    <row r="6">
      <c r="A6" s="117" t="s">
        <v>277</v>
      </c>
      <c r="B6" s="165" t="s">
        <v>37</v>
      </c>
      <c r="C6" s="166" t="s">
        <v>414</v>
      </c>
      <c r="D6" s="166" t="s">
        <v>417</v>
      </c>
      <c r="E6" s="166">
        <v>10384.38</v>
      </c>
      <c r="F6" s="166">
        <v>2803.78</v>
      </c>
      <c r="G6" s="166">
        <v>974.3599999999997</v>
      </c>
      <c r="H6" s="166">
        <v>14162.52</v>
      </c>
      <c r="I6" s="166" t="s">
        <v>38</v>
      </c>
      <c r="J6" s="237">
        <v>45667.0</v>
      </c>
      <c r="K6" s="238">
        <v>45666.0</v>
      </c>
      <c r="L6" s="254"/>
      <c r="M6" s="170"/>
    </row>
    <row r="7">
      <c r="A7" s="171" t="s">
        <v>277</v>
      </c>
      <c r="B7" s="172" t="s">
        <v>99</v>
      </c>
      <c r="C7" s="181"/>
      <c r="D7" s="181"/>
      <c r="E7" s="173"/>
      <c r="F7" s="173"/>
      <c r="G7" s="173"/>
      <c r="H7" s="173" t="s">
        <v>16</v>
      </c>
      <c r="I7" s="181"/>
      <c r="J7" s="238"/>
      <c r="K7" s="238"/>
      <c r="L7" s="176"/>
      <c r="M7" s="177"/>
    </row>
    <row r="8">
      <c r="A8" s="117" t="s">
        <v>277</v>
      </c>
      <c r="B8" s="165" t="s">
        <v>46</v>
      </c>
      <c r="C8" s="166" t="s">
        <v>418</v>
      </c>
      <c r="D8" s="189"/>
      <c r="E8" s="166"/>
      <c r="F8" s="166"/>
      <c r="G8" s="166"/>
      <c r="H8" s="166">
        <v>405356.99</v>
      </c>
      <c r="I8" s="166" t="s">
        <v>81</v>
      </c>
      <c r="J8" s="237">
        <v>45680.0</v>
      </c>
      <c r="K8" s="237">
        <v>45680.0</v>
      </c>
      <c r="L8" s="169"/>
      <c r="M8" s="170"/>
    </row>
    <row r="9">
      <c r="A9" s="171" t="s">
        <v>277</v>
      </c>
      <c r="B9" s="172" t="s">
        <v>31</v>
      </c>
      <c r="C9" s="173" t="s">
        <v>419</v>
      </c>
      <c r="D9" s="173"/>
      <c r="E9" s="173"/>
      <c r="F9" s="173"/>
      <c r="G9" s="173"/>
      <c r="H9" s="173" t="s">
        <v>16</v>
      </c>
      <c r="I9" s="173"/>
      <c r="J9" s="238"/>
      <c r="K9" s="238"/>
      <c r="L9" s="179" t="s">
        <v>420</v>
      </c>
      <c r="M9" s="177"/>
    </row>
    <row r="10">
      <c r="A10" s="117" t="s">
        <v>277</v>
      </c>
      <c r="B10" s="165" t="s">
        <v>268</v>
      </c>
      <c r="C10" s="189"/>
      <c r="D10" s="189"/>
      <c r="E10" s="166"/>
      <c r="F10" s="166"/>
      <c r="G10" s="166"/>
      <c r="H10" s="166" t="s">
        <v>16</v>
      </c>
      <c r="I10" s="189"/>
      <c r="J10" s="237"/>
      <c r="K10" s="237"/>
      <c r="L10" s="169"/>
      <c r="M10" s="170"/>
    </row>
    <row r="11">
      <c r="A11" s="171" t="s">
        <v>277</v>
      </c>
      <c r="B11" s="172" t="s">
        <v>102</v>
      </c>
      <c r="C11" s="181"/>
      <c r="D11" s="181"/>
      <c r="E11" s="173"/>
      <c r="F11" s="173"/>
      <c r="G11" s="173"/>
      <c r="H11" s="173" t="s">
        <v>16</v>
      </c>
      <c r="I11" s="181"/>
      <c r="J11" s="238"/>
      <c r="K11" s="238"/>
      <c r="L11" s="176"/>
      <c r="M11" s="177"/>
    </row>
    <row r="12">
      <c r="A12" s="117" t="s">
        <v>277</v>
      </c>
      <c r="B12" s="165" t="s">
        <v>41</v>
      </c>
      <c r="C12" s="166" t="s">
        <v>42</v>
      </c>
      <c r="D12" s="166" t="s">
        <v>421</v>
      </c>
      <c r="E12" s="166">
        <v>25875.0</v>
      </c>
      <c r="F12" s="166">
        <v>5433.75</v>
      </c>
      <c r="G12" s="166"/>
      <c r="H12" s="166">
        <v>31308.75</v>
      </c>
      <c r="I12" s="150"/>
      <c r="J12" s="237"/>
      <c r="K12" s="237"/>
      <c r="L12" s="169"/>
      <c r="M12" s="170"/>
    </row>
    <row r="13">
      <c r="A13" s="171" t="s">
        <v>277</v>
      </c>
      <c r="B13" s="172" t="s">
        <v>50</v>
      </c>
      <c r="C13" s="173" t="s">
        <v>50</v>
      </c>
      <c r="D13" s="181"/>
      <c r="E13" s="173"/>
      <c r="F13" s="173"/>
      <c r="G13" s="173"/>
      <c r="H13" s="173">
        <v>507955.54</v>
      </c>
      <c r="I13" s="173" t="s">
        <v>81</v>
      </c>
      <c r="J13" s="238">
        <v>45670.0</v>
      </c>
      <c r="K13" s="238">
        <v>45670.0</v>
      </c>
      <c r="L13" s="254" t="s">
        <v>413</v>
      </c>
      <c r="M13" s="177"/>
    </row>
    <row r="14">
      <c r="A14" s="117" t="s">
        <v>277</v>
      </c>
      <c r="B14" s="165" t="s">
        <v>43</v>
      </c>
      <c r="C14" s="166" t="s">
        <v>422</v>
      </c>
      <c r="D14" s="166" t="s">
        <v>423</v>
      </c>
      <c r="E14" s="166">
        <v>123544.0</v>
      </c>
      <c r="F14" s="166">
        <v>25944.24</v>
      </c>
      <c r="G14" s="166">
        <v>9883.52</v>
      </c>
      <c r="H14" s="166">
        <v>159371.75999999998</v>
      </c>
      <c r="I14" s="166" t="s">
        <v>86</v>
      </c>
      <c r="J14" s="237">
        <v>45663.0</v>
      </c>
      <c r="K14" s="237">
        <v>45663.0</v>
      </c>
      <c r="L14" s="169"/>
      <c r="M14" s="117"/>
    </row>
    <row r="15">
      <c r="A15" s="171" t="s">
        <v>277</v>
      </c>
      <c r="B15" s="172" t="s">
        <v>269</v>
      </c>
      <c r="C15" s="173"/>
      <c r="D15" s="173"/>
      <c r="E15" s="173"/>
      <c r="F15" s="173"/>
      <c r="G15" s="173"/>
      <c r="H15" s="173" t="s">
        <v>16</v>
      </c>
      <c r="I15" s="181"/>
      <c r="J15" s="238"/>
      <c r="K15" s="238"/>
      <c r="L15" s="176"/>
      <c r="M15" s="177"/>
    </row>
    <row r="16">
      <c r="A16" s="15" t="s">
        <v>285</v>
      </c>
      <c r="B16" s="147" t="s">
        <v>34</v>
      </c>
      <c r="C16" s="148" t="s">
        <v>424</v>
      </c>
      <c r="D16" s="148"/>
      <c r="E16" s="148">
        <v>570000.0</v>
      </c>
      <c r="F16" s="148">
        <v>119700.0</v>
      </c>
      <c r="G16" s="148"/>
      <c r="H16" s="149">
        <v>689700.0</v>
      </c>
      <c r="I16" s="150" t="s">
        <v>81</v>
      </c>
      <c r="J16" s="240">
        <v>45670.0</v>
      </c>
      <c r="K16" s="240">
        <v>45670.0</v>
      </c>
      <c r="L16" s="152"/>
      <c r="M16" s="153"/>
    </row>
    <row r="17">
      <c r="A17" s="94" t="s">
        <v>285</v>
      </c>
      <c r="B17" s="154" t="s">
        <v>39</v>
      </c>
      <c r="C17" s="93" t="s">
        <v>57</v>
      </c>
      <c r="D17" s="93"/>
      <c r="E17" s="93">
        <v>178641.08</v>
      </c>
      <c r="F17" s="93"/>
      <c r="G17" s="93"/>
      <c r="H17" s="97">
        <v>178640.0</v>
      </c>
      <c r="I17" s="97" t="s">
        <v>87</v>
      </c>
      <c r="J17" s="241">
        <v>45667.0</v>
      </c>
      <c r="K17" s="241">
        <v>45667.0</v>
      </c>
      <c r="L17" s="155" t="s">
        <v>425</v>
      </c>
      <c r="M17" s="155"/>
    </row>
    <row r="18">
      <c r="A18" s="15" t="s">
        <v>285</v>
      </c>
      <c r="B18" s="147" t="s">
        <v>37</v>
      </c>
      <c r="C18" s="148" t="s">
        <v>414</v>
      </c>
      <c r="D18" s="148" t="s">
        <v>426</v>
      </c>
      <c r="E18" s="148">
        <v>83837.98</v>
      </c>
      <c r="F18" s="148">
        <v>22636.25</v>
      </c>
      <c r="G18" s="148">
        <v>7866.52</v>
      </c>
      <c r="H18" s="245">
        <v>114340.75</v>
      </c>
      <c r="I18" s="150" t="s">
        <v>38</v>
      </c>
      <c r="J18" s="240">
        <v>45665.0</v>
      </c>
      <c r="K18" s="240">
        <v>45665.0</v>
      </c>
      <c r="L18" s="152"/>
      <c r="M18" s="153"/>
    </row>
    <row r="19">
      <c r="A19" s="94" t="s">
        <v>285</v>
      </c>
      <c r="B19" s="154" t="s">
        <v>37</v>
      </c>
      <c r="C19" s="93" t="s">
        <v>414</v>
      </c>
      <c r="D19" s="93" t="s">
        <v>427</v>
      </c>
      <c r="E19" s="93">
        <v>29763.87</v>
      </c>
      <c r="F19" s="93">
        <v>8036.24</v>
      </c>
      <c r="G19" s="93">
        <v>2792.75</v>
      </c>
      <c r="H19" s="97">
        <v>40592.86</v>
      </c>
      <c r="I19" s="97" t="s">
        <v>38</v>
      </c>
      <c r="J19" s="241">
        <v>45665.0</v>
      </c>
      <c r="K19" s="241">
        <v>45665.0</v>
      </c>
      <c r="L19" s="155"/>
      <c r="M19" s="155"/>
    </row>
    <row r="20">
      <c r="A20" s="94" t="s">
        <v>285</v>
      </c>
      <c r="B20" s="154" t="s">
        <v>99</v>
      </c>
      <c r="C20" s="93"/>
      <c r="D20" s="93"/>
      <c r="E20" s="93"/>
      <c r="F20" s="93"/>
      <c r="G20" s="93"/>
      <c r="H20" s="157" t="s">
        <v>16</v>
      </c>
      <c r="I20" s="157"/>
      <c r="J20" s="241"/>
      <c r="K20" s="241"/>
      <c r="L20" s="155"/>
      <c r="M20" s="155"/>
    </row>
    <row r="21">
      <c r="A21" s="15" t="s">
        <v>285</v>
      </c>
      <c r="B21" s="147" t="s">
        <v>46</v>
      </c>
      <c r="C21" s="148"/>
      <c r="D21" s="148"/>
      <c r="E21" s="148"/>
      <c r="F21" s="148"/>
      <c r="G21" s="148"/>
      <c r="H21" s="162" t="s">
        <v>16</v>
      </c>
      <c r="I21" s="162"/>
      <c r="J21" s="240"/>
      <c r="K21" s="240"/>
      <c r="L21" s="152"/>
      <c r="M21" s="153"/>
    </row>
    <row r="22">
      <c r="A22" s="94" t="s">
        <v>285</v>
      </c>
      <c r="B22" s="154" t="s">
        <v>31</v>
      </c>
      <c r="C22" s="93" t="s">
        <v>419</v>
      </c>
      <c r="D22" s="93"/>
      <c r="E22" s="93"/>
      <c r="F22" s="93"/>
      <c r="G22" s="93"/>
      <c r="H22" s="157" t="s">
        <v>16</v>
      </c>
      <c r="I22" s="97"/>
      <c r="J22" s="241"/>
      <c r="K22" s="241"/>
      <c r="L22" s="94" t="s">
        <v>420</v>
      </c>
      <c r="M22" s="155"/>
    </row>
    <row r="23">
      <c r="A23" s="15" t="s">
        <v>285</v>
      </c>
      <c r="B23" s="147" t="s">
        <v>268</v>
      </c>
      <c r="C23" s="148"/>
      <c r="D23" s="148"/>
      <c r="E23" s="148"/>
      <c r="F23" s="148"/>
      <c r="G23" s="148"/>
      <c r="H23" s="162" t="s">
        <v>16</v>
      </c>
      <c r="I23" s="162"/>
      <c r="J23" s="240"/>
      <c r="K23" s="240"/>
      <c r="L23" s="152"/>
      <c r="M23" s="153"/>
    </row>
    <row r="24">
      <c r="A24" s="94" t="s">
        <v>285</v>
      </c>
      <c r="B24" s="154" t="s">
        <v>102</v>
      </c>
      <c r="C24" s="93"/>
      <c r="D24" s="93"/>
      <c r="E24" s="93"/>
      <c r="F24" s="93"/>
      <c r="G24" s="93"/>
      <c r="H24" s="157" t="s">
        <v>16</v>
      </c>
      <c r="I24" s="157"/>
      <c r="J24" s="241"/>
      <c r="K24" s="241"/>
      <c r="L24" s="155"/>
      <c r="M24" s="155"/>
    </row>
    <row r="25">
      <c r="A25" s="15" t="s">
        <v>285</v>
      </c>
      <c r="B25" s="147" t="s">
        <v>41</v>
      </c>
      <c r="C25" s="148" t="s">
        <v>42</v>
      </c>
      <c r="D25" s="148" t="s">
        <v>421</v>
      </c>
      <c r="E25" s="148">
        <v>20790.0</v>
      </c>
      <c r="F25" s="148">
        <v>4365.9</v>
      </c>
      <c r="G25" s="148"/>
      <c r="H25" s="162">
        <v>25155.9</v>
      </c>
      <c r="I25" s="150"/>
      <c r="J25" s="240"/>
      <c r="K25" s="240"/>
      <c r="L25" s="152"/>
      <c r="M25" s="153"/>
    </row>
    <row r="26">
      <c r="A26" s="94" t="s">
        <v>285</v>
      </c>
      <c r="B26" s="154" t="s">
        <v>50</v>
      </c>
      <c r="C26" s="93"/>
      <c r="D26" s="93"/>
      <c r="E26" s="93"/>
      <c r="F26" s="93"/>
      <c r="G26" s="93"/>
      <c r="H26" s="157" t="s">
        <v>16</v>
      </c>
      <c r="I26" s="157"/>
      <c r="J26" s="241"/>
      <c r="K26" s="241"/>
      <c r="L26" s="155"/>
      <c r="M26" s="155"/>
    </row>
    <row r="27">
      <c r="A27" s="15" t="s">
        <v>285</v>
      </c>
      <c r="B27" s="147" t="s">
        <v>43</v>
      </c>
      <c r="C27" s="148" t="s">
        <v>422</v>
      </c>
      <c r="D27" s="148" t="s">
        <v>428</v>
      </c>
      <c r="E27" s="148">
        <v>81550.0</v>
      </c>
      <c r="F27" s="148">
        <v>17125.5</v>
      </c>
      <c r="G27" s="148">
        <v>6524.0</v>
      </c>
      <c r="H27" s="162">
        <v>105199.5</v>
      </c>
      <c r="I27" s="150" t="s">
        <v>38</v>
      </c>
      <c r="J27" s="240">
        <v>45663.0</v>
      </c>
      <c r="K27" s="240">
        <v>45663.0</v>
      </c>
      <c r="L27" s="148" t="s">
        <v>429</v>
      </c>
      <c r="M27" s="153"/>
    </row>
    <row r="28">
      <c r="A28" s="94" t="s">
        <v>285</v>
      </c>
      <c r="B28" s="154" t="s">
        <v>269</v>
      </c>
      <c r="C28" s="93"/>
      <c r="D28" s="93"/>
      <c r="E28" s="93"/>
      <c r="F28" s="93"/>
      <c r="G28" s="93"/>
      <c r="H28" s="96" t="s">
        <v>16</v>
      </c>
      <c r="I28" s="157"/>
      <c r="J28" s="241"/>
      <c r="K28" s="241"/>
      <c r="L28" s="155"/>
      <c r="M28" s="155"/>
    </row>
    <row r="29">
      <c r="A29" s="15" t="s">
        <v>295</v>
      </c>
      <c r="B29" s="147" t="s">
        <v>34</v>
      </c>
      <c r="C29" s="148" t="s">
        <v>296</v>
      </c>
      <c r="D29" s="148" t="s">
        <v>430</v>
      </c>
      <c r="E29" s="148">
        <v>2500000.0</v>
      </c>
      <c r="F29" s="148">
        <v>525000.0</v>
      </c>
      <c r="G29" s="148"/>
      <c r="H29" s="149">
        <v>3025000.0</v>
      </c>
      <c r="I29" s="150" t="s">
        <v>21</v>
      </c>
      <c r="J29" s="240">
        <v>45667.0</v>
      </c>
      <c r="K29" s="240">
        <v>45667.0</v>
      </c>
      <c r="L29" s="186"/>
      <c r="M29" s="153"/>
    </row>
    <row r="30">
      <c r="A30" s="94" t="s">
        <v>295</v>
      </c>
      <c r="B30" s="154" t="s">
        <v>39</v>
      </c>
      <c r="C30" s="93"/>
      <c r="D30" s="93"/>
      <c r="E30" s="93"/>
      <c r="F30" s="93"/>
      <c r="G30" s="93"/>
      <c r="H30" s="157" t="s">
        <v>16</v>
      </c>
      <c r="I30" s="157"/>
      <c r="J30" s="241"/>
      <c r="K30" s="241"/>
      <c r="L30" s="155"/>
      <c r="M30" s="155"/>
    </row>
    <row r="31">
      <c r="A31" s="15" t="s">
        <v>295</v>
      </c>
      <c r="B31" s="147" t="s">
        <v>37</v>
      </c>
      <c r="C31" s="148" t="s">
        <v>414</v>
      </c>
      <c r="D31" s="148" t="s">
        <v>431</v>
      </c>
      <c r="E31" s="148">
        <v>83554.14</v>
      </c>
      <c r="F31" s="148">
        <v>22559.62</v>
      </c>
      <c r="G31" s="148">
        <v>8710.52</v>
      </c>
      <c r="H31" s="245">
        <v>114824.28</v>
      </c>
      <c r="I31" s="150" t="s">
        <v>38</v>
      </c>
      <c r="J31" s="240">
        <v>45672.0</v>
      </c>
      <c r="K31" s="240">
        <v>45672.0</v>
      </c>
      <c r="L31" s="152"/>
      <c r="M31" s="153"/>
    </row>
    <row r="32">
      <c r="A32" s="94" t="s">
        <v>295</v>
      </c>
      <c r="B32" s="154" t="s">
        <v>99</v>
      </c>
      <c r="C32" s="93"/>
      <c r="D32" s="93"/>
      <c r="E32" s="93"/>
      <c r="F32" s="93"/>
      <c r="G32" s="93"/>
      <c r="H32" s="157" t="s">
        <v>16</v>
      </c>
      <c r="I32" s="157"/>
      <c r="J32" s="241"/>
      <c r="K32" s="241"/>
      <c r="L32" s="155"/>
      <c r="M32" s="155"/>
    </row>
    <row r="33">
      <c r="A33" s="15" t="s">
        <v>295</v>
      </c>
      <c r="B33" s="147" t="s">
        <v>46</v>
      </c>
      <c r="C33" s="148"/>
      <c r="D33" s="148"/>
      <c r="E33" s="148"/>
      <c r="F33" s="148"/>
      <c r="G33" s="148"/>
      <c r="H33" s="162" t="s">
        <v>16</v>
      </c>
      <c r="I33" s="162"/>
      <c r="J33" s="240"/>
      <c r="K33" s="240"/>
      <c r="L33" s="187" t="s">
        <v>432</v>
      </c>
      <c r="M33" s="153"/>
    </row>
    <row r="34">
      <c r="A34" s="94" t="s">
        <v>295</v>
      </c>
      <c r="B34" s="154" t="s">
        <v>31</v>
      </c>
      <c r="C34" s="93" t="s">
        <v>419</v>
      </c>
      <c r="D34" s="93"/>
      <c r="E34" s="93"/>
      <c r="F34" s="93"/>
      <c r="G34" s="93"/>
      <c r="H34" s="157" t="s">
        <v>16</v>
      </c>
      <c r="I34" s="97"/>
      <c r="J34" s="241"/>
      <c r="K34" s="241"/>
      <c r="L34" s="188" t="s">
        <v>420</v>
      </c>
      <c r="M34" s="155"/>
    </row>
    <row r="35">
      <c r="A35" s="15" t="s">
        <v>295</v>
      </c>
      <c r="B35" s="147" t="s">
        <v>268</v>
      </c>
      <c r="C35" s="148"/>
      <c r="D35" s="148" t="s">
        <v>433</v>
      </c>
      <c r="E35" s="148"/>
      <c r="F35" s="148"/>
      <c r="G35" s="148"/>
      <c r="H35" s="162" t="s">
        <v>16</v>
      </c>
      <c r="I35" s="162"/>
      <c r="J35" s="240"/>
      <c r="K35" s="240"/>
      <c r="L35" s="152"/>
      <c r="M35" s="153"/>
    </row>
    <row r="36">
      <c r="A36" s="94" t="s">
        <v>295</v>
      </c>
      <c r="B36" s="154" t="s">
        <v>102</v>
      </c>
      <c r="C36" s="93"/>
      <c r="D36" s="93"/>
      <c r="E36" s="93"/>
      <c r="F36" s="93"/>
      <c r="G36" s="93"/>
      <c r="H36" s="157" t="s">
        <v>16</v>
      </c>
      <c r="I36" s="157"/>
      <c r="J36" s="241"/>
      <c r="K36" s="241"/>
      <c r="L36" s="155"/>
      <c r="M36" s="155"/>
    </row>
    <row r="37">
      <c r="A37" s="15" t="s">
        <v>295</v>
      </c>
      <c r="B37" s="147" t="s">
        <v>41</v>
      </c>
      <c r="C37" s="148" t="s">
        <v>42</v>
      </c>
      <c r="D37" s="148" t="s">
        <v>421</v>
      </c>
      <c r="E37" s="148">
        <v>20790.0</v>
      </c>
      <c r="F37" s="148">
        <v>4365.9</v>
      </c>
      <c r="G37" s="148"/>
      <c r="H37" s="162">
        <v>25155.9</v>
      </c>
      <c r="I37" s="150"/>
      <c r="J37" s="240"/>
      <c r="K37" s="240"/>
      <c r="L37" s="152"/>
      <c r="M37" s="153"/>
    </row>
    <row r="38">
      <c r="A38" s="94" t="s">
        <v>295</v>
      </c>
      <c r="B38" s="154" t="s">
        <v>50</v>
      </c>
      <c r="C38" s="93"/>
      <c r="D38" s="93"/>
      <c r="E38" s="93"/>
      <c r="F38" s="93"/>
      <c r="G38" s="93"/>
      <c r="H38" s="157" t="s">
        <v>16</v>
      </c>
      <c r="I38" s="157"/>
      <c r="J38" s="241"/>
      <c r="K38" s="241"/>
      <c r="L38" s="94" t="s">
        <v>434</v>
      </c>
      <c r="M38" s="155"/>
    </row>
    <row r="39">
      <c r="A39" s="15" t="s">
        <v>295</v>
      </c>
      <c r="B39" s="147" t="s">
        <v>43</v>
      </c>
      <c r="C39" s="148" t="s">
        <v>435</v>
      </c>
      <c r="D39" s="148" t="s">
        <v>436</v>
      </c>
      <c r="E39" s="148">
        <v>151596.8</v>
      </c>
      <c r="F39" s="148">
        <v>23783.76</v>
      </c>
      <c r="G39" s="148">
        <v>14899.920000000002</v>
      </c>
      <c r="H39" s="162">
        <v>190280.48</v>
      </c>
      <c r="I39" s="150" t="s">
        <v>38</v>
      </c>
      <c r="J39" s="240">
        <v>45682.0</v>
      </c>
      <c r="K39" s="240">
        <v>45680.0</v>
      </c>
      <c r="L39" s="152"/>
      <c r="M39" s="153"/>
    </row>
    <row r="40">
      <c r="A40" s="94" t="s">
        <v>295</v>
      </c>
      <c r="B40" s="154" t="s">
        <v>269</v>
      </c>
      <c r="C40" s="93"/>
      <c r="D40" s="93"/>
      <c r="E40" s="93"/>
      <c r="F40" s="93"/>
      <c r="G40" s="93"/>
      <c r="H40" s="96" t="s">
        <v>16</v>
      </c>
      <c r="I40" s="157"/>
      <c r="J40" s="241"/>
      <c r="K40" s="241"/>
      <c r="L40" s="155"/>
      <c r="M40" s="155"/>
    </row>
    <row r="41">
      <c r="A41" s="117" t="s">
        <v>301</v>
      </c>
      <c r="B41" s="165" t="s">
        <v>34</v>
      </c>
      <c r="C41" s="166" t="s">
        <v>68</v>
      </c>
      <c r="D41" s="166"/>
      <c r="E41" s="166">
        <v>2130546.8</v>
      </c>
      <c r="F41" s="166">
        <v>447414.83</v>
      </c>
      <c r="G41" s="166">
        <v>106527.34</v>
      </c>
      <c r="H41" s="166">
        <v>2684488.9699999997</v>
      </c>
      <c r="I41" s="150" t="s">
        <v>21</v>
      </c>
      <c r="J41" s="237">
        <v>45667.0</v>
      </c>
      <c r="K41" s="237">
        <v>45667.0</v>
      </c>
      <c r="L41" s="169"/>
      <c r="M41" s="255" t="s">
        <v>437</v>
      </c>
    </row>
    <row r="42">
      <c r="A42" s="171" t="s">
        <v>301</v>
      </c>
      <c r="B42" s="172" t="s">
        <v>39</v>
      </c>
      <c r="C42" s="173" t="s">
        <v>68</v>
      </c>
      <c r="D42" s="173"/>
      <c r="E42" s="173">
        <v>1742850.96</v>
      </c>
      <c r="F42" s="173">
        <v>365998.7</v>
      </c>
      <c r="G42" s="173">
        <v>87142.55</v>
      </c>
      <c r="H42" s="173">
        <v>2195992.21</v>
      </c>
      <c r="I42" s="150" t="s">
        <v>21</v>
      </c>
      <c r="J42" s="238">
        <v>45667.0</v>
      </c>
      <c r="K42" s="238">
        <v>45667.0</v>
      </c>
      <c r="L42" s="176"/>
      <c r="M42" s="177"/>
    </row>
    <row r="43">
      <c r="A43" s="117" t="s">
        <v>301</v>
      </c>
      <c r="B43" s="165" t="s">
        <v>37</v>
      </c>
      <c r="C43" s="166" t="s">
        <v>414</v>
      </c>
      <c r="D43" s="166" t="s">
        <v>438</v>
      </c>
      <c r="E43" s="166">
        <v>71937.83</v>
      </c>
      <c r="F43" s="166">
        <v>19423.21</v>
      </c>
      <c r="G43" s="166">
        <v>6749.920000000002</v>
      </c>
      <c r="H43" s="166">
        <v>98110.96</v>
      </c>
      <c r="I43" s="166" t="s">
        <v>38</v>
      </c>
      <c r="J43" s="238">
        <v>45665.0</v>
      </c>
      <c r="K43" s="237">
        <v>45663.0</v>
      </c>
      <c r="L43" s="169"/>
      <c r="M43" s="170"/>
    </row>
    <row r="44">
      <c r="A44" s="171" t="s">
        <v>301</v>
      </c>
      <c r="B44" s="172" t="s">
        <v>99</v>
      </c>
      <c r="C44" s="181"/>
      <c r="D44" s="181"/>
      <c r="E44" s="173"/>
      <c r="F44" s="173"/>
      <c r="G44" s="173"/>
      <c r="H44" s="173" t="s">
        <v>16</v>
      </c>
      <c r="I44" s="181"/>
      <c r="J44" s="238"/>
      <c r="K44" s="238"/>
      <c r="L44" s="176"/>
      <c r="M44" s="177"/>
    </row>
    <row r="45">
      <c r="A45" s="117" t="s">
        <v>301</v>
      </c>
      <c r="B45" s="165" t="s">
        <v>46</v>
      </c>
      <c r="C45" s="189"/>
      <c r="D45" s="189"/>
      <c r="E45" s="166"/>
      <c r="F45" s="166"/>
      <c r="G45" s="166"/>
      <c r="H45" s="166" t="s">
        <v>16</v>
      </c>
      <c r="I45" s="189"/>
      <c r="J45" s="237"/>
      <c r="K45" s="237"/>
      <c r="L45" s="169"/>
      <c r="M45" s="170"/>
    </row>
    <row r="46">
      <c r="A46" s="171" t="s">
        <v>301</v>
      </c>
      <c r="B46" s="172" t="s">
        <v>31</v>
      </c>
      <c r="C46" s="173" t="s">
        <v>419</v>
      </c>
      <c r="D46" s="173"/>
      <c r="E46" s="173"/>
      <c r="F46" s="173"/>
      <c r="G46" s="173"/>
      <c r="H46" s="173" t="s">
        <v>16</v>
      </c>
      <c r="I46" s="173"/>
      <c r="J46" s="238"/>
      <c r="K46" s="238"/>
      <c r="L46" s="179" t="s">
        <v>420</v>
      </c>
      <c r="M46" s="177"/>
    </row>
    <row r="47">
      <c r="A47" s="117" t="s">
        <v>301</v>
      </c>
      <c r="B47" s="165" t="s">
        <v>268</v>
      </c>
      <c r="C47" s="189"/>
      <c r="D47" s="189"/>
      <c r="E47" s="166"/>
      <c r="F47" s="166"/>
      <c r="G47" s="166"/>
      <c r="H47" s="166" t="s">
        <v>16</v>
      </c>
      <c r="I47" s="189"/>
      <c r="J47" s="237"/>
      <c r="K47" s="237"/>
      <c r="L47" s="169"/>
      <c r="M47" s="170"/>
    </row>
    <row r="48">
      <c r="A48" s="171" t="s">
        <v>301</v>
      </c>
      <c r="B48" s="172" t="s">
        <v>102</v>
      </c>
      <c r="C48" s="181"/>
      <c r="D48" s="181"/>
      <c r="E48" s="173"/>
      <c r="F48" s="173"/>
      <c r="G48" s="173"/>
      <c r="H48" s="173" t="s">
        <v>16</v>
      </c>
      <c r="I48" s="181"/>
      <c r="J48" s="238"/>
      <c r="K48" s="238"/>
      <c r="L48" s="176"/>
      <c r="M48" s="177"/>
    </row>
    <row r="49">
      <c r="A49" s="117" t="s">
        <v>301</v>
      </c>
      <c r="B49" s="165" t="s">
        <v>41</v>
      </c>
      <c r="C49" s="166" t="s">
        <v>42</v>
      </c>
      <c r="D49" s="166" t="s">
        <v>421</v>
      </c>
      <c r="E49" s="166">
        <v>20790.0</v>
      </c>
      <c r="F49" s="166">
        <v>4365.9</v>
      </c>
      <c r="G49" s="166"/>
      <c r="H49" s="166">
        <v>25155.9</v>
      </c>
      <c r="I49" s="150"/>
      <c r="J49" s="237"/>
      <c r="K49" s="237"/>
      <c r="L49" s="169"/>
      <c r="M49" s="170"/>
    </row>
    <row r="50">
      <c r="A50" s="171" t="s">
        <v>301</v>
      </c>
      <c r="B50" s="172" t="s">
        <v>50</v>
      </c>
      <c r="C50" s="181"/>
      <c r="D50" s="181"/>
      <c r="E50" s="173"/>
      <c r="F50" s="173"/>
      <c r="G50" s="173"/>
      <c r="H50" s="173" t="s">
        <v>16</v>
      </c>
      <c r="I50" s="181"/>
      <c r="J50" s="238"/>
      <c r="K50" s="238"/>
      <c r="L50" s="176"/>
      <c r="M50" s="177"/>
    </row>
    <row r="51">
      <c r="A51" s="117" t="s">
        <v>301</v>
      </c>
      <c r="B51" s="165" t="s">
        <v>43</v>
      </c>
      <c r="C51" s="166" t="s">
        <v>422</v>
      </c>
      <c r="D51" s="166" t="s">
        <v>439</v>
      </c>
      <c r="E51" s="166">
        <v>48305.8</v>
      </c>
      <c r="F51" s="166">
        <v>10144.22</v>
      </c>
      <c r="G51" s="166">
        <v>3864.46</v>
      </c>
      <c r="H51" s="166">
        <v>62314.48</v>
      </c>
      <c r="I51" s="166" t="s">
        <v>86</v>
      </c>
      <c r="J51" s="237">
        <v>45665.0</v>
      </c>
      <c r="K51" s="237">
        <v>45665.0</v>
      </c>
      <c r="L51" s="166" t="s">
        <v>440</v>
      </c>
      <c r="M51" s="170"/>
    </row>
    <row r="52">
      <c r="A52" s="171" t="s">
        <v>301</v>
      </c>
      <c r="B52" s="172" t="s">
        <v>269</v>
      </c>
      <c r="C52" s="173"/>
      <c r="D52" s="173"/>
      <c r="E52" s="173"/>
      <c r="F52" s="173"/>
      <c r="G52" s="173"/>
      <c r="H52" s="173" t="s">
        <v>16</v>
      </c>
      <c r="I52" s="181"/>
      <c r="J52" s="238"/>
      <c r="K52" s="238"/>
      <c r="L52" s="176"/>
      <c r="M52" s="177"/>
    </row>
    <row r="53">
      <c r="A53" s="15" t="s">
        <v>306</v>
      </c>
      <c r="B53" s="147" t="s">
        <v>34</v>
      </c>
      <c r="C53" s="148" t="s">
        <v>35</v>
      </c>
      <c r="D53" s="148" t="s">
        <v>441</v>
      </c>
      <c r="E53" s="148">
        <v>1487360.16</v>
      </c>
      <c r="F53" s="148">
        <v>312345.63</v>
      </c>
      <c r="G53" s="148"/>
      <c r="H53" s="245">
        <v>1799705.79</v>
      </c>
      <c r="I53" s="150" t="s">
        <v>81</v>
      </c>
      <c r="J53" s="240">
        <v>45671.0</v>
      </c>
      <c r="K53" s="240">
        <v>45671.0</v>
      </c>
      <c r="L53" s="152"/>
      <c r="M53" s="256"/>
    </row>
    <row r="54">
      <c r="A54" s="94" t="s">
        <v>306</v>
      </c>
      <c r="B54" s="154" t="s">
        <v>39</v>
      </c>
      <c r="C54" s="93" t="s">
        <v>442</v>
      </c>
      <c r="D54" s="93"/>
      <c r="E54" s="93"/>
      <c r="F54" s="93"/>
      <c r="G54" s="93"/>
      <c r="H54" s="157">
        <v>679193.52</v>
      </c>
      <c r="I54" s="150" t="s">
        <v>21</v>
      </c>
      <c r="J54" s="241">
        <v>45667.0</v>
      </c>
      <c r="K54" s="241">
        <v>45667.0</v>
      </c>
      <c r="L54" s="257"/>
      <c r="M54" s="155"/>
    </row>
    <row r="55">
      <c r="A55" s="15" t="s">
        <v>306</v>
      </c>
      <c r="B55" s="147" t="s">
        <v>37</v>
      </c>
      <c r="C55" s="148" t="s">
        <v>414</v>
      </c>
      <c r="D55" s="148" t="s">
        <v>443</v>
      </c>
      <c r="E55" s="148">
        <v>77193.72</v>
      </c>
      <c r="F55" s="148">
        <v>20842.3</v>
      </c>
      <c r="G55" s="148">
        <v>7243.09</v>
      </c>
      <c r="H55" s="150">
        <v>105279.11</v>
      </c>
      <c r="I55" s="150" t="s">
        <v>38</v>
      </c>
      <c r="J55" s="240">
        <v>45665.0</v>
      </c>
      <c r="K55" s="240">
        <v>45665.0</v>
      </c>
      <c r="L55" s="190"/>
      <c r="M55" s="153"/>
    </row>
    <row r="56">
      <c r="A56" s="94" t="s">
        <v>306</v>
      </c>
      <c r="B56" s="154" t="s">
        <v>99</v>
      </c>
      <c r="C56" s="93"/>
      <c r="D56" s="93"/>
      <c r="E56" s="93"/>
      <c r="F56" s="93"/>
      <c r="G56" s="93"/>
      <c r="H56" s="157" t="s">
        <v>16</v>
      </c>
      <c r="I56" s="157"/>
      <c r="J56" s="241"/>
      <c r="K56" s="241"/>
      <c r="L56" s="155"/>
      <c r="M56" s="155"/>
    </row>
    <row r="57">
      <c r="A57" s="15" t="s">
        <v>306</v>
      </c>
      <c r="B57" s="147" t="s">
        <v>46</v>
      </c>
      <c r="C57" s="148"/>
      <c r="D57" s="148"/>
      <c r="E57" s="148"/>
      <c r="F57" s="148"/>
      <c r="G57" s="148"/>
      <c r="H57" s="162" t="s">
        <v>16</v>
      </c>
      <c r="I57" s="162"/>
      <c r="J57" s="240"/>
      <c r="K57" s="240"/>
      <c r="L57" s="152"/>
      <c r="M57" s="153"/>
    </row>
    <row r="58">
      <c r="A58" s="94" t="s">
        <v>306</v>
      </c>
      <c r="B58" s="154" t="s">
        <v>31</v>
      </c>
      <c r="C58" s="93" t="s">
        <v>419</v>
      </c>
      <c r="D58" s="93"/>
      <c r="E58" s="93"/>
      <c r="F58" s="93"/>
      <c r="G58" s="93"/>
      <c r="H58" s="157" t="s">
        <v>16</v>
      </c>
      <c r="I58" s="97"/>
      <c r="J58" s="241"/>
      <c r="K58" s="241"/>
      <c r="L58" s="188" t="s">
        <v>420</v>
      </c>
      <c r="M58" s="155"/>
    </row>
    <row r="59">
      <c r="A59" s="15" t="s">
        <v>306</v>
      </c>
      <c r="B59" s="147" t="s">
        <v>268</v>
      </c>
      <c r="C59" s="148"/>
      <c r="D59" s="148" t="s">
        <v>444</v>
      </c>
      <c r="E59" s="148"/>
      <c r="F59" s="148"/>
      <c r="G59" s="148"/>
      <c r="H59" s="162" t="s">
        <v>16</v>
      </c>
      <c r="I59" s="162"/>
      <c r="J59" s="240"/>
      <c r="K59" s="240"/>
      <c r="L59" s="152"/>
      <c r="M59" s="153"/>
    </row>
    <row r="60">
      <c r="A60" s="94" t="s">
        <v>306</v>
      </c>
      <c r="B60" s="154" t="s">
        <v>102</v>
      </c>
      <c r="C60" s="93"/>
      <c r="D60" s="93"/>
      <c r="E60" s="93"/>
      <c r="F60" s="93"/>
      <c r="G60" s="93"/>
      <c r="H60" s="157" t="s">
        <v>16</v>
      </c>
      <c r="I60" s="157"/>
      <c r="J60" s="241"/>
      <c r="K60" s="241"/>
      <c r="L60" s="155"/>
      <c r="M60" s="155"/>
    </row>
    <row r="61">
      <c r="A61" s="15" t="s">
        <v>306</v>
      </c>
      <c r="B61" s="147" t="s">
        <v>41</v>
      </c>
      <c r="C61" s="148" t="s">
        <v>42</v>
      </c>
      <c r="D61" s="148" t="s">
        <v>421</v>
      </c>
      <c r="E61" s="148">
        <v>20790.0</v>
      </c>
      <c r="F61" s="148">
        <v>4365.9</v>
      </c>
      <c r="G61" s="148"/>
      <c r="H61" s="162">
        <v>25155.9</v>
      </c>
      <c r="I61" s="150"/>
      <c r="J61" s="240"/>
      <c r="K61" s="240"/>
      <c r="L61" s="152"/>
      <c r="M61" s="153"/>
    </row>
    <row r="62">
      <c r="A62" s="94" t="s">
        <v>306</v>
      </c>
      <c r="B62" s="154" t="s">
        <v>50</v>
      </c>
      <c r="C62" s="93"/>
      <c r="D62" s="93"/>
      <c r="E62" s="93"/>
      <c r="F62" s="93"/>
      <c r="G62" s="93"/>
      <c r="H62" s="157" t="s">
        <v>16</v>
      </c>
      <c r="I62" s="157"/>
      <c r="J62" s="241"/>
      <c r="K62" s="241"/>
      <c r="L62" s="155"/>
      <c r="M62" s="155"/>
    </row>
    <row r="63">
      <c r="A63" s="15" t="s">
        <v>306</v>
      </c>
      <c r="B63" s="147" t="s">
        <v>43</v>
      </c>
      <c r="C63" s="148" t="s">
        <v>435</v>
      </c>
      <c r="D63" s="148" t="s">
        <v>445</v>
      </c>
      <c r="E63" s="148"/>
      <c r="F63" s="148"/>
      <c r="G63" s="148"/>
      <c r="H63" s="150">
        <v>190280.48</v>
      </c>
      <c r="I63" s="150"/>
      <c r="J63" s="240"/>
      <c r="K63" s="240"/>
      <c r="L63" s="152"/>
      <c r="M63" s="153"/>
    </row>
    <row r="64">
      <c r="A64" s="94" t="s">
        <v>306</v>
      </c>
      <c r="B64" s="154" t="s">
        <v>269</v>
      </c>
      <c r="C64" s="93"/>
      <c r="D64" s="93"/>
      <c r="E64" s="93"/>
      <c r="F64" s="93"/>
      <c r="G64" s="93"/>
      <c r="H64" s="96" t="s">
        <v>16</v>
      </c>
      <c r="I64" s="157"/>
      <c r="J64" s="241"/>
      <c r="K64" s="241"/>
      <c r="L64" s="155"/>
      <c r="M64" s="155"/>
    </row>
    <row r="65">
      <c r="A65" s="117" t="s">
        <v>310</v>
      </c>
      <c r="B65" s="165" t="s">
        <v>34</v>
      </c>
      <c r="C65" s="166" t="s">
        <v>35</v>
      </c>
      <c r="D65" s="166" t="s">
        <v>446</v>
      </c>
      <c r="E65" s="166">
        <v>2722837.68</v>
      </c>
      <c r="F65" s="166">
        <v>571795.91</v>
      </c>
      <c r="G65" s="166"/>
      <c r="H65" s="166">
        <v>3294633.5900000003</v>
      </c>
      <c r="I65" s="166" t="s">
        <v>81</v>
      </c>
      <c r="J65" s="237">
        <v>45671.0</v>
      </c>
      <c r="K65" s="237">
        <v>45671.0</v>
      </c>
      <c r="L65" s="169"/>
      <c r="M65" s="170"/>
    </row>
    <row r="66">
      <c r="A66" s="171" t="s">
        <v>310</v>
      </c>
      <c r="B66" s="172" t="s">
        <v>39</v>
      </c>
      <c r="C66" s="173" t="s">
        <v>442</v>
      </c>
      <c r="D66" s="181"/>
      <c r="E66" s="173"/>
      <c r="F66" s="173"/>
      <c r="G66" s="173"/>
      <c r="H66" s="173">
        <v>339596.76</v>
      </c>
      <c r="I66" s="150" t="s">
        <v>21</v>
      </c>
      <c r="J66" s="238">
        <v>45667.0</v>
      </c>
      <c r="K66" s="238">
        <v>45667.0</v>
      </c>
      <c r="L66" s="176"/>
      <c r="M66" s="177"/>
    </row>
    <row r="67">
      <c r="A67" s="117" t="s">
        <v>310</v>
      </c>
      <c r="B67" s="165" t="s">
        <v>37</v>
      </c>
      <c r="C67" s="166" t="s">
        <v>414</v>
      </c>
      <c r="D67" s="166" t="s">
        <v>447</v>
      </c>
      <c r="E67" s="166">
        <v>57134.56</v>
      </c>
      <c r="F67" s="166">
        <v>15426.33</v>
      </c>
      <c r="G67" s="166">
        <v>5360.9400000000005</v>
      </c>
      <c r="H67" s="166">
        <v>77921.83</v>
      </c>
      <c r="I67" s="166" t="s">
        <v>38</v>
      </c>
      <c r="J67" s="237">
        <v>45665.0</v>
      </c>
      <c r="K67" s="237">
        <v>45665.0</v>
      </c>
      <c r="L67" s="191"/>
      <c r="M67" s="170"/>
    </row>
    <row r="68">
      <c r="A68" s="171" t="s">
        <v>310</v>
      </c>
      <c r="B68" s="172" t="s">
        <v>99</v>
      </c>
      <c r="C68" s="181"/>
      <c r="D68" s="181"/>
      <c r="E68" s="173"/>
      <c r="F68" s="173"/>
      <c r="G68" s="173"/>
      <c r="H68" s="173" t="s">
        <v>16</v>
      </c>
      <c r="I68" s="181"/>
      <c r="J68" s="238"/>
      <c r="K68" s="238"/>
      <c r="L68" s="176"/>
      <c r="M68" s="177"/>
    </row>
    <row r="69">
      <c r="A69" s="117" t="s">
        <v>310</v>
      </c>
      <c r="B69" s="165" t="s">
        <v>46</v>
      </c>
      <c r="C69" s="189"/>
      <c r="D69" s="189"/>
      <c r="E69" s="166"/>
      <c r="F69" s="166"/>
      <c r="G69" s="166"/>
      <c r="H69" s="166" t="s">
        <v>16</v>
      </c>
      <c r="I69" s="189"/>
      <c r="J69" s="237"/>
      <c r="K69" s="237"/>
      <c r="L69" s="169"/>
      <c r="M69" s="170"/>
    </row>
    <row r="70">
      <c r="A70" s="171" t="s">
        <v>310</v>
      </c>
      <c r="B70" s="172" t="s">
        <v>31</v>
      </c>
      <c r="C70" s="173" t="s">
        <v>419</v>
      </c>
      <c r="D70" s="173"/>
      <c r="E70" s="173"/>
      <c r="F70" s="173"/>
      <c r="G70" s="173"/>
      <c r="H70" s="173" t="s">
        <v>16</v>
      </c>
      <c r="I70" s="173"/>
      <c r="J70" s="238"/>
      <c r="K70" s="238"/>
      <c r="L70" s="179" t="s">
        <v>420</v>
      </c>
      <c r="M70" s="177"/>
    </row>
    <row r="71">
      <c r="A71" s="117" t="s">
        <v>310</v>
      </c>
      <c r="B71" s="165" t="s">
        <v>268</v>
      </c>
      <c r="C71" s="189"/>
      <c r="D71" s="189"/>
      <c r="E71" s="166"/>
      <c r="F71" s="166"/>
      <c r="G71" s="166"/>
      <c r="H71" s="166" t="s">
        <v>16</v>
      </c>
      <c r="I71" s="189"/>
      <c r="J71" s="237"/>
      <c r="K71" s="237"/>
      <c r="L71" s="169"/>
      <c r="M71" s="170"/>
    </row>
    <row r="72">
      <c r="A72" s="171" t="s">
        <v>310</v>
      </c>
      <c r="B72" s="172" t="s">
        <v>102</v>
      </c>
      <c r="C72" s="181"/>
      <c r="D72" s="181"/>
      <c r="E72" s="173"/>
      <c r="F72" s="173"/>
      <c r="G72" s="173"/>
      <c r="H72" s="173" t="s">
        <v>16</v>
      </c>
      <c r="I72" s="181"/>
      <c r="J72" s="238"/>
      <c r="K72" s="238"/>
      <c r="L72" s="176"/>
      <c r="M72" s="177"/>
    </row>
    <row r="73">
      <c r="A73" s="117" t="s">
        <v>310</v>
      </c>
      <c r="B73" s="165" t="s">
        <v>41</v>
      </c>
      <c r="C73" s="166" t="s">
        <v>42</v>
      </c>
      <c r="D73" s="166" t="s">
        <v>421</v>
      </c>
      <c r="E73" s="166">
        <v>20790.0</v>
      </c>
      <c r="F73" s="166">
        <v>4365.9</v>
      </c>
      <c r="G73" s="166"/>
      <c r="H73" s="166">
        <v>25155.9</v>
      </c>
      <c r="I73" s="150"/>
      <c r="J73" s="237"/>
      <c r="K73" s="237"/>
      <c r="L73" s="169"/>
      <c r="M73" s="170"/>
    </row>
    <row r="74">
      <c r="A74" s="171" t="s">
        <v>310</v>
      </c>
      <c r="B74" s="172" t="s">
        <v>50</v>
      </c>
      <c r="C74" s="181"/>
      <c r="D74" s="181"/>
      <c r="E74" s="173"/>
      <c r="F74" s="173"/>
      <c r="G74" s="173"/>
      <c r="H74" s="173" t="s">
        <v>16</v>
      </c>
      <c r="I74" s="181"/>
      <c r="J74" s="238"/>
      <c r="K74" s="238"/>
      <c r="L74" s="176"/>
      <c r="M74" s="177"/>
    </row>
    <row r="75">
      <c r="A75" s="117" t="s">
        <v>310</v>
      </c>
      <c r="B75" s="165" t="s">
        <v>43</v>
      </c>
      <c r="C75" s="148"/>
      <c r="D75" s="148" t="s">
        <v>448</v>
      </c>
      <c r="E75" s="166"/>
      <c r="F75" s="166"/>
      <c r="G75" s="166"/>
      <c r="H75" s="166" t="s">
        <v>16</v>
      </c>
      <c r="I75" s="189"/>
      <c r="J75" s="237"/>
      <c r="K75" s="237"/>
      <c r="L75" s="169"/>
      <c r="M75" s="170"/>
    </row>
    <row r="76">
      <c r="A76" s="171" t="s">
        <v>310</v>
      </c>
      <c r="B76" s="172" t="s">
        <v>269</v>
      </c>
      <c r="C76" s="173"/>
      <c r="D76" s="173"/>
      <c r="E76" s="173"/>
      <c r="F76" s="173"/>
      <c r="G76" s="173"/>
      <c r="H76" s="173" t="s">
        <v>16</v>
      </c>
      <c r="I76" s="181"/>
      <c r="J76" s="238"/>
      <c r="K76" s="238"/>
      <c r="L76" s="176"/>
      <c r="M76" s="177"/>
    </row>
    <row r="77">
      <c r="A77" s="15" t="s">
        <v>313</v>
      </c>
      <c r="B77" s="147" t="s">
        <v>34</v>
      </c>
      <c r="C77" s="148" t="s">
        <v>35</v>
      </c>
      <c r="D77" s="148" t="s">
        <v>449</v>
      </c>
      <c r="E77" s="148">
        <v>825000.0</v>
      </c>
      <c r="F77" s="148">
        <v>173250.0</v>
      </c>
      <c r="G77" s="148"/>
      <c r="H77" s="245">
        <v>998250.0</v>
      </c>
      <c r="I77" s="150" t="s">
        <v>81</v>
      </c>
      <c r="J77" s="240">
        <v>45671.0</v>
      </c>
      <c r="K77" s="240">
        <v>45671.0</v>
      </c>
      <c r="L77" s="192"/>
      <c r="M77" s="153"/>
    </row>
    <row r="78">
      <c r="A78" s="94" t="s">
        <v>313</v>
      </c>
      <c r="B78" s="154" t="s">
        <v>39</v>
      </c>
      <c r="C78" s="93" t="s">
        <v>442</v>
      </c>
      <c r="D78" s="93"/>
      <c r="E78" s="93"/>
      <c r="F78" s="93"/>
      <c r="G78" s="93"/>
      <c r="H78" s="97">
        <v>339596.76</v>
      </c>
      <c r="I78" s="150" t="s">
        <v>21</v>
      </c>
      <c r="J78" s="241">
        <v>45667.0</v>
      </c>
      <c r="K78" s="241">
        <v>45667.0</v>
      </c>
      <c r="L78" s="155"/>
      <c r="M78" s="155"/>
    </row>
    <row r="79">
      <c r="A79" s="15" t="s">
        <v>313</v>
      </c>
      <c r="B79" s="147" t="s">
        <v>37</v>
      </c>
      <c r="C79" s="148" t="s">
        <v>414</v>
      </c>
      <c r="D79" s="148" t="s">
        <v>450</v>
      </c>
      <c r="E79" s="148">
        <v>58305.15</v>
      </c>
      <c r="F79" s="148"/>
      <c r="G79" s="148"/>
      <c r="H79" s="150">
        <v>58305.15</v>
      </c>
      <c r="I79" s="150" t="s">
        <v>38</v>
      </c>
      <c r="J79" s="240">
        <v>45665.0</v>
      </c>
      <c r="K79" s="240">
        <v>45663.0</v>
      </c>
      <c r="L79" s="152"/>
      <c r="M79" s="153"/>
    </row>
    <row r="80">
      <c r="A80" s="94" t="s">
        <v>313</v>
      </c>
      <c r="B80" s="154" t="s">
        <v>99</v>
      </c>
      <c r="C80" s="93"/>
      <c r="D80" s="93"/>
      <c r="E80" s="93"/>
      <c r="F80" s="93"/>
      <c r="G80" s="93"/>
      <c r="H80" s="157" t="s">
        <v>16</v>
      </c>
      <c r="I80" s="157"/>
      <c r="J80" s="241"/>
      <c r="K80" s="241"/>
      <c r="L80" s="155"/>
      <c r="M80" s="155"/>
    </row>
    <row r="81">
      <c r="A81" s="15" t="s">
        <v>313</v>
      </c>
      <c r="B81" s="147" t="s">
        <v>46</v>
      </c>
      <c r="C81" s="148"/>
      <c r="D81" s="148"/>
      <c r="E81" s="148"/>
      <c r="F81" s="148"/>
      <c r="G81" s="148"/>
      <c r="H81" s="162" t="s">
        <v>16</v>
      </c>
      <c r="I81" s="162"/>
      <c r="J81" s="240"/>
      <c r="K81" s="240"/>
      <c r="L81" s="152"/>
      <c r="M81" s="153"/>
    </row>
    <row r="82">
      <c r="A82" s="94" t="s">
        <v>313</v>
      </c>
      <c r="B82" s="154" t="s">
        <v>31</v>
      </c>
      <c r="C82" s="93"/>
      <c r="D82" s="93"/>
      <c r="E82" s="93"/>
      <c r="F82" s="93"/>
      <c r="G82" s="93"/>
      <c r="H82" s="157" t="s">
        <v>16</v>
      </c>
      <c r="I82" s="157"/>
      <c r="J82" s="241"/>
      <c r="K82" s="241"/>
      <c r="L82" s="155"/>
      <c r="M82" s="155"/>
    </row>
    <row r="83">
      <c r="A83" s="15" t="s">
        <v>313</v>
      </c>
      <c r="B83" s="147" t="s">
        <v>268</v>
      </c>
      <c r="C83" s="148"/>
      <c r="D83" s="148"/>
      <c r="E83" s="148"/>
      <c r="F83" s="148"/>
      <c r="G83" s="148"/>
      <c r="H83" s="162" t="s">
        <v>16</v>
      </c>
      <c r="I83" s="162"/>
      <c r="J83" s="240"/>
      <c r="K83" s="240"/>
      <c r="L83" s="152"/>
      <c r="M83" s="153"/>
    </row>
    <row r="84">
      <c r="A84" s="94" t="s">
        <v>313</v>
      </c>
      <c r="B84" s="154" t="s">
        <v>102</v>
      </c>
      <c r="C84" s="93"/>
      <c r="D84" s="93"/>
      <c r="E84" s="93"/>
      <c r="F84" s="93"/>
      <c r="G84" s="93"/>
      <c r="H84" s="157" t="s">
        <v>16</v>
      </c>
      <c r="I84" s="157"/>
      <c r="J84" s="241"/>
      <c r="K84" s="241"/>
      <c r="L84" s="155"/>
      <c r="M84" s="155"/>
    </row>
    <row r="85">
      <c r="A85" s="15" t="s">
        <v>313</v>
      </c>
      <c r="B85" s="147" t="s">
        <v>41</v>
      </c>
      <c r="C85" s="148" t="s">
        <v>42</v>
      </c>
      <c r="D85" s="148" t="s">
        <v>421</v>
      </c>
      <c r="E85" s="148">
        <v>20790.0</v>
      </c>
      <c r="F85" s="148">
        <v>4365.9</v>
      </c>
      <c r="G85" s="148"/>
      <c r="H85" s="162">
        <v>25155.9</v>
      </c>
      <c r="I85" s="150"/>
      <c r="J85" s="240"/>
      <c r="K85" s="240"/>
      <c r="L85" s="152"/>
      <c r="M85" s="153"/>
    </row>
    <row r="86">
      <c r="A86" s="94" t="s">
        <v>313</v>
      </c>
      <c r="B86" s="154" t="s">
        <v>50</v>
      </c>
      <c r="C86" s="93"/>
      <c r="D86" s="93"/>
      <c r="E86" s="93"/>
      <c r="F86" s="93"/>
      <c r="G86" s="93"/>
      <c r="H86" s="157" t="s">
        <v>16</v>
      </c>
      <c r="I86" s="157"/>
      <c r="J86" s="241"/>
      <c r="K86" s="241"/>
      <c r="L86" s="193"/>
      <c r="M86" s="155"/>
    </row>
    <row r="87">
      <c r="A87" s="15" t="s">
        <v>313</v>
      </c>
      <c r="B87" s="147" t="s">
        <v>43</v>
      </c>
      <c r="C87" s="194"/>
      <c r="D87" s="194"/>
      <c r="E87" s="148"/>
      <c r="F87" s="148"/>
      <c r="G87" s="148"/>
      <c r="H87" s="150" t="s">
        <v>16</v>
      </c>
      <c r="I87" s="162"/>
      <c r="J87" s="240"/>
      <c r="K87" s="240"/>
      <c r="L87" s="152"/>
      <c r="M87" s="153"/>
    </row>
    <row r="88">
      <c r="A88" s="94" t="s">
        <v>313</v>
      </c>
      <c r="B88" s="154" t="s">
        <v>269</v>
      </c>
      <c r="C88" s="93"/>
      <c r="D88" s="93"/>
      <c r="E88" s="93"/>
      <c r="F88" s="93"/>
      <c r="G88" s="93"/>
      <c r="H88" s="96" t="s">
        <v>16</v>
      </c>
      <c r="I88" s="157"/>
      <c r="J88" s="241"/>
      <c r="K88" s="241"/>
      <c r="L88" s="155"/>
      <c r="M88" s="155"/>
    </row>
    <row r="89">
      <c r="A89" s="117" t="s">
        <v>328</v>
      </c>
      <c r="B89" s="165" t="s">
        <v>34</v>
      </c>
      <c r="C89" s="166" t="s">
        <v>35</v>
      </c>
      <c r="D89" s="166" t="s">
        <v>451</v>
      </c>
      <c r="E89" s="166">
        <v>400000.0</v>
      </c>
      <c r="F89" s="166">
        <v>84000.0</v>
      </c>
      <c r="G89" s="166"/>
      <c r="H89" s="166">
        <v>484000.0</v>
      </c>
      <c r="I89" s="166" t="s">
        <v>81</v>
      </c>
      <c r="J89" s="237">
        <v>45671.0</v>
      </c>
      <c r="K89" s="237">
        <v>45671.0</v>
      </c>
      <c r="L89" s="169"/>
      <c r="M89" s="255"/>
    </row>
    <row r="90">
      <c r="A90" s="171" t="s">
        <v>328</v>
      </c>
      <c r="B90" s="172" t="s">
        <v>39</v>
      </c>
      <c r="C90" s="173" t="s">
        <v>442</v>
      </c>
      <c r="D90" s="181"/>
      <c r="E90" s="173"/>
      <c r="F90" s="173"/>
      <c r="G90" s="173"/>
      <c r="H90" s="173">
        <v>339596.76</v>
      </c>
      <c r="I90" s="150" t="s">
        <v>21</v>
      </c>
      <c r="J90" s="238">
        <v>45667.0</v>
      </c>
      <c r="K90" s="238">
        <v>45667.0</v>
      </c>
      <c r="L90" s="176"/>
      <c r="M90" s="177"/>
    </row>
    <row r="91">
      <c r="A91" s="117" t="s">
        <v>328</v>
      </c>
      <c r="B91" s="165" t="s">
        <v>37</v>
      </c>
      <c r="C91" s="166" t="s">
        <v>414</v>
      </c>
      <c r="D91" s="166" t="s">
        <v>452</v>
      </c>
      <c r="E91" s="166">
        <v>24000.94</v>
      </c>
      <c r="F91" s="166"/>
      <c r="G91" s="166"/>
      <c r="H91" s="166">
        <v>24000.94</v>
      </c>
      <c r="I91" s="166" t="s">
        <v>38</v>
      </c>
      <c r="J91" s="238">
        <v>45665.0</v>
      </c>
      <c r="K91" s="237">
        <v>45663.0</v>
      </c>
      <c r="L91" s="169"/>
      <c r="M91" s="170"/>
    </row>
    <row r="92">
      <c r="A92" s="171" t="s">
        <v>328</v>
      </c>
      <c r="B92" s="172" t="s">
        <v>99</v>
      </c>
      <c r="C92" s="181"/>
      <c r="D92" s="181"/>
      <c r="E92" s="173"/>
      <c r="F92" s="173"/>
      <c r="G92" s="173"/>
      <c r="H92" s="173" t="s">
        <v>16</v>
      </c>
      <c r="I92" s="181"/>
      <c r="J92" s="238"/>
      <c r="K92" s="238"/>
      <c r="L92" s="176"/>
      <c r="M92" s="177"/>
    </row>
    <row r="93">
      <c r="A93" s="117" t="s">
        <v>328</v>
      </c>
      <c r="B93" s="165" t="s">
        <v>46</v>
      </c>
      <c r="C93" s="189"/>
      <c r="D93" s="189"/>
      <c r="E93" s="166"/>
      <c r="F93" s="166"/>
      <c r="G93" s="166"/>
      <c r="H93" s="166" t="s">
        <v>16</v>
      </c>
      <c r="I93" s="189"/>
      <c r="J93" s="237"/>
      <c r="K93" s="237"/>
      <c r="L93" s="169"/>
      <c r="M93" s="170"/>
    </row>
    <row r="94">
      <c r="A94" s="171" t="s">
        <v>328</v>
      </c>
      <c r="B94" s="172" t="s">
        <v>31</v>
      </c>
      <c r="C94" s="173" t="s">
        <v>419</v>
      </c>
      <c r="D94" s="173"/>
      <c r="E94" s="173"/>
      <c r="F94" s="173"/>
      <c r="G94" s="173"/>
      <c r="H94" s="173" t="s">
        <v>16</v>
      </c>
      <c r="I94" s="173"/>
      <c r="J94" s="238"/>
      <c r="K94" s="238"/>
      <c r="L94" s="179" t="s">
        <v>420</v>
      </c>
      <c r="M94" s="177"/>
    </row>
    <row r="95">
      <c r="A95" s="117" t="s">
        <v>328</v>
      </c>
      <c r="B95" s="165" t="s">
        <v>268</v>
      </c>
      <c r="C95" s="189"/>
      <c r="D95" s="189"/>
      <c r="E95" s="166"/>
      <c r="F95" s="166"/>
      <c r="G95" s="166"/>
      <c r="H95" s="166" t="s">
        <v>16</v>
      </c>
      <c r="I95" s="189"/>
      <c r="J95" s="237"/>
      <c r="K95" s="237"/>
      <c r="L95" s="169"/>
      <c r="M95" s="170"/>
    </row>
    <row r="96">
      <c r="A96" s="171" t="s">
        <v>328</v>
      </c>
      <c r="B96" s="172" t="s">
        <v>102</v>
      </c>
      <c r="C96" s="181"/>
      <c r="D96" s="181"/>
      <c r="E96" s="173"/>
      <c r="F96" s="173"/>
      <c r="G96" s="173"/>
      <c r="H96" s="173" t="s">
        <v>16</v>
      </c>
      <c r="I96" s="181"/>
      <c r="J96" s="238"/>
      <c r="K96" s="238"/>
      <c r="L96" s="176"/>
      <c r="M96" s="177"/>
    </row>
    <row r="97">
      <c r="A97" s="117" t="s">
        <v>328</v>
      </c>
      <c r="B97" s="165" t="s">
        <v>41</v>
      </c>
      <c r="C97" s="166" t="s">
        <v>42</v>
      </c>
      <c r="D97" s="166" t="s">
        <v>421</v>
      </c>
      <c r="E97" s="166">
        <v>20790.0</v>
      </c>
      <c r="F97" s="166">
        <v>4365.9</v>
      </c>
      <c r="G97" s="166"/>
      <c r="H97" s="166">
        <v>25155.9</v>
      </c>
      <c r="I97" s="150"/>
      <c r="J97" s="237"/>
      <c r="K97" s="237"/>
      <c r="L97" s="169"/>
      <c r="M97" s="170"/>
    </row>
    <row r="98">
      <c r="A98" s="171" t="s">
        <v>328</v>
      </c>
      <c r="B98" s="172" t="s">
        <v>50</v>
      </c>
      <c r="C98" s="181"/>
      <c r="D98" s="181"/>
      <c r="E98" s="173"/>
      <c r="F98" s="173"/>
      <c r="G98" s="173"/>
      <c r="H98" s="173" t="s">
        <v>16</v>
      </c>
      <c r="I98" s="181"/>
      <c r="J98" s="238"/>
      <c r="K98" s="238"/>
      <c r="L98" s="176"/>
      <c r="M98" s="177"/>
    </row>
    <row r="99">
      <c r="A99" s="117" t="s">
        <v>328</v>
      </c>
      <c r="B99" s="165" t="s">
        <v>43</v>
      </c>
      <c r="C99" s="189"/>
      <c r="D99" s="189"/>
      <c r="E99" s="166"/>
      <c r="F99" s="166"/>
      <c r="G99" s="166"/>
      <c r="H99" s="166" t="s">
        <v>16</v>
      </c>
      <c r="I99" s="189"/>
      <c r="J99" s="237"/>
      <c r="K99" s="237"/>
      <c r="L99" s="169"/>
      <c r="M99" s="170"/>
    </row>
    <row r="100">
      <c r="A100" s="171" t="s">
        <v>328</v>
      </c>
      <c r="B100" s="172" t="s">
        <v>269</v>
      </c>
      <c r="C100" s="196"/>
      <c r="D100" s="196" t="s">
        <v>453</v>
      </c>
      <c r="E100" s="173"/>
      <c r="F100" s="173"/>
      <c r="G100" s="173"/>
      <c r="H100" s="173" t="s">
        <v>16</v>
      </c>
      <c r="I100" s="181"/>
      <c r="J100" s="238"/>
      <c r="K100" s="238"/>
      <c r="L100" s="176"/>
      <c r="M100" s="177"/>
    </row>
    <row r="101">
      <c r="A101" s="15" t="s">
        <v>329</v>
      </c>
      <c r="B101" s="147" t="s">
        <v>34</v>
      </c>
      <c r="C101" s="148" t="s">
        <v>454</v>
      </c>
      <c r="D101" s="148"/>
      <c r="E101" s="148">
        <v>490000.0</v>
      </c>
      <c r="F101" s="148">
        <v>102900.0</v>
      </c>
      <c r="G101" s="148"/>
      <c r="H101" s="149">
        <v>592900.0</v>
      </c>
      <c r="I101" s="150" t="s">
        <v>21</v>
      </c>
      <c r="J101" s="240">
        <v>45667.0</v>
      </c>
      <c r="K101" s="240">
        <v>45667.0</v>
      </c>
      <c r="L101" s="152"/>
      <c r="M101" s="153"/>
    </row>
    <row r="102">
      <c r="A102" s="94" t="s">
        <v>329</v>
      </c>
      <c r="B102" s="154" t="s">
        <v>39</v>
      </c>
      <c r="C102" s="93" t="s">
        <v>454</v>
      </c>
      <c r="D102" s="93"/>
      <c r="E102" s="93">
        <v>264411.22</v>
      </c>
      <c r="F102" s="93"/>
      <c r="G102" s="93"/>
      <c r="H102" s="157">
        <v>264411.22</v>
      </c>
      <c r="I102" s="150" t="s">
        <v>21</v>
      </c>
      <c r="J102" s="241">
        <v>45667.0</v>
      </c>
      <c r="K102" s="241">
        <v>45667.0</v>
      </c>
      <c r="L102" s="155"/>
      <c r="M102" s="155"/>
    </row>
    <row r="103">
      <c r="A103" s="15" t="s">
        <v>329</v>
      </c>
      <c r="B103" s="147" t="s">
        <v>37</v>
      </c>
      <c r="C103" s="148"/>
      <c r="D103" s="148"/>
      <c r="E103" s="148"/>
      <c r="F103" s="148"/>
      <c r="G103" s="148"/>
      <c r="H103" s="162" t="s">
        <v>16</v>
      </c>
      <c r="I103" s="162"/>
      <c r="J103" s="240"/>
      <c r="K103" s="240"/>
      <c r="L103" s="152"/>
      <c r="M103" s="153"/>
    </row>
    <row r="104">
      <c r="A104" s="94" t="s">
        <v>329</v>
      </c>
      <c r="B104" s="154" t="s">
        <v>99</v>
      </c>
      <c r="C104" s="93"/>
      <c r="D104" s="93"/>
      <c r="E104" s="93"/>
      <c r="F104" s="93"/>
      <c r="G104" s="93"/>
      <c r="H104" s="157" t="s">
        <v>16</v>
      </c>
      <c r="I104" s="157"/>
      <c r="J104" s="241"/>
      <c r="K104" s="241"/>
      <c r="L104" s="155"/>
      <c r="M104" s="155"/>
    </row>
    <row r="105">
      <c r="A105" s="15" t="s">
        <v>329</v>
      </c>
      <c r="B105" s="147" t="s">
        <v>46</v>
      </c>
      <c r="C105" s="148"/>
      <c r="D105" s="148"/>
      <c r="E105" s="148"/>
      <c r="F105" s="148"/>
      <c r="G105" s="148"/>
      <c r="H105" s="162" t="s">
        <v>16</v>
      </c>
      <c r="I105" s="162"/>
      <c r="J105" s="240"/>
      <c r="K105" s="240"/>
      <c r="L105" s="152"/>
      <c r="M105" s="153"/>
    </row>
    <row r="106">
      <c r="A106" s="94" t="s">
        <v>329</v>
      </c>
      <c r="B106" s="154" t="s">
        <v>31</v>
      </c>
      <c r="C106" s="93"/>
      <c r="D106" s="93"/>
      <c r="E106" s="93"/>
      <c r="F106" s="93"/>
      <c r="G106" s="93"/>
      <c r="H106" s="157" t="s">
        <v>16</v>
      </c>
      <c r="I106" s="157"/>
      <c r="J106" s="241"/>
      <c r="K106" s="241"/>
      <c r="L106" s="155"/>
      <c r="M106" s="155"/>
    </row>
    <row r="107">
      <c r="A107" s="15" t="s">
        <v>329</v>
      </c>
      <c r="B107" s="147" t="s">
        <v>268</v>
      </c>
      <c r="C107" s="148"/>
      <c r="D107" s="148"/>
      <c r="E107" s="148"/>
      <c r="F107" s="148"/>
      <c r="G107" s="148"/>
      <c r="H107" s="162" t="s">
        <v>16</v>
      </c>
      <c r="I107" s="162"/>
      <c r="J107" s="240"/>
      <c r="K107" s="240"/>
      <c r="L107" s="152"/>
      <c r="M107" s="153"/>
    </row>
    <row r="108">
      <c r="A108" s="94" t="s">
        <v>329</v>
      </c>
      <c r="B108" s="154" t="s">
        <v>102</v>
      </c>
      <c r="C108" s="93"/>
      <c r="D108" s="93"/>
      <c r="E108" s="93"/>
      <c r="F108" s="93"/>
      <c r="G108" s="93"/>
      <c r="H108" s="157" t="s">
        <v>16</v>
      </c>
      <c r="I108" s="157"/>
      <c r="J108" s="241"/>
      <c r="K108" s="241"/>
      <c r="L108" s="155"/>
      <c r="M108" s="155"/>
    </row>
    <row r="109">
      <c r="A109" s="15" t="s">
        <v>329</v>
      </c>
      <c r="B109" s="147" t="s">
        <v>41</v>
      </c>
      <c r="C109" s="148"/>
      <c r="D109" s="148"/>
      <c r="E109" s="148">
        <v>20790.0</v>
      </c>
      <c r="F109" s="148">
        <v>4365.9</v>
      </c>
      <c r="G109" s="148"/>
      <c r="H109" s="162">
        <v>25155.9</v>
      </c>
      <c r="I109" s="162"/>
      <c r="J109" s="240"/>
      <c r="K109" s="240"/>
      <c r="L109" s="152"/>
      <c r="M109" s="153"/>
    </row>
    <row r="110">
      <c r="A110" s="94" t="s">
        <v>329</v>
      </c>
      <c r="B110" s="154" t="s">
        <v>50</v>
      </c>
      <c r="C110" s="93"/>
      <c r="D110" s="93"/>
      <c r="E110" s="197"/>
      <c r="F110" s="197"/>
      <c r="G110" s="197"/>
      <c r="H110" s="157" t="s">
        <v>16</v>
      </c>
      <c r="I110" s="157"/>
      <c r="J110" s="241"/>
      <c r="K110" s="241"/>
      <c r="L110" s="155"/>
      <c r="M110" s="155"/>
    </row>
    <row r="111">
      <c r="A111" s="15" t="s">
        <v>329</v>
      </c>
      <c r="B111" s="147" t="s">
        <v>43</v>
      </c>
      <c r="C111" s="148" t="s">
        <v>422</v>
      </c>
      <c r="D111" s="148" t="s">
        <v>455</v>
      </c>
      <c r="E111" s="148">
        <v>59087.5</v>
      </c>
      <c r="F111" s="148">
        <v>12408.38</v>
      </c>
      <c r="G111" s="148">
        <v>4727.01</v>
      </c>
      <c r="H111" s="162">
        <v>76222.89</v>
      </c>
      <c r="I111" s="150" t="s">
        <v>51</v>
      </c>
      <c r="J111" s="240">
        <v>45663.0</v>
      </c>
      <c r="K111" s="240">
        <v>45665.0</v>
      </c>
      <c r="L111" s="152"/>
      <c r="M111" s="153"/>
    </row>
    <row r="112">
      <c r="A112" s="94" t="s">
        <v>329</v>
      </c>
      <c r="B112" s="154" t="s">
        <v>269</v>
      </c>
      <c r="C112" s="93"/>
      <c r="D112" s="93"/>
      <c r="E112" s="93"/>
      <c r="F112" s="93"/>
      <c r="G112" s="93"/>
      <c r="H112" s="96" t="s">
        <v>16</v>
      </c>
      <c r="I112" s="157"/>
      <c r="J112" s="241"/>
      <c r="K112" s="241"/>
      <c r="L112" s="155"/>
      <c r="M112" s="155"/>
    </row>
    <row r="113">
      <c r="A113" s="117" t="s">
        <v>334</v>
      </c>
      <c r="B113" s="165" t="s">
        <v>34</v>
      </c>
      <c r="C113" s="166" t="s">
        <v>454</v>
      </c>
      <c r="D113" s="166"/>
      <c r="E113" s="166">
        <v>350000.0</v>
      </c>
      <c r="F113" s="166">
        <v>73500.0</v>
      </c>
      <c r="G113" s="166"/>
      <c r="H113" s="166">
        <v>423500.0</v>
      </c>
      <c r="I113" s="150" t="s">
        <v>21</v>
      </c>
      <c r="J113" s="237">
        <v>45667.0</v>
      </c>
      <c r="K113" s="237">
        <v>45667.0</v>
      </c>
      <c r="L113" s="169"/>
      <c r="M113" s="255"/>
    </row>
    <row r="114">
      <c r="A114" s="171" t="s">
        <v>334</v>
      </c>
      <c r="B114" s="172" t="s">
        <v>39</v>
      </c>
      <c r="C114" s="173" t="s">
        <v>454</v>
      </c>
      <c r="D114" s="173"/>
      <c r="E114" s="173">
        <v>40453.16</v>
      </c>
      <c r="F114" s="173"/>
      <c r="G114" s="173"/>
      <c r="H114" s="173">
        <v>40453.16</v>
      </c>
      <c r="I114" s="150" t="s">
        <v>21</v>
      </c>
      <c r="J114" s="238">
        <v>45667.0</v>
      </c>
      <c r="K114" s="238">
        <v>45667.0</v>
      </c>
      <c r="L114" s="176"/>
      <c r="M114" s="177"/>
    </row>
    <row r="115">
      <c r="A115" s="117" t="s">
        <v>334</v>
      </c>
      <c r="B115" s="165" t="s">
        <v>37</v>
      </c>
      <c r="C115" s="166" t="s">
        <v>414</v>
      </c>
      <c r="D115" s="166"/>
      <c r="E115" s="166"/>
      <c r="F115" s="166"/>
      <c r="G115" s="166"/>
      <c r="H115" s="166" t="s">
        <v>16</v>
      </c>
      <c r="I115" s="166"/>
      <c r="J115" s="237"/>
      <c r="K115" s="237"/>
      <c r="L115" s="169"/>
      <c r="M115" s="170"/>
    </row>
    <row r="116">
      <c r="A116" s="171" t="s">
        <v>334</v>
      </c>
      <c r="B116" s="172" t="s">
        <v>99</v>
      </c>
      <c r="C116" s="181"/>
      <c r="D116" s="181"/>
      <c r="E116" s="173"/>
      <c r="F116" s="173"/>
      <c r="G116" s="173"/>
      <c r="H116" s="173" t="s">
        <v>16</v>
      </c>
      <c r="I116" s="181"/>
      <c r="J116" s="238"/>
      <c r="K116" s="238"/>
      <c r="L116" s="176"/>
      <c r="M116" s="177"/>
    </row>
    <row r="117">
      <c r="A117" s="117" t="s">
        <v>334</v>
      </c>
      <c r="B117" s="165" t="s">
        <v>46</v>
      </c>
      <c r="C117" s="189"/>
      <c r="D117" s="189"/>
      <c r="E117" s="166"/>
      <c r="F117" s="166"/>
      <c r="G117" s="166"/>
      <c r="H117" s="166" t="s">
        <v>16</v>
      </c>
      <c r="I117" s="189"/>
      <c r="J117" s="237"/>
      <c r="K117" s="237"/>
      <c r="L117" s="169"/>
      <c r="M117" s="170"/>
    </row>
    <row r="118">
      <c r="A118" s="171" t="s">
        <v>334</v>
      </c>
      <c r="B118" s="172" t="s">
        <v>31</v>
      </c>
      <c r="C118" s="181"/>
      <c r="D118" s="181"/>
      <c r="E118" s="173"/>
      <c r="F118" s="173"/>
      <c r="G118" s="173"/>
      <c r="H118" s="173" t="s">
        <v>16</v>
      </c>
      <c r="I118" s="181"/>
      <c r="J118" s="238"/>
      <c r="K118" s="238"/>
      <c r="L118" s="176"/>
      <c r="M118" s="177"/>
    </row>
    <row r="119">
      <c r="A119" s="117" t="s">
        <v>334</v>
      </c>
      <c r="B119" s="165" t="s">
        <v>268</v>
      </c>
      <c r="C119" s="189"/>
      <c r="D119" s="189"/>
      <c r="E119" s="166"/>
      <c r="F119" s="166"/>
      <c r="G119" s="166"/>
      <c r="H119" s="166" t="s">
        <v>16</v>
      </c>
      <c r="I119" s="189"/>
      <c r="J119" s="237"/>
      <c r="K119" s="237"/>
      <c r="L119" s="169"/>
      <c r="M119" s="170"/>
    </row>
    <row r="120">
      <c r="A120" s="171" t="s">
        <v>334</v>
      </c>
      <c r="B120" s="172" t="s">
        <v>102</v>
      </c>
      <c r="C120" s="181"/>
      <c r="D120" s="181"/>
      <c r="E120" s="173"/>
      <c r="F120" s="173"/>
      <c r="G120" s="173"/>
      <c r="H120" s="173" t="s">
        <v>16</v>
      </c>
      <c r="I120" s="181"/>
      <c r="J120" s="238"/>
      <c r="K120" s="238"/>
      <c r="L120" s="176"/>
      <c r="M120" s="177"/>
    </row>
    <row r="121">
      <c r="A121" s="117" t="s">
        <v>334</v>
      </c>
      <c r="B121" s="165" t="s">
        <v>41</v>
      </c>
      <c r="C121" s="166"/>
      <c r="D121" s="166"/>
      <c r="E121" s="166"/>
      <c r="F121" s="166"/>
      <c r="G121" s="166"/>
      <c r="H121" s="166" t="s">
        <v>16</v>
      </c>
      <c r="I121" s="189"/>
      <c r="J121" s="237"/>
      <c r="K121" s="237"/>
      <c r="L121" s="169"/>
      <c r="M121" s="170"/>
    </row>
    <row r="122">
      <c r="A122" s="171" t="s">
        <v>334</v>
      </c>
      <c r="B122" s="172" t="s">
        <v>50</v>
      </c>
      <c r="C122" s="181"/>
      <c r="D122" s="181"/>
      <c r="E122" s="173"/>
      <c r="F122" s="173"/>
      <c r="G122" s="173"/>
      <c r="H122" s="173" t="s">
        <v>16</v>
      </c>
      <c r="I122" s="181"/>
      <c r="J122" s="238"/>
      <c r="K122" s="238"/>
      <c r="L122" s="176"/>
      <c r="M122" s="177"/>
    </row>
    <row r="123">
      <c r="A123" s="117" t="s">
        <v>334</v>
      </c>
      <c r="B123" s="165" t="s">
        <v>43</v>
      </c>
      <c r="C123" s="189"/>
      <c r="D123" s="189"/>
      <c r="E123" s="166"/>
      <c r="F123" s="166"/>
      <c r="G123" s="166"/>
      <c r="H123" s="166" t="s">
        <v>16</v>
      </c>
      <c r="I123" s="189"/>
      <c r="J123" s="237"/>
      <c r="K123" s="237"/>
      <c r="L123" s="169"/>
      <c r="M123" s="170"/>
    </row>
    <row r="124">
      <c r="A124" s="171" t="s">
        <v>334</v>
      </c>
      <c r="B124" s="172" t="s">
        <v>269</v>
      </c>
      <c r="C124" s="196"/>
      <c r="D124" s="196"/>
      <c r="E124" s="173"/>
      <c r="F124" s="173"/>
      <c r="G124" s="173"/>
      <c r="H124" s="173" t="s">
        <v>16</v>
      </c>
      <c r="I124" s="181"/>
      <c r="J124" s="238"/>
      <c r="K124" s="238"/>
      <c r="L124" s="176"/>
      <c r="M124" s="177"/>
    </row>
    <row r="125">
      <c r="C125" s="71"/>
      <c r="D125" s="71"/>
      <c r="E125" s="71"/>
      <c r="F125" s="73"/>
      <c r="G125" s="73"/>
      <c r="H125" s="73"/>
      <c r="I125" s="73"/>
      <c r="J125" s="73"/>
      <c r="K125" s="73"/>
    </row>
    <row r="126">
      <c r="C126" s="71"/>
      <c r="D126" s="71"/>
      <c r="E126" s="71"/>
      <c r="F126" s="73"/>
      <c r="G126" s="73"/>
      <c r="H126" s="73"/>
      <c r="I126" s="73"/>
      <c r="J126" s="73"/>
      <c r="K126" s="73"/>
    </row>
    <row r="127">
      <c r="C127" s="71"/>
      <c r="D127" s="71"/>
      <c r="E127" s="71"/>
      <c r="F127" s="73"/>
      <c r="G127" s="73"/>
      <c r="H127" s="73"/>
      <c r="I127" s="73"/>
      <c r="J127" s="73"/>
      <c r="K127" s="73"/>
    </row>
    <row r="128">
      <c r="C128" s="71"/>
      <c r="D128" s="71"/>
      <c r="E128" s="71"/>
      <c r="F128" s="73"/>
      <c r="G128" s="73"/>
      <c r="H128" s="73"/>
      <c r="I128" s="73"/>
      <c r="J128" s="73"/>
      <c r="K128" s="73"/>
    </row>
    <row r="129">
      <c r="C129" s="71"/>
      <c r="D129" s="71"/>
      <c r="E129" s="71"/>
      <c r="F129" s="73"/>
      <c r="G129" s="73"/>
      <c r="H129" s="73"/>
      <c r="I129" s="73"/>
      <c r="J129" s="73"/>
      <c r="K129" s="73"/>
    </row>
    <row r="130">
      <c r="C130" s="71"/>
      <c r="D130" s="71"/>
      <c r="E130" s="71"/>
      <c r="F130" s="73"/>
      <c r="G130" s="73"/>
      <c r="H130" s="73"/>
      <c r="I130" s="73"/>
      <c r="J130" s="73"/>
      <c r="K130" s="73"/>
    </row>
    <row r="131">
      <c r="C131" s="71"/>
      <c r="D131" s="71"/>
      <c r="E131" s="71"/>
      <c r="F131" s="73"/>
      <c r="G131" s="73"/>
      <c r="H131" s="73"/>
      <c r="I131" s="73"/>
      <c r="J131" s="73"/>
      <c r="K131" s="73"/>
    </row>
    <row r="132">
      <c r="C132" s="71"/>
      <c r="D132" s="71"/>
      <c r="E132" s="71"/>
      <c r="F132" s="73"/>
      <c r="G132" s="73"/>
      <c r="H132" s="73"/>
      <c r="I132" s="73"/>
      <c r="J132" s="73"/>
      <c r="K132" s="73"/>
    </row>
    <row r="133">
      <c r="C133" s="71"/>
      <c r="D133" s="71"/>
      <c r="E133" s="71"/>
      <c r="F133" s="73"/>
      <c r="G133" s="73"/>
      <c r="H133" s="73"/>
      <c r="I133" s="73"/>
      <c r="J133" s="73"/>
      <c r="K133" s="73"/>
    </row>
    <row r="134">
      <c r="C134" s="71"/>
      <c r="D134" s="71"/>
      <c r="E134" s="71"/>
      <c r="F134" s="73"/>
      <c r="G134" s="73"/>
      <c r="H134" s="73"/>
      <c r="I134" s="73"/>
      <c r="J134" s="73"/>
      <c r="K134" s="73"/>
    </row>
    <row r="135">
      <c r="C135" s="71"/>
      <c r="D135" s="71"/>
      <c r="E135" s="71"/>
      <c r="F135" s="73"/>
      <c r="G135" s="73"/>
      <c r="H135" s="73"/>
      <c r="I135" s="73"/>
      <c r="J135" s="73"/>
      <c r="K135" s="73"/>
    </row>
    <row r="136">
      <c r="C136" s="71"/>
      <c r="D136" s="71"/>
      <c r="E136" s="71"/>
      <c r="F136" s="73"/>
      <c r="G136" s="73"/>
      <c r="H136" s="73"/>
      <c r="I136" s="73"/>
      <c r="J136" s="73"/>
      <c r="K136" s="73"/>
    </row>
    <row r="137">
      <c r="C137" s="71"/>
      <c r="D137" s="71"/>
      <c r="E137" s="71"/>
      <c r="F137" s="73"/>
      <c r="G137" s="73"/>
      <c r="H137" s="73"/>
      <c r="I137" s="73"/>
      <c r="J137" s="73"/>
      <c r="K137" s="73"/>
    </row>
    <row r="138">
      <c r="C138" s="71"/>
      <c r="D138" s="71"/>
      <c r="E138" s="71"/>
      <c r="F138" s="73"/>
      <c r="G138" s="73"/>
      <c r="H138" s="73"/>
      <c r="I138" s="73"/>
      <c r="J138" s="73"/>
      <c r="K138" s="73"/>
    </row>
    <row r="139">
      <c r="C139" s="71"/>
      <c r="D139" s="71"/>
      <c r="E139" s="71"/>
      <c r="F139" s="73"/>
      <c r="G139" s="73"/>
      <c r="H139" s="73"/>
      <c r="I139" s="73"/>
      <c r="J139" s="73"/>
      <c r="K139" s="73"/>
    </row>
    <row r="140">
      <c r="C140" s="71"/>
      <c r="D140" s="71"/>
      <c r="E140" s="71"/>
      <c r="F140" s="73"/>
      <c r="G140" s="73"/>
      <c r="H140" s="73"/>
      <c r="I140" s="73"/>
      <c r="J140" s="73"/>
      <c r="K140" s="73"/>
    </row>
    <row r="141">
      <c r="C141" s="71"/>
      <c r="D141" s="71"/>
      <c r="E141" s="71"/>
      <c r="F141" s="73"/>
      <c r="G141" s="73"/>
      <c r="H141" s="73"/>
      <c r="I141" s="73"/>
      <c r="J141" s="73"/>
      <c r="K141" s="73"/>
    </row>
    <row r="142">
      <c r="C142" s="71"/>
      <c r="D142" s="71"/>
      <c r="E142" s="71"/>
      <c r="F142" s="73"/>
      <c r="G142" s="73"/>
      <c r="H142" s="73"/>
      <c r="I142" s="73"/>
      <c r="J142" s="73"/>
      <c r="K142" s="73"/>
    </row>
    <row r="143">
      <c r="C143" s="71"/>
      <c r="D143" s="71"/>
      <c r="E143" s="71"/>
      <c r="F143" s="73"/>
      <c r="G143" s="73"/>
      <c r="H143" s="73"/>
      <c r="I143" s="73"/>
      <c r="J143" s="73"/>
      <c r="K143" s="73"/>
    </row>
    <row r="144">
      <c r="C144" s="71"/>
      <c r="D144" s="71"/>
      <c r="E144" s="71"/>
      <c r="F144" s="73"/>
      <c r="G144" s="73"/>
      <c r="H144" s="73"/>
      <c r="I144" s="73"/>
      <c r="J144" s="73"/>
      <c r="K144" s="73"/>
    </row>
    <row r="145">
      <c r="C145" s="71"/>
      <c r="D145" s="71"/>
      <c r="E145" s="71"/>
      <c r="F145" s="73"/>
      <c r="G145" s="73"/>
      <c r="H145" s="73"/>
      <c r="I145" s="73"/>
      <c r="J145" s="73"/>
      <c r="K145" s="73"/>
    </row>
    <row r="146">
      <c r="C146" s="71"/>
      <c r="D146" s="71"/>
      <c r="E146" s="71"/>
      <c r="F146" s="73"/>
      <c r="G146" s="73"/>
      <c r="H146" s="73"/>
      <c r="I146" s="73"/>
      <c r="J146" s="73"/>
      <c r="K146" s="73"/>
    </row>
    <row r="147">
      <c r="C147" s="71"/>
      <c r="D147" s="71"/>
      <c r="E147" s="71"/>
      <c r="F147" s="73"/>
      <c r="G147" s="73"/>
      <c r="H147" s="73"/>
      <c r="I147" s="73"/>
      <c r="J147" s="73"/>
      <c r="K147" s="73"/>
    </row>
    <row r="148">
      <c r="C148" s="71"/>
      <c r="D148" s="71"/>
      <c r="E148" s="71"/>
      <c r="F148" s="73"/>
      <c r="G148" s="73"/>
      <c r="H148" s="73"/>
      <c r="I148" s="73"/>
      <c r="J148" s="73"/>
      <c r="K148" s="73"/>
    </row>
    <row r="149">
      <c r="C149" s="71"/>
      <c r="D149" s="71"/>
      <c r="E149" s="71"/>
      <c r="F149" s="73"/>
      <c r="G149" s="73"/>
      <c r="H149" s="73"/>
      <c r="I149" s="73"/>
      <c r="J149" s="73"/>
      <c r="K149" s="73"/>
    </row>
    <row r="150">
      <c r="C150" s="71"/>
      <c r="D150" s="71"/>
      <c r="E150" s="71"/>
      <c r="F150" s="73"/>
      <c r="G150" s="73"/>
      <c r="H150" s="73"/>
      <c r="I150" s="73"/>
      <c r="J150" s="73"/>
      <c r="K150" s="73"/>
    </row>
    <row r="151">
      <c r="C151" s="71"/>
      <c r="D151" s="71"/>
      <c r="E151" s="71"/>
      <c r="F151" s="73"/>
      <c r="G151" s="73"/>
      <c r="H151" s="73"/>
      <c r="I151" s="73"/>
      <c r="J151" s="73"/>
      <c r="K151" s="73"/>
    </row>
    <row r="152">
      <c r="C152" s="71"/>
      <c r="D152" s="71"/>
      <c r="E152" s="71"/>
      <c r="F152" s="73"/>
      <c r="G152" s="73"/>
      <c r="H152" s="73"/>
      <c r="I152" s="73"/>
      <c r="J152" s="73"/>
      <c r="K152" s="73"/>
    </row>
    <row r="153">
      <c r="C153" s="71"/>
      <c r="D153" s="71"/>
      <c r="E153" s="71"/>
      <c r="F153" s="73"/>
      <c r="G153" s="73"/>
      <c r="H153" s="73"/>
      <c r="I153" s="73"/>
      <c r="J153" s="73"/>
      <c r="K153" s="73"/>
    </row>
    <row r="154">
      <c r="C154" s="71"/>
      <c r="D154" s="71"/>
      <c r="E154" s="71"/>
      <c r="F154" s="73"/>
      <c r="G154" s="73"/>
      <c r="H154" s="73"/>
      <c r="I154" s="73"/>
      <c r="J154" s="73"/>
      <c r="K154" s="73"/>
    </row>
    <row r="155">
      <c r="C155" s="71"/>
      <c r="D155" s="71"/>
      <c r="E155" s="71"/>
      <c r="F155" s="73"/>
      <c r="G155" s="73"/>
      <c r="H155" s="73"/>
      <c r="I155" s="73"/>
      <c r="J155" s="73"/>
      <c r="K155" s="73"/>
    </row>
    <row r="156">
      <c r="C156" s="71"/>
      <c r="D156" s="71"/>
      <c r="E156" s="71"/>
      <c r="F156" s="73"/>
      <c r="G156" s="73"/>
      <c r="H156" s="73"/>
      <c r="I156" s="73"/>
      <c r="J156" s="73"/>
      <c r="K156" s="73"/>
    </row>
    <row r="157">
      <c r="C157" s="71"/>
      <c r="D157" s="71"/>
      <c r="E157" s="71"/>
      <c r="F157" s="73"/>
      <c r="G157" s="73"/>
      <c r="H157" s="73"/>
      <c r="I157" s="73"/>
      <c r="J157" s="73"/>
      <c r="K157" s="73"/>
    </row>
    <row r="158">
      <c r="C158" s="71"/>
      <c r="D158" s="71"/>
      <c r="E158" s="71"/>
      <c r="F158" s="73"/>
      <c r="G158" s="73"/>
      <c r="H158" s="73"/>
      <c r="I158" s="73"/>
      <c r="J158" s="73"/>
      <c r="K158" s="73"/>
    </row>
    <row r="159">
      <c r="C159" s="71"/>
      <c r="D159" s="71"/>
      <c r="E159" s="71"/>
      <c r="F159" s="73"/>
      <c r="G159" s="73"/>
      <c r="H159" s="73"/>
      <c r="I159" s="73"/>
      <c r="J159" s="73"/>
      <c r="K159" s="73"/>
    </row>
    <row r="160">
      <c r="C160" s="71"/>
      <c r="D160" s="71"/>
      <c r="E160" s="71"/>
      <c r="F160" s="73"/>
      <c r="G160" s="73"/>
      <c r="H160" s="73"/>
      <c r="I160" s="73"/>
      <c r="J160" s="73"/>
      <c r="K160" s="73"/>
    </row>
    <row r="161">
      <c r="C161" s="71"/>
      <c r="D161" s="71"/>
      <c r="E161" s="71"/>
      <c r="F161" s="73"/>
      <c r="G161" s="73"/>
      <c r="H161" s="73"/>
      <c r="I161" s="73"/>
      <c r="J161" s="73"/>
      <c r="K161" s="73"/>
    </row>
    <row r="162">
      <c r="C162" s="71"/>
      <c r="D162" s="71"/>
      <c r="E162" s="71"/>
      <c r="F162" s="73"/>
      <c r="G162" s="73"/>
      <c r="H162" s="73"/>
      <c r="I162" s="73"/>
      <c r="J162" s="73"/>
      <c r="K162" s="73"/>
    </row>
    <row r="163">
      <c r="C163" s="71"/>
      <c r="D163" s="71"/>
      <c r="E163" s="71"/>
      <c r="F163" s="73"/>
      <c r="G163" s="73"/>
      <c r="H163" s="73"/>
      <c r="I163" s="73"/>
      <c r="J163" s="73"/>
      <c r="K163" s="73"/>
    </row>
    <row r="164">
      <c r="C164" s="71"/>
      <c r="D164" s="71"/>
      <c r="E164" s="71"/>
      <c r="F164" s="73"/>
      <c r="G164" s="73"/>
      <c r="H164" s="73"/>
      <c r="I164" s="73"/>
      <c r="J164" s="73"/>
      <c r="K164" s="73"/>
    </row>
    <row r="165">
      <c r="C165" s="71"/>
      <c r="D165" s="71"/>
      <c r="E165" s="71"/>
      <c r="F165" s="73"/>
      <c r="G165" s="73"/>
      <c r="H165" s="73"/>
      <c r="I165" s="73"/>
      <c r="J165" s="73"/>
      <c r="K165" s="73"/>
    </row>
    <row r="166">
      <c r="C166" s="71"/>
      <c r="D166" s="71"/>
      <c r="E166" s="71"/>
      <c r="F166" s="73"/>
      <c r="G166" s="73"/>
      <c r="H166" s="73"/>
      <c r="I166" s="73"/>
      <c r="J166" s="73"/>
      <c r="K166" s="73"/>
    </row>
    <row r="167">
      <c r="C167" s="71"/>
      <c r="D167" s="71"/>
      <c r="E167" s="71"/>
      <c r="F167" s="73"/>
      <c r="G167" s="73"/>
      <c r="H167" s="73"/>
      <c r="I167" s="73"/>
      <c r="J167" s="73"/>
      <c r="K167" s="73"/>
    </row>
    <row r="168">
      <c r="C168" s="71"/>
      <c r="D168" s="71"/>
      <c r="E168" s="71"/>
      <c r="F168" s="73"/>
      <c r="G168" s="73"/>
      <c r="H168" s="73"/>
      <c r="I168" s="73"/>
      <c r="J168" s="73"/>
      <c r="K168" s="73"/>
    </row>
    <row r="169">
      <c r="C169" s="71"/>
      <c r="D169" s="71"/>
      <c r="E169" s="71"/>
      <c r="F169" s="73"/>
      <c r="G169" s="73"/>
      <c r="H169" s="73"/>
      <c r="I169" s="73"/>
      <c r="J169" s="73"/>
      <c r="K169" s="73"/>
    </row>
    <row r="170">
      <c r="C170" s="71"/>
      <c r="D170" s="71"/>
      <c r="E170" s="71"/>
      <c r="F170" s="73"/>
      <c r="G170" s="73"/>
      <c r="H170" s="73"/>
      <c r="I170" s="73"/>
      <c r="J170" s="73"/>
      <c r="K170" s="73"/>
    </row>
    <row r="171">
      <c r="C171" s="71"/>
      <c r="D171" s="71"/>
      <c r="E171" s="71"/>
      <c r="F171" s="73"/>
      <c r="G171" s="73"/>
      <c r="H171" s="73"/>
      <c r="I171" s="73"/>
      <c r="J171" s="73"/>
      <c r="K171" s="73"/>
    </row>
    <row r="172">
      <c r="C172" s="71"/>
      <c r="D172" s="71"/>
      <c r="E172" s="71"/>
      <c r="F172" s="73"/>
      <c r="G172" s="73"/>
      <c r="H172" s="73"/>
      <c r="I172" s="73"/>
      <c r="J172" s="73"/>
      <c r="K172" s="73"/>
    </row>
    <row r="173">
      <c r="C173" s="71"/>
      <c r="D173" s="71"/>
      <c r="E173" s="71"/>
      <c r="F173" s="73"/>
      <c r="G173" s="73"/>
      <c r="H173" s="73"/>
      <c r="I173" s="73"/>
      <c r="J173" s="73"/>
      <c r="K173" s="73"/>
    </row>
    <row r="174">
      <c r="C174" s="71"/>
      <c r="D174" s="71"/>
      <c r="E174" s="71"/>
      <c r="F174" s="73"/>
      <c r="G174" s="73"/>
      <c r="H174" s="73"/>
      <c r="I174" s="73"/>
      <c r="J174" s="73"/>
      <c r="K174" s="73"/>
    </row>
    <row r="175">
      <c r="C175" s="71"/>
      <c r="D175" s="71"/>
      <c r="E175" s="71"/>
      <c r="F175" s="73"/>
      <c r="G175" s="73"/>
      <c r="H175" s="73"/>
      <c r="I175" s="73"/>
      <c r="J175" s="73"/>
      <c r="K175" s="73"/>
    </row>
    <row r="176">
      <c r="C176" s="71"/>
      <c r="D176" s="71"/>
      <c r="E176" s="71"/>
      <c r="F176" s="73"/>
      <c r="G176" s="73"/>
      <c r="H176" s="73"/>
      <c r="I176" s="73"/>
      <c r="J176" s="73"/>
      <c r="K176" s="73"/>
    </row>
    <row r="177">
      <c r="C177" s="71"/>
      <c r="D177" s="71"/>
      <c r="E177" s="71"/>
      <c r="F177" s="73"/>
      <c r="G177" s="73"/>
      <c r="H177" s="73"/>
      <c r="I177" s="73"/>
      <c r="J177" s="73"/>
      <c r="K177" s="73"/>
    </row>
    <row r="178">
      <c r="C178" s="71"/>
      <c r="D178" s="71"/>
      <c r="E178" s="71"/>
      <c r="F178" s="73"/>
      <c r="G178" s="73"/>
      <c r="H178" s="73"/>
      <c r="I178" s="73"/>
      <c r="J178" s="73"/>
      <c r="K178" s="73"/>
    </row>
    <row r="179">
      <c r="C179" s="71"/>
      <c r="D179" s="71"/>
      <c r="E179" s="71"/>
      <c r="F179" s="73"/>
      <c r="G179" s="73"/>
      <c r="H179" s="73"/>
      <c r="I179" s="73"/>
      <c r="J179" s="73"/>
      <c r="K179" s="73"/>
    </row>
    <row r="180">
      <c r="C180" s="71"/>
      <c r="D180" s="71"/>
      <c r="E180" s="71"/>
      <c r="F180" s="73"/>
      <c r="G180" s="73"/>
      <c r="H180" s="73"/>
      <c r="I180" s="73"/>
      <c r="J180" s="73"/>
      <c r="K180" s="73"/>
    </row>
    <row r="181">
      <c r="C181" s="71"/>
      <c r="D181" s="71"/>
      <c r="E181" s="71"/>
      <c r="F181" s="73"/>
      <c r="G181" s="73"/>
      <c r="H181" s="73"/>
      <c r="I181" s="73"/>
      <c r="J181" s="73"/>
      <c r="K181" s="73"/>
    </row>
    <row r="182">
      <c r="C182" s="71"/>
      <c r="D182" s="71"/>
      <c r="E182" s="71"/>
      <c r="F182" s="73"/>
      <c r="G182" s="73"/>
      <c r="H182" s="73"/>
      <c r="I182" s="73"/>
      <c r="J182" s="73"/>
      <c r="K182" s="73"/>
    </row>
    <row r="183">
      <c r="C183" s="71"/>
      <c r="D183" s="71"/>
      <c r="E183" s="71"/>
      <c r="F183" s="73"/>
      <c r="G183" s="73"/>
      <c r="H183" s="73"/>
      <c r="I183" s="73"/>
      <c r="J183" s="73"/>
      <c r="K183" s="73"/>
    </row>
    <row r="184">
      <c r="C184" s="71"/>
      <c r="D184" s="71"/>
      <c r="E184" s="71"/>
      <c r="F184" s="73"/>
      <c r="G184" s="73"/>
      <c r="H184" s="73"/>
      <c r="I184" s="73"/>
      <c r="J184" s="73"/>
      <c r="K184" s="73"/>
    </row>
    <row r="185">
      <c r="C185" s="71"/>
      <c r="D185" s="71"/>
      <c r="E185" s="71"/>
      <c r="F185" s="73"/>
      <c r="G185" s="73"/>
      <c r="H185" s="73"/>
      <c r="I185" s="73"/>
      <c r="J185" s="73"/>
      <c r="K185" s="73"/>
    </row>
    <row r="186">
      <c r="C186" s="71"/>
      <c r="D186" s="71"/>
      <c r="E186" s="71"/>
      <c r="F186" s="73"/>
      <c r="G186" s="73"/>
      <c r="H186" s="73"/>
      <c r="I186" s="73"/>
      <c r="J186" s="73"/>
      <c r="K186" s="73"/>
    </row>
    <row r="187">
      <c r="C187" s="71"/>
      <c r="D187" s="71"/>
      <c r="E187" s="71"/>
      <c r="F187" s="73"/>
      <c r="G187" s="73"/>
      <c r="H187" s="73"/>
      <c r="I187" s="73"/>
      <c r="J187" s="73"/>
      <c r="K187" s="73"/>
    </row>
    <row r="188">
      <c r="C188" s="71"/>
      <c r="D188" s="71"/>
      <c r="E188" s="71"/>
      <c r="F188" s="73"/>
      <c r="G188" s="73"/>
      <c r="H188" s="73"/>
      <c r="I188" s="73"/>
      <c r="J188" s="73"/>
      <c r="K188" s="73"/>
    </row>
    <row r="189">
      <c r="C189" s="71"/>
      <c r="D189" s="71"/>
      <c r="E189" s="71"/>
      <c r="F189" s="73"/>
      <c r="G189" s="73"/>
      <c r="H189" s="73"/>
      <c r="I189" s="73"/>
      <c r="J189" s="73"/>
      <c r="K189" s="73"/>
    </row>
    <row r="190">
      <c r="C190" s="71"/>
      <c r="D190" s="71"/>
      <c r="E190" s="71"/>
      <c r="F190" s="73"/>
      <c r="G190" s="73"/>
      <c r="H190" s="73"/>
      <c r="I190" s="73"/>
      <c r="J190" s="73"/>
      <c r="K190" s="73"/>
    </row>
    <row r="191">
      <c r="C191" s="71"/>
      <c r="D191" s="71"/>
      <c r="E191" s="71"/>
      <c r="F191" s="73"/>
      <c r="G191" s="73"/>
      <c r="H191" s="73"/>
      <c r="I191" s="73"/>
      <c r="J191" s="73"/>
      <c r="K191" s="73"/>
    </row>
    <row r="192">
      <c r="C192" s="71"/>
      <c r="D192" s="71"/>
      <c r="E192" s="71"/>
      <c r="F192" s="73"/>
      <c r="G192" s="73"/>
      <c r="H192" s="73"/>
      <c r="I192" s="73"/>
      <c r="J192" s="73"/>
      <c r="K192" s="73"/>
    </row>
    <row r="193">
      <c r="C193" s="71"/>
      <c r="D193" s="71"/>
      <c r="E193" s="71"/>
      <c r="F193" s="73"/>
      <c r="G193" s="73"/>
      <c r="H193" s="73"/>
      <c r="I193" s="73"/>
      <c r="J193" s="73"/>
      <c r="K193" s="73"/>
    </row>
    <row r="194">
      <c r="C194" s="71"/>
      <c r="D194" s="71"/>
      <c r="E194" s="71"/>
      <c r="F194" s="73"/>
      <c r="G194" s="73"/>
      <c r="H194" s="73"/>
      <c r="I194" s="73"/>
      <c r="J194" s="73"/>
      <c r="K194" s="73"/>
    </row>
    <row r="195">
      <c r="C195" s="71"/>
      <c r="D195" s="71"/>
      <c r="E195" s="71"/>
      <c r="F195" s="73"/>
      <c r="G195" s="73"/>
      <c r="H195" s="73"/>
      <c r="I195" s="73"/>
      <c r="J195" s="73"/>
      <c r="K195" s="73"/>
    </row>
    <row r="196">
      <c r="C196" s="71"/>
      <c r="D196" s="71"/>
      <c r="E196" s="71"/>
      <c r="F196" s="73"/>
      <c r="G196" s="73"/>
      <c r="H196" s="73"/>
      <c r="I196" s="73"/>
      <c r="J196" s="73"/>
      <c r="K196" s="73"/>
    </row>
    <row r="197">
      <c r="C197" s="71"/>
      <c r="D197" s="71"/>
      <c r="E197" s="71"/>
      <c r="F197" s="73"/>
      <c r="G197" s="73"/>
      <c r="H197" s="73"/>
      <c r="I197" s="73"/>
      <c r="J197" s="73"/>
      <c r="K197" s="73"/>
    </row>
    <row r="198">
      <c r="C198" s="71"/>
      <c r="D198" s="71"/>
      <c r="E198" s="71"/>
      <c r="F198" s="73"/>
      <c r="G198" s="73"/>
      <c r="H198" s="73"/>
      <c r="I198" s="73"/>
      <c r="J198" s="73"/>
      <c r="K198" s="73"/>
    </row>
    <row r="199">
      <c r="C199" s="71"/>
      <c r="D199" s="71"/>
      <c r="E199" s="71"/>
      <c r="F199" s="73"/>
      <c r="G199" s="73"/>
      <c r="H199" s="73"/>
      <c r="I199" s="73"/>
      <c r="J199" s="73"/>
      <c r="K199" s="73"/>
    </row>
    <row r="200">
      <c r="C200" s="71"/>
      <c r="D200" s="71"/>
      <c r="E200" s="71"/>
      <c r="F200" s="73"/>
      <c r="G200" s="73"/>
      <c r="H200" s="73"/>
      <c r="I200" s="73"/>
      <c r="J200" s="73"/>
      <c r="K200" s="73"/>
    </row>
    <row r="201">
      <c r="C201" s="71"/>
      <c r="D201" s="71"/>
      <c r="E201" s="71"/>
      <c r="F201" s="73"/>
      <c r="G201" s="73"/>
      <c r="H201" s="73"/>
      <c r="I201" s="73"/>
      <c r="J201" s="73"/>
      <c r="K201" s="73"/>
    </row>
    <row r="202">
      <c r="C202" s="71"/>
      <c r="D202" s="71"/>
      <c r="E202" s="71"/>
      <c r="F202" s="73"/>
      <c r="G202" s="73"/>
      <c r="H202" s="73"/>
      <c r="I202" s="73"/>
      <c r="J202" s="73"/>
      <c r="K202" s="73"/>
    </row>
    <row r="203">
      <c r="C203" s="71"/>
      <c r="D203" s="71"/>
      <c r="E203" s="71"/>
      <c r="F203" s="73"/>
      <c r="G203" s="73"/>
      <c r="H203" s="73"/>
      <c r="I203" s="73"/>
      <c r="J203" s="73"/>
      <c r="K203" s="73"/>
    </row>
    <row r="204">
      <c r="C204" s="71"/>
      <c r="D204" s="71"/>
      <c r="E204" s="71"/>
      <c r="F204" s="73"/>
      <c r="G204" s="73"/>
      <c r="H204" s="73"/>
      <c r="I204" s="73"/>
      <c r="J204" s="73"/>
      <c r="K204" s="73"/>
    </row>
    <row r="205">
      <c r="C205" s="71"/>
      <c r="D205" s="71"/>
      <c r="E205" s="71"/>
      <c r="F205" s="73"/>
      <c r="G205" s="73"/>
      <c r="H205" s="73"/>
      <c r="I205" s="73"/>
      <c r="J205" s="73"/>
      <c r="K205" s="73"/>
    </row>
    <row r="206">
      <c r="C206" s="71"/>
      <c r="D206" s="71"/>
      <c r="E206" s="71"/>
      <c r="F206" s="73"/>
      <c r="G206" s="73"/>
      <c r="H206" s="73"/>
      <c r="I206" s="73"/>
      <c r="J206" s="73"/>
      <c r="K206" s="73"/>
    </row>
    <row r="207">
      <c r="C207" s="71"/>
      <c r="D207" s="71"/>
      <c r="E207" s="71"/>
      <c r="F207" s="73"/>
      <c r="G207" s="73"/>
      <c r="H207" s="73"/>
      <c r="I207" s="73"/>
      <c r="J207" s="73"/>
      <c r="K207" s="73"/>
    </row>
    <row r="208">
      <c r="C208" s="71"/>
      <c r="D208" s="71"/>
      <c r="E208" s="71"/>
      <c r="F208" s="73"/>
      <c r="G208" s="73"/>
      <c r="H208" s="73"/>
      <c r="I208" s="73"/>
      <c r="J208" s="73"/>
      <c r="K208" s="73"/>
    </row>
    <row r="209">
      <c r="C209" s="71"/>
      <c r="D209" s="71"/>
      <c r="E209" s="71"/>
      <c r="F209" s="73"/>
      <c r="G209" s="73"/>
      <c r="H209" s="73"/>
      <c r="I209" s="73"/>
      <c r="J209" s="73"/>
      <c r="K209" s="73"/>
    </row>
    <row r="210">
      <c r="C210" s="71"/>
      <c r="D210" s="71"/>
      <c r="E210" s="71"/>
      <c r="F210" s="73"/>
      <c r="G210" s="73"/>
      <c r="H210" s="73"/>
      <c r="I210" s="73"/>
      <c r="J210" s="73"/>
      <c r="K210" s="73"/>
    </row>
    <row r="211">
      <c r="C211" s="71"/>
      <c r="D211" s="71"/>
      <c r="E211" s="71"/>
      <c r="F211" s="73"/>
      <c r="G211" s="73"/>
      <c r="H211" s="73"/>
      <c r="I211" s="73"/>
      <c r="J211" s="73"/>
      <c r="K211" s="73"/>
    </row>
    <row r="212">
      <c r="C212" s="71"/>
      <c r="D212" s="71"/>
      <c r="E212" s="71"/>
      <c r="F212" s="73"/>
      <c r="G212" s="73"/>
      <c r="H212" s="73"/>
      <c r="I212" s="73"/>
      <c r="J212" s="73"/>
      <c r="K212" s="73"/>
    </row>
    <row r="213">
      <c r="C213" s="71"/>
      <c r="D213" s="71"/>
      <c r="E213" s="71"/>
      <c r="F213" s="73"/>
      <c r="G213" s="73"/>
      <c r="H213" s="73"/>
      <c r="I213" s="73"/>
      <c r="J213" s="73"/>
      <c r="K213" s="73"/>
    </row>
    <row r="214">
      <c r="C214" s="71"/>
      <c r="D214" s="71"/>
      <c r="E214" s="71"/>
      <c r="F214" s="73"/>
      <c r="G214" s="73"/>
      <c r="H214" s="73"/>
      <c r="I214" s="73"/>
      <c r="J214" s="73"/>
      <c r="K214" s="73"/>
    </row>
    <row r="215">
      <c r="C215" s="71"/>
      <c r="D215" s="71"/>
      <c r="E215" s="71"/>
      <c r="F215" s="73"/>
      <c r="G215" s="73"/>
      <c r="H215" s="73"/>
      <c r="I215" s="73"/>
      <c r="J215" s="73"/>
      <c r="K215" s="73"/>
    </row>
    <row r="216">
      <c r="C216" s="71"/>
      <c r="D216" s="71"/>
      <c r="E216" s="71"/>
      <c r="F216" s="73"/>
      <c r="G216" s="73"/>
      <c r="H216" s="73"/>
      <c r="I216" s="73"/>
      <c r="J216" s="73"/>
      <c r="K216" s="73"/>
    </row>
    <row r="217">
      <c r="C217" s="71"/>
      <c r="D217" s="71"/>
      <c r="E217" s="71"/>
      <c r="F217" s="73"/>
      <c r="G217" s="73"/>
      <c r="H217" s="73"/>
      <c r="I217" s="73"/>
      <c r="J217" s="73"/>
      <c r="K217" s="73"/>
    </row>
    <row r="218">
      <c r="C218" s="71"/>
      <c r="D218" s="71"/>
      <c r="E218" s="71"/>
      <c r="F218" s="73"/>
      <c r="G218" s="73"/>
      <c r="H218" s="73"/>
      <c r="I218" s="73"/>
      <c r="J218" s="73"/>
      <c r="K218" s="73"/>
    </row>
    <row r="219">
      <c r="C219" s="71"/>
      <c r="D219" s="71"/>
      <c r="E219" s="71"/>
      <c r="F219" s="73"/>
      <c r="G219" s="73"/>
      <c r="H219" s="73"/>
      <c r="I219" s="73"/>
      <c r="J219" s="73"/>
      <c r="K219" s="73"/>
    </row>
    <row r="220">
      <c r="C220" s="71"/>
      <c r="D220" s="71"/>
      <c r="E220" s="71"/>
      <c r="F220" s="73"/>
      <c r="G220" s="73"/>
      <c r="H220" s="73"/>
      <c r="I220" s="73"/>
      <c r="J220" s="73"/>
      <c r="K220" s="73"/>
    </row>
    <row r="221">
      <c r="C221" s="71"/>
      <c r="D221" s="71"/>
      <c r="E221" s="71"/>
      <c r="F221" s="73"/>
      <c r="G221" s="73"/>
      <c r="H221" s="73"/>
      <c r="I221" s="73"/>
      <c r="J221" s="73"/>
      <c r="K221" s="73"/>
    </row>
    <row r="222">
      <c r="C222" s="71"/>
      <c r="D222" s="71"/>
      <c r="E222" s="71"/>
      <c r="F222" s="73"/>
      <c r="G222" s="73"/>
      <c r="H222" s="73"/>
      <c r="I222" s="73"/>
      <c r="J222" s="73"/>
      <c r="K222" s="73"/>
    </row>
    <row r="223">
      <c r="C223" s="71"/>
      <c r="D223" s="71"/>
      <c r="E223" s="71"/>
      <c r="F223" s="73"/>
      <c r="G223" s="73"/>
      <c r="H223" s="73"/>
      <c r="I223" s="73"/>
      <c r="J223" s="73"/>
      <c r="K223" s="73"/>
    </row>
    <row r="224">
      <c r="C224" s="71"/>
      <c r="D224" s="71"/>
      <c r="E224" s="71"/>
      <c r="F224" s="73"/>
      <c r="G224" s="73"/>
      <c r="H224" s="73"/>
      <c r="I224" s="73"/>
      <c r="J224" s="73"/>
      <c r="K224" s="73"/>
    </row>
    <row r="225">
      <c r="C225" s="71"/>
      <c r="D225" s="71"/>
      <c r="E225" s="71"/>
      <c r="F225" s="73"/>
      <c r="G225" s="73"/>
      <c r="H225" s="73"/>
      <c r="I225" s="73"/>
      <c r="J225" s="73"/>
      <c r="K225" s="73"/>
    </row>
    <row r="226">
      <c r="C226" s="71"/>
      <c r="D226" s="71"/>
      <c r="E226" s="71"/>
      <c r="F226" s="73"/>
      <c r="G226" s="73"/>
      <c r="H226" s="73"/>
      <c r="I226" s="73"/>
      <c r="J226" s="73"/>
      <c r="K226" s="73"/>
    </row>
    <row r="227">
      <c r="C227" s="71"/>
      <c r="D227" s="71"/>
      <c r="E227" s="71"/>
      <c r="F227" s="73"/>
      <c r="G227" s="73"/>
      <c r="H227" s="73"/>
      <c r="I227" s="73"/>
      <c r="J227" s="73"/>
      <c r="K227" s="73"/>
    </row>
    <row r="228">
      <c r="C228" s="71"/>
      <c r="D228" s="71"/>
      <c r="E228" s="71"/>
      <c r="F228" s="73"/>
      <c r="G228" s="73"/>
      <c r="H228" s="73"/>
      <c r="I228" s="73"/>
      <c r="J228" s="73"/>
      <c r="K228" s="73"/>
    </row>
    <row r="229">
      <c r="C229" s="71"/>
      <c r="D229" s="71"/>
      <c r="E229" s="71"/>
      <c r="F229" s="73"/>
      <c r="G229" s="73"/>
      <c r="H229" s="73"/>
      <c r="I229" s="73"/>
      <c r="J229" s="73"/>
      <c r="K229" s="73"/>
    </row>
    <row r="230">
      <c r="C230" s="71"/>
      <c r="D230" s="71"/>
      <c r="E230" s="71"/>
      <c r="F230" s="73"/>
      <c r="G230" s="73"/>
      <c r="H230" s="73"/>
      <c r="I230" s="73"/>
      <c r="J230" s="73"/>
      <c r="K230" s="73"/>
    </row>
    <row r="231">
      <c r="C231" s="71"/>
      <c r="D231" s="71"/>
      <c r="E231" s="71"/>
      <c r="F231" s="73"/>
      <c r="G231" s="73"/>
      <c r="H231" s="73"/>
      <c r="I231" s="73"/>
      <c r="J231" s="73"/>
      <c r="K231" s="73"/>
    </row>
    <row r="232">
      <c r="C232" s="71"/>
      <c r="D232" s="71"/>
      <c r="E232" s="71"/>
      <c r="F232" s="73"/>
      <c r="G232" s="73"/>
      <c r="H232" s="73"/>
      <c r="I232" s="73"/>
      <c r="J232" s="73"/>
      <c r="K232" s="73"/>
    </row>
    <row r="233">
      <c r="C233" s="71"/>
      <c r="D233" s="71"/>
      <c r="E233" s="71"/>
      <c r="F233" s="73"/>
      <c r="G233" s="73"/>
      <c r="H233" s="73"/>
      <c r="I233" s="73"/>
      <c r="J233" s="73"/>
      <c r="K233" s="73"/>
    </row>
    <row r="234">
      <c r="C234" s="71"/>
      <c r="D234" s="71"/>
      <c r="E234" s="71"/>
      <c r="F234" s="73"/>
      <c r="G234" s="73"/>
      <c r="H234" s="73"/>
      <c r="I234" s="73"/>
      <c r="J234" s="73"/>
      <c r="K234" s="73"/>
    </row>
    <row r="235">
      <c r="C235" s="71"/>
      <c r="D235" s="71"/>
      <c r="E235" s="71"/>
      <c r="F235" s="73"/>
      <c r="G235" s="73"/>
      <c r="H235" s="73"/>
      <c r="I235" s="73"/>
      <c r="J235" s="73"/>
      <c r="K235" s="73"/>
    </row>
    <row r="236">
      <c r="C236" s="71"/>
      <c r="D236" s="71"/>
      <c r="E236" s="71"/>
      <c r="F236" s="73"/>
      <c r="G236" s="73"/>
      <c r="H236" s="73"/>
      <c r="I236" s="73"/>
      <c r="J236" s="73"/>
      <c r="K236" s="73"/>
    </row>
    <row r="237">
      <c r="C237" s="71"/>
      <c r="D237" s="71"/>
      <c r="E237" s="71"/>
      <c r="F237" s="73"/>
      <c r="G237" s="73"/>
      <c r="H237" s="73"/>
      <c r="I237" s="73"/>
      <c r="J237" s="73"/>
      <c r="K237" s="73"/>
    </row>
    <row r="238">
      <c r="C238" s="71"/>
      <c r="D238" s="71"/>
      <c r="E238" s="71"/>
      <c r="F238" s="73"/>
      <c r="G238" s="73"/>
      <c r="H238" s="73"/>
      <c r="I238" s="73"/>
      <c r="J238" s="73"/>
      <c r="K238" s="73"/>
    </row>
    <row r="239">
      <c r="C239" s="71"/>
      <c r="D239" s="71"/>
      <c r="E239" s="71"/>
      <c r="F239" s="73"/>
      <c r="G239" s="73"/>
      <c r="H239" s="73"/>
      <c r="I239" s="73"/>
      <c r="J239" s="73"/>
      <c r="K239" s="73"/>
    </row>
    <row r="240">
      <c r="C240" s="71"/>
      <c r="D240" s="71"/>
      <c r="E240" s="71"/>
      <c r="F240" s="73"/>
      <c r="G240" s="73"/>
      <c r="H240" s="73"/>
      <c r="I240" s="73"/>
      <c r="J240" s="73"/>
      <c r="K240" s="73"/>
    </row>
    <row r="241">
      <c r="C241" s="71"/>
      <c r="D241" s="71"/>
      <c r="E241" s="71"/>
      <c r="F241" s="73"/>
      <c r="G241" s="73"/>
      <c r="H241" s="73"/>
      <c r="I241" s="73"/>
      <c r="J241" s="73"/>
      <c r="K241" s="73"/>
    </row>
    <row r="242">
      <c r="C242" s="71"/>
      <c r="D242" s="71"/>
      <c r="E242" s="71"/>
      <c r="F242" s="73"/>
      <c r="G242" s="73"/>
      <c r="H242" s="73"/>
      <c r="I242" s="73"/>
      <c r="J242" s="73"/>
      <c r="K242" s="73"/>
    </row>
    <row r="243">
      <c r="C243" s="71"/>
      <c r="D243" s="71"/>
      <c r="E243" s="71"/>
      <c r="F243" s="73"/>
      <c r="G243" s="73"/>
      <c r="H243" s="73"/>
      <c r="I243" s="73"/>
      <c r="J243" s="73"/>
      <c r="K243" s="73"/>
    </row>
    <row r="244">
      <c r="C244" s="71"/>
      <c r="D244" s="71"/>
      <c r="E244" s="71"/>
      <c r="F244" s="73"/>
      <c r="G244" s="73"/>
      <c r="H244" s="73"/>
      <c r="I244" s="73"/>
      <c r="J244" s="73"/>
      <c r="K244" s="73"/>
    </row>
    <row r="245">
      <c r="C245" s="71"/>
      <c r="D245" s="71"/>
      <c r="E245" s="71"/>
      <c r="F245" s="73"/>
      <c r="G245" s="73"/>
      <c r="H245" s="73"/>
      <c r="I245" s="73"/>
      <c r="J245" s="73"/>
      <c r="K245" s="73"/>
    </row>
    <row r="246">
      <c r="C246" s="71"/>
      <c r="D246" s="71"/>
      <c r="E246" s="71"/>
      <c r="F246" s="73"/>
      <c r="G246" s="73"/>
      <c r="H246" s="73"/>
      <c r="I246" s="73"/>
      <c r="J246" s="73"/>
      <c r="K246" s="73"/>
    </row>
    <row r="247">
      <c r="C247" s="71"/>
      <c r="D247" s="71"/>
      <c r="E247" s="71"/>
      <c r="F247" s="73"/>
      <c r="G247" s="73"/>
      <c r="H247" s="73"/>
      <c r="I247" s="73"/>
      <c r="J247" s="73"/>
      <c r="K247" s="73"/>
    </row>
    <row r="248">
      <c r="C248" s="71"/>
      <c r="D248" s="71"/>
      <c r="E248" s="71"/>
      <c r="F248" s="73"/>
      <c r="G248" s="73"/>
      <c r="H248" s="73"/>
      <c r="I248" s="73"/>
      <c r="J248" s="73"/>
      <c r="K248" s="73"/>
    </row>
    <row r="249">
      <c r="C249" s="71"/>
      <c r="D249" s="71"/>
      <c r="E249" s="71"/>
      <c r="F249" s="73"/>
      <c r="G249" s="73"/>
      <c r="H249" s="73"/>
      <c r="I249" s="73"/>
      <c r="J249" s="73"/>
      <c r="K249" s="73"/>
    </row>
    <row r="250">
      <c r="C250" s="71"/>
      <c r="D250" s="71"/>
      <c r="E250" s="71"/>
      <c r="F250" s="73"/>
      <c r="G250" s="73"/>
      <c r="H250" s="73"/>
      <c r="I250" s="73"/>
      <c r="J250" s="73"/>
      <c r="K250" s="73"/>
    </row>
    <row r="251">
      <c r="C251" s="71"/>
      <c r="D251" s="71"/>
      <c r="E251" s="71"/>
      <c r="F251" s="73"/>
      <c r="G251" s="73"/>
      <c r="H251" s="73"/>
      <c r="I251" s="73"/>
      <c r="J251" s="73"/>
      <c r="K251" s="73"/>
    </row>
    <row r="252">
      <c r="C252" s="71"/>
      <c r="D252" s="71"/>
      <c r="E252" s="71"/>
      <c r="F252" s="73"/>
      <c r="G252" s="73"/>
      <c r="H252" s="73"/>
      <c r="I252" s="73"/>
      <c r="J252" s="73"/>
      <c r="K252" s="73"/>
    </row>
    <row r="253">
      <c r="C253" s="71"/>
      <c r="D253" s="71"/>
      <c r="E253" s="71"/>
      <c r="F253" s="73"/>
      <c r="G253" s="73"/>
      <c r="H253" s="73"/>
      <c r="I253" s="73"/>
      <c r="J253" s="73"/>
      <c r="K253" s="73"/>
    </row>
    <row r="254">
      <c r="C254" s="71"/>
      <c r="D254" s="71"/>
      <c r="E254" s="71"/>
      <c r="F254" s="73"/>
      <c r="G254" s="73"/>
      <c r="H254" s="73"/>
      <c r="I254" s="73"/>
      <c r="J254" s="73"/>
      <c r="K254" s="73"/>
    </row>
    <row r="255">
      <c r="C255" s="71"/>
      <c r="D255" s="71"/>
      <c r="E255" s="71"/>
      <c r="F255" s="73"/>
      <c r="G255" s="73"/>
      <c r="H255" s="73"/>
      <c r="I255" s="73"/>
      <c r="J255" s="73"/>
      <c r="K255" s="73"/>
    </row>
    <row r="256">
      <c r="C256" s="71"/>
      <c r="D256" s="71"/>
      <c r="E256" s="71"/>
      <c r="F256" s="73"/>
      <c r="G256" s="73"/>
      <c r="H256" s="73"/>
      <c r="I256" s="73"/>
      <c r="J256" s="73"/>
      <c r="K256" s="73"/>
    </row>
    <row r="257">
      <c r="C257" s="71"/>
      <c r="D257" s="71"/>
      <c r="E257" s="71"/>
      <c r="F257" s="73"/>
      <c r="G257" s="73"/>
      <c r="H257" s="73"/>
      <c r="I257" s="73"/>
      <c r="J257" s="73"/>
      <c r="K257" s="73"/>
    </row>
    <row r="258">
      <c r="C258" s="71"/>
      <c r="D258" s="71"/>
      <c r="E258" s="71"/>
      <c r="F258" s="73"/>
      <c r="G258" s="73"/>
      <c r="H258" s="73"/>
      <c r="I258" s="73"/>
      <c r="J258" s="73"/>
      <c r="K258" s="73"/>
    </row>
    <row r="259">
      <c r="C259" s="71"/>
      <c r="D259" s="71"/>
      <c r="E259" s="71"/>
      <c r="F259" s="73"/>
      <c r="G259" s="73"/>
      <c r="H259" s="73"/>
      <c r="I259" s="73"/>
      <c r="J259" s="73"/>
      <c r="K259" s="73"/>
    </row>
    <row r="260">
      <c r="C260" s="71"/>
      <c r="D260" s="71"/>
      <c r="E260" s="71"/>
      <c r="F260" s="73"/>
      <c r="G260" s="73"/>
      <c r="H260" s="73"/>
      <c r="I260" s="73"/>
      <c r="J260" s="73"/>
      <c r="K260" s="73"/>
    </row>
    <row r="261">
      <c r="C261" s="71"/>
      <c r="D261" s="71"/>
      <c r="E261" s="71"/>
      <c r="F261" s="73"/>
      <c r="G261" s="73"/>
      <c r="H261" s="73"/>
      <c r="I261" s="73"/>
      <c r="J261" s="73"/>
      <c r="K261" s="73"/>
    </row>
    <row r="262">
      <c r="C262" s="71"/>
      <c r="D262" s="71"/>
      <c r="E262" s="71"/>
      <c r="F262" s="73"/>
      <c r="G262" s="73"/>
      <c r="H262" s="73"/>
      <c r="I262" s="73"/>
      <c r="J262" s="73"/>
      <c r="K262" s="73"/>
    </row>
    <row r="263">
      <c r="C263" s="71"/>
      <c r="D263" s="71"/>
      <c r="E263" s="71"/>
      <c r="F263" s="73"/>
      <c r="G263" s="73"/>
      <c r="H263" s="73"/>
      <c r="I263" s="73"/>
      <c r="J263" s="73"/>
      <c r="K263" s="73"/>
    </row>
    <row r="264">
      <c r="C264" s="71"/>
      <c r="D264" s="71"/>
      <c r="E264" s="71"/>
      <c r="F264" s="73"/>
      <c r="G264" s="73"/>
      <c r="H264" s="73"/>
      <c r="I264" s="73"/>
      <c r="J264" s="73"/>
      <c r="K264" s="73"/>
    </row>
    <row r="265">
      <c r="C265" s="71"/>
      <c r="D265" s="71"/>
      <c r="E265" s="71"/>
      <c r="F265" s="73"/>
      <c r="G265" s="73"/>
      <c r="H265" s="73"/>
      <c r="I265" s="73"/>
      <c r="J265" s="73"/>
      <c r="K265" s="73"/>
    </row>
    <row r="266">
      <c r="C266" s="71"/>
      <c r="D266" s="71"/>
      <c r="E266" s="71"/>
      <c r="F266" s="73"/>
      <c r="G266" s="73"/>
      <c r="H266" s="73"/>
      <c r="I266" s="73"/>
      <c r="J266" s="73"/>
      <c r="K266" s="73"/>
    </row>
    <row r="267">
      <c r="C267" s="71"/>
      <c r="D267" s="71"/>
      <c r="E267" s="71"/>
      <c r="F267" s="73"/>
      <c r="G267" s="73"/>
      <c r="H267" s="73"/>
      <c r="I267" s="73"/>
      <c r="J267" s="73"/>
      <c r="K267" s="73"/>
    </row>
    <row r="268">
      <c r="C268" s="71"/>
      <c r="D268" s="71"/>
      <c r="E268" s="71"/>
      <c r="F268" s="73"/>
      <c r="G268" s="73"/>
      <c r="H268" s="73"/>
      <c r="I268" s="73"/>
      <c r="J268" s="73"/>
      <c r="K268" s="73"/>
    </row>
    <row r="269">
      <c r="C269" s="71"/>
      <c r="D269" s="71"/>
      <c r="E269" s="71"/>
      <c r="F269" s="73"/>
      <c r="G269" s="73"/>
      <c r="H269" s="73"/>
      <c r="I269" s="73"/>
      <c r="J269" s="73"/>
      <c r="K269" s="73"/>
    </row>
    <row r="270">
      <c r="C270" s="71"/>
      <c r="D270" s="71"/>
      <c r="E270" s="71"/>
      <c r="F270" s="73"/>
      <c r="G270" s="73"/>
      <c r="H270" s="73"/>
      <c r="I270" s="73"/>
      <c r="J270" s="73"/>
      <c r="K270" s="73"/>
    </row>
    <row r="271">
      <c r="C271" s="71"/>
      <c r="D271" s="71"/>
      <c r="E271" s="71"/>
      <c r="F271" s="73"/>
      <c r="G271" s="73"/>
      <c r="H271" s="73"/>
      <c r="I271" s="73"/>
      <c r="J271" s="73"/>
      <c r="K271" s="73"/>
    </row>
    <row r="272">
      <c r="C272" s="71"/>
      <c r="D272" s="71"/>
      <c r="E272" s="71"/>
      <c r="F272" s="73"/>
      <c r="G272" s="73"/>
      <c r="H272" s="73"/>
      <c r="I272" s="73"/>
      <c r="J272" s="73"/>
      <c r="K272" s="73"/>
    </row>
    <row r="273">
      <c r="C273" s="71"/>
      <c r="D273" s="71"/>
      <c r="E273" s="71"/>
      <c r="F273" s="73"/>
      <c r="G273" s="73"/>
      <c r="H273" s="73"/>
      <c r="I273" s="73"/>
      <c r="J273" s="73"/>
      <c r="K273" s="73"/>
    </row>
    <row r="274">
      <c r="C274" s="71"/>
      <c r="D274" s="71"/>
      <c r="E274" s="71"/>
      <c r="F274" s="73"/>
      <c r="G274" s="73"/>
      <c r="H274" s="73"/>
      <c r="I274" s="73"/>
      <c r="J274" s="73"/>
      <c r="K274" s="73"/>
    </row>
    <row r="275">
      <c r="C275" s="71"/>
      <c r="D275" s="71"/>
      <c r="E275" s="71"/>
      <c r="F275" s="73"/>
      <c r="G275" s="73"/>
      <c r="H275" s="73"/>
      <c r="I275" s="73"/>
      <c r="J275" s="73"/>
      <c r="K275" s="73"/>
    </row>
    <row r="276">
      <c r="C276" s="71"/>
      <c r="D276" s="71"/>
      <c r="E276" s="71"/>
      <c r="F276" s="73"/>
      <c r="G276" s="73"/>
      <c r="H276" s="73"/>
      <c r="I276" s="73"/>
      <c r="J276" s="73"/>
      <c r="K276" s="73"/>
    </row>
    <row r="277">
      <c r="C277" s="71"/>
      <c r="D277" s="71"/>
      <c r="E277" s="71"/>
      <c r="F277" s="73"/>
      <c r="G277" s="73"/>
      <c r="H277" s="73"/>
      <c r="I277" s="73"/>
      <c r="J277" s="73"/>
      <c r="K277" s="73"/>
    </row>
    <row r="278">
      <c r="C278" s="71"/>
      <c r="D278" s="71"/>
      <c r="E278" s="71"/>
      <c r="F278" s="73"/>
      <c r="G278" s="73"/>
      <c r="H278" s="73"/>
      <c r="I278" s="73"/>
      <c r="J278" s="73"/>
      <c r="K278" s="73"/>
    </row>
    <row r="279">
      <c r="C279" s="71"/>
      <c r="D279" s="71"/>
      <c r="E279" s="71"/>
      <c r="F279" s="73"/>
      <c r="G279" s="73"/>
      <c r="H279" s="73"/>
      <c r="I279" s="73"/>
      <c r="J279" s="73"/>
      <c r="K279" s="73"/>
    </row>
    <row r="280">
      <c r="C280" s="71"/>
      <c r="D280" s="71"/>
      <c r="E280" s="71"/>
      <c r="F280" s="73"/>
      <c r="G280" s="73"/>
      <c r="H280" s="73"/>
      <c r="I280" s="73"/>
      <c r="J280" s="73"/>
      <c r="K280" s="73"/>
    </row>
    <row r="281">
      <c r="C281" s="71"/>
      <c r="D281" s="71"/>
      <c r="E281" s="71"/>
      <c r="F281" s="73"/>
      <c r="G281" s="73"/>
      <c r="H281" s="73"/>
      <c r="I281" s="73"/>
      <c r="J281" s="73"/>
      <c r="K281" s="73"/>
    </row>
    <row r="282">
      <c r="C282" s="71"/>
      <c r="D282" s="71"/>
      <c r="E282" s="71"/>
      <c r="F282" s="73"/>
      <c r="G282" s="73"/>
      <c r="H282" s="73"/>
      <c r="I282" s="73"/>
      <c r="J282" s="73"/>
      <c r="K282" s="73"/>
    </row>
    <row r="283">
      <c r="C283" s="71"/>
      <c r="D283" s="71"/>
      <c r="E283" s="71"/>
      <c r="F283" s="73"/>
      <c r="G283" s="73"/>
      <c r="H283" s="73"/>
      <c r="I283" s="73"/>
      <c r="J283" s="73"/>
      <c r="K283" s="73"/>
    </row>
    <row r="284">
      <c r="C284" s="71"/>
      <c r="D284" s="71"/>
      <c r="E284" s="71"/>
      <c r="F284" s="73"/>
      <c r="G284" s="73"/>
      <c r="H284" s="73"/>
      <c r="I284" s="73"/>
      <c r="J284" s="73"/>
      <c r="K284" s="73"/>
    </row>
    <row r="285">
      <c r="C285" s="71"/>
      <c r="D285" s="71"/>
      <c r="E285" s="71"/>
      <c r="F285" s="73"/>
      <c r="G285" s="73"/>
      <c r="H285" s="73"/>
      <c r="I285" s="73"/>
      <c r="J285" s="73"/>
      <c r="K285" s="73"/>
    </row>
    <row r="286">
      <c r="C286" s="71"/>
      <c r="D286" s="71"/>
      <c r="E286" s="71"/>
      <c r="F286" s="73"/>
      <c r="G286" s="73"/>
      <c r="H286" s="73"/>
      <c r="I286" s="73"/>
      <c r="J286" s="73"/>
      <c r="K286" s="73"/>
    </row>
    <row r="287">
      <c r="C287" s="71"/>
      <c r="D287" s="71"/>
      <c r="E287" s="71"/>
      <c r="F287" s="73"/>
      <c r="G287" s="73"/>
      <c r="H287" s="73"/>
      <c r="I287" s="73"/>
      <c r="J287" s="73"/>
      <c r="K287" s="73"/>
    </row>
    <row r="288">
      <c r="C288" s="71"/>
      <c r="D288" s="71"/>
      <c r="E288" s="71"/>
      <c r="F288" s="73"/>
      <c r="G288" s="73"/>
      <c r="H288" s="73"/>
      <c r="I288" s="73"/>
      <c r="J288" s="73"/>
      <c r="K288" s="73"/>
    </row>
    <row r="289">
      <c r="C289" s="71"/>
      <c r="D289" s="71"/>
      <c r="E289" s="71"/>
      <c r="F289" s="73"/>
      <c r="G289" s="73"/>
      <c r="H289" s="73"/>
      <c r="I289" s="73"/>
      <c r="J289" s="73"/>
      <c r="K289" s="73"/>
    </row>
    <row r="290">
      <c r="C290" s="71"/>
      <c r="D290" s="71"/>
      <c r="E290" s="71"/>
      <c r="F290" s="73"/>
      <c r="G290" s="73"/>
      <c r="H290" s="73"/>
      <c r="I290" s="73"/>
      <c r="J290" s="73"/>
      <c r="K290" s="73"/>
    </row>
    <row r="291">
      <c r="C291" s="71"/>
      <c r="D291" s="71"/>
      <c r="E291" s="71"/>
      <c r="F291" s="73"/>
      <c r="G291" s="73"/>
      <c r="H291" s="73"/>
      <c r="I291" s="73"/>
      <c r="J291" s="73"/>
      <c r="K291" s="73"/>
    </row>
    <row r="292">
      <c r="C292" s="71"/>
      <c r="D292" s="71"/>
      <c r="E292" s="71"/>
      <c r="F292" s="73"/>
      <c r="G292" s="73"/>
      <c r="H292" s="73"/>
      <c r="I292" s="73"/>
      <c r="J292" s="73"/>
      <c r="K292" s="73"/>
    </row>
    <row r="293">
      <c r="C293" s="71"/>
      <c r="D293" s="71"/>
      <c r="E293" s="71"/>
      <c r="F293" s="73"/>
      <c r="G293" s="73"/>
      <c r="H293" s="73"/>
      <c r="I293" s="73"/>
      <c r="J293" s="73"/>
      <c r="K293" s="73"/>
    </row>
    <row r="294">
      <c r="C294" s="71"/>
      <c r="D294" s="71"/>
      <c r="E294" s="71"/>
      <c r="F294" s="73"/>
      <c r="G294" s="73"/>
      <c r="H294" s="73"/>
      <c r="I294" s="73"/>
      <c r="J294" s="73"/>
      <c r="K294" s="73"/>
    </row>
    <row r="295">
      <c r="C295" s="71"/>
      <c r="D295" s="71"/>
      <c r="E295" s="71"/>
      <c r="F295" s="73"/>
      <c r="G295" s="73"/>
      <c r="H295" s="73"/>
      <c r="I295" s="73"/>
      <c r="J295" s="73"/>
      <c r="K295" s="73"/>
    </row>
    <row r="296">
      <c r="C296" s="71"/>
      <c r="D296" s="71"/>
      <c r="E296" s="71"/>
      <c r="F296" s="73"/>
      <c r="G296" s="73"/>
      <c r="H296" s="73"/>
      <c r="I296" s="73"/>
      <c r="J296" s="73"/>
      <c r="K296" s="73"/>
    </row>
    <row r="297">
      <c r="C297" s="71"/>
      <c r="D297" s="71"/>
      <c r="E297" s="71"/>
      <c r="F297" s="73"/>
      <c r="G297" s="73"/>
      <c r="H297" s="73"/>
      <c r="I297" s="73"/>
      <c r="J297" s="73"/>
      <c r="K297" s="73"/>
    </row>
    <row r="298">
      <c r="C298" s="71"/>
      <c r="D298" s="71"/>
      <c r="E298" s="71"/>
      <c r="F298" s="73"/>
      <c r="G298" s="73"/>
      <c r="H298" s="73"/>
      <c r="I298" s="73"/>
      <c r="J298" s="73"/>
      <c r="K298" s="73"/>
    </row>
    <row r="299">
      <c r="C299" s="71"/>
      <c r="D299" s="71"/>
      <c r="E299" s="71"/>
      <c r="F299" s="73"/>
      <c r="G299" s="73"/>
      <c r="H299" s="73"/>
      <c r="I299" s="73"/>
      <c r="J299" s="73"/>
      <c r="K299" s="73"/>
    </row>
    <row r="300">
      <c r="C300" s="71"/>
      <c r="D300" s="71"/>
      <c r="E300" s="71"/>
      <c r="F300" s="73"/>
      <c r="G300" s="73"/>
      <c r="H300" s="73"/>
      <c r="I300" s="73"/>
      <c r="J300" s="73"/>
      <c r="K300" s="73"/>
    </row>
    <row r="301">
      <c r="C301" s="71"/>
      <c r="D301" s="71"/>
      <c r="E301" s="71"/>
      <c r="F301" s="73"/>
      <c r="G301" s="73"/>
      <c r="H301" s="73"/>
      <c r="I301" s="73"/>
      <c r="J301" s="73"/>
      <c r="K301" s="73"/>
    </row>
    <row r="302">
      <c r="C302" s="71"/>
      <c r="D302" s="71"/>
      <c r="E302" s="71"/>
      <c r="F302" s="73"/>
      <c r="G302" s="73"/>
      <c r="H302" s="73"/>
      <c r="I302" s="73"/>
      <c r="J302" s="73"/>
      <c r="K302" s="73"/>
    </row>
    <row r="303">
      <c r="C303" s="71"/>
      <c r="D303" s="71"/>
      <c r="E303" s="71"/>
      <c r="F303" s="73"/>
      <c r="G303" s="73"/>
      <c r="H303" s="73"/>
      <c r="I303" s="73"/>
      <c r="J303" s="73"/>
      <c r="K303" s="73"/>
    </row>
    <row r="304">
      <c r="C304" s="71"/>
      <c r="D304" s="71"/>
      <c r="E304" s="71"/>
      <c r="F304" s="73"/>
      <c r="G304" s="73"/>
      <c r="H304" s="73"/>
      <c r="I304" s="73"/>
      <c r="J304" s="73"/>
      <c r="K304" s="73"/>
    </row>
    <row r="305">
      <c r="C305" s="71"/>
      <c r="D305" s="71"/>
      <c r="E305" s="71"/>
      <c r="F305" s="73"/>
      <c r="G305" s="73"/>
      <c r="H305" s="73"/>
      <c r="I305" s="73"/>
      <c r="J305" s="73"/>
      <c r="K305" s="73"/>
    </row>
    <row r="306">
      <c r="C306" s="71"/>
      <c r="D306" s="71"/>
      <c r="E306" s="71"/>
      <c r="F306" s="73"/>
      <c r="G306" s="73"/>
      <c r="H306" s="73"/>
      <c r="I306" s="73"/>
      <c r="J306" s="73"/>
      <c r="K306" s="73"/>
    </row>
    <row r="307">
      <c r="C307" s="71"/>
      <c r="D307" s="71"/>
      <c r="E307" s="71"/>
      <c r="F307" s="73"/>
      <c r="G307" s="73"/>
      <c r="H307" s="73"/>
      <c r="I307" s="73"/>
      <c r="J307" s="73"/>
      <c r="K307" s="73"/>
    </row>
    <row r="308">
      <c r="C308" s="71"/>
      <c r="D308" s="71"/>
      <c r="E308" s="71"/>
      <c r="F308" s="73"/>
      <c r="G308" s="73"/>
      <c r="H308" s="73"/>
      <c r="I308" s="73"/>
      <c r="J308" s="73"/>
      <c r="K308" s="73"/>
    </row>
    <row r="309">
      <c r="C309" s="71"/>
      <c r="D309" s="71"/>
      <c r="E309" s="71"/>
      <c r="F309" s="73"/>
      <c r="G309" s="73"/>
      <c r="H309" s="73"/>
      <c r="I309" s="73"/>
      <c r="J309" s="73"/>
      <c r="K309" s="73"/>
    </row>
    <row r="310">
      <c r="C310" s="71"/>
      <c r="D310" s="71"/>
      <c r="E310" s="71"/>
      <c r="F310" s="73"/>
      <c r="G310" s="73"/>
      <c r="H310" s="73"/>
      <c r="I310" s="73"/>
      <c r="J310" s="73"/>
      <c r="K310" s="73"/>
    </row>
    <row r="311">
      <c r="C311" s="71"/>
      <c r="D311" s="71"/>
      <c r="E311" s="71"/>
      <c r="F311" s="73"/>
      <c r="G311" s="73"/>
      <c r="H311" s="73"/>
      <c r="I311" s="73"/>
      <c r="J311" s="73"/>
      <c r="K311" s="73"/>
    </row>
    <row r="312">
      <c r="C312" s="71"/>
      <c r="D312" s="71"/>
      <c r="E312" s="71"/>
      <c r="F312" s="73"/>
      <c r="G312" s="73"/>
      <c r="H312" s="73"/>
      <c r="I312" s="73"/>
      <c r="J312" s="73"/>
      <c r="K312" s="73"/>
    </row>
    <row r="313">
      <c r="C313" s="71"/>
      <c r="D313" s="71"/>
      <c r="E313" s="71"/>
      <c r="F313" s="73"/>
      <c r="G313" s="73"/>
      <c r="H313" s="73"/>
      <c r="I313" s="73"/>
      <c r="J313" s="73"/>
      <c r="K313" s="73"/>
    </row>
    <row r="314">
      <c r="C314" s="71"/>
      <c r="D314" s="71"/>
      <c r="E314" s="71"/>
      <c r="F314" s="73"/>
      <c r="G314" s="73"/>
      <c r="H314" s="73"/>
      <c r="I314" s="73"/>
      <c r="J314" s="73"/>
      <c r="K314" s="73"/>
    </row>
    <row r="315">
      <c r="C315" s="71"/>
      <c r="D315" s="71"/>
      <c r="E315" s="71"/>
      <c r="F315" s="73"/>
      <c r="G315" s="73"/>
      <c r="H315" s="73"/>
      <c r="I315" s="73"/>
      <c r="J315" s="73"/>
      <c r="K315" s="73"/>
    </row>
    <row r="316">
      <c r="C316" s="71"/>
      <c r="D316" s="71"/>
      <c r="E316" s="71"/>
      <c r="F316" s="73"/>
      <c r="G316" s="73"/>
      <c r="H316" s="73"/>
      <c r="I316" s="73"/>
      <c r="J316" s="73"/>
      <c r="K316" s="73"/>
    </row>
    <row r="317">
      <c r="C317" s="71"/>
      <c r="D317" s="71"/>
      <c r="E317" s="71"/>
      <c r="F317" s="73"/>
      <c r="G317" s="73"/>
      <c r="H317" s="73"/>
      <c r="I317" s="73"/>
      <c r="J317" s="73"/>
      <c r="K317" s="73"/>
    </row>
    <row r="318">
      <c r="C318" s="71"/>
      <c r="D318" s="71"/>
      <c r="E318" s="71"/>
      <c r="F318" s="73"/>
      <c r="G318" s="73"/>
      <c r="H318" s="73"/>
      <c r="I318" s="73"/>
      <c r="J318" s="73"/>
      <c r="K318" s="73"/>
    </row>
    <row r="319">
      <c r="C319" s="71"/>
      <c r="D319" s="71"/>
      <c r="E319" s="71"/>
      <c r="F319" s="73"/>
      <c r="G319" s="73"/>
      <c r="H319" s="73"/>
      <c r="I319" s="73"/>
      <c r="J319" s="73"/>
      <c r="K319" s="73"/>
    </row>
    <row r="320">
      <c r="C320" s="71"/>
      <c r="D320" s="71"/>
      <c r="E320" s="71"/>
      <c r="F320" s="73"/>
      <c r="G320" s="73"/>
      <c r="H320" s="73"/>
      <c r="I320" s="73"/>
      <c r="J320" s="73"/>
      <c r="K320" s="73"/>
    </row>
    <row r="321">
      <c r="C321" s="71"/>
      <c r="D321" s="71"/>
      <c r="E321" s="71"/>
      <c r="F321" s="73"/>
      <c r="G321" s="73"/>
      <c r="H321" s="73"/>
      <c r="I321" s="73"/>
      <c r="J321" s="73"/>
      <c r="K321" s="73"/>
    </row>
    <row r="322">
      <c r="C322" s="71"/>
      <c r="D322" s="71"/>
      <c r="E322" s="71"/>
      <c r="F322" s="73"/>
      <c r="G322" s="73"/>
      <c r="H322" s="73"/>
      <c r="I322" s="73"/>
      <c r="J322" s="73"/>
      <c r="K322" s="73"/>
    </row>
    <row r="323">
      <c r="C323" s="71"/>
      <c r="D323" s="71"/>
      <c r="E323" s="71"/>
      <c r="F323" s="73"/>
      <c r="G323" s="73"/>
      <c r="H323" s="73"/>
      <c r="I323" s="73"/>
      <c r="J323" s="73"/>
      <c r="K323" s="73"/>
    </row>
    <row r="324">
      <c r="C324" s="71"/>
      <c r="D324" s="71"/>
      <c r="E324" s="71"/>
      <c r="F324" s="73"/>
      <c r="G324" s="73"/>
      <c r="H324" s="73"/>
      <c r="I324" s="73"/>
      <c r="J324" s="73"/>
      <c r="K324" s="73"/>
    </row>
    <row r="325">
      <c r="C325" s="71"/>
      <c r="D325" s="71"/>
      <c r="E325" s="71"/>
      <c r="F325" s="73"/>
      <c r="G325" s="73"/>
      <c r="H325" s="73"/>
      <c r="I325" s="73"/>
      <c r="J325" s="73"/>
      <c r="K325" s="73"/>
    </row>
    <row r="326">
      <c r="C326" s="71"/>
      <c r="D326" s="71"/>
      <c r="E326" s="71"/>
      <c r="F326" s="73"/>
      <c r="G326" s="73"/>
      <c r="H326" s="73"/>
      <c r="I326" s="73"/>
      <c r="J326" s="73"/>
      <c r="K326" s="73"/>
    </row>
    <row r="327">
      <c r="C327" s="71"/>
      <c r="D327" s="71"/>
      <c r="E327" s="71"/>
      <c r="F327" s="73"/>
      <c r="G327" s="73"/>
      <c r="H327" s="73"/>
      <c r="I327" s="73"/>
      <c r="J327" s="73"/>
      <c r="K327" s="73"/>
    </row>
    <row r="328">
      <c r="C328" s="71"/>
      <c r="D328" s="71"/>
      <c r="E328" s="71"/>
      <c r="F328" s="73"/>
      <c r="G328" s="73"/>
      <c r="H328" s="73"/>
      <c r="I328" s="73"/>
      <c r="J328" s="73"/>
      <c r="K328" s="73"/>
    </row>
    <row r="329">
      <c r="C329" s="71"/>
      <c r="D329" s="71"/>
      <c r="E329" s="71"/>
      <c r="F329" s="73"/>
      <c r="G329" s="73"/>
      <c r="H329" s="73"/>
      <c r="I329" s="73"/>
      <c r="J329" s="73"/>
      <c r="K329" s="73"/>
    </row>
    <row r="330">
      <c r="C330" s="71"/>
      <c r="D330" s="71"/>
      <c r="E330" s="71"/>
      <c r="F330" s="73"/>
      <c r="G330" s="73"/>
      <c r="H330" s="73"/>
      <c r="I330" s="73"/>
      <c r="J330" s="73"/>
      <c r="K330" s="73"/>
    </row>
    <row r="331">
      <c r="C331" s="71"/>
      <c r="D331" s="71"/>
      <c r="E331" s="71"/>
      <c r="F331" s="73"/>
      <c r="G331" s="73"/>
      <c r="H331" s="73"/>
      <c r="I331" s="73"/>
      <c r="J331" s="73"/>
      <c r="K331" s="73"/>
    </row>
    <row r="332">
      <c r="C332" s="71"/>
      <c r="D332" s="71"/>
      <c r="E332" s="71"/>
      <c r="F332" s="73"/>
      <c r="G332" s="73"/>
      <c r="H332" s="73"/>
      <c r="I332" s="73"/>
      <c r="J332" s="73"/>
      <c r="K332" s="73"/>
    </row>
    <row r="333">
      <c r="C333" s="71"/>
      <c r="D333" s="71"/>
      <c r="E333" s="71"/>
      <c r="F333" s="73"/>
      <c r="G333" s="73"/>
      <c r="H333" s="73"/>
      <c r="I333" s="73"/>
      <c r="J333" s="73"/>
      <c r="K333" s="73"/>
    </row>
    <row r="334">
      <c r="C334" s="71"/>
      <c r="D334" s="71"/>
      <c r="E334" s="71"/>
      <c r="F334" s="73"/>
      <c r="G334" s="73"/>
      <c r="H334" s="73"/>
      <c r="I334" s="73"/>
      <c r="J334" s="73"/>
      <c r="K334" s="73"/>
    </row>
    <row r="335">
      <c r="C335" s="71"/>
      <c r="D335" s="71"/>
      <c r="E335" s="71"/>
      <c r="F335" s="73"/>
      <c r="G335" s="73"/>
      <c r="H335" s="73"/>
      <c r="I335" s="73"/>
      <c r="J335" s="73"/>
      <c r="K335" s="73"/>
    </row>
    <row r="336">
      <c r="C336" s="71"/>
      <c r="D336" s="71"/>
      <c r="E336" s="71"/>
      <c r="F336" s="73"/>
      <c r="G336" s="73"/>
      <c r="H336" s="73"/>
      <c r="I336" s="73"/>
      <c r="J336" s="73"/>
      <c r="K336" s="73"/>
    </row>
    <row r="337">
      <c r="C337" s="71"/>
      <c r="D337" s="71"/>
      <c r="E337" s="71"/>
      <c r="F337" s="73"/>
      <c r="G337" s="73"/>
      <c r="H337" s="73"/>
      <c r="I337" s="73"/>
      <c r="J337" s="73"/>
      <c r="K337" s="73"/>
    </row>
    <row r="338">
      <c r="C338" s="71"/>
      <c r="D338" s="71"/>
      <c r="E338" s="71"/>
      <c r="F338" s="73"/>
      <c r="G338" s="73"/>
      <c r="H338" s="73"/>
      <c r="I338" s="73"/>
      <c r="J338" s="73"/>
      <c r="K338" s="73"/>
    </row>
    <row r="339">
      <c r="C339" s="71"/>
      <c r="D339" s="71"/>
      <c r="E339" s="71"/>
      <c r="F339" s="73"/>
      <c r="G339" s="73"/>
      <c r="H339" s="73"/>
      <c r="I339" s="73"/>
      <c r="J339" s="73"/>
      <c r="K339" s="73"/>
    </row>
    <row r="340">
      <c r="C340" s="71"/>
      <c r="D340" s="71"/>
      <c r="E340" s="71"/>
      <c r="F340" s="73"/>
      <c r="G340" s="73"/>
      <c r="H340" s="73"/>
      <c r="I340" s="73"/>
      <c r="J340" s="73"/>
      <c r="K340" s="73"/>
    </row>
    <row r="341">
      <c r="C341" s="71"/>
      <c r="D341" s="71"/>
      <c r="E341" s="71"/>
      <c r="F341" s="73"/>
      <c r="G341" s="73"/>
      <c r="H341" s="73"/>
      <c r="I341" s="73"/>
      <c r="J341" s="73"/>
      <c r="K341" s="73"/>
    </row>
    <row r="342">
      <c r="C342" s="71"/>
      <c r="D342" s="71"/>
      <c r="E342" s="71"/>
      <c r="F342" s="73"/>
      <c r="G342" s="73"/>
      <c r="H342" s="73"/>
      <c r="I342" s="73"/>
      <c r="J342" s="73"/>
      <c r="K342" s="73"/>
    </row>
    <row r="343">
      <c r="C343" s="71"/>
      <c r="D343" s="71"/>
      <c r="E343" s="71"/>
      <c r="F343" s="73"/>
      <c r="G343" s="73"/>
      <c r="H343" s="73"/>
      <c r="I343" s="73"/>
      <c r="J343" s="73"/>
      <c r="K343" s="73"/>
    </row>
    <row r="344">
      <c r="C344" s="71"/>
      <c r="D344" s="71"/>
      <c r="E344" s="71"/>
      <c r="F344" s="73"/>
      <c r="G344" s="73"/>
      <c r="H344" s="73"/>
      <c r="I344" s="73"/>
      <c r="J344" s="73"/>
      <c r="K344" s="73"/>
    </row>
    <row r="345">
      <c r="C345" s="71"/>
      <c r="D345" s="71"/>
      <c r="E345" s="71"/>
      <c r="F345" s="73"/>
      <c r="G345" s="73"/>
      <c r="H345" s="73"/>
      <c r="I345" s="73"/>
      <c r="J345" s="73"/>
      <c r="K345" s="73"/>
    </row>
    <row r="346">
      <c r="C346" s="71"/>
      <c r="D346" s="71"/>
      <c r="E346" s="71"/>
      <c r="F346" s="73"/>
      <c r="G346" s="73"/>
      <c r="H346" s="73"/>
      <c r="I346" s="73"/>
      <c r="J346" s="73"/>
      <c r="K346" s="73"/>
    </row>
    <row r="347">
      <c r="C347" s="71"/>
      <c r="D347" s="71"/>
      <c r="E347" s="71"/>
      <c r="F347" s="73"/>
      <c r="G347" s="73"/>
      <c r="H347" s="73"/>
      <c r="I347" s="73"/>
      <c r="J347" s="73"/>
      <c r="K347" s="73"/>
    </row>
    <row r="348">
      <c r="C348" s="71"/>
      <c r="D348" s="71"/>
      <c r="E348" s="71"/>
      <c r="F348" s="73"/>
      <c r="G348" s="73"/>
      <c r="H348" s="73"/>
      <c r="I348" s="73"/>
      <c r="J348" s="73"/>
      <c r="K348" s="73"/>
    </row>
    <row r="349">
      <c r="C349" s="71"/>
      <c r="D349" s="71"/>
      <c r="E349" s="71"/>
      <c r="F349" s="73"/>
      <c r="G349" s="73"/>
      <c r="H349" s="73"/>
      <c r="I349" s="73"/>
      <c r="J349" s="73"/>
      <c r="K349" s="73"/>
    </row>
    <row r="350">
      <c r="C350" s="71"/>
      <c r="D350" s="71"/>
      <c r="E350" s="71"/>
      <c r="F350" s="73"/>
      <c r="G350" s="73"/>
      <c r="H350" s="73"/>
      <c r="I350" s="73"/>
      <c r="J350" s="73"/>
      <c r="K350" s="73"/>
    </row>
    <row r="351">
      <c r="C351" s="71"/>
      <c r="D351" s="71"/>
      <c r="E351" s="71"/>
      <c r="F351" s="73"/>
      <c r="G351" s="73"/>
      <c r="H351" s="73"/>
      <c r="I351" s="73"/>
      <c r="J351" s="73"/>
      <c r="K351" s="73"/>
    </row>
    <row r="352">
      <c r="C352" s="71"/>
      <c r="D352" s="71"/>
      <c r="E352" s="71"/>
      <c r="F352" s="73"/>
      <c r="G352" s="73"/>
      <c r="H352" s="73"/>
      <c r="I352" s="73"/>
      <c r="J352" s="73"/>
      <c r="K352" s="73"/>
    </row>
    <row r="353">
      <c r="C353" s="71"/>
      <c r="D353" s="71"/>
      <c r="E353" s="71"/>
      <c r="F353" s="73"/>
      <c r="G353" s="73"/>
      <c r="H353" s="73"/>
      <c r="I353" s="73"/>
      <c r="J353" s="73"/>
      <c r="K353" s="73"/>
    </row>
    <row r="354">
      <c r="C354" s="71"/>
      <c r="D354" s="71"/>
      <c r="E354" s="71"/>
      <c r="F354" s="73"/>
      <c r="G354" s="73"/>
      <c r="H354" s="73"/>
      <c r="I354" s="73"/>
      <c r="J354" s="73"/>
      <c r="K354" s="73"/>
    </row>
    <row r="355">
      <c r="C355" s="71"/>
      <c r="D355" s="71"/>
      <c r="E355" s="71"/>
      <c r="F355" s="73"/>
      <c r="G355" s="73"/>
      <c r="H355" s="73"/>
      <c r="I355" s="73"/>
      <c r="J355" s="73"/>
      <c r="K355" s="73"/>
    </row>
    <row r="356">
      <c r="C356" s="71"/>
      <c r="D356" s="71"/>
      <c r="E356" s="71"/>
      <c r="F356" s="73"/>
      <c r="G356" s="73"/>
      <c r="H356" s="73"/>
      <c r="I356" s="73"/>
      <c r="J356" s="73"/>
      <c r="K356" s="73"/>
    </row>
    <row r="357">
      <c r="C357" s="71"/>
      <c r="D357" s="71"/>
      <c r="E357" s="71"/>
      <c r="F357" s="73"/>
      <c r="G357" s="73"/>
      <c r="H357" s="73"/>
      <c r="I357" s="73"/>
      <c r="J357" s="73"/>
      <c r="K357" s="73"/>
    </row>
    <row r="358">
      <c r="C358" s="71"/>
      <c r="D358" s="71"/>
      <c r="E358" s="71"/>
      <c r="F358" s="73"/>
      <c r="G358" s="73"/>
      <c r="H358" s="73"/>
      <c r="I358" s="73"/>
      <c r="J358" s="73"/>
      <c r="K358" s="73"/>
    </row>
    <row r="359">
      <c r="C359" s="71"/>
      <c r="D359" s="71"/>
      <c r="E359" s="71"/>
      <c r="F359" s="73"/>
      <c r="G359" s="73"/>
      <c r="H359" s="73"/>
      <c r="I359" s="73"/>
      <c r="J359" s="73"/>
      <c r="K359" s="73"/>
    </row>
    <row r="360">
      <c r="C360" s="71"/>
      <c r="D360" s="71"/>
      <c r="E360" s="71"/>
      <c r="F360" s="73"/>
      <c r="G360" s="73"/>
      <c r="H360" s="73"/>
      <c r="I360" s="73"/>
      <c r="J360" s="73"/>
      <c r="K360" s="73"/>
    </row>
    <row r="361">
      <c r="C361" s="71"/>
      <c r="D361" s="71"/>
      <c r="E361" s="71"/>
      <c r="F361" s="73"/>
      <c r="G361" s="73"/>
      <c r="H361" s="73"/>
      <c r="I361" s="73"/>
      <c r="J361" s="73"/>
      <c r="K361" s="73"/>
    </row>
    <row r="362">
      <c r="C362" s="71"/>
      <c r="D362" s="71"/>
      <c r="E362" s="71"/>
      <c r="F362" s="73"/>
      <c r="G362" s="73"/>
      <c r="H362" s="73"/>
      <c r="I362" s="73"/>
      <c r="J362" s="73"/>
      <c r="K362" s="73"/>
    </row>
    <row r="363">
      <c r="C363" s="71"/>
      <c r="D363" s="71"/>
      <c r="E363" s="71"/>
      <c r="F363" s="73"/>
      <c r="G363" s="73"/>
      <c r="H363" s="73"/>
      <c r="I363" s="73"/>
      <c r="J363" s="73"/>
      <c r="K363" s="73"/>
    </row>
    <row r="364">
      <c r="C364" s="71"/>
      <c r="D364" s="71"/>
      <c r="E364" s="71"/>
      <c r="F364" s="73"/>
      <c r="G364" s="73"/>
      <c r="H364" s="73"/>
      <c r="I364" s="73"/>
      <c r="J364" s="73"/>
      <c r="K364" s="73"/>
    </row>
    <row r="365">
      <c r="C365" s="71"/>
      <c r="D365" s="71"/>
      <c r="E365" s="71"/>
      <c r="F365" s="73"/>
      <c r="G365" s="73"/>
      <c r="H365" s="73"/>
      <c r="I365" s="73"/>
      <c r="J365" s="73"/>
      <c r="K365" s="73"/>
    </row>
    <row r="366">
      <c r="C366" s="71"/>
      <c r="D366" s="71"/>
      <c r="E366" s="71"/>
      <c r="F366" s="73"/>
      <c r="G366" s="73"/>
      <c r="H366" s="73"/>
      <c r="I366" s="73"/>
      <c r="J366" s="73"/>
      <c r="K366" s="73"/>
    </row>
    <row r="367">
      <c r="C367" s="71"/>
      <c r="D367" s="71"/>
      <c r="E367" s="71"/>
      <c r="F367" s="73"/>
      <c r="G367" s="73"/>
      <c r="H367" s="73"/>
      <c r="I367" s="73"/>
      <c r="J367" s="73"/>
      <c r="K367" s="73"/>
    </row>
    <row r="368">
      <c r="C368" s="71"/>
      <c r="D368" s="71"/>
      <c r="E368" s="71"/>
      <c r="F368" s="73"/>
      <c r="G368" s="73"/>
      <c r="H368" s="73"/>
      <c r="I368" s="73"/>
      <c r="J368" s="73"/>
      <c r="K368" s="73"/>
    </row>
    <row r="369">
      <c r="C369" s="71"/>
      <c r="D369" s="71"/>
      <c r="E369" s="71"/>
      <c r="F369" s="73"/>
      <c r="G369" s="73"/>
      <c r="H369" s="73"/>
      <c r="I369" s="73"/>
      <c r="J369" s="73"/>
      <c r="K369" s="73"/>
    </row>
    <row r="370">
      <c r="C370" s="71"/>
      <c r="D370" s="71"/>
      <c r="E370" s="71"/>
      <c r="F370" s="73"/>
      <c r="G370" s="73"/>
      <c r="H370" s="73"/>
      <c r="I370" s="73"/>
      <c r="J370" s="73"/>
      <c r="K370" s="73"/>
    </row>
    <row r="371">
      <c r="C371" s="71"/>
      <c r="D371" s="71"/>
      <c r="E371" s="71"/>
      <c r="F371" s="73"/>
      <c r="G371" s="73"/>
      <c r="H371" s="73"/>
      <c r="I371" s="73"/>
      <c r="J371" s="73"/>
      <c r="K371" s="73"/>
    </row>
    <row r="372">
      <c r="C372" s="71"/>
      <c r="D372" s="71"/>
      <c r="E372" s="71"/>
      <c r="F372" s="73"/>
      <c r="G372" s="73"/>
      <c r="H372" s="73"/>
      <c r="I372" s="73"/>
      <c r="J372" s="73"/>
      <c r="K372" s="73"/>
    </row>
    <row r="373">
      <c r="C373" s="71"/>
      <c r="D373" s="71"/>
      <c r="E373" s="71"/>
      <c r="F373" s="73"/>
      <c r="G373" s="73"/>
      <c r="H373" s="73"/>
      <c r="I373" s="73"/>
      <c r="J373" s="73"/>
      <c r="K373" s="73"/>
    </row>
    <row r="374">
      <c r="C374" s="71"/>
      <c r="D374" s="71"/>
      <c r="E374" s="71"/>
      <c r="F374" s="73"/>
      <c r="G374" s="73"/>
      <c r="H374" s="73"/>
      <c r="I374" s="73"/>
      <c r="J374" s="73"/>
      <c r="K374" s="73"/>
    </row>
    <row r="375">
      <c r="C375" s="71"/>
      <c r="D375" s="71"/>
      <c r="E375" s="71"/>
      <c r="F375" s="73"/>
      <c r="G375" s="73"/>
      <c r="H375" s="73"/>
      <c r="I375" s="73"/>
      <c r="J375" s="73"/>
      <c r="K375" s="73"/>
    </row>
    <row r="376">
      <c r="C376" s="71"/>
      <c r="D376" s="71"/>
      <c r="E376" s="71"/>
      <c r="F376" s="73"/>
      <c r="G376" s="73"/>
      <c r="H376" s="73"/>
      <c r="I376" s="73"/>
      <c r="J376" s="73"/>
      <c r="K376" s="73"/>
    </row>
    <row r="377">
      <c r="C377" s="71"/>
      <c r="D377" s="71"/>
      <c r="E377" s="71"/>
      <c r="F377" s="73"/>
      <c r="G377" s="73"/>
      <c r="H377" s="73"/>
      <c r="I377" s="73"/>
      <c r="J377" s="73"/>
      <c r="K377" s="73"/>
    </row>
    <row r="378">
      <c r="C378" s="71"/>
      <c r="D378" s="71"/>
      <c r="E378" s="71"/>
      <c r="F378" s="73"/>
      <c r="G378" s="73"/>
      <c r="H378" s="73"/>
      <c r="I378" s="73"/>
      <c r="J378" s="73"/>
      <c r="K378" s="73"/>
    </row>
    <row r="379">
      <c r="C379" s="71"/>
      <c r="D379" s="71"/>
      <c r="E379" s="71"/>
      <c r="F379" s="73"/>
      <c r="G379" s="73"/>
      <c r="H379" s="73"/>
      <c r="I379" s="73"/>
      <c r="J379" s="73"/>
      <c r="K379" s="73"/>
    </row>
    <row r="380">
      <c r="C380" s="71"/>
      <c r="D380" s="71"/>
      <c r="E380" s="71"/>
      <c r="F380" s="73"/>
      <c r="G380" s="73"/>
      <c r="H380" s="73"/>
      <c r="I380" s="73"/>
      <c r="J380" s="73"/>
      <c r="K380" s="73"/>
    </row>
    <row r="381">
      <c r="C381" s="71"/>
      <c r="D381" s="71"/>
      <c r="E381" s="71"/>
      <c r="F381" s="73"/>
      <c r="G381" s="73"/>
      <c r="H381" s="73"/>
      <c r="I381" s="73"/>
      <c r="J381" s="73"/>
      <c r="K381" s="73"/>
    </row>
    <row r="382">
      <c r="C382" s="71"/>
      <c r="D382" s="71"/>
      <c r="E382" s="71"/>
      <c r="F382" s="73"/>
      <c r="G382" s="73"/>
      <c r="H382" s="73"/>
      <c r="I382" s="73"/>
      <c r="J382" s="73"/>
      <c r="K382" s="73"/>
    </row>
    <row r="383">
      <c r="C383" s="71"/>
      <c r="D383" s="71"/>
      <c r="E383" s="71"/>
      <c r="F383" s="73"/>
      <c r="G383" s="73"/>
      <c r="H383" s="73"/>
      <c r="I383" s="73"/>
      <c r="J383" s="73"/>
      <c r="K383" s="73"/>
    </row>
    <row r="384">
      <c r="C384" s="71"/>
      <c r="D384" s="71"/>
      <c r="E384" s="71"/>
      <c r="F384" s="73"/>
      <c r="G384" s="73"/>
      <c r="H384" s="73"/>
      <c r="I384" s="73"/>
      <c r="J384" s="73"/>
      <c r="K384" s="73"/>
    </row>
    <row r="385">
      <c r="C385" s="71"/>
      <c r="D385" s="71"/>
      <c r="E385" s="71"/>
      <c r="F385" s="73"/>
      <c r="G385" s="73"/>
      <c r="H385" s="73"/>
      <c r="I385" s="73"/>
      <c r="J385" s="73"/>
      <c r="K385" s="73"/>
    </row>
    <row r="386">
      <c r="C386" s="71"/>
      <c r="D386" s="71"/>
      <c r="E386" s="71"/>
      <c r="F386" s="73"/>
      <c r="G386" s="73"/>
      <c r="H386" s="73"/>
      <c r="I386" s="73"/>
      <c r="J386" s="73"/>
      <c r="K386" s="73"/>
    </row>
    <row r="387">
      <c r="C387" s="71"/>
      <c r="D387" s="71"/>
      <c r="E387" s="71"/>
      <c r="F387" s="73"/>
      <c r="G387" s="73"/>
      <c r="H387" s="73"/>
      <c r="I387" s="73"/>
      <c r="J387" s="73"/>
      <c r="K387" s="73"/>
    </row>
    <row r="388">
      <c r="C388" s="71"/>
      <c r="D388" s="71"/>
      <c r="E388" s="71"/>
      <c r="F388" s="73"/>
      <c r="G388" s="73"/>
      <c r="H388" s="73"/>
      <c r="I388" s="73"/>
      <c r="J388" s="73"/>
      <c r="K388" s="73"/>
    </row>
    <row r="389">
      <c r="C389" s="71"/>
      <c r="D389" s="71"/>
      <c r="E389" s="71"/>
      <c r="F389" s="73"/>
      <c r="G389" s="73"/>
      <c r="H389" s="73"/>
      <c r="I389" s="73"/>
      <c r="J389" s="73"/>
      <c r="K389" s="73"/>
    </row>
    <row r="390">
      <c r="C390" s="71"/>
      <c r="D390" s="71"/>
      <c r="E390" s="71"/>
      <c r="F390" s="73"/>
      <c r="G390" s="73"/>
      <c r="H390" s="73"/>
      <c r="I390" s="73"/>
      <c r="J390" s="73"/>
      <c r="K390" s="73"/>
    </row>
    <row r="391">
      <c r="C391" s="71"/>
      <c r="D391" s="71"/>
      <c r="E391" s="71"/>
      <c r="F391" s="73"/>
      <c r="G391" s="73"/>
      <c r="H391" s="73"/>
      <c r="I391" s="73"/>
      <c r="J391" s="73"/>
      <c r="K391" s="73"/>
    </row>
    <row r="392">
      <c r="C392" s="71"/>
      <c r="D392" s="71"/>
      <c r="E392" s="71"/>
      <c r="F392" s="73"/>
      <c r="G392" s="73"/>
      <c r="H392" s="73"/>
      <c r="I392" s="73"/>
      <c r="J392" s="73"/>
      <c r="K392" s="73"/>
    </row>
    <row r="393">
      <c r="C393" s="71"/>
      <c r="D393" s="71"/>
      <c r="E393" s="71"/>
      <c r="F393" s="73"/>
      <c r="G393" s="73"/>
      <c r="H393" s="73"/>
      <c r="I393" s="73"/>
      <c r="J393" s="73"/>
      <c r="K393" s="73"/>
    </row>
    <row r="394">
      <c r="C394" s="71"/>
      <c r="D394" s="71"/>
      <c r="E394" s="71"/>
      <c r="F394" s="73"/>
      <c r="G394" s="73"/>
      <c r="H394" s="73"/>
      <c r="I394" s="73"/>
      <c r="J394" s="73"/>
      <c r="K394" s="73"/>
    </row>
    <row r="395">
      <c r="C395" s="71"/>
      <c r="D395" s="71"/>
      <c r="E395" s="71"/>
      <c r="F395" s="73"/>
      <c r="G395" s="73"/>
      <c r="H395" s="73"/>
      <c r="I395" s="73"/>
      <c r="J395" s="73"/>
      <c r="K395" s="73"/>
    </row>
    <row r="396">
      <c r="C396" s="71"/>
      <c r="D396" s="71"/>
      <c r="E396" s="71"/>
      <c r="F396" s="73"/>
      <c r="G396" s="73"/>
      <c r="H396" s="73"/>
      <c r="I396" s="73"/>
      <c r="J396" s="73"/>
      <c r="K396" s="73"/>
    </row>
    <row r="397">
      <c r="C397" s="71"/>
      <c r="D397" s="71"/>
      <c r="E397" s="71"/>
      <c r="F397" s="73"/>
      <c r="G397" s="73"/>
      <c r="H397" s="73"/>
      <c r="I397" s="73"/>
      <c r="J397" s="73"/>
      <c r="K397" s="73"/>
    </row>
    <row r="398">
      <c r="C398" s="71"/>
      <c r="D398" s="71"/>
      <c r="E398" s="71"/>
      <c r="F398" s="73"/>
      <c r="G398" s="73"/>
      <c r="H398" s="73"/>
      <c r="I398" s="73"/>
      <c r="J398" s="73"/>
      <c r="K398" s="73"/>
    </row>
    <row r="399">
      <c r="C399" s="71"/>
      <c r="D399" s="71"/>
      <c r="E399" s="71"/>
      <c r="F399" s="73"/>
      <c r="G399" s="73"/>
      <c r="H399" s="73"/>
      <c r="I399" s="73"/>
      <c r="J399" s="73"/>
      <c r="K399" s="73"/>
    </row>
    <row r="400">
      <c r="C400" s="71"/>
      <c r="D400" s="71"/>
      <c r="E400" s="71"/>
      <c r="F400" s="73"/>
      <c r="G400" s="73"/>
      <c r="H400" s="73"/>
      <c r="I400" s="73"/>
      <c r="J400" s="73"/>
      <c r="K400" s="73"/>
    </row>
    <row r="401">
      <c r="C401" s="71"/>
      <c r="D401" s="71"/>
      <c r="E401" s="71"/>
      <c r="F401" s="73"/>
      <c r="G401" s="73"/>
      <c r="H401" s="73"/>
      <c r="I401" s="73"/>
      <c r="J401" s="73"/>
      <c r="K401" s="73"/>
    </row>
    <row r="402">
      <c r="C402" s="71"/>
      <c r="D402" s="71"/>
      <c r="E402" s="71"/>
      <c r="F402" s="73"/>
      <c r="G402" s="73"/>
      <c r="H402" s="73"/>
      <c r="I402" s="73"/>
      <c r="J402" s="73"/>
      <c r="K402" s="73"/>
    </row>
    <row r="403">
      <c r="C403" s="71"/>
      <c r="D403" s="71"/>
      <c r="E403" s="71"/>
      <c r="F403" s="73"/>
      <c r="G403" s="73"/>
      <c r="H403" s="73"/>
      <c r="I403" s="73"/>
      <c r="J403" s="73"/>
      <c r="K403" s="73"/>
    </row>
    <row r="404">
      <c r="C404" s="71"/>
      <c r="D404" s="71"/>
      <c r="E404" s="71"/>
      <c r="F404" s="73"/>
      <c r="G404" s="73"/>
      <c r="H404" s="73"/>
      <c r="I404" s="73"/>
      <c r="J404" s="73"/>
      <c r="K404" s="73"/>
    </row>
    <row r="405">
      <c r="C405" s="71"/>
      <c r="D405" s="71"/>
      <c r="E405" s="71"/>
      <c r="F405" s="73"/>
      <c r="G405" s="73"/>
      <c r="H405" s="73"/>
      <c r="I405" s="73"/>
      <c r="J405" s="73"/>
      <c r="K405" s="73"/>
    </row>
    <row r="406">
      <c r="C406" s="71"/>
      <c r="D406" s="71"/>
      <c r="E406" s="71"/>
      <c r="F406" s="73"/>
      <c r="G406" s="73"/>
      <c r="H406" s="73"/>
      <c r="I406" s="73"/>
      <c r="J406" s="73"/>
      <c r="K406" s="73"/>
    </row>
    <row r="407">
      <c r="C407" s="71"/>
      <c r="D407" s="71"/>
      <c r="E407" s="71"/>
      <c r="F407" s="73"/>
      <c r="G407" s="73"/>
      <c r="H407" s="73"/>
      <c r="I407" s="73"/>
      <c r="J407" s="73"/>
      <c r="K407" s="73"/>
    </row>
    <row r="408">
      <c r="C408" s="71"/>
      <c r="D408" s="71"/>
      <c r="E408" s="71"/>
      <c r="F408" s="73"/>
      <c r="G408" s="73"/>
      <c r="H408" s="73"/>
      <c r="I408" s="73"/>
      <c r="J408" s="73"/>
      <c r="K408" s="73"/>
    </row>
    <row r="409">
      <c r="C409" s="71"/>
      <c r="D409" s="71"/>
      <c r="E409" s="71"/>
      <c r="F409" s="73"/>
      <c r="G409" s="73"/>
      <c r="H409" s="73"/>
      <c r="I409" s="73"/>
      <c r="J409" s="73"/>
      <c r="K409" s="73"/>
    </row>
    <row r="410">
      <c r="C410" s="71"/>
      <c r="D410" s="71"/>
      <c r="E410" s="71"/>
      <c r="F410" s="73"/>
      <c r="G410" s="73"/>
      <c r="H410" s="73"/>
      <c r="I410" s="73"/>
      <c r="J410" s="73"/>
      <c r="K410" s="73"/>
    </row>
    <row r="411">
      <c r="C411" s="71"/>
      <c r="D411" s="71"/>
      <c r="E411" s="71"/>
      <c r="F411" s="73"/>
      <c r="G411" s="73"/>
      <c r="H411" s="73"/>
      <c r="I411" s="73"/>
      <c r="J411" s="73"/>
      <c r="K411" s="73"/>
    </row>
    <row r="412">
      <c r="C412" s="71"/>
      <c r="D412" s="71"/>
      <c r="E412" s="71"/>
      <c r="F412" s="73"/>
      <c r="G412" s="73"/>
      <c r="H412" s="73"/>
      <c r="I412" s="73"/>
      <c r="J412" s="73"/>
      <c r="K412" s="73"/>
    </row>
    <row r="413">
      <c r="C413" s="71"/>
      <c r="D413" s="71"/>
      <c r="E413" s="71"/>
      <c r="F413" s="73"/>
      <c r="G413" s="73"/>
      <c r="H413" s="73"/>
      <c r="I413" s="73"/>
      <c r="J413" s="73"/>
      <c r="K413" s="73"/>
    </row>
    <row r="414">
      <c r="C414" s="71"/>
      <c r="D414" s="71"/>
      <c r="E414" s="71"/>
      <c r="F414" s="73"/>
      <c r="G414" s="73"/>
      <c r="H414" s="73"/>
      <c r="I414" s="73"/>
      <c r="J414" s="73"/>
      <c r="K414" s="73"/>
    </row>
    <row r="415">
      <c r="C415" s="71"/>
      <c r="D415" s="71"/>
      <c r="E415" s="71"/>
      <c r="F415" s="73"/>
      <c r="G415" s="73"/>
      <c r="H415" s="73"/>
      <c r="I415" s="73"/>
      <c r="J415" s="73"/>
      <c r="K415" s="73"/>
    </row>
    <row r="416">
      <c r="C416" s="71"/>
      <c r="D416" s="71"/>
      <c r="E416" s="71"/>
      <c r="F416" s="73"/>
      <c r="G416" s="73"/>
      <c r="H416" s="73"/>
      <c r="I416" s="73"/>
      <c r="J416" s="73"/>
      <c r="K416" s="73"/>
    </row>
    <row r="417">
      <c r="C417" s="71"/>
      <c r="D417" s="71"/>
      <c r="E417" s="71"/>
      <c r="F417" s="73"/>
      <c r="G417" s="73"/>
      <c r="H417" s="73"/>
      <c r="I417" s="73"/>
      <c r="J417" s="73"/>
      <c r="K417" s="73"/>
    </row>
    <row r="418">
      <c r="C418" s="71"/>
      <c r="D418" s="71"/>
      <c r="E418" s="71"/>
      <c r="F418" s="73"/>
      <c r="G418" s="73"/>
      <c r="H418" s="73"/>
      <c r="I418" s="73"/>
      <c r="J418" s="73"/>
      <c r="K418" s="73"/>
    </row>
    <row r="419">
      <c r="C419" s="71"/>
      <c r="D419" s="71"/>
      <c r="E419" s="71"/>
      <c r="F419" s="73"/>
      <c r="G419" s="73"/>
      <c r="H419" s="73"/>
      <c r="I419" s="73"/>
      <c r="J419" s="73"/>
      <c r="K419" s="73"/>
    </row>
    <row r="420">
      <c r="C420" s="71"/>
      <c r="D420" s="71"/>
      <c r="E420" s="71"/>
      <c r="F420" s="73"/>
      <c r="G420" s="73"/>
      <c r="H420" s="73"/>
      <c r="I420" s="73"/>
      <c r="J420" s="73"/>
      <c r="K420" s="73"/>
    </row>
    <row r="421">
      <c r="C421" s="71"/>
      <c r="D421" s="71"/>
      <c r="E421" s="71"/>
      <c r="F421" s="73"/>
      <c r="G421" s="73"/>
      <c r="H421" s="73"/>
      <c r="I421" s="73"/>
      <c r="J421" s="73"/>
      <c r="K421" s="73"/>
    </row>
    <row r="422">
      <c r="C422" s="71"/>
      <c r="D422" s="71"/>
      <c r="E422" s="71"/>
      <c r="F422" s="73"/>
      <c r="G422" s="73"/>
      <c r="H422" s="73"/>
      <c r="I422" s="73"/>
      <c r="J422" s="73"/>
      <c r="K422" s="73"/>
    </row>
    <row r="423">
      <c r="C423" s="71"/>
      <c r="D423" s="71"/>
      <c r="E423" s="71"/>
      <c r="F423" s="73"/>
      <c r="G423" s="73"/>
      <c r="H423" s="73"/>
      <c r="I423" s="73"/>
      <c r="J423" s="73"/>
      <c r="K423" s="73"/>
    </row>
    <row r="424">
      <c r="C424" s="71"/>
      <c r="D424" s="71"/>
      <c r="E424" s="71"/>
      <c r="F424" s="73"/>
      <c r="G424" s="73"/>
      <c r="H424" s="73"/>
      <c r="I424" s="73"/>
      <c r="J424" s="73"/>
      <c r="K424" s="73"/>
    </row>
    <row r="425">
      <c r="C425" s="71"/>
      <c r="D425" s="71"/>
      <c r="E425" s="71"/>
      <c r="F425" s="73"/>
      <c r="G425" s="73"/>
      <c r="H425" s="73"/>
      <c r="I425" s="73"/>
      <c r="J425" s="73"/>
      <c r="K425" s="73"/>
    </row>
    <row r="426">
      <c r="C426" s="71"/>
      <c r="D426" s="71"/>
      <c r="E426" s="71"/>
      <c r="F426" s="73"/>
      <c r="G426" s="73"/>
      <c r="H426" s="73"/>
      <c r="I426" s="73"/>
      <c r="J426" s="73"/>
      <c r="K426" s="73"/>
    </row>
    <row r="427">
      <c r="C427" s="71"/>
      <c r="D427" s="71"/>
      <c r="E427" s="71"/>
      <c r="F427" s="73"/>
      <c r="G427" s="73"/>
      <c r="H427" s="73"/>
      <c r="I427" s="73"/>
      <c r="J427" s="73"/>
      <c r="K427" s="73"/>
    </row>
    <row r="428">
      <c r="C428" s="71"/>
      <c r="D428" s="71"/>
      <c r="E428" s="71"/>
      <c r="F428" s="73"/>
      <c r="G428" s="73"/>
      <c r="H428" s="73"/>
      <c r="I428" s="73"/>
      <c r="J428" s="73"/>
      <c r="K428" s="73"/>
    </row>
    <row r="429">
      <c r="C429" s="71"/>
      <c r="D429" s="71"/>
      <c r="E429" s="71"/>
      <c r="F429" s="73"/>
      <c r="G429" s="73"/>
      <c r="H429" s="73"/>
      <c r="I429" s="73"/>
      <c r="J429" s="73"/>
      <c r="K429" s="73"/>
    </row>
    <row r="430">
      <c r="C430" s="71"/>
      <c r="D430" s="71"/>
      <c r="E430" s="71"/>
      <c r="F430" s="73"/>
      <c r="G430" s="73"/>
      <c r="H430" s="73"/>
      <c r="I430" s="73"/>
      <c r="J430" s="73"/>
      <c r="K430" s="73"/>
    </row>
    <row r="431">
      <c r="C431" s="71"/>
      <c r="D431" s="71"/>
      <c r="E431" s="71"/>
      <c r="F431" s="73"/>
      <c r="G431" s="73"/>
      <c r="H431" s="73"/>
      <c r="I431" s="73"/>
      <c r="J431" s="73"/>
      <c r="K431" s="73"/>
    </row>
    <row r="432">
      <c r="C432" s="71"/>
      <c r="D432" s="71"/>
      <c r="E432" s="71"/>
      <c r="F432" s="73"/>
      <c r="G432" s="73"/>
      <c r="H432" s="73"/>
      <c r="I432" s="73"/>
      <c r="J432" s="73"/>
      <c r="K432" s="73"/>
    </row>
    <row r="433">
      <c r="C433" s="71"/>
      <c r="D433" s="71"/>
      <c r="E433" s="71"/>
      <c r="F433" s="73"/>
      <c r="G433" s="73"/>
      <c r="H433" s="73"/>
      <c r="I433" s="73"/>
      <c r="J433" s="73"/>
      <c r="K433" s="73"/>
    </row>
    <row r="434">
      <c r="C434" s="71"/>
      <c r="D434" s="71"/>
      <c r="E434" s="71"/>
      <c r="F434" s="73"/>
      <c r="G434" s="73"/>
      <c r="H434" s="73"/>
      <c r="I434" s="73"/>
      <c r="J434" s="73"/>
      <c r="K434" s="73"/>
    </row>
    <row r="435">
      <c r="C435" s="71"/>
      <c r="D435" s="71"/>
      <c r="E435" s="71"/>
      <c r="F435" s="73"/>
      <c r="G435" s="73"/>
      <c r="H435" s="73"/>
      <c r="I435" s="73"/>
      <c r="J435" s="73"/>
      <c r="K435" s="73"/>
    </row>
    <row r="436">
      <c r="C436" s="71"/>
      <c r="D436" s="71"/>
      <c r="E436" s="71"/>
      <c r="F436" s="73"/>
      <c r="G436" s="73"/>
      <c r="H436" s="73"/>
      <c r="I436" s="73"/>
      <c r="J436" s="73"/>
      <c r="K436" s="73"/>
    </row>
    <row r="437">
      <c r="C437" s="71"/>
      <c r="D437" s="71"/>
      <c r="E437" s="71"/>
      <c r="F437" s="73"/>
      <c r="G437" s="73"/>
      <c r="H437" s="73"/>
      <c r="I437" s="73"/>
      <c r="J437" s="73"/>
      <c r="K437" s="73"/>
    </row>
    <row r="438">
      <c r="C438" s="71"/>
      <c r="D438" s="71"/>
      <c r="E438" s="71"/>
      <c r="F438" s="73"/>
      <c r="G438" s="73"/>
      <c r="H438" s="73"/>
      <c r="I438" s="73"/>
      <c r="J438" s="73"/>
      <c r="K438" s="73"/>
    </row>
    <row r="439">
      <c r="C439" s="71"/>
      <c r="D439" s="71"/>
      <c r="E439" s="71"/>
      <c r="F439" s="73"/>
      <c r="G439" s="73"/>
      <c r="H439" s="73"/>
      <c r="I439" s="73"/>
      <c r="J439" s="73"/>
      <c r="K439" s="73"/>
    </row>
    <row r="440">
      <c r="C440" s="71"/>
      <c r="D440" s="71"/>
      <c r="E440" s="71"/>
      <c r="F440" s="73"/>
      <c r="G440" s="73"/>
      <c r="H440" s="73"/>
      <c r="I440" s="73"/>
      <c r="J440" s="73"/>
      <c r="K440" s="73"/>
    </row>
    <row r="441">
      <c r="C441" s="71"/>
      <c r="D441" s="71"/>
      <c r="E441" s="71"/>
      <c r="F441" s="73"/>
      <c r="G441" s="73"/>
      <c r="H441" s="73"/>
      <c r="I441" s="73"/>
      <c r="J441" s="73"/>
      <c r="K441" s="73"/>
    </row>
    <row r="442">
      <c r="C442" s="71"/>
      <c r="D442" s="71"/>
      <c r="E442" s="71"/>
      <c r="F442" s="73"/>
      <c r="G442" s="73"/>
      <c r="H442" s="73"/>
      <c r="I442" s="73"/>
      <c r="J442" s="73"/>
      <c r="K442" s="73"/>
    </row>
    <row r="443">
      <c r="C443" s="71"/>
      <c r="D443" s="71"/>
      <c r="E443" s="71"/>
      <c r="F443" s="73"/>
      <c r="G443" s="73"/>
      <c r="H443" s="73"/>
      <c r="I443" s="73"/>
      <c r="J443" s="73"/>
      <c r="K443" s="73"/>
    </row>
    <row r="444">
      <c r="C444" s="71"/>
      <c r="D444" s="71"/>
      <c r="E444" s="71"/>
      <c r="F444" s="73"/>
      <c r="G444" s="73"/>
      <c r="H444" s="73"/>
      <c r="I444" s="73"/>
      <c r="J444" s="73"/>
      <c r="K444" s="73"/>
    </row>
    <row r="445">
      <c r="C445" s="71"/>
      <c r="D445" s="71"/>
      <c r="E445" s="71"/>
      <c r="F445" s="73"/>
      <c r="G445" s="73"/>
      <c r="H445" s="73"/>
      <c r="I445" s="73"/>
      <c r="J445" s="73"/>
      <c r="K445" s="73"/>
    </row>
    <row r="446">
      <c r="C446" s="71"/>
      <c r="D446" s="71"/>
      <c r="E446" s="71"/>
      <c r="F446" s="73"/>
      <c r="G446" s="73"/>
      <c r="H446" s="73"/>
      <c r="I446" s="73"/>
      <c r="J446" s="73"/>
      <c r="K446" s="73"/>
    </row>
    <row r="447">
      <c r="C447" s="71"/>
      <c r="D447" s="71"/>
      <c r="E447" s="71"/>
      <c r="F447" s="73"/>
      <c r="G447" s="73"/>
      <c r="H447" s="73"/>
      <c r="I447" s="73"/>
      <c r="J447" s="73"/>
      <c r="K447" s="73"/>
    </row>
    <row r="448">
      <c r="C448" s="71"/>
      <c r="D448" s="71"/>
      <c r="E448" s="71"/>
      <c r="F448" s="73"/>
      <c r="G448" s="73"/>
      <c r="H448" s="73"/>
      <c r="I448" s="73"/>
      <c r="J448" s="73"/>
      <c r="K448" s="73"/>
    </row>
    <row r="449">
      <c r="C449" s="71"/>
      <c r="D449" s="71"/>
      <c r="E449" s="71"/>
      <c r="F449" s="73"/>
      <c r="G449" s="73"/>
      <c r="H449" s="73"/>
      <c r="I449" s="73"/>
      <c r="J449" s="73"/>
      <c r="K449" s="73"/>
    </row>
    <row r="450">
      <c r="C450" s="71"/>
      <c r="D450" s="71"/>
      <c r="E450" s="71"/>
      <c r="F450" s="73"/>
      <c r="G450" s="73"/>
      <c r="H450" s="73"/>
      <c r="I450" s="73"/>
      <c r="J450" s="73"/>
      <c r="K450" s="73"/>
    </row>
    <row r="451">
      <c r="C451" s="71"/>
      <c r="D451" s="71"/>
      <c r="E451" s="71"/>
      <c r="F451" s="73"/>
      <c r="G451" s="73"/>
      <c r="H451" s="73"/>
      <c r="I451" s="73"/>
      <c r="J451" s="73"/>
      <c r="K451" s="73"/>
    </row>
    <row r="452">
      <c r="C452" s="71"/>
      <c r="D452" s="71"/>
      <c r="E452" s="71"/>
      <c r="F452" s="73"/>
      <c r="G452" s="73"/>
      <c r="H452" s="73"/>
      <c r="I452" s="73"/>
      <c r="J452" s="73"/>
      <c r="K452" s="73"/>
    </row>
    <row r="453">
      <c r="C453" s="71"/>
      <c r="D453" s="71"/>
      <c r="E453" s="71"/>
      <c r="F453" s="73"/>
      <c r="G453" s="73"/>
      <c r="H453" s="73"/>
      <c r="I453" s="73"/>
      <c r="J453" s="73"/>
      <c r="K453" s="73"/>
    </row>
    <row r="454">
      <c r="C454" s="71"/>
      <c r="D454" s="71"/>
      <c r="E454" s="71"/>
      <c r="F454" s="73"/>
      <c r="G454" s="73"/>
      <c r="H454" s="73"/>
      <c r="I454" s="73"/>
      <c r="J454" s="73"/>
      <c r="K454" s="73"/>
    </row>
    <row r="455">
      <c r="C455" s="71"/>
      <c r="D455" s="71"/>
      <c r="E455" s="71"/>
      <c r="F455" s="73"/>
      <c r="G455" s="73"/>
      <c r="H455" s="73"/>
      <c r="I455" s="73"/>
      <c r="J455" s="73"/>
      <c r="K455" s="73"/>
    </row>
    <row r="456">
      <c r="C456" s="71"/>
      <c r="D456" s="71"/>
      <c r="E456" s="71"/>
      <c r="F456" s="73"/>
      <c r="G456" s="73"/>
      <c r="H456" s="73"/>
      <c r="I456" s="73"/>
      <c r="J456" s="73"/>
      <c r="K456" s="73"/>
    </row>
    <row r="457">
      <c r="C457" s="71"/>
      <c r="D457" s="71"/>
      <c r="E457" s="71"/>
      <c r="F457" s="73"/>
      <c r="G457" s="73"/>
      <c r="H457" s="73"/>
      <c r="I457" s="73"/>
      <c r="J457" s="73"/>
      <c r="K457" s="73"/>
    </row>
    <row r="458">
      <c r="C458" s="71"/>
      <c r="D458" s="71"/>
      <c r="E458" s="71"/>
      <c r="F458" s="73"/>
      <c r="G458" s="73"/>
      <c r="H458" s="73"/>
      <c r="I458" s="73"/>
      <c r="J458" s="73"/>
      <c r="K458" s="73"/>
    </row>
    <row r="459">
      <c r="C459" s="71"/>
      <c r="D459" s="71"/>
      <c r="E459" s="71"/>
      <c r="F459" s="73"/>
      <c r="G459" s="73"/>
      <c r="H459" s="73"/>
      <c r="I459" s="73"/>
      <c r="J459" s="73"/>
      <c r="K459" s="73"/>
    </row>
    <row r="460">
      <c r="C460" s="71"/>
      <c r="D460" s="71"/>
      <c r="E460" s="71"/>
      <c r="F460" s="73"/>
      <c r="G460" s="73"/>
      <c r="H460" s="73"/>
      <c r="I460" s="73"/>
      <c r="J460" s="73"/>
      <c r="K460" s="73"/>
    </row>
    <row r="461">
      <c r="C461" s="71"/>
      <c r="D461" s="71"/>
      <c r="E461" s="71"/>
      <c r="F461" s="73"/>
      <c r="G461" s="73"/>
      <c r="H461" s="73"/>
      <c r="I461" s="73"/>
      <c r="J461" s="73"/>
      <c r="K461" s="73"/>
    </row>
    <row r="462">
      <c r="C462" s="71"/>
      <c r="D462" s="71"/>
      <c r="E462" s="71"/>
      <c r="F462" s="73"/>
      <c r="G462" s="73"/>
      <c r="H462" s="73"/>
      <c r="I462" s="73"/>
      <c r="J462" s="73"/>
      <c r="K462" s="73"/>
    </row>
    <row r="463">
      <c r="C463" s="71"/>
      <c r="D463" s="71"/>
      <c r="E463" s="71"/>
      <c r="F463" s="73"/>
      <c r="G463" s="73"/>
      <c r="H463" s="73"/>
      <c r="I463" s="73"/>
      <c r="J463" s="73"/>
      <c r="K463" s="73"/>
    </row>
    <row r="464">
      <c r="C464" s="71"/>
      <c r="D464" s="71"/>
      <c r="E464" s="71"/>
      <c r="F464" s="73"/>
      <c r="G464" s="73"/>
      <c r="H464" s="73"/>
      <c r="I464" s="73"/>
      <c r="J464" s="73"/>
      <c r="K464" s="73"/>
    </row>
    <row r="465">
      <c r="C465" s="71"/>
      <c r="D465" s="71"/>
      <c r="E465" s="71"/>
      <c r="F465" s="73"/>
      <c r="G465" s="73"/>
      <c r="H465" s="73"/>
      <c r="I465" s="73"/>
      <c r="J465" s="73"/>
      <c r="K465" s="73"/>
    </row>
    <row r="466">
      <c r="C466" s="71"/>
      <c r="D466" s="71"/>
      <c r="E466" s="71"/>
      <c r="F466" s="73"/>
      <c r="G466" s="73"/>
      <c r="H466" s="73"/>
      <c r="I466" s="73"/>
      <c r="J466" s="73"/>
      <c r="K466" s="73"/>
    </row>
    <row r="467">
      <c r="C467" s="71"/>
      <c r="D467" s="71"/>
      <c r="E467" s="71"/>
      <c r="F467" s="73"/>
      <c r="G467" s="73"/>
      <c r="H467" s="73"/>
      <c r="I467" s="73"/>
      <c r="J467" s="73"/>
      <c r="K467" s="73"/>
    </row>
    <row r="468">
      <c r="C468" s="71"/>
      <c r="D468" s="71"/>
      <c r="E468" s="71"/>
      <c r="F468" s="73"/>
      <c r="G468" s="73"/>
      <c r="H468" s="73"/>
      <c r="I468" s="73"/>
      <c r="J468" s="73"/>
      <c r="K468" s="73"/>
    </row>
    <row r="469">
      <c r="C469" s="71"/>
      <c r="D469" s="71"/>
      <c r="E469" s="71"/>
      <c r="F469" s="73"/>
      <c r="G469" s="73"/>
      <c r="H469" s="73"/>
      <c r="I469" s="73"/>
      <c r="J469" s="73"/>
      <c r="K469" s="73"/>
    </row>
    <row r="470">
      <c r="C470" s="71"/>
      <c r="D470" s="71"/>
      <c r="E470" s="71"/>
      <c r="F470" s="73"/>
      <c r="G470" s="73"/>
      <c r="H470" s="73"/>
      <c r="I470" s="73"/>
      <c r="J470" s="73"/>
      <c r="K470" s="73"/>
    </row>
    <row r="471">
      <c r="C471" s="71"/>
      <c r="D471" s="71"/>
      <c r="E471" s="71"/>
      <c r="F471" s="73"/>
      <c r="G471" s="73"/>
      <c r="H471" s="73"/>
      <c r="I471" s="73"/>
      <c r="J471" s="73"/>
      <c r="K471" s="73"/>
    </row>
    <row r="472">
      <c r="C472" s="71"/>
      <c r="D472" s="71"/>
      <c r="E472" s="71"/>
      <c r="F472" s="73"/>
      <c r="G472" s="73"/>
      <c r="H472" s="73"/>
      <c r="I472" s="73"/>
      <c r="J472" s="73"/>
      <c r="K472" s="73"/>
    </row>
    <row r="473">
      <c r="C473" s="71"/>
      <c r="D473" s="71"/>
      <c r="E473" s="71"/>
      <c r="F473" s="73"/>
      <c r="G473" s="73"/>
      <c r="H473" s="73"/>
      <c r="I473" s="73"/>
      <c r="J473" s="73"/>
      <c r="K473" s="73"/>
    </row>
    <row r="474">
      <c r="C474" s="71"/>
      <c r="D474" s="71"/>
      <c r="E474" s="71"/>
      <c r="F474" s="73"/>
      <c r="G474" s="73"/>
      <c r="H474" s="73"/>
      <c r="I474" s="73"/>
      <c r="J474" s="73"/>
      <c r="K474" s="73"/>
    </row>
    <row r="475">
      <c r="C475" s="71"/>
      <c r="D475" s="71"/>
      <c r="E475" s="71"/>
      <c r="F475" s="73"/>
      <c r="G475" s="73"/>
      <c r="H475" s="73"/>
      <c r="I475" s="73"/>
      <c r="J475" s="73"/>
      <c r="K475" s="73"/>
    </row>
    <row r="476">
      <c r="C476" s="71"/>
      <c r="D476" s="71"/>
      <c r="E476" s="71"/>
      <c r="F476" s="73"/>
      <c r="G476" s="73"/>
      <c r="H476" s="73"/>
      <c r="I476" s="73"/>
      <c r="J476" s="73"/>
      <c r="K476" s="73"/>
    </row>
    <row r="477">
      <c r="C477" s="71"/>
      <c r="D477" s="71"/>
      <c r="E477" s="71"/>
      <c r="F477" s="73"/>
      <c r="G477" s="73"/>
      <c r="H477" s="73"/>
      <c r="I477" s="73"/>
      <c r="J477" s="73"/>
      <c r="K477" s="73"/>
    </row>
    <row r="478">
      <c r="C478" s="71"/>
      <c r="D478" s="71"/>
      <c r="E478" s="71"/>
      <c r="F478" s="73"/>
      <c r="G478" s="73"/>
      <c r="H478" s="73"/>
      <c r="I478" s="73"/>
      <c r="J478" s="73"/>
      <c r="K478" s="73"/>
    </row>
    <row r="479">
      <c r="C479" s="71"/>
      <c r="D479" s="71"/>
      <c r="E479" s="71"/>
      <c r="F479" s="73"/>
      <c r="G479" s="73"/>
      <c r="H479" s="73"/>
      <c r="I479" s="73"/>
      <c r="J479" s="73"/>
      <c r="K479" s="73"/>
    </row>
    <row r="480">
      <c r="C480" s="71"/>
      <c r="D480" s="71"/>
      <c r="E480" s="71"/>
      <c r="F480" s="73"/>
      <c r="G480" s="73"/>
      <c r="H480" s="73"/>
      <c r="I480" s="73"/>
      <c r="J480" s="73"/>
      <c r="K480" s="73"/>
    </row>
    <row r="481">
      <c r="C481" s="71"/>
      <c r="D481" s="71"/>
      <c r="E481" s="71"/>
      <c r="F481" s="73"/>
      <c r="G481" s="73"/>
      <c r="H481" s="73"/>
      <c r="I481" s="73"/>
      <c r="J481" s="73"/>
      <c r="K481" s="73"/>
    </row>
    <row r="482">
      <c r="C482" s="71"/>
      <c r="D482" s="71"/>
      <c r="E482" s="71"/>
      <c r="F482" s="73"/>
      <c r="G482" s="73"/>
      <c r="H482" s="73"/>
      <c r="I482" s="73"/>
      <c r="J482" s="73"/>
      <c r="K482" s="73"/>
    </row>
    <row r="483">
      <c r="C483" s="71"/>
      <c r="D483" s="71"/>
      <c r="E483" s="71"/>
      <c r="F483" s="73"/>
      <c r="G483" s="73"/>
      <c r="H483" s="73"/>
      <c r="I483" s="73"/>
      <c r="J483" s="73"/>
      <c r="K483" s="73"/>
    </row>
    <row r="484">
      <c r="C484" s="71"/>
      <c r="D484" s="71"/>
      <c r="E484" s="71"/>
      <c r="F484" s="73"/>
      <c r="G484" s="73"/>
      <c r="H484" s="73"/>
      <c r="I484" s="73"/>
      <c r="J484" s="73"/>
      <c r="K484" s="73"/>
    </row>
    <row r="485">
      <c r="C485" s="71"/>
      <c r="D485" s="71"/>
      <c r="E485" s="71"/>
      <c r="F485" s="73"/>
      <c r="G485" s="73"/>
      <c r="H485" s="73"/>
      <c r="I485" s="73"/>
      <c r="J485" s="73"/>
      <c r="K485" s="73"/>
    </row>
    <row r="486">
      <c r="C486" s="71"/>
      <c r="D486" s="71"/>
      <c r="E486" s="71"/>
      <c r="F486" s="73"/>
      <c r="G486" s="73"/>
      <c r="H486" s="73"/>
      <c r="I486" s="73"/>
      <c r="J486" s="73"/>
      <c r="K486" s="73"/>
    </row>
    <row r="487">
      <c r="C487" s="71"/>
      <c r="D487" s="71"/>
      <c r="E487" s="71"/>
      <c r="F487" s="73"/>
      <c r="G487" s="73"/>
      <c r="H487" s="73"/>
      <c r="I487" s="73"/>
      <c r="J487" s="73"/>
      <c r="K487" s="73"/>
    </row>
    <row r="488">
      <c r="C488" s="71"/>
      <c r="D488" s="71"/>
      <c r="E488" s="71"/>
      <c r="F488" s="73"/>
      <c r="G488" s="73"/>
      <c r="H488" s="73"/>
      <c r="I488" s="73"/>
      <c r="J488" s="73"/>
      <c r="K488" s="73"/>
    </row>
    <row r="489">
      <c r="C489" s="71"/>
      <c r="D489" s="71"/>
      <c r="E489" s="71"/>
      <c r="F489" s="73"/>
      <c r="G489" s="73"/>
      <c r="H489" s="73"/>
      <c r="I489" s="73"/>
      <c r="J489" s="73"/>
      <c r="K489" s="73"/>
    </row>
    <row r="490">
      <c r="C490" s="71"/>
      <c r="D490" s="71"/>
      <c r="E490" s="71"/>
      <c r="F490" s="73"/>
      <c r="G490" s="73"/>
      <c r="H490" s="73"/>
      <c r="I490" s="73"/>
      <c r="J490" s="73"/>
      <c r="K490" s="73"/>
    </row>
    <row r="491">
      <c r="C491" s="71"/>
      <c r="D491" s="71"/>
      <c r="E491" s="71"/>
      <c r="F491" s="73"/>
      <c r="G491" s="73"/>
      <c r="H491" s="73"/>
      <c r="I491" s="73"/>
      <c r="J491" s="73"/>
      <c r="K491" s="73"/>
    </row>
    <row r="492">
      <c r="C492" s="71"/>
      <c r="D492" s="71"/>
      <c r="E492" s="71"/>
      <c r="F492" s="73"/>
      <c r="G492" s="73"/>
      <c r="H492" s="73"/>
      <c r="I492" s="73"/>
      <c r="J492" s="73"/>
      <c r="K492" s="73"/>
    </row>
    <row r="493">
      <c r="C493" s="71"/>
      <c r="D493" s="71"/>
      <c r="E493" s="71"/>
      <c r="F493" s="73"/>
      <c r="G493" s="73"/>
      <c r="H493" s="73"/>
      <c r="I493" s="73"/>
      <c r="J493" s="73"/>
      <c r="K493" s="73"/>
    </row>
    <row r="494">
      <c r="C494" s="71"/>
      <c r="D494" s="71"/>
      <c r="E494" s="71"/>
      <c r="F494" s="73"/>
      <c r="G494" s="73"/>
      <c r="H494" s="73"/>
      <c r="I494" s="73"/>
      <c r="J494" s="73"/>
      <c r="K494" s="73"/>
    </row>
    <row r="495">
      <c r="C495" s="71"/>
      <c r="D495" s="71"/>
      <c r="E495" s="71"/>
      <c r="F495" s="73"/>
      <c r="G495" s="73"/>
      <c r="H495" s="73"/>
      <c r="I495" s="73"/>
      <c r="J495" s="73"/>
      <c r="K495" s="73"/>
    </row>
    <row r="496">
      <c r="C496" s="71"/>
      <c r="D496" s="71"/>
      <c r="E496" s="71"/>
      <c r="F496" s="73"/>
      <c r="G496" s="73"/>
      <c r="H496" s="73"/>
      <c r="I496" s="73"/>
      <c r="J496" s="73"/>
      <c r="K496" s="73"/>
    </row>
    <row r="497">
      <c r="C497" s="71"/>
      <c r="D497" s="71"/>
      <c r="E497" s="71"/>
      <c r="F497" s="73"/>
      <c r="G497" s="73"/>
      <c r="H497" s="73"/>
      <c r="I497" s="73"/>
      <c r="J497" s="73"/>
      <c r="K497" s="73"/>
    </row>
    <row r="498">
      <c r="C498" s="71"/>
      <c r="D498" s="71"/>
      <c r="E498" s="71"/>
      <c r="F498" s="73"/>
      <c r="G498" s="73"/>
      <c r="H498" s="73"/>
      <c r="I498" s="73"/>
      <c r="J498" s="73"/>
      <c r="K498" s="73"/>
    </row>
    <row r="499">
      <c r="C499" s="71"/>
      <c r="D499" s="71"/>
      <c r="E499" s="71"/>
      <c r="F499" s="73"/>
      <c r="G499" s="73"/>
      <c r="H499" s="73"/>
      <c r="I499" s="73"/>
      <c r="J499" s="73"/>
      <c r="K499" s="73"/>
    </row>
    <row r="500">
      <c r="C500" s="71"/>
      <c r="D500" s="71"/>
      <c r="E500" s="71"/>
      <c r="F500" s="73"/>
      <c r="G500" s="73"/>
      <c r="H500" s="73"/>
      <c r="I500" s="73"/>
      <c r="J500" s="73"/>
      <c r="K500" s="73"/>
    </row>
    <row r="501">
      <c r="C501" s="71"/>
      <c r="D501" s="71"/>
      <c r="E501" s="71"/>
      <c r="F501" s="73"/>
      <c r="G501" s="73"/>
      <c r="H501" s="73"/>
      <c r="I501" s="73"/>
      <c r="J501" s="73"/>
      <c r="K501" s="73"/>
    </row>
    <row r="502">
      <c r="C502" s="71"/>
      <c r="D502" s="71"/>
      <c r="E502" s="71"/>
      <c r="F502" s="73"/>
      <c r="G502" s="73"/>
      <c r="H502" s="73"/>
      <c r="I502" s="73"/>
      <c r="J502" s="73"/>
      <c r="K502" s="73"/>
    </row>
    <row r="503">
      <c r="C503" s="71"/>
      <c r="D503" s="71"/>
      <c r="E503" s="71"/>
      <c r="F503" s="73"/>
      <c r="G503" s="73"/>
      <c r="H503" s="73"/>
      <c r="I503" s="73"/>
      <c r="J503" s="73"/>
      <c r="K503" s="73"/>
    </row>
    <row r="504">
      <c r="C504" s="71"/>
      <c r="D504" s="71"/>
      <c r="E504" s="71"/>
      <c r="F504" s="73"/>
      <c r="G504" s="73"/>
      <c r="H504" s="73"/>
      <c r="I504" s="73"/>
      <c r="J504" s="73"/>
      <c r="K504" s="73"/>
    </row>
    <row r="505">
      <c r="C505" s="71"/>
      <c r="D505" s="71"/>
      <c r="E505" s="71"/>
      <c r="F505" s="73"/>
      <c r="G505" s="73"/>
      <c r="H505" s="73"/>
      <c r="I505" s="73"/>
      <c r="J505" s="73"/>
      <c r="K505" s="73"/>
    </row>
    <row r="506">
      <c r="C506" s="71"/>
      <c r="D506" s="71"/>
      <c r="E506" s="71"/>
      <c r="F506" s="73"/>
      <c r="G506" s="73"/>
      <c r="H506" s="73"/>
      <c r="I506" s="73"/>
      <c r="J506" s="73"/>
      <c r="K506" s="73"/>
    </row>
    <row r="507">
      <c r="C507" s="71"/>
      <c r="D507" s="71"/>
      <c r="E507" s="71"/>
      <c r="F507" s="73"/>
      <c r="G507" s="73"/>
      <c r="H507" s="73"/>
      <c r="I507" s="73"/>
      <c r="J507" s="73"/>
      <c r="K507" s="73"/>
    </row>
    <row r="508">
      <c r="C508" s="71"/>
      <c r="D508" s="71"/>
      <c r="E508" s="71"/>
      <c r="F508" s="73"/>
      <c r="G508" s="73"/>
      <c r="H508" s="73"/>
      <c r="I508" s="73"/>
      <c r="J508" s="73"/>
      <c r="K508" s="73"/>
    </row>
    <row r="509">
      <c r="C509" s="71"/>
      <c r="D509" s="71"/>
      <c r="E509" s="71"/>
      <c r="F509" s="73"/>
      <c r="G509" s="73"/>
      <c r="H509" s="73"/>
      <c r="I509" s="73"/>
      <c r="J509" s="73"/>
      <c r="K509" s="73"/>
    </row>
    <row r="510">
      <c r="C510" s="71"/>
      <c r="D510" s="71"/>
      <c r="E510" s="71"/>
      <c r="F510" s="73"/>
      <c r="G510" s="73"/>
      <c r="H510" s="73"/>
      <c r="I510" s="73"/>
      <c r="J510" s="73"/>
      <c r="K510" s="73"/>
    </row>
    <row r="511">
      <c r="C511" s="71"/>
      <c r="D511" s="71"/>
      <c r="E511" s="71"/>
      <c r="F511" s="73"/>
      <c r="G511" s="73"/>
      <c r="H511" s="73"/>
      <c r="I511" s="73"/>
      <c r="J511" s="73"/>
      <c r="K511" s="73"/>
    </row>
    <row r="512">
      <c r="C512" s="71"/>
      <c r="D512" s="71"/>
      <c r="E512" s="71"/>
      <c r="F512" s="73"/>
      <c r="G512" s="73"/>
      <c r="H512" s="73"/>
      <c r="I512" s="73"/>
      <c r="J512" s="73"/>
      <c r="K512" s="73"/>
    </row>
    <row r="513">
      <c r="C513" s="71"/>
      <c r="D513" s="71"/>
      <c r="E513" s="71"/>
      <c r="F513" s="73"/>
      <c r="G513" s="73"/>
      <c r="H513" s="73"/>
      <c r="I513" s="73"/>
      <c r="J513" s="73"/>
      <c r="K513" s="73"/>
    </row>
    <row r="514">
      <c r="C514" s="71"/>
      <c r="D514" s="71"/>
      <c r="E514" s="71"/>
      <c r="F514" s="73"/>
      <c r="G514" s="73"/>
      <c r="H514" s="73"/>
      <c r="I514" s="73"/>
      <c r="J514" s="73"/>
      <c r="K514" s="73"/>
    </row>
    <row r="515">
      <c r="C515" s="71"/>
      <c r="D515" s="71"/>
      <c r="E515" s="71"/>
      <c r="F515" s="73"/>
      <c r="G515" s="73"/>
      <c r="H515" s="73"/>
      <c r="I515" s="73"/>
      <c r="J515" s="73"/>
      <c r="K515" s="73"/>
    </row>
    <row r="516">
      <c r="C516" s="71"/>
      <c r="D516" s="71"/>
      <c r="E516" s="71"/>
      <c r="F516" s="73"/>
      <c r="G516" s="73"/>
      <c r="H516" s="73"/>
      <c r="I516" s="73"/>
      <c r="J516" s="73"/>
      <c r="K516" s="73"/>
    </row>
    <row r="517">
      <c r="C517" s="71"/>
      <c r="D517" s="71"/>
      <c r="E517" s="71"/>
      <c r="F517" s="73"/>
      <c r="G517" s="73"/>
      <c r="H517" s="73"/>
      <c r="I517" s="73"/>
      <c r="J517" s="73"/>
      <c r="K517" s="73"/>
    </row>
    <row r="518">
      <c r="C518" s="71"/>
      <c r="D518" s="71"/>
      <c r="E518" s="71"/>
      <c r="F518" s="73"/>
      <c r="G518" s="73"/>
      <c r="H518" s="73"/>
      <c r="I518" s="73"/>
      <c r="J518" s="73"/>
      <c r="K518" s="73"/>
    </row>
    <row r="519">
      <c r="C519" s="71"/>
      <c r="D519" s="71"/>
      <c r="E519" s="71"/>
      <c r="F519" s="73"/>
      <c r="G519" s="73"/>
      <c r="H519" s="73"/>
      <c r="I519" s="73"/>
      <c r="J519" s="73"/>
      <c r="K519" s="73"/>
    </row>
    <row r="520">
      <c r="C520" s="71"/>
      <c r="D520" s="71"/>
      <c r="E520" s="71"/>
      <c r="F520" s="73"/>
      <c r="G520" s="73"/>
      <c r="H520" s="73"/>
      <c r="I520" s="73"/>
      <c r="J520" s="73"/>
      <c r="K520" s="73"/>
    </row>
    <row r="521">
      <c r="C521" s="71"/>
      <c r="D521" s="71"/>
      <c r="E521" s="71"/>
      <c r="F521" s="73"/>
      <c r="G521" s="73"/>
      <c r="H521" s="73"/>
      <c r="I521" s="73"/>
      <c r="J521" s="73"/>
      <c r="K521" s="73"/>
    </row>
    <row r="522">
      <c r="C522" s="71"/>
      <c r="D522" s="71"/>
      <c r="E522" s="71"/>
      <c r="F522" s="73"/>
      <c r="G522" s="73"/>
      <c r="H522" s="73"/>
      <c r="I522" s="73"/>
      <c r="J522" s="73"/>
      <c r="K522" s="73"/>
    </row>
    <row r="523">
      <c r="C523" s="71"/>
      <c r="D523" s="71"/>
      <c r="E523" s="71"/>
      <c r="F523" s="73"/>
      <c r="G523" s="73"/>
      <c r="H523" s="73"/>
      <c r="I523" s="73"/>
      <c r="J523" s="73"/>
      <c r="K523" s="73"/>
    </row>
    <row r="524">
      <c r="C524" s="71"/>
      <c r="D524" s="71"/>
      <c r="E524" s="71"/>
      <c r="F524" s="73"/>
      <c r="G524" s="73"/>
      <c r="H524" s="73"/>
      <c r="I524" s="73"/>
      <c r="J524" s="73"/>
      <c r="K524" s="73"/>
    </row>
    <row r="525">
      <c r="C525" s="71"/>
      <c r="D525" s="71"/>
      <c r="E525" s="71"/>
      <c r="F525" s="73"/>
      <c r="G525" s="73"/>
      <c r="H525" s="73"/>
      <c r="I525" s="73"/>
      <c r="J525" s="73"/>
      <c r="K525" s="73"/>
    </row>
    <row r="526">
      <c r="C526" s="71"/>
      <c r="D526" s="71"/>
      <c r="E526" s="71"/>
      <c r="F526" s="73"/>
      <c r="G526" s="73"/>
      <c r="H526" s="73"/>
      <c r="I526" s="73"/>
      <c r="J526" s="73"/>
      <c r="K526" s="73"/>
    </row>
    <row r="527">
      <c r="C527" s="71"/>
      <c r="D527" s="71"/>
      <c r="E527" s="71"/>
      <c r="F527" s="73"/>
      <c r="G527" s="73"/>
      <c r="H527" s="73"/>
      <c r="I527" s="73"/>
      <c r="J527" s="73"/>
      <c r="K527" s="73"/>
    </row>
    <row r="528">
      <c r="C528" s="71"/>
      <c r="D528" s="71"/>
      <c r="E528" s="71"/>
      <c r="F528" s="73"/>
      <c r="G528" s="73"/>
      <c r="H528" s="73"/>
      <c r="I528" s="73"/>
      <c r="J528" s="73"/>
      <c r="K528" s="73"/>
    </row>
    <row r="529">
      <c r="C529" s="71"/>
      <c r="D529" s="71"/>
      <c r="E529" s="71"/>
      <c r="F529" s="73"/>
      <c r="G529" s="73"/>
      <c r="H529" s="73"/>
      <c r="I529" s="73"/>
      <c r="J529" s="73"/>
      <c r="K529" s="73"/>
    </row>
    <row r="530">
      <c r="C530" s="71"/>
      <c r="D530" s="71"/>
      <c r="E530" s="71"/>
      <c r="F530" s="73"/>
      <c r="G530" s="73"/>
      <c r="H530" s="73"/>
      <c r="I530" s="73"/>
      <c r="J530" s="73"/>
      <c r="K530" s="73"/>
    </row>
    <row r="531">
      <c r="C531" s="71"/>
      <c r="D531" s="71"/>
      <c r="E531" s="71"/>
      <c r="F531" s="73"/>
      <c r="G531" s="73"/>
      <c r="H531" s="73"/>
      <c r="I531" s="73"/>
      <c r="J531" s="73"/>
      <c r="K531" s="73"/>
    </row>
    <row r="532">
      <c r="C532" s="71"/>
      <c r="D532" s="71"/>
      <c r="E532" s="71"/>
      <c r="F532" s="73"/>
      <c r="G532" s="73"/>
      <c r="H532" s="73"/>
      <c r="I532" s="73"/>
      <c r="J532" s="73"/>
      <c r="K532" s="73"/>
    </row>
    <row r="533">
      <c r="C533" s="71"/>
      <c r="D533" s="71"/>
      <c r="E533" s="71"/>
      <c r="F533" s="73"/>
      <c r="G533" s="73"/>
      <c r="H533" s="73"/>
      <c r="I533" s="73"/>
      <c r="J533" s="73"/>
      <c r="K533" s="73"/>
    </row>
    <row r="534">
      <c r="C534" s="71"/>
      <c r="D534" s="71"/>
      <c r="E534" s="71"/>
      <c r="F534" s="73"/>
      <c r="G534" s="73"/>
      <c r="H534" s="73"/>
      <c r="I534" s="73"/>
      <c r="J534" s="73"/>
      <c r="K534" s="73"/>
    </row>
    <row r="535">
      <c r="C535" s="71"/>
      <c r="D535" s="71"/>
      <c r="E535" s="71"/>
      <c r="F535" s="73"/>
      <c r="G535" s="73"/>
      <c r="H535" s="73"/>
      <c r="I535" s="73"/>
      <c r="J535" s="73"/>
      <c r="K535" s="73"/>
    </row>
    <row r="536">
      <c r="C536" s="71"/>
      <c r="D536" s="71"/>
      <c r="E536" s="71"/>
      <c r="F536" s="73"/>
      <c r="G536" s="73"/>
      <c r="H536" s="73"/>
      <c r="I536" s="73"/>
      <c r="J536" s="73"/>
      <c r="K536" s="73"/>
    </row>
    <row r="537">
      <c r="C537" s="71"/>
      <c r="D537" s="71"/>
      <c r="E537" s="71"/>
      <c r="F537" s="73"/>
      <c r="G537" s="73"/>
      <c r="H537" s="73"/>
      <c r="I537" s="73"/>
      <c r="J537" s="73"/>
      <c r="K537" s="73"/>
    </row>
    <row r="538">
      <c r="C538" s="71"/>
      <c r="D538" s="71"/>
      <c r="E538" s="71"/>
      <c r="F538" s="73"/>
      <c r="G538" s="73"/>
      <c r="H538" s="73"/>
      <c r="I538" s="73"/>
      <c r="J538" s="73"/>
      <c r="K538" s="73"/>
    </row>
    <row r="539">
      <c r="C539" s="71"/>
      <c r="D539" s="71"/>
      <c r="E539" s="71"/>
      <c r="F539" s="73"/>
      <c r="G539" s="73"/>
      <c r="H539" s="73"/>
      <c r="I539" s="73"/>
      <c r="J539" s="73"/>
      <c r="K539" s="73"/>
    </row>
    <row r="540">
      <c r="C540" s="71"/>
      <c r="D540" s="71"/>
      <c r="E540" s="71"/>
      <c r="F540" s="73"/>
      <c r="G540" s="73"/>
      <c r="H540" s="73"/>
      <c r="I540" s="73"/>
      <c r="J540" s="73"/>
      <c r="K540" s="73"/>
    </row>
    <row r="541">
      <c r="C541" s="71"/>
      <c r="D541" s="71"/>
      <c r="E541" s="71"/>
      <c r="F541" s="73"/>
      <c r="G541" s="73"/>
      <c r="H541" s="73"/>
      <c r="I541" s="73"/>
      <c r="J541" s="73"/>
      <c r="K541" s="73"/>
    </row>
    <row r="542">
      <c r="C542" s="71"/>
      <c r="D542" s="71"/>
      <c r="E542" s="71"/>
      <c r="F542" s="73"/>
      <c r="G542" s="73"/>
      <c r="H542" s="73"/>
      <c r="I542" s="73"/>
      <c r="J542" s="73"/>
      <c r="K542" s="73"/>
    </row>
    <row r="543">
      <c r="C543" s="71"/>
      <c r="D543" s="71"/>
      <c r="E543" s="71"/>
      <c r="F543" s="73"/>
      <c r="G543" s="73"/>
      <c r="H543" s="73"/>
      <c r="I543" s="73"/>
      <c r="J543" s="73"/>
      <c r="K543" s="73"/>
    </row>
    <row r="544">
      <c r="C544" s="71"/>
      <c r="D544" s="71"/>
      <c r="E544" s="71"/>
      <c r="F544" s="73"/>
      <c r="G544" s="73"/>
      <c r="H544" s="73"/>
      <c r="I544" s="73"/>
      <c r="J544" s="73"/>
      <c r="K544" s="73"/>
    </row>
    <row r="545">
      <c r="C545" s="71"/>
      <c r="D545" s="71"/>
      <c r="E545" s="71"/>
      <c r="F545" s="73"/>
      <c r="G545" s="73"/>
      <c r="H545" s="73"/>
      <c r="I545" s="73"/>
      <c r="J545" s="73"/>
      <c r="K545" s="73"/>
    </row>
    <row r="546">
      <c r="C546" s="71"/>
      <c r="D546" s="71"/>
      <c r="E546" s="71"/>
      <c r="F546" s="73"/>
      <c r="G546" s="73"/>
      <c r="H546" s="73"/>
      <c r="I546" s="73"/>
      <c r="J546" s="73"/>
      <c r="K546" s="73"/>
    </row>
    <row r="547">
      <c r="C547" s="71"/>
      <c r="D547" s="71"/>
      <c r="E547" s="71"/>
      <c r="F547" s="73"/>
      <c r="G547" s="73"/>
      <c r="H547" s="73"/>
      <c r="I547" s="73"/>
      <c r="J547" s="73"/>
      <c r="K547" s="73"/>
    </row>
    <row r="548">
      <c r="C548" s="71"/>
      <c r="D548" s="71"/>
      <c r="E548" s="71"/>
      <c r="F548" s="73"/>
      <c r="G548" s="73"/>
      <c r="H548" s="73"/>
      <c r="I548" s="73"/>
      <c r="J548" s="73"/>
      <c r="K548" s="73"/>
    </row>
    <row r="549">
      <c r="C549" s="71"/>
      <c r="D549" s="71"/>
      <c r="E549" s="71"/>
      <c r="F549" s="73"/>
      <c r="G549" s="73"/>
      <c r="H549" s="73"/>
      <c r="I549" s="73"/>
      <c r="J549" s="73"/>
      <c r="K549" s="73"/>
    </row>
    <row r="550">
      <c r="C550" s="71"/>
      <c r="D550" s="71"/>
      <c r="E550" s="71"/>
      <c r="F550" s="73"/>
      <c r="G550" s="73"/>
      <c r="H550" s="73"/>
      <c r="I550" s="73"/>
      <c r="J550" s="73"/>
      <c r="K550" s="73"/>
    </row>
    <row r="551">
      <c r="C551" s="71"/>
      <c r="D551" s="71"/>
      <c r="E551" s="71"/>
      <c r="F551" s="73"/>
      <c r="G551" s="73"/>
      <c r="H551" s="73"/>
      <c r="I551" s="73"/>
      <c r="J551" s="73"/>
      <c r="K551" s="73"/>
    </row>
    <row r="552">
      <c r="C552" s="71"/>
      <c r="D552" s="71"/>
      <c r="E552" s="71"/>
      <c r="F552" s="73"/>
      <c r="G552" s="73"/>
      <c r="H552" s="73"/>
      <c r="I552" s="73"/>
      <c r="J552" s="73"/>
      <c r="K552" s="73"/>
    </row>
    <row r="553">
      <c r="C553" s="71"/>
      <c r="D553" s="71"/>
      <c r="E553" s="71"/>
      <c r="F553" s="73"/>
      <c r="G553" s="73"/>
      <c r="H553" s="73"/>
      <c r="I553" s="73"/>
      <c r="J553" s="73"/>
      <c r="K553" s="73"/>
    </row>
    <row r="554">
      <c r="C554" s="71"/>
      <c r="D554" s="71"/>
      <c r="E554" s="71"/>
      <c r="F554" s="73"/>
      <c r="G554" s="73"/>
      <c r="H554" s="73"/>
      <c r="I554" s="73"/>
      <c r="J554" s="73"/>
      <c r="K554" s="73"/>
    </row>
    <row r="555">
      <c r="C555" s="71"/>
      <c r="D555" s="71"/>
      <c r="E555" s="71"/>
      <c r="F555" s="73"/>
      <c r="G555" s="73"/>
      <c r="H555" s="73"/>
      <c r="I555" s="73"/>
      <c r="J555" s="73"/>
      <c r="K555" s="73"/>
    </row>
    <row r="556">
      <c r="C556" s="71"/>
      <c r="D556" s="71"/>
      <c r="E556" s="71"/>
      <c r="F556" s="73"/>
      <c r="G556" s="73"/>
      <c r="H556" s="73"/>
      <c r="I556" s="73"/>
      <c r="J556" s="73"/>
      <c r="K556" s="73"/>
    </row>
    <row r="557">
      <c r="C557" s="71"/>
      <c r="D557" s="71"/>
      <c r="E557" s="71"/>
      <c r="F557" s="73"/>
      <c r="G557" s="73"/>
      <c r="H557" s="73"/>
      <c r="I557" s="73"/>
      <c r="J557" s="73"/>
      <c r="K557" s="73"/>
    </row>
    <row r="558">
      <c r="C558" s="71"/>
      <c r="D558" s="71"/>
      <c r="E558" s="71"/>
      <c r="F558" s="73"/>
      <c r="G558" s="73"/>
      <c r="H558" s="73"/>
      <c r="I558" s="73"/>
      <c r="J558" s="73"/>
      <c r="K558" s="73"/>
    </row>
    <row r="559">
      <c r="C559" s="71"/>
      <c r="D559" s="71"/>
      <c r="E559" s="71"/>
      <c r="F559" s="73"/>
      <c r="G559" s="73"/>
      <c r="H559" s="73"/>
      <c r="I559" s="73"/>
      <c r="J559" s="73"/>
      <c r="K559" s="73"/>
    </row>
    <row r="560">
      <c r="C560" s="71"/>
      <c r="D560" s="71"/>
      <c r="E560" s="71"/>
      <c r="F560" s="73"/>
      <c r="G560" s="73"/>
      <c r="H560" s="73"/>
      <c r="I560" s="73"/>
      <c r="J560" s="73"/>
      <c r="K560" s="73"/>
    </row>
    <row r="561">
      <c r="C561" s="71"/>
      <c r="D561" s="71"/>
      <c r="E561" s="71"/>
      <c r="F561" s="73"/>
      <c r="G561" s="73"/>
      <c r="H561" s="73"/>
      <c r="I561" s="73"/>
      <c r="J561" s="73"/>
      <c r="K561" s="73"/>
    </row>
    <row r="562">
      <c r="C562" s="71"/>
      <c r="D562" s="71"/>
      <c r="E562" s="71"/>
      <c r="F562" s="73"/>
      <c r="G562" s="73"/>
      <c r="H562" s="73"/>
      <c r="I562" s="73"/>
      <c r="J562" s="73"/>
      <c r="K562" s="73"/>
    </row>
    <row r="563">
      <c r="C563" s="71"/>
      <c r="D563" s="71"/>
      <c r="E563" s="71"/>
      <c r="F563" s="73"/>
      <c r="G563" s="73"/>
      <c r="H563" s="73"/>
      <c r="I563" s="73"/>
      <c r="J563" s="73"/>
      <c r="K563" s="73"/>
    </row>
    <row r="564">
      <c r="C564" s="71"/>
      <c r="D564" s="71"/>
      <c r="E564" s="71"/>
      <c r="F564" s="73"/>
      <c r="G564" s="73"/>
      <c r="H564" s="73"/>
      <c r="I564" s="73"/>
      <c r="J564" s="73"/>
      <c r="K564" s="73"/>
    </row>
    <row r="565">
      <c r="C565" s="71"/>
      <c r="D565" s="71"/>
      <c r="E565" s="71"/>
      <c r="F565" s="73"/>
      <c r="G565" s="73"/>
      <c r="H565" s="73"/>
      <c r="I565" s="73"/>
      <c r="J565" s="73"/>
      <c r="K565" s="73"/>
    </row>
    <row r="566">
      <c r="C566" s="71"/>
      <c r="D566" s="71"/>
      <c r="E566" s="71"/>
      <c r="F566" s="73"/>
      <c r="G566" s="73"/>
      <c r="H566" s="73"/>
      <c r="I566" s="73"/>
      <c r="J566" s="73"/>
      <c r="K566" s="73"/>
    </row>
    <row r="567">
      <c r="C567" s="71"/>
      <c r="D567" s="71"/>
      <c r="E567" s="71"/>
      <c r="F567" s="73"/>
      <c r="G567" s="73"/>
      <c r="H567" s="73"/>
      <c r="I567" s="73"/>
      <c r="J567" s="73"/>
      <c r="K567" s="73"/>
    </row>
    <row r="568">
      <c r="C568" s="71"/>
      <c r="D568" s="71"/>
      <c r="E568" s="71"/>
      <c r="F568" s="73"/>
      <c r="G568" s="73"/>
      <c r="H568" s="73"/>
      <c r="I568" s="73"/>
      <c r="J568" s="73"/>
      <c r="K568" s="73"/>
    </row>
    <row r="569">
      <c r="C569" s="71"/>
      <c r="D569" s="71"/>
      <c r="E569" s="71"/>
      <c r="F569" s="73"/>
      <c r="G569" s="73"/>
      <c r="H569" s="73"/>
      <c r="I569" s="73"/>
      <c r="J569" s="73"/>
      <c r="K569" s="73"/>
    </row>
    <row r="570">
      <c r="C570" s="71"/>
      <c r="D570" s="71"/>
      <c r="E570" s="71"/>
      <c r="F570" s="73"/>
      <c r="G570" s="73"/>
      <c r="H570" s="73"/>
      <c r="I570" s="73"/>
      <c r="J570" s="73"/>
      <c r="K570" s="73"/>
    </row>
    <row r="571">
      <c r="C571" s="71"/>
      <c r="D571" s="71"/>
      <c r="E571" s="71"/>
      <c r="F571" s="73"/>
      <c r="G571" s="73"/>
      <c r="H571" s="73"/>
      <c r="I571" s="73"/>
      <c r="J571" s="73"/>
      <c r="K571" s="73"/>
    </row>
    <row r="572">
      <c r="C572" s="71"/>
      <c r="D572" s="71"/>
      <c r="E572" s="71"/>
      <c r="F572" s="73"/>
      <c r="G572" s="73"/>
      <c r="H572" s="73"/>
      <c r="I572" s="73"/>
      <c r="J572" s="73"/>
      <c r="K572" s="73"/>
    </row>
    <row r="573">
      <c r="C573" s="71"/>
      <c r="D573" s="71"/>
      <c r="E573" s="71"/>
      <c r="F573" s="73"/>
      <c r="G573" s="73"/>
      <c r="H573" s="73"/>
      <c r="I573" s="73"/>
      <c r="J573" s="73"/>
      <c r="K573" s="73"/>
    </row>
    <row r="574">
      <c r="C574" s="71"/>
      <c r="D574" s="71"/>
      <c r="E574" s="71"/>
      <c r="F574" s="73"/>
      <c r="G574" s="73"/>
      <c r="H574" s="73"/>
      <c r="I574" s="73"/>
      <c r="J574" s="73"/>
      <c r="K574" s="73"/>
    </row>
    <row r="575">
      <c r="C575" s="71"/>
      <c r="D575" s="71"/>
      <c r="E575" s="71"/>
      <c r="F575" s="73"/>
      <c r="G575" s="73"/>
      <c r="H575" s="73"/>
      <c r="I575" s="73"/>
      <c r="J575" s="73"/>
      <c r="K575" s="73"/>
    </row>
    <row r="576">
      <c r="C576" s="71"/>
      <c r="D576" s="71"/>
      <c r="E576" s="71"/>
      <c r="F576" s="73"/>
      <c r="G576" s="73"/>
      <c r="H576" s="73"/>
      <c r="I576" s="73"/>
      <c r="J576" s="73"/>
      <c r="K576" s="73"/>
    </row>
    <row r="577">
      <c r="C577" s="71"/>
      <c r="D577" s="71"/>
      <c r="E577" s="71"/>
      <c r="F577" s="73"/>
      <c r="G577" s="73"/>
      <c r="H577" s="73"/>
      <c r="I577" s="73"/>
      <c r="J577" s="73"/>
      <c r="K577" s="73"/>
    </row>
    <row r="578">
      <c r="C578" s="71"/>
      <c r="D578" s="71"/>
      <c r="E578" s="71"/>
      <c r="F578" s="73"/>
      <c r="G578" s="73"/>
      <c r="H578" s="73"/>
      <c r="I578" s="73"/>
      <c r="J578" s="73"/>
      <c r="K578" s="73"/>
    </row>
    <row r="579">
      <c r="C579" s="71"/>
      <c r="D579" s="71"/>
      <c r="E579" s="71"/>
      <c r="F579" s="73"/>
      <c r="G579" s="73"/>
      <c r="H579" s="73"/>
      <c r="I579" s="73"/>
      <c r="J579" s="73"/>
      <c r="K579" s="73"/>
    </row>
    <row r="580">
      <c r="C580" s="71"/>
      <c r="D580" s="71"/>
      <c r="E580" s="71"/>
      <c r="F580" s="73"/>
      <c r="G580" s="73"/>
      <c r="H580" s="73"/>
      <c r="I580" s="73"/>
      <c r="J580" s="73"/>
      <c r="K580" s="73"/>
    </row>
    <row r="581">
      <c r="C581" s="71"/>
      <c r="D581" s="71"/>
      <c r="E581" s="71"/>
      <c r="F581" s="73"/>
      <c r="G581" s="73"/>
      <c r="H581" s="73"/>
      <c r="I581" s="73"/>
      <c r="J581" s="73"/>
      <c r="K581" s="73"/>
    </row>
    <row r="582">
      <c r="C582" s="71"/>
      <c r="D582" s="71"/>
      <c r="E582" s="71"/>
      <c r="F582" s="73"/>
      <c r="G582" s="73"/>
      <c r="H582" s="73"/>
      <c r="I582" s="73"/>
      <c r="J582" s="73"/>
      <c r="K582" s="73"/>
    </row>
    <row r="583">
      <c r="C583" s="71"/>
      <c r="D583" s="71"/>
      <c r="E583" s="71"/>
      <c r="F583" s="73"/>
      <c r="G583" s="73"/>
      <c r="H583" s="73"/>
      <c r="I583" s="73"/>
      <c r="J583" s="73"/>
      <c r="K583" s="73"/>
    </row>
    <row r="584">
      <c r="C584" s="71"/>
      <c r="D584" s="71"/>
      <c r="E584" s="71"/>
      <c r="F584" s="73"/>
      <c r="G584" s="73"/>
      <c r="H584" s="73"/>
      <c r="I584" s="73"/>
      <c r="J584" s="73"/>
      <c r="K584" s="73"/>
    </row>
    <row r="585">
      <c r="C585" s="71"/>
      <c r="D585" s="71"/>
      <c r="E585" s="71"/>
      <c r="F585" s="73"/>
      <c r="G585" s="73"/>
      <c r="H585" s="73"/>
      <c r="I585" s="73"/>
      <c r="J585" s="73"/>
      <c r="K585" s="73"/>
    </row>
    <row r="586">
      <c r="C586" s="71"/>
      <c r="D586" s="71"/>
      <c r="E586" s="71"/>
      <c r="F586" s="73"/>
      <c r="G586" s="73"/>
      <c r="H586" s="73"/>
      <c r="I586" s="73"/>
      <c r="J586" s="73"/>
      <c r="K586" s="73"/>
    </row>
    <row r="587">
      <c r="C587" s="71"/>
      <c r="D587" s="71"/>
      <c r="E587" s="71"/>
      <c r="F587" s="73"/>
      <c r="G587" s="73"/>
      <c r="H587" s="73"/>
      <c r="I587" s="73"/>
      <c r="J587" s="73"/>
      <c r="K587" s="73"/>
    </row>
    <row r="588">
      <c r="C588" s="71"/>
      <c r="D588" s="71"/>
      <c r="E588" s="71"/>
      <c r="F588" s="73"/>
      <c r="G588" s="73"/>
      <c r="H588" s="73"/>
      <c r="I588" s="73"/>
      <c r="J588" s="73"/>
      <c r="K588" s="73"/>
    </row>
    <row r="589">
      <c r="C589" s="71"/>
      <c r="D589" s="71"/>
      <c r="E589" s="71"/>
      <c r="F589" s="73"/>
      <c r="G589" s="73"/>
      <c r="H589" s="73"/>
      <c r="I589" s="73"/>
      <c r="J589" s="73"/>
      <c r="K589" s="73"/>
    </row>
    <row r="590">
      <c r="C590" s="71"/>
      <c r="D590" s="71"/>
      <c r="E590" s="71"/>
      <c r="F590" s="73"/>
      <c r="G590" s="73"/>
      <c r="H590" s="73"/>
      <c r="I590" s="73"/>
      <c r="J590" s="73"/>
      <c r="K590" s="73"/>
    </row>
    <row r="591">
      <c r="C591" s="71"/>
      <c r="D591" s="71"/>
      <c r="E591" s="71"/>
      <c r="F591" s="73"/>
      <c r="G591" s="73"/>
      <c r="H591" s="73"/>
      <c r="I591" s="73"/>
      <c r="J591" s="73"/>
      <c r="K591" s="73"/>
    </row>
    <row r="592">
      <c r="C592" s="71"/>
      <c r="D592" s="71"/>
      <c r="E592" s="71"/>
      <c r="F592" s="73"/>
      <c r="G592" s="73"/>
      <c r="H592" s="73"/>
      <c r="I592" s="73"/>
      <c r="J592" s="73"/>
      <c r="K592" s="73"/>
    </row>
    <row r="593">
      <c r="C593" s="71"/>
      <c r="D593" s="71"/>
      <c r="E593" s="71"/>
      <c r="F593" s="73"/>
      <c r="G593" s="73"/>
      <c r="H593" s="73"/>
      <c r="I593" s="73"/>
      <c r="J593" s="73"/>
      <c r="K593" s="73"/>
    </row>
    <row r="594">
      <c r="C594" s="71"/>
      <c r="D594" s="71"/>
      <c r="E594" s="71"/>
      <c r="F594" s="73"/>
      <c r="G594" s="73"/>
      <c r="H594" s="73"/>
      <c r="I594" s="73"/>
      <c r="J594" s="73"/>
      <c r="K594" s="73"/>
    </row>
    <row r="595">
      <c r="C595" s="71"/>
      <c r="D595" s="71"/>
      <c r="E595" s="71"/>
      <c r="F595" s="73"/>
      <c r="G595" s="73"/>
      <c r="H595" s="73"/>
      <c r="I595" s="73"/>
      <c r="J595" s="73"/>
      <c r="K595" s="73"/>
    </row>
    <row r="596">
      <c r="C596" s="71"/>
      <c r="D596" s="71"/>
      <c r="E596" s="71"/>
      <c r="F596" s="73"/>
      <c r="G596" s="73"/>
      <c r="H596" s="73"/>
      <c r="I596" s="73"/>
      <c r="J596" s="73"/>
      <c r="K596" s="73"/>
    </row>
    <row r="597">
      <c r="C597" s="71"/>
      <c r="D597" s="71"/>
      <c r="E597" s="71"/>
      <c r="F597" s="73"/>
      <c r="G597" s="73"/>
      <c r="H597" s="73"/>
      <c r="I597" s="73"/>
      <c r="J597" s="73"/>
      <c r="K597" s="73"/>
    </row>
    <row r="598">
      <c r="C598" s="71"/>
      <c r="D598" s="71"/>
      <c r="E598" s="71"/>
      <c r="F598" s="73"/>
      <c r="G598" s="73"/>
      <c r="H598" s="73"/>
      <c r="I598" s="73"/>
      <c r="J598" s="73"/>
      <c r="K598" s="73"/>
    </row>
    <row r="599">
      <c r="C599" s="71"/>
      <c r="D599" s="71"/>
      <c r="E599" s="71"/>
      <c r="F599" s="73"/>
      <c r="G599" s="73"/>
      <c r="H599" s="73"/>
      <c r="I599" s="73"/>
      <c r="J599" s="73"/>
      <c r="K599" s="73"/>
    </row>
    <row r="600">
      <c r="C600" s="71"/>
      <c r="D600" s="71"/>
      <c r="E600" s="71"/>
      <c r="F600" s="73"/>
      <c r="G600" s="73"/>
      <c r="H600" s="73"/>
      <c r="I600" s="73"/>
      <c r="J600" s="73"/>
      <c r="K600" s="73"/>
    </row>
    <row r="601">
      <c r="C601" s="71"/>
      <c r="D601" s="71"/>
      <c r="E601" s="71"/>
      <c r="F601" s="73"/>
      <c r="G601" s="73"/>
      <c r="H601" s="73"/>
      <c r="I601" s="73"/>
      <c r="J601" s="73"/>
      <c r="K601" s="73"/>
    </row>
    <row r="602">
      <c r="C602" s="71"/>
      <c r="D602" s="71"/>
      <c r="E602" s="71"/>
      <c r="F602" s="73"/>
      <c r="G602" s="73"/>
      <c r="H602" s="73"/>
      <c r="I602" s="73"/>
      <c r="J602" s="73"/>
      <c r="K602" s="73"/>
    </row>
    <row r="603">
      <c r="C603" s="71"/>
      <c r="D603" s="71"/>
      <c r="E603" s="71"/>
      <c r="F603" s="73"/>
      <c r="G603" s="73"/>
      <c r="H603" s="73"/>
      <c r="I603" s="73"/>
      <c r="J603" s="73"/>
      <c r="K603" s="73"/>
    </row>
    <row r="604">
      <c r="C604" s="71"/>
      <c r="D604" s="71"/>
      <c r="E604" s="71"/>
      <c r="F604" s="73"/>
      <c r="G604" s="73"/>
      <c r="H604" s="73"/>
      <c r="I604" s="73"/>
      <c r="J604" s="73"/>
      <c r="K604" s="73"/>
    </row>
    <row r="605">
      <c r="C605" s="71"/>
      <c r="D605" s="71"/>
      <c r="E605" s="71"/>
      <c r="F605" s="73"/>
      <c r="G605" s="73"/>
      <c r="H605" s="73"/>
      <c r="I605" s="73"/>
      <c r="J605" s="73"/>
      <c r="K605" s="73"/>
    </row>
    <row r="606">
      <c r="C606" s="71"/>
      <c r="D606" s="71"/>
      <c r="E606" s="71"/>
      <c r="F606" s="73"/>
      <c r="G606" s="73"/>
      <c r="H606" s="73"/>
      <c r="I606" s="73"/>
      <c r="J606" s="73"/>
      <c r="K606" s="73"/>
    </row>
    <row r="607">
      <c r="C607" s="71"/>
      <c r="D607" s="71"/>
      <c r="E607" s="71"/>
      <c r="F607" s="73"/>
      <c r="G607" s="73"/>
      <c r="H607" s="73"/>
      <c r="I607" s="73"/>
      <c r="J607" s="73"/>
      <c r="K607" s="73"/>
    </row>
    <row r="608">
      <c r="C608" s="71"/>
      <c r="D608" s="71"/>
      <c r="E608" s="71"/>
      <c r="F608" s="73"/>
      <c r="G608" s="73"/>
      <c r="H608" s="73"/>
      <c r="I608" s="73"/>
      <c r="J608" s="73"/>
      <c r="K608" s="73"/>
    </row>
    <row r="609">
      <c r="C609" s="71"/>
      <c r="D609" s="71"/>
      <c r="E609" s="71"/>
      <c r="F609" s="73"/>
      <c r="G609" s="73"/>
      <c r="H609" s="73"/>
      <c r="I609" s="73"/>
      <c r="J609" s="73"/>
      <c r="K609" s="73"/>
    </row>
    <row r="610">
      <c r="C610" s="71"/>
      <c r="D610" s="71"/>
      <c r="E610" s="71"/>
      <c r="F610" s="73"/>
      <c r="G610" s="73"/>
      <c r="H610" s="73"/>
      <c r="I610" s="73"/>
      <c r="J610" s="73"/>
      <c r="K610" s="73"/>
    </row>
    <row r="611">
      <c r="C611" s="71"/>
      <c r="D611" s="71"/>
      <c r="E611" s="71"/>
      <c r="F611" s="73"/>
      <c r="G611" s="73"/>
      <c r="H611" s="73"/>
      <c r="I611" s="73"/>
      <c r="J611" s="73"/>
      <c r="K611" s="73"/>
    </row>
    <row r="612">
      <c r="C612" s="71"/>
      <c r="D612" s="71"/>
      <c r="E612" s="71"/>
      <c r="F612" s="73"/>
      <c r="G612" s="73"/>
      <c r="H612" s="73"/>
      <c r="I612" s="73"/>
      <c r="J612" s="73"/>
      <c r="K612" s="73"/>
    </row>
    <row r="613">
      <c r="C613" s="71"/>
      <c r="D613" s="71"/>
      <c r="E613" s="71"/>
      <c r="F613" s="73"/>
      <c r="G613" s="73"/>
      <c r="H613" s="73"/>
      <c r="I613" s="73"/>
      <c r="J613" s="73"/>
      <c r="K613" s="73"/>
    </row>
    <row r="614">
      <c r="C614" s="71"/>
      <c r="D614" s="71"/>
      <c r="E614" s="71"/>
      <c r="F614" s="73"/>
      <c r="G614" s="73"/>
      <c r="H614" s="73"/>
      <c r="I614" s="73"/>
      <c r="J614" s="73"/>
      <c r="K614" s="73"/>
    </row>
    <row r="615">
      <c r="C615" s="71"/>
      <c r="D615" s="71"/>
      <c r="E615" s="71"/>
      <c r="F615" s="73"/>
      <c r="G615" s="73"/>
      <c r="H615" s="73"/>
      <c r="I615" s="73"/>
      <c r="J615" s="73"/>
      <c r="K615" s="73"/>
    </row>
    <row r="616">
      <c r="C616" s="71"/>
      <c r="D616" s="71"/>
      <c r="E616" s="71"/>
      <c r="F616" s="73"/>
      <c r="G616" s="73"/>
      <c r="H616" s="73"/>
      <c r="I616" s="73"/>
      <c r="J616" s="73"/>
      <c r="K616" s="73"/>
    </row>
    <row r="617">
      <c r="C617" s="71"/>
      <c r="D617" s="71"/>
      <c r="E617" s="71"/>
      <c r="F617" s="73"/>
      <c r="G617" s="73"/>
      <c r="H617" s="73"/>
      <c r="I617" s="73"/>
      <c r="J617" s="73"/>
      <c r="K617" s="73"/>
    </row>
    <row r="618">
      <c r="C618" s="71"/>
      <c r="D618" s="71"/>
      <c r="E618" s="71"/>
      <c r="F618" s="73"/>
      <c r="G618" s="73"/>
      <c r="H618" s="73"/>
      <c r="I618" s="73"/>
      <c r="J618" s="73"/>
      <c r="K618" s="73"/>
    </row>
    <row r="619">
      <c r="C619" s="71"/>
      <c r="D619" s="71"/>
      <c r="E619" s="71"/>
      <c r="F619" s="73"/>
      <c r="G619" s="73"/>
      <c r="H619" s="73"/>
      <c r="I619" s="73"/>
      <c r="J619" s="73"/>
      <c r="K619" s="73"/>
    </row>
    <row r="620">
      <c r="C620" s="71"/>
      <c r="D620" s="71"/>
      <c r="E620" s="71"/>
      <c r="F620" s="73"/>
      <c r="G620" s="73"/>
      <c r="H620" s="73"/>
      <c r="I620" s="73"/>
      <c r="J620" s="73"/>
      <c r="K620" s="73"/>
    </row>
    <row r="621">
      <c r="C621" s="71"/>
      <c r="D621" s="71"/>
      <c r="E621" s="71"/>
      <c r="F621" s="73"/>
      <c r="G621" s="73"/>
      <c r="H621" s="73"/>
      <c r="I621" s="73"/>
      <c r="J621" s="73"/>
      <c r="K621" s="73"/>
    </row>
    <row r="622">
      <c r="C622" s="71"/>
      <c r="D622" s="71"/>
      <c r="E622" s="71"/>
      <c r="F622" s="73"/>
      <c r="G622" s="73"/>
      <c r="H622" s="73"/>
      <c r="I622" s="73"/>
      <c r="J622" s="73"/>
      <c r="K622" s="73"/>
    </row>
    <row r="623">
      <c r="C623" s="71"/>
      <c r="D623" s="71"/>
      <c r="E623" s="71"/>
      <c r="F623" s="73"/>
      <c r="G623" s="73"/>
      <c r="H623" s="73"/>
      <c r="I623" s="73"/>
      <c r="J623" s="73"/>
      <c r="K623" s="73"/>
    </row>
    <row r="624">
      <c r="C624" s="71"/>
      <c r="D624" s="71"/>
      <c r="E624" s="71"/>
      <c r="F624" s="73"/>
      <c r="G624" s="73"/>
      <c r="H624" s="73"/>
      <c r="I624" s="73"/>
      <c r="J624" s="73"/>
      <c r="K624" s="73"/>
    </row>
    <row r="625">
      <c r="C625" s="71"/>
      <c r="D625" s="71"/>
      <c r="E625" s="71"/>
      <c r="F625" s="73"/>
      <c r="G625" s="73"/>
      <c r="H625" s="73"/>
      <c r="I625" s="73"/>
      <c r="J625" s="73"/>
      <c r="K625" s="73"/>
    </row>
    <row r="626">
      <c r="C626" s="71"/>
      <c r="D626" s="71"/>
      <c r="E626" s="71"/>
      <c r="F626" s="73"/>
      <c r="G626" s="73"/>
      <c r="H626" s="73"/>
      <c r="I626" s="73"/>
      <c r="J626" s="73"/>
      <c r="K626" s="73"/>
    </row>
    <row r="627">
      <c r="C627" s="71"/>
      <c r="D627" s="71"/>
      <c r="E627" s="71"/>
      <c r="F627" s="73"/>
      <c r="G627" s="73"/>
      <c r="H627" s="73"/>
      <c r="I627" s="73"/>
      <c r="J627" s="73"/>
      <c r="K627" s="73"/>
    </row>
    <row r="628">
      <c r="C628" s="71"/>
      <c r="D628" s="71"/>
      <c r="E628" s="71"/>
      <c r="F628" s="73"/>
      <c r="G628" s="73"/>
      <c r="H628" s="73"/>
      <c r="I628" s="73"/>
      <c r="J628" s="73"/>
      <c r="K628" s="73"/>
    </row>
    <row r="629">
      <c r="C629" s="71"/>
      <c r="D629" s="71"/>
      <c r="E629" s="71"/>
      <c r="F629" s="73"/>
      <c r="G629" s="73"/>
      <c r="H629" s="73"/>
      <c r="I629" s="73"/>
      <c r="J629" s="73"/>
      <c r="K629" s="73"/>
    </row>
    <row r="630">
      <c r="C630" s="71"/>
      <c r="D630" s="71"/>
      <c r="E630" s="71"/>
      <c r="F630" s="73"/>
      <c r="G630" s="73"/>
      <c r="H630" s="73"/>
      <c r="I630" s="73"/>
      <c r="J630" s="73"/>
      <c r="K630" s="73"/>
    </row>
    <row r="631">
      <c r="C631" s="71"/>
      <c r="D631" s="71"/>
      <c r="E631" s="71"/>
      <c r="F631" s="73"/>
      <c r="G631" s="73"/>
      <c r="H631" s="73"/>
      <c r="I631" s="73"/>
      <c r="J631" s="73"/>
      <c r="K631" s="73"/>
    </row>
    <row r="632">
      <c r="C632" s="71"/>
      <c r="D632" s="71"/>
      <c r="E632" s="71"/>
      <c r="F632" s="73"/>
      <c r="G632" s="73"/>
      <c r="H632" s="73"/>
      <c r="I632" s="73"/>
      <c r="J632" s="73"/>
      <c r="K632" s="73"/>
    </row>
    <row r="633">
      <c r="C633" s="71"/>
      <c r="D633" s="71"/>
      <c r="E633" s="71"/>
      <c r="F633" s="73"/>
      <c r="G633" s="73"/>
      <c r="H633" s="73"/>
      <c r="I633" s="73"/>
      <c r="J633" s="73"/>
      <c r="K633" s="73"/>
    </row>
    <row r="634">
      <c r="C634" s="71"/>
      <c r="D634" s="71"/>
      <c r="E634" s="71"/>
      <c r="F634" s="73"/>
      <c r="G634" s="73"/>
      <c r="H634" s="73"/>
      <c r="I634" s="73"/>
      <c r="J634" s="73"/>
      <c r="K634" s="73"/>
    </row>
    <row r="635">
      <c r="C635" s="71"/>
      <c r="D635" s="71"/>
      <c r="E635" s="71"/>
      <c r="F635" s="73"/>
      <c r="G635" s="73"/>
      <c r="H635" s="73"/>
      <c r="I635" s="73"/>
      <c r="J635" s="73"/>
      <c r="K635" s="73"/>
    </row>
    <row r="636">
      <c r="C636" s="71"/>
      <c r="D636" s="71"/>
      <c r="E636" s="71"/>
      <c r="F636" s="73"/>
      <c r="G636" s="73"/>
      <c r="H636" s="73"/>
      <c r="I636" s="73"/>
      <c r="J636" s="73"/>
      <c r="K636" s="73"/>
    </row>
    <row r="637">
      <c r="C637" s="71"/>
      <c r="D637" s="71"/>
      <c r="E637" s="71"/>
      <c r="F637" s="73"/>
      <c r="G637" s="73"/>
      <c r="H637" s="73"/>
      <c r="I637" s="73"/>
      <c r="J637" s="73"/>
      <c r="K637" s="73"/>
    </row>
    <row r="638">
      <c r="C638" s="71"/>
      <c r="D638" s="71"/>
      <c r="E638" s="71"/>
      <c r="F638" s="73"/>
      <c r="G638" s="73"/>
      <c r="H638" s="73"/>
      <c r="I638" s="73"/>
      <c r="J638" s="73"/>
      <c r="K638" s="73"/>
    </row>
    <row r="639">
      <c r="C639" s="71"/>
      <c r="D639" s="71"/>
      <c r="E639" s="71"/>
      <c r="F639" s="73"/>
      <c r="G639" s="73"/>
      <c r="H639" s="73"/>
      <c r="I639" s="73"/>
      <c r="J639" s="73"/>
      <c r="K639" s="73"/>
    </row>
    <row r="640">
      <c r="C640" s="71"/>
      <c r="D640" s="71"/>
      <c r="E640" s="71"/>
      <c r="F640" s="73"/>
      <c r="G640" s="73"/>
      <c r="H640" s="73"/>
      <c r="I640" s="73"/>
      <c r="J640" s="73"/>
      <c r="K640" s="73"/>
    </row>
    <row r="641">
      <c r="C641" s="71"/>
      <c r="D641" s="71"/>
      <c r="E641" s="71"/>
      <c r="F641" s="73"/>
      <c r="G641" s="73"/>
      <c r="H641" s="73"/>
      <c r="I641" s="73"/>
      <c r="J641" s="73"/>
      <c r="K641" s="73"/>
    </row>
    <row r="642">
      <c r="C642" s="71"/>
      <c r="D642" s="71"/>
      <c r="E642" s="71"/>
      <c r="F642" s="73"/>
      <c r="G642" s="73"/>
      <c r="H642" s="73"/>
      <c r="I642" s="73"/>
      <c r="J642" s="73"/>
      <c r="K642" s="73"/>
    </row>
    <row r="643">
      <c r="C643" s="71"/>
      <c r="D643" s="71"/>
      <c r="E643" s="71"/>
      <c r="F643" s="73"/>
      <c r="G643" s="73"/>
      <c r="H643" s="73"/>
      <c r="I643" s="73"/>
      <c r="J643" s="73"/>
      <c r="K643" s="73"/>
    </row>
    <row r="644">
      <c r="C644" s="71"/>
      <c r="D644" s="71"/>
      <c r="E644" s="71"/>
      <c r="F644" s="73"/>
      <c r="G644" s="73"/>
      <c r="H644" s="73"/>
      <c r="I644" s="73"/>
      <c r="J644" s="73"/>
      <c r="K644" s="73"/>
    </row>
    <row r="645">
      <c r="C645" s="71"/>
      <c r="D645" s="71"/>
      <c r="E645" s="71"/>
      <c r="F645" s="73"/>
      <c r="G645" s="73"/>
      <c r="H645" s="73"/>
      <c r="I645" s="73"/>
      <c r="J645" s="73"/>
      <c r="K645" s="73"/>
    </row>
    <row r="646">
      <c r="C646" s="71"/>
      <c r="D646" s="71"/>
      <c r="E646" s="71"/>
      <c r="F646" s="73"/>
      <c r="G646" s="73"/>
      <c r="H646" s="73"/>
      <c r="I646" s="73"/>
      <c r="J646" s="73"/>
      <c r="K646" s="73"/>
    </row>
    <row r="647">
      <c r="C647" s="71"/>
      <c r="D647" s="71"/>
      <c r="E647" s="71"/>
      <c r="F647" s="73"/>
      <c r="G647" s="73"/>
      <c r="H647" s="73"/>
      <c r="I647" s="73"/>
      <c r="J647" s="73"/>
      <c r="K647" s="73"/>
    </row>
    <row r="648">
      <c r="C648" s="71"/>
      <c r="D648" s="71"/>
      <c r="E648" s="71"/>
      <c r="F648" s="73"/>
      <c r="G648" s="73"/>
      <c r="H648" s="73"/>
      <c r="I648" s="73"/>
      <c r="J648" s="73"/>
      <c r="K648" s="73"/>
    </row>
    <row r="649">
      <c r="C649" s="71"/>
      <c r="D649" s="71"/>
      <c r="E649" s="71"/>
      <c r="F649" s="73"/>
      <c r="G649" s="73"/>
      <c r="H649" s="73"/>
      <c r="I649" s="73"/>
      <c r="J649" s="73"/>
      <c r="K649" s="73"/>
    </row>
    <row r="650">
      <c r="C650" s="71"/>
      <c r="D650" s="71"/>
      <c r="E650" s="71"/>
      <c r="F650" s="73"/>
      <c r="G650" s="73"/>
      <c r="H650" s="73"/>
      <c r="I650" s="73"/>
      <c r="J650" s="73"/>
      <c r="K650" s="73"/>
    </row>
    <row r="651">
      <c r="C651" s="71"/>
      <c r="D651" s="71"/>
      <c r="E651" s="71"/>
      <c r="F651" s="73"/>
      <c r="G651" s="73"/>
      <c r="H651" s="73"/>
      <c r="I651" s="73"/>
      <c r="J651" s="73"/>
      <c r="K651" s="73"/>
    </row>
    <row r="652">
      <c r="C652" s="71"/>
      <c r="D652" s="71"/>
      <c r="E652" s="71"/>
      <c r="F652" s="73"/>
      <c r="G652" s="73"/>
      <c r="H652" s="73"/>
      <c r="I652" s="73"/>
      <c r="J652" s="73"/>
      <c r="K652" s="73"/>
    </row>
    <row r="653">
      <c r="C653" s="71"/>
      <c r="D653" s="71"/>
      <c r="E653" s="71"/>
      <c r="F653" s="73"/>
      <c r="G653" s="73"/>
      <c r="H653" s="73"/>
      <c r="I653" s="73"/>
      <c r="J653" s="73"/>
      <c r="K653" s="73"/>
    </row>
    <row r="654">
      <c r="C654" s="71"/>
      <c r="D654" s="71"/>
      <c r="E654" s="71"/>
      <c r="F654" s="73"/>
      <c r="G654" s="73"/>
      <c r="H654" s="73"/>
      <c r="I654" s="73"/>
      <c r="J654" s="73"/>
      <c r="K654" s="73"/>
    </row>
    <row r="655">
      <c r="C655" s="71"/>
      <c r="D655" s="71"/>
      <c r="E655" s="71"/>
      <c r="F655" s="73"/>
      <c r="G655" s="73"/>
      <c r="H655" s="73"/>
      <c r="I655" s="73"/>
      <c r="J655" s="73"/>
      <c r="K655" s="73"/>
    </row>
    <row r="656">
      <c r="C656" s="71"/>
      <c r="D656" s="71"/>
      <c r="E656" s="71"/>
      <c r="F656" s="73"/>
      <c r="G656" s="73"/>
      <c r="H656" s="73"/>
      <c r="I656" s="73"/>
      <c r="J656" s="73"/>
      <c r="K656" s="73"/>
    </row>
    <row r="657">
      <c r="C657" s="71"/>
      <c r="D657" s="71"/>
      <c r="E657" s="71"/>
      <c r="F657" s="73"/>
      <c r="G657" s="73"/>
      <c r="H657" s="73"/>
      <c r="I657" s="73"/>
      <c r="J657" s="73"/>
      <c r="K657" s="73"/>
    </row>
    <row r="658">
      <c r="C658" s="71"/>
      <c r="D658" s="71"/>
      <c r="E658" s="71"/>
      <c r="F658" s="73"/>
      <c r="G658" s="73"/>
      <c r="H658" s="73"/>
      <c r="I658" s="73"/>
      <c r="J658" s="73"/>
      <c r="K658" s="73"/>
    </row>
    <row r="659">
      <c r="C659" s="71"/>
      <c r="D659" s="71"/>
      <c r="E659" s="71"/>
      <c r="F659" s="73"/>
      <c r="G659" s="73"/>
      <c r="H659" s="73"/>
      <c r="I659" s="73"/>
      <c r="J659" s="73"/>
      <c r="K659" s="73"/>
    </row>
    <row r="660">
      <c r="C660" s="71"/>
      <c r="D660" s="71"/>
      <c r="E660" s="71"/>
      <c r="F660" s="73"/>
      <c r="G660" s="73"/>
      <c r="H660" s="73"/>
      <c r="I660" s="73"/>
      <c r="J660" s="73"/>
      <c r="K660" s="73"/>
    </row>
    <row r="661">
      <c r="C661" s="71"/>
      <c r="D661" s="71"/>
      <c r="E661" s="71"/>
      <c r="F661" s="73"/>
      <c r="G661" s="73"/>
      <c r="H661" s="73"/>
      <c r="I661" s="73"/>
      <c r="J661" s="73"/>
      <c r="K661" s="73"/>
    </row>
    <row r="662">
      <c r="C662" s="71"/>
      <c r="D662" s="71"/>
      <c r="E662" s="71"/>
      <c r="F662" s="73"/>
      <c r="G662" s="73"/>
      <c r="H662" s="73"/>
      <c r="I662" s="73"/>
      <c r="J662" s="73"/>
      <c r="K662" s="73"/>
    </row>
    <row r="663">
      <c r="C663" s="71"/>
      <c r="D663" s="71"/>
      <c r="E663" s="71"/>
      <c r="F663" s="73"/>
      <c r="G663" s="73"/>
      <c r="H663" s="73"/>
      <c r="I663" s="73"/>
      <c r="J663" s="73"/>
      <c r="K663" s="73"/>
    </row>
    <row r="664">
      <c r="C664" s="71"/>
      <c r="D664" s="71"/>
      <c r="E664" s="71"/>
      <c r="F664" s="73"/>
      <c r="G664" s="73"/>
      <c r="H664" s="73"/>
      <c r="I664" s="73"/>
      <c r="J664" s="73"/>
      <c r="K664" s="73"/>
    </row>
    <row r="665">
      <c r="C665" s="71"/>
      <c r="D665" s="71"/>
      <c r="E665" s="71"/>
      <c r="F665" s="73"/>
      <c r="G665" s="73"/>
      <c r="H665" s="73"/>
      <c r="I665" s="73"/>
      <c r="J665" s="73"/>
      <c r="K665" s="73"/>
    </row>
    <row r="666">
      <c r="C666" s="71"/>
      <c r="D666" s="71"/>
      <c r="E666" s="71"/>
      <c r="F666" s="73"/>
      <c r="G666" s="73"/>
      <c r="H666" s="73"/>
      <c r="I666" s="73"/>
      <c r="J666" s="73"/>
      <c r="K666" s="73"/>
    </row>
    <row r="667">
      <c r="C667" s="71"/>
      <c r="D667" s="71"/>
      <c r="E667" s="71"/>
      <c r="F667" s="73"/>
      <c r="G667" s="73"/>
      <c r="H667" s="73"/>
      <c r="I667" s="73"/>
      <c r="J667" s="73"/>
      <c r="K667" s="73"/>
    </row>
    <row r="668">
      <c r="C668" s="71"/>
      <c r="D668" s="71"/>
      <c r="E668" s="71"/>
      <c r="F668" s="73"/>
      <c r="G668" s="73"/>
      <c r="H668" s="73"/>
      <c r="I668" s="73"/>
      <c r="J668" s="73"/>
      <c r="K668" s="73"/>
    </row>
    <row r="669">
      <c r="C669" s="71"/>
      <c r="D669" s="71"/>
      <c r="E669" s="71"/>
      <c r="F669" s="73"/>
      <c r="G669" s="73"/>
      <c r="H669" s="73"/>
      <c r="I669" s="73"/>
      <c r="J669" s="73"/>
      <c r="K669" s="73"/>
    </row>
    <row r="670">
      <c r="C670" s="71"/>
      <c r="D670" s="71"/>
      <c r="E670" s="71"/>
      <c r="F670" s="73"/>
      <c r="G670" s="73"/>
      <c r="H670" s="73"/>
      <c r="I670" s="73"/>
      <c r="J670" s="73"/>
      <c r="K670" s="73"/>
    </row>
    <row r="671">
      <c r="C671" s="71"/>
      <c r="D671" s="71"/>
      <c r="E671" s="71"/>
      <c r="F671" s="73"/>
      <c r="G671" s="73"/>
      <c r="H671" s="73"/>
      <c r="I671" s="73"/>
      <c r="J671" s="73"/>
      <c r="K671" s="73"/>
    </row>
    <row r="672">
      <c r="C672" s="71"/>
      <c r="D672" s="71"/>
      <c r="E672" s="71"/>
      <c r="F672" s="73"/>
      <c r="G672" s="73"/>
      <c r="H672" s="73"/>
      <c r="I672" s="73"/>
      <c r="J672" s="73"/>
      <c r="K672" s="73"/>
    </row>
    <row r="673">
      <c r="C673" s="71"/>
      <c r="D673" s="71"/>
      <c r="E673" s="71"/>
      <c r="F673" s="73"/>
      <c r="G673" s="73"/>
      <c r="H673" s="73"/>
      <c r="I673" s="73"/>
      <c r="J673" s="73"/>
      <c r="K673" s="73"/>
    </row>
    <row r="674">
      <c r="C674" s="71"/>
      <c r="D674" s="71"/>
      <c r="E674" s="71"/>
      <c r="F674" s="73"/>
      <c r="G674" s="73"/>
      <c r="H674" s="73"/>
      <c r="I674" s="73"/>
      <c r="J674" s="73"/>
      <c r="K674" s="73"/>
    </row>
    <row r="675">
      <c r="C675" s="71"/>
      <c r="D675" s="71"/>
      <c r="E675" s="71"/>
      <c r="F675" s="73"/>
      <c r="G675" s="73"/>
      <c r="H675" s="73"/>
      <c r="I675" s="73"/>
      <c r="J675" s="73"/>
      <c r="K675" s="73"/>
    </row>
    <row r="676">
      <c r="C676" s="71"/>
      <c r="D676" s="71"/>
      <c r="E676" s="71"/>
      <c r="F676" s="73"/>
      <c r="G676" s="73"/>
      <c r="H676" s="73"/>
      <c r="I676" s="73"/>
      <c r="J676" s="73"/>
      <c r="K676" s="73"/>
    </row>
    <row r="677">
      <c r="C677" s="71"/>
      <c r="D677" s="71"/>
      <c r="E677" s="71"/>
      <c r="F677" s="73"/>
      <c r="G677" s="73"/>
      <c r="H677" s="73"/>
      <c r="I677" s="73"/>
      <c r="J677" s="73"/>
      <c r="K677" s="73"/>
    </row>
    <row r="678">
      <c r="C678" s="71"/>
      <c r="D678" s="71"/>
      <c r="E678" s="71"/>
      <c r="F678" s="73"/>
      <c r="G678" s="73"/>
      <c r="H678" s="73"/>
      <c r="I678" s="73"/>
      <c r="J678" s="73"/>
      <c r="K678" s="73"/>
    </row>
    <row r="679">
      <c r="C679" s="71"/>
      <c r="D679" s="71"/>
      <c r="E679" s="71"/>
      <c r="F679" s="73"/>
      <c r="G679" s="73"/>
      <c r="H679" s="73"/>
      <c r="I679" s="73"/>
      <c r="J679" s="73"/>
      <c r="K679" s="73"/>
    </row>
    <row r="680">
      <c r="C680" s="71"/>
      <c r="D680" s="71"/>
      <c r="E680" s="71"/>
      <c r="F680" s="73"/>
      <c r="G680" s="73"/>
      <c r="H680" s="73"/>
      <c r="I680" s="73"/>
      <c r="J680" s="73"/>
      <c r="K680" s="73"/>
    </row>
    <row r="681">
      <c r="C681" s="71"/>
      <c r="D681" s="71"/>
      <c r="E681" s="71"/>
      <c r="F681" s="73"/>
      <c r="G681" s="73"/>
      <c r="H681" s="73"/>
      <c r="I681" s="73"/>
      <c r="J681" s="73"/>
      <c r="K681" s="73"/>
    </row>
    <row r="682">
      <c r="C682" s="71"/>
      <c r="D682" s="71"/>
      <c r="E682" s="71"/>
      <c r="F682" s="73"/>
      <c r="G682" s="73"/>
      <c r="H682" s="73"/>
      <c r="I682" s="73"/>
      <c r="J682" s="73"/>
      <c r="K682" s="73"/>
    </row>
    <row r="683">
      <c r="C683" s="71"/>
      <c r="D683" s="71"/>
      <c r="E683" s="71"/>
      <c r="F683" s="73"/>
      <c r="G683" s="73"/>
      <c r="H683" s="73"/>
      <c r="I683" s="73"/>
      <c r="J683" s="73"/>
      <c r="K683" s="73"/>
    </row>
    <row r="684">
      <c r="C684" s="71"/>
      <c r="D684" s="71"/>
      <c r="E684" s="71"/>
      <c r="F684" s="73"/>
      <c r="G684" s="73"/>
      <c r="H684" s="73"/>
      <c r="I684" s="73"/>
      <c r="J684" s="73"/>
      <c r="K684" s="73"/>
    </row>
    <row r="685">
      <c r="C685" s="71"/>
      <c r="D685" s="71"/>
      <c r="E685" s="71"/>
      <c r="F685" s="73"/>
      <c r="G685" s="73"/>
      <c r="H685" s="73"/>
      <c r="I685" s="73"/>
      <c r="J685" s="73"/>
      <c r="K685" s="73"/>
    </row>
    <row r="686">
      <c r="C686" s="71"/>
      <c r="D686" s="71"/>
      <c r="E686" s="71"/>
      <c r="F686" s="73"/>
      <c r="G686" s="73"/>
      <c r="H686" s="73"/>
      <c r="I686" s="73"/>
      <c r="J686" s="73"/>
      <c r="K686" s="73"/>
    </row>
    <row r="687">
      <c r="C687" s="71"/>
      <c r="D687" s="71"/>
      <c r="E687" s="71"/>
      <c r="F687" s="73"/>
      <c r="G687" s="73"/>
      <c r="H687" s="73"/>
      <c r="I687" s="73"/>
      <c r="J687" s="73"/>
      <c r="K687" s="73"/>
    </row>
    <row r="688">
      <c r="C688" s="71"/>
      <c r="D688" s="71"/>
      <c r="E688" s="71"/>
      <c r="F688" s="73"/>
      <c r="G688" s="73"/>
      <c r="H688" s="73"/>
      <c r="I688" s="73"/>
      <c r="J688" s="73"/>
      <c r="K688" s="73"/>
    </row>
    <row r="689">
      <c r="C689" s="71"/>
      <c r="D689" s="71"/>
      <c r="E689" s="71"/>
      <c r="F689" s="73"/>
      <c r="G689" s="73"/>
      <c r="H689" s="73"/>
      <c r="I689" s="73"/>
      <c r="J689" s="73"/>
      <c r="K689" s="73"/>
    </row>
    <row r="690">
      <c r="C690" s="71"/>
      <c r="D690" s="71"/>
      <c r="E690" s="71"/>
      <c r="F690" s="73"/>
      <c r="G690" s="73"/>
      <c r="H690" s="73"/>
      <c r="I690" s="73"/>
      <c r="J690" s="73"/>
      <c r="K690" s="73"/>
    </row>
    <row r="691">
      <c r="C691" s="71"/>
      <c r="D691" s="71"/>
      <c r="E691" s="71"/>
      <c r="F691" s="73"/>
      <c r="G691" s="73"/>
      <c r="H691" s="73"/>
      <c r="I691" s="73"/>
      <c r="J691" s="73"/>
      <c r="K691" s="73"/>
    </row>
    <row r="692">
      <c r="C692" s="71"/>
      <c r="D692" s="71"/>
      <c r="E692" s="71"/>
      <c r="F692" s="73"/>
      <c r="G692" s="73"/>
      <c r="H692" s="73"/>
      <c r="I692" s="73"/>
      <c r="J692" s="73"/>
      <c r="K692" s="73"/>
    </row>
    <row r="693">
      <c r="C693" s="71"/>
      <c r="D693" s="71"/>
      <c r="E693" s="71"/>
      <c r="F693" s="73"/>
      <c r="G693" s="73"/>
      <c r="H693" s="73"/>
      <c r="I693" s="73"/>
      <c r="J693" s="73"/>
      <c r="K693" s="73"/>
    </row>
    <row r="694">
      <c r="C694" s="71"/>
      <c r="D694" s="71"/>
      <c r="E694" s="71"/>
      <c r="F694" s="73"/>
      <c r="G694" s="73"/>
      <c r="H694" s="73"/>
      <c r="I694" s="73"/>
      <c r="J694" s="73"/>
      <c r="K694" s="73"/>
    </row>
    <row r="695">
      <c r="C695" s="71"/>
      <c r="D695" s="71"/>
      <c r="E695" s="71"/>
      <c r="F695" s="73"/>
      <c r="G695" s="73"/>
      <c r="H695" s="73"/>
      <c r="I695" s="73"/>
      <c r="J695" s="73"/>
      <c r="K695" s="73"/>
    </row>
    <row r="696">
      <c r="C696" s="71"/>
      <c r="D696" s="71"/>
      <c r="E696" s="71"/>
      <c r="F696" s="73"/>
      <c r="G696" s="73"/>
      <c r="H696" s="73"/>
      <c r="I696" s="73"/>
      <c r="J696" s="73"/>
      <c r="K696" s="73"/>
    </row>
    <row r="697">
      <c r="C697" s="71"/>
      <c r="D697" s="71"/>
      <c r="E697" s="71"/>
      <c r="F697" s="73"/>
      <c r="G697" s="73"/>
      <c r="H697" s="73"/>
      <c r="I697" s="73"/>
      <c r="J697" s="73"/>
      <c r="K697" s="73"/>
    </row>
    <row r="698">
      <c r="C698" s="71"/>
      <c r="D698" s="71"/>
      <c r="E698" s="71"/>
      <c r="F698" s="73"/>
      <c r="G698" s="73"/>
      <c r="H698" s="73"/>
      <c r="I698" s="73"/>
      <c r="J698" s="73"/>
      <c r="K698" s="73"/>
    </row>
    <row r="699">
      <c r="C699" s="71"/>
      <c r="D699" s="71"/>
      <c r="E699" s="71"/>
      <c r="F699" s="73"/>
      <c r="G699" s="73"/>
      <c r="H699" s="73"/>
      <c r="I699" s="73"/>
      <c r="J699" s="73"/>
      <c r="K699" s="73"/>
    </row>
    <row r="700">
      <c r="C700" s="71"/>
      <c r="D700" s="71"/>
      <c r="E700" s="71"/>
      <c r="F700" s="73"/>
      <c r="G700" s="73"/>
      <c r="H700" s="73"/>
      <c r="I700" s="73"/>
      <c r="J700" s="73"/>
      <c r="K700" s="73"/>
    </row>
    <row r="701">
      <c r="C701" s="71"/>
      <c r="D701" s="71"/>
      <c r="E701" s="71"/>
      <c r="F701" s="73"/>
      <c r="G701" s="73"/>
      <c r="H701" s="73"/>
      <c r="I701" s="73"/>
      <c r="J701" s="73"/>
      <c r="K701" s="73"/>
    </row>
    <row r="702">
      <c r="C702" s="71"/>
      <c r="D702" s="71"/>
      <c r="E702" s="71"/>
      <c r="F702" s="73"/>
      <c r="G702" s="73"/>
      <c r="H702" s="73"/>
      <c r="I702" s="73"/>
      <c r="J702" s="73"/>
      <c r="K702" s="73"/>
    </row>
    <row r="703">
      <c r="C703" s="71"/>
      <c r="D703" s="71"/>
      <c r="E703" s="71"/>
      <c r="F703" s="73"/>
      <c r="G703" s="73"/>
      <c r="H703" s="73"/>
      <c r="I703" s="73"/>
      <c r="J703" s="73"/>
      <c r="K703" s="73"/>
    </row>
    <row r="704">
      <c r="C704" s="71"/>
      <c r="D704" s="71"/>
      <c r="E704" s="71"/>
      <c r="F704" s="73"/>
      <c r="G704" s="73"/>
      <c r="H704" s="73"/>
      <c r="I704" s="73"/>
      <c r="J704" s="73"/>
      <c r="K704" s="73"/>
    </row>
    <row r="705">
      <c r="C705" s="71"/>
      <c r="D705" s="71"/>
      <c r="E705" s="71"/>
      <c r="F705" s="73"/>
      <c r="G705" s="73"/>
      <c r="H705" s="73"/>
      <c r="I705" s="73"/>
      <c r="J705" s="73"/>
      <c r="K705" s="73"/>
    </row>
    <row r="706">
      <c r="C706" s="71"/>
      <c r="D706" s="71"/>
      <c r="E706" s="71"/>
      <c r="F706" s="73"/>
      <c r="G706" s="73"/>
      <c r="H706" s="73"/>
      <c r="I706" s="73"/>
      <c r="J706" s="73"/>
      <c r="K706" s="73"/>
    </row>
    <row r="707">
      <c r="C707" s="71"/>
      <c r="D707" s="71"/>
      <c r="E707" s="71"/>
      <c r="F707" s="73"/>
      <c r="G707" s="73"/>
      <c r="H707" s="73"/>
      <c r="I707" s="73"/>
      <c r="J707" s="73"/>
      <c r="K707" s="73"/>
    </row>
    <row r="708">
      <c r="C708" s="71"/>
      <c r="D708" s="71"/>
      <c r="E708" s="71"/>
      <c r="F708" s="73"/>
      <c r="G708" s="73"/>
      <c r="H708" s="73"/>
      <c r="I708" s="73"/>
      <c r="J708" s="73"/>
      <c r="K708" s="73"/>
    </row>
    <row r="709">
      <c r="C709" s="71"/>
      <c r="D709" s="71"/>
      <c r="E709" s="71"/>
      <c r="F709" s="73"/>
      <c r="G709" s="73"/>
      <c r="H709" s="73"/>
      <c r="I709" s="73"/>
      <c r="J709" s="73"/>
      <c r="K709" s="73"/>
    </row>
    <row r="710">
      <c r="C710" s="71"/>
      <c r="D710" s="71"/>
      <c r="E710" s="71"/>
      <c r="F710" s="73"/>
      <c r="G710" s="73"/>
      <c r="H710" s="73"/>
      <c r="I710" s="73"/>
      <c r="J710" s="73"/>
      <c r="K710" s="73"/>
    </row>
    <row r="711">
      <c r="C711" s="71"/>
      <c r="D711" s="71"/>
      <c r="E711" s="71"/>
      <c r="F711" s="73"/>
      <c r="G711" s="73"/>
      <c r="H711" s="73"/>
      <c r="I711" s="73"/>
      <c r="J711" s="73"/>
      <c r="K711" s="73"/>
    </row>
    <row r="712">
      <c r="C712" s="71"/>
      <c r="D712" s="71"/>
      <c r="E712" s="71"/>
      <c r="F712" s="73"/>
      <c r="G712" s="73"/>
      <c r="H712" s="73"/>
      <c r="I712" s="73"/>
      <c r="J712" s="73"/>
      <c r="K712" s="73"/>
    </row>
    <row r="713">
      <c r="C713" s="71"/>
      <c r="D713" s="71"/>
      <c r="E713" s="71"/>
      <c r="F713" s="73"/>
      <c r="G713" s="73"/>
      <c r="H713" s="73"/>
      <c r="I713" s="73"/>
      <c r="J713" s="73"/>
      <c r="K713" s="73"/>
    </row>
    <row r="714">
      <c r="C714" s="71"/>
      <c r="D714" s="71"/>
      <c r="E714" s="71"/>
      <c r="F714" s="73"/>
      <c r="G714" s="73"/>
      <c r="H714" s="73"/>
      <c r="I714" s="73"/>
      <c r="J714" s="73"/>
      <c r="K714" s="73"/>
    </row>
    <row r="715">
      <c r="C715" s="71"/>
      <c r="D715" s="71"/>
      <c r="E715" s="71"/>
      <c r="F715" s="73"/>
      <c r="G715" s="73"/>
      <c r="H715" s="73"/>
      <c r="I715" s="73"/>
      <c r="J715" s="73"/>
      <c r="K715" s="73"/>
    </row>
    <row r="716">
      <c r="C716" s="71"/>
      <c r="D716" s="71"/>
      <c r="E716" s="71"/>
      <c r="F716" s="73"/>
      <c r="G716" s="73"/>
      <c r="H716" s="73"/>
      <c r="I716" s="73"/>
      <c r="J716" s="73"/>
      <c r="K716" s="73"/>
    </row>
    <row r="717">
      <c r="C717" s="71"/>
      <c r="D717" s="71"/>
      <c r="E717" s="71"/>
      <c r="F717" s="73"/>
      <c r="G717" s="73"/>
      <c r="H717" s="73"/>
      <c r="I717" s="73"/>
      <c r="J717" s="73"/>
      <c r="K717" s="73"/>
    </row>
    <row r="718">
      <c r="C718" s="71"/>
      <c r="D718" s="71"/>
      <c r="E718" s="71"/>
      <c r="F718" s="73"/>
      <c r="G718" s="73"/>
      <c r="H718" s="73"/>
      <c r="I718" s="73"/>
      <c r="J718" s="73"/>
      <c r="K718" s="73"/>
    </row>
    <row r="719">
      <c r="C719" s="71"/>
      <c r="D719" s="71"/>
      <c r="E719" s="71"/>
      <c r="F719" s="73"/>
      <c r="G719" s="73"/>
      <c r="H719" s="73"/>
      <c r="I719" s="73"/>
      <c r="J719" s="73"/>
      <c r="K719" s="73"/>
    </row>
    <row r="720">
      <c r="C720" s="71"/>
      <c r="D720" s="71"/>
      <c r="E720" s="71"/>
      <c r="F720" s="73"/>
      <c r="G720" s="73"/>
      <c r="H720" s="73"/>
      <c r="I720" s="73"/>
      <c r="J720" s="73"/>
      <c r="K720" s="73"/>
    </row>
    <row r="721">
      <c r="C721" s="71"/>
      <c r="D721" s="71"/>
      <c r="E721" s="71"/>
      <c r="F721" s="73"/>
      <c r="G721" s="73"/>
      <c r="H721" s="73"/>
      <c r="I721" s="73"/>
      <c r="J721" s="73"/>
      <c r="K721" s="73"/>
    </row>
    <row r="722">
      <c r="C722" s="71"/>
      <c r="D722" s="71"/>
      <c r="E722" s="71"/>
      <c r="F722" s="73"/>
      <c r="G722" s="73"/>
      <c r="H722" s="73"/>
      <c r="I722" s="73"/>
      <c r="J722" s="73"/>
      <c r="K722" s="73"/>
    </row>
    <row r="723">
      <c r="C723" s="71"/>
      <c r="D723" s="71"/>
      <c r="E723" s="71"/>
      <c r="F723" s="73"/>
      <c r="G723" s="73"/>
      <c r="H723" s="73"/>
      <c r="I723" s="73"/>
      <c r="J723" s="73"/>
      <c r="K723" s="73"/>
    </row>
    <row r="724">
      <c r="C724" s="71"/>
      <c r="D724" s="71"/>
      <c r="E724" s="71"/>
      <c r="F724" s="73"/>
      <c r="G724" s="73"/>
      <c r="H724" s="73"/>
      <c r="I724" s="73"/>
      <c r="J724" s="73"/>
      <c r="K724" s="73"/>
    </row>
    <row r="725">
      <c r="C725" s="71"/>
      <c r="D725" s="71"/>
      <c r="E725" s="71"/>
      <c r="F725" s="73"/>
      <c r="G725" s="73"/>
      <c r="H725" s="73"/>
      <c r="I725" s="73"/>
      <c r="J725" s="73"/>
      <c r="K725" s="73"/>
    </row>
    <row r="726">
      <c r="C726" s="71"/>
      <c r="D726" s="71"/>
      <c r="E726" s="71"/>
      <c r="F726" s="73"/>
      <c r="G726" s="73"/>
      <c r="H726" s="73"/>
      <c r="I726" s="73"/>
      <c r="J726" s="73"/>
      <c r="K726" s="73"/>
    </row>
    <row r="727">
      <c r="C727" s="71"/>
      <c r="D727" s="71"/>
      <c r="E727" s="71"/>
      <c r="F727" s="73"/>
      <c r="G727" s="73"/>
      <c r="H727" s="73"/>
      <c r="I727" s="73"/>
      <c r="J727" s="73"/>
      <c r="K727" s="73"/>
    </row>
    <row r="728">
      <c r="C728" s="71"/>
      <c r="D728" s="71"/>
      <c r="E728" s="71"/>
      <c r="F728" s="73"/>
      <c r="G728" s="73"/>
      <c r="H728" s="73"/>
      <c r="I728" s="73"/>
      <c r="J728" s="73"/>
      <c r="K728" s="73"/>
    </row>
    <row r="729">
      <c r="C729" s="71"/>
      <c r="D729" s="71"/>
      <c r="E729" s="71"/>
      <c r="F729" s="73"/>
      <c r="G729" s="73"/>
      <c r="H729" s="73"/>
      <c r="I729" s="73"/>
      <c r="J729" s="73"/>
      <c r="K729" s="73"/>
    </row>
    <row r="730">
      <c r="C730" s="71"/>
      <c r="D730" s="71"/>
      <c r="E730" s="71"/>
      <c r="F730" s="73"/>
      <c r="G730" s="73"/>
      <c r="H730" s="73"/>
      <c r="I730" s="73"/>
      <c r="J730" s="73"/>
      <c r="K730" s="73"/>
    </row>
    <row r="731">
      <c r="C731" s="71"/>
      <c r="D731" s="71"/>
      <c r="E731" s="71"/>
      <c r="F731" s="73"/>
      <c r="G731" s="73"/>
      <c r="H731" s="73"/>
      <c r="I731" s="73"/>
      <c r="J731" s="73"/>
      <c r="K731" s="73"/>
    </row>
    <row r="732">
      <c r="C732" s="71"/>
      <c r="D732" s="71"/>
      <c r="E732" s="71"/>
      <c r="F732" s="73"/>
      <c r="G732" s="73"/>
      <c r="H732" s="73"/>
      <c r="I732" s="73"/>
      <c r="J732" s="73"/>
      <c r="K732" s="73"/>
    </row>
    <row r="733">
      <c r="C733" s="71"/>
      <c r="D733" s="71"/>
      <c r="E733" s="71"/>
      <c r="F733" s="73"/>
      <c r="G733" s="73"/>
      <c r="H733" s="73"/>
      <c r="I733" s="73"/>
      <c r="J733" s="73"/>
      <c r="K733" s="73"/>
    </row>
    <row r="734">
      <c r="C734" s="71"/>
      <c r="D734" s="71"/>
      <c r="E734" s="71"/>
      <c r="F734" s="73"/>
      <c r="G734" s="73"/>
      <c r="H734" s="73"/>
      <c r="I734" s="73"/>
      <c r="J734" s="73"/>
      <c r="K734" s="73"/>
    </row>
    <row r="735">
      <c r="C735" s="71"/>
      <c r="D735" s="71"/>
      <c r="E735" s="71"/>
      <c r="F735" s="73"/>
      <c r="G735" s="73"/>
      <c r="H735" s="73"/>
      <c r="I735" s="73"/>
      <c r="J735" s="73"/>
      <c r="K735" s="73"/>
    </row>
    <row r="736">
      <c r="C736" s="71"/>
      <c r="D736" s="71"/>
      <c r="E736" s="71"/>
      <c r="F736" s="73"/>
      <c r="G736" s="73"/>
      <c r="H736" s="73"/>
      <c r="I736" s="73"/>
      <c r="J736" s="73"/>
      <c r="K736" s="73"/>
    </row>
    <row r="737">
      <c r="C737" s="71"/>
      <c r="D737" s="71"/>
      <c r="E737" s="71"/>
      <c r="F737" s="73"/>
      <c r="G737" s="73"/>
      <c r="H737" s="73"/>
      <c r="I737" s="73"/>
      <c r="J737" s="73"/>
      <c r="K737" s="73"/>
    </row>
    <row r="738">
      <c r="C738" s="71"/>
      <c r="D738" s="71"/>
      <c r="E738" s="71"/>
      <c r="F738" s="73"/>
      <c r="G738" s="73"/>
      <c r="H738" s="73"/>
      <c r="I738" s="73"/>
      <c r="J738" s="73"/>
      <c r="K738" s="73"/>
    </row>
    <row r="739">
      <c r="C739" s="71"/>
      <c r="D739" s="71"/>
      <c r="E739" s="71"/>
      <c r="F739" s="73"/>
      <c r="G739" s="73"/>
      <c r="H739" s="73"/>
      <c r="I739" s="73"/>
      <c r="J739" s="73"/>
      <c r="K739" s="73"/>
    </row>
    <row r="740">
      <c r="C740" s="71"/>
      <c r="D740" s="71"/>
      <c r="E740" s="71"/>
      <c r="F740" s="73"/>
      <c r="G740" s="73"/>
      <c r="H740" s="73"/>
      <c r="I740" s="73"/>
      <c r="J740" s="73"/>
      <c r="K740" s="73"/>
    </row>
    <row r="741">
      <c r="C741" s="71"/>
      <c r="D741" s="71"/>
      <c r="E741" s="71"/>
      <c r="F741" s="73"/>
      <c r="G741" s="73"/>
      <c r="H741" s="73"/>
      <c r="I741" s="73"/>
      <c r="J741" s="73"/>
      <c r="K741" s="73"/>
    </row>
    <row r="742">
      <c r="C742" s="71"/>
      <c r="D742" s="71"/>
      <c r="E742" s="71"/>
      <c r="F742" s="73"/>
      <c r="G742" s="73"/>
      <c r="H742" s="73"/>
      <c r="I742" s="73"/>
      <c r="J742" s="73"/>
      <c r="K742" s="73"/>
    </row>
    <row r="743">
      <c r="C743" s="71"/>
      <c r="D743" s="71"/>
      <c r="E743" s="71"/>
      <c r="F743" s="73"/>
      <c r="G743" s="73"/>
      <c r="H743" s="73"/>
      <c r="I743" s="73"/>
      <c r="J743" s="73"/>
      <c r="K743" s="73"/>
    </row>
    <row r="744">
      <c r="C744" s="71"/>
      <c r="D744" s="71"/>
      <c r="E744" s="71"/>
      <c r="F744" s="73"/>
      <c r="G744" s="73"/>
      <c r="H744" s="73"/>
      <c r="I744" s="73"/>
      <c r="J744" s="73"/>
      <c r="K744" s="73"/>
    </row>
    <row r="745">
      <c r="C745" s="71"/>
      <c r="D745" s="71"/>
      <c r="E745" s="71"/>
      <c r="F745" s="73"/>
      <c r="G745" s="73"/>
      <c r="H745" s="73"/>
      <c r="I745" s="73"/>
      <c r="J745" s="73"/>
      <c r="K745" s="73"/>
    </row>
    <row r="746">
      <c r="C746" s="71"/>
      <c r="D746" s="71"/>
      <c r="E746" s="71"/>
      <c r="F746" s="73"/>
      <c r="G746" s="73"/>
      <c r="H746" s="73"/>
      <c r="I746" s="73"/>
      <c r="J746" s="73"/>
      <c r="K746" s="73"/>
    </row>
    <row r="747">
      <c r="C747" s="71"/>
      <c r="D747" s="71"/>
      <c r="E747" s="71"/>
      <c r="F747" s="73"/>
      <c r="G747" s="73"/>
      <c r="H747" s="73"/>
      <c r="I747" s="73"/>
      <c r="J747" s="73"/>
      <c r="K747" s="73"/>
    </row>
    <row r="748">
      <c r="C748" s="71"/>
      <c r="D748" s="71"/>
      <c r="E748" s="71"/>
      <c r="F748" s="73"/>
      <c r="G748" s="73"/>
      <c r="H748" s="73"/>
      <c r="I748" s="73"/>
      <c r="J748" s="73"/>
      <c r="K748" s="73"/>
    </row>
    <row r="749">
      <c r="C749" s="71"/>
      <c r="D749" s="71"/>
      <c r="E749" s="71"/>
      <c r="F749" s="73"/>
      <c r="G749" s="73"/>
      <c r="H749" s="73"/>
      <c r="I749" s="73"/>
      <c r="J749" s="73"/>
      <c r="K749" s="73"/>
    </row>
    <row r="750">
      <c r="C750" s="71"/>
      <c r="D750" s="71"/>
      <c r="E750" s="71"/>
      <c r="F750" s="73"/>
      <c r="G750" s="73"/>
      <c r="H750" s="73"/>
      <c r="I750" s="73"/>
      <c r="J750" s="73"/>
      <c r="K750" s="73"/>
    </row>
    <row r="751">
      <c r="C751" s="71"/>
      <c r="D751" s="71"/>
      <c r="E751" s="71"/>
      <c r="F751" s="73"/>
      <c r="G751" s="73"/>
      <c r="H751" s="73"/>
      <c r="I751" s="73"/>
      <c r="J751" s="73"/>
      <c r="K751" s="73"/>
    </row>
    <row r="752">
      <c r="C752" s="71"/>
      <c r="D752" s="71"/>
      <c r="E752" s="71"/>
      <c r="F752" s="73"/>
      <c r="G752" s="73"/>
      <c r="H752" s="73"/>
      <c r="I752" s="73"/>
      <c r="J752" s="73"/>
      <c r="K752" s="73"/>
    </row>
    <row r="753">
      <c r="C753" s="71"/>
      <c r="D753" s="71"/>
      <c r="E753" s="71"/>
      <c r="F753" s="73"/>
      <c r="G753" s="73"/>
      <c r="H753" s="73"/>
      <c r="I753" s="73"/>
      <c r="J753" s="73"/>
      <c r="K753" s="73"/>
    </row>
    <row r="754">
      <c r="C754" s="71"/>
      <c r="D754" s="71"/>
      <c r="E754" s="71"/>
      <c r="F754" s="73"/>
      <c r="G754" s="73"/>
      <c r="H754" s="73"/>
      <c r="I754" s="73"/>
      <c r="J754" s="73"/>
      <c r="K754" s="73"/>
    </row>
    <row r="755">
      <c r="C755" s="71"/>
      <c r="D755" s="71"/>
      <c r="E755" s="71"/>
      <c r="F755" s="73"/>
      <c r="G755" s="73"/>
      <c r="H755" s="73"/>
      <c r="I755" s="73"/>
      <c r="J755" s="73"/>
      <c r="K755" s="73"/>
    </row>
    <row r="756">
      <c r="C756" s="71"/>
      <c r="D756" s="71"/>
      <c r="E756" s="71"/>
      <c r="F756" s="73"/>
      <c r="G756" s="73"/>
      <c r="H756" s="73"/>
      <c r="I756" s="73"/>
      <c r="J756" s="73"/>
      <c r="K756" s="73"/>
    </row>
    <row r="757">
      <c r="C757" s="71"/>
      <c r="D757" s="71"/>
      <c r="E757" s="71"/>
      <c r="F757" s="73"/>
      <c r="G757" s="73"/>
      <c r="H757" s="73"/>
      <c r="I757" s="73"/>
      <c r="J757" s="73"/>
      <c r="K757" s="73"/>
    </row>
    <row r="758">
      <c r="C758" s="71"/>
      <c r="D758" s="71"/>
      <c r="E758" s="71"/>
      <c r="F758" s="73"/>
      <c r="G758" s="73"/>
      <c r="H758" s="73"/>
      <c r="I758" s="73"/>
      <c r="J758" s="73"/>
      <c r="K758" s="73"/>
    </row>
    <row r="759">
      <c r="C759" s="71"/>
      <c r="D759" s="71"/>
      <c r="E759" s="71"/>
      <c r="F759" s="73"/>
      <c r="G759" s="73"/>
      <c r="H759" s="73"/>
      <c r="I759" s="73"/>
      <c r="J759" s="73"/>
      <c r="K759" s="73"/>
    </row>
    <row r="760">
      <c r="C760" s="71"/>
      <c r="D760" s="71"/>
      <c r="E760" s="71"/>
      <c r="F760" s="73"/>
      <c r="G760" s="73"/>
      <c r="H760" s="73"/>
      <c r="I760" s="73"/>
      <c r="J760" s="73"/>
      <c r="K760" s="73"/>
    </row>
    <row r="761">
      <c r="C761" s="71"/>
      <c r="D761" s="71"/>
      <c r="E761" s="71"/>
      <c r="F761" s="73"/>
      <c r="G761" s="73"/>
      <c r="H761" s="73"/>
      <c r="I761" s="73"/>
      <c r="J761" s="73"/>
      <c r="K761" s="73"/>
    </row>
    <row r="762">
      <c r="C762" s="71"/>
      <c r="D762" s="71"/>
      <c r="E762" s="71"/>
      <c r="F762" s="73"/>
      <c r="G762" s="73"/>
      <c r="H762" s="73"/>
      <c r="I762" s="73"/>
      <c r="J762" s="73"/>
      <c r="K762" s="73"/>
    </row>
    <row r="763">
      <c r="C763" s="71"/>
      <c r="D763" s="71"/>
      <c r="E763" s="71"/>
      <c r="F763" s="73"/>
      <c r="G763" s="73"/>
      <c r="H763" s="73"/>
      <c r="I763" s="73"/>
      <c r="J763" s="73"/>
      <c r="K763" s="73"/>
    </row>
    <row r="764">
      <c r="C764" s="71"/>
      <c r="D764" s="71"/>
      <c r="E764" s="71"/>
      <c r="F764" s="73"/>
      <c r="G764" s="73"/>
      <c r="H764" s="73"/>
      <c r="I764" s="73"/>
      <c r="J764" s="73"/>
      <c r="K764" s="73"/>
    </row>
    <row r="765">
      <c r="C765" s="71"/>
      <c r="D765" s="71"/>
      <c r="E765" s="71"/>
      <c r="F765" s="73"/>
      <c r="G765" s="73"/>
      <c r="H765" s="73"/>
      <c r="I765" s="73"/>
      <c r="J765" s="73"/>
      <c r="K765" s="73"/>
    </row>
    <row r="766">
      <c r="C766" s="71"/>
      <c r="D766" s="71"/>
      <c r="E766" s="71"/>
      <c r="F766" s="73"/>
      <c r="G766" s="73"/>
      <c r="H766" s="73"/>
      <c r="I766" s="73"/>
      <c r="J766" s="73"/>
      <c r="K766" s="73"/>
    </row>
    <row r="767">
      <c r="C767" s="71"/>
      <c r="D767" s="71"/>
      <c r="E767" s="71"/>
      <c r="F767" s="73"/>
      <c r="G767" s="73"/>
      <c r="H767" s="73"/>
      <c r="I767" s="73"/>
      <c r="J767" s="73"/>
      <c r="K767" s="73"/>
    </row>
    <row r="768">
      <c r="C768" s="71"/>
      <c r="D768" s="71"/>
      <c r="E768" s="71"/>
      <c r="F768" s="73"/>
      <c r="G768" s="73"/>
      <c r="H768" s="73"/>
      <c r="I768" s="73"/>
      <c r="J768" s="73"/>
      <c r="K768" s="73"/>
    </row>
    <row r="769">
      <c r="C769" s="71"/>
      <c r="D769" s="71"/>
      <c r="E769" s="71"/>
      <c r="F769" s="73"/>
      <c r="G769" s="73"/>
      <c r="H769" s="73"/>
      <c r="I769" s="73"/>
      <c r="J769" s="73"/>
      <c r="K769" s="73"/>
    </row>
    <row r="770">
      <c r="C770" s="71"/>
      <c r="D770" s="71"/>
      <c r="E770" s="71"/>
      <c r="F770" s="73"/>
      <c r="G770" s="73"/>
      <c r="H770" s="73"/>
      <c r="I770" s="73"/>
      <c r="J770" s="73"/>
      <c r="K770" s="73"/>
    </row>
    <row r="771">
      <c r="C771" s="71"/>
      <c r="D771" s="71"/>
      <c r="E771" s="71"/>
      <c r="F771" s="73"/>
      <c r="G771" s="73"/>
      <c r="H771" s="73"/>
      <c r="I771" s="73"/>
      <c r="J771" s="73"/>
      <c r="K771" s="73"/>
    </row>
    <row r="772">
      <c r="C772" s="71"/>
      <c r="D772" s="71"/>
      <c r="E772" s="71"/>
      <c r="F772" s="73"/>
      <c r="G772" s="73"/>
      <c r="H772" s="73"/>
      <c r="I772" s="73"/>
      <c r="J772" s="73"/>
      <c r="K772" s="73"/>
    </row>
    <row r="773">
      <c r="C773" s="71"/>
      <c r="D773" s="71"/>
      <c r="E773" s="71"/>
      <c r="F773" s="73"/>
      <c r="G773" s="73"/>
      <c r="H773" s="73"/>
      <c r="I773" s="73"/>
      <c r="J773" s="73"/>
      <c r="K773" s="73"/>
    </row>
    <row r="774">
      <c r="C774" s="71"/>
      <c r="D774" s="71"/>
      <c r="E774" s="71"/>
      <c r="F774" s="73"/>
      <c r="G774" s="73"/>
      <c r="H774" s="73"/>
      <c r="I774" s="73"/>
      <c r="J774" s="73"/>
      <c r="K774" s="73"/>
    </row>
    <row r="775">
      <c r="C775" s="71"/>
      <c r="D775" s="71"/>
      <c r="E775" s="71"/>
      <c r="F775" s="73"/>
      <c r="G775" s="73"/>
      <c r="H775" s="73"/>
      <c r="I775" s="73"/>
      <c r="J775" s="73"/>
      <c r="K775" s="73"/>
    </row>
    <row r="776">
      <c r="C776" s="71"/>
      <c r="D776" s="71"/>
      <c r="E776" s="71"/>
      <c r="F776" s="73"/>
      <c r="G776" s="73"/>
      <c r="H776" s="73"/>
      <c r="I776" s="73"/>
      <c r="J776" s="73"/>
      <c r="K776" s="73"/>
    </row>
    <row r="777">
      <c r="C777" s="71"/>
      <c r="D777" s="71"/>
      <c r="E777" s="71"/>
      <c r="F777" s="73"/>
      <c r="G777" s="73"/>
      <c r="H777" s="73"/>
      <c r="I777" s="73"/>
      <c r="J777" s="73"/>
      <c r="K777" s="73"/>
    </row>
    <row r="778">
      <c r="C778" s="71"/>
      <c r="D778" s="71"/>
      <c r="E778" s="71"/>
      <c r="F778" s="73"/>
      <c r="G778" s="73"/>
      <c r="H778" s="73"/>
      <c r="I778" s="73"/>
      <c r="J778" s="73"/>
      <c r="K778" s="73"/>
    </row>
    <row r="779">
      <c r="C779" s="71"/>
      <c r="D779" s="71"/>
      <c r="E779" s="71"/>
      <c r="F779" s="73"/>
      <c r="G779" s="73"/>
      <c r="H779" s="73"/>
      <c r="I779" s="73"/>
      <c r="J779" s="73"/>
      <c r="K779" s="73"/>
    </row>
    <row r="780">
      <c r="C780" s="71"/>
      <c r="D780" s="71"/>
      <c r="E780" s="71"/>
      <c r="F780" s="73"/>
      <c r="G780" s="73"/>
      <c r="H780" s="73"/>
      <c r="I780" s="73"/>
      <c r="J780" s="73"/>
      <c r="K780" s="73"/>
    </row>
    <row r="781">
      <c r="C781" s="71"/>
      <c r="D781" s="71"/>
      <c r="E781" s="71"/>
      <c r="F781" s="73"/>
      <c r="G781" s="73"/>
      <c r="H781" s="73"/>
      <c r="I781" s="73"/>
      <c r="J781" s="73"/>
      <c r="K781" s="73"/>
    </row>
    <row r="782">
      <c r="C782" s="71"/>
      <c r="D782" s="71"/>
      <c r="E782" s="71"/>
      <c r="F782" s="73"/>
      <c r="G782" s="73"/>
      <c r="H782" s="73"/>
      <c r="I782" s="73"/>
      <c r="J782" s="73"/>
      <c r="K782" s="73"/>
    </row>
    <row r="783">
      <c r="C783" s="71"/>
      <c r="D783" s="71"/>
      <c r="E783" s="71"/>
      <c r="F783" s="73"/>
      <c r="G783" s="73"/>
      <c r="H783" s="73"/>
      <c r="I783" s="73"/>
      <c r="J783" s="73"/>
      <c r="K783" s="73"/>
    </row>
    <row r="784">
      <c r="C784" s="71"/>
      <c r="D784" s="71"/>
      <c r="E784" s="71"/>
      <c r="F784" s="73"/>
      <c r="G784" s="73"/>
      <c r="H784" s="73"/>
      <c r="I784" s="73"/>
      <c r="J784" s="73"/>
      <c r="K784" s="73"/>
    </row>
    <row r="785">
      <c r="C785" s="71"/>
      <c r="D785" s="71"/>
      <c r="E785" s="71"/>
      <c r="F785" s="73"/>
      <c r="G785" s="73"/>
      <c r="H785" s="73"/>
      <c r="I785" s="73"/>
      <c r="J785" s="73"/>
      <c r="K785" s="73"/>
    </row>
    <row r="786">
      <c r="C786" s="71"/>
      <c r="D786" s="71"/>
      <c r="E786" s="71"/>
      <c r="F786" s="73"/>
      <c r="G786" s="73"/>
      <c r="H786" s="73"/>
      <c r="I786" s="73"/>
      <c r="J786" s="73"/>
      <c r="K786" s="73"/>
    </row>
    <row r="787">
      <c r="C787" s="71"/>
      <c r="D787" s="71"/>
      <c r="E787" s="71"/>
      <c r="F787" s="73"/>
      <c r="G787" s="73"/>
      <c r="H787" s="73"/>
      <c r="I787" s="73"/>
      <c r="J787" s="73"/>
      <c r="K787" s="73"/>
    </row>
    <row r="788">
      <c r="C788" s="71"/>
      <c r="D788" s="71"/>
      <c r="E788" s="71"/>
      <c r="F788" s="73"/>
      <c r="G788" s="73"/>
      <c r="H788" s="73"/>
      <c r="I788" s="73"/>
      <c r="J788" s="73"/>
      <c r="K788" s="73"/>
    </row>
    <row r="789">
      <c r="C789" s="71"/>
      <c r="D789" s="71"/>
      <c r="E789" s="71"/>
      <c r="F789" s="73"/>
      <c r="G789" s="73"/>
      <c r="H789" s="73"/>
      <c r="I789" s="73"/>
      <c r="J789" s="73"/>
      <c r="K789" s="73"/>
    </row>
    <row r="790">
      <c r="C790" s="71"/>
      <c r="D790" s="71"/>
      <c r="E790" s="71"/>
      <c r="F790" s="73"/>
      <c r="G790" s="73"/>
      <c r="H790" s="73"/>
      <c r="I790" s="73"/>
      <c r="J790" s="73"/>
      <c r="K790" s="73"/>
    </row>
    <row r="791">
      <c r="C791" s="71"/>
      <c r="D791" s="71"/>
      <c r="E791" s="71"/>
      <c r="F791" s="73"/>
      <c r="G791" s="73"/>
      <c r="H791" s="73"/>
      <c r="I791" s="73"/>
      <c r="J791" s="73"/>
      <c r="K791" s="73"/>
    </row>
    <row r="792">
      <c r="C792" s="71"/>
      <c r="D792" s="71"/>
      <c r="E792" s="71"/>
      <c r="F792" s="73"/>
      <c r="G792" s="73"/>
      <c r="H792" s="73"/>
      <c r="I792" s="73"/>
      <c r="J792" s="73"/>
      <c r="K792" s="73"/>
    </row>
    <row r="793">
      <c r="C793" s="71"/>
      <c r="D793" s="71"/>
      <c r="E793" s="71"/>
      <c r="F793" s="73"/>
      <c r="G793" s="73"/>
      <c r="H793" s="73"/>
      <c r="I793" s="73"/>
      <c r="J793" s="73"/>
      <c r="K793" s="73"/>
    </row>
    <row r="794">
      <c r="C794" s="71"/>
      <c r="D794" s="71"/>
      <c r="E794" s="71"/>
      <c r="F794" s="73"/>
      <c r="G794" s="73"/>
      <c r="H794" s="73"/>
      <c r="I794" s="73"/>
      <c r="J794" s="73"/>
      <c r="K794" s="73"/>
    </row>
    <row r="795">
      <c r="C795" s="71"/>
      <c r="D795" s="71"/>
      <c r="E795" s="71"/>
      <c r="F795" s="73"/>
      <c r="G795" s="73"/>
      <c r="H795" s="73"/>
      <c r="I795" s="73"/>
      <c r="J795" s="73"/>
      <c r="K795" s="73"/>
    </row>
    <row r="796">
      <c r="C796" s="71"/>
      <c r="D796" s="71"/>
      <c r="E796" s="71"/>
      <c r="F796" s="73"/>
      <c r="G796" s="73"/>
      <c r="H796" s="73"/>
      <c r="I796" s="73"/>
      <c r="J796" s="73"/>
      <c r="K796" s="73"/>
    </row>
    <row r="797">
      <c r="C797" s="71"/>
      <c r="D797" s="71"/>
      <c r="E797" s="71"/>
      <c r="F797" s="73"/>
      <c r="G797" s="73"/>
      <c r="H797" s="73"/>
      <c r="I797" s="73"/>
      <c r="J797" s="73"/>
      <c r="K797" s="73"/>
    </row>
    <row r="798">
      <c r="C798" s="71"/>
      <c r="D798" s="71"/>
      <c r="E798" s="71"/>
      <c r="F798" s="73"/>
      <c r="G798" s="73"/>
      <c r="H798" s="73"/>
      <c r="I798" s="73"/>
      <c r="J798" s="73"/>
      <c r="K798" s="73"/>
    </row>
    <row r="799">
      <c r="C799" s="71"/>
      <c r="D799" s="71"/>
      <c r="E799" s="71"/>
      <c r="F799" s="73"/>
      <c r="G799" s="73"/>
      <c r="H799" s="73"/>
      <c r="I799" s="73"/>
      <c r="J799" s="73"/>
      <c r="K799" s="73"/>
    </row>
    <row r="800">
      <c r="C800" s="71"/>
      <c r="D800" s="71"/>
      <c r="E800" s="71"/>
      <c r="F800" s="73"/>
      <c r="G800" s="73"/>
      <c r="H800" s="73"/>
      <c r="I800" s="73"/>
      <c r="J800" s="73"/>
      <c r="K800" s="73"/>
    </row>
    <row r="801">
      <c r="C801" s="71"/>
      <c r="D801" s="71"/>
      <c r="E801" s="71"/>
      <c r="F801" s="73"/>
      <c r="G801" s="73"/>
      <c r="H801" s="73"/>
      <c r="I801" s="73"/>
      <c r="J801" s="73"/>
      <c r="K801" s="73"/>
    </row>
    <row r="802">
      <c r="C802" s="71"/>
      <c r="D802" s="71"/>
      <c r="E802" s="71"/>
      <c r="F802" s="73"/>
      <c r="G802" s="73"/>
      <c r="H802" s="73"/>
      <c r="I802" s="73"/>
      <c r="J802" s="73"/>
      <c r="K802" s="73"/>
    </row>
    <row r="803">
      <c r="C803" s="71"/>
      <c r="D803" s="71"/>
      <c r="E803" s="71"/>
      <c r="F803" s="73"/>
      <c r="G803" s="73"/>
      <c r="H803" s="73"/>
      <c r="I803" s="73"/>
      <c r="J803" s="73"/>
      <c r="K803" s="73"/>
    </row>
    <row r="804">
      <c r="C804" s="71"/>
      <c r="D804" s="71"/>
      <c r="E804" s="71"/>
      <c r="F804" s="73"/>
      <c r="G804" s="73"/>
      <c r="H804" s="73"/>
      <c r="I804" s="73"/>
      <c r="J804" s="73"/>
      <c r="K804" s="73"/>
    </row>
    <row r="805">
      <c r="C805" s="71"/>
      <c r="D805" s="71"/>
      <c r="E805" s="71"/>
      <c r="F805" s="73"/>
      <c r="G805" s="73"/>
      <c r="H805" s="73"/>
      <c r="I805" s="73"/>
      <c r="J805" s="73"/>
      <c r="K805" s="73"/>
    </row>
    <row r="806">
      <c r="C806" s="71"/>
      <c r="D806" s="71"/>
      <c r="E806" s="71"/>
      <c r="F806" s="73"/>
      <c r="G806" s="73"/>
      <c r="H806" s="73"/>
      <c r="I806" s="73"/>
      <c r="J806" s="73"/>
      <c r="K806" s="73"/>
    </row>
    <row r="807">
      <c r="C807" s="71"/>
      <c r="D807" s="71"/>
      <c r="E807" s="71"/>
      <c r="F807" s="73"/>
      <c r="G807" s="73"/>
      <c r="H807" s="73"/>
      <c r="I807" s="73"/>
      <c r="J807" s="73"/>
      <c r="K807" s="73"/>
    </row>
    <row r="808">
      <c r="C808" s="71"/>
      <c r="D808" s="71"/>
      <c r="E808" s="71"/>
      <c r="F808" s="73"/>
      <c r="G808" s="73"/>
      <c r="H808" s="73"/>
      <c r="I808" s="73"/>
      <c r="J808" s="73"/>
      <c r="K808" s="73"/>
    </row>
    <row r="809">
      <c r="C809" s="71"/>
      <c r="D809" s="71"/>
      <c r="E809" s="71"/>
      <c r="F809" s="73"/>
      <c r="G809" s="73"/>
      <c r="H809" s="73"/>
      <c r="I809" s="73"/>
      <c r="J809" s="73"/>
      <c r="K809" s="73"/>
    </row>
    <row r="810">
      <c r="C810" s="71"/>
      <c r="D810" s="71"/>
      <c r="E810" s="71"/>
      <c r="F810" s="73"/>
      <c r="G810" s="73"/>
      <c r="H810" s="73"/>
      <c r="I810" s="73"/>
      <c r="J810" s="73"/>
      <c r="K810" s="73"/>
    </row>
    <row r="811">
      <c r="C811" s="71"/>
      <c r="D811" s="71"/>
      <c r="E811" s="71"/>
      <c r="F811" s="73"/>
      <c r="G811" s="73"/>
      <c r="H811" s="73"/>
      <c r="I811" s="73"/>
      <c r="J811" s="73"/>
      <c r="K811" s="73"/>
    </row>
    <row r="812">
      <c r="C812" s="71"/>
      <c r="D812" s="71"/>
      <c r="E812" s="71"/>
      <c r="F812" s="73"/>
      <c r="G812" s="73"/>
      <c r="H812" s="73"/>
      <c r="I812" s="73"/>
      <c r="J812" s="73"/>
      <c r="K812" s="73"/>
    </row>
    <row r="813">
      <c r="C813" s="71"/>
      <c r="D813" s="71"/>
      <c r="E813" s="71"/>
      <c r="F813" s="73"/>
      <c r="G813" s="73"/>
      <c r="H813" s="73"/>
      <c r="I813" s="73"/>
      <c r="J813" s="73"/>
      <c r="K813" s="73"/>
    </row>
    <row r="814">
      <c r="C814" s="71"/>
      <c r="D814" s="71"/>
      <c r="E814" s="71"/>
      <c r="F814" s="73"/>
      <c r="G814" s="73"/>
      <c r="H814" s="73"/>
      <c r="I814" s="73"/>
      <c r="J814" s="73"/>
      <c r="K814" s="73"/>
    </row>
    <row r="815">
      <c r="C815" s="71"/>
      <c r="D815" s="71"/>
      <c r="E815" s="71"/>
      <c r="F815" s="73"/>
      <c r="G815" s="73"/>
      <c r="H815" s="73"/>
      <c r="I815" s="73"/>
      <c r="J815" s="73"/>
      <c r="K815" s="73"/>
    </row>
    <row r="816">
      <c r="C816" s="71"/>
      <c r="D816" s="71"/>
      <c r="E816" s="71"/>
      <c r="F816" s="73"/>
      <c r="G816" s="73"/>
      <c r="H816" s="73"/>
      <c r="I816" s="73"/>
      <c r="J816" s="73"/>
      <c r="K816" s="73"/>
    </row>
    <row r="817">
      <c r="C817" s="71"/>
      <c r="D817" s="71"/>
      <c r="E817" s="71"/>
      <c r="F817" s="73"/>
      <c r="G817" s="73"/>
      <c r="H817" s="73"/>
      <c r="I817" s="73"/>
      <c r="J817" s="73"/>
      <c r="K817" s="73"/>
    </row>
    <row r="818">
      <c r="C818" s="71"/>
      <c r="D818" s="71"/>
      <c r="E818" s="71"/>
      <c r="F818" s="73"/>
      <c r="G818" s="73"/>
      <c r="H818" s="73"/>
      <c r="I818" s="73"/>
      <c r="J818" s="73"/>
      <c r="K818" s="73"/>
    </row>
    <row r="819">
      <c r="C819" s="71"/>
      <c r="D819" s="71"/>
      <c r="E819" s="71"/>
      <c r="F819" s="73"/>
      <c r="G819" s="73"/>
      <c r="H819" s="73"/>
      <c r="I819" s="73"/>
      <c r="J819" s="73"/>
      <c r="K819" s="73"/>
    </row>
    <row r="820">
      <c r="C820" s="71"/>
      <c r="D820" s="71"/>
      <c r="E820" s="71"/>
      <c r="F820" s="73"/>
      <c r="G820" s="73"/>
      <c r="H820" s="73"/>
      <c r="I820" s="73"/>
      <c r="J820" s="73"/>
      <c r="K820" s="73"/>
    </row>
    <row r="821">
      <c r="C821" s="71"/>
      <c r="D821" s="71"/>
      <c r="E821" s="71"/>
      <c r="F821" s="73"/>
      <c r="G821" s="73"/>
      <c r="H821" s="73"/>
      <c r="I821" s="73"/>
      <c r="J821" s="73"/>
      <c r="K821" s="73"/>
    </row>
    <row r="822">
      <c r="C822" s="71"/>
      <c r="D822" s="71"/>
      <c r="E822" s="71"/>
      <c r="F822" s="73"/>
      <c r="G822" s="73"/>
      <c r="H822" s="73"/>
      <c r="I822" s="73"/>
      <c r="J822" s="73"/>
      <c r="K822" s="73"/>
    </row>
    <row r="823">
      <c r="C823" s="71"/>
      <c r="D823" s="71"/>
      <c r="E823" s="71"/>
      <c r="F823" s="73"/>
      <c r="G823" s="73"/>
      <c r="H823" s="73"/>
      <c r="I823" s="73"/>
      <c r="J823" s="73"/>
      <c r="K823" s="73"/>
    </row>
    <row r="824">
      <c r="C824" s="71"/>
      <c r="D824" s="71"/>
      <c r="E824" s="71"/>
      <c r="F824" s="73"/>
      <c r="G824" s="73"/>
      <c r="H824" s="73"/>
      <c r="I824" s="73"/>
      <c r="J824" s="73"/>
      <c r="K824" s="73"/>
    </row>
    <row r="825">
      <c r="C825" s="71"/>
      <c r="D825" s="71"/>
      <c r="E825" s="71"/>
      <c r="F825" s="73"/>
      <c r="G825" s="73"/>
      <c r="H825" s="73"/>
      <c r="I825" s="73"/>
      <c r="J825" s="73"/>
      <c r="K825" s="73"/>
    </row>
    <row r="826">
      <c r="C826" s="71"/>
      <c r="D826" s="71"/>
      <c r="E826" s="71"/>
      <c r="F826" s="73"/>
      <c r="G826" s="73"/>
      <c r="H826" s="73"/>
      <c r="I826" s="73"/>
      <c r="J826" s="73"/>
      <c r="K826" s="73"/>
    </row>
    <row r="827">
      <c r="C827" s="71"/>
      <c r="D827" s="71"/>
      <c r="E827" s="71"/>
      <c r="F827" s="73"/>
      <c r="G827" s="73"/>
      <c r="H827" s="73"/>
      <c r="I827" s="73"/>
      <c r="J827" s="73"/>
      <c r="K827" s="73"/>
    </row>
    <row r="828">
      <c r="C828" s="71"/>
      <c r="D828" s="71"/>
      <c r="E828" s="71"/>
      <c r="F828" s="73"/>
      <c r="G828" s="73"/>
      <c r="H828" s="73"/>
      <c r="I828" s="73"/>
      <c r="J828" s="73"/>
      <c r="K828" s="73"/>
    </row>
    <row r="829">
      <c r="C829" s="71"/>
      <c r="D829" s="71"/>
      <c r="E829" s="71"/>
      <c r="F829" s="73"/>
      <c r="G829" s="73"/>
      <c r="H829" s="73"/>
      <c r="I829" s="73"/>
      <c r="J829" s="73"/>
      <c r="K829" s="73"/>
    </row>
    <row r="830">
      <c r="C830" s="71"/>
      <c r="D830" s="71"/>
      <c r="E830" s="71"/>
      <c r="F830" s="73"/>
      <c r="G830" s="73"/>
      <c r="H830" s="73"/>
      <c r="I830" s="73"/>
      <c r="J830" s="73"/>
      <c r="K830" s="73"/>
    </row>
    <row r="831">
      <c r="C831" s="71"/>
      <c r="D831" s="71"/>
      <c r="E831" s="71"/>
      <c r="F831" s="73"/>
      <c r="G831" s="73"/>
      <c r="H831" s="73"/>
      <c r="I831" s="73"/>
      <c r="J831" s="73"/>
      <c r="K831" s="73"/>
    </row>
    <row r="832">
      <c r="C832" s="71"/>
      <c r="D832" s="71"/>
      <c r="E832" s="71"/>
      <c r="F832" s="73"/>
      <c r="G832" s="73"/>
      <c r="H832" s="73"/>
      <c r="I832" s="73"/>
      <c r="J832" s="73"/>
      <c r="K832" s="73"/>
    </row>
    <row r="833">
      <c r="C833" s="71"/>
      <c r="D833" s="71"/>
      <c r="E833" s="71"/>
      <c r="F833" s="73"/>
      <c r="G833" s="73"/>
      <c r="H833" s="73"/>
      <c r="I833" s="73"/>
      <c r="J833" s="73"/>
      <c r="K833" s="73"/>
    </row>
    <row r="834">
      <c r="C834" s="71"/>
      <c r="D834" s="71"/>
      <c r="E834" s="71"/>
      <c r="F834" s="73"/>
      <c r="G834" s="73"/>
      <c r="H834" s="73"/>
      <c r="I834" s="73"/>
      <c r="J834" s="73"/>
      <c r="K834" s="73"/>
    </row>
    <row r="835">
      <c r="C835" s="71"/>
      <c r="D835" s="71"/>
      <c r="E835" s="71"/>
      <c r="F835" s="73"/>
      <c r="G835" s="73"/>
      <c r="H835" s="73"/>
      <c r="I835" s="73"/>
      <c r="J835" s="73"/>
      <c r="K835" s="73"/>
    </row>
    <row r="836">
      <c r="C836" s="71"/>
      <c r="D836" s="71"/>
      <c r="E836" s="71"/>
      <c r="F836" s="73"/>
      <c r="G836" s="73"/>
      <c r="H836" s="73"/>
      <c r="I836" s="73"/>
      <c r="J836" s="73"/>
      <c r="K836" s="73"/>
    </row>
    <row r="837">
      <c r="C837" s="71"/>
      <c r="D837" s="71"/>
      <c r="E837" s="71"/>
      <c r="F837" s="73"/>
      <c r="G837" s="73"/>
      <c r="H837" s="73"/>
      <c r="I837" s="73"/>
      <c r="J837" s="73"/>
      <c r="K837" s="73"/>
    </row>
    <row r="838">
      <c r="C838" s="71"/>
      <c r="D838" s="71"/>
      <c r="E838" s="71"/>
      <c r="F838" s="73"/>
      <c r="G838" s="73"/>
      <c r="H838" s="73"/>
      <c r="I838" s="73"/>
      <c r="J838" s="73"/>
      <c r="K838" s="73"/>
    </row>
    <row r="839">
      <c r="C839" s="71"/>
      <c r="D839" s="71"/>
      <c r="E839" s="71"/>
      <c r="F839" s="73"/>
      <c r="G839" s="73"/>
      <c r="H839" s="73"/>
      <c r="I839" s="73"/>
      <c r="J839" s="73"/>
      <c r="K839" s="73"/>
    </row>
    <row r="840">
      <c r="C840" s="71"/>
      <c r="D840" s="71"/>
      <c r="E840" s="71"/>
      <c r="F840" s="73"/>
      <c r="G840" s="73"/>
      <c r="H840" s="73"/>
      <c r="I840" s="73"/>
      <c r="J840" s="73"/>
      <c r="K840" s="73"/>
    </row>
    <row r="841">
      <c r="C841" s="71"/>
      <c r="D841" s="71"/>
      <c r="E841" s="71"/>
      <c r="F841" s="73"/>
      <c r="G841" s="73"/>
      <c r="H841" s="73"/>
      <c r="I841" s="73"/>
      <c r="J841" s="73"/>
      <c r="K841" s="73"/>
    </row>
    <row r="842">
      <c r="C842" s="71"/>
      <c r="D842" s="71"/>
      <c r="E842" s="71"/>
      <c r="F842" s="73"/>
      <c r="G842" s="73"/>
      <c r="H842" s="73"/>
      <c r="I842" s="73"/>
      <c r="J842" s="73"/>
      <c r="K842" s="73"/>
    </row>
    <row r="843">
      <c r="C843" s="71"/>
      <c r="D843" s="71"/>
      <c r="E843" s="71"/>
      <c r="F843" s="73"/>
      <c r="G843" s="73"/>
      <c r="H843" s="73"/>
      <c r="I843" s="73"/>
      <c r="J843" s="73"/>
      <c r="K843" s="73"/>
    </row>
    <row r="844">
      <c r="C844" s="71"/>
      <c r="D844" s="71"/>
      <c r="E844" s="71"/>
      <c r="F844" s="73"/>
      <c r="G844" s="73"/>
      <c r="H844" s="73"/>
      <c r="I844" s="73"/>
      <c r="J844" s="73"/>
      <c r="K844" s="73"/>
    </row>
    <row r="845">
      <c r="C845" s="71"/>
      <c r="D845" s="71"/>
      <c r="E845" s="71"/>
      <c r="F845" s="73"/>
      <c r="G845" s="73"/>
      <c r="H845" s="73"/>
      <c r="I845" s="73"/>
      <c r="J845" s="73"/>
      <c r="K845" s="73"/>
    </row>
    <row r="846">
      <c r="C846" s="71"/>
      <c r="D846" s="71"/>
      <c r="E846" s="71"/>
      <c r="F846" s="73"/>
      <c r="G846" s="73"/>
      <c r="H846" s="73"/>
      <c r="I846" s="73"/>
      <c r="J846" s="73"/>
      <c r="K846" s="73"/>
    </row>
    <row r="847">
      <c r="C847" s="71"/>
      <c r="D847" s="71"/>
      <c r="E847" s="71"/>
      <c r="F847" s="73"/>
      <c r="G847" s="73"/>
      <c r="H847" s="73"/>
      <c r="I847" s="73"/>
      <c r="J847" s="73"/>
      <c r="K847" s="73"/>
    </row>
    <row r="848">
      <c r="C848" s="71"/>
      <c r="D848" s="71"/>
      <c r="E848" s="71"/>
      <c r="F848" s="73"/>
      <c r="G848" s="73"/>
      <c r="H848" s="73"/>
      <c r="I848" s="73"/>
      <c r="J848" s="73"/>
      <c r="K848" s="73"/>
    </row>
    <row r="849">
      <c r="C849" s="71"/>
      <c r="D849" s="71"/>
      <c r="E849" s="71"/>
      <c r="F849" s="73"/>
      <c r="G849" s="73"/>
      <c r="H849" s="73"/>
      <c r="I849" s="73"/>
      <c r="J849" s="73"/>
      <c r="K849" s="73"/>
    </row>
    <row r="850">
      <c r="C850" s="71"/>
      <c r="D850" s="71"/>
      <c r="E850" s="71"/>
      <c r="F850" s="73"/>
      <c r="G850" s="73"/>
      <c r="H850" s="73"/>
      <c r="I850" s="73"/>
      <c r="J850" s="73"/>
      <c r="K850" s="73"/>
    </row>
    <row r="851">
      <c r="C851" s="71"/>
      <c r="D851" s="71"/>
      <c r="E851" s="71"/>
      <c r="F851" s="73"/>
      <c r="G851" s="73"/>
      <c r="H851" s="73"/>
      <c r="I851" s="73"/>
      <c r="J851" s="73"/>
      <c r="K851" s="73"/>
    </row>
    <row r="852">
      <c r="C852" s="71"/>
      <c r="D852" s="71"/>
      <c r="E852" s="71"/>
      <c r="F852" s="73"/>
      <c r="G852" s="73"/>
      <c r="H852" s="73"/>
      <c r="I852" s="73"/>
      <c r="J852" s="73"/>
      <c r="K852" s="73"/>
    </row>
    <row r="853">
      <c r="C853" s="71"/>
      <c r="D853" s="71"/>
      <c r="E853" s="71"/>
      <c r="F853" s="73"/>
      <c r="G853" s="73"/>
      <c r="H853" s="73"/>
      <c r="I853" s="73"/>
      <c r="J853" s="73"/>
      <c r="K853" s="73"/>
    </row>
    <row r="854">
      <c r="C854" s="71"/>
      <c r="D854" s="71"/>
      <c r="E854" s="71"/>
      <c r="F854" s="73"/>
      <c r="G854" s="73"/>
      <c r="H854" s="73"/>
      <c r="I854" s="73"/>
      <c r="J854" s="73"/>
      <c r="K854" s="73"/>
    </row>
    <row r="855">
      <c r="C855" s="71"/>
      <c r="D855" s="71"/>
      <c r="E855" s="71"/>
      <c r="F855" s="73"/>
      <c r="G855" s="73"/>
      <c r="H855" s="73"/>
      <c r="I855" s="73"/>
      <c r="J855" s="73"/>
      <c r="K855" s="73"/>
    </row>
    <row r="856">
      <c r="C856" s="71"/>
      <c r="D856" s="71"/>
      <c r="E856" s="71"/>
      <c r="F856" s="73"/>
      <c r="G856" s="73"/>
      <c r="H856" s="73"/>
      <c r="I856" s="73"/>
      <c r="J856" s="73"/>
      <c r="K856" s="73"/>
    </row>
    <row r="857">
      <c r="C857" s="71"/>
      <c r="D857" s="71"/>
      <c r="E857" s="71"/>
      <c r="F857" s="73"/>
      <c r="G857" s="73"/>
      <c r="H857" s="73"/>
      <c r="I857" s="73"/>
      <c r="J857" s="73"/>
      <c r="K857" s="73"/>
    </row>
    <row r="858">
      <c r="C858" s="71"/>
      <c r="D858" s="71"/>
      <c r="E858" s="71"/>
      <c r="F858" s="73"/>
      <c r="G858" s="73"/>
      <c r="H858" s="73"/>
      <c r="I858" s="73"/>
      <c r="J858" s="73"/>
      <c r="K858" s="73"/>
    </row>
    <row r="859">
      <c r="C859" s="71"/>
      <c r="D859" s="71"/>
      <c r="E859" s="71"/>
      <c r="F859" s="73"/>
      <c r="G859" s="73"/>
      <c r="H859" s="73"/>
      <c r="I859" s="73"/>
      <c r="J859" s="73"/>
      <c r="K859" s="73"/>
    </row>
    <row r="860">
      <c r="C860" s="71"/>
      <c r="D860" s="71"/>
      <c r="E860" s="71"/>
      <c r="F860" s="73"/>
      <c r="G860" s="73"/>
      <c r="H860" s="73"/>
      <c r="I860" s="73"/>
      <c r="J860" s="73"/>
      <c r="K860" s="73"/>
    </row>
    <row r="861">
      <c r="C861" s="71"/>
      <c r="D861" s="71"/>
      <c r="E861" s="71"/>
      <c r="F861" s="73"/>
      <c r="G861" s="73"/>
      <c r="H861" s="73"/>
      <c r="I861" s="73"/>
      <c r="J861" s="73"/>
      <c r="K861" s="73"/>
    </row>
    <row r="862">
      <c r="C862" s="71"/>
      <c r="D862" s="71"/>
      <c r="E862" s="71"/>
      <c r="F862" s="73"/>
      <c r="G862" s="73"/>
      <c r="H862" s="73"/>
      <c r="I862" s="73"/>
      <c r="J862" s="73"/>
      <c r="K862" s="73"/>
    </row>
    <row r="863">
      <c r="C863" s="71"/>
      <c r="D863" s="71"/>
      <c r="E863" s="71"/>
      <c r="F863" s="73"/>
      <c r="G863" s="73"/>
      <c r="H863" s="73"/>
      <c r="I863" s="73"/>
      <c r="J863" s="73"/>
      <c r="K863" s="73"/>
    </row>
    <row r="864">
      <c r="C864" s="71"/>
      <c r="D864" s="71"/>
      <c r="E864" s="71"/>
      <c r="F864" s="73"/>
      <c r="G864" s="73"/>
      <c r="H864" s="73"/>
      <c r="I864" s="73"/>
      <c r="J864" s="73"/>
      <c r="K864" s="73"/>
    </row>
    <row r="865">
      <c r="C865" s="71"/>
      <c r="D865" s="71"/>
      <c r="E865" s="71"/>
      <c r="F865" s="73"/>
      <c r="G865" s="73"/>
      <c r="H865" s="73"/>
      <c r="I865" s="73"/>
      <c r="J865" s="73"/>
      <c r="K865" s="73"/>
    </row>
    <row r="866">
      <c r="C866" s="71"/>
      <c r="D866" s="71"/>
      <c r="E866" s="71"/>
      <c r="F866" s="73"/>
      <c r="G866" s="73"/>
      <c r="H866" s="73"/>
      <c r="I866" s="73"/>
      <c r="J866" s="73"/>
      <c r="K866" s="73"/>
    </row>
    <row r="867">
      <c r="C867" s="71"/>
      <c r="D867" s="71"/>
      <c r="E867" s="71"/>
      <c r="F867" s="73"/>
      <c r="G867" s="73"/>
      <c r="H867" s="73"/>
      <c r="I867" s="73"/>
      <c r="J867" s="73"/>
      <c r="K867" s="73"/>
    </row>
    <row r="868">
      <c r="C868" s="71"/>
      <c r="D868" s="71"/>
      <c r="E868" s="71"/>
      <c r="F868" s="73"/>
      <c r="G868" s="73"/>
      <c r="H868" s="73"/>
      <c r="I868" s="73"/>
      <c r="J868" s="73"/>
      <c r="K868" s="73"/>
    </row>
    <row r="869">
      <c r="C869" s="71"/>
      <c r="D869" s="71"/>
      <c r="E869" s="71"/>
      <c r="F869" s="73"/>
      <c r="G869" s="73"/>
      <c r="H869" s="73"/>
      <c r="I869" s="73"/>
      <c r="J869" s="73"/>
      <c r="K869" s="73"/>
    </row>
    <row r="870">
      <c r="C870" s="71"/>
      <c r="D870" s="71"/>
      <c r="E870" s="71"/>
      <c r="F870" s="73"/>
      <c r="G870" s="73"/>
      <c r="H870" s="73"/>
      <c r="I870" s="73"/>
      <c r="J870" s="73"/>
      <c r="K870" s="73"/>
    </row>
    <row r="871">
      <c r="C871" s="71"/>
      <c r="D871" s="71"/>
      <c r="E871" s="71"/>
      <c r="F871" s="73"/>
      <c r="G871" s="73"/>
      <c r="H871" s="73"/>
      <c r="I871" s="73"/>
      <c r="J871" s="73"/>
      <c r="K871" s="73"/>
    </row>
    <row r="872">
      <c r="C872" s="71"/>
      <c r="D872" s="71"/>
      <c r="E872" s="71"/>
      <c r="F872" s="73"/>
      <c r="G872" s="73"/>
      <c r="H872" s="73"/>
      <c r="I872" s="73"/>
      <c r="J872" s="73"/>
      <c r="K872" s="73"/>
    </row>
    <row r="873">
      <c r="C873" s="71"/>
      <c r="D873" s="71"/>
      <c r="E873" s="71"/>
      <c r="F873" s="73"/>
      <c r="G873" s="73"/>
      <c r="H873" s="73"/>
      <c r="I873" s="73"/>
      <c r="J873" s="73"/>
      <c r="K873" s="73"/>
    </row>
    <row r="874">
      <c r="C874" s="71"/>
      <c r="D874" s="71"/>
      <c r="E874" s="71"/>
      <c r="F874" s="73"/>
      <c r="G874" s="73"/>
      <c r="H874" s="73"/>
      <c r="I874" s="73"/>
      <c r="J874" s="73"/>
      <c r="K874" s="73"/>
    </row>
    <row r="875">
      <c r="C875" s="71"/>
      <c r="D875" s="71"/>
      <c r="E875" s="71"/>
      <c r="F875" s="73"/>
      <c r="G875" s="73"/>
      <c r="H875" s="73"/>
      <c r="I875" s="73"/>
      <c r="J875" s="73"/>
      <c r="K875" s="73"/>
    </row>
    <row r="876">
      <c r="C876" s="71"/>
      <c r="D876" s="71"/>
      <c r="E876" s="71"/>
      <c r="F876" s="73"/>
      <c r="G876" s="73"/>
      <c r="H876" s="73"/>
      <c r="I876" s="73"/>
      <c r="J876" s="73"/>
      <c r="K876" s="73"/>
    </row>
    <row r="877">
      <c r="C877" s="71"/>
      <c r="D877" s="71"/>
      <c r="E877" s="71"/>
      <c r="F877" s="73"/>
      <c r="G877" s="73"/>
      <c r="H877" s="73"/>
      <c r="I877" s="73"/>
      <c r="J877" s="73"/>
      <c r="K877" s="73"/>
    </row>
    <row r="878">
      <c r="C878" s="71"/>
      <c r="D878" s="71"/>
      <c r="E878" s="71"/>
      <c r="F878" s="73"/>
      <c r="G878" s="73"/>
      <c r="H878" s="73"/>
      <c r="I878" s="73"/>
      <c r="J878" s="73"/>
      <c r="K878" s="73"/>
    </row>
    <row r="879">
      <c r="C879" s="71"/>
      <c r="D879" s="71"/>
      <c r="E879" s="71"/>
      <c r="F879" s="73"/>
      <c r="G879" s="73"/>
      <c r="H879" s="73"/>
      <c r="I879" s="73"/>
      <c r="J879" s="73"/>
      <c r="K879" s="73"/>
    </row>
    <row r="880">
      <c r="C880" s="71"/>
      <c r="D880" s="71"/>
      <c r="E880" s="71"/>
      <c r="F880" s="73"/>
      <c r="G880" s="73"/>
      <c r="H880" s="73"/>
      <c r="I880" s="73"/>
      <c r="J880" s="73"/>
      <c r="K880" s="73"/>
    </row>
    <row r="881">
      <c r="C881" s="71"/>
      <c r="D881" s="71"/>
      <c r="E881" s="71"/>
      <c r="F881" s="73"/>
      <c r="G881" s="73"/>
      <c r="H881" s="73"/>
      <c r="I881" s="73"/>
      <c r="J881" s="73"/>
      <c r="K881" s="73"/>
    </row>
    <row r="882">
      <c r="C882" s="71"/>
      <c r="D882" s="71"/>
      <c r="E882" s="71"/>
      <c r="F882" s="73"/>
      <c r="G882" s="73"/>
      <c r="H882" s="73"/>
      <c r="I882" s="73"/>
      <c r="J882" s="73"/>
      <c r="K882" s="73"/>
    </row>
    <row r="883">
      <c r="C883" s="71"/>
      <c r="D883" s="71"/>
      <c r="E883" s="71"/>
      <c r="F883" s="73"/>
      <c r="G883" s="73"/>
      <c r="H883" s="73"/>
      <c r="I883" s="73"/>
      <c r="J883" s="73"/>
      <c r="K883" s="73"/>
    </row>
    <row r="884">
      <c r="C884" s="71"/>
      <c r="D884" s="71"/>
      <c r="E884" s="71"/>
      <c r="F884" s="73"/>
      <c r="G884" s="73"/>
      <c r="H884" s="73"/>
      <c r="I884" s="73"/>
      <c r="J884" s="73"/>
      <c r="K884" s="73"/>
    </row>
    <row r="885">
      <c r="C885" s="71"/>
      <c r="D885" s="71"/>
      <c r="E885" s="71"/>
      <c r="F885" s="73"/>
      <c r="G885" s="73"/>
      <c r="H885" s="73"/>
      <c r="I885" s="73"/>
      <c r="J885" s="73"/>
      <c r="K885" s="73"/>
    </row>
    <row r="886">
      <c r="C886" s="71"/>
      <c r="D886" s="71"/>
      <c r="E886" s="71"/>
      <c r="F886" s="73"/>
      <c r="G886" s="73"/>
      <c r="H886" s="73"/>
      <c r="I886" s="73"/>
      <c r="J886" s="73"/>
      <c r="K886" s="73"/>
    </row>
    <row r="887">
      <c r="C887" s="71"/>
      <c r="D887" s="71"/>
      <c r="E887" s="71"/>
      <c r="F887" s="73"/>
      <c r="G887" s="73"/>
      <c r="H887" s="73"/>
      <c r="I887" s="73"/>
      <c r="J887" s="73"/>
      <c r="K887" s="73"/>
    </row>
    <row r="888">
      <c r="C888" s="71"/>
      <c r="D888" s="71"/>
      <c r="E888" s="71"/>
      <c r="F888" s="73"/>
      <c r="G888" s="73"/>
      <c r="H888" s="73"/>
      <c r="I888" s="73"/>
      <c r="J888" s="73"/>
      <c r="K888" s="73"/>
    </row>
    <row r="889">
      <c r="C889" s="71"/>
      <c r="D889" s="71"/>
      <c r="E889" s="71"/>
      <c r="F889" s="73"/>
      <c r="G889" s="73"/>
      <c r="H889" s="73"/>
      <c r="I889" s="73"/>
      <c r="J889" s="73"/>
      <c r="K889" s="73"/>
    </row>
    <row r="890">
      <c r="C890" s="71"/>
      <c r="D890" s="71"/>
      <c r="E890" s="71"/>
      <c r="F890" s="73"/>
      <c r="G890" s="73"/>
      <c r="H890" s="73"/>
      <c r="I890" s="73"/>
      <c r="J890" s="73"/>
      <c r="K890" s="73"/>
    </row>
    <row r="891">
      <c r="C891" s="71"/>
      <c r="D891" s="71"/>
      <c r="E891" s="71"/>
      <c r="F891" s="73"/>
      <c r="G891" s="73"/>
      <c r="H891" s="73"/>
      <c r="I891" s="73"/>
      <c r="J891" s="73"/>
      <c r="K891" s="73"/>
    </row>
    <row r="892">
      <c r="C892" s="71"/>
      <c r="D892" s="71"/>
      <c r="E892" s="71"/>
      <c r="F892" s="73"/>
      <c r="G892" s="73"/>
      <c r="H892" s="73"/>
      <c r="I892" s="73"/>
      <c r="J892" s="73"/>
      <c r="K892" s="73"/>
    </row>
    <row r="893">
      <c r="C893" s="71"/>
      <c r="D893" s="71"/>
      <c r="E893" s="71"/>
      <c r="F893" s="73"/>
      <c r="G893" s="73"/>
      <c r="H893" s="73"/>
      <c r="I893" s="73"/>
      <c r="J893" s="73"/>
      <c r="K893" s="73"/>
    </row>
    <row r="894">
      <c r="C894" s="71"/>
      <c r="D894" s="71"/>
      <c r="E894" s="71"/>
      <c r="F894" s="73"/>
      <c r="G894" s="73"/>
      <c r="H894" s="73"/>
      <c r="I894" s="73"/>
      <c r="J894" s="73"/>
      <c r="K894" s="73"/>
    </row>
    <row r="895">
      <c r="C895" s="71"/>
      <c r="D895" s="71"/>
      <c r="E895" s="71"/>
      <c r="F895" s="73"/>
      <c r="G895" s="73"/>
      <c r="H895" s="73"/>
      <c r="I895" s="73"/>
      <c r="J895" s="73"/>
      <c r="K895" s="73"/>
    </row>
    <row r="896">
      <c r="C896" s="71"/>
      <c r="D896" s="71"/>
      <c r="E896" s="71"/>
      <c r="F896" s="73"/>
      <c r="G896" s="73"/>
      <c r="H896" s="73"/>
      <c r="I896" s="73"/>
      <c r="J896" s="73"/>
      <c r="K896" s="73"/>
    </row>
    <row r="897">
      <c r="C897" s="71"/>
      <c r="D897" s="71"/>
      <c r="E897" s="71"/>
      <c r="F897" s="73"/>
      <c r="G897" s="73"/>
      <c r="H897" s="73"/>
      <c r="I897" s="73"/>
      <c r="J897" s="73"/>
      <c r="K897" s="73"/>
    </row>
    <row r="898">
      <c r="C898" s="71"/>
      <c r="D898" s="71"/>
      <c r="E898" s="71"/>
      <c r="F898" s="73"/>
      <c r="G898" s="73"/>
      <c r="H898" s="73"/>
      <c r="I898" s="73"/>
      <c r="J898" s="73"/>
      <c r="K898" s="73"/>
    </row>
    <row r="899">
      <c r="C899" s="71"/>
      <c r="D899" s="71"/>
      <c r="E899" s="71"/>
      <c r="F899" s="73"/>
      <c r="G899" s="73"/>
      <c r="H899" s="73"/>
      <c r="I899" s="73"/>
      <c r="J899" s="73"/>
      <c r="K899" s="73"/>
    </row>
    <row r="900">
      <c r="C900" s="71"/>
      <c r="D900" s="71"/>
      <c r="E900" s="71"/>
      <c r="F900" s="73"/>
      <c r="G900" s="73"/>
      <c r="H900" s="73"/>
      <c r="I900" s="73"/>
      <c r="J900" s="73"/>
      <c r="K900" s="73"/>
    </row>
    <row r="901">
      <c r="C901" s="71"/>
      <c r="D901" s="71"/>
      <c r="E901" s="71"/>
      <c r="F901" s="73"/>
      <c r="G901" s="73"/>
      <c r="H901" s="73"/>
      <c r="I901" s="73"/>
      <c r="J901" s="73"/>
      <c r="K901" s="73"/>
    </row>
    <row r="902">
      <c r="C902" s="71"/>
      <c r="D902" s="71"/>
      <c r="E902" s="71"/>
      <c r="F902" s="73"/>
      <c r="G902" s="73"/>
      <c r="H902" s="73"/>
      <c r="I902" s="73"/>
      <c r="J902" s="73"/>
      <c r="K902" s="73"/>
    </row>
    <row r="903">
      <c r="C903" s="71"/>
      <c r="D903" s="71"/>
      <c r="E903" s="71"/>
      <c r="F903" s="73"/>
      <c r="G903" s="73"/>
      <c r="H903" s="73"/>
      <c r="I903" s="73"/>
      <c r="J903" s="73"/>
      <c r="K903" s="73"/>
    </row>
    <row r="904">
      <c r="C904" s="71"/>
      <c r="D904" s="71"/>
      <c r="E904" s="71"/>
      <c r="F904" s="73"/>
      <c r="G904" s="73"/>
      <c r="H904" s="73"/>
      <c r="I904" s="73"/>
      <c r="J904" s="73"/>
      <c r="K904" s="73"/>
    </row>
    <row r="905">
      <c r="C905" s="71"/>
      <c r="D905" s="71"/>
      <c r="E905" s="71"/>
      <c r="F905" s="73"/>
      <c r="G905" s="73"/>
      <c r="H905" s="73"/>
      <c r="I905" s="73"/>
      <c r="J905" s="73"/>
      <c r="K905" s="73"/>
    </row>
    <row r="906">
      <c r="C906" s="71"/>
      <c r="D906" s="71"/>
      <c r="E906" s="71"/>
      <c r="F906" s="73"/>
      <c r="G906" s="73"/>
      <c r="H906" s="73"/>
      <c r="I906" s="73"/>
      <c r="J906" s="73"/>
      <c r="K906" s="73"/>
    </row>
    <row r="907">
      <c r="C907" s="71"/>
      <c r="D907" s="71"/>
      <c r="E907" s="71"/>
      <c r="F907" s="73"/>
      <c r="G907" s="73"/>
      <c r="H907" s="73"/>
      <c r="I907" s="73"/>
      <c r="J907" s="73"/>
      <c r="K907" s="73"/>
    </row>
    <row r="908">
      <c r="C908" s="71"/>
      <c r="D908" s="71"/>
      <c r="E908" s="71"/>
      <c r="F908" s="73"/>
      <c r="G908" s="73"/>
      <c r="H908" s="73"/>
      <c r="I908" s="73"/>
      <c r="J908" s="73"/>
      <c r="K908" s="73"/>
    </row>
    <row r="909">
      <c r="C909" s="71"/>
      <c r="D909" s="71"/>
      <c r="E909" s="71"/>
      <c r="F909" s="73"/>
      <c r="G909" s="73"/>
      <c r="H909" s="73"/>
      <c r="I909" s="73"/>
      <c r="J909" s="73"/>
      <c r="K909" s="73"/>
    </row>
    <row r="910">
      <c r="C910" s="71"/>
      <c r="D910" s="71"/>
      <c r="E910" s="71"/>
      <c r="F910" s="73"/>
      <c r="G910" s="73"/>
      <c r="H910" s="73"/>
      <c r="I910" s="73"/>
      <c r="J910" s="73"/>
      <c r="K910" s="73"/>
    </row>
    <row r="911">
      <c r="C911" s="71"/>
      <c r="D911" s="71"/>
      <c r="E911" s="71"/>
      <c r="F911" s="73"/>
      <c r="G911" s="73"/>
      <c r="H911" s="73"/>
      <c r="I911" s="73"/>
      <c r="J911" s="73"/>
      <c r="K911" s="73"/>
    </row>
    <row r="912">
      <c r="C912" s="71"/>
      <c r="D912" s="71"/>
      <c r="E912" s="71"/>
      <c r="F912" s="73"/>
      <c r="G912" s="73"/>
      <c r="H912" s="73"/>
      <c r="I912" s="73"/>
      <c r="J912" s="73"/>
      <c r="K912" s="73"/>
    </row>
    <row r="913">
      <c r="C913" s="71"/>
      <c r="D913" s="71"/>
      <c r="E913" s="71"/>
      <c r="F913" s="73"/>
      <c r="G913" s="73"/>
      <c r="H913" s="73"/>
      <c r="I913" s="73"/>
      <c r="J913" s="73"/>
      <c r="K913" s="73"/>
    </row>
    <row r="914">
      <c r="C914" s="71"/>
      <c r="D914" s="71"/>
      <c r="E914" s="71"/>
      <c r="F914" s="73"/>
      <c r="G914" s="73"/>
      <c r="H914" s="73"/>
      <c r="I914" s="73"/>
      <c r="J914" s="73"/>
      <c r="K914" s="73"/>
    </row>
    <row r="915">
      <c r="C915" s="71"/>
      <c r="D915" s="71"/>
      <c r="E915" s="71"/>
      <c r="F915" s="73"/>
      <c r="G915" s="73"/>
      <c r="H915" s="73"/>
      <c r="I915" s="73"/>
      <c r="J915" s="73"/>
      <c r="K915" s="73"/>
    </row>
    <row r="916">
      <c r="C916" s="71"/>
      <c r="D916" s="71"/>
      <c r="E916" s="71"/>
      <c r="F916" s="73"/>
      <c r="G916" s="73"/>
      <c r="H916" s="73"/>
      <c r="I916" s="73"/>
      <c r="J916" s="73"/>
      <c r="K916" s="73"/>
    </row>
    <row r="917">
      <c r="C917" s="71"/>
      <c r="D917" s="71"/>
      <c r="E917" s="71"/>
      <c r="F917" s="73"/>
      <c r="G917" s="73"/>
      <c r="H917" s="73"/>
      <c r="I917" s="73"/>
      <c r="J917" s="73"/>
      <c r="K917" s="73"/>
    </row>
    <row r="918">
      <c r="C918" s="71"/>
      <c r="D918" s="71"/>
      <c r="E918" s="71"/>
      <c r="F918" s="73"/>
      <c r="G918" s="73"/>
      <c r="H918" s="73"/>
      <c r="I918" s="73"/>
      <c r="J918" s="73"/>
      <c r="K918" s="73"/>
    </row>
    <row r="919">
      <c r="C919" s="71"/>
      <c r="D919" s="71"/>
      <c r="E919" s="71"/>
      <c r="F919" s="73"/>
      <c r="G919" s="73"/>
      <c r="H919" s="73"/>
      <c r="I919" s="73"/>
      <c r="J919" s="73"/>
      <c r="K919" s="73"/>
    </row>
    <row r="920">
      <c r="C920" s="71"/>
      <c r="D920" s="71"/>
      <c r="E920" s="71"/>
      <c r="F920" s="73"/>
      <c r="G920" s="73"/>
      <c r="H920" s="73"/>
      <c r="I920" s="73"/>
      <c r="J920" s="73"/>
      <c r="K920" s="73"/>
    </row>
    <row r="921">
      <c r="C921" s="71"/>
      <c r="D921" s="71"/>
      <c r="E921" s="71"/>
      <c r="F921" s="73"/>
      <c r="G921" s="73"/>
      <c r="H921" s="73"/>
      <c r="I921" s="73"/>
      <c r="J921" s="73"/>
      <c r="K921" s="73"/>
    </row>
    <row r="922">
      <c r="C922" s="71"/>
      <c r="D922" s="71"/>
      <c r="E922" s="71"/>
      <c r="F922" s="73"/>
      <c r="G922" s="73"/>
      <c r="H922" s="73"/>
      <c r="I922" s="73"/>
      <c r="J922" s="73"/>
      <c r="K922" s="73"/>
    </row>
    <row r="923">
      <c r="C923" s="71"/>
      <c r="D923" s="71"/>
      <c r="E923" s="71"/>
      <c r="F923" s="73"/>
      <c r="G923" s="73"/>
      <c r="H923" s="73"/>
      <c r="I923" s="73"/>
      <c r="J923" s="73"/>
      <c r="K923" s="73"/>
    </row>
    <row r="924">
      <c r="C924" s="71"/>
      <c r="D924" s="71"/>
      <c r="E924" s="71"/>
      <c r="F924" s="73"/>
      <c r="G924" s="73"/>
      <c r="H924" s="73"/>
      <c r="I924" s="73"/>
      <c r="J924" s="73"/>
      <c r="K924" s="73"/>
    </row>
    <row r="925">
      <c r="C925" s="71"/>
      <c r="D925" s="71"/>
      <c r="E925" s="71"/>
      <c r="F925" s="73"/>
      <c r="G925" s="73"/>
      <c r="H925" s="73"/>
      <c r="I925" s="73"/>
      <c r="J925" s="73"/>
      <c r="K925" s="73"/>
    </row>
  </sheetData>
  <autoFilter ref="$A$1:$M$124"/>
  <dataValidations>
    <dataValidation type="list" allowBlank="1" showErrorMessage="1" sqref="I2:I124">
      <formula1>" CREDICOOP, PROVINCIA,BBVA,EFECTIVO,EFECTIVO B,MP,PREVISION,DEB AUT. BBVA,DEB. AUT. CRED."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43.71"/>
    <col customWidth="1" min="3" max="4" width="24.71"/>
    <col customWidth="1" min="5" max="5" width="15.71"/>
    <col customWidth="1" min="6" max="9" width="15.29"/>
    <col customWidth="1" min="10" max="10" width="17.71"/>
    <col customWidth="1" min="11" max="11" width="11.29"/>
    <col customWidth="1" min="12" max="12" width="23.71"/>
    <col customWidth="1" min="13" max="13" width="33.86"/>
  </cols>
  <sheetData>
    <row r="1">
      <c r="A1" s="1" t="s">
        <v>0</v>
      </c>
      <c r="B1" s="2" t="s">
        <v>1</v>
      </c>
      <c r="C1" s="1" t="s">
        <v>2</v>
      </c>
      <c r="D1" s="2" t="s">
        <v>12</v>
      </c>
      <c r="E1" s="2" t="s">
        <v>5</v>
      </c>
      <c r="F1" s="2" t="s">
        <v>6</v>
      </c>
      <c r="G1" s="1" t="s">
        <v>7</v>
      </c>
      <c r="H1" s="2" t="s">
        <v>8</v>
      </c>
      <c r="I1" s="2" t="s">
        <v>9</v>
      </c>
      <c r="J1" s="258" t="s">
        <v>262</v>
      </c>
      <c r="K1" s="258" t="s">
        <v>456</v>
      </c>
      <c r="L1" s="259" t="s">
        <v>12</v>
      </c>
      <c r="M1" s="259" t="s">
        <v>13</v>
      </c>
    </row>
    <row r="2">
      <c r="A2" s="117" t="s">
        <v>277</v>
      </c>
      <c r="B2" s="165" t="s">
        <v>34</v>
      </c>
      <c r="C2" s="166"/>
      <c r="D2" s="260" t="s">
        <v>457</v>
      </c>
      <c r="E2" s="261">
        <v>3460502.88</v>
      </c>
      <c r="F2" s="261">
        <v>726705.6</v>
      </c>
      <c r="G2" s="262"/>
      <c r="H2" s="167">
        <v>4187208.48</v>
      </c>
      <c r="I2" s="166"/>
      <c r="J2" s="263">
        <v>45632.0</v>
      </c>
      <c r="K2" s="264">
        <v>45632.0</v>
      </c>
      <c r="L2" s="265"/>
      <c r="M2" s="266" t="s">
        <v>411</v>
      </c>
    </row>
    <row r="3">
      <c r="A3" s="171" t="s">
        <v>277</v>
      </c>
      <c r="B3" s="172" t="s">
        <v>39</v>
      </c>
      <c r="C3" s="173"/>
      <c r="D3" s="267"/>
      <c r="E3" s="268">
        <v>278980.5</v>
      </c>
      <c r="F3" s="269"/>
      <c r="G3" s="269"/>
      <c r="H3" s="178">
        <v>278980.5</v>
      </c>
      <c r="I3" s="173"/>
      <c r="J3" s="270">
        <v>45639.0</v>
      </c>
      <c r="K3" s="271">
        <v>45639.0</v>
      </c>
      <c r="L3" s="272" t="s">
        <v>458</v>
      </c>
      <c r="M3" s="273"/>
    </row>
    <row r="4">
      <c r="A4" s="117" t="s">
        <v>277</v>
      </c>
      <c r="B4" s="165" t="s">
        <v>37</v>
      </c>
      <c r="C4" s="166"/>
      <c r="D4" s="260" t="s">
        <v>415</v>
      </c>
      <c r="E4" s="261">
        <v>370655.72</v>
      </c>
      <c r="F4" s="262"/>
      <c r="G4" s="262"/>
      <c r="H4" s="167">
        <v>370655.72</v>
      </c>
      <c r="I4" s="166"/>
      <c r="J4" s="263">
        <v>45638.0</v>
      </c>
      <c r="K4" s="264">
        <v>45636.0</v>
      </c>
      <c r="L4" s="265"/>
      <c r="M4" s="274"/>
    </row>
    <row r="5">
      <c r="A5" s="171" t="s">
        <v>277</v>
      </c>
      <c r="B5" s="172" t="s">
        <v>37</v>
      </c>
      <c r="C5" s="173"/>
      <c r="D5" s="275" t="s">
        <v>416</v>
      </c>
      <c r="E5" s="268">
        <v>178748.71</v>
      </c>
      <c r="F5" s="269"/>
      <c r="G5" s="269"/>
      <c r="H5" s="178">
        <v>178748.71</v>
      </c>
      <c r="I5" s="173"/>
      <c r="J5" s="270">
        <v>45636.0</v>
      </c>
      <c r="K5" s="271">
        <v>45632.0</v>
      </c>
      <c r="L5" s="276"/>
      <c r="M5" s="273"/>
    </row>
    <row r="6">
      <c r="A6" s="117" t="s">
        <v>277</v>
      </c>
      <c r="B6" s="165" t="s">
        <v>37</v>
      </c>
      <c r="C6" s="166"/>
      <c r="D6" s="260" t="s">
        <v>417</v>
      </c>
      <c r="E6" s="261">
        <v>13254.53</v>
      </c>
      <c r="F6" s="262"/>
      <c r="G6" s="262"/>
      <c r="H6" s="167">
        <v>13254.53</v>
      </c>
      <c r="I6" s="166"/>
      <c r="J6" s="263">
        <v>45636.0</v>
      </c>
      <c r="K6" s="271">
        <v>45632.0</v>
      </c>
      <c r="L6" s="277"/>
      <c r="M6" s="274"/>
    </row>
    <row r="7">
      <c r="A7" s="171" t="s">
        <v>277</v>
      </c>
      <c r="B7" s="172" t="s">
        <v>99</v>
      </c>
      <c r="C7" s="181"/>
      <c r="D7" s="267"/>
      <c r="E7" s="269"/>
      <c r="F7" s="269"/>
      <c r="G7" s="269"/>
      <c r="H7" s="178" t="s">
        <v>16</v>
      </c>
      <c r="I7" s="181"/>
      <c r="J7" s="278"/>
      <c r="K7" s="279"/>
      <c r="L7" s="276"/>
      <c r="M7" s="273"/>
    </row>
    <row r="8">
      <c r="A8" s="117" t="s">
        <v>277</v>
      </c>
      <c r="B8" s="165" t="s">
        <v>46</v>
      </c>
      <c r="C8" s="166"/>
      <c r="D8" s="280"/>
      <c r="E8" s="261">
        <v>405356.99</v>
      </c>
      <c r="F8" s="262"/>
      <c r="G8" s="262"/>
      <c r="H8" s="167">
        <v>405356.99</v>
      </c>
      <c r="I8" s="166"/>
      <c r="J8" s="263">
        <v>45639.0</v>
      </c>
      <c r="K8" s="264">
        <v>45639.0</v>
      </c>
      <c r="L8" s="265"/>
      <c r="M8" s="274"/>
    </row>
    <row r="9">
      <c r="A9" s="171" t="s">
        <v>277</v>
      </c>
      <c r="B9" s="172" t="s">
        <v>31</v>
      </c>
      <c r="C9" s="173"/>
      <c r="D9" s="275" t="s">
        <v>459</v>
      </c>
      <c r="E9" s="268">
        <v>57907.0</v>
      </c>
      <c r="F9" s="269"/>
      <c r="G9" s="269"/>
      <c r="H9" s="178">
        <v>57907.0</v>
      </c>
      <c r="I9" s="173"/>
      <c r="J9" s="270">
        <v>45646.0</v>
      </c>
      <c r="K9" s="271">
        <v>45646.0</v>
      </c>
      <c r="L9" s="281" t="s">
        <v>420</v>
      </c>
      <c r="M9" s="273"/>
    </row>
    <row r="10">
      <c r="A10" s="117" t="s">
        <v>277</v>
      </c>
      <c r="B10" s="165" t="s">
        <v>268</v>
      </c>
      <c r="C10" s="189"/>
      <c r="D10" s="280"/>
      <c r="E10" s="262"/>
      <c r="F10" s="262"/>
      <c r="G10" s="262"/>
      <c r="H10" s="167" t="s">
        <v>16</v>
      </c>
      <c r="I10" s="189"/>
      <c r="J10" s="282"/>
      <c r="K10" s="283"/>
      <c r="L10" s="265"/>
      <c r="M10" s="274"/>
    </row>
    <row r="11">
      <c r="A11" s="171" t="s">
        <v>277</v>
      </c>
      <c r="B11" s="172" t="s">
        <v>102</v>
      </c>
      <c r="C11" s="181"/>
      <c r="D11" s="267"/>
      <c r="E11" s="269"/>
      <c r="F11" s="269"/>
      <c r="G11" s="269"/>
      <c r="H11" s="178" t="s">
        <v>16</v>
      </c>
      <c r="I11" s="181"/>
      <c r="J11" s="278"/>
      <c r="K11" s="279"/>
      <c r="L11" s="276"/>
      <c r="M11" s="273"/>
    </row>
    <row r="12">
      <c r="A12" s="117" t="s">
        <v>277</v>
      </c>
      <c r="B12" s="165" t="s">
        <v>41</v>
      </c>
      <c r="C12" s="166"/>
      <c r="D12" s="260" t="s">
        <v>460</v>
      </c>
      <c r="E12" s="261">
        <v>25875.0</v>
      </c>
      <c r="F12" s="261">
        <v>5433.75</v>
      </c>
      <c r="G12" s="262"/>
      <c r="H12" s="167">
        <v>31308.75</v>
      </c>
      <c r="I12" s="189"/>
      <c r="J12" s="263">
        <v>45649.0</v>
      </c>
      <c r="K12" s="264">
        <v>45649.0</v>
      </c>
      <c r="L12" s="265"/>
      <c r="M12" s="274"/>
    </row>
    <row r="13">
      <c r="A13" s="171" t="s">
        <v>277</v>
      </c>
      <c r="B13" s="172" t="s">
        <v>50</v>
      </c>
      <c r="C13" s="173"/>
      <c r="D13" s="267"/>
      <c r="E13" s="268">
        <v>511203.14</v>
      </c>
      <c r="F13" s="269"/>
      <c r="G13" s="269"/>
      <c r="H13" s="178">
        <v>511203.14</v>
      </c>
      <c r="I13" s="173"/>
      <c r="J13" s="270">
        <v>45639.0</v>
      </c>
      <c r="K13" s="271">
        <v>45639.0</v>
      </c>
      <c r="L13" s="272" t="s">
        <v>458</v>
      </c>
      <c r="M13" s="273"/>
    </row>
    <row r="14">
      <c r="A14" s="117" t="s">
        <v>277</v>
      </c>
      <c r="B14" s="165" t="s">
        <v>43</v>
      </c>
      <c r="C14" s="166"/>
      <c r="D14" s="260" t="s">
        <v>461</v>
      </c>
      <c r="E14" s="262"/>
      <c r="F14" s="262"/>
      <c r="G14" s="262"/>
      <c r="H14" s="167" t="s">
        <v>16</v>
      </c>
      <c r="I14" s="166"/>
      <c r="J14" s="282"/>
      <c r="K14" s="283"/>
      <c r="L14" s="265"/>
      <c r="M14" s="284"/>
    </row>
    <row r="15">
      <c r="A15" s="171" t="s">
        <v>277</v>
      </c>
      <c r="B15" s="172" t="s">
        <v>269</v>
      </c>
      <c r="C15" s="173"/>
      <c r="D15" s="267"/>
      <c r="E15" s="269"/>
      <c r="F15" s="269"/>
      <c r="G15" s="269"/>
      <c r="H15" s="178" t="s">
        <v>16</v>
      </c>
      <c r="I15" s="181"/>
      <c r="J15" s="278"/>
      <c r="K15" s="279"/>
      <c r="L15" s="276"/>
      <c r="M15" s="273"/>
    </row>
    <row r="16">
      <c r="A16" s="15" t="s">
        <v>285</v>
      </c>
      <c r="B16" s="147" t="s">
        <v>34</v>
      </c>
      <c r="C16" s="148"/>
      <c r="D16" s="285"/>
      <c r="E16" s="286">
        <v>689700.0</v>
      </c>
      <c r="F16" s="287"/>
      <c r="G16" s="287"/>
      <c r="H16" s="149">
        <v>689700.0</v>
      </c>
      <c r="I16" s="150"/>
      <c r="J16" s="288">
        <v>45637.0</v>
      </c>
      <c r="K16" s="289">
        <v>45637.0</v>
      </c>
      <c r="L16" s="290"/>
      <c r="M16" s="291"/>
    </row>
    <row r="17">
      <c r="A17" s="94" t="s">
        <v>285</v>
      </c>
      <c r="B17" s="154" t="s">
        <v>39</v>
      </c>
      <c r="C17" s="93"/>
      <c r="D17" s="292"/>
      <c r="E17" s="293">
        <v>201405.53</v>
      </c>
      <c r="F17" s="294"/>
      <c r="G17" s="294"/>
      <c r="H17" s="157">
        <v>201405.53</v>
      </c>
      <c r="I17" s="97"/>
      <c r="J17" s="295">
        <v>45636.0</v>
      </c>
      <c r="K17" s="296">
        <v>45636.0</v>
      </c>
      <c r="L17" s="297" t="s">
        <v>462</v>
      </c>
      <c r="M17" s="298"/>
    </row>
    <row r="18">
      <c r="A18" s="15" t="s">
        <v>285</v>
      </c>
      <c r="B18" s="147" t="s">
        <v>37</v>
      </c>
      <c r="C18" s="148"/>
      <c r="D18" s="299" t="s">
        <v>426</v>
      </c>
      <c r="E18" s="286">
        <v>110886.51</v>
      </c>
      <c r="F18" s="287"/>
      <c r="G18" s="287"/>
      <c r="H18" s="162">
        <v>110886.51</v>
      </c>
      <c r="I18" s="150"/>
      <c r="J18" s="288">
        <v>45632.0</v>
      </c>
      <c r="K18" s="289">
        <v>45632.0</v>
      </c>
      <c r="L18" s="290"/>
      <c r="M18" s="291"/>
    </row>
    <row r="19">
      <c r="A19" s="94" t="s">
        <v>285</v>
      </c>
      <c r="B19" s="154" t="s">
        <v>37</v>
      </c>
      <c r="C19" s="93"/>
      <c r="D19" s="300" t="s">
        <v>427</v>
      </c>
      <c r="E19" s="293">
        <v>39023.48</v>
      </c>
      <c r="F19" s="294"/>
      <c r="G19" s="294"/>
      <c r="H19" s="157">
        <v>39023.48</v>
      </c>
      <c r="I19" s="97"/>
      <c r="J19" s="295">
        <v>45632.0</v>
      </c>
      <c r="K19" s="296">
        <v>45632.0</v>
      </c>
      <c r="L19" s="298"/>
      <c r="M19" s="298"/>
    </row>
    <row r="20">
      <c r="A20" s="94" t="s">
        <v>285</v>
      </c>
      <c r="B20" s="154" t="s">
        <v>99</v>
      </c>
      <c r="C20" s="148"/>
      <c r="D20" s="292"/>
      <c r="E20" s="294"/>
      <c r="F20" s="294"/>
      <c r="G20" s="294"/>
      <c r="H20" s="162" t="s">
        <v>16</v>
      </c>
      <c r="I20" s="150"/>
      <c r="J20" s="301"/>
      <c r="K20" s="302"/>
      <c r="L20" s="303"/>
      <c r="M20" s="298"/>
    </row>
    <row r="21">
      <c r="A21" s="15" t="s">
        <v>285</v>
      </c>
      <c r="B21" s="147" t="s">
        <v>46</v>
      </c>
      <c r="C21" s="93"/>
      <c r="D21" s="285"/>
      <c r="E21" s="287"/>
      <c r="F21" s="287"/>
      <c r="G21" s="287"/>
      <c r="H21" s="157" t="s">
        <v>16</v>
      </c>
      <c r="I21" s="97"/>
      <c r="J21" s="304"/>
      <c r="K21" s="305"/>
      <c r="L21" s="306"/>
      <c r="M21" s="291"/>
    </row>
    <row r="22">
      <c r="A22" s="94" t="s">
        <v>285</v>
      </c>
      <c r="B22" s="154" t="s">
        <v>31</v>
      </c>
      <c r="C22" s="148"/>
      <c r="D22" s="300" t="s">
        <v>459</v>
      </c>
      <c r="E22" s="293">
        <v>47407.0</v>
      </c>
      <c r="F22" s="294"/>
      <c r="G22" s="294"/>
      <c r="H22" s="162">
        <v>47407.0</v>
      </c>
      <c r="I22" s="150"/>
      <c r="J22" s="295">
        <v>45646.0</v>
      </c>
      <c r="K22" s="296">
        <v>45646.0</v>
      </c>
      <c r="L22" s="297" t="s">
        <v>420</v>
      </c>
      <c r="M22" s="298"/>
    </row>
    <row r="23">
      <c r="A23" s="15" t="s">
        <v>285</v>
      </c>
      <c r="B23" s="147" t="s">
        <v>268</v>
      </c>
      <c r="C23" s="93"/>
      <c r="D23" s="285"/>
      <c r="E23" s="287"/>
      <c r="F23" s="287"/>
      <c r="G23" s="287"/>
      <c r="H23" s="157" t="s">
        <v>16</v>
      </c>
      <c r="I23" s="97"/>
      <c r="J23" s="304"/>
      <c r="K23" s="305"/>
      <c r="L23" s="306"/>
      <c r="M23" s="291"/>
    </row>
    <row r="24">
      <c r="A24" s="94" t="s">
        <v>285</v>
      </c>
      <c r="B24" s="154" t="s">
        <v>102</v>
      </c>
      <c r="C24" s="148"/>
      <c r="D24" s="292"/>
      <c r="E24" s="294"/>
      <c r="F24" s="294"/>
      <c r="G24" s="294"/>
      <c r="H24" s="162" t="s">
        <v>16</v>
      </c>
      <c r="I24" s="150"/>
      <c r="J24" s="301"/>
      <c r="K24" s="302"/>
      <c r="L24" s="303"/>
      <c r="M24" s="298"/>
    </row>
    <row r="25">
      <c r="A25" s="15" t="s">
        <v>285</v>
      </c>
      <c r="B25" s="147" t="s">
        <v>41</v>
      </c>
      <c r="C25" s="93"/>
      <c r="D25" s="299" t="s">
        <v>460</v>
      </c>
      <c r="E25" s="286">
        <v>20790.0</v>
      </c>
      <c r="F25" s="286">
        <v>4365.9</v>
      </c>
      <c r="G25" s="287"/>
      <c r="H25" s="157">
        <v>25155.9</v>
      </c>
      <c r="I25" s="97"/>
      <c r="J25" s="288">
        <v>45649.0</v>
      </c>
      <c r="K25" s="289">
        <v>45649.0</v>
      </c>
      <c r="L25" s="306"/>
      <c r="M25" s="291"/>
    </row>
    <row r="26">
      <c r="A26" s="94" t="s">
        <v>285</v>
      </c>
      <c r="B26" s="154" t="s">
        <v>50</v>
      </c>
      <c r="C26" s="148"/>
      <c r="D26" s="292"/>
      <c r="E26" s="294"/>
      <c r="F26" s="294"/>
      <c r="G26" s="294"/>
      <c r="H26" s="162" t="s">
        <v>16</v>
      </c>
      <c r="I26" s="150"/>
      <c r="J26" s="301"/>
      <c r="K26" s="302"/>
      <c r="L26" s="303"/>
      <c r="M26" s="298"/>
    </row>
    <row r="27">
      <c r="A27" s="15" t="s">
        <v>285</v>
      </c>
      <c r="B27" s="147" t="s">
        <v>43</v>
      </c>
      <c r="C27" s="93"/>
      <c r="D27" s="299" t="s">
        <v>429</v>
      </c>
      <c r="E27" s="286">
        <v>105199.5</v>
      </c>
      <c r="F27" s="287"/>
      <c r="G27" s="287"/>
      <c r="H27" s="96">
        <v>105199.5</v>
      </c>
      <c r="I27" s="97"/>
      <c r="J27" s="288">
        <v>45630.0</v>
      </c>
      <c r="K27" s="289">
        <v>45630.0</v>
      </c>
      <c r="L27" s="307" t="s">
        <v>463</v>
      </c>
      <c r="M27" s="291"/>
    </row>
    <row r="28">
      <c r="A28" s="94" t="s">
        <v>285</v>
      </c>
      <c r="B28" s="154" t="s">
        <v>269</v>
      </c>
      <c r="C28" s="148"/>
      <c r="D28" s="292"/>
      <c r="E28" s="294"/>
      <c r="F28" s="294"/>
      <c r="G28" s="294"/>
      <c r="H28" s="162" t="s">
        <v>16</v>
      </c>
      <c r="I28" s="150"/>
      <c r="J28" s="301"/>
      <c r="K28" s="302"/>
      <c r="L28" s="303"/>
      <c r="M28" s="298"/>
    </row>
    <row r="29">
      <c r="A29" s="15" t="s">
        <v>295</v>
      </c>
      <c r="B29" s="147" t="s">
        <v>34</v>
      </c>
      <c r="C29" s="148"/>
      <c r="D29" s="299" t="s">
        <v>464</v>
      </c>
      <c r="E29" s="286">
        <v>1400000.0</v>
      </c>
      <c r="F29" s="286">
        <v>294000.0</v>
      </c>
      <c r="G29" s="286">
        <v>35968.26</v>
      </c>
      <c r="H29" s="149">
        <v>1729968.26</v>
      </c>
      <c r="I29" s="150"/>
      <c r="J29" s="288">
        <v>45636.0</v>
      </c>
      <c r="K29" s="289">
        <v>45636.0</v>
      </c>
      <c r="L29" s="308" t="s">
        <v>465</v>
      </c>
      <c r="M29" s="291"/>
    </row>
    <row r="30">
      <c r="A30" s="94" t="s">
        <v>295</v>
      </c>
      <c r="B30" s="154" t="s">
        <v>39</v>
      </c>
      <c r="C30" s="93"/>
      <c r="D30" s="292"/>
      <c r="E30" s="294"/>
      <c r="F30" s="294"/>
      <c r="G30" s="294"/>
      <c r="H30" s="157" t="s">
        <v>16</v>
      </c>
      <c r="I30" s="157"/>
      <c r="J30" s="301"/>
      <c r="K30" s="302"/>
      <c r="L30" s="298"/>
      <c r="M30" s="298"/>
    </row>
    <row r="31">
      <c r="A31" s="15" t="s">
        <v>295</v>
      </c>
      <c r="B31" s="147" t="s">
        <v>37</v>
      </c>
      <c r="C31" s="148"/>
      <c r="D31" s="299" t="s">
        <v>431</v>
      </c>
      <c r="E31" s="286">
        <v>107395.34</v>
      </c>
      <c r="F31" s="287"/>
      <c r="G31" s="287"/>
      <c r="H31" s="162">
        <v>107395.34</v>
      </c>
      <c r="I31" s="150"/>
      <c r="J31" s="288">
        <v>45642.0</v>
      </c>
      <c r="K31" s="289">
        <v>45636.0</v>
      </c>
      <c r="L31" s="290"/>
      <c r="M31" s="291"/>
    </row>
    <row r="32">
      <c r="A32" s="94" t="s">
        <v>295</v>
      </c>
      <c r="B32" s="154" t="s">
        <v>99</v>
      </c>
      <c r="C32" s="93"/>
      <c r="D32" s="292"/>
      <c r="E32" s="294"/>
      <c r="F32" s="294"/>
      <c r="G32" s="294"/>
      <c r="H32" s="157" t="s">
        <v>16</v>
      </c>
      <c r="I32" s="157"/>
      <c r="J32" s="301"/>
      <c r="K32" s="302"/>
      <c r="L32" s="298"/>
      <c r="M32" s="298"/>
    </row>
    <row r="33">
      <c r="A33" s="15" t="s">
        <v>295</v>
      </c>
      <c r="B33" s="147" t="s">
        <v>46</v>
      </c>
      <c r="C33" s="148"/>
      <c r="D33" s="285"/>
      <c r="E33" s="287"/>
      <c r="F33" s="287"/>
      <c r="G33" s="287"/>
      <c r="H33" s="162" t="s">
        <v>16</v>
      </c>
      <c r="I33" s="162"/>
      <c r="J33" s="304"/>
      <c r="K33" s="305"/>
      <c r="L33" s="308" t="s">
        <v>432</v>
      </c>
      <c r="M33" s="291"/>
    </row>
    <row r="34">
      <c r="A34" s="94" t="s">
        <v>295</v>
      </c>
      <c r="B34" s="154" t="s">
        <v>31</v>
      </c>
      <c r="C34" s="93"/>
      <c r="D34" s="300" t="s">
        <v>459</v>
      </c>
      <c r="E34" s="293">
        <v>47407.0</v>
      </c>
      <c r="F34" s="294"/>
      <c r="G34" s="294"/>
      <c r="H34" s="157">
        <v>47407.0</v>
      </c>
      <c r="I34" s="97"/>
      <c r="J34" s="295">
        <v>45646.0</v>
      </c>
      <c r="K34" s="296">
        <v>45646.0</v>
      </c>
      <c r="L34" s="309" t="s">
        <v>420</v>
      </c>
      <c r="M34" s="298"/>
    </row>
    <row r="35">
      <c r="A35" s="15" t="s">
        <v>295</v>
      </c>
      <c r="B35" s="147" t="s">
        <v>268</v>
      </c>
      <c r="C35" s="148"/>
      <c r="D35" s="299" t="s">
        <v>433</v>
      </c>
      <c r="E35" s="286" t="s">
        <v>466</v>
      </c>
      <c r="F35" s="287"/>
      <c r="G35" s="287"/>
      <c r="H35" s="162" t="s">
        <v>16</v>
      </c>
      <c r="I35" s="162"/>
      <c r="J35" s="304"/>
      <c r="K35" s="305"/>
      <c r="L35" s="290"/>
      <c r="M35" s="291"/>
    </row>
    <row r="36">
      <c r="A36" s="94" t="s">
        <v>295</v>
      </c>
      <c r="B36" s="154" t="s">
        <v>102</v>
      </c>
      <c r="C36" s="93"/>
      <c r="D36" s="292"/>
      <c r="E36" s="294"/>
      <c r="F36" s="294"/>
      <c r="G36" s="294"/>
      <c r="H36" s="157" t="s">
        <v>16</v>
      </c>
      <c r="I36" s="157"/>
      <c r="J36" s="301"/>
      <c r="K36" s="302"/>
      <c r="L36" s="298"/>
      <c r="M36" s="298"/>
    </row>
    <row r="37">
      <c r="A37" s="15" t="s">
        <v>295</v>
      </c>
      <c r="B37" s="147" t="s">
        <v>41</v>
      </c>
      <c r="C37" s="148"/>
      <c r="D37" s="299" t="s">
        <v>460</v>
      </c>
      <c r="E37" s="286">
        <v>20790.0</v>
      </c>
      <c r="F37" s="286">
        <v>4365.9</v>
      </c>
      <c r="G37" s="287"/>
      <c r="H37" s="162">
        <v>25155.9</v>
      </c>
      <c r="I37" s="150"/>
      <c r="J37" s="288">
        <v>45649.0</v>
      </c>
      <c r="K37" s="289">
        <v>45649.0</v>
      </c>
      <c r="L37" s="290"/>
      <c r="M37" s="291"/>
    </row>
    <row r="38">
      <c r="A38" s="94" t="s">
        <v>295</v>
      </c>
      <c r="B38" s="154" t="s">
        <v>50</v>
      </c>
      <c r="C38" s="93"/>
      <c r="D38" s="292"/>
      <c r="E38" s="294"/>
      <c r="F38" s="294"/>
      <c r="G38" s="294"/>
      <c r="H38" s="157" t="s">
        <v>16</v>
      </c>
      <c r="I38" s="157"/>
      <c r="J38" s="301"/>
      <c r="K38" s="302"/>
      <c r="L38" s="297" t="s">
        <v>434</v>
      </c>
      <c r="M38" s="298"/>
    </row>
    <row r="39">
      <c r="A39" s="15" t="s">
        <v>295</v>
      </c>
      <c r="B39" s="147" t="s">
        <v>43</v>
      </c>
      <c r="C39" s="148"/>
      <c r="D39" s="299" t="s">
        <v>467</v>
      </c>
      <c r="E39" s="286">
        <v>73024.0</v>
      </c>
      <c r="F39" s="286">
        <v>16443.17</v>
      </c>
      <c r="G39" s="286">
        <v>2190.72</v>
      </c>
      <c r="H39" s="162">
        <v>91657.89</v>
      </c>
      <c r="I39" s="150"/>
      <c r="J39" s="288">
        <v>45651.0</v>
      </c>
      <c r="K39" s="289">
        <v>45649.0</v>
      </c>
      <c r="L39" s="290"/>
      <c r="M39" s="291"/>
    </row>
    <row r="40">
      <c r="A40" s="94" t="s">
        <v>295</v>
      </c>
      <c r="B40" s="154" t="s">
        <v>269</v>
      </c>
      <c r="C40" s="93"/>
      <c r="D40" s="292"/>
      <c r="E40" s="294"/>
      <c r="F40" s="294"/>
      <c r="G40" s="294"/>
      <c r="H40" s="96" t="s">
        <v>16</v>
      </c>
      <c r="I40" s="157"/>
      <c r="J40" s="301"/>
      <c r="K40" s="302"/>
      <c r="L40" s="298"/>
      <c r="M40" s="298"/>
    </row>
    <row r="41">
      <c r="A41" s="117" t="s">
        <v>301</v>
      </c>
      <c r="B41" s="165" t="s">
        <v>34</v>
      </c>
      <c r="C41" s="166"/>
      <c r="D41" s="280"/>
      <c r="E41" s="261">
        <v>1623412.96</v>
      </c>
      <c r="F41" s="261">
        <v>340916.72</v>
      </c>
      <c r="G41" s="261">
        <v>81170.65</v>
      </c>
      <c r="H41" s="167">
        <v>2045500.3299999998</v>
      </c>
      <c r="I41" s="166"/>
      <c r="J41" s="263">
        <v>45637.0</v>
      </c>
      <c r="K41" s="264">
        <v>45637.0</v>
      </c>
      <c r="L41" s="265"/>
      <c r="M41" s="310" t="s">
        <v>468</v>
      </c>
    </row>
    <row r="42">
      <c r="A42" s="171" t="s">
        <v>301</v>
      </c>
      <c r="B42" s="172" t="s">
        <v>39</v>
      </c>
      <c r="C42" s="173"/>
      <c r="D42" s="275" t="s">
        <v>469</v>
      </c>
      <c r="E42" s="268">
        <v>1587498.83</v>
      </c>
      <c r="F42" s="268">
        <v>333374.75</v>
      </c>
      <c r="G42" s="268">
        <v>79374.94</v>
      </c>
      <c r="H42" s="178">
        <v>2000248.52</v>
      </c>
      <c r="I42" s="181"/>
      <c r="J42" s="270">
        <v>45637.0</v>
      </c>
      <c r="K42" s="271">
        <v>45637.0</v>
      </c>
      <c r="L42" s="276"/>
      <c r="M42" s="273"/>
    </row>
    <row r="43">
      <c r="A43" s="117" t="s">
        <v>301</v>
      </c>
      <c r="B43" s="165" t="s">
        <v>37</v>
      </c>
      <c r="C43" s="166"/>
      <c r="D43" s="260" t="s">
        <v>438</v>
      </c>
      <c r="E43" s="261">
        <v>91911.77</v>
      </c>
      <c r="F43" s="262"/>
      <c r="G43" s="262"/>
      <c r="H43" s="167">
        <v>91911.77</v>
      </c>
      <c r="I43" s="166"/>
      <c r="J43" s="270">
        <v>45632.0</v>
      </c>
      <c r="K43" s="264">
        <v>45632.0</v>
      </c>
      <c r="L43" s="265"/>
      <c r="M43" s="274"/>
    </row>
    <row r="44">
      <c r="A44" s="171" t="s">
        <v>301</v>
      </c>
      <c r="B44" s="172" t="s">
        <v>99</v>
      </c>
      <c r="C44" s="181"/>
      <c r="D44" s="267"/>
      <c r="E44" s="269"/>
      <c r="F44" s="269"/>
      <c r="G44" s="269"/>
      <c r="H44" s="178" t="s">
        <v>16</v>
      </c>
      <c r="I44" s="181"/>
      <c r="J44" s="278"/>
      <c r="K44" s="279"/>
      <c r="L44" s="276"/>
      <c r="M44" s="273"/>
    </row>
    <row r="45">
      <c r="A45" s="117" t="s">
        <v>301</v>
      </c>
      <c r="B45" s="165" t="s">
        <v>46</v>
      </c>
      <c r="C45" s="189"/>
      <c r="D45" s="280"/>
      <c r="E45" s="262"/>
      <c r="F45" s="262"/>
      <c r="G45" s="262"/>
      <c r="H45" s="167" t="s">
        <v>16</v>
      </c>
      <c r="I45" s="189"/>
      <c r="J45" s="282"/>
      <c r="K45" s="283"/>
      <c r="L45" s="265"/>
      <c r="M45" s="274"/>
    </row>
    <row r="46">
      <c r="A46" s="171" t="s">
        <v>301</v>
      </c>
      <c r="B46" s="172" t="s">
        <v>31</v>
      </c>
      <c r="C46" s="173"/>
      <c r="D46" s="275" t="s">
        <v>459</v>
      </c>
      <c r="E46" s="268">
        <v>47407.0</v>
      </c>
      <c r="F46" s="269"/>
      <c r="G46" s="269"/>
      <c r="H46" s="178">
        <v>47407.0</v>
      </c>
      <c r="I46" s="173"/>
      <c r="J46" s="270">
        <v>45646.0</v>
      </c>
      <c r="K46" s="271">
        <v>45646.0</v>
      </c>
      <c r="L46" s="281" t="s">
        <v>420</v>
      </c>
      <c r="M46" s="273"/>
    </row>
    <row r="47">
      <c r="A47" s="117" t="s">
        <v>301</v>
      </c>
      <c r="B47" s="165" t="s">
        <v>268</v>
      </c>
      <c r="C47" s="189"/>
      <c r="D47" s="280"/>
      <c r="E47" s="262"/>
      <c r="F47" s="262"/>
      <c r="G47" s="262"/>
      <c r="H47" s="167" t="s">
        <v>16</v>
      </c>
      <c r="I47" s="189"/>
      <c r="J47" s="282"/>
      <c r="K47" s="283"/>
      <c r="L47" s="265"/>
      <c r="M47" s="274"/>
    </row>
    <row r="48">
      <c r="A48" s="171" t="s">
        <v>301</v>
      </c>
      <c r="B48" s="172" t="s">
        <v>102</v>
      </c>
      <c r="C48" s="181"/>
      <c r="D48" s="267"/>
      <c r="E48" s="269"/>
      <c r="F48" s="269"/>
      <c r="G48" s="269"/>
      <c r="H48" s="178" t="s">
        <v>16</v>
      </c>
      <c r="I48" s="181"/>
      <c r="J48" s="278"/>
      <c r="K48" s="279"/>
      <c r="L48" s="276"/>
      <c r="M48" s="273"/>
    </row>
    <row r="49">
      <c r="A49" s="117" t="s">
        <v>301</v>
      </c>
      <c r="B49" s="165" t="s">
        <v>41</v>
      </c>
      <c r="C49" s="166"/>
      <c r="D49" s="260" t="s">
        <v>460</v>
      </c>
      <c r="E49" s="261">
        <v>20790.0</v>
      </c>
      <c r="F49" s="261">
        <v>4365.9</v>
      </c>
      <c r="G49" s="262"/>
      <c r="H49" s="167">
        <v>25155.9</v>
      </c>
      <c r="I49" s="166"/>
      <c r="J49" s="263">
        <v>45649.0</v>
      </c>
      <c r="K49" s="264">
        <v>45649.0</v>
      </c>
      <c r="L49" s="265"/>
      <c r="M49" s="274"/>
    </row>
    <row r="50">
      <c r="A50" s="171" t="s">
        <v>301</v>
      </c>
      <c r="B50" s="172" t="s">
        <v>50</v>
      </c>
      <c r="C50" s="181"/>
      <c r="D50" s="267"/>
      <c r="E50" s="269"/>
      <c r="F50" s="269"/>
      <c r="G50" s="269"/>
      <c r="H50" s="178" t="s">
        <v>16</v>
      </c>
      <c r="I50" s="181"/>
      <c r="J50" s="278"/>
      <c r="K50" s="279"/>
      <c r="L50" s="276"/>
      <c r="M50" s="273"/>
    </row>
    <row r="51">
      <c r="A51" s="117" t="s">
        <v>301</v>
      </c>
      <c r="B51" s="165" t="s">
        <v>43</v>
      </c>
      <c r="C51" s="166"/>
      <c r="D51" s="260" t="s">
        <v>440</v>
      </c>
      <c r="E51" s="261">
        <v>57954.0</v>
      </c>
      <c r="F51" s="262"/>
      <c r="G51" s="262"/>
      <c r="H51" s="167">
        <v>57954.0</v>
      </c>
      <c r="I51" s="166"/>
      <c r="J51" s="263">
        <v>45632.0</v>
      </c>
      <c r="K51" s="264">
        <v>45632.0</v>
      </c>
      <c r="L51" s="311" t="s">
        <v>470</v>
      </c>
      <c r="M51" s="274"/>
    </row>
    <row r="52">
      <c r="A52" s="171" t="s">
        <v>301</v>
      </c>
      <c r="B52" s="172" t="s">
        <v>269</v>
      </c>
      <c r="C52" s="173"/>
      <c r="D52" s="267"/>
      <c r="E52" s="269"/>
      <c r="F52" s="269"/>
      <c r="G52" s="269"/>
      <c r="H52" s="178" t="s">
        <v>16</v>
      </c>
      <c r="I52" s="181"/>
      <c r="J52" s="278"/>
      <c r="K52" s="279"/>
      <c r="L52" s="276"/>
      <c r="M52" s="273"/>
    </row>
    <row r="53">
      <c r="A53" s="15" t="s">
        <v>306</v>
      </c>
      <c r="B53" s="147" t="s">
        <v>34</v>
      </c>
      <c r="C53" s="148"/>
      <c r="D53" s="299" t="s">
        <v>471</v>
      </c>
      <c r="E53" s="286">
        <v>1339628.31</v>
      </c>
      <c r="F53" s="286">
        <v>281321.95</v>
      </c>
      <c r="G53" s="287"/>
      <c r="H53" s="149">
        <v>1620950.26</v>
      </c>
      <c r="I53" s="150"/>
      <c r="J53" s="288">
        <v>45637.0</v>
      </c>
      <c r="K53" s="289">
        <v>45637.0</v>
      </c>
      <c r="L53" s="290"/>
      <c r="M53" s="312"/>
    </row>
    <row r="54">
      <c r="A54" s="94" t="s">
        <v>306</v>
      </c>
      <c r="B54" s="154" t="s">
        <v>39</v>
      </c>
      <c r="C54" s="93"/>
      <c r="D54" s="292"/>
      <c r="E54" s="293">
        <v>607800.88</v>
      </c>
      <c r="F54" s="294"/>
      <c r="G54" s="294"/>
      <c r="H54" s="157">
        <v>607800.88</v>
      </c>
      <c r="I54" s="150"/>
      <c r="J54" s="295">
        <v>45636.0</v>
      </c>
      <c r="K54" s="296">
        <v>45636.0</v>
      </c>
      <c r="L54" s="313"/>
      <c r="M54" s="298"/>
    </row>
    <row r="55">
      <c r="A55" s="15" t="s">
        <v>306</v>
      </c>
      <c r="B55" s="147" t="s">
        <v>37</v>
      </c>
      <c r="C55" s="148"/>
      <c r="D55" s="299" t="s">
        <v>443</v>
      </c>
      <c r="E55" s="286">
        <v>28990.16</v>
      </c>
      <c r="F55" s="287"/>
      <c r="G55" s="287"/>
      <c r="H55" s="162">
        <v>28990.16</v>
      </c>
      <c r="I55" s="150"/>
      <c r="J55" s="288">
        <v>45632.0</v>
      </c>
      <c r="K55" s="289">
        <v>45632.0</v>
      </c>
      <c r="L55" s="314"/>
      <c r="M55" s="291"/>
    </row>
    <row r="56">
      <c r="A56" s="94" t="s">
        <v>306</v>
      </c>
      <c r="B56" s="154" t="s">
        <v>99</v>
      </c>
      <c r="C56" s="93"/>
      <c r="D56" s="292"/>
      <c r="E56" s="294"/>
      <c r="F56" s="294"/>
      <c r="G56" s="294"/>
      <c r="H56" s="157" t="s">
        <v>16</v>
      </c>
      <c r="I56" s="157"/>
      <c r="J56" s="301"/>
      <c r="K56" s="302"/>
      <c r="L56" s="298"/>
      <c r="M56" s="298"/>
    </row>
    <row r="57">
      <c r="A57" s="15" t="s">
        <v>306</v>
      </c>
      <c r="B57" s="147" t="s">
        <v>46</v>
      </c>
      <c r="C57" s="148"/>
      <c r="D57" s="285"/>
      <c r="E57" s="287"/>
      <c r="F57" s="287"/>
      <c r="G57" s="287"/>
      <c r="H57" s="162" t="s">
        <v>16</v>
      </c>
      <c r="I57" s="162"/>
      <c r="J57" s="304"/>
      <c r="K57" s="305"/>
      <c r="L57" s="290"/>
      <c r="M57" s="291"/>
    </row>
    <row r="58">
      <c r="A58" s="94" t="s">
        <v>306</v>
      </c>
      <c r="B58" s="154" t="s">
        <v>31</v>
      </c>
      <c r="C58" s="93"/>
      <c r="D58" s="300" t="s">
        <v>459</v>
      </c>
      <c r="E58" s="293">
        <v>57907.0</v>
      </c>
      <c r="F58" s="294"/>
      <c r="G58" s="294"/>
      <c r="H58" s="157">
        <v>57907.0</v>
      </c>
      <c r="I58" s="97"/>
      <c r="J58" s="295">
        <v>45646.0</v>
      </c>
      <c r="K58" s="296">
        <v>45646.0</v>
      </c>
      <c r="L58" s="309" t="s">
        <v>420</v>
      </c>
      <c r="M58" s="298"/>
    </row>
    <row r="59">
      <c r="A59" s="15" t="s">
        <v>306</v>
      </c>
      <c r="B59" s="147" t="s">
        <v>268</v>
      </c>
      <c r="C59" s="148"/>
      <c r="D59" s="299" t="s">
        <v>444</v>
      </c>
      <c r="E59" s="286" t="s">
        <v>466</v>
      </c>
      <c r="F59" s="287"/>
      <c r="G59" s="287"/>
      <c r="H59" s="162" t="s">
        <v>16</v>
      </c>
      <c r="I59" s="162"/>
      <c r="J59" s="304"/>
      <c r="K59" s="305"/>
      <c r="L59" s="290"/>
      <c r="M59" s="291"/>
    </row>
    <row r="60">
      <c r="A60" s="94" t="s">
        <v>306</v>
      </c>
      <c r="B60" s="154" t="s">
        <v>102</v>
      </c>
      <c r="C60" s="93"/>
      <c r="D60" s="292"/>
      <c r="E60" s="294"/>
      <c r="F60" s="294"/>
      <c r="G60" s="294"/>
      <c r="H60" s="157" t="s">
        <v>16</v>
      </c>
      <c r="I60" s="157"/>
      <c r="J60" s="301"/>
      <c r="K60" s="302"/>
      <c r="L60" s="298"/>
      <c r="M60" s="298"/>
    </row>
    <row r="61">
      <c r="A61" s="15" t="s">
        <v>306</v>
      </c>
      <c r="B61" s="147" t="s">
        <v>41</v>
      </c>
      <c r="C61" s="148"/>
      <c r="D61" s="299" t="s">
        <v>460</v>
      </c>
      <c r="E61" s="286">
        <v>20790.0</v>
      </c>
      <c r="F61" s="286">
        <v>4365.9</v>
      </c>
      <c r="G61" s="287"/>
      <c r="H61" s="162">
        <v>25155.9</v>
      </c>
      <c r="I61" s="150"/>
      <c r="J61" s="288">
        <v>45649.0</v>
      </c>
      <c r="K61" s="289">
        <v>45649.0</v>
      </c>
      <c r="L61" s="290"/>
      <c r="M61" s="291"/>
    </row>
    <row r="62">
      <c r="A62" s="94" t="s">
        <v>306</v>
      </c>
      <c r="B62" s="154" t="s">
        <v>50</v>
      </c>
      <c r="C62" s="93"/>
      <c r="D62" s="292"/>
      <c r="E62" s="294"/>
      <c r="F62" s="294"/>
      <c r="G62" s="294"/>
      <c r="H62" s="157" t="s">
        <v>16</v>
      </c>
      <c r="I62" s="157"/>
      <c r="J62" s="301"/>
      <c r="K62" s="302"/>
      <c r="L62" s="298"/>
      <c r="M62" s="298"/>
    </row>
    <row r="63">
      <c r="A63" s="15" t="s">
        <v>306</v>
      </c>
      <c r="B63" s="147" t="s">
        <v>43</v>
      </c>
      <c r="C63" s="148"/>
      <c r="D63" s="299" t="s">
        <v>472</v>
      </c>
      <c r="E63" s="286">
        <v>73024.0</v>
      </c>
      <c r="F63" s="286">
        <v>16443.17</v>
      </c>
      <c r="G63" s="286">
        <v>2190.72</v>
      </c>
      <c r="H63" s="162">
        <v>91657.89</v>
      </c>
      <c r="I63" s="150"/>
      <c r="J63" s="288">
        <v>45651.0</v>
      </c>
      <c r="K63" s="289">
        <v>45649.0</v>
      </c>
      <c r="L63" s="290"/>
      <c r="M63" s="291"/>
    </row>
    <row r="64">
      <c r="A64" s="94" t="s">
        <v>306</v>
      </c>
      <c r="B64" s="154" t="s">
        <v>269</v>
      </c>
      <c r="C64" s="93"/>
      <c r="D64" s="292"/>
      <c r="E64" s="294"/>
      <c r="F64" s="294"/>
      <c r="G64" s="294"/>
      <c r="H64" s="96" t="s">
        <v>16</v>
      </c>
      <c r="I64" s="157"/>
      <c r="J64" s="301"/>
      <c r="K64" s="302"/>
      <c r="L64" s="298"/>
      <c r="M64" s="298"/>
    </row>
    <row r="65">
      <c r="A65" s="117" t="s">
        <v>310</v>
      </c>
      <c r="B65" s="165" t="s">
        <v>34</v>
      </c>
      <c r="C65" s="166"/>
      <c r="D65" s="260" t="s">
        <v>473</v>
      </c>
      <c r="E65" s="261">
        <v>2856953.44</v>
      </c>
      <c r="F65" s="261">
        <v>599960.22</v>
      </c>
      <c r="G65" s="262"/>
      <c r="H65" s="167">
        <v>3456913.66</v>
      </c>
      <c r="I65" s="166"/>
      <c r="J65" s="263">
        <v>45637.0</v>
      </c>
      <c r="K65" s="264">
        <v>45637.0</v>
      </c>
      <c r="L65" s="265"/>
      <c r="M65" s="274"/>
    </row>
    <row r="66">
      <c r="A66" s="171" t="s">
        <v>310</v>
      </c>
      <c r="B66" s="172" t="s">
        <v>39</v>
      </c>
      <c r="C66" s="173"/>
      <c r="D66" s="267"/>
      <c r="E66" s="268">
        <v>303900.44</v>
      </c>
      <c r="F66" s="269"/>
      <c r="G66" s="269"/>
      <c r="H66" s="178">
        <v>303900.44</v>
      </c>
      <c r="I66" s="181"/>
      <c r="J66" s="270">
        <v>45636.0</v>
      </c>
      <c r="K66" s="271">
        <v>45636.0</v>
      </c>
      <c r="L66" s="276"/>
      <c r="M66" s="273"/>
    </row>
    <row r="67">
      <c r="A67" s="117" t="s">
        <v>310</v>
      </c>
      <c r="B67" s="165" t="s">
        <v>37</v>
      </c>
      <c r="C67" s="166"/>
      <c r="D67" s="260" t="s">
        <v>447</v>
      </c>
      <c r="E67" s="261">
        <v>55921.42</v>
      </c>
      <c r="F67" s="262"/>
      <c r="G67" s="262"/>
      <c r="H67" s="167">
        <v>55921.42</v>
      </c>
      <c r="I67" s="166"/>
      <c r="J67" s="263">
        <v>45632.0</v>
      </c>
      <c r="K67" s="264">
        <v>45632.0</v>
      </c>
      <c r="L67" s="315"/>
      <c r="M67" s="274"/>
    </row>
    <row r="68">
      <c r="A68" s="171" t="s">
        <v>310</v>
      </c>
      <c r="B68" s="172" t="s">
        <v>99</v>
      </c>
      <c r="C68" s="181"/>
      <c r="D68" s="267"/>
      <c r="E68" s="269"/>
      <c r="F68" s="269"/>
      <c r="G68" s="269"/>
      <c r="H68" s="178" t="s">
        <v>16</v>
      </c>
      <c r="I68" s="181"/>
      <c r="J68" s="278"/>
      <c r="K68" s="279"/>
      <c r="L68" s="276"/>
      <c r="M68" s="273"/>
    </row>
    <row r="69">
      <c r="A69" s="117" t="s">
        <v>310</v>
      </c>
      <c r="B69" s="165" t="s">
        <v>46</v>
      </c>
      <c r="C69" s="189"/>
      <c r="D69" s="280"/>
      <c r="E69" s="262"/>
      <c r="F69" s="262"/>
      <c r="G69" s="262"/>
      <c r="H69" s="167" t="s">
        <v>16</v>
      </c>
      <c r="I69" s="189"/>
      <c r="J69" s="282"/>
      <c r="K69" s="283"/>
      <c r="L69" s="265"/>
      <c r="M69" s="274"/>
    </row>
    <row r="70">
      <c r="A70" s="171" t="s">
        <v>310</v>
      </c>
      <c r="B70" s="172" t="s">
        <v>31</v>
      </c>
      <c r="C70" s="173"/>
      <c r="D70" s="275" t="s">
        <v>459</v>
      </c>
      <c r="E70" s="268">
        <v>47407.0</v>
      </c>
      <c r="F70" s="269"/>
      <c r="G70" s="269"/>
      <c r="H70" s="178">
        <v>47407.0</v>
      </c>
      <c r="I70" s="173"/>
      <c r="J70" s="270">
        <v>45646.0</v>
      </c>
      <c r="K70" s="271">
        <v>45646.0</v>
      </c>
      <c r="L70" s="281" t="s">
        <v>420</v>
      </c>
      <c r="M70" s="273"/>
    </row>
    <row r="71">
      <c r="A71" s="117" t="s">
        <v>310</v>
      </c>
      <c r="B71" s="165" t="s">
        <v>268</v>
      </c>
      <c r="C71" s="189"/>
      <c r="D71" s="280"/>
      <c r="E71" s="262"/>
      <c r="F71" s="262"/>
      <c r="G71" s="262"/>
      <c r="H71" s="167" t="s">
        <v>16</v>
      </c>
      <c r="I71" s="189"/>
      <c r="J71" s="282"/>
      <c r="K71" s="283"/>
      <c r="L71" s="265"/>
      <c r="M71" s="274"/>
    </row>
    <row r="72">
      <c r="A72" s="171" t="s">
        <v>310</v>
      </c>
      <c r="B72" s="172" t="s">
        <v>102</v>
      </c>
      <c r="C72" s="181"/>
      <c r="D72" s="267"/>
      <c r="E72" s="269"/>
      <c r="F72" s="269"/>
      <c r="G72" s="269"/>
      <c r="H72" s="178" t="s">
        <v>16</v>
      </c>
      <c r="I72" s="181"/>
      <c r="J72" s="278"/>
      <c r="K72" s="279"/>
      <c r="L72" s="276"/>
      <c r="M72" s="273"/>
    </row>
    <row r="73">
      <c r="A73" s="117" t="s">
        <v>310</v>
      </c>
      <c r="B73" s="165" t="s">
        <v>41</v>
      </c>
      <c r="C73" s="166"/>
      <c r="D73" s="260" t="s">
        <v>460</v>
      </c>
      <c r="E73" s="261">
        <v>20790.0</v>
      </c>
      <c r="F73" s="261">
        <v>4365.9</v>
      </c>
      <c r="G73" s="262"/>
      <c r="H73" s="167">
        <v>25155.9</v>
      </c>
      <c r="I73" s="166"/>
      <c r="J73" s="263">
        <v>45649.0</v>
      </c>
      <c r="K73" s="264">
        <v>45649.0</v>
      </c>
      <c r="L73" s="265"/>
      <c r="M73" s="274"/>
    </row>
    <row r="74">
      <c r="A74" s="171" t="s">
        <v>310</v>
      </c>
      <c r="B74" s="172" t="s">
        <v>50</v>
      </c>
      <c r="C74" s="181"/>
      <c r="D74" s="267"/>
      <c r="E74" s="269"/>
      <c r="F74" s="269"/>
      <c r="G74" s="269"/>
      <c r="H74" s="178" t="s">
        <v>16</v>
      </c>
      <c r="I74" s="181"/>
      <c r="J74" s="278"/>
      <c r="K74" s="279"/>
      <c r="L74" s="276"/>
      <c r="M74" s="273"/>
    </row>
    <row r="75">
      <c r="A75" s="117" t="s">
        <v>310</v>
      </c>
      <c r="B75" s="165" t="s">
        <v>43</v>
      </c>
      <c r="C75" s="166"/>
      <c r="D75" s="299" t="s">
        <v>448</v>
      </c>
      <c r="E75" s="262"/>
      <c r="F75" s="262"/>
      <c r="G75" s="262"/>
      <c r="H75" s="167" t="s">
        <v>16</v>
      </c>
      <c r="I75" s="189"/>
      <c r="J75" s="282"/>
      <c r="K75" s="283"/>
      <c r="L75" s="265"/>
      <c r="M75" s="274"/>
    </row>
    <row r="76">
      <c r="A76" s="171" t="s">
        <v>310</v>
      </c>
      <c r="B76" s="172" t="s">
        <v>269</v>
      </c>
      <c r="C76" s="173"/>
      <c r="D76" s="267"/>
      <c r="E76" s="269"/>
      <c r="F76" s="269"/>
      <c r="G76" s="269"/>
      <c r="H76" s="178" t="s">
        <v>16</v>
      </c>
      <c r="I76" s="181"/>
      <c r="J76" s="278"/>
      <c r="K76" s="279"/>
      <c r="L76" s="276"/>
      <c r="M76" s="273"/>
    </row>
    <row r="77">
      <c r="A77" s="15" t="s">
        <v>313</v>
      </c>
      <c r="B77" s="147" t="s">
        <v>34</v>
      </c>
      <c r="C77" s="148"/>
      <c r="D77" s="299" t="s">
        <v>474</v>
      </c>
      <c r="E77" s="286">
        <v>979061.9</v>
      </c>
      <c r="F77" s="286">
        <v>205603.0</v>
      </c>
      <c r="G77" s="287"/>
      <c r="H77" s="149">
        <v>1184664.9</v>
      </c>
      <c r="I77" s="150"/>
      <c r="J77" s="288">
        <v>45637.0</v>
      </c>
      <c r="K77" s="289">
        <v>45637.0</v>
      </c>
      <c r="L77" s="290"/>
      <c r="M77" s="291"/>
    </row>
    <row r="78">
      <c r="A78" s="94" t="s">
        <v>313</v>
      </c>
      <c r="B78" s="154" t="s">
        <v>39</v>
      </c>
      <c r="C78" s="93"/>
      <c r="D78" s="292"/>
      <c r="E78" s="293">
        <v>303900.44</v>
      </c>
      <c r="F78" s="294"/>
      <c r="G78" s="294"/>
      <c r="H78" s="157">
        <v>303900.44</v>
      </c>
      <c r="I78" s="157"/>
      <c r="J78" s="295">
        <v>45636.0</v>
      </c>
      <c r="K78" s="296">
        <v>45636.0</v>
      </c>
      <c r="L78" s="298"/>
      <c r="M78" s="298"/>
    </row>
    <row r="79">
      <c r="A79" s="15" t="s">
        <v>313</v>
      </c>
      <c r="B79" s="147" t="s">
        <v>37</v>
      </c>
      <c r="C79" s="148"/>
      <c r="D79" s="299" t="s">
        <v>450</v>
      </c>
      <c r="E79" s="286">
        <v>54524.68</v>
      </c>
      <c r="F79" s="287"/>
      <c r="G79" s="287"/>
      <c r="H79" s="162">
        <v>54524.68</v>
      </c>
      <c r="I79" s="150"/>
      <c r="J79" s="288">
        <v>45632.0</v>
      </c>
      <c r="K79" s="289">
        <v>45632.0</v>
      </c>
      <c r="L79" s="290"/>
      <c r="M79" s="291"/>
    </row>
    <row r="80">
      <c r="A80" s="94" t="s">
        <v>313</v>
      </c>
      <c r="B80" s="154" t="s">
        <v>99</v>
      </c>
      <c r="C80" s="93"/>
      <c r="D80" s="292"/>
      <c r="E80" s="294"/>
      <c r="F80" s="294"/>
      <c r="G80" s="294"/>
      <c r="H80" s="157" t="s">
        <v>16</v>
      </c>
      <c r="I80" s="157"/>
      <c r="J80" s="301"/>
      <c r="K80" s="302"/>
      <c r="L80" s="298"/>
      <c r="M80" s="298"/>
    </row>
    <row r="81">
      <c r="A81" s="15" t="s">
        <v>313</v>
      </c>
      <c r="B81" s="147" t="s">
        <v>46</v>
      </c>
      <c r="C81" s="148"/>
      <c r="D81" s="285"/>
      <c r="E81" s="287"/>
      <c r="F81" s="287"/>
      <c r="G81" s="287"/>
      <c r="H81" s="162" t="s">
        <v>16</v>
      </c>
      <c r="I81" s="162"/>
      <c r="J81" s="304"/>
      <c r="K81" s="305"/>
      <c r="L81" s="290"/>
      <c r="M81" s="291"/>
    </row>
    <row r="82">
      <c r="A82" s="94" t="s">
        <v>313</v>
      </c>
      <c r="B82" s="154" t="s">
        <v>31</v>
      </c>
      <c r="C82" s="93"/>
      <c r="D82" s="292"/>
      <c r="E82" s="294"/>
      <c r="F82" s="294"/>
      <c r="G82" s="294"/>
      <c r="H82" s="157" t="s">
        <v>16</v>
      </c>
      <c r="I82" s="157"/>
      <c r="J82" s="301"/>
      <c r="K82" s="302"/>
      <c r="L82" s="298"/>
      <c r="M82" s="298"/>
    </row>
    <row r="83">
      <c r="A83" s="15" t="s">
        <v>313</v>
      </c>
      <c r="B83" s="147" t="s">
        <v>268</v>
      </c>
      <c r="C83" s="148"/>
      <c r="D83" s="285"/>
      <c r="E83" s="287"/>
      <c r="F83" s="287"/>
      <c r="G83" s="287"/>
      <c r="H83" s="162" t="s">
        <v>16</v>
      </c>
      <c r="I83" s="162"/>
      <c r="J83" s="304"/>
      <c r="K83" s="305"/>
      <c r="L83" s="290"/>
      <c r="M83" s="291"/>
    </row>
    <row r="84">
      <c r="A84" s="94" t="s">
        <v>313</v>
      </c>
      <c r="B84" s="154" t="s">
        <v>102</v>
      </c>
      <c r="C84" s="93"/>
      <c r="D84" s="292"/>
      <c r="E84" s="294"/>
      <c r="F84" s="294"/>
      <c r="G84" s="294"/>
      <c r="H84" s="157" t="s">
        <v>16</v>
      </c>
      <c r="I84" s="157"/>
      <c r="J84" s="301"/>
      <c r="K84" s="302"/>
      <c r="L84" s="298"/>
      <c r="M84" s="298"/>
    </row>
    <row r="85">
      <c r="A85" s="15" t="s">
        <v>313</v>
      </c>
      <c r="B85" s="147" t="s">
        <v>41</v>
      </c>
      <c r="C85" s="148"/>
      <c r="D85" s="299" t="s">
        <v>460</v>
      </c>
      <c r="E85" s="286">
        <v>20790.0</v>
      </c>
      <c r="F85" s="286">
        <v>4365.9</v>
      </c>
      <c r="G85" s="287"/>
      <c r="H85" s="162">
        <v>25155.9</v>
      </c>
      <c r="I85" s="150"/>
      <c r="J85" s="288">
        <v>45649.0</v>
      </c>
      <c r="K85" s="289">
        <v>45649.0</v>
      </c>
      <c r="L85" s="290"/>
      <c r="M85" s="291"/>
    </row>
    <row r="86">
      <c r="A86" s="94" t="s">
        <v>313</v>
      </c>
      <c r="B86" s="154" t="s">
        <v>50</v>
      </c>
      <c r="C86" s="93"/>
      <c r="D86" s="292"/>
      <c r="E86" s="294"/>
      <c r="F86" s="294"/>
      <c r="G86" s="294"/>
      <c r="H86" s="157" t="s">
        <v>16</v>
      </c>
      <c r="I86" s="157"/>
      <c r="J86" s="301"/>
      <c r="K86" s="302"/>
      <c r="L86" s="303"/>
      <c r="M86" s="298"/>
    </row>
    <row r="87">
      <c r="A87" s="15" t="s">
        <v>313</v>
      </c>
      <c r="B87" s="147" t="s">
        <v>43</v>
      </c>
      <c r="C87" s="194"/>
      <c r="D87" s="285"/>
      <c r="E87" s="287"/>
      <c r="F87" s="287"/>
      <c r="G87" s="287"/>
      <c r="H87" s="162" t="s">
        <v>16</v>
      </c>
      <c r="I87" s="162"/>
      <c r="J87" s="304"/>
      <c r="K87" s="305"/>
      <c r="L87" s="290"/>
      <c r="M87" s="291"/>
    </row>
    <row r="88">
      <c r="A88" s="94" t="s">
        <v>313</v>
      </c>
      <c r="B88" s="154" t="s">
        <v>269</v>
      </c>
      <c r="C88" s="93"/>
      <c r="D88" s="292"/>
      <c r="E88" s="294"/>
      <c r="F88" s="294"/>
      <c r="G88" s="294"/>
      <c r="H88" s="96" t="s">
        <v>16</v>
      </c>
      <c r="I88" s="157"/>
      <c r="J88" s="301"/>
      <c r="K88" s="302"/>
      <c r="L88" s="298"/>
      <c r="M88" s="298"/>
    </row>
    <row r="89">
      <c r="A89" s="117" t="s">
        <v>328</v>
      </c>
      <c r="B89" s="165" t="s">
        <v>34</v>
      </c>
      <c r="C89" s="166"/>
      <c r="D89" s="280"/>
      <c r="E89" s="261">
        <v>542441.91</v>
      </c>
      <c r="F89" s="262"/>
      <c r="G89" s="262"/>
      <c r="H89" s="167">
        <v>542441.91</v>
      </c>
      <c r="I89" s="166"/>
      <c r="J89" s="263">
        <v>45637.0</v>
      </c>
      <c r="K89" s="264">
        <v>45637.0</v>
      </c>
      <c r="L89" s="265"/>
      <c r="M89" s="316"/>
    </row>
    <row r="90">
      <c r="A90" s="171" t="s">
        <v>328</v>
      </c>
      <c r="B90" s="172" t="s">
        <v>39</v>
      </c>
      <c r="C90" s="173"/>
      <c r="D90" s="267"/>
      <c r="E90" s="268">
        <v>303900.44</v>
      </c>
      <c r="F90" s="269"/>
      <c r="G90" s="269"/>
      <c r="H90" s="178">
        <v>303900.44</v>
      </c>
      <c r="I90" s="181"/>
      <c r="J90" s="270">
        <v>45636.0</v>
      </c>
      <c r="K90" s="271">
        <v>45636.0</v>
      </c>
      <c r="L90" s="276"/>
      <c r="M90" s="273"/>
    </row>
    <row r="91">
      <c r="A91" s="117" t="s">
        <v>328</v>
      </c>
      <c r="B91" s="165" t="s">
        <v>37</v>
      </c>
      <c r="C91" s="166"/>
      <c r="D91" s="260" t="s">
        <v>452</v>
      </c>
      <c r="E91" s="261">
        <v>22804.28</v>
      </c>
      <c r="F91" s="262"/>
      <c r="G91" s="262"/>
      <c r="H91" s="167">
        <v>22804.28</v>
      </c>
      <c r="I91" s="166"/>
      <c r="J91" s="270">
        <v>45632.0</v>
      </c>
      <c r="K91" s="264">
        <v>45632.0</v>
      </c>
      <c r="L91" s="265"/>
      <c r="M91" s="274"/>
    </row>
    <row r="92">
      <c r="A92" s="171" t="s">
        <v>328</v>
      </c>
      <c r="B92" s="172" t="s">
        <v>99</v>
      </c>
      <c r="C92" s="181"/>
      <c r="D92" s="267"/>
      <c r="E92" s="269"/>
      <c r="F92" s="269"/>
      <c r="G92" s="269"/>
      <c r="H92" s="178" t="s">
        <v>16</v>
      </c>
      <c r="I92" s="181"/>
      <c r="J92" s="278"/>
      <c r="K92" s="279"/>
      <c r="L92" s="276"/>
      <c r="M92" s="273"/>
    </row>
    <row r="93">
      <c r="A93" s="117" t="s">
        <v>328</v>
      </c>
      <c r="B93" s="165" t="s">
        <v>46</v>
      </c>
      <c r="C93" s="189"/>
      <c r="D93" s="280"/>
      <c r="E93" s="262"/>
      <c r="F93" s="262"/>
      <c r="G93" s="262"/>
      <c r="H93" s="167" t="s">
        <v>16</v>
      </c>
      <c r="I93" s="189"/>
      <c r="J93" s="282"/>
      <c r="K93" s="283"/>
      <c r="L93" s="265"/>
      <c r="M93" s="274"/>
    </row>
    <row r="94">
      <c r="A94" s="171" t="s">
        <v>328</v>
      </c>
      <c r="B94" s="172" t="s">
        <v>31</v>
      </c>
      <c r="C94" s="173"/>
      <c r="D94" s="275" t="s">
        <v>459</v>
      </c>
      <c r="E94" s="268">
        <v>47407.0</v>
      </c>
      <c r="F94" s="269"/>
      <c r="G94" s="269"/>
      <c r="H94" s="178">
        <v>47407.0</v>
      </c>
      <c r="I94" s="173"/>
      <c r="J94" s="270">
        <v>45646.0</v>
      </c>
      <c r="K94" s="271">
        <v>45646.0</v>
      </c>
      <c r="L94" s="281" t="s">
        <v>420</v>
      </c>
      <c r="M94" s="273"/>
    </row>
    <row r="95">
      <c r="A95" s="117" t="s">
        <v>328</v>
      </c>
      <c r="B95" s="165" t="s">
        <v>268</v>
      </c>
      <c r="C95" s="189"/>
      <c r="D95" s="280"/>
      <c r="E95" s="262"/>
      <c r="F95" s="262"/>
      <c r="G95" s="262"/>
      <c r="H95" s="167" t="s">
        <v>16</v>
      </c>
      <c r="I95" s="189"/>
      <c r="J95" s="282"/>
      <c r="K95" s="283"/>
      <c r="L95" s="265"/>
      <c r="M95" s="274"/>
    </row>
    <row r="96">
      <c r="A96" s="171" t="s">
        <v>328</v>
      </c>
      <c r="B96" s="172" t="s">
        <v>102</v>
      </c>
      <c r="C96" s="181"/>
      <c r="D96" s="267"/>
      <c r="E96" s="269"/>
      <c r="F96" s="269"/>
      <c r="G96" s="269"/>
      <c r="H96" s="178" t="s">
        <v>16</v>
      </c>
      <c r="I96" s="181"/>
      <c r="J96" s="278"/>
      <c r="K96" s="279"/>
      <c r="L96" s="276"/>
      <c r="M96" s="273"/>
    </row>
    <row r="97">
      <c r="A97" s="117" t="s">
        <v>328</v>
      </c>
      <c r="B97" s="165" t="s">
        <v>41</v>
      </c>
      <c r="C97" s="166"/>
      <c r="D97" s="260" t="s">
        <v>460</v>
      </c>
      <c r="E97" s="261">
        <v>20790.0</v>
      </c>
      <c r="F97" s="261">
        <v>4365.9</v>
      </c>
      <c r="G97" s="262"/>
      <c r="H97" s="167">
        <v>25155.9</v>
      </c>
      <c r="I97" s="166"/>
      <c r="J97" s="263">
        <v>45649.0</v>
      </c>
      <c r="K97" s="264">
        <v>45649.0</v>
      </c>
      <c r="L97" s="265"/>
      <c r="M97" s="274"/>
    </row>
    <row r="98">
      <c r="A98" s="171" t="s">
        <v>328</v>
      </c>
      <c r="B98" s="172" t="s">
        <v>50</v>
      </c>
      <c r="C98" s="181"/>
      <c r="D98" s="267"/>
      <c r="E98" s="269"/>
      <c r="F98" s="269"/>
      <c r="G98" s="269"/>
      <c r="H98" s="178" t="s">
        <v>16</v>
      </c>
      <c r="I98" s="181"/>
      <c r="J98" s="278"/>
      <c r="K98" s="279"/>
      <c r="L98" s="276"/>
      <c r="M98" s="273"/>
    </row>
    <row r="99">
      <c r="A99" s="117" t="s">
        <v>328</v>
      </c>
      <c r="B99" s="165" t="s">
        <v>43</v>
      </c>
      <c r="C99" s="189"/>
      <c r="D99" s="280"/>
      <c r="E99" s="262"/>
      <c r="F99" s="262"/>
      <c r="G99" s="262"/>
      <c r="H99" s="167" t="s">
        <v>16</v>
      </c>
      <c r="I99" s="189"/>
      <c r="J99" s="282"/>
      <c r="K99" s="283"/>
      <c r="L99" s="265"/>
      <c r="M99" s="274"/>
    </row>
    <row r="100">
      <c r="A100" s="171" t="s">
        <v>328</v>
      </c>
      <c r="B100" s="172" t="s">
        <v>269</v>
      </c>
      <c r="C100" s="196"/>
      <c r="D100" s="317" t="s">
        <v>453</v>
      </c>
      <c r="E100" s="269"/>
      <c r="F100" s="269"/>
      <c r="G100" s="269"/>
      <c r="H100" s="178" t="s">
        <v>16</v>
      </c>
      <c r="I100" s="181"/>
      <c r="J100" s="278"/>
      <c r="K100" s="279"/>
      <c r="L100" s="276"/>
      <c r="M100" s="273"/>
    </row>
    <row r="101">
      <c r="A101" s="15" t="s">
        <v>329</v>
      </c>
      <c r="B101" s="147" t="s">
        <v>34</v>
      </c>
      <c r="C101" s="148"/>
      <c r="D101" s="299" t="s">
        <v>475</v>
      </c>
      <c r="E101" s="286">
        <v>490000.0</v>
      </c>
      <c r="F101" s="286">
        <v>102900.0</v>
      </c>
      <c r="G101" s="287"/>
      <c r="H101" s="149">
        <v>592900.0</v>
      </c>
      <c r="I101" s="162"/>
      <c r="J101" s="288">
        <v>45636.0</v>
      </c>
      <c r="K101" s="289">
        <v>45636.0</v>
      </c>
      <c r="L101" s="290"/>
      <c r="M101" s="291"/>
    </row>
    <row r="102">
      <c r="A102" s="94" t="s">
        <v>329</v>
      </c>
      <c r="B102" s="154" t="s">
        <v>39</v>
      </c>
      <c r="C102" s="93"/>
      <c r="D102" s="300" t="s">
        <v>475</v>
      </c>
      <c r="E102" s="294"/>
      <c r="F102" s="293">
        <v>264135.34</v>
      </c>
      <c r="G102" s="294"/>
      <c r="H102" s="157">
        <v>264135.34</v>
      </c>
      <c r="I102" s="157"/>
      <c r="J102" s="295">
        <v>45636.0</v>
      </c>
      <c r="K102" s="296">
        <v>45636.0</v>
      </c>
      <c r="L102" s="298"/>
      <c r="M102" s="298"/>
    </row>
    <row r="103">
      <c r="A103" s="15" t="s">
        <v>329</v>
      </c>
      <c r="B103" s="147" t="s">
        <v>37</v>
      </c>
      <c r="C103" s="148"/>
      <c r="D103" s="285"/>
      <c r="E103" s="287"/>
      <c r="F103" s="287"/>
      <c r="G103" s="287"/>
      <c r="H103" s="162" t="s">
        <v>16</v>
      </c>
      <c r="I103" s="162"/>
      <c r="J103" s="304"/>
      <c r="K103" s="305"/>
      <c r="L103" s="290"/>
      <c r="M103" s="291"/>
    </row>
    <row r="104">
      <c r="A104" s="94" t="s">
        <v>329</v>
      </c>
      <c r="B104" s="154" t="s">
        <v>99</v>
      </c>
      <c r="C104" s="93"/>
      <c r="D104" s="292"/>
      <c r="E104" s="294"/>
      <c r="F104" s="294"/>
      <c r="G104" s="294"/>
      <c r="H104" s="157" t="s">
        <v>16</v>
      </c>
      <c r="I104" s="157"/>
      <c r="J104" s="301"/>
      <c r="K104" s="302"/>
      <c r="L104" s="298"/>
      <c r="M104" s="298"/>
    </row>
    <row r="105">
      <c r="A105" s="15" t="s">
        <v>329</v>
      </c>
      <c r="B105" s="147" t="s">
        <v>46</v>
      </c>
      <c r="C105" s="148"/>
      <c r="D105" s="285"/>
      <c r="E105" s="287"/>
      <c r="F105" s="287"/>
      <c r="G105" s="287"/>
      <c r="H105" s="162" t="s">
        <v>16</v>
      </c>
      <c r="I105" s="162"/>
      <c r="J105" s="304"/>
      <c r="K105" s="305"/>
      <c r="L105" s="290"/>
      <c r="M105" s="291"/>
    </row>
    <row r="106">
      <c r="A106" s="94" t="s">
        <v>329</v>
      </c>
      <c r="B106" s="154" t="s">
        <v>31</v>
      </c>
      <c r="C106" s="93"/>
      <c r="D106" s="292"/>
      <c r="E106" s="294"/>
      <c r="F106" s="294"/>
      <c r="G106" s="294"/>
      <c r="H106" s="157" t="s">
        <v>16</v>
      </c>
      <c r="I106" s="157"/>
      <c r="J106" s="301"/>
      <c r="K106" s="302"/>
      <c r="L106" s="298"/>
      <c r="M106" s="298"/>
    </row>
    <row r="107">
      <c r="A107" s="15" t="s">
        <v>329</v>
      </c>
      <c r="B107" s="147" t="s">
        <v>268</v>
      </c>
      <c r="C107" s="148"/>
      <c r="D107" s="285"/>
      <c r="E107" s="287"/>
      <c r="F107" s="287"/>
      <c r="G107" s="287"/>
      <c r="H107" s="162" t="s">
        <v>16</v>
      </c>
      <c r="I107" s="162"/>
      <c r="J107" s="304"/>
      <c r="K107" s="305"/>
      <c r="L107" s="290"/>
      <c r="M107" s="291"/>
    </row>
    <row r="108">
      <c r="A108" s="94" t="s">
        <v>329</v>
      </c>
      <c r="B108" s="154" t="s">
        <v>102</v>
      </c>
      <c r="C108" s="93"/>
      <c r="D108" s="292"/>
      <c r="E108" s="294"/>
      <c r="F108" s="294"/>
      <c r="G108" s="294"/>
      <c r="H108" s="157" t="s">
        <v>16</v>
      </c>
      <c r="I108" s="157"/>
      <c r="J108" s="301"/>
      <c r="K108" s="302"/>
      <c r="L108" s="298"/>
      <c r="M108" s="298"/>
    </row>
    <row r="109">
      <c r="A109" s="15" t="s">
        <v>329</v>
      </c>
      <c r="B109" s="147" t="s">
        <v>41</v>
      </c>
      <c r="C109" s="148"/>
      <c r="D109" s="285"/>
      <c r="E109" s="287"/>
      <c r="F109" s="286" t="s">
        <v>466</v>
      </c>
      <c r="G109" s="287"/>
      <c r="H109" s="162" t="s">
        <v>16</v>
      </c>
      <c r="I109" s="162"/>
      <c r="J109" s="304"/>
      <c r="K109" s="305"/>
      <c r="L109" s="290"/>
      <c r="M109" s="291"/>
    </row>
    <row r="110">
      <c r="A110" s="94" t="s">
        <v>329</v>
      </c>
      <c r="B110" s="154" t="s">
        <v>50</v>
      </c>
      <c r="C110" s="93"/>
      <c r="D110" s="292"/>
      <c r="E110" s="318"/>
      <c r="F110" s="318"/>
      <c r="G110" s="318"/>
      <c r="H110" s="157" t="s">
        <v>16</v>
      </c>
      <c r="I110" s="157"/>
      <c r="J110" s="301"/>
      <c r="K110" s="302"/>
      <c r="L110" s="298"/>
      <c r="M110" s="298"/>
    </row>
    <row r="111">
      <c r="A111" s="15" t="s">
        <v>329</v>
      </c>
      <c r="B111" s="147" t="s">
        <v>43</v>
      </c>
      <c r="C111" s="148"/>
      <c r="D111" s="285"/>
      <c r="E111" s="287"/>
      <c r="F111" s="287"/>
      <c r="G111" s="287"/>
      <c r="H111" s="162" t="s">
        <v>16</v>
      </c>
      <c r="I111" s="150"/>
      <c r="J111" s="304"/>
      <c r="K111" s="305"/>
      <c r="L111" s="290"/>
      <c r="M111" s="291"/>
    </row>
    <row r="112">
      <c r="A112" s="94" t="s">
        <v>329</v>
      </c>
      <c r="B112" s="154" t="s">
        <v>269</v>
      </c>
      <c r="C112" s="93"/>
      <c r="D112" s="292"/>
      <c r="E112" s="294"/>
      <c r="F112" s="294"/>
      <c r="G112" s="294"/>
      <c r="H112" s="96" t="s">
        <v>16</v>
      </c>
      <c r="I112" s="157"/>
      <c r="J112" s="301"/>
      <c r="K112" s="302"/>
      <c r="L112" s="298"/>
      <c r="M112" s="298"/>
    </row>
    <row r="113">
      <c r="A113" s="117" t="s">
        <v>334</v>
      </c>
      <c r="B113" s="165" t="s">
        <v>34</v>
      </c>
      <c r="C113" s="166"/>
      <c r="D113" s="260" t="s">
        <v>476</v>
      </c>
      <c r="E113" s="261">
        <v>350000.0</v>
      </c>
      <c r="F113" s="261">
        <v>77254.49</v>
      </c>
      <c r="G113" s="262"/>
      <c r="H113" s="167">
        <v>427254.49</v>
      </c>
      <c r="I113" s="166"/>
      <c r="J113" s="263">
        <v>45636.0</v>
      </c>
      <c r="K113" s="264">
        <v>45636.0</v>
      </c>
      <c r="L113" s="265"/>
      <c r="M113" s="316"/>
    </row>
    <row r="114">
      <c r="A114" s="171" t="s">
        <v>334</v>
      </c>
      <c r="B114" s="172" t="s">
        <v>39</v>
      </c>
      <c r="C114" s="173"/>
      <c r="D114" s="275" t="s">
        <v>476</v>
      </c>
      <c r="E114" s="269"/>
      <c r="F114" s="268">
        <v>40410.95</v>
      </c>
      <c r="G114" s="269"/>
      <c r="H114" s="178">
        <v>40410.95</v>
      </c>
      <c r="I114" s="181"/>
      <c r="J114" s="270">
        <v>45636.0</v>
      </c>
      <c r="K114" s="271">
        <v>45636.0</v>
      </c>
      <c r="L114" s="276"/>
      <c r="M114" s="273"/>
    </row>
    <row r="115">
      <c r="A115" s="117" t="s">
        <v>334</v>
      </c>
      <c r="B115" s="165" t="s">
        <v>37</v>
      </c>
      <c r="C115" s="166"/>
      <c r="D115" s="260" t="s">
        <v>476</v>
      </c>
      <c r="E115" s="262"/>
      <c r="F115" s="261">
        <v>17878.53</v>
      </c>
      <c r="G115" s="262"/>
      <c r="H115" s="167">
        <v>17878.53</v>
      </c>
      <c r="I115" s="166"/>
      <c r="J115" s="263">
        <v>45636.0</v>
      </c>
      <c r="K115" s="264">
        <v>45636.0</v>
      </c>
      <c r="L115" s="265"/>
      <c r="M115" s="274"/>
    </row>
    <row r="116">
      <c r="A116" s="171" t="s">
        <v>334</v>
      </c>
      <c r="B116" s="172" t="s">
        <v>99</v>
      </c>
      <c r="C116" s="181"/>
      <c r="D116" s="267"/>
      <c r="E116" s="269"/>
      <c r="F116" s="269"/>
      <c r="G116" s="269"/>
      <c r="H116" s="178" t="s">
        <v>16</v>
      </c>
      <c r="I116" s="181"/>
      <c r="J116" s="278"/>
      <c r="K116" s="279"/>
      <c r="L116" s="276"/>
      <c r="M116" s="273"/>
    </row>
    <row r="117">
      <c r="A117" s="117" t="s">
        <v>334</v>
      </c>
      <c r="B117" s="165" t="s">
        <v>46</v>
      </c>
      <c r="C117" s="189"/>
      <c r="D117" s="280"/>
      <c r="E117" s="262"/>
      <c r="F117" s="262"/>
      <c r="G117" s="262"/>
      <c r="H117" s="167" t="s">
        <v>16</v>
      </c>
      <c r="I117" s="189"/>
      <c r="J117" s="282"/>
      <c r="K117" s="283"/>
      <c r="L117" s="265"/>
      <c r="M117" s="274"/>
    </row>
    <row r="118">
      <c r="A118" s="171" t="s">
        <v>334</v>
      </c>
      <c r="B118" s="172" t="s">
        <v>31</v>
      </c>
      <c r="C118" s="181"/>
      <c r="D118" s="267"/>
      <c r="E118" s="269"/>
      <c r="F118" s="269"/>
      <c r="G118" s="269"/>
      <c r="H118" s="178" t="s">
        <v>16</v>
      </c>
      <c r="I118" s="181"/>
      <c r="J118" s="278"/>
      <c r="K118" s="279"/>
      <c r="L118" s="276"/>
      <c r="M118" s="273"/>
    </row>
    <row r="119">
      <c r="A119" s="117" t="s">
        <v>334</v>
      </c>
      <c r="B119" s="165" t="s">
        <v>268</v>
      </c>
      <c r="C119" s="189"/>
      <c r="D119" s="280"/>
      <c r="E119" s="262"/>
      <c r="F119" s="262"/>
      <c r="G119" s="262"/>
      <c r="H119" s="167" t="s">
        <v>16</v>
      </c>
      <c r="I119" s="189"/>
      <c r="J119" s="282"/>
      <c r="K119" s="283"/>
      <c r="L119" s="265"/>
      <c r="M119" s="274"/>
    </row>
    <row r="120">
      <c r="A120" s="171" t="s">
        <v>334</v>
      </c>
      <c r="B120" s="172" t="s">
        <v>102</v>
      </c>
      <c r="C120" s="181"/>
      <c r="D120" s="267"/>
      <c r="E120" s="269"/>
      <c r="F120" s="269"/>
      <c r="G120" s="269"/>
      <c r="H120" s="178" t="s">
        <v>16</v>
      </c>
      <c r="I120" s="181"/>
      <c r="J120" s="278"/>
      <c r="K120" s="279"/>
      <c r="L120" s="276"/>
      <c r="M120" s="273"/>
    </row>
    <row r="121">
      <c r="A121" s="117" t="s">
        <v>334</v>
      </c>
      <c r="B121" s="165" t="s">
        <v>41</v>
      </c>
      <c r="C121" s="166"/>
      <c r="D121" s="280"/>
      <c r="E121" s="262"/>
      <c r="F121" s="261" t="s">
        <v>466</v>
      </c>
      <c r="G121" s="262"/>
      <c r="H121" s="167" t="s">
        <v>16</v>
      </c>
      <c r="I121" s="189"/>
      <c r="J121" s="282"/>
      <c r="K121" s="283"/>
      <c r="L121" s="265"/>
      <c r="M121" s="274"/>
    </row>
    <row r="122">
      <c r="A122" s="171" t="s">
        <v>334</v>
      </c>
      <c r="B122" s="172" t="s">
        <v>50</v>
      </c>
      <c r="C122" s="181"/>
      <c r="D122" s="267"/>
      <c r="E122" s="269"/>
      <c r="F122" s="269"/>
      <c r="G122" s="269"/>
      <c r="H122" s="178" t="s">
        <v>16</v>
      </c>
      <c r="I122" s="181"/>
      <c r="J122" s="278"/>
      <c r="K122" s="279"/>
      <c r="L122" s="276"/>
      <c r="M122" s="273"/>
    </row>
    <row r="123">
      <c r="A123" s="117" t="s">
        <v>334</v>
      </c>
      <c r="B123" s="165" t="s">
        <v>43</v>
      </c>
      <c r="C123" s="189"/>
      <c r="D123" s="280"/>
      <c r="E123" s="262"/>
      <c r="F123" s="262"/>
      <c r="G123" s="262"/>
      <c r="H123" s="167" t="s">
        <v>16</v>
      </c>
      <c r="I123" s="189"/>
      <c r="J123" s="282"/>
      <c r="K123" s="283"/>
      <c r="L123" s="265"/>
      <c r="M123" s="274"/>
    </row>
    <row r="124">
      <c r="A124" s="171" t="s">
        <v>334</v>
      </c>
      <c r="B124" s="172" t="s">
        <v>269</v>
      </c>
      <c r="C124" s="196"/>
      <c r="D124" s="319"/>
      <c r="E124" s="269"/>
      <c r="F124" s="269"/>
      <c r="G124" s="269"/>
      <c r="H124" s="178" t="s">
        <v>16</v>
      </c>
      <c r="I124" s="181"/>
      <c r="J124" s="278"/>
      <c r="K124" s="279"/>
      <c r="L124" s="276"/>
      <c r="M124" s="273"/>
    </row>
    <row r="125">
      <c r="C125" s="71"/>
      <c r="D125" s="71"/>
      <c r="E125" s="71"/>
      <c r="F125" s="73"/>
      <c r="G125" s="73"/>
      <c r="H125" s="73"/>
      <c r="I125" s="73"/>
      <c r="J125" s="73"/>
      <c r="K125" s="73"/>
    </row>
    <row r="126">
      <c r="C126" s="71"/>
      <c r="D126" s="71"/>
      <c r="E126" s="71"/>
      <c r="F126" s="73"/>
      <c r="G126" s="73"/>
      <c r="H126" s="73"/>
      <c r="I126" s="73"/>
      <c r="J126" s="73"/>
      <c r="K126" s="73"/>
    </row>
    <row r="127">
      <c r="C127" s="71"/>
      <c r="D127" s="71"/>
      <c r="E127" s="71"/>
      <c r="F127" s="73"/>
      <c r="G127" s="73"/>
      <c r="H127" s="73"/>
      <c r="I127" s="73"/>
      <c r="J127" s="73"/>
      <c r="K127" s="73"/>
    </row>
    <row r="128">
      <c r="C128" s="71"/>
      <c r="D128" s="71"/>
      <c r="E128" s="71"/>
      <c r="F128" s="73"/>
      <c r="G128" s="73"/>
      <c r="H128" s="73"/>
      <c r="I128" s="73"/>
      <c r="J128" s="73"/>
      <c r="K128" s="73"/>
    </row>
    <row r="129">
      <c r="C129" s="71"/>
      <c r="D129" s="71"/>
      <c r="E129" s="71"/>
      <c r="F129" s="73"/>
      <c r="G129" s="73"/>
      <c r="H129" s="73"/>
      <c r="I129" s="73"/>
      <c r="J129" s="73"/>
      <c r="K129" s="73"/>
    </row>
    <row r="130">
      <c r="C130" s="71"/>
      <c r="D130" s="71"/>
      <c r="E130" s="71"/>
      <c r="F130" s="73"/>
      <c r="G130" s="73"/>
      <c r="H130" s="73"/>
      <c r="I130" s="73"/>
      <c r="J130" s="73"/>
      <c r="K130" s="73"/>
    </row>
    <row r="131">
      <c r="C131" s="71"/>
      <c r="D131" s="71"/>
      <c r="E131" s="71"/>
      <c r="F131" s="73"/>
      <c r="G131" s="73"/>
      <c r="H131" s="73"/>
      <c r="I131" s="73"/>
      <c r="J131" s="73"/>
      <c r="K131" s="73"/>
    </row>
    <row r="132">
      <c r="C132" s="71"/>
      <c r="D132" s="71"/>
      <c r="E132" s="71"/>
      <c r="F132" s="73"/>
      <c r="G132" s="73"/>
      <c r="H132" s="73"/>
      <c r="I132" s="73"/>
      <c r="J132" s="73"/>
      <c r="K132" s="73"/>
    </row>
    <row r="133">
      <c r="C133" s="71"/>
      <c r="D133" s="71"/>
      <c r="E133" s="71"/>
      <c r="F133" s="73"/>
      <c r="G133" s="73"/>
      <c r="H133" s="73"/>
      <c r="I133" s="73"/>
      <c r="J133" s="73"/>
      <c r="K133" s="73"/>
    </row>
    <row r="134">
      <c r="C134" s="71"/>
      <c r="D134" s="71"/>
      <c r="E134" s="71"/>
      <c r="F134" s="73"/>
      <c r="G134" s="73"/>
      <c r="H134" s="73"/>
      <c r="I134" s="73"/>
      <c r="J134" s="73"/>
      <c r="K134" s="73"/>
    </row>
    <row r="135">
      <c r="C135" s="71"/>
      <c r="D135" s="71"/>
      <c r="E135" s="71"/>
      <c r="F135" s="73"/>
      <c r="G135" s="73"/>
      <c r="H135" s="73"/>
      <c r="I135" s="73"/>
      <c r="J135" s="73"/>
      <c r="K135" s="73"/>
    </row>
    <row r="136">
      <c r="C136" s="71"/>
      <c r="D136" s="71"/>
      <c r="E136" s="71"/>
      <c r="F136" s="73"/>
      <c r="G136" s="73"/>
      <c r="H136" s="73"/>
      <c r="I136" s="73"/>
      <c r="J136" s="73"/>
      <c r="K136" s="73"/>
    </row>
    <row r="137">
      <c r="C137" s="71"/>
      <c r="D137" s="71"/>
      <c r="E137" s="71"/>
      <c r="F137" s="73"/>
      <c r="G137" s="73"/>
      <c r="H137" s="73"/>
      <c r="I137" s="73"/>
      <c r="J137" s="73"/>
      <c r="K137" s="73"/>
    </row>
    <row r="138">
      <c r="C138" s="71"/>
      <c r="D138" s="71"/>
      <c r="E138" s="71"/>
      <c r="F138" s="73"/>
      <c r="G138" s="73"/>
      <c r="H138" s="73"/>
      <c r="I138" s="73"/>
      <c r="J138" s="73"/>
      <c r="K138" s="73"/>
    </row>
    <row r="139">
      <c r="C139" s="71"/>
      <c r="D139" s="71"/>
      <c r="E139" s="71"/>
      <c r="F139" s="73"/>
      <c r="G139" s="73"/>
      <c r="H139" s="73"/>
      <c r="I139" s="73"/>
      <c r="J139" s="73"/>
      <c r="K139" s="73"/>
    </row>
    <row r="140">
      <c r="C140" s="71"/>
      <c r="D140" s="71"/>
      <c r="E140" s="71"/>
      <c r="F140" s="73"/>
      <c r="G140" s="73"/>
      <c r="H140" s="73"/>
      <c r="I140" s="73"/>
      <c r="J140" s="73"/>
      <c r="K140" s="73"/>
    </row>
    <row r="141">
      <c r="C141" s="71"/>
      <c r="D141" s="71"/>
      <c r="E141" s="71"/>
      <c r="F141" s="73"/>
      <c r="G141" s="73"/>
      <c r="H141" s="73"/>
      <c r="I141" s="73"/>
      <c r="J141" s="73"/>
      <c r="K141" s="73"/>
    </row>
    <row r="142">
      <c r="C142" s="71"/>
      <c r="D142" s="71"/>
      <c r="E142" s="71"/>
      <c r="F142" s="73"/>
      <c r="G142" s="73"/>
      <c r="H142" s="73"/>
      <c r="I142" s="73"/>
      <c r="J142" s="73"/>
      <c r="K142" s="73"/>
    </row>
    <row r="143">
      <c r="C143" s="71"/>
      <c r="D143" s="71"/>
      <c r="E143" s="71"/>
      <c r="F143" s="73"/>
      <c r="G143" s="73"/>
      <c r="H143" s="73"/>
      <c r="I143" s="73"/>
      <c r="J143" s="73"/>
      <c r="K143" s="73"/>
    </row>
    <row r="144">
      <c r="C144" s="71"/>
      <c r="D144" s="71"/>
      <c r="E144" s="71"/>
      <c r="F144" s="73"/>
      <c r="G144" s="73"/>
      <c r="H144" s="73"/>
      <c r="I144" s="73"/>
      <c r="J144" s="73"/>
      <c r="K144" s="73"/>
    </row>
    <row r="145">
      <c r="C145" s="71"/>
      <c r="D145" s="71"/>
      <c r="E145" s="71"/>
      <c r="F145" s="73"/>
      <c r="G145" s="73"/>
      <c r="H145" s="73"/>
      <c r="I145" s="73"/>
      <c r="J145" s="73"/>
      <c r="K145" s="73"/>
    </row>
    <row r="146">
      <c r="C146" s="71"/>
      <c r="D146" s="71"/>
      <c r="E146" s="71"/>
      <c r="F146" s="73"/>
      <c r="G146" s="73"/>
      <c r="H146" s="73"/>
      <c r="I146" s="73"/>
      <c r="J146" s="73"/>
      <c r="K146" s="73"/>
    </row>
    <row r="147">
      <c r="C147" s="71"/>
      <c r="D147" s="71"/>
      <c r="E147" s="71"/>
      <c r="F147" s="73"/>
      <c r="G147" s="73"/>
      <c r="H147" s="73"/>
      <c r="I147" s="73"/>
      <c r="J147" s="73"/>
      <c r="K147" s="73"/>
    </row>
    <row r="148">
      <c r="C148" s="71"/>
      <c r="D148" s="71"/>
      <c r="E148" s="71"/>
      <c r="F148" s="73"/>
      <c r="G148" s="73"/>
      <c r="H148" s="73"/>
      <c r="I148" s="73"/>
      <c r="J148" s="73"/>
      <c r="K148" s="73"/>
    </row>
    <row r="149">
      <c r="C149" s="71"/>
      <c r="D149" s="71"/>
      <c r="E149" s="71"/>
      <c r="F149" s="73"/>
      <c r="G149" s="73"/>
      <c r="H149" s="73"/>
      <c r="I149" s="73"/>
      <c r="J149" s="73"/>
      <c r="K149" s="73"/>
    </row>
    <row r="150">
      <c r="C150" s="71"/>
      <c r="D150" s="71"/>
      <c r="E150" s="71"/>
      <c r="F150" s="73"/>
      <c r="G150" s="73"/>
      <c r="H150" s="73"/>
      <c r="I150" s="73"/>
      <c r="J150" s="73"/>
      <c r="K150" s="73"/>
    </row>
    <row r="151">
      <c r="C151" s="71"/>
      <c r="D151" s="71"/>
      <c r="E151" s="71"/>
      <c r="F151" s="73"/>
      <c r="G151" s="73"/>
      <c r="H151" s="73"/>
      <c r="I151" s="73"/>
      <c r="J151" s="73"/>
      <c r="K151" s="73"/>
    </row>
    <row r="152">
      <c r="C152" s="71"/>
      <c r="D152" s="71"/>
      <c r="E152" s="71"/>
      <c r="F152" s="73"/>
      <c r="G152" s="73"/>
      <c r="H152" s="73"/>
      <c r="I152" s="73"/>
      <c r="J152" s="73"/>
      <c r="K152" s="73"/>
    </row>
    <row r="153">
      <c r="C153" s="71"/>
      <c r="D153" s="71"/>
      <c r="E153" s="71"/>
      <c r="F153" s="73"/>
      <c r="G153" s="73"/>
      <c r="H153" s="73"/>
      <c r="I153" s="73"/>
      <c r="J153" s="73"/>
      <c r="K153" s="73"/>
    </row>
    <row r="154">
      <c r="C154" s="71"/>
      <c r="D154" s="71"/>
      <c r="E154" s="71"/>
      <c r="F154" s="73"/>
      <c r="G154" s="73"/>
      <c r="H154" s="73"/>
      <c r="I154" s="73"/>
      <c r="J154" s="73"/>
      <c r="K154" s="73"/>
    </row>
    <row r="155">
      <c r="C155" s="71"/>
      <c r="D155" s="71"/>
      <c r="E155" s="71"/>
      <c r="F155" s="73"/>
      <c r="G155" s="73"/>
      <c r="H155" s="73"/>
      <c r="I155" s="73"/>
      <c r="J155" s="73"/>
      <c r="K155" s="73"/>
    </row>
    <row r="156">
      <c r="C156" s="71"/>
      <c r="D156" s="71"/>
      <c r="E156" s="71"/>
      <c r="F156" s="73"/>
      <c r="G156" s="73"/>
      <c r="H156" s="73"/>
      <c r="I156" s="73"/>
      <c r="J156" s="73"/>
      <c r="K156" s="73"/>
    </row>
    <row r="157">
      <c r="C157" s="71"/>
      <c r="D157" s="71"/>
      <c r="E157" s="71"/>
      <c r="F157" s="73"/>
      <c r="G157" s="73"/>
      <c r="H157" s="73"/>
      <c r="I157" s="73"/>
      <c r="J157" s="73"/>
      <c r="K157" s="73"/>
    </row>
    <row r="158">
      <c r="C158" s="71"/>
      <c r="D158" s="71"/>
      <c r="E158" s="71"/>
      <c r="F158" s="73"/>
      <c r="G158" s="73"/>
      <c r="H158" s="73"/>
      <c r="I158" s="73"/>
      <c r="J158" s="73"/>
      <c r="K158" s="73"/>
    </row>
    <row r="159">
      <c r="C159" s="71"/>
      <c r="D159" s="71"/>
      <c r="E159" s="71"/>
      <c r="F159" s="73"/>
      <c r="G159" s="73"/>
      <c r="H159" s="73"/>
      <c r="I159" s="73"/>
      <c r="J159" s="73"/>
      <c r="K159" s="73"/>
    </row>
    <row r="160">
      <c r="C160" s="71"/>
      <c r="D160" s="71"/>
      <c r="E160" s="71"/>
      <c r="F160" s="73"/>
      <c r="G160" s="73"/>
      <c r="H160" s="73"/>
      <c r="I160" s="73"/>
      <c r="J160" s="73"/>
      <c r="K160" s="73"/>
    </row>
    <row r="161">
      <c r="C161" s="71"/>
      <c r="D161" s="71"/>
      <c r="E161" s="71"/>
      <c r="F161" s="73"/>
      <c r="G161" s="73"/>
      <c r="H161" s="73"/>
      <c r="I161" s="73"/>
      <c r="J161" s="73"/>
      <c r="K161" s="73"/>
    </row>
    <row r="162">
      <c r="C162" s="71"/>
      <c r="D162" s="71"/>
      <c r="E162" s="71"/>
      <c r="F162" s="73"/>
      <c r="G162" s="73"/>
      <c r="H162" s="73"/>
      <c r="I162" s="73"/>
      <c r="J162" s="73"/>
      <c r="K162" s="73"/>
    </row>
    <row r="163">
      <c r="C163" s="71"/>
      <c r="D163" s="71"/>
      <c r="E163" s="71"/>
      <c r="F163" s="73"/>
      <c r="G163" s="73"/>
      <c r="H163" s="73"/>
      <c r="I163" s="73"/>
      <c r="J163" s="73"/>
      <c r="K163" s="73"/>
    </row>
    <row r="164">
      <c r="C164" s="71"/>
      <c r="D164" s="71"/>
      <c r="E164" s="71"/>
      <c r="F164" s="73"/>
      <c r="G164" s="73"/>
      <c r="H164" s="73"/>
      <c r="I164" s="73"/>
      <c r="J164" s="73"/>
      <c r="K164" s="73"/>
    </row>
    <row r="165">
      <c r="C165" s="71"/>
      <c r="D165" s="71"/>
      <c r="E165" s="71"/>
      <c r="F165" s="73"/>
      <c r="G165" s="73"/>
      <c r="H165" s="73"/>
      <c r="I165" s="73"/>
      <c r="J165" s="73"/>
      <c r="K165" s="73"/>
    </row>
    <row r="166">
      <c r="C166" s="71"/>
      <c r="D166" s="71"/>
      <c r="E166" s="71"/>
      <c r="F166" s="73"/>
      <c r="G166" s="73"/>
      <c r="H166" s="73"/>
      <c r="I166" s="73"/>
      <c r="J166" s="73"/>
      <c r="K166" s="73"/>
    </row>
    <row r="167">
      <c r="C167" s="71"/>
      <c r="D167" s="71"/>
      <c r="E167" s="71"/>
      <c r="F167" s="73"/>
      <c r="G167" s="73"/>
      <c r="H167" s="73"/>
      <c r="I167" s="73"/>
      <c r="J167" s="73"/>
      <c r="K167" s="73"/>
    </row>
    <row r="168">
      <c r="C168" s="71"/>
      <c r="D168" s="71"/>
      <c r="E168" s="71"/>
      <c r="F168" s="73"/>
      <c r="G168" s="73"/>
      <c r="H168" s="73"/>
      <c r="I168" s="73"/>
      <c r="J168" s="73"/>
      <c r="K168" s="73"/>
    </row>
    <row r="169">
      <c r="C169" s="71"/>
      <c r="D169" s="71"/>
      <c r="E169" s="71"/>
      <c r="F169" s="73"/>
      <c r="G169" s="73"/>
      <c r="H169" s="73"/>
      <c r="I169" s="73"/>
      <c r="J169" s="73"/>
      <c r="K169" s="73"/>
    </row>
    <row r="170">
      <c r="C170" s="71"/>
      <c r="D170" s="71"/>
      <c r="E170" s="71"/>
      <c r="F170" s="73"/>
      <c r="G170" s="73"/>
      <c r="H170" s="73"/>
      <c r="I170" s="73"/>
      <c r="J170" s="73"/>
      <c r="K170" s="73"/>
    </row>
    <row r="171">
      <c r="C171" s="71"/>
      <c r="D171" s="71"/>
      <c r="E171" s="71"/>
      <c r="F171" s="73"/>
      <c r="G171" s="73"/>
      <c r="H171" s="73"/>
      <c r="I171" s="73"/>
      <c r="J171" s="73"/>
      <c r="K171" s="73"/>
    </row>
    <row r="172">
      <c r="C172" s="71"/>
      <c r="D172" s="71"/>
      <c r="E172" s="71"/>
      <c r="F172" s="73"/>
      <c r="G172" s="73"/>
      <c r="H172" s="73"/>
      <c r="I172" s="73"/>
      <c r="J172" s="73"/>
      <c r="K172" s="73"/>
    </row>
    <row r="173">
      <c r="C173" s="71"/>
      <c r="D173" s="71"/>
      <c r="E173" s="71"/>
      <c r="F173" s="73"/>
      <c r="G173" s="73"/>
      <c r="H173" s="73"/>
      <c r="I173" s="73"/>
      <c r="J173" s="73"/>
      <c r="K173" s="73"/>
    </row>
    <row r="174">
      <c r="C174" s="71"/>
      <c r="D174" s="71"/>
      <c r="E174" s="71"/>
      <c r="F174" s="73"/>
      <c r="G174" s="73"/>
      <c r="H174" s="73"/>
      <c r="I174" s="73"/>
      <c r="J174" s="73"/>
      <c r="K174" s="73"/>
    </row>
    <row r="175">
      <c r="C175" s="71"/>
      <c r="D175" s="71"/>
      <c r="E175" s="71"/>
      <c r="F175" s="73"/>
      <c r="G175" s="73"/>
      <c r="H175" s="73"/>
      <c r="I175" s="73"/>
      <c r="J175" s="73"/>
      <c r="K175" s="73"/>
    </row>
    <row r="176">
      <c r="C176" s="71"/>
      <c r="D176" s="71"/>
      <c r="E176" s="71"/>
      <c r="F176" s="73"/>
      <c r="G176" s="73"/>
      <c r="H176" s="73"/>
      <c r="I176" s="73"/>
      <c r="J176" s="73"/>
      <c r="K176" s="73"/>
    </row>
    <row r="177">
      <c r="C177" s="71"/>
      <c r="D177" s="71"/>
      <c r="E177" s="71"/>
      <c r="F177" s="73"/>
      <c r="G177" s="73"/>
      <c r="H177" s="73"/>
      <c r="I177" s="73"/>
      <c r="J177" s="73"/>
      <c r="K177" s="73"/>
    </row>
    <row r="178">
      <c r="C178" s="71"/>
      <c r="D178" s="71"/>
      <c r="E178" s="71"/>
      <c r="F178" s="73"/>
      <c r="G178" s="73"/>
      <c r="H178" s="73"/>
      <c r="I178" s="73"/>
      <c r="J178" s="73"/>
      <c r="K178" s="73"/>
    </row>
    <row r="179">
      <c r="C179" s="71"/>
      <c r="D179" s="71"/>
      <c r="E179" s="71"/>
      <c r="F179" s="73"/>
      <c r="G179" s="73"/>
      <c r="H179" s="73"/>
      <c r="I179" s="73"/>
      <c r="J179" s="73"/>
      <c r="K179" s="73"/>
    </row>
    <row r="180">
      <c r="C180" s="71"/>
      <c r="D180" s="71"/>
      <c r="E180" s="71"/>
      <c r="F180" s="73"/>
      <c r="G180" s="73"/>
      <c r="H180" s="73"/>
      <c r="I180" s="73"/>
      <c r="J180" s="73"/>
      <c r="K180" s="73"/>
    </row>
    <row r="181">
      <c r="C181" s="71"/>
      <c r="D181" s="71"/>
      <c r="E181" s="71"/>
      <c r="F181" s="73"/>
      <c r="G181" s="73"/>
      <c r="H181" s="73"/>
      <c r="I181" s="73"/>
      <c r="J181" s="73"/>
      <c r="K181" s="73"/>
    </row>
    <row r="182">
      <c r="C182" s="71"/>
      <c r="D182" s="71"/>
      <c r="E182" s="71"/>
      <c r="F182" s="73"/>
      <c r="G182" s="73"/>
      <c r="H182" s="73"/>
      <c r="I182" s="73"/>
      <c r="J182" s="73"/>
      <c r="K182" s="73"/>
    </row>
    <row r="183">
      <c r="C183" s="71"/>
      <c r="D183" s="71"/>
      <c r="E183" s="71"/>
      <c r="F183" s="73"/>
      <c r="G183" s="73"/>
      <c r="H183" s="73"/>
      <c r="I183" s="73"/>
      <c r="J183" s="73"/>
      <c r="K183" s="73"/>
    </row>
    <row r="184">
      <c r="C184" s="71"/>
      <c r="D184" s="71"/>
      <c r="E184" s="71"/>
      <c r="F184" s="73"/>
      <c r="G184" s="73"/>
      <c r="H184" s="73"/>
      <c r="I184" s="73"/>
      <c r="J184" s="73"/>
      <c r="K184" s="73"/>
    </row>
    <row r="185">
      <c r="C185" s="71"/>
      <c r="D185" s="71"/>
      <c r="E185" s="71"/>
      <c r="F185" s="73"/>
      <c r="G185" s="73"/>
      <c r="H185" s="73"/>
      <c r="I185" s="73"/>
      <c r="J185" s="73"/>
      <c r="K185" s="73"/>
    </row>
    <row r="186">
      <c r="C186" s="71"/>
      <c r="D186" s="71"/>
      <c r="E186" s="71"/>
      <c r="F186" s="73"/>
      <c r="G186" s="73"/>
      <c r="H186" s="73"/>
      <c r="I186" s="73"/>
      <c r="J186" s="73"/>
      <c r="K186" s="73"/>
    </row>
    <row r="187">
      <c r="C187" s="71"/>
      <c r="D187" s="71"/>
      <c r="E187" s="71"/>
      <c r="F187" s="73"/>
      <c r="G187" s="73"/>
      <c r="H187" s="73"/>
      <c r="I187" s="73"/>
      <c r="J187" s="73"/>
      <c r="K187" s="73"/>
    </row>
    <row r="188">
      <c r="C188" s="71"/>
      <c r="D188" s="71"/>
      <c r="E188" s="71"/>
      <c r="F188" s="73"/>
      <c r="G188" s="73"/>
      <c r="H188" s="73"/>
      <c r="I188" s="73"/>
      <c r="J188" s="73"/>
      <c r="K188" s="73"/>
    </row>
    <row r="189">
      <c r="C189" s="71"/>
      <c r="D189" s="71"/>
      <c r="E189" s="71"/>
      <c r="F189" s="73"/>
      <c r="G189" s="73"/>
      <c r="H189" s="73"/>
      <c r="I189" s="73"/>
      <c r="J189" s="73"/>
      <c r="K189" s="73"/>
    </row>
    <row r="190">
      <c r="C190" s="71"/>
      <c r="D190" s="71"/>
      <c r="E190" s="71"/>
      <c r="F190" s="73"/>
      <c r="G190" s="73"/>
      <c r="H190" s="73"/>
      <c r="I190" s="73"/>
      <c r="J190" s="73"/>
      <c r="K190" s="73"/>
    </row>
    <row r="191">
      <c r="C191" s="71"/>
      <c r="D191" s="71"/>
      <c r="E191" s="71"/>
      <c r="F191" s="73"/>
      <c r="G191" s="73"/>
      <c r="H191" s="73"/>
      <c r="I191" s="73"/>
      <c r="J191" s="73"/>
      <c r="K191" s="73"/>
    </row>
    <row r="192">
      <c r="C192" s="71"/>
      <c r="D192" s="71"/>
      <c r="E192" s="71"/>
      <c r="F192" s="73"/>
      <c r="G192" s="73"/>
      <c r="H192" s="73"/>
      <c r="I192" s="73"/>
      <c r="J192" s="73"/>
      <c r="K192" s="73"/>
    </row>
    <row r="193">
      <c r="C193" s="71"/>
      <c r="D193" s="71"/>
      <c r="E193" s="71"/>
      <c r="F193" s="73"/>
      <c r="G193" s="73"/>
      <c r="H193" s="73"/>
      <c r="I193" s="73"/>
      <c r="J193" s="73"/>
      <c r="K193" s="73"/>
    </row>
    <row r="194">
      <c r="C194" s="71"/>
      <c r="D194" s="71"/>
      <c r="E194" s="71"/>
      <c r="F194" s="73"/>
      <c r="G194" s="73"/>
      <c r="H194" s="73"/>
      <c r="I194" s="73"/>
      <c r="J194" s="73"/>
      <c r="K194" s="73"/>
    </row>
    <row r="195">
      <c r="C195" s="71"/>
      <c r="D195" s="71"/>
      <c r="E195" s="71"/>
      <c r="F195" s="73"/>
      <c r="G195" s="73"/>
      <c r="H195" s="73"/>
      <c r="I195" s="73"/>
      <c r="J195" s="73"/>
      <c r="K195" s="73"/>
    </row>
    <row r="196">
      <c r="C196" s="71"/>
      <c r="D196" s="71"/>
      <c r="E196" s="71"/>
      <c r="F196" s="73"/>
      <c r="G196" s="73"/>
      <c r="H196" s="73"/>
      <c r="I196" s="73"/>
      <c r="J196" s="73"/>
      <c r="K196" s="73"/>
    </row>
    <row r="197">
      <c r="C197" s="71"/>
      <c r="D197" s="71"/>
      <c r="E197" s="71"/>
      <c r="F197" s="73"/>
      <c r="G197" s="73"/>
      <c r="H197" s="73"/>
      <c r="I197" s="73"/>
      <c r="J197" s="73"/>
      <c r="K197" s="73"/>
    </row>
    <row r="198">
      <c r="C198" s="71"/>
      <c r="D198" s="71"/>
      <c r="E198" s="71"/>
      <c r="F198" s="73"/>
      <c r="G198" s="73"/>
      <c r="H198" s="73"/>
      <c r="I198" s="73"/>
      <c r="J198" s="73"/>
      <c r="K198" s="73"/>
    </row>
    <row r="199">
      <c r="C199" s="71"/>
      <c r="D199" s="71"/>
      <c r="E199" s="71"/>
      <c r="F199" s="73"/>
      <c r="G199" s="73"/>
      <c r="H199" s="73"/>
      <c r="I199" s="73"/>
      <c r="J199" s="73"/>
      <c r="K199" s="73"/>
    </row>
    <row r="200">
      <c r="C200" s="71"/>
      <c r="D200" s="71"/>
      <c r="E200" s="71"/>
      <c r="F200" s="73"/>
      <c r="G200" s="73"/>
      <c r="H200" s="73"/>
      <c r="I200" s="73"/>
      <c r="J200" s="73"/>
      <c r="K200" s="73"/>
    </row>
    <row r="201">
      <c r="C201" s="71"/>
      <c r="D201" s="71"/>
      <c r="E201" s="71"/>
      <c r="F201" s="73"/>
      <c r="G201" s="73"/>
      <c r="H201" s="73"/>
      <c r="I201" s="73"/>
      <c r="J201" s="73"/>
      <c r="K201" s="73"/>
    </row>
    <row r="202">
      <c r="C202" s="71"/>
      <c r="D202" s="71"/>
      <c r="E202" s="71"/>
      <c r="F202" s="73"/>
      <c r="G202" s="73"/>
      <c r="H202" s="73"/>
      <c r="I202" s="73"/>
      <c r="J202" s="73"/>
      <c r="K202" s="73"/>
    </row>
    <row r="203">
      <c r="C203" s="71"/>
      <c r="D203" s="71"/>
      <c r="E203" s="71"/>
      <c r="F203" s="73"/>
      <c r="G203" s="73"/>
      <c r="H203" s="73"/>
      <c r="I203" s="73"/>
      <c r="J203" s="73"/>
      <c r="K203" s="73"/>
    </row>
    <row r="204">
      <c r="C204" s="71"/>
      <c r="D204" s="71"/>
      <c r="E204" s="71"/>
      <c r="F204" s="73"/>
      <c r="G204" s="73"/>
      <c r="H204" s="73"/>
      <c r="I204" s="73"/>
      <c r="J204" s="73"/>
      <c r="K204" s="73"/>
    </row>
    <row r="205">
      <c r="C205" s="71"/>
      <c r="D205" s="71"/>
      <c r="E205" s="71"/>
      <c r="F205" s="73"/>
      <c r="G205" s="73"/>
      <c r="H205" s="73"/>
      <c r="I205" s="73"/>
      <c r="J205" s="73"/>
      <c r="K205" s="73"/>
    </row>
    <row r="206">
      <c r="C206" s="71"/>
      <c r="D206" s="71"/>
      <c r="E206" s="71"/>
      <c r="F206" s="73"/>
      <c r="G206" s="73"/>
      <c r="H206" s="73"/>
      <c r="I206" s="73"/>
      <c r="J206" s="73"/>
      <c r="K206" s="73"/>
    </row>
    <row r="207">
      <c r="C207" s="71"/>
      <c r="D207" s="71"/>
      <c r="E207" s="71"/>
      <c r="F207" s="73"/>
      <c r="G207" s="73"/>
      <c r="H207" s="73"/>
      <c r="I207" s="73"/>
      <c r="J207" s="73"/>
      <c r="K207" s="73"/>
    </row>
    <row r="208">
      <c r="C208" s="71"/>
      <c r="D208" s="71"/>
      <c r="E208" s="71"/>
      <c r="F208" s="73"/>
      <c r="G208" s="73"/>
      <c r="H208" s="73"/>
      <c r="I208" s="73"/>
      <c r="J208" s="73"/>
      <c r="K208" s="73"/>
    </row>
    <row r="209">
      <c r="C209" s="71"/>
      <c r="D209" s="71"/>
      <c r="E209" s="71"/>
      <c r="F209" s="73"/>
      <c r="G209" s="73"/>
      <c r="H209" s="73"/>
      <c r="I209" s="73"/>
      <c r="J209" s="73"/>
      <c r="K209" s="73"/>
    </row>
    <row r="210">
      <c r="C210" s="71"/>
      <c r="D210" s="71"/>
      <c r="E210" s="71"/>
      <c r="F210" s="73"/>
      <c r="G210" s="73"/>
      <c r="H210" s="73"/>
      <c r="I210" s="73"/>
      <c r="J210" s="73"/>
      <c r="K210" s="73"/>
    </row>
    <row r="211">
      <c r="C211" s="71"/>
      <c r="D211" s="71"/>
      <c r="E211" s="71"/>
      <c r="F211" s="73"/>
      <c r="G211" s="73"/>
      <c r="H211" s="73"/>
      <c r="I211" s="73"/>
      <c r="J211" s="73"/>
      <c r="K211" s="73"/>
    </row>
    <row r="212">
      <c r="C212" s="71"/>
      <c r="D212" s="71"/>
      <c r="E212" s="71"/>
      <c r="F212" s="73"/>
      <c r="G212" s="73"/>
      <c r="H212" s="73"/>
      <c r="I212" s="73"/>
      <c r="J212" s="73"/>
      <c r="K212" s="73"/>
    </row>
    <row r="213">
      <c r="C213" s="71"/>
      <c r="D213" s="71"/>
      <c r="E213" s="71"/>
      <c r="F213" s="73"/>
      <c r="G213" s="73"/>
      <c r="H213" s="73"/>
      <c r="I213" s="73"/>
      <c r="J213" s="73"/>
      <c r="K213" s="73"/>
    </row>
    <row r="214">
      <c r="C214" s="71"/>
      <c r="D214" s="71"/>
      <c r="E214" s="71"/>
      <c r="F214" s="73"/>
      <c r="G214" s="73"/>
      <c r="H214" s="73"/>
      <c r="I214" s="73"/>
      <c r="J214" s="73"/>
      <c r="K214" s="73"/>
    </row>
    <row r="215">
      <c r="C215" s="71"/>
      <c r="D215" s="71"/>
      <c r="E215" s="71"/>
      <c r="F215" s="73"/>
      <c r="G215" s="73"/>
      <c r="H215" s="73"/>
      <c r="I215" s="73"/>
      <c r="J215" s="73"/>
      <c r="K215" s="73"/>
    </row>
    <row r="216">
      <c r="C216" s="71"/>
      <c r="D216" s="71"/>
      <c r="E216" s="71"/>
      <c r="F216" s="73"/>
      <c r="G216" s="73"/>
      <c r="H216" s="73"/>
      <c r="I216" s="73"/>
      <c r="J216" s="73"/>
      <c r="K216" s="73"/>
    </row>
    <row r="217">
      <c r="C217" s="71"/>
      <c r="D217" s="71"/>
      <c r="E217" s="71"/>
      <c r="F217" s="73"/>
      <c r="G217" s="73"/>
      <c r="H217" s="73"/>
      <c r="I217" s="73"/>
      <c r="J217" s="73"/>
      <c r="K217" s="73"/>
    </row>
    <row r="218">
      <c r="C218" s="71"/>
      <c r="D218" s="71"/>
      <c r="E218" s="71"/>
      <c r="F218" s="73"/>
      <c r="G218" s="73"/>
      <c r="H218" s="73"/>
      <c r="I218" s="73"/>
      <c r="J218" s="73"/>
      <c r="K218" s="73"/>
    </row>
    <row r="219">
      <c r="C219" s="71"/>
      <c r="D219" s="71"/>
      <c r="E219" s="71"/>
      <c r="F219" s="73"/>
      <c r="G219" s="73"/>
      <c r="H219" s="73"/>
      <c r="I219" s="73"/>
      <c r="J219" s="73"/>
      <c r="K219" s="73"/>
    </row>
    <row r="220">
      <c r="C220" s="71"/>
      <c r="D220" s="71"/>
      <c r="E220" s="71"/>
      <c r="F220" s="73"/>
      <c r="G220" s="73"/>
      <c r="H220" s="73"/>
      <c r="I220" s="73"/>
      <c r="J220" s="73"/>
      <c r="K220" s="73"/>
    </row>
    <row r="221">
      <c r="C221" s="71"/>
      <c r="D221" s="71"/>
      <c r="E221" s="71"/>
      <c r="F221" s="73"/>
      <c r="G221" s="73"/>
      <c r="H221" s="73"/>
      <c r="I221" s="73"/>
      <c r="J221" s="73"/>
      <c r="K221" s="73"/>
    </row>
    <row r="222">
      <c r="C222" s="71"/>
      <c r="D222" s="71"/>
      <c r="E222" s="71"/>
      <c r="F222" s="73"/>
      <c r="G222" s="73"/>
      <c r="H222" s="73"/>
      <c r="I222" s="73"/>
      <c r="J222" s="73"/>
      <c r="K222" s="73"/>
    </row>
    <row r="223">
      <c r="C223" s="71"/>
      <c r="D223" s="71"/>
      <c r="E223" s="71"/>
      <c r="F223" s="73"/>
      <c r="G223" s="73"/>
      <c r="H223" s="73"/>
      <c r="I223" s="73"/>
      <c r="J223" s="73"/>
      <c r="K223" s="73"/>
    </row>
    <row r="224">
      <c r="C224" s="71"/>
      <c r="D224" s="71"/>
      <c r="E224" s="71"/>
      <c r="F224" s="73"/>
      <c r="G224" s="73"/>
      <c r="H224" s="73"/>
      <c r="I224" s="73"/>
      <c r="J224" s="73"/>
      <c r="K224" s="73"/>
    </row>
    <row r="225">
      <c r="C225" s="71"/>
      <c r="D225" s="71"/>
      <c r="E225" s="71"/>
      <c r="F225" s="73"/>
      <c r="G225" s="73"/>
      <c r="H225" s="73"/>
      <c r="I225" s="73"/>
      <c r="J225" s="73"/>
      <c r="K225" s="73"/>
    </row>
    <row r="226">
      <c r="C226" s="71"/>
      <c r="D226" s="71"/>
      <c r="E226" s="71"/>
      <c r="F226" s="73"/>
      <c r="G226" s="73"/>
      <c r="H226" s="73"/>
      <c r="I226" s="73"/>
      <c r="J226" s="73"/>
      <c r="K226" s="73"/>
    </row>
    <row r="227">
      <c r="C227" s="71"/>
      <c r="D227" s="71"/>
      <c r="E227" s="71"/>
      <c r="F227" s="73"/>
      <c r="G227" s="73"/>
      <c r="H227" s="73"/>
      <c r="I227" s="73"/>
      <c r="J227" s="73"/>
      <c r="K227" s="73"/>
    </row>
    <row r="228">
      <c r="C228" s="71"/>
      <c r="D228" s="71"/>
      <c r="E228" s="71"/>
      <c r="F228" s="73"/>
      <c r="G228" s="73"/>
      <c r="H228" s="73"/>
      <c r="I228" s="73"/>
      <c r="J228" s="73"/>
      <c r="K228" s="73"/>
    </row>
    <row r="229">
      <c r="C229" s="71"/>
      <c r="D229" s="71"/>
      <c r="E229" s="71"/>
      <c r="F229" s="73"/>
      <c r="G229" s="73"/>
      <c r="H229" s="73"/>
      <c r="I229" s="73"/>
      <c r="J229" s="73"/>
      <c r="K229" s="73"/>
    </row>
    <row r="230">
      <c r="C230" s="71"/>
      <c r="D230" s="71"/>
      <c r="E230" s="71"/>
      <c r="F230" s="73"/>
      <c r="G230" s="73"/>
      <c r="H230" s="73"/>
      <c r="I230" s="73"/>
      <c r="J230" s="73"/>
      <c r="K230" s="73"/>
    </row>
    <row r="231">
      <c r="C231" s="71"/>
      <c r="D231" s="71"/>
      <c r="E231" s="71"/>
      <c r="F231" s="73"/>
      <c r="G231" s="73"/>
      <c r="H231" s="73"/>
      <c r="I231" s="73"/>
      <c r="J231" s="73"/>
      <c r="K231" s="73"/>
    </row>
    <row r="232">
      <c r="C232" s="71"/>
      <c r="D232" s="71"/>
      <c r="E232" s="71"/>
      <c r="F232" s="73"/>
      <c r="G232" s="73"/>
      <c r="H232" s="73"/>
      <c r="I232" s="73"/>
      <c r="J232" s="73"/>
      <c r="K232" s="73"/>
    </row>
    <row r="233">
      <c r="C233" s="71"/>
      <c r="D233" s="71"/>
      <c r="E233" s="71"/>
      <c r="F233" s="73"/>
      <c r="G233" s="73"/>
      <c r="H233" s="73"/>
      <c r="I233" s="73"/>
      <c r="J233" s="73"/>
      <c r="K233" s="73"/>
    </row>
    <row r="234">
      <c r="C234" s="71"/>
      <c r="D234" s="71"/>
      <c r="E234" s="71"/>
      <c r="F234" s="73"/>
      <c r="G234" s="73"/>
      <c r="H234" s="73"/>
      <c r="I234" s="73"/>
      <c r="J234" s="73"/>
      <c r="K234" s="73"/>
    </row>
    <row r="235">
      <c r="C235" s="71"/>
      <c r="D235" s="71"/>
      <c r="E235" s="71"/>
      <c r="F235" s="73"/>
      <c r="G235" s="73"/>
      <c r="H235" s="73"/>
      <c r="I235" s="73"/>
      <c r="J235" s="73"/>
      <c r="K235" s="73"/>
    </row>
    <row r="236">
      <c r="C236" s="71"/>
      <c r="D236" s="71"/>
      <c r="E236" s="71"/>
      <c r="F236" s="73"/>
      <c r="G236" s="73"/>
      <c r="H236" s="73"/>
      <c r="I236" s="73"/>
      <c r="J236" s="73"/>
      <c r="K236" s="73"/>
    </row>
    <row r="237">
      <c r="C237" s="71"/>
      <c r="D237" s="71"/>
      <c r="E237" s="71"/>
      <c r="F237" s="73"/>
      <c r="G237" s="73"/>
      <c r="H237" s="73"/>
      <c r="I237" s="73"/>
      <c r="J237" s="73"/>
      <c r="K237" s="73"/>
    </row>
    <row r="238">
      <c r="C238" s="71"/>
      <c r="D238" s="71"/>
      <c r="E238" s="71"/>
      <c r="F238" s="73"/>
      <c r="G238" s="73"/>
      <c r="H238" s="73"/>
      <c r="I238" s="73"/>
      <c r="J238" s="73"/>
      <c r="K238" s="73"/>
    </row>
    <row r="239">
      <c r="C239" s="71"/>
      <c r="D239" s="71"/>
      <c r="E239" s="71"/>
      <c r="F239" s="73"/>
      <c r="G239" s="73"/>
      <c r="H239" s="73"/>
      <c r="I239" s="73"/>
      <c r="J239" s="73"/>
      <c r="K239" s="73"/>
    </row>
    <row r="240">
      <c r="C240" s="71"/>
      <c r="D240" s="71"/>
      <c r="E240" s="71"/>
      <c r="F240" s="73"/>
      <c r="G240" s="73"/>
      <c r="H240" s="73"/>
      <c r="I240" s="73"/>
      <c r="J240" s="73"/>
      <c r="K240" s="73"/>
    </row>
    <row r="241">
      <c r="C241" s="71"/>
      <c r="D241" s="71"/>
      <c r="E241" s="71"/>
      <c r="F241" s="73"/>
      <c r="G241" s="73"/>
      <c r="H241" s="73"/>
      <c r="I241" s="73"/>
      <c r="J241" s="73"/>
      <c r="K241" s="73"/>
    </row>
    <row r="242">
      <c r="C242" s="71"/>
      <c r="D242" s="71"/>
      <c r="E242" s="71"/>
      <c r="F242" s="73"/>
      <c r="G242" s="73"/>
      <c r="H242" s="73"/>
      <c r="I242" s="73"/>
      <c r="J242" s="73"/>
      <c r="K242" s="73"/>
    </row>
    <row r="243">
      <c r="C243" s="71"/>
      <c r="D243" s="71"/>
      <c r="E243" s="71"/>
      <c r="F243" s="73"/>
      <c r="G243" s="73"/>
      <c r="H243" s="73"/>
      <c r="I243" s="73"/>
      <c r="J243" s="73"/>
      <c r="K243" s="73"/>
    </row>
    <row r="244">
      <c r="C244" s="71"/>
      <c r="D244" s="71"/>
      <c r="E244" s="71"/>
      <c r="F244" s="73"/>
      <c r="G244" s="73"/>
      <c r="H244" s="73"/>
      <c r="I244" s="73"/>
      <c r="J244" s="73"/>
      <c r="K244" s="73"/>
    </row>
    <row r="245">
      <c r="C245" s="71"/>
      <c r="D245" s="71"/>
      <c r="E245" s="71"/>
      <c r="F245" s="73"/>
      <c r="G245" s="73"/>
      <c r="H245" s="73"/>
      <c r="I245" s="73"/>
      <c r="J245" s="73"/>
      <c r="K245" s="73"/>
    </row>
    <row r="246">
      <c r="C246" s="71"/>
      <c r="D246" s="71"/>
      <c r="E246" s="71"/>
      <c r="F246" s="73"/>
      <c r="G246" s="73"/>
      <c r="H246" s="73"/>
      <c r="I246" s="73"/>
      <c r="J246" s="73"/>
      <c r="K246" s="73"/>
    </row>
    <row r="247">
      <c r="C247" s="71"/>
      <c r="D247" s="71"/>
      <c r="E247" s="71"/>
      <c r="F247" s="73"/>
      <c r="G247" s="73"/>
      <c r="H247" s="73"/>
      <c r="I247" s="73"/>
      <c r="J247" s="73"/>
      <c r="K247" s="73"/>
    </row>
    <row r="248">
      <c r="C248" s="71"/>
      <c r="D248" s="71"/>
      <c r="E248" s="71"/>
      <c r="F248" s="73"/>
      <c r="G248" s="73"/>
      <c r="H248" s="73"/>
      <c r="I248" s="73"/>
      <c r="J248" s="73"/>
      <c r="K248" s="73"/>
    </row>
    <row r="249">
      <c r="C249" s="71"/>
      <c r="D249" s="71"/>
      <c r="E249" s="71"/>
      <c r="F249" s="73"/>
      <c r="G249" s="73"/>
      <c r="H249" s="73"/>
      <c r="I249" s="73"/>
      <c r="J249" s="73"/>
      <c r="K249" s="73"/>
    </row>
    <row r="250">
      <c r="C250" s="71"/>
      <c r="D250" s="71"/>
      <c r="E250" s="71"/>
      <c r="F250" s="73"/>
      <c r="G250" s="73"/>
      <c r="H250" s="73"/>
      <c r="I250" s="73"/>
      <c r="J250" s="73"/>
      <c r="K250" s="73"/>
    </row>
    <row r="251">
      <c r="C251" s="71"/>
      <c r="D251" s="71"/>
      <c r="E251" s="71"/>
      <c r="F251" s="73"/>
      <c r="G251" s="73"/>
      <c r="H251" s="73"/>
      <c r="I251" s="73"/>
      <c r="J251" s="73"/>
      <c r="K251" s="73"/>
    </row>
    <row r="252">
      <c r="C252" s="71"/>
      <c r="D252" s="71"/>
      <c r="E252" s="71"/>
      <c r="F252" s="73"/>
      <c r="G252" s="73"/>
      <c r="H252" s="73"/>
      <c r="I252" s="73"/>
      <c r="J252" s="73"/>
      <c r="K252" s="73"/>
    </row>
    <row r="253">
      <c r="C253" s="71"/>
      <c r="D253" s="71"/>
      <c r="E253" s="71"/>
      <c r="F253" s="73"/>
      <c r="G253" s="73"/>
      <c r="H253" s="73"/>
      <c r="I253" s="73"/>
      <c r="J253" s="73"/>
      <c r="K253" s="73"/>
    </row>
    <row r="254">
      <c r="C254" s="71"/>
      <c r="D254" s="71"/>
      <c r="E254" s="71"/>
      <c r="F254" s="73"/>
      <c r="G254" s="73"/>
      <c r="H254" s="73"/>
      <c r="I254" s="73"/>
      <c r="J254" s="73"/>
      <c r="K254" s="73"/>
    </row>
    <row r="255">
      <c r="C255" s="71"/>
      <c r="D255" s="71"/>
      <c r="E255" s="71"/>
      <c r="F255" s="73"/>
      <c r="G255" s="73"/>
      <c r="H255" s="73"/>
      <c r="I255" s="73"/>
      <c r="J255" s="73"/>
      <c r="K255" s="73"/>
    </row>
    <row r="256">
      <c r="C256" s="71"/>
      <c r="D256" s="71"/>
      <c r="E256" s="71"/>
      <c r="F256" s="73"/>
      <c r="G256" s="73"/>
      <c r="H256" s="73"/>
      <c r="I256" s="73"/>
      <c r="J256" s="73"/>
      <c r="K256" s="73"/>
    </row>
    <row r="257">
      <c r="C257" s="71"/>
      <c r="D257" s="71"/>
      <c r="E257" s="71"/>
      <c r="F257" s="73"/>
      <c r="G257" s="73"/>
      <c r="H257" s="73"/>
      <c r="I257" s="73"/>
      <c r="J257" s="73"/>
      <c r="K257" s="73"/>
    </row>
    <row r="258">
      <c r="C258" s="71"/>
      <c r="D258" s="71"/>
      <c r="E258" s="71"/>
      <c r="F258" s="73"/>
      <c r="G258" s="73"/>
      <c r="H258" s="73"/>
      <c r="I258" s="73"/>
      <c r="J258" s="73"/>
      <c r="K258" s="73"/>
    </row>
    <row r="259">
      <c r="C259" s="71"/>
      <c r="D259" s="71"/>
      <c r="E259" s="71"/>
      <c r="F259" s="73"/>
      <c r="G259" s="73"/>
      <c r="H259" s="73"/>
      <c r="I259" s="73"/>
      <c r="J259" s="73"/>
      <c r="K259" s="73"/>
    </row>
    <row r="260">
      <c r="C260" s="71"/>
      <c r="D260" s="71"/>
      <c r="E260" s="71"/>
      <c r="F260" s="73"/>
      <c r="G260" s="73"/>
      <c r="H260" s="73"/>
      <c r="I260" s="73"/>
      <c r="J260" s="73"/>
      <c r="K260" s="73"/>
    </row>
    <row r="261">
      <c r="C261" s="71"/>
      <c r="D261" s="71"/>
      <c r="E261" s="71"/>
      <c r="F261" s="73"/>
      <c r="G261" s="73"/>
      <c r="H261" s="73"/>
      <c r="I261" s="73"/>
      <c r="J261" s="73"/>
      <c r="K261" s="73"/>
    </row>
    <row r="262">
      <c r="C262" s="71"/>
      <c r="D262" s="71"/>
      <c r="E262" s="71"/>
      <c r="F262" s="73"/>
      <c r="G262" s="73"/>
      <c r="H262" s="73"/>
      <c r="I262" s="73"/>
      <c r="J262" s="73"/>
      <c r="K262" s="73"/>
    </row>
    <row r="263">
      <c r="C263" s="71"/>
      <c r="D263" s="71"/>
      <c r="E263" s="71"/>
      <c r="F263" s="73"/>
      <c r="G263" s="73"/>
      <c r="H263" s="73"/>
      <c r="I263" s="73"/>
      <c r="J263" s="73"/>
      <c r="K263" s="73"/>
    </row>
    <row r="264">
      <c r="C264" s="71"/>
      <c r="D264" s="71"/>
      <c r="E264" s="71"/>
      <c r="F264" s="73"/>
      <c r="G264" s="73"/>
      <c r="H264" s="73"/>
      <c r="I264" s="73"/>
      <c r="J264" s="73"/>
      <c r="K264" s="73"/>
    </row>
    <row r="265">
      <c r="C265" s="71"/>
      <c r="D265" s="71"/>
      <c r="E265" s="71"/>
      <c r="F265" s="73"/>
      <c r="G265" s="73"/>
      <c r="H265" s="73"/>
      <c r="I265" s="73"/>
      <c r="J265" s="73"/>
      <c r="K265" s="73"/>
    </row>
    <row r="266">
      <c r="C266" s="71"/>
      <c r="D266" s="71"/>
      <c r="E266" s="71"/>
      <c r="F266" s="73"/>
      <c r="G266" s="73"/>
      <c r="H266" s="73"/>
      <c r="I266" s="73"/>
      <c r="J266" s="73"/>
      <c r="K266" s="73"/>
    </row>
    <row r="267">
      <c r="C267" s="71"/>
      <c r="D267" s="71"/>
      <c r="E267" s="71"/>
      <c r="F267" s="73"/>
      <c r="G267" s="73"/>
      <c r="H267" s="73"/>
      <c r="I267" s="73"/>
      <c r="J267" s="73"/>
      <c r="K267" s="73"/>
    </row>
    <row r="268">
      <c r="C268" s="71"/>
      <c r="D268" s="71"/>
      <c r="E268" s="71"/>
      <c r="F268" s="73"/>
      <c r="G268" s="73"/>
      <c r="H268" s="73"/>
      <c r="I268" s="73"/>
      <c r="J268" s="73"/>
      <c r="K268" s="73"/>
    </row>
    <row r="269">
      <c r="C269" s="71"/>
      <c r="D269" s="71"/>
      <c r="E269" s="71"/>
      <c r="F269" s="73"/>
      <c r="G269" s="73"/>
      <c r="H269" s="73"/>
      <c r="I269" s="73"/>
      <c r="J269" s="73"/>
      <c r="K269" s="73"/>
    </row>
    <row r="270">
      <c r="C270" s="71"/>
      <c r="D270" s="71"/>
      <c r="E270" s="71"/>
      <c r="F270" s="73"/>
      <c r="G270" s="73"/>
      <c r="H270" s="73"/>
      <c r="I270" s="73"/>
      <c r="J270" s="73"/>
      <c r="K270" s="73"/>
    </row>
    <row r="271">
      <c r="C271" s="71"/>
      <c r="D271" s="71"/>
      <c r="E271" s="71"/>
      <c r="F271" s="73"/>
      <c r="G271" s="73"/>
      <c r="H271" s="73"/>
      <c r="I271" s="73"/>
      <c r="J271" s="73"/>
      <c r="K271" s="73"/>
    </row>
    <row r="272">
      <c r="C272" s="71"/>
      <c r="D272" s="71"/>
      <c r="E272" s="71"/>
      <c r="F272" s="73"/>
      <c r="G272" s="73"/>
      <c r="H272" s="73"/>
      <c r="I272" s="73"/>
      <c r="J272" s="73"/>
      <c r="K272" s="73"/>
    </row>
    <row r="273">
      <c r="C273" s="71"/>
      <c r="D273" s="71"/>
      <c r="E273" s="71"/>
      <c r="F273" s="73"/>
      <c r="G273" s="73"/>
      <c r="H273" s="73"/>
      <c r="I273" s="73"/>
      <c r="J273" s="73"/>
      <c r="K273" s="73"/>
    </row>
    <row r="274">
      <c r="C274" s="71"/>
      <c r="D274" s="71"/>
      <c r="E274" s="71"/>
      <c r="F274" s="73"/>
      <c r="G274" s="73"/>
      <c r="H274" s="73"/>
      <c r="I274" s="73"/>
      <c r="J274" s="73"/>
      <c r="K274" s="73"/>
    </row>
    <row r="275">
      <c r="C275" s="71"/>
      <c r="D275" s="71"/>
      <c r="E275" s="71"/>
      <c r="F275" s="73"/>
      <c r="G275" s="73"/>
      <c r="H275" s="73"/>
      <c r="I275" s="73"/>
      <c r="J275" s="73"/>
      <c r="K275" s="73"/>
    </row>
    <row r="276">
      <c r="C276" s="71"/>
      <c r="D276" s="71"/>
      <c r="E276" s="71"/>
      <c r="F276" s="73"/>
      <c r="G276" s="73"/>
      <c r="H276" s="73"/>
      <c r="I276" s="73"/>
      <c r="J276" s="73"/>
      <c r="K276" s="73"/>
    </row>
    <row r="277">
      <c r="C277" s="71"/>
      <c r="D277" s="71"/>
      <c r="E277" s="71"/>
      <c r="F277" s="73"/>
      <c r="G277" s="73"/>
      <c r="H277" s="73"/>
      <c r="I277" s="73"/>
      <c r="J277" s="73"/>
      <c r="K277" s="73"/>
    </row>
    <row r="278">
      <c r="C278" s="71"/>
      <c r="D278" s="71"/>
      <c r="E278" s="71"/>
      <c r="F278" s="73"/>
      <c r="G278" s="73"/>
      <c r="H278" s="73"/>
      <c r="I278" s="73"/>
      <c r="J278" s="73"/>
      <c r="K278" s="73"/>
    </row>
    <row r="279">
      <c r="C279" s="71"/>
      <c r="D279" s="71"/>
      <c r="E279" s="71"/>
      <c r="F279" s="73"/>
      <c r="G279" s="73"/>
      <c r="H279" s="73"/>
      <c r="I279" s="73"/>
      <c r="J279" s="73"/>
      <c r="K279" s="73"/>
    </row>
    <row r="280">
      <c r="C280" s="71"/>
      <c r="D280" s="71"/>
      <c r="E280" s="71"/>
      <c r="F280" s="73"/>
      <c r="G280" s="73"/>
      <c r="H280" s="73"/>
      <c r="I280" s="73"/>
      <c r="J280" s="73"/>
      <c r="K280" s="73"/>
    </row>
    <row r="281">
      <c r="C281" s="71"/>
      <c r="D281" s="71"/>
      <c r="E281" s="71"/>
      <c r="F281" s="73"/>
      <c r="G281" s="73"/>
      <c r="H281" s="73"/>
      <c r="I281" s="73"/>
      <c r="J281" s="73"/>
      <c r="K281" s="73"/>
    </row>
    <row r="282">
      <c r="C282" s="71"/>
      <c r="D282" s="71"/>
      <c r="E282" s="71"/>
      <c r="F282" s="73"/>
      <c r="G282" s="73"/>
      <c r="H282" s="73"/>
      <c r="I282" s="73"/>
      <c r="J282" s="73"/>
      <c r="K282" s="73"/>
    </row>
    <row r="283">
      <c r="C283" s="71"/>
      <c r="D283" s="71"/>
      <c r="E283" s="71"/>
      <c r="F283" s="73"/>
      <c r="G283" s="73"/>
      <c r="H283" s="73"/>
      <c r="I283" s="73"/>
      <c r="J283" s="73"/>
      <c r="K283" s="73"/>
    </row>
    <row r="284">
      <c r="C284" s="71"/>
      <c r="D284" s="71"/>
      <c r="E284" s="71"/>
      <c r="F284" s="73"/>
      <c r="G284" s="73"/>
      <c r="H284" s="73"/>
      <c r="I284" s="73"/>
      <c r="J284" s="73"/>
      <c r="K284" s="73"/>
    </row>
    <row r="285">
      <c r="C285" s="71"/>
      <c r="D285" s="71"/>
      <c r="E285" s="71"/>
      <c r="F285" s="73"/>
      <c r="G285" s="73"/>
      <c r="H285" s="73"/>
      <c r="I285" s="73"/>
      <c r="J285" s="73"/>
      <c r="K285" s="73"/>
    </row>
    <row r="286">
      <c r="C286" s="71"/>
      <c r="D286" s="71"/>
      <c r="E286" s="71"/>
      <c r="F286" s="73"/>
      <c r="G286" s="73"/>
      <c r="H286" s="73"/>
      <c r="I286" s="73"/>
      <c r="J286" s="73"/>
      <c r="K286" s="73"/>
    </row>
    <row r="287">
      <c r="C287" s="71"/>
      <c r="D287" s="71"/>
      <c r="E287" s="71"/>
      <c r="F287" s="73"/>
      <c r="G287" s="73"/>
      <c r="H287" s="73"/>
      <c r="I287" s="73"/>
      <c r="J287" s="73"/>
      <c r="K287" s="73"/>
    </row>
    <row r="288">
      <c r="C288" s="71"/>
      <c r="D288" s="71"/>
      <c r="E288" s="71"/>
      <c r="F288" s="73"/>
      <c r="G288" s="73"/>
      <c r="H288" s="73"/>
      <c r="I288" s="73"/>
      <c r="J288" s="73"/>
      <c r="K288" s="73"/>
    </row>
    <row r="289">
      <c r="C289" s="71"/>
      <c r="D289" s="71"/>
      <c r="E289" s="71"/>
      <c r="F289" s="73"/>
      <c r="G289" s="73"/>
      <c r="H289" s="73"/>
      <c r="I289" s="73"/>
      <c r="J289" s="73"/>
      <c r="K289" s="73"/>
    </row>
    <row r="290">
      <c r="C290" s="71"/>
      <c r="D290" s="71"/>
      <c r="E290" s="71"/>
      <c r="F290" s="73"/>
      <c r="G290" s="73"/>
      <c r="H290" s="73"/>
      <c r="I290" s="73"/>
      <c r="J290" s="73"/>
      <c r="K290" s="73"/>
    </row>
    <row r="291">
      <c r="C291" s="71"/>
      <c r="D291" s="71"/>
      <c r="E291" s="71"/>
      <c r="F291" s="73"/>
      <c r="G291" s="73"/>
      <c r="H291" s="73"/>
      <c r="I291" s="73"/>
      <c r="J291" s="73"/>
      <c r="K291" s="73"/>
    </row>
    <row r="292">
      <c r="C292" s="71"/>
      <c r="D292" s="71"/>
      <c r="E292" s="71"/>
      <c r="F292" s="73"/>
      <c r="G292" s="73"/>
      <c r="H292" s="73"/>
      <c r="I292" s="73"/>
      <c r="J292" s="73"/>
      <c r="K292" s="73"/>
    </row>
    <row r="293">
      <c r="C293" s="71"/>
      <c r="D293" s="71"/>
      <c r="E293" s="71"/>
      <c r="F293" s="73"/>
      <c r="G293" s="73"/>
      <c r="H293" s="73"/>
      <c r="I293" s="73"/>
      <c r="J293" s="73"/>
      <c r="K293" s="73"/>
    </row>
    <row r="294">
      <c r="C294" s="71"/>
      <c r="D294" s="71"/>
      <c r="E294" s="71"/>
      <c r="F294" s="73"/>
      <c r="G294" s="73"/>
      <c r="H294" s="73"/>
      <c r="I294" s="73"/>
      <c r="J294" s="73"/>
      <c r="K294" s="73"/>
    </row>
    <row r="295">
      <c r="C295" s="71"/>
      <c r="D295" s="71"/>
      <c r="E295" s="71"/>
      <c r="F295" s="73"/>
      <c r="G295" s="73"/>
      <c r="H295" s="73"/>
      <c r="I295" s="73"/>
      <c r="J295" s="73"/>
      <c r="K295" s="73"/>
    </row>
    <row r="296">
      <c r="C296" s="71"/>
      <c r="D296" s="71"/>
      <c r="E296" s="71"/>
      <c r="F296" s="73"/>
      <c r="G296" s="73"/>
      <c r="H296" s="73"/>
      <c r="I296" s="73"/>
      <c r="J296" s="73"/>
      <c r="K296" s="73"/>
    </row>
    <row r="297">
      <c r="C297" s="71"/>
      <c r="D297" s="71"/>
      <c r="E297" s="71"/>
      <c r="F297" s="73"/>
      <c r="G297" s="73"/>
      <c r="H297" s="73"/>
      <c r="I297" s="73"/>
      <c r="J297" s="73"/>
      <c r="K297" s="73"/>
    </row>
    <row r="298">
      <c r="C298" s="71"/>
      <c r="D298" s="71"/>
      <c r="E298" s="71"/>
      <c r="F298" s="73"/>
      <c r="G298" s="73"/>
      <c r="H298" s="73"/>
      <c r="I298" s="73"/>
      <c r="J298" s="73"/>
      <c r="K298" s="73"/>
    </row>
    <row r="299">
      <c r="C299" s="71"/>
      <c r="D299" s="71"/>
      <c r="E299" s="71"/>
      <c r="F299" s="73"/>
      <c r="G299" s="73"/>
      <c r="H299" s="73"/>
      <c r="I299" s="73"/>
      <c r="J299" s="73"/>
      <c r="K299" s="73"/>
    </row>
    <row r="300">
      <c r="C300" s="71"/>
      <c r="D300" s="71"/>
      <c r="E300" s="71"/>
      <c r="F300" s="73"/>
      <c r="G300" s="73"/>
      <c r="H300" s="73"/>
      <c r="I300" s="73"/>
      <c r="J300" s="73"/>
      <c r="K300" s="73"/>
    </row>
    <row r="301">
      <c r="C301" s="71"/>
      <c r="D301" s="71"/>
      <c r="E301" s="71"/>
      <c r="F301" s="73"/>
      <c r="G301" s="73"/>
      <c r="H301" s="73"/>
      <c r="I301" s="73"/>
      <c r="J301" s="73"/>
      <c r="K301" s="73"/>
    </row>
    <row r="302">
      <c r="C302" s="71"/>
      <c r="D302" s="71"/>
      <c r="E302" s="71"/>
      <c r="F302" s="73"/>
      <c r="G302" s="73"/>
      <c r="H302" s="73"/>
      <c r="I302" s="73"/>
      <c r="J302" s="73"/>
      <c r="K302" s="73"/>
    </row>
    <row r="303">
      <c r="C303" s="71"/>
      <c r="D303" s="71"/>
      <c r="E303" s="71"/>
      <c r="F303" s="73"/>
      <c r="G303" s="73"/>
      <c r="H303" s="73"/>
      <c r="I303" s="73"/>
      <c r="J303" s="73"/>
      <c r="K303" s="73"/>
    </row>
    <row r="304">
      <c r="C304" s="71"/>
      <c r="D304" s="71"/>
      <c r="E304" s="71"/>
      <c r="F304" s="73"/>
      <c r="G304" s="73"/>
      <c r="H304" s="73"/>
      <c r="I304" s="73"/>
      <c r="J304" s="73"/>
      <c r="K304" s="73"/>
    </row>
    <row r="305">
      <c r="C305" s="71"/>
      <c r="D305" s="71"/>
      <c r="E305" s="71"/>
      <c r="F305" s="73"/>
      <c r="G305" s="73"/>
      <c r="H305" s="73"/>
      <c r="I305" s="73"/>
      <c r="J305" s="73"/>
      <c r="K305" s="73"/>
    </row>
    <row r="306">
      <c r="C306" s="71"/>
      <c r="D306" s="71"/>
      <c r="E306" s="71"/>
      <c r="F306" s="73"/>
      <c r="G306" s="73"/>
      <c r="H306" s="73"/>
      <c r="I306" s="73"/>
      <c r="J306" s="73"/>
      <c r="K306" s="73"/>
    </row>
    <row r="307">
      <c r="C307" s="71"/>
      <c r="D307" s="71"/>
      <c r="E307" s="71"/>
      <c r="F307" s="73"/>
      <c r="G307" s="73"/>
      <c r="H307" s="73"/>
      <c r="I307" s="73"/>
      <c r="J307" s="73"/>
      <c r="K307" s="73"/>
    </row>
    <row r="308">
      <c r="C308" s="71"/>
      <c r="D308" s="71"/>
      <c r="E308" s="71"/>
      <c r="F308" s="73"/>
      <c r="G308" s="73"/>
      <c r="H308" s="73"/>
      <c r="I308" s="73"/>
      <c r="J308" s="73"/>
      <c r="K308" s="73"/>
    </row>
    <row r="309">
      <c r="C309" s="71"/>
      <c r="D309" s="71"/>
      <c r="E309" s="71"/>
      <c r="F309" s="73"/>
      <c r="G309" s="73"/>
      <c r="H309" s="73"/>
      <c r="I309" s="73"/>
      <c r="J309" s="73"/>
      <c r="K309" s="73"/>
    </row>
    <row r="310">
      <c r="C310" s="71"/>
      <c r="D310" s="71"/>
      <c r="E310" s="71"/>
      <c r="F310" s="73"/>
      <c r="G310" s="73"/>
      <c r="H310" s="73"/>
      <c r="I310" s="73"/>
      <c r="J310" s="73"/>
      <c r="K310" s="73"/>
    </row>
    <row r="311">
      <c r="C311" s="71"/>
      <c r="D311" s="71"/>
      <c r="E311" s="71"/>
      <c r="F311" s="73"/>
      <c r="G311" s="73"/>
      <c r="H311" s="73"/>
      <c r="I311" s="73"/>
      <c r="J311" s="73"/>
      <c r="K311" s="73"/>
    </row>
    <row r="312">
      <c r="C312" s="71"/>
      <c r="D312" s="71"/>
      <c r="E312" s="71"/>
      <c r="F312" s="73"/>
      <c r="G312" s="73"/>
      <c r="H312" s="73"/>
      <c r="I312" s="73"/>
      <c r="J312" s="73"/>
      <c r="K312" s="73"/>
    </row>
    <row r="313">
      <c r="C313" s="71"/>
      <c r="D313" s="71"/>
      <c r="E313" s="71"/>
      <c r="F313" s="73"/>
      <c r="G313" s="73"/>
      <c r="H313" s="73"/>
      <c r="I313" s="73"/>
      <c r="J313" s="73"/>
      <c r="K313" s="73"/>
    </row>
    <row r="314">
      <c r="C314" s="71"/>
      <c r="D314" s="71"/>
      <c r="E314" s="71"/>
      <c r="F314" s="73"/>
      <c r="G314" s="73"/>
      <c r="H314" s="73"/>
      <c r="I314" s="73"/>
      <c r="J314" s="73"/>
      <c r="K314" s="73"/>
    </row>
    <row r="315">
      <c r="C315" s="71"/>
      <c r="D315" s="71"/>
      <c r="E315" s="71"/>
      <c r="F315" s="73"/>
      <c r="G315" s="73"/>
      <c r="H315" s="73"/>
      <c r="I315" s="73"/>
      <c r="J315" s="73"/>
      <c r="K315" s="73"/>
    </row>
    <row r="316">
      <c r="C316" s="71"/>
      <c r="D316" s="71"/>
      <c r="E316" s="71"/>
      <c r="F316" s="73"/>
      <c r="G316" s="73"/>
      <c r="H316" s="73"/>
      <c r="I316" s="73"/>
      <c r="J316" s="73"/>
      <c r="K316" s="73"/>
    </row>
    <row r="317">
      <c r="C317" s="71"/>
      <c r="D317" s="71"/>
      <c r="E317" s="71"/>
      <c r="F317" s="73"/>
      <c r="G317" s="73"/>
      <c r="H317" s="73"/>
      <c r="I317" s="73"/>
      <c r="J317" s="73"/>
      <c r="K317" s="73"/>
    </row>
    <row r="318">
      <c r="C318" s="71"/>
      <c r="D318" s="71"/>
      <c r="E318" s="71"/>
      <c r="F318" s="73"/>
      <c r="G318" s="73"/>
      <c r="H318" s="73"/>
      <c r="I318" s="73"/>
      <c r="J318" s="73"/>
      <c r="K318" s="73"/>
    </row>
    <row r="319">
      <c r="C319" s="71"/>
      <c r="D319" s="71"/>
      <c r="E319" s="71"/>
      <c r="F319" s="73"/>
      <c r="G319" s="73"/>
      <c r="H319" s="73"/>
      <c r="I319" s="73"/>
      <c r="J319" s="73"/>
      <c r="K319" s="73"/>
    </row>
    <row r="320">
      <c r="C320" s="71"/>
      <c r="D320" s="71"/>
      <c r="E320" s="71"/>
      <c r="F320" s="73"/>
      <c r="G320" s="73"/>
      <c r="H320" s="73"/>
      <c r="I320" s="73"/>
      <c r="J320" s="73"/>
      <c r="K320" s="73"/>
    </row>
    <row r="321">
      <c r="C321" s="71"/>
      <c r="D321" s="71"/>
      <c r="E321" s="71"/>
      <c r="F321" s="73"/>
      <c r="G321" s="73"/>
      <c r="H321" s="73"/>
      <c r="I321" s="73"/>
      <c r="J321" s="73"/>
      <c r="K321" s="73"/>
    </row>
    <row r="322">
      <c r="C322" s="71"/>
      <c r="D322" s="71"/>
      <c r="E322" s="71"/>
      <c r="F322" s="73"/>
      <c r="G322" s="73"/>
      <c r="H322" s="73"/>
      <c r="I322" s="73"/>
      <c r="J322" s="73"/>
      <c r="K322" s="73"/>
    </row>
    <row r="323">
      <c r="C323" s="71"/>
      <c r="D323" s="71"/>
      <c r="E323" s="71"/>
      <c r="F323" s="73"/>
      <c r="G323" s="73"/>
      <c r="H323" s="73"/>
      <c r="I323" s="73"/>
      <c r="J323" s="73"/>
      <c r="K323" s="73"/>
    </row>
    <row r="324">
      <c r="C324" s="71"/>
      <c r="D324" s="71"/>
      <c r="E324" s="71"/>
      <c r="F324" s="73"/>
      <c r="G324" s="73"/>
      <c r="H324" s="73"/>
      <c r="I324" s="73"/>
      <c r="J324" s="73"/>
      <c r="K324" s="73"/>
    </row>
    <row r="325">
      <c r="C325" s="71"/>
      <c r="D325" s="71"/>
      <c r="E325" s="71"/>
      <c r="F325" s="73"/>
      <c r="G325" s="73"/>
      <c r="H325" s="73"/>
      <c r="I325" s="73"/>
      <c r="J325" s="73"/>
      <c r="K325" s="73"/>
    </row>
    <row r="326">
      <c r="C326" s="71"/>
      <c r="D326" s="71"/>
      <c r="E326" s="71"/>
      <c r="F326" s="73"/>
      <c r="G326" s="73"/>
      <c r="H326" s="73"/>
      <c r="I326" s="73"/>
      <c r="J326" s="73"/>
      <c r="K326" s="73"/>
    </row>
    <row r="327">
      <c r="C327" s="71"/>
      <c r="D327" s="71"/>
      <c r="E327" s="71"/>
      <c r="F327" s="73"/>
      <c r="G327" s="73"/>
      <c r="H327" s="73"/>
      <c r="I327" s="73"/>
      <c r="J327" s="73"/>
      <c r="K327" s="73"/>
    </row>
    <row r="328">
      <c r="C328" s="71"/>
      <c r="D328" s="71"/>
      <c r="E328" s="71"/>
      <c r="F328" s="73"/>
      <c r="G328" s="73"/>
      <c r="H328" s="73"/>
      <c r="I328" s="73"/>
      <c r="J328" s="73"/>
      <c r="K328" s="73"/>
    </row>
    <row r="329">
      <c r="C329" s="71"/>
      <c r="D329" s="71"/>
      <c r="E329" s="71"/>
      <c r="F329" s="73"/>
      <c r="G329" s="73"/>
      <c r="H329" s="73"/>
      <c r="I329" s="73"/>
      <c r="J329" s="73"/>
      <c r="K329" s="73"/>
    </row>
    <row r="330">
      <c r="C330" s="71"/>
      <c r="D330" s="71"/>
      <c r="E330" s="71"/>
      <c r="F330" s="73"/>
      <c r="G330" s="73"/>
      <c r="H330" s="73"/>
      <c r="I330" s="73"/>
      <c r="J330" s="73"/>
      <c r="K330" s="73"/>
    </row>
    <row r="331">
      <c r="C331" s="71"/>
      <c r="D331" s="71"/>
      <c r="E331" s="71"/>
      <c r="F331" s="73"/>
      <c r="G331" s="73"/>
      <c r="H331" s="73"/>
      <c r="I331" s="73"/>
      <c r="J331" s="73"/>
      <c r="K331" s="73"/>
    </row>
    <row r="332">
      <c r="C332" s="71"/>
      <c r="D332" s="71"/>
      <c r="E332" s="71"/>
      <c r="F332" s="73"/>
      <c r="G332" s="73"/>
      <c r="H332" s="73"/>
      <c r="I332" s="73"/>
      <c r="J332" s="73"/>
      <c r="K332" s="73"/>
    </row>
    <row r="333">
      <c r="C333" s="71"/>
      <c r="D333" s="71"/>
      <c r="E333" s="71"/>
      <c r="F333" s="73"/>
      <c r="G333" s="73"/>
      <c r="H333" s="73"/>
      <c r="I333" s="73"/>
      <c r="J333" s="73"/>
      <c r="K333" s="73"/>
    </row>
    <row r="334">
      <c r="C334" s="71"/>
      <c r="D334" s="71"/>
      <c r="E334" s="71"/>
      <c r="F334" s="73"/>
      <c r="G334" s="73"/>
      <c r="H334" s="73"/>
      <c r="I334" s="73"/>
      <c r="J334" s="73"/>
      <c r="K334" s="73"/>
    </row>
    <row r="335">
      <c r="C335" s="71"/>
      <c r="D335" s="71"/>
      <c r="E335" s="71"/>
      <c r="F335" s="73"/>
      <c r="G335" s="73"/>
      <c r="H335" s="73"/>
      <c r="I335" s="73"/>
      <c r="J335" s="73"/>
      <c r="K335" s="73"/>
    </row>
    <row r="336">
      <c r="C336" s="71"/>
      <c r="D336" s="71"/>
      <c r="E336" s="71"/>
      <c r="F336" s="73"/>
      <c r="G336" s="73"/>
      <c r="H336" s="73"/>
      <c r="I336" s="73"/>
      <c r="J336" s="73"/>
      <c r="K336" s="73"/>
    </row>
    <row r="337">
      <c r="C337" s="71"/>
      <c r="D337" s="71"/>
      <c r="E337" s="71"/>
      <c r="F337" s="73"/>
      <c r="G337" s="73"/>
      <c r="H337" s="73"/>
      <c r="I337" s="73"/>
      <c r="J337" s="73"/>
      <c r="K337" s="73"/>
    </row>
    <row r="338">
      <c r="C338" s="71"/>
      <c r="D338" s="71"/>
      <c r="E338" s="71"/>
      <c r="F338" s="73"/>
      <c r="G338" s="73"/>
      <c r="H338" s="73"/>
      <c r="I338" s="73"/>
      <c r="J338" s="73"/>
      <c r="K338" s="73"/>
    </row>
    <row r="339">
      <c r="C339" s="71"/>
      <c r="D339" s="71"/>
      <c r="E339" s="71"/>
      <c r="F339" s="73"/>
      <c r="G339" s="73"/>
      <c r="H339" s="73"/>
      <c r="I339" s="73"/>
      <c r="J339" s="73"/>
      <c r="K339" s="73"/>
    </row>
    <row r="340">
      <c r="C340" s="71"/>
      <c r="D340" s="71"/>
      <c r="E340" s="71"/>
      <c r="F340" s="73"/>
      <c r="G340" s="73"/>
      <c r="H340" s="73"/>
      <c r="I340" s="73"/>
      <c r="J340" s="73"/>
      <c r="K340" s="73"/>
    </row>
    <row r="341">
      <c r="C341" s="71"/>
      <c r="D341" s="71"/>
      <c r="E341" s="71"/>
      <c r="F341" s="73"/>
      <c r="G341" s="73"/>
      <c r="H341" s="73"/>
      <c r="I341" s="73"/>
      <c r="J341" s="73"/>
      <c r="K341" s="73"/>
    </row>
    <row r="342">
      <c r="C342" s="71"/>
      <c r="D342" s="71"/>
      <c r="E342" s="71"/>
      <c r="F342" s="73"/>
      <c r="G342" s="73"/>
      <c r="H342" s="73"/>
      <c r="I342" s="73"/>
      <c r="J342" s="73"/>
      <c r="K342" s="73"/>
    </row>
    <row r="343">
      <c r="C343" s="71"/>
      <c r="D343" s="71"/>
      <c r="E343" s="71"/>
      <c r="F343" s="73"/>
      <c r="G343" s="73"/>
      <c r="H343" s="73"/>
      <c r="I343" s="73"/>
      <c r="J343" s="73"/>
      <c r="K343" s="73"/>
    </row>
    <row r="344">
      <c r="C344" s="71"/>
      <c r="D344" s="71"/>
      <c r="E344" s="71"/>
      <c r="F344" s="73"/>
      <c r="G344" s="73"/>
      <c r="H344" s="73"/>
      <c r="I344" s="73"/>
      <c r="J344" s="73"/>
      <c r="K344" s="73"/>
    </row>
    <row r="345">
      <c r="C345" s="71"/>
      <c r="D345" s="71"/>
      <c r="E345" s="71"/>
      <c r="F345" s="73"/>
      <c r="G345" s="73"/>
      <c r="H345" s="73"/>
      <c r="I345" s="73"/>
      <c r="J345" s="73"/>
      <c r="K345" s="73"/>
    </row>
    <row r="346">
      <c r="C346" s="71"/>
      <c r="D346" s="71"/>
      <c r="E346" s="71"/>
      <c r="F346" s="73"/>
      <c r="G346" s="73"/>
      <c r="H346" s="73"/>
      <c r="I346" s="73"/>
      <c r="J346" s="73"/>
      <c r="K346" s="73"/>
    </row>
    <row r="347">
      <c r="C347" s="71"/>
      <c r="D347" s="71"/>
      <c r="E347" s="71"/>
      <c r="F347" s="73"/>
      <c r="G347" s="73"/>
      <c r="H347" s="73"/>
      <c r="I347" s="73"/>
      <c r="J347" s="73"/>
      <c r="K347" s="73"/>
    </row>
    <row r="348">
      <c r="C348" s="71"/>
      <c r="D348" s="71"/>
      <c r="E348" s="71"/>
      <c r="F348" s="73"/>
      <c r="G348" s="73"/>
      <c r="H348" s="73"/>
      <c r="I348" s="73"/>
      <c r="J348" s="73"/>
      <c r="K348" s="73"/>
    </row>
    <row r="349">
      <c r="C349" s="71"/>
      <c r="D349" s="71"/>
      <c r="E349" s="71"/>
      <c r="F349" s="73"/>
      <c r="G349" s="73"/>
      <c r="H349" s="73"/>
      <c r="I349" s="73"/>
      <c r="J349" s="73"/>
      <c r="K349" s="73"/>
    </row>
    <row r="350">
      <c r="C350" s="71"/>
      <c r="D350" s="71"/>
      <c r="E350" s="71"/>
      <c r="F350" s="73"/>
      <c r="G350" s="73"/>
      <c r="H350" s="73"/>
      <c r="I350" s="73"/>
      <c r="J350" s="73"/>
      <c r="K350" s="73"/>
    </row>
    <row r="351">
      <c r="C351" s="71"/>
      <c r="D351" s="71"/>
      <c r="E351" s="71"/>
      <c r="F351" s="73"/>
      <c r="G351" s="73"/>
      <c r="H351" s="73"/>
      <c r="I351" s="73"/>
      <c r="J351" s="73"/>
      <c r="K351" s="73"/>
    </row>
    <row r="352">
      <c r="C352" s="71"/>
      <c r="D352" s="71"/>
      <c r="E352" s="71"/>
      <c r="F352" s="73"/>
      <c r="G352" s="73"/>
      <c r="H352" s="73"/>
      <c r="I352" s="73"/>
      <c r="J352" s="73"/>
      <c r="K352" s="73"/>
    </row>
    <row r="353">
      <c r="C353" s="71"/>
      <c r="D353" s="71"/>
      <c r="E353" s="71"/>
      <c r="F353" s="73"/>
      <c r="G353" s="73"/>
      <c r="H353" s="73"/>
      <c r="I353" s="73"/>
      <c r="J353" s="73"/>
      <c r="K353" s="73"/>
    </row>
    <row r="354">
      <c r="C354" s="71"/>
      <c r="D354" s="71"/>
      <c r="E354" s="71"/>
      <c r="F354" s="73"/>
      <c r="G354" s="73"/>
      <c r="H354" s="73"/>
      <c r="I354" s="73"/>
      <c r="J354" s="73"/>
      <c r="K354" s="73"/>
    </row>
    <row r="355">
      <c r="C355" s="71"/>
      <c r="D355" s="71"/>
      <c r="E355" s="71"/>
      <c r="F355" s="73"/>
      <c r="G355" s="73"/>
      <c r="H355" s="73"/>
      <c r="I355" s="73"/>
      <c r="J355" s="73"/>
      <c r="K355" s="73"/>
    </row>
    <row r="356">
      <c r="C356" s="71"/>
      <c r="D356" s="71"/>
      <c r="E356" s="71"/>
      <c r="F356" s="73"/>
      <c r="G356" s="73"/>
      <c r="H356" s="73"/>
      <c r="I356" s="73"/>
      <c r="J356" s="73"/>
      <c r="K356" s="73"/>
    </row>
    <row r="357">
      <c r="C357" s="71"/>
      <c r="D357" s="71"/>
      <c r="E357" s="71"/>
      <c r="F357" s="73"/>
      <c r="G357" s="73"/>
      <c r="H357" s="73"/>
      <c r="I357" s="73"/>
      <c r="J357" s="73"/>
      <c r="K357" s="73"/>
    </row>
    <row r="358">
      <c r="C358" s="71"/>
      <c r="D358" s="71"/>
      <c r="E358" s="71"/>
      <c r="F358" s="73"/>
      <c r="G358" s="73"/>
      <c r="H358" s="73"/>
      <c r="I358" s="73"/>
      <c r="J358" s="73"/>
      <c r="K358" s="73"/>
    </row>
    <row r="359">
      <c r="C359" s="71"/>
      <c r="D359" s="71"/>
      <c r="E359" s="71"/>
      <c r="F359" s="73"/>
      <c r="G359" s="73"/>
      <c r="H359" s="73"/>
      <c r="I359" s="73"/>
      <c r="J359" s="73"/>
      <c r="K359" s="73"/>
    </row>
    <row r="360">
      <c r="C360" s="71"/>
      <c r="D360" s="71"/>
      <c r="E360" s="71"/>
      <c r="F360" s="73"/>
      <c r="G360" s="73"/>
      <c r="H360" s="73"/>
      <c r="I360" s="73"/>
      <c r="J360" s="73"/>
      <c r="K360" s="73"/>
    </row>
    <row r="361">
      <c r="C361" s="71"/>
      <c r="D361" s="71"/>
      <c r="E361" s="71"/>
      <c r="F361" s="73"/>
      <c r="G361" s="73"/>
      <c r="H361" s="73"/>
      <c r="I361" s="73"/>
      <c r="J361" s="73"/>
      <c r="K361" s="73"/>
    </row>
    <row r="362">
      <c r="C362" s="71"/>
      <c r="D362" s="71"/>
      <c r="E362" s="71"/>
      <c r="F362" s="73"/>
      <c r="G362" s="73"/>
      <c r="H362" s="73"/>
      <c r="I362" s="73"/>
      <c r="J362" s="73"/>
      <c r="K362" s="73"/>
    </row>
    <row r="363">
      <c r="C363" s="71"/>
      <c r="D363" s="71"/>
      <c r="E363" s="71"/>
      <c r="F363" s="73"/>
      <c r="G363" s="73"/>
      <c r="H363" s="73"/>
      <c r="I363" s="73"/>
      <c r="J363" s="73"/>
      <c r="K363" s="73"/>
    </row>
    <row r="364">
      <c r="C364" s="71"/>
      <c r="D364" s="71"/>
      <c r="E364" s="71"/>
      <c r="F364" s="73"/>
      <c r="G364" s="73"/>
      <c r="H364" s="73"/>
      <c r="I364" s="73"/>
      <c r="J364" s="73"/>
      <c r="K364" s="73"/>
    </row>
    <row r="365">
      <c r="C365" s="71"/>
      <c r="D365" s="71"/>
      <c r="E365" s="71"/>
      <c r="F365" s="73"/>
      <c r="G365" s="73"/>
      <c r="H365" s="73"/>
      <c r="I365" s="73"/>
      <c r="J365" s="73"/>
      <c r="K365" s="73"/>
    </row>
    <row r="366">
      <c r="C366" s="71"/>
      <c r="D366" s="71"/>
      <c r="E366" s="71"/>
      <c r="F366" s="73"/>
      <c r="G366" s="73"/>
      <c r="H366" s="73"/>
      <c r="I366" s="73"/>
      <c r="J366" s="73"/>
      <c r="K366" s="73"/>
    </row>
    <row r="367">
      <c r="C367" s="71"/>
      <c r="D367" s="71"/>
      <c r="E367" s="71"/>
      <c r="F367" s="73"/>
      <c r="G367" s="73"/>
      <c r="H367" s="73"/>
      <c r="I367" s="73"/>
      <c r="J367" s="73"/>
      <c r="K367" s="73"/>
    </row>
    <row r="368">
      <c r="C368" s="71"/>
      <c r="D368" s="71"/>
      <c r="E368" s="71"/>
      <c r="F368" s="73"/>
      <c r="G368" s="73"/>
      <c r="H368" s="73"/>
      <c r="I368" s="73"/>
      <c r="J368" s="73"/>
      <c r="K368" s="73"/>
    </row>
    <row r="369">
      <c r="C369" s="71"/>
      <c r="D369" s="71"/>
      <c r="E369" s="71"/>
      <c r="F369" s="73"/>
      <c r="G369" s="73"/>
      <c r="H369" s="73"/>
      <c r="I369" s="73"/>
      <c r="J369" s="73"/>
      <c r="K369" s="73"/>
    </row>
    <row r="370">
      <c r="C370" s="71"/>
      <c r="D370" s="71"/>
      <c r="E370" s="71"/>
      <c r="F370" s="73"/>
      <c r="G370" s="73"/>
      <c r="H370" s="73"/>
      <c r="I370" s="73"/>
      <c r="J370" s="73"/>
      <c r="K370" s="73"/>
    </row>
    <row r="371">
      <c r="C371" s="71"/>
      <c r="D371" s="71"/>
      <c r="E371" s="71"/>
      <c r="F371" s="73"/>
      <c r="G371" s="73"/>
      <c r="H371" s="73"/>
      <c r="I371" s="73"/>
      <c r="J371" s="73"/>
      <c r="K371" s="73"/>
    </row>
    <row r="372">
      <c r="C372" s="71"/>
      <c r="D372" s="71"/>
      <c r="E372" s="71"/>
      <c r="F372" s="73"/>
      <c r="G372" s="73"/>
      <c r="H372" s="73"/>
      <c r="I372" s="73"/>
      <c r="J372" s="73"/>
      <c r="K372" s="73"/>
    </row>
    <row r="373">
      <c r="C373" s="71"/>
      <c r="D373" s="71"/>
      <c r="E373" s="71"/>
      <c r="F373" s="73"/>
      <c r="G373" s="73"/>
      <c r="H373" s="73"/>
      <c r="I373" s="73"/>
      <c r="J373" s="73"/>
      <c r="K373" s="73"/>
    </row>
    <row r="374">
      <c r="C374" s="71"/>
      <c r="D374" s="71"/>
      <c r="E374" s="71"/>
      <c r="F374" s="73"/>
      <c r="G374" s="73"/>
      <c r="H374" s="73"/>
      <c r="I374" s="73"/>
      <c r="J374" s="73"/>
      <c r="K374" s="73"/>
    </row>
    <row r="375">
      <c r="C375" s="71"/>
      <c r="D375" s="71"/>
      <c r="E375" s="71"/>
      <c r="F375" s="73"/>
      <c r="G375" s="73"/>
      <c r="H375" s="73"/>
      <c r="I375" s="73"/>
      <c r="J375" s="73"/>
      <c r="K375" s="73"/>
    </row>
    <row r="376">
      <c r="C376" s="71"/>
      <c r="D376" s="71"/>
      <c r="E376" s="71"/>
      <c r="F376" s="73"/>
      <c r="G376" s="73"/>
      <c r="H376" s="73"/>
      <c r="I376" s="73"/>
      <c r="J376" s="73"/>
      <c r="K376" s="73"/>
    </row>
    <row r="377">
      <c r="C377" s="71"/>
      <c r="D377" s="71"/>
      <c r="E377" s="71"/>
      <c r="F377" s="73"/>
      <c r="G377" s="73"/>
      <c r="H377" s="73"/>
      <c r="I377" s="73"/>
      <c r="J377" s="73"/>
      <c r="K377" s="73"/>
    </row>
    <row r="378">
      <c r="C378" s="71"/>
      <c r="D378" s="71"/>
      <c r="E378" s="71"/>
      <c r="F378" s="73"/>
      <c r="G378" s="73"/>
      <c r="H378" s="73"/>
      <c r="I378" s="73"/>
      <c r="J378" s="73"/>
      <c r="K378" s="73"/>
    </row>
    <row r="379">
      <c r="C379" s="71"/>
      <c r="D379" s="71"/>
      <c r="E379" s="71"/>
      <c r="F379" s="73"/>
      <c r="G379" s="73"/>
      <c r="H379" s="73"/>
      <c r="I379" s="73"/>
      <c r="J379" s="73"/>
      <c r="K379" s="73"/>
    </row>
    <row r="380">
      <c r="C380" s="71"/>
      <c r="D380" s="71"/>
      <c r="E380" s="71"/>
      <c r="F380" s="73"/>
      <c r="G380" s="73"/>
      <c r="H380" s="73"/>
      <c r="I380" s="73"/>
      <c r="J380" s="73"/>
      <c r="K380" s="73"/>
    </row>
    <row r="381">
      <c r="C381" s="71"/>
      <c r="D381" s="71"/>
      <c r="E381" s="71"/>
      <c r="F381" s="73"/>
      <c r="G381" s="73"/>
      <c r="H381" s="73"/>
      <c r="I381" s="73"/>
      <c r="J381" s="73"/>
      <c r="K381" s="73"/>
    </row>
    <row r="382">
      <c r="C382" s="71"/>
      <c r="D382" s="71"/>
      <c r="E382" s="71"/>
      <c r="F382" s="73"/>
      <c r="G382" s="73"/>
      <c r="H382" s="73"/>
      <c r="I382" s="73"/>
      <c r="J382" s="73"/>
      <c r="K382" s="73"/>
    </row>
    <row r="383">
      <c r="C383" s="71"/>
      <c r="D383" s="71"/>
      <c r="E383" s="71"/>
      <c r="F383" s="73"/>
      <c r="G383" s="73"/>
      <c r="H383" s="73"/>
      <c r="I383" s="73"/>
      <c r="J383" s="73"/>
      <c r="K383" s="73"/>
    </row>
    <row r="384">
      <c r="C384" s="71"/>
      <c r="D384" s="71"/>
      <c r="E384" s="71"/>
      <c r="F384" s="73"/>
      <c r="G384" s="73"/>
      <c r="H384" s="73"/>
      <c r="I384" s="73"/>
      <c r="J384" s="73"/>
      <c r="K384" s="73"/>
    </row>
    <row r="385">
      <c r="C385" s="71"/>
      <c r="D385" s="71"/>
      <c r="E385" s="71"/>
      <c r="F385" s="73"/>
      <c r="G385" s="73"/>
      <c r="H385" s="73"/>
      <c r="I385" s="73"/>
      <c r="J385" s="73"/>
      <c r="K385" s="73"/>
    </row>
    <row r="386">
      <c r="C386" s="71"/>
      <c r="D386" s="71"/>
      <c r="E386" s="71"/>
      <c r="F386" s="73"/>
      <c r="G386" s="73"/>
      <c r="H386" s="73"/>
      <c r="I386" s="73"/>
      <c r="J386" s="73"/>
      <c r="K386" s="73"/>
    </row>
    <row r="387">
      <c r="C387" s="71"/>
      <c r="D387" s="71"/>
      <c r="E387" s="71"/>
      <c r="F387" s="73"/>
      <c r="G387" s="73"/>
      <c r="H387" s="73"/>
      <c r="I387" s="73"/>
      <c r="J387" s="73"/>
      <c r="K387" s="73"/>
    </row>
    <row r="388">
      <c r="C388" s="71"/>
      <c r="D388" s="71"/>
      <c r="E388" s="71"/>
      <c r="F388" s="73"/>
      <c r="G388" s="73"/>
      <c r="H388" s="73"/>
      <c r="I388" s="73"/>
      <c r="J388" s="73"/>
      <c r="K388" s="73"/>
    </row>
    <row r="389">
      <c r="C389" s="71"/>
      <c r="D389" s="71"/>
      <c r="E389" s="71"/>
      <c r="F389" s="73"/>
      <c r="G389" s="73"/>
      <c r="H389" s="73"/>
      <c r="I389" s="73"/>
      <c r="J389" s="73"/>
      <c r="K389" s="73"/>
    </row>
    <row r="390">
      <c r="C390" s="71"/>
      <c r="D390" s="71"/>
      <c r="E390" s="71"/>
      <c r="F390" s="73"/>
      <c r="G390" s="73"/>
      <c r="H390" s="73"/>
      <c r="I390" s="73"/>
      <c r="J390" s="73"/>
      <c r="K390" s="73"/>
    </row>
    <row r="391">
      <c r="C391" s="71"/>
      <c r="D391" s="71"/>
      <c r="E391" s="71"/>
      <c r="F391" s="73"/>
      <c r="G391" s="73"/>
      <c r="H391" s="73"/>
      <c r="I391" s="73"/>
      <c r="J391" s="73"/>
      <c r="K391" s="73"/>
    </row>
    <row r="392">
      <c r="C392" s="71"/>
      <c r="D392" s="71"/>
      <c r="E392" s="71"/>
      <c r="F392" s="73"/>
      <c r="G392" s="73"/>
      <c r="H392" s="73"/>
      <c r="I392" s="73"/>
      <c r="J392" s="73"/>
      <c r="K392" s="73"/>
    </row>
    <row r="393">
      <c r="C393" s="71"/>
      <c r="D393" s="71"/>
      <c r="E393" s="71"/>
      <c r="F393" s="73"/>
      <c r="G393" s="73"/>
      <c r="H393" s="73"/>
      <c r="I393" s="73"/>
      <c r="J393" s="73"/>
      <c r="K393" s="73"/>
    </row>
    <row r="394">
      <c r="C394" s="71"/>
      <c r="D394" s="71"/>
      <c r="E394" s="71"/>
      <c r="F394" s="73"/>
      <c r="G394" s="73"/>
      <c r="H394" s="73"/>
      <c r="I394" s="73"/>
      <c r="J394" s="73"/>
      <c r="K394" s="73"/>
    </row>
    <row r="395">
      <c r="C395" s="71"/>
      <c r="D395" s="71"/>
      <c r="E395" s="71"/>
      <c r="F395" s="73"/>
      <c r="G395" s="73"/>
      <c r="H395" s="73"/>
      <c r="I395" s="73"/>
      <c r="J395" s="73"/>
      <c r="K395" s="73"/>
    </row>
    <row r="396">
      <c r="C396" s="71"/>
      <c r="D396" s="71"/>
      <c r="E396" s="71"/>
      <c r="F396" s="73"/>
      <c r="G396" s="73"/>
      <c r="H396" s="73"/>
      <c r="I396" s="73"/>
      <c r="J396" s="73"/>
      <c r="K396" s="73"/>
    </row>
    <row r="397">
      <c r="C397" s="71"/>
      <c r="D397" s="71"/>
      <c r="E397" s="71"/>
      <c r="F397" s="73"/>
      <c r="G397" s="73"/>
      <c r="H397" s="73"/>
      <c r="I397" s="73"/>
      <c r="J397" s="73"/>
      <c r="K397" s="73"/>
    </row>
    <row r="398">
      <c r="C398" s="71"/>
      <c r="D398" s="71"/>
      <c r="E398" s="71"/>
      <c r="F398" s="73"/>
      <c r="G398" s="73"/>
      <c r="H398" s="73"/>
      <c r="I398" s="73"/>
      <c r="J398" s="73"/>
      <c r="K398" s="73"/>
    </row>
    <row r="399">
      <c r="C399" s="71"/>
      <c r="D399" s="71"/>
      <c r="E399" s="71"/>
      <c r="F399" s="73"/>
      <c r="G399" s="73"/>
      <c r="H399" s="73"/>
      <c r="I399" s="73"/>
      <c r="J399" s="73"/>
      <c r="K399" s="73"/>
    </row>
    <row r="400">
      <c r="C400" s="71"/>
      <c r="D400" s="71"/>
      <c r="E400" s="71"/>
      <c r="F400" s="73"/>
      <c r="G400" s="73"/>
      <c r="H400" s="73"/>
      <c r="I400" s="73"/>
      <c r="J400" s="73"/>
      <c r="K400" s="73"/>
    </row>
    <row r="401">
      <c r="C401" s="71"/>
      <c r="D401" s="71"/>
      <c r="E401" s="71"/>
      <c r="F401" s="73"/>
      <c r="G401" s="73"/>
      <c r="H401" s="73"/>
      <c r="I401" s="73"/>
      <c r="J401" s="73"/>
      <c r="K401" s="73"/>
    </row>
    <row r="402">
      <c r="C402" s="71"/>
      <c r="D402" s="71"/>
      <c r="E402" s="71"/>
      <c r="F402" s="73"/>
      <c r="G402" s="73"/>
      <c r="H402" s="73"/>
      <c r="I402" s="73"/>
      <c r="J402" s="73"/>
      <c r="K402" s="73"/>
    </row>
    <row r="403">
      <c r="C403" s="71"/>
      <c r="D403" s="71"/>
      <c r="E403" s="71"/>
      <c r="F403" s="73"/>
      <c r="G403" s="73"/>
      <c r="H403" s="73"/>
      <c r="I403" s="73"/>
      <c r="J403" s="73"/>
      <c r="K403" s="73"/>
    </row>
    <row r="404">
      <c r="C404" s="71"/>
      <c r="D404" s="71"/>
      <c r="E404" s="71"/>
      <c r="F404" s="73"/>
      <c r="G404" s="73"/>
      <c r="H404" s="73"/>
      <c r="I404" s="73"/>
      <c r="J404" s="73"/>
      <c r="K404" s="73"/>
    </row>
    <row r="405">
      <c r="C405" s="71"/>
      <c r="D405" s="71"/>
      <c r="E405" s="71"/>
      <c r="F405" s="73"/>
      <c r="G405" s="73"/>
      <c r="H405" s="73"/>
      <c r="I405" s="73"/>
      <c r="J405" s="73"/>
      <c r="K405" s="73"/>
    </row>
    <row r="406">
      <c r="C406" s="71"/>
      <c r="D406" s="71"/>
      <c r="E406" s="71"/>
      <c r="F406" s="73"/>
      <c r="G406" s="73"/>
      <c r="H406" s="73"/>
      <c r="I406" s="73"/>
      <c r="J406" s="73"/>
      <c r="K406" s="73"/>
    </row>
    <row r="407">
      <c r="C407" s="71"/>
      <c r="D407" s="71"/>
      <c r="E407" s="71"/>
      <c r="F407" s="73"/>
      <c r="G407" s="73"/>
      <c r="H407" s="73"/>
      <c r="I407" s="73"/>
      <c r="J407" s="73"/>
      <c r="K407" s="73"/>
    </row>
    <row r="408">
      <c r="C408" s="71"/>
      <c r="D408" s="71"/>
      <c r="E408" s="71"/>
      <c r="F408" s="73"/>
      <c r="G408" s="73"/>
      <c r="H408" s="73"/>
      <c r="I408" s="73"/>
      <c r="J408" s="73"/>
      <c r="K408" s="73"/>
    </row>
    <row r="409">
      <c r="C409" s="71"/>
      <c r="D409" s="71"/>
      <c r="E409" s="71"/>
      <c r="F409" s="73"/>
      <c r="G409" s="73"/>
      <c r="H409" s="73"/>
      <c r="I409" s="73"/>
      <c r="J409" s="73"/>
      <c r="K409" s="73"/>
    </row>
    <row r="410">
      <c r="C410" s="71"/>
      <c r="D410" s="71"/>
      <c r="E410" s="71"/>
      <c r="F410" s="73"/>
      <c r="G410" s="73"/>
      <c r="H410" s="73"/>
      <c r="I410" s="73"/>
      <c r="J410" s="73"/>
      <c r="K410" s="73"/>
    </row>
    <row r="411">
      <c r="C411" s="71"/>
      <c r="D411" s="71"/>
      <c r="E411" s="71"/>
      <c r="F411" s="73"/>
      <c r="G411" s="73"/>
      <c r="H411" s="73"/>
      <c r="I411" s="73"/>
      <c r="J411" s="73"/>
      <c r="K411" s="73"/>
    </row>
    <row r="412">
      <c r="C412" s="71"/>
      <c r="D412" s="71"/>
      <c r="E412" s="71"/>
      <c r="F412" s="73"/>
      <c r="G412" s="73"/>
      <c r="H412" s="73"/>
      <c r="I412" s="73"/>
      <c r="J412" s="73"/>
      <c r="K412" s="73"/>
    </row>
    <row r="413">
      <c r="C413" s="71"/>
      <c r="D413" s="71"/>
      <c r="E413" s="71"/>
      <c r="F413" s="73"/>
      <c r="G413" s="73"/>
      <c r="H413" s="73"/>
      <c r="I413" s="73"/>
      <c r="J413" s="73"/>
      <c r="K413" s="73"/>
    </row>
    <row r="414">
      <c r="C414" s="71"/>
      <c r="D414" s="71"/>
      <c r="E414" s="71"/>
      <c r="F414" s="73"/>
      <c r="G414" s="73"/>
      <c r="H414" s="73"/>
      <c r="I414" s="73"/>
      <c r="J414" s="73"/>
      <c r="K414" s="73"/>
    </row>
    <row r="415">
      <c r="C415" s="71"/>
      <c r="D415" s="71"/>
      <c r="E415" s="71"/>
      <c r="F415" s="73"/>
      <c r="G415" s="73"/>
      <c r="H415" s="73"/>
      <c r="I415" s="73"/>
      <c r="J415" s="73"/>
      <c r="K415" s="73"/>
    </row>
    <row r="416">
      <c r="C416" s="71"/>
      <c r="D416" s="71"/>
      <c r="E416" s="71"/>
      <c r="F416" s="73"/>
      <c r="G416" s="73"/>
      <c r="H416" s="73"/>
      <c r="I416" s="73"/>
      <c r="J416" s="73"/>
      <c r="K416" s="73"/>
    </row>
    <row r="417">
      <c r="C417" s="71"/>
      <c r="D417" s="71"/>
      <c r="E417" s="71"/>
      <c r="F417" s="73"/>
      <c r="G417" s="73"/>
      <c r="H417" s="73"/>
      <c r="I417" s="73"/>
      <c r="J417" s="73"/>
      <c r="K417" s="73"/>
    </row>
    <row r="418">
      <c r="C418" s="71"/>
      <c r="D418" s="71"/>
      <c r="E418" s="71"/>
      <c r="F418" s="73"/>
      <c r="G418" s="73"/>
      <c r="H418" s="73"/>
      <c r="I418" s="73"/>
      <c r="J418" s="73"/>
      <c r="K418" s="73"/>
    </row>
    <row r="419">
      <c r="C419" s="71"/>
      <c r="D419" s="71"/>
      <c r="E419" s="71"/>
      <c r="F419" s="73"/>
      <c r="G419" s="73"/>
      <c r="H419" s="73"/>
      <c r="I419" s="73"/>
      <c r="J419" s="73"/>
      <c r="K419" s="73"/>
    </row>
    <row r="420">
      <c r="C420" s="71"/>
      <c r="D420" s="71"/>
      <c r="E420" s="71"/>
      <c r="F420" s="73"/>
      <c r="G420" s="73"/>
      <c r="H420" s="73"/>
      <c r="I420" s="73"/>
      <c r="J420" s="73"/>
      <c r="K420" s="73"/>
    </row>
    <row r="421">
      <c r="C421" s="71"/>
      <c r="D421" s="71"/>
      <c r="E421" s="71"/>
      <c r="F421" s="73"/>
      <c r="G421" s="73"/>
      <c r="H421" s="73"/>
      <c r="I421" s="73"/>
      <c r="J421" s="73"/>
      <c r="K421" s="73"/>
    </row>
    <row r="422">
      <c r="C422" s="71"/>
      <c r="D422" s="71"/>
      <c r="E422" s="71"/>
      <c r="F422" s="73"/>
      <c r="G422" s="73"/>
      <c r="H422" s="73"/>
      <c r="I422" s="73"/>
      <c r="J422" s="73"/>
      <c r="K422" s="73"/>
    </row>
    <row r="423">
      <c r="C423" s="71"/>
      <c r="D423" s="71"/>
      <c r="E423" s="71"/>
      <c r="F423" s="73"/>
      <c r="G423" s="73"/>
      <c r="H423" s="73"/>
      <c r="I423" s="73"/>
      <c r="J423" s="73"/>
      <c r="K423" s="73"/>
    </row>
    <row r="424">
      <c r="C424" s="71"/>
      <c r="D424" s="71"/>
      <c r="E424" s="71"/>
      <c r="F424" s="73"/>
      <c r="G424" s="73"/>
      <c r="H424" s="73"/>
      <c r="I424" s="73"/>
      <c r="J424" s="73"/>
      <c r="K424" s="73"/>
    </row>
    <row r="425">
      <c r="C425" s="71"/>
      <c r="D425" s="71"/>
      <c r="E425" s="71"/>
      <c r="F425" s="73"/>
      <c r="G425" s="73"/>
      <c r="H425" s="73"/>
      <c r="I425" s="73"/>
      <c r="J425" s="73"/>
      <c r="K425" s="73"/>
    </row>
    <row r="426">
      <c r="C426" s="71"/>
      <c r="D426" s="71"/>
      <c r="E426" s="71"/>
      <c r="F426" s="73"/>
      <c r="G426" s="73"/>
      <c r="H426" s="73"/>
      <c r="I426" s="73"/>
      <c r="J426" s="73"/>
      <c r="K426" s="73"/>
    </row>
    <row r="427">
      <c r="C427" s="71"/>
      <c r="D427" s="71"/>
      <c r="E427" s="71"/>
      <c r="F427" s="73"/>
      <c r="G427" s="73"/>
      <c r="H427" s="73"/>
      <c r="I427" s="73"/>
      <c r="J427" s="73"/>
      <c r="K427" s="73"/>
    </row>
    <row r="428">
      <c r="C428" s="71"/>
      <c r="D428" s="71"/>
      <c r="E428" s="71"/>
      <c r="F428" s="73"/>
      <c r="G428" s="73"/>
      <c r="H428" s="73"/>
      <c r="I428" s="73"/>
      <c r="J428" s="73"/>
      <c r="K428" s="73"/>
    </row>
    <row r="429">
      <c r="C429" s="71"/>
      <c r="D429" s="71"/>
      <c r="E429" s="71"/>
      <c r="F429" s="73"/>
      <c r="G429" s="73"/>
      <c r="H429" s="73"/>
      <c r="I429" s="73"/>
      <c r="J429" s="73"/>
      <c r="K429" s="73"/>
    </row>
    <row r="430">
      <c r="C430" s="71"/>
      <c r="D430" s="71"/>
      <c r="E430" s="71"/>
      <c r="F430" s="73"/>
      <c r="G430" s="73"/>
      <c r="H430" s="73"/>
      <c r="I430" s="73"/>
      <c r="J430" s="73"/>
      <c r="K430" s="73"/>
    </row>
    <row r="431">
      <c r="C431" s="71"/>
      <c r="D431" s="71"/>
      <c r="E431" s="71"/>
      <c r="F431" s="73"/>
      <c r="G431" s="73"/>
      <c r="H431" s="73"/>
      <c r="I431" s="73"/>
      <c r="J431" s="73"/>
      <c r="K431" s="73"/>
    </row>
    <row r="432">
      <c r="C432" s="71"/>
      <c r="D432" s="71"/>
      <c r="E432" s="71"/>
      <c r="F432" s="73"/>
      <c r="G432" s="73"/>
      <c r="H432" s="73"/>
      <c r="I432" s="73"/>
      <c r="J432" s="73"/>
      <c r="K432" s="73"/>
    </row>
    <row r="433">
      <c r="C433" s="71"/>
      <c r="D433" s="71"/>
      <c r="E433" s="71"/>
      <c r="F433" s="73"/>
      <c r="G433" s="73"/>
      <c r="H433" s="73"/>
      <c r="I433" s="73"/>
      <c r="J433" s="73"/>
      <c r="K433" s="73"/>
    </row>
    <row r="434">
      <c r="C434" s="71"/>
      <c r="D434" s="71"/>
      <c r="E434" s="71"/>
      <c r="F434" s="73"/>
      <c r="G434" s="73"/>
      <c r="H434" s="73"/>
      <c r="I434" s="73"/>
      <c r="J434" s="73"/>
      <c r="K434" s="73"/>
    </row>
    <row r="435">
      <c r="C435" s="71"/>
      <c r="D435" s="71"/>
      <c r="E435" s="71"/>
      <c r="F435" s="73"/>
      <c r="G435" s="73"/>
      <c r="H435" s="73"/>
      <c r="I435" s="73"/>
      <c r="J435" s="73"/>
      <c r="K435" s="73"/>
    </row>
    <row r="436">
      <c r="C436" s="71"/>
      <c r="D436" s="71"/>
      <c r="E436" s="71"/>
      <c r="F436" s="73"/>
      <c r="G436" s="73"/>
      <c r="H436" s="73"/>
      <c r="I436" s="73"/>
      <c r="J436" s="73"/>
      <c r="K436" s="73"/>
    </row>
    <row r="437">
      <c r="C437" s="71"/>
      <c r="D437" s="71"/>
      <c r="E437" s="71"/>
      <c r="F437" s="73"/>
      <c r="G437" s="73"/>
      <c r="H437" s="73"/>
      <c r="I437" s="73"/>
      <c r="J437" s="73"/>
      <c r="K437" s="73"/>
    </row>
    <row r="438">
      <c r="C438" s="71"/>
      <c r="D438" s="71"/>
      <c r="E438" s="71"/>
      <c r="F438" s="73"/>
      <c r="G438" s="73"/>
      <c r="H438" s="73"/>
      <c r="I438" s="73"/>
      <c r="J438" s="73"/>
      <c r="K438" s="73"/>
    </row>
    <row r="439">
      <c r="C439" s="71"/>
      <c r="D439" s="71"/>
      <c r="E439" s="71"/>
      <c r="F439" s="73"/>
      <c r="G439" s="73"/>
      <c r="H439" s="73"/>
      <c r="I439" s="73"/>
      <c r="J439" s="73"/>
      <c r="K439" s="73"/>
    </row>
    <row r="440">
      <c r="C440" s="71"/>
      <c r="D440" s="71"/>
      <c r="E440" s="71"/>
      <c r="F440" s="73"/>
      <c r="G440" s="73"/>
      <c r="H440" s="73"/>
      <c r="I440" s="73"/>
      <c r="J440" s="73"/>
      <c r="K440" s="73"/>
    </row>
    <row r="441">
      <c r="C441" s="71"/>
      <c r="D441" s="71"/>
      <c r="E441" s="71"/>
      <c r="F441" s="73"/>
      <c r="G441" s="73"/>
      <c r="H441" s="73"/>
      <c r="I441" s="73"/>
      <c r="J441" s="73"/>
      <c r="K441" s="73"/>
    </row>
    <row r="442">
      <c r="C442" s="71"/>
      <c r="D442" s="71"/>
      <c r="E442" s="71"/>
      <c r="F442" s="73"/>
      <c r="G442" s="73"/>
      <c r="H442" s="73"/>
      <c r="I442" s="73"/>
      <c r="J442" s="73"/>
      <c r="K442" s="73"/>
    </row>
    <row r="443">
      <c r="C443" s="71"/>
      <c r="D443" s="71"/>
      <c r="E443" s="71"/>
      <c r="F443" s="73"/>
      <c r="G443" s="73"/>
      <c r="H443" s="73"/>
      <c r="I443" s="73"/>
      <c r="J443" s="73"/>
      <c r="K443" s="73"/>
    </row>
    <row r="444">
      <c r="C444" s="71"/>
      <c r="D444" s="71"/>
      <c r="E444" s="71"/>
      <c r="F444" s="73"/>
      <c r="G444" s="73"/>
      <c r="H444" s="73"/>
      <c r="I444" s="73"/>
      <c r="J444" s="73"/>
      <c r="K444" s="73"/>
    </row>
    <row r="445">
      <c r="C445" s="71"/>
      <c r="D445" s="71"/>
      <c r="E445" s="71"/>
      <c r="F445" s="73"/>
      <c r="G445" s="73"/>
      <c r="H445" s="73"/>
      <c r="I445" s="73"/>
      <c r="J445" s="73"/>
      <c r="K445" s="73"/>
    </row>
    <row r="446">
      <c r="C446" s="71"/>
      <c r="D446" s="71"/>
      <c r="E446" s="71"/>
      <c r="F446" s="73"/>
      <c r="G446" s="73"/>
      <c r="H446" s="73"/>
      <c r="I446" s="73"/>
      <c r="J446" s="73"/>
      <c r="K446" s="73"/>
    </row>
    <row r="447">
      <c r="C447" s="71"/>
      <c r="D447" s="71"/>
      <c r="E447" s="71"/>
      <c r="F447" s="73"/>
      <c r="G447" s="73"/>
      <c r="H447" s="73"/>
      <c r="I447" s="73"/>
      <c r="J447" s="73"/>
      <c r="K447" s="73"/>
    </row>
    <row r="448">
      <c r="C448" s="71"/>
      <c r="D448" s="71"/>
      <c r="E448" s="71"/>
      <c r="F448" s="73"/>
      <c r="G448" s="73"/>
      <c r="H448" s="73"/>
      <c r="I448" s="73"/>
      <c r="J448" s="73"/>
      <c r="K448" s="73"/>
    </row>
    <row r="449">
      <c r="C449" s="71"/>
      <c r="D449" s="71"/>
      <c r="E449" s="71"/>
      <c r="F449" s="73"/>
      <c r="G449" s="73"/>
      <c r="H449" s="73"/>
      <c r="I449" s="73"/>
      <c r="J449" s="73"/>
      <c r="K449" s="73"/>
    </row>
    <row r="450">
      <c r="C450" s="71"/>
      <c r="D450" s="71"/>
      <c r="E450" s="71"/>
      <c r="F450" s="73"/>
      <c r="G450" s="73"/>
      <c r="H450" s="73"/>
      <c r="I450" s="73"/>
      <c r="J450" s="73"/>
      <c r="K450" s="73"/>
    </row>
    <row r="451">
      <c r="C451" s="71"/>
      <c r="D451" s="71"/>
      <c r="E451" s="71"/>
      <c r="F451" s="73"/>
      <c r="G451" s="73"/>
      <c r="H451" s="73"/>
      <c r="I451" s="73"/>
      <c r="J451" s="73"/>
      <c r="K451" s="73"/>
    </row>
    <row r="452">
      <c r="C452" s="71"/>
      <c r="D452" s="71"/>
      <c r="E452" s="71"/>
      <c r="F452" s="73"/>
      <c r="G452" s="73"/>
      <c r="H452" s="73"/>
      <c r="I452" s="73"/>
      <c r="J452" s="73"/>
      <c r="K452" s="73"/>
    </row>
    <row r="453">
      <c r="C453" s="71"/>
      <c r="D453" s="71"/>
      <c r="E453" s="71"/>
      <c r="F453" s="73"/>
      <c r="G453" s="73"/>
      <c r="H453" s="73"/>
      <c r="I453" s="73"/>
      <c r="J453" s="73"/>
      <c r="K453" s="73"/>
    </row>
    <row r="454">
      <c r="C454" s="71"/>
      <c r="D454" s="71"/>
      <c r="E454" s="71"/>
      <c r="F454" s="73"/>
      <c r="G454" s="73"/>
      <c r="H454" s="73"/>
      <c r="I454" s="73"/>
      <c r="J454" s="73"/>
      <c r="K454" s="73"/>
    </row>
    <row r="455">
      <c r="C455" s="71"/>
      <c r="D455" s="71"/>
      <c r="E455" s="71"/>
      <c r="F455" s="73"/>
      <c r="G455" s="73"/>
      <c r="H455" s="73"/>
      <c r="I455" s="73"/>
      <c r="J455" s="73"/>
      <c r="K455" s="73"/>
    </row>
    <row r="456">
      <c r="C456" s="71"/>
      <c r="D456" s="71"/>
      <c r="E456" s="71"/>
      <c r="F456" s="73"/>
      <c r="G456" s="73"/>
      <c r="H456" s="73"/>
      <c r="I456" s="73"/>
      <c r="J456" s="73"/>
      <c r="K456" s="73"/>
    </row>
    <row r="457">
      <c r="C457" s="71"/>
      <c r="D457" s="71"/>
      <c r="E457" s="71"/>
      <c r="F457" s="73"/>
      <c r="G457" s="73"/>
      <c r="H457" s="73"/>
      <c r="I457" s="73"/>
      <c r="J457" s="73"/>
      <c r="K457" s="73"/>
    </row>
    <row r="458">
      <c r="C458" s="71"/>
      <c r="D458" s="71"/>
      <c r="E458" s="71"/>
      <c r="F458" s="73"/>
      <c r="G458" s="73"/>
      <c r="H458" s="73"/>
      <c r="I458" s="73"/>
      <c r="J458" s="73"/>
      <c r="K458" s="73"/>
    </row>
    <row r="459">
      <c r="C459" s="71"/>
      <c r="D459" s="71"/>
      <c r="E459" s="71"/>
      <c r="F459" s="73"/>
      <c r="G459" s="73"/>
      <c r="H459" s="73"/>
      <c r="I459" s="73"/>
      <c r="J459" s="73"/>
      <c r="K459" s="73"/>
    </row>
    <row r="460">
      <c r="C460" s="71"/>
      <c r="D460" s="71"/>
      <c r="E460" s="71"/>
      <c r="F460" s="73"/>
      <c r="G460" s="73"/>
      <c r="H460" s="73"/>
      <c r="I460" s="73"/>
      <c r="J460" s="73"/>
      <c r="K460" s="73"/>
    </row>
    <row r="461">
      <c r="C461" s="71"/>
      <c r="D461" s="71"/>
      <c r="E461" s="71"/>
      <c r="F461" s="73"/>
      <c r="G461" s="73"/>
      <c r="H461" s="73"/>
      <c r="I461" s="73"/>
      <c r="J461" s="73"/>
      <c r="K461" s="73"/>
    </row>
    <row r="462">
      <c r="C462" s="71"/>
      <c r="D462" s="71"/>
      <c r="E462" s="71"/>
      <c r="F462" s="73"/>
      <c r="G462" s="73"/>
      <c r="H462" s="73"/>
      <c r="I462" s="73"/>
      <c r="J462" s="73"/>
      <c r="K462" s="73"/>
    </row>
    <row r="463">
      <c r="C463" s="71"/>
      <c r="D463" s="71"/>
      <c r="E463" s="71"/>
      <c r="F463" s="73"/>
      <c r="G463" s="73"/>
      <c r="H463" s="73"/>
      <c r="I463" s="73"/>
      <c r="J463" s="73"/>
      <c r="K463" s="73"/>
    </row>
    <row r="464">
      <c r="C464" s="71"/>
      <c r="D464" s="71"/>
      <c r="E464" s="71"/>
      <c r="F464" s="73"/>
      <c r="G464" s="73"/>
      <c r="H464" s="73"/>
      <c r="I464" s="73"/>
      <c r="J464" s="73"/>
      <c r="K464" s="73"/>
    </row>
    <row r="465">
      <c r="C465" s="71"/>
      <c r="D465" s="71"/>
      <c r="E465" s="71"/>
      <c r="F465" s="73"/>
      <c r="G465" s="73"/>
      <c r="H465" s="73"/>
      <c r="I465" s="73"/>
      <c r="J465" s="73"/>
      <c r="K465" s="73"/>
    </row>
    <row r="466">
      <c r="C466" s="71"/>
      <c r="D466" s="71"/>
      <c r="E466" s="71"/>
      <c r="F466" s="73"/>
      <c r="G466" s="73"/>
      <c r="H466" s="73"/>
      <c r="I466" s="73"/>
      <c r="J466" s="73"/>
      <c r="K466" s="73"/>
    </row>
    <row r="467">
      <c r="C467" s="71"/>
      <c r="D467" s="71"/>
      <c r="E467" s="71"/>
      <c r="F467" s="73"/>
      <c r="G467" s="73"/>
      <c r="H467" s="73"/>
      <c r="I467" s="73"/>
      <c r="J467" s="73"/>
      <c r="K467" s="73"/>
    </row>
    <row r="468">
      <c r="C468" s="71"/>
      <c r="D468" s="71"/>
      <c r="E468" s="71"/>
      <c r="F468" s="73"/>
      <c r="G468" s="73"/>
      <c r="H468" s="73"/>
      <c r="I468" s="73"/>
      <c r="J468" s="73"/>
      <c r="K468" s="73"/>
    </row>
    <row r="469">
      <c r="C469" s="71"/>
      <c r="D469" s="71"/>
      <c r="E469" s="71"/>
      <c r="F469" s="73"/>
      <c r="G469" s="73"/>
      <c r="H469" s="73"/>
      <c r="I469" s="73"/>
      <c r="J469" s="73"/>
      <c r="K469" s="73"/>
    </row>
    <row r="470">
      <c r="C470" s="71"/>
      <c r="D470" s="71"/>
      <c r="E470" s="71"/>
      <c r="F470" s="73"/>
      <c r="G470" s="73"/>
      <c r="H470" s="73"/>
      <c r="I470" s="73"/>
      <c r="J470" s="73"/>
      <c r="K470" s="73"/>
    </row>
    <row r="471">
      <c r="C471" s="71"/>
      <c r="D471" s="71"/>
      <c r="E471" s="71"/>
      <c r="F471" s="73"/>
      <c r="G471" s="73"/>
      <c r="H471" s="73"/>
      <c r="I471" s="73"/>
      <c r="J471" s="73"/>
      <c r="K471" s="73"/>
    </row>
    <row r="472">
      <c r="C472" s="71"/>
      <c r="D472" s="71"/>
      <c r="E472" s="71"/>
      <c r="F472" s="73"/>
      <c r="G472" s="73"/>
      <c r="H472" s="73"/>
      <c r="I472" s="73"/>
      <c r="J472" s="73"/>
      <c r="K472" s="73"/>
    </row>
    <row r="473">
      <c r="C473" s="71"/>
      <c r="D473" s="71"/>
      <c r="E473" s="71"/>
      <c r="F473" s="73"/>
      <c r="G473" s="73"/>
      <c r="H473" s="73"/>
      <c r="I473" s="73"/>
      <c r="J473" s="73"/>
      <c r="K473" s="73"/>
    </row>
    <row r="474">
      <c r="C474" s="71"/>
      <c r="D474" s="71"/>
      <c r="E474" s="71"/>
      <c r="F474" s="73"/>
      <c r="G474" s="73"/>
      <c r="H474" s="73"/>
      <c r="I474" s="73"/>
      <c r="J474" s="73"/>
      <c r="K474" s="73"/>
    </row>
    <row r="475">
      <c r="C475" s="71"/>
      <c r="D475" s="71"/>
      <c r="E475" s="71"/>
      <c r="F475" s="73"/>
      <c r="G475" s="73"/>
      <c r="H475" s="73"/>
      <c r="I475" s="73"/>
      <c r="J475" s="73"/>
      <c r="K475" s="73"/>
    </row>
    <row r="476">
      <c r="C476" s="71"/>
      <c r="D476" s="71"/>
      <c r="E476" s="71"/>
      <c r="F476" s="73"/>
      <c r="G476" s="73"/>
      <c r="H476" s="73"/>
      <c r="I476" s="73"/>
      <c r="J476" s="73"/>
      <c r="K476" s="73"/>
    </row>
    <row r="477">
      <c r="C477" s="71"/>
      <c r="D477" s="71"/>
      <c r="E477" s="71"/>
      <c r="F477" s="73"/>
      <c r="G477" s="73"/>
      <c r="H477" s="73"/>
      <c r="I477" s="73"/>
      <c r="J477" s="73"/>
      <c r="K477" s="73"/>
    </row>
    <row r="478">
      <c r="C478" s="71"/>
      <c r="D478" s="71"/>
      <c r="E478" s="71"/>
      <c r="F478" s="73"/>
      <c r="G478" s="73"/>
      <c r="H478" s="73"/>
      <c r="I478" s="73"/>
      <c r="J478" s="73"/>
      <c r="K478" s="73"/>
    </row>
    <row r="479">
      <c r="C479" s="71"/>
      <c r="D479" s="71"/>
      <c r="E479" s="71"/>
      <c r="F479" s="73"/>
      <c r="G479" s="73"/>
      <c r="H479" s="73"/>
      <c r="I479" s="73"/>
      <c r="J479" s="73"/>
      <c r="K479" s="73"/>
    </row>
    <row r="480">
      <c r="C480" s="71"/>
      <c r="D480" s="71"/>
      <c r="E480" s="71"/>
      <c r="F480" s="73"/>
      <c r="G480" s="73"/>
      <c r="H480" s="73"/>
      <c r="I480" s="73"/>
      <c r="J480" s="73"/>
      <c r="K480" s="73"/>
    </row>
    <row r="481">
      <c r="C481" s="71"/>
      <c r="D481" s="71"/>
      <c r="E481" s="71"/>
      <c r="F481" s="73"/>
      <c r="G481" s="73"/>
      <c r="H481" s="73"/>
      <c r="I481" s="73"/>
      <c r="J481" s="73"/>
      <c r="K481" s="73"/>
    </row>
    <row r="482">
      <c r="C482" s="71"/>
      <c r="D482" s="71"/>
      <c r="E482" s="71"/>
      <c r="F482" s="73"/>
      <c r="G482" s="73"/>
      <c r="H482" s="73"/>
      <c r="I482" s="73"/>
      <c r="J482" s="73"/>
      <c r="K482" s="73"/>
    </row>
    <row r="483">
      <c r="C483" s="71"/>
      <c r="D483" s="71"/>
      <c r="E483" s="71"/>
      <c r="F483" s="73"/>
      <c r="G483" s="73"/>
      <c r="H483" s="73"/>
      <c r="I483" s="73"/>
      <c r="J483" s="73"/>
      <c r="K483" s="73"/>
    </row>
    <row r="484">
      <c r="C484" s="71"/>
      <c r="D484" s="71"/>
      <c r="E484" s="71"/>
      <c r="F484" s="73"/>
      <c r="G484" s="73"/>
      <c r="H484" s="73"/>
      <c r="I484" s="73"/>
      <c r="J484" s="73"/>
      <c r="K484" s="73"/>
    </row>
    <row r="485">
      <c r="C485" s="71"/>
      <c r="D485" s="71"/>
      <c r="E485" s="71"/>
      <c r="F485" s="73"/>
      <c r="G485" s="73"/>
      <c r="H485" s="73"/>
      <c r="I485" s="73"/>
      <c r="J485" s="73"/>
      <c r="K485" s="73"/>
    </row>
    <row r="486">
      <c r="C486" s="71"/>
      <c r="D486" s="71"/>
      <c r="E486" s="71"/>
      <c r="F486" s="73"/>
      <c r="G486" s="73"/>
      <c r="H486" s="73"/>
      <c r="I486" s="73"/>
      <c r="J486" s="73"/>
      <c r="K486" s="73"/>
    </row>
    <row r="487">
      <c r="C487" s="71"/>
      <c r="D487" s="71"/>
      <c r="E487" s="71"/>
      <c r="F487" s="73"/>
      <c r="G487" s="73"/>
      <c r="H487" s="73"/>
      <c r="I487" s="73"/>
      <c r="J487" s="73"/>
      <c r="K487" s="73"/>
    </row>
    <row r="488">
      <c r="C488" s="71"/>
      <c r="D488" s="71"/>
      <c r="E488" s="71"/>
      <c r="F488" s="73"/>
      <c r="G488" s="73"/>
      <c r="H488" s="73"/>
      <c r="I488" s="73"/>
      <c r="J488" s="73"/>
      <c r="K488" s="73"/>
    </row>
    <row r="489">
      <c r="C489" s="71"/>
      <c r="D489" s="71"/>
      <c r="E489" s="71"/>
      <c r="F489" s="73"/>
      <c r="G489" s="73"/>
      <c r="H489" s="73"/>
      <c r="I489" s="73"/>
      <c r="J489" s="73"/>
      <c r="K489" s="73"/>
    </row>
    <row r="490">
      <c r="C490" s="71"/>
      <c r="D490" s="71"/>
      <c r="E490" s="71"/>
      <c r="F490" s="73"/>
      <c r="G490" s="73"/>
      <c r="H490" s="73"/>
      <c r="I490" s="73"/>
      <c r="J490" s="73"/>
      <c r="K490" s="73"/>
    </row>
    <row r="491">
      <c r="C491" s="71"/>
      <c r="D491" s="71"/>
      <c r="E491" s="71"/>
      <c r="F491" s="73"/>
      <c r="G491" s="73"/>
      <c r="H491" s="73"/>
      <c r="I491" s="73"/>
      <c r="J491" s="73"/>
      <c r="K491" s="73"/>
    </row>
    <row r="492">
      <c r="C492" s="71"/>
      <c r="D492" s="71"/>
      <c r="E492" s="71"/>
      <c r="F492" s="73"/>
      <c r="G492" s="73"/>
      <c r="H492" s="73"/>
      <c r="I492" s="73"/>
      <c r="J492" s="73"/>
      <c r="K492" s="73"/>
    </row>
    <row r="493">
      <c r="C493" s="71"/>
      <c r="D493" s="71"/>
      <c r="E493" s="71"/>
      <c r="F493" s="73"/>
      <c r="G493" s="73"/>
      <c r="H493" s="73"/>
      <c r="I493" s="73"/>
      <c r="J493" s="73"/>
      <c r="K493" s="73"/>
    </row>
    <row r="494">
      <c r="C494" s="71"/>
      <c r="D494" s="71"/>
      <c r="E494" s="71"/>
      <c r="F494" s="73"/>
      <c r="G494" s="73"/>
      <c r="H494" s="73"/>
      <c r="I494" s="73"/>
      <c r="J494" s="73"/>
      <c r="K494" s="73"/>
    </row>
    <row r="495">
      <c r="C495" s="71"/>
      <c r="D495" s="71"/>
      <c r="E495" s="71"/>
      <c r="F495" s="73"/>
      <c r="G495" s="73"/>
      <c r="H495" s="73"/>
      <c r="I495" s="73"/>
      <c r="J495" s="73"/>
      <c r="K495" s="73"/>
    </row>
    <row r="496">
      <c r="C496" s="71"/>
      <c r="D496" s="71"/>
      <c r="E496" s="71"/>
      <c r="F496" s="73"/>
      <c r="G496" s="73"/>
      <c r="H496" s="73"/>
      <c r="I496" s="73"/>
      <c r="J496" s="73"/>
      <c r="K496" s="73"/>
    </row>
    <row r="497">
      <c r="C497" s="71"/>
      <c r="D497" s="71"/>
      <c r="E497" s="71"/>
      <c r="F497" s="73"/>
      <c r="G497" s="73"/>
      <c r="H497" s="73"/>
      <c r="I497" s="73"/>
      <c r="J497" s="73"/>
      <c r="K497" s="73"/>
    </row>
    <row r="498">
      <c r="C498" s="71"/>
      <c r="D498" s="71"/>
      <c r="E498" s="71"/>
      <c r="F498" s="73"/>
      <c r="G498" s="73"/>
      <c r="H498" s="73"/>
      <c r="I498" s="73"/>
      <c r="J498" s="73"/>
      <c r="K498" s="73"/>
    </row>
    <row r="499">
      <c r="C499" s="71"/>
      <c r="D499" s="71"/>
      <c r="E499" s="71"/>
      <c r="F499" s="73"/>
      <c r="G499" s="73"/>
      <c r="H499" s="73"/>
      <c r="I499" s="73"/>
      <c r="J499" s="73"/>
      <c r="K499" s="73"/>
    </row>
    <row r="500">
      <c r="C500" s="71"/>
      <c r="D500" s="71"/>
      <c r="E500" s="71"/>
      <c r="F500" s="73"/>
      <c r="G500" s="73"/>
      <c r="H500" s="73"/>
      <c r="I500" s="73"/>
      <c r="J500" s="73"/>
      <c r="K500" s="73"/>
    </row>
    <row r="501">
      <c r="C501" s="71"/>
      <c r="D501" s="71"/>
      <c r="E501" s="71"/>
      <c r="F501" s="73"/>
      <c r="G501" s="73"/>
      <c r="H501" s="73"/>
      <c r="I501" s="73"/>
      <c r="J501" s="73"/>
      <c r="K501" s="73"/>
    </row>
    <row r="502">
      <c r="C502" s="71"/>
      <c r="D502" s="71"/>
      <c r="E502" s="71"/>
      <c r="F502" s="73"/>
      <c r="G502" s="73"/>
      <c r="H502" s="73"/>
      <c r="I502" s="73"/>
      <c r="J502" s="73"/>
      <c r="K502" s="73"/>
    </row>
    <row r="503">
      <c r="C503" s="71"/>
      <c r="D503" s="71"/>
      <c r="E503" s="71"/>
      <c r="F503" s="73"/>
      <c r="G503" s="73"/>
      <c r="H503" s="73"/>
      <c r="I503" s="73"/>
      <c r="J503" s="73"/>
      <c r="K503" s="73"/>
    </row>
    <row r="504">
      <c r="C504" s="71"/>
      <c r="D504" s="71"/>
      <c r="E504" s="71"/>
      <c r="F504" s="73"/>
      <c r="G504" s="73"/>
      <c r="H504" s="73"/>
      <c r="I504" s="73"/>
      <c r="J504" s="73"/>
      <c r="K504" s="73"/>
    </row>
    <row r="505">
      <c r="C505" s="71"/>
      <c r="D505" s="71"/>
      <c r="E505" s="71"/>
      <c r="F505" s="73"/>
      <c r="G505" s="73"/>
      <c r="H505" s="73"/>
      <c r="I505" s="73"/>
      <c r="J505" s="73"/>
      <c r="K505" s="73"/>
    </row>
    <row r="506">
      <c r="C506" s="71"/>
      <c r="D506" s="71"/>
      <c r="E506" s="71"/>
      <c r="F506" s="73"/>
      <c r="G506" s="73"/>
      <c r="H506" s="73"/>
      <c r="I506" s="73"/>
      <c r="J506" s="73"/>
      <c r="K506" s="73"/>
    </row>
    <row r="507">
      <c r="C507" s="71"/>
      <c r="D507" s="71"/>
      <c r="E507" s="71"/>
      <c r="F507" s="73"/>
      <c r="G507" s="73"/>
      <c r="H507" s="73"/>
      <c r="I507" s="73"/>
      <c r="J507" s="73"/>
      <c r="K507" s="73"/>
    </row>
    <row r="508">
      <c r="C508" s="71"/>
      <c r="D508" s="71"/>
      <c r="E508" s="71"/>
      <c r="F508" s="73"/>
      <c r="G508" s="73"/>
      <c r="H508" s="73"/>
      <c r="I508" s="73"/>
      <c r="J508" s="73"/>
      <c r="K508" s="73"/>
    </row>
    <row r="509">
      <c r="C509" s="71"/>
      <c r="D509" s="71"/>
      <c r="E509" s="71"/>
      <c r="F509" s="73"/>
      <c r="G509" s="73"/>
      <c r="H509" s="73"/>
      <c r="I509" s="73"/>
      <c r="J509" s="73"/>
      <c r="K509" s="73"/>
    </row>
    <row r="510">
      <c r="C510" s="71"/>
      <c r="D510" s="71"/>
      <c r="E510" s="71"/>
      <c r="F510" s="73"/>
      <c r="G510" s="73"/>
      <c r="H510" s="73"/>
      <c r="I510" s="73"/>
      <c r="J510" s="73"/>
      <c r="K510" s="73"/>
    </row>
    <row r="511">
      <c r="C511" s="71"/>
      <c r="D511" s="71"/>
      <c r="E511" s="71"/>
      <c r="F511" s="73"/>
      <c r="G511" s="73"/>
      <c r="H511" s="73"/>
      <c r="I511" s="73"/>
      <c r="J511" s="73"/>
      <c r="K511" s="73"/>
    </row>
    <row r="512">
      <c r="C512" s="71"/>
      <c r="D512" s="71"/>
      <c r="E512" s="71"/>
      <c r="F512" s="73"/>
      <c r="G512" s="73"/>
      <c r="H512" s="73"/>
      <c r="I512" s="73"/>
      <c r="J512" s="73"/>
      <c r="K512" s="73"/>
    </row>
    <row r="513">
      <c r="C513" s="71"/>
      <c r="D513" s="71"/>
      <c r="E513" s="71"/>
      <c r="F513" s="73"/>
      <c r="G513" s="73"/>
      <c r="H513" s="73"/>
      <c r="I513" s="73"/>
      <c r="J513" s="73"/>
      <c r="K513" s="73"/>
    </row>
    <row r="514">
      <c r="C514" s="71"/>
      <c r="D514" s="71"/>
      <c r="E514" s="71"/>
      <c r="F514" s="73"/>
      <c r="G514" s="73"/>
      <c r="H514" s="73"/>
      <c r="I514" s="73"/>
      <c r="J514" s="73"/>
      <c r="K514" s="73"/>
    </row>
    <row r="515">
      <c r="C515" s="71"/>
      <c r="D515" s="71"/>
      <c r="E515" s="71"/>
      <c r="F515" s="73"/>
      <c r="G515" s="73"/>
      <c r="H515" s="73"/>
      <c r="I515" s="73"/>
      <c r="J515" s="73"/>
      <c r="K515" s="73"/>
    </row>
    <row r="516">
      <c r="C516" s="71"/>
      <c r="D516" s="71"/>
      <c r="E516" s="71"/>
      <c r="F516" s="73"/>
      <c r="G516" s="73"/>
      <c r="H516" s="73"/>
      <c r="I516" s="73"/>
      <c r="J516" s="73"/>
      <c r="K516" s="73"/>
    </row>
    <row r="517">
      <c r="C517" s="71"/>
      <c r="D517" s="71"/>
      <c r="E517" s="71"/>
      <c r="F517" s="73"/>
      <c r="G517" s="73"/>
      <c r="H517" s="73"/>
      <c r="I517" s="73"/>
      <c r="J517" s="73"/>
      <c r="K517" s="73"/>
    </row>
    <row r="518">
      <c r="C518" s="71"/>
      <c r="D518" s="71"/>
      <c r="E518" s="71"/>
      <c r="F518" s="73"/>
      <c r="G518" s="73"/>
      <c r="H518" s="73"/>
      <c r="I518" s="73"/>
      <c r="J518" s="73"/>
      <c r="K518" s="73"/>
    </row>
    <row r="519">
      <c r="C519" s="71"/>
      <c r="D519" s="71"/>
      <c r="E519" s="71"/>
      <c r="F519" s="73"/>
      <c r="G519" s="73"/>
      <c r="H519" s="73"/>
      <c r="I519" s="73"/>
      <c r="J519" s="73"/>
      <c r="K519" s="73"/>
    </row>
    <row r="520">
      <c r="C520" s="71"/>
      <c r="D520" s="71"/>
      <c r="E520" s="71"/>
      <c r="F520" s="73"/>
      <c r="G520" s="73"/>
      <c r="H520" s="73"/>
      <c r="I520" s="73"/>
      <c r="J520" s="73"/>
      <c r="K520" s="73"/>
    </row>
    <row r="521">
      <c r="C521" s="71"/>
      <c r="D521" s="71"/>
      <c r="E521" s="71"/>
      <c r="F521" s="73"/>
      <c r="G521" s="73"/>
      <c r="H521" s="73"/>
      <c r="I521" s="73"/>
      <c r="J521" s="73"/>
      <c r="K521" s="73"/>
    </row>
    <row r="522">
      <c r="C522" s="71"/>
      <c r="D522" s="71"/>
      <c r="E522" s="71"/>
      <c r="F522" s="73"/>
      <c r="G522" s="73"/>
      <c r="H522" s="73"/>
      <c r="I522" s="73"/>
      <c r="J522" s="73"/>
      <c r="K522" s="73"/>
    </row>
    <row r="523">
      <c r="C523" s="71"/>
      <c r="D523" s="71"/>
      <c r="E523" s="71"/>
      <c r="F523" s="73"/>
      <c r="G523" s="73"/>
      <c r="H523" s="73"/>
      <c r="I523" s="73"/>
      <c r="J523" s="73"/>
      <c r="K523" s="73"/>
    </row>
    <row r="524">
      <c r="C524" s="71"/>
      <c r="D524" s="71"/>
      <c r="E524" s="71"/>
      <c r="F524" s="73"/>
      <c r="G524" s="73"/>
      <c r="H524" s="73"/>
      <c r="I524" s="73"/>
      <c r="J524" s="73"/>
      <c r="K524" s="73"/>
    </row>
    <row r="525">
      <c r="C525" s="71"/>
      <c r="D525" s="71"/>
      <c r="E525" s="71"/>
      <c r="F525" s="73"/>
      <c r="G525" s="73"/>
      <c r="H525" s="73"/>
      <c r="I525" s="73"/>
      <c r="J525" s="73"/>
      <c r="K525" s="73"/>
    </row>
    <row r="526">
      <c r="C526" s="71"/>
      <c r="D526" s="71"/>
      <c r="E526" s="71"/>
      <c r="F526" s="73"/>
      <c r="G526" s="73"/>
      <c r="H526" s="73"/>
      <c r="I526" s="73"/>
      <c r="J526" s="73"/>
      <c r="K526" s="73"/>
    </row>
    <row r="527">
      <c r="C527" s="71"/>
      <c r="D527" s="71"/>
      <c r="E527" s="71"/>
      <c r="F527" s="73"/>
      <c r="G527" s="73"/>
      <c r="H527" s="73"/>
      <c r="I527" s="73"/>
      <c r="J527" s="73"/>
      <c r="K527" s="73"/>
    </row>
    <row r="528">
      <c r="C528" s="71"/>
      <c r="D528" s="71"/>
      <c r="E528" s="71"/>
      <c r="F528" s="73"/>
      <c r="G528" s="73"/>
      <c r="H528" s="73"/>
      <c r="I528" s="73"/>
      <c r="J528" s="73"/>
      <c r="K528" s="73"/>
    </row>
    <row r="529">
      <c r="C529" s="71"/>
      <c r="D529" s="71"/>
      <c r="E529" s="71"/>
      <c r="F529" s="73"/>
      <c r="G529" s="73"/>
      <c r="H529" s="73"/>
      <c r="I529" s="73"/>
      <c r="J529" s="73"/>
      <c r="K529" s="73"/>
    </row>
    <row r="530">
      <c r="C530" s="71"/>
      <c r="D530" s="71"/>
      <c r="E530" s="71"/>
      <c r="F530" s="73"/>
      <c r="G530" s="73"/>
      <c r="H530" s="73"/>
      <c r="I530" s="73"/>
      <c r="J530" s="73"/>
      <c r="K530" s="73"/>
    </row>
    <row r="531">
      <c r="C531" s="71"/>
      <c r="D531" s="71"/>
      <c r="E531" s="71"/>
      <c r="F531" s="73"/>
      <c r="G531" s="73"/>
      <c r="H531" s="73"/>
      <c r="I531" s="73"/>
      <c r="J531" s="73"/>
      <c r="K531" s="73"/>
    </row>
    <row r="532">
      <c r="C532" s="71"/>
      <c r="D532" s="71"/>
      <c r="E532" s="71"/>
      <c r="F532" s="73"/>
      <c r="G532" s="73"/>
      <c r="H532" s="73"/>
      <c r="I532" s="73"/>
      <c r="J532" s="73"/>
      <c r="K532" s="73"/>
    </row>
    <row r="533">
      <c r="C533" s="71"/>
      <c r="D533" s="71"/>
      <c r="E533" s="71"/>
      <c r="F533" s="73"/>
      <c r="G533" s="73"/>
      <c r="H533" s="73"/>
      <c r="I533" s="73"/>
      <c r="J533" s="73"/>
      <c r="K533" s="73"/>
    </row>
    <row r="534">
      <c r="C534" s="71"/>
      <c r="D534" s="71"/>
      <c r="E534" s="71"/>
      <c r="F534" s="73"/>
      <c r="G534" s="73"/>
      <c r="H534" s="73"/>
      <c r="I534" s="73"/>
      <c r="J534" s="73"/>
      <c r="K534" s="73"/>
    </row>
    <row r="535">
      <c r="C535" s="71"/>
      <c r="D535" s="71"/>
      <c r="E535" s="71"/>
      <c r="F535" s="73"/>
      <c r="G535" s="73"/>
      <c r="H535" s="73"/>
      <c r="I535" s="73"/>
      <c r="J535" s="73"/>
      <c r="K535" s="73"/>
    </row>
    <row r="536">
      <c r="C536" s="71"/>
      <c r="D536" s="71"/>
      <c r="E536" s="71"/>
      <c r="F536" s="73"/>
      <c r="G536" s="73"/>
      <c r="H536" s="73"/>
      <c r="I536" s="73"/>
      <c r="J536" s="73"/>
      <c r="K536" s="73"/>
    </row>
    <row r="537">
      <c r="C537" s="71"/>
      <c r="D537" s="71"/>
      <c r="E537" s="71"/>
      <c r="F537" s="73"/>
      <c r="G537" s="73"/>
      <c r="H537" s="73"/>
      <c r="I537" s="73"/>
      <c r="J537" s="73"/>
      <c r="K537" s="73"/>
    </row>
    <row r="538">
      <c r="C538" s="71"/>
      <c r="D538" s="71"/>
      <c r="E538" s="71"/>
      <c r="F538" s="73"/>
      <c r="G538" s="73"/>
      <c r="H538" s="73"/>
      <c r="I538" s="73"/>
      <c r="J538" s="73"/>
      <c r="K538" s="73"/>
    </row>
    <row r="539">
      <c r="C539" s="71"/>
      <c r="D539" s="71"/>
      <c r="E539" s="71"/>
      <c r="F539" s="73"/>
      <c r="G539" s="73"/>
      <c r="H539" s="73"/>
      <c r="I539" s="73"/>
      <c r="J539" s="73"/>
      <c r="K539" s="73"/>
    </row>
    <row r="540">
      <c r="C540" s="71"/>
      <c r="D540" s="71"/>
      <c r="E540" s="71"/>
      <c r="F540" s="73"/>
      <c r="G540" s="73"/>
      <c r="H540" s="73"/>
      <c r="I540" s="73"/>
      <c r="J540" s="73"/>
      <c r="K540" s="73"/>
    </row>
    <row r="541">
      <c r="C541" s="71"/>
      <c r="D541" s="71"/>
      <c r="E541" s="71"/>
      <c r="F541" s="73"/>
      <c r="G541" s="73"/>
      <c r="H541" s="73"/>
      <c r="I541" s="73"/>
      <c r="J541" s="73"/>
      <c r="K541" s="73"/>
    </row>
    <row r="542">
      <c r="C542" s="71"/>
      <c r="D542" s="71"/>
      <c r="E542" s="71"/>
      <c r="F542" s="73"/>
      <c r="G542" s="73"/>
      <c r="H542" s="73"/>
      <c r="I542" s="73"/>
      <c r="J542" s="73"/>
      <c r="K542" s="73"/>
    </row>
    <row r="543">
      <c r="C543" s="71"/>
      <c r="D543" s="71"/>
      <c r="E543" s="71"/>
      <c r="F543" s="73"/>
      <c r="G543" s="73"/>
      <c r="H543" s="73"/>
      <c r="I543" s="73"/>
      <c r="J543" s="73"/>
      <c r="K543" s="73"/>
    </row>
    <row r="544">
      <c r="C544" s="71"/>
      <c r="D544" s="71"/>
      <c r="E544" s="71"/>
      <c r="F544" s="73"/>
      <c r="G544" s="73"/>
      <c r="H544" s="73"/>
      <c r="I544" s="73"/>
      <c r="J544" s="73"/>
      <c r="K544" s="73"/>
    </row>
    <row r="545">
      <c r="C545" s="71"/>
      <c r="D545" s="71"/>
      <c r="E545" s="71"/>
      <c r="F545" s="73"/>
      <c r="G545" s="73"/>
      <c r="H545" s="73"/>
      <c r="I545" s="73"/>
      <c r="J545" s="73"/>
      <c r="K545" s="73"/>
    </row>
    <row r="546">
      <c r="C546" s="71"/>
      <c r="D546" s="71"/>
      <c r="E546" s="71"/>
      <c r="F546" s="73"/>
      <c r="G546" s="73"/>
      <c r="H546" s="73"/>
      <c r="I546" s="73"/>
      <c r="J546" s="73"/>
      <c r="K546" s="73"/>
    </row>
    <row r="547">
      <c r="C547" s="71"/>
      <c r="D547" s="71"/>
      <c r="E547" s="71"/>
      <c r="F547" s="73"/>
      <c r="G547" s="73"/>
      <c r="H547" s="73"/>
      <c r="I547" s="73"/>
      <c r="J547" s="73"/>
      <c r="K547" s="73"/>
    </row>
    <row r="548">
      <c r="C548" s="71"/>
      <c r="D548" s="71"/>
      <c r="E548" s="71"/>
      <c r="F548" s="73"/>
      <c r="G548" s="73"/>
      <c r="H548" s="73"/>
      <c r="I548" s="73"/>
      <c r="J548" s="73"/>
      <c r="K548" s="73"/>
    </row>
    <row r="549">
      <c r="C549" s="71"/>
      <c r="D549" s="71"/>
      <c r="E549" s="71"/>
      <c r="F549" s="73"/>
      <c r="G549" s="73"/>
      <c r="H549" s="73"/>
      <c r="I549" s="73"/>
      <c r="J549" s="73"/>
      <c r="K549" s="73"/>
    </row>
    <row r="550">
      <c r="C550" s="71"/>
      <c r="D550" s="71"/>
      <c r="E550" s="71"/>
      <c r="F550" s="73"/>
      <c r="G550" s="73"/>
      <c r="H550" s="73"/>
      <c r="I550" s="73"/>
      <c r="J550" s="73"/>
      <c r="K550" s="73"/>
    </row>
    <row r="551">
      <c r="C551" s="71"/>
      <c r="D551" s="71"/>
      <c r="E551" s="71"/>
      <c r="F551" s="73"/>
      <c r="G551" s="73"/>
      <c r="H551" s="73"/>
      <c r="I551" s="73"/>
      <c r="J551" s="73"/>
      <c r="K551" s="73"/>
    </row>
    <row r="552">
      <c r="C552" s="71"/>
      <c r="D552" s="71"/>
      <c r="E552" s="71"/>
      <c r="F552" s="73"/>
      <c r="G552" s="73"/>
      <c r="H552" s="73"/>
      <c r="I552" s="73"/>
      <c r="J552" s="73"/>
      <c r="K552" s="73"/>
    </row>
    <row r="553">
      <c r="C553" s="71"/>
      <c r="D553" s="71"/>
      <c r="E553" s="71"/>
      <c r="F553" s="73"/>
      <c r="G553" s="73"/>
      <c r="H553" s="73"/>
      <c r="I553" s="73"/>
      <c r="J553" s="73"/>
      <c r="K553" s="73"/>
    </row>
    <row r="554">
      <c r="C554" s="71"/>
      <c r="D554" s="71"/>
      <c r="E554" s="71"/>
      <c r="F554" s="73"/>
      <c r="G554" s="73"/>
      <c r="H554" s="73"/>
      <c r="I554" s="73"/>
      <c r="J554" s="73"/>
      <c r="K554" s="73"/>
    </row>
    <row r="555">
      <c r="C555" s="71"/>
      <c r="D555" s="71"/>
      <c r="E555" s="71"/>
      <c r="F555" s="73"/>
      <c r="G555" s="73"/>
      <c r="H555" s="73"/>
      <c r="I555" s="73"/>
      <c r="J555" s="73"/>
      <c r="K555" s="73"/>
    </row>
    <row r="556">
      <c r="C556" s="71"/>
      <c r="D556" s="71"/>
      <c r="E556" s="71"/>
      <c r="F556" s="73"/>
      <c r="G556" s="73"/>
      <c r="H556" s="73"/>
      <c r="I556" s="73"/>
      <c r="J556" s="73"/>
      <c r="K556" s="73"/>
    </row>
    <row r="557">
      <c r="C557" s="71"/>
      <c r="D557" s="71"/>
      <c r="E557" s="71"/>
      <c r="F557" s="73"/>
      <c r="G557" s="73"/>
      <c r="H557" s="73"/>
      <c r="I557" s="73"/>
      <c r="J557" s="73"/>
      <c r="K557" s="73"/>
    </row>
    <row r="558">
      <c r="C558" s="71"/>
      <c r="D558" s="71"/>
      <c r="E558" s="71"/>
      <c r="F558" s="73"/>
      <c r="G558" s="73"/>
      <c r="H558" s="73"/>
      <c r="I558" s="73"/>
      <c r="J558" s="73"/>
      <c r="K558" s="73"/>
    </row>
    <row r="559">
      <c r="C559" s="71"/>
      <c r="D559" s="71"/>
      <c r="E559" s="71"/>
      <c r="F559" s="73"/>
      <c r="G559" s="73"/>
      <c r="H559" s="73"/>
      <c r="I559" s="73"/>
      <c r="J559" s="73"/>
      <c r="K559" s="73"/>
    </row>
    <row r="560">
      <c r="C560" s="71"/>
      <c r="D560" s="71"/>
      <c r="E560" s="71"/>
      <c r="F560" s="73"/>
      <c r="G560" s="73"/>
      <c r="H560" s="73"/>
      <c r="I560" s="73"/>
      <c r="J560" s="73"/>
      <c r="K560" s="73"/>
    </row>
    <row r="561">
      <c r="C561" s="71"/>
      <c r="D561" s="71"/>
      <c r="E561" s="71"/>
      <c r="F561" s="73"/>
      <c r="G561" s="73"/>
      <c r="H561" s="73"/>
      <c r="I561" s="73"/>
      <c r="J561" s="73"/>
      <c r="K561" s="73"/>
    </row>
    <row r="562">
      <c r="C562" s="71"/>
      <c r="D562" s="71"/>
      <c r="E562" s="71"/>
      <c r="F562" s="73"/>
      <c r="G562" s="73"/>
      <c r="H562" s="73"/>
      <c r="I562" s="73"/>
      <c r="J562" s="73"/>
      <c r="K562" s="73"/>
    </row>
    <row r="563">
      <c r="C563" s="71"/>
      <c r="D563" s="71"/>
      <c r="E563" s="71"/>
      <c r="F563" s="73"/>
      <c r="G563" s="73"/>
      <c r="H563" s="73"/>
      <c r="I563" s="73"/>
      <c r="J563" s="73"/>
      <c r="K563" s="73"/>
    </row>
    <row r="564">
      <c r="C564" s="71"/>
      <c r="D564" s="71"/>
      <c r="E564" s="71"/>
      <c r="F564" s="73"/>
      <c r="G564" s="73"/>
      <c r="H564" s="73"/>
      <c r="I564" s="73"/>
      <c r="J564" s="73"/>
      <c r="K564" s="73"/>
    </row>
    <row r="565">
      <c r="C565" s="71"/>
      <c r="D565" s="71"/>
      <c r="E565" s="71"/>
      <c r="F565" s="73"/>
      <c r="G565" s="73"/>
      <c r="H565" s="73"/>
      <c r="I565" s="73"/>
      <c r="J565" s="73"/>
      <c r="K565" s="73"/>
    </row>
    <row r="566">
      <c r="C566" s="71"/>
      <c r="D566" s="71"/>
      <c r="E566" s="71"/>
      <c r="F566" s="73"/>
      <c r="G566" s="73"/>
      <c r="H566" s="73"/>
      <c r="I566" s="73"/>
      <c r="J566" s="73"/>
      <c r="K566" s="73"/>
    </row>
    <row r="567">
      <c r="C567" s="71"/>
      <c r="D567" s="71"/>
      <c r="E567" s="71"/>
      <c r="F567" s="73"/>
      <c r="G567" s="73"/>
      <c r="H567" s="73"/>
      <c r="I567" s="73"/>
      <c r="J567" s="73"/>
      <c r="K567" s="73"/>
    </row>
    <row r="568">
      <c r="C568" s="71"/>
      <c r="D568" s="71"/>
      <c r="E568" s="71"/>
      <c r="F568" s="73"/>
      <c r="G568" s="73"/>
      <c r="H568" s="73"/>
      <c r="I568" s="73"/>
      <c r="J568" s="73"/>
      <c r="K568" s="73"/>
    </row>
    <row r="569">
      <c r="C569" s="71"/>
      <c r="D569" s="71"/>
      <c r="E569" s="71"/>
      <c r="F569" s="73"/>
      <c r="G569" s="73"/>
      <c r="H569" s="73"/>
      <c r="I569" s="73"/>
      <c r="J569" s="73"/>
      <c r="K569" s="73"/>
    </row>
    <row r="570">
      <c r="C570" s="71"/>
      <c r="D570" s="71"/>
      <c r="E570" s="71"/>
      <c r="F570" s="73"/>
      <c r="G570" s="73"/>
      <c r="H570" s="73"/>
      <c r="I570" s="73"/>
      <c r="J570" s="73"/>
      <c r="K570" s="73"/>
    </row>
    <row r="571">
      <c r="C571" s="71"/>
      <c r="D571" s="71"/>
      <c r="E571" s="71"/>
      <c r="F571" s="73"/>
      <c r="G571" s="73"/>
      <c r="H571" s="73"/>
      <c r="I571" s="73"/>
      <c r="J571" s="73"/>
      <c r="K571" s="73"/>
    </row>
    <row r="572">
      <c r="C572" s="71"/>
      <c r="D572" s="71"/>
      <c r="E572" s="71"/>
      <c r="F572" s="73"/>
      <c r="G572" s="73"/>
      <c r="H572" s="73"/>
      <c r="I572" s="73"/>
      <c r="J572" s="73"/>
      <c r="K572" s="73"/>
    </row>
    <row r="573">
      <c r="C573" s="71"/>
      <c r="D573" s="71"/>
      <c r="E573" s="71"/>
      <c r="F573" s="73"/>
      <c r="G573" s="73"/>
      <c r="H573" s="73"/>
      <c r="I573" s="73"/>
      <c r="J573" s="73"/>
      <c r="K573" s="73"/>
    </row>
    <row r="574">
      <c r="C574" s="71"/>
      <c r="D574" s="71"/>
      <c r="E574" s="71"/>
      <c r="F574" s="73"/>
      <c r="G574" s="73"/>
      <c r="H574" s="73"/>
      <c r="I574" s="73"/>
      <c r="J574" s="73"/>
      <c r="K574" s="73"/>
    </row>
    <row r="575">
      <c r="C575" s="71"/>
      <c r="D575" s="71"/>
      <c r="E575" s="71"/>
      <c r="F575" s="73"/>
      <c r="G575" s="73"/>
      <c r="H575" s="73"/>
      <c r="I575" s="73"/>
      <c r="J575" s="73"/>
      <c r="K575" s="73"/>
    </row>
    <row r="576">
      <c r="C576" s="71"/>
      <c r="D576" s="71"/>
      <c r="E576" s="71"/>
      <c r="F576" s="73"/>
      <c r="G576" s="73"/>
      <c r="H576" s="73"/>
      <c r="I576" s="73"/>
      <c r="J576" s="73"/>
      <c r="K576" s="73"/>
    </row>
    <row r="577">
      <c r="C577" s="71"/>
      <c r="D577" s="71"/>
      <c r="E577" s="71"/>
      <c r="F577" s="73"/>
      <c r="G577" s="73"/>
      <c r="H577" s="73"/>
      <c r="I577" s="73"/>
      <c r="J577" s="73"/>
      <c r="K577" s="73"/>
    </row>
    <row r="578">
      <c r="C578" s="71"/>
      <c r="D578" s="71"/>
      <c r="E578" s="71"/>
      <c r="F578" s="73"/>
      <c r="G578" s="73"/>
      <c r="H578" s="73"/>
      <c r="I578" s="73"/>
      <c r="J578" s="73"/>
      <c r="K578" s="73"/>
    </row>
    <row r="579">
      <c r="C579" s="71"/>
      <c r="D579" s="71"/>
      <c r="E579" s="71"/>
      <c r="F579" s="73"/>
      <c r="G579" s="73"/>
      <c r="H579" s="73"/>
      <c r="I579" s="73"/>
      <c r="J579" s="73"/>
      <c r="K579" s="73"/>
    </row>
    <row r="580">
      <c r="C580" s="71"/>
      <c r="D580" s="71"/>
      <c r="E580" s="71"/>
      <c r="F580" s="73"/>
      <c r="G580" s="73"/>
      <c r="H580" s="73"/>
      <c r="I580" s="73"/>
      <c r="J580" s="73"/>
      <c r="K580" s="73"/>
    </row>
    <row r="581">
      <c r="C581" s="71"/>
      <c r="D581" s="71"/>
      <c r="E581" s="71"/>
      <c r="F581" s="73"/>
      <c r="G581" s="73"/>
      <c r="H581" s="73"/>
      <c r="I581" s="73"/>
      <c r="J581" s="73"/>
      <c r="K581" s="73"/>
    </row>
    <row r="582">
      <c r="C582" s="71"/>
      <c r="D582" s="71"/>
      <c r="E582" s="71"/>
      <c r="F582" s="73"/>
      <c r="G582" s="73"/>
      <c r="H582" s="73"/>
      <c r="I582" s="73"/>
      <c r="J582" s="73"/>
      <c r="K582" s="73"/>
    </row>
    <row r="583">
      <c r="C583" s="71"/>
      <c r="D583" s="71"/>
      <c r="E583" s="71"/>
      <c r="F583" s="73"/>
      <c r="G583" s="73"/>
      <c r="H583" s="73"/>
      <c r="I583" s="73"/>
      <c r="J583" s="73"/>
      <c r="K583" s="73"/>
    </row>
    <row r="584">
      <c r="C584" s="71"/>
      <c r="D584" s="71"/>
      <c r="E584" s="71"/>
      <c r="F584" s="73"/>
      <c r="G584" s="73"/>
      <c r="H584" s="73"/>
      <c r="I584" s="73"/>
      <c r="J584" s="73"/>
      <c r="K584" s="73"/>
    </row>
    <row r="585">
      <c r="C585" s="71"/>
      <c r="D585" s="71"/>
      <c r="E585" s="71"/>
      <c r="F585" s="73"/>
      <c r="G585" s="73"/>
      <c r="H585" s="73"/>
      <c r="I585" s="73"/>
      <c r="J585" s="73"/>
      <c r="K585" s="73"/>
    </row>
    <row r="586">
      <c r="C586" s="71"/>
      <c r="D586" s="71"/>
      <c r="E586" s="71"/>
      <c r="F586" s="73"/>
      <c r="G586" s="73"/>
      <c r="H586" s="73"/>
      <c r="I586" s="73"/>
      <c r="J586" s="73"/>
      <c r="K586" s="73"/>
    </row>
    <row r="587">
      <c r="C587" s="71"/>
      <c r="D587" s="71"/>
      <c r="E587" s="71"/>
      <c r="F587" s="73"/>
      <c r="G587" s="73"/>
      <c r="H587" s="73"/>
      <c r="I587" s="73"/>
      <c r="J587" s="73"/>
      <c r="K587" s="73"/>
    </row>
    <row r="588">
      <c r="C588" s="71"/>
      <c r="D588" s="71"/>
      <c r="E588" s="71"/>
      <c r="F588" s="73"/>
      <c r="G588" s="73"/>
      <c r="H588" s="73"/>
      <c r="I588" s="73"/>
      <c r="J588" s="73"/>
      <c r="K588" s="73"/>
    </row>
    <row r="589">
      <c r="C589" s="71"/>
      <c r="D589" s="71"/>
      <c r="E589" s="71"/>
      <c r="F589" s="73"/>
      <c r="G589" s="73"/>
      <c r="H589" s="73"/>
      <c r="I589" s="73"/>
      <c r="J589" s="73"/>
      <c r="K589" s="73"/>
    </row>
    <row r="590">
      <c r="C590" s="71"/>
      <c r="D590" s="71"/>
      <c r="E590" s="71"/>
      <c r="F590" s="73"/>
      <c r="G590" s="73"/>
      <c r="H590" s="73"/>
      <c r="I590" s="73"/>
      <c r="J590" s="73"/>
      <c r="K590" s="73"/>
    </row>
    <row r="591">
      <c r="C591" s="71"/>
      <c r="D591" s="71"/>
      <c r="E591" s="71"/>
      <c r="F591" s="73"/>
      <c r="G591" s="73"/>
      <c r="H591" s="73"/>
      <c r="I591" s="73"/>
      <c r="J591" s="73"/>
      <c r="K591" s="73"/>
    </row>
    <row r="592">
      <c r="C592" s="71"/>
      <c r="D592" s="71"/>
      <c r="E592" s="71"/>
      <c r="F592" s="73"/>
      <c r="G592" s="73"/>
      <c r="H592" s="73"/>
      <c r="I592" s="73"/>
      <c r="J592" s="73"/>
      <c r="K592" s="73"/>
    </row>
    <row r="593">
      <c r="C593" s="71"/>
      <c r="D593" s="71"/>
      <c r="E593" s="71"/>
      <c r="F593" s="73"/>
      <c r="G593" s="73"/>
      <c r="H593" s="73"/>
      <c r="I593" s="73"/>
      <c r="J593" s="73"/>
      <c r="K593" s="73"/>
    </row>
    <row r="594">
      <c r="C594" s="71"/>
      <c r="D594" s="71"/>
      <c r="E594" s="71"/>
      <c r="F594" s="73"/>
      <c r="G594" s="73"/>
      <c r="H594" s="73"/>
      <c r="I594" s="73"/>
      <c r="J594" s="73"/>
      <c r="K594" s="73"/>
    </row>
    <row r="595">
      <c r="C595" s="71"/>
      <c r="D595" s="71"/>
      <c r="E595" s="71"/>
      <c r="F595" s="73"/>
      <c r="G595" s="73"/>
      <c r="H595" s="73"/>
      <c r="I595" s="73"/>
      <c r="J595" s="73"/>
      <c r="K595" s="73"/>
    </row>
    <row r="596">
      <c r="C596" s="71"/>
      <c r="D596" s="71"/>
      <c r="E596" s="71"/>
      <c r="F596" s="73"/>
      <c r="G596" s="73"/>
      <c r="H596" s="73"/>
      <c r="I596" s="73"/>
      <c r="J596" s="73"/>
      <c r="K596" s="73"/>
    </row>
    <row r="597">
      <c r="C597" s="71"/>
      <c r="D597" s="71"/>
      <c r="E597" s="71"/>
      <c r="F597" s="73"/>
      <c r="G597" s="73"/>
      <c r="H597" s="73"/>
      <c r="I597" s="73"/>
      <c r="J597" s="73"/>
      <c r="K597" s="73"/>
    </row>
    <row r="598">
      <c r="C598" s="71"/>
      <c r="D598" s="71"/>
      <c r="E598" s="71"/>
      <c r="F598" s="73"/>
      <c r="G598" s="73"/>
      <c r="H598" s="73"/>
      <c r="I598" s="73"/>
      <c r="J598" s="73"/>
      <c r="K598" s="73"/>
    </row>
    <row r="599">
      <c r="C599" s="71"/>
      <c r="D599" s="71"/>
      <c r="E599" s="71"/>
      <c r="F599" s="73"/>
      <c r="G599" s="73"/>
      <c r="H599" s="73"/>
      <c r="I599" s="73"/>
      <c r="J599" s="73"/>
      <c r="K599" s="73"/>
    </row>
    <row r="600">
      <c r="C600" s="71"/>
      <c r="D600" s="71"/>
      <c r="E600" s="71"/>
      <c r="F600" s="73"/>
      <c r="G600" s="73"/>
      <c r="H600" s="73"/>
      <c r="I600" s="73"/>
      <c r="J600" s="73"/>
      <c r="K600" s="73"/>
    </row>
    <row r="601">
      <c r="C601" s="71"/>
      <c r="D601" s="71"/>
      <c r="E601" s="71"/>
      <c r="F601" s="73"/>
      <c r="G601" s="73"/>
      <c r="H601" s="73"/>
      <c r="I601" s="73"/>
      <c r="J601" s="73"/>
      <c r="K601" s="73"/>
    </row>
    <row r="602">
      <c r="C602" s="71"/>
      <c r="D602" s="71"/>
      <c r="E602" s="71"/>
      <c r="F602" s="73"/>
      <c r="G602" s="73"/>
      <c r="H602" s="73"/>
      <c r="I602" s="73"/>
      <c r="J602" s="73"/>
      <c r="K602" s="73"/>
    </row>
    <row r="603">
      <c r="C603" s="71"/>
      <c r="D603" s="71"/>
      <c r="E603" s="71"/>
      <c r="F603" s="73"/>
      <c r="G603" s="73"/>
      <c r="H603" s="73"/>
      <c r="I603" s="73"/>
      <c r="J603" s="73"/>
      <c r="K603" s="73"/>
    </row>
    <row r="604">
      <c r="C604" s="71"/>
      <c r="D604" s="71"/>
      <c r="E604" s="71"/>
      <c r="F604" s="73"/>
      <c r="G604" s="73"/>
      <c r="H604" s="73"/>
      <c r="I604" s="73"/>
      <c r="J604" s="73"/>
      <c r="K604" s="73"/>
    </row>
    <row r="605">
      <c r="C605" s="71"/>
      <c r="D605" s="71"/>
      <c r="E605" s="71"/>
      <c r="F605" s="73"/>
      <c r="G605" s="73"/>
      <c r="H605" s="73"/>
      <c r="I605" s="73"/>
      <c r="J605" s="73"/>
      <c r="K605" s="73"/>
    </row>
    <row r="606">
      <c r="C606" s="71"/>
      <c r="D606" s="71"/>
      <c r="E606" s="71"/>
      <c r="F606" s="73"/>
      <c r="G606" s="73"/>
      <c r="H606" s="73"/>
      <c r="I606" s="73"/>
      <c r="J606" s="73"/>
      <c r="K606" s="73"/>
    </row>
    <row r="607">
      <c r="C607" s="71"/>
      <c r="D607" s="71"/>
      <c r="E607" s="71"/>
      <c r="F607" s="73"/>
      <c r="G607" s="73"/>
      <c r="H607" s="73"/>
      <c r="I607" s="73"/>
      <c r="J607" s="73"/>
      <c r="K607" s="73"/>
    </row>
    <row r="608">
      <c r="C608" s="71"/>
      <c r="D608" s="71"/>
      <c r="E608" s="71"/>
      <c r="F608" s="73"/>
      <c r="G608" s="73"/>
      <c r="H608" s="73"/>
      <c r="I608" s="73"/>
      <c r="J608" s="73"/>
      <c r="K608" s="73"/>
    </row>
    <row r="609">
      <c r="C609" s="71"/>
      <c r="D609" s="71"/>
      <c r="E609" s="71"/>
      <c r="F609" s="73"/>
      <c r="G609" s="73"/>
      <c r="H609" s="73"/>
      <c r="I609" s="73"/>
      <c r="J609" s="73"/>
      <c r="K609" s="73"/>
    </row>
    <row r="610">
      <c r="C610" s="71"/>
      <c r="D610" s="71"/>
      <c r="E610" s="71"/>
      <c r="F610" s="73"/>
      <c r="G610" s="73"/>
      <c r="H610" s="73"/>
      <c r="I610" s="73"/>
      <c r="J610" s="73"/>
      <c r="K610" s="73"/>
    </row>
    <row r="611">
      <c r="C611" s="71"/>
      <c r="D611" s="71"/>
      <c r="E611" s="71"/>
      <c r="F611" s="73"/>
      <c r="G611" s="73"/>
      <c r="H611" s="73"/>
      <c r="I611" s="73"/>
      <c r="J611" s="73"/>
      <c r="K611" s="73"/>
    </row>
    <row r="612">
      <c r="C612" s="71"/>
      <c r="D612" s="71"/>
      <c r="E612" s="71"/>
      <c r="F612" s="73"/>
      <c r="G612" s="73"/>
      <c r="H612" s="73"/>
      <c r="I612" s="73"/>
      <c r="J612" s="73"/>
      <c r="K612" s="73"/>
    </row>
    <row r="613">
      <c r="C613" s="71"/>
      <c r="D613" s="71"/>
      <c r="E613" s="71"/>
      <c r="F613" s="73"/>
      <c r="G613" s="73"/>
      <c r="H613" s="73"/>
      <c r="I613" s="73"/>
      <c r="J613" s="73"/>
      <c r="K613" s="73"/>
    </row>
    <row r="614">
      <c r="C614" s="71"/>
      <c r="D614" s="71"/>
      <c r="E614" s="71"/>
      <c r="F614" s="73"/>
      <c r="G614" s="73"/>
      <c r="H614" s="73"/>
      <c r="I614" s="73"/>
      <c r="J614" s="73"/>
      <c r="K614" s="73"/>
    </row>
    <row r="615">
      <c r="C615" s="71"/>
      <c r="D615" s="71"/>
      <c r="E615" s="71"/>
      <c r="F615" s="73"/>
      <c r="G615" s="73"/>
      <c r="H615" s="73"/>
      <c r="I615" s="73"/>
      <c r="J615" s="73"/>
      <c r="K615" s="73"/>
    </row>
    <row r="616">
      <c r="C616" s="71"/>
      <c r="D616" s="71"/>
      <c r="E616" s="71"/>
      <c r="F616" s="73"/>
      <c r="G616" s="73"/>
      <c r="H616" s="73"/>
      <c r="I616" s="73"/>
      <c r="J616" s="73"/>
      <c r="K616" s="73"/>
    </row>
    <row r="617">
      <c r="C617" s="71"/>
      <c r="D617" s="71"/>
      <c r="E617" s="71"/>
      <c r="F617" s="73"/>
      <c r="G617" s="73"/>
      <c r="H617" s="73"/>
      <c r="I617" s="73"/>
      <c r="J617" s="73"/>
      <c r="K617" s="73"/>
    </row>
    <row r="618">
      <c r="C618" s="71"/>
      <c r="D618" s="71"/>
      <c r="E618" s="71"/>
      <c r="F618" s="73"/>
      <c r="G618" s="73"/>
      <c r="H618" s="73"/>
      <c r="I618" s="73"/>
      <c r="J618" s="73"/>
      <c r="K618" s="73"/>
    </row>
    <row r="619">
      <c r="C619" s="71"/>
      <c r="D619" s="71"/>
      <c r="E619" s="71"/>
      <c r="F619" s="73"/>
      <c r="G619" s="73"/>
      <c r="H619" s="73"/>
      <c r="I619" s="73"/>
      <c r="J619" s="73"/>
      <c r="K619" s="73"/>
    </row>
    <row r="620">
      <c r="C620" s="71"/>
      <c r="D620" s="71"/>
      <c r="E620" s="71"/>
      <c r="F620" s="73"/>
      <c r="G620" s="73"/>
      <c r="H620" s="73"/>
      <c r="I620" s="73"/>
      <c r="J620" s="73"/>
      <c r="K620" s="73"/>
    </row>
    <row r="621">
      <c r="C621" s="71"/>
      <c r="D621" s="71"/>
      <c r="E621" s="71"/>
      <c r="F621" s="73"/>
      <c r="G621" s="73"/>
      <c r="H621" s="73"/>
      <c r="I621" s="73"/>
      <c r="J621" s="73"/>
      <c r="K621" s="73"/>
    </row>
    <row r="622">
      <c r="C622" s="71"/>
      <c r="D622" s="71"/>
      <c r="E622" s="71"/>
      <c r="F622" s="73"/>
      <c r="G622" s="73"/>
      <c r="H622" s="73"/>
      <c r="I622" s="73"/>
      <c r="J622" s="73"/>
      <c r="K622" s="73"/>
    </row>
    <row r="623">
      <c r="C623" s="71"/>
      <c r="D623" s="71"/>
      <c r="E623" s="71"/>
      <c r="F623" s="73"/>
      <c r="G623" s="73"/>
      <c r="H623" s="73"/>
      <c r="I623" s="73"/>
      <c r="J623" s="73"/>
      <c r="K623" s="73"/>
    </row>
    <row r="624">
      <c r="C624" s="71"/>
      <c r="D624" s="71"/>
      <c r="E624" s="71"/>
      <c r="F624" s="73"/>
      <c r="G624" s="73"/>
      <c r="H624" s="73"/>
      <c r="I624" s="73"/>
      <c r="J624" s="73"/>
      <c r="K624" s="73"/>
    </row>
    <row r="625">
      <c r="C625" s="71"/>
      <c r="D625" s="71"/>
      <c r="E625" s="71"/>
      <c r="F625" s="73"/>
      <c r="G625" s="73"/>
      <c r="H625" s="73"/>
      <c r="I625" s="73"/>
      <c r="J625" s="73"/>
      <c r="K625" s="73"/>
    </row>
    <row r="626">
      <c r="C626" s="71"/>
      <c r="D626" s="71"/>
      <c r="E626" s="71"/>
      <c r="F626" s="73"/>
      <c r="G626" s="73"/>
      <c r="H626" s="73"/>
      <c r="I626" s="73"/>
      <c r="J626" s="73"/>
      <c r="K626" s="73"/>
    </row>
    <row r="627">
      <c r="C627" s="71"/>
      <c r="D627" s="71"/>
      <c r="E627" s="71"/>
      <c r="F627" s="73"/>
      <c r="G627" s="73"/>
      <c r="H627" s="73"/>
      <c r="I627" s="73"/>
      <c r="J627" s="73"/>
      <c r="K627" s="73"/>
    </row>
    <row r="628">
      <c r="C628" s="71"/>
      <c r="D628" s="71"/>
      <c r="E628" s="71"/>
      <c r="F628" s="73"/>
      <c r="G628" s="73"/>
      <c r="H628" s="73"/>
      <c r="I628" s="73"/>
      <c r="J628" s="73"/>
      <c r="K628" s="73"/>
    </row>
    <row r="629">
      <c r="C629" s="71"/>
      <c r="D629" s="71"/>
      <c r="E629" s="71"/>
      <c r="F629" s="73"/>
      <c r="G629" s="73"/>
      <c r="H629" s="73"/>
      <c r="I629" s="73"/>
      <c r="J629" s="73"/>
      <c r="K629" s="73"/>
    </row>
    <row r="630">
      <c r="C630" s="71"/>
      <c r="D630" s="71"/>
      <c r="E630" s="71"/>
      <c r="F630" s="73"/>
      <c r="G630" s="73"/>
      <c r="H630" s="73"/>
      <c r="I630" s="73"/>
      <c r="J630" s="73"/>
      <c r="K630" s="73"/>
    </row>
    <row r="631">
      <c r="C631" s="71"/>
      <c r="D631" s="71"/>
      <c r="E631" s="71"/>
      <c r="F631" s="73"/>
      <c r="G631" s="73"/>
      <c r="H631" s="73"/>
      <c r="I631" s="73"/>
      <c r="J631" s="73"/>
      <c r="K631" s="73"/>
    </row>
    <row r="632">
      <c r="C632" s="71"/>
      <c r="D632" s="71"/>
      <c r="E632" s="71"/>
      <c r="F632" s="73"/>
      <c r="G632" s="73"/>
      <c r="H632" s="73"/>
      <c r="I632" s="73"/>
      <c r="J632" s="73"/>
      <c r="K632" s="73"/>
    </row>
    <row r="633">
      <c r="C633" s="71"/>
      <c r="D633" s="71"/>
      <c r="E633" s="71"/>
      <c r="F633" s="73"/>
      <c r="G633" s="73"/>
      <c r="H633" s="73"/>
      <c r="I633" s="73"/>
      <c r="J633" s="73"/>
      <c r="K633" s="73"/>
    </row>
    <row r="634">
      <c r="C634" s="71"/>
      <c r="D634" s="71"/>
      <c r="E634" s="71"/>
      <c r="F634" s="73"/>
      <c r="G634" s="73"/>
      <c r="H634" s="73"/>
      <c r="I634" s="73"/>
      <c r="J634" s="73"/>
      <c r="K634" s="73"/>
    </row>
    <row r="635">
      <c r="C635" s="71"/>
      <c r="D635" s="71"/>
      <c r="E635" s="71"/>
      <c r="F635" s="73"/>
      <c r="G635" s="73"/>
      <c r="H635" s="73"/>
      <c r="I635" s="73"/>
      <c r="J635" s="73"/>
      <c r="K635" s="73"/>
    </row>
    <row r="636">
      <c r="C636" s="71"/>
      <c r="D636" s="71"/>
      <c r="E636" s="71"/>
      <c r="F636" s="73"/>
      <c r="G636" s="73"/>
      <c r="H636" s="73"/>
      <c r="I636" s="73"/>
      <c r="J636" s="73"/>
      <c r="K636" s="73"/>
    </row>
    <row r="637">
      <c r="C637" s="71"/>
      <c r="D637" s="71"/>
      <c r="E637" s="71"/>
      <c r="F637" s="73"/>
      <c r="G637" s="73"/>
      <c r="H637" s="73"/>
      <c r="I637" s="73"/>
      <c r="J637" s="73"/>
      <c r="K637" s="73"/>
    </row>
    <row r="638">
      <c r="C638" s="71"/>
      <c r="D638" s="71"/>
      <c r="E638" s="71"/>
      <c r="F638" s="73"/>
      <c r="G638" s="73"/>
      <c r="H638" s="73"/>
      <c r="I638" s="73"/>
      <c r="J638" s="73"/>
      <c r="K638" s="73"/>
    </row>
    <row r="639">
      <c r="C639" s="71"/>
      <c r="D639" s="71"/>
      <c r="E639" s="71"/>
      <c r="F639" s="73"/>
      <c r="G639" s="73"/>
      <c r="H639" s="73"/>
      <c r="I639" s="73"/>
      <c r="J639" s="73"/>
      <c r="K639" s="73"/>
    </row>
    <row r="640">
      <c r="C640" s="71"/>
      <c r="D640" s="71"/>
      <c r="E640" s="71"/>
      <c r="F640" s="73"/>
      <c r="G640" s="73"/>
      <c r="H640" s="73"/>
      <c r="I640" s="73"/>
      <c r="J640" s="73"/>
      <c r="K640" s="73"/>
    </row>
    <row r="641">
      <c r="C641" s="71"/>
      <c r="D641" s="71"/>
      <c r="E641" s="71"/>
      <c r="F641" s="73"/>
      <c r="G641" s="73"/>
      <c r="H641" s="73"/>
      <c r="I641" s="73"/>
      <c r="J641" s="73"/>
      <c r="K641" s="73"/>
    </row>
    <row r="642">
      <c r="C642" s="71"/>
      <c r="D642" s="71"/>
      <c r="E642" s="71"/>
      <c r="F642" s="73"/>
      <c r="G642" s="73"/>
      <c r="H642" s="73"/>
      <c r="I642" s="73"/>
      <c r="J642" s="73"/>
      <c r="K642" s="73"/>
    </row>
    <row r="643">
      <c r="C643" s="71"/>
      <c r="D643" s="71"/>
      <c r="E643" s="71"/>
      <c r="F643" s="73"/>
      <c r="G643" s="73"/>
      <c r="H643" s="73"/>
      <c r="I643" s="73"/>
      <c r="J643" s="73"/>
      <c r="K643" s="73"/>
    </row>
    <row r="644">
      <c r="C644" s="71"/>
      <c r="D644" s="71"/>
      <c r="E644" s="71"/>
      <c r="F644" s="73"/>
      <c r="G644" s="73"/>
      <c r="H644" s="73"/>
      <c r="I644" s="73"/>
      <c r="J644" s="73"/>
      <c r="K644" s="73"/>
    </row>
    <row r="645">
      <c r="C645" s="71"/>
      <c r="D645" s="71"/>
      <c r="E645" s="71"/>
      <c r="F645" s="73"/>
      <c r="G645" s="73"/>
      <c r="H645" s="73"/>
      <c r="I645" s="73"/>
      <c r="J645" s="73"/>
      <c r="K645" s="73"/>
    </row>
    <row r="646">
      <c r="C646" s="71"/>
      <c r="D646" s="71"/>
      <c r="E646" s="71"/>
      <c r="F646" s="73"/>
      <c r="G646" s="73"/>
      <c r="H646" s="73"/>
      <c r="I646" s="73"/>
      <c r="J646" s="73"/>
      <c r="K646" s="73"/>
    </row>
    <row r="647">
      <c r="C647" s="71"/>
      <c r="D647" s="71"/>
      <c r="E647" s="71"/>
      <c r="F647" s="73"/>
      <c r="G647" s="73"/>
      <c r="H647" s="73"/>
      <c r="I647" s="73"/>
      <c r="J647" s="73"/>
      <c r="K647" s="73"/>
    </row>
    <row r="648">
      <c r="C648" s="71"/>
      <c r="D648" s="71"/>
      <c r="E648" s="71"/>
      <c r="F648" s="73"/>
      <c r="G648" s="73"/>
      <c r="H648" s="73"/>
      <c r="I648" s="73"/>
      <c r="J648" s="73"/>
      <c r="K648" s="73"/>
    </row>
    <row r="649">
      <c r="C649" s="71"/>
      <c r="D649" s="71"/>
      <c r="E649" s="71"/>
      <c r="F649" s="73"/>
      <c r="G649" s="73"/>
      <c r="H649" s="73"/>
      <c r="I649" s="73"/>
      <c r="J649" s="73"/>
      <c r="K649" s="73"/>
    </row>
    <row r="650">
      <c r="C650" s="71"/>
      <c r="D650" s="71"/>
      <c r="E650" s="71"/>
      <c r="F650" s="73"/>
      <c r="G650" s="73"/>
      <c r="H650" s="73"/>
      <c r="I650" s="73"/>
      <c r="J650" s="73"/>
      <c r="K650" s="73"/>
    </row>
    <row r="651">
      <c r="C651" s="71"/>
      <c r="D651" s="71"/>
      <c r="E651" s="71"/>
      <c r="F651" s="73"/>
      <c r="G651" s="73"/>
      <c r="H651" s="73"/>
      <c r="I651" s="73"/>
      <c r="J651" s="73"/>
      <c r="K651" s="73"/>
    </row>
    <row r="652">
      <c r="C652" s="71"/>
      <c r="D652" s="71"/>
      <c r="E652" s="71"/>
      <c r="F652" s="73"/>
      <c r="G652" s="73"/>
      <c r="H652" s="73"/>
      <c r="I652" s="73"/>
      <c r="J652" s="73"/>
      <c r="K652" s="73"/>
    </row>
    <row r="653">
      <c r="C653" s="71"/>
      <c r="D653" s="71"/>
      <c r="E653" s="71"/>
      <c r="F653" s="73"/>
      <c r="G653" s="73"/>
      <c r="H653" s="73"/>
      <c r="I653" s="73"/>
      <c r="J653" s="73"/>
      <c r="K653" s="73"/>
    </row>
    <row r="654">
      <c r="C654" s="71"/>
      <c r="D654" s="71"/>
      <c r="E654" s="71"/>
      <c r="F654" s="73"/>
      <c r="G654" s="73"/>
      <c r="H654" s="73"/>
      <c r="I654" s="73"/>
      <c r="J654" s="73"/>
      <c r="K654" s="73"/>
    </row>
    <row r="655">
      <c r="C655" s="71"/>
      <c r="D655" s="71"/>
      <c r="E655" s="71"/>
      <c r="F655" s="73"/>
      <c r="G655" s="73"/>
      <c r="H655" s="73"/>
      <c r="I655" s="73"/>
      <c r="J655" s="73"/>
      <c r="K655" s="73"/>
    </row>
    <row r="656">
      <c r="C656" s="71"/>
      <c r="D656" s="71"/>
      <c r="E656" s="71"/>
      <c r="F656" s="73"/>
      <c r="G656" s="73"/>
      <c r="H656" s="73"/>
      <c r="I656" s="73"/>
      <c r="J656" s="73"/>
      <c r="K656" s="73"/>
    </row>
    <row r="657">
      <c r="C657" s="71"/>
      <c r="D657" s="71"/>
      <c r="E657" s="71"/>
      <c r="F657" s="73"/>
      <c r="G657" s="73"/>
      <c r="H657" s="73"/>
      <c r="I657" s="73"/>
      <c r="J657" s="73"/>
      <c r="K657" s="73"/>
    </row>
    <row r="658">
      <c r="C658" s="71"/>
      <c r="D658" s="71"/>
      <c r="E658" s="71"/>
      <c r="F658" s="73"/>
      <c r="G658" s="73"/>
      <c r="H658" s="73"/>
      <c r="I658" s="73"/>
      <c r="J658" s="73"/>
      <c r="K658" s="73"/>
    </row>
    <row r="659">
      <c r="C659" s="71"/>
      <c r="D659" s="71"/>
      <c r="E659" s="71"/>
      <c r="F659" s="73"/>
      <c r="G659" s="73"/>
      <c r="H659" s="73"/>
      <c r="I659" s="73"/>
      <c r="J659" s="73"/>
      <c r="K659" s="73"/>
    </row>
    <row r="660">
      <c r="C660" s="71"/>
      <c r="D660" s="71"/>
      <c r="E660" s="71"/>
      <c r="F660" s="73"/>
      <c r="G660" s="73"/>
      <c r="H660" s="73"/>
      <c r="I660" s="73"/>
      <c r="J660" s="73"/>
      <c r="K660" s="73"/>
    </row>
    <row r="661">
      <c r="C661" s="71"/>
      <c r="D661" s="71"/>
      <c r="E661" s="71"/>
      <c r="F661" s="73"/>
      <c r="G661" s="73"/>
      <c r="H661" s="73"/>
      <c r="I661" s="73"/>
      <c r="J661" s="73"/>
      <c r="K661" s="73"/>
    </row>
    <row r="662">
      <c r="C662" s="71"/>
      <c r="D662" s="71"/>
      <c r="E662" s="71"/>
      <c r="F662" s="73"/>
      <c r="G662" s="73"/>
      <c r="H662" s="73"/>
      <c r="I662" s="73"/>
      <c r="J662" s="73"/>
      <c r="K662" s="73"/>
    </row>
    <row r="663">
      <c r="C663" s="71"/>
      <c r="D663" s="71"/>
      <c r="E663" s="71"/>
      <c r="F663" s="73"/>
      <c r="G663" s="73"/>
      <c r="H663" s="73"/>
      <c r="I663" s="73"/>
      <c r="J663" s="73"/>
      <c r="K663" s="73"/>
    </row>
    <row r="664">
      <c r="C664" s="71"/>
      <c r="D664" s="71"/>
      <c r="E664" s="71"/>
      <c r="F664" s="73"/>
      <c r="G664" s="73"/>
      <c r="H664" s="73"/>
      <c r="I664" s="73"/>
      <c r="J664" s="73"/>
      <c r="K664" s="73"/>
    </row>
    <row r="665">
      <c r="C665" s="71"/>
      <c r="D665" s="71"/>
      <c r="E665" s="71"/>
      <c r="F665" s="73"/>
      <c r="G665" s="73"/>
      <c r="H665" s="73"/>
      <c r="I665" s="73"/>
      <c r="J665" s="73"/>
      <c r="K665" s="73"/>
    </row>
    <row r="666">
      <c r="C666" s="71"/>
      <c r="D666" s="71"/>
      <c r="E666" s="71"/>
      <c r="F666" s="73"/>
      <c r="G666" s="73"/>
      <c r="H666" s="73"/>
      <c r="I666" s="73"/>
      <c r="J666" s="73"/>
      <c r="K666" s="73"/>
    </row>
    <row r="667">
      <c r="C667" s="71"/>
      <c r="D667" s="71"/>
      <c r="E667" s="71"/>
      <c r="F667" s="73"/>
      <c r="G667" s="73"/>
      <c r="H667" s="73"/>
      <c r="I667" s="73"/>
      <c r="J667" s="73"/>
      <c r="K667" s="73"/>
    </row>
    <row r="668">
      <c r="C668" s="71"/>
      <c r="D668" s="71"/>
      <c r="E668" s="71"/>
      <c r="F668" s="73"/>
      <c r="G668" s="73"/>
      <c r="H668" s="73"/>
      <c r="I668" s="73"/>
      <c r="J668" s="73"/>
      <c r="K668" s="73"/>
    </row>
    <row r="669">
      <c r="C669" s="71"/>
      <c r="D669" s="71"/>
      <c r="E669" s="71"/>
      <c r="F669" s="73"/>
      <c r="G669" s="73"/>
      <c r="H669" s="73"/>
      <c r="I669" s="73"/>
      <c r="J669" s="73"/>
      <c r="K669" s="73"/>
    </row>
    <row r="670">
      <c r="C670" s="71"/>
      <c r="D670" s="71"/>
      <c r="E670" s="71"/>
      <c r="F670" s="73"/>
      <c r="G670" s="73"/>
      <c r="H670" s="73"/>
      <c r="I670" s="73"/>
      <c r="J670" s="73"/>
      <c r="K670" s="73"/>
    </row>
    <row r="671">
      <c r="C671" s="71"/>
      <c r="D671" s="71"/>
      <c r="E671" s="71"/>
      <c r="F671" s="73"/>
      <c r="G671" s="73"/>
      <c r="H671" s="73"/>
      <c r="I671" s="73"/>
      <c r="J671" s="73"/>
      <c r="K671" s="73"/>
    </row>
    <row r="672">
      <c r="C672" s="71"/>
      <c r="D672" s="71"/>
      <c r="E672" s="71"/>
      <c r="F672" s="73"/>
      <c r="G672" s="73"/>
      <c r="H672" s="73"/>
      <c r="I672" s="73"/>
      <c r="J672" s="73"/>
      <c r="K672" s="73"/>
    </row>
    <row r="673">
      <c r="C673" s="71"/>
      <c r="D673" s="71"/>
      <c r="E673" s="71"/>
      <c r="F673" s="73"/>
      <c r="G673" s="73"/>
      <c r="H673" s="73"/>
      <c r="I673" s="73"/>
      <c r="J673" s="73"/>
      <c r="K673" s="73"/>
    </row>
    <row r="674">
      <c r="C674" s="71"/>
      <c r="D674" s="71"/>
      <c r="E674" s="71"/>
      <c r="F674" s="73"/>
      <c r="G674" s="73"/>
      <c r="H674" s="73"/>
      <c r="I674" s="73"/>
      <c r="J674" s="73"/>
      <c r="K674" s="73"/>
    </row>
    <row r="675">
      <c r="C675" s="71"/>
      <c r="D675" s="71"/>
      <c r="E675" s="71"/>
      <c r="F675" s="73"/>
      <c r="G675" s="73"/>
      <c r="H675" s="73"/>
      <c r="I675" s="73"/>
      <c r="J675" s="73"/>
      <c r="K675" s="73"/>
    </row>
    <row r="676">
      <c r="C676" s="71"/>
      <c r="D676" s="71"/>
      <c r="E676" s="71"/>
      <c r="F676" s="73"/>
      <c r="G676" s="73"/>
      <c r="H676" s="73"/>
      <c r="I676" s="73"/>
      <c r="J676" s="73"/>
      <c r="K676" s="73"/>
    </row>
    <row r="677">
      <c r="C677" s="71"/>
      <c r="D677" s="71"/>
      <c r="E677" s="71"/>
      <c r="F677" s="73"/>
      <c r="G677" s="73"/>
      <c r="H677" s="73"/>
      <c r="I677" s="73"/>
      <c r="J677" s="73"/>
      <c r="K677" s="73"/>
    </row>
    <row r="678">
      <c r="C678" s="71"/>
      <c r="D678" s="71"/>
      <c r="E678" s="71"/>
      <c r="F678" s="73"/>
      <c r="G678" s="73"/>
      <c r="H678" s="73"/>
      <c r="I678" s="73"/>
      <c r="J678" s="73"/>
      <c r="K678" s="73"/>
    </row>
    <row r="679">
      <c r="C679" s="71"/>
      <c r="D679" s="71"/>
      <c r="E679" s="71"/>
      <c r="F679" s="73"/>
      <c r="G679" s="73"/>
      <c r="H679" s="73"/>
      <c r="I679" s="73"/>
      <c r="J679" s="73"/>
      <c r="K679" s="73"/>
    </row>
    <row r="680">
      <c r="C680" s="71"/>
      <c r="D680" s="71"/>
      <c r="E680" s="71"/>
      <c r="F680" s="73"/>
      <c r="G680" s="73"/>
      <c r="H680" s="73"/>
      <c r="I680" s="73"/>
      <c r="J680" s="73"/>
      <c r="K680" s="73"/>
    </row>
    <row r="681">
      <c r="C681" s="71"/>
      <c r="D681" s="71"/>
      <c r="E681" s="71"/>
      <c r="F681" s="73"/>
      <c r="G681" s="73"/>
      <c r="H681" s="73"/>
      <c r="I681" s="73"/>
      <c r="J681" s="73"/>
      <c r="K681" s="73"/>
    </row>
    <row r="682">
      <c r="C682" s="71"/>
      <c r="D682" s="71"/>
      <c r="E682" s="71"/>
      <c r="F682" s="73"/>
      <c r="G682" s="73"/>
      <c r="H682" s="73"/>
      <c r="I682" s="73"/>
      <c r="J682" s="73"/>
      <c r="K682" s="73"/>
    </row>
    <row r="683">
      <c r="C683" s="71"/>
      <c r="D683" s="71"/>
      <c r="E683" s="71"/>
      <c r="F683" s="73"/>
      <c r="G683" s="73"/>
      <c r="H683" s="73"/>
      <c r="I683" s="73"/>
      <c r="J683" s="73"/>
      <c r="K683" s="73"/>
    </row>
    <row r="684">
      <c r="C684" s="71"/>
      <c r="D684" s="71"/>
      <c r="E684" s="71"/>
      <c r="F684" s="73"/>
      <c r="G684" s="73"/>
      <c r="H684" s="73"/>
      <c r="I684" s="73"/>
      <c r="J684" s="73"/>
      <c r="K684" s="73"/>
    </row>
    <row r="685">
      <c r="C685" s="71"/>
      <c r="D685" s="71"/>
      <c r="E685" s="71"/>
      <c r="F685" s="73"/>
      <c r="G685" s="73"/>
      <c r="H685" s="73"/>
      <c r="I685" s="73"/>
      <c r="J685" s="73"/>
      <c r="K685" s="73"/>
    </row>
    <row r="686">
      <c r="C686" s="71"/>
      <c r="D686" s="71"/>
      <c r="E686" s="71"/>
      <c r="F686" s="73"/>
      <c r="G686" s="73"/>
      <c r="H686" s="73"/>
      <c r="I686" s="73"/>
      <c r="J686" s="73"/>
      <c r="K686" s="73"/>
    </row>
    <row r="687">
      <c r="C687" s="71"/>
      <c r="D687" s="71"/>
      <c r="E687" s="71"/>
      <c r="F687" s="73"/>
      <c r="G687" s="73"/>
      <c r="H687" s="73"/>
      <c r="I687" s="73"/>
      <c r="J687" s="73"/>
      <c r="K687" s="73"/>
    </row>
    <row r="688">
      <c r="C688" s="71"/>
      <c r="D688" s="71"/>
      <c r="E688" s="71"/>
      <c r="F688" s="73"/>
      <c r="G688" s="73"/>
      <c r="H688" s="73"/>
      <c r="I688" s="73"/>
      <c r="J688" s="73"/>
      <c r="K688" s="73"/>
    </row>
    <row r="689">
      <c r="C689" s="71"/>
      <c r="D689" s="71"/>
      <c r="E689" s="71"/>
      <c r="F689" s="73"/>
      <c r="G689" s="73"/>
      <c r="H689" s="73"/>
      <c r="I689" s="73"/>
      <c r="J689" s="73"/>
      <c r="K689" s="73"/>
    </row>
    <row r="690">
      <c r="C690" s="71"/>
      <c r="D690" s="71"/>
      <c r="E690" s="71"/>
      <c r="F690" s="73"/>
      <c r="G690" s="73"/>
      <c r="H690" s="73"/>
      <c r="I690" s="73"/>
      <c r="J690" s="73"/>
      <c r="K690" s="73"/>
    </row>
    <row r="691">
      <c r="C691" s="71"/>
      <c r="D691" s="71"/>
      <c r="E691" s="71"/>
      <c r="F691" s="73"/>
      <c r="G691" s="73"/>
      <c r="H691" s="73"/>
      <c r="I691" s="73"/>
      <c r="J691" s="73"/>
      <c r="K691" s="73"/>
    </row>
    <row r="692">
      <c r="C692" s="71"/>
      <c r="D692" s="71"/>
      <c r="E692" s="71"/>
      <c r="F692" s="73"/>
      <c r="G692" s="73"/>
      <c r="H692" s="73"/>
      <c r="I692" s="73"/>
      <c r="J692" s="73"/>
      <c r="K692" s="73"/>
    </row>
    <row r="693">
      <c r="C693" s="71"/>
      <c r="D693" s="71"/>
      <c r="E693" s="71"/>
      <c r="F693" s="73"/>
      <c r="G693" s="73"/>
      <c r="H693" s="73"/>
      <c r="I693" s="73"/>
      <c r="J693" s="73"/>
      <c r="K693" s="73"/>
    </row>
    <row r="694">
      <c r="C694" s="71"/>
      <c r="D694" s="71"/>
      <c r="E694" s="71"/>
      <c r="F694" s="73"/>
      <c r="G694" s="73"/>
      <c r="H694" s="73"/>
      <c r="I694" s="73"/>
      <c r="J694" s="73"/>
      <c r="K694" s="73"/>
    </row>
    <row r="695">
      <c r="C695" s="71"/>
      <c r="D695" s="71"/>
      <c r="E695" s="71"/>
      <c r="F695" s="73"/>
      <c r="G695" s="73"/>
      <c r="H695" s="73"/>
      <c r="I695" s="73"/>
      <c r="J695" s="73"/>
      <c r="K695" s="73"/>
    </row>
    <row r="696">
      <c r="C696" s="71"/>
      <c r="D696" s="71"/>
      <c r="E696" s="71"/>
      <c r="F696" s="73"/>
      <c r="G696" s="73"/>
      <c r="H696" s="73"/>
      <c r="I696" s="73"/>
      <c r="J696" s="73"/>
      <c r="K696" s="73"/>
    </row>
    <row r="697">
      <c r="C697" s="71"/>
      <c r="D697" s="71"/>
      <c r="E697" s="71"/>
      <c r="F697" s="73"/>
      <c r="G697" s="73"/>
      <c r="H697" s="73"/>
      <c r="I697" s="73"/>
      <c r="J697" s="73"/>
      <c r="K697" s="73"/>
    </row>
    <row r="698">
      <c r="C698" s="71"/>
      <c r="D698" s="71"/>
      <c r="E698" s="71"/>
      <c r="F698" s="73"/>
      <c r="G698" s="73"/>
      <c r="H698" s="73"/>
      <c r="I698" s="73"/>
      <c r="J698" s="73"/>
      <c r="K698" s="73"/>
    </row>
    <row r="699">
      <c r="C699" s="71"/>
      <c r="D699" s="71"/>
      <c r="E699" s="71"/>
      <c r="F699" s="73"/>
      <c r="G699" s="73"/>
      <c r="H699" s="73"/>
      <c r="I699" s="73"/>
      <c r="J699" s="73"/>
      <c r="K699" s="73"/>
    </row>
    <row r="700">
      <c r="C700" s="71"/>
      <c r="D700" s="71"/>
      <c r="E700" s="71"/>
      <c r="F700" s="73"/>
      <c r="G700" s="73"/>
      <c r="H700" s="73"/>
      <c r="I700" s="73"/>
      <c r="J700" s="73"/>
      <c r="K700" s="73"/>
    </row>
    <row r="701">
      <c r="C701" s="71"/>
      <c r="D701" s="71"/>
      <c r="E701" s="71"/>
      <c r="F701" s="73"/>
      <c r="G701" s="73"/>
      <c r="H701" s="73"/>
      <c r="I701" s="73"/>
      <c r="J701" s="73"/>
      <c r="K701" s="73"/>
    </row>
    <row r="702">
      <c r="C702" s="71"/>
      <c r="D702" s="71"/>
      <c r="E702" s="71"/>
      <c r="F702" s="73"/>
      <c r="G702" s="73"/>
      <c r="H702" s="73"/>
      <c r="I702" s="73"/>
      <c r="J702" s="73"/>
      <c r="K702" s="73"/>
    </row>
    <row r="703">
      <c r="C703" s="71"/>
      <c r="D703" s="71"/>
      <c r="E703" s="71"/>
      <c r="F703" s="73"/>
      <c r="G703" s="73"/>
      <c r="H703" s="73"/>
      <c r="I703" s="73"/>
      <c r="J703" s="73"/>
      <c r="K703" s="73"/>
    </row>
    <row r="704">
      <c r="C704" s="71"/>
      <c r="D704" s="71"/>
      <c r="E704" s="71"/>
      <c r="F704" s="73"/>
      <c r="G704" s="73"/>
      <c r="H704" s="73"/>
      <c r="I704" s="73"/>
      <c r="J704" s="73"/>
      <c r="K704" s="73"/>
    </row>
    <row r="705">
      <c r="C705" s="71"/>
      <c r="D705" s="71"/>
      <c r="E705" s="71"/>
      <c r="F705" s="73"/>
      <c r="G705" s="73"/>
      <c r="H705" s="73"/>
      <c r="I705" s="73"/>
      <c r="J705" s="73"/>
      <c r="K705" s="73"/>
    </row>
    <row r="706">
      <c r="C706" s="71"/>
      <c r="D706" s="71"/>
      <c r="E706" s="71"/>
      <c r="F706" s="73"/>
      <c r="G706" s="73"/>
      <c r="H706" s="73"/>
      <c r="I706" s="73"/>
      <c r="J706" s="73"/>
      <c r="K706" s="73"/>
    </row>
    <row r="707">
      <c r="C707" s="71"/>
      <c r="D707" s="71"/>
      <c r="E707" s="71"/>
      <c r="F707" s="73"/>
      <c r="G707" s="73"/>
      <c r="H707" s="73"/>
      <c r="I707" s="73"/>
      <c r="J707" s="73"/>
      <c r="K707" s="73"/>
    </row>
    <row r="708">
      <c r="C708" s="71"/>
      <c r="D708" s="71"/>
      <c r="E708" s="71"/>
      <c r="F708" s="73"/>
      <c r="G708" s="73"/>
      <c r="H708" s="73"/>
      <c r="I708" s="73"/>
      <c r="J708" s="73"/>
      <c r="K708" s="73"/>
    </row>
    <row r="709">
      <c r="C709" s="71"/>
      <c r="D709" s="71"/>
      <c r="E709" s="71"/>
      <c r="F709" s="73"/>
      <c r="G709" s="73"/>
      <c r="H709" s="73"/>
      <c r="I709" s="73"/>
      <c r="J709" s="73"/>
      <c r="K709" s="73"/>
    </row>
    <row r="710">
      <c r="C710" s="71"/>
      <c r="D710" s="71"/>
      <c r="E710" s="71"/>
      <c r="F710" s="73"/>
      <c r="G710" s="73"/>
      <c r="H710" s="73"/>
      <c r="I710" s="73"/>
      <c r="J710" s="73"/>
      <c r="K710" s="73"/>
    </row>
    <row r="711">
      <c r="C711" s="71"/>
      <c r="D711" s="71"/>
      <c r="E711" s="71"/>
      <c r="F711" s="73"/>
      <c r="G711" s="73"/>
      <c r="H711" s="73"/>
      <c r="I711" s="73"/>
      <c r="J711" s="73"/>
      <c r="K711" s="73"/>
    </row>
    <row r="712">
      <c r="C712" s="71"/>
      <c r="D712" s="71"/>
      <c r="E712" s="71"/>
      <c r="F712" s="73"/>
      <c r="G712" s="73"/>
      <c r="H712" s="73"/>
      <c r="I712" s="73"/>
      <c r="J712" s="73"/>
      <c r="K712" s="73"/>
    </row>
    <row r="713">
      <c r="C713" s="71"/>
      <c r="D713" s="71"/>
      <c r="E713" s="71"/>
      <c r="F713" s="73"/>
      <c r="G713" s="73"/>
      <c r="H713" s="73"/>
      <c r="I713" s="73"/>
      <c r="J713" s="73"/>
      <c r="K713" s="73"/>
    </row>
    <row r="714">
      <c r="C714" s="71"/>
      <c r="D714" s="71"/>
      <c r="E714" s="71"/>
      <c r="F714" s="73"/>
      <c r="G714" s="73"/>
      <c r="H714" s="73"/>
      <c r="I714" s="73"/>
      <c r="J714" s="73"/>
      <c r="K714" s="73"/>
    </row>
    <row r="715">
      <c r="C715" s="71"/>
      <c r="D715" s="71"/>
      <c r="E715" s="71"/>
      <c r="F715" s="73"/>
      <c r="G715" s="73"/>
      <c r="H715" s="73"/>
      <c r="I715" s="73"/>
      <c r="J715" s="73"/>
      <c r="K715" s="73"/>
    </row>
    <row r="716">
      <c r="C716" s="71"/>
      <c r="D716" s="71"/>
      <c r="E716" s="71"/>
      <c r="F716" s="73"/>
      <c r="G716" s="73"/>
      <c r="H716" s="73"/>
      <c r="I716" s="73"/>
      <c r="J716" s="73"/>
      <c r="K716" s="73"/>
    </row>
    <row r="717">
      <c r="C717" s="71"/>
      <c r="D717" s="71"/>
      <c r="E717" s="71"/>
      <c r="F717" s="73"/>
      <c r="G717" s="73"/>
      <c r="H717" s="73"/>
      <c r="I717" s="73"/>
      <c r="J717" s="73"/>
      <c r="K717" s="73"/>
    </row>
    <row r="718">
      <c r="C718" s="71"/>
      <c r="D718" s="71"/>
      <c r="E718" s="71"/>
      <c r="F718" s="73"/>
      <c r="G718" s="73"/>
      <c r="H718" s="73"/>
      <c r="I718" s="73"/>
      <c r="J718" s="73"/>
      <c r="K718" s="73"/>
    </row>
    <row r="719">
      <c r="C719" s="71"/>
      <c r="D719" s="71"/>
      <c r="E719" s="71"/>
      <c r="F719" s="73"/>
      <c r="G719" s="73"/>
      <c r="H719" s="73"/>
      <c r="I719" s="73"/>
      <c r="J719" s="73"/>
      <c r="K719" s="73"/>
    </row>
    <row r="720">
      <c r="C720" s="71"/>
      <c r="D720" s="71"/>
      <c r="E720" s="71"/>
      <c r="F720" s="73"/>
      <c r="G720" s="73"/>
      <c r="H720" s="73"/>
      <c r="I720" s="73"/>
      <c r="J720" s="73"/>
      <c r="K720" s="73"/>
    </row>
    <row r="721">
      <c r="C721" s="71"/>
      <c r="D721" s="71"/>
      <c r="E721" s="71"/>
      <c r="F721" s="73"/>
      <c r="G721" s="73"/>
      <c r="H721" s="73"/>
      <c r="I721" s="73"/>
      <c r="J721" s="73"/>
      <c r="K721" s="73"/>
    </row>
    <row r="722">
      <c r="C722" s="71"/>
      <c r="D722" s="71"/>
      <c r="E722" s="71"/>
      <c r="F722" s="73"/>
      <c r="G722" s="73"/>
      <c r="H722" s="73"/>
      <c r="I722" s="73"/>
      <c r="J722" s="73"/>
      <c r="K722" s="73"/>
    </row>
    <row r="723">
      <c r="C723" s="71"/>
      <c r="D723" s="71"/>
      <c r="E723" s="71"/>
      <c r="F723" s="73"/>
      <c r="G723" s="73"/>
      <c r="H723" s="73"/>
      <c r="I723" s="73"/>
      <c r="J723" s="73"/>
      <c r="K723" s="73"/>
    </row>
    <row r="724">
      <c r="C724" s="71"/>
      <c r="D724" s="71"/>
      <c r="E724" s="71"/>
      <c r="F724" s="73"/>
      <c r="G724" s="73"/>
      <c r="H724" s="73"/>
      <c r="I724" s="73"/>
      <c r="J724" s="73"/>
      <c r="K724" s="73"/>
    </row>
    <row r="725">
      <c r="C725" s="71"/>
      <c r="D725" s="71"/>
      <c r="E725" s="71"/>
      <c r="F725" s="73"/>
      <c r="G725" s="73"/>
      <c r="H725" s="73"/>
      <c r="I725" s="73"/>
      <c r="J725" s="73"/>
      <c r="K725" s="73"/>
    </row>
    <row r="726">
      <c r="C726" s="71"/>
      <c r="D726" s="71"/>
      <c r="E726" s="71"/>
      <c r="F726" s="73"/>
      <c r="G726" s="73"/>
      <c r="H726" s="73"/>
      <c r="I726" s="73"/>
      <c r="J726" s="73"/>
      <c r="K726" s="73"/>
    </row>
    <row r="727">
      <c r="C727" s="71"/>
      <c r="D727" s="71"/>
      <c r="E727" s="71"/>
      <c r="F727" s="73"/>
      <c r="G727" s="73"/>
      <c r="H727" s="73"/>
      <c r="I727" s="73"/>
      <c r="J727" s="73"/>
      <c r="K727" s="73"/>
    </row>
    <row r="728">
      <c r="C728" s="71"/>
      <c r="D728" s="71"/>
      <c r="E728" s="71"/>
      <c r="F728" s="73"/>
      <c r="G728" s="73"/>
      <c r="H728" s="73"/>
      <c r="I728" s="73"/>
      <c r="J728" s="73"/>
      <c r="K728" s="73"/>
    </row>
    <row r="729">
      <c r="C729" s="71"/>
      <c r="D729" s="71"/>
      <c r="E729" s="71"/>
      <c r="F729" s="73"/>
      <c r="G729" s="73"/>
      <c r="H729" s="73"/>
      <c r="I729" s="73"/>
      <c r="J729" s="73"/>
      <c r="K729" s="73"/>
    </row>
    <row r="730">
      <c r="C730" s="71"/>
      <c r="D730" s="71"/>
      <c r="E730" s="71"/>
      <c r="F730" s="73"/>
      <c r="G730" s="73"/>
      <c r="H730" s="73"/>
      <c r="I730" s="73"/>
      <c r="J730" s="73"/>
      <c r="K730" s="73"/>
    </row>
    <row r="731">
      <c r="C731" s="71"/>
      <c r="D731" s="71"/>
      <c r="E731" s="71"/>
      <c r="F731" s="73"/>
      <c r="G731" s="73"/>
      <c r="H731" s="73"/>
      <c r="I731" s="73"/>
      <c r="J731" s="73"/>
      <c r="K731" s="73"/>
    </row>
    <row r="732">
      <c r="C732" s="71"/>
      <c r="D732" s="71"/>
      <c r="E732" s="71"/>
      <c r="F732" s="73"/>
      <c r="G732" s="73"/>
      <c r="H732" s="73"/>
      <c r="I732" s="73"/>
      <c r="J732" s="73"/>
      <c r="K732" s="73"/>
    </row>
    <row r="733">
      <c r="C733" s="71"/>
      <c r="D733" s="71"/>
      <c r="E733" s="71"/>
      <c r="F733" s="73"/>
      <c r="G733" s="73"/>
      <c r="H733" s="73"/>
      <c r="I733" s="73"/>
      <c r="J733" s="73"/>
      <c r="K733" s="73"/>
    </row>
    <row r="734">
      <c r="C734" s="71"/>
      <c r="D734" s="71"/>
      <c r="E734" s="71"/>
      <c r="F734" s="73"/>
      <c r="G734" s="73"/>
      <c r="H734" s="73"/>
      <c r="I734" s="73"/>
      <c r="J734" s="73"/>
      <c r="K734" s="73"/>
    </row>
    <row r="735">
      <c r="C735" s="71"/>
      <c r="D735" s="71"/>
      <c r="E735" s="71"/>
      <c r="F735" s="73"/>
      <c r="G735" s="73"/>
      <c r="H735" s="73"/>
      <c r="I735" s="73"/>
      <c r="J735" s="73"/>
      <c r="K735" s="73"/>
    </row>
    <row r="736">
      <c r="C736" s="71"/>
      <c r="D736" s="71"/>
      <c r="E736" s="71"/>
      <c r="F736" s="73"/>
      <c r="G736" s="73"/>
      <c r="H736" s="73"/>
      <c r="I736" s="73"/>
      <c r="J736" s="73"/>
      <c r="K736" s="73"/>
    </row>
    <row r="737">
      <c r="C737" s="71"/>
      <c r="D737" s="71"/>
      <c r="E737" s="71"/>
      <c r="F737" s="73"/>
      <c r="G737" s="73"/>
      <c r="H737" s="73"/>
      <c r="I737" s="73"/>
      <c r="J737" s="73"/>
      <c r="K737" s="73"/>
    </row>
    <row r="738">
      <c r="C738" s="71"/>
      <c r="D738" s="71"/>
      <c r="E738" s="71"/>
      <c r="F738" s="73"/>
      <c r="G738" s="73"/>
      <c r="H738" s="73"/>
      <c r="I738" s="73"/>
      <c r="J738" s="73"/>
      <c r="K738" s="73"/>
    </row>
    <row r="739">
      <c r="C739" s="71"/>
      <c r="D739" s="71"/>
      <c r="E739" s="71"/>
      <c r="F739" s="73"/>
      <c r="G739" s="73"/>
      <c r="H739" s="73"/>
      <c r="I739" s="73"/>
      <c r="J739" s="73"/>
      <c r="K739" s="73"/>
    </row>
    <row r="740">
      <c r="C740" s="71"/>
      <c r="D740" s="71"/>
      <c r="E740" s="71"/>
      <c r="F740" s="73"/>
      <c r="G740" s="73"/>
      <c r="H740" s="73"/>
      <c r="I740" s="73"/>
      <c r="J740" s="73"/>
      <c r="K740" s="73"/>
    </row>
    <row r="741">
      <c r="C741" s="71"/>
      <c r="D741" s="71"/>
      <c r="E741" s="71"/>
      <c r="F741" s="73"/>
      <c r="G741" s="73"/>
      <c r="H741" s="73"/>
      <c r="I741" s="73"/>
      <c r="J741" s="73"/>
      <c r="K741" s="73"/>
    </row>
    <row r="742">
      <c r="C742" s="71"/>
      <c r="D742" s="71"/>
      <c r="E742" s="71"/>
      <c r="F742" s="73"/>
      <c r="G742" s="73"/>
      <c r="H742" s="73"/>
      <c r="I742" s="73"/>
      <c r="J742" s="73"/>
      <c r="K742" s="73"/>
    </row>
    <row r="743">
      <c r="C743" s="71"/>
      <c r="D743" s="71"/>
      <c r="E743" s="71"/>
      <c r="F743" s="73"/>
      <c r="G743" s="73"/>
      <c r="H743" s="73"/>
      <c r="I743" s="73"/>
      <c r="J743" s="73"/>
      <c r="K743" s="73"/>
    </row>
    <row r="744">
      <c r="C744" s="71"/>
      <c r="D744" s="71"/>
      <c r="E744" s="71"/>
      <c r="F744" s="73"/>
      <c r="G744" s="73"/>
      <c r="H744" s="73"/>
      <c r="I744" s="73"/>
      <c r="J744" s="73"/>
      <c r="K744" s="73"/>
    </row>
    <row r="745">
      <c r="C745" s="71"/>
      <c r="D745" s="71"/>
      <c r="E745" s="71"/>
      <c r="F745" s="73"/>
      <c r="G745" s="73"/>
      <c r="H745" s="73"/>
      <c r="I745" s="73"/>
      <c r="J745" s="73"/>
      <c r="K745" s="73"/>
    </row>
    <row r="746">
      <c r="C746" s="71"/>
      <c r="D746" s="71"/>
      <c r="E746" s="71"/>
      <c r="F746" s="73"/>
      <c r="G746" s="73"/>
      <c r="H746" s="73"/>
      <c r="I746" s="73"/>
      <c r="J746" s="73"/>
      <c r="K746" s="73"/>
    </row>
    <row r="747">
      <c r="C747" s="71"/>
      <c r="D747" s="71"/>
      <c r="E747" s="71"/>
      <c r="F747" s="73"/>
      <c r="G747" s="73"/>
      <c r="H747" s="73"/>
      <c r="I747" s="73"/>
      <c r="J747" s="73"/>
      <c r="K747" s="73"/>
    </row>
    <row r="748">
      <c r="C748" s="71"/>
      <c r="D748" s="71"/>
      <c r="E748" s="71"/>
      <c r="F748" s="73"/>
      <c r="G748" s="73"/>
      <c r="H748" s="73"/>
      <c r="I748" s="73"/>
      <c r="J748" s="73"/>
      <c r="K748" s="73"/>
    </row>
    <row r="749">
      <c r="C749" s="71"/>
      <c r="D749" s="71"/>
      <c r="E749" s="71"/>
      <c r="F749" s="73"/>
      <c r="G749" s="73"/>
      <c r="H749" s="73"/>
      <c r="I749" s="73"/>
      <c r="J749" s="73"/>
      <c r="K749" s="73"/>
    </row>
    <row r="750">
      <c r="C750" s="71"/>
      <c r="D750" s="71"/>
      <c r="E750" s="71"/>
      <c r="F750" s="73"/>
      <c r="G750" s="73"/>
      <c r="H750" s="73"/>
      <c r="I750" s="73"/>
      <c r="J750" s="73"/>
      <c r="K750" s="73"/>
    </row>
    <row r="751">
      <c r="C751" s="71"/>
      <c r="D751" s="71"/>
      <c r="E751" s="71"/>
      <c r="F751" s="73"/>
      <c r="G751" s="73"/>
      <c r="H751" s="73"/>
      <c r="I751" s="73"/>
      <c r="J751" s="73"/>
      <c r="K751" s="73"/>
    </row>
    <row r="752">
      <c r="C752" s="71"/>
      <c r="D752" s="71"/>
      <c r="E752" s="71"/>
      <c r="F752" s="73"/>
      <c r="G752" s="73"/>
      <c r="H752" s="73"/>
      <c r="I752" s="73"/>
      <c r="J752" s="73"/>
      <c r="K752" s="73"/>
    </row>
    <row r="753">
      <c r="C753" s="71"/>
      <c r="D753" s="71"/>
      <c r="E753" s="71"/>
      <c r="F753" s="73"/>
      <c r="G753" s="73"/>
      <c r="H753" s="73"/>
      <c r="I753" s="73"/>
      <c r="J753" s="73"/>
      <c r="K753" s="73"/>
    </row>
    <row r="754">
      <c r="C754" s="71"/>
      <c r="D754" s="71"/>
      <c r="E754" s="71"/>
      <c r="F754" s="73"/>
      <c r="G754" s="73"/>
      <c r="H754" s="73"/>
      <c r="I754" s="73"/>
      <c r="J754" s="73"/>
      <c r="K754" s="73"/>
    </row>
    <row r="755">
      <c r="C755" s="71"/>
      <c r="D755" s="71"/>
      <c r="E755" s="71"/>
      <c r="F755" s="73"/>
      <c r="G755" s="73"/>
      <c r="H755" s="73"/>
      <c r="I755" s="73"/>
      <c r="J755" s="73"/>
      <c r="K755" s="73"/>
    </row>
    <row r="756">
      <c r="C756" s="71"/>
      <c r="D756" s="71"/>
      <c r="E756" s="71"/>
      <c r="F756" s="73"/>
      <c r="G756" s="73"/>
      <c r="H756" s="73"/>
      <c r="I756" s="73"/>
      <c r="J756" s="73"/>
      <c r="K756" s="73"/>
    </row>
    <row r="757">
      <c r="C757" s="71"/>
      <c r="D757" s="71"/>
      <c r="E757" s="71"/>
      <c r="F757" s="73"/>
      <c r="G757" s="73"/>
      <c r="H757" s="73"/>
      <c r="I757" s="73"/>
      <c r="J757" s="73"/>
      <c r="K757" s="73"/>
    </row>
    <row r="758">
      <c r="C758" s="71"/>
      <c r="D758" s="71"/>
      <c r="E758" s="71"/>
      <c r="F758" s="73"/>
      <c r="G758" s="73"/>
      <c r="H758" s="73"/>
      <c r="I758" s="73"/>
      <c r="J758" s="73"/>
      <c r="K758" s="73"/>
    </row>
    <row r="759">
      <c r="C759" s="71"/>
      <c r="D759" s="71"/>
      <c r="E759" s="71"/>
      <c r="F759" s="73"/>
      <c r="G759" s="73"/>
      <c r="H759" s="73"/>
      <c r="I759" s="73"/>
      <c r="J759" s="73"/>
      <c r="K759" s="73"/>
    </row>
    <row r="760">
      <c r="C760" s="71"/>
      <c r="D760" s="71"/>
      <c r="E760" s="71"/>
      <c r="F760" s="73"/>
      <c r="G760" s="73"/>
      <c r="H760" s="73"/>
      <c r="I760" s="73"/>
      <c r="J760" s="73"/>
      <c r="K760" s="73"/>
    </row>
    <row r="761">
      <c r="C761" s="71"/>
      <c r="D761" s="71"/>
      <c r="E761" s="71"/>
      <c r="F761" s="73"/>
      <c r="G761" s="73"/>
      <c r="H761" s="73"/>
      <c r="I761" s="73"/>
      <c r="J761" s="73"/>
      <c r="K761" s="73"/>
    </row>
    <row r="762">
      <c r="C762" s="71"/>
      <c r="D762" s="71"/>
      <c r="E762" s="71"/>
      <c r="F762" s="73"/>
      <c r="G762" s="73"/>
      <c r="H762" s="73"/>
      <c r="I762" s="73"/>
      <c r="J762" s="73"/>
      <c r="K762" s="73"/>
    </row>
    <row r="763">
      <c r="C763" s="71"/>
      <c r="D763" s="71"/>
      <c r="E763" s="71"/>
      <c r="F763" s="73"/>
      <c r="G763" s="73"/>
      <c r="H763" s="73"/>
      <c r="I763" s="73"/>
      <c r="J763" s="73"/>
      <c r="K763" s="73"/>
    </row>
    <row r="764">
      <c r="C764" s="71"/>
      <c r="D764" s="71"/>
      <c r="E764" s="71"/>
      <c r="F764" s="73"/>
      <c r="G764" s="73"/>
      <c r="H764" s="73"/>
      <c r="I764" s="73"/>
      <c r="J764" s="73"/>
      <c r="K764" s="73"/>
    </row>
    <row r="765">
      <c r="C765" s="71"/>
      <c r="D765" s="71"/>
      <c r="E765" s="71"/>
      <c r="F765" s="73"/>
      <c r="G765" s="73"/>
      <c r="H765" s="73"/>
      <c r="I765" s="73"/>
      <c r="J765" s="73"/>
      <c r="K765" s="73"/>
    </row>
    <row r="766">
      <c r="C766" s="71"/>
      <c r="D766" s="71"/>
      <c r="E766" s="71"/>
      <c r="F766" s="73"/>
      <c r="G766" s="73"/>
      <c r="H766" s="73"/>
      <c r="I766" s="73"/>
      <c r="J766" s="73"/>
      <c r="K766" s="73"/>
    </row>
    <row r="767">
      <c r="C767" s="71"/>
      <c r="D767" s="71"/>
      <c r="E767" s="71"/>
      <c r="F767" s="73"/>
      <c r="G767" s="73"/>
      <c r="H767" s="73"/>
      <c r="I767" s="73"/>
      <c r="J767" s="73"/>
      <c r="K767" s="73"/>
    </row>
    <row r="768">
      <c r="C768" s="71"/>
      <c r="D768" s="71"/>
      <c r="E768" s="71"/>
      <c r="F768" s="73"/>
      <c r="G768" s="73"/>
      <c r="H768" s="73"/>
      <c r="I768" s="73"/>
      <c r="J768" s="73"/>
      <c r="K768" s="73"/>
    </row>
    <row r="769">
      <c r="C769" s="71"/>
      <c r="D769" s="71"/>
      <c r="E769" s="71"/>
      <c r="F769" s="73"/>
      <c r="G769" s="73"/>
      <c r="H769" s="73"/>
      <c r="I769" s="73"/>
      <c r="J769" s="73"/>
      <c r="K769" s="73"/>
    </row>
    <row r="770">
      <c r="C770" s="71"/>
      <c r="D770" s="71"/>
      <c r="E770" s="71"/>
      <c r="F770" s="73"/>
      <c r="G770" s="73"/>
      <c r="H770" s="73"/>
      <c r="I770" s="73"/>
      <c r="J770" s="73"/>
      <c r="K770" s="73"/>
    </row>
    <row r="771">
      <c r="C771" s="71"/>
      <c r="D771" s="71"/>
      <c r="E771" s="71"/>
      <c r="F771" s="73"/>
      <c r="G771" s="73"/>
      <c r="H771" s="73"/>
      <c r="I771" s="73"/>
      <c r="J771" s="73"/>
      <c r="K771" s="73"/>
    </row>
    <row r="772">
      <c r="C772" s="71"/>
      <c r="D772" s="71"/>
      <c r="E772" s="71"/>
      <c r="F772" s="73"/>
      <c r="G772" s="73"/>
      <c r="H772" s="73"/>
      <c r="I772" s="73"/>
      <c r="J772" s="73"/>
      <c r="K772" s="73"/>
    </row>
    <row r="773">
      <c r="C773" s="71"/>
      <c r="D773" s="71"/>
      <c r="E773" s="71"/>
      <c r="F773" s="73"/>
      <c r="G773" s="73"/>
      <c r="H773" s="73"/>
      <c r="I773" s="73"/>
      <c r="J773" s="73"/>
      <c r="K773" s="73"/>
    </row>
    <row r="774">
      <c r="C774" s="71"/>
      <c r="D774" s="71"/>
      <c r="E774" s="71"/>
      <c r="F774" s="73"/>
      <c r="G774" s="73"/>
      <c r="H774" s="73"/>
      <c r="I774" s="73"/>
      <c r="J774" s="73"/>
      <c r="K774" s="73"/>
    </row>
    <row r="775">
      <c r="C775" s="71"/>
      <c r="D775" s="71"/>
      <c r="E775" s="71"/>
      <c r="F775" s="73"/>
      <c r="G775" s="73"/>
      <c r="H775" s="73"/>
      <c r="I775" s="73"/>
      <c r="J775" s="73"/>
      <c r="K775" s="73"/>
    </row>
    <row r="776">
      <c r="C776" s="71"/>
      <c r="D776" s="71"/>
      <c r="E776" s="71"/>
      <c r="F776" s="73"/>
      <c r="G776" s="73"/>
      <c r="H776" s="73"/>
      <c r="I776" s="73"/>
      <c r="J776" s="73"/>
      <c r="K776" s="73"/>
    </row>
    <row r="777">
      <c r="C777" s="71"/>
      <c r="D777" s="71"/>
      <c r="E777" s="71"/>
      <c r="F777" s="73"/>
      <c r="G777" s="73"/>
      <c r="H777" s="73"/>
      <c r="I777" s="73"/>
      <c r="J777" s="73"/>
      <c r="K777" s="73"/>
    </row>
    <row r="778">
      <c r="C778" s="71"/>
      <c r="D778" s="71"/>
      <c r="E778" s="71"/>
      <c r="F778" s="73"/>
      <c r="G778" s="73"/>
      <c r="H778" s="73"/>
      <c r="I778" s="73"/>
      <c r="J778" s="73"/>
      <c r="K778" s="73"/>
    </row>
    <row r="779">
      <c r="C779" s="71"/>
      <c r="D779" s="71"/>
      <c r="E779" s="71"/>
      <c r="F779" s="73"/>
      <c r="G779" s="73"/>
      <c r="H779" s="73"/>
      <c r="I779" s="73"/>
      <c r="J779" s="73"/>
      <c r="K779" s="73"/>
    </row>
    <row r="780">
      <c r="C780" s="71"/>
      <c r="D780" s="71"/>
      <c r="E780" s="71"/>
      <c r="F780" s="73"/>
      <c r="G780" s="73"/>
      <c r="H780" s="73"/>
      <c r="I780" s="73"/>
      <c r="J780" s="73"/>
      <c r="K780" s="73"/>
    </row>
    <row r="781">
      <c r="C781" s="71"/>
      <c r="D781" s="71"/>
      <c r="E781" s="71"/>
      <c r="F781" s="73"/>
      <c r="G781" s="73"/>
      <c r="H781" s="73"/>
      <c r="I781" s="73"/>
      <c r="J781" s="73"/>
      <c r="K781" s="73"/>
    </row>
    <row r="782">
      <c r="C782" s="71"/>
      <c r="D782" s="71"/>
      <c r="E782" s="71"/>
      <c r="F782" s="73"/>
      <c r="G782" s="73"/>
      <c r="H782" s="73"/>
      <c r="I782" s="73"/>
      <c r="J782" s="73"/>
      <c r="K782" s="73"/>
    </row>
    <row r="783">
      <c r="C783" s="71"/>
      <c r="D783" s="71"/>
      <c r="E783" s="71"/>
      <c r="F783" s="73"/>
      <c r="G783" s="73"/>
      <c r="H783" s="73"/>
      <c r="I783" s="73"/>
      <c r="J783" s="73"/>
      <c r="K783" s="73"/>
    </row>
    <row r="784">
      <c r="C784" s="71"/>
      <c r="D784" s="71"/>
      <c r="E784" s="71"/>
      <c r="F784" s="73"/>
      <c r="G784" s="73"/>
      <c r="H784" s="73"/>
      <c r="I784" s="73"/>
      <c r="J784" s="73"/>
      <c r="K784" s="73"/>
    </row>
    <row r="785">
      <c r="C785" s="71"/>
      <c r="D785" s="71"/>
      <c r="E785" s="71"/>
      <c r="F785" s="73"/>
      <c r="G785" s="73"/>
      <c r="H785" s="73"/>
      <c r="I785" s="73"/>
      <c r="J785" s="73"/>
      <c r="K785" s="73"/>
    </row>
    <row r="786">
      <c r="C786" s="71"/>
      <c r="D786" s="71"/>
      <c r="E786" s="71"/>
      <c r="F786" s="73"/>
      <c r="G786" s="73"/>
      <c r="H786" s="73"/>
      <c r="I786" s="73"/>
      <c r="J786" s="73"/>
      <c r="K786" s="73"/>
    </row>
    <row r="787">
      <c r="C787" s="71"/>
      <c r="D787" s="71"/>
      <c r="E787" s="71"/>
      <c r="F787" s="73"/>
      <c r="G787" s="73"/>
      <c r="H787" s="73"/>
      <c r="I787" s="73"/>
      <c r="J787" s="73"/>
      <c r="K787" s="73"/>
    </row>
    <row r="788">
      <c r="C788" s="71"/>
      <c r="D788" s="71"/>
      <c r="E788" s="71"/>
      <c r="F788" s="73"/>
      <c r="G788" s="73"/>
      <c r="H788" s="73"/>
      <c r="I788" s="73"/>
      <c r="J788" s="73"/>
      <c r="K788" s="73"/>
    </row>
    <row r="789">
      <c r="C789" s="71"/>
      <c r="D789" s="71"/>
      <c r="E789" s="71"/>
      <c r="F789" s="73"/>
      <c r="G789" s="73"/>
      <c r="H789" s="73"/>
      <c r="I789" s="73"/>
      <c r="J789" s="73"/>
      <c r="K789" s="73"/>
    </row>
    <row r="790">
      <c r="C790" s="71"/>
      <c r="D790" s="71"/>
      <c r="E790" s="71"/>
      <c r="F790" s="73"/>
      <c r="G790" s="73"/>
      <c r="H790" s="73"/>
      <c r="I790" s="73"/>
      <c r="J790" s="73"/>
      <c r="K790" s="73"/>
    </row>
    <row r="791">
      <c r="C791" s="71"/>
      <c r="D791" s="71"/>
      <c r="E791" s="71"/>
      <c r="F791" s="73"/>
      <c r="G791" s="73"/>
      <c r="H791" s="73"/>
      <c r="I791" s="73"/>
      <c r="J791" s="73"/>
      <c r="K791" s="73"/>
    </row>
    <row r="792">
      <c r="C792" s="71"/>
      <c r="D792" s="71"/>
      <c r="E792" s="71"/>
      <c r="F792" s="73"/>
      <c r="G792" s="73"/>
      <c r="H792" s="73"/>
      <c r="I792" s="73"/>
      <c r="J792" s="73"/>
      <c r="K792" s="73"/>
    </row>
    <row r="793">
      <c r="C793" s="71"/>
      <c r="D793" s="71"/>
      <c r="E793" s="71"/>
      <c r="F793" s="73"/>
      <c r="G793" s="73"/>
      <c r="H793" s="73"/>
      <c r="I793" s="73"/>
      <c r="J793" s="73"/>
      <c r="K793" s="73"/>
    </row>
    <row r="794">
      <c r="C794" s="71"/>
      <c r="D794" s="71"/>
      <c r="E794" s="71"/>
      <c r="F794" s="73"/>
      <c r="G794" s="73"/>
      <c r="H794" s="73"/>
      <c r="I794" s="73"/>
      <c r="J794" s="73"/>
      <c r="K794" s="73"/>
    </row>
    <row r="795">
      <c r="C795" s="71"/>
      <c r="D795" s="71"/>
      <c r="E795" s="71"/>
      <c r="F795" s="73"/>
      <c r="G795" s="73"/>
      <c r="H795" s="73"/>
      <c r="I795" s="73"/>
      <c r="J795" s="73"/>
      <c r="K795" s="73"/>
    </row>
    <row r="796">
      <c r="C796" s="71"/>
      <c r="D796" s="71"/>
      <c r="E796" s="71"/>
      <c r="F796" s="73"/>
      <c r="G796" s="73"/>
      <c r="H796" s="73"/>
      <c r="I796" s="73"/>
      <c r="J796" s="73"/>
      <c r="K796" s="73"/>
    </row>
    <row r="797">
      <c r="C797" s="71"/>
      <c r="D797" s="71"/>
      <c r="E797" s="71"/>
      <c r="F797" s="73"/>
      <c r="G797" s="73"/>
      <c r="H797" s="73"/>
      <c r="I797" s="73"/>
      <c r="J797" s="73"/>
      <c r="K797" s="73"/>
    </row>
    <row r="798">
      <c r="C798" s="71"/>
      <c r="D798" s="71"/>
      <c r="E798" s="71"/>
      <c r="F798" s="73"/>
      <c r="G798" s="73"/>
      <c r="H798" s="73"/>
      <c r="I798" s="73"/>
      <c r="J798" s="73"/>
      <c r="K798" s="73"/>
    </row>
    <row r="799">
      <c r="C799" s="71"/>
      <c r="D799" s="71"/>
      <c r="E799" s="71"/>
      <c r="F799" s="73"/>
      <c r="G799" s="73"/>
      <c r="H799" s="73"/>
      <c r="I799" s="73"/>
      <c r="J799" s="73"/>
      <c r="K799" s="73"/>
    </row>
    <row r="800">
      <c r="C800" s="71"/>
      <c r="D800" s="71"/>
      <c r="E800" s="71"/>
      <c r="F800" s="73"/>
      <c r="G800" s="73"/>
      <c r="H800" s="73"/>
      <c r="I800" s="73"/>
      <c r="J800" s="73"/>
      <c r="K800" s="73"/>
    </row>
    <row r="801">
      <c r="C801" s="71"/>
      <c r="D801" s="71"/>
      <c r="E801" s="71"/>
      <c r="F801" s="73"/>
      <c r="G801" s="73"/>
      <c r="H801" s="73"/>
      <c r="I801" s="73"/>
      <c r="J801" s="73"/>
      <c r="K801" s="73"/>
    </row>
    <row r="802">
      <c r="C802" s="71"/>
      <c r="D802" s="71"/>
      <c r="E802" s="71"/>
      <c r="F802" s="73"/>
      <c r="G802" s="73"/>
      <c r="H802" s="73"/>
      <c r="I802" s="73"/>
      <c r="J802" s="73"/>
      <c r="K802" s="73"/>
    </row>
    <row r="803">
      <c r="C803" s="71"/>
      <c r="D803" s="71"/>
      <c r="E803" s="71"/>
      <c r="F803" s="73"/>
      <c r="G803" s="73"/>
      <c r="H803" s="73"/>
      <c r="I803" s="73"/>
      <c r="J803" s="73"/>
      <c r="K803" s="73"/>
    </row>
    <row r="804">
      <c r="C804" s="71"/>
      <c r="D804" s="71"/>
      <c r="E804" s="71"/>
      <c r="F804" s="73"/>
      <c r="G804" s="73"/>
      <c r="H804" s="73"/>
      <c r="I804" s="73"/>
      <c r="J804" s="73"/>
      <c r="K804" s="73"/>
    </row>
    <row r="805">
      <c r="C805" s="71"/>
      <c r="D805" s="71"/>
      <c r="E805" s="71"/>
      <c r="F805" s="73"/>
      <c r="G805" s="73"/>
      <c r="H805" s="73"/>
      <c r="I805" s="73"/>
      <c r="J805" s="73"/>
      <c r="K805" s="73"/>
    </row>
    <row r="806">
      <c r="C806" s="71"/>
      <c r="D806" s="71"/>
      <c r="E806" s="71"/>
      <c r="F806" s="73"/>
      <c r="G806" s="73"/>
      <c r="H806" s="73"/>
      <c r="I806" s="73"/>
      <c r="J806" s="73"/>
      <c r="K806" s="73"/>
    </row>
    <row r="807">
      <c r="C807" s="71"/>
      <c r="D807" s="71"/>
      <c r="E807" s="71"/>
      <c r="F807" s="73"/>
      <c r="G807" s="73"/>
      <c r="H807" s="73"/>
      <c r="I807" s="73"/>
      <c r="J807" s="73"/>
      <c r="K807" s="73"/>
    </row>
    <row r="808">
      <c r="C808" s="71"/>
      <c r="D808" s="71"/>
      <c r="E808" s="71"/>
      <c r="F808" s="73"/>
      <c r="G808" s="73"/>
      <c r="H808" s="73"/>
      <c r="I808" s="73"/>
      <c r="J808" s="73"/>
      <c r="K808" s="73"/>
    </row>
    <row r="809">
      <c r="C809" s="71"/>
      <c r="D809" s="71"/>
      <c r="E809" s="71"/>
      <c r="F809" s="73"/>
      <c r="G809" s="73"/>
      <c r="H809" s="73"/>
      <c r="I809" s="73"/>
      <c r="J809" s="73"/>
      <c r="K809" s="73"/>
    </row>
    <row r="810">
      <c r="C810" s="71"/>
      <c r="D810" s="71"/>
      <c r="E810" s="71"/>
      <c r="F810" s="73"/>
      <c r="G810" s="73"/>
      <c r="H810" s="73"/>
      <c r="I810" s="73"/>
      <c r="J810" s="73"/>
      <c r="K810" s="73"/>
    </row>
    <row r="811">
      <c r="C811" s="71"/>
      <c r="D811" s="71"/>
      <c r="E811" s="71"/>
      <c r="F811" s="73"/>
      <c r="G811" s="73"/>
      <c r="H811" s="73"/>
      <c r="I811" s="73"/>
      <c r="J811" s="73"/>
      <c r="K811" s="73"/>
    </row>
    <row r="812">
      <c r="C812" s="71"/>
      <c r="D812" s="71"/>
      <c r="E812" s="71"/>
      <c r="F812" s="73"/>
      <c r="G812" s="73"/>
      <c r="H812" s="73"/>
      <c r="I812" s="73"/>
      <c r="J812" s="73"/>
      <c r="K812" s="73"/>
    </row>
    <row r="813">
      <c r="C813" s="71"/>
      <c r="D813" s="71"/>
      <c r="E813" s="71"/>
      <c r="F813" s="73"/>
      <c r="G813" s="73"/>
      <c r="H813" s="73"/>
      <c r="I813" s="73"/>
      <c r="J813" s="73"/>
      <c r="K813" s="73"/>
    </row>
    <row r="814">
      <c r="C814" s="71"/>
      <c r="D814" s="71"/>
      <c r="E814" s="71"/>
      <c r="F814" s="73"/>
      <c r="G814" s="73"/>
      <c r="H814" s="73"/>
      <c r="I814" s="73"/>
      <c r="J814" s="73"/>
      <c r="K814" s="73"/>
    </row>
    <row r="815">
      <c r="C815" s="71"/>
      <c r="D815" s="71"/>
      <c r="E815" s="71"/>
      <c r="F815" s="73"/>
      <c r="G815" s="73"/>
      <c r="H815" s="73"/>
      <c r="I815" s="73"/>
      <c r="J815" s="73"/>
      <c r="K815" s="73"/>
    </row>
    <row r="816">
      <c r="C816" s="71"/>
      <c r="D816" s="71"/>
      <c r="E816" s="71"/>
      <c r="F816" s="73"/>
      <c r="G816" s="73"/>
      <c r="H816" s="73"/>
      <c r="I816" s="73"/>
      <c r="J816" s="73"/>
      <c r="K816" s="73"/>
    </row>
    <row r="817">
      <c r="C817" s="71"/>
      <c r="D817" s="71"/>
      <c r="E817" s="71"/>
      <c r="F817" s="73"/>
      <c r="G817" s="73"/>
      <c r="H817" s="73"/>
      <c r="I817" s="73"/>
      <c r="J817" s="73"/>
      <c r="K817" s="73"/>
    </row>
    <row r="818">
      <c r="C818" s="71"/>
      <c r="D818" s="71"/>
      <c r="E818" s="71"/>
      <c r="F818" s="73"/>
      <c r="G818" s="73"/>
      <c r="H818" s="73"/>
      <c r="I818" s="73"/>
      <c r="J818" s="73"/>
      <c r="K818" s="73"/>
    </row>
    <row r="819">
      <c r="C819" s="71"/>
      <c r="D819" s="71"/>
      <c r="E819" s="71"/>
      <c r="F819" s="73"/>
      <c r="G819" s="73"/>
      <c r="H819" s="73"/>
      <c r="I819" s="73"/>
      <c r="J819" s="73"/>
      <c r="K819" s="73"/>
    </row>
    <row r="820">
      <c r="C820" s="71"/>
      <c r="D820" s="71"/>
      <c r="E820" s="71"/>
      <c r="F820" s="73"/>
      <c r="G820" s="73"/>
      <c r="H820" s="73"/>
      <c r="I820" s="73"/>
      <c r="J820" s="73"/>
      <c r="K820" s="73"/>
    </row>
    <row r="821">
      <c r="C821" s="71"/>
      <c r="D821" s="71"/>
      <c r="E821" s="71"/>
      <c r="F821" s="73"/>
      <c r="G821" s="73"/>
      <c r="H821" s="73"/>
      <c r="I821" s="73"/>
      <c r="J821" s="73"/>
      <c r="K821" s="73"/>
    </row>
    <row r="822">
      <c r="C822" s="71"/>
      <c r="D822" s="71"/>
      <c r="E822" s="71"/>
      <c r="F822" s="73"/>
      <c r="G822" s="73"/>
      <c r="H822" s="73"/>
      <c r="I822" s="73"/>
      <c r="J822" s="73"/>
      <c r="K822" s="73"/>
    </row>
    <row r="823">
      <c r="C823" s="71"/>
      <c r="D823" s="71"/>
      <c r="E823" s="71"/>
      <c r="F823" s="73"/>
      <c r="G823" s="73"/>
      <c r="H823" s="73"/>
      <c r="I823" s="73"/>
      <c r="J823" s="73"/>
      <c r="K823" s="73"/>
    </row>
    <row r="824">
      <c r="C824" s="71"/>
      <c r="D824" s="71"/>
      <c r="E824" s="71"/>
      <c r="F824" s="73"/>
      <c r="G824" s="73"/>
      <c r="H824" s="73"/>
      <c r="I824" s="73"/>
      <c r="J824" s="73"/>
      <c r="K824" s="73"/>
    </row>
    <row r="825">
      <c r="C825" s="71"/>
      <c r="D825" s="71"/>
      <c r="E825" s="71"/>
      <c r="F825" s="73"/>
      <c r="G825" s="73"/>
      <c r="H825" s="73"/>
      <c r="I825" s="73"/>
      <c r="J825" s="73"/>
      <c r="K825" s="73"/>
    </row>
    <row r="826">
      <c r="C826" s="71"/>
      <c r="D826" s="71"/>
      <c r="E826" s="71"/>
      <c r="F826" s="73"/>
      <c r="G826" s="73"/>
      <c r="H826" s="73"/>
      <c r="I826" s="73"/>
      <c r="J826" s="73"/>
      <c r="K826" s="73"/>
    </row>
    <row r="827">
      <c r="C827" s="71"/>
      <c r="D827" s="71"/>
      <c r="E827" s="71"/>
      <c r="F827" s="73"/>
      <c r="G827" s="73"/>
      <c r="H827" s="73"/>
      <c r="I827" s="73"/>
      <c r="J827" s="73"/>
      <c r="K827" s="73"/>
    </row>
    <row r="828">
      <c r="C828" s="71"/>
      <c r="D828" s="71"/>
      <c r="E828" s="71"/>
      <c r="F828" s="73"/>
      <c r="G828" s="73"/>
      <c r="H828" s="73"/>
      <c r="I828" s="73"/>
      <c r="J828" s="73"/>
      <c r="K828" s="73"/>
    </row>
    <row r="829">
      <c r="C829" s="71"/>
      <c r="D829" s="71"/>
      <c r="E829" s="71"/>
      <c r="F829" s="73"/>
      <c r="G829" s="73"/>
      <c r="H829" s="73"/>
      <c r="I829" s="73"/>
      <c r="J829" s="73"/>
      <c r="K829" s="73"/>
    </row>
    <row r="830">
      <c r="C830" s="71"/>
      <c r="D830" s="71"/>
      <c r="E830" s="71"/>
      <c r="F830" s="73"/>
      <c r="G830" s="73"/>
      <c r="H830" s="73"/>
      <c r="I830" s="73"/>
      <c r="J830" s="73"/>
      <c r="K830" s="73"/>
    </row>
    <row r="831">
      <c r="C831" s="71"/>
      <c r="D831" s="71"/>
      <c r="E831" s="71"/>
      <c r="F831" s="73"/>
      <c r="G831" s="73"/>
      <c r="H831" s="73"/>
      <c r="I831" s="73"/>
      <c r="J831" s="73"/>
      <c r="K831" s="73"/>
    </row>
    <row r="832">
      <c r="C832" s="71"/>
      <c r="D832" s="71"/>
      <c r="E832" s="71"/>
      <c r="F832" s="73"/>
      <c r="G832" s="73"/>
      <c r="H832" s="73"/>
      <c r="I832" s="73"/>
      <c r="J832" s="73"/>
      <c r="K832" s="73"/>
    </row>
    <row r="833">
      <c r="C833" s="71"/>
      <c r="D833" s="71"/>
      <c r="E833" s="71"/>
      <c r="F833" s="73"/>
      <c r="G833" s="73"/>
      <c r="H833" s="73"/>
      <c r="I833" s="73"/>
      <c r="J833" s="73"/>
      <c r="K833" s="73"/>
    </row>
    <row r="834">
      <c r="C834" s="71"/>
      <c r="D834" s="71"/>
      <c r="E834" s="71"/>
      <c r="F834" s="73"/>
      <c r="G834" s="73"/>
      <c r="H834" s="73"/>
      <c r="I834" s="73"/>
      <c r="J834" s="73"/>
      <c r="K834" s="73"/>
    </row>
    <row r="835">
      <c r="C835" s="71"/>
      <c r="D835" s="71"/>
      <c r="E835" s="71"/>
      <c r="F835" s="73"/>
      <c r="G835" s="73"/>
      <c r="H835" s="73"/>
      <c r="I835" s="73"/>
      <c r="J835" s="73"/>
      <c r="K835" s="73"/>
    </row>
    <row r="836">
      <c r="C836" s="71"/>
      <c r="D836" s="71"/>
      <c r="E836" s="71"/>
      <c r="F836" s="73"/>
      <c r="G836" s="73"/>
      <c r="H836" s="73"/>
      <c r="I836" s="73"/>
      <c r="J836" s="73"/>
      <c r="K836" s="73"/>
    </row>
    <row r="837">
      <c r="C837" s="71"/>
      <c r="D837" s="71"/>
      <c r="E837" s="71"/>
      <c r="F837" s="73"/>
      <c r="G837" s="73"/>
      <c r="H837" s="73"/>
      <c r="I837" s="73"/>
      <c r="J837" s="73"/>
      <c r="K837" s="73"/>
    </row>
    <row r="838">
      <c r="C838" s="71"/>
      <c r="D838" s="71"/>
      <c r="E838" s="71"/>
      <c r="F838" s="73"/>
      <c r="G838" s="73"/>
      <c r="H838" s="73"/>
      <c r="I838" s="73"/>
      <c r="J838" s="73"/>
      <c r="K838" s="73"/>
    </row>
    <row r="839">
      <c r="C839" s="71"/>
      <c r="D839" s="71"/>
      <c r="E839" s="71"/>
      <c r="F839" s="73"/>
      <c r="G839" s="73"/>
      <c r="H839" s="73"/>
      <c r="I839" s="73"/>
      <c r="J839" s="73"/>
      <c r="K839" s="73"/>
    </row>
    <row r="840">
      <c r="C840" s="71"/>
      <c r="D840" s="71"/>
      <c r="E840" s="71"/>
      <c r="F840" s="73"/>
      <c r="G840" s="73"/>
      <c r="H840" s="73"/>
      <c r="I840" s="73"/>
      <c r="J840" s="73"/>
      <c r="K840" s="73"/>
    </row>
    <row r="841">
      <c r="C841" s="71"/>
      <c r="D841" s="71"/>
      <c r="E841" s="71"/>
      <c r="F841" s="73"/>
      <c r="G841" s="73"/>
      <c r="H841" s="73"/>
      <c r="I841" s="73"/>
      <c r="J841" s="73"/>
      <c r="K841" s="73"/>
    </row>
    <row r="842">
      <c r="C842" s="71"/>
      <c r="D842" s="71"/>
      <c r="E842" s="71"/>
      <c r="F842" s="73"/>
      <c r="G842" s="73"/>
      <c r="H842" s="73"/>
      <c r="I842" s="73"/>
      <c r="J842" s="73"/>
      <c r="K842" s="73"/>
    </row>
    <row r="843">
      <c r="C843" s="71"/>
      <c r="D843" s="71"/>
      <c r="E843" s="71"/>
      <c r="F843" s="73"/>
      <c r="G843" s="73"/>
      <c r="H843" s="73"/>
      <c r="I843" s="73"/>
      <c r="J843" s="73"/>
      <c r="K843" s="73"/>
    </row>
    <row r="844">
      <c r="C844" s="71"/>
      <c r="D844" s="71"/>
      <c r="E844" s="71"/>
      <c r="F844" s="73"/>
      <c r="G844" s="73"/>
      <c r="H844" s="73"/>
      <c r="I844" s="73"/>
      <c r="J844" s="73"/>
      <c r="K844" s="73"/>
    </row>
    <row r="845">
      <c r="C845" s="71"/>
      <c r="D845" s="71"/>
      <c r="E845" s="71"/>
      <c r="F845" s="73"/>
      <c r="G845" s="73"/>
      <c r="H845" s="73"/>
      <c r="I845" s="73"/>
      <c r="J845" s="73"/>
      <c r="K845" s="73"/>
    </row>
    <row r="846">
      <c r="C846" s="71"/>
      <c r="D846" s="71"/>
      <c r="E846" s="71"/>
      <c r="F846" s="73"/>
      <c r="G846" s="73"/>
      <c r="H846" s="73"/>
      <c r="I846" s="73"/>
      <c r="J846" s="73"/>
      <c r="K846" s="73"/>
    </row>
    <row r="847">
      <c r="C847" s="71"/>
      <c r="D847" s="71"/>
      <c r="E847" s="71"/>
      <c r="F847" s="73"/>
      <c r="G847" s="73"/>
      <c r="H847" s="73"/>
      <c r="I847" s="73"/>
      <c r="J847" s="73"/>
      <c r="K847" s="73"/>
    </row>
    <row r="848">
      <c r="C848" s="71"/>
      <c r="D848" s="71"/>
      <c r="E848" s="71"/>
      <c r="F848" s="73"/>
      <c r="G848" s="73"/>
      <c r="H848" s="73"/>
      <c r="I848" s="73"/>
      <c r="J848" s="73"/>
      <c r="K848" s="73"/>
    </row>
    <row r="849">
      <c r="C849" s="71"/>
      <c r="D849" s="71"/>
      <c r="E849" s="71"/>
      <c r="F849" s="73"/>
      <c r="G849" s="73"/>
      <c r="H849" s="73"/>
      <c r="I849" s="73"/>
      <c r="J849" s="73"/>
      <c r="K849" s="73"/>
    </row>
    <row r="850">
      <c r="C850" s="71"/>
      <c r="D850" s="71"/>
      <c r="E850" s="71"/>
      <c r="F850" s="73"/>
      <c r="G850" s="73"/>
      <c r="H850" s="73"/>
      <c r="I850" s="73"/>
      <c r="J850" s="73"/>
      <c r="K850" s="73"/>
    </row>
    <row r="851">
      <c r="C851" s="71"/>
      <c r="D851" s="71"/>
      <c r="E851" s="71"/>
      <c r="F851" s="73"/>
      <c r="G851" s="73"/>
      <c r="H851" s="73"/>
      <c r="I851" s="73"/>
      <c r="J851" s="73"/>
      <c r="K851" s="73"/>
    </row>
    <row r="852">
      <c r="C852" s="71"/>
      <c r="D852" s="71"/>
      <c r="E852" s="71"/>
      <c r="F852" s="73"/>
      <c r="G852" s="73"/>
      <c r="H852" s="73"/>
      <c r="I852" s="73"/>
      <c r="J852" s="73"/>
      <c r="K852" s="73"/>
    </row>
    <row r="853">
      <c r="C853" s="71"/>
      <c r="D853" s="71"/>
      <c r="E853" s="71"/>
      <c r="F853" s="73"/>
      <c r="G853" s="73"/>
      <c r="H853" s="73"/>
      <c r="I853" s="73"/>
      <c r="J853" s="73"/>
      <c r="K853" s="73"/>
    </row>
    <row r="854">
      <c r="C854" s="71"/>
      <c r="D854" s="71"/>
      <c r="E854" s="71"/>
      <c r="F854" s="73"/>
      <c r="G854" s="73"/>
      <c r="H854" s="73"/>
      <c r="I854" s="73"/>
      <c r="J854" s="73"/>
      <c r="K854" s="73"/>
    </row>
    <row r="855">
      <c r="C855" s="71"/>
      <c r="D855" s="71"/>
      <c r="E855" s="71"/>
      <c r="F855" s="73"/>
      <c r="G855" s="73"/>
      <c r="H855" s="73"/>
      <c r="I855" s="73"/>
      <c r="J855" s="73"/>
      <c r="K855" s="73"/>
    </row>
    <row r="856">
      <c r="C856" s="71"/>
      <c r="D856" s="71"/>
      <c r="E856" s="71"/>
      <c r="F856" s="73"/>
      <c r="G856" s="73"/>
      <c r="H856" s="73"/>
      <c r="I856" s="73"/>
      <c r="J856" s="73"/>
      <c r="K856" s="73"/>
    </row>
    <row r="857">
      <c r="C857" s="71"/>
      <c r="D857" s="71"/>
      <c r="E857" s="71"/>
      <c r="F857" s="73"/>
      <c r="G857" s="73"/>
      <c r="H857" s="73"/>
      <c r="I857" s="73"/>
      <c r="J857" s="73"/>
      <c r="K857" s="73"/>
    </row>
    <row r="858">
      <c r="C858" s="71"/>
      <c r="D858" s="71"/>
      <c r="E858" s="71"/>
      <c r="F858" s="73"/>
      <c r="G858" s="73"/>
      <c r="H858" s="73"/>
      <c r="I858" s="73"/>
      <c r="J858" s="73"/>
      <c r="K858" s="73"/>
    </row>
    <row r="859">
      <c r="C859" s="71"/>
      <c r="D859" s="71"/>
      <c r="E859" s="71"/>
      <c r="F859" s="73"/>
      <c r="G859" s="73"/>
      <c r="H859" s="73"/>
      <c r="I859" s="73"/>
      <c r="J859" s="73"/>
      <c r="K859" s="73"/>
    </row>
    <row r="860">
      <c r="C860" s="71"/>
      <c r="D860" s="71"/>
      <c r="E860" s="71"/>
      <c r="F860" s="73"/>
      <c r="G860" s="73"/>
      <c r="H860" s="73"/>
      <c r="I860" s="73"/>
      <c r="J860" s="73"/>
      <c r="K860" s="73"/>
    </row>
    <row r="861">
      <c r="C861" s="71"/>
      <c r="D861" s="71"/>
      <c r="E861" s="71"/>
      <c r="F861" s="73"/>
      <c r="G861" s="73"/>
      <c r="H861" s="73"/>
      <c r="I861" s="73"/>
      <c r="J861" s="73"/>
      <c r="K861" s="73"/>
    </row>
    <row r="862">
      <c r="C862" s="71"/>
      <c r="D862" s="71"/>
      <c r="E862" s="71"/>
      <c r="F862" s="73"/>
      <c r="G862" s="73"/>
      <c r="H862" s="73"/>
      <c r="I862" s="73"/>
      <c r="J862" s="73"/>
      <c r="K862" s="73"/>
    </row>
    <row r="863">
      <c r="C863" s="71"/>
      <c r="D863" s="71"/>
      <c r="E863" s="71"/>
      <c r="F863" s="73"/>
      <c r="G863" s="73"/>
      <c r="H863" s="73"/>
      <c r="I863" s="73"/>
      <c r="J863" s="73"/>
      <c r="K863" s="73"/>
    </row>
    <row r="864">
      <c r="C864" s="71"/>
      <c r="D864" s="71"/>
      <c r="E864" s="71"/>
      <c r="F864" s="73"/>
      <c r="G864" s="73"/>
      <c r="H864" s="73"/>
      <c r="I864" s="73"/>
      <c r="J864" s="73"/>
      <c r="K864" s="73"/>
    </row>
    <row r="865">
      <c r="C865" s="71"/>
      <c r="D865" s="71"/>
      <c r="E865" s="71"/>
      <c r="F865" s="73"/>
      <c r="G865" s="73"/>
      <c r="H865" s="73"/>
      <c r="I865" s="73"/>
      <c r="J865" s="73"/>
      <c r="K865" s="73"/>
    </row>
    <row r="866">
      <c r="C866" s="71"/>
      <c r="D866" s="71"/>
      <c r="E866" s="71"/>
      <c r="F866" s="73"/>
      <c r="G866" s="73"/>
      <c r="H866" s="73"/>
      <c r="I866" s="73"/>
      <c r="J866" s="73"/>
      <c r="K866" s="73"/>
    </row>
    <row r="867">
      <c r="C867" s="71"/>
      <c r="D867" s="71"/>
      <c r="E867" s="71"/>
      <c r="F867" s="73"/>
      <c r="G867" s="73"/>
      <c r="H867" s="73"/>
      <c r="I867" s="73"/>
      <c r="J867" s="73"/>
      <c r="K867" s="73"/>
    </row>
    <row r="868">
      <c r="C868" s="71"/>
      <c r="D868" s="71"/>
      <c r="E868" s="71"/>
      <c r="F868" s="73"/>
      <c r="G868" s="73"/>
      <c r="H868" s="73"/>
      <c r="I868" s="73"/>
      <c r="J868" s="73"/>
      <c r="K868" s="73"/>
    </row>
    <row r="869">
      <c r="C869" s="71"/>
      <c r="D869" s="71"/>
      <c r="E869" s="71"/>
      <c r="F869" s="73"/>
      <c r="G869" s="73"/>
      <c r="H869" s="73"/>
      <c r="I869" s="73"/>
      <c r="J869" s="73"/>
      <c r="K869" s="73"/>
    </row>
    <row r="870">
      <c r="C870" s="71"/>
      <c r="D870" s="71"/>
      <c r="E870" s="71"/>
      <c r="F870" s="73"/>
      <c r="G870" s="73"/>
      <c r="H870" s="73"/>
      <c r="I870" s="73"/>
      <c r="J870" s="73"/>
      <c r="K870" s="73"/>
    </row>
    <row r="871">
      <c r="C871" s="71"/>
      <c r="D871" s="71"/>
      <c r="E871" s="71"/>
      <c r="F871" s="73"/>
      <c r="G871" s="73"/>
      <c r="H871" s="73"/>
      <c r="I871" s="73"/>
      <c r="J871" s="73"/>
      <c r="K871" s="73"/>
    </row>
    <row r="872">
      <c r="C872" s="71"/>
      <c r="D872" s="71"/>
      <c r="E872" s="71"/>
      <c r="F872" s="73"/>
      <c r="G872" s="73"/>
      <c r="H872" s="73"/>
      <c r="I872" s="73"/>
      <c r="J872" s="73"/>
      <c r="K872" s="73"/>
    </row>
    <row r="873">
      <c r="C873" s="71"/>
      <c r="D873" s="71"/>
      <c r="E873" s="71"/>
      <c r="F873" s="73"/>
      <c r="G873" s="73"/>
      <c r="H873" s="73"/>
      <c r="I873" s="73"/>
      <c r="J873" s="73"/>
      <c r="K873" s="73"/>
    </row>
    <row r="874">
      <c r="C874" s="71"/>
      <c r="D874" s="71"/>
      <c r="E874" s="71"/>
      <c r="F874" s="73"/>
      <c r="G874" s="73"/>
      <c r="H874" s="73"/>
      <c r="I874" s="73"/>
      <c r="J874" s="73"/>
      <c r="K874" s="73"/>
    </row>
    <row r="875">
      <c r="C875" s="71"/>
      <c r="D875" s="71"/>
      <c r="E875" s="71"/>
      <c r="F875" s="73"/>
      <c r="G875" s="73"/>
      <c r="H875" s="73"/>
      <c r="I875" s="73"/>
      <c r="J875" s="73"/>
      <c r="K875" s="73"/>
    </row>
    <row r="876">
      <c r="C876" s="71"/>
      <c r="D876" s="71"/>
      <c r="E876" s="71"/>
      <c r="F876" s="73"/>
      <c r="G876" s="73"/>
      <c r="H876" s="73"/>
      <c r="I876" s="73"/>
      <c r="J876" s="73"/>
      <c r="K876" s="73"/>
    </row>
    <row r="877">
      <c r="C877" s="71"/>
      <c r="D877" s="71"/>
      <c r="E877" s="71"/>
      <c r="F877" s="73"/>
      <c r="G877" s="73"/>
      <c r="H877" s="73"/>
      <c r="I877" s="73"/>
      <c r="J877" s="73"/>
      <c r="K877" s="73"/>
    </row>
    <row r="878">
      <c r="C878" s="71"/>
      <c r="D878" s="71"/>
      <c r="E878" s="71"/>
      <c r="F878" s="73"/>
      <c r="G878" s="73"/>
      <c r="H878" s="73"/>
      <c r="I878" s="73"/>
      <c r="J878" s="73"/>
      <c r="K878" s="73"/>
    </row>
    <row r="879">
      <c r="C879" s="71"/>
      <c r="D879" s="71"/>
      <c r="E879" s="71"/>
      <c r="F879" s="73"/>
      <c r="G879" s="73"/>
      <c r="H879" s="73"/>
      <c r="I879" s="73"/>
      <c r="J879" s="73"/>
      <c r="K879" s="73"/>
    </row>
    <row r="880">
      <c r="C880" s="71"/>
      <c r="D880" s="71"/>
      <c r="E880" s="71"/>
      <c r="F880" s="73"/>
      <c r="G880" s="73"/>
      <c r="H880" s="73"/>
      <c r="I880" s="73"/>
      <c r="J880" s="73"/>
      <c r="K880" s="73"/>
    </row>
    <row r="881">
      <c r="C881" s="71"/>
      <c r="D881" s="71"/>
      <c r="E881" s="71"/>
      <c r="F881" s="73"/>
      <c r="G881" s="73"/>
      <c r="H881" s="73"/>
      <c r="I881" s="73"/>
      <c r="J881" s="73"/>
      <c r="K881" s="73"/>
    </row>
    <row r="882">
      <c r="C882" s="71"/>
      <c r="D882" s="71"/>
      <c r="E882" s="71"/>
      <c r="F882" s="73"/>
      <c r="G882" s="73"/>
      <c r="H882" s="73"/>
      <c r="I882" s="73"/>
      <c r="J882" s="73"/>
      <c r="K882" s="73"/>
    </row>
    <row r="883">
      <c r="C883" s="71"/>
      <c r="D883" s="71"/>
      <c r="E883" s="71"/>
      <c r="F883" s="73"/>
      <c r="G883" s="73"/>
      <c r="H883" s="73"/>
      <c r="I883" s="73"/>
      <c r="J883" s="73"/>
      <c r="K883" s="73"/>
    </row>
    <row r="884">
      <c r="C884" s="71"/>
      <c r="D884" s="71"/>
      <c r="E884" s="71"/>
      <c r="F884" s="73"/>
      <c r="G884" s="73"/>
      <c r="H884" s="73"/>
      <c r="I884" s="73"/>
      <c r="J884" s="73"/>
      <c r="K884" s="73"/>
    </row>
    <row r="885">
      <c r="C885" s="71"/>
      <c r="D885" s="71"/>
      <c r="E885" s="71"/>
      <c r="F885" s="73"/>
      <c r="G885" s="73"/>
      <c r="H885" s="73"/>
      <c r="I885" s="73"/>
      <c r="J885" s="73"/>
      <c r="K885" s="73"/>
    </row>
    <row r="886">
      <c r="C886" s="71"/>
      <c r="D886" s="71"/>
      <c r="E886" s="71"/>
      <c r="F886" s="73"/>
      <c r="G886" s="73"/>
      <c r="H886" s="73"/>
      <c r="I886" s="73"/>
      <c r="J886" s="73"/>
      <c r="K886" s="73"/>
    </row>
    <row r="887">
      <c r="C887" s="71"/>
      <c r="D887" s="71"/>
      <c r="E887" s="71"/>
      <c r="F887" s="73"/>
      <c r="G887" s="73"/>
      <c r="H887" s="73"/>
      <c r="I887" s="73"/>
      <c r="J887" s="73"/>
      <c r="K887" s="73"/>
    </row>
    <row r="888">
      <c r="C888" s="71"/>
      <c r="D888" s="71"/>
      <c r="E888" s="71"/>
      <c r="F888" s="73"/>
      <c r="G888" s="73"/>
      <c r="H888" s="73"/>
      <c r="I888" s="73"/>
      <c r="J888" s="73"/>
      <c r="K888" s="73"/>
    </row>
    <row r="889">
      <c r="C889" s="71"/>
      <c r="D889" s="71"/>
      <c r="E889" s="71"/>
      <c r="F889" s="73"/>
      <c r="G889" s="73"/>
      <c r="H889" s="73"/>
      <c r="I889" s="73"/>
      <c r="J889" s="73"/>
      <c r="K889" s="73"/>
    </row>
    <row r="890">
      <c r="C890" s="71"/>
      <c r="D890" s="71"/>
      <c r="E890" s="71"/>
      <c r="F890" s="73"/>
      <c r="G890" s="73"/>
      <c r="H890" s="73"/>
      <c r="I890" s="73"/>
      <c r="J890" s="73"/>
      <c r="K890" s="73"/>
    </row>
    <row r="891">
      <c r="C891" s="71"/>
      <c r="D891" s="71"/>
      <c r="E891" s="71"/>
      <c r="F891" s="73"/>
      <c r="G891" s="73"/>
      <c r="H891" s="73"/>
      <c r="I891" s="73"/>
      <c r="J891" s="73"/>
      <c r="K891" s="73"/>
    </row>
    <row r="892">
      <c r="C892" s="71"/>
      <c r="D892" s="71"/>
      <c r="E892" s="71"/>
      <c r="F892" s="73"/>
      <c r="G892" s="73"/>
      <c r="H892" s="73"/>
      <c r="I892" s="73"/>
      <c r="J892" s="73"/>
      <c r="K892" s="73"/>
    </row>
    <row r="893">
      <c r="C893" s="71"/>
      <c r="D893" s="71"/>
      <c r="E893" s="71"/>
      <c r="F893" s="73"/>
      <c r="G893" s="73"/>
      <c r="H893" s="73"/>
      <c r="I893" s="73"/>
      <c r="J893" s="73"/>
      <c r="K893" s="73"/>
    </row>
    <row r="894">
      <c r="C894" s="71"/>
      <c r="D894" s="71"/>
      <c r="E894" s="71"/>
      <c r="F894" s="73"/>
      <c r="G894" s="73"/>
      <c r="H894" s="73"/>
      <c r="I894" s="73"/>
      <c r="J894" s="73"/>
      <c r="K894" s="73"/>
    </row>
    <row r="895">
      <c r="C895" s="71"/>
      <c r="D895" s="71"/>
      <c r="E895" s="71"/>
      <c r="F895" s="73"/>
      <c r="G895" s="73"/>
      <c r="H895" s="73"/>
      <c r="I895" s="73"/>
      <c r="J895" s="73"/>
      <c r="K895" s="73"/>
    </row>
    <row r="896">
      <c r="C896" s="71"/>
      <c r="D896" s="71"/>
      <c r="E896" s="71"/>
      <c r="F896" s="73"/>
      <c r="G896" s="73"/>
      <c r="H896" s="73"/>
      <c r="I896" s="73"/>
      <c r="J896" s="73"/>
      <c r="K896" s="73"/>
    </row>
    <row r="897">
      <c r="C897" s="71"/>
      <c r="D897" s="71"/>
      <c r="E897" s="71"/>
      <c r="F897" s="73"/>
      <c r="G897" s="73"/>
      <c r="H897" s="73"/>
      <c r="I897" s="73"/>
      <c r="J897" s="73"/>
      <c r="K897" s="73"/>
    </row>
    <row r="898">
      <c r="C898" s="71"/>
      <c r="D898" s="71"/>
      <c r="E898" s="71"/>
      <c r="F898" s="73"/>
      <c r="G898" s="73"/>
      <c r="H898" s="73"/>
      <c r="I898" s="73"/>
      <c r="J898" s="73"/>
      <c r="K898" s="73"/>
    </row>
    <row r="899">
      <c r="C899" s="71"/>
      <c r="D899" s="71"/>
      <c r="E899" s="71"/>
      <c r="F899" s="73"/>
      <c r="G899" s="73"/>
      <c r="H899" s="73"/>
      <c r="I899" s="73"/>
      <c r="J899" s="73"/>
      <c r="K899" s="73"/>
    </row>
    <row r="900">
      <c r="C900" s="71"/>
      <c r="D900" s="71"/>
      <c r="E900" s="71"/>
      <c r="F900" s="73"/>
      <c r="G900" s="73"/>
      <c r="H900" s="73"/>
      <c r="I900" s="73"/>
      <c r="J900" s="73"/>
      <c r="K900" s="73"/>
    </row>
    <row r="901">
      <c r="C901" s="71"/>
      <c r="D901" s="71"/>
      <c r="E901" s="71"/>
      <c r="F901" s="73"/>
      <c r="G901" s="73"/>
      <c r="H901" s="73"/>
      <c r="I901" s="73"/>
      <c r="J901" s="73"/>
      <c r="K901" s="73"/>
    </row>
    <row r="902">
      <c r="C902" s="71"/>
      <c r="D902" s="71"/>
      <c r="E902" s="71"/>
      <c r="F902" s="73"/>
      <c r="G902" s="73"/>
      <c r="H902" s="73"/>
      <c r="I902" s="73"/>
      <c r="J902" s="73"/>
      <c r="K902" s="73"/>
    </row>
    <row r="903">
      <c r="C903" s="71"/>
      <c r="D903" s="71"/>
      <c r="E903" s="71"/>
      <c r="F903" s="73"/>
      <c r="G903" s="73"/>
      <c r="H903" s="73"/>
      <c r="I903" s="73"/>
      <c r="J903" s="73"/>
      <c r="K903" s="73"/>
    </row>
    <row r="904">
      <c r="C904" s="71"/>
      <c r="D904" s="71"/>
      <c r="E904" s="71"/>
      <c r="F904" s="73"/>
      <c r="G904" s="73"/>
      <c r="H904" s="73"/>
      <c r="I904" s="73"/>
      <c r="J904" s="73"/>
      <c r="K904" s="73"/>
    </row>
    <row r="905">
      <c r="C905" s="71"/>
      <c r="D905" s="71"/>
      <c r="E905" s="71"/>
      <c r="F905" s="73"/>
      <c r="G905" s="73"/>
      <c r="H905" s="73"/>
      <c r="I905" s="73"/>
      <c r="J905" s="73"/>
      <c r="K905" s="73"/>
    </row>
    <row r="906">
      <c r="C906" s="71"/>
      <c r="D906" s="71"/>
      <c r="E906" s="71"/>
      <c r="F906" s="73"/>
      <c r="G906" s="73"/>
      <c r="H906" s="73"/>
      <c r="I906" s="73"/>
      <c r="J906" s="73"/>
      <c r="K906" s="73"/>
    </row>
    <row r="907">
      <c r="C907" s="71"/>
      <c r="D907" s="71"/>
      <c r="E907" s="71"/>
      <c r="F907" s="73"/>
      <c r="G907" s="73"/>
      <c r="H907" s="73"/>
      <c r="I907" s="73"/>
      <c r="J907" s="73"/>
      <c r="K907" s="73"/>
    </row>
    <row r="908">
      <c r="C908" s="71"/>
      <c r="D908" s="71"/>
      <c r="E908" s="71"/>
      <c r="F908" s="73"/>
      <c r="G908" s="73"/>
      <c r="H908" s="73"/>
      <c r="I908" s="73"/>
      <c r="J908" s="73"/>
      <c r="K908" s="73"/>
    </row>
    <row r="909">
      <c r="C909" s="71"/>
      <c r="D909" s="71"/>
      <c r="E909" s="71"/>
      <c r="F909" s="73"/>
      <c r="G909" s="73"/>
      <c r="H909" s="73"/>
      <c r="I909" s="73"/>
      <c r="J909" s="73"/>
      <c r="K909" s="73"/>
    </row>
    <row r="910">
      <c r="C910" s="71"/>
      <c r="D910" s="71"/>
      <c r="E910" s="71"/>
      <c r="F910" s="73"/>
      <c r="G910" s="73"/>
      <c r="H910" s="73"/>
      <c r="I910" s="73"/>
      <c r="J910" s="73"/>
      <c r="K910" s="73"/>
    </row>
    <row r="911">
      <c r="C911" s="71"/>
      <c r="D911" s="71"/>
      <c r="E911" s="71"/>
      <c r="F911" s="73"/>
      <c r="G911" s="73"/>
      <c r="H911" s="73"/>
      <c r="I911" s="73"/>
      <c r="J911" s="73"/>
      <c r="K911" s="73"/>
    </row>
    <row r="912">
      <c r="C912" s="71"/>
      <c r="D912" s="71"/>
      <c r="E912" s="71"/>
      <c r="F912" s="73"/>
      <c r="G912" s="73"/>
      <c r="H912" s="73"/>
      <c r="I912" s="73"/>
      <c r="J912" s="73"/>
      <c r="K912" s="73"/>
    </row>
    <row r="913">
      <c r="C913" s="71"/>
      <c r="D913" s="71"/>
      <c r="E913" s="71"/>
      <c r="F913" s="73"/>
      <c r="G913" s="73"/>
      <c r="H913" s="73"/>
      <c r="I913" s="73"/>
      <c r="J913" s="73"/>
      <c r="K913" s="73"/>
    </row>
    <row r="914">
      <c r="C914" s="71"/>
      <c r="D914" s="71"/>
      <c r="E914" s="71"/>
      <c r="F914" s="73"/>
      <c r="G914" s="73"/>
      <c r="H914" s="73"/>
      <c r="I914" s="73"/>
      <c r="J914" s="73"/>
      <c r="K914" s="73"/>
    </row>
    <row r="915">
      <c r="C915" s="71"/>
      <c r="D915" s="71"/>
      <c r="E915" s="71"/>
      <c r="F915" s="73"/>
      <c r="G915" s="73"/>
      <c r="H915" s="73"/>
      <c r="I915" s="73"/>
      <c r="J915" s="73"/>
      <c r="K915" s="73"/>
    </row>
    <row r="916">
      <c r="C916" s="71"/>
      <c r="D916" s="71"/>
      <c r="E916" s="71"/>
      <c r="F916" s="73"/>
      <c r="G916" s="73"/>
      <c r="H916" s="73"/>
      <c r="I916" s="73"/>
      <c r="J916" s="73"/>
      <c r="K916" s="73"/>
    </row>
    <row r="917">
      <c r="C917" s="71"/>
      <c r="D917" s="71"/>
      <c r="E917" s="71"/>
      <c r="F917" s="73"/>
      <c r="G917" s="73"/>
      <c r="H917" s="73"/>
      <c r="I917" s="73"/>
      <c r="J917" s="73"/>
      <c r="K917" s="73"/>
    </row>
    <row r="918">
      <c r="C918" s="71"/>
      <c r="D918" s="71"/>
      <c r="E918" s="71"/>
      <c r="F918" s="73"/>
      <c r="G918" s="73"/>
      <c r="H918" s="73"/>
      <c r="I918" s="73"/>
      <c r="J918" s="73"/>
      <c r="K918" s="73"/>
    </row>
    <row r="919">
      <c r="C919" s="71"/>
      <c r="D919" s="71"/>
      <c r="E919" s="71"/>
      <c r="F919" s="73"/>
      <c r="G919" s="73"/>
      <c r="H919" s="73"/>
      <c r="I919" s="73"/>
      <c r="J919" s="73"/>
      <c r="K919" s="73"/>
    </row>
    <row r="920">
      <c r="C920" s="71"/>
      <c r="D920" s="71"/>
      <c r="E920" s="71"/>
      <c r="F920" s="73"/>
      <c r="G920" s="73"/>
      <c r="H920" s="73"/>
      <c r="I920" s="73"/>
      <c r="J920" s="73"/>
      <c r="K920" s="73"/>
    </row>
    <row r="921">
      <c r="C921" s="71"/>
      <c r="D921" s="71"/>
      <c r="E921" s="71"/>
      <c r="F921" s="73"/>
      <c r="G921" s="73"/>
      <c r="H921" s="73"/>
      <c r="I921" s="73"/>
      <c r="J921" s="73"/>
      <c r="K921" s="73"/>
    </row>
    <row r="922">
      <c r="C922" s="71"/>
      <c r="D922" s="71"/>
      <c r="E922" s="71"/>
      <c r="F922" s="73"/>
      <c r="G922" s="73"/>
      <c r="H922" s="73"/>
      <c r="I922" s="73"/>
      <c r="J922" s="73"/>
      <c r="K922" s="73"/>
    </row>
    <row r="923">
      <c r="C923" s="71"/>
      <c r="D923" s="71"/>
      <c r="E923" s="71"/>
      <c r="F923" s="73"/>
      <c r="G923" s="73"/>
      <c r="H923" s="73"/>
      <c r="I923" s="73"/>
      <c r="J923" s="73"/>
      <c r="K923" s="73"/>
    </row>
    <row r="924">
      <c r="C924" s="71"/>
      <c r="D924" s="71"/>
      <c r="E924" s="71"/>
      <c r="F924" s="73"/>
      <c r="G924" s="73"/>
      <c r="H924" s="73"/>
      <c r="I924" s="73"/>
      <c r="J924" s="73"/>
      <c r="K924" s="73"/>
    </row>
    <row r="925">
      <c r="C925" s="71"/>
      <c r="D925" s="71"/>
      <c r="E925" s="71"/>
      <c r="F925" s="73"/>
      <c r="G925" s="73"/>
      <c r="H925" s="73"/>
      <c r="I925" s="73"/>
      <c r="J925" s="73"/>
      <c r="K925" s="73"/>
    </row>
  </sheetData>
  <autoFilter ref="$A$1:$P$124"/>
  <dataValidations>
    <dataValidation type="list" allowBlank="1" showErrorMessage="1" sqref="I2:I124">
      <formula1>" CREDICOOP, PROVINCIA,BBVA,EFECTIVO,EFECTIVO B,MP,PREVISION,DEB AUT. BBVA,DEB. AUT. CRED."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43.71"/>
    <col customWidth="1" min="3" max="4" width="24.71"/>
    <col customWidth="1" min="5" max="5" width="15.71"/>
    <col customWidth="1" min="6" max="9" width="15.29"/>
    <col customWidth="1" min="10" max="10" width="10.86"/>
    <col customWidth="1" min="11" max="11" width="11.29"/>
    <col customWidth="1" min="12" max="12" width="23.71"/>
    <col customWidth="1" min="13" max="13" width="33.86"/>
  </cols>
  <sheetData>
    <row r="1">
      <c r="A1" s="1" t="s">
        <v>0</v>
      </c>
      <c r="B1" s="2" t="s">
        <v>1</v>
      </c>
      <c r="C1" s="1" t="s">
        <v>2</v>
      </c>
      <c r="D1" s="2" t="s">
        <v>12</v>
      </c>
      <c r="E1" s="2" t="s">
        <v>5</v>
      </c>
      <c r="F1" s="2" t="s">
        <v>6</v>
      </c>
      <c r="G1" s="1" t="s">
        <v>7</v>
      </c>
      <c r="H1" s="2" t="s">
        <v>8</v>
      </c>
      <c r="I1" s="2" t="s">
        <v>9</v>
      </c>
      <c r="J1" s="2" t="s">
        <v>262</v>
      </c>
      <c r="K1" s="1" t="s">
        <v>11</v>
      </c>
      <c r="L1" s="4" t="s">
        <v>12</v>
      </c>
      <c r="M1" s="5" t="s">
        <v>13</v>
      </c>
    </row>
    <row r="2">
      <c r="A2" s="117" t="s">
        <v>277</v>
      </c>
      <c r="B2" s="165" t="s">
        <v>34</v>
      </c>
      <c r="C2" s="166"/>
      <c r="D2" s="320"/>
      <c r="E2" s="321">
        <v>2298836.08</v>
      </c>
      <c r="F2" s="321">
        <v>482755.58</v>
      </c>
      <c r="G2" s="322"/>
      <c r="H2" s="321">
        <v>2781591.66</v>
      </c>
      <c r="I2" s="321" t="s">
        <v>477</v>
      </c>
      <c r="J2" s="323">
        <v>45604.0</v>
      </c>
      <c r="K2" s="323">
        <v>45604.0</v>
      </c>
      <c r="L2" s="324"/>
      <c r="M2" s="325" t="s">
        <v>411</v>
      </c>
    </row>
    <row r="3">
      <c r="A3" s="171" t="s">
        <v>277</v>
      </c>
      <c r="B3" s="172" t="s">
        <v>39</v>
      </c>
      <c r="C3" s="173"/>
      <c r="D3" s="267"/>
      <c r="E3" s="268">
        <v>364820.5</v>
      </c>
      <c r="F3" s="269"/>
      <c r="G3" s="269"/>
      <c r="H3" s="268">
        <v>364820.5</v>
      </c>
      <c r="I3" s="268" t="s">
        <v>477</v>
      </c>
      <c r="J3" s="271">
        <v>45615.0</v>
      </c>
      <c r="K3" s="271">
        <v>45615.0</v>
      </c>
      <c r="L3" s="272" t="s">
        <v>458</v>
      </c>
      <c r="M3" s="273"/>
    </row>
    <row r="4">
      <c r="A4" s="117" t="s">
        <v>277</v>
      </c>
      <c r="B4" s="165" t="s">
        <v>37</v>
      </c>
      <c r="C4" s="166"/>
      <c r="D4" s="260" t="s">
        <v>415</v>
      </c>
      <c r="E4" s="261">
        <v>333341.49</v>
      </c>
      <c r="F4" s="262"/>
      <c r="G4" s="262"/>
      <c r="H4" s="261">
        <v>333341.49</v>
      </c>
      <c r="I4" s="261" t="s">
        <v>478</v>
      </c>
      <c r="J4" s="264">
        <v>45609.0</v>
      </c>
      <c r="K4" s="264">
        <v>45604.0</v>
      </c>
      <c r="L4" s="265"/>
      <c r="M4" s="274"/>
    </row>
    <row r="5">
      <c r="A5" s="171" t="s">
        <v>277</v>
      </c>
      <c r="B5" s="172" t="s">
        <v>37</v>
      </c>
      <c r="C5" s="173"/>
      <c r="D5" s="275" t="s">
        <v>416</v>
      </c>
      <c r="E5" s="268">
        <v>210457.28</v>
      </c>
      <c r="F5" s="269"/>
      <c r="G5" s="269"/>
      <c r="H5" s="326">
        <v>410458.28</v>
      </c>
      <c r="I5" s="268" t="s">
        <v>478</v>
      </c>
      <c r="J5" s="279"/>
      <c r="K5" s="271">
        <v>45600.0</v>
      </c>
      <c r="L5" s="276"/>
      <c r="M5" s="273"/>
    </row>
    <row r="6">
      <c r="A6" s="117" t="s">
        <v>277</v>
      </c>
      <c r="B6" s="165" t="s">
        <v>37</v>
      </c>
      <c r="C6" s="166"/>
      <c r="D6" s="260" t="s">
        <v>417</v>
      </c>
      <c r="E6" s="261">
        <v>12402.81</v>
      </c>
      <c r="F6" s="262"/>
      <c r="G6" s="262"/>
      <c r="H6" s="327">
        <v>12402.81</v>
      </c>
      <c r="I6" s="261" t="s">
        <v>478</v>
      </c>
      <c r="J6" s="283"/>
      <c r="K6" s="264">
        <v>45600.0</v>
      </c>
      <c r="L6" s="272" t="s">
        <v>458</v>
      </c>
      <c r="M6" s="274"/>
    </row>
    <row r="7">
      <c r="A7" s="171" t="s">
        <v>277</v>
      </c>
      <c r="B7" s="172" t="s">
        <v>99</v>
      </c>
      <c r="C7" s="181"/>
      <c r="D7" s="267"/>
      <c r="E7" s="269"/>
      <c r="F7" s="269"/>
      <c r="G7" s="269"/>
      <c r="H7" s="269"/>
      <c r="I7" s="269"/>
      <c r="J7" s="279"/>
      <c r="K7" s="279"/>
      <c r="L7" s="276"/>
      <c r="M7" s="273"/>
    </row>
    <row r="8">
      <c r="A8" s="117" t="s">
        <v>277</v>
      </c>
      <c r="B8" s="165" t="s">
        <v>46</v>
      </c>
      <c r="C8" s="166"/>
      <c r="D8" s="280"/>
      <c r="E8" s="261">
        <v>385695.31</v>
      </c>
      <c r="F8" s="262"/>
      <c r="G8" s="262"/>
      <c r="H8" s="261">
        <v>385695.31</v>
      </c>
      <c r="I8" s="261" t="s">
        <v>477</v>
      </c>
      <c r="J8" s="264">
        <v>45615.0</v>
      </c>
      <c r="K8" s="264">
        <v>45615.0</v>
      </c>
      <c r="L8" s="265"/>
      <c r="M8" s="274"/>
    </row>
    <row r="9">
      <c r="A9" s="171" t="s">
        <v>277</v>
      </c>
      <c r="B9" s="172" t="s">
        <v>31</v>
      </c>
      <c r="C9" s="173"/>
      <c r="D9" s="267"/>
      <c r="E9" s="269"/>
      <c r="F9" s="269"/>
      <c r="G9" s="269"/>
      <c r="H9" s="269"/>
      <c r="I9" s="269"/>
      <c r="J9" s="279"/>
      <c r="K9" s="279"/>
      <c r="L9" s="328"/>
      <c r="M9" s="273"/>
    </row>
    <row r="10">
      <c r="A10" s="117" t="s">
        <v>277</v>
      </c>
      <c r="B10" s="165" t="s">
        <v>268</v>
      </c>
      <c r="C10" s="189"/>
      <c r="D10" s="280"/>
      <c r="E10" s="262"/>
      <c r="F10" s="262"/>
      <c r="G10" s="262"/>
      <c r="H10" s="262"/>
      <c r="I10" s="262"/>
      <c r="J10" s="283"/>
      <c r="K10" s="283"/>
      <c r="L10" s="265"/>
      <c r="M10" s="274"/>
    </row>
    <row r="11">
      <c r="A11" s="171" t="s">
        <v>277</v>
      </c>
      <c r="B11" s="172" t="s">
        <v>102</v>
      </c>
      <c r="C11" s="181"/>
      <c r="D11" s="267"/>
      <c r="E11" s="269"/>
      <c r="F11" s="269"/>
      <c r="G11" s="269"/>
      <c r="H11" s="269"/>
      <c r="I11" s="269"/>
      <c r="J11" s="279"/>
      <c r="K11" s="279"/>
      <c r="L11" s="276"/>
      <c r="M11" s="273"/>
    </row>
    <row r="12">
      <c r="A12" s="117" t="s">
        <v>277</v>
      </c>
      <c r="B12" s="165" t="s">
        <v>41</v>
      </c>
      <c r="C12" s="166"/>
      <c r="D12" s="280"/>
      <c r="E12" s="262"/>
      <c r="F12" s="262"/>
      <c r="G12" s="262"/>
      <c r="H12" s="262"/>
      <c r="I12" s="262"/>
      <c r="J12" s="283"/>
      <c r="K12" s="283"/>
      <c r="L12" s="265"/>
      <c r="M12" s="274"/>
    </row>
    <row r="13">
      <c r="A13" s="171" t="s">
        <v>277</v>
      </c>
      <c r="B13" s="172" t="s">
        <v>50</v>
      </c>
      <c r="C13" s="173"/>
      <c r="D13" s="267"/>
      <c r="E13" s="268">
        <v>521344.89</v>
      </c>
      <c r="F13" s="269"/>
      <c r="G13" s="269"/>
      <c r="H13" s="268">
        <v>521344.89</v>
      </c>
      <c r="I13" s="268" t="s">
        <v>477</v>
      </c>
      <c r="J13" s="271">
        <v>45615.0</v>
      </c>
      <c r="K13" s="271">
        <v>45615.0</v>
      </c>
      <c r="L13" s="272" t="s">
        <v>458</v>
      </c>
      <c r="M13" s="273"/>
    </row>
    <row r="14">
      <c r="A14" s="117" t="s">
        <v>277</v>
      </c>
      <c r="B14" s="165" t="s">
        <v>43</v>
      </c>
      <c r="C14" s="166"/>
      <c r="D14" s="260" t="s">
        <v>461</v>
      </c>
      <c r="E14" s="261">
        <v>114965.0</v>
      </c>
      <c r="F14" s="261">
        <v>33339.85</v>
      </c>
      <c r="G14" s="262"/>
      <c r="H14" s="261">
        <v>148304.85</v>
      </c>
      <c r="I14" s="261" t="s">
        <v>477</v>
      </c>
      <c r="J14" s="283"/>
      <c r="K14" s="264">
        <v>45601.0</v>
      </c>
      <c r="L14" s="265"/>
      <c r="M14" s="284"/>
    </row>
    <row r="15">
      <c r="A15" s="171" t="s">
        <v>277</v>
      </c>
      <c r="B15" s="172" t="s">
        <v>269</v>
      </c>
      <c r="C15" s="173"/>
      <c r="D15" s="267"/>
      <c r="E15" s="269"/>
      <c r="F15" s="269"/>
      <c r="G15" s="269"/>
      <c r="H15" s="269"/>
      <c r="I15" s="269"/>
      <c r="J15" s="279"/>
      <c r="K15" s="279"/>
      <c r="L15" s="276"/>
      <c r="M15" s="273"/>
    </row>
    <row r="16">
      <c r="A16" s="15" t="s">
        <v>285</v>
      </c>
      <c r="B16" s="147" t="s">
        <v>34</v>
      </c>
      <c r="C16" s="148"/>
      <c r="D16" s="329"/>
      <c r="E16" s="330">
        <v>240000.0</v>
      </c>
      <c r="F16" s="330">
        <v>50400.0</v>
      </c>
      <c r="G16" s="331"/>
      <c r="H16" s="332">
        <v>290400.0</v>
      </c>
      <c r="I16" s="330" t="s">
        <v>477</v>
      </c>
      <c r="J16" s="333">
        <v>45608.0</v>
      </c>
      <c r="K16" s="333">
        <v>45608.0</v>
      </c>
      <c r="L16" s="334"/>
      <c r="M16" s="335"/>
    </row>
    <row r="17">
      <c r="A17" s="94" t="s">
        <v>285</v>
      </c>
      <c r="B17" s="154" t="s">
        <v>39</v>
      </c>
      <c r="C17" s="93"/>
      <c r="D17" s="292"/>
      <c r="E17" s="294"/>
      <c r="F17" s="294"/>
      <c r="G17" s="294"/>
      <c r="H17" s="294"/>
      <c r="I17" s="294"/>
      <c r="J17" s="302"/>
      <c r="K17" s="302"/>
      <c r="L17" s="297" t="s">
        <v>462</v>
      </c>
      <c r="M17" s="298"/>
    </row>
    <row r="18">
      <c r="A18" s="15" t="s">
        <v>285</v>
      </c>
      <c r="B18" s="147" t="s">
        <v>37</v>
      </c>
      <c r="C18" s="148"/>
      <c r="D18" s="285"/>
      <c r="E18" s="287"/>
      <c r="F18" s="287"/>
      <c r="G18" s="287"/>
      <c r="H18" s="336">
        <v>111922.42</v>
      </c>
      <c r="I18" s="286" t="s">
        <v>51</v>
      </c>
      <c r="J18" s="305"/>
      <c r="K18" s="289">
        <v>45600.0</v>
      </c>
      <c r="L18" s="290"/>
      <c r="M18" s="291"/>
    </row>
    <row r="19">
      <c r="A19" s="94" t="s">
        <v>285</v>
      </c>
      <c r="B19" s="154" t="s">
        <v>37</v>
      </c>
      <c r="C19" s="93"/>
      <c r="D19" s="300" t="s">
        <v>427</v>
      </c>
      <c r="E19" s="294"/>
      <c r="F19" s="294"/>
      <c r="G19" s="294"/>
      <c r="H19" s="337">
        <v>17365.79</v>
      </c>
      <c r="I19" s="293" t="s">
        <v>51</v>
      </c>
      <c r="J19" s="302"/>
      <c r="K19" s="296">
        <v>45600.0</v>
      </c>
      <c r="L19" s="298"/>
      <c r="M19" s="298"/>
    </row>
    <row r="20">
      <c r="A20" s="94" t="s">
        <v>285</v>
      </c>
      <c r="B20" s="154" t="s">
        <v>99</v>
      </c>
      <c r="C20" s="148"/>
      <c r="D20" s="292"/>
      <c r="E20" s="294"/>
      <c r="F20" s="294"/>
      <c r="G20" s="294"/>
      <c r="H20" s="294"/>
      <c r="I20" s="294"/>
      <c r="J20" s="302"/>
      <c r="K20" s="302"/>
      <c r="L20" s="303"/>
      <c r="M20" s="298"/>
    </row>
    <row r="21">
      <c r="A21" s="15" t="s">
        <v>285</v>
      </c>
      <c r="B21" s="147" t="s">
        <v>46</v>
      </c>
      <c r="C21" s="93"/>
      <c r="D21" s="285"/>
      <c r="E21" s="287"/>
      <c r="F21" s="287"/>
      <c r="G21" s="287"/>
      <c r="H21" s="287"/>
      <c r="I21" s="287"/>
      <c r="J21" s="305"/>
      <c r="K21" s="305"/>
      <c r="L21" s="306"/>
      <c r="M21" s="291"/>
    </row>
    <row r="22">
      <c r="A22" s="94" t="s">
        <v>285</v>
      </c>
      <c r="B22" s="154" t="s">
        <v>31</v>
      </c>
      <c r="C22" s="148"/>
      <c r="D22" s="292"/>
      <c r="E22" s="294"/>
      <c r="F22" s="294"/>
      <c r="G22" s="294"/>
      <c r="H22" s="294"/>
      <c r="I22" s="294"/>
      <c r="J22" s="302"/>
      <c r="K22" s="302"/>
      <c r="L22" s="303"/>
      <c r="M22" s="298"/>
    </row>
    <row r="23">
      <c r="A23" s="15" t="s">
        <v>285</v>
      </c>
      <c r="B23" s="147" t="s">
        <v>268</v>
      </c>
      <c r="C23" s="93"/>
      <c r="D23" s="285"/>
      <c r="E23" s="287"/>
      <c r="F23" s="287"/>
      <c r="G23" s="287"/>
      <c r="H23" s="287"/>
      <c r="I23" s="287"/>
      <c r="J23" s="305"/>
      <c r="K23" s="305"/>
      <c r="L23" s="306"/>
      <c r="M23" s="291"/>
    </row>
    <row r="24">
      <c r="A24" s="94" t="s">
        <v>285</v>
      </c>
      <c r="B24" s="154" t="s">
        <v>102</v>
      </c>
      <c r="C24" s="148"/>
      <c r="D24" s="292"/>
      <c r="E24" s="294"/>
      <c r="F24" s="294"/>
      <c r="G24" s="294"/>
      <c r="H24" s="294"/>
      <c r="I24" s="294"/>
      <c r="J24" s="302"/>
      <c r="K24" s="302"/>
      <c r="L24" s="303"/>
      <c r="M24" s="298"/>
    </row>
    <row r="25">
      <c r="A25" s="15" t="s">
        <v>285</v>
      </c>
      <c r="B25" s="147" t="s">
        <v>41</v>
      </c>
      <c r="C25" s="93"/>
      <c r="D25" s="285"/>
      <c r="E25" s="287"/>
      <c r="F25" s="287"/>
      <c r="G25" s="287"/>
      <c r="H25" s="287"/>
      <c r="I25" s="287"/>
      <c r="J25" s="305"/>
      <c r="K25" s="305"/>
      <c r="L25" s="306"/>
      <c r="M25" s="291"/>
    </row>
    <row r="26">
      <c r="A26" s="94" t="s">
        <v>285</v>
      </c>
      <c r="B26" s="154" t="s">
        <v>50</v>
      </c>
      <c r="C26" s="148"/>
      <c r="D26" s="292"/>
      <c r="E26" s="294"/>
      <c r="F26" s="294"/>
      <c r="G26" s="294"/>
      <c r="H26" s="294"/>
      <c r="I26" s="294"/>
      <c r="J26" s="302"/>
      <c r="K26" s="302"/>
      <c r="L26" s="303"/>
      <c r="M26" s="298"/>
    </row>
    <row r="27">
      <c r="A27" s="15" t="s">
        <v>285</v>
      </c>
      <c r="B27" s="147" t="s">
        <v>43</v>
      </c>
      <c r="C27" s="93"/>
      <c r="D27" s="285"/>
      <c r="E27" s="286">
        <v>81550.0</v>
      </c>
      <c r="F27" s="286">
        <v>23649.5</v>
      </c>
      <c r="G27" s="287"/>
      <c r="H27" s="286">
        <v>105199.5</v>
      </c>
      <c r="I27" s="286" t="s">
        <v>51</v>
      </c>
      <c r="J27" s="305"/>
      <c r="K27" s="289">
        <v>45601.0</v>
      </c>
      <c r="L27" s="306"/>
      <c r="M27" s="291"/>
    </row>
    <row r="28">
      <c r="A28" s="94" t="s">
        <v>285</v>
      </c>
      <c r="B28" s="154" t="s">
        <v>269</v>
      </c>
      <c r="C28" s="148"/>
      <c r="D28" s="292"/>
      <c r="E28" s="294"/>
      <c r="F28" s="294"/>
      <c r="G28" s="294"/>
      <c r="H28" s="338"/>
      <c r="I28" s="294"/>
      <c r="J28" s="302"/>
      <c r="K28" s="302"/>
      <c r="L28" s="303"/>
      <c r="M28" s="298"/>
    </row>
    <row r="29">
      <c r="A29" s="15" t="s">
        <v>295</v>
      </c>
      <c r="B29" s="147" t="s">
        <v>34</v>
      </c>
      <c r="C29" s="148"/>
      <c r="D29" s="339" t="s">
        <v>479</v>
      </c>
      <c r="E29" s="330">
        <v>1300000.0</v>
      </c>
      <c r="F29" s="330">
        <v>273000.0</v>
      </c>
      <c r="G29" s="330">
        <v>193441.28</v>
      </c>
      <c r="H29" s="332">
        <v>1766441.28</v>
      </c>
      <c r="I29" s="330" t="s">
        <v>477</v>
      </c>
      <c r="J29" s="333">
        <v>45607.0</v>
      </c>
      <c r="K29" s="333">
        <v>45607.0</v>
      </c>
      <c r="L29" s="340" t="s">
        <v>480</v>
      </c>
      <c r="M29" s="335"/>
    </row>
    <row r="30">
      <c r="A30" s="94" t="s">
        <v>295</v>
      </c>
      <c r="B30" s="154" t="s">
        <v>39</v>
      </c>
      <c r="C30" s="93"/>
      <c r="D30" s="292"/>
      <c r="E30" s="294"/>
      <c r="F30" s="294"/>
      <c r="G30" s="294"/>
      <c r="H30" s="294"/>
      <c r="I30" s="294"/>
      <c r="J30" s="302"/>
      <c r="K30" s="302"/>
      <c r="L30" s="298"/>
      <c r="M30" s="298"/>
    </row>
    <row r="31">
      <c r="A31" s="15" t="s">
        <v>295</v>
      </c>
      <c r="B31" s="147" t="s">
        <v>37</v>
      </c>
      <c r="C31" s="148"/>
      <c r="D31" s="285"/>
      <c r="E31" s="287"/>
      <c r="F31" s="287"/>
      <c r="G31" s="287"/>
      <c r="H31" s="341">
        <v>41309.44</v>
      </c>
      <c r="I31" s="286" t="s">
        <v>478</v>
      </c>
      <c r="J31" s="305"/>
      <c r="K31" s="289">
        <v>45604.0</v>
      </c>
      <c r="L31" s="290"/>
      <c r="M31" s="291"/>
    </row>
    <row r="32">
      <c r="A32" s="94" t="s">
        <v>295</v>
      </c>
      <c r="B32" s="154" t="s">
        <v>99</v>
      </c>
      <c r="C32" s="93"/>
      <c r="D32" s="292"/>
      <c r="E32" s="294"/>
      <c r="F32" s="294"/>
      <c r="G32" s="294"/>
      <c r="H32" s="294"/>
      <c r="I32" s="294"/>
      <c r="J32" s="302"/>
      <c r="K32" s="302"/>
      <c r="L32" s="298"/>
      <c r="M32" s="298"/>
    </row>
    <row r="33">
      <c r="A33" s="15" t="s">
        <v>295</v>
      </c>
      <c r="B33" s="147" t="s">
        <v>46</v>
      </c>
      <c r="C33" s="148"/>
      <c r="D33" s="285"/>
      <c r="E33" s="287"/>
      <c r="F33" s="287"/>
      <c r="G33" s="287"/>
      <c r="H33" s="287"/>
      <c r="I33" s="287"/>
      <c r="J33" s="305"/>
      <c r="K33" s="305"/>
      <c r="L33" s="308" t="s">
        <v>432</v>
      </c>
      <c r="M33" s="291"/>
    </row>
    <row r="34">
      <c r="A34" s="94" t="s">
        <v>295</v>
      </c>
      <c r="B34" s="154" t="s">
        <v>31</v>
      </c>
      <c r="C34" s="93"/>
      <c r="D34" s="292"/>
      <c r="E34" s="294"/>
      <c r="F34" s="294"/>
      <c r="G34" s="294"/>
      <c r="H34" s="294"/>
      <c r="I34" s="294"/>
      <c r="J34" s="302"/>
      <c r="K34" s="302"/>
      <c r="L34" s="342"/>
      <c r="M34" s="298"/>
    </row>
    <row r="35">
      <c r="A35" s="15" t="s">
        <v>295</v>
      </c>
      <c r="B35" s="147" t="s">
        <v>268</v>
      </c>
      <c r="C35" s="148"/>
      <c r="D35" s="285"/>
      <c r="E35" s="287"/>
      <c r="F35" s="287"/>
      <c r="G35" s="287"/>
      <c r="H35" s="287"/>
      <c r="I35" s="287"/>
      <c r="J35" s="305"/>
      <c r="K35" s="305"/>
      <c r="L35" s="290"/>
      <c r="M35" s="291"/>
    </row>
    <row r="36">
      <c r="A36" s="94" t="s">
        <v>295</v>
      </c>
      <c r="B36" s="154" t="s">
        <v>102</v>
      </c>
      <c r="C36" s="93"/>
      <c r="D36" s="292"/>
      <c r="E36" s="294"/>
      <c r="F36" s="294"/>
      <c r="G36" s="294"/>
      <c r="H36" s="294"/>
      <c r="I36" s="294"/>
      <c r="J36" s="302"/>
      <c r="K36" s="302"/>
      <c r="L36" s="298"/>
      <c r="M36" s="298"/>
    </row>
    <row r="37">
      <c r="A37" s="15" t="s">
        <v>295</v>
      </c>
      <c r="B37" s="147" t="s">
        <v>41</v>
      </c>
      <c r="C37" s="148"/>
      <c r="D37" s="285"/>
      <c r="E37" s="287"/>
      <c r="F37" s="287"/>
      <c r="G37" s="287"/>
      <c r="H37" s="287"/>
      <c r="I37" s="287"/>
      <c r="J37" s="305"/>
      <c r="K37" s="305"/>
      <c r="L37" s="290"/>
      <c r="M37" s="291"/>
    </row>
    <row r="38">
      <c r="A38" s="94" t="s">
        <v>295</v>
      </c>
      <c r="B38" s="154" t="s">
        <v>50</v>
      </c>
      <c r="C38" s="93"/>
      <c r="D38" s="292"/>
      <c r="E38" s="294"/>
      <c r="F38" s="294"/>
      <c r="G38" s="294"/>
      <c r="H38" s="294"/>
      <c r="I38" s="294"/>
      <c r="J38" s="302"/>
      <c r="K38" s="302"/>
      <c r="L38" s="297" t="s">
        <v>434</v>
      </c>
      <c r="M38" s="298"/>
    </row>
    <row r="39">
      <c r="A39" s="15" t="s">
        <v>295</v>
      </c>
      <c r="B39" s="147" t="s">
        <v>43</v>
      </c>
      <c r="C39" s="148"/>
      <c r="D39" s="299" t="s">
        <v>448</v>
      </c>
      <c r="E39" s="286">
        <v>140568.0</v>
      </c>
      <c r="F39" s="286">
        <v>35869.44</v>
      </c>
      <c r="G39" s="287"/>
      <c r="H39" s="286">
        <v>176437.44</v>
      </c>
      <c r="I39" s="286" t="s">
        <v>51</v>
      </c>
      <c r="J39" s="289">
        <v>45621.0</v>
      </c>
      <c r="K39" s="289">
        <v>45621.0</v>
      </c>
      <c r="L39" s="290"/>
      <c r="M39" s="291"/>
    </row>
    <row r="40">
      <c r="A40" s="94" t="s">
        <v>295</v>
      </c>
      <c r="B40" s="154" t="s">
        <v>269</v>
      </c>
      <c r="C40" s="93"/>
      <c r="D40" s="292"/>
      <c r="E40" s="294"/>
      <c r="F40" s="294"/>
      <c r="G40" s="294"/>
      <c r="H40" s="338"/>
      <c r="I40" s="294"/>
      <c r="J40" s="302"/>
      <c r="K40" s="302"/>
      <c r="L40" s="298"/>
      <c r="M40" s="298"/>
    </row>
    <row r="41">
      <c r="A41" s="117" t="s">
        <v>301</v>
      </c>
      <c r="B41" s="165" t="s">
        <v>34</v>
      </c>
      <c r="C41" s="166"/>
      <c r="D41" s="343" t="s">
        <v>481</v>
      </c>
      <c r="E41" s="322"/>
      <c r="F41" s="322"/>
      <c r="G41" s="322"/>
      <c r="H41" s="321">
        <v>1677444.15</v>
      </c>
      <c r="I41" s="321" t="s">
        <v>477</v>
      </c>
      <c r="J41" s="323">
        <v>45608.0</v>
      </c>
      <c r="K41" s="323">
        <v>45608.0</v>
      </c>
      <c r="L41" s="324"/>
      <c r="M41" s="344" t="s">
        <v>468</v>
      </c>
    </row>
    <row r="42">
      <c r="A42" s="171" t="s">
        <v>301</v>
      </c>
      <c r="B42" s="172" t="s">
        <v>39</v>
      </c>
      <c r="C42" s="173"/>
      <c r="D42" s="267"/>
      <c r="E42" s="269"/>
      <c r="F42" s="269"/>
      <c r="G42" s="269"/>
      <c r="H42" s="268">
        <v>2033971.15</v>
      </c>
      <c r="I42" s="268" t="s">
        <v>477</v>
      </c>
      <c r="J42" s="271">
        <v>45609.0</v>
      </c>
      <c r="K42" s="271">
        <v>45609.0</v>
      </c>
      <c r="L42" s="276"/>
      <c r="M42" s="273"/>
    </row>
    <row r="43">
      <c r="A43" s="117" t="s">
        <v>301</v>
      </c>
      <c r="B43" s="165" t="s">
        <v>37</v>
      </c>
      <c r="C43" s="166"/>
      <c r="D43" s="280"/>
      <c r="E43" s="262"/>
      <c r="F43" s="262"/>
      <c r="G43" s="262"/>
      <c r="H43" s="327">
        <v>85391.29</v>
      </c>
      <c r="I43" s="261" t="s">
        <v>51</v>
      </c>
      <c r="J43" s="283"/>
      <c r="K43" s="264">
        <v>45600.0</v>
      </c>
      <c r="L43" s="265"/>
      <c r="M43" s="274"/>
    </row>
    <row r="44">
      <c r="A44" s="171" t="s">
        <v>301</v>
      </c>
      <c r="B44" s="172" t="s">
        <v>99</v>
      </c>
      <c r="C44" s="181"/>
      <c r="D44" s="267"/>
      <c r="E44" s="269"/>
      <c r="F44" s="269"/>
      <c r="G44" s="269"/>
      <c r="H44" s="269"/>
      <c r="I44" s="269"/>
      <c r="J44" s="279"/>
      <c r="K44" s="279"/>
      <c r="L44" s="276"/>
      <c r="M44" s="273"/>
    </row>
    <row r="45">
      <c r="A45" s="117" t="s">
        <v>301</v>
      </c>
      <c r="B45" s="165" t="s">
        <v>46</v>
      </c>
      <c r="C45" s="189"/>
      <c r="D45" s="280"/>
      <c r="E45" s="262"/>
      <c r="F45" s="262"/>
      <c r="G45" s="262"/>
      <c r="H45" s="262"/>
      <c r="I45" s="262"/>
      <c r="J45" s="283"/>
      <c r="K45" s="283"/>
      <c r="L45" s="265"/>
      <c r="M45" s="274"/>
    </row>
    <row r="46">
      <c r="A46" s="171" t="s">
        <v>301</v>
      </c>
      <c r="B46" s="172" t="s">
        <v>31</v>
      </c>
      <c r="C46" s="173"/>
      <c r="D46" s="267"/>
      <c r="E46" s="269"/>
      <c r="F46" s="269"/>
      <c r="G46" s="269"/>
      <c r="H46" s="269"/>
      <c r="I46" s="269"/>
      <c r="J46" s="279"/>
      <c r="K46" s="279"/>
      <c r="L46" s="328"/>
      <c r="M46" s="273"/>
    </row>
    <row r="47">
      <c r="A47" s="117" t="s">
        <v>301</v>
      </c>
      <c r="B47" s="165" t="s">
        <v>268</v>
      </c>
      <c r="C47" s="189"/>
      <c r="D47" s="280"/>
      <c r="E47" s="262"/>
      <c r="F47" s="262"/>
      <c r="G47" s="262"/>
      <c r="H47" s="262"/>
      <c r="I47" s="262"/>
      <c r="J47" s="283"/>
      <c r="K47" s="283"/>
      <c r="L47" s="265"/>
      <c r="M47" s="274"/>
    </row>
    <row r="48">
      <c r="A48" s="171" t="s">
        <v>301</v>
      </c>
      <c r="B48" s="172" t="s">
        <v>102</v>
      </c>
      <c r="C48" s="181"/>
      <c r="D48" s="267"/>
      <c r="E48" s="269"/>
      <c r="F48" s="269"/>
      <c r="G48" s="269"/>
      <c r="H48" s="269"/>
      <c r="I48" s="269"/>
      <c r="J48" s="279"/>
      <c r="K48" s="279"/>
      <c r="L48" s="276"/>
      <c r="M48" s="273"/>
    </row>
    <row r="49">
      <c r="A49" s="117" t="s">
        <v>301</v>
      </c>
      <c r="B49" s="165" t="s">
        <v>41</v>
      </c>
      <c r="C49" s="166"/>
      <c r="D49" s="280"/>
      <c r="E49" s="262"/>
      <c r="F49" s="262"/>
      <c r="G49" s="262"/>
      <c r="H49" s="262"/>
      <c r="I49" s="262"/>
      <c r="J49" s="283"/>
      <c r="K49" s="283"/>
      <c r="L49" s="265"/>
      <c r="M49" s="274"/>
    </row>
    <row r="50">
      <c r="A50" s="171" t="s">
        <v>301</v>
      </c>
      <c r="B50" s="172" t="s">
        <v>50</v>
      </c>
      <c r="C50" s="181"/>
      <c r="D50" s="267"/>
      <c r="E50" s="269"/>
      <c r="F50" s="269"/>
      <c r="G50" s="269"/>
      <c r="H50" s="269"/>
      <c r="I50" s="269"/>
      <c r="J50" s="279"/>
      <c r="K50" s="279"/>
      <c r="L50" s="276"/>
      <c r="M50" s="273"/>
    </row>
    <row r="51">
      <c r="A51" s="117" t="s">
        <v>301</v>
      </c>
      <c r="B51" s="165" t="s">
        <v>43</v>
      </c>
      <c r="C51" s="166"/>
      <c r="D51" s="260" t="s">
        <v>440</v>
      </c>
      <c r="E51" s="261">
        <v>44925.62</v>
      </c>
      <c r="F51" s="261">
        <v>13028.43</v>
      </c>
      <c r="G51" s="262"/>
      <c r="H51" s="261">
        <v>57954.05</v>
      </c>
      <c r="I51" s="261" t="s">
        <v>477</v>
      </c>
      <c r="J51" s="283"/>
      <c r="K51" s="264">
        <v>45603.0</v>
      </c>
      <c r="L51" s="345"/>
      <c r="M51" s="274"/>
    </row>
    <row r="52">
      <c r="A52" s="171" t="s">
        <v>301</v>
      </c>
      <c r="B52" s="172" t="s">
        <v>269</v>
      </c>
      <c r="C52" s="173"/>
      <c r="D52" s="267"/>
      <c r="E52" s="269"/>
      <c r="F52" s="269"/>
      <c r="G52" s="269"/>
      <c r="H52" s="269"/>
      <c r="I52" s="269"/>
      <c r="J52" s="279"/>
      <c r="K52" s="279"/>
      <c r="L52" s="276"/>
      <c r="M52" s="273"/>
    </row>
    <row r="53">
      <c r="A53" s="15" t="s">
        <v>306</v>
      </c>
      <c r="B53" s="147" t="s">
        <v>34</v>
      </c>
      <c r="C53" s="148"/>
      <c r="D53" s="329"/>
      <c r="E53" s="331"/>
      <c r="F53" s="331"/>
      <c r="G53" s="331"/>
      <c r="H53" s="332">
        <v>1922993.77</v>
      </c>
      <c r="I53" s="330" t="s">
        <v>477</v>
      </c>
      <c r="J53" s="333">
        <v>45608.0</v>
      </c>
      <c r="K53" s="333">
        <v>45608.0</v>
      </c>
      <c r="L53" s="334"/>
      <c r="M53" s="346" t="s">
        <v>482</v>
      </c>
    </row>
    <row r="54">
      <c r="A54" s="94" t="s">
        <v>306</v>
      </c>
      <c r="B54" s="154" t="s">
        <v>39</v>
      </c>
      <c r="C54" s="93"/>
      <c r="D54" s="292"/>
      <c r="E54" s="293">
        <v>685712.18</v>
      </c>
      <c r="F54" s="294"/>
      <c r="G54" s="294"/>
      <c r="H54" s="293">
        <v>685712.18</v>
      </c>
      <c r="I54" s="293" t="s">
        <v>477</v>
      </c>
      <c r="J54" s="296">
        <v>45607.0</v>
      </c>
      <c r="K54" s="296">
        <v>45607.0</v>
      </c>
      <c r="L54" s="347">
        <v>45972.0</v>
      </c>
      <c r="M54" s="298"/>
    </row>
    <row r="55">
      <c r="A55" s="15" t="s">
        <v>306</v>
      </c>
      <c r="B55" s="147" t="s">
        <v>37</v>
      </c>
      <c r="C55" s="148"/>
      <c r="D55" s="285"/>
      <c r="E55" s="287"/>
      <c r="F55" s="287"/>
      <c r="G55" s="287"/>
      <c r="H55" s="286" t="s">
        <v>466</v>
      </c>
      <c r="I55" s="287"/>
      <c r="J55" s="305"/>
      <c r="K55" s="305"/>
      <c r="L55" s="307" t="s">
        <v>483</v>
      </c>
      <c r="M55" s="291"/>
    </row>
    <row r="56">
      <c r="A56" s="94" t="s">
        <v>306</v>
      </c>
      <c r="B56" s="154" t="s">
        <v>99</v>
      </c>
      <c r="C56" s="93"/>
      <c r="D56" s="292"/>
      <c r="E56" s="294"/>
      <c r="F56" s="294"/>
      <c r="G56" s="294"/>
      <c r="H56" s="294"/>
      <c r="I56" s="294"/>
      <c r="J56" s="302"/>
      <c r="K56" s="302"/>
      <c r="L56" s="298"/>
      <c r="M56" s="298"/>
    </row>
    <row r="57">
      <c r="A57" s="15" t="s">
        <v>306</v>
      </c>
      <c r="B57" s="147" t="s">
        <v>46</v>
      </c>
      <c r="C57" s="148"/>
      <c r="D57" s="285"/>
      <c r="E57" s="287"/>
      <c r="F57" s="287"/>
      <c r="G57" s="287"/>
      <c r="H57" s="287"/>
      <c r="I57" s="287"/>
      <c r="J57" s="305"/>
      <c r="K57" s="305"/>
      <c r="L57" s="290"/>
      <c r="M57" s="291"/>
    </row>
    <row r="58">
      <c r="A58" s="94" t="s">
        <v>306</v>
      </c>
      <c r="B58" s="154" t="s">
        <v>31</v>
      </c>
      <c r="C58" s="93"/>
      <c r="D58" s="292"/>
      <c r="E58" s="294"/>
      <c r="F58" s="294"/>
      <c r="G58" s="294"/>
      <c r="H58" s="294"/>
      <c r="I58" s="294"/>
      <c r="J58" s="302"/>
      <c r="K58" s="302"/>
      <c r="L58" s="342"/>
      <c r="M58" s="298"/>
    </row>
    <row r="59">
      <c r="A59" s="15" t="s">
        <v>306</v>
      </c>
      <c r="B59" s="147" t="s">
        <v>268</v>
      </c>
      <c r="C59" s="148"/>
      <c r="D59" s="285"/>
      <c r="E59" s="287"/>
      <c r="F59" s="287"/>
      <c r="G59" s="287"/>
      <c r="H59" s="287"/>
      <c r="I59" s="287"/>
      <c r="J59" s="305"/>
      <c r="K59" s="305"/>
      <c r="L59" s="290"/>
      <c r="M59" s="291"/>
    </row>
    <row r="60">
      <c r="A60" s="94" t="s">
        <v>306</v>
      </c>
      <c r="B60" s="154" t="s">
        <v>102</v>
      </c>
      <c r="C60" s="93"/>
      <c r="D60" s="292"/>
      <c r="E60" s="294"/>
      <c r="F60" s="294"/>
      <c r="G60" s="294"/>
      <c r="H60" s="294"/>
      <c r="I60" s="294"/>
      <c r="J60" s="302"/>
      <c r="K60" s="302"/>
      <c r="L60" s="298"/>
      <c r="M60" s="298"/>
    </row>
    <row r="61">
      <c r="A61" s="15" t="s">
        <v>306</v>
      </c>
      <c r="B61" s="147" t="s">
        <v>41</v>
      </c>
      <c r="C61" s="148"/>
      <c r="D61" s="285"/>
      <c r="E61" s="287"/>
      <c r="F61" s="287"/>
      <c r="G61" s="287"/>
      <c r="H61" s="287"/>
      <c r="I61" s="287"/>
      <c r="J61" s="305"/>
      <c r="K61" s="305"/>
      <c r="L61" s="290"/>
      <c r="M61" s="291"/>
    </row>
    <row r="62">
      <c r="A62" s="94" t="s">
        <v>306</v>
      </c>
      <c r="B62" s="154" t="s">
        <v>50</v>
      </c>
      <c r="C62" s="93"/>
      <c r="D62" s="292"/>
      <c r="E62" s="294"/>
      <c r="F62" s="294"/>
      <c r="G62" s="294"/>
      <c r="H62" s="294"/>
      <c r="I62" s="294"/>
      <c r="J62" s="302"/>
      <c r="K62" s="302"/>
      <c r="L62" s="298"/>
      <c r="M62" s="298"/>
    </row>
    <row r="63">
      <c r="A63" s="15" t="s">
        <v>306</v>
      </c>
      <c r="B63" s="147" t="s">
        <v>43</v>
      </c>
      <c r="C63" s="148"/>
      <c r="D63" s="299" t="s">
        <v>448</v>
      </c>
      <c r="E63" s="287"/>
      <c r="F63" s="287"/>
      <c r="G63" s="287"/>
      <c r="H63" s="287"/>
      <c r="I63" s="287"/>
      <c r="J63" s="305"/>
      <c r="K63" s="305"/>
      <c r="L63" s="290"/>
      <c r="M63" s="291"/>
    </row>
    <row r="64">
      <c r="A64" s="94" t="s">
        <v>306</v>
      </c>
      <c r="B64" s="154" t="s">
        <v>269</v>
      </c>
      <c r="C64" s="93"/>
      <c r="D64" s="292"/>
      <c r="E64" s="294"/>
      <c r="F64" s="294"/>
      <c r="G64" s="294"/>
      <c r="H64" s="338"/>
      <c r="I64" s="294"/>
      <c r="J64" s="302"/>
      <c r="K64" s="302"/>
      <c r="L64" s="298"/>
      <c r="M64" s="298"/>
    </row>
    <row r="65">
      <c r="A65" s="117" t="s">
        <v>310</v>
      </c>
      <c r="B65" s="165" t="s">
        <v>34</v>
      </c>
      <c r="C65" s="166"/>
      <c r="D65" s="320"/>
      <c r="E65" s="322"/>
      <c r="F65" s="322"/>
      <c r="G65" s="322"/>
      <c r="H65" s="321">
        <v>2942376.36</v>
      </c>
      <c r="I65" s="321" t="s">
        <v>477</v>
      </c>
      <c r="J65" s="323">
        <v>45610.0</v>
      </c>
      <c r="K65" s="323">
        <v>45610.0</v>
      </c>
      <c r="L65" s="324"/>
      <c r="M65" s="325" t="s">
        <v>484</v>
      </c>
    </row>
    <row r="66">
      <c r="A66" s="171" t="s">
        <v>310</v>
      </c>
      <c r="B66" s="172" t="s">
        <v>39</v>
      </c>
      <c r="C66" s="173"/>
      <c r="D66" s="267"/>
      <c r="E66" s="268">
        <v>342856.09</v>
      </c>
      <c r="F66" s="269"/>
      <c r="G66" s="269"/>
      <c r="H66" s="268">
        <v>342856.09</v>
      </c>
      <c r="I66" s="268" t="s">
        <v>477</v>
      </c>
      <c r="J66" s="271">
        <v>45607.0</v>
      </c>
      <c r="K66" s="271">
        <v>45607.0</v>
      </c>
      <c r="L66" s="348">
        <v>45972.0</v>
      </c>
      <c r="M66" s="273"/>
    </row>
    <row r="67">
      <c r="A67" s="117" t="s">
        <v>310</v>
      </c>
      <c r="B67" s="165" t="s">
        <v>37</v>
      </c>
      <c r="C67" s="166"/>
      <c r="D67" s="280"/>
      <c r="E67" s="262"/>
      <c r="F67" s="262"/>
      <c r="G67" s="262"/>
      <c r="H67" s="261" t="s">
        <v>466</v>
      </c>
      <c r="I67" s="262"/>
      <c r="J67" s="283"/>
      <c r="K67" s="283"/>
      <c r="L67" s="349" t="s">
        <v>483</v>
      </c>
      <c r="M67" s="274"/>
    </row>
    <row r="68">
      <c r="A68" s="171" t="s">
        <v>310</v>
      </c>
      <c r="B68" s="172" t="s">
        <v>99</v>
      </c>
      <c r="C68" s="181"/>
      <c r="D68" s="267"/>
      <c r="E68" s="269"/>
      <c r="F68" s="269"/>
      <c r="G68" s="269"/>
      <c r="H68" s="269"/>
      <c r="I68" s="269"/>
      <c r="J68" s="279"/>
      <c r="K68" s="279"/>
      <c r="L68" s="276"/>
      <c r="M68" s="273"/>
    </row>
    <row r="69">
      <c r="A69" s="117" t="s">
        <v>310</v>
      </c>
      <c r="B69" s="165" t="s">
        <v>46</v>
      </c>
      <c r="C69" s="189"/>
      <c r="D69" s="280"/>
      <c r="E69" s="262"/>
      <c r="F69" s="262"/>
      <c r="G69" s="262"/>
      <c r="H69" s="262"/>
      <c r="I69" s="262"/>
      <c r="J69" s="283"/>
      <c r="K69" s="283"/>
      <c r="L69" s="265"/>
      <c r="M69" s="274"/>
    </row>
    <row r="70">
      <c r="A70" s="171" t="s">
        <v>310</v>
      </c>
      <c r="B70" s="172" t="s">
        <v>31</v>
      </c>
      <c r="C70" s="173"/>
      <c r="D70" s="267"/>
      <c r="E70" s="269"/>
      <c r="F70" s="269"/>
      <c r="G70" s="269"/>
      <c r="H70" s="269"/>
      <c r="I70" s="269"/>
      <c r="J70" s="279"/>
      <c r="K70" s="279"/>
      <c r="L70" s="328"/>
      <c r="M70" s="273"/>
    </row>
    <row r="71">
      <c r="A71" s="117" t="s">
        <v>310</v>
      </c>
      <c r="B71" s="165" t="s">
        <v>268</v>
      </c>
      <c r="C71" s="189"/>
      <c r="D71" s="280"/>
      <c r="E71" s="262"/>
      <c r="F71" s="262"/>
      <c r="G71" s="262"/>
      <c r="H71" s="262"/>
      <c r="I71" s="262"/>
      <c r="J71" s="283"/>
      <c r="K71" s="283"/>
      <c r="L71" s="265"/>
      <c r="M71" s="274"/>
    </row>
    <row r="72">
      <c r="A72" s="171" t="s">
        <v>310</v>
      </c>
      <c r="B72" s="172" t="s">
        <v>102</v>
      </c>
      <c r="C72" s="181"/>
      <c r="D72" s="267"/>
      <c r="E72" s="269"/>
      <c r="F72" s="269"/>
      <c r="G72" s="269"/>
      <c r="H72" s="269"/>
      <c r="I72" s="269"/>
      <c r="J72" s="279"/>
      <c r="K72" s="279"/>
      <c r="L72" s="276"/>
      <c r="M72" s="273"/>
    </row>
    <row r="73">
      <c r="A73" s="117" t="s">
        <v>310</v>
      </c>
      <c r="B73" s="165" t="s">
        <v>41</v>
      </c>
      <c r="C73" s="166"/>
      <c r="D73" s="280"/>
      <c r="E73" s="262"/>
      <c r="F73" s="262"/>
      <c r="G73" s="262"/>
      <c r="H73" s="262"/>
      <c r="I73" s="262"/>
      <c r="J73" s="283"/>
      <c r="K73" s="283"/>
      <c r="L73" s="265"/>
      <c r="M73" s="274"/>
    </row>
    <row r="74">
      <c r="A74" s="171" t="s">
        <v>310</v>
      </c>
      <c r="B74" s="172" t="s">
        <v>50</v>
      </c>
      <c r="C74" s="181"/>
      <c r="D74" s="267"/>
      <c r="E74" s="269"/>
      <c r="F74" s="269"/>
      <c r="G74" s="269"/>
      <c r="H74" s="269"/>
      <c r="I74" s="269"/>
      <c r="J74" s="279"/>
      <c r="K74" s="279"/>
      <c r="L74" s="276"/>
      <c r="M74" s="273"/>
    </row>
    <row r="75">
      <c r="A75" s="117" t="s">
        <v>310</v>
      </c>
      <c r="B75" s="165" t="s">
        <v>43</v>
      </c>
      <c r="C75" s="166"/>
      <c r="D75" s="299" t="s">
        <v>448</v>
      </c>
      <c r="E75" s="262"/>
      <c r="F75" s="262"/>
      <c r="G75" s="262"/>
      <c r="H75" s="262"/>
      <c r="I75" s="262"/>
      <c r="J75" s="283"/>
      <c r="K75" s="283"/>
      <c r="L75" s="265"/>
      <c r="M75" s="274"/>
    </row>
    <row r="76">
      <c r="A76" s="171" t="s">
        <v>310</v>
      </c>
      <c r="B76" s="172" t="s">
        <v>269</v>
      </c>
      <c r="C76" s="173"/>
      <c r="D76" s="267"/>
      <c r="E76" s="269"/>
      <c r="F76" s="269"/>
      <c r="G76" s="269"/>
      <c r="H76" s="269"/>
      <c r="I76" s="269"/>
      <c r="J76" s="279"/>
      <c r="K76" s="279"/>
      <c r="L76" s="276"/>
      <c r="M76" s="273"/>
    </row>
    <row r="77">
      <c r="A77" s="15" t="s">
        <v>313</v>
      </c>
      <c r="B77" s="147" t="s">
        <v>34</v>
      </c>
      <c r="C77" s="148"/>
      <c r="D77" s="329"/>
      <c r="E77" s="331"/>
      <c r="F77" s="331"/>
      <c r="G77" s="331"/>
      <c r="H77" s="332">
        <v>605000.0</v>
      </c>
      <c r="I77" s="330" t="s">
        <v>477</v>
      </c>
      <c r="J77" s="333">
        <v>45610.0</v>
      </c>
      <c r="K77" s="333">
        <v>45610.0</v>
      </c>
      <c r="L77" s="334"/>
      <c r="M77" s="335"/>
    </row>
    <row r="78">
      <c r="A78" s="94" t="s">
        <v>313</v>
      </c>
      <c r="B78" s="154" t="s">
        <v>39</v>
      </c>
      <c r="C78" s="93"/>
      <c r="D78" s="292"/>
      <c r="E78" s="293">
        <v>342856.09</v>
      </c>
      <c r="F78" s="294"/>
      <c r="G78" s="294"/>
      <c r="H78" s="293">
        <v>342856.09</v>
      </c>
      <c r="I78" s="293" t="s">
        <v>477</v>
      </c>
      <c r="J78" s="296">
        <v>45607.0</v>
      </c>
      <c r="K78" s="296">
        <v>45607.0</v>
      </c>
      <c r="L78" s="298"/>
      <c r="M78" s="298"/>
    </row>
    <row r="79">
      <c r="A79" s="15" t="s">
        <v>313</v>
      </c>
      <c r="B79" s="147" t="s">
        <v>37</v>
      </c>
      <c r="C79" s="148"/>
      <c r="D79" s="285"/>
      <c r="E79" s="287"/>
      <c r="F79" s="287"/>
      <c r="G79" s="287"/>
      <c r="H79" s="350">
        <v>7499.63</v>
      </c>
      <c r="I79" s="286" t="s">
        <v>51</v>
      </c>
      <c r="J79" s="305"/>
      <c r="K79" s="289">
        <v>45600.0</v>
      </c>
      <c r="L79" s="290"/>
      <c r="M79" s="291"/>
    </row>
    <row r="80">
      <c r="A80" s="94" t="s">
        <v>313</v>
      </c>
      <c r="B80" s="154" t="s">
        <v>99</v>
      </c>
      <c r="C80" s="93"/>
      <c r="D80" s="292"/>
      <c r="E80" s="294"/>
      <c r="F80" s="294"/>
      <c r="G80" s="294"/>
      <c r="H80" s="294"/>
      <c r="I80" s="294"/>
      <c r="J80" s="302"/>
      <c r="K80" s="302"/>
      <c r="L80" s="298"/>
      <c r="M80" s="298"/>
    </row>
    <row r="81">
      <c r="A81" s="15" t="s">
        <v>313</v>
      </c>
      <c r="B81" s="147" t="s">
        <v>46</v>
      </c>
      <c r="C81" s="148"/>
      <c r="D81" s="285"/>
      <c r="E81" s="287"/>
      <c r="F81" s="287"/>
      <c r="G81" s="287"/>
      <c r="H81" s="287"/>
      <c r="I81" s="287"/>
      <c r="J81" s="305"/>
      <c r="K81" s="305"/>
      <c r="L81" s="290"/>
      <c r="M81" s="291"/>
    </row>
    <row r="82">
      <c r="A82" s="94" t="s">
        <v>313</v>
      </c>
      <c r="B82" s="154" t="s">
        <v>31</v>
      </c>
      <c r="C82" s="93"/>
      <c r="D82" s="292"/>
      <c r="E82" s="294"/>
      <c r="F82" s="294"/>
      <c r="G82" s="294"/>
      <c r="H82" s="294"/>
      <c r="I82" s="294"/>
      <c r="J82" s="302"/>
      <c r="K82" s="302"/>
      <c r="L82" s="298"/>
      <c r="M82" s="298"/>
    </row>
    <row r="83">
      <c r="A83" s="15" t="s">
        <v>313</v>
      </c>
      <c r="B83" s="147" t="s">
        <v>268</v>
      </c>
      <c r="C83" s="148"/>
      <c r="D83" s="285"/>
      <c r="E83" s="287"/>
      <c r="F83" s="287"/>
      <c r="G83" s="287"/>
      <c r="H83" s="287"/>
      <c r="I83" s="287"/>
      <c r="J83" s="305"/>
      <c r="K83" s="305"/>
      <c r="L83" s="290"/>
      <c r="M83" s="291"/>
    </row>
    <row r="84">
      <c r="A84" s="94" t="s">
        <v>313</v>
      </c>
      <c r="B84" s="154" t="s">
        <v>102</v>
      </c>
      <c r="C84" s="93"/>
      <c r="D84" s="292"/>
      <c r="E84" s="294"/>
      <c r="F84" s="294"/>
      <c r="G84" s="294"/>
      <c r="H84" s="294"/>
      <c r="I84" s="294"/>
      <c r="J84" s="302"/>
      <c r="K84" s="302"/>
      <c r="L84" s="298"/>
      <c r="M84" s="298"/>
    </row>
    <row r="85">
      <c r="A85" s="15" t="s">
        <v>313</v>
      </c>
      <c r="B85" s="147" t="s">
        <v>41</v>
      </c>
      <c r="C85" s="148"/>
      <c r="D85" s="285"/>
      <c r="E85" s="287"/>
      <c r="F85" s="287"/>
      <c r="G85" s="287"/>
      <c r="H85" s="287"/>
      <c r="I85" s="287"/>
      <c r="J85" s="305"/>
      <c r="K85" s="305"/>
      <c r="L85" s="290"/>
      <c r="M85" s="291"/>
    </row>
    <row r="86">
      <c r="A86" s="94" t="s">
        <v>313</v>
      </c>
      <c r="B86" s="154" t="s">
        <v>50</v>
      </c>
      <c r="C86" s="93"/>
      <c r="D86" s="292"/>
      <c r="E86" s="294"/>
      <c r="F86" s="294"/>
      <c r="G86" s="294"/>
      <c r="H86" s="294"/>
      <c r="I86" s="294"/>
      <c r="J86" s="302"/>
      <c r="K86" s="302"/>
      <c r="L86" s="303"/>
      <c r="M86" s="298"/>
    </row>
    <row r="87">
      <c r="A87" s="15" t="s">
        <v>313</v>
      </c>
      <c r="B87" s="147" t="s">
        <v>43</v>
      </c>
      <c r="C87" s="194"/>
      <c r="D87" s="285"/>
      <c r="E87" s="287"/>
      <c r="F87" s="287"/>
      <c r="G87" s="287"/>
      <c r="H87" s="287"/>
      <c r="I87" s="287"/>
      <c r="J87" s="305"/>
      <c r="K87" s="305"/>
      <c r="L87" s="290"/>
      <c r="M87" s="291"/>
    </row>
    <row r="88">
      <c r="A88" s="94" t="s">
        <v>313</v>
      </c>
      <c r="B88" s="154" t="s">
        <v>269</v>
      </c>
      <c r="C88" s="93"/>
      <c r="D88" s="292"/>
      <c r="E88" s="294"/>
      <c r="F88" s="294"/>
      <c r="G88" s="294"/>
      <c r="H88" s="338"/>
      <c r="I88" s="294"/>
      <c r="J88" s="302"/>
      <c r="K88" s="302"/>
      <c r="L88" s="298"/>
      <c r="M88" s="298"/>
    </row>
    <row r="89">
      <c r="A89" s="117" t="s">
        <v>328</v>
      </c>
      <c r="B89" s="165" t="s">
        <v>34</v>
      </c>
      <c r="C89" s="166"/>
      <c r="D89" s="320"/>
      <c r="E89" s="322"/>
      <c r="F89" s="322"/>
      <c r="G89" s="322"/>
      <c r="H89" s="321">
        <v>484000.0</v>
      </c>
      <c r="I89" s="321" t="s">
        <v>477</v>
      </c>
      <c r="J89" s="323">
        <v>45610.0</v>
      </c>
      <c r="K89" s="323">
        <v>45610.0</v>
      </c>
      <c r="L89" s="324"/>
      <c r="M89" s="344" t="s">
        <v>485</v>
      </c>
    </row>
    <row r="90">
      <c r="A90" s="171" t="s">
        <v>328</v>
      </c>
      <c r="B90" s="172" t="s">
        <v>39</v>
      </c>
      <c r="C90" s="173"/>
      <c r="D90" s="267"/>
      <c r="E90" s="268">
        <v>342856.09</v>
      </c>
      <c r="F90" s="269"/>
      <c r="G90" s="269"/>
      <c r="H90" s="268">
        <v>342856.09</v>
      </c>
      <c r="I90" s="268" t="s">
        <v>477</v>
      </c>
      <c r="J90" s="271">
        <v>45607.0</v>
      </c>
      <c r="K90" s="271">
        <v>45607.0</v>
      </c>
      <c r="L90" s="276"/>
      <c r="M90" s="273"/>
    </row>
    <row r="91">
      <c r="A91" s="117" t="s">
        <v>328</v>
      </c>
      <c r="B91" s="165" t="s">
        <v>37</v>
      </c>
      <c r="C91" s="166"/>
      <c r="D91" s="280"/>
      <c r="E91" s="262"/>
      <c r="F91" s="262"/>
      <c r="G91" s="262"/>
      <c r="H91" s="327">
        <v>17576.24</v>
      </c>
      <c r="I91" s="261" t="s">
        <v>51</v>
      </c>
      <c r="J91" s="283"/>
      <c r="K91" s="264">
        <v>45600.0</v>
      </c>
      <c r="L91" s="265"/>
      <c r="M91" s="274"/>
    </row>
    <row r="92">
      <c r="A92" s="171" t="s">
        <v>328</v>
      </c>
      <c r="B92" s="172" t="s">
        <v>99</v>
      </c>
      <c r="C92" s="181"/>
      <c r="D92" s="267"/>
      <c r="E92" s="269"/>
      <c r="F92" s="269"/>
      <c r="G92" s="269"/>
      <c r="H92" s="269"/>
      <c r="I92" s="269"/>
      <c r="J92" s="279"/>
      <c r="K92" s="279"/>
      <c r="L92" s="276"/>
      <c r="M92" s="273"/>
    </row>
    <row r="93">
      <c r="A93" s="117" t="s">
        <v>328</v>
      </c>
      <c r="B93" s="165" t="s">
        <v>46</v>
      </c>
      <c r="C93" s="189"/>
      <c r="D93" s="280"/>
      <c r="E93" s="262"/>
      <c r="F93" s="262"/>
      <c r="G93" s="262"/>
      <c r="H93" s="262"/>
      <c r="I93" s="262"/>
      <c r="J93" s="283"/>
      <c r="K93" s="283"/>
      <c r="L93" s="265"/>
      <c r="M93" s="274"/>
    </row>
    <row r="94">
      <c r="A94" s="171" t="s">
        <v>328</v>
      </c>
      <c r="B94" s="172" t="s">
        <v>31</v>
      </c>
      <c r="C94" s="173"/>
      <c r="D94" s="267"/>
      <c r="E94" s="269"/>
      <c r="F94" s="269"/>
      <c r="G94" s="269"/>
      <c r="H94" s="269"/>
      <c r="I94" s="269"/>
      <c r="J94" s="279"/>
      <c r="K94" s="279"/>
      <c r="L94" s="328"/>
      <c r="M94" s="273"/>
    </row>
    <row r="95">
      <c r="A95" s="117" t="s">
        <v>328</v>
      </c>
      <c r="B95" s="165" t="s">
        <v>268</v>
      </c>
      <c r="C95" s="189"/>
      <c r="D95" s="280"/>
      <c r="E95" s="262"/>
      <c r="F95" s="262"/>
      <c r="G95" s="262"/>
      <c r="H95" s="262"/>
      <c r="I95" s="262"/>
      <c r="J95" s="283"/>
      <c r="K95" s="283"/>
      <c r="L95" s="265"/>
      <c r="M95" s="274"/>
    </row>
    <row r="96">
      <c r="A96" s="171" t="s">
        <v>328</v>
      </c>
      <c r="B96" s="172" t="s">
        <v>102</v>
      </c>
      <c r="C96" s="181"/>
      <c r="D96" s="267"/>
      <c r="E96" s="269"/>
      <c r="F96" s="269"/>
      <c r="G96" s="269"/>
      <c r="H96" s="269"/>
      <c r="I96" s="269"/>
      <c r="J96" s="279"/>
      <c r="K96" s="279"/>
      <c r="L96" s="276"/>
      <c r="M96" s="273"/>
    </row>
    <row r="97">
      <c r="A97" s="117" t="s">
        <v>328</v>
      </c>
      <c r="B97" s="165" t="s">
        <v>41</v>
      </c>
      <c r="C97" s="166"/>
      <c r="D97" s="280"/>
      <c r="E97" s="262"/>
      <c r="F97" s="262"/>
      <c r="G97" s="262"/>
      <c r="H97" s="262"/>
      <c r="I97" s="262"/>
      <c r="J97" s="283"/>
      <c r="K97" s="283"/>
      <c r="L97" s="265"/>
      <c r="M97" s="274"/>
    </row>
    <row r="98">
      <c r="A98" s="171" t="s">
        <v>328</v>
      </c>
      <c r="B98" s="172" t="s">
        <v>50</v>
      </c>
      <c r="C98" s="181"/>
      <c r="D98" s="267"/>
      <c r="E98" s="269"/>
      <c r="F98" s="269"/>
      <c r="G98" s="269"/>
      <c r="H98" s="269"/>
      <c r="I98" s="269"/>
      <c r="J98" s="279"/>
      <c r="K98" s="279"/>
      <c r="L98" s="276"/>
      <c r="M98" s="273"/>
    </row>
    <row r="99">
      <c r="A99" s="117" t="s">
        <v>328</v>
      </c>
      <c r="B99" s="165" t="s">
        <v>43</v>
      </c>
      <c r="C99" s="189"/>
      <c r="D99" s="280"/>
      <c r="E99" s="262"/>
      <c r="F99" s="262"/>
      <c r="G99" s="262"/>
      <c r="H99" s="262"/>
      <c r="I99" s="262"/>
      <c r="J99" s="283"/>
      <c r="K99" s="283"/>
      <c r="L99" s="265"/>
      <c r="M99" s="274"/>
    </row>
    <row r="100">
      <c r="A100" s="171" t="s">
        <v>328</v>
      </c>
      <c r="B100" s="172" t="s">
        <v>269</v>
      </c>
      <c r="C100" s="196"/>
      <c r="D100" s="317" t="s">
        <v>453</v>
      </c>
      <c r="E100" s="269"/>
      <c r="F100" s="269"/>
      <c r="G100" s="269"/>
      <c r="H100" s="269"/>
      <c r="I100" s="269"/>
      <c r="J100" s="279"/>
      <c r="K100" s="279"/>
      <c r="L100" s="276"/>
      <c r="M100" s="273"/>
    </row>
    <row r="101">
      <c r="A101" s="15" t="s">
        <v>329</v>
      </c>
      <c r="B101" s="147" t="s">
        <v>34</v>
      </c>
      <c r="C101" s="148"/>
      <c r="D101" s="329"/>
      <c r="E101" s="331"/>
      <c r="F101" s="331"/>
      <c r="G101" s="331"/>
      <c r="H101" s="332">
        <v>2020666.15</v>
      </c>
      <c r="I101" s="330" t="s">
        <v>477</v>
      </c>
      <c r="J101" s="333">
        <v>45607.0</v>
      </c>
      <c r="K101" s="333">
        <v>45607.0</v>
      </c>
      <c r="L101" s="334"/>
      <c r="M101" s="335"/>
    </row>
    <row r="102">
      <c r="A102" s="94" t="s">
        <v>329</v>
      </c>
      <c r="B102" s="154" t="s">
        <v>39</v>
      </c>
      <c r="C102" s="93"/>
      <c r="D102" s="292"/>
      <c r="E102" s="294"/>
      <c r="F102" s="294"/>
      <c r="G102" s="294"/>
      <c r="H102" s="294"/>
      <c r="I102" s="294"/>
      <c r="J102" s="302"/>
      <c r="K102" s="302"/>
      <c r="L102" s="298"/>
      <c r="M102" s="298"/>
    </row>
    <row r="103">
      <c r="A103" s="15" t="s">
        <v>329</v>
      </c>
      <c r="B103" s="147" t="s">
        <v>37</v>
      </c>
      <c r="C103" s="148"/>
      <c r="D103" s="285"/>
      <c r="E103" s="287"/>
      <c r="F103" s="287"/>
      <c r="G103" s="287"/>
      <c r="H103" s="287"/>
      <c r="I103" s="286" t="s">
        <v>486</v>
      </c>
      <c r="J103" s="305"/>
      <c r="K103" s="305"/>
      <c r="L103" s="290"/>
      <c r="M103" s="291"/>
    </row>
    <row r="104">
      <c r="A104" s="94" t="s">
        <v>329</v>
      </c>
      <c r="B104" s="154" t="s">
        <v>99</v>
      </c>
      <c r="C104" s="93"/>
      <c r="D104" s="292"/>
      <c r="E104" s="294"/>
      <c r="F104" s="294"/>
      <c r="G104" s="294"/>
      <c r="H104" s="294"/>
      <c r="I104" s="293" t="s">
        <v>486</v>
      </c>
      <c r="J104" s="302"/>
      <c r="K104" s="302"/>
      <c r="L104" s="298"/>
      <c r="M104" s="298"/>
    </row>
    <row r="105">
      <c r="A105" s="15" t="s">
        <v>329</v>
      </c>
      <c r="B105" s="147" t="s">
        <v>46</v>
      </c>
      <c r="C105" s="148"/>
      <c r="D105" s="285"/>
      <c r="E105" s="287"/>
      <c r="F105" s="287"/>
      <c r="G105" s="287"/>
      <c r="H105" s="287"/>
      <c r="I105" s="287"/>
      <c r="J105" s="305"/>
      <c r="K105" s="305"/>
      <c r="L105" s="290"/>
      <c r="M105" s="291"/>
    </row>
    <row r="106">
      <c r="A106" s="94" t="s">
        <v>329</v>
      </c>
      <c r="B106" s="154" t="s">
        <v>31</v>
      </c>
      <c r="C106" s="93"/>
      <c r="D106" s="292"/>
      <c r="E106" s="294"/>
      <c r="F106" s="294"/>
      <c r="G106" s="294"/>
      <c r="H106" s="294"/>
      <c r="I106" s="294"/>
      <c r="J106" s="302"/>
      <c r="K106" s="302"/>
      <c r="L106" s="298"/>
      <c r="M106" s="298"/>
    </row>
    <row r="107">
      <c r="A107" s="15" t="s">
        <v>329</v>
      </c>
      <c r="B107" s="147" t="s">
        <v>268</v>
      </c>
      <c r="C107" s="148"/>
      <c r="D107" s="285"/>
      <c r="E107" s="287"/>
      <c r="F107" s="287"/>
      <c r="G107" s="287"/>
      <c r="H107" s="287"/>
      <c r="I107" s="287"/>
      <c r="J107" s="305"/>
      <c r="K107" s="305"/>
      <c r="L107" s="290"/>
      <c r="M107" s="291"/>
    </row>
    <row r="108">
      <c r="A108" s="94" t="s">
        <v>329</v>
      </c>
      <c r="B108" s="154" t="s">
        <v>102</v>
      </c>
      <c r="C108" s="93"/>
      <c r="D108" s="292"/>
      <c r="E108" s="294"/>
      <c r="F108" s="294"/>
      <c r="G108" s="294"/>
      <c r="H108" s="294"/>
      <c r="I108" s="294"/>
      <c r="J108" s="302"/>
      <c r="K108" s="302"/>
      <c r="L108" s="298"/>
      <c r="M108" s="298"/>
    </row>
    <row r="109">
      <c r="A109" s="15" t="s">
        <v>329</v>
      </c>
      <c r="B109" s="147" t="s">
        <v>41</v>
      </c>
      <c r="C109" s="148"/>
      <c r="D109" s="285"/>
      <c r="E109" s="287"/>
      <c r="F109" s="287"/>
      <c r="G109" s="287"/>
      <c r="H109" s="287"/>
      <c r="I109" s="287"/>
      <c r="J109" s="305"/>
      <c r="K109" s="305"/>
      <c r="L109" s="290"/>
      <c r="M109" s="291"/>
    </row>
    <row r="110">
      <c r="A110" s="94" t="s">
        <v>329</v>
      </c>
      <c r="B110" s="154" t="s">
        <v>50</v>
      </c>
      <c r="C110" s="93"/>
      <c r="D110" s="292"/>
      <c r="E110" s="318"/>
      <c r="F110" s="318"/>
      <c r="G110" s="318"/>
      <c r="H110" s="294"/>
      <c r="I110" s="293" t="s">
        <v>486</v>
      </c>
      <c r="J110" s="302"/>
      <c r="K110" s="302"/>
      <c r="L110" s="298"/>
      <c r="M110" s="298"/>
    </row>
    <row r="111">
      <c r="A111" s="15" t="s">
        <v>329</v>
      </c>
      <c r="B111" s="147" t="s">
        <v>43</v>
      </c>
      <c r="C111" s="148"/>
      <c r="D111" s="285"/>
      <c r="E111" s="287"/>
      <c r="F111" s="287"/>
      <c r="G111" s="287"/>
      <c r="H111" s="287"/>
      <c r="I111" s="287"/>
      <c r="J111" s="305"/>
      <c r="K111" s="305"/>
      <c r="L111" s="290"/>
      <c r="M111" s="291"/>
    </row>
    <row r="112">
      <c r="A112" s="94" t="s">
        <v>329</v>
      </c>
      <c r="B112" s="154" t="s">
        <v>269</v>
      </c>
      <c r="C112" s="93"/>
      <c r="D112" s="292"/>
      <c r="E112" s="294"/>
      <c r="F112" s="294"/>
      <c r="G112" s="294"/>
      <c r="H112" s="338"/>
      <c r="I112" s="294"/>
      <c r="J112" s="302"/>
      <c r="K112" s="302"/>
      <c r="L112" s="298"/>
      <c r="M112" s="298"/>
    </row>
    <row r="113">
      <c r="A113" s="117" t="s">
        <v>334</v>
      </c>
      <c r="B113" s="165" t="s">
        <v>34</v>
      </c>
      <c r="C113" s="166"/>
      <c r="D113" s="166"/>
      <c r="E113" s="166"/>
      <c r="F113" s="166"/>
      <c r="G113" s="166"/>
      <c r="H113" s="167" t="s">
        <v>16</v>
      </c>
      <c r="I113" s="166"/>
      <c r="J113" s="237"/>
      <c r="K113" s="237"/>
      <c r="L113" s="169"/>
      <c r="M113" s="170"/>
    </row>
    <row r="114">
      <c r="A114" s="171" t="s">
        <v>334</v>
      </c>
      <c r="B114" s="172" t="s">
        <v>39</v>
      </c>
      <c r="C114" s="173"/>
      <c r="D114" s="173"/>
      <c r="E114" s="173"/>
      <c r="F114" s="173"/>
      <c r="G114" s="173"/>
      <c r="H114" s="178" t="s">
        <v>16</v>
      </c>
      <c r="I114" s="181"/>
      <c r="J114" s="238"/>
      <c r="K114" s="238"/>
      <c r="L114" s="176"/>
      <c r="M114" s="177"/>
    </row>
    <row r="115">
      <c r="A115" s="117" t="s">
        <v>334</v>
      </c>
      <c r="B115" s="165" t="s">
        <v>37</v>
      </c>
      <c r="C115" s="166"/>
      <c r="D115" s="166"/>
      <c r="E115" s="166"/>
      <c r="F115" s="166"/>
      <c r="G115" s="166"/>
      <c r="H115" s="167" t="s">
        <v>16</v>
      </c>
      <c r="I115" s="166"/>
      <c r="J115" s="237"/>
      <c r="K115" s="237"/>
      <c r="L115" s="169"/>
      <c r="M115" s="170"/>
    </row>
    <row r="116">
      <c r="A116" s="171" t="s">
        <v>334</v>
      </c>
      <c r="B116" s="172" t="s">
        <v>99</v>
      </c>
      <c r="C116" s="181"/>
      <c r="D116" s="181"/>
      <c r="E116" s="173"/>
      <c r="F116" s="173"/>
      <c r="G116" s="173"/>
      <c r="H116" s="178" t="s">
        <v>16</v>
      </c>
      <c r="I116" s="181"/>
      <c r="J116" s="238"/>
      <c r="K116" s="238"/>
      <c r="L116" s="176"/>
      <c r="M116" s="177"/>
    </row>
    <row r="117">
      <c r="A117" s="117" t="s">
        <v>334</v>
      </c>
      <c r="B117" s="165" t="s">
        <v>46</v>
      </c>
      <c r="C117" s="189"/>
      <c r="D117" s="189"/>
      <c r="E117" s="166"/>
      <c r="F117" s="166"/>
      <c r="G117" s="166"/>
      <c r="H117" s="167" t="s">
        <v>16</v>
      </c>
      <c r="I117" s="189"/>
      <c r="J117" s="237"/>
      <c r="K117" s="237"/>
      <c r="L117" s="169"/>
      <c r="M117" s="170"/>
    </row>
    <row r="118">
      <c r="A118" s="171" t="s">
        <v>334</v>
      </c>
      <c r="B118" s="172" t="s">
        <v>31</v>
      </c>
      <c r="C118" s="181"/>
      <c r="D118" s="181"/>
      <c r="E118" s="173"/>
      <c r="F118" s="173"/>
      <c r="G118" s="173"/>
      <c r="H118" s="178" t="s">
        <v>16</v>
      </c>
      <c r="I118" s="181"/>
      <c r="J118" s="238"/>
      <c r="K118" s="238"/>
      <c r="L118" s="176"/>
      <c r="M118" s="177"/>
    </row>
    <row r="119">
      <c r="A119" s="117" t="s">
        <v>334</v>
      </c>
      <c r="B119" s="165" t="s">
        <v>268</v>
      </c>
      <c r="C119" s="189"/>
      <c r="D119" s="189"/>
      <c r="E119" s="166"/>
      <c r="F119" s="166"/>
      <c r="G119" s="166"/>
      <c r="H119" s="167" t="s">
        <v>16</v>
      </c>
      <c r="I119" s="189"/>
      <c r="J119" s="237"/>
      <c r="K119" s="237"/>
      <c r="L119" s="169"/>
      <c r="M119" s="170"/>
    </row>
    <row r="120">
      <c r="A120" s="171" t="s">
        <v>334</v>
      </c>
      <c r="B120" s="172" t="s">
        <v>102</v>
      </c>
      <c r="C120" s="181"/>
      <c r="D120" s="181"/>
      <c r="E120" s="173"/>
      <c r="F120" s="173"/>
      <c r="G120" s="173"/>
      <c r="H120" s="178" t="s">
        <v>16</v>
      </c>
      <c r="I120" s="181"/>
      <c r="J120" s="238"/>
      <c r="K120" s="238"/>
      <c r="L120" s="176"/>
      <c r="M120" s="177"/>
    </row>
    <row r="121">
      <c r="A121" s="117" t="s">
        <v>334</v>
      </c>
      <c r="B121" s="165" t="s">
        <v>41</v>
      </c>
      <c r="C121" s="166"/>
      <c r="D121" s="166"/>
      <c r="E121" s="166"/>
      <c r="F121" s="166"/>
      <c r="G121" s="166"/>
      <c r="H121" s="167" t="s">
        <v>16</v>
      </c>
      <c r="I121" s="189"/>
      <c r="J121" s="237"/>
      <c r="K121" s="237"/>
      <c r="L121" s="169"/>
      <c r="M121" s="170"/>
    </row>
    <row r="122">
      <c r="A122" s="171" t="s">
        <v>334</v>
      </c>
      <c r="B122" s="172" t="s">
        <v>50</v>
      </c>
      <c r="C122" s="181"/>
      <c r="D122" s="181"/>
      <c r="E122" s="173"/>
      <c r="F122" s="173"/>
      <c r="G122" s="173"/>
      <c r="H122" s="178" t="s">
        <v>16</v>
      </c>
      <c r="I122" s="181"/>
      <c r="J122" s="238"/>
      <c r="K122" s="238"/>
      <c r="L122" s="176"/>
      <c r="M122" s="177"/>
    </row>
    <row r="123">
      <c r="A123" s="117" t="s">
        <v>334</v>
      </c>
      <c r="B123" s="165" t="s">
        <v>43</v>
      </c>
      <c r="C123" s="189"/>
      <c r="D123" s="189"/>
      <c r="E123" s="166"/>
      <c r="F123" s="166"/>
      <c r="G123" s="166"/>
      <c r="H123" s="167" t="s">
        <v>16</v>
      </c>
      <c r="I123" s="189"/>
      <c r="J123" s="237"/>
      <c r="K123" s="237"/>
      <c r="L123" s="169"/>
      <c r="M123" s="170"/>
    </row>
    <row r="124">
      <c r="A124" s="171" t="s">
        <v>334</v>
      </c>
      <c r="B124" s="172" t="s">
        <v>269</v>
      </c>
      <c r="C124" s="196"/>
      <c r="D124" s="196"/>
      <c r="E124" s="173"/>
      <c r="F124" s="173"/>
      <c r="G124" s="173"/>
      <c r="H124" s="178" t="s">
        <v>16</v>
      </c>
      <c r="I124" s="181"/>
      <c r="J124" s="238"/>
      <c r="K124" s="238"/>
      <c r="L124" s="176"/>
      <c r="M124" s="177"/>
    </row>
    <row r="125">
      <c r="C125" s="71"/>
      <c r="D125" s="71"/>
      <c r="E125" s="71"/>
      <c r="F125" s="73"/>
      <c r="G125" s="73"/>
      <c r="H125" s="73"/>
      <c r="I125" s="73"/>
      <c r="J125" s="73"/>
      <c r="K125" s="73"/>
    </row>
    <row r="126">
      <c r="C126" s="71"/>
      <c r="D126" s="71"/>
      <c r="E126" s="71"/>
      <c r="F126" s="73"/>
      <c r="G126" s="73"/>
      <c r="H126" s="73"/>
      <c r="I126" s="73"/>
      <c r="J126" s="73"/>
      <c r="K126" s="73"/>
    </row>
    <row r="127">
      <c r="C127" s="71"/>
      <c r="D127" s="71"/>
      <c r="E127" s="71"/>
      <c r="F127" s="73"/>
      <c r="G127" s="73"/>
      <c r="H127" s="73"/>
      <c r="I127" s="73"/>
      <c r="J127" s="73"/>
      <c r="K127" s="73"/>
    </row>
    <row r="128">
      <c r="C128" s="71"/>
      <c r="D128" s="71"/>
      <c r="E128" s="71"/>
      <c r="F128" s="73"/>
      <c r="G128" s="73"/>
      <c r="H128" s="73"/>
      <c r="I128" s="73"/>
      <c r="J128" s="73"/>
      <c r="K128" s="73"/>
    </row>
    <row r="129">
      <c r="C129" s="71"/>
      <c r="D129" s="71"/>
      <c r="E129" s="71"/>
      <c r="F129" s="73"/>
      <c r="G129" s="73"/>
      <c r="H129" s="73"/>
      <c r="I129" s="73"/>
      <c r="J129" s="73"/>
      <c r="K129" s="73"/>
    </row>
    <row r="130">
      <c r="C130" s="71"/>
      <c r="D130" s="71"/>
      <c r="E130" s="71"/>
      <c r="F130" s="73"/>
      <c r="G130" s="73"/>
      <c r="H130" s="73"/>
      <c r="I130" s="73"/>
      <c r="J130" s="73"/>
      <c r="K130" s="73"/>
    </row>
    <row r="131">
      <c r="C131" s="71"/>
      <c r="D131" s="71"/>
      <c r="E131" s="71"/>
      <c r="F131" s="73"/>
      <c r="G131" s="73"/>
      <c r="H131" s="73"/>
      <c r="I131" s="73"/>
      <c r="J131" s="73"/>
      <c r="K131" s="73"/>
    </row>
    <row r="132">
      <c r="C132" s="71"/>
      <c r="D132" s="71"/>
      <c r="E132" s="71"/>
      <c r="F132" s="73"/>
      <c r="G132" s="73"/>
      <c r="H132" s="73"/>
      <c r="I132" s="73"/>
      <c r="J132" s="73"/>
      <c r="K132" s="73"/>
    </row>
    <row r="133">
      <c r="C133" s="71"/>
      <c r="D133" s="71"/>
      <c r="E133" s="71"/>
      <c r="F133" s="73"/>
      <c r="G133" s="73"/>
      <c r="H133" s="73"/>
      <c r="I133" s="73"/>
      <c r="J133" s="73"/>
      <c r="K133" s="73"/>
    </row>
    <row r="134">
      <c r="C134" s="71"/>
      <c r="D134" s="71"/>
      <c r="E134" s="71"/>
      <c r="F134" s="73"/>
      <c r="G134" s="73"/>
      <c r="H134" s="73"/>
      <c r="I134" s="73"/>
      <c r="J134" s="73"/>
      <c r="K134" s="73"/>
    </row>
    <row r="135">
      <c r="C135" s="71"/>
      <c r="D135" s="71"/>
      <c r="E135" s="71"/>
      <c r="F135" s="73"/>
      <c r="G135" s="73"/>
      <c r="H135" s="73"/>
      <c r="I135" s="73"/>
      <c r="J135" s="73"/>
      <c r="K135" s="73"/>
    </row>
    <row r="136">
      <c r="C136" s="71"/>
      <c r="D136" s="71"/>
      <c r="E136" s="71"/>
      <c r="F136" s="73"/>
      <c r="G136" s="73"/>
      <c r="H136" s="73"/>
      <c r="I136" s="73"/>
      <c r="J136" s="73"/>
      <c r="K136" s="73"/>
    </row>
    <row r="137">
      <c r="C137" s="71"/>
      <c r="D137" s="71"/>
      <c r="E137" s="71"/>
      <c r="F137" s="73"/>
      <c r="G137" s="73"/>
      <c r="H137" s="73"/>
      <c r="I137" s="73"/>
      <c r="J137" s="73"/>
      <c r="K137" s="73"/>
    </row>
    <row r="138">
      <c r="C138" s="71"/>
      <c r="D138" s="71"/>
      <c r="E138" s="71"/>
      <c r="F138" s="73"/>
      <c r="G138" s="73"/>
      <c r="H138" s="73"/>
      <c r="I138" s="73"/>
      <c r="J138" s="73"/>
      <c r="K138" s="73"/>
    </row>
    <row r="139">
      <c r="C139" s="71"/>
      <c r="D139" s="71"/>
      <c r="E139" s="71"/>
      <c r="F139" s="73"/>
      <c r="G139" s="73"/>
      <c r="H139" s="73"/>
      <c r="I139" s="73"/>
      <c r="J139" s="73"/>
      <c r="K139" s="73"/>
    </row>
    <row r="140">
      <c r="C140" s="71"/>
      <c r="D140" s="71"/>
      <c r="E140" s="71"/>
      <c r="F140" s="73"/>
      <c r="G140" s="73"/>
      <c r="H140" s="73"/>
      <c r="I140" s="73"/>
      <c r="J140" s="73"/>
      <c r="K140" s="73"/>
    </row>
    <row r="141">
      <c r="C141" s="71"/>
      <c r="D141" s="71"/>
      <c r="E141" s="71"/>
      <c r="F141" s="73"/>
      <c r="G141" s="73"/>
      <c r="H141" s="73"/>
      <c r="I141" s="73"/>
      <c r="J141" s="73"/>
      <c r="K141" s="73"/>
    </row>
    <row r="142">
      <c r="C142" s="71"/>
      <c r="D142" s="71"/>
      <c r="E142" s="71"/>
      <c r="F142" s="73"/>
      <c r="G142" s="73"/>
      <c r="H142" s="73"/>
      <c r="I142" s="73"/>
      <c r="J142" s="73"/>
      <c r="K142" s="73"/>
    </row>
    <row r="143">
      <c r="C143" s="71"/>
      <c r="D143" s="71"/>
      <c r="E143" s="71"/>
      <c r="F143" s="73"/>
      <c r="G143" s="73"/>
      <c r="H143" s="73"/>
      <c r="I143" s="73"/>
      <c r="J143" s="73"/>
      <c r="K143" s="73"/>
    </row>
    <row r="144">
      <c r="C144" s="71"/>
      <c r="D144" s="71"/>
      <c r="E144" s="71"/>
      <c r="F144" s="73"/>
      <c r="G144" s="73"/>
      <c r="H144" s="73"/>
      <c r="I144" s="73"/>
      <c r="J144" s="73"/>
      <c r="K144" s="73"/>
    </row>
    <row r="145">
      <c r="C145" s="71"/>
      <c r="D145" s="71"/>
      <c r="E145" s="71"/>
      <c r="F145" s="73"/>
      <c r="G145" s="73"/>
      <c r="H145" s="73"/>
      <c r="I145" s="73"/>
      <c r="J145" s="73"/>
      <c r="K145" s="73"/>
    </row>
    <row r="146">
      <c r="C146" s="71"/>
      <c r="D146" s="71"/>
      <c r="E146" s="71"/>
      <c r="F146" s="73"/>
      <c r="G146" s="73"/>
      <c r="H146" s="73"/>
      <c r="I146" s="73"/>
      <c r="J146" s="73"/>
      <c r="K146" s="73"/>
    </row>
    <row r="147">
      <c r="C147" s="71"/>
      <c r="D147" s="71"/>
      <c r="E147" s="71"/>
      <c r="F147" s="73"/>
      <c r="G147" s="73"/>
      <c r="H147" s="73"/>
      <c r="I147" s="73"/>
      <c r="J147" s="73"/>
      <c r="K147" s="73"/>
    </row>
    <row r="148">
      <c r="C148" s="71"/>
      <c r="D148" s="71"/>
      <c r="E148" s="71"/>
      <c r="F148" s="73"/>
      <c r="G148" s="73"/>
      <c r="H148" s="73"/>
      <c r="I148" s="73"/>
      <c r="J148" s="73"/>
      <c r="K148" s="73"/>
    </row>
    <row r="149">
      <c r="C149" s="71"/>
      <c r="D149" s="71"/>
      <c r="E149" s="71"/>
      <c r="F149" s="73"/>
      <c r="G149" s="73"/>
      <c r="H149" s="73"/>
      <c r="I149" s="73"/>
      <c r="J149" s="73"/>
      <c r="K149" s="73"/>
    </row>
    <row r="150">
      <c r="C150" s="71"/>
      <c r="D150" s="71"/>
      <c r="E150" s="71"/>
      <c r="F150" s="73"/>
      <c r="G150" s="73"/>
      <c r="H150" s="73"/>
      <c r="I150" s="73"/>
      <c r="J150" s="73"/>
      <c r="K150" s="73"/>
    </row>
    <row r="151">
      <c r="C151" s="71"/>
      <c r="D151" s="71"/>
      <c r="E151" s="71"/>
      <c r="F151" s="73"/>
      <c r="G151" s="73"/>
      <c r="H151" s="73"/>
      <c r="I151" s="73"/>
      <c r="J151" s="73"/>
      <c r="K151" s="73"/>
    </row>
    <row r="152">
      <c r="C152" s="71"/>
      <c r="D152" s="71"/>
      <c r="E152" s="71"/>
      <c r="F152" s="73"/>
      <c r="G152" s="73"/>
      <c r="H152" s="73"/>
      <c r="I152" s="73"/>
      <c r="J152" s="73"/>
      <c r="K152" s="73"/>
    </row>
    <row r="153">
      <c r="C153" s="71"/>
      <c r="D153" s="71"/>
      <c r="E153" s="71"/>
      <c r="F153" s="73"/>
      <c r="G153" s="73"/>
      <c r="H153" s="73"/>
      <c r="I153" s="73"/>
      <c r="J153" s="73"/>
      <c r="K153" s="73"/>
    </row>
    <row r="154">
      <c r="C154" s="71"/>
      <c r="D154" s="71"/>
      <c r="E154" s="71"/>
      <c r="F154" s="73"/>
      <c r="G154" s="73"/>
      <c r="H154" s="73"/>
      <c r="I154" s="73"/>
      <c r="J154" s="73"/>
      <c r="K154" s="73"/>
    </row>
    <row r="155">
      <c r="C155" s="71"/>
      <c r="D155" s="71"/>
      <c r="E155" s="71"/>
      <c r="F155" s="73"/>
      <c r="G155" s="73"/>
      <c r="H155" s="73"/>
      <c r="I155" s="73"/>
      <c r="J155" s="73"/>
      <c r="K155" s="73"/>
    </row>
    <row r="156">
      <c r="C156" s="71"/>
      <c r="D156" s="71"/>
      <c r="E156" s="71"/>
      <c r="F156" s="73"/>
      <c r="G156" s="73"/>
      <c r="H156" s="73"/>
      <c r="I156" s="73"/>
      <c r="J156" s="73"/>
      <c r="K156" s="73"/>
    </row>
    <row r="157">
      <c r="C157" s="71"/>
      <c r="D157" s="71"/>
      <c r="E157" s="71"/>
      <c r="F157" s="73"/>
      <c r="G157" s="73"/>
      <c r="H157" s="73"/>
      <c r="I157" s="73"/>
      <c r="J157" s="73"/>
      <c r="K157" s="73"/>
    </row>
    <row r="158">
      <c r="C158" s="71"/>
      <c r="D158" s="71"/>
      <c r="E158" s="71"/>
      <c r="F158" s="73"/>
      <c r="G158" s="73"/>
      <c r="H158" s="73"/>
      <c r="I158" s="73"/>
      <c r="J158" s="73"/>
      <c r="K158" s="73"/>
    </row>
    <row r="159">
      <c r="C159" s="71"/>
      <c r="D159" s="71"/>
      <c r="E159" s="71"/>
      <c r="F159" s="73"/>
      <c r="G159" s="73"/>
      <c r="H159" s="73"/>
      <c r="I159" s="73"/>
      <c r="J159" s="73"/>
      <c r="K159" s="73"/>
    </row>
    <row r="160">
      <c r="C160" s="71"/>
      <c r="D160" s="71"/>
      <c r="E160" s="71"/>
      <c r="F160" s="73"/>
      <c r="G160" s="73"/>
      <c r="H160" s="73"/>
      <c r="I160" s="73"/>
      <c r="J160" s="73"/>
      <c r="K160" s="73"/>
    </row>
    <row r="161">
      <c r="C161" s="71"/>
      <c r="D161" s="71"/>
      <c r="E161" s="71"/>
      <c r="F161" s="73"/>
      <c r="G161" s="73"/>
      <c r="H161" s="73"/>
      <c r="I161" s="73"/>
      <c r="J161" s="73"/>
      <c r="K161" s="73"/>
    </row>
    <row r="162">
      <c r="C162" s="71"/>
      <c r="D162" s="71"/>
      <c r="E162" s="71"/>
      <c r="F162" s="73"/>
      <c r="G162" s="73"/>
      <c r="H162" s="73"/>
      <c r="I162" s="73"/>
      <c r="J162" s="73"/>
      <c r="K162" s="73"/>
    </row>
    <row r="163">
      <c r="C163" s="71"/>
      <c r="D163" s="71"/>
      <c r="E163" s="71"/>
      <c r="F163" s="73"/>
      <c r="G163" s="73"/>
      <c r="H163" s="73"/>
      <c r="I163" s="73"/>
      <c r="J163" s="73"/>
      <c r="K163" s="73"/>
    </row>
    <row r="164">
      <c r="C164" s="71"/>
      <c r="D164" s="71"/>
      <c r="E164" s="71"/>
      <c r="F164" s="73"/>
      <c r="G164" s="73"/>
      <c r="H164" s="73"/>
      <c r="I164" s="73"/>
      <c r="J164" s="73"/>
      <c r="K164" s="73"/>
    </row>
    <row r="165">
      <c r="C165" s="71"/>
      <c r="D165" s="71"/>
      <c r="E165" s="71"/>
      <c r="F165" s="73"/>
      <c r="G165" s="73"/>
      <c r="H165" s="73"/>
      <c r="I165" s="73"/>
      <c r="J165" s="73"/>
      <c r="K165" s="73"/>
    </row>
    <row r="166">
      <c r="C166" s="71"/>
      <c r="D166" s="71"/>
      <c r="E166" s="71"/>
      <c r="F166" s="73"/>
      <c r="G166" s="73"/>
      <c r="H166" s="73"/>
      <c r="I166" s="73"/>
      <c r="J166" s="73"/>
      <c r="K166" s="73"/>
    </row>
    <row r="167">
      <c r="C167" s="71"/>
      <c r="D167" s="71"/>
      <c r="E167" s="71"/>
      <c r="F167" s="73"/>
      <c r="G167" s="73"/>
      <c r="H167" s="73"/>
      <c r="I167" s="73"/>
      <c r="J167" s="73"/>
      <c r="K167" s="73"/>
    </row>
    <row r="168">
      <c r="C168" s="71"/>
      <c r="D168" s="71"/>
      <c r="E168" s="71"/>
      <c r="F168" s="73"/>
      <c r="G168" s="73"/>
      <c r="H168" s="73"/>
      <c r="I168" s="73"/>
      <c r="J168" s="73"/>
      <c r="K168" s="73"/>
    </row>
    <row r="169">
      <c r="C169" s="71"/>
      <c r="D169" s="71"/>
      <c r="E169" s="71"/>
      <c r="F169" s="73"/>
      <c r="G169" s="73"/>
      <c r="H169" s="73"/>
      <c r="I169" s="73"/>
      <c r="J169" s="73"/>
      <c r="K169" s="73"/>
    </row>
    <row r="170">
      <c r="C170" s="71"/>
      <c r="D170" s="71"/>
      <c r="E170" s="71"/>
      <c r="F170" s="73"/>
      <c r="G170" s="73"/>
      <c r="H170" s="73"/>
      <c r="I170" s="73"/>
      <c r="J170" s="73"/>
      <c r="K170" s="73"/>
    </row>
    <row r="171">
      <c r="C171" s="71"/>
      <c r="D171" s="71"/>
      <c r="E171" s="71"/>
      <c r="F171" s="73"/>
      <c r="G171" s="73"/>
      <c r="H171" s="73"/>
      <c r="I171" s="73"/>
      <c r="J171" s="73"/>
      <c r="K171" s="73"/>
    </row>
    <row r="172">
      <c r="C172" s="71"/>
      <c r="D172" s="71"/>
      <c r="E172" s="71"/>
      <c r="F172" s="73"/>
      <c r="G172" s="73"/>
      <c r="H172" s="73"/>
      <c r="I172" s="73"/>
      <c r="J172" s="73"/>
      <c r="K172" s="73"/>
    </row>
    <row r="173">
      <c r="C173" s="71"/>
      <c r="D173" s="71"/>
      <c r="E173" s="71"/>
      <c r="F173" s="73"/>
      <c r="G173" s="73"/>
      <c r="H173" s="73"/>
      <c r="I173" s="73"/>
      <c r="J173" s="73"/>
      <c r="K173" s="73"/>
    </row>
    <row r="174">
      <c r="C174" s="71"/>
      <c r="D174" s="71"/>
      <c r="E174" s="71"/>
      <c r="F174" s="73"/>
      <c r="G174" s="73"/>
      <c r="H174" s="73"/>
      <c r="I174" s="73"/>
      <c r="J174" s="73"/>
      <c r="K174" s="73"/>
    </row>
    <row r="175">
      <c r="C175" s="71"/>
      <c r="D175" s="71"/>
      <c r="E175" s="71"/>
      <c r="F175" s="73"/>
      <c r="G175" s="73"/>
      <c r="H175" s="73"/>
      <c r="I175" s="73"/>
      <c r="J175" s="73"/>
      <c r="K175" s="73"/>
    </row>
    <row r="176">
      <c r="C176" s="71"/>
      <c r="D176" s="71"/>
      <c r="E176" s="71"/>
      <c r="F176" s="73"/>
      <c r="G176" s="73"/>
      <c r="H176" s="73"/>
      <c r="I176" s="73"/>
      <c r="J176" s="73"/>
      <c r="K176" s="73"/>
    </row>
    <row r="177">
      <c r="C177" s="71"/>
      <c r="D177" s="71"/>
      <c r="E177" s="71"/>
      <c r="F177" s="73"/>
      <c r="G177" s="73"/>
      <c r="H177" s="73"/>
      <c r="I177" s="73"/>
      <c r="J177" s="73"/>
      <c r="K177" s="73"/>
    </row>
    <row r="178">
      <c r="C178" s="71"/>
      <c r="D178" s="71"/>
      <c r="E178" s="71"/>
      <c r="F178" s="73"/>
      <c r="G178" s="73"/>
      <c r="H178" s="73"/>
      <c r="I178" s="73"/>
      <c r="J178" s="73"/>
      <c r="K178" s="73"/>
    </row>
    <row r="179">
      <c r="C179" s="71"/>
      <c r="D179" s="71"/>
      <c r="E179" s="71"/>
      <c r="F179" s="73"/>
      <c r="G179" s="73"/>
      <c r="H179" s="73"/>
      <c r="I179" s="73"/>
      <c r="J179" s="73"/>
      <c r="K179" s="73"/>
    </row>
    <row r="180">
      <c r="C180" s="71"/>
      <c r="D180" s="71"/>
      <c r="E180" s="71"/>
      <c r="F180" s="73"/>
      <c r="G180" s="73"/>
      <c r="H180" s="73"/>
      <c r="I180" s="73"/>
      <c r="J180" s="73"/>
      <c r="K180" s="73"/>
    </row>
    <row r="181">
      <c r="C181" s="71"/>
      <c r="D181" s="71"/>
      <c r="E181" s="71"/>
      <c r="F181" s="73"/>
      <c r="G181" s="73"/>
      <c r="H181" s="73"/>
      <c r="I181" s="73"/>
      <c r="J181" s="73"/>
      <c r="K181" s="73"/>
    </row>
    <row r="182">
      <c r="C182" s="71"/>
      <c r="D182" s="71"/>
      <c r="E182" s="71"/>
      <c r="F182" s="73"/>
      <c r="G182" s="73"/>
      <c r="H182" s="73"/>
      <c r="I182" s="73"/>
      <c r="J182" s="73"/>
      <c r="K182" s="73"/>
    </row>
    <row r="183">
      <c r="C183" s="71"/>
      <c r="D183" s="71"/>
      <c r="E183" s="71"/>
      <c r="F183" s="73"/>
      <c r="G183" s="73"/>
      <c r="H183" s="73"/>
      <c r="I183" s="73"/>
      <c r="J183" s="73"/>
      <c r="K183" s="73"/>
    </row>
    <row r="184">
      <c r="C184" s="71"/>
      <c r="D184" s="71"/>
      <c r="E184" s="71"/>
      <c r="F184" s="73"/>
      <c r="G184" s="73"/>
      <c r="H184" s="73"/>
      <c r="I184" s="73"/>
      <c r="J184" s="73"/>
      <c r="K184" s="73"/>
    </row>
    <row r="185">
      <c r="C185" s="71"/>
      <c r="D185" s="71"/>
      <c r="E185" s="71"/>
      <c r="F185" s="73"/>
      <c r="G185" s="73"/>
      <c r="H185" s="73"/>
      <c r="I185" s="73"/>
      <c r="J185" s="73"/>
      <c r="K185" s="73"/>
    </row>
    <row r="186">
      <c r="C186" s="71"/>
      <c r="D186" s="71"/>
      <c r="E186" s="71"/>
      <c r="F186" s="73"/>
      <c r="G186" s="73"/>
      <c r="H186" s="73"/>
      <c r="I186" s="73"/>
      <c r="J186" s="73"/>
      <c r="K186" s="73"/>
    </row>
    <row r="187">
      <c r="C187" s="71"/>
      <c r="D187" s="71"/>
      <c r="E187" s="71"/>
      <c r="F187" s="73"/>
      <c r="G187" s="73"/>
      <c r="H187" s="73"/>
      <c r="I187" s="73"/>
      <c r="J187" s="73"/>
      <c r="K187" s="73"/>
    </row>
    <row r="188">
      <c r="C188" s="71"/>
      <c r="D188" s="71"/>
      <c r="E188" s="71"/>
      <c r="F188" s="73"/>
      <c r="G188" s="73"/>
      <c r="H188" s="73"/>
      <c r="I188" s="73"/>
      <c r="J188" s="73"/>
      <c r="K188" s="73"/>
    </row>
    <row r="189">
      <c r="C189" s="71"/>
      <c r="D189" s="71"/>
      <c r="E189" s="71"/>
      <c r="F189" s="73"/>
      <c r="G189" s="73"/>
      <c r="H189" s="73"/>
      <c r="I189" s="73"/>
      <c r="J189" s="73"/>
      <c r="K189" s="73"/>
    </row>
    <row r="190">
      <c r="C190" s="71"/>
      <c r="D190" s="71"/>
      <c r="E190" s="71"/>
      <c r="F190" s="73"/>
      <c r="G190" s="73"/>
      <c r="H190" s="73"/>
      <c r="I190" s="73"/>
      <c r="J190" s="73"/>
      <c r="K190" s="73"/>
    </row>
    <row r="191">
      <c r="C191" s="71"/>
      <c r="D191" s="71"/>
      <c r="E191" s="71"/>
      <c r="F191" s="73"/>
      <c r="G191" s="73"/>
      <c r="H191" s="73"/>
      <c r="I191" s="73"/>
      <c r="J191" s="73"/>
      <c r="K191" s="73"/>
    </row>
    <row r="192">
      <c r="C192" s="71"/>
      <c r="D192" s="71"/>
      <c r="E192" s="71"/>
      <c r="F192" s="73"/>
      <c r="G192" s="73"/>
      <c r="H192" s="73"/>
      <c r="I192" s="73"/>
      <c r="J192" s="73"/>
      <c r="K192" s="73"/>
    </row>
    <row r="193">
      <c r="C193" s="71"/>
      <c r="D193" s="71"/>
      <c r="E193" s="71"/>
      <c r="F193" s="73"/>
      <c r="G193" s="73"/>
      <c r="H193" s="73"/>
      <c r="I193" s="73"/>
      <c r="J193" s="73"/>
      <c r="K193" s="73"/>
    </row>
    <row r="194">
      <c r="C194" s="71"/>
      <c r="D194" s="71"/>
      <c r="E194" s="71"/>
      <c r="F194" s="73"/>
      <c r="G194" s="73"/>
      <c r="H194" s="73"/>
      <c r="I194" s="73"/>
      <c r="J194" s="73"/>
      <c r="K194" s="73"/>
    </row>
    <row r="195">
      <c r="C195" s="71"/>
      <c r="D195" s="71"/>
      <c r="E195" s="71"/>
      <c r="F195" s="73"/>
      <c r="G195" s="73"/>
      <c r="H195" s="73"/>
      <c r="I195" s="73"/>
      <c r="J195" s="73"/>
      <c r="K195" s="73"/>
    </row>
    <row r="196">
      <c r="C196" s="71"/>
      <c r="D196" s="71"/>
      <c r="E196" s="71"/>
      <c r="F196" s="73"/>
      <c r="G196" s="73"/>
      <c r="H196" s="73"/>
      <c r="I196" s="73"/>
      <c r="J196" s="73"/>
      <c r="K196" s="73"/>
    </row>
    <row r="197">
      <c r="C197" s="71"/>
      <c r="D197" s="71"/>
      <c r="E197" s="71"/>
      <c r="F197" s="73"/>
      <c r="G197" s="73"/>
      <c r="H197" s="73"/>
      <c r="I197" s="73"/>
      <c r="J197" s="73"/>
      <c r="K197" s="73"/>
    </row>
    <row r="198">
      <c r="C198" s="71"/>
      <c r="D198" s="71"/>
      <c r="E198" s="71"/>
      <c r="F198" s="73"/>
      <c r="G198" s="73"/>
      <c r="H198" s="73"/>
      <c r="I198" s="73"/>
      <c r="J198" s="73"/>
      <c r="K198" s="73"/>
    </row>
    <row r="199">
      <c r="C199" s="71"/>
      <c r="D199" s="71"/>
      <c r="E199" s="71"/>
      <c r="F199" s="73"/>
      <c r="G199" s="73"/>
      <c r="H199" s="73"/>
      <c r="I199" s="73"/>
      <c r="J199" s="73"/>
      <c r="K199" s="73"/>
    </row>
    <row r="200">
      <c r="C200" s="71"/>
      <c r="D200" s="71"/>
      <c r="E200" s="71"/>
      <c r="F200" s="73"/>
      <c r="G200" s="73"/>
      <c r="H200" s="73"/>
      <c r="I200" s="73"/>
      <c r="J200" s="73"/>
      <c r="K200" s="73"/>
    </row>
    <row r="201">
      <c r="C201" s="71"/>
      <c r="D201" s="71"/>
      <c r="E201" s="71"/>
      <c r="F201" s="73"/>
      <c r="G201" s="73"/>
      <c r="H201" s="73"/>
      <c r="I201" s="73"/>
      <c r="J201" s="73"/>
      <c r="K201" s="73"/>
    </row>
    <row r="202">
      <c r="C202" s="71"/>
      <c r="D202" s="71"/>
      <c r="E202" s="71"/>
      <c r="F202" s="73"/>
      <c r="G202" s="73"/>
      <c r="H202" s="73"/>
      <c r="I202" s="73"/>
      <c r="J202" s="73"/>
      <c r="K202" s="73"/>
    </row>
    <row r="203">
      <c r="C203" s="71"/>
      <c r="D203" s="71"/>
      <c r="E203" s="71"/>
      <c r="F203" s="73"/>
      <c r="G203" s="73"/>
      <c r="H203" s="73"/>
      <c r="I203" s="73"/>
      <c r="J203" s="73"/>
      <c r="K203" s="73"/>
    </row>
    <row r="204">
      <c r="C204" s="71"/>
      <c r="D204" s="71"/>
      <c r="E204" s="71"/>
      <c r="F204" s="73"/>
      <c r="G204" s="73"/>
      <c r="H204" s="73"/>
      <c r="I204" s="73"/>
      <c r="J204" s="73"/>
      <c r="K204" s="73"/>
    </row>
    <row r="205">
      <c r="C205" s="71"/>
      <c r="D205" s="71"/>
      <c r="E205" s="71"/>
      <c r="F205" s="73"/>
      <c r="G205" s="73"/>
      <c r="H205" s="73"/>
      <c r="I205" s="73"/>
      <c r="J205" s="73"/>
      <c r="K205" s="73"/>
    </row>
    <row r="206">
      <c r="C206" s="71"/>
      <c r="D206" s="71"/>
      <c r="E206" s="71"/>
      <c r="F206" s="73"/>
      <c r="G206" s="73"/>
      <c r="H206" s="73"/>
      <c r="I206" s="73"/>
      <c r="J206" s="73"/>
      <c r="K206" s="73"/>
    </row>
    <row r="207">
      <c r="C207" s="71"/>
      <c r="D207" s="71"/>
      <c r="E207" s="71"/>
      <c r="F207" s="73"/>
      <c r="G207" s="73"/>
      <c r="H207" s="73"/>
      <c r="I207" s="73"/>
      <c r="J207" s="73"/>
      <c r="K207" s="73"/>
    </row>
    <row r="208">
      <c r="C208" s="71"/>
      <c r="D208" s="71"/>
      <c r="E208" s="71"/>
      <c r="F208" s="73"/>
      <c r="G208" s="73"/>
      <c r="H208" s="73"/>
      <c r="I208" s="73"/>
      <c r="J208" s="73"/>
      <c r="K208" s="73"/>
    </row>
    <row r="209">
      <c r="C209" s="71"/>
      <c r="D209" s="71"/>
      <c r="E209" s="71"/>
      <c r="F209" s="73"/>
      <c r="G209" s="73"/>
      <c r="H209" s="73"/>
      <c r="I209" s="73"/>
      <c r="J209" s="73"/>
      <c r="K209" s="73"/>
    </row>
    <row r="210">
      <c r="C210" s="71"/>
      <c r="D210" s="71"/>
      <c r="E210" s="71"/>
      <c r="F210" s="73"/>
      <c r="G210" s="73"/>
      <c r="H210" s="73"/>
      <c r="I210" s="73"/>
      <c r="J210" s="73"/>
      <c r="K210" s="73"/>
    </row>
    <row r="211">
      <c r="C211" s="71"/>
      <c r="D211" s="71"/>
      <c r="E211" s="71"/>
      <c r="F211" s="73"/>
      <c r="G211" s="73"/>
      <c r="H211" s="73"/>
      <c r="I211" s="73"/>
      <c r="J211" s="73"/>
      <c r="K211" s="73"/>
    </row>
    <row r="212">
      <c r="C212" s="71"/>
      <c r="D212" s="71"/>
      <c r="E212" s="71"/>
      <c r="F212" s="73"/>
      <c r="G212" s="73"/>
      <c r="H212" s="73"/>
      <c r="I212" s="73"/>
      <c r="J212" s="73"/>
      <c r="K212" s="73"/>
    </row>
    <row r="213">
      <c r="C213" s="71"/>
      <c r="D213" s="71"/>
      <c r="E213" s="71"/>
      <c r="F213" s="73"/>
      <c r="G213" s="73"/>
      <c r="H213" s="73"/>
      <c r="I213" s="73"/>
      <c r="J213" s="73"/>
      <c r="K213" s="73"/>
    </row>
    <row r="214">
      <c r="C214" s="71"/>
      <c r="D214" s="71"/>
      <c r="E214" s="71"/>
      <c r="F214" s="73"/>
      <c r="G214" s="73"/>
      <c r="H214" s="73"/>
      <c r="I214" s="73"/>
      <c r="J214" s="73"/>
      <c r="K214" s="73"/>
    </row>
    <row r="215">
      <c r="C215" s="71"/>
      <c r="D215" s="71"/>
      <c r="E215" s="71"/>
      <c r="F215" s="73"/>
      <c r="G215" s="73"/>
      <c r="H215" s="73"/>
      <c r="I215" s="73"/>
      <c r="J215" s="73"/>
      <c r="K215" s="73"/>
    </row>
    <row r="216">
      <c r="C216" s="71"/>
      <c r="D216" s="71"/>
      <c r="E216" s="71"/>
      <c r="F216" s="73"/>
      <c r="G216" s="73"/>
      <c r="H216" s="73"/>
      <c r="I216" s="73"/>
      <c r="J216" s="73"/>
      <c r="K216" s="73"/>
    </row>
    <row r="217">
      <c r="C217" s="71"/>
      <c r="D217" s="71"/>
      <c r="E217" s="71"/>
      <c r="F217" s="73"/>
      <c r="G217" s="73"/>
      <c r="H217" s="73"/>
      <c r="I217" s="73"/>
      <c r="J217" s="73"/>
      <c r="K217" s="73"/>
    </row>
    <row r="218">
      <c r="C218" s="71"/>
      <c r="D218" s="71"/>
      <c r="E218" s="71"/>
      <c r="F218" s="73"/>
      <c r="G218" s="73"/>
      <c r="H218" s="73"/>
      <c r="I218" s="73"/>
      <c r="J218" s="73"/>
      <c r="K218" s="73"/>
    </row>
    <row r="219">
      <c r="C219" s="71"/>
      <c r="D219" s="71"/>
      <c r="E219" s="71"/>
      <c r="F219" s="73"/>
      <c r="G219" s="73"/>
      <c r="H219" s="73"/>
      <c r="I219" s="73"/>
      <c r="J219" s="73"/>
      <c r="K219" s="73"/>
    </row>
    <row r="220">
      <c r="C220" s="71"/>
      <c r="D220" s="71"/>
      <c r="E220" s="71"/>
      <c r="F220" s="73"/>
      <c r="G220" s="73"/>
      <c r="H220" s="73"/>
      <c r="I220" s="73"/>
      <c r="J220" s="73"/>
      <c r="K220" s="73"/>
    </row>
    <row r="221">
      <c r="C221" s="71"/>
      <c r="D221" s="71"/>
      <c r="E221" s="71"/>
      <c r="F221" s="73"/>
      <c r="G221" s="73"/>
      <c r="H221" s="73"/>
      <c r="I221" s="73"/>
      <c r="J221" s="73"/>
      <c r="K221" s="73"/>
    </row>
    <row r="222">
      <c r="C222" s="71"/>
      <c r="D222" s="71"/>
      <c r="E222" s="71"/>
      <c r="F222" s="73"/>
      <c r="G222" s="73"/>
      <c r="H222" s="73"/>
      <c r="I222" s="73"/>
      <c r="J222" s="73"/>
      <c r="K222" s="73"/>
    </row>
    <row r="223">
      <c r="C223" s="71"/>
      <c r="D223" s="71"/>
      <c r="E223" s="71"/>
      <c r="F223" s="73"/>
      <c r="G223" s="73"/>
      <c r="H223" s="73"/>
      <c r="I223" s="73"/>
      <c r="J223" s="73"/>
      <c r="K223" s="73"/>
    </row>
    <row r="224">
      <c r="C224" s="71"/>
      <c r="D224" s="71"/>
      <c r="E224" s="71"/>
      <c r="F224" s="73"/>
      <c r="G224" s="73"/>
      <c r="H224" s="73"/>
      <c r="I224" s="73"/>
      <c r="J224" s="73"/>
      <c r="K224" s="73"/>
    </row>
    <row r="225">
      <c r="C225" s="71"/>
      <c r="D225" s="71"/>
      <c r="E225" s="71"/>
      <c r="F225" s="73"/>
      <c r="G225" s="73"/>
      <c r="H225" s="73"/>
      <c r="I225" s="73"/>
      <c r="J225" s="73"/>
      <c r="K225" s="73"/>
    </row>
    <row r="226">
      <c r="C226" s="71"/>
      <c r="D226" s="71"/>
      <c r="E226" s="71"/>
      <c r="F226" s="73"/>
      <c r="G226" s="73"/>
      <c r="H226" s="73"/>
      <c r="I226" s="73"/>
      <c r="J226" s="73"/>
      <c r="K226" s="73"/>
    </row>
    <row r="227">
      <c r="C227" s="71"/>
      <c r="D227" s="71"/>
      <c r="E227" s="71"/>
      <c r="F227" s="73"/>
      <c r="G227" s="73"/>
      <c r="H227" s="73"/>
      <c r="I227" s="73"/>
      <c r="J227" s="73"/>
      <c r="K227" s="73"/>
    </row>
    <row r="228">
      <c r="C228" s="71"/>
      <c r="D228" s="71"/>
      <c r="E228" s="71"/>
      <c r="F228" s="73"/>
      <c r="G228" s="73"/>
      <c r="H228" s="73"/>
      <c r="I228" s="73"/>
      <c r="J228" s="73"/>
      <c r="K228" s="73"/>
    </row>
    <row r="229">
      <c r="C229" s="71"/>
      <c r="D229" s="71"/>
      <c r="E229" s="71"/>
      <c r="F229" s="73"/>
      <c r="G229" s="73"/>
      <c r="H229" s="73"/>
      <c r="I229" s="73"/>
      <c r="J229" s="73"/>
      <c r="K229" s="73"/>
    </row>
    <row r="230">
      <c r="C230" s="71"/>
      <c r="D230" s="71"/>
      <c r="E230" s="71"/>
      <c r="F230" s="73"/>
      <c r="G230" s="73"/>
      <c r="H230" s="73"/>
      <c r="I230" s="73"/>
      <c r="J230" s="73"/>
      <c r="K230" s="73"/>
    </row>
    <row r="231">
      <c r="C231" s="71"/>
      <c r="D231" s="71"/>
      <c r="E231" s="71"/>
      <c r="F231" s="73"/>
      <c r="G231" s="73"/>
      <c r="H231" s="73"/>
      <c r="I231" s="73"/>
      <c r="J231" s="73"/>
      <c r="K231" s="73"/>
    </row>
    <row r="232">
      <c r="C232" s="71"/>
      <c r="D232" s="71"/>
      <c r="E232" s="71"/>
      <c r="F232" s="73"/>
      <c r="G232" s="73"/>
      <c r="H232" s="73"/>
      <c r="I232" s="73"/>
      <c r="J232" s="73"/>
      <c r="K232" s="73"/>
    </row>
    <row r="233">
      <c r="C233" s="71"/>
      <c r="D233" s="71"/>
      <c r="E233" s="71"/>
      <c r="F233" s="73"/>
      <c r="G233" s="73"/>
      <c r="H233" s="73"/>
      <c r="I233" s="73"/>
      <c r="J233" s="73"/>
      <c r="K233" s="73"/>
    </row>
    <row r="234">
      <c r="C234" s="71"/>
      <c r="D234" s="71"/>
      <c r="E234" s="71"/>
      <c r="F234" s="73"/>
      <c r="G234" s="73"/>
      <c r="H234" s="73"/>
      <c r="I234" s="73"/>
      <c r="J234" s="73"/>
      <c r="K234" s="73"/>
    </row>
    <row r="235">
      <c r="C235" s="71"/>
      <c r="D235" s="71"/>
      <c r="E235" s="71"/>
      <c r="F235" s="73"/>
      <c r="G235" s="73"/>
      <c r="H235" s="73"/>
      <c r="I235" s="73"/>
      <c r="J235" s="73"/>
      <c r="K235" s="73"/>
    </row>
    <row r="236">
      <c r="C236" s="71"/>
      <c r="D236" s="71"/>
      <c r="E236" s="71"/>
      <c r="F236" s="73"/>
      <c r="G236" s="73"/>
      <c r="H236" s="73"/>
      <c r="I236" s="73"/>
      <c r="J236" s="73"/>
      <c r="K236" s="73"/>
    </row>
    <row r="237">
      <c r="C237" s="71"/>
      <c r="D237" s="71"/>
      <c r="E237" s="71"/>
      <c r="F237" s="73"/>
      <c r="G237" s="73"/>
      <c r="H237" s="73"/>
      <c r="I237" s="73"/>
      <c r="J237" s="73"/>
      <c r="K237" s="73"/>
    </row>
    <row r="238">
      <c r="C238" s="71"/>
      <c r="D238" s="71"/>
      <c r="E238" s="71"/>
      <c r="F238" s="73"/>
      <c r="G238" s="73"/>
      <c r="H238" s="73"/>
      <c r="I238" s="73"/>
      <c r="J238" s="73"/>
      <c r="K238" s="73"/>
    </row>
    <row r="239">
      <c r="C239" s="71"/>
      <c r="D239" s="71"/>
      <c r="E239" s="71"/>
      <c r="F239" s="73"/>
      <c r="G239" s="73"/>
      <c r="H239" s="73"/>
      <c r="I239" s="73"/>
      <c r="J239" s="73"/>
      <c r="K239" s="73"/>
    </row>
    <row r="240">
      <c r="C240" s="71"/>
      <c r="D240" s="71"/>
      <c r="E240" s="71"/>
      <c r="F240" s="73"/>
      <c r="G240" s="73"/>
      <c r="H240" s="73"/>
      <c r="I240" s="73"/>
      <c r="J240" s="73"/>
      <c r="K240" s="73"/>
    </row>
    <row r="241">
      <c r="C241" s="71"/>
      <c r="D241" s="71"/>
      <c r="E241" s="71"/>
      <c r="F241" s="73"/>
      <c r="G241" s="73"/>
      <c r="H241" s="73"/>
      <c r="I241" s="73"/>
      <c r="J241" s="73"/>
      <c r="K241" s="73"/>
    </row>
    <row r="242">
      <c r="C242" s="71"/>
      <c r="D242" s="71"/>
      <c r="E242" s="71"/>
      <c r="F242" s="73"/>
      <c r="G242" s="73"/>
      <c r="H242" s="73"/>
      <c r="I242" s="73"/>
      <c r="J242" s="73"/>
      <c r="K242" s="73"/>
    </row>
    <row r="243">
      <c r="C243" s="71"/>
      <c r="D243" s="71"/>
      <c r="E243" s="71"/>
      <c r="F243" s="73"/>
      <c r="G243" s="73"/>
      <c r="H243" s="73"/>
      <c r="I243" s="73"/>
      <c r="J243" s="73"/>
      <c r="K243" s="73"/>
    </row>
    <row r="244">
      <c r="C244" s="71"/>
      <c r="D244" s="71"/>
      <c r="E244" s="71"/>
      <c r="F244" s="73"/>
      <c r="G244" s="73"/>
      <c r="H244" s="73"/>
      <c r="I244" s="73"/>
      <c r="J244" s="73"/>
      <c r="K244" s="73"/>
    </row>
    <row r="245">
      <c r="C245" s="71"/>
      <c r="D245" s="71"/>
      <c r="E245" s="71"/>
      <c r="F245" s="73"/>
      <c r="G245" s="73"/>
      <c r="H245" s="73"/>
      <c r="I245" s="73"/>
      <c r="J245" s="73"/>
      <c r="K245" s="73"/>
    </row>
    <row r="246">
      <c r="C246" s="71"/>
      <c r="D246" s="71"/>
      <c r="E246" s="71"/>
      <c r="F246" s="73"/>
      <c r="G246" s="73"/>
      <c r="H246" s="73"/>
      <c r="I246" s="73"/>
      <c r="J246" s="73"/>
      <c r="K246" s="73"/>
    </row>
    <row r="247">
      <c r="C247" s="71"/>
      <c r="D247" s="71"/>
      <c r="E247" s="71"/>
      <c r="F247" s="73"/>
      <c r="G247" s="73"/>
      <c r="H247" s="73"/>
      <c r="I247" s="73"/>
      <c r="J247" s="73"/>
      <c r="K247" s="73"/>
    </row>
    <row r="248">
      <c r="C248" s="71"/>
      <c r="D248" s="71"/>
      <c r="E248" s="71"/>
      <c r="F248" s="73"/>
      <c r="G248" s="73"/>
      <c r="H248" s="73"/>
      <c r="I248" s="73"/>
      <c r="J248" s="73"/>
      <c r="K248" s="73"/>
    </row>
    <row r="249">
      <c r="C249" s="71"/>
      <c r="D249" s="71"/>
      <c r="E249" s="71"/>
      <c r="F249" s="73"/>
      <c r="G249" s="73"/>
      <c r="H249" s="73"/>
      <c r="I249" s="73"/>
      <c r="J249" s="73"/>
      <c r="K249" s="73"/>
    </row>
    <row r="250">
      <c r="C250" s="71"/>
      <c r="D250" s="71"/>
      <c r="E250" s="71"/>
      <c r="F250" s="73"/>
      <c r="G250" s="73"/>
      <c r="H250" s="73"/>
      <c r="I250" s="73"/>
      <c r="J250" s="73"/>
      <c r="K250" s="73"/>
    </row>
    <row r="251">
      <c r="C251" s="71"/>
      <c r="D251" s="71"/>
      <c r="E251" s="71"/>
      <c r="F251" s="73"/>
      <c r="G251" s="73"/>
      <c r="H251" s="73"/>
      <c r="I251" s="73"/>
      <c r="J251" s="73"/>
      <c r="K251" s="73"/>
    </row>
    <row r="252">
      <c r="C252" s="71"/>
      <c r="D252" s="71"/>
      <c r="E252" s="71"/>
      <c r="F252" s="73"/>
      <c r="G252" s="73"/>
      <c r="H252" s="73"/>
      <c r="I252" s="73"/>
      <c r="J252" s="73"/>
      <c r="K252" s="73"/>
    </row>
    <row r="253">
      <c r="C253" s="71"/>
      <c r="D253" s="71"/>
      <c r="E253" s="71"/>
      <c r="F253" s="73"/>
      <c r="G253" s="73"/>
      <c r="H253" s="73"/>
      <c r="I253" s="73"/>
      <c r="J253" s="73"/>
      <c r="K253" s="73"/>
    </row>
    <row r="254">
      <c r="C254" s="71"/>
      <c r="D254" s="71"/>
      <c r="E254" s="71"/>
      <c r="F254" s="73"/>
      <c r="G254" s="73"/>
      <c r="H254" s="73"/>
      <c r="I254" s="73"/>
      <c r="J254" s="73"/>
      <c r="K254" s="73"/>
    </row>
    <row r="255">
      <c r="C255" s="71"/>
      <c r="D255" s="71"/>
      <c r="E255" s="71"/>
      <c r="F255" s="73"/>
      <c r="G255" s="73"/>
      <c r="H255" s="73"/>
      <c r="I255" s="73"/>
      <c r="J255" s="73"/>
      <c r="K255" s="73"/>
    </row>
    <row r="256">
      <c r="C256" s="71"/>
      <c r="D256" s="71"/>
      <c r="E256" s="71"/>
      <c r="F256" s="73"/>
      <c r="G256" s="73"/>
      <c r="H256" s="73"/>
      <c r="I256" s="73"/>
      <c r="J256" s="73"/>
      <c r="K256" s="73"/>
    </row>
    <row r="257">
      <c r="C257" s="71"/>
      <c r="D257" s="71"/>
      <c r="E257" s="71"/>
      <c r="F257" s="73"/>
      <c r="G257" s="73"/>
      <c r="H257" s="73"/>
      <c r="I257" s="73"/>
      <c r="J257" s="73"/>
      <c r="K257" s="73"/>
    </row>
    <row r="258">
      <c r="C258" s="71"/>
      <c r="D258" s="71"/>
      <c r="E258" s="71"/>
      <c r="F258" s="73"/>
      <c r="G258" s="73"/>
      <c r="H258" s="73"/>
      <c r="I258" s="73"/>
      <c r="J258" s="73"/>
      <c r="K258" s="73"/>
    </row>
    <row r="259">
      <c r="C259" s="71"/>
      <c r="D259" s="71"/>
      <c r="E259" s="71"/>
      <c r="F259" s="73"/>
      <c r="G259" s="73"/>
      <c r="H259" s="73"/>
      <c r="I259" s="73"/>
      <c r="J259" s="73"/>
      <c r="K259" s="73"/>
    </row>
    <row r="260">
      <c r="C260" s="71"/>
      <c r="D260" s="71"/>
      <c r="E260" s="71"/>
      <c r="F260" s="73"/>
      <c r="G260" s="73"/>
      <c r="H260" s="73"/>
      <c r="I260" s="73"/>
      <c r="J260" s="73"/>
      <c r="K260" s="73"/>
    </row>
    <row r="261">
      <c r="C261" s="71"/>
      <c r="D261" s="71"/>
      <c r="E261" s="71"/>
      <c r="F261" s="73"/>
      <c r="G261" s="73"/>
      <c r="H261" s="73"/>
      <c r="I261" s="73"/>
      <c r="J261" s="73"/>
      <c r="K261" s="73"/>
    </row>
    <row r="262">
      <c r="C262" s="71"/>
      <c r="D262" s="71"/>
      <c r="E262" s="71"/>
      <c r="F262" s="73"/>
      <c r="G262" s="73"/>
      <c r="H262" s="73"/>
      <c r="I262" s="73"/>
      <c r="J262" s="73"/>
      <c r="K262" s="73"/>
    </row>
    <row r="263">
      <c r="C263" s="71"/>
      <c r="D263" s="71"/>
      <c r="E263" s="71"/>
      <c r="F263" s="73"/>
      <c r="G263" s="73"/>
      <c r="H263" s="73"/>
      <c r="I263" s="73"/>
      <c r="J263" s="73"/>
      <c r="K263" s="73"/>
    </row>
    <row r="264">
      <c r="C264" s="71"/>
      <c r="D264" s="71"/>
      <c r="E264" s="71"/>
      <c r="F264" s="73"/>
      <c r="G264" s="73"/>
      <c r="H264" s="73"/>
      <c r="I264" s="73"/>
      <c r="J264" s="73"/>
      <c r="K264" s="73"/>
    </row>
    <row r="265">
      <c r="C265" s="71"/>
      <c r="D265" s="71"/>
      <c r="E265" s="71"/>
      <c r="F265" s="73"/>
      <c r="G265" s="73"/>
      <c r="H265" s="73"/>
      <c r="I265" s="73"/>
      <c r="J265" s="73"/>
      <c r="K265" s="73"/>
    </row>
    <row r="266">
      <c r="C266" s="71"/>
      <c r="D266" s="71"/>
      <c r="E266" s="71"/>
      <c r="F266" s="73"/>
      <c r="G266" s="73"/>
      <c r="H266" s="73"/>
      <c r="I266" s="73"/>
      <c r="J266" s="73"/>
      <c r="K266" s="73"/>
    </row>
    <row r="267">
      <c r="C267" s="71"/>
      <c r="D267" s="71"/>
      <c r="E267" s="71"/>
      <c r="F267" s="73"/>
      <c r="G267" s="73"/>
      <c r="H267" s="73"/>
      <c r="I267" s="73"/>
      <c r="J267" s="73"/>
      <c r="K267" s="73"/>
    </row>
    <row r="268">
      <c r="C268" s="71"/>
      <c r="D268" s="71"/>
      <c r="E268" s="71"/>
      <c r="F268" s="73"/>
      <c r="G268" s="73"/>
      <c r="H268" s="73"/>
      <c r="I268" s="73"/>
      <c r="J268" s="73"/>
      <c r="K268" s="73"/>
    </row>
    <row r="269">
      <c r="C269" s="71"/>
      <c r="D269" s="71"/>
      <c r="E269" s="71"/>
      <c r="F269" s="73"/>
      <c r="G269" s="73"/>
      <c r="H269" s="73"/>
      <c r="I269" s="73"/>
      <c r="J269" s="73"/>
      <c r="K269" s="73"/>
    </row>
    <row r="270">
      <c r="C270" s="71"/>
      <c r="D270" s="71"/>
      <c r="E270" s="71"/>
      <c r="F270" s="73"/>
      <c r="G270" s="73"/>
      <c r="H270" s="73"/>
      <c r="I270" s="73"/>
      <c r="J270" s="73"/>
      <c r="K270" s="73"/>
    </row>
    <row r="271">
      <c r="C271" s="71"/>
      <c r="D271" s="71"/>
      <c r="E271" s="71"/>
      <c r="F271" s="73"/>
      <c r="G271" s="73"/>
      <c r="H271" s="73"/>
      <c r="I271" s="73"/>
      <c r="J271" s="73"/>
      <c r="K271" s="73"/>
    </row>
    <row r="272">
      <c r="C272" s="71"/>
      <c r="D272" s="71"/>
      <c r="E272" s="71"/>
      <c r="F272" s="73"/>
      <c r="G272" s="73"/>
      <c r="H272" s="73"/>
      <c r="I272" s="73"/>
      <c r="J272" s="73"/>
      <c r="K272" s="73"/>
    </row>
    <row r="273">
      <c r="C273" s="71"/>
      <c r="D273" s="71"/>
      <c r="E273" s="71"/>
      <c r="F273" s="73"/>
      <c r="G273" s="73"/>
      <c r="H273" s="73"/>
      <c r="I273" s="73"/>
      <c r="J273" s="73"/>
      <c r="K273" s="73"/>
    </row>
    <row r="274">
      <c r="C274" s="71"/>
      <c r="D274" s="71"/>
      <c r="E274" s="71"/>
      <c r="F274" s="73"/>
      <c r="G274" s="73"/>
      <c r="H274" s="73"/>
      <c r="I274" s="73"/>
      <c r="J274" s="73"/>
      <c r="K274" s="73"/>
    </row>
    <row r="275">
      <c r="C275" s="71"/>
      <c r="D275" s="71"/>
      <c r="E275" s="71"/>
      <c r="F275" s="73"/>
      <c r="G275" s="73"/>
      <c r="H275" s="73"/>
      <c r="I275" s="73"/>
      <c r="J275" s="73"/>
      <c r="K275" s="73"/>
    </row>
    <row r="276">
      <c r="C276" s="71"/>
      <c r="D276" s="71"/>
      <c r="E276" s="71"/>
      <c r="F276" s="73"/>
      <c r="G276" s="73"/>
      <c r="H276" s="73"/>
      <c r="I276" s="73"/>
      <c r="J276" s="73"/>
      <c r="K276" s="73"/>
    </row>
    <row r="277">
      <c r="C277" s="71"/>
      <c r="D277" s="71"/>
      <c r="E277" s="71"/>
      <c r="F277" s="73"/>
      <c r="G277" s="73"/>
      <c r="H277" s="73"/>
      <c r="I277" s="73"/>
      <c r="J277" s="73"/>
      <c r="K277" s="73"/>
    </row>
    <row r="278">
      <c r="C278" s="71"/>
      <c r="D278" s="71"/>
      <c r="E278" s="71"/>
      <c r="F278" s="73"/>
      <c r="G278" s="73"/>
      <c r="H278" s="73"/>
      <c r="I278" s="73"/>
      <c r="J278" s="73"/>
      <c r="K278" s="73"/>
    </row>
    <row r="279">
      <c r="C279" s="71"/>
      <c r="D279" s="71"/>
      <c r="E279" s="71"/>
      <c r="F279" s="73"/>
      <c r="G279" s="73"/>
      <c r="H279" s="73"/>
      <c r="I279" s="73"/>
      <c r="J279" s="73"/>
      <c r="K279" s="73"/>
    </row>
    <row r="280">
      <c r="C280" s="71"/>
      <c r="D280" s="71"/>
      <c r="E280" s="71"/>
      <c r="F280" s="73"/>
      <c r="G280" s="73"/>
      <c r="H280" s="73"/>
      <c r="I280" s="73"/>
      <c r="J280" s="73"/>
      <c r="K280" s="73"/>
    </row>
    <row r="281">
      <c r="C281" s="71"/>
      <c r="D281" s="71"/>
      <c r="E281" s="71"/>
      <c r="F281" s="73"/>
      <c r="G281" s="73"/>
      <c r="H281" s="73"/>
      <c r="I281" s="73"/>
      <c r="J281" s="73"/>
      <c r="K281" s="73"/>
    </row>
    <row r="282">
      <c r="C282" s="71"/>
      <c r="D282" s="71"/>
      <c r="E282" s="71"/>
      <c r="F282" s="73"/>
      <c r="G282" s="73"/>
      <c r="H282" s="73"/>
      <c r="I282" s="73"/>
      <c r="J282" s="73"/>
      <c r="K282" s="73"/>
    </row>
    <row r="283">
      <c r="C283" s="71"/>
      <c r="D283" s="71"/>
      <c r="E283" s="71"/>
      <c r="F283" s="73"/>
      <c r="G283" s="73"/>
      <c r="H283" s="73"/>
      <c r="I283" s="73"/>
      <c r="J283" s="73"/>
      <c r="K283" s="73"/>
    </row>
    <row r="284">
      <c r="C284" s="71"/>
      <c r="D284" s="71"/>
      <c r="E284" s="71"/>
      <c r="F284" s="73"/>
      <c r="G284" s="73"/>
      <c r="H284" s="73"/>
      <c r="I284" s="73"/>
      <c r="J284" s="73"/>
      <c r="K284" s="73"/>
    </row>
    <row r="285">
      <c r="C285" s="71"/>
      <c r="D285" s="71"/>
      <c r="E285" s="71"/>
      <c r="F285" s="73"/>
      <c r="G285" s="73"/>
      <c r="H285" s="73"/>
      <c r="I285" s="73"/>
      <c r="J285" s="73"/>
      <c r="K285" s="73"/>
    </row>
    <row r="286">
      <c r="C286" s="71"/>
      <c r="D286" s="71"/>
      <c r="E286" s="71"/>
      <c r="F286" s="73"/>
      <c r="G286" s="73"/>
      <c r="H286" s="73"/>
      <c r="I286" s="73"/>
      <c r="J286" s="73"/>
      <c r="K286" s="73"/>
    </row>
    <row r="287">
      <c r="C287" s="71"/>
      <c r="D287" s="71"/>
      <c r="E287" s="71"/>
      <c r="F287" s="73"/>
      <c r="G287" s="73"/>
      <c r="H287" s="73"/>
      <c r="I287" s="73"/>
      <c r="J287" s="73"/>
      <c r="K287" s="73"/>
    </row>
    <row r="288">
      <c r="C288" s="71"/>
      <c r="D288" s="71"/>
      <c r="E288" s="71"/>
      <c r="F288" s="73"/>
      <c r="G288" s="73"/>
      <c r="H288" s="73"/>
      <c r="I288" s="73"/>
      <c r="J288" s="73"/>
      <c r="K288" s="73"/>
    </row>
    <row r="289">
      <c r="C289" s="71"/>
      <c r="D289" s="71"/>
      <c r="E289" s="71"/>
      <c r="F289" s="73"/>
      <c r="G289" s="73"/>
      <c r="H289" s="73"/>
      <c r="I289" s="73"/>
      <c r="J289" s="73"/>
      <c r="K289" s="73"/>
    </row>
    <row r="290">
      <c r="C290" s="71"/>
      <c r="D290" s="71"/>
      <c r="E290" s="71"/>
      <c r="F290" s="73"/>
      <c r="G290" s="73"/>
      <c r="H290" s="73"/>
      <c r="I290" s="73"/>
      <c r="J290" s="73"/>
      <c r="K290" s="73"/>
    </row>
    <row r="291">
      <c r="C291" s="71"/>
      <c r="D291" s="71"/>
      <c r="E291" s="71"/>
      <c r="F291" s="73"/>
      <c r="G291" s="73"/>
      <c r="H291" s="73"/>
      <c r="I291" s="73"/>
      <c r="J291" s="73"/>
      <c r="K291" s="73"/>
    </row>
    <row r="292">
      <c r="C292" s="71"/>
      <c r="D292" s="71"/>
      <c r="E292" s="71"/>
      <c r="F292" s="73"/>
      <c r="G292" s="73"/>
      <c r="H292" s="73"/>
      <c r="I292" s="73"/>
      <c r="J292" s="73"/>
      <c r="K292" s="73"/>
    </row>
    <row r="293">
      <c r="C293" s="71"/>
      <c r="D293" s="71"/>
      <c r="E293" s="71"/>
      <c r="F293" s="73"/>
      <c r="G293" s="73"/>
      <c r="H293" s="73"/>
      <c r="I293" s="73"/>
      <c r="J293" s="73"/>
      <c r="K293" s="73"/>
    </row>
    <row r="294">
      <c r="C294" s="71"/>
      <c r="D294" s="71"/>
      <c r="E294" s="71"/>
      <c r="F294" s="73"/>
      <c r="G294" s="73"/>
      <c r="H294" s="73"/>
      <c r="I294" s="73"/>
      <c r="J294" s="73"/>
      <c r="K294" s="73"/>
    </row>
    <row r="295">
      <c r="C295" s="71"/>
      <c r="D295" s="71"/>
      <c r="E295" s="71"/>
      <c r="F295" s="73"/>
      <c r="G295" s="73"/>
      <c r="H295" s="73"/>
      <c r="I295" s="73"/>
      <c r="J295" s="73"/>
      <c r="K295" s="73"/>
    </row>
    <row r="296">
      <c r="C296" s="71"/>
      <c r="D296" s="71"/>
      <c r="E296" s="71"/>
      <c r="F296" s="73"/>
      <c r="G296" s="73"/>
      <c r="H296" s="73"/>
      <c r="I296" s="73"/>
      <c r="J296" s="73"/>
      <c r="K296" s="73"/>
    </row>
    <row r="297">
      <c r="C297" s="71"/>
      <c r="D297" s="71"/>
      <c r="E297" s="71"/>
      <c r="F297" s="73"/>
      <c r="G297" s="73"/>
      <c r="H297" s="73"/>
      <c r="I297" s="73"/>
      <c r="J297" s="73"/>
      <c r="K297" s="73"/>
    </row>
    <row r="298">
      <c r="C298" s="71"/>
      <c r="D298" s="71"/>
      <c r="E298" s="71"/>
      <c r="F298" s="73"/>
      <c r="G298" s="73"/>
      <c r="H298" s="73"/>
      <c r="I298" s="73"/>
      <c r="J298" s="73"/>
      <c r="K298" s="73"/>
    </row>
    <row r="299">
      <c r="C299" s="71"/>
      <c r="D299" s="71"/>
      <c r="E299" s="71"/>
      <c r="F299" s="73"/>
      <c r="G299" s="73"/>
      <c r="H299" s="73"/>
      <c r="I299" s="73"/>
      <c r="J299" s="73"/>
      <c r="K299" s="73"/>
    </row>
    <row r="300">
      <c r="C300" s="71"/>
      <c r="D300" s="71"/>
      <c r="E300" s="71"/>
      <c r="F300" s="73"/>
      <c r="G300" s="73"/>
      <c r="H300" s="73"/>
      <c r="I300" s="73"/>
      <c r="J300" s="73"/>
      <c r="K300" s="73"/>
    </row>
    <row r="301">
      <c r="C301" s="71"/>
      <c r="D301" s="71"/>
      <c r="E301" s="71"/>
      <c r="F301" s="73"/>
      <c r="G301" s="73"/>
      <c r="H301" s="73"/>
      <c r="I301" s="73"/>
      <c r="J301" s="73"/>
      <c r="K301" s="73"/>
    </row>
    <row r="302">
      <c r="C302" s="71"/>
      <c r="D302" s="71"/>
      <c r="E302" s="71"/>
      <c r="F302" s="73"/>
      <c r="G302" s="73"/>
      <c r="H302" s="73"/>
      <c r="I302" s="73"/>
      <c r="J302" s="73"/>
      <c r="K302" s="73"/>
    </row>
    <row r="303">
      <c r="C303" s="71"/>
      <c r="D303" s="71"/>
      <c r="E303" s="71"/>
      <c r="F303" s="73"/>
      <c r="G303" s="73"/>
      <c r="H303" s="73"/>
      <c r="I303" s="73"/>
      <c r="J303" s="73"/>
      <c r="K303" s="73"/>
    </row>
    <row r="304">
      <c r="C304" s="71"/>
      <c r="D304" s="71"/>
      <c r="E304" s="71"/>
      <c r="F304" s="73"/>
      <c r="G304" s="73"/>
      <c r="H304" s="73"/>
      <c r="I304" s="73"/>
      <c r="J304" s="73"/>
      <c r="K304" s="73"/>
    </row>
    <row r="305">
      <c r="C305" s="71"/>
      <c r="D305" s="71"/>
      <c r="E305" s="71"/>
      <c r="F305" s="73"/>
      <c r="G305" s="73"/>
      <c r="H305" s="73"/>
      <c r="I305" s="73"/>
      <c r="J305" s="73"/>
      <c r="K305" s="73"/>
    </row>
    <row r="306">
      <c r="C306" s="71"/>
      <c r="D306" s="71"/>
      <c r="E306" s="71"/>
      <c r="F306" s="73"/>
      <c r="G306" s="73"/>
      <c r="H306" s="73"/>
      <c r="I306" s="73"/>
      <c r="J306" s="73"/>
      <c r="K306" s="73"/>
    </row>
    <row r="307">
      <c r="C307" s="71"/>
      <c r="D307" s="71"/>
      <c r="E307" s="71"/>
      <c r="F307" s="73"/>
      <c r="G307" s="73"/>
      <c r="H307" s="73"/>
      <c r="I307" s="73"/>
      <c r="J307" s="73"/>
      <c r="K307" s="73"/>
    </row>
    <row r="308">
      <c r="C308" s="71"/>
      <c r="D308" s="71"/>
      <c r="E308" s="71"/>
      <c r="F308" s="73"/>
      <c r="G308" s="73"/>
      <c r="H308" s="73"/>
      <c r="I308" s="73"/>
      <c r="J308" s="73"/>
      <c r="K308" s="73"/>
    </row>
    <row r="309">
      <c r="C309" s="71"/>
      <c r="D309" s="71"/>
      <c r="E309" s="71"/>
      <c r="F309" s="73"/>
      <c r="G309" s="73"/>
      <c r="H309" s="73"/>
      <c r="I309" s="73"/>
      <c r="J309" s="73"/>
      <c r="K309" s="73"/>
    </row>
    <row r="310">
      <c r="C310" s="71"/>
      <c r="D310" s="71"/>
      <c r="E310" s="71"/>
      <c r="F310" s="73"/>
      <c r="G310" s="73"/>
      <c r="H310" s="73"/>
      <c r="I310" s="73"/>
      <c r="J310" s="73"/>
      <c r="K310" s="73"/>
    </row>
    <row r="311">
      <c r="C311" s="71"/>
      <c r="D311" s="71"/>
      <c r="E311" s="71"/>
      <c r="F311" s="73"/>
      <c r="G311" s="73"/>
      <c r="H311" s="73"/>
      <c r="I311" s="73"/>
      <c r="J311" s="73"/>
      <c r="K311" s="73"/>
    </row>
    <row r="312">
      <c r="C312" s="71"/>
      <c r="D312" s="71"/>
      <c r="E312" s="71"/>
      <c r="F312" s="73"/>
      <c r="G312" s="73"/>
      <c r="H312" s="73"/>
      <c r="I312" s="73"/>
      <c r="J312" s="73"/>
      <c r="K312" s="73"/>
    </row>
    <row r="313">
      <c r="C313" s="71"/>
      <c r="D313" s="71"/>
      <c r="E313" s="71"/>
      <c r="F313" s="73"/>
      <c r="G313" s="73"/>
      <c r="H313" s="73"/>
      <c r="I313" s="73"/>
      <c r="J313" s="73"/>
      <c r="K313" s="73"/>
    </row>
    <row r="314">
      <c r="C314" s="71"/>
      <c r="D314" s="71"/>
      <c r="E314" s="71"/>
      <c r="F314" s="73"/>
      <c r="G314" s="73"/>
      <c r="H314" s="73"/>
      <c r="I314" s="73"/>
      <c r="J314" s="73"/>
      <c r="K314" s="73"/>
    </row>
    <row r="315">
      <c r="C315" s="71"/>
      <c r="D315" s="71"/>
      <c r="E315" s="71"/>
      <c r="F315" s="73"/>
      <c r="G315" s="73"/>
      <c r="H315" s="73"/>
      <c r="I315" s="73"/>
      <c r="J315" s="73"/>
      <c r="K315" s="73"/>
    </row>
    <row r="316">
      <c r="C316" s="71"/>
      <c r="D316" s="71"/>
      <c r="E316" s="71"/>
      <c r="F316" s="73"/>
      <c r="G316" s="73"/>
      <c r="H316" s="73"/>
      <c r="I316" s="73"/>
      <c r="J316" s="73"/>
      <c r="K316" s="73"/>
    </row>
    <row r="317">
      <c r="C317" s="71"/>
      <c r="D317" s="71"/>
      <c r="E317" s="71"/>
      <c r="F317" s="73"/>
      <c r="G317" s="73"/>
      <c r="H317" s="73"/>
      <c r="I317" s="73"/>
      <c r="J317" s="73"/>
      <c r="K317" s="73"/>
    </row>
    <row r="318">
      <c r="C318" s="71"/>
      <c r="D318" s="71"/>
      <c r="E318" s="71"/>
      <c r="F318" s="73"/>
      <c r="G318" s="73"/>
      <c r="H318" s="73"/>
      <c r="I318" s="73"/>
      <c r="J318" s="73"/>
      <c r="K318" s="73"/>
    </row>
    <row r="319">
      <c r="C319" s="71"/>
      <c r="D319" s="71"/>
      <c r="E319" s="71"/>
      <c r="F319" s="73"/>
      <c r="G319" s="73"/>
      <c r="H319" s="73"/>
      <c r="I319" s="73"/>
      <c r="J319" s="73"/>
      <c r="K319" s="73"/>
    </row>
    <row r="320">
      <c r="C320" s="71"/>
      <c r="D320" s="71"/>
      <c r="E320" s="71"/>
      <c r="F320" s="73"/>
      <c r="G320" s="73"/>
      <c r="H320" s="73"/>
      <c r="I320" s="73"/>
      <c r="J320" s="73"/>
      <c r="K320" s="73"/>
    </row>
    <row r="321">
      <c r="C321" s="71"/>
      <c r="D321" s="71"/>
      <c r="E321" s="71"/>
      <c r="F321" s="73"/>
      <c r="G321" s="73"/>
      <c r="H321" s="73"/>
      <c r="I321" s="73"/>
      <c r="J321" s="73"/>
      <c r="K321" s="73"/>
    </row>
    <row r="322">
      <c r="C322" s="71"/>
      <c r="D322" s="71"/>
      <c r="E322" s="71"/>
      <c r="F322" s="73"/>
      <c r="G322" s="73"/>
      <c r="H322" s="73"/>
      <c r="I322" s="73"/>
      <c r="J322" s="73"/>
      <c r="K322" s="73"/>
    </row>
    <row r="323">
      <c r="C323" s="71"/>
      <c r="D323" s="71"/>
      <c r="E323" s="71"/>
      <c r="F323" s="73"/>
      <c r="G323" s="73"/>
      <c r="H323" s="73"/>
      <c r="I323" s="73"/>
      <c r="J323" s="73"/>
      <c r="K323" s="73"/>
    </row>
    <row r="324">
      <c r="C324" s="71"/>
      <c r="D324" s="71"/>
      <c r="E324" s="71"/>
      <c r="F324" s="73"/>
      <c r="G324" s="73"/>
      <c r="H324" s="73"/>
      <c r="I324" s="73"/>
      <c r="J324" s="73"/>
      <c r="K324" s="73"/>
    </row>
    <row r="325">
      <c r="C325" s="71"/>
      <c r="D325" s="71"/>
      <c r="E325" s="71"/>
      <c r="F325" s="73"/>
      <c r="G325" s="73"/>
      <c r="H325" s="73"/>
      <c r="I325" s="73"/>
      <c r="J325" s="73"/>
      <c r="K325" s="73"/>
    </row>
    <row r="326">
      <c r="C326" s="71"/>
      <c r="D326" s="71"/>
      <c r="E326" s="71"/>
      <c r="F326" s="73"/>
      <c r="G326" s="73"/>
      <c r="H326" s="73"/>
      <c r="I326" s="73"/>
      <c r="J326" s="73"/>
      <c r="K326" s="73"/>
    </row>
    <row r="327">
      <c r="C327" s="71"/>
      <c r="D327" s="71"/>
      <c r="E327" s="71"/>
      <c r="F327" s="73"/>
      <c r="G327" s="73"/>
      <c r="H327" s="73"/>
      <c r="I327" s="73"/>
      <c r="J327" s="73"/>
      <c r="K327" s="73"/>
    </row>
    <row r="328">
      <c r="C328" s="71"/>
      <c r="D328" s="71"/>
      <c r="E328" s="71"/>
      <c r="F328" s="73"/>
      <c r="G328" s="73"/>
      <c r="H328" s="73"/>
      <c r="I328" s="73"/>
      <c r="J328" s="73"/>
      <c r="K328" s="73"/>
    </row>
    <row r="329">
      <c r="C329" s="71"/>
      <c r="D329" s="71"/>
      <c r="E329" s="71"/>
      <c r="F329" s="73"/>
      <c r="G329" s="73"/>
      <c r="H329" s="73"/>
      <c r="I329" s="73"/>
      <c r="J329" s="73"/>
      <c r="K329" s="73"/>
    </row>
    <row r="330">
      <c r="C330" s="71"/>
      <c r="D330" s="71"/>
      <c r="E330" s="71"/>
      <c r="F330" s="73"/>
      <c r="G330" s="73"/>
      <c r="H330" s="73"/>
      <c r="I330" s="73"/>
      <c r="J330" s="73"/>
      <c r="K330" s="73"/>
    </row>
    <row r="331">
      <c r="C331" s="71"/>
      <c r="D331" s="71"/>
      <c r="E331" s="71"/>
      <c r="F331" s="73"/>
      <c r="G331" s="73"/>
      <c r="H331" s="73"/>
      <c r="I331" s="73"/>
      <c r="J331" s="73"/>
      <c r="K331" s="73"/>
    </row>
    <row r="332">
      <c r="C332" s="71"/>
      <c r="D332" s="71"/>
      <c r="E332" s="71"/>
      <c r="F332" s="73"/>
      <c r="G332" s="73"/>
      <c r="H332" s="73"/>
      <c r="I332" s="73"/>
      <c r="J332" s="73"/>
      <c r="K332" s="73"/>
    </row>
    <row r="333">
      <c r="C333" s="71"/>
      <c r="D333" s="71"/>
      <c r="E333" s="71"/>
      <c r="F333" s="73"/>
      <c r="G333" s="73"/>
      <c r="H333" s="73"/>
      <c r="I333" s="73"/>
      <c r="J333" s="73"/>
      <c r="K333" s="73"/>
    </row>
    <row r="334">
      <c r="C334" s="71"/>
      <c r="D334" s="71"/>
      <c r="E334" s="71"/>
      <c r="F334" s="73"/>
      <c r="G334" s="73"/>
      <c r="H334" s="73"/>
      <c r="I334" s="73"/>
      <c r="J334" s="73"/>
      <c r="K334" s="73"/>
    </row>
    <row r="335">
      <c r="C335" s="71"/>
      <c r="D335" s="71"/>
      <c r="E335" s="71"/>
      <c r="F335" s="73"/>
      <c r="G335" s="73"/>
      <c r="H335" s="73"/>
      <c r="I335" s="73"/>
      <c r="J335" s="73"/>
      <c r="K335" s="73"/>
    </row>
    <row r="336">
      <c r="C336" s="71"/>
      <c r="D336" s="71"/>
      <c r="E336" s="71"/>
      <c r="F336" s="73"/>
      <c r="G336" s="73"/>
      <c r="H336" s="73"/>
      <c r="I336" s="73"/>
      <c r="J336" s="73"/>
      <c r="K336" s="73"/>
    </row>
    <row r="337">
      <c r="C337" s="71"/>
      <c r="D337" s="71"/>
      <c r="E337" s="71"/>
      <c r="F337" s="73"/>
      <c r="G337" s="73"/>
      <c r="H337" s="73"/>
      <c r="I337" s="73"/>
      <c r="J337" s="73"/>
      <c r="K337" s="73"/>
    </row>
    <row r="338">
      <c r="C338" s="71"/>
      <c r="D338" s="71"/>
      <c r="E338" s="71"/>
      <c r="F338" s="73"/>
      <c r="G338" s="73"/>
      <c r="H338" s="73"/>
      <c r="I338" s="73"/>
      <c r="J338" s="73"/>
      <c r="K338" s="73"/>
    </row>
    <row r="339">
      <c r="C339" s="71"/>
      <c r="D339" s="71"/>
      <c r="E339" s="71"/>
      <c r="F339" s="73"/>
      <c r="G339" s="73"/>
      <c r="H339" s="73"/>
      <c r="I339" s="73"/>
      <c r="J339" s="73"/>
      <c r="K339" s="73"/>
    </row>
    <row r="340">
      <c r="C340" s="71"/>
      <c r="D340" s="71"/>
      <c r="E340" s="71"/>
      <c r="F340" s="73"/>
      <c r="G340" s="73"/>
      <c r="H340" s="73"/>
      <c r="I340" s="73"/>
      <c r="J340" s="73"/>
      <c r="K340" s="73"/>
    </row>
    <row r="341">
      <c r="C341" s="71"/>
      <c r="D341" s="71"/>
      <c r="E341" s="71"/>
      <c r="F341" s="73"/>
      <c r="G341" s="73"/>
      <c r="H341" s="73"/>
      <c r="I341" s="73"/>
      <c r="J341" s="73"/>
      <c r="K341" s="73"/>
    </row>
    <row r="342">
      <c r="C342" s="71"/>
      <c r="D342" s="71"/>
      <c r="E342" s="71"/>
      <c r="F342" s="73"/>
      <c r="G342" s="73"/>
      <c r="H342" s="73"/>
      <c r="I342" s="73"/>
      <c r="J342" s="73"/>
      <c r="K342" s="73"/>
    </row>
    <row r="343">
      <c r="C343" s="71"/>
      <c r="D343" s="71"/>
      <c r="E343" s="71"/>
      <c r="F343" s="73"/>
      <c r="G343" s="73"/>
      <c r="H343" s="73"/>
      <c r="I343" s="73"/>
      <c r="J343" s="73"/>
      <c r="K343" s="73"/>
    </row>
    <row r="344">
      <c r="C344" s="71"/>
      <c r="D344" s="71"/>
      <c r="E344" s="71"/>
      <c r="F344" s="73"/>
      <c r="G344" s="73"/>
      <c r="H344" s="73"/>
      <c r="I344" s="73"/>
      <c r="J344" s="73"/>
      <c r="K344" s="73"/>
    </row>
    <row r="345">
      <c r="C345" s="71"/>
      <c r="D345" s="71"/>
      <c r="E345" s="71"/>
      <c r="F345" s="73"/>
      <c r="G345" s="73"/>
      <c r="H345" s="73"/>
      <c r="I345" s="73"/>
      <c r="J345" s="73"/>
      <c r="K345" s="73"/>
    </row>
    <row r="346">
      <c r="C346" s="71"/>
      <c r="D346" s="71"/>
      <c r="E346" s="71"/>
      <c r="F346" s="73"/>
      <c r="G346" s="73"/>
      <c r="H346" s="73"/>
      <c r="I346" s="73"/>
      <c r="J346" s="73"/>
      <c r="K346" s="73"/>
    </row>
    <row r="347">
      <c r="C347" s="71"/>
      <c r="D347" s="71"/>
      <c r="E347" s="71"/>
      <c r="F347" s="73"/>
      <c r="G347" s="73"/>
      <c r="H347" s="73"/>
      <c r="I347" s="73"/>
      <c r="J347" s="73"/>
      <c r="K347" s="73"/>
    </row>
    <row r="348">
      <c r="C348" s="71"/>
      <c r="D348" s="71"/>
      <c r="E348" s="71"/>
      <c r="F348" s="73"/>
      <c r="G348" s="73"/>
      <c r="H348" s="73"/>
      <c r="I348" s="73"/>
      <c r="J348" s="73"/>
      <c r="K348" s="73"/>
    </row>
    <row r="349">
      <c r="C349" s="71"/>
      <c r="D349" s="71"/>
      <c r="E349" s="71"/>
      <c r="F349" s="73"/>
      <c r="G349" s="73"/>
      <c r="H349" s="73"/>
      <c r="I349" s="73"/>
      <c r="J349" s="73"/>
      <c r="K349" s="73"/>
    </row>
    <row r="350">
      <c r="C350" s="71"/>
      <c r="D350" s="71"/>
      <c r="E350" s="71"/>
      <c r="F350" s="73"/>
      <c r="G350" s="73"/>
      <c r="H350" s="73"/>
      <c r="I350" s="73"/>
      <c r="J350" s="73"/>
      <c r="K350" s="73"/>
    </row>
    <row r="351">
      <c r="C351" s="71"/>
      <c r="D351" s="71"/>
      <c r="E351" s="71"/>
      <c r="F351" s="73"/>
      <c r="G351" s="73"/>
      <c r="H351" s="73"/>
      <c r="I351" s="73"/>
      <c r="J351" s="73"/>
      <c r="K351" s="73"/>
    </row>
    <row r="352">
      <c r="C352" s="71"/>
      <c r="D352" s="71"/>
      <c r="E352" s="71"/>
      <c r="F352" s="73"/>
      <c r="G352" s="73"/>
      <c r="H352" s="73"/>
      <c r="I352" s="73"/>
      <c r="J352" s="73"/>
      <c r="K352" s="73"/>
    </row>
    <row r="353">
      <c r="C353" s="71"/>
      <c r="D353" s="71"/>
      <c r="E353" s="71"/>
      <c r="F353" s="73"/>
      <c r="G353" s="73"/>
      <c r="H353" s="73"/>
      <c r="I353" s="73"/>
      <c r="J353" s="73"/>
      <c r="K353" s="73"/>
    </row>
    <row r="354">
      <c r="C354" s="71"/>
      <c r="D354" s="71"/>
      <c r="E354" s="71"/>
      <c r="F354" s="73"/>
      <c r="G354" s="73"/>
      <c r="H354" s="73"/>
      <c r="I354" s="73"/>
      <c r="J354" s="73"/>
      <c r="K354" s="73"/>
    </row>
    <row r="355">
      <c r="C355" s="71"/>
      <c r="D355" s="71"/>
      <c r="E355" s="71"/>
      <c r="F355" s="73"/>
      <c r="G355" s="73"/>
      <c r="H355" s="73"/>
      <c r="I355" s="73"/>
      <c r="J355" s="73"/>
      <c r="K355" s="73"/>
    </row>
    <row r="356">
      <c r="C356" s="71"/>
      <c r="D356" s="71"/>
      <c r="E356" s="71"/>
      <c r="F356" s="73"/>
      <c r="G356" s="73"/>
      <c r="H356" s="73"/>
      <c r="I356" s="73"/>
      <c r="J356" s="73"/>
      <c r="K356" s="73"/>
    </row>
    <row r="357">
      <c r="C357" s="71"/>
      <c r="D357" s="71"/>
      <c r="E357" s="71"/>
      <c r="F357" s="73"/>
      <c r="G357" s="73"/>
      <c r="H357" s="73"/>
      <c r="I357" s="73"/>
      <c r="J357" s="73"/>
      <c r="K357" s="73"/>
    </row>
    <row r="358">
      <c r="C358" s="71"/>
      <c r="D358" s="71"/>
      <c r="E358" s="71"/>
      <c r="F358" s="73"/>
      <c r="G358" s="73"/>
      <c r="H358" s="73"/>
      <c r="I358" s="73"/>
      <c r="J358" s="73"/>
      <c r="K358" s="73"/>
    </row>
    <row r="359">
      <c r="C359" s="71"/>
      <c r="D359" s="71"/>
      <c r="E359" s="71"/>
      <c r="F359" s="73"/>
      <c r="G359" s="73"/>
      <c r="H359" s="73"/>
      <c r="I359" s="73"/>
      <c r="J359" s="73"/>
      <c r="K359" s="73"/>
    </row>
    <row r="360">
      <c r="C360" s="71"/>
      <c r="D360" s="71"/>
      <c r="E360" s="71"/>
      <c r="F360" s="73"/>
      <c r="G360" s="73"/>
      <c r="H360" s="73"/>
      <c r="I360" s="73"/>
      <c r="J360" s="73"/>
      <c r="K360" s="73"/>
    </row>
    <row r="361">
      <c r="C361" s="71"/>
      <c r="D361" s="71"/>
      <c r="E361" s="71"/>
      <c r="F361" s="73"/>
      <c r="G361" s="73"/>
      <c r="H361" s="73"/>
      <c r="I361" s="73"/>
      <c r="J361" s="73"/>
      <c r="K361" s="73"/>
    </row>
    <row r="362">
      <c r="C362" s="71"/>
      <c r="D362" s="71"/>
      <c r="E362" s="71"/>
      <c r="F362" s="73"/>
      <c r="G362" s="73"/>
      <c r="H362" s="73"/>
      <c r="I362" s="73"/>
      <c r="J362" s="73"/>
      <c r="K362" s="73"/>
    </row>
    <row r="363">
      <c r="C363" s="71"/>
      <c r="D363" s="71"/>
      <c r="E363" s="71"/>
      <c r="F363" s="73"/>
      <c r="G363" s="73"/>
      <c r="H363" s="73"/>
      <c r="I363" s="73"/>
      <c r="J363" s="73"/>
      <c r="K363" s="73"/>
    </row>
    <row r="364">
      <c r="C364" s="71"/>
      <c r="D364" s="71"/>
      <c r="E364" s="71"/>
      <c r="F364" s="73"/>
      <c r="G364" s="73"/>
      <c r="H364" s="73"/>
      <c r="I364" s="73"/>
      <c r="J364" s="73"/>
      <c r="K364" s="73"/>
    </row>
    <row r="365">
      <c r="C365" s="71"/>
      <c r="D365" s="71"/>
      <c r="E365" s="71"/>
      <c r="F365" s="73"/>
      <c r="G365" s="73"/>
      <c r="H365" s="73"/>
      <c r="I365" s="73"/>
      <c r="J365" s="73"/>
      <c r="K365" s="73"/>
    </row>
    <row r="366">
      <c r="C366" s="71"/>
      <c r="D366" s="71"/>
      <c r="E366" s="71"/>
      <c r="F366" s="73"/>
      <c r="G366" s="73"/>
      <c r="H366" s="73"/>
      <c r="I366" s="73"/>
      <c r="J366" s="73"/>
      <c r="K366" s="73"/>
    </row>
    <row r="367">
      <c r="C367" s="71"/>
      <c r="D367" s="71"/>
      <c r="E367" s="71"/>
      <c r="F367" s="73"/>
      <c r="G367" s="73"/>
      <c r="H367" s="73"/>
      <c r="I367" s="73"/>
      <c r="J367" s="73"/>
      <c r="K367" s="73"/>
    </row>
    <row r="368">
      <c r="C368" s="71"/>
      <c r="D368" s="71"/>
      <c r="E368" s="71"/>
      <c r="F368" s="73"/>
      <c r="G368" s="73"/>
      <c r="H368" s="73"/>
      <c r="I368" s="73"/>
      <c r="J368" s="73"/>
      <c r="K368" s="73"/>
    </row>
    <row r="369">
      <c r="C369" s="71"/>
      <c r="D369" s="71"/>
      <c r="E369" s="71"/>
      <c r="F369" s="73"/>
      <c r="G369" s="73"/>
      <c r="H369" s="73"/>
      <c r="I369" s="73"/>
      <c r="J369" s="73"/>
      <c r="K369" s="73"/>
    </row>
    <row r="370">
      <c r="C370" s="71"/>
      <c r="D370" s="71"/>
      <c r="E370" s="71"/>
      <c r="F370" s="73"/>
      <c r="G370" s="73"/>
      <c r="H370" s="73"/>
      <c r="I370" s="73"/>
      <c r="J370" s="73"/>
      <c r="K370" s="73"/>
    </row>
    <row r="371">
      <c r="C371" s="71"/>
      <c r="D371" s="71"/>
      <c r="E371" s="71"/>
      <c r="F371" s="73"/>
      <c r="G371" s="73"/>
      <c r="H371" s="73"/>
      <c r="I371" s="73"/>
      <c r="J371" s="73"/>
      <c r="K371" s="73"/>
    </row>
    <row r="372">
      <c r="C372" s="71"/>
      <c r="D372" s="71"/>
      <c r="E372" s="71"/>
      <c r="F372" s="73"/>
      <c r="G372" s="73"/>
      <c r="H372" s="73"/>
      <c r="I372" s="73"/>
      <c r="J372" s="73"/>
      <c r="K372" s="73"/>
    </row>
    <row r="373">
      <c r="C373" s="71"/>
      <c r="D373" s="71"/>
      <c r="E373" s="71"/>
      <c r="F373" s="73"/>
      <c r="G373" s="73"/>
      <c r="H373" s="73"/>
      <c r="I373" s="73"/>
      <c r="J373" s="73"/>
      <c r="K373" s="73"/>
    </row>
    <row r="374">
      <c r="C374" s="71"/>
      <c r="D374" s="71"/>
      <c r="E374" s="71"/>
      <c r="F374" s="73"/>
      <c r="G374" s="73"/>
      <c r="H374" s="73"/>
      <c r="I374" s="73"/>
      <c r="J374" s="73"/>
      <c r="K374" s="73"/>
    </row>
    <row r="375">
      <c r="C375" s="71"/>
      <c r="D375" s="71"/>
      <c r="E375" s="71"/>
      <c r="F375" s="73"/>
      <c r="G375" s="73"/>
      <c r="H375" s="73"/>
      <c r="I375" s="73"/>
      <c r="J375" s="73"/>
      <c r="K375" s="73"/>
    </row>
    <row r="376">
      <c r="C376" s="71"/>
      <c r="D376" s="71"/>
      <c r="E376" s="71"/>
      <c r="F376" s="73"/>
      <c r="G376" s="73"/>
      <c r="H376" s="73"/>
      <c r="I376" s="73"/>
      <c r="J376" s="73"/>
      <c r="K376" s="73"/>
    </row>
    <row r="377">
      <c r="C377" s="71"/>
      <c r="D377" s="71"/>
      <c r="E377" s="71"/>
      <c r="F377" s="73"/>
      <c r="G377" s="73"/>
      <c r="H377" s="73"/>
      <c r="I377" s="73"/>
      <c r="J377" s="73"/>
      <c r="K377" s="73"/>
    </row>
    <row r="378">
      <c r="C378" s="71"/>
      <c r="D378" s="71"/>
      <c r="E378" s="71"/>
      <c r="F378" s="73"/>
      <c r="G378" s="73"/>
      <c r="H378" s="73"/>
      <c r="I378" s="73"/>
      <c r="J378" s="73"/>
      <c r="K378" s="73"/>
    </row>
    <row r="379">
      <c r="C379" s="71"/>
      <c r="D379" s="71"/>
      <c r="E379" s="71"/>
      <c r="F379" s="73"/>
      <c r="G379" s="73"/>
      <c r="H379" s="73"/>
      <c r="I379" s="73"/>
      <c r="J379" s="73"/>
      <c r="K379" s="73"/>
    </row>
    <row r="380">
      <c r="C380" s="71"/>
      <c r="D380" s="71"/>
      <c r="E380" s="71"/>
      <c r="F380" s="73"/>
      <c r="G380" s="73"/>
      <c r="H380" s="73"/>
      <c r="I380" s="73"/>
      <c r="J380" s="73"/>
      <c r="K380" s="73"/>
    </row>
    <row r="381">
      <c r="C381" s="71"/>
      <c r="D381" s="71"/>
      <c r="E381" s="71"/>
      <c r="F381" s="73"/>
      <c r="G381" s="73"/>
      <c r="H381" s="73"/>
      <c r="I381" s="73"/>
      <c r="J381" s="73"/>
      <c r="K381" s="73"/>
    </row>
    <row r="382">
      <c r="C382" s="71"/>
      <c r="D382" s="71"/>
      <c r="E382" s="71"/>
      <c r="F382" s="73"/>
      <c r="G382" s="73"/>
      <c r="H382" s="73"/>
      <c r="I382" s="73"/>
      <c r="J382" s="73"/>
      <c r="K382" s="73"/>
    </row>
    <row r="383">
      <c r="C383" s="71"/>
      <c r="D383" s="71"/>
      <c r="E383" s="71"/>
      <c r="F383" s="73"/>
      <c r="G383" s="73"/>
      <c r="H383" s="73"/>
      <c r="I383" s="73"/>
      <c r="J383" s="73"/>
      <c r="K383" s="73"/>
    </row>
    <row r="384">
      <c r="C384" s="71"/>
      <c r="D384" s="71"/>
      <c r="E384" s="71"/>
      <c r="F384" s="73"/>
      <c r="G384" s="73"/>
      <c r="H384" s="73"/>
      <c r="I384" s="73"/>
      <c r="J384" s="73"/>
      <c r="K384" s="73"/>
    </row>
    <row r="385">
      <c r="C385" s="71"/>
      <c r="D385" s="71"/>
      <c r="E385" s="71"/>
      <c r="F385" s="73"/>
      <c r="G385" s="73"/>
      <c r="H385" s="73"/>
      <c r="I385" s="73"/>
      <c r="J385" s="73"/>
      <c r="K385" s="73"/>
    </row>
    <row r="386">
      <c r="C386" s="71"/>
      <c r="D386" s="71"/>
      <c r="E386" s="71"/>
      <c r="F386" s="73"/>
      <c r="G386" s="73"/>
      <c r="H386" s="73"/>
      <c r="I386" s="73"/>
      <c r="J386" s="73"/>
      <c r="K386" s="73"/>
    </row>
    <row r="387">
      <c r="C387" s="71"/>
      <c r="D387" s="71"/>
      <c r="E387" s="71"/>
      <c r="F387" s="73"/>
      <c r="G387" s="73"/>
      <c r="H387" s="73"/>
      <c r="I387" s="73"/>
      <c r="J387" s="73"/>
      <c r="K387" s="73"/>
    </row>
    <row r="388">
      <c r="C388" s="71"/>
      <c r="D388" s="71"/>
      <c r="E388" s="71"/>
      <c r="F388" s="73"/>
      <c r="G388" s="73"/>
      <c r="H388" s="73"/>
      <c r="I388" s="73"/>
      <c r="J388" s="73"/>
      <c r="K388" s="73"/>
    </row>
    <row r="389">
      <c r="C389" s="71"/>
      <c r="D389" s="71"/>
      <c r="E389" s="71"/>
      <c r="F389" s="73"/>
      <c r="G389" s="73"/>
      <c r="H389" s="73"/>
      <c r="I389" s="73"/>
      <c r="J389" s="73"/>
      <c r="K389" s="73"/>
    </row>
    <row r="390">
      <c r="C390" s="71"/>
      <c r="D390" s="71"/>
      <c r="E390" s="71"/>
      <c r="F390" s="73"/>
      <c r="G390" s="73"/>
      <c r="H390" s="73"/>
      <c r="I390" s="73"/>
      <c r="J390" s="73"/>
      <c r="K390" s="73"/>
    </row>
    <row r="391">
      <c r="C391" s="71"/>
      <c r="D391" s="71"/>
      <c r="E391" s="71"/>
      <c r="F391" s="73"/>
      <c r="G391" s="73"/>
      <c r="H391" s="73"/>
      <c r="I391" s="73"/>
      <c r="J391" s="73"/>
      <c r="K391" s="73"/>
    </row>
    <row r="392">
      <c r="C392" s="71"/>
      <c r="D392" s="71"/>
      <c r="E392" s="71"/>
      <c r="F392" s="73"/>
      <c r="G392" s="73"/>
      <c r="H392" s="73"/>
      <c r="I392" s="73"/>
      <c r="J392" s="73"/>
      <c r="K392" s="73"/>
    </row>
    <row r="393">
      <c r="C393" s="71"/>
      <c r="D393" s="71"/>
      <c r="E393" s="71"/>
      <c r="F393" s="73"/>
      <c r="G393" s="73"/>
      <c r="H393" s="73"/>
      <c r="I393" s="73"/>
      <c r="J393" s="73"/>
      <c r="K393" s="73"/>
    </row>
    <row r="394">
      <c r="C394" s="71"/>
      <c r="D394" s="71"/>
      <c r="E394" s="71"/>
      <c r="F394" s="73"/>
      <c r="G394" s="73"/>
      <c r="H394" s="73"/>
      <c r="I394" s="73"/>
      <c r="J394" s="73"/>
      <c r="K394" s="73"/>
    </row>
    <row r="395">
      <c r="C395" s="71"/>
      <c r="D395" s="71"/>
      <c r="E395" s="71"/>
      <c r="F395" s="73"/>
      <c r="G395" s="73"/>
      <c r="H395" s="73"/>
      <c r="I395" s="73"/>
      <c r="J395" s="73"/>
      <c r="K395" s="73"/>
    </row>
    <row r="396">
      <c r="C396" s="71"/>
      <c r="D396" s="71"/>
      <c r="E396" s="71"/>
      <c r="F396" s="73"/>
      <c r="G396" s="73"/>
      <c r="H396" s="73"/>
      <c r="I396" s="73"/>
      <c r="J396" s="73"/>
      <c r="K396" s="73"/>
    </row>
    <row r="397">
      <c r="C397" s="71"/>
      <c r="D397" s="71"/>
      <c r="E397" s="71"/>
      <c r="F397" s="73"/>
      <c r="G397" s="73"/>
      <c r="H397" s="73"/>
      <c r="I397" s="73"/>
      <c r="J397" s="73"/>
      <c r="K397" s="73"/>
    </row>
    <row r="398">
      <c r="C398" s="71"/>
      <c r="D398" s="71"/>
      <c r="E398" s="71"/>
      <c r="F398" s="73"/>
      <c r="G398" s="73"/>
      <c r="H398" s="73"/>
      <c r="I398" s="73"/>
      <c r="J398" s="73"/>
      <c r="K398" s="73"/>
    </row>
    <row r="399">
      <c r="C399" s="71"/>
      <c r="D399" s="71"/>
      <c r="E399" s="71"/>
      <c r="F399" s="73"/>
      <c r="G399" s="73"/>
      <c r="H399" s="73"/>
      <c r="I399" s="73"/>
      <c r="J399" s="73"/>
      <c r="K399" s="73"/>
    </row>
    <row r="400">
      <c r="C400" s="71"/>
      <c r="D400" s="71"/>
      <c r="E400" s="71"/>
      <c r="F400" s="73"/>
      <c r="G400" s="73"/>
      <c r="H400" s="73"/>
      <c r="I400" s="73"/>
      <c r="J400" s="73"/>
      <c r="K400" s="73"/>
    </row>
    <row r="401">
      <c r="C401" s="71"/>
      <c r="D401" s="71"/>
      <c r="E401" s="71"/>
      <c r="F401" s="73"/>
      <c r="G401" s="73"/>
      <c r="H401" s="73"/>
      <c r="I401" s="73"/>
      <c r="J401" s="73"/>
      <c r="K401" s="73"/>
    </row>
    <row r="402">
      <c r="C402" s="71"/>
      <c r="D402" s="71"/>
      <c r="E402" s="71"/>
      <c r="F402" s="73"/>
      <c r="G402" s="73"/>
      <c r="H402" s="73"/>
      <c r="I402" s="73"/>
      <c r="J402" s="73"/>
      <c r="K402" s="73"/>
    </row>
    <row r="403">
      <c r="C403" s="71"/>
      <c r="D403" s="71"/>
      <c r="E403" s="71"/>
      <c r="F403" s="73"/>
      <c r="G403" s="73"/>
      <c r="H403" s="73"/>
      <c r="I403" s="73"/>
      <c r="J403" s="73"/>
      <c r="K403" s="73"/>
    </row>
    <row r="404">
      <c r="C404" s="71"/>
      <c r="D404" s="71"/>
      <c r="E404" s="71"/>
      <c r="F404" s="73"/>
      <c r="G404" s="73"/>
      <c r="H404" s="73"/>
      <c r="I404" s="73"/>
      <c r="J404" s="73"/>
      <c r="K404" s="73"/>
    </row>
    <row r="405">
      <c r="C405" s="71"/>
      <c r="D405" s="71"/>
      <c r="E405" s="71"/>
      <c r="F405" s="73"/>
      <c r="G405" s="73"/>
      <c r="H405" s="73"/>
      <c r="I405" s="73"/>
      <c r="J405" s="73"/>
      <c r="K405" s="73"/>
    </row>
    <row r="406">
      <c r="C406" s="71"/>
      <c r="D406" s="71"/>
      <c r="E406" s="71"/>
      <c r="F406" s="73"/>
      <c r="G406" s="73"/>
      <c r="H406" s="73"/>
      <c r="I406" s="73"/>
      <c r="J406" s="73"/>
      <c r="K406" s="73"/>
    </row>
    <row r="407">
      <c r="C407" s="71"/>
      <c r="D407" s="71"/>
      <c r="E407" s="71"/>
      <c r="F407" s="73"/>
      <c r="G407" s="73"/>
      <c r="H407" s="73"/>
      <c r="I407" s="73"/>
      <c r="J407" s="73"/>
      <c r="K407" s="73"/>
    </row>
    <row r="408">
      <c r="C408" s="71"/>
      <c r="D408" s="71"/>
      <c r="E408" s="71"/>
      <c r="F408" s="73"/>
      <c r="G408" s="73"/>
      <c r="H408" s="73"/>
      <c r="I408" s="73"/>
      <c r="J408" s="73"/>
      <c r="K408" s="73"/>
    </row>
    <row r="409">
      <c r="C409" s="71"/>
      <c r="D409" s="71"/>
      <c r="E409" s="71"/>
      <c r="F409" s="73"/>
      <c r="G409" s="73"/>
      <c r="H409" s="73"/>
      <c r="I409" s="73"/>
      <c r="J409" s="73"/>
      <c r="K409" s="73"/>
    </row>
    <row r="410">
      <c r="C410" s="71"/>
      <c r="D410" s="71"/>
      <c r="E410" s="71"/>
      <c r="F410" s="73"/>
      <c r="G410" s="73"/>
      <c r="H410" s="73"/>
      <c r="I410" s="73"/>
      <c r="J410" s="73"/>
      <c r="K410" s="73"/>
    </row>
    <row r="411">
      <c r="C411" s="71"/>
      <c r="D411" s="71"/>
      <c r="E411" s="71"/>
      <c r="F411" s="73"/>
      <c r="G411" s="73"/>
      <c r="H411" s="73"/>
      <c r="I411" s="73"/>
      <c r="J411" s="73"/>
      <c r="K411" s="73"/>
    </row>
    <row r="412">
      <c r="C412" s="71"/>
      <c r="D412" s="71"/>
      <c r="E412" s="71"/>
      <c r="F412" s="73"/>
      <c r="G412" s="73"/>
      <c r="H412" s="73"/>
      <c r="I412" s="73"/>
      <c r="J412" s="73"/>
      <c r="K412" s="73"/>
    </row>
    <row r="413">
      <c r="C413" s="71"/>
      <c r="D413" s="71"/>
      <c r="E413" s="71"/>
      <c r="F413" s="73"/>
      <c r="G413" s="73"/>
      <c r="H413" s="73"/>
      <c r="I413" s="73"/>
      <c r="J413" s="73"/>
      <c r="K413" s="73"/>
    </row>
    <row r="414">
      <c r="C414" s="71"/>
      <c r="D414" s="71"/>
      <c r="E414" s="71"/>
      <c r="F414" s="73"/>
      <c r="G414" s="73"/>
      <c r="H414" s="73"/>
      <c r="I414" s="73"/>
      <c r="J414" s="73"/>
      <c r="K414" s="73"/>
    </row>
    <row r="415">
      <c r="C415" s="71"/>
      <c r="D415" s="71"/>
      <c r="E415" s="71"/>
      <c r="F415" s="73"/>
      <c r="G415" s="73"/>
      <c r="H415" s="73"/>
      <c r="I415" s="73"/>
      <c r="J415" s="73"/>
      <c r="K415" s="73"/>
    </row>
    <row r="416">
      <c r="C416" s="71"/>
      <c r="D416" s="71"/>
      <c r="E416" s="71"/>
      <c r="F416" s="73"/>
      <c r="G416" s="73"/>
      <c r="H416" s="73"/>
      <c r="I416" s="73"/>
      <c r="J416" s="73"/>
      <c r="K416" s="73"/>
    </row>
    <row r="417">
      <c r="C417" s="71"/>
      <c r="D417" s="71"/>
      <c r="E417" s="71"/>
      <c r="F417" s="73"/>
      <c r="G417" s="73"/>
      <c r="H417" s="73"/>
      <c r="I417" s="73"/>
      <c r="J417" s="73"/>
      <c r="K417" s="73"/>
    </row>
    <row r="418">
      <c r="C418" s="71"/>
      <c r="D418" s="71"/>
      <c r="E418" s="71"/>
      <c r="F418" s="73"/>
      <c r="G418" s="73"/>
      <c r="H418" s="73"/>
      <c r="I418" s="73"/>
      <c r="J418" s="73"/>
      <c r="K418" s="73"/>
    </row>
    <row r="419">
      <c r="C419" s="71"/>
      <c r="D419" s="71"/>
      <c r="E419" s="71"/>
      <c r="F419" s="73"/>
      <c r="G419" s="73"/>
      <c r="H419" s="73"/>
      <c r="I419" s="73"/>
      <c r="J419" s="73"/>
      <c r="K419" s="73"/>
    </row>
    <row r="420">
      <c r="C420" s="71"/>
      <c r="D420" s="71"/>
      <c r="E420" s="71"/>
      <c r="F420" s="73"/>
      <c r="G420" s="73"/>
      <c r="H420" s="73"/>
      <c r="I420" s="73"/>
      <c r="J420" s="73"/>
      <c r="K420" s="73"/>
    </row>
    <row r="421">
      <c r="C421" s="71"/>
      <c r="D421" s="71"/>
      <c r="E421" s="71"/>
      <c r="F421" s="73"/>
      <c r="G421" s="73"/>
      <c r="H421" s="73"/>
      <c r="I421" s="73"/>
      <c r="J421" s="73"/>
      <c r="K421" s="73"/>
    </row>
    <row r="422">
      <c r="C422" s="71"/>
      <c r="D422" s="71"/>
      <c r="E422" s="71"/>
      <c r="F422" s="73"/>
      <c r="G422" s="73"/>
      <c r="H422" s="73"/>
      <c r="I422" s="73"/>
      <c r="J422" s="73"/>
      <c r="K422" s="73"/>
    </row>
    <row r="423">
      <c r="C423" s="71"/>
      <c r="D423" s="71"/>
      <c r="E423" s="71"/>
      <c r="F423" s="73"/>
      <c r="G423" s="73"/>
      <c r="H423" s="73"/>
      <c r="I423" s="73"/>
      <c r="J423" s="73"/>
      <c r="K423" s="73"/>
    </row>
    <row r="424">
      <c r="C424" s="71"/>
      <c r="D424" s="71"/>
      <c r="E424" s="71"/>
      <c r="F424" s="73"/>
      <c r="G424" s="73"/>
      <c r="H424" s="73"/>
      <c r="I424" s="73"/>
      <c r="J424" s="73"/>
      <c r="K424" s="73"/>
    </row>
    <row r="425">
      <c r="C425" s="71"/>
      <c r="D425" s="71"/>
      <c r="E425" s="71"/>
      <c r="F425" s="73"/>
      <c r="G425" s="73"/>
      <c r="H425" s="73"/>
      <c r="I425" s="73"/>
      <c r="J425" s="73"/>
      <c r="K425" s="73"/>
    </row>
    <row r="426">
      <c r="C426" s="71"/>
      <c r="D426" s="71"/>
      <c r="E426" s="71"/>
      <c r="F426" s="73"/>
      <c r="G426" s="73"/>
      <c r="H426" s="73"/>
      <c r="I426" s="73"/>
      <c r="J426" s="73"/>
      <c r="K426" s="73"/>
    </row>
    <row r="427">
      <c r="C427" s="71"/>
      <c r="D427" s="71"/>
      <c r="E427" s="71"/>
      <c r="F427" s="73"/>
      <c r="G427" s="73"/>
      <c r="H427" s="73"/>
      <c r="I427" s="73"/>
      <c r="J427" s="73"/>
      <c r="K427" s="73"/>
    </row>
    <row r="428">
      <c r="C428" s="71"/>
      <c r="D428" s="71"/>
      <c r="E428" s="71"/>
      <c r="F428" s="73"/>
      <c r="G428" s="73"/>
      <c r="H428" s="73"/>
      <c r="I428" s="73"/>
      <c r="J428" s="73"/>
      <c r="K428" s="73"/>
    </row>
    <row r="429">
      <c r="C429" s="71"/>
      <c r="D429" s="71"/>
      <c r="E429" s="71"/>
      <c r="F429" s="73"/>
      <c r="G429" s="73"/>
      <c r="H429" s="73"/>
      <c r="I429" s="73"/>
      <c r="J429" s="73"/>
      <c r="K429" s="73"/>
    </row>
    <row r="430">
      <c r="C430" s="71"/>
      <c r="D430" s="71"/>
      <c r="E430" s="71"/>
      <c r="F430" s="73"/>
      <c r="G430" s="73"/>
      <c r="H430" s="73"/>
      <c r="I430" s="73"/>
      <c r="J430" s="73"/>
      <c r="K430" s="73"/>
    </row>
    <row r="431">
      <c r="C431" s="71"/>
      <c r="D431" s="71"/>
      <c r="E431" s="71"/>
      <c r="F431" s="73"/>
      <c r="G431" s="73"/>
      <c r="H431" s="73"/>
      <c r="I431" s="73"/>
      <c r="J431" s="73"/>
      <c r="K431" s="73"/>
    </row>
    <row r="432">
      <c r="C432" s="71"/>
      <c r="D432" s="71"/>
      <c r="E432" s="71"/>
      <c r="F432" s="73"/>
      <c r="G432" s="73"/>
      <c r="H432" s="73"/>
      <c r="I432" s="73"/>
      <c r="J432" s="73"/>
      <c r="K432" s="73"/>
    </row>
    <row r="433">
      <c r="C433" s="71"/>
      <c r="D433" s="71"/>
      <c r="E433" s="71"/>
      <c r="F433" s="73"/>
      <c r="G433" s="73"/>
      <c r="H433" s="73"/>
      <c r="I433" s="73"/>
      <c r="J433" s="73"/>
      <c r="K433" s="73"/>
    </row>
    <row r="434">
      <c r="C434" s="71"/>
      <c r="D434" s="71"/>
      <c r="E434" s="71"/>
      <c r="F434" s="73"/>
      <c r="G434" s="73"/>
      <c r="H434" s="73"/>
      <c r="I434" s="73"/>
      <c r="J434" s="73"/>
      <c r="K434" s="73"/>
    </row>
    <row r="435">
      <c r="C435" s="71"/>
      <c r="D435" s="71"/>
      <c r="E435" s="71"/>
      <c r="F435" s="73"/>
      <c r="G435" s="73"/>
      <c r="H435" s="73"/>
      <c r="I435" s="73"/>
      <c r="J435" s="73"/>
      <c r="K435" s="73"/>
    </row>
    <row r="436">
      <c r="C436" s="71"/>
      <c r="D436" s="71"/>
      <c r="E436" s="71"/>
      <c r="F436" s="73"/>
      <c r="G436" s="73"/>
      <c r="H436" s="73"/>
      <c r="I436" s="73"/>
      <c r="J436" s="73"/>
      <c r="K436" s="73"/>
    </row>
    <row r="437">
      <c r="C437" s="71"/>
      <c r="D437" s="71"/>
      <c r="E437" s="71"/>
      <c r="F437" s="73"/>
      <c r="G437" s="73"/>
      <c r="H437" s="73"/>
      <c r="I437" s="73"/>
      <c r="J437" s="73"/>
      <c r="K437" s="73"/>
    </row>
    <row r="438">
      <c r="C438" s="71"/>
      <c r="D438" s="71"/>
      <c r="E438" s="71"/>
      <c r="F438" s="73"/>
      <c r="G438" s="73"/>
      <c r="H438" s="73"/>
      <c r="I438" s="73"/>
      <c r="J438" s="73"/>
      <c r="K438" s="73"/>
    </row>
    <row r="439">
      <c r="C439" s="71"/>
      <c r="D439" s="71"/>
      <c r="E439" s="71"/>
      <c r="F439" s="73"/>
      <c r="G439" s="73"/>
      <c r="H439" s="73"/>
      <c r="I439" s="73"/>
      <c r="J439" s="73"/>
      <c r="K439" s="73"/>
    </row>
    <row r="440">
      <c r="C440" s="71"/>
      <c r="D440" s="71"/>
      <c r="E440" s="71"/>
      <c r="F440" s="73"/>
      <c r="G440" s="73"/>
      <c r="H440" s="73"/>
      <c r="I440" s="73"/>
      <c r="J440" s="73"/>
      <c r="K440" s="73"/>
    </row>
    <row r="441">
      <c r="C441" s="71"/>
      <c r="D441" s="71"/>
      <c r="E441" s="71"/>
      <c r="F441" s="73"/>
      <c r="G441" s="73"/>
      <c r="H441" s="73"/>
      <c r="I441" s="73"/>
      <c r="J441" s="73"/>
      <c r="K441" s="73"/>
    </row>
    <row r="442">
      <c r="C442" s="71"/>
      <c r="D442" s="71"/>
      <c r="E442" s="71"/>
      <c r="F442" s="73"/>
      <c r="G442" s="73"/>
      <c r="H442" s="73"/>
      <c r="I442" s="73"/>
      <c r="J442" s="73"/>
      <c r="K442" s="73"/>
    </row>
    <row r="443">
      <c r="C443" s="71"/>
      <c r="D443" s="71"/>
      <c r="E443" s="71"/>
      <c r="F443" s="73"/>
      <c r="G443" s="73"/>
      <c r="H443" s="73"/>
      <c r="I443" s="73"/>
      <c r="J443" s="73"/>
      <c r="K443" s="73"/>
    </row>
    <row r="444">
      <c r="C444" s="71"/>
      <c r="D444" s="71"/>
      <c r="E444" s="71"/>
      <c r="F444" s="73"/>
      <c r="G444" s="73"/>
      <c r="H444" s="73"/>
      <c r="I444" s="73"/>
      <c r="J444" s="73"/>
      <c r="K444" s="73"/>
    </row>
    <row r="445">
      <c r="C445" s="71"/>
      <c r="D445" s="71"/>
      <c r="E445" s="71"/>
      <c r="F445" s="73"/>
      <c r="G445" s="73"/>
      <c r="H445" s="73"/>
      <c r="I445" s="73"/>
      <c r="J445" s="73"/>
      <c r="K445" s="73"/>
    </row>
    <row r="446">
      <c r="C446" s="71"/>
      <c r="D446" s="71"/>
      <c r="E446" s="71"/>
      <c r="F446" s="73"/>
      <c r="G446" s="73"/>
      <c r="H446" s="73"/>
      <c r="I446" s="73"/>
      <c r="J446" s="73"/>
      <c r="K446" s="73"/>
    </row>
    <row r="447">
      <c r="C447" s="71"/>
      <c r="D447" s="71"/>
      <c r="E447" s="71"/>
      <c r="F447" s="73"/>
      <c r="G447" s="73"/>
      <c r="H447" s="73"/>
      <c r="I447" s="73"/>
      <c r="J447" s="73"/>
      <c r="K447" s="73"/>
    </row>
    <row r="448">
      <c r="C448" s="71"/>
      <c r="D448" s="71"/>
      <c r="E448" s="71"/>
      <c r="F448" s="73"/>
      <c r="G448" s="73"/>
      <c r="H448" s="73"/>
      <c r="I448" s="73"/>
      <c r="J448" s="73"/>
      <c r="K448" s="73"/>
    </row>
    <row r="449">
      <c r="C449" s="71"/>
      <c r="D449" s="71"/>
      <c r="E449" s="71"/>
      <c r="F449" s="73"/>
      <c r="G449" s="73"/>
      <c r="H449" s="73"/>
      <c r="I449" s="73"/>
      <c r="J449" s="73"/>
      <c r="K449" s="73"/>
    </row>
    <row r="450">
      <c r="C450" s="71"/>
      <c r="D450" s="71"/>
      <c r="E450" s="71"/>
      <c r="F450" s="73"/>
      <c r="G450" s="73"/>
      <c r="H450" s="73"/>
      <c r="I450" s="73"/>
      <c r="J450" s="73"/>
      <c r="K450" s="73"/>
    </row>
    <row r="451">
      <c r="C451" s="71"/>
      <c r="D451" s="71"/>
      <c r="E451" s="71"/>
      <c r="F451" s="73"/>
      <c r="G451" s="73"/>
      <c r="H451" s="73"/>
      <c r="I451" s="73"/>
      <c r="J451" s="73"/>
      <c r="K451" s="73"/>
    </row>
    <row r="452">
      <c r="C452" s="71"/>
      <c r="D452" s="71"/>
      <c r="E452" s="71"/>
      <c r="F452" s="73"/>
      <c r="G452" s="73"/>
      <c r="H452" s="73"/>
      <c r="I452" s="73"/>
      <c r="J452" s="73"/>
      <c r="K452" s="73"/>
    </row>
    <row r="453">
      <c r="C453" s="71"/>
      <c r="D453" s="71"/>
      <c r="E453" s="71"/>
      <c r="F453" s="73"/>
      <c r="G453" s="73"/>
      <c r="H453" s="73"/>
      <c r="I453" s="73"/>
      <c r="J453" s="73"/>
      <c r="K453" s="73"/>
    </row>
    <row r="454">
      <c r="C454" s="71"/>
      <c r="D454" s="71"/>
      <c r="E454" s="71"/>
      <c r="F454" s="73"/>
      <c r="G454" s="73"/>
      <c r="H454" s="73"/>
      <c r="I454" s="73"/>
      <c r="J454" s="73"/>
      <c r="K454" s="73"/>
    </row>
    <row r="455">
      <c r="C455" s="71"/>
      <c r="D455" s="71"/>
      <c r="E455" s="71"/>
      <c r="F455" s="73"/>
      <c r="G455" s="73"/>
      <c r="H455" s="73"/>
      <c r="I455" s="73"/>
      <c r="J455" s="73"/>
      <c r="K455" s="73"/>
    </row>
    <row r="456">
      <c r="C456" s="71"/>
      <c r="D456" s="71"/>
      <c r="E456" s="71"/>
      <c r="F456" s="73"/>
      <c r="G456" s="73"/>
      <c r="H456" s="73"/>
      <c r="I456" s="73"/>
      <c r="J456" s="73"/>
      <c r="K456" s="73"/>
    </row>
    <row r="457">
      <c r="C457" s="71"/>
      <c r="D457" s="71"/>
      <c r="E457" s="71"/>
      <c r="F457" s="73"/>
      <c r="G457" s="73"/>
      <c r="H457" s="73"/>
      <c r="I457" s="73"/>
      <c r="J457" s="73"/>
      <c r="K457" s="73"/>
    </row>
    <row r="458">
      <c r="C458" s="71"/>
      <c r="D458" s="71"/>
      <c r="E458" s="71"/>
      <c r="F458" s="73"/>
      <c r="G458" s="73"/>
      <c r="H458" s="73"/>
      <c r="I458" s="73"/>
      <c r="J458" s="73"/>
      <c r="K458" s="73"/>
    </row>
    <row r="459">
      <c r="C459" s="71"/>
      <c r="D459" s="71"/>
      <c r="E459" s="71"/>
      <c r="F459" s="73"/>
      <c r="G459" s="73"/>
      <c r="H459" s="73"/>
      <c r="I459" s="73"/>
      <c r="J459" s="73"/>
      <c r="K459" s="73"/>
    </row>
    <row r="460">
      <c r="C460" s="71"/>
      <c r="D460" s="71"/>
      <c r="E460" s="71"/>
      <c r="F460" s="73"/>
      <c r="G460" s="73"/>
      <c r="H460" s="73"/>
      <c r="I460" s="73"/>
      <c r="J460" s="73"/>
      <c r="K460" s="73"/>
    </row>
    <row r="461">
      <c r="C461" s="71"/>
      <c r="D461" s="71"/>
      <c r="E461" s="71"/>
      <c r="F461" s="73"/>
      <c r="G461" s="73"/>
      <c r="H461" s="73"/>
      <c r="I461" s="73"/>
      <c r="J461" s="73"/>
      <c r="K461" s="73"/>
    </row>
    <row r="462">
      <c r="C462" s="71"/>
      <c r="D462" s="71"/>
      <c r="E462" s="71"/>
      <c r="F462" s="73"/>
      <c r="G462" s="73"/>
      <c r="H462" s="73"/>
      <c r="I462" s="73"/>
      <c r="J462" s="73"/>
      <c r="K462" s="73"/>
    </row>
    <row r="463">
      <c r="C463" s="71"/>
      <c r="D463" s="71"/>
      <c r="E463" s="71"/>
      <c r="F463" s="73"/>
      <c r="G463" s="73"/>
      <c r="H463" s="73"/>
      <c r="I463" s="73"/>
      <c r="J463" s="73"/>
      <c r="K463" s="73"/>
    </row>
    <row r="464">
      <c r="C464" s="71"/>
      <c r="D464" s="71"/>
      <c r="E464" s="71"/>
      <c r="F464" s="73"/>
      <c r="G464" s="73"/>
      <c r="H464" s="73"/>
      <c r="I464" s="73"/>
      <c r="J464" s="73"/>
      <c r="K464" s="73"/>
    </row>
    <row r="465">
      <c r="C465" s="71"/>
      <c r="D465" s="71"/>
      <c r="E465" s="71"/>
      <c r="F465" s="73"/>
      <c r="G465" s="73"/>
      <c r="H465" s="73"/>
      <c r="I465" s="73"/>
      <c r="J465" s="73"/>
      <c r="K465" s="73"/>
    </row>
    <row r="466">
      <c r="C466" s="71"/>
      <c r="D466" s="71"/>
      <c r="E466" s="71"/>
      <c r="F466" s="73"/>
      <c r="G466" s="73"/>
      <c r="H466" s="73"/>
      <c r="I466" s="73"/>
      <c r="J466" s="73"/>
      <c r="K466" s="73"/>
    </row>
    <row r="467">
      <c r="C467" s="71"/>
      <c r="D467" s="71"/>
      <c r="E467" s="71"/>
      <c r="F467" s="73"/>
      <c r="G467" s="73"/>
      <c r="H467" s="73"/>
      <c r="I467" s="73"/>
      <c r="J467" s="73"/>
      <c r="K467" s="73"/>
    </row>
    <row r="468">
      <c r="C468" s="71"/>
      <c r="D468" s="71"/>
      <c r="E468" s="71"/>
      <c r="F468" s="73"/>
      <c r="G468" s="73"/>
      <c r="H468" s="73"/>
      <c r="I468" s="73"/>
      <c r="J468" s="73"/>
      <c r="K468" s="73"/>
    </row>
    <row r="469">
      <c r="C469" s="71"/>
      <c r="D469" s="71"/>
      <c r="E469" s="71"/>
      <c r="F469" s="73"/>
      <c r="G469" s="73"/>
      <c r="H469" s="73"/>
      <c r="I469" s="73"/>
      <c r="J469" s="73"/>
      <c r="K469" s="73"/>
    </row>
    <row r="470">
      <c r="C470" s="71"/>
      <c r="D470" s="71"/>
      <c r="E470" s="71"/>
      <c r="F470" s="73"/>
      <c r="G470" s="73"/>
      <c r="H470" s="73"/>
      <c r="I470" s="73"/>
      <c r="J470" s="73"/>
      <c r="K470" s="73"/>
    </row>
    <row r="471">
      <c r="C471" s="71"/>
      <c r="D471" s="71"/>
      <c r="E471" s="71"/>
      <c r="F471" s="73"/>
      <c r="G471" s="73"/>
      <c r="H471" s="73"/>
      <c r="I471" s="73"/>
      <c r="J471" s="73"/>
      <c r="K471" s="73"/>
    </row>
    <row r="472">
      <c r="C472" s="71"/>
      <c r="D472" s="71"/>
      <c r="E472" s="71"/>
      <c r="F472" s="73"/>
      <c r="G472" s="73"/>
      <c r="H472" s="73"/>
      <c r="I472" s="73"/>
      <c r="J472" s="73"/>
      <c r="K472" s="73"/>
    </row>
    <row r="473">
      <c r="C473" s="71"/>
      <c r="D473" s="71"/>
      <c r="E473" s="71"/>
      <c r="F473" s="73"/>
      <c r="G473" s="73"/>
      <c r="H473" s="73"/>
      <c r="I473" s="73"/>
      <c r="J473" s="73"/>
      <c r="K473" s="73"/>
    </row>
    <row r="474">
      <c r="C474" s="71"/>
      <c r="D474" s="71"/>
      <c r="E474" s="71"/>
      <c r="F474" s="73"/>
      <c r="G474" s="73"/>
      <c r="H474" s="73"/>
      <c r="I474" s="73"/>
      <c r="J474" s="73"/>
      <c r="K474" s="73"/>
    </row>
    <row r="475">
      <c r="C475" s="71"/>
      <c r="D475" s="71"/>
      <c r="E475" s="71"/>
      <c r="F475" s="73"/>
      <c r="G475" s="73"/>
      <c r="H475" s="73"/>
      <c r="I475" s="73"/>
      <c r="J475" s="73"/>
      <c r="K475" s="73"/>
    </row>
    <row r="476">
      <c r="C476" s="71"/>
      <c r="D476" s="71"/>
      <c r="E476" s="71"/>
      <c r="F476" s="73"/>
      <c r="G476" s="73"/>
      <c r="H476" s="73"/>
      <c r="I476" s="73"/>
      <c r="J476" s="73"/>
      <c r="K476" s="73"/>
    </row>
    <row r="477">
      <c r="C477" s="71"/>
      <c r="D477" s="71"/>
      <c r="E477" s="71"/>
      <c r="F477" s="73"/>
      <c r="G477" s="73"/>
      <c r="H477" s="73"/>
      <c r="I477" s="73"/>
      <c r="J477" s="73"/>
      <c r="K477" s="73"/>
    </row>
    <row r="478">
      <c r="C478" s="71"/>
      <c r="D478" s="71"/>
      <c r="E478" s="71"/>
      <c r="F478" s="73"/>
      <c r="G478" s="73"/>
      <c r="H478" s="73"/>
      <c r="I478" s="73"/>
      <c r="J478" s="73"/>
      <c r="K478" s="73"/>
    </row>
    <row r="479">
      <c r="C479" s="71"/>
      <c r="D479" s="71"/>
      <c r="E479" s="71"/>
      <c r="F479" s="73"/>
      <c r="G479" s="73"/>
      <c r="H479" s="73"/>
      <c r="I479" s="73"/>
      <c r="J479" s="73"/>
      <c r="K479" s="73"/>
    </row>
    <row r="480">
      <c r="C480" s="71"/>
      <c r="D480" s="71"/>
      <c r="E480" s="71"/>
      <c r="F480" s="73"/>
      <c r="G480" s="73"/>
      <c r="H480" s="73"/>
      <c r="I480" s="73"/>
      <c r="J480" s="73"/>
      <c r="K480" s="73"/>
    </row>
    <row r="481">
      <c r="C481" s="71"/>
      <c r="D481" s="71"/>
      <c r="E481" s="71"/>
      <c r="F481" s="73"/>
      <c r="G481" s="73"/>
      <c r="H481" s="73"/>
      <c r="I481" s="73"/>
      <c r="J481" s="73"/>
      <c r="K481" s="73"/>
    </row>
    <row r="482">
      <c r="C482" s="71"/>
      <c r="D482" s="71"/>
      <c r="E482" s="71"/>
      <c r="F482" s="73"/>
      <c r="G482" s="73"/>
      <c r="H482" s="73"/>
      <c r="I482" s="73"/>
      <c r="J482" s="73"/>
      <c r="K482" s="73"/>
    </row>
    <row r="483">
      <c r="C483" s="71"/>
      <c r="D483" s="71"/>
      <c r="E483" s="71"/>
      <c r="F483" s="73"/>
      <c r="G483" s="73"/>
      <c r="H483" s="73"/>
      <c r="I483" s="73"/>
      <c r="J483" s="73"/>
      <c r="K483" s="73"/>
    </row>
    <row r="484">
      <c r="C484" s="71"/>
      <c r="D484" s="71"/>
      <c r="E484" s="71"/>
      <c r="F484" s="73"/>
      <c r="G484" s="73"/>
      <c r="H484" s="73"/>
      <c r="I484" s="73"/>
      <c r="J484" s="73"/>
      <c r="K484" s="73"/>
    </row>
    <row r="485">
      <c r="C485" s="71"/>
      <c r="D485" s="71"/>
      <c r="E485" s="71"/>
      <c r="F485" s="73"/>
      <c r="G485" s="73"/>
      <c r="H485" s="73"/>
      <c r="I485" s="73"/>
      <c r="J485" s="73"/>
      <c r="K485" s="73"/>
    </row>
    <row r="486">
      <c r="C486" s="71"/>
      <c r="D486" s="71"/>
      <c r="E486" s="71"/>
      <c r="F486" s="73"/>
      <c r="G486" s="73"/>
      <c r="H486" s="73"/>
      <c r="I486" s="73"/>
      <c r="J486" s="73"/>
      <c r="K486" s="73"/>
    </row>
    <row r="487">
      <c r="C487" s="71"/>
      <c r="D487" s="71"/>
      <c r="E487" s="71"/>
      <c r="F487" s="73"/>
      <c r="G487" s="73"/>
      <c r="H487" s="73"/>
      <c r="I487" s="73"/>
      <c r="J487" s="73"/>
      <c r="K487" s="73"/>
    </row>
    <row r="488">
      <c r="C488" s="71"/>
      <c r="D488" s="71"/>
      <c r="E488" s="71"/>
      <c r="F488" s="73"/>
      <c r="G488" s="73"/>
      <c r="H488" s="73"/>
      <c r="I488" s="73"/>
      <c r="J488" s="73"/>
      <c r="K488" s="73"/>
    </row>
    <row r="489">
      <c r="C489" s="71"/>
      <c r="D489" s="71"/>
      <c r="E489" s="71"/>
      <c r="F489" s="73"/>
      <c r="G489" s="73"/>
      <c r="H489" s="73"/>
      <c r="I489" s="73"/>
      <c r="J489" s="73"/>
      <c r="K489" s="73"/>
    </row>
    <row r="490">
      <c r="C490" s="71"/>
      <c r="D490" s="71"/>
      <c r="E490" s="71"/>
      <c r="F490" s="73"/>
      <c r="G490" s="73"/>
      <c r="H490" s="73"/>
      <c r="I490" s="73"/>
      <c r="J490" s="73"/>
      <c r="K490" s="73"/>
    </row>
    <row r="491">
      <c r="C491" s="71"/>
      <c r="D491" s="71"/>
      <c r="E491" s="71"/>
      <c r="F491" s="73"/>
      <c r="G491" s="73"/>
      <c r="H491" s="73"/>
      <c r="I491" s="73"/>
      <c r="J491" s="73"/>
      <c r="K491" s="73"/>
    </row>
    <row r="492">
      <c r="C492" s="71"/>
      <c r="D492" s="71"/>
      <c r="E492" s="71"/>
      <c r="F492" s="73"/>
      <c r="G492" s="73"/>
      <c r="H492" s="73"/>
      <c r="I492" s="73"/>
      <c r="J492" s="73"/>
      <c r="K492" s="73"/>
    </row>
    <row r="493">
      <c r="C493" s="71"/>
      <c r="D493" s="71"/>
      <c r="E493" s="71"/>
      <c r="F493" s="73"/>
      <c r="G493" s="73"/>
      <c r="H493" s="73"/>
      <c r="I493" s="73"/>
      <c r="J493" s="73"/>
      <c r="K493" s="73"/>
    </row>
    <row r="494">
      <c r="C494" s="71"/>
      <c r="D494" s="71"/>
      <c r="E494" s="71"/>
      <c r="F494" s="73"/>
      <c r="G494" s="73"/>
      <c r="H494" s="73"/>
      <c r="I494" s="73"/>
      <c r="J494" s="73"/>
      <c r="K494" s="73"/>
    </row>
    <row r="495">
      <c r="C495" s="71"/>
      <c r="D495" s="71"/>
      <c r="E495" s="71"/>
      <c r="F495" s="73"/>
      <c r="G495" s="73"/>
      <c r="H495" s="73"/>
      <c r="I495" s="73"/>
      <c r="J495" s="73"/>
      <c r="K495" s="73"/>
    </row>
    <row r="496">
      <c r="C496" s="71"/>
      <c r="D496" s="71"/>
      <c r="E496" s="71"/>
      <c r="F496" s="73"/>
      <c r="G496" s="73"/>
      <c r="H496" s="73"/>
      <c r="I496" s="73"/>
      <c r="J496" s="73"/>
      <c r="K496" s="73"/>
    </row>
    <row r="497">
      <c r="C497" s="71"/>
      <c r="D497" s="71"/>
      <c r="E497" s="71"/>
      <c r="F497" s="73"/>
      <c r="G497" s="73"/>
      <c r="H497" s="73"/>
      <c r="I497" s="73"/>
      <c r="J497" s="73"/>
      <c r="K497" s="73"/>
    </row>
    <row r="498">
      <c r="C498" s="71"/>
      <c r="D498" s="71"/>
      <c r="E498" s="71"/>
      <c r="F498" s="73"/>
      <c r="G498" s="73"/>
      <c r="H498" s="73"/>
      <c r="I498" s="73"/>
      <c r="J498" s="73"/>
      <c r="K498" s="73"/>
    </row>
    <row r="499">
      <c r="C499" s="71"/>
      <c r="D499" s="71"/>
      <c r="E499" s="71"/>
      <c r="F499" s="73"/>
      <c r="G499" s="73"/>
      <c r="H499" s="73"/>
      <c r="I499" s="73"/>
      <c r="J499" s="73"/>
      <c r="K499" s="73"/>
    </row>
    <row r="500">
      <c r="C500" s="71"/>
      <c r="D500" s="71"/>
      <c r="E500" s="71"/>
      <c r="F500" s="73"/>
      <c r="G500" s="73"/>
      <c r="H500" s="73"/>
      <c r="I500" s="73"/>
      <c r="J500" s="73"/>
      <c r="K500" s="73"/>
    </row>
    <row r="501">
      <c r="C501" s="71"/>
      <c r="D501" s="71"/>
      <c r="E501" s="71"/>
      <c r="F501" s="73"/>
      <c r="G501" s="73"/>
      <c r="H501" s="73"/>
      <c r="I501" s="73"/>
      <c r="J501" s="73"/>
      <c r="K501" s="73"/>
    </row>
    <row r="502">
      <c r="C502" s="71"/>
      <c r="D502" s="71"/>
      <c r="E502" s="71"/>
      <c r="F502" s="73"/>
      <c r="G502" s="73"/>
      <c r="H502" s="73"/>
      <c r="I502" s="73"/>
      <c r="J502" s="73"/>
      <c r="K502" s="73"/>
    </row>
    <row r="503">
      <c r="C503" s="71"/>
      <c r="D503" s="71"/>
      <c r="E503" s="71"/>
      <c r="F503" s="73"/>
      <c r="G503" s="73"/>
      <c r="H503" s="73"/>
      <c r="I503" s="73"/>
      <c r="J503" s="73"/>
      <c r="K503" s="73"/>
    </row>
    <row r="504">
      <c r="C504" s="71"/>
      <c r="D504" s="71"/>
      <c r="E504" s="71"/>
      <c r="F504" s="73"/>
      <c r="G504" s="73"/>
      <c r="H504" s="73"/>
      <c r="I504" s="73"/>
      <c r="J504" s="73"/>
      <c r="K504" s="73"/>
    </row>
    <row r="505">
      <c r="C505" s="71"/>
      <c r="D505" s="71"/>
      <c r="E505" s="71"/>
      <c r="F505" s="73"/>
      <c r="G505" s="73"/>
      <c r="H505" s="73"/>
      <c r="I505" s="73"/>
      <c r="J505" s="73"/>
      <c r="K505" s="73"/>
    </row>
    <row r="506">
      <c r="C506" s="71"/>
      <c r="D506" s="71"/>
      <c r="E506" s="71"/>
      <c r="F506" s="73"/>
      <c r="G506" s="73"/>
      <c r="H506" s="73"/>
      <c r="I506" s="73"/>
      <c r="J506" s="73"/>
      <c r="K506" s="73"/>
    </row>
    <row r="507">
      <c r="C507" s="71"/>
      <c r="D507" s="71"/>
      <c r="E507" s="71"/>
      <c r="F507" s="73"/>
      <c r="G507" s="73"/>
      <c r="H507" s="73"/>
      <c r="I507" s="73"/>
      <c r="J507" s="73"/>
      <c r="K507" s="73"/>
    </row>
    <row r="508">
      <c r="C508" s="71"/>
      <c r="D508" s="71"/>
      <c r="E508" s="71"/>
      <c r="F508" s="73"/>
      <c r="G508" s="73"/>
      <c r="H508" s="73"/>
      <c r="I508" s="73"/>
      <c r="J508" s="73"/>
      <c r="K508" s="73"/>
    </row>
    <row r="509">
      <c r="C509" s="71"/>
      <c r="D509" s="71"/>
      <c r="E509" s="71"/>
      <c r="F509" s="73"/>
      <c r="G509" s="73"/>
      <c r="H509" s="73"/>
      <c r="I509" s="73"/>
      <c r="J509" s="73"/>
      <c r="K509" s="73"/>
    </row>
    <row r="510">
      <c r="C510" s="71"/>
      <c r="D510" s="71"/>
      <c r="E510" s="71"/>
      <c r="F510" s="73"/>
      <c r="G510" s="73"/>
      <c r="H510" s="73"/>
      <c r="I510" s="73"/>
      <c r="J510" s="73"/>
      <c r="K510" s="73"/>
    </row>
    <row r="511">
      <c r="C511" s="71"/>
      <c r="D511" s="71"/>
      <c r="E511" s="71"/>
      <c r="F511" s="73"/>
      <c r="G511" s="73"/>
      <c r="H511" s="73"/>
      <c r="I511" s="73"/>
      <c r="J511" s="73"/>
      <c r="K511" s="73"/>
    </row>
    <row r="512">
      <c r="C512" s="71"/>
      <c r="D512" s="71"/>
      <c r="E512" s="71"/>
      <c r="F512" s="73"/>
      <c r="G512" s="73"/>
      <c r="H512" s="73"/>
      <c r="I512" s="73"/>
      <c r="J512" s="73"/>
      <c r="K512" s="73"/>
    </row>
    <row r="513">
      <c r="C513" s="71"/>
      <c r="D513" s="71"/>
      <c r="E513" s="71"/>
      <c r="F513" s="73"/>
      <c r="G513" s="73"/>
      <c r="H513" s="73"/>
      <c r="I513" s="73"/>
      <c r="J513" s="73"/>
      <c r="K513" s="73"/>
    </row>
    <row r="514">
      <c r="C514" s="71"/>
      <c r="D514" s="71"/>
      <c r="E514" s="71"/>
      <c r="F514" s="73"/>
      <c r="G514" s="73"/>
      <c r="H514" s="73"/>
      <c r="I514" s="73"/>
      <c r="J514" s="73"/>
      <c r="K514" s="73"/>
    </row>
    <row r="515">
      <c r="C515" s="71"/>
      <c r="D515" s="71"/>
      <c r="E515" s="71"/>
      <c r="F515" s="73"/>
      <c r="G515" s="73"/>
      <c r="H515" s="73"/>
      <c r="I515" s="73"/>
      <c r="J515" s="73"/>
      <c r="K515" s="73"/>
    </row>
    <row r="516">
      <c r="C516" s="71"/>
      <c r="D516" s="71"/>
      <c r="E516" s="71"/>
      <c r="F516" s="73"/>
      <c r="G516" s="73"/>
      <c r="H516" s="73"/>
      <c r="I516" s="73"/>
      <c r="J516" s="73"/>
      <c r="K516" s="73"/>
    </row>
    <row r="517">
      <c r="C517" s="71"/>
      <c r="D517" s="71"/>
      <c r="E517" s="71"/>
      <c r="F517" s="73"/>
      <c r="G517" s="73"/>
      <c r="H517" s="73"/>
      <c r="I517" s="73"/>
      <c r="J517" s="73"/>
      <c r="K517" s="73"/>
    </row>
    <row r="518">
      <c r="C518" s="71"/>
      <c r="D518" s="71"/>
      <c r="E518" s="71"/>
      <c r="F518" s="73"/>
      <c r="G518" s="73"/>
      <c r="H518" s="73"/>
      <c r="I518" s="73"/>
      <c r="J518" s="73"/>
      <c r="K518" s="73"/>
    </row>
    <row r="519">
      <c r="C519" s="71"/>
      <c r="D519" s="71"/>
      <c r="E519" s="71"/>
      <c r="F519" s="73"/>
      <c r="G519" s="73"/>
      <c r="H519" s="73"/>
      <c r="I519" s="73"/>
      <c r="J519" s="73"/>
      <c r="K519" s="73"/>
    </row>
    <row r="520">
      <c r="C520" s="71"/>
      <c r="D520" s="71"/>
      <c r="E520" s="71"/>
      <c r="F520" s="73"/>
      <c r="G520" s="73"/>
      <c r="H520" s="73"/>
      <c r="I520" s="73"/>
      <c r="J520" s="73"/>
      <c r="K520" s="73"/>
    </row>
    <row r="521">
      <c r="C521" s="71"/>
      <c r="D521" s="71"/>
      <c r="E521" s="71"/>
      <c r="F521" s="73"/>
      <c r="G521" s="73"/>
      <c r="H521" s="73"/>
      <c r="I521" s="73"/>
      <c r="J521" s="73"/>
      <c r="K521" s="73"/>
    </row>
    <row r="522">
      <c r="C522" s="71"/>
      <c r="D522" s="71"/>
      <c r="E522" s="71"/>
      <c r="F522" s="73"/>
      <c r="G522" s="73"/>
      <c r="H522" s="73"/>
      <c r="I522" s="73"/>
      <c r="J522" s="73"/>
      <c r="K522" s="73"/>
    </row>
    <row r="523">
      <c r="C523" s="71"/>
      <c r="D523" s="71"/>
      <c r="E523" s="71"/>
      <c r="F523" s="73"/>
      <c r="G523" s="73"/>
      <c r="H523" s="73"/>
      <c r="I523" s="73"/>
      <c r="J523" s="73"/>
      <c r="K523" s="73"/>
    </row>
    <row r="524">
      <c r="C524" s="71"/>
      <c r="D524" s="71"/>
      <c r="E524" s="71"/>
      <c r="F524" s="73"/>
      <c r="G524" s="73"/>
      <c r="H524" s="73"/>
      <c r="I524" s="73"/>
      <c r="J524" s="73"/>
      <c r="K524" s="73"/>
    </row>
    <row r="525">
      <c r="C525" s="71"/>
      <c r="D525" s="71"/>
      <c r="E525" s="71"/>
      <c r="F525" s="73"/>
      <c r="G525" s="73"/>
      <c r="H525" s="73"/>
      <c r="I525" s="73"/>
      <c r="J525" s="73"/>
      <c r="K525" s="73"/>
    </row>
    <row r="526">
      <c r="C526" s="71"/>
      <c r="D526" s="71"/>
      <c r="E526" s="71"/>
      <c r="F526" s="73"/>
      <c r="G526" s="73"/>
      <c r="H526" s="73"/>
      <c r="I526" s="73"/>
      <c r="J526" s="73"/>
      <c r="K526" s="73"/>
    </row>
    <row r="527">
      <c r="C527" s="71"/>
      <c r="D527" s="71"/>
      <c r="E527" s="71"/>
      <c r="F527" s="73"/>
      <c r="G527" s="73"/>
      <c r="H527" s="73"/>
      <c r="I527" s="73"/>
      <c r="J527" s="73"/>
      <c r="K527" s="73"/>
    </row>
    <row r="528">
      <c r="C528" s="71"/>
      <c r="D528" s="71"/>
      <c r="E528" s="71"/>
      <c r="F528" s="73"/>
      <c r="G528" s="73"/>
      <c r="H528" s="73"/>
      <c r="I528" s="73"/>
      <c r="J528" s="73"/>
      <c r="K528" s="73"/>
    </row>
    <row r="529">
      <c r="C529" s="71"/>
      <c r="D529" s="71"/>
      <c r="E529" s="71"/>
      <c r="F529" s="73"/>
      <c r="G529" s="73"/>
      <c r="H529" s="73"/>
      <c r="I529" s="73"/>
      <c r="J529" s="73"/>
      <c r="K529" s="73"/>
    </row>
    <row r="530">
      <c r="C530" s="71"/>
      <c r="D530" s="71"/>
      <c r="E530" s="71"/>
      <c r="F530" s="73"/>
      <c r="G530" s="73"/>
      <c r="H530" s="73"/>
      <c r="I530" s="73"/>
      <c r="J530" s="73"/>
      <c r="K530" s="73"/>
    </row>
    <row r="531">
      <c r="C531" s="71"/>
      <c r="D531" s="71"/>
      <c r="E531" s="71"/>
      <c r="F531" s="73"/>
      <c r="G531" s="73"/>
      <c r="H531" s="73"/>
      <c r="I531" s="73"/>
      <c r="J531" s="73"/>
      <c r="K531" s="73"/>
    </row>
    <row r="532">
      <c r="C532" s="71"/>
      <c r="D532" s="71"/>
      <c r="E532" s="71"/>
      <c r="F532" s="73"/>
      <c r="G532" s="73"/>
      <c r="H532" s="73"/>
      <c r="I532" s="73"/>
      <c r="J532" s="73"/>
      <c r="K532" s="73"/>
    </row>
    <row r="533">
      <c r="C533" s="71"/>
      <c r="D533" s="71"/>
      <c r="E533" s="71"/>
      <c r="F533" s="73"/>
      <c r="G533" s="73"/>
      <c r="H533" s="73"/>
      <c r="I533" s="73"/>
      <c r="J533" s="73"/>
      <c r="K533" s="73"/>
    </row>
    <row r="534">
      <c r="C534" s="71"/>
      <c r="D534" s="71"/>
      <c r="E534" s="71"/>
      <c r="F534" s="73"/>
      <c r="G534" s="73"/>
      <c r="H534" s="73"/>
      <c r="I534" s="73"/>
      <c r="J534" s="73"/>
      <c r="K534" s="73"/>
    </row>
    <row r="535">
      <c r="C535" s="71"/>
      <c r="D535" s="71"/>
      <c r="E535" s="71"/>
      <c r="F535" s="73"/>
      <c r="G535" s="73"/>
      <c r="H535" s="73"/>
      <c r="I535" s="73"/>
      <c r="J535" s="73"/>
      <c r="K535" s="73"/>
    </row>
    <row r="536">
      <c r="C536" s="71"/>
      <c r="D536" s="71"/>
      <c r="E536" s="71"/>
      <c r="F536" s="73"/>
      <c r="G536" s="73"/>
      <c r="H536" s="73"/>
      <c r="I536" s="73"/>
      <c r="J536" s="73"/>
      <c r="K536" s="73"/>
    </row>
    <row r="537">
      <c r="C537" s="71"/>
      <c r="D537" s="71"/>
      <c r="E537" s="71"/>
      <c r="F537" s="73"/>
      <c r="G537" s="73"/>
      <c r="H537" s="73"/>
      <c r="I537" s="73"/>
      <c r="J537" s="73"/>
      <c r="K537" s="73"/>
    </row>
    <row r="538">
      <c r="C538" s="71"/>
      <c r="D538" s="71"/>
      <c r="E538" s="71"/>
      <c r="F538" s="73"/>
      <c r="G538" s="73"/>
      <c r="H538" s="73"/>
      <c r="I538" s="73"/>
      <c r="J538" s="73"/>
      <c r="K538" s="73"/>
    </row>
    <row r="539">
      <c r="C539" s="71"/>
      <c r="D539" s="71"/>
      <c r="E539" s="71"/>
      <c r="F539" s="73"/>
      <c r="G539" s="73"/>
      <c r="H539" s="73"/>
      <c r="I539" s="73"/>
      <c r="J539" s="73"/>
      <c r="K539" s="73"/>
    </row>
    <row r="540">
      <c r="C540" s="71"/>
      <c r="D540" s="71"/>
      <c r="E540" s="71"/>
      <c r="F540" s="73"/>
      <c r="G540" s="73"/>
      <c r="H540" s="73"/>
      <c r="I540" s="73"/>
      <c r="J540" s="73"/>
      <c r="K540" s="73"/>
    </row>
    <row r="541">
      <c r="C541" s="71"/>
      <c r="D541" s="71"/>
      <c r="E541" s="71"/>
      <c r="F541" s="73"/>
      <c r="G541" s="73"/>
      <c r="H541" s="73"/>
      <c r="I541" s="73"/>
      <c r="J541" s="73"/>
      <c r="K541" s="73"/>
    </row>
    <row r="542">
      <c r="C542" s="71"/>
      <c r="D542" s="71"/>
      <c r="E542" s="71"/>
      <c r="F542" s="73"/>
      <c r="G542" s="73"/>
      <c r="H542" s="73"/>
      <c r="I542" s="73"/>
      <c r="J542" s="73"/>
      <c r="K542" s="73"/>
    </row>
    <row r="543">
      <c r="C543" s="71"/>
      <c r="D543" s="71"/>
      <c r="E543" s="71"/>
      <c r="F543" s="73"/>
      <c r="G543" s="73"/>
      <c r="H543" s="73"/>
      <c r="I543" s="73"/>
      <c r="J543" s="73"/>
      <c r="K543" s="73"/>
    </row>
    <row r="544">
      <c r="C544" s="71"/>
      <c r="D544" s="71"/>
      <c r="E544" s="71"/>
      <c r="F544" s="73"/>
      <c r="G544" s="73"/>
      <c r="H544" s="73"/>
      <c r="I544" s="73"/>
      <c r="J544" s="73"/>
      <c r="K544" s="73"/>
    </row>
    <row r="545">
      <c r="C545" s="71"/>
      <c r="D545" s="71"/>
      <c r="E545" s="71"/>
      <c r="F545" s="73"/>
      <c r="G545" s="73"/>
      <c r="H545" s="73"/>
      <c r="I545" s="73"/>
      <c r="J545" s="73"/>
      <c r="K545" s="73"/>
    </row>
    <row r="546">
      <c r="C546" s="71"/>
      <c r="D546" s="71"/>
      <c r="E546" s="71"/>
      <c r="F546" s="73"/>
      <c r="G546" s="73"/>
      <c r="H546" s="73"/>
      <c r="I546" s="73"/>
      <c r="J546" s="73"/>
      <c r="K546" s="73"/>
    </row>
    <row r="547">
      <c r="C547" s="71"/>
      <c r="D547" s="71"/>
      <c r="E547" s="71"/>
      <c r="F547" s="73"/>
      <c r="G547" s="73"/>
      <c r="H547" s="73"/>
      <c r="I547" s="73"/>
      <c r="J547" s="73"/>
      <c r="K547" s="73"/>
    </row>
    <row r="548">
      <c r="C548" s="71"/>
      <c r="D548" s="71"/>
      <c r="E548" s="71"/>
      <c r="F548" s="73"/>
      <c r="G548" s="73"/>
      <c r="H548" s="73"/>
      <c r="I548" s="73"/>
      <c r="J548" s="73"/>
      <c r="K548" s="73"/>
    </row>
    <row r="549">
      <c r="C549" s="71"/>
      <c r="D549" s="71"/>
      <c r="E549" s="71"/>
      <c r="F549" s="73"/>
      <c r="G549" s="73"/>
      <c r="H549" s="73"/>
      <c r="I549" s="73"/>
      <c r="J549" s="73"/>
      <c r="K549" s="73"/>
    </row>
    <row r="550">
      <c r="C550" s="71"/>
      <c r="D550" s="71"/>
      <c r="E550" s="71"/>
      <c r="F550" s="73"/>
      <c r="G550" s="73"/>
      <c r="H550" s="73"/>
      <c r="I550" s="73"/>
      <c r="J550" s="73"/>
      <c r="K550" s="73"/>
    </row>
    <row r="551">
      <c r="C551" s="71"/>
      <c r="D551" s="71"/>
      <c r="E551" s="71"/>
      <c r="F551" s="73"/>
      <c r="G551" s="73"/>
      <c r="H551" s="73"/>
      <c r="I551" s="73"/>
      <c r="J551" s="73"/>
      <c r="K551" s="73"/>
    </row>
    <row r="552">
      <c r="C552" s="71"/>
      <c r="D552" s="71"/>
      <c r="E552" s="71"/>
      <c r="F552" s="73"/>
      <c r="G552" s="73"/>
      <c r="H552" s="73"/>
      <c r="I552" s="73"/>
      <c r="J552" s="73"/>
      <c r="K552" s="73"/>
    </row>
    <row r="553">
      <c r="C553" s="71"/>
      <c r="D553" s="71"/>
      <c r="E553" s="71"/>
      <c r="F553" s="73"/>
      <c r="G553" s="73"/>
      <c r="H553" s="73"/>
      <c r="I553" s="73"/>
      <c r="J553" s="73"/>
      <c r="K553" s="73"/>
    </row>
    <row r="554">
      <c r="C554" s="71"/>
      <c r="D554" s="71"/>
      <c r="E554" s="71"/>
      <c r="F554" s="73"/>
      <c r="G554" s="73"/>
      <c r="H554" s="73"/>
      <c r="I554" s="73"/>
      <c r="J554" s="73"/>
      <c r="K554" s="73"/>
    </row>
    <row r="555">
      <c r="C555" s="71"/>
      <c r="D555" s="71"/>
      <c r="E555" s="71"/>
      <c r="F555" s="73"/>
      <c r="G555" s="73"/>
      <c r="H555" s="73"/>
      <c r="I555" s="73"/>
      <c r="J555" s="73"/>
      <c r="K555" s="73"/>
    </row>
    <row r="556">
      <c r="C556" s="71"/>
      <c r="D556" s="71"/>
      <c r="E556" s="71"/>
      <c r="F556" s="73"/>
      <c r="G556" s="73"/>
      <c r="H556" s="73"/>
      <c r="I556" s="73"/>
      <c r="J556" s="73"/>
      <c r="K556" s="73"/>
    </row>
    <row r="557">
      <c r="C557" s="71"/>
      <c r="D557" s="71"/>
      <c r="E557" s="71"/>
      <c r="F557" s="73"/>
      <c r="G557" s="73"/>
      <c r="H557" s="73"/>
      <c r="I557" s="73"/>
      <c r="J557" s="73"/>
      <c r="K557" s="73"/>
    </row>
    <row r="558">
      <c r="C558" s="71"/>
      <c r="D558" s="71"/>
      <c r="E558" s="71"/>
      <c r="F558" s="73"/>
      <c r="G558" s="73"/>
      <c r="H558" s="73"/>
      <c r="I558" s="73"/>
      <c r="J558" s="73"/>
      <c r="K558" s="73"/>
    </row>
    <row r="559">
      <c r="C559" s="71"/>
      <c r="D559" s="71"/>
      <c r="E559" s="71"/>
      <c r="F559" s="73"/>
      <c r="G559" s="73"/>
      <c r="H559" s="73"/>
      <c r="I559" s="73"/>
      <c r="J559" s="73"/>
      <c r="K559" s="73"/>
    </row>
    <row r="560">
      <c r="C560" s="71"/>
      <c r="D560" s="71"/>
      <c r="E560" s="71"/>
      <c r="F560" s="73"/>
      <c r="G560" s="73"/>
      <c r="H560" s="73"/>
      <c r="I560" s="73"/>
      <c r="J560" s="73"/>
      <c r="K560" s="73"/>
    </row>
    <row r="561">
      <c r="C561" s="71"/>
      <c r="D561" s="71"/>
      <c r="E561" s="71"/>
      <c r="F561" s="73"/>
      <c r="G561" s="73"/>
      <c r="H561" s="73"/>
      <c r="I561" s="73"/>
      <c r="J561" s="73"/>
      <c r="K561" s="73"/>
    </row>
    <row r="562">
      <c r="C562" s="71"/>
      <c r="D562" s="71"/>
      <c r="E562" s="71"/>
      <c r="F562" s="73"/>
      <c r="G562" s="73"/>
      <c r="H562" s="73"/>
      <c r="I562" s="73"/>
      <c r="J562" s="73"/>
      <c r="K562" s="73"/>
    </row>
    <row r="563">
      <c r="C563" s="71"/>
      <c r="D563" s="71"/>
      <c r="E563" s="71"/>
      <c r="F563" s="73"/>
      <c r="G563" s="73"/>
      <c r="H563" s="73"/>
      <c r="I563" s="73"/>
      <c r="J563" s="73"/>
      <c r="K563" s="73"/>
    </row>
    <row r="564">
      <c r="C564" s="71"/>
      <c r="D564" s="71"/>
      <c r="E564" s="71"/>
      <c r="F564" s="73"/>
      <c r="G564" s="73"/>
      <c r="H564" s="73"/>
      <c r="I564" s="73"/>
      <c r="J564" s="73"/>
      <c r="K564" s="73"/>
    </row>
    <row r="565">
      <c r="C565" s="71"/>
      <c r="D565" s="71"/>
      <c r="E565" s="71"/>
      <c r="F565" s="73"/>
      <c r="G565" s="73"/>
      <c r="H565" s="73"/>
      <c r="I565" s="73"/>
      <c r="J565" s="73"/>
      <c r="K565" s="73"/>
    </row>
    <row r="566">
      <c r="C566" s="71"/>
      <c r="D566" s="71"/>
      <c r="E566" s="71"/>
      <c r="F566" s="73"/>
      <c r="G566" s="73"/>
      <c r="H566" s="73"/>
      <c r="I566" s="73"/>
      <c r="J566" s="73"/>
      <c r="K566" s="73"/>
    </row>
    <row r="567">
      <c r="C567" s="71"/>
      <c r="D567" s="71"/>
      <c r="E567" s="71"/>
      <c r="F567" s="73"/>
      <c r="G567" s="73"/>
      <c r="H567" s="73"/>
      <c r="I567" s="73"/>
      <c r="J567" s="73"/>
      <c r="K567" s="73"/>
    </row>
    <row r="568">
      <c r="C568" s="71"/>
      <c r="D568" s="71"/>
      <c r="E568" s="71"/>
      <c r="F568" s="73"/>
      <c r="G568" s="73"/>
      <c r="H568" s="73"/>
      <c r="I568" s="73"/>
      <c r="J568" s="73"/>
      <c r="K568" s="73"/>
    </row>
    <row r="569">
      <c r="C569" s="71"/>
      <c r="D569" s="71"/>
      <c r="E569" s="71"/>
      <c r="F569" s="73"/>
      <c r="G569" s="73"/>
      <c r="H569" s="73"/>
      <c r="I569" s="73"/>
      <c r="J569" s="73"/>
      <c r="K569" s="73"/>
    </row>
    <row r="570">
      <c r="C570" s="71"/>
      <c r="D570" s="71"/>
      <c r="E570" s="71"/>
      <c r="F570" s="73"/>
      <c r="G570" s="73"/>
      <c r="H570" s="73"/>
      <c r="I570" s="73"/>
      <c r="J570" s="73"/>
      <c r="K570" s="73"/>
    </row>
    <row r="571">
      <c r="C571" s="71"/>
      <c r="D571" s="71"/>
      <c r="E571" s="71"/>
      <c r="F571" s="73"/>
      <c r="G571" s="73"/>
      <c r="H571" s="73"/>
      <c r="I571" s="73"/>
      <c r="J571" s="73"/>
      <c r="K571" s="73"/>
    </row>
    <row r="572">
      <c r="C572" s="71"/>
      <c r="D572" s="71"/>
      <c r="E572" s="71"/>
      <c r="F572" s="73"/>
      <c r="G572" s="73"/>
      <c r="H572" s="73"/>
      <c r="I572" s="73"/>
      <c r="J572" s="73"/>
      <c r="K572" s="73"/>
    </row>
    <row r="573">
      <c r="C573" s="71"/>
      <c r="D573" s="71"/>
      <c r="E573" s="71"/>
      <c r="F573" s="73"/>
      <c r="G573" s="73"/>
      <c r="H573" s="73"/>
      <c r="I573" s="73"/>
      <c r="J573" s="73"/>
      <c r="K573" s="73"/>
    </row>
    <row r="574">
      <c r="C574" s="71"/>
      <c r="D574" s="71"/>
      <c r="E574" s="71"/>
      <c r="F574" s="73"/>
      <c r="G574" s="73"/>
      <c r="H574" s="73"/>
      <c r="I574" s="73"/>
      <c r="J574" s="73"/>
      <c r="K574" s="73"/>
    </row>
    <row r="575">
      <c r="C575" s="71"/>
      <c r="D575" s="71"/>
      <c r="E575" s="71"/>
      <c r="F575" s="73"/>
      <c r="G575" s="73"/>
      <c r="H575" s="73"/>
      <c r="I575" s="73"/>
      <c r="J575" s="73"/>
      <c r="K575" s="73"/>
    </row>
    <row r="576">
      <c r="C576" s="71"/>
      <c r="D576" s="71"/>
      <c r="E576" s="71"/>
      <c r="F576" s="73"/>
      <c r="G576" s="73"/>
      <c r="H576" s="73"/>
      <c r="I576" s="73"/>
      <c r="J576" s="73"/>
      <c r="K576" s="73"/>
    </row>
    <row r="577">
      <c r="C577" s="71"/>
      <c r="D577" s="71"/>
      <c r="E577" s="71"/>
      <c r="F577" s="73"/>
      <c r="G577" s="73"/>
      <c r="H577" s="73"/>
      <c r="I577" s="73"/>
      <c r="J577" s="73"/>
      <c r="K577" s="73"/>
    </row>
    <row r="578">
      <c r="C578" s="71"/>
      <c r="D578" s="71"/>
      <c r="E578" s="71"/>
      <c r="F578" s="73"/>
      <c r="G578" s="73"/>
      <c r="H578" s="73"/>
      <c r="I578" s="73"/>
      <c r="J578" s="73"/>
      <c r="K578" s="73"/>
    </row>
    <row r="579">
      <c r="C579" s="71"/>
      <c r="D579" s="71"/>
      <c r="E579" s="71"/>
      <c r="F579" s="73"/>
      <c r="G579" s="73"/>
      <c r="H579" s="73"/>
      <c r="I579" s="73"/>
      <c r="J579" s="73"/>
      <c r="K579" s="73"/>
    </row>
    <row r="580">
      <c r="C580" s="71"/>
      <c r="D580" s="71"/>
      <c r="E580" s="71"/>
      <c r="F580" s="73"/>
      <c r="G580" s="73"/>
      <c r="H580" s="73"/>
      <c r="I580" s="73"/>
      <c r="J580" s="73"/>
      <c r="K580" s="73"/>
    </row>
    <row r="581">
      <c r="C581" s="71"/>
      <c r="D581" s="71"/>
      <c r="E581" s="71"/>
      <c r="F581" s="73"/>
      <c r="G581" s="73"/>
      <c r="H581" s="73"/>
      <c r="I581" s="73"/>
      <c r="J581" s="73"/>
      <c r="K581" s="73"/>
    </row>
    <row r="582">
      <c r="C582" s="71"/>
      <c r="D582" s="71"/>
      <c r="E582" s="71"/>
      <c r="F582" s="73"/>
      <c r="G582" s="73"/>
      <c r="H582" s="73"/>
      <c r="I582" s="73"/>
      <c r="J582" s="73"/>
      <c r="K582" s="73"/>
    </row>
    <row r="583">
      <c r="C583" s="71"/>
      <c r="D583" s="71"/>
      <c r="E583" s="71"/>
      <c r="F583" s="73"/>
      <c r="G583" s="73"/>
      <c r="H583" s="73"/>
      <c r="I583" s="73"/>
      <c r="J583" s="73"/>
      <c r="K583" s="73"/>
    </row>
    <row r="584">
      <c r="C584" s="71"/>
      <c r="D584" s="71"/>
      <c r="E584" s="71"/>
      <c r="F584" s="73"/>
      <c r="G584" s="73"/>
      <c r="H584" s="73"/>
      <c r="I584" s="73"/>
      <c r="J584" s="73"/>
      <c r="K584" s="73"/>
    </row>
    <row r="585">
      <c r="C585" s="71"/>
      <c r="D585" s="71"/>
      <c r="E585" s="71"/>
      <c r="F585" s="73"/>
      <c r="G585" s="73"/>
      <c r="H585" s="73"/>
      <c r="I585" s="73"/>
      <c r="J585" s="73"/>
      <c r="K585" s="73"/>
    </row>
    <row r="586">
      <c r="C586" s="71"/>
      <c r="D586" s="71"/>
      <c r="E586" s="71"/>
      <c r="F586" s="73"/>
      <c r="G586" s="73"/>
      <c r="H586" s="73"/>
      <c r="I586" s="73"/>
      <c r="J586" s="73"/>
      <c r="K586" s="73"/>
    </row>
    <row r="587">
      <c r="C587" s="71"/>
      <c r="D587" s="71"/>
      <c r="E587" s="71"/>
      <c r="F587" s="73"/>
      <c r="G587" s="73"/>
      <c r="H587" s="73"/>
      <c r="I587" s="73"/>
      <c r="J587" s="73"/>
      <c r="K587" s="73"/>
    </row>
    <row r="588">
      <c r="C588" s="71"/>
      <c r="D588" s="71"/>
      <c r="E588" s="71"/>
      <c r="F588" s="73"/>
      <c r="G588" s="73"/>
      <c r="H588" s="73"/>
      <c r="I588" s="73"/>
      <c r="J588" s="73"/>
      <c r="K588" s="73"/>
    </row>
    <row r="589">
      <c r="C589" s="71"/>
      <c r="D589" s="71"/>
      <c r="E589" s="71"/>
      <c r="F589" s="73"/>
      <c r="G589" s="73"/>
      <c r="H589" s="73"/>
      <c r="I589" s="73"/>
      <c r="J589" s="73"/>
      <c r="K589" s="73"/>
    </row>
    <row r="590">
      <c r="C590" s="71"/>
      <c r="D590" s="71"/>
      <c r="E590" s="71"/>
      <c r="F590" s="73"/>
      <c r="G590" s="73"/>
      <c r="H590" s="73"/>
      <c r="I590" s="73"/>
      <c r="J590" s="73"/>
      <c r="K590" s="73"/>
    </row>
    <row r="591">
      <c r="C591" s="71"/>
      <c r="D591" s="71"/>
      <c r="E591" s="71"/>
      <c r="F591" s="73"/>
      <c r="G591" s="73"/>
      <c r="H591" s="73"/>
      <c r="I591" s="73"/>
      <c r="J591" s="73"/>
      <c r="K591" s="73"/>
    </row>
    <row r="592">
      <c r="C592" s="71"/>
      <c r="D592" s="71"/>
      <c r="E592" s="71"/>
      <c r="F592" s="73"/>
      <c r="G592" s="73"/>
      <c r="H592" s="73"/>
      <c r="I592" s="73"/>
      <c r="J592" s="73"/>
      <c r="K592" s="73"/>
    </row>
    <row r="593">
      <c r="C593" s="71"/>
      <c r="D593" s="71"/>
      <c r="E593" s="71"/>
      <c r="F593" s="73"/>
      <c r="G593" s="73"/>
      <c r="H593" s="73"/>
      <c r="I593" s="73"/>
      <c r="J593" s="73"/>
      <c r="K593" s="73"/>
    </row>
    <row r="594">
      <c r="C594" s="71"/>
      <c r="D594" s="71"/>
      <c r="E594" s="71"/>
      <c r="F594" s="73"/>
      <c r="G594" s="73"/>
      <c r="H594" s="73"/>
      <c r="I594" s="73"/>
      <c r="J594" s="73"/>
      <c r="K594" s="73"/>
    </row>
    <row r="595">
      <c r="C595" s="71"/>
      <c r="D595" s="71"/>
      <c r="E595" s="71"/>
      <c r="F595" s="73"/>
      <c r="G595" s="73"/>
      <c r="H595" s="73"/>
      <c r="I595" s="73"/>
      <c r="J595" s="73"/>
      <c r="K595" s="73"/>
    </row>
    <row r="596">
      <c r="C596" s="71"/>
      <c r="D596" s="71"/>
      <c r="E596" s="71"/>
      <c r="F596" s="73"/>
      <c r="G596" s="73"/>
      <c r="H596" s="73"/>
      <c r="I596" s="73"/>
      <c r="J596" s="73"/>
      <c r="K596" s="73"/>
    </row>
    <row r="597">
      <c r="C597" s="71"/>
      <c r="D597" s="71"/>
      <c r="E597" s="71"/>
      <c r="F597" s="73"/>
      <c r="G597" s="73"/>
      <c r="H597" s="73"/>
      <c r="I597" s="73"/>
      <c r="J597" s="73"/>
      <c r="K597" s="73"/>
    </row>
    <row r="598">
      <c r="C598" s="71"/>
      <c r="D598" s="71"/>
      <c r="E598" s="71"/>
      <c r="F598" s="73"/>
      <c r="G598" s="73"/>
      <c r="H598" s="73"/>
      <c r="I598" s="73"/>
      <c r="J598" s="73"/>
      <c r="K598" s="73"/>
    </row>
    <row r="599">
      <c r="C599" s="71"/>
      <c r="D599" s="71"/>
      <c r="E599" s="71"/>
      <c r="F599" s="73"/>
      <c r="G599" s="73"/>
      <c r="H599" s="73"/>
      <c r="I599" s="73"/>
      <c r="J599" s="73"/>
      <c r="K599" s="73"/>
    </row>
    <row r="600">
      <c r="C600" s="71"/>
      <c r="D600" s="71"/>
      <c r="E600" s="71"/>
      <c r="F600" s="73"/>
      <c r="G600" s="73"/>
      <c r="H600" s="73"/>
      <c r="I600" s="73"/>
      <c r="J600" s="73"/>
      <c r="K600" s="73"/>
    </row>
    <row r="601">
      <c r="C601" s="71"/>
      <c r="D601" s="71"/>
      <c r="E601" s="71"/>
      <c r="F601" s="73"/>
      <c r="G601" s="73"/>
      <c r="H601" s="73"/>
      <c r="I601" s="73"/>
      <c r="J601" s="73"/>
      <c r="K601" s="73"/>
    </row>
    <row r="602">
      <c r="C602" s="71"/>
      <c r="D602" s="71"/>
      <c r="E602" s="71"/>
      <c r="F602" s="73"/>
      <c r="G602" s="73"/>
      <c r="H602" s="73"/>
      <c r="I602" s="73"/>
      <c r="J602" s="73"/>
      <c r="K602" s="73"/>
    </row>
    <row r="603">
      <c r="C603" s="71"/>
      <c r="D603" s="71"/>
      <c r="E603" s="71"/>
      <c r="F603" s="73"/>
      <c r="G603" s="73"/>
      <c r="H603" s="73"/>
      <c r="I603" s="73"/>
      <c r="J603" s="73"/>
      <c r="K603" s="73"/>
    </row>
    <row r="604">
      <c r="C604" s="71"/>
      <c r="D604" s="71"/>
      <c r="E604" s="71"/>
      <c r="F604" s="73"/>
      <c r="G604" s="73"/>
      <c r="H604" s="73"/>
      <c r="I604" s="73"/>
      <c r="J604" s="73"/>
      <c r="K604" s="73"/>
    </row>
    <row r="605">
      <c r="C605" s="71"/>
      <c r="D605" s="71"/>
      <c r="E605" s="71"/>
      <c r="F605" s="73"/>
      <c r="G605" s="73"/>
      <c r="H605" s="73"/>
      <c r="I605" s="73"/>
      <c r="J605" s="73"/>
      <c r="K605" s="73"/>
    </row>
    <row r="606">
      <c r="C606" s="71"/>
      <c r="D606" s="71"/>
      <c r="E606" s="71"/>
      <c r="F606" s="73"/>
      <c r="G606" s="73"/>
      <c r="H606" s="73"/>
      <c r="I606" s="73"/>
      <c r="J606" s="73"/>
      <c r="K606" s="73"/>
    </row>
    <row r="607">
      <c r="C607" s="71"/>
      <c r="D607" s="71"/>
      <c r="E607" s="71"/>
      <c r="F607" s="73"/>
      <c r="G607" s="73"/>
      <c r="H607" s="73"/>
      <c r="I607" s="73"/>
      <c r="J607" s="73"/>
      <c r="K607" s="73"/>
    </row>
    <row r="608">
      <c r="C608" s="71"/>
      <c r="D608" s="71"/>
      <c r="E608" s="71"/>
      <c r="F608" s="73"/>
      <c r="G608" s="73"/>
      <c r="H608" s="73"/>
      <c r="I608" s="73"/>
      <c r="J608" s="73"/>
      <c r="K608" s="73"/>
    </row>
    <row r="609">
      <c r="C609" s="71"/>
      <c r="D609" s="71"/>
      <c r="E609" s="71"/>
      <c r="F609" s="73"/>
      <c r="G609" s="73"/>
      <c r="H609" s="73"/>
      <c r="I609" s="73"/>
      <c r="J609" s="73"/>
      <c r="K609" s="73"/>
    </row>
    <row r="610">
      <c r="C610" s="71"/>
      <c r="D610" s="71"/>
      <c r="E610" s="71"/>
      <c r="F610" s="73"/>
      <c r="G610" s="73"/>
      <c r="H610" s="73"/>
      <c r="I610" s="73"/>
      <c r="J610" s="73"/>
      <c r="K610" s="73"/>
    </row>
    <row r="611">
      <c r="C611" s="71"/>
      <c r="D611" s="71"/>
      <c r="E611" s="71"/>
      <c r="F611" s="73"/>
      <c r="G611" s="73"/>
      <c r="H611" s="73"/>
      <c r="I611" s="73"/>
      <c r="J611" s="73"/>
      <c r="K611" s="73"/>
    </row>
    <row r="612">
      <c r="C612" s="71"/>
      <c r="D612" s="71"/>
      <c r="E612" s="71"/>
      <c r="F612" s="73"/>
      <c r="G612" s="73"/>
      <c r="H612" s="73"/>
      <c r="I612" s="73"/>
      <c r="J612" s="73"/>
      <c r="K612" s="73"/>
    </row>
    <row r="613">
      <c r="C613" s="71"/>
      <c r="D613" s="71"/>
      <c r="E613" s="71"/>
      <c r="F613" s="73"/>
      <c r="G613" s="73"/>
      <c r="H613" s="73"/>
      <c r="I613" s="73"/>
      <c r="J613" s="73"/>
      <c r="K613" s="73"/>
    </row>
    <row r="614">
      <c r="C614" s="71"/>
      <c r="D614" s="71"/>
      <c r="E614" s="71"/>
      <c r="F614" s="73"/>
      <c r="G614" s="73"/>
      <c r="H614" s="73"/>
      <c r="I614" s="73"/>
      <c r="J614" s="73"/>
      <c r="K614" s="73"/>
    </row>
    <row r="615">
      <c r="C615" s="71"/>
      <c r="D615" s="71"/>
      <c r="E615" s="71"/>
      <c r="F615" s="73"/>
      <c r="G615" s="73"/>
      <c r="H615" s="73"/>
      <c r="I615" s="73"/>
      <c r="J615" s="73"/>
      <c r="K615" s="73"/>
    </row>
    <row r="616">
      <c r="C616" s="71"/>
      <c r="D616" s="71"/>
      <c r="E616" s="71"/>
      <c r="F616" s="73"/>
      <c r="G616" s="73"/>
      <c r="H616" s="73"/>
      <c r="I616" s="73"/>
      <c r="J616" s="73"/>
      <c r="K616" s="73"/>
    </row>
    <row r="617">
      <c r="C617" s="71"/>
      <c r="D617" s="71"/>
      <c r="E617" s="71"/>
      <c r="F617" s="73"/>
      <c r="G617" s="73"/>
      <c r="H617" s="73"/>
      <c r="I617" s="73"/>
      <c r="J617" s="73"/>
      <c r="K617" s="73"/>
    </row>
    <row r="618">
      <c r="C618" s="71"/>
      <c r="D618" s="71"/>
      <c r="E618" s="71"/>
      <c r="F618" s="73"/>
      <c r="G618" s="73"/>
      <c r="H618" s="73"/>
      <c r="I618" s="73"/>
      <c r="J618" s="73"/>
      <c r="K618" s="73"/>
    </row>
    <row r="619">
      <c r="C619" s="71"/>
      <c r="D619" s="71"/>
      <c r="E619" s="71"/>
      <c r="F619" s="73"/>
      <c r="G619" s="73"/>
      <c r="H619" s="73"/>
      <c r="I619" s="73"/>
      <c r="J619" s="73"/>
      <c r="K619" s="73"/>
    </row>
    <row r="620">
      <c r="C620" s="71"/>
      <c r="D620" s="71"/>
      <c r="E620" s="71"/>
      <c r="F620" s="73"/>
      <c r="G620" s="73"/>
      <c r="H620" s="73"/>
      <c r="I620" s="73"/>
      <c r="J620" s="73"/>
      <c r="K620" s="73"/>
    </row>
    <row r="621">
      <c r="C621" s="71"/>
      <c r="D621" s="71"/>
      <c r="E621" s="71"/>
      <c r="F621" s="73"/>
      <c r="G621" s="73"/>
      <c r="H621" s="73"/>
      <c r="I621" s="73"/>
      <c r="J621" s="73"/>
      <c r="K621" s="73"/>
    </row>
    <row r="622">
      <c r="C622" s="71"/>
      <c r="D622" s="71"/>
      <c r="E622" s="71"/>
      <c r="F622" s="73"/>
      <c r="G622" s="73"/>
      <c r="H622" s="73"/>
      <c r="I622" s="73"/>
      <c r="J622" s="73"/>
      <c r="K622" s="73"/>
    </row>
    <row r="623">
      <c r="C623" s="71"/>
      <c r="D623" s="71"/>
      <c r="E623" s="71"/>
      <c r="F623" s="73"/>
      <c r="G623" s="73"/>
      <c r="H623" s="73"/>
      <c r="I623" s="73"/>
      <c r="J623" s="73"/>
      <c r="K623" s="73"/>
    </row>
    <row r="624">
      <c r="C624" s="71"/>
      <c r="D624" s="71"/>
      <c r="E624" s="71"/>
      <c r="F624" s="73"/>
      <c r="G624" s="73"/>
      <c r="H624" s="73"/>
      <c r="I624" s="73"/>
      <c r="J624" s="73"/>
      <c r="K624" s="73"/>
    </row>
    <row r="625">
      <c r="C625" s="71"/>
      <c r="D625" s="71"/>
      <c r="E625" s="71"/>
      <c r="F625" s="73"/>
      <c r="G625" s="73"/>
      <c r="H625" s="73"/>
      <c r="I625" s="73"/>
      <c r="J625" s="73"/>
      <c r="K625" s="73"/>
    </row>
    <row r="626">
      <c r="C626" s="71"/>
      <c r="D626" s="71"/>
      <c r="E626" s="71"/>
      <c r="F626" s="73"/>
      <c r="G626" s="73"/>
      <c r="H626" s="73"/>
      <c r="I626" s="73"/>
      <c r="J626" s="73"/>
      <c r="K626" s="73"/>
    </row>
    <row r="627">
      <c r="C627" s="71"/>
      <c r="D627" s="71"/>
      <c r="E627" s="71"/>
      <c r="F627" s="73"/>
      <c r="G627" s="73"/>
      <c r="H627" s="73"/>
      <c r="I627" s="73"/>
      <c r="J627" s="73"/>
      <c r="K627" s="73"/>
    </row>
    <row r="628">
      <c r="C628" s="71"/>
      <c r="D628" s="71"/>
      <c r="E628" s="71"/>
      <c r="F628" s="73"/>
      <c r="G628" s="73"/>
      <c r="H628" s="73"/>
      <c r="I628" s="73"/>
      <c r="J628" s="73"/>
      <c r="K628" s="73"/>
    </row>
    <row r="629">
      <c r="C629" s="71"/>
      <c r="D629" s="71"/>
      <c r="E629" s="71"/>
      <c r="F629" s="73"/>
      <c r="G629" s="73"/>
      <c r="H629" s="73"/>
      <c r="I629" s="73"/>
      <c r="J629" s="73"/>
      <c r="K629" s="73"/>
    </row>
    <row r="630">
      <c r="C630" s="71"/>
      <c r="D630" s="71"/>
      <c r="E630" s="71"/>
      <c r="F630" s="73"/>
      <c r="G630" s="73"/>
      <c r="H630" s="73"/>
      <c r="I630" s="73"/>
      <c r="J630" s="73"/>
      <c r="K630" s="73"/>
    </row>
    <row r="631">
      <c r="C631" s="71"/>
      <c r="D631" s="71"/>
      <c r="E631" s="71"/>
      <c r="F631" s="73"/>
      <c r="G631" s="73"/>
      <c r="H631" s="73"/>
      <c r="I631" s="73"/>
      <c r="J631" s="73"/>
      <c r="K631" s="73"/>
    </row>
    <row r="632">
      <c r="C632" s="71"/>
      <c r="D632" s="71"/>
      <c r="E632" s="71"/>
      <c r="F632" s="73"/>
      <c r="G632" s="73"/>
      <c r="H632" s="73"/>
      <c r="I632" s="73"/>
      <c r="J632" s="73"/>
      <c r="K632" s="73"/>
    </row>
    <row r="633">
      <c r="C633" s="71"/>
      <c r="D633" s="71"/>
      <c r="E633" s="71"/>
      <c r="F633" s="73"/>
      <c r="G633" s="73"/>
      <c r="H633" s="73"/>
      <c r="I633" s="73"/>
      <c r="J633" s="73"/>
      <c r="K633" s="73"/>
    </row>
    <row r="634">
      <c r="C634" s="71"/>
      <c r="D634" s="71"/>
      <c r="E634" s="71"/>
      <c r="F634" s="73"/>
      <c r="G634" s="73"/>
      <c r="H634" s="73"/>
      <c r="I634" s="73"/>
      <c r="J634" s="73"/>
      <c r="K634" s="73"/>
    </row>
    <row r="635">
      <c r="C635" s="71"/>
      <c r="D635" s="71"/>
      <c r="E635" s="71"/>
      <c r="F635" s="73"/>
      <c r="G635" s="73"/>
      <c r="H635" s="73"/>
      <c r="I635" s="73"/>
      <c r="J635" s="73"/>
      <c r="K635" s="73"/>
    </row>
    <row r="636">
      <c r="C636" s="71"/>
      <c r="D636" s="71"/>
      <c r="E636" s="71"/>
      <c r="F636" s="73"/>
      <c r="G636" s="73"/>
      <c r="H636" s="73"/>
      <c r="I636" s="73"/>
      <c r="J636" s="73"/>
      <c r="K636" s="73"/>
    </row>
    <row r="637">
      <c r="C637" s="71"/>
      <c r="D637" s="71"/>
      <c r="E637" s="71"/>
      <c r="F637" s="73"/>
      <c r="G637" s="73"/>
      <c r="H637" s="73"/>
      <c r="I637" s="73"/>
      <c r="J637" s="73"/>
      <c r="K637" s="73"/>
    </row>
    <row r="638">
      <c r="C638" s="71"/>
      <c r="D638" s="71"/>
      <c r="E638" s="71"/>
      <c r="F638" s="73"/>
      <c r="G638" s="73"/>
      <c r="H638" s="73"/>
      <c r="I638" s="73"/>
      <c r="J638" s="73"/>
      <c r="K638" s="73"/>
    </row>
    <row r="639">
      <c r="C639" s="71"/>
      <c r="D639" s="71"/>
      <c r="E639" s="71"/>
      <c r="F639" s="73"/>
      <c r="G639" s="73"/>
      <c r="H639" s="73"/>
      <c r="I639" s="73"/>
      <c r="J639" s="73"/>
      <c r="K639" s="73"/>
    </row>
    <row r="640">
      <c r="C640" s="71"/>
      <c r="D640" s="71"/>
      <c r="E640" s="71"/>
      <c r="F640" s="73"/>
      <c r="G640" s="73"/>
      <c r="H640" s="73"/>
      <c r="I640" s="73"/>
      <c r="J640" s="73"/>
      <c r="K640" s="73"/>
    </row>
    <row r="641">
      <c r="C641" s="71"/>
      <c r="D641" s="71"/>
      <c r="E641" s="71"/>
      <c r="F641" s="73"/>
      <c r="G641" s="73"/>
      <c r="H641" s="73"/>
      <c r="I641" s="73"/>
      <c r="J641" s="73"/>
      <c r="K641" s="73"/>
    </row>
    <row r="642">
      <c r="C642" s="71"/>
      <c r="D642" s="71"/>
      <c r="E642" s="71"/>
      <c r="F642" s="73"/>
      <c r="G642" s="73"/>
      <c r="H642" s="73"/>
      <c r="I642" s="73"/>
      <c r="J642" s="73"/>
      <c r="K642" s="73"/>
    </row>
    <row r="643">
      <c r="C643" s="71"/>
      <c r="D643" s="71"/>
      <c r="E643" s="71"/>
      <c r="F643" s="73"/>
      <c r="G643" s="73"/>
      <c r="H643" s="73"/>
      <c r="I643" s="73"/>
      <c r="J643" s="73"/>
      <c r="K643" s="73"/>
    </row>
    <row r="644">
      <c r="C644" s="71"/>
      <c r="D644" s="71"/>
      <c r="E644" s="71"/>
      <c r="F644" s="73"/>
      <c r="G644" s="73"/>
      <c r="H644" s="73"/>
      <c r="I644" s="73"/>
      <c r="J644" s="73"/>
      <c r="K644" s="73"/>
    </row>
    <row r="645">
      <c r="C645" s="71"/>
      <c r="D645" s="71"/>
      <c r="E645" s="71"/>
      <c r="F645" s="73"/>
      <c r="G645" s="73"/>
      <c r="H645" s="73"/>
      <c r="I645" s="73"/>
      <c r="J645" s="73"/>
      <c r="K645" s="73"/>
    </row>
    <row r="646">
      <c r="C646" s="71"/>
      <c r="D646" s="71"/>
      <c r="E646" s="71"/>
      <c r="F646" s="73"/>
      <c r="G646" s="73"/>
      <c r="H646" s="73"/>
      <c r="I646" s="73"/>
      <c r="J646" s="73"/>
      <c r="K646" s="73"/>
    </row>
    <row r="647">
      <c r="C647" s="71"/>
      <c r="D647" s="71"/>
      <c r="E647" s="71"/>
      <c r="F647" s="73"/>
      <c r="G647" s="73"/>
      <c r="H647" s="73"/>
      <c r="I647" s="73"/>
      <c r="J647" s="73"/>
      <c r="K647" s="73"/>
    </row>
    <row r="648">
      <c r="C648" s="71"/>
      <c r="D648" s="71"/>
      <c r="E648" s="71"/>
      <c r="F648" s="73"/>
      <c r="G648" s="73"/>
      <c r="H648" s="73"/>
      <c r="I648" s="73"/>
      <c r="J648" s="73"/>
      <c r="K648" s="73"/>
    </row>
    <row r="649">
      <c r="C649" s="71"/>
      <c r="D649" s="71"/>
      <c r="E649" s="71"/>
      <c r="F649" s="73"/>
      <c r="G649" s="73"/>
      <c r="H649" s="73"/>
      <c r="I649" s="73"/>
      <c r="J649" s="73"/>
      <c r="K649" s="73"/>
    </row>
    <row r="650">
      <c r="C650" s="71"/>
      <c r="D650" s="71"/>
      <c r="E650" s="71"/>
      <c r="F650" s="73"/>
      <c r="G650" s="73"/>
      <c r="H650" s="73"/>
      <c r="I650" s="73"/>
      <c r="J650" s="73"/>
      <c r="K650" s="73"/>
    </row>
    <row r="651">
      <c r="C651" s="71"/>
      <c r="D651" s="71"/>
      <c r="E651" s="71"/>
      <c r="F651" s="73"/>
      <c r="G651" s="73"/>
      <c r="H651" s="73"/>
      <c r="I651" s="73"/>
      <c r="J651" s="73"/>
      <c r="K651" s="73"/>
    </row>
    <row r="652">
      <c r="C652" s="71"/>
      <c r="D652" s="71"/>
      <c r="E652" s="71"/>
      <c r="F652" s="73"/>
      <c r="G652" s="73"/>
      <c r="H652" s="73"/>
      <c r="I652" s="73"/>
      <c r="J652" s="73"/>
      <c r="K652" s="73"/>
    </row>
    <row r="653">
      <c r="C653" s="71"/>
      <c r="D653" s="71"/>
      <c r="E653" s="71"/>
      <c r="F653" s="73"/>
      <c r="G653" s="73"/>
      <c r="H653" s="73"/>
      <c r="I653" s="73"/>
      <c r="J653" s="73"/>
      <c r="K653" s="73"/>
    </row>
    <row r="654">
      <c r="C654" s="71"/>
      <c r="D654" s="71"/>
      <c r="E654" s="71"/>
      <c r="F654" s="73"/>
      <c r="G654" s="73"/>
      <c r="H654" s="73"/>
      <c r="I654" s="73"/>
      <c r="J654" s="73"/>
      <c r="K654" s="73"/>
    </row>
    <row r="655">
      <c r="C655" s="71"/>
      <c r="D655" s="71"/>
      <c r="E655" s="71"/>
      <c r="F655" s="73"/>
      <c r="G655" s="73"/>
      <c r="H655" s="73"/>
      <c r="I655" s="73"/>
      <c r="J655" s="73"/>
      <c r="K655" s="73"/>
    </row>
    <row r="656">
      <c r="C656" s="71"/>
      <c r="D656" s="71"/>
      <c r="E656" s="71"/>
      <c r="F656" s="73"/>
      <c r="G656" s="73"/>
      <c r="H656" s="73"/>
      <c r="I656" s="73"/>
      <c r="J656" s="73"/>
      <c r="K656" s="73"/>
    </row>
    <row r="657">
      <c r="C657" s="71"/>
      <c r="D657" s="71"/>
      <c r="E657" s="71"/>
      <c r="F657" s="73"/>
      <c r="G657" s="73"/>
      <c r="H657" s="73"/>
      <c r="I657" s="73"/>
      <c r="J657" s="73"/>
      <c r="K657" s="73"/>
    </row>
    <row r="658">
      <c r="C658" s="71"/>
      <c r="D658" s="71"/>
      <c r="E658" s="71"/>
      <c r="F658" s="73"/>
      <c r="G658" s="73"/>
      <c r="H658" s="73"/>
      <c r="I658" s="73"/>
      <c r="J658" s="73"/>
      <c r="K658" s="73"/>
    </row>
    <row r="659">
      <c r="C659" s="71"/>
      <c r="D659" s="71"/>
      <c r="E659" s="71"/>
      <c r="F659" s="73"/>
      <c r="G659" s="73"/>
      <c r="H659" s="73"/>
      <c r="I659" s="73"/>
      <c r="J659" s="73"/>
      <c r="K659" s="73"/>
    </row>
    <row r="660">
      <c r="C660" s="71"/>
      <c r="D660" s="71"/>
      <c r="E660" s="71"/>
      <c r="F660" s="73"/>
      <c r="G660" s="73"/>
      <c r="H660" s="73"/>
      <c r="I660" s="73"/>
      <c r="J660" s="73"/>
      <c r="K660" s="73"/>
    </row>
    <row r="661">
      <c r="C661" s="71"/>
      <c r="D661" s="71"/>
      <c r="E661" s="71"/>
      <c r="F661" s="73"/>
      <c r="G661" s="73"/>
      <c r="H661" s="73"/>
      <c r="I661" s="73"/>
      <c r="J661" s="73"/>
      <c r="K661" s="73"/>
    </row>
    <row r="662">
      <c r="C662" s="71"/>
      <c r="D662" s="71"/>
      <c r="E662" s="71"/>
      <c r="F662" s="73"/>
      <c r="G662" s="73"/>
      <c r="H662" s="73"/>
      <c r="I662" s="73"/>
      <c r="J662" s="73"/>
      <c r="K662" s="73"/>
    </row>
    <row r="663">
      <c r="C663" s="71"/>
      <c r="D663" s="71"/>
      <c r="E663" s="71"/>
      <c r="F663" s="73"/>
      <c r="G663" s="73"/>
      <c r="H663" s="73"/>
      <c r="I663" s="73"/>
      <c r="J663" s="73"/>
      <c r="K663" s="73"/>
    </row>
    <row r="664">
      <c r="C664" s="71"/>
      <c r="D664" s="71"/>
      <c r="E664" s="71"/>
      <c r="F664" s="73"/>
      <c r="G664" s="73"/>
      <c r="H664" s="73"/>
      <c r="I664" s="73"/>
      <c r="J664" s="73"/>
      <c r="K664" s="73"/>
    </row>
    <row r="665">
      <c r="C665" s="71"/>
      <c r="D665" s="71"/>
      <c r="E665" s="71"/>
      <c r="F665" s="73"/>
      <c r="G665" s="73"/>
      <c r="H665" s="73"/>
      <c r="I665" s="73"/>
      <c r="J665" s="73"/>
      <c r="K665" s="73"/>
    </row>
    <row r="666">
      <c r="C666" s="71"/>
      <c r="D666" s="71"/>
      <c r="E666" s="71"/>
      <c r="F666" s="73"/>
      <c r="G666" s="73"/>
      <c r="H666" s="73"/>
      <c r="I666" s="73"/>
      <c r="J666" s="73"/>
      <c r="K666" s="73"/>
    </row>
    <row r="667">
      <c r="C667" s="71"/>
      <c r="D667" s="71"/>
      <c r="E667" s="71"/>
      <c r="F667" s="73"/>
      <c r="G667" s="73"/>
      <c r="H667" s="73"/>
      <c r="I667" s="73"/>
      <c r="J667" s="73"/>
      <c r="K667" s="73"/>
    </row>
    <row r="668">
      <c r="C668" s="71"/>
      <c r="D668" s="71"/>
      <c r="E668" s="71"/>
      <c r="F668" s="73"/>
      <c r="G668" s="73"/>
      <c r="H668" s="73"/>
      <c r="I668" s="73"/>
      <c r="J668" s="73"/>
      <c r="K668" s="73"/>
    </row>
    <row r="669">
      <c r="C669" s="71"/>
      <c r="D669" s="71"/>
      <c r="E669" s="71"/>
      <c r="F669" s="73"/>
      <c r="G669" s="73"/>
      <c r="H669" s="73"/>
      <c r="I669" s="73"/>
      <c r="J669" s="73"/>
      <c r="K669" s="73"/>
    </row>
    <row r="670">
      <c r="C670" s="71"/>
      <c r="D670" s="71"/>
      <c r="E670" s="71"/>
      <c r="F670" s="73"/>
      <c r="G670" s="73"/>
      <c r="H670" s="73"/>
      <c r="I670" s="73"/>
      <c r="J670" s="73"/>
      <c r="K670" s="73"/>
    </row>
    <row r="671">
      <c r="C671" s="71"/>
      <c r="D671" s="71"/>
      <c r="E671" s="71"/>
      <c r="F671" s="73"/>
      <c r="G671" s="73"/>
      <c r="H671" s="73"/>
      <c r="I671" s="73"/>
      <c r="J671" s="73"/>
      <c r="K671" s="73"/>
    </row>
    <row r="672">
      <c r="C672" s="71"/>
      <c r="D672" s="71"/>
      <c r="E672" s="71"/>
      <c r="F672" s="73"/>
      <c r="G672" s="73"/>
      <c r="H672" s="73"/>
      <c r="I672" s="73"/>
      <c r="J672" s="73"/>
      <c r="K672" s="73"/>
    </row>
    <row r="673">
      <c r="C673" s="71"/>
      <c r="D673" s="71"/>
      <c r="E673" s="71"/>
      <c r="F673" s="73"/>
      <c r="G673" s="73"/>
      <c r="H673" s="73"/>
      <c r="I673" s="73"/>
      <c r="J673" s="73"/>
      <c r="K673" s="73"/>
    </row>
    <row r="674">
      <c r="C674" s="71"/>
      <c r="D674" s="71"/>
      <c r="E674" s="71"/>
      <c r="F674" s="73"/>
      <c r="G674" s="73"/>
      <c r="H674" s="73"/>
      <c r="I674" s="73"/>
      <c r="J674" s="73"/>
      <c r="K674" s="73"/>
    </row>
    <row r="675">
      <c r="C675" s="71"/>
      <c r="D675" s="71"/>
      <c r="E675" s="71"/>
      <c r="F675" s="73"/>
      <c r="G675" s="73"/>
      <c r="H675" s="73"/>
      <c r="I675" s="73"/>
      <c r="J675" s="73"/>
      <c r="K675" s="73"/>
    </row>
    <row r="676">
      <c r="C676" s="71"/>
      <c r="D676" s="71"/>
      <c r="E676" s="71"/>
      <c r="F676" s="73"/>
      <c r="G676" s="73"/>
      <c r="H676" s="73"/>
      <c r="I676" s="73"/>
      <c r="J676" s="73"/>
      <c r="K676" s="73"/>
    </row>
    <row r="677">
      <c r="C677" s="71"/>
      <c r="D677" s="71"/>
      <c r="E677" s="71"/>
      <c r="F677" s="73"/>
      <c r="G677" s="73"/>
      <c r="H677" s="73"/>
      <c r="I677" s="73"/>
      <c r="J677" s="73"/>
      <c r="K677" s="73"/>
    </row>
    <row r="678">
      <c r="C678" s="71"/>
      <c r="D678" s="71"/>
      <c r="E678" s="71"/>
      <c r="F678" s="73"/>
      <c r="G678" s="73"/>
      <c r="H678" s="73"/>
      <c r="I678" s="73"/>
      <c r="J678" s="73"/>
      <c r="K678" s="73"/>
    </row>
    <row r="679">
      <c r="C679" s="71"/>
      <c r="D679" s="71"/>
      <c r="E679" s="71"/>
      <c r="F679" s="73"/>
      <c r="G679" s="73"/>
      <c r="H679" s="73"/>
      <c r="I679" s="73"/>
      <c r="J679" s="73"/>
      <c r="K679" s="73"/>
    </row>
    <row r="680">
      <c r="C680" s="71"/>
      <c r="D680" s="71"/>
      <c r="E680" s="71"/>
      <c r="F680" s="73"/>
      <c r="G680" s="73"/>
      <c r="H680" s="73"/>
      <c r="I680" s="73"/>
      <c r="J680" s="73"/>
      <c r="K680" s="73"/>
    </row>
    <row r="681">
      <c r="C681" s="71"/>
      <c r="D681" s="71"/>
      <c r="E681" s="71"/>
      <c r="F681" s="73"/>
      <c r="G681" s="73"/>
      <c r="H681" s="73"/>
      <c r="I681" s="73"/>
      <c r="J681" s="73"/>
      <c r="K681" s="73"/>
    </row>
    <row r="682">
      <c r="C682" s="71"/>
      <c r="D682" s="71"/>
      <c r="E682" s="71"/>
      <c r="F682" s="73"/>
      <c r="G682" s="73"/>
      <c r="H682" s="73"/>
      <c r="I682" s="73"/>
      <c r="J682" s="73"/>
      <c r="K682" s="73"/>
    </row>
    <row r="683">
      <c r="C683" s="71"/>
      <c r="D683" s="71"/>
      <c r="E683" s="71"/>
      <c r="F683" s="73"/>
      <c r="G683" s="73"/>
      <c r="H683" s="73"/>
      <c r="I683" s="73"/>
      <c r="J683" s="73"/>
      <c r="K683" s="73"/>
    </row>
    <row r="684">
      <c r="C684" s="71"/>
      <c r="D684" s="71"/>
      <c r="E684" s="71"/>
      <c r="F684" s="73"/>
      <c r="G684" s="73"/>
      <c r="H684" s="73"/>
      <c r="I684" s="73"/>
      <c r="J684" s="73"/>
      <c r="K684" s="73"/>
    </row>
    <row r="685">
      <c r="C685" s="71"/>
      <c r="D685" s="71"/>
      <c r="E685" s="71"/>
      <c r="F685" s="73"/>
      <c r="G685" s="73"/>
      <c r="H685" s="73"/>
      <c r="I685" s="73"/>
      <c r="J685" s="73"/>
      <c r="K685" s="73"/>
    </row>
    <row r="686">
      <c r="C686" s="71"/>
      <c r="D686" s="71"/>
      <c r="E686" s="71"/>
      <c r="F686" s="73"/>
      <c r="G686" s="73"/>
      <c r="H686" s="73"/>
      <c r="I686" s="73"/>
      <c r="J686" s="73"/>
      <c r="K686" s="73"/>
    </row>
    <row r="687">
      <c r="C687" s="71"/>
      <c r="D687" s="71"/>
      <c r="E687" s="71"/>
      <c r="F687" s="73"/>
      <c r="G687" s="73"/>
      <c r="H687" s="73"/>
      <c r="I687" s="73"/>
      <c r="J687" s="73"/>
      <c r="K687" s="73"/>
    </row>
    <row r="688">
      <c r="C688" s="71"/>
      <c r="D688" s="71"/>
      <c r="E688" s="71"/>
      <c r="F688" s="73"/>
      <c r="G688" s="73"/>
      <c r="H688" s="73"/>
      <c r="I688" s="73"/>
      <c r="J688" s="73"/>
      <c r="K688" s="73"/>
    </row>
    <row r="689">
      <c r="C689" s="71"/>
      <c r="D689" s="71"/>
      <c r="E689" s="71"/>
      <c r="F689" s="73"/>
      <c r="G689" s="73"/>
      <c r="H689" s="73"/>
      <c r="I689" s="73"/>
      <c r="J689" s="73"/>
      <c r="K689" s="73"/>
    </row>
    <row r="690">
      <c r="C690" s="71"/>
      <c r="D690" s="71"/>
      <c r="E690" s="71"/>
      <c r="F690" s="73"/>
      <c r="G690" s="73"/>
      <c r="H690" s="73"/>
      <c r="I690" s="73"/>
      <c r="J690" s="73"/>
      <c r="K690" s="73"/>
    </row>
    <row r="691">
      <c r="C691" s="71"/>
      <c r="D691" s="71"/>
      <c r="E691" s="71"/>
      <c r="F691" s="73"/>
      <c r="G691" s="73"/>
      <c r="H691" s="73"/>
      <c r="I691" s="73"/>
      <c r="J691" s="73"/>
      <c r="K691" s="73"/>
    </row>
    <row r="692">
      <c r="C692" s="71"/>
      <c r="D692" s="71"/>
      <c r="E692" s="71"/>
      <c r="F692" s="73"/>
      <c r="G692" s="73"/>
      <c r="H692" s="73"/>
      <c r="I692" s="73"/>
      <c r="J692" s="73"/>
      <c r="K692" s="73"/>
    </row>
    <row r="693">
      <c r="C693" s="71"/>
      <c r="D693" s="71"/>
      <c r="E693" s="71"/>
      <c r="F693" s="73"/>
      <c r="G693" s="73"/>
      <c r="H693" s="73"/>
      <c r="I693" s="73"/>
      <c r="J693" s="73"/>
      <c r="K693" s="73"/>
    </row>
    <row r="694">
      <c r="C694" s="71"/>
      <c r="D694" s="71"/>
      <c r="E694" s="71"/>
      <c r="F694" s="73"/>
      <c r="G694" s="73"/>
      <c r="H694" s="73"/>
      <c r="I694" s="73"/>
      <c r="J694" s="73"/>
      <c r="K694" s="73"/>
    </row>
    <row r="695">
      <c r="C695" s="71"/>
      <c r="D695" s="71"/>
      <c r="E695" s="71"/>
      <c r="F695" s="73"/>
      <c r="G695" s="73"/>
      <c r="H695" s="73"/>
      <c r="I695" s="73"/>
      <c r="J695" s="73"/>
      <c r="K695" s="73"/>
    </row>
    <row r="696">
      <c r="C696" s="71"/>
      <c r="D696" s="71"/>
      <c r="E696" s="71"/>
      <c r="F696" s="73"/>
      <c r="G696" s="73"/>
      <c r="H696" s="73"/>
      <c r="I696" s="73"/>
      <c r="J696" s="73"/>
      <c r="K696" s="73"/>
    </row>
    <row r="697">
      <c r="C697" s="71"/>
      <c r="D697" s="71"/>
      <c r="E697" s="71"/>
      <c r="F697" s="73"/>
      <c r="G697" s="73"/>
      <c r="H697" s="73"/>
      <c r="I697" s="73"/>
      <c r="J697" s="73"/>
      <c r="K697" s="73"/>
    </row>
    <row r="698">
      <c r="C698" s="71"/>
      <c r="D698" s="71"/>
      <c r="E698" s="71"/>
      <c r="F698" s="73"/>
      <c r="G698" s="73"/>
      <c r="H698" s="73"/>
      <c r="I698" s="73"/>
      <c r="J698" s="73"/>
      <c r="K698" s="73"/>
    </row>
    <row r="699">
      <c r="C699" s="71"/>
      <c r="D699" s="71"/>
      <c r="E699" s="71"/>
      <c r="F699" s="73"/>
      <c r="G699" s="73"/>
      <c r="H699" s="73"/>
      <c r="I699" s="73"/>
      <c r="J699" s="73"/>
      <c r="K699" s="73"/>
    </row>
    <row r="700">
      <c r="C700" s="71"/>
      <c r="D700" s="71"/>
      <c r="E700" s="71"/>
      <c r="F700" s="73"/>
      <c r="G700" s="73"/>
      <c r="H700" s="73"/>
      <c r="I700" s="73"/>
      <c r="J700" s="73"/>
      <c r="K700" s="73"/>
    </row>
    <row r="701">
      <c r="C701" s="71"/>
      <c r="D701" s="71"/>
      <c r="E701" s="71"/>
      <c r="F701" s="73"/>
      <c r="G701" s="73"/>
      <c r="H701" s="73"/>
      <c r="I701" s="73"/>
      <c r="J701" s="73"/>
      <c r="K701" s="73"/>
    </row>
    <row r="702">
      <c r="C702" s="71"/>
      <c r="D702" s="71"/>
      <c r="E702" s="71"/>
      <c r="F702" s="73"/>
      <c r="G702" s="73"/>
      <c r="H702" s="73"/>
      <c r="I702" s="73"/>
      <c r="J702" s="73"/>
      <c r="K702" s="73"/>
    </row>
    <row r="703">
      <c r="C703" s="71"/>
      <c r="D703" s="71"/>
      <c r="E703" s="71"/>
      <c r="F703" s="73"/>
      <c r="G703" s="73"/>
      <c r="H703" s="73"/>
      <c r="I703" s="73"/>
      <c r="J703" s="73"/>
      <c r="K703" s="73"/>
    </row>
    <row r="704">
      <c r="C704" s="71"/>
      <c r="D704" s="71"/>
      <c r="E704" s="71"/>
      <c r="F704" s="73"/>
      <c r="G704" s="73"/>
      <c r="H704" s="73"/>
      <c r="I704" s="73"/>
      <c r="J704" s="73"/>
      <c r="K704" s="73"/>
    </row>
    <row r="705">
      <c r="C705" s="71"/>
      <c r="D705" s="71"/>
      <c r="E705" s="71"/>
      <c r="F705" s="73"/>
      <c r="G705" s="73"/>
      <c r="H705" s="73"/>
      <c r="I705" s="73"/>
      <c r="J705" s="73"/>
      <c r="K705" s="73"/>
    </row>
    <row r="706">
      <c r="C706" s="71"/>
      <c r="D706" s="71"/>
      <c r="E706" s="71"/>
      <c r="F706" s="73"/>
      <c r="G706" s="73"/>
      <c r="H706" s="73"/>
      <c r="I706" s="73"/>
      <c r="J706" s="73"/>
      <c r="K706" s="73"/>
    </row>
    <row r="707">
      <c r="C707" s="71"/>
      <c r="D707" s="71"/>
      <c r="E707" s="71"/>
      <c r="F707" s="73"/>
      <c r="G707" s="73"/>
      <c r="H707" s="73"/>
      <c r="I707" s="73"/>
      <c r="J707" s="73"/>
      <c r="K707" s="73"/>
    </row>
    <row r="708">
      <c r="C708" s="71"/>
      <c r="D708" s="71"/>
      <c r="E708" s="71"/>
      <c r="F708" s="73"/>
      <c r="G708" s="73"/>
      <c r="H708" s="73"/>
      <c r="I708" s="73"/>
      <c r="J708" s="73"/>
      <c r="K708" s="73"/>
    </row>
    <row r="709">
      <c r="C709" s="71"/>
      <c r="D709" s="71"/>
      <c r="E709" s="71"/>
      <c r="F709" s="73"/>
      <c r="G709" s="73"/>
      <c r="H709" s="73"/>
      <c r="I709" s="73"/>
      <c r="J709" s="73"/>
      <c r="K709" s="73"/>
    </row>
    <row r="710">
      <c r="C710" s="71"/>
      <c r="D710" s="71"/>
      <c r="E710" s="71"/>
      <c r="F710" s="73"/>
      <c r="G710" s="73"/>
      <c r="H710" s="73"/>
      <c r="I710" s="73"/>
      <c r="J710" s="73"/>
      <c r="K710" s="73"/>
    </row>
    <row r="711">
      <c r="C711" s="71"/>
      <c r="D711" s="71"/>
      <c r="E711" s="71"/>
      <c r="F711" s="73"/>
      <c r="G711" s="73"/>
      <c r="H711" s="73"/>
      <c r="I711" s="73"/>
      <c r="J711" s="73"/>
      <c r="K711" s="73"/>
    </row>
    <row r="712">
      <c r="C712" s="71"/>
      <c r="D712" s="71"/>
      <c r="E712" s="71"/>
      <c r="F712" s="73"/>
      <c r="G712" s="73"/>
      <c r="H712" s="73"/>
      <c r="I712" s="73"/>
      <c r="J712" s="73"/>
      <c r="K712" s="73"/>
    </row>
    <row r="713">
      <c r="C713" s="71"/>
      <c r="D713" s="71"/>
      <c r="E713" s="71"/>
      <c r="F713" s="73"/>
      <c r="G713" s="73"/>
      <c r="H713" s="73"/>
      <c r="I713" s="73"/>
      <c r="J713" s="73"/>
      <c r="K713" s="73"/>
    </row>
    <row r="714">
      <c r="C714" s="71"/>
      <c r="D714" s="71"/>
      <c r="E714" s="71"/>
      <c r="F714" s="73"/>
      <c r="G714" s="73"/>
      <c r="H714" s="73"/>
      <c r="I714" s="73"/>
      <c r="J714" s="73"/>
      <c r="K714" s="73"/>
    </row>
    <row r="715">
      <c r="C715" s="71"/>
      <c r="D715" s="71"/>
      <c r="E715" s="71"/>
      <c r="F715" s="73"/>
      <c r="G715" s="73"/>
      <c r="H715" s="73"/>
      <c r="I715" s="73"/>
      <c r="J715" s="73"/>
      <c r="K715" s="73"/>
    </row>
    <row r="716">
      <c r="C716" s="71"/>
      <c r="D716" s="71"/>
      <c r="E716" s="71"/>
      <c r="F716" s="73"/>
      <c r="G716" s="73"/>
      <c r="H716" s="73"/>
      <c r="I716" s="73"/>
      <c r="J716" s="73"/>
      <c r="K716" s="73"/>
    </row>
    <row r="717">
      <c r="C717" s="71"/>
      <c r="D717" s="71"/>
      <c r="E717" s="71"/>
      <c r="F717" s="73"/>
      <c r="G717" s="73"/>
      <c r="H717" s="73"/>
      <c r="I717" s="73"/>
      <c r="J717" s="73"/>
      <c r="K717" s="73"/>
    </row>
    <row r="718">
      <c r="C718" s="71"/>
      <c r="D718" s="71"/>
      <c r="E718" s="71"/>
      <c r="F718" s="73"/>
      <c r="G718" s="73"/>
      <c r="H718" s="73"/>
      <c r="I718" s="73"/>
      <c r="J718" s="73"/>
      <c r="K718" s="73"/>
    </row>
    <row r="719">
      <c r="C719" s="71"/>
      <c r="D719" s="71"/>
      <c r="E719" s="71"/>
      <c r="F719" s="73"/>
      <c r="G719" s="73"/>
      <c r="H719" s="73"/>
      <c r="I719" s="73"/>
      <c r="J719" s="73"/>
      <c r="K719" s="73"/>
    </row>
    <row r="720">
      <c r="C720" s="71"/>
      <c r="D720" s="71"/>
      <c r="E720" s="71"/>
      <c r="F720" s="73"/>
      <c r="G720" s="73"/>
      <c r="H720" s="73"/>
      <c r="I720" s="73"/>
      <c r="J720" s="73"/>
      <c r="K720" s="73"/>
    </row>
    <row r="721">
      <c r="C721" s="71"/>
      <c r="D721" s="71"/>
      <c r="E721" s="71"/>
      <c r="F721" s="73"/>
      <c r="G721" s="73"/>
      <c r="H721" s="73"/>
      <c r="I721" s="73"/>
      <c r="J721" s="73"/>
      <c r="K721" s="73"/>
    </row>
    <row r="722">
      <c r="C722" s="71"/>
      <c r="D722" s="71"/>
      <c r="E722" s="71"/>
      <c r="F722" s="73"/>
      <c r="G722" s="73"/>
      <c r="H722" s="73"/>
      <c r="I722" s="73"/>
      <c r="J722" s="73"/>
      <c r="K722" s="73"/>
    </row>
    <row r="723">
      <c r="C723" s="71"/>
      <c r="D723" s="71"/>
      <c r="E723" s="71"/>
      <c r="F723" s="73"/>
      <c r="G723" s="73"/>
      <c r="H723" s="73"/>
      <c r="I723" s="73"/>
      <c r="J723" s="73"/>
      <c r="K723" s="73"/>
    </row>
    <row r="724">
      <c r="C724" s="71"/>
      <c r="D724" s="71"/>
      <c r="E724" s="71"/>
      <c r="F724" s="73"/>
      <c r="G724" s="73"/>
      <c r="H724" s="73"/>
      <c r="I724" s="73"/>
      <c r="J724" s="73"/>
      <c r="K724" s="73"/>
    </row>
    <row r="725">
      <c r="C725" s="71"/>
      <c r="D725" s="71"/>
      <c r="E725" s="71"/>
      <c r="F725" s="73"/>
      <c r="G725" s="73"/>
      <c r="H725" s="73"/>
      <c r="I725" s="73"/>
      <c r="J725" s="73"/>
      <c r="K725" s="73"/>
    </row>
    <row r="726">
      <c r="C726" s="71"/>
      <c r="D726" s="71"/>
      <c r="E726" s="71"/>
      <c r="F726" s="73"/>
      <c r="G726" s="73"/>
      <c r="H726" s="73"/>
      <c r="I726" s="73"/>
      <c r="J726" s="73"/>
      <c r="K726" s="73"/>
    </row>
    <row r="727">
      <c r="C727" s="71"/>
      <c r="D727" s="71"/>
      <c r="E727" s="71"/>
      <c r="F727" s="73"/>
      <c r="G727" s="73"/>
      <c r="H727" s="73"/>
      <c r="I727" s="73"/>
      <c r="J727" s="73"/>
      <c r="K727" s="73"/>
    </row>
    <row r="728">
      <c r="C728" s="71"/>
      <c r="D728" s="71"/>
      <c r="E728" s="71"/>
      <c r="F728" s="73"/>
      <c r="G728" s="73"/>
      <c r="H728" s="73"/>
      <c r="I728" s="73"/>
      <c r="J728" s="73"/>
      <c r="K728" s="73"/>
    </row>
    <row r="729">
      <c r="C729" s="71"/>
      <c r="D729" s="71"/>
      <c r="E729" s="71"/>
      <c r="F729" s="73"/>
      <c r="G729" s="73"/>
      <c r="H729" s="73"/>
      <c r="I729" s="73"/>
      <c r="J729" s="73"/>
      <c r="K729" s="73"/>
    </row>
    <row r="730">
      <c r="C730" s="71"/>
      <c r="D730" s="71"/>
      <c r="E730" s="71"/>
      <c r="F730" s="73"/>
      <c r="G730" s="73"/>
      <c r="H730" s="73"/>
      <c r="I730" s="73"/>
      <c r="J730" s="73"/>
      <c r="K730" s="73"/>
    </row>
    <row r="731">
      <c r="C731" s="71"/>
      <c r="D731" s="71"/>
      <c r="E731" s="71"/>
      <c r="F731" s="73"/>
      <c r="G731" s="73"/>
      <c r="H731" s="73"/>
      <c r="I731" s="73"/>
      <c r="J731" s="73"/>
      <c r="K731" s="73"/>
    </row>
    <row r="732">
      <c r="C732" s="71"/>
      <c r="D732" s="71"/>
      <c r="E732" s="71"/>
      <c r="F732" s="73"/>
      <c r="G732" s="73"/>
      <c r="H732" s="73"/>
      <c r="I732" s="73"/>
      <c r="J732" s="73"/>
      <c r="K732" s="73"/>
    </row>
    <row r="733">
      <c r="C733" s="71"/>
      <c r="D733" s="71"/>
      <c r="E733" s="71"/>
      <c r="F733" s="73"/>
      <c r="G733" s="73"/>
      <c r="H733" s="73"/>
      <c r="I733" s="73"/>
      <c r="J733" s="73"/>
      <c r="K733" s="73"/>
    </row>
    <row r="734">
      <c r="C734" s="71"/>
      <c r="D734" s="71"/>
      <c r="E734" s="71"/>
      <c r="F734" s="73"/>
      <c r="G734" s="73"/>
      <c r="H734" s="73"/>
      <c r="I734" s="73"/>
      <c r="J734" s="73"/>
      <c r="K734" s="73"/>
    </row>
    <row r="735">
      <c r="C735" s="71"/>
      <c r="D735" s="71"/>
      <c r="E735" s="71"/>
      <c r="F735" s="73"/>
      <c r="G735" s="73"/>
      <c r="H735" s="73"/>
      <c r="I735" s="73"/>
      <c r="J735" s="73"/>
      <c r="K735" s="73"/>
    </row>
    <row r="736">
      <c r="C736" s="71"/>
      <c r="D736" s="71"/>
      <c r="E736" s="71"/>
      <c r="F736" s="73"/>
      <c r="G736" s="73"/>
      <c r="H736" s="73"/>
      <c r="I736" s="73"/>
      <c r="J736" s="73"/>
      <c r="K736" s="73"/>
    </row>
    <row r="737">
      <c r="C737" s="71"/>
      <c r="D737" s="71"/>
      <c r="E737" s="71"/>
      <c r="F737" s="73"/>
      <c r="G737" s="73"/>
      <c r="H737" s="73"/>
      <c r="I737" s="73"/>
      <c r="J737" s="73"/>
      <c r="K737" s="73"/>
    </row>
    <row r="738">
      <c r="C738" s="71"/>
      <c r="D738" s="71"/>
      <c r="E738" s="71"/>
      <c r="F738" s="73"/>
      <c r="G738" s="73"/>
      <c r="H738" s="73"/>
      <c r="I738" s="73"/>
      <c r="J738" s="73"/>
      <c r="K738" s="73"/>
    </row>
    <row r="739">
      <c r="C739" s="71"/>
      <c r="D739" s="71"/>
      <c r="E739" s="71"/>
      <c r="F739" s="73"/>
      <c r="G739" s="73"/>
      <c r="H739" s="73"/>
      <c r="I739" s="73"/>
      <c r="J739" s="73"/>
      <c r="K739" s="73"/>
    </row>
    <row r="740">
      <c r="C740" s="71"/>
      <c r="D740" s="71"/>
      <c r="E740" s="71"/>
      <c r="F740" s="73"/>
      <c r="G740" s="73"/>
      <c r="H740" s="73"/>
      <c r="I740" s="73"/>
      <c r="J740" s="73"/>
      <c r="K740" s="73"/>
    </row>
    <row r="741">
      <c r="C741" s="71"/>
      <c r="D741" s="71"/>
      <c r="E741" s="71"/>
      <c r="F741" s="73"/>
      <c r="G741" s="73"/>
      <c r="H741" s="73"/>
      <c r="I741" s="73"/>
      <c r="J741" s="73"/>
      <c r="K741" s="73"/>
    </row>
    <row r="742">
      <c r="C742" s="71"/>
      <c r="D742" s="71"/>
      <c r="E742" s="71"/>
      <c r="F742" s="73"/>
      <c r="G742" s="73"/>
      <c r="H742" s="73"/>
      <c r="I742" s="73"/>
      <c r="J742" s="73"/>
      <c r="K742" s="73"/>
    </row>
    <row r="743">
      <c r="C743" s="71"/>
      <c r="D743" s="71"/>
      <c r="E743" s="71"/>
      <c r="F743" s="73"/>
      <c r="G743" s="73"/>
      <c r="H743" s="73"/>
      <c r="I743" s="73"/>
      <c r="J743" s="73"/>
      <c r="K743" s="73"/>
    </row>
    <row r="744">
      <c r="C744" s="71"/>
      <c r="D744" s="71"/>
      <c r="E744" s="71"/>
      <c r="F744" s="73"/>
      <c r="G744" s="73"/>
      <c r="H744" s="73"/>
      <c r="I744" s="73"/>
      <c r="J744" s="73"/>
      <c r="K744" s="73"/>
    </row>
    <row r="745">
      <c r="C745" s="71"/>
      <c r="D745" s="71"/>
      <c r="E745" s="71"/>
      <c r="F745" s="73"/>
      <c r="G745" s="73"/>
      <c r="H745" s="73"/>
      <c r="I745" s="73"/>
      <c r="J745" s="73"/>
      <c r="K745" s="73"/>
    </row>
    <row r="746">
      <c r="C746" s="71"/>
      <c r="D746" s="71"/>
      <c r="E746" s="71"/>
      <c r="F746" s="73"/>
      <c r="G746" s="73"/>
      <c r="H746" s="73"/>
      <c r="I746" s="73"/>
      <c r="J746" s="73"/>
      <c r="K746" s="73"/>
    </row>
    <row r="747">
      <c r="C747" s="71"/>
      <c r="D747" s="71"/>
      <c r="E747" s="71"/>
      <c r="F747" s="73"/>
      <c r="G747" s="73"/>
      <c r="H747" s="73"/>
      <c r="I747" s="73"/>
      <c r="J747" s="73"/>
      <c r="K747" s="73"/>
    </row>
    <row r="748">
      <c r="C748" s="71"/>
      <c r="D748" s="71"/>
      <c r="E748" s="71"/>
      <c r="F748" s="73"/>
      <c r="G748" s="73"/>
      <c r="H748" s="73"/>
      <c r="I748" s="73"/>
      <c r="J748" s="73"/>
      <c r="K748" s="73"/>
    </row>
    <row r="749">
      <c r="C749" s="71"/>
      <c r="D749" s="71"/>
      <c r="E749" s="71"/>
      <c r="F749" s="73"/>
      <c r="G749" s="73"/>
      <c r="H749" s="73"/>
      <c r="I749" s="73"/>
      <c r="J749" s="73"/>
      <c r="K749" s="73"/>
    </row>
    <row r="750">
      <c r="C750" s="71"/>
      <c r="D750" s="71"/>
      <c r="E750" s="71"/>
      <c r="F750" s="73"/>
      <c r="G750" s="73"/>
      <c r="H750" s="73"/>
      <c r="I750" s="73"/>
      <c r="J750" s="73"/>
      <c r="K750" s="73"/>
    </row>
    <row r="751">
      <c r="C751" s="71"/>
      <c r="D751" s="71"/>
      <c r="E751" s="71"/>
      <c r="F751" s="73"/>
      <c r="G751" s="73"/>
      <c r="H751" s="73"/>
      <c r="I751" s="73"/>
      <c r="J751" s="73"/>
      <c r="K751" s="73"/>
    </row>
    <row r="752">
      <c r="C752" s="71"/>
      <c r="D752" s="71"/>
      <c r="E752" s="71"/>
      <c r="F752" s="73"/>
      <c r="G752" s="73"/>
      <c r="H752" s="73"/>
      <c r="I752" s="73"/>
      <c r="J752" s="73"/>
      <c r="K752" s="73"/>
    </row>
    <row r="753">
      <c r="C753" s="71"/>
      <c r="D753" s="71"/>
      <c r="E753" s="71"/>
      <c r="F753" s="73"/>
      <c r="G753" s="73"/>
      <c r="H753" s="73"/>
      <c r="I753" s="73"/>
      <c r="J753" s="73"/>
      <c r="K753" s="73"/>
    </row>
    <row r="754">
      <c r="C754" s="71"/>
      <c r="D754" s="71"/>
      <c r="E754" s="71"/>
      <c r="F754" s="73"/>
      <c r="G754" s="73"/>
      <c r="H754" s="73"/>
      <c r="I754" s="73"/>
      <c r="J754" s="73"/>
      <c r="K754" s="73"/>
    </row>
    <row r="755">
      <c r="C755" s="71"/>
      <c r="D755" s="71"/>
      <c r="E755" s="71"/>
      <c r="F755" s="73"/>
      <c r="G755" s="73"/>
      <c r="H755" s="73"/>
      <c r="I755" s="73"/>
      <c r="J755" s="73"/>
      <c r="K755" s="73"/>
    </row>
    <row r="756">
      <c r="C756" s="71"/>
      <c r="D756" s="71"/>
      <c r="E756" s="71"/>
      <c r="F756" s="73"/>
      <c r="G756" s="73"/>
      <c r="H756" s="73"/>
      <c r="I756" s="73"/>
      <c r="J756" s="73"/>
      <c r="K756" s="73"/>
    </row>
    <row r="757">
      <c r="C757" s="71"/>
      <c r="D757" s="71"/>
      <c r="E757" s="71"/>
      <c r="F757" s="73"/>
      <c r="G757" s="73"/>
      <c r="H757" s="73"/>
      <c r="I757" s="73"/>
      <c r="J757" s="73"/>
      <c r="K757" s="73"/>
    </row>
    <row r="758">
      <c r="C758" s="71"/>
      <c r="D758" s="71"/>
      <c r="E758" s="71"/>
      <c r="F758" s="73"/>
      <c r="G758" s="73"/>
      <c r="H758" s="73"/>
      <c r="I758" s="73"/>
      <c r="J758" s="73"/>
      <c r="K758" s="73"/>
    </row>
    <row r="759">
      <c r="C759" s="71"/>
      <c r="D759" s="71"/>
      <c r="E759" s="71"/>
      <c r="F759" s="73"/>
      <c r="G759" s="73"/>
      <c r="H759" s="73"/>
      <c r="I759" s="73"/>
      <c r="J759" s="73"/>
      <c r="K759" s="73"/>
    </row>
    <row r="760">
      <c r="C760" s="71"/>
      <c r="D760" s="71"/>
      <c r="E760" s="71"/>
      <c r="F760" s="73"/>
      <c r="G760" s="73"/>
      <c r="H760" s="73"/>
      <c r="I760" s="73"/>
      <c r="J760" s="73"/>
      <c r="K760" s="73"/>
    </row>
    <row r="761">
      <c r="C761" s="71"/>
      <c r="D761" s="71"/>
      <c r="E761" s="71"/>
      <c r="F761" s="73"/>
      <c r="G761" s="73"/>
      <c r="H761" s="73"/>
      <c r="I761" s="73"/>
      <c r="J761" s="73"/>
      <c r="K761" s="73"/>
    </row>
    <row r="762">
      <c r="C762" s="71"/>
      <c r="D762" s="71"/>
      <c r="E762" s="71"/>
      <c r="F762" s="73"/>
      <c r="G762" s="73"/>
      <c r="H762" s="73"/>
      <c r="I762" s="73"/>
      <c r="J762" s="73"/>
      <c r="K762" s="73"/>
    </row>
    <row r="763">
      <c r="C763" s="71"/>
      <c r="D763" s="71"/>
      <c r="E763" s="71"/>
      <c r="F763" s="73"/>
      <c r="G763" s="73"/>
      <c r="H763" s="73"/>
      <c r="I763" s="73"/>
      <c r="J763" s="73"/>
      <c r="K763" s="73"/>
    </row>
    <row r="764">
      <c r="C764" s="71"/>
      <c r="D764" s="71"/>
      <c r="E764" s="71"/>
      <c r="F764" s="73"/>
      <c r="G764" s="73"/>
      <c r="H764" s="73"/>
      <c r="I764" s="73"/>
      <c r="J764" s="73"/>
      <c r="K764" s="73"/>
    </row>
    <row r="765">
      <c r="C765" s="71"/>
      <c r="D765" s="71"/>
      <c r="E765" s="71"/>
      <c r="F765" s="73"/>
      <c r="G765" s="73"/>
      <c r="H765" s="73"/>
      <c r="I765" s="73"/>
      <c r="J765" s="73"/>
      <c r="K765" s="73"/>
    </row>
    <row r="766">
      <c r="C766" s="71"/>
      <c r="D766" s="71"/>
      <c r="E766" s="71"/>
      <c r="F766" s="73"/>
      <c r="G766" s="73"/>
      <c r="H766" s="73"/>
      <c r="I766" s="73"/>
      <c r="J766" s="73"/>
      <c r="K766" s="73"/>
    </row>
    <row r="767">
      <c r="C767" s="71"/>
      <c r="D767" s="71"/>
      <c r="E767" s="71"/>
      <c r="F767" s="73"/>
      <c r="G767" s="73"/>
      <c r="H767" s="73"/>
      <c r="I767" s="73"/>
      <c r="J767" s="73"/>
      <c r="K767" s="73"/>
    </row>
    <row r="768">
      <c r="C768" s="71"/>
      <c r="D768" s="71"/>
      <c r="E768" s="71"/>
      <c r="F768" s="73"/>
      <c r="G768" s="73"/>
      <c r="H768" s="73"/>
      <c r="I768" s="73"/>
      <c r="J768" s="73"/>
      <c r="K768" s="73"/>
    </row>
    <row r="769">
      <c r="C769" s="71"/>
      <c r="D769" s="71"/>
      <c r="E769" s="71"/>
      <c r="F769" s="73"/>
      <c r="G769" s="73"/>
      <c r="H769" s="73"/>
      <c r="I769" s="73"/>
      <c r="J769" s="73"/>
      <c r="K769" s="73"/>
    </row>
    <row r="770">
      <c r="C770" s="71"/>
      <c r="D770" s="71"/>
      <c r="E770" s="71"/>
      <c r="F770" s="73"/>
      <c r="G770" s="73"/>
      <c r="H770" s="73"/>
      <c r="I770" s="73"/>
      <c r="J770" s="73"/>
      <c r="K770" s="73"/>
    </row>
    <row r="771">
      <c r="C771" s="71"/>
      <c r="D771" s="71"/>
      <c r="E771" s="71"/>
      <c r="F771" s="73"/>
      <c r="G771" s="73"/>
      <c r="H771" s="73"/>
      <c r="I771" s="73"/>
      <c r="J771" s="73"/>
      <c r="K771" s="73"/>
    </row>
    <row r="772">
      <c r="C772" s="71"/>
      <c r="D772" s="71"/>
      <c r="E772" s="71"/>
      <c r="F772" s="73"/>
      <c r="G772" s="73"/>
      <c r="H772" s="73"/>
      <c r="I772" s="73"/>
      <c r="J772" s="73"/>
      <c r="K772" s="73"/>
    </row>
    <row r="773">
      <c r="C773" s="71"/>
      <c r="D773" s="71"/>
      <c r="E773" s="71"/>
      <c r="F773" s="73"/>
      <c r="G773" s="73"/>
      <c r="H773" s="73"/>
      <c r="I773" s="73"/>
      <c r="J773" s="73"/>
      <c r="K773" s="73"/>
    </row>
    <row r="774">
      <c r="C774" s="71"/>
      <c r="D774" s="71"/>
      <c r="E774" s="71"/>
      <c r="F774" s="73"/>
      <c r="G774" s="73"/>
      <c r="H774" s="73"/>
      <c r="I774" s="73"/>
      <c r="J774" s="73"/>
      <c r="K774" s="73"/>
    </row>
    <row r="775">
      <c r="C775" s="71"/>
      <c r="D775" s="71"/>
      <c r="E775" s="71"/>
      <c r="F775" s="73"/>
      <c r="G775" s="73"/>
      <c r="H775" s="73"/>
      <c r="I775" s="73"/>
      <c r="J775" s="73"/>
      <c r="K775" s="73"/>
    </row>
    <row r="776">
      <c r="C776" s="71"/>
      <c r="D776" s="71"/>
      <c r="E776" s="71"/>
      <c r="F776" s="73"/>
      <c r="G776" s="73"/>
      <c r="H776" s="73"/>
      <c r="I776" s="73"/>
      <c r="J776" s="73"/>
      <c r="K776" s="73"/>
    </row>
    <row r="777">
      <c r="C777" s="71"/>
      <c r="D777" s="71"/>
      <c r="E777" s="71"/>
      <c r="F777" s="73"/>
      <c r="G777" s="73"/>
      <c r="H777" s="73"/>
      <c r="I777" s="73"/>
      <c r="J777" s="73"/>
      <c r="K777" s="73"/>
    </row>
    <row r="778">
      <c r="C778" s="71"/>
      <c r="D778" s="71"/>
      <c r="E778" s="71"/>
      <c r="F778" s="73"/>
      <c r="G778" s="73"/>
      <c r="H778" s="73"/>
      <c r="I778" s="73"/>
      <c r="J778" s="73"/>
      <c r="K778" s="73"/>
    </row>
    <row r="779">
      <c r="C779" s="71"/>
      <c r="D779" s="71"/>
      <c r="E779" s="71"/>
      <c r="F779" s="73"/>
      <c r="G779" s="73"/>
      <c r="H779" s="73"/>
      <c r="I779" s="73"/>
      <c r="J779" s="73"/>
      <c r="K779" s="73"/>
    </row>
    <row r="780">
      <c r="C780" s="71"/>
      <c r="D780" s="71"/>
      <c r="E780" s="71"/>
      <c r="F780" s="73"/>
      <c r="G780" s="73"/>
      <c r="H780" s="73"/>
      <c r="I780" s="73"/>
      <c r="J780" s="73"/>
      <c r="K780" s="73"/>
    </row>
    <row r="781">
      <c r="C781" s="71"/>
      <c r="D781" s="71"/>
      <c r="E781" s="71"/>
      <c r="F781" s="73"/>
      <c r="G781" s="73"/>
      <c r="H781" s="73"/>
      <c r="I781" s="73"/>
      <c r="J781" s="73"/>
      <c r="K781" s="73"/>
    </row>
    <row r="782">
      <c r="C782" s="71"/>
      <c r="D782" s="71"/>
      <c r="E782" s="71"/>
      <c r="F782" s="73"/>
      <c r="G782" s="73"/>
      <c r="H782" s="73"/>
      <c r="I782" s="73"/>
      <c r="J782" s="73"/>
      <c r="K782" s="73"/>
    </row>
    <row r="783">
      <c r="C783" s="71"/>
      <c r="D783" s="71"/>
      <c r="E783" s="71"/>
      <c r="F783" s="73"/>
      <c r="G783" s="73"/>
      <c r="H783" s="73"/>
      <c r="I783" s="73"/>
      <c r="J783" s="73"/>
      <c r="K783" s="73"/>
    </row>
    <row r="784">
      <c r="C784" s="71"/>
      <c r="D784" s="71"/>
      <c r="E784" s="71"/>
      <c r="F784" s="73"/>
      <c r="G784" s="73"/>
      <c r="H784" s="73"/>
      <c r="I784" s="73"/>
      <c r="J784" s="73"/>
      <c r="K784" s="73"/>
    </row>
    <row r="785">
      <c r="C785" s="71"/>
      <c r="D785" s="71"/>
      <c r="E785" s="71"/>
      <c r="F785" s="73"/>
      <c r="G785" s="73"/>
      <c r="H785" s="73"/>
      <c r="I785" s="73"/>
      <c r="J785" s="73"/>
      <c r="K785" s="73"/>
    </row>
    <row r="786">
      <c r="C786" s="71"/>
      <c r="D786" s="71"/>
      <c r="E786" s="71"/>
      <c r="F786" s="73"/>
      <c r="G786" s="73"/>
      <c r="H786" s="73"/>
      <c r="I786" s="73"/>
      <c r="J786" s="73"/>
      <c r="K786" s="73"/>
    </row>
    <row r="787">
      <c r="C787" s="71"/>
      <c r="D787" s="71"/>
      <c r="E787" s="71"/>
      <c r="F787" s="73"/>
      <c r="G787" s="73"/>
      <c r="H787" s="73"/>
      <c r="I787" s="73"/>
      <c r="J787" s="73"/>
      <c r="K787" s="73"/>
    </row>
    <row r="788">
      <c r="C788" s="71"/>
      <c r="D788" s="71"/>
      <c r="E788" s="71"/>
      <c r="F788" s="73"/>
      <c r="G788" s="73"/>
      <c r="H788" s="73"/>
      <c r="I788" s="73"/>
      <c r="J788" s="73"/>
      <c r="K788" s="73"/>
    </row>
    <row r="789">
      <c r="C789" s="71"/>
      <c r="D789" s="71"/>
      <c r="E789" s="71"/>
      <c r="F789" s="73"/>
      <c r="G789" s="73"/>
      <c r="H789" s="73"/>
      <c r="I789" s="73"/>
      <c r="J789" s="73"/>
      <c r="K789" s="73"/>
    </row>
    <row r="790">
      <c r="C790" s="71"/>
      <c r="D790" s="71"/>
      <c r="E790" s="71"/>
      <c r="F790" s="73"/>
      <c r="G790" s="73"/>
      <c r="H790" s="73"/>
      <c r="I790" s="73"/>
      <c r="J790" s="73"/>
      <c r="K790" s="73"/>
    </row>
    <row r="791">
      <c r="C791" s="71"/>
      <c r="D791" s="71"/>
      <c r="E791" s="71"/>
      <c r="F791" s="73"/>
      <c r="G791" s="73"/>
      <c r="H791" s="73"/>
      <c r="I791" s="73"/>
      <c r="J791" s="73"/>
      <c r="K791" s="73"/>
    </row>
    <row r="792">
      <c r="C792" s="71"/>
      <c r="D792" s="71"/>
      <c r="E792" s="71"/>
      <c r="F792" s="73"/>
      <c r="G792" s="73"/>
      <c r="H792" s="73"/>
      <c r="I792" s="73"/>
      <c r="J792" s="73"/>
      <c r="K792" s="73"/>
    </row>
    <row r="793">
      <c r="C793" s="71"/>
      <c r="D793" s="71"/>
      <c r="E793" s="71"/>
      <c r="F793" s="73"/>
      <c r="G793" s="73"/>
      <c r="H793" s="73"/>
      <c r="I793" s="73"/>
      <c r="J793" s="73"/>
      <c r="K793" s="73"/>
    </row>
    <row r="794">
      <c r="C794" s="71"/>
      <c r="D794" s="71"/>
      <c r="E794" s="71"/>
      <c r="F794" s="73"/>
      <c r="G794" s="73"/>
      <c r="H794" s="73"/>
      <c r="I794" s="73"/>
      <c r="J794" s="73"/>
      <c r="K794" s="73"/>
    </row>
    <row r="795">
      <c r="C795" s="71"/>
      <c r="D795" s="71"/>
      <c r="E795" s="71"/>
      <c r="F795" s="73"/>
      <c r="G795" s="73"/>
      <c r="H795" s="73"/>
      <c r="I795" s="73"/>
      <c r="J795" s="73"/>
      <c r="K795" s="73"/>
    </row>
    <row r="796">
      <c r="C796" s="71"/>
      <c r="D796" s="71"/>
      <c r="E796" s="71"/>
      <c r="F796" s="73"/>
      <c r="G796" s="73"/>
      <c r="H796" s="73"/>
      <c r="I796" s="73"/>
      <c r="J796" s="73"/>
      <c r="K796" s="73"/>
    </row>
    <row r="797">
      <c r="C797" s="71"/>
      <c r="D797" s="71"/>
      <c r="E797" s="71"/>
      <c r="F797" s="73"/>
      <c r="G797" s="73"/>
      <c r="H797" s="73"/>
      <c r="I797" s="73"/>
      <c r="J797" s="73"/>
      <c r="K797" s="73"/>
    </row>
    <row r="798">
      <c r="C798" s="71"/>
      <c r="D798" s="71"/>
      <c r="E798" s="71"/>
      <c r="F798" s="73"/>
      <c r="G798" s="73"/>
      <c r="H798" s="73"/>
      <c r="I798" s="73"/>
      <c r="J798" s="73"/>
      <c r="K798" s="73"/>
    </row>
    <row r="799">
      <c r="C799" s="71"/>
      <c r="D799" s="71"/>
      <c r="E799" s="71"/>
      <c r="F799" s="73"/>
      <c r="G799" s="73"/>
      <c r="H799" s="73"/>
      <c r="I799" s="73"/>
      <c r="J799" s="73"/>
      <c r="K799" s="73"/>
    </row>
    <row r="800">
      <c r="C800" s="71"/>
      <c r="D800" s="71"/>
      <c r="E800" s="71"/>
      <c r="F800" s="73"/>
      <c r="G800" s="73"/>
      <c r="H800" s="73"/>
      <c r="I800" s="73"/>
      <c r="J800" s="73"/>
      <c r="K800" s="73"/>
    </row>
    <row r="801">
      <c r="C801" s="71"/>
      <c r="D801" s="71"/>
      <c r="E801" s="71"/>
      <c r="F801" s="73"/>
      <c r="G801" s="73"/>
      <c r="H801" s="73"/>
      <c r="I801" s="73"/>
      <c r="J801" s="73"/>
      <c r="K801" s="73"/>
    </row>
    <row r="802">
      <c r="C802" s="71"/>
      <c r="D802" s="71"/>
      <c r="E802" s="71"/>
      <c r="F802" s="73"/>
      <c r="G802" s="73"/>
      <c r="H802" s="73"/>
      <c r="I802" s="73"/>
      <c r="J802" s="73"/>
      <c r="K802" s="73"/>
    </row>
    <row r="803">
      <c r="C803" s="71"/>
      <c r="D803" s="71"/>
      <c r="E803" s="71"/>
      <c r="F803" s="73"/>
      <c r="G803" s="73"/>
      <c r="H803" s="73"/>
      <c r="I803" s="73"/>
      <c r="J803" s="73"/>
      <c r="K803" s="73"/>
    </row>
    <row r="804">
      <c r="C804" s="71"/>
      <c r="D804" s="71"/>
      <c r="E804" s="71"/>
      <c r="F804" s="73"/>
      <c r="G804" s="73"/>
      <c r="H804" s="73"/>
      <c r="I804" s="73"/>
      <c r="J804" s="73"/>
      <c r="K804" s="73"/>
    </row>
    <row r="805">
      <c r="C805" s="71"/>
      <c r="D805" s="71"/>
      <c r="E805" s="71"/>
      <c r="F805" s="73"/>
      <c r="G805" s="73"/>
      <c r="H805" s="73"/>
      <c r="I805" s="73"/>
      <c r="J805" s="73"/>
      <c r="K805" s="73"/>
    </row>
    <row r="806">
      <c r="C806" s="71"/>
      <c r="D806" s="71"/>
      <c r="E806" s="71"/>
      <c r="F806" s="73"/>
      <c r="G806" s="73"/>
      <c r="H806" s="73"/>
      <c r="I806" s="73"/>
      <c r="J806" s="73"/>
      <c r="K806" s="73"/>
    </row>
    <row r="807">
      <c r="C807" s="71"/>
      <c r="D807" s="71"/>
      <c r="E807" s="71"/>
      <c r="F807" s="73"/>
      <c r="G807" s="73"/>
      <c r="H807" s="73"/>
      <c r="I807" s="73"/>
      <c r="J807" s="73"/>
      <c r="K807" s="73"/>
    </row>
    <row r="808">
      <c r="C808" s="71"/>
      <c r="D808" s="71"/>
      <c r="E808" s="71"/>
      <c r="F808" s="73"/>
      <c r="G808" s="73"/>
      <c r="H808" s="73"/>
      <c r="I808" s="73"/>
      <c r="J808" s="73"/>
      <c r="K808" s="73"/>
    </row>
    <row r="809">
      <c r="C809" s="71"/>
      <c r="D809" s="71"/>
      <c r="E809" s="71"/>
      <c r="F809" s="73"/>
      <c r="G809" s="73"/>
      <c r="H809" s="73"/>
      <c r="I809" s="73"/>
      <c r="J809" s="73"/>
      <c r="K809" s="73"/>
    </row>
    <row r="810">
      <c r="C810" s="71"/>
      <c r="D810" s="71"/>
      <c r="E810" s="71"/>
      <c r="F810" s="73"/>
      <c r="G810" s="73"/>
      <c r="H810" s="73"/>
      <c r="I810" s="73"/>
      <c r="J810" s="73"/>
      <c r="K810" s="73"/>
    </row>
    <row r="811">
      <c r="C811" s="71"/>
      <c r="D811" s="71"/>
      <c r="E811" s="71"/>
      <c r="F811" s="73"/>
      <c r="G811" s="73"/>
      <c r="H811" s="73"/>
      <c r="I811" s="73"/>
      <c r="J811" s="73"/>
      <c r="K811" s="73"/>
    </row>
    <row r="812">
      <c r="C812" s="71"/>
      <c r="D812" s="71"/>
      <c r="E812" s="71"/>
      <c r="F812" s="73"/>
      <c r="G812" s="73"/>
      <c r="H812" s="73"/>
      <c r="I812" s="73"/>
      <c r="J812" s="73"/>
      <c r="K812" s="73"/>
    </row>
    <row r="813">
      <c r="C813" s="71"/>
      <c r="D813" s="71"/>
      <c r="E813" s="71"/>
      <c r="F813" s="73"/>
      <c r="G813" s="73"/>
      <c r="H813" s="73"/>
      <c r="I813" s="73"/>
      <c r="J813" s="73"/>
      <c r="K813" s="73"/>
    </row>
    <row r="814">
      <c r="C814" s="71"/>
      <c r="D814" s="71"/>
      <c r="E814" s="71"/>
      <c r="F814" s="73"/>
      <c r="G814" s="73"/>
      <c r="H814" s="73"/>
      <c r="I814" s="73"/>
      <c r="J814" s="73"/>
      <c r="K814" s="73"/>
    </row>
    <row r="815">
      <c r="C815" s="71"/>
      <c r="D815" s="71"/>
      <c r="E815" s="71"/>
      <c r="F815" s="73"/>
      <c r="G815" s="73"/>
      <c r="H815" s="73"/>
      <c r="I815" s="73"/>
      <c r="J815" s="73"/>
      <c r="K815" s="73"/>
    </row>
    <row r="816">
      <c r="C816" s="71"/>
      <c r="D816" s="71"/>
      <c r="E816" s="71"/>
      <c r="F816" s="73"/>
      <c r="G816" s="73"/>
      <c r="H816" s="73"/>
      <c r="I816" s="73"/>
      <c r="J816" s="73"/>
      <c r="K816" s="73"/>
    </row>
    <row r="817">
      <c r="C817" s="71"/>
      <c r="D817" s="71"/>
      <c r="E817" s="71"/>
      <c r="F817" s="73"/>
      <c r="G817" s="73"/>
      <c r="H817" s="73"/>
      <c r="I817" s="73"/>
      <c r="J817" s="73"/>
      <c r="K817" s="73"/>
    </row>
    <row r="818">
      <c r="C818" s="71"/>
      <c r="D818" s="71"/>
      <c r="E818" s="71"/>
      <c r="F818" s="73"/>
      <c r="G818" s="73"/>
      <c r="H818" s="73"/>
      <c r="I818" s="73"/>
      <c r="J818" s="73"/>
      <c r="K818" s="73"/>
    </row>
    <row r="819">
      <c r="C819" s="71"/>
      <c r="D819" s="71"/>
      <c r="E819" s="71"/>
      <c r="F819" s="73"/>
      <c r="G819" s="73"/>
      <c r="H819" s="73"/>
      <c r="I819" s="73"/>
      <c r="J819" s="73"/>
      <c r="K819" s="73"/>
    </row>
    <row r="820">
      <c r="C820" s="71"/>
      <c r="D820" s="71"/>
      <c r="E820" s="71"/>
      <c r="F820" s="73"/>
      <c r="G820" s="73"/>
      <c r="H820" s="73"/>
      <c r="I820" s="73"/>
      <c r="J820" s="73"/>
      <c r="K820" s="73"/>
    </row>
    <row r="821">
      <c r="C821" s="71"/>
      <c r="D821" s="71"/>
      <c r="E821" s="71"/>
      <c r="F821" s="73"/>
      <c r="G821" s="73"/>
      <c r="H821" s="73"/>
      <c r="I821" s="73"/>
      <c r="J821" s="73"/>
      <c r="K821" s="73"/>
    </row>
    <row r="822">
      <c r="C822" s="71"/>
      <c r="D822" s="71"/>
      <c r="E822" s="71"/>
      <c r="F822" s="73"/>
      <c r="G822" s="73"/>
      <c r="H822" s="73"/>
      <c r="I822" s="73"/>
      <c r="J822" s="73"/>
      <c r="K822" s="73"/>
    </row>
    <row r="823">
      <c r="C823" s="71"/>
      <c r="D823" s="71"/>
      <c r="E823" s="71"/>
      <c r="F823" s="73"/>
      <c r="G823" s="73"/>
      <c r="H823" s="73"/>
      <c r="I823" s="73"/>
      <c r="J823" s="73"/>
      <c r="K823" s="73"/>
    </row>
    <row r="824">
      <c r="C824" s="71"/>
      <c r="D824" s="71"/>
      <c r="E824" s="71"/>
      <c r="F824" s="73"/>
      <c r="G824" s="73"/>
      <c r="H824" s="73"/>
      <c r="I824" s="73"/>
      <c r="J824" s="73"/>
      <c r="K824" s="73"/>
    </row>
    <row r="825">
      <c r="C825" s="71"/>
      <c r="D825" s="71"/>
      <c r="E825" s="71"/>
      <c r="F825" s="73"/>
      <c r="G825" s="73"/>
      <c r="H825" s="73"/>
      <c r="I825" s="73"/>
      <c r="J825" s="73"/>
      <c r="K825" s="73"/>
    </row>
    <row r="826">
      <c r="C826" s="71"/>
      <c r="D826" s="71"/>
      <c r="E826" s="71"/>
      <c r="F826" s="73"/>
      <c r="G826" s="73"/>
      <c r="H826" s="73"/>
      <c r="I826" s="73"/>
      <c r="J826" s="73"/>
      <c r="K826" s="73"/>
    </row>
    <row r="827">
      <c r="C827" s="71"/>
      <c r="D827" s="71"/>
      <c r="E827" s="71"/>
      <c r="F827" s="73"/>
      <c r="G827" s="73"/>
      <c r="H827" s="73"/>
      <c r="I827" s="73"/>
      <c r="J827" s="73"/>
      <c r="K827" s="73"/>
    </row>
    <row r="828">
      <c r="C828" s="71"/>
      <c r="D828" s="71"/>
      <c r="E828" s="71"/>
      <c r="F828" s="73"/>
      <c r="G828" s="73"/>
      <c r="H828" s="73"/>
      <c r="I828" s="73"/>
      <c r="J828" s="73"/>
      <c r="K828" s="73"/>
    </row>
    <row r="829">
      <c r="C829" s="71"/>
      <c r="D829" s="71"/>
      <c r="E829" s="71"/>
      <c r="F829" s="73"/>
      <c r="G829" s="73"/>
      <c r="H829" s="73"/>
      <c r="I829" s="73"/>
      <c r="J829" s="73"/>
      <c r="K829" s="73"/>
    </row>
    <row r="830">
      <c r="C830" s="71"/>
      <c r="D830" s="71"/>
      <c r="E830" s="71"/>
      <c r="F830" s="73"/>
      <c r="G830" s="73"/>
      <c r="H830" s="73"/>
      <c r="I830" s="73"/>
      <c r="J830" s="73"/>
      <c r="K830" s="73"/>
    </row>
    <row r="831">
      <c r="C831" s="71"/>
      <c r="D831" s="71"/>
      <c r="E831" s="71"/>
      <c r="F831" s="73"/>
      <c r="G831" s="73"/>
      <c r="H831" s="73"/>
      <c r="I831" s="73"/>
      <c r="J831" s="73"/>
      <c r="K831" s="73"/>
    </row>
    <row r="832">
      <c r="C832" s="71"/>
      <c r="D832" s="71"/>
      <c r="E832" s="71"/>
      <c r="F832" s="73"/>
      <c r="G832" s="73"/>
      <c r="H832" s="73"/>
      <c r="I832" s="73"/>
      <c r="J832" s="73"/>
      <c r="K832" s="73"/>
    </row>
    <row r="833">
      <c r="C833" s="71"/>
      <c r="D833" s="71"/>
      <c r="E833" s="71"/>
      <c r="F833" s="73"/>
      <c r="G833" s="73"/>
      <c r="H833" s="73"/>
      <c r="I833" s="73"/>
      <c r="J833" s="73"/>
      <c r="K833" s="73"/>
    </row>
    <row r="834">
      <c r="C834" s="71"/>
      <c r="D834" s="71"/>
      <c r="E834" s="71"/>
      <c r="F834" s="73"/>
      <c r="G834" s="73"/>
      <c r="H834" s="73"/>
      <c r="I834" s="73"/>
      <c r="J834" s="73"/>
      <c r="K834" s="73"/>
    </row>
    <row r="835">
      <c r="C835" s="71"/>
      <c r="D835" s="71"/>
      <c r="E835" s="71"/>
      <c r="F835" s="73"/>
      <c r="G835" s="73"/>
      <c r="H835" s="73"/>
      <c r="I835" s="73"/>
      <c r="J835" s="73"/>
      <c r="K835" s="73"/>
    </row>
    <row r="836">
      <c r="C836" s="71"/>
      <c r="D836" s="71"/>
      <c r="E836" s="71"/>
      <c r="F836" s="73"/>
      <c r="G836" s="73"/>
      <c r="H836" s="73"/>
      <c r="I836" s="73"/>
      <c r="J836" s="73"/>
      <c r="K836" s="73"/>
    </row>
    <row r="837">
      <c r="C837" s="71"/>
      <c r="D837" s="71"/>
      <c r="E837" s="71"/>
      <c r="F837" s="73"/>
      <c r="G837" s="73"/>
      <c r="H837" s="73"/>
      <c r="I837" s="73"/>
      <c r="J837" s="73"/>
      <c r="K837" s="73"/>
    </row>
    <row r="838">
      <c r="C838" s="71"/>
      <c r="D838" s="71"/>
      <c r="E838" s="71"/>
      <c r="F838" s="73"/>
      <c r="G838" s="73"/>
      <c r="H838" s="73"/>
      <c r="I838" s="73"/>
      <c r="J838" s="73"/>
      <c r="K838" s="73"/>
    </row>
    <row r="839">
      <c r="C839" s="71"/>
      <c r="D839" s="71"/>
      <c r="E839" s="71"/>
      <c r="F839" s="73"/>
      <c r="G839" s="73"/>
      <c r="H839" s="73"/>
      <c r="I839" s="73"/>
      <c r="J839" s="73"/>
      <c r="K839" s="73"/>
    </row>
    <row r="840">
      <c r="C840" s="71"/>
      <c r="D840" s="71"/>
      <c r="E840" s="71"/>
      <c r="F840" s="73"/>
      <c r="G840" s="73"/>
      <c r="H840" s="73"/>
      <c r="I840" s="73"/>
      <c r="J840" s="73"/>
      <c r="K840" s="73"/>
    </row>
    <row r="841">
      <c r="C841" s="71"/>
      <c r="D841" s="71"/>
      <c r="E841" s="71"/>
      <c r="F841" s="73"/>
      <c r="G841" s="73"/>
      <c r="H841" s="73"/>
      <c r="I841" s="73"/>
      <c r="J841" s="73"/>
      <c r="K841" s="73"/>
    </row>
    <row r="842">
      <c r="C842" s="71"/>
      <c r="D842" s="71"/>
      <c r="E842" s="71"/>
      <c r="F842" s="73"/>
      <c r="G842" s="73"/>
      <c r="H842" s="73"/>
      <c r="I842" s="73"/>
      <c r="J842" s="73"/>
      <c r="K842" s="73"/>
    </row>
    <row r="843">
      <c r="C843" s="71"/>
      <c r="D843" s="71"/>
      <c r="E843" s="71"/>
      <c r="F843" s="73"/>
      <c r="G843" s="73"/>
      <c r="H843" s="73"/>
      <c r="I843" s="73"/>
      <c r="J843" s="73"/>
      <c r="K843" s="73"/>
    </row>
    <row r="844">
      <c r="C844" s="71"/>
      <c r="D844" s="71"/>
      <c r="E844" s="71"/>
      <c r="F844" s="73"/>
      <c r="G844" s="73"/>
      <c r="H844" s="73"/>
      <c r="I844" s="73"/>
      <c r="J844" s="73"/>
      <c r="K844" s="73"/>
    </row>
    <row r="845">
      <c r="C845" s="71"/>
      <c r="D845" s="71"/>
      <c r="E845" s="71"/>
      <c r="F845" s="73"/>
      <c r="G845" s="73"/>
      <c r="H845" s="73"/>
      <c r="I845" s="73"/>
      <c r="J845" s="73"/>
      <c r="K845" s="73"/>
    </row>
    <row r="846">
      <c r="C846" s="71"/>
      <c r="D846" s="71"/>
      <c r="E846" s="71"/>
      <c r="F846" s="73"/>
      <c r="G846" s="73"/>
      <c r="H846" s="73"/>
      <c r="I846" s="73"/>
      <c r="J846" s="73"/>
      <c r="K846" s="73"/>
    </row>
    <row r="847">
      <c r="C847" s="71"/>
      <c r="D847" s="71"/>
      <c r="E847" s="71"/>
      <c r="F847" s="73"/>
      <c r="G847" s="73"/>
      <c r="H847" s="73"/>
      <c r="I847" s="73"/>
      <c r="J847" s="73"/>
      <c r="K847" s="73"/>
    </row>
    <row r="848">
      <c r="C848" s="71"/>
      <c r="D848" s="71"/>
      <c r="E848" s="71"/>
      <c r="F848" s="73"/>
      <c r="G848" s="73"/>
      <c r="H848" s="73"/>
      <c r="I848" s="73"/>
      <c r="J848" s="73"/>
      <c r="K848" s="73"/>
    </row>
    <row r="849">
      <c r="C849" s="71"/>
      <c r="D849" s="71"/>
      <c r="E849" s="71"/>
      <c r="F849" s="73"/>
      <c r="G849" s="73"/>
      <c r="H849" s="73"/>
      <c r="I849" s="73"/>
      <c r="J849" s="73"/>
      <c r="K849" s="73"/>
    </row>
    <row r="850">
      <c r="C850" s="71"/>
      <c r="D850" s="71"/>
      <c r="E850" s="71"/>
      <c r="F850" s="73"/>
      <c r="G850" s="73"/>
      <c r="H850" s="73"/>
      <c r="I850" s="73"/>
      <c r="J850" s="73"/>
      <c r="K850" s="73"/>
    </row>
    <row r="851">
      <c r="C851" s="71"/>
      <c r="D851" s="71"/>
      <c r="E851" s="71"/>
      <c r="F851" s="73"/>
      <c r="G851" s="73"/>
      <c r="H851" s="73"/>
      <c r="I851" s="73"/>
      <c r="J851" s="73"/>
      <c r="K851" s="73"/>
    </row>
    <row r="852">
      <c r="C852" s="71"/>
      <c r="D852" s="71"/>
      <c r="E852" s="71"/>
      <c r="F852" s="73"/>
      <c r="G852" s="73"/>
      <c r="H852" s="73"/>
      <c r="I852" s="73"/>
      <c r="J852" s="73"/>
      <c r="K852" s="73"/>
    </row>
    <row r="853">
      <c r="C853" s="71"/>
      <c r="D853" s="71"/>
      <c r="E853" s="71"/>
      <c r="F853" s="73"/>
      <c r="G853" s="73"/>
      <c r="H853" s="73"/>
      <c r="I853" s="73"/>
      <c r="J853" s="73"/>
      <c r="K853" s="73"/>
    </row>
    <row r="854">
      <c r="C854" s="71"/>
      <c r="D854" s="71"/>
      <c r="E854" s="71"/>
      <c r="F854" s="73"/>
      <c r="G854" s="73"/>
      <c r="H854" s="73"/>
      <c r="I854" s="73"/>
      <c r="J854" s="73"/>
      <c r="K854" s="73"/>
    </row>
    <row r="855">
      <c r="C855" s="71"/>
      <c r="D855" s="71"/>
      <c r="E855" s="71"/>
      <c r="F855" s="73"/>
      <c r="G855" s="73"/>
      <c r="H855" s="73"/>
      <c r="I855" s="73"/>
      <c r="J855" s="73"/>
      <c r="K855" s="73"/>
    </row>
    <row r="856">
      <c r="C856" s="71"/>
      <c r="D856" s="71"/>
      <c r="E856" s="71"/>
      <c r="F856" s="73"/>
      <c r="G856" s="73"/>
      <c r="H856" s="73"/>
      <c r="I856" s="73"/>
      <c r="J856" s="73"/>
      <c r="K856" s="73"/>
    </row>
    <row r="857">
      <c r="C857" s="71"/>
      <c r="D857" s="71"/>
      <c r="E857" s="71"/>
      <c r="F857" s="73"/>
      <c r="G857" s="73"/>
      <c r="H857" s="73"/>
      <c r="I857" s="73"/>
      <c r="J857" s="73"/>
      <c r="K857" s="73"/>
    </row>
    <row r="858">
      <c r="C858" s="71"/>
      <c r="D858" s="71"/>
      <c r="E858" s="71"/>
      <c r="F858" s="73"/>
      <c r="G858" s="73"/>
      <c r="H858" s="73"/>
      <c r="I858" s="73"/>
      <c r="J858" s="73"/>
      <c r="K858" s="73"/>
    </row>
    <row r="859">
      <c r="C859" s="71"/>
      <c r="D859" s="71"/>
      <c r="E859" s="71"/>
      <c r="F859" s="73"/>
      <c r="G859" s="73"/>
      <c r="H859" s="73"/>
      <c r="I859" s="73"/>
      <c r="J859" s="73"/>
      <c r="K859" s="73"/>
    </row>
    <row r="860">
      <c r="C860" s="71"/>
      <c r="D860" s="71"/>
      <c r="E860" s="71"/>
      <c r="F860" s="73"/>
      <c r="G860" s="73"/>
      <c r="H860" s="73"/>
      <c r="I860" s="73"/>
      <c r="J860" s="73"/>
      <c r="K860" s="73"/>
    </row>
    <row r="861">
      <c r="C861" s="71"/>
      <c r="D861" s="71"/>
      <c r="E861" s="71"/>
      <c r="F861" s="73"/>
      <c r="G861" s="73"/>
      <c r="H861" s="73"/>
      <c r="I861" s="73"/>
      <c r="J861" s="73"/>
      <c r="K861" s="73"/>
    </row>
    <row r="862">
      <c r="C862" s="71"/>
      <c r="D862" s="71"/>
      <c r="E862" s="71"/>
      <c r="F862" s="73"/>
      <c r="G862" s="73"/>
      <c r="H862" s="73"/>
      <c r="I862" s="73"/>
      <c r="J862" s="73"/>
      <c r="K862" s="73"/>
    </row>
    <row r="863">
      <c r="C863" s="71"/>
      <c r="D863" s="71"/>
      <c r="E863" s="71"/>
      <c r="F863" s="73"/>
      <c r="G863" s="73"/>
      <c r="H863" s="73"/>
      <c r="I863" s="73"/>
      <c r="J863" s="73"/>
      <c r="K863" s="73"/>
    </row>
    <row r="864">
      <c r="C864" s="71"/>
      <c r="D864" s="71"/>
      <c r="E864" s="71"/>
      <c r="F864" s="73"/>
      <c r="G864" s="73"/>
      <c r="H864" s="73"/>
      <c r="I864" s="73"/>
      <c r="J864" s="73"/>
      <c r="K864" s="73"/>
    </row>
    <row r="865">
      <c r="C865" s="71"/>
      <c r="D865" s="71"/>
      <c r="E865" s="71"/>
      <c r="F865" s="73"/>
      <c r="G865" s="73"/>
      <c r="H865" s="73"/>
      <c r="I865" s="73"/>
      <c r="J865" s="73"/>
      <c r="K865" s="73"/>
    </row>
    <row r="866">
      <c r="C866" s="71"/>
      <c r="D866" s="71"/>
      <c r="E866" s="71"/>
      <c r="F866" s="73"/>
      <c r="G866" s="73"/>
      <c r="H866" s="73"/>
      <c r="I866" s="73"/>
      <c r="J866" s="73"/>
      <c r="K866" s="73"/>
    </row>
    <row r="867">
      <c r="C867" s="71"/>
      <c r="D867" s="71"/>
      <c r="E867" s="71"/>
      <c r="F867" s="73"/>
      <c r="G867" s="73"/>
      <c r="H867" s="73"/>
      <c r="I867" s="73"/>
      <c r="J867" s="73"/>
      <c r="K867" s="73"/>
    </row>
    <row r="868">
      <c r="C868" s="71"/>
      <c r="D868" s="71"/>
      <c r="E868" s="71"/>
      <c r="F868" s="73"/>
      <c r="G868" s="73"/>
      <c r="H868" s="73"/>
      <c r="I868" s="73"/>
      <c r="J868" s="73"/>
      <c r="K868" s="73"/>
    </row>
    <row r="869">
      <c r="C869" s="71"/>
      <c r="D869" s="71"/>
      <c r="E869" s="71"/>
      <c r="F869" s="73"/>
      <c r="G869" s="73"/>
      <c r="H869" s="73"/>
      <c r="I869" s="73"/>
      <c r="J869" s="73"/>
      <c r="K869" s="73"/>
    </row>
    <row r="870">
      <c r="C870" s="71"/>
      <c r="D870" s="71"/>
      <c r="E870" s="71"/>
      <c r="F870" s="73"/>
      <c r="G870" s="73"/>
      <c r="H870" s="73"/>
      <c r="I870" s="73"/>
      <c r="J870" s="73"/>
      <c r="K870" s="73"/>
    </row>
    <row r="871">
      <c r="C871" s="71"/>
      <c r="D871" s="71"/>
      <c r="E871" s="71"/>
      <c r="F871" s="73"/>
      <c r="G871" s="73"/>
      <c r="H871" s="73"/>
      <c r="I871" s="73"/>
      <c r="J871" s="73"/>
      <c r="K871" s="73"/>
    </row>
    <row r="872">
      <c r="C872" s="71"/>
      <c r="D872" s="71"/>
      <c r="E872" s="71"/>
      <c r="F872" s="73"/>
      <c r="G872" s="73"/>
      <c r="H872" s="73"/>
      <c r="I872" s="73"/>
      <c r="J872" s="73"/>
      <c r="K872" s="73"/>
    </row>
    <row r="873">
      <c r="C873" s="71"/>
      <c r="D873" s="71"/>
      <c r="E873" s="71"/>
      <c r="F873" s="73"/>
      <c r="G873" s="73"/>
      <c r="H873" s="73"/>
      <c r="I873" s="73"/>
      <c r="J873" s="73"/>
      <c r="K873" s="73"/>
    </row>
    <row r="874">
      <c r="C874" s="71"/>
      <c r="D874" s="71"/>
      <c r="E874" s="71"/>
      <c r="F874" s="73"/>
      <c r="G874" s="73"/>
      <c r="H874" s="73"/>
      <c r="I874" s="73"/>
      <c r="J874" s="73"/>
      <c r="K874" s="73"/>
    </row>
    <row r="875">
      <c r="C875" s="71"/>
      <c r="D875" s="71"/>
      <c r="E875" s="71"/>
      <c r="F875" s="73"/>
      <c r="G875" s="73"/>
      <c r="H875" s="73"/>
      <c r="I875" s="73"/>
      <c r="J875" s="73"/>
      <c r="K875" s="73"/>
    </row>
    <row r="876">
      <c r="C876" s="71"/>
      <c r="D876" s="71"/>
      <c r="E876" s="71"/>
      <c r="F876" s="73"/>
      <c r="G876" s="73"/>
      <c r="H876" s="73"/>
      <c r="I876" s="73"/>
      <c r="J876" s="73"/>
      <c r="K876" s="73"/>
    </row>
    <row r="877">
      <c r="C877" s="71"/>
      <c r="D877" s="71"/>
      <c r="E877" s="71"/>
      <c r="F877" s="73"/>
      <c r="G877" s="73"/>
      <c r="H877" s="73"/>
      <c r="I877" s="73"/>
      <c r="J877" s="73"/>
      <c r="K877" s="73"/>
    </row>
    <row r="878">
      <c r="C878" s="71"/>
      <c r="D878" s="71"/>
      <c r="E878" s="71"/>
      <c r="F878" s="73"/>
      <c r="G878" s="73"/>
      <c r="H878" s="73"/>
      <c r="I878" s="73"/>
      <c r="J878" s="73"/>
      <c r="K878" s="73"/>
    </row>
    <row r="879">
      <c r="C879" s="71"/>
      <c r="D879" s="71"/>
      <c r="E879" s="71"/>
      <c r="F879" s="73"/>
      <c r="G879" s="73"/>
      <c r="H879" s="73"/>
      <c r="I879" s="73"/>
      <c r="J879" s="73"/>
      <c r="K879" s="73"/>
    </row>
    <row r="880">
      <c r="C880" s="71"/>
      <c r="D880" s="71"/>
      <c r="E880" s="71"/>
      <c r="F880" s="73"/>
      <c r="G880" s="73"/>
      <c r="H880" s="73"/>
      <c r="I880" s="73"/>
      <c r="J880" s="73"/>
      <c r="K880" s="73"/>
    </row>
    <row r="881">
      <c r="C881" s="71"/>
      <c r="D881" s="71"/>
      <c r="E881" s="71"/>
      <c r="F881" s="73"/>
      <c r="G881" s="73"/>
      <c r="H881" s="73"/>
      <c r="I881" s="73"/>
      <c r="J881" s="73"/>
      <c r="K881" s="73"/>
    </row>
    <row r="882">
      <c r="C882" s="71"/>
      <c r="D882" s="71"/>
      <c r="E882" s="71"/>
      <c r="F882" s="73"/>
      <c r="G882" s="73"/>
      <c r="H882" s="73"/>
      <c r="I882" s="73"/>
      <c r="J882" s="73"/>
      <c r="K882" s="73"/>
    </row>
    <row r="883">
      <c r="C883" s="71"/>
      <c r="D883" s="71"/>
      <c r="E883" s="71"/>
      <c r="F883" s="73"/>
      <c r="G883" s="73"/>
      <c r="H883" s="73"/>
      <c r="I883" s="73"/>
      <c r="J883" s="73"/>
      <c r="K883" s="73"/>
    </row>
    <row r="884">
      <c r="C884" s="71"/>
      <c r="D884" s="71"/>
      <c r="E884" s="71"/>
      <c r="F884" s="73"/>
      <c r="G884" s="73"/>
      <c r="H884" s="73"/>
      <c r="I884" s="73"/>
      <c r="J884" s="73"/>
      <c r="K884" s="73"/>
    </row>
    <row r="885">
      <c r="C885" s="71"/>
      <c r="D885" s="71"/>
      <c r="E885" s="71"/>
      <c r="F885" s="73"/>
      <c r="G885" s="73"/>
      <c r="H885" s="73"/>
      <c r="I885" s="73"/>
      <c r="J885" s="73"/>
      <c r="K885" s="73"/>
    </row>
    <row r="886">
      <c r="C886" s="71"/>
      <c r="D886" s="71"/>
      <c r="E886" s="71"/>
      <c r="F886" s="73"/>
      <c r="G886" s="73"/>
      <c r="H886" s="73"/>
      <c r="I886" s="73"/>
      <c r="J886" s="73"/>
      <c r="K886" s="73"/>
    </row>
    <row r="887">
      <c r="C887" s="71"/>
      <c r="D887" s="71"/>
      <c r="E887" s="71"/>
      <c r="F887" s="73"/>
      <c r="G887" s="73"/>
      <c r="H887" s="73"/>
      <c r="I887" s="73"/>
      <c r="J887" s="73"/>
      <c r="K887" s="73"/>
    </row>
    <row r="888">
      <c r="C888" s="71"/>
      <c r="D888" s="71"/>
      <c r="E888" s="71"/>
      <c r="F888" s="73"/>
      <c r="G888" s="73"/>
      <c r="H888" s="73"/>
      <c r="I888" s="73"/>
      <c r="J888" s="73"/>
      <c r="K888" s="73"/>
    </row>
    <row r="889">
      <c r="C889" s="71"/>
      <c r="D889" s="71"/>
      <c r="E889" s="71"/>
      <c r="F889" s="73"/>
      <c r="G889" s="73"/>
      <c r="H889" s="73"/>
      <c r="I889" s="73"/>
      <c r="J889" s="73"/>
      <c r="K889" s="73"/>
    </row>
    <row r="890">
      <c r="C890" s="71"/>
      <c r="D890" s="71"/>
      <c r="E890" s="71"/>
      <c r="F890" s="73"/>
      <c r="G890" s="73"/>
      <c r="H890" s="73"/>
      <c r="I890" s="73"/>
      <c r="J890" s="73"/>
      <c r="K890" s="73"/>
    </row>
    <row r="891">
      <c r="C891" s="71"/>
      <c r="D891" s="71"/>
      <c r="E891" s="71"/>
      <c r="F891" s="73"/>
      <c r="G891" s="73"/>
      <c r="H891" s="73"/>
      <c r="I891" s="73"/>
      <c r="J891" s="73"/>
      <c r="K891" s="73"/>
    </row>
    <row r="892">
      <c r="C892" s="71"/>
      <c r="D892" s="71"/>
      <c r="E892" s="71"/>
      <c r="F892" s="73"/>
      <c r="G892" s="73"/>
      <c r="H892" s="73"/>
      <c r="I892" s="73"/>
      <c r="J892" s="73"/>
      <c r="K892" s="73"/>
    </row>
    <row r="893">
      <c r="C893" s="71"/>
      <c r="D893" s="71"/>
      <c r="E893" s="71"/>
      <c r="F893" s="73"/>
      <c r="G893" s="73"/>
      <c r="H893" s="73"/>
      <c r="I893" s="73"/>
      <c r="J893" s="73"/>
      <c r="K893" s="73"/>
    </row>
    <row r="894">
      <c r="C894" s="71"/>
      <c r="D894" s="71"/>
      <c r="E894" s="71"/>
      <c r="F894" s="73"/>
      <c r="G894" s="73"/>
      <c r="H894" s="73"/>
      <c r="I894" s="73"/>
      <c r="J894" s="73"/>
      <c r="K894" s="73"/>
    </row>
    <row r="895">
      <c r="C895" s="71"/>
      <c r="D895" s="71"/>
      <c r="E895" s="71"/>
      <c r="F895" s="73"/>
      <c r="G895" s="73"/>
      <c r="H895" s="73"/>
      <c r="I895" s="73"/>
      <c r="J895" s="73"/>
      <c r="K895" s="73"/>
    </row>
    <row r="896">
      <c r="C896" s="71"/>
      <c r="D896" s="71"/>
      <c r="E896" s="71"/>
      <c r="F896" s="73"/>
      <c r="G896" s="73"/>
      <c r="H896" s="73"/>
      <c r="I896" s="73"/>
      <c r="J896" s="73"/>
      <c r="K896" s="73"/>
    </row>
    <row r="897">
      <c r="C897" s="71"/>
      <c r="D897" s="71"/>
      <c r="E897" s="71"/>
      <c r="F897" s="73"/>
      <c r="G897" s="73"/>
      <c r="H897" s="73"/>
      <c r="I897" s="73"/>
      <c r="J897" s="73"/>
      <c r="K897" s="73"/>
    </row>
    <row r="898">
      <c r="C898" s="71"/>
      <c r="D898" s="71"/>
      <c r="E898" s="71"/>
      <c r="F898" s="73"/>
      <c r="G898" s="73"/>
      <c r="H898" s="73"/>
      <c r="I898" s="73"/>
      <c r="J898" s="73"/>
      <c r="K898" s="73"/>
    </row>
    <row r="899">
      <c r="C899" s="71"/>
      <c r="D899" s="71"/>
      <c r="E899" s="71"/>
      <c r="F899" s="73"/>
      <c r="G899" s="73"/>
      <c r="H899" s="73"/>
      <c r="I899" s="73"/>
      <c r="J899" s="73"/>
      <c r="K899" s="73"/>
    </row>
    <row r="900">
      <c r="C900" s="71"/>
      <c r="D900" s="71"/>
      <c r="E900" s="71"/>
      <c r="F900" s="73"/>
      <c r="G900" s="73"/>
      <c r="H900" s="73"/>
      <c r="I900" s="73"/>
      <c r="J900" s="73"/>
      <c r="K900" s="73"/>
    </row>
    <row r="901">
      <c r="C901" s="71"/>
      <c r="D901" s="71"/>
      <c r="E901" s="71"/>
      <c r="F901" s="73"/>
      <c r="G901" s="73"/>
      <c r="H901" s="73"/>
      <c r="I901" s="73"/>
      <c r="J901" s="73"/>
      <c r="K901" s="73"/>
    </row>
    <row r="902">
      <c r="C902" s="71"/>
      <c r="D902" s="71"/>
      <c r="E902" s="71"/>
      <c r="F902" s="73"/>
      <c r="G902" s="73"/>
      <c r="H902" s="73"/>
      <c r="I902" s="73"/>
      <c r="J902" s="73"/>
      <c r="K902" s="73"/>
    </row>
    <row r="903">
      <c r="C903" s="71"/>
      <c r="D903" s="71"/>
      <c r="E903" s="71"/>
      <c r="F903" s="73"/>
      <c r="G903" s="73"/>
      <c r="H903" s="73"/>
      <c r="I903" s="73"/>
      <c r="J903" s="73"/>
      <c r="K903" s="73"/>
    </row>
    <row r="904">
      <c r="C904" s="71"/>
      <c r="D904" s="71"/>
      <c r="E904" s="71"/>
      <c r="F904" s="73"/>
      <c r="G904" s="73"/>
      <c r="H904" s="73"/>
      <c r="I904" s="73"/>
      <c r="J904" s="73"/>
      <c r="K904" s="73"/>
    </row>
    <row r="905">
      <c r="C905" s="71"/>
      <c r="D905" s="71"/>
      <c r="E905" s="71"/>
      <c r="F905" s="73"/>
      <c r="G905" s="73"/>
      <c r="H905" s="73"/>
      <c r="I905" s="73"/>
      <c r="J905" s="73"/>
      <c r="K905" s="73"/>
    </row>
    <row r="906">
      <c r="C906" s="71"/>
      <c r="D906" s="71"/>
      <c r="E906" s="71"/>
      <c r="F906" s="73"/>
      <c r="G906" s="73"/>
      <c r="H906" s="73"/>
      <c r="I906" s="73"/>
      <c r="J906" s="73"/>
      <c r="K906" s="73"/>
    </row>
    <row r="907">
      <c r="C907" s="71"/>
      <c r="D907" s="71"/>
      <c r="E907" s="71"/>
      <c r="F907" s="73"/>
      <c r="G907" s="73"/>
      <c r="H907" s="73"/>
      <c r="I907" s="73"/>
      <c r="J907" s="73"/>
      <c r="K907" s="73"/>
    </row>
    <row r="908">
      <c r="C908" s="71"/>
      <c r="D908" s="71"/>
      <c r="E908" s="71"/>
      <c r="F908" s="73"/>
      <c r="G908" s="73"/>
      <c r="H908" s="73"/>
      <c r="I908" s="73"/>
      <c r="J908" s="73"/>
      <c r="K908" s="73"/>
    </row>
    <row r="909">
      <c r="C909" s="71"/>
      <c r="D909" s="71"/>
      <c r="E909" s="71"/>
      <c r="F909" s="73"/>
      <c r="G909" s="73"/>
      <c r="H909" s="73"/>
      <c r="I909" s="73"/>
      <c r="J909" s="73"/>
      <c r="K909" s="73"/>
    </row>
    <row r="910">
      <c r="C910" s="71"/>
      <c r="D910" s="71"/>
      <c r="E910" s="71"/>
      <c r="F910" s="73"/>
      <c r="G910" s="73"/>
      <c r="H910" s="73"/>
      <c r="I910" s="73"/>
      <c r="J910" s="73"/>
      <c r="K910" s="73"/>
    </row>
    <row r="911">
      <c r="C911" s="71"/>
      <c r="D911" s="71"/>
      <c r="E911" s="71"/>
      <c r="F911" s="73"/>
      <c r="G911" s="73"/>
      <c r="H911" s="73"/>
      <c r="I911" s="73"/>
      <c r="J911" s="73"/>
      <c r="K911" s="73"/>
    </row>
    <row r="912">
      <c r="C912" s="71"/>
      <c r="D912" s="71"/>
      <c r="E912" s="71"/>
      <c r="F912" s="73"/>
      <c r="G912" s="73"/>
      <c r="H912" s="73"/>
      <c r="I912" s="73"/>
      <c r="J912" s="73"/>
      <c r="K912" s="73"/>
    </row>
    <row r="913">
      <c r="C913" s="71"/>
      <c r="D913" s="71"/>
      <c r="E913" s="71"/>
      <c r="F913" s="73"/>
      <c r="G913" s="73"/>
      <c r="H913" s="73"/>
      <c r="I913" s="73"/>
      <c r="J913" s="73"/>
      <c r="K913" s="73"/>
    </row>
    <row r="914">
      <c r="C914" s="71"/>
      <c r="D914" s="71"/>
      <c r="E914" s="71"/>
      <c r="F914" s="73"/>
      <c r="G914" s="73"/>
      <c r="H914" s="73"/>
      <c r="I914" s="73"/>
      <c r="J914" s="73"/>
      <c r="K914" s="73"/>
    </row>
    <row r="915">
      <c r="C915" s="71"/>
      <c r="D915" s="71"/>
      <c r="E915" s="71"/>
      <c r="F915" s="73"/>
      <c r="G915" s="73"/>
      <c r="H915" s="73"/>
      <c r="I915" s="73"/>
      <c r="J915" s="73"/>
      <c r="K915" s="73"/>
    </row>
    <row r="916">
      <c r="C916" s="71"/>
      <c r="D916" s="71"/>
      <c r="E916" s="71"/>
      <c r="F916" s="73"/>
      <c r="G916" s="73"/>
      <c r="H916" s="73"/>
      <c r="I916" s="73"/>
      <c r="J916" s="73"/>
      <c r="K916" s="73"/>
    </row>
    <row r="917">
      <c r="C917" s="71"/>
      <c r="D917" s="71"/>
      <c r="E917" s="71"/>
      <c r="F917" s="73"/>
      <c r="G917" s="73"/>
      <c r="H917" s="73"/>
      <c r="I917" s="73"/>
      <c r="J917" s="73"/>
      <c r="K917" s="73"/>
    </row>
    <row r="918">
      <c r="C918" s="71"/>
      <c r="D918" s="71"/>
      <c r="E918" s="71"/>
      <c r="F918" s="73"/>
      <c r="G918" s="73"/>
      <c r="H918" s="73"/>
      <c r="I918" s="73"/>
      <c r="J918" s="73"/>
      <c r="K918" s="73"/>
    </row>
    <row r="919">
      <c r="C919" s="71"/>
      <c r="D919" s="71"/>
      <c r="E919" s="71"/>
      <c r="F919" s="73"/>
      <c r="G919" s="73"/>
      <c r="H919" s="73"/>
      <c r="I919" s="73"/>
      <c r="J919" s="73"/>
      <c r="K919" s="73"/>
    </row>
    <row r="920">
      <c r="C920" s="71"/>
      <c r="D920" s="71"/>
      <c r="E920" s="71"/>
      <c r="F920" s="73"/>
      <c r="G920" s="73"/>
      <c r="H920" s="73"/>
      <c r="I920" s="73"/>
      <c r="J920" s="73"/>
      <c r="K920" s="73"/>
    </row>
    <row r="921">
      <c r="C921" s="71"/>
      <c r="D921" s="71"/>
      <c r="E921" s="71"/>
      <c r="F921" s="73"/>
      <c r="G921" s="73"/>
      <c r="H921" s="73"/>
      <c r="I921" s="73"/>
      <c r="J921" s="73"/>
      <c r="K921" s="73"/>
    </row>
    <row r="922">
      <c r="C922" s="71"/>
      <c r="D922" s="71"/>
      <c r="E922" s="71"/>
      <c r="F922" s="73"/>
      <c r="G922" s="73"/>
      <c r="H922" s="73"/>
      <c r="I922" s="73"/>
      <c r="J922" s="73"/>
      <c r="K922" s="73"/>
    </row>
    <row r="923">
      <c r="C923" s="71"/>
      <c r="D923" s="71"/>
      <c r="E923" s="71"/>
      <c r="F923" s="73"/>
      <c r="G923" s="73"/>
      <c r="H923" s="73"/>
      <c r="I923" s="73"/>
      <c r="J923" s="73"/>
      <c r="K923" s="73"/>
    </row>
    <row r="924">
      <c r="C924" s="71"/>
      <c r="D924" s="71"/>
      <c r="E924" s="71"/>
      <c r="F924" s="73"/>
      <c r="G924" s="73"/>
      <c r="H924" s="73"/>
      <c r="I924" s="73"/>
      <c r="J924" s="73"/>
      <c r="K924" s="73"/>
    </row>
    <row r="925">
      <c r="C925" s="71"/>
      <c r="D925" s="71"/>
      <c r="E925" s="71"/>
      <c r="F925" s="73"/>
      <c r="G925" s="73"/>
      <c r="H925" s="73"/>
      <c r="I925" s="73"/>
      <c r="J925" s="73"/>
      <c r="K925" s="73"/>
    </row>
  </sheetData>
  <autoFilter ref="$A$1:$N$124"/>
  <dataValidations>
    <dataValidation type="list" allowBlank="1" showErrorMessage="1" sqref="I2:I124">
      <formula1>" CREDICOOP, PROVINCIA,BBVA,EFECTIVO,EFECTIVO B,MP,PREVISION,DEB AUT. BBVA,DEB. AUT. CRED."</formula1>
    </dataValidation>
  </dataValidations>
  <drawing r:id="rId1"/>
</worksheet>
</file>