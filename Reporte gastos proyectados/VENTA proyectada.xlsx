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mar\OneDrive\Documentos\"/>
    </mc:Choice>
  </mc:AlternateContent>
  <xr:revisionPtr revIDLastSave="0" documentId="8_{E988EA88-3050-439A-B665-2DD8E2C3B3CC}" xr6:coauthVersionLast="47" xr6:coauthVersionMax="47" xr10:uidLastSave="{00000000-0000-0000-0000-000000000000}"/>
  <bookViews>
    <workbookView xWindow="-108" yWindow="-108" windowWidth="23256" windowHeight="12456" xr2:uid="{1FC664AD-E41F-4332-BD66-FE14CB4F7397}"/>
  </bookViews>
  <sheets>
    <sheet name="SEPTIEMB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36" i="1"/>
  <c r="M34" i="1"/>
  <c r="N34" i="1" s="1"/>
  <c r="I34" i="1"/>
  <c r="J34" i="1" s="1"/>
  <c r="C34" i="1"/>
  <c r="D34" i="1" s="1"/>
  <c r="O33" i="1"/>
  <c r="O36" i="1" s="1"/>
  <c r="M33" i="1"/>
  <c r="M36" i="1" s="1"/>
  <c r="K33" i="1"/>
  <c r="K34" i="1" s="1"/>
  <c r="L34" i="1" s="1"/>
  <c r="I33" i="1"/>
  <c r="I36" i="1" s="1"/>
  <c r="G33" i="1"/>
  <c r="G36" i="1" s="1"/>
  <c r="E33" i="1"/>
  <c r="E36" i="1" s="1"/>
  <c r="C33" i="1"/>
  <c r="C38" i="1" s="1"/>
  <c r="P31" i="1"/>
  <c r="N31" i="1"/>
  <c r="L31" i="1"/>
  <c r="J31" i="1"/>
  <c r="H31" i="1"/>
  <c r="F31" i="1"/>
  <c r="D31" i="1"/>
  <c r="P30" i="1"/>
  <c r="N30" i="1"/>
  <c r="L30" i="1"/>
  <c r="J30" i="1"/>
  <c r="H30" i="1"/>
  <c r="F30" i="1"/>
  <c r="D30" i="1"/>
  <c r="P29" i="1"/>
  <c r="N29" i="1"/>
  <c r="L29" i="1"/>
  <c r="J29" i="1"/>
  <c r="H29" i="1"/>
  <c r="F29" i="1"/>
  <c r="D29" i="1"/>
  <c r="P28" i="1"/>
  <c r="N28" i="1"/>
  <c r="L28" i="1"/>
  <c r="J28" i="1"/>
  <c r="H28" i="1"/>
  <c r="F28" i="1"/>
  <c r="D28" i="1"/>
  <c r="P27" i="1"/>
  <c r="N27" i="1"/>
  <c r="L27" i="1"/>
  <c r="J27" i="1"/>
  <c r="H27" i="1"/>
  <c r="F27" i="1"/>
  <c r="D27" i="1"/>
  <c r="P26" i="1"/>
  <c r="N26" i="1"/>
  <c r="L26" i="1"/>
  <c r="J26" i="1"/>
  <c r="H26" i="1"/>
  <c r="F26" i="1"/>
  <c r="D26" i="1"/>
  <c r="P25" i="1"/>
  <c r="N25" i="1"/>
  <c r="L25" i="1"/>
  <c r="J25" i="1"/>
  <c r="H25" i="1"/>
  <c r="F25" i="1"/>
  <c r="D25" i="1"/>
  <c r="P24" i="1"/>
  <c r="N24" i="1"/>
  <c r="L24" i="1"/>
  <c r="J24" i="1"/>
  <c r="H24" i="1"/>
  <c r="F24" i="1"/>
  <c r="D24" i="1"/>
  <c r="P23" i="1"/>
  <c r="N23" i="1"/>
  <c r="L23" i="1"/>
  <c r="J23" i="1"/>
  <c r="H23" i="1"/>
  <c r="F23" i="1"/>
  <c r="D23" i="1"/>
  <c r="P22" i="1"/>
  <c r="N22" i="1"/>
  <c r="L22" i="1"/>
  <c r="J22" i="1"/>
  <c r="H22" i="1"/>
  <c r="F22" i="1"/>
  <c r="D22" i="1"/>
  <c r="P21" i="1"/>
  <c r="N21" i="1"/>
  <c r="L21" i="1"/>
  <c r="J21" i="1"/>
  <c r="H21" i="1"/>
  <c r="F21" i="1"/>
  <c r="D21" i="1"/>
  <c r="P20" i="1"/>
  <c r="N20" i="1"/>
  <c r="L20" i="1"/>
  <c r="J20" i="1"/>
  <c r="H20" i="1"/>
  <c r="F20" i="1"/>
  <c r="D20" i="1"/>
  <c r="P19" i="1"/>
  <c r="N19" i="1"/>
  <c r="L19" i="1"/>
  <c r="J19" i="1"/>
  <c r="H19" i="1"/>
  <c r="F19" i="1"/>
  <c r="D19" i="1"/>
  <c r="P18" i="1"/>
  <c r="N18" i="1"/>
  <c r="L18" i="1"/>
  <c r="J18" i="1"/>
  <c r="H18" i="1"/>
  <c r="F18" i="1"/>
  <c r="D18" i="1"/>
  <c r="P17" i="1"/>
  <c r="N17" i="1"/>
  <c r="L17" i="1"/>
  <c r="J17" i="1"/>
  <c r="H17" i="1"/>
  <c r="F17" i="1"/>
  <c r="D17" i="1"/>
  <c r="P16" i="1"/>
  <c r="N16" i="1"/>
  <c r="L16" i="1"/>
  <c r="J16" i="1"/>
  <c r="H16" i="1"/>
  <c r="F16" i="1"/>
  <c r="D16" i="1"/>
  <c r="P15" i="1"/>
  <c r="N15" i="1"/>
  <c r="L15" i="1"/>
  <c r="J15" i="1"/>
  <c r="H15" i="1"/>
  <c r="F15" i="1"/>
  <c r="D15" i="1"/>
  <c r="P14" i="1"/>
  <c r="N14" i="1"/>
  <c r="L14" i="1"/>
  <c r="J14" i="1"/>
  <c r="H14" i="1"/>
  <c r="F14" i="1"/>
  <c r="D14" i="1"/>
  <c r="P13" i="1"/>
  <c r="N13" i="1"/>
  <c r="L13" i="1"/>
  <c r="J13" i="1"/>
  <c r="H13" i="1"/>
  <c r="F13" i="1"/>
  <c r="D13" i="1"/>
  <c r="P12" i="1"/>
  <c r="N12" i="1"/>
  <c r="L12" i="1"/>
  <c r="J12" i="1"/>
  <c r="H12" i="1"/>
  <c r="F12" i="1"/>
  <c r="D12" i="1"/>
  <c r="P11" i="1"/>
  <c r="N11" i="1"/>
  <c r="L11" i="1"/>
  <c r="J11" i="1"/>
  <c r="H11" i="1"/>
  <c r="F11" i="1"/>
  <c r="D11" i="1"/>
  <c r="P10" i="1"/>
  <c r="N10" i="1"/>
  <c r="L10" i="1"/>
  <c r="J10" i="1"/>
  <c r="H10" i="1"/>
  <c r="F10" i="1"/>
  <c r="D10" i="1"/>
  <c r="P9" i="1"/>
  <c r="N9" i="1"/>
  <c r="L9" i="1"/>
  <c r="J9" i="1"/>
  <c r="H9" i="1"/>
  <c r="F9" i="1"/>
  <c r="D9" i="1"/>
  <c r="P8" i="1"/>
  <c r="N8" i="1"/>
  <c r="L8" i="1"/>
  <c r="J8" i="1"/>
  <c r="H8" i="1"/>
  <c r="F8" i="1"/>
  <c r="D8" i="1"/>
  <c r="P7" i="1"/>
  <c r="N7" i="1"/>
  <c r="L7" i="1"/>
  <c r="J7" i="1"/>
  <c r="H7" i="1"/>
  <c r="F7" i="1"/>
  <c r="D7" i="1"/>
  <c r="P6" i="1"/>
  <c r="N6" i="1"/>
  <c r="L6" i="1"/>
  <c r="J6" i="1"/>
  <c r="H6" i="1"/>
  <c r="F6" i="1"/>
  <c r="D6" i="1"/>
  <c r="P5" i="1"/>
  <c r="N5" i="1"/>
  <c r="L5" i="1"/>
  <c r="J5" i="1"/>
  <c r="H5" i="1"/>
  <c r="F5" i="1"/>
  <c r="D5" i="1"/>
  <c r="P4" i="1"/>
  <c r="N4" i="1"/>
  <c r="L4" i="1"/>
  <c r="J4" i="1"/>
  <c r="H4" i="1"/>
  <c r="F4" i="1"/>
  <c r="D4" i="1"/>
  <c r="P3" i="1"/>
  <c r="N3" i="1"/>
  <c r="L3" i="1"/>
  <c r="J3" i="1"/>
  <c r="H3" i="1"/>
  <c r="F3" i="1"/>
  <c r="D3" i="1"/>
  <c r="P2" i="1"/>
  <c r="N2" i="1"/>
  <c r="L2" i="1"/>
  <c r="J2" i="1"/>
  <c r="H2" i="1"/>
  <c r="F2" i="1"/>
  <c r="D2" i="1"/>
  <c r="C41" i="1" l="1"/>
  <c r="C39" i="1"/>
  <c r="D39" i="1" s="1"/>
  <c r="K36" i="1"/>
  <c r="G34" i="1"/>
  <c r="H34" i="1" s="1"/>
  <c r="O34" i="1"/>
  <c r="P34" i="1" s="1"/>
  <c r="E34" i="1"/>
  <c r="F34" i="1" s="1"/>
</calcChain>
</file>

<file path=xl/sharedStrings.xml><?xml version="1.0" encoding="utf-8"?>
<sst xmlns="http://schemas.openxmlformats.org/spreadsheetml/2006/main" count="56" uniqueCount="24">
  <si>
    <t>FECHA</t>
  </si>
  <si>
    <t>DIA</t>
  </si>
  <si>
    <t>FLORIDA</t>
  </si>
  <si>
    <t>AVANCE</t>
  </si>
  <si>
    <t>FRENCH</t>
  </si>
  <si>
    <t>RECOLETA</t>
  </si>
  <si>
    <t>SAN TELMO</t>
  </si>
  <si>
    <t>AS SAN TELMO</t>
  </si>
  <si>
    <t>SAN TELMO 2</t>
  </si>
  <si>
    <t>GÜEMES</t>
  </si>
  <si>
    <t>LUNES</t>
  </si>
  <si>
    <t>MARTES</t>
  </si>
  <si>
    <t>MIERCOLES</t>
  </si>
  <si>
    <t>JUEVES</t>
  </si>
  <si>
    <t>VIERNES</t>
  </si>
  <si>
    <t>SABADO</t>
  </si>
  <si>
    <t>DOMINGO</t>
  </si>
  <si>
    <t>TIENDAS</t>
  </si>
  <si>
    <t>ACUMULADO</t>
  </si>
  <si>
    <t>PROYECTADO</t>
  </si>
  <si>
    <t>OBJETIVO</t>
  </si>
  <si>
    <t>CUMPLIMIENTO</t>
  </si>
  <si>
    <t>EMPRESA</t>
  </si>
  <si>
    <t>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</si>
</sst>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\ #,##0.00"/>
  </numFmts>
  <fonts count="8" x14ac:knownFonts="1">
    <font>
      <sz val="10"/>
      <color rgb="FF000000"/>
      <name val="Arial"/>
      <family val="2"/>
      <scheme val="minor"/>
    </font>
    <font>
      <b/>
      <sz val="10"/>
      <color rgb="FFFFFFFF"/>
      <name val="Montserrat"/>
    </font>
    <font>
      <b/>
      <sz val="10"/>
      <color rgb="FF000000"/>
      <name val="Montserrat"/>
    </font>
    <font>
      <sz val="10"/>
      <color theme="1"/>
      <name val="Arial"/>
      <family val="2"/>
      <scheme val="minor"/>
    </font>
    <font>
      <sz val="10"/>
      <color theme="1"/>
      <name val="Montserrat"/>
    </font>
    <font>
      <b/>
      <sz val="10"/>
      <color theme="1"/>
      <name val="Montserrat"/>
    </font>
    <font>
      <sz val="10"/>
      <name val="Arial"/>
      <family val="2"/>
    </font>
    <font>
      <b/>
      <i/>
      <sz val="10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rgb="FF073763"/>
      </patternFill>
    </fill>
    <fill>
      <patternFill patternType="solid">
        <fgColor theme="5" tint="0.79998168889431442"/>
        <bgColor theme="6"/>
      </patternFill>
    </fill>
    <fill>
      <patternFill patternType="solid">
        <fgColor theme="4" tint="0.59999389629810485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0" fontId="2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14" fontId="4" fillId="4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0" fontId="4" fillId="6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textRotation="90"/>
    </xf>
    <xf numFmtId="0" fontId="5" fillId="0" borderId="0" xfId="0" applyFont="1" applyAlignment="1">
      <alignment horizontal="left" vertical="center"/>
    </xf>
    <xf numFmtId="0" fontId="6" fillId="0" borderId="2" xfId="0" applyFont="1" applyBorder="1"/>
    <xf numFmtId="10" fontId="5" fillId="0" borderId="0" xfId="0" applyNumberFormat="1" applyFont="1" applyAlignment="1">
      <alignment horizontal="center" vertical="center"/>
    </xf>
    <xf numFmtId="0" fontId="6" fillId="0" borderId="3" xfId="0" applyFont="1" applyBorder="1"/>
    <xf numFmtId="10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vertical="center"/>
    </xf>
  </cellXfs>
  <cellStyles count="1">
    <cellStyle name="Normal" xfId="0" builtinId="0"/>
  </cellStyles>
  <dxfs count="1">
    <dxf>
      <font>
        <b/>
      </font>
      <fill>
        <patternFill patternType="solid">
          <fgColor rgb="FF00FF00"/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5F1F-8288-45E1-99A1-9BC5E827072C}">
  <sheetPr>
    <outlinePr summaryBelow="0" summaryRight="0"/>
  </sheetPr>
  <dimension ref="A1:V1002"/>
  <sheetViews>
    <sheetView tabSelected="1" workbookViewId="0">
      <pane ySplit="1" topLeftCell="A2" activePane="bottomLeft" state="frozen"/>
      <selection pane="bottomLeft" activeCell="D42" sqref="D42"/>
    </sheetView>
  </sheetViews>
  <sheetFormatPr baseColWidth="10" defaultColWidth="12.6640625" defaultRowHeight="15.75" customHeight="1" x14ac:dyDescent="0.25"/>
  <cols>
    <col min="1" max="1" width="10.88671875" bestFit="1" customWidth="1"/>
    <col min="2" max="2" width="16.77734375" bestFit="1" customWidth="1"/>
    <col min="3" max="3" width="16.33203125" bestFit="1" customWidth="1"/>
    <col min="4" max="4" width="9.44140625" bestFit="1" customWidth="1"/>
    <col min="5" max="5" width="15.5546875" bestFit="1" customWidth="1"/>
    <col min="6" max="6" width="9.44140625" bestFit="1" customWidth="1"/>
    <col min="7" max="7" width="15.44140625" bestFit="1" customWidth="1"/>
    <col min="8" max="8" width="9.44140625" bestFit="1" customWidth="1"/>
    <col min="9" max="9" width="15.44140625" bestFit="1" customWidth="1"/>
    <col min="10" max="10" width="9.44140625" bestFit="1" customWidth="1"/>
    <col min="11" max="11" width="15.88671875" bestFit="1" customWidth="1"/>
    <col min="12" max="12" width="9.44140625" bestFit="1" customWidth="1"/>
    <col min="13" max="13" width="15.5546875" bestFit="1" customWidth="1"/>
    <col min="14" max="14" width="9.44140625" bestFit="1" customWidth="1"/>
    <col min="15" max="15" width="14.44140625" bestFit="1" customWidth="1"/>
    <col min="16" max="16" width="9.44140625" bestFit="1" customWidth="1"/>
  </cols>
  <sheetData>
    <row r="1" spans="1:22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3" t="s">
        <v>3</v>
      </c>
      <c r="G1" s="2" t="s">
        <v>5</v>
      </c>
      <c r="H1" s="3" t="s">
        <v>3</v>
      </c>
      <c r="I1" s="1" t="s">
        <v>6</v>
      </c>
      <c r="J1" s="3" t="s">
        <v>3</v>
      </c>
      <c r="K1" s="1" t="s">
        <v>7</v>
      </c>
      <c r="L1" s="3" t="s">
        <v>3</v>
      </c>
      <c r="M1" s="2" t="s">
        <v>8</v>
      </c>
      <c r="N1" s="3" t="s">
        <v>3</v>
      </c>
      <c r="O1" s="1" t="s">
        <v>9</v>
      </c>
      <c r="P1" s="3" t="s">
        <v>3</v>
      </c>
      <c r="Q1" s="4"/>
      <c r="R1" s="4"/>
      <c r="S1" s="4"/>
      <c r="T1" s="4"/>
      <c r="U1" s="4"/>
      <c r="V1" s="4"/>
    </row>
    <row r="2" spans="1:22" x14ac:dyDescent="0.25">
      <c r="A2" s="5">
        <v>45901</v>
      </c>
      <c r="B2" s="6" t="s">
        <v>10</v>
      </c>
      <c r="C2" s="7">
        <v>1176810</v>
      </c>
      <c r="D2" s="8">
        <f t="shared" ref="D2:D31" si="0">IF(C2="","-",SUM($C$2:C2)/$C$35)</f>
        <v>2.3773939393939392E-2</v>
      </c>
      <c r="E2" s="7">
        <v>856890</v>
      </c>
      <c r="F2" s="8">
        <f t="shared" ref="F2:F31" si="1">IF(E2="","-",SUM($E$2:E2)/$E$35)</f>
        <v>5.0405294117647062E-2</v>
      </c>
      <c r="G2" s="7">
        <v>523910</v>
      </c>
      <c r="H2" s="8">
        <f t="shared" ref="H2:H31" si="2">IF(G2="","-",SUM($G$2:G2)/$G$35)</f>
        <v>2.2294042553191489E-2</v>
      </c>
      <c r="I2" s="7">
        <v>781730</v>
      </c>
      <c r="J2" s="8">
        <f t="shared" ref="J2:J31" si="3">IF(I2="","-",SUM($I$2:I2)/$I$35)</f>
        <v>2.1714722222222222E-2</v>
      </c>
      <c r="K2" s="7">
        <v>259440</v>
      </c>
      <c r="L2" s="8">
        <f>IF(K2="","-",SUM($K$2:K2)/$K$35)</f>
        <v>1.6215E-2</v>
      </c>
      <c r="M2" s="7">
        <v>389950</v>
      </c>
      <c r="N2" s="8">
        <f>IF(M2="","-",SUM($M$2:M2)/$M$35)</f>
        <v>3.3908695652173915E-2</v>
      </c>
      <c r="O2" s="7"/>
      <c r="P2" s="8" t="str">
        <f>IF(O2="","-",SUM($O$2:O2)/$O$35)</f>
        <v>-</v>
      </c>
      <c r="Q2" s="4"/>
      <c r="R2" s="4"/>
      <c r="S2" s="4"/>
      <c r="T2" s="4"/>
      <c r="U2" s="4"/>
      <c r="V2" s="4"/>
    </row>
    <row r="3" spans="1:22" x14ac:dyDescent="0.25">
      <c r="A3" s="5">
        <v>45902</v>
      </c>
      <c r="B3" s="6" t="s">
        <v>11</v>
      </c>
      <c r="C3" s="7">
        <v>956840</v>
      </c>
      <c r="D3" s="8">
        <f t="shared" si="0"/>
        <v>4.3104040404040402E-2</v>
      </c>
      <c r="E3" s="7">
        <v>316960</v>
      </c>
      <c r="F3" s="8">
        <f t="shared" si="1"/>
        <v>6.905E-2</v>
      </c>
      <c r="G3" s="7">
        <v>373940</v>
      </c>
      <c r="H3" s="8">
        <f t="shared" si="2"/>
        <v>3.8206382978723405E-2</v>
      </c>
      <c r="I3" s="7">
        <v>854860</v>
      </c>
      <c r="J3" s="8">
        <f t="shared" si="3"/>
        <v>4.5460833333333332E-2</v>
      </c>
      <c r="K3" s="7">
        <v>163280</v>
      </c>
      <c r="L3" s="8">
        <f>IF(K3="","-",SUM($K$2:K3)/$K$35)</f>
        <v>2.6419999999999999E-2</v>
      </c>
      <c r="M3" s="7">
        <v>219980</v>
      </c>
      <c r="N3" s="8">
        <f>IF(M3="","-",SUM($M$2:M3)/$M$35)</f>
        <v>5.3037391304347828E-2</v>
      </c>
      <c r="O3" s="7">
        <v>324950</v>
      </c>
      <c r="P3" s="8">
        <f>IF(O3="","-",SUM($O$2:O3)/$O$35)</f>
        <v>6.9138297872340423E-2</v>
      </c>
      <c r="Q3" s="4"/>
      <c r="R3" s="4"/>
      <c r="S3" s="4"/>
      <c r="T3" s="4"/>
      <c r="U3" s="4"/>
      <c r="V3" s="4"/>
    </row>
    <row r="4" spans="1:22" x14ac:dyDescent="0.25">
      <c r="A4" s="5">
        <v>45903</v>
      </c>
      <c r="B4" s="6" t="s">
        <v>12</v>
      </c>
      <c r="C4" s="7">
        <v>547940</v>
      </c>
      <c r="D4" s="8">
        <f t="shared" si="0"/>
        <v>5.4173535353535356E-2</v>
      </c>
      <c r="E4" s="7">
        <v>579940</v>
      </c>
      <c r="F4" s="8">
        <f t="shared" si="1"/>
        <v>0.10316411764705882</v>
      </c>
      <c r="G4" s="7">
        <v>1153780</v>
      </c>
      <c r="H4" s="8">
        <f t="shared" si="2"/>
        <v>8.7303404255319156E-2</v>
      </c>
      <c r="I4" s="7">
        <v>784890</v>
      </c>
      <c r="J4" s="8">
        <f t="shared" si="3"/>
        <v>6.7263333333333328E-2</v>
      </c>
      <c r="K4" s="7">
        <v>376360</v>
      </c>
      <c r="L4" s="8">
        <f>IF(K4="","-",SUM($K$2:K4)/$K$35)</f>
        <v>4.9942500000000001E-2</v>
      </c>
      <c r="M4" s="7"/>
      <c r="N4" s="8" t="str">
        <f>IF(M4="","-",SUM($M$2:M4)/$M$35)</f>
        <v>-</v>
      </c>
      <c r="O4" s="7">
        <v>447930</v>
      </c>
      <c r="P4" s="8">
        <f>IF(O4="","-",SUM($O$2:O4)/$O$35)</f>
        <v>0.16444255319148937</v>
      </c>
      <c r="Q4" s="4"/>
      <c r="R4" s="4"/>
      <c r="S4" s="4"/>
      <c r="T4" s="4"/>
      <c r="U4" s="4"/>
      <c r="V4" s="4"/>
    </row>
    <row r="5" spans="1:22" x14ac:dyDescent="0.25">
      <c r="A5" s="5">
        <v>45904</v>
      </c>
      <c r="B5" s="6" t="s">
        <v>13</v>
      </c>
      <c r="C5" s="7">
        <v>1796710</v>
      </c>
      <c r="D5" s="8">
        <f t="shared" si="0"/>
        <v>9.0470707070707077E-2</v>
      </c>
      <c r="E5" s="7">
        <v>484960</v>
      </c>
      <c r="F5" s="8">
        <f t="shared" si="1"/>
        <v>0.13169117647058823</v>
      </c>
      <c r="G5" s="7">
        <v>942890</v>
      </c>
      <c r="H5" s="8">
        <f t="shared" si="2"/>
        <v>0.12742638297872341</v>
      </c>
      <c r="I5" s="7">
        <v>1035890</v>
      </c>
      <c r="J5" s="8">
        <f t="shared" si="3"/>
        <v>9.6038055555555557E-2</v>
      </c>
      <c r="K5" s="7">
        <v>224270</v>
      </c>
      <c r="L5" s="8">
        <f>IF(K5="","-",SUM($K$2:K5)/$K$35)</f>
        <v>6.3959374999999999E-2</v>
      </c>
      <c r="M5" s="7">
        <v>179990</v>
      </c>
      <c r="N5" s="8">
        <f>IF(M5="","-",SUM($M$2:M5)/$M$35)</f>
        <v>6.8688695652173906E-2</v>
      </c>
      <c r="O5" s="7">
        <v>475890</v>
      </c>
      <c r="P5" s="8">
        <f>IF(O5="","-",SUM($O$2:O5)/$O$35)</f>
        <v>0.26569574468085105</v>
      </c>
      <c r="Q5" s="4"/>
      <c r="R5" s="4"/>
      <c r="S5" s="4"/>
      <c r="T5" s="4"/>
      <c r="U5" s="4"/>
      <c r="V5" s="4"/>
    </row>
    <row r="6" spans="1:22" x14ac:dyDescent="0.25">
      <c r="A6" s="5">
        <v>45905</v>
      </c>
      <c r="B6" s="6" t="s">
        <v>14</v>
      </c>
      <c r="C6" s="7">
        <v>617770</v>
      </c>
      <c r="D6" s="8">
        <f t="shared" si="0"/>
        <v>0.10295090909090909</v>
      </c>
      <c r="E6" s="7">
        <v>598900</v>
      </c>
      <c r="F6" s="8">
        <f t="shared" si="1"/>
        <v>0.16692058823529413</v>
      </c>
      <c r="G6" s="7">
        <v>964790</v>
      </c>
      <c r="H6" s="8">
        <f t="shared" si="2"/>
        <v>0.16848127659574469</v>
      </c>
      <c r="I6" s="7">
        <v>671910</v>
      </c>
      <c r="J6" s="8">
        <f t="shared" si="3"/>
        <v>0.11470222222222222</v>
      </c>
      <c r="K6" s="7">
        <v>382450</v>
      </c>
      <c r="L6" s="8">
        <f>IF(K6="","-",SUM($K$2:K6)/$K$35)</f>
        <v>8.7862499999999996E-2</v>
      </c>
      <c r="M6" s="7">
        <v>359970</v>
      </c>
      <c r="N6" s="8">
        <f>IF(M6="","-",SUM($M$2:M6)/$M$35)</f>
        <v>9.9990434782608689E-2</v>
      </c>
      <c r="O6" s="7">
        <v>462910</v>
      </c>
      <c r="P6" s="8">
        <f>IF(O6="","-",SUM($O$2:O6)/$O$35)</f>
        <v>0.36418723404255321</v>
      </c>
      <c r="Q6" s="4"/>
      <c r="R6" s="4"/>
      <c r="S6" s="4"/>
      <c r="T6" s="4"/>
      <c r="U6" s="4"/>
      <c r="V6" s="4"/>
    </row>
    <row r="7" spans="1:22" x14ac:dyDescent="0.25">
      <c r="A7" s="5">
        <v>45906</v>
      </c>
      <c r="B7" s="6" t="s">
        <v>15</v>
      </c>
      <c r="C7" s="7">
        <v>2152670</v>
      </c>
      <c r="D7" s="8">
        <f t="shared" si="0"/>
        <v>0.14643919191919191</v>
      </c>
      <c r="E7" s="7">
        <v>524920</v>
      </c>
      <c r="F7" s="8">
        <f t="shared" si="1"/>
        <v>0.19779823529411764</v>
      </c>
      <c r="G7" s="7">
        <v>939790</v>
      </c>
      <c r="H7" s="8">
        <f t="shared" si="2"/>
        <v>0.20847234042553192</v>
      </c>
      <c r="I7" s="7">
        <v>1038740</v>
      </c>
      <c r="J7" s="8">
        <f t="shared" si="3"/>
        <v>0.14355611111111111</v>
      </c>
      <c r="K7" s="7">
        <v>803400</v>
      </c>
      <c r="L7" s="8">
        <f>IF(K7="","-",SUM($K$2:K7)/$K$35)</f>
        <v>0.138075</v>
      </c>
      <c r="M7" s="7">
        <v>182950</v>
      </c>
      <c r="N7" s="8">
        <f>IF(M7="","-",SUM($M$2:M7)/$M$35)</f>
        <v>0.1158991304347826</v>
      </c>
      <c r="O7" s="7"/>
      <c r="P7" s="8" t="str">
        <f>IF(O7="","-",SUM($O$2:O7)/$O$35)</f>
        <v>-</v>
      </c>
      <c r="Q7" s="4"/>
      <c r="R7" s="4"/>
      <c r="S7" s="4"/>
      <c r="T7" s="4"/>
      <c r="U7" s="4"/>
      <c r="V7" s="4"/>
    </row>
    <row r="8" spans="1:22" x14ac:dyDescent="0.25">
      <c r="A8" s="5">
        <v>45907</v>
      </c>
      <c r="B8" s="6" t="s">
        <v>16</v>
      </c>
      <c r="C8" s="7">
        <v>1370840</v>
      </c>
      <c r="D8" s="8">
        <f t="shared" si="0"/>
        <v>0.17413292929292928</v>
      </c>
      <c r="E8" s="7">
        <v>1016810</v>
      </c>
      <c r="F8" s="8">
        <f t="shared" si="1"/>
        <v>0.25761058823529409</v>
      </c>
      <c r="G8" s="7">
        <v>1157820</v>
      </c>
      <c r="H8" s="8">
        <f t="shared" si="2"/>
        <v>0.25774127659574469</v>
      </c>
      <c r="I8" s="7">
        <v>2640570</v>
      </c>
      <c r="J8" s="8">
        <f t="shared" si="3"/>
        <v>0.21690527777777777</v>
      </c>
      <c r="K8" s="7">
        <v>1070000</v>
      </c>
      <c r="L8" s="8">
        <f>IF(K8="","-",SUM($K$2:K8)/$K$35)</f>
        <v>0.20494999999999999</v>
      </c>
      <c r="M8" s="7">
        <v>1274900</v>
      </c>
      <c r="N8" s="8">
        <f>IF(M8="","-",SUM($M$2:M8)/$M$35)</f>
        <v>0.22675999999999999</v>
      </c>
      <c r="O8" s="7"/>
      <c r="P8" s="8" t="str">
        <f>IF(O8="","-",SUM($O$2:O8)/$O$35)</f>
        <v>-</v>
      </c>
      <c r="Q8" s="4"/>
      <c r="R8" s="4"/>
      <c r="S8" s="4"/>
      <c r="T8" s="4"/>
      <c r="U8" s="4"/>
      <c r="V8" s="4"/>
    </row>
    <row r="9" spans="1:22" x14ac:dyDescent="0.25">
      <c r="A9" s="5">
        <v>45908</v>
      </c>
      <c r="B9" s="6" t="s">
        <v>10</v>
      </c>
      <c r="C9" s="7">
        <v>1714791</v>
      </c>
      <c r="D9" s="8">
        <f t="shared" si="0"/>
        <v>0.20877517171717172</v>
      </c>
      <c r="E9" s="7">
        <v>321970</v>
      </c>
      <c r="F9" s="8">
        <f t="shared" si="1"/>
        <v>0.27655000000000002</v>
      </c>
      <c r="G9" s="7">
        <v>1237830</v>
      </c>
      <c r="H9" s="8">
        <f t="shared" si="2"/>
        <v>0.31041489361702129</v>
      </c>
      <c r="I9" s="7">
        <v>558910</v>
      </c>
      <c r="J9" s="8">
        <f t="shared" si="3"/>
        <v>0.23243055555555556</v>
      </c>
      <c r="K9" s="7">
        <v>142560</v>
      </c>
      <c r="L9" s="8">
        <f>IF(K9="","-",SUM($K$2:K9)/$K$35)</f>
        <v>0.21385999999999999</v>
      </c>
      <c r="M9" s="7">
        <v>229960</v>
      </c>
      <c r="N9" s="8">
        <f>IF(M9="","-",SUM($M$2:M9)/$M$35)</f>
        <v>0.24675652173913043</v>
      </c>
      <c r="O9" s="7">
        <v>159980</v>
      </c>
      <c r="P9" s="8">
        <f>IF(O9="","-",SUM($O$2:O9)/$O$35)</f>
        <v>0.39822553191489363</v>
      </c>
      <c r="Q9" s="4"/>
      <c r="R9" s="4"/>
      <c r="S9" s="4"/>
      <c r="T9" s="4"/>
      <c r="U9" s="4"/>
      <c r="V9" s="4"/>
    </row>
    <row r="10" spans="1:22" x14ac:dyDescent="0.25">
      <c r="A10" s="5">
        <v>45909</v>
      </c>
      <c r="B10" s="6" t="s">
        <v>11</v>
      </c>
      <c r="C10" s="7">
        <v>1277770</v>
      </c>
      <c r="D10" s="8">
        <f t="shared" si="0"/>
        <v>0.23458870707070706</v>
      </c>
      <c r="E10" s="7">
        <v>767900</v>
      </c>
      <c r="F10" s="8">
        <f t="shared" si="1"/>
        <v>0.32172058823529409</v>
      </c>
      <c r="G10" s="7">
        <v>305910</v>
      </c>
      <c r="H10" s="8">
        <f t="shared" si="2"/>
        <v>0.32343234042553193</v>
      </c>
      <c r="I10" s="7">
        <v>346940</v>
      </c>
      <c r="J10" s="8">
        <f t="shared" si="3"/>
        <v>0.24206777777777777</v>
      </c>
      <c r="K10" s="7">
        <v>446370</v>
      </c>
      <c r="L10" s="8">
        <f>IF(K10="","-",SUM($K$2:K10)/$K$35)</f>
        <v>0.24175812499999999</v>
      </c>
      <c r="M10" s="7">
        <v>357960</v>
      </c>
      <c r="N10" s="8">
        <f>IF(M10="","-",SUM($M$2:M10)/$M$35)</f>
        <v>0.27788347826086957</v>
      </c>
      <c r="O10" s="7">
        <v>22980</v>
      </c>
      <c r="P10" s="8">
        <f>IF(O10="","-",SUM($O$2:O10)/$O$35)</f>
        <v>0.4031148936170213</v>
      </c>
      <c r="Q10" s="4"/>
      <c r="R10" s="4"/>
      <c r="S10" s="4"/>
      <c r="T10" s="4"/>
      <c r="U10" s="4"/>
      <c r="V10" s="4"/>
    </row>
    <row r="11" spans="1:22" x14ac:dyDescent="0.25">
      <c r="A11" s="5">
        <v>45910</v>
      </c>
      <c r="B11" s="6" t="s">
        <v>12</v>
      </c>
      <c r="C11" s="7">
        <v>1300760</v>
      </c>
      <c r="D11" s="8">
        <f t="shared" si="0"/>
        <v>0.26086668686868686</v>
      </c>
      <c r="E11" s="7">
        <v>482870</v>
      </c>
      <c r="F11" s="8">
        <f t="shared" si="1"/>
        <v>0.35012470588235295</v>
      </c>
      <c r="G11" s="7">
        <v>597900</v>
      </c>
      <c r="H11" s="8">
        <f t="shared" si="2"/>
        <v>0.34887489361702129</v>
      </c>
      <c r="I11" s="7">
        <v>314960</v>
      </c>
      <c r="J11" s="8">
        <f t="shared" si="3"/>
        <v>0.25081666666666669</v>
      </c>
      <c r="K11" s="7">
        <v>230130</v>
      </c>
      <c r="L11" s="8">
        <f>IF(K11="","-",SUM($K$2:K11)/$K$35)</f>
        <v>0.25614124999999999</v>
      </c>
      <c r="M11" s="7">
        <v>259970</v>
      </c>
      <c r="N11" s="8">
        <f>IF(M11="","-",SUM($M$2:M11)/$M$35)</f>
        <v>0.30048956521739129</v>
      </c>
      <c r="O11" s="7">
        <v>219970</v>
      </c>
      <c r="P11" s="8">
        <f>IF(O11="","-",SUM($O$2:O11)/$O$35)</f>
        <v>0.44991702127659572</v>
      </c>
      <c r="Q11" s="4"/>
      <c r="R11" s="4"/>
      <c r="S11" s="4"/>
      <c r="T11" s="4"/>
      <c r="U11" s="4"/>
      <c r="V11" s="4"/>
    </row>
    <row r="12" spans="1:22" x14ac:dyDescent="0.25">
      <c r="A12" s="5">
        <v>45911</v>
      </c>
      <c r="B12" s="6" t="s">
        <v>13</v>
      </c>
      <c r="C12" s="7">
        <v>1731780</v>
      </c>
      <c r="D12" s="8">
        <f t="shared" si="0"/>
        <v>0.2958521414141414</v>
      </c>
      <c r="E12" s="7">
        <v>336930</v>
      </c>
      <c r="F12" s="8">
        <f t="shared" si="1"/>
        <v>0.36994411764705881</v>
      </c>
      <c r="G12" s="7">
        <v>934870</v>
      </c>
      <c r="H12" s="8">
        <f t="shared" si="2"/>
        <v>0.38865659574468087</v>
      </c>
      <c r="I12" s="7">
        <v>544910</v>
      </c>
      <c r="J12" s="8">
        <f t="shared" si="3"/>
        <v>0.26595305555555554</v>
      </c>
      <c r="K12" s="7">
        <v>417070</v>
      </c>
      <c r="L12" s="8">
        <f>IF(K12="","-",SUM($K$2:K12)/$K$35)</f>
        <v>0.28220812499999998</v>
      </c>
      <c r="M12" s="7">
        <v>734940</v>
      </c>
      <c r="N12" s="8">
        <f>IF(M12="","-",SUM($M$2:M12)/$M$35)</f>
        <v>0.36439739130434784</v>
      </c>
      <c r="O12" s="7">
        <v>396880</v>
      </c>
      <c r="P12" s="8">
        <f>IF(O12="","-",SUM($O$2:O12)/$O$35)</f>
        <v>0.53435957446808513</v>
      </c>
      <c r="Q12" s="4"/>
      <c r="R12" s="4"/>
      <c r="S12" s="4"/>
      <c r="T12" s="4"/>
      <c r="U12" s="4"/>
      <c r="V12" s="4"/>
    </row>
    <row r="13" spans="1:22" x14ac:dyDescent="0.25">
      <c r="A13" s="5">
        <v>45912</v>
      </c>
      <c r="B13" s="6" t="s">
        <v>14</v>
      </c>
      <c r="C13" s="7">
        <v>2716610</v>
      </c>
      <c r="D13" s="8">
        <f t="shared" si="0"/>
        <v>0.3507331515151515</v>
      </c>
      <c r="E13" s="7">
        <v>531920</v>
      </c>
      <c r="F13" s="8">
        <f t="shared" si="1"/>
        <v>0.40123352941176471</v>
      </c>
      <c r="G13" s="7">
        <v>279910</v>
      </c>
      <c r="H13" s="8">
        <f t="shared" si="2"/>
        <v>0.4005676595744681</v>
      </c>
      <c r="I13" s="7">
        <v>934820</v>
      </c>
      <c r="J13" s="8">
        <f t="shared" si="3"/>
        <v>0.29192027777777779</v>
      </c>
      <c r="K13" s="7">
        <v>257950</v>
      </c>
      <c r="L13" s="8">
        <f>IF(K13="","-",SUM($K$2:K13)/$K$35)</f>
        <v>0.29832999999999998</v>
      </c>
      <c r="M13" s="7">
        <v>167980</v>
      </c>
      <c r="N13" s="8">
        <f>IF(M13="","-",SUM($M$2:M13)/$M$35)</f>
        <v>0.37900434782608694</v>
      </c>
      <c r="O13" s="7">
        <v>99990</v>
      </c>
      <c r="P13" s="8">
        <f>IF(O13="","-",SUM($O$2:O13)/$O$35)</f>
        <v>0.55563404255319149</v>
      </c>
      <c r="Q13" s="4"/>
      <c r="R13" s="4"/>
      <c r="S13" s="4"/>
      <c r="T13" s="4"/>
      <c r="U13" s="4"/>
      <c r="V13" s="4"/>
    </row>
    <row r="14" spans="1:22" x14ac:dyDescent="0.25">
      <c r="A14" s="5">
        <v>45913</v>
      </c>
      <c r="B14" s="6" t="s">
        <v>15</v>
      </c>
      <c r="C14" s="7">
        <v>5717834</v>
      </c>
      <c r="D14" s="8">
        <f t="shared" si="0"/>
        <v>0.46624494949494949</v>
      </c>
      <c r="E14" s="7">
        <v>506880</v>
      </c>
      <c r="F14" s="8">
        <f t="shared" si="1"/>
        <v>0.43104999999999999</v>
      </c>
      <c r="G14" s="7">
        <v>1022900</v>
      </c>
      <c r="H14" s="8">
        <f t="shared" si="2"/>
        <v>0.44409531914893619</v>
      </c>
      <c r="I14" s="7">
        <v>1397720</v>
      </c>
      <c r="J14" s="8">
        <f t="shared" si="3"/>
        <v>0.33074583333333335</v>
      </c>
      <c r="K14" s="7">
        <v>645740</v>
      </c>
      <c r="L14" s="8">
        <f>IF(K14="","-",SUM($K$2:K14)/$K$35)</f>
        <v>0.33868874999999998</v>
      </c>
      <c r="M14" s="7">
        <v>533930</v>
      </c>
      <c r="N14" s="8">
        <f>IF(M14="","-",SUM($M$2:M14)/$M$35)</f>
        <v>0.42543304347826089</v>
      </c>
      <c r="O14" s="7"/>
      <c r="P14" s="8" t="str">
        <f>IF(O14="","-",SUM($O$2:O14)/$O$35)</f>
        <v>-</v>
      </c>
      <c r="Q14" s="4"/>
      <c r="R14" s="4"/>
      <c r="S14" s="4"/>
      <c r="T14" s="4"/>
      <c r="U14" s="4"/>
      <c r="V14" s="4"/>
    </row>
    <row r="15" spans="1:22" x14ac:dyDescent="0.25">
      <c r="A15" s="5">
        <v>45914</v>
      </c>
      <c r="B15" s="6" t="s">
        <v>16</v>
      </c>
      <c r="C15" s="7">
        <v>2627724</v>
      </c>
      <c r="D15" s="8">
        <f t="shared" si="0"/>
        <v>0.51933028282828286</v>
      </c>
      <c r="E15" s="7">
        <v>987890</v>
      </c>
      <c r="F15" s="8">
        <f t="shared" si="1"/>
        <v>0.48916117647058821</v>
      </c>
      <c r="G15" s="7">
        <v>1423900</v>
      </c>
      <c r="H15" s="8">
        <f t="shared" si="2"/>
        <v>0.5046868085106383</v>
      </c>
      <c r="I15" s="7">
        <v>2329710</v>
      </c>
      <c r="J15" s="8">
        <f t="shared" si="3"/>
        <v>0.39545999999999998</v>
      </c>
      <c r="K15" s="7">
        <v>1056870</v>
      </c>
      <c r="L15" s="8">
        <f>IF(K15="","-",SUM($K$2:K15)/$K$35)</f>
        <v>0.40474312499999998</v>
      </c>
      <c r="M15" s="7">
        <v>999890</v>
      </c>
      <c r="N15" s="8">
        <f>IF(M15="","-",SUM($M$2:M15)/$M$35)</f>
        <v>0.51237999999999995</v>
      </c>
      <c r="O15" s="7"/>
      <c r="P15" s="8" t="str">
        <f>IF(O15="","-",SUM($O$2:O15)/$O$35)</f>
        <v>-</v>
      </c>
      <c r="Q15" s="4"/>
      <c r="R15" s="4"/>
      <c r="S15" s="4"/>
      <c r="T15" s="4"/>
      <c r="U15" s="4"/>
      <c r="V15" s="4"/>
    </row>
    <row r="16" spans="1:22" x14ac:dyDescent="0.25">
      <c r="A16" s="5">
        <v>45915</v>
      </c>
      <c r="B16" s="6" t="s">
        <v>10</v>
      </c>
      <c r="C16" s="7">
        <v>1893710</v>
      </c>
      <c r="D16" s="8">
        <f t="shared" si="0"/>
        <v>0.55758705050505053</v>
      </c>
      <c r="E16" s="7">
        <v>249970</v>
      </c>
      <c r="F16" s="8">
        <f t="shared" si="1"/>
        <v>0.50386529411764702</v>
      </c>
      <c r="G16" s="7">
        <v>407920</v>
      </c>
      <c r="H16" s="8">
        <f t="shared" si="2"/>
        <v>0.52204510638297874</v>
      </c>
      <c r="I16" s="7">
        <v>231940</v>
      </c>
      <c r="J16" s="8">
        <f t="shared" si="3"/>
        <v>0.40190277777777778</v>
      </c>
      <c r="K16" s="7">
        <v>224810</v>
      </c>
      <c r="L16" s="8">
        <f>IF(K16="","-",SUM($K$2:K16)/$K$35)</f>
        <v>0.41879375000000002</v>
      </c>
      <c r="M16" s="7">
        <v>540920</v>
      </c>
      <c r="N16" s="8">
        <f>IF(M16="","-",SUM($M$2:M16)/$M$35)</f>
        <v>0.55941652173913048</v>
      </c>
      <c r="O16" s="7"/>
      <c r="P16" s="8" t="str">
        <f>IF(O16="","-",SUM($O$2:O16)/$O$35)</f>
        <v>-</v>
      </c>
      <c r="Q16" s="4"/>
      <c r="R16" s="4"/>
      <c r="S16" s="4"/>
      <c r="T16" s="4"/>
      <c r="U16" s="4"/>
      <c r="V16" s="4"/>
    </row>
    <row r="17" spans="1:22" x14ac:dyDescent="0.25">
      <c r="A17" s="5">
        <v>45916</v>
      </c>
      <c r="B17" s="6" t="s">
        <v>11</v>
      </c>
      <c r="C17" s="7">
        <v>1551750</v>
      </c>
      <c r="D17" s="8">
        <f t="shared" si="0"/>
        <v>0.58893553535353538</v>
      </c>
      <c r="E17" s="7">
        <v>39990</v>
      </c>
      <c r="F17" s="8">
        <f t="shared" si="1"/>
        <v>0.50621764705882355</v>
      </c>
      <c r="G17" s="7">
        <v>1007900</v>
      </c>
      <c r="H17" s="8">
        <f t="shared" si="2"/>
        <v>0.56493446808510639</v>
      </c>
      <c r="I17" s="7">
        <v>1304820</v>
      </c>
      <c r="J17" s="8">
        <f t="shared" si="3"/>
        <v>0.4381477777777778</v>
      </c>
      <c r="K17" s="7">
        <v>347740</v>
      </c>
      <c r="L17" s="8">
        <f>IF(K17="","-",SUM($K$2:K17)/$K$35)</f>
        <v>0.44052750000000002</v>
      </c>
      <c r="M17" s="7">
        <v>145980</v>
      </c>
      <c r="N17" s="8">
        <f>IF(M17="","-",SUM($M$2:M17)/$M$35)</f>
        <v>0.5721104347826087</v>
      </c>
      <c r="O17" s="7">
        <v>339940</v>
      </c>
      <c r="P17" s="8">
        <f>IF(O17="","-",SUM($O$2:O17)/$O$35)</f>
        <v>0.62796170212765956</v>
      </c>
      <c r="Q17" s="4"/>
      <c r="R17" s="4"/>
      <c r="S17" s="4"/>
      <c r="T17" s="4"/>
      <c r="U17" s="4"/>
      <c r="V17" s="4"/>
    </row>
    <row r="18" spans="1:22" x14ac:dyDescent="0.25">
      <c r="A18" s="5">
        <v>45917</v>
      </c>
      <c r="B18" s="6" t="s">
        <v>12</v>
      </c>
      <c r="C18" s="7">
        <v>2960409</v>
      </c>
      <c r="D18" s="8">
        <f t="shared" si="0"/>
        <v>0.64874177777777775</v>
      </c>
      <c r="E18" s="7">
        <v>519890</v>
      </c>
      <c r="F18" s="8">
        <f t="shared" si="1"/>
        <v>0.53679941176470591</v>
      </c>
      <c r="G18" s="7">
        <v>25980</v>
      </c>
      <c r="H18" s="8">
        <f t="shared" si="2"/>
        <v>0.56603999999999999</v>
      </c>
      <c r="I18" s="7">
        <v>1026670</v>
      </c>
      <c r="J18" s="8">
        <f t="shared" si="3"/>
        <v>0.46666638888888889</v>
      </c>
      <c r="K18" s="7">
        <v>306360</v>
      </c>
      <c r="L18" s="8">
        <f>IF(K18="","-",SUM($K$2:K18)/$K$35)</f>
        <v>0.459675</v>
      </c>
      <c r="M18" s="7">
        <v>444930</v>
      </c>
      <c r="N18" s="8">
        <f>IF(M18="","-",SUM($M$2:M18)/$M$35)</f>
        <v>0.61080000000000001</v>
      </c>
      <c r="O18" s="7">
        <v>79980</v>
      </c>
      <c r="P18" s="8">
        <f>IF(O18="","-",SUM($O$2:O18)/$O$35)</f>
        <v>0.64497872340425533</v>
      </c>
      <c r="Q18" s="4"/>
      <c r="R18" s="4"/>
      <c r="S18" s="4"/>
      <c r="T18" s="4"/>
      <c r="U18" s="4"/>
      <c r="V18" s="4"/>
    </row>
    <row r="19" spans="1:22" x14ac:dyDescent="0.25">
      <c r="A19" s="5">
        <v>45918</v>
      </c>
      <c r="B19" s="6" t="s">
        <v>13</v>
      </c>
      <c r="C19" s="7">
        <v>2328510</v>
      </c>
      <c r="D19" s="8">
        <f t="shared" si="0"/>
        <v>0.69578238383838387</v>
      </c>
      <c r="E19" s="7">
        <v>1460870</v>
      </c>
      <c r="F19" s="8">
        <f t="shared" si="1"/>
        <v>0.6227329411764706</v>
      </c>
      <c r="G19" s="7">
        <v>295950</v>
      </c>
      <c r="H19" s="8">
        <f t="shared" si="2"/>
        <v>0.57863361702127658</v>
      </c>
      <c r="I19" s="7">
        <v>1238820</v>
      </c>
      <c r="J19" s="8">
        <f t="shared" si="3"/>
        <v>0.50107805555555551</v>
      </c>
      <c r="K19" s="7">
        <v>368260</v>
      </c>
      <c r="L19" s="8">
        <f>IF(K19="","-",SUM($K$2:K19)/$K$35)</f>
        <v>0.48269125000000002</v>
      </c>
      <c r="M19" s="7">
        <v>89980</v>
      </c>
      <c r="N19" s="8">
        <f>IF(M19="","-",SUM($M$2:M19)/$M$35)</f>
        <v>0.618624347826087</v>
      </c>
      <c r="O19" s="7">
        <v>79980</v>
      </c>
      <c r="P19" s="8">
        <f>IF(O19="","-",SUM($O$2:O19)/$O$35)</f>
        <v>0.66199574468085109</v>
      </c>
      <c r="Q19" s="4"/>
      <c r="R19" s="4"/>
      <c r="S19" s="4"/>
      <c r="T19" s="4"/>
      <c r="U19" s="4"/>
      <c r="V19" s="4"/>
    </row>
    <row r="20" spans="1:22" x14ac:dyDescent="0.25">
      <c r="A20" s="5">
        <v>45919</v>
      </c>
      <c r="B20" s="6" t="s">
        <v>14</v>
      </c>
      <c r="C20" s="7">
        <v>2586780</v>
      </c>
      <c r="D20" s="8">
        <f t="shared" si="0"/>
        <v>0.74804056565656563</v>
      </c>
      <c r="E20" s="7">
        <v>471920</v>
      </c>
      <c r="F20" s="8">
        <f t="shared" si="1"/>
        <v>0.65049294117647061</v>
      </c>
      <c r="G20" s="7">
        <v>469900</v>
      </c>
      <c r="H20" s="8">
        <f t="shared" si="2"/>
        <v>0.59862936170212766</v>
      </c>
      <c r="I20" s="7">
        <v>1690800</v>
      </c>
      <c r="J20" s="8">
        <f t="shared" si="3"/>
        <v>0.54804472222222222</v>
      </c>
      <c r="K20" s="7">
        <v>194160</v>
      </c>
      <c r="L20" s="8">
        <f>IF(K20="","-",SUM($K$2:K20)/$K$35)</f>
        <v>0.49482625000000002</v>
      </c>
      <c r="M20" s="7">
        <v>838900</v>
      </c>
      <c r="N20" s="8">
        <f>IF(M20="","-",SUM($M$2:M20)/$M$35)</f>
        <v>0.69157217391304349</v>
      </c>
      <c r="O20" s="7">
        <v>372940</v>
      </c>
      <c r="P20" s="8">
        <f>IF(O20="","-",SUM($O$2:O20)/$O$35)</f>
        <v>0.74134468085106386</v>
      </c>
      <c r="Q20" s="4"/>
      <c r="R20" s="4"/>
      <c r="S20" s="4"/>
      <c r="T20" s="4"/>
      <c r="U20" s="4"/>
      <c r="V20" s="4"/>
    </row>
    <row r="21" spans="1:22" x14ac:dyDescent="0.25">
      <c r="A21" s="5">
        <v>45920</v>
      </c>
      <c r="B21" s="6" t="s">
        <v>15</v>
      </c>
      <c r="C21" s="7">
        <v>4828190</v>
      </c>
      <c r="D21" s="8">
        <f t="shared" si="0"/>
        <v>0.84557975757575754</v>
      </c>
      <c r="E21" s="7">
        <v>1731710</v>
      </c>
      <c r="F21" s="8">
        <f t="shared" si="1"/>
        <v>0.75235823529411761</v>
      </c>
      <c r="G21" s="7">
        <v>1700720</v>
      </c>
      <c r="H21" s="8">
        <f t="shared" si="2"/>
        <v>0.67100042553191486</v>
      </c>
      <c r="I21" s="7">
        <v>1888720</v>
      </c>
      <c r="J21" s="8">
        <f t="shared" si="3"/>
        <v>0.60050916666666665</v>
      </c>
      <c r="K21" s="7">
        <v>685390</v>
      </c>
      <c r="L21" s="8">
        <f>IF(K21="","-",SUM($K$2:K21)/$K$35)</f>
        <v>0.53766312500000002</v>
      </c>
      <c r="M21" s="7">
        <v>304970</v>
      </c>
      <c r="N21" s="8">
        <f>IF(M21="","-",SUM($M$2:M21)/$M$35)</f>
        <v>0.71809130434782609</v>
      </c>
      <c r="O21" s="7"/>
      <c r="P21" s="8" t="str">
        <f>IF(O21="","-",SUM($O$2:O21)/$O$35)</f>
        <v>-</v>
      </c>
      <c r="Q21" s="4"/>
      <c r="R21" s="4"/>
      <c r="S21" s="4"/>
      <c r="T21" s="4"/>
      <c r="U21" s="4"/>
      <c r="V21" s="4"/>
    </row>
    <row r="22" spans="1:22" x14ac:dyDescent="0.25">
      <c r="A22" s="5">
        <v>45921</v>
      </c>
      <c r="B22" s="6" t="s">
        <v>16</v>
      </c>
      <c r="C22" s="7">
        <v>3291330</v>
      </c>
      <c r="D22" s="8">
        <f t="shared" si="0"/>
        <v>0.91207127272727273</v>
      </c>
      <c r="E22" s="7">
        <v>1972760</v>
      </c>
      <c r="F22" s="8">
        <f t="shared" si="1"/>
        <v>0.86840294117647054</v>
      </c>
      <c r="G22" s="7">
        <v>1204680</v>
      </c>
      <c r="H22" s="8">
        <f t="shared" si="2"/>
        <v>0.7222634042553191</v>
      </c>
      <c r="I22" s="7">
        <v>2802650</v>
      </c>
      <c r="J22" s="8">
        <f t="shared" si="3"/>
        <v>0.67836055555555552</v>
      </c>
      <c r="K22" s="7">
        <v>872650</v>
      </c>
      <c r="L22" s="8">
        <f>IF(K22="","-",SUM($K$2:K22)/$K$35)</f>
        <v>0.59220375000000003</v>
      </c>
      <c r="M22" s="7">
        <v>1242840</v>
      </c>
      <c r="N22" s="8">
        <f>IF(M22="","-",SUM($M$2:M22)/$M$35)</f>
        <v>0.82616434782608694</v>
      </c>
      <c r="O22" s="7"/>
      <c r="P22" s="8" t="str">
        <f>IF(O22="","-",SUM($O$2:O22)/$O$35)</f>
        <v>-</v>
      </c>
      <c r="Q22" s="4"/>
      <c r="R22" s="4"/>
      <c r="S22" s="4"/>
      <c r="T22" s="4"/>
      <c r="U22" s="4"/>
      <c r="V22" s="4"/>
    </row>
    <row r="23" spans="1:22" x14ac:dyDescent="0.25">
      <c r="A23" s="5">
        <v>45922</v>
      </c>
      <c r="B23" s="6" t="s">
        <v>10</v>
      </c>
      <c r="C23" s="7">
        <v>2694650</v>
      </c>
      <c r="D23" s="8">
        <f t="shared" si="0"/>
        <v>0.96650864646464651</v>
      </c>
      <c r="E23" s="7">
        <v>479960</v>
      </c>
      <c r="F23" s="8">
        <f t="shared" si="1"/>
        <v>0.89663588235294123</v>
      </c>
      <c r="G23" s="7">
        <v>1293880</v>
      </c>
      <c r="H23" s="8">
        <f t="shared" si="2"/>
        <v>0.77732212765957442</v>
      </c>
      <c r="I23" s="7">
        <v>433910</v>
      </c>
      <c r="J23" s="8">
        <f t="shared" si="3"/>
        <v>0.6904136111111111</v>
      </c>
      <c r="K23" s="7">
        <v>134880</v>
      </c>
      <c r="L23" s="8">
        <f>IF(K23="","-",SUM($K$2:K23)/$K$35)</f>
        <v>0.60063374999999997</v>
      </c>
      <c r="M23" s="7">
        <v>807920</v>
      </c>
      <c r="N23" s="8">
        <f>IF(M23="","-",SUM($M$2:M23)/$M$35)</f>
        <v>0.89641826086956522</v>
      </c>
      <c r="O23" s="7">
        <v>199960</v>
      </c>
      <c r="P23" s="8">
        <f>IF(O23="","-",SUM($O$2:O23)/$O$35)</f>
        <v>0.78388936170212764</v>
      </c>
      <c r="Q23" s="4"/>
      <c r="R23" s="4"/>
      <c r="S23" s="4"/>
      <c r="T23" s="4"/>
      <c r="U23" s="4"/>
      <c r="V23" s="4"/>
    </row>
    <row r="24" spans="1:22" x14ac:dyDescent="0.25">
      <c r="A24" s="5">
        <v>45923</v>
      </c>
      <c r="B24" s="6" t="s">
        <v>11</v>
      </c>
      <c r="C24" s="7">
        <v>1199750</v>
      </c>
      <c r="D24" s="8">
        <f t="shared" si="0"/>
        <v>0.99074602020202018</v>
      </c>
      <c r="E24" s="7">
        <v>296890</v>
      </c>
      <c r="F24" s="8">
        <f t="shared" si="1"/>
        <v>0.91410000000000002</v>
      </c>
      <c r="G24" s="7">
        <v>438890</v>
      </c>
      <c r="H24" s="8">
        <f t="shared" si="2"/>
        <v>0.79599829787234044</v>
      </c>
      <c r="I24" s="7">
        <v>1260780</v>
      </c>
      <c r="J24" s="8">
        <f t="shared" si="3"/>
        <v>0.72543527777777783</v>
      </c>
      <c r="K24" s="7">
        <v>425340</v>
      </c>
      <c r="L24" s="8">
        <f>IF(K24="","-",SUM($K$2:K24)/$K$35)</f>
        <v>0.62721749999999998</v>
      </c>
      <c r="M24" s="7">
        <v>489910</v>
      </c>
      <c r="N24" s="8">
        <f>IF(M24="","-",SUM($M$2:M24)/$M$35)</f>
        <v>0.93901913043478258</v>
      </c>
      <c r="O24" s="7">
        <v>339920</v>
      </c>
      <c r="P24" s="8">
        <f>IF(O24="","-",SUM($O$2:O24)/$O$35)</f>
        <v>0.85621276595744678</v>
      </c>
      <c r="Q24" s="4"/>
      <c r="R24" s="4"/>
      <c r="S24" s="4"/>
      <c r="T24" s="4"/>
      <c r="U24" s="4"/>
      <c r="V24" s="4"/>
    </row>
    <row r="25" spans="1:22" x14ac:dyDescent="0.25">
      <c r="A25" s="5">
        <v>45924</v>
      </c>
      <c r="B25" s="6" t="s">
        <v>12</v>
      </c>
      <c r="C25" s="7">
        <v>1988770</v>
      </c>
      <c r="D25" s="8">
        <f t="shared" si="0"/>
        <v>1.0309231919191919</v>
      </c>
      <c r="E25" s="7">
        <v>215940</v>
      </c>
      <c r="F25" s="8">
        <f t="shared" si="1"/>
        <v>0.92680235294117652</v>
      </c>
      <c r="G25" s="7">
        <v>16990</v>
      </c>
      <c r="H25" s="8">
        <f t="shared" si="2"/>
        <v>0.79672127659574465</v>
      </c>
      <c r="I25" s="7">
        <v>420930</v>
      </c>
      <c r="J25" s="8">
        <f t="shared" si="3"/>
        <v>0.73712777777777783</v>
      </c>
      <c r="K25" s="7">
        <v>266430</v>
      </c>
      <c r="L25" s="8">
        <f>IF(K25="","-",SUM($K$2:K25)/$K$35)</f>
        <v>0.64386937499999997</v>
      </c>
      <c r="M25" s="7"/>
      <c r="N25" s="8" t="str">
        <f>IF(M25="","-",SUM($M$2:M25)/$M$35)</f>
        <v>-</v>
      </c>
      <c r="O25" s="7">
        <v>204980</v>
      </c>
      <c r="P25" s="8">
        <f>IF(O25="","-",SUM($O$2:O25)/$O$35)</f>
        <v>0.89982553191489356</v>
      </c>
      <c r="Q25" s="4"/>
      <c r="R25" s="4"/>
      <c r="S25" s="4"/>
      <c r="T25" s="4"/>
      <c r="U25" s="4"/>
      <c r="V25" s="4"/>
    </row>
    <row r="26" spans="1:22" x14ac:dyDescent="0.25">
      <c r="A26" s="5">
        <v>45925</v>
      </c>
      <c r="B26" s="6" t="s">
        <v>13</v>
      </c>
      <c r="C26" s="7">
        <v>1371610</v>
      </c>
      <c r="D26" s="8">
        <f t="shared" si="0"/>
        <v>1.0586324848484849</v>
      </c>
      <c r="E26" s="7">
        <v>592910</v>
      </c>
      <c r="F26" s="8">
        <f t="shared" si="1"/>
        <v>0.96167941176470584</v>
      </c>
      <c r="G26" s="7">
        <v>203940</v>
      </c>
      <c r="H26" s="8">
        <f t="shared" si="2"/>
        <v>0.80539957446808508</v>
      </c>
      <c r="I26" s="7">
        <v>652840</v>
      </c>
      <c r="J26" s="8">
        <f t="shared" si="3"/>
        <v>0.75526222222222217</v>
      </c>
      <c r="K26" s="7">
        <v>218770</v>
      </c>
      <c r="L26" s="8">
        <f>IF(K26="","-",SUM($K$2:K26)/$K$35)</f>
        <v>0.65754250000000003</v>
      </c>
      <c r="M26" s="7">
        <v>99990</v>
      </c>
      <c r="N26" s="8">
        <f>IF(M26="","-",SUM($M$2:M26)/$M$35)</f>
        <v>0.9477139130434783</v>
      </c>
      <c r="O26" s="7">
        <v>49990</v>
      </c>
      <c r="P26" s="8">
        <f>IF(O26="","-",SUM($O$2:O26)/$O$35)</f>
        <v>0.91046170212765953</v>
      </c>
      <c r="Q26" s="4"/>
      <c r="R26" s="4"/>
      <c r="S26" s="4"/>
      <c r="T26" s="4"/>
      <c r="U26" s="4"/>
      <c r="V26" s="4"/>
    </row>
    <row r="27" spans="1:22" x14ac:dyDescent="0.25">
      <c r="A27" s="5">
        <v>45926</v>
      </c>
      <c r="B27" s="6" t="s">
        <v>14</v>
      </c>
      <c r="C27" s="7">
        <v>4093493</v>
      </c>
      <c r="D27" s="8">
        <f t="shared" si="0"/>
        <v>1.1413293131313131</v>
      </c>
      <c r="E27" s="7">
        <v>270940</v>
      </c>
      <c r="F27" s="8">
        <f t="shared" si="1"/>
        <v>0.97761705882352945</v>
      </c>
      <c r="G27" s="7">
        <v>1146920</v>
      </c>
      <c r="H27" s="8">
        <f t="shared" si="2"/>
        <v>0.85420468085106382</v>
      </c>
      <c r="I27" s="7">
        <v>790890</v>
      </c>
      <c r="J27" s="8">
        <f t="shared" si="3"/>
        <v>0.77723138888888887</v>
      </c>
      <c r="K27" s="7">
        <v>191430</v>
      </c>
      <c r="L27" s="8">
        <f>IF(K27="","-",SUM($K$2:K27)/$K$35)</f>
        <v>0.66950687499999995</v>
      </c>
      <c r="M27" s="7">
        <v>439940</v>
      </c>
      <c r="N27" s="8">
        <f>IF(M27="","-",SUM($M$2:M27)/$M$35)</f>
        <v>0.98596956521739132</v>
      </c>
      <c r="O27" s="7">
        <v>169970</v>
      </c>
      <c r="P27" s="8">
        <f>IF(O27="","-",SUM($O$2:O27)/$O$35)</f>
        <v>0.94662553191489363</v>
      </c>
      <c r="Q27" s="4"/>
      <c r="R27" s="4"/>
      <c r="S27" s="4"/>
      <c r="T27" s="4"/>
      <c r="U27" s="4"/>
      <c r="V27" s="4"/>
    </row>
    <row r="28" spans="1:22" x14ac:dyDescent="0.25">
      <c r="A28" s="5">
        <v>45927</v>
      </c>
      <c r="B28" s="6" t="s">
        <v>15</v>
      </c>
      <c r="C28" s="7">
        <v>1538770</v>
      </c>
      <c r="D28" s="8">
        <f t="shared" si="0"/>
        <v>1.1724155757575758</v>
      </c>
      <c r="E28" s="7">
        <v>1232820</v>
      </c>
      <c r="F28" s="8">
        <f t="shared" si="1"/>
        <v>1.0501358823529412</v>
      </c>
      <c r="G28" s="7">
        <v>1749650</v>
      </c>
      <c r="H28" s="8">
        <f t="shared" si="2"/>
        <v>0.92865787234042552</v>
      </c>
      <c r="I28" s="7">
        <v>1523690</v>
      </c>
      <c r="J28" s="8">
        <f t="shared" si="3"/>
        <v>0.81955611111111115</v>
      </c>
      <c r="K28" s="7">
        <v>546340</v>
      </c>
      <c r="L28" s="8">
        <f>IF(K28="","-",SUM($K$2:K28)/$K$35)</f>
        <v>0.70365312499999999</v>
      </c>
      <c r="M28" s="7">
        <v>1105900</v>
      </c>
      <c r="N28" s="8">
        <f>IF(M28="","-",SUM($M$2:M28)/$M$35)</f>
        <v>1.0821347826086956</v>
      </c>
      <c r="O28" s="7"/>
      <c r="P28" s="8" t="str">
        <f>IF(O28="","-",SUM($O$2:O28)/$O$35)</f>
        <v>-</v>
      </c>
      <c r="Q28" s="4"/>
      <c r="R28" s="4"/>
      <c r="S28" s="4"/>
      <c r="T28" s="4"/>
      <c r="U28" s="4"/>
      <c r="V28" s="4"/>
    </row>
    <row r="29" spans="1:22" x14ac:dyDescent="0.25">
      <c r="A29" s="5">
        <v>45928</v>
      </c>
      <c r="B29" s="6" t="s">
        <v>16</v>
      </c>
      <c r="C29" s="7">
        <v>1790730</v>
      </c>
      <c r="D29" s="8">
        <f t="shared" si="0"/>
        <v>1.2085919393939395</v>
      </c>
      <c r="E29" s="7">
        <v>1790760</v>
      </c>
      <c r="F29" s="8">
        <f t="shared" si="1"/>
        <v>1.1554747058823529</v>
      </c>
      <c r="G29" s="7">
        <v>845730</v>
      </c>
      <c r="H29" s="8">
        <f t="shared" si="2"/>
        <v>0.9646463829787234</v>
      </c>
      <c r="I29" s="7">
        <v>1443790</v>
      </c>
      <c r="J29" s="8">
        <f t="shared" si="3"/>
        <v>0.85966138888888888</v>
      </c>
      <c r="K29" s="7">
        <v>959700</v>
      </c>
      <c r="L29" s="8">
        <f>IF(K29="","-",SUM($K$2:K29)/$K$35)</f>
        <v>0.76363437499999998</v>
      </c>
      <c r="M29" s="7">
        <v>239970</v>
      </c>
      <c r="N29" s="8">
        <f>IF(M29="","-",SUM($M$2:M29)/$M$35)</f>
        <v>1.1030017391304348</v>
      </c>
      <c r="O29" s="7"/>
      <c r="P29" s="8" t="str">
        <f>IF(O29="","-",SUM($O$2:O29)/$O$35)</f>
        <v>-</v>
      </c>
      <c r="Q29" s="4"/>
      <c r="R29" s="4"/>
      <c r="S29" s="4"/>
      <c r="T29" s="4"/>
      <c r="U29" s="4"/>
      <c r="V29" s="4"/>
    </row>
    <row r="30" spans="1:22" x14ac:dyDescent="0.25">
      <c r="A30" s="5">
        <v>45929</v>
      </c>
      <c r="B30" s="6" t="s">
        <v>10</v>
      </c>
      <c r="C30" s="7">
        <v>1158610</v>
      </c>
      <c r="D30" s="8">
        <f t="shared" si="0"/>
        <v>1.231998202020202</v>
      </c>
      <c r="E30" s="7">
        <v>350960</v>
      </c>
      <c r="F30" s="8">
        <f t="shared" si="1"/>
        <v>1.1761194117647058</v>
      </c>
      <c r="G30" s="7"/>
      <c r="H30" s="8" t="str">
        <f t="shared" si="2"/>
        <v>-</v>
      </c>
      <c r="I30" s="7">
        <v>484920</v>
      </c>
      <c r="J30" s="8">
        <f t="shared" si="3"/>
        <v>0.87313138888888886</v>
      </c>
      <c r="K30" s="7">
        <v>373370</v>
      </c>
      <c r="L30" s="8">
        <f>IF(K30="","-",SUM($K$2:K30)/$K$35)</f>
        <v>0.78696999999999995</v>
      </c>
      <c r="M30" s="7">
        <v>199980</v>
      </c>
      <c r="N30" s="8">
        <f>IF(M30="","-",SUM($M$2:M30)/$M$35)</f>
        <v>1.1203913043478262</v>
      </c>
      <c r="O30" s="7">
        <v>349960</v>
      </c>
      <c r="P30" s="8">
        <f>IF(O30="","-",SUM($O$2:O30)/$O$35)</f>
        <v>1.0210851063829787</v>
      </c>
      <c r="Q30" s="4"/>
      <c r="R30" s="4"/>
      <c r="S30" s="4"/>
      <c r="T30" s="4"/>
      <c r="U30" s="4"/>
      <c r="V30" s="4"/>
    </row>
    <row r="31" spans="1:22" x14ac:dyDescent="0.25">
      <c r="A31" s="5">
        <v>45930</v>
      </c>
      <c r="B31" s="6" t="s">
        <v>11</v>
      </c>
      <c r="C31" s="7">
        <v>1335830</v>
      </c>
      <c r="D31" s="8">
        <f t="shared" si="0"/>
        <v>1.2589846666666666</v>
      </c>
      <c r="E31" s="7">
        <v>185970</v>
      </c>
      <c r="F31" s="8">
        <f t="shared" si="1"/>
        <v>1.1870588235294117</v>
      </c>
      <c r="G31" s="7">
        <v>1011800</v>
      </c>
      <c r="H31" s="8">
        <f t="shared" si="2"/>
        <v>1.0077017021276595</v>
      </c>
      <c r="I31" s="7">
        <v>1920790</v>
      </c>
      <c r="J31" s="8">
        <f t="shared" si="3"/>
        <v>0.92648666666666668</v>
      </c>
      <c r="K31" s="7">
        <v>274240</v>
      </c>
      <c r="L31" s="8">
        <f>IF(K31="","-",SUM($K$2:K31)/$K$35)</f>
        <v>0.80410999999999999</v>
      </c>
      <c r="M31" s="7"/>
      <c r="N31" s="8" t="str">
        <f>IF(M31="","-",SUM($M$2:M31)/$M$35)</f>
        <v>-</v>
      </c>
      <c r="O31" s="7">
        <v>14990</v>
      </c>
      <c r="P31" s="8">
        <f>IF(O31="","-",SUM($O$2:O31)/$O$35)</f>
        <v>1.0242744680851064</v>
      </c>
      <c r="Q31" s="4"/>
      <c r="R31" s="4"/>
      <c r="S31" s="4"/>
      <c r="T31" s="4"/>
      <c r="U31" s="4"/>
      <c r="V31" s="4"/>
    </row>
    <row r="32" spans="1:22" x14ac:dyDescent="0.25">
      <c r="A32" s="6"/>
      <c r="B32" s="6"/>
      <c r="C32" s="9"/>
      <c r="D32" s="10"/>
      <c r="E32" s="6"/>
      <c r="F32" s="6"/>
      <c r="G32" s="9"/>
      <c r="H32" s="6"/>
      <c r="I32" s="9"/>
      <c r="J32" s="6"/>
      <c r="K32" s="9"/>
      <c r="L32" s="6"/>
      <c r="M32" s="9"/>
      <c r="N32" s="10"/>
      <c r="O32" s="6"/>
      <c r="P32" s="6"/>
      <c r="Q32" s="4"/>
      <c r="R32" s="4"/>
      <c r="S32" s="4"/>
      <c r="T32" s="4"/>
      <c r="U32" s="4"/>
      <c r="V32" s="4"/>
    </row>
    <row r="33" spans="1:22" x14ac:dyDescent="0.25">
      <c r="A33" s="11" t="s">
        <v>17</v>
      </c>
      <c r="B33" s="12" t="s">
        <v>18</v>
      </c>
      <c r="C33" s="9">
        <f>SUM(C2:C31)</f>
        <v>62319741</v>
      </c>
      <c r="D33" s="10"/>
      <c r="E33" s="9">
        <f>SUM(E2:E31)</f>
        <v>20180000</v>
      </c>
      <c r="F33" s="6"/>
      <c r="G33" s="9">
        <f>SUM(G2:G31)</f>
        <v>23680990</v>
      </c>
      <c r="H33" s="6"/>
      <c r="I33" s="9">
        <f>SUM(I2:I31)</f>
        <v>33353520</v>
      </c>
      <c r="J33" s="6"/>
      <c r="K33" s="9">
        <f>SUM(K2:K31)</f>
        <v>12865760</v>
      </c>
      <c r="L33" s="6"/>
      <c r="M33" s="9">
        <f>SUM(M2:M31)</f>
        <v>12884500</v>
      </c>
      <c r="N33" s="10"/>
      <c r="O33" s="9">
        <f>SUM(O2:O31)</f>
        <v>4814090</v>
      </c>
      <c r="P33" s="6"/>
      <c r="Q33" s="4"/>
      <c r="R33" s="4"/>
      <c r="S33" s="4"/>
      <c r="T33" s="4"/>
      <c r="U33" s="4"/>
      <c r="V33" s="4"/>
    </row>
    <row r="34" spans="1:22" x14ac:dyDescent="0.25">
      <c r="A34" s="13"/>
      <c r="B34" s="12" t="s">
        <v>19</v>
      </c>
      <c r="C34" s="9">
        <f ca="1">C33/(TODAY()-$A$2+1)*30</f>
        <v>50529519.729729727</v>
      </c>
      <c r="D34" s="14">
        <f ca="1">C34/C35</f>
        <v>1.0207983783783783</v>
      </c>
      <c r="E34" s="9">
        <f ca="1">E33/(TODAY()-$A$2+1)*30</f>
        <v>16362162.162162162</v>
      </c>
      <c r="F34" s="14">
        <f ca="1">E34/E35</f>
        <v>0.9624801271860095</v>
      </c>
      <c r="G34" s="9">
        <f ca="1">G33/(TODAY()-$A$2+1)*30</f>
        <v>19200802.702702705</v>
      </c>
      <c r="H34" s="14">
        <f ca="1">G34/G35</f>
        <v>0.81705543415756188</v>
      </c>
      <c r="I34" s="9">
        <f ca="1">I33/(TODAY()-$A$2+1)*30</f>
        <v>27043394.594594594</v>
      </c>
      <c r="J34" s="14">
        <f ca="1">I34/I35</f>
        <v>0.75120540540540537</v>
      </c>
      <c r="K34" s="9">
        <f ca="1">K33/(TODAY()-$A$2+1)*30</f>
        <v>10431697.297297297</v>
      </c>
      <c r="L34" s="14">
        <f ca="1">K34/K35</f>
        <v>0.6519810810810811</v>
      </c>
      <c r="M34" s="9">
        <f ca="1">M33/(TODAY()-$A$2+1)*30</f>
        <v>10446891.891891891</v>
      </c>
      <c r="N34" s="14">
        <f ca="1">M34/M35</f>
        <v>0.90842538190364275</v>
      </c>
      <c r="O34" s="9">
        <f ca="1">O33/(TODAY()-$A$2+1)*30</f>
        <v>3903316.2162162163</v>
      </c>
      <c r="P34" s="14">
        <f ca="1">O34/O35</f>
        <v>0.83049281196089708</v>
      </c>
      <c r="Q34" s="4"/>
      <c r="R34" s="4"/>
      <c r="S34" s="4"/>
      <c r="T34" s="4"/>
      <c r="U34" s="4"/>
      <c r="V34" s="4"/>
    </row>
    <row r="35" spans="1:22" x14ac:dyDescent="0.25">
      <c r="A35" s="13"/>
      <c r="B35" s="12" t="s">
        <v>20</v>
      </c>
      <c r="C35" s="9">
        <v>49500000</v>
      </c>
      <c r="D35" s="10"/>
      <c r="E35" s="9">
        <v>17000000</v>
      </c>
      <c r="F35" s="6"/>
      <c r="G35" s="9">
        <v>23500000</v>
      </c>
      <c r="H35" s="6"/>
      <c r="I35" s="9">
        <v>36000000</v>
      </c>
      <c r="J35" s="6"/>
      <c r="K35" s="9">
        <v>16000000</v>
      </c>
      <c r="L35" s="6"/>
      <c r="M35" s="9">
        <v>11500000</v>
      </c>
      <c r="N35" s="10"/>
      <c r="O35" s="9">
        <v>4700000</v>
      </c>
      <c r="P35" s="6"/>
      <c r="Q35" s="4"/>
      <c r="R35" s="4"/>
      <c r="S35" s="4"/>
      <c r="T35" s="4"/>
      <c r="U35" s="4"/>
      <c r="V35" s="4"/>
    </row>
    <row r="36" spans="1:22" x14ac:dyDescent="0.25">
      <c r="A36" s="15"/>
      <c r="B36" s="12" t="s">
        <v>21</v>
      </c>
      <c r="C36" s="16">
        <f>C33/C35</f>
        <v>1.2589846666666666</v>
      </c>
      <c r="D36" s="16"/>
      <c r="E36" s="16">
        <f>E33/E35</f>
        <v>1.1870588235294117</v>
      </c>
      <c r="F36" s="16"/>
      <c r="G36" s="16">
        <f>G33/G35</f>
        <v>1.0077017021276595</v>
      </c>
      <c r="H36" s="17"/>
      <c r="I36" s="16">
        <f>I33/I35</f>
        <v>0.92648666666666668</v>
      </c>
      <c r="J36" s="17"/>
      <c r="K36" s="16">
        <f>K33/K35</f>
        <v>0.80410999999999999</v>
      </c>
      <c r="L36" s="18"/>
      <c r="M36" s="16">
        <f>M33/M35</f>
        <v>1.1203913043478262</v>
      </c>
      <c r="N36" s="16"/>
      <c r="O36" s="16">
        <f>O33/O35</f>
        <v>1.0242744680851064</v>
      </c>
      <c r="P36" s="16"/>
      <c r="Q36" s="4"/>
      <c r="R36" s="4"/>
      <c r="S36" s="4"/>
      <c r="T36" s="4"/>
      <c r="U36" s="4"/>
      <c r="V36" s="4"/>
    </row>
    <row r="37" spans="1:22" x14ac:dyDescent="0.25">
      <c r="A37" s="18"/>
      <c r="B37" s="19"/>
      <c r="C37" s="9"/>
      <c r="D37" s="10"/>
      <c r="E37" s="6"/>
      <c r="F37" s="6"/>
      <c r="G37" s="9"/>
      <c r="H37" s="6"/>
      <c r="I37" s="20"/>
      <c r="J37" s="6"/>
      <c r="K37" s="6"/>
      <c r="L37" s="6"/>
      <c r="M37" s="9"/>
      <c r="N37" s="10"/>
      <c r="O37" s="6"/>
      <c r="P37" s="6"/>
      <c r="Q37" s="4"/>
      <c r="R37" s="4"/>
      <c r="S37" s="4"/>
      <c r="T37" s="4"/>
      <c r="U37" s="4"/>
      <c r="V37" s="4"/>
    </row>
    <row r="38" spans="1:22" x14ac:dyDescent="0.25">
      <c r="A38" s="11" t="s">
        <v>22</v>
      </c>
      <c r="B38" s="12" t="s">
        <v>18</v>
      </c>
      <c r="C38" s="9">
        <f>SUM(C33:O33)</f>
        <v>170098601</v>
      </c>
      <c r="D38" s="9"/>
      <c r="E38" s="20"/>
      <c r="F38" s="6"/>
      <c r="G38" s="9"/>
      <c r="H38" s="6"/>
      <c r="I38" s="6"/>
      <c r="J38" s="6"/>
      <c r="K38" s="6"/>
      <c r="L38" s="6"/>
      <c r="M38" s="9"/>
      <c r="N38" s="9"/>
      <c r="O38" s="6"/>
      <c r="P38" s="6"/>
      <c r="Q38" s="4"/>
      <c r="R38" s="4"/>
      <c r="S38" s="4"/>
      <c r="T38" s="4"/>
      <c r="U38" s="4"/>
      <c r="V38" s="4"/>
    </row>
    <row r="39" spans="1:22" x14ac:dyDescent="0.25">
      <c r="A39" s="13"/>
      <c r="B39" s="12" t="s">
        <v>23</v>
      </c>
      <c r="C39" s="9">
        <f ca="1">C38/(TODAY()-$A$2+1)*30</f>
        <v>137917784.5945946</v>
      </c>
      <c r="D39" s="14">
        <f ca="1">C39/C40</f>
        <v>0.87179383435268398</v>
      </c>
      <c r="E39" s="6"/>
      <c r="F39" s="6"/>
      <c r="G39" s="9"/>
      <c r="H39" s="6"/>
      <c r="I39" s="6"/>
      <c r="J39" s="6"/>
      <c r="K39" s="6"/>
      <c r="L39" s="6"/>
      <c r="M39" s="9"/>
      <c r="N39" s="14"/>
      <c r="O39" s="6"/>
      <c r="P39" s="6"/>
      <c r="Q39" s="4"/>
      <c r="R39" s="4"/>
      <c r="S39" s="4"/>
      <c r="T39" s="4"/>
      <c r="U39" s="4"/>
      <c r="V39" s="4"/>
    </row>
    <row r="40" spans="1:22" x14ac:dyDescent="0.25">
      <c r="A40" s="13"/>
      <c r="B40" s="12" t="s">
        <v>20</v>
      </c>
      <c r="C40" s="9">
        <f>SUM(C35:O35)</f>
        <v>158200000</v>
      </c>
      <c r="D40" s="10"/>
      <c r="E40" s="6"/>
      <c r="F40" s="6"/>
      <c r="G40" s="9"/>
      <c r="H40" s="6"/>
      <c r="I40" s="6"/>
      <c r="J40" s="6"/>
      <c r="K40" s="6"/>
      <c r="L40" s="6"/>
      <c r="M40" s="9"/>
      <c r="N40" s="10"/>
      <c r="O40" s="6"/>
      <c r="P40" s="6"/>
      <c r="Q40" s="4"/>
      <c r="R40" s="4"/>
      <c r="S40" s="4"/>
      <c r="T40" s="4"/>
      <c r="U40" s="4"/>
      <c r="V40" s="4"/>
    </row>
    <row r="41" spans="1:22" x14ac:dyDescent="0.25">
      <c r="A41" s="15"/>
      <c r="B41" s="12" t="s">
        <v>21</v>
      </c>
      <c r="C41" s="16">
        <f>C38/C40</f>
        <v>1.0752123957016435</v>
      </c>
      <c r="D41" s="10"/>
      <c r="E41" s="6"/>
      <c r="F41" s="6"/>
      <c r="G41" s="9"/>
      <c r="H41" s="6"/>
      <c r="I41" s="6"/>
      <c r="J41" s="6"/>
      <c r="K41" s="6"/>
      <c r="L41" s="6"/>
      <c r="M41" s="16"/>
      <c r="N41" s="10"/>
      <c r="O41" s="6"/>
      <c r="P41" s="6"/>
      <c r="Q41" s="4"/>
      <c r="R41" s="4"/>
      <c r="S41" s="4"/>
      <c r="T41" s="4"/>
      <c r="U41" s="4"/>
      <c r="V41" s="4"/>
    </row>
    <row r="42" spans="1:22" x14ac:dyDescent="0.25">
      <c r="A42" s="6"/>
      <c r="B42" s="6"/>
      <c r="C42" s="9"/>
      <c r="D42" s="10"/>
      <c r="E42" s="6"/>
      <c r="F42" s="6"/>
      <c r="G42" s="9"/>
      <c r="H42" s="6"/>
      <c r="I42" s="6"/>
      <c r="J42" s="6"/>
      <c r="K42" s="6"/>
      <c r="L42" s="6"/>
      <c r="M42" s="9"/>
      <c r="N42" s="10"/>
      <c r="O42" s="6"/>
      <c r="P42" s="6"/>
      <c r="Q42" s="4"/>
      <c r="R42" s="4"/>
      <c r="S42" s="4"/>
      <c r="T42" s="4"/>
      <c r="U42" s="4"/>
      <c r="V42" s="4"/>
    </row>
    <row r="43" spans="1:22" x14ac:dyDescent="0.25">
      <c r="A43" s="4"/>
      <c r="B43" s="4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4"/>
      <c r="Q43" s="4"/>
      <c r="R43" s="4"/>
      <c r="S43" s="4"/>
      <c r="T43" s="4"/>
      <c r="U43" s="4"/>
      <c r="V43" s="4"/>
    </row>
    <row r="44" spans="1:22" x14ac:dyDescent="0.25">
      <c r="A44" s="4"/>
      <c r="B44" s="4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4"/>
      <c r="Q44" s="4"/>
      <c r="R44" s="4"/>
      <c r="S44" s="4"/>
      <c r="T44" s="4"/>
      <c r="U44" s="4"/>
      <c r="V44" s="4"/>
    </row>
    <row r="45" spans="1:22" x14ac:dyDescent="0.25">
      <c r="A45" s="4"/>
      <c r="B45" s="4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4"/>
      <c r="Q45" s="4"/>
      <c r="R45" s="4"/>
      <c r="S45" s="4"/>
      <c r="T45" s="4"/>
      <c r="U45" s="4"/>
      <c r="V45" s="4"/>
    </row>
    <row r="46" spans="1:22" x14ac:dyDescent="0.25">
      <c r="A46" s="4"/>
      <c r="B46" s="4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4"/>
      <c r="Q46" s="4"/>
      <c r="R46" s="4"/>
      <c r="S46" s="4"/>
      <c r="T46" s="4"/>
      <c r="U46" s="4"/>
      <c r="V46" s="4"/>
    </row>
    <row r="47" spans="1:2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x14ac:dyDescent="0.25">
      <c r="A50" s="4"/>
      <c r="B50" s="4"/>
      <c r="C50" s="2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spans="1:22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 spans="1:22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</row>
    <row r="1002" spans="1:22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</row>
  </sheetData>
  <mergeCells count="2">
    <mergeCell ref="A33:A36"/>
    <mergeCell ref="A38:A41"/>
  </mergeCells>
  <conditionalFormatting sqref="A2:A31">
    <cfRule type="timePeriod" dxfId="0" priority="1" timePeriod="today">
      <formula>FLOOR(A2,1)=TODAY()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SEPTIEMBRE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Rocío Martínez</cp:lastModifiedBy>
  <dcterms:created xsi:type="dcterms:W3CDTF">2025-10-07T16:48:21Z</dcterms:created>
  <dcterms:modified xsi:type="dcterms:W3CDTF">2025-10-07T16:49:15Z</dcterms:modified>
</cp:coreProperties>
</file>